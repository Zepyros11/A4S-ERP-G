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  <sheet state="visible" name="10-17 พ.ค. 2566" sheetId="2" r:id="rId5"/>
    <sheet state="visible" name="18-25  พ.ค.2566" sheetId="3" r:id="rId6"/>
    <sheet state="visible" name="25-31 พ.ค. 2566" sheetId="4" r:id="rId7"/>
  </sheets>
  <definedNames/>
  <calcPr/>
</workbook>
</file>

<file path=xl/sharedStrings.xml><?xml version="1.0" encoding="utf-8"?>
<sst xmlns="http://schemas.openxmlformats.org/spreadsheetml/2006/main" count="111" uniqueCount="48">
  <si>
    <t>ตรวจบิล MAY  66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</si>
  <si>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</si>
  <si>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</si>
  <si>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</si>
  <si>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</si>
  <si>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</si>
  <si>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</si>
  <si>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</t>
  </si>
  <si>
    <t>มูลค่า</t>
  </si>
  <si>
    <t>คงเหลือ</t>
  </si>
  <si>
    <t>31- 2/5/66</t>
  </si>
  <si>
    <t>poon</t>
  </si>
  <si>
    <t>3.05.66</t>
  </si>
  <si>
    <t>พี่เกษ</t>
  </si>
  <si>
    <t>4.05.66</t>
  </si>
  <si>
    <t>5.05.66</t>
  </si>
  <si>
    <t>พี่ี่นี</t>
  </si>
  <si>
    <t>6.05.66</t>
  </si>
  <si>
    <t>7.05.66</t>
  </si>
  <si>
    <t>8.05.66</t>
  </si>
  <si>
    <t>เอิง</t>
  </si>
  <si>
    <t>ผลต่าง8400 บาท เป็นบิลยกเลิก 3/5/66 STHBKK012305000146</t>
  </si>
  <si>
    <t>9.05.66</t>
  </si>
  <si>
    <t>10.05.2566</t>
  </si>
  <si>
    <t>11.05.2566</t>
  </si>
  <si>
    <t>12.05.2566</t>
  </si>
  <si>
    <t>13.05.2566</t>
  </si>
  <si>
    <t>14.05.2566</t>
  </si>
  <si>
    <t>15.05.2566</t>
  </si>
  <si>
    <t>ส่วนต่าง 8950 บาท เนื่องจาก ยกเลิกบิลของ วันที่ 14/5/66    เลขบิล STHBKK012305000743</t>
  </si>
  <si>
    <t>16.05.2566</t>
  </si>
  <si>
    <t>เหน่ง</t>
  </si>
  <si>
    <t>17.05.2566</t>
  </si>
  <si>
    <t>18.05.2566</t>
  </si>
  <si>
    <t>19.05.2566</t>
  </si>
  <si>
    <t>20.05.2566</t>
  </si>
  <si>
    <t>21.05.2566</t>
  </si>
  <si>
    <t>ปูน</t>
  </si>
  <si>
    <t>22.05.2566</t>
  </si>
  <si>
    <t>23.05.2566</t>
  </si>
  <si>
    <t>24.05.2566</t>
  </si>
  <si>
    <t>25.05.2566</t>
  </si>
  <si>
    <t>ส่วนต่าง 5150 บาท เนื่องจาก ยกเลิกบิลของ วันที่ 25/5/66   เลขบิล STHBKK012305001566</t>
  </si>
  <si>
    <t>27.05.2566</t>
  </si>
  <si>
    <t>28.05.66</t>
  </si>
  <si>
    <t>29.05.66</t>
  </si>
  <si>
    <t>30.05.66</t>
  </si>
  <si>
    <t>31.05.66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</si>
</sst>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16">
    <font>
      <sz val="10.0"/>
      <color rgb="FF000000"/>
      <name val="Arial"/>
      <scheme val="minor"/>
    </font>
    <font>
      <b/>
      <sz val="34.0"/>
      <color theme="1"/>
      <name val="Calibri"/>
    </font>
    <font/>
    <font>
      <color theme="1"/>
      <name val="Arial"/>
    </font>
    <font>
      <b/>
      <sz val="27.0"/>
      <color theme="1"/>
      <name val="Calibri"/>
    </font>
    <font>
      <sz val="21.0"/>
      <color theme="1"/>
      <name val="Calibri"/>
    </font>
    <font>
      <sz val="21.0"/>
      <color theme="1"/>
      <name val="Arial"/>
    </font>
    <font>
      <sz val="20.0"/>
      <color theme="1"/>
      <name val="Arial"/>
    </font>
    <font>
      <sz val="21.0"/>
      <color rgb="FFFF0000"/>
      <name val="Arial"/>
    </font>
    <font>
      <sz val="18.0"/>
      <color rgb="FFFF0000"/>
      <name val="Arial"/>
    </font>
    <font>
      <b/>
      <u/>
      <sz val="27.0"/>
      <color theme="1"/>
      <name val="Calibri"/>
    </font>
    <font>
      <sz val="27.0"/>
      <color rgb="FFFF0000"/>
      <name val="Arial"/>
    </font>
    <font>
      <sz val="17.0"/>
      <color rgb="FFFF0000"/>
      <name val="Arial"/>
    </font>
    <font>
      <sz val="24.0"/>
      <color theme="1"/>
      <name val="Arial"/>
    </font>
    <font>
      <sz val="16.0"/>
      <color rgb="FFFF0000"/>
      <name val="Arial"/>
    </font>
    <font>
      <sz val="23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3" numFmtId="0" xfId="0" applyAlignment="1" applyFont="1">
      <alignment vertical="bottom"/>
    </xf>
    <xf borderId="2" fillId="0" fontId="4" numFmtId="0" xfId="0" applyAlignment="1" applyBorder="1" applyFont="1">
      <alignment horizontal="center" vertical="bottom"/>
    </xf>
    <xf borderId="1" fillId="2" fontId="4" numFmtId="0" xfId="0" applyAlignment="1" applyBorder="1" applyFill="1" applyFont="1">
      <alignment horizontal="center" vertical="bottom"/>
    </xf>
    <xf borderId="3" fillId="0" fontId="2" numFmtId="0" xfId="0" applyBorder="1" applyFont="1"/>
    <xf borderId="1" fillId="3" fontId="4" numFmtId="0" xfId="0" applyAlignment="1" applyBorder="1" applyFill="1" applyFont="1">
      <alignment horizontal="center" vertical="bottom"/>
    </xf>
    <xf borderId="4" fillId="4" fontId="4" numFmtId="0" xfId="0" applyAlignment="1" applyBorder="1" applyFill="1" applyFont="1">
      <alignment horizontal="center" vertical="bottom"/>
    </xf>
    <xf borderId="4" fillId="5" fontId="4" numFmtId="0" xfId="0" applyAlignment="1" applyBorder="1" applyFill="1" applyFont="1">
      <alignment horizontal="center" vertical="bottom"/>
    </xf>
    <xf borderId="5" fillId="0" fontId="2" numFmtId="0" xfId="0" applyBorder="1" applyFont="1"/>
    <xf borderId="3" fillId="5" fontId="4" numFmtId="0" xfId="0" applyAlignment="1" applyBorder="1" applyFont="1">
      <alignment horizontal="center" vertical="bottom"/>
    </xf>
    <xf borderId="3" fillId="4" fontId="4" numFmtId="0" xfId="0" applyAlignment="1" applyBorder="1" applyFont="1">
      <alignment horizontal="center" vertical="bottom"/>
    </xf>
    <xf borderId="5" fillId="6" fontId="5" numFmtId="0" xfId="0" applyAlignment="1" applyBorder="1" applyFill="1" applyFont="1">
      <alignment horizontal="center"/>
    </xf>
    <xf borderId="3" fillId="6" fontId="6" numFmtId="38" xfId="0" applyAlignment="1" applyBorder="1" applyFont="1" applyNumberFormat="1">
      <alignment horizontal="center" readingOrder="0"/>
    </xf>
    <xf borderId="3" fillId="6" fontId="6" numFmtId="38" xfId="0" applyAlignment="1" applyBorder="1" applyFont="1" applyNumberFormat="1">
      <alignment horizontal="right" readingOrder="0"/>
    </xf>
    <xf borderId="3" fillId="6" fontId="6" numFmtId="164" xfId="0" applyBorder="1" applyFont="1" applyNumberFormat="1"/>
    <xf borderId="3" fillId="6" fontId="6" numFmtId="0" xfId="0" applyAlignment="1" applyBorder="1" applyFont="1">
      <alignment horizontal="center" readingOrder="0"/>
    </xf>
    <xf borderId="3" fillId="6" fontId="3" numFmtId="0" xfId="0" applyBorder="1" applyFont="1"/>
    <xf borderId="0" fillId="6" fontId="3" numFmtId="0" xfId="0" applyAlignment="1" applyFont="1">
      <alignment vertical="bottom"/>
    </xf>
    <xf borderId="5" fillId="6" fontId="7" numFmtId="0" xfId="0" applyAlignment="1" applyBorder="1" applyFont="1">
      <alignment horizontal="center" readingOrder="0"/>
    </xf>
    <xf borderId="3" fillId="6" fontId="7" numFmtId="38" xfId="0" applyAlignment="1" applyBorder="1" applyFont="1" applyNumberFormat="1">
      <alignment horizontal="center" readingOrder="0"/>
    </xf>
    <xf borderId="3" fillId="6" fontId="7" numFmtId="164" xfId="0" applyAlignment="1" applyBorder="1" applyFont="1" applyNumberFormat="1">
      <alignment horizontal="center" readingOrder="0"/>
    </xf>
    <xf borderId="3" fillId="6" fontId="7" numFmtId="38" xfId="0" applyAlignment="1" applyBorder="1" applyFont="1" applyNumberFormat="1">
      <alignment horizontal="center"/>
    </xf>
    <xf borderId="3" fillId="6" fontId="7" numFmtId="0" xfId="0" applyAlignment="1" applyBorder="1" applyFont="1">
      <alignment horizontal="center" readingOrder="0"/>
    </xf>
    <xf borderId="3" fillId="6" fontId="8" numFmtId="164" xfId="0" applyBorder="1" applyFont="1" applyNumberFormat="1"/>
    <xf borderId="3" fillId="6" fontId="9" numFmtId="0" xfId="0" applyAlignment="1" applyBorder="1" applyFont="1">
      <alignment readingOrder="0"/>
    </xf>
    <xf borderId="5" fillId="6" fontId="3" numFmtId="0" xfId="0" applyBorder="1" applyFont="1"/>
    <xf borderId="3" fillId="6" fontId="10" numFmtId="38" xfId="0" applyAlignment="1" applyBorder="1" applyFont="1" applyNumberFormat="1">
      <alignment horizontal="center"/>
    </xf>
    <xf borderId="3" fillId="6" fontId="11" numFmtId="164" xfId="0" applyAlignment="1" applyBorder="1" applyFont="1" applyNumberFormat="1">
      <alignment horizontal="right"/>
    </xf>
    <xf borderId="5" fillId="6" fontId="5" numFmtId="0" xfId="0" applyAlignment="1" applyBorder="1" applyFont="1">
      <alignment horizontal="center" readingOrder="0"/>
    </xf>
    <xf borderId="3" fillId="6" fontId="7" numFmtId="164" xfId="0" applyAlignment="1" applyBorder="1" applyFont="1" applyNumberFormat="1">
      <alignment horizontal="center"/>
    </xf>
    <xf borderId="3" fillId="6" fontId="12" numFmtId="0" xfId="0" applyAlignment="1" applyBorder="1" applyFont="1">
      <alignment readingOrder="0"/>
    </xf>
    <xf borderId="3" fillId="6" fontId="13" numFmtId="0" xfId="0" applyAlignment="1" applyBorder="1" applyFont="1">
      <alignment horizontal="center" readingOrder="0"/>
    </xf>
    <xf borderId="3" fillId="6" fontId="14" numFmtId="0" xfId="0" applyAlignment="1" applyBorder="1" applyFont="1">
      <alignment readingOrder="0"/>
    </xf>
    <xf borderId="3" fillId="6" fontId="1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19.25"/>
    <col customWidth="1" min="3" max="3" width="20.88"/>
    <col customWidth="1" min="4" max="4" width="23.88"/>
    <col customWidth="1" min="5" max="5" width="23.13"/>
    <col customWidth="1" min="6" max="6" width="19.75"/>
    <col customWidth="1" min="7" max="7" width="22.0"/>
    <col customWidth="1" min="8" max="8" width="29.38"/>
    <col customWidth="1" min="9" max="9" width="11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 t="s">
        <v>10</v>
      </c>
      <c r="B4" s="14">
        <v>109.0</v>
      </c>
      <c r="C4" s="15">
        <v>636034.0</v>
      </c>
      <c r="D4" s="15">
        <v>636034.0</v>
      </c>
      <c r="E4" s="14">
        <v>109.0</v>
      </c>
      <c r="F4" s="14">
        <v>636034.0</v>
      </c>
      <c r="G4" s="16">
        <f>SUM(F4-$D$4)</f>
        <v>0</v>
      </c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0" t="s">
        <v>12</v>
      </c>
      <c r="B5" s="21">
        <v>75.0</v>
      </c>
      <c r="C5" s="22">
        <v>440770.0</v>
      </c>
      <c r="D5" s="22">
        <v>440770.0</v>
      </c>
      <c r="E5" s="21">
        <v>75.0</v>
      </c>
      <c r="F5" s="23">
        <v>440770.0</v>
      </c>
      <c r="G5" s="16">
        <f t="shared" ref="G5:G11" si="1">D5-F5</f>
        <v>0</v>
      </c>
      <c r="H5" s="24" t="s">
        <v>13</v>
      </c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0" t="s">
        <v>14</v>
      </c>
      <c r="B6" s="21">
        <v>63.0</v>
      </c>
      <c r="C6" s="22">
        <v>485330.0</v>
      </c>
      <c r="D6" s="22">
        <v>485330.0</v>
      </c>
      <c r="E6" s="21">
        <v>63.0</v>
      </c>
      <c r="F6" s="22">
        <v>485330.0</v>
      </c>
      <c r="G6" s="16">
        <f t="shared" si="1"/>
        <v>0</v>
      </c>
      <c r="H6" s="24" t="s">
        <v>13</v>
      </c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24.75" customHeight="1">
      <c r="A7" s="20" t="s">
        <v>15</v>
      </c>
      <c r="B7" s="21">
        <v>77.0</v>
      </c>
      <c r="C7" s="22">
        <v>607415.0</v>
      </c>
      <c r="D7" s="22">
        <v>607415.0</v>
      </c>
      <c r="E7" s="21">
        <v>77.0</v>
      </c>
      <c r="F7" s="22">
        <v>607415.0</v>
      </c>
      <c r="G7" s="16">
        <f t="shared" si="1"/>
        <v>0</v>
      </c>
      <c r="H7" s="24" t="s">
        <v>16</v>
      </c>
      <c r="I7" s="18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27.0" customHeight="1">
      <c r="A8" s="20" t="s">
        <v>17</v>
      </c>
      <c r="B8" s="21">
        <v>44.0</v>
      </c>
      <c r="C8" s="22">
        <v>301425.0</v>
      </c>
      <c r="D8" s="22">
        <v>301425.0</v>
      </c>
      <c r="E8" s="21">
        <v>44.0</v>
      </c>
      <c r="F8" s="22">
        <v>301425.0</v>
      </c>
      <c r="G8" s="16">
        <f t="shared" si="1"/>
        <v>0</v>
      </c>
      <c r="H8" s="24" t="s">
        <v>16</v>
      </c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24.75" customHeight="1">
      <c r="A9" s="20" t="s">
        <v>18</v>
      </c>
      <c r="B9" s="21">
        <v>39.0</v>
      </c>
      <c r="C9" s="22">
        <v>196440.0</v>
      </c>
      <c r="D9" s="22">
        <v>196440.0</v>
      </c>
      <c r="E9" s="21">
        <v>39.0</v>
      </c>
      <c r="F9" s="22">
        <v>196440.0</v>
      </c>
      <c r="G9" s="16">
        <f t="shared" si="1"/>
        <v>0</v>
      </c>
      <c r="H9" s="24" t="s">
        <v>13</v>
      </c>
      <c r="I9" s="18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29.25" customHeight="1">
      <c r="A10" s="20" t="s">
        <v>19</v>
      </c>
      <c r="B10" s="21">
        <v>52.0</v>
      </c>
      <c r="C10" s="22">
        <v>340540.0</v>
      </c>
      <c r="D10" s="22">
        <v>340540.0</v>
      </c>
      <c r="E10" s="21">
        <v>52.0</v>
      </c>
      <c r="F10" s="22">
        <v>348940.0</v>
      </c>
      <c r="G10" s="25">
        <f t="shared" si="1"/>
        <v>-8400</v>
      </c>
      <c r="H10" s="24" t="s">
        <v>20</v>
      </c>
      <c r="I10" s="26" t="s">
        <v>21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29.25" customHeight="1">
      <c r="A11" s="20" t="s">
        <v>22</v>
      </c>
      <c r="B11" s="21">
        <v>76.0</v>
      </c>
      <c r="C11" s="22">
        <v>505850.0</v>
      </c>
      <c r="D11" s="22">
        <f>SUM(C11)</f>
        <v>505850</v>
      </c>
      <c r="E11" s="21">
        <v>76.0</v>
      </c>
      <c r="F11" s="22">
        <v>505850.0</v>
      </c>
      <c r="G11" s="25">
        <f t="shared" si="1"/>
        <v>0</v>
      </c>
      <c r="H11" s="24" t="s">
        <v>20</v>
      </c>
      <c r="I11" s="26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7"/>
      <c r="B12" s="18"/>
      <c r="C12" s="28">
        <f t="shared" ref="C12:D12" si="2">SUM(C4:C7)</f>
        <v>2169549</v>
      </c>
      <c r="D12" s="28">
        <f t="shared" si="2"/>
        <v>2169549</v>
      </c>
      <c r="E12" s="18"/>
      <c r="F12" s="28">
        <f>SUM(F4:F7)</f>
        <v>2169549</v>
      </c>
      <c r="G12" s="29"/>
      <c r="H12" s="18"/>
      <c r="I12" s="18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19.25"/>
    <col customWidth="1" min="3" max="3" width="20.88"/>
    <col customWidth="1" min="4" max="4" width="23.88"/>
    <col customWidth="1" min="5" max="5" width="23.13"/>
    <col customWidth="1" min="6" max="6" width="19.75"/>
    <col customWidth="1" min="7" max="7" width="22.0"/>
    <col customWidth="1" min="8" max="8" width="29.38"/>
    <col customWidth="1" min="9" max="9" width="11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0" t="s">
        <v>23</v>
      </c>
      <c r="B4" s="14">
        <v>54.0</v>
      </c>
      <c r="C4" s="15">
        <v>343750.0</v>
      </c>
      <c r="D4" s="15">
        <v>343750.0</v>
      </c>
      <c r="E4" s="14">
        <v>54.0</v>
      </c>
      <c r="F4" s="14">
        <v>343750.0</v>
      </c>
      <c r="G4" s="16">
        <f>SUM(F4-$D$4)</f>
        <v>0</v>
      </c>
      <c r="H4" s="24" t="s">
        <v>20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30" t="s">
        <v>24</v>
      </c>
      <c r="B5" s="21">
        <v>67.0</v>
      </c>
      <c r="C5" s="22">
        <v>348030.0</v>
      </c>
      <c r="D5" s="22">
        <v>348030.0</v>
      </c>
      <c r="E5" s="21">
        <v>67.0</v>
      </c>
      <c r="F5" s="22">
        <v>348030.0</v>
      </c>
      <c r="G5" s="16">
        <f t="shared" ref="G5:G11" si="1">D5-F5</f>
        <v>0</v>
      </c>
      <c r="H5" s="24" t="s">
        <v>20</v>
      </c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30" t="s">
        <v>25</v>
      </c>
      <c r="B6" s="21">
        <v>69.0</v>
      </c>
      <c r="C6" s="22">
        <v>491490.0</v>
      </c>
      <c r="D6" s="22">
        <v>491490.0</v>
      </c>
      <c r="E6" s="21">
        <v>69.0</v>
      </c>
      <c r="F6" s="22">
        <v>491490.0</v>
      </c>
      <c r="G6" s="16">
        <f t="shared" si="1"/>
        <v>0</v>
      </c>
      <c r="H6" s="24" t="s">
        <v>20</v>
      </c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24.75" customHeight="1">
      <c r="A7" s="30" t="s">
        <v>26</v>
      </c>
      <c r="B7" s="21">
        <v>52.0</v>
      </c>
      <c r="C7" s="22">
        <v>496400.0</v>
      </c>
      <c r="D7" s="22">
        <v>496400.0</v>
      </c>
      <c r="E7" s="21">
        <v>52.0</v>
      </c>
      <c r="F7" s="22">
        <v>496400.0</v>
      </c>
      <c r="G7" s="16">
        <f t="shared" si="1"/>
        <v>0</v>
      </c>
      <c r="H7" s="24" t="s">
        <v>13</v>
      </c>
      <c r="I7" s="18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27.0" customHeight="1">
      <c r="A8" s="20" t="s">
        <v>27</v>
      </c>
      <c r="B8" s="21">
        <v>43.0</v>
      </c>
      <c r="C8" s="31">
        <v>293160.0</v>
      </c>
      <c r="D8" s="31">
        <v>293160.0</v>
      </c>
      <c r="E8" s="21">
        <v>43.0</v>
      </c>
      <c r="F8" s="31">
        <v>293160.0</v>
      </c>
      <c r="G8" s="16">
        <f t="shared" si="1"/>
        <v>0</v>
      </c>
      <c r="H8" s="24" t="s">
        <v>20</v>
      </c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24.75" customHeight="1">
      <c r="A9" s="20" t="s">
        <v>28</v>
      </c>
      <c r="B9" s="21">
        <v>89.0</v>
      </c>
      <c r="C9" s="22">
        <v>406515.0</v>
      </c>
      <c r="D9" s="22">
        <v>406515.0</v>
      </c>
      <c r="E9" s="21">
        <v>89.0</v>
      </c>
      <c r="F9" s="22">
        <v>415465.0</v>
      </c>
      <c r="G9" s="16">
        <f t="shared" si="1"/>
        <v>-8950</v>
      </c>
      <c r="H9" s="24" t="s">
        <v>16</v>
      </c>
      <c r="I9" s="32" t="s">
        <v>29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29.25" customHeight="1">
      <c r="A10" s="20" t="s">
        <v>30</v>
      </c>
      <c r="B10" s="21">
        <v>60.0</v>
      </c>
      <c r="C10" s="22">
        <v>409760.0</v>
      </c>
      <c r="D10" s="22">
        <v>409760.0</v>
      </c>
      <c r="E10" s="21">
        <v>60.0</v>
      </c>
      <c r="F10" s="22">
        <v>409760.0</v>
      </c>
      <c r="G10" s="25">
        <f t="shared" si="1"/>
        <v>0</v>
      </c>
      <c r="H10" s="24" t="s">
        <v>31</v>
      </c>
      <c r="I10" s="26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29.25" customHeight="1">
      <c r="A11" s="20" t="s">
        <v>32</v>
      </c>
      <c r="B11" s="21">
        <v>51.0</v>
      </c>
      <c r="C11" s="22">
        <v>341215.0</v>
      </c>
      <c r="D11" s="22">
        <v>341215.0</v>
      </c>
      <c r="E11" s="21">
        <v>51.0</v>
      </c>
      <c r="F11" s="22">
        <v>341215.0</v>
      </c>
      <c r="G11" s="25">
        <f t="shared" si="1"/>
        <v>0</v>
      </c>
      <c r="H11" s="24" t="s">
        <v>20</v>
      </c>
      <c r="I11" s="26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7"/>
      <c r="B12" s="18"/>
      <c r="C12" s="28">
        <f t="shared" ref="C12:D12" si="2">SUM(C4:C7)</f>
        <v>1679670</v>
      </c>
      <c r="D12" s="28">
        <f t="shared" si="2"/>
        <v>1679670</v>
      </c>
      <c r="E12" s="18"/>
      <c r="F12" s="28">
        <f>SUM(F4:F7)</f>
        <v>1679670</v>
      </c>
      <c r="G12" s="29"/>
      <c r="H12" s="18"/>
      <c r="I12" s="18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19.25"/>
    <col customWidth="1" min="3" max="3" width="20.88"/>
    <col customWidth="1" min="4" max="4" width="23.88"/>
    <col customWidth="1" min="5" max="5" width="23.13"/>
    <col customWidth="1" min="6" max="6" width="19.75"/>
    <col customWidth="1" min="7" max="7" width="22.0"/>
    <col customWidth="1" min="8" max="8" width="29.38"/>
    <col customWidth="1" min="9" max="9" width="11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0" t="s">
        <v>33</v>
      </c>
      <c r="B4" s="14">
        <v>96.0</v>
      </c>
      <c r="C4" s="15">
        <v>571647.0</v>
      </c>
      <c r="D4" s="15">
        <v>571647.0</v>
      </c>
      <c r="E4" s="14">
        <v>96.0</v>
      </c>
      <c r="F4" s="14">
        <v>571647.0</v>
      </c>
      <c r="G4" s="16">
        <f>SUM(F4-$D$4)</f>
        <v>0</v>
      </c>
      <c r="H4" s="24" t="s">
        <v>20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30" t="s">
        <v>34</v>
      </c>
      <c r="B5" s="21">
        <v>66.0</v>
      </c>
      <c r="C5" s="22">
        <v>409300.0</v>
      </c>
      <c r="D5" s="22">
        <v>409300.0</v>
      </c>
      <c r="E5" s="21">
        <v>66.0</v>
      </c>
      <c r="F5" s="22">
        <v>409300.0</v>
      </c>
      <c r="G5" s="16">
        <f t="shared" ref="G5:G11" si="1">D5-F5</f>
        <v>0</v>
      </c>
      <c r="H5" s="24" t="s">
        <v>20</v>
      </c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30" t="s">
        <v>35</v>
      </c>
      <c r="B6" s="21">
        <v>44.0</v>
      </c>
      <c r="C6" s="22">
        <v>329890.0</v>
      </c>
      <c r="D6" s="22">
        <v>329890.0</v>
      </c>
      <c r="E6" s="21">
        <v>44.0</v>
      </c>
      <c r="F6" s="22">
        <v>329890.0</v>
      </c>
      <c r="G6" s="16">
        <f t="shared" si="1"/>
        <v>0</v>
      </c>
      <c r="H6" s="24" t="s">
        <v>13</v>
      </c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24.75" customHeight="1">
      <c r="A7" s="30" t="s">
        <v>36</v>
      </c>
      <c r="B7" s="21">
        <v>55.0</v>
      </c>
      <c r="C7" s="31">
        <v>243740.0</v>
      </c>
      <c r="D7" s="31">
        <v>243740.0</v>
      </c>
      <c r="E7" s="21">
        <v>55.0</v>
      </c>
      <c r="F7" s="31">
        <v>243740.0</v>
      </c>
      <c r="G7" s="16">
        <f t="shared" si="1"/>
        <v>0</v>
      </c>
      <c r="H7" s="24" t="s">
        <v>37</v>
      </c>
      <c r="I7" s="18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27.0" customHeight="1">
      <c r="A8" s="30" t="s">
        <v>38</v>
      </c>
      <c r="B8" s="21">
        <v>59.0</v>
      </c>
      <c r="C8" s="22">
        <v>406175.0</v>
      </c>
      <c r="D8" s="22">
        <v>406175.0</v>
      </c>
      <c r="E8" s="21">
        <v>59.0</v>
      </c>
      <c r="F8" s="22">
        <v>406175.0</v>
      </c>
      <c r="G8" s="16">
        <f t="shared" si="1"/>
        <v>0</v>
      </c>
      <c r="H8" s="24" t="s">
        <v>20</v>
      </c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24.75" customHeight="1">
      <c r="A9" s="20" t="s">
        <v>39</v>
      </c>
      <c r="B9" s="21">
        <v>74.0</v>
      </c>
      <c r="C9" s="22">
        <v>533970.0</v>
      </c>
      <c r="D9" s="22">
        <v>533970.0</v>
      </c>
      <c r="E9" s="21">
        <v>74.0</v>
      </c>
      <c r="F9" s="22">
        <v>533970.0</v>
      </c>
      <c r="G9" s="16">
        <f t="shared" si="1"/>
        <v>0</v>
      </c>
      <c r="H9" s="24" t="s">
        <v>37</v>
      </c>
      <c r="I9" s="32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29.25" customHeight="1">
      <c r="A10" s="20" t="s">
        <v>40</v>
      </c>
      <c r="B10" s="21">
        <v>51.0</v>
      </c>
      <c r="C10" s="22">
        <v>452025.0</v>
      </c>
      <c r="D10" s="22">
        <v>452025.0</v>
      </c>
      <c r="E10" s="21">
        <v>51.0</v>
      </c>
      <c r="F10" s="22">
        <v>452025.0</v>
      </c>
      <c r="G10" s="16">
        <f t="shared" si="1"/>
        <v>0</v>
      </c>
      <c r="H10" s="24" t="s">
        <v>16</v>
      </c>
      <c r="I10" s="26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29.25" customHeight="1">
      <c r="A11" s="20" t="s">
        <v>41</v>
      </c>
      <c r="B11" s="21">
        <v>64.0</v>
      </c>
      <c r="C11" s="22">
        <v>542775.0</v>
      </c>
      <c r="D11" s="22">
        <v>542775.0</v>
      </c>
      <c r="E11" s="21">
        <v>64.0</v>
      </c>
      <c r="F11" s="22">
        <v>542775.0</v>
      </c>
      <c r="G11" s="16">
        <f t="shared" si="1"/>
        <v>0</v>
      </c>
      <c r="H11" s="24" t="s">
        <v>20</v>
      </c>
      <c r="I11" s="26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7"/>
      <c r="B12" s="18"/>
      <c r="C12" s="28">
        <f t="shared" ref="C12:D12" si="2">SUM(C4:C7)</f>
        <v>1554577</v>
      </c>
      <c r="D12" s="28">
        <f t="shared" si="2"/>
        <v>1554577</v>
      </c>
      <c r="E12" s="18"/>
      <c r="F12" s="28">
        <f>SUM(F4:F7)</f>
        <v>1554577</v>
      </c>
      <c r="G12" s="29"/>
      <c r="H12" s="18"/>
      <c r="I12" s="18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1.13"/>
    <col customWidth="1" min="2" max="2" width="19.25"/>
    <col customWidth="1" min="3" max="3" width="20.88"/>
    <col customWidth="1" min="4" max="4" width="23.88"/>
    <col customWidth="1" min="5" max="5" width="23.13"/>
    <col customWidth="1" min="6" max="6" width="19.75"/>
    <col customWidth="1" min="7" max="7" width="22.0"/>
    <col customWidth="1" min="8" max="8" width="29.38"/>
    <col customWidth="1" min="9" max="9" width="11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4.5" customHeight="1">
      <c r="A4" s="20" t="s">
        <v>41</v>
      </c>
      <c r="B4" s="21">
        <v>63.0</v>
      </c>
      <c r="C4" s="22">
        <v>498715.0</v>
      </c>
      <c r="D4" s="22">
        <v>498715.0</v>
      </c>
      <c r="E4" s="21">
        <v>63.0</v>
      </c>
      <c r="F4" s="22">
        <v>503865.0</v>
      </c>
      <c r="G4" s="16">
        <f t="shared" ref="G4:G9" si="1">D4-F4</f>
        <v>-5150</v>
      </c>
      <c r="H4" s="33" t="s">
        <v>20</v>
      </c>
      <c r="I4" s="34" t="s">
        <v>42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34.5" customHeight="1">
      <c r="A5" s="20" t="s">
        <v>43</v>
      </c>
      <c r="B5" s="21">
        <v>72.0</v>
      </c>
      <c r="C5" s="22">
        <v>484850.0</v>
      </c>
      <c r="D5" s="22">
        <v>484850.0</v>
      </c>
      <c r="E5" s="21">
        <v>72.0</v>
      </c>
      <c r="F5" s="22">
        <v>484850.0</v>
      </c>
      <c r="G5" s="16">
        <f t="shared" si="1"/>
        <v>0</v>
      </c>
      <c r="H5" s="35" t="s">
        <v>13</v>
      </c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34.5" customHeight="1">
      <c r="A6" s="20" t="s">
        <v>44</v>
      </c>
      <c r="B6" s="21">
        <v>53.0</v>
      </c>
      <c r="C6" s="22">
        <v>265265.0</v>
      </c>
      <c r="D6" s="22">
        <v>265265.0</v>
      </c>
      <c r="E6" s="21">
        <v>53.0</v>
      </c>
      <c r="F6" s="31">
        <v>265265.0</v>
      </c>
      <c r="G6" s="16">
        <f t="shared" si="1"/>
        <v>0</v>
      </c>
      <c r="H6" s="24" t="s">
        <v>11</v>
      </c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34.5" customHeight="1">
      <c r="A7" s="20" t="s">
        <v>45</v>
      </c>
      <c r="B7" s="21">
        <v>83.0</v>
      </c>
      <c r="C7" s="22">
        <v>611575.0</v>
      </c>
      <c r="D7" s="22">
        <v>611575.0</v>
      </c>
      <c r="E7" s="21">
        <v>83.0</v>
      </c>
      <c r="F7" s="22">
        <v>611575.0</v>
      </c>
      <c r="G7" s="16">
        <f t="shared" si="1"/>
        <v>0</v>
      </c>
      <c r="H7" s="35" t="s">
        <v>13</v>
      </c>
      <c r="I7" s="18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34.5" customHeight="1">
      <c r="A8" s="20" t="s">
        <v>46</v>
      </c>
      <c r="B8" s="21">
        <v>77.0</v>
      </c>
      <c r="C8" s="22">
        <v>622235.0</v>
      </c>
      <c r="D8" s="22">
        <v>622235.0</v>
      </c>
      <c r="E8" s="21">
        <v>77.0</v>
      </c>
      <c r="F8" s="22">
        <v>622235.0</v>
      </c>
      <c r="G8" s="16">
        <f t="shared" si="1"/>
        <v>0</v>
      </c>
      <c r="H8" s="35" t="s">
        <v>13</v>
      </c>
      <c r="I8" s="18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34.5" customHeight="1">
      <c r="A9" s="20" t="s">
        <v>47</v>
      </c>
      <c r="B9" s="21">
        <v>99.0</v>
      </c>
      <c r="C9" s="22">
        <v>590860.0</v>
      </c>
      <c r="D9" s="22">
        <v>590860.0</v>
      </c>
      <c r="E9" s="21">
        <v>99.0</v>
      </c>
      <c r="F9" s="22">
        <v>590860.0</v>
      </c>
      <c r="G9" s="16">
        <f t="shared" si="1"/>
        <v>0</v>
      </c>
      <c r="H9" s="24" t="s">
        <v>20</v>
      </c>
      <c r="I9" s="32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34.5" customHeight="1">
      <c r="A10" s="20"/>
      <c r="B10" s="21"/>
      <c r="C10" s="22"/>
      <c r="D10" s="22"/>
      <c r="E10" s="21"/>
      <c r="F10" s="22"/>
      <c r="G10" s="16"/>
      <c r="H10" s="24"/>
      <c r="I10" s="26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34.5" customHeight="1">
      <c r="A11" s="20"/>
      <c r="B11" s="21"/>
      <c r="C11" s="22"/>
      <c r="D11" s="22"/>
      <c r="E11" s="21"/>
      <c r="F11" s="22"/>
      <c r="G11" s="16"/>
      <c r="H11" s="24"/>
      <c r="I11" s="26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34.5" customHeight="1">
      <c r="A12" s="27"/>
      <c r="B12" s="18"/>
      <c r="C12" s="28">
        <f t="shared" ref="C12:D12" si="2">SUM(C4:C7)</f>
        <v>1860405</v>
      </c>
      <c r="D12" s="28">
        <f t="shared" si="2"/>
        <v>1860405</v>
      </c>
      <c r="E12" s="18"/>
      <c r="F12" s="28">
        <f>SUM(F4:F7)</f>
        <v>1865555</v>
      </c>
      <c r="G12" s="16"/>
      <c r="H12" s="18"/>
      <c r="I12" s="18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
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4"/>
    <sheet state="visible" name="สำเนาของ ชีต1" sheetId="2" r:id="rId5"/>
    <sheet state="visible" name="สำเนาของ สำเนาของ ชีต1" sheetId="3" r:id="rId6"/>
    <sheet state="visible" name="สำเนาของ สำเนาของ สำเนาของ ชีต1" sheetId="4" r:id="rId7"/>
  </sheets>
  <definedNames/>
  <calcPr/>
  <extLst>
    <ext uri="GoogleSheetsCustomDataVersion2">
      <go:sheetsCustomData xmlns:go="http://customooxmlschemas.google.com/" r:id="rId8" roundtripDataChecksum="QasT8g39W7dNPMzEIFxG7kdWO+rOPd4UY73rNw2KGsY="/>
    </ext>
  </extLst>
</workbook>
</file>

<file path=xl/sharedStrings.xml><?xml version="1.0" encoding="utf-8"?>
<sst xmlns="http://schemas.openxmlformats.org/spreadsheetml/2006/main" count="95" uniqueCount="33">
  <si>
    <t>ตรวจบิล July  66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</si>
  <si>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</si>
  <si>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</si>
  <si>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</si>
  <si>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</si>
  <si>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</si>
  <si>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</si>
  <si>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</t>
  </si>
  <si>
    <t>มูลค่า</t>
  </si>
  <si>
    <t>คงเหลือ</t>
  </si>
  <si>
    <t>30.06.66 - 02.07.66</t>
  </si>
  <si>
    <t>เอิง</t>
  </si>
  <si>
    <t>ผลต่าง -1450 เป็นบิลยกเลิก ของวันที่ 30.6.66 STHBKK012306002167</t>
  </si>
  <si>
    <t>3.07.66</t>
  </si>
  <si>
    <t>เกษ</t>
  </si>
  <si>
    <t>4.07.66</t>
  </si>
  <si>
    <t>ปูน</t>
  </si>
  <si>
    <t>5.07.66</t>
  </si>
  <si>
    <t>6.07.66</t>
  </si>
  <si>
    <t>ผลต่าง -34750 เป็นบิลยกเลิก ของวันที่ 05.07.66   STHBKK012307000324</t>
  </si>
  <si>
    <t>7.07.66</t>
  </si>
  <si>
    <t>8.07.66</t>
  </si>
  <si>
    <t>9.07.66</t>
  </si>
  <si>
    <t>พี่เกษ</t>
  </si>
  <si>
    <t>ผลต่าง 4650 เป็นบิลยกเลิก STHONLIN2307000264</t>
  </si>
  <si>
    <t>ผลต่าง 1250 เป็นบิลยกเลิก STHBKK012307001118</t>
  </si>
  <si>
    <t>เหน่ง</t>
  </si>
  <si>
    <t>ผลต่าง 3700 เป็นบิลยกเลิก STHBKK012307001462</t>
  </si>
  <si>
    <t xml:space="preserve">ผลต่าง 37400 เป็นบิลยกเลิก STHBKK012307001857	</t>
  </si>
  <si>
    <t>ผลต่าง 4500 บาท เป้นบิลยกเลิก 25/7/66 STHONLIN2307000554</t>
  </si>
  <si>
    <t>ผลต่าง 12900 บาท เป้นบิลยกเลิก STHBKK012307001970</t>
  </si>
  <si>
    <t>28-29/7/66</t>
  </si>
  <si>
    <t>ผลต่าง 4500 บาท เป้นบิลยกเลิก STHBKK012307002341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</si>
</sst>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_-;\-* #,##0_-;_-* &quot;-&quot;??_-;_-@"/>
    <numFmt numFmtId="165" formatCode="#,###_);\(#,###\)"/>
    <numFmt numFmtId="166" formatCode="d/m/yy"/>
  </numFmts>
  <fonts count="12">
    <font>
      <sz val="10.0"/>
      <color rgb="FF000000"/>
      <name val="Arial"/>
      <scheme val="minor"/>
    </font>
    <font>
      <b/>
      <sz val="34.0"/>
      <color theme="1"/>
      <name val="Calibri"/>
    </font>
    <font/>
    <font>
      <color theme="1"/>
      <name val="Arial"/>
    </font>
    <font>
      <b/>
      <sz val="27.0"/>
      <color theme="1"/>
      <name val="Calibri"/>
    </font>
    <font>
      <sz val="26.0"/>
      <color theme="1"/>
      <name val="Calibri"/>
    </font>
    <font>
      <sz val="23.0"/>
      <color theme="1"/>
      <name val="Arial"/>
    </font>
    <font>
      <sz val="20.0"/>
      <color rgb="FFFF0000"/>
      <name val="Arial"/>
    </font>
    <font>
      <sz val="23.0"/>
      <color rgb="FFFF0000"/>
      <name val="Arial"/>
    </font>
    <font>
      <b/>
      <u/>
      <sz val="27.0"/>
      <color theme="1"/>
      <name val="Calibri"/>
    </font>
    <font>
      <sz val="27.0"/>
      <color rgb="FFFF0000"/>
      <name val="Arial"/>
    </font>
    <font>
      <sz val="23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0" fillId="0" fontId="3" numFmtId="0" xfId="0" applyAlignment="1" applyFont="1">
      <alignment vertical="bottom"/>
    </xf>
    <xf borderId="2" fillId="0" fontId="4" numFmtId="0" xfId="0" applyAlignment="1" applyBorder="1" applyFont="1">
      <alignment horizontal="center" vertical="bottom"/>
    </xf>
    <xf borderId="1" fillId="2" fontId="4" numFmtId="0" xfId="0" applyAlignment="1" applyBorder="1" applyFill="1" applyFont="1">
      <alignment horizontal="center" vertical="bottom"/>
    </xf>
    <xf borderId="3" fillId="0" fontId="2" numFmtId="0" xfId="0" applyBorder="1" applyFont="1"/>
    <xf borderId="1" fillId="3" fontId="4" numFmtId="0" xfId="0" applyAlignment="1" applyBorder="1" applyFill="1" applyFont="1">
      <alignment horizontal="center" vertical="bottom"/>
    </xf>
    <xf borderId="4" fillId="4" fontId="4" numFmtId="0" xfId="0" applyAlignment="1" applyBorder="1" applyFill="1" applyFont="1">
      <alignment horizontal="center" vertical="bottom"/>
    </xf>
    <xf borderId="4" fillId="5" fontId="4" numFmtId="0" xfId="0" applyAlignment="1" applyBorder="1" applyFill="1" applyFont="1">
      <alignment horizontal="center" vertical="bottom"/>
    </xf>
    <xf borderId="5" fillId="0" fontId="2" numFmtId="0" xfId="0" applyBorder="1" applyFont="1"/>
    <xf borderId="3" fillId="5" fontId="4" numFmtId="0" xfId="0" applyAlignment="1" applyBorder="1" applyFont="1">
      <alignment horizontal="center" vertical="bottom"/>
    </xf>
    <xf borderId="3" fillId="4" fontId="4" numFmtId="0" xfId="0" applyAlignment="1" applyBorder="1" applyFont="1">
      <alignment horizontal="center" vertical="bottom"/>
    </xf>
    <xf borderId="5" fillId="6" fontId="5" numFmtId="0" xfId="0" applyAlignment="1" applyBorder="1" applyFill="1" applyFont="1">
      <alignment horizontal="center"/>
    </xf>
    <xf borderId="3" fillId="6" fontId="6" numFmtId="38" xfId="0" applyAlignment="1" applyBorder="1" applyFont="1" applyNumberFormat="1">
      <alignment horizontal="center"/>
    </xf>
    <xf borderId="3" fillId="6" fontId="6" numFmtId="164" xfId="0" applyAlignment="1" applyBorder="1" applyFont="1" applyNumberFormat="1">
      <alignment horizontal="center"/>
    </xf>
    <xf borderId="3" fillId="6" fontId="6" numFmtId="0" xfId="0" applyAlignment="1" applyBorder="1" applyFont="1">
      <alignment horizontal="center"/>
    </xf>
    <xf borderId="3" fillId="6" fontId="6" numFmtId="0" xfId="0" applyBorder="1" applyFont="1"/>
    <xf borderId="0" fillId="6" fontId="6" numFmtId="0" xfId="0" applyAlignment="1" applyFont="1">
      <alignment vertical="bottom"/>
    </xf>
    <xf borderId="5" fillId="6" fontId="6" numFmtId="0" xfId="0" applyAlignment="1" applyBorder="1" applyFont="1">
      <alignment horizontal="center"/>
    </xf>
    <xf borderId="3" fillId="6" fontId="6" numFmtId="165" xfId="0" applyAlignment="1" applyBorder="1" applyFont="1" applyNumberFormat="1">
      <alignment horizontal="center"/>
    </xf>
    <xf borderId="3" fillId="6" fontId="7" numFmtId="0" xfId="0" applyBorder="1" applyFont="1"/>
    <xf borderId="3" fillId="6" fontId="6" numFmtId="164" xfId="0" applyAlignment="1" applyBorder="1" applyFont="1" applyNumberFormat="1">
      <alignment horizontal="left"/>
    </xf>
    <xf borderId="3" fillId="6" fontId="8" numFmtId="0" xfId="0" applyBorder="1" applyFont="1"/>
    <xf borderId="5" fillId="6" fontId="3" numFmtId="0" xfId="0" applyBorder="1" applyFont="1"/>
    <xf borderId="3" fillId="6" fontId="3" numFmtId="0" xfId="0" applyBorder="1" applyFont="1"/>
    <xf borderId="3" fillId="6" fontId="9" numFmtId="38" xfId="0" applyAlignment="1" applyBorder="1" applyFont="1" applyNumberFormat="1">
      <alignment horizontal="center"/>
    </xf>
    <xf borderId="3" fillId="6" fontId="10" numFmtId="164" xfId="0" applyAlignment="1" applyBorder="1" applyFont="1" applyNumberFormat="1">
      <alignment horizontal="right"/>
    </xf>
    <xf borderId="0" fillId="6" fontId="3" numFmtId="0" xfId="0" applyAlignment="1" applyFont="1">
      <alignment vertical="bottom"/>
    </xf>
    <xf borderId="5" fillId="6" fontId="5" numFmtId="166" xfId="0" applyAlignment="1" applyBorder="1" applyFont="1" applyNumberFormat="1">
      <alignment horizontal="center"/>
    </xf>
    <xf borderId="5" fillId="6" fontId="6" numFmtId="166" xfId="0" applyAlignment="1" applyBorder="1" applyFont="1" applyNumberFormat="1">
      <alignment horizontal="center"/>
    </xf>
    <xf borderId="5" fillId="6" fontId="11" numFmtId="166" xfId="0" applyAlignment="1" applyBorder="1" applyFont="1" applyNumberFormat="1">
      <alignment horizontal="center"/>
    </xf>
    <xf borderId="3" fillId="6" fontId="6" numFmtId="38" xfId="0" applyAlignment="1" applyBorder="1" applyFont="1" applyNumberFormat="1">
      <alignment horizontal="right"/>
    </xf>
    <xf borderId="3" fillId="6" fontId="6" numFmtId="165" xfId="0" applyAlignment="1" applyBorder="1" applyFont="1" applyNumberFormat="1">
      <alignment horizontal="right"/>
    </xf>
    <xf borderId="3" fillId="6" fontId="6" numFmtId="164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9.25"/>
    <col customWidth="1" min="2" max="2" width="19.25"/>
    <col customWidth="1" min="3" max="3" width="20.88"/>
    <col customWidth="1" min="4" max="4" width="23.88"/>
    <col customWidth="1" min="5" max="5" width="23.13"/>
    <col customWidth="1" min="6" max="6" width="19.75"/>
    <col customWidth="1" min="7" max="7" width="22.0"/>
    <col customWidth="1" min="8" max="8" width="29.38"/>
    <col customWidth="1" min="9" max="9" width="119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">
        <v>1</v>
      </c>
      <c r="B2" s="5" t="s">
        <v>2</v>
      </c>
      <c r="C2" s="2"/>
      <c r="D2" s="6"/>
      <c r="E2" s="7" t="s">
        <v>3</v>
      </c>
      <c r="F2" s="6"/>
      <c r="G2" s="8" t="s">
        <v>4</v>
      </c>
      <c r="H2" s="8" t="s">
        <v>5</v>
      </c>
      <c r="I2" s="9" t="s">
        <v>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10"/>
      <c r="B3" s="11" t="s">
        <v>7</v>
      </c>
      <c r="C3" s="11" t="s">
        <v>8</v>
      </c>
      <c r="D3" s="11" t="s">
        <v>9</v>
      </c>
      <c r="E3" s="12" t="s">
        <v>7</v>
      </c>
      <c r="F3" s="12" t="s">
        <v>8</v>
      </c>
      <c r="G3" s="6"/>
      <c r="H3" s="6"/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7.5" customHeight="1">
      <c r="A4" s="13" t="s">
        <v>10</v>
      </c>
      <c r="B4" s="14">
        <v>124.0</v>
      </c>
      <c r="C4" s="14">
        <v>795110.0</v>
      </c>
      <c r="D4" s="14">
        <v>795110.0</v>
      </c>
      <c r="E4" s="14">
        <v>124.0</v>
      </c>
      <c r="F4" s="14">
        <v>796560.0</v>
      </c>
      <c r="G4" s="15">
        <f>D4-F4</f>
        <v>-1450</v>
      </c>
      <c r="H4" s="16" t="s">
        <v>11</v>
      </c>
      <c r="I4" s="17" t="s">
        <v>12</v>
      </c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37.5" customHeight="1">
      <c r="A5" s="19" t="s">
        <v>13</v>
      </c>
      <c r="B5" s="14">
        <v>114.0</v>
      </c>
      <c r="C5" s="20">
        <v>783460.0</v>
      </c>
      <c r="D5" s="20">
        <v>783460.0</v>
      </c>
      <c r="E5" s="14">
        <v>114.0</v>
      </c>
      <c r="F5" s="14">
        <v>783460.0</v>
      </c>
      <c r="G5" s="15"/>
      <c r="H5" s="16" t="s">
        <v>14</v>
      </c>
      <c r="I5" s="21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37.5" customHeight="1">
      <c r="A6" s="19" t="s">
        <v>15</v>
      </c>
      <c r="B6" s="14">
        <v>85.0</v>
      </c>
      <c r="C6" s="15">
        <v>750500.0</v>
      </c>
      <c r="D6" s="15">
        <v>750500.0</v>
      </c>
      <c r="E6" s="14">
        <v>85.0</v>
      </c>
      <c r="F6" s="14">
        <v>750500.0</v>
      </c>
      <c r="G6" s="15"/>
      <c r="H6" s="16" t="s">
        <v>16</v>
      </c>
      <c r="I6" s="17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37.5" customHeight="1">
      <c r="A7" s="19" t="s">
        <v>17</v>
      </c>
      <c r="B7" s="14">
        <v>112.0</v>
      </c>
      <c r="C7" s="15">
        <v>976950.0</v>
      </c>
      <c r="D7" s="15">
        <v>976950.0</v>
      </c>
      <c r="E7" s="14">
        <v>112.0</v>
      </c>
      <c r="F7" s="22">
        <v>976950.0</v>
      </c>
      <c r="G7" s="15"/>
      <c r="H7" s="16" t="s">
        <v>11</v>
      </c>
      <c r="I7" s="17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37.5" customHeight="1">
      <c r="A8" s="19" t="s">
        <v>18</v>
      </c>
      <c r="B8" s="14">
        <v>88.0</v>
      </c>
      <c r="C8" s="20">
        <v>466100.0</v>
      </c>
      <c r="D8" s="15">
        <v>466100.0</v>
      </c>
      <c r="E8" s="20">
        <v>88.0</v>
      </c>
      <c r="F8" s="20">
        <v>500850.0</v>
      </c>
      <c r="G8" s="15">
        <f>D8-F8</f>
        <v>-34750</v>
      </c>
      <c r="H8" s="16" t="s">
        <v>11</v>
      </c>
      <c r="I8" s="17" t="s">
        <v>19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37.5" customHeight="1">
      <c r="A9" s="19" t="s">
        <v>20</v>
      </c>
      <c r="B9" s="14">
        <v>77.0</v>
      </c>
      <c r="C9" s="20">
        <v>561775.0</v>
      </c>
      <c r="D9" s="15">
        <v>561775.0</v>
      </c>
      <c r="E9" s="14">
        <v>77.0</v>
      </c>
      <c r="F9" s="20">
        <v>561775.0</v>
      </c>
      <c r="G9" s="15"/>
      <c r="H9" s="16" t="s">
        <v>16</v>
      </c>
      <c r="I9" s="17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37.5" customHeight="1">
      <c r="A10" s="19" t="s">
        <v>21</v>
      </c>
      <c r="B10" s="14">
        <v>62.0</v>
      </c>
      <c r="C10" s="15">
        <v>578275.0</v>
      </c>
      <c r="D10" s="15">
        <v>578275.0</v>
      </c>
      <c r="E10" s="14">
        <v>62.0</v>
      </c>
      <c r="F10" s="15">
        <v>578275.0</v>
      </c>
      <c r="G10" s="15"/>
      <c r="H10" s="16" t="s">
        <v>11</v>
      </c>
      <c r="I10" s="23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37.5" customHeight="1">
      <c r="A11" s="19" t="s">
        <v>22</v>
      </c>
      <c r="B11" s="14">
        <v>58.0</v>
      </c>
      <c r="C11" s="15">
        <v>356950.0</v>
      </c>
      <c r="D11" s="15">
        <v>356950.0</v>
      </c>
      <c r="E11" s="14">
        <v>58.0</v>
      </c>
      <c r="F11" s="15">
        <v>356950.0</v>
      </c>
      <c r="G11" s="15"/>
      <c r="H11" s="16" t="s">
        <v>11</v>
      </c>
      <c r="I11" s="23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5.75" customHeight="1">
      <c r="A12" s="24"/>
      <c r="B12" s="25"/>
      <c r="C12" s="26">
        <f t="shared" ref="C12:D12" si="1">SUM(C4:C7)</f>
        <v>3306020</v>
      </c>
      <c r="D12" s="26">
        <f t="shared" si="1"/>
        <v>3306020</v>
      </c>
      <c r="E12" s="25"/>
      <c r="F12" s="26">
        <f>SUM(F4:F7)</f>
        <v>3307470</v>
      </c>
      <c r="G12" s="27"/>
      <c r="H12" s="25"/>
      <c r="I12" s="25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9.25"/>
    <col customWidth="1" min="2" max="2" width="19.25"/>
    <col customWidth="1" min="3" max="3" width="20.88"/>
    <col customWidth="1" min="4" max="4" width="23.88"/>
    <col customWidth="1" min="5" max="5" width="23.13"/>
    <col customWidth="1" min="6" max="6" width="19.75"/>
    <col customWidth="1" min="7" max="7" width="22.0"/>
    <col customWidth="1" min="8" max="8" width="29.38"/>
    <col customWidth="1" min="9" max="9" width="119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">
        <v>1</v>
      </c>
      <c r="B2" s="5" t="s">
        <v>2</v>
      </c>
      <c r="C2" s="2"/>
      <c r="D2" s="6"/>
      <c r="E2" s="7" t="s">
        <v>3</v>
      </c>
      <c r="F2" s="6"/>
      <c r="G2" s="8" t="s">
        <v>4</v>
      </c>
      <c r="H2" s="8" t="s">
        <v>5</v>
      </c>
      <c r="I2" s="9" t="s">
        <v>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10"/>
      <c r="B3" s="11" t="s">
        <v>7</v>
      </c>
      <c r="C3" s="11" t="s">
        <v>8</v>
      </c>
      <c r="D3" s="11" t="s">
        <v>9</v>
      </c>
      <c r="E3" s="12" t="s">
        <v>7</v>
      </c>
      <c r="F3" s="12" t="s">
        <v>8</v>
      </c>
      <c r="G3" s="6"/>
      <c r="H3" s="6"/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7.5" customHeight="1">
      <c r="A4" s="29">
        <v>24298.0</v>
      </c>
      <c r="B4" s="14">
        <v>105.0</v>
      </c>
      <c r="C4" s="14">
        <v>615275.0</v>
      </c>
      <c r="D4" s="14">
        <v>615275.0</v>
      </c>
      <c r="E4" s="14">
        <v>105.0</v>
      </c>
      <c r="F4" s="14">
        <v>615275.0</v>
      </c>
      <c r="G4" s="15">
        <f>SUM(F4-$D$4)</f>
        <v>0</v>
      </c>
      <c r="H4" s="16" t="s">
        <v>23</v>
      </c>
      <c r="I4" s="17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37.5" customHeight="1">
      <c r="A5" s="30">
        <v>24299.0</v>
      </c>
      <c r="B5" s="14">
        <v>87.0</v>
      </c>
      <c r="C5" s="20">
        <v>586365.0</v>
      </c>
      <c r="D5" s="20">
        <v>586365.0</v>
      </c>
      <c r="E5" s="14">
        <v>87.0</v>
      </c>
      <c r="F5" s="14">
        <v>591015.0</v>
      </c>
      <c r="G5" s="15">
        <f t="shared" ref="G5:G10" si="1">SUM(F5-D5)</f>
        <v>4650</v>
      </c>
      <c r="H5" s="16" t="s">
        <v>23</v>
      </c>
      <c r="I5" s="21" t="s">
        <v>24</v>
      </c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37.5" customHeight="1">
      <c r="A6" s="30">
        <v>24300.0</v>
      </c>
      <c r="B6" s="14">
        <v>79.0</v>
      </c>
      <c r="C6" s="15">
        <v>665150.0</v>
      </c>
      <c r="D6" s="15">
        <v>665150.0</v>
      </c>
      <c r="E6" s="14">
        <v>79.0</v>
      </c>
      <c r="F6" s="14">
        <v>665150.0</v>
      </c>
      <c r="G6" s="15">
        <f t="shared" si="1"/>
        <v>0</v>
      </c>
      <c r="H6" s="16" t="s">
        <v>11</v>
      </c>
      <c r="I6" s="17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37.5" customHeight="1">
      <c r="A7" s="30">
        <v>24301.0</v>
      </c>
      <c r="B7" s="14">
        <v>70.0</v>
      </c>
      <c r="C7" s="15">
        <v>351375.0</v>
      </c>
      <c r="D7" s="15">
        <v>351375.0</v>
      </c>
      <c r="E7" s="14">
        <v>70.0</v>
      </c>
      <c r="F7" s="20">
        <v>351375.0</v>
      </c>
      <c r="G7" s="15">
        <f t="shared" si="1"/>
        <v>0</v>
      </c>
      <c r="H7" s="16" t="s">
        <v>23</v>
      </c>
      <c r="I7" s="17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37.5" customHeight="1">
      <c r="A8" s="30">
        <v>24302.0</v>
      </c>
      <c r="B8" s="14">
        <v>96.0</v>
      </c>
      <c r="C8" s="20">
        <v>496870.0</v>
      </c>
      <c r="D8" s="15">
        <v>496870.0</v>
      </c>
      <c r="E8" s="20">
        <v>96.0</v>
      </c>
      <c r="F8" s="20">
        <v>496870.0</v>
      </c>
      <c r="G8" s="15">
        <f t="shared" si="1"/>
        <v>0</v>
      </c>
      <c r="H8" s="16" t="s">
        <v>11</v>
      </c>
      <c r="I8" s="17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37.5" customHeight="1">
      <c r="A9" s="30">
        <v>24303.0</v>
      </c>
      <c r="B9" s="14">
        <v>94.0</v>
      </c>
      <c r="C9" s="20">
        <v>755810.0</v>
      </c>
      <c r="D9" s="15">
        <v>755810.0</v>
      </c>
      <c r="E9" s="14">
        <v>94.0</v>
      </c>
      <c r="F9" s="20">
        <v>755810.0</v>
      </c>
      <c r="G9" s="15">
        <f t="shared" si="1"/>
        <v>0</v>
      </c>
      <c r="H9" s="16" t="s">
        <v>11</v>
      </c>
      <c r="I9" s="17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37.5" customHeight="1">
      <c r="A10" s="30">
        <v>24304.0</v>
      </c>
      <c r="B10" s="14">
        <v>80.0</v>
      </c>
      <c r="C10" s="15">
        <v>347029.0</v>
      </c>
      <c r="D10" s="15">
        <v>347029.0</v>
      </c>
      <c r="E10" s="14">
        <v>80.0</v>
      </c>
      <c r="F10" s="15">
        <v>348279.0</v>
      </c>
      <c r="G10" s="15">
        <f t="shared" si="1"/>
        <v>1250</v>
      </c>
      <c r="H10" s="16" t="s">
        <v>11</v>
      </c>
      <c r="I10" s="21" t="s">
        <v>25</v>
      </c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37.5" customHeight="1">
      <c r="A11" s="30">
        <v>24305.0</v>
      </c>
      <c r="B11" s="14">
        <v>69.0</v>
      </c>
      <c r="C11" s="15">
        <v>455145.0</v>
      </c>
      <c r="D11" s="15">
        <v>455145.0</v>
      </c>
      <c r="E11" s="14">
        <v>69.0</v>
      </c>
      <c r="F11" s="20">
        <v>455145.0</v>
      </c>
      <c r="G11" s="15"/>
      <c r="H11" s="16" t="s">
        <v>23</v>
      </c>
      <c r="I11" s="23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58.5" customHeight="1">
      <c r="A12" s="24"/>
      <c r="B12" s="25"/>
      <c r="C12" s="26">
        <f t="shared" ref="C12:D12" si="2">SUM(C4:C7)</f>
        <v>2218165</v>
      </c>
      <c r="D12" s="26">
        <f t="shared" si="2"/>
        <v>2218165</v>
      </c>
      <c r="E12" s="25"/>
      <c r="F12" s="26">
        <f>SUM(F4:F7)</f>
        <v>2222815</v>
      </c>
      <c r="G12" s="27"/>
      <c r="H12" s="25"/>
      <c r="I12" s="25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9.25"/>
    <col customWidth="1" min="2" max="2" width="19.25"/>
    <col customWidth="1" min="3" max="3" width="20.88"/>
    <col customWidth="1" min="4" max="4" width="23.88"/>
    <col customWidth="1" min="5" max="5" width="23.13"/>
    <col customWidth="1" min="6" max="6" width="19.75"/>
    <col customWidth="1" min="7" max="7" width="22.0"/>
    <col customWidth="1" min="8" max="8" width="29.38"/>
    <col customWidth="1" min="9" max="9" width="119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">
        <v>1</v>
      </c>
      <c r="B2" s="5" t="s">
        <v>2</v>
      </c>
      <c r="C2" s="2"/>
      <c r="D2" s="6"/>
      <c r="E2" s="7" t="s">
        <v>3</v>
      </c>
      <c r="F2" s="6"/>
      <c r="G2" s="8" t="s">
        <v>4</v>
      </c>
      <c r="H2" s="8" t="s">
        <v>5</v>
      </c>
      <c r="I2" s="9" t="s">
        <v>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10"/>
      <c r="B3" s="11" t="s">
        <v>7</v>
      </c>
      <c r="C3" s="11" t="s">
        <v>8</v>
      </c>
      <c r="D3" s="11" t="s">
        <v>9</v>
      </c>
      <c r="E3" s="12" t="s">
        <v>7</v>
      </c>
      <c r="F3" s="12" t="s">
        <v>8</v>
      </c>
      <c r="G3" s="6"/>
      <c r="H3" s="6"/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7.5" customHeight="1">
      <c r="A4" s="31">
        <v>24306.0</v>
      </c>
      <c r="B4" s="14">
        <v>68.0</v>
      </c>
      <c r="C4" s="14">
        <v>360995.0</v>
      </c>
      <c r="D4" s="32">
        <v>360995.0</v>
      </c>
      <c r="E4" s="14">
        <v>68.0</v>
      </c>
      <c r="F4" s="14">
        <v>360995.0</v>
      </c>
      <c r="G4" s="15">
        <f>SUM(F4-$D$4)</f>
        <v>0</v>
      </c>
      <c r="H4" s="16" t="s">
        <v>26</v>
      </c>
      <c r="I4" s="17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37.5" customHeight="1">
      <c r="A5" s="30">
        <v>24307.0</v>
      </c>
      <c r="B5" s="14">
        <v>69.0</v>
      </c>
      <c r="C5" s="20">
        <v>581875.0</v>
      </c>
      <c r="D5" s="33">
        <v>581875.0</v>
      </c>
      <c r="E5" s="14">
        <v>69.0</v>
      </c>
      <c r="F5" s="14">
        <v>585575.0</v>
      </c>
      <c r="G5" s="15">
        <f t="shared" ref="G5:G8" si="1">SUM(F5-D5)</f>
        <v>3700</v>
      </c>
      <c r="H5" s="16" t="s">
        <v>11</v>
      </c>
      <c r="I5" s="21" t="s">
        <v>27</v>
      </c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37.5" customHeight="1">
      <c r="A6" s="30">
        <v>24308.0</v>
      </c>
      <c r="B6" s="14">
        <v>64.0</v>
      </c>
      <c r="C6" s="15">
        <v>421175.0</v>
      </c>
      <c r="D6" s="34">
        <v>421175.0</v>
      </c>
      <c r="E6" s="14">
        <v>64.0</v>
      </c>
      <c r="F6" s="14">
        <v>421175.0</v>
      </c>
      <c r="G6" s="15">
        <f t="shared" si="1"/>
        <v>0</v>
      </c>
      <c r="H6" s="16" t="s">
        <v>11</v>
      </c>
      <c r="I6" s="17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37.5" customHeight="1">
      <c r="A7" s="30">
        <v>24309.0</v>
      </c>
      <c r="B7" s="14">
        <v>67.0</v>
      </c>
      <c r="C7" s="15">
        <v>478655.0</v>
      </c>
      <c r="D7" s="34">
        <v>478655.0</v>
      </c>
      <c r="E7" s="14">
        <v>68.0</v>
      </c>
      <c r="F7" s="20">
        <v>478655.0</v>
      </c>
      <c r="G7" s="15">
        <f t="shared" si="1"/>
        <v>0</v>
      </c>
      <c r="H7" s="16" t="s">
        <v>11</v>
      </c>
      <c r="I7" s="17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37.5" customHeight="1">
      <c r="A8" s="30">
        <v>24310.0</v>
      </c>
      <c r="B8" s="14">
        <v>49.0</v>
      </c>
      <c r="C8" s="20">
        <v>296750.0</v>
      </c>
      <c r="D8" s="34">
        <v>296750.0</v>
      </c>
      <c r="E8" s="20">
        <v>49.0</v>
      </c>
      <c r="F8" s="20">
        <v>296750.0</v>
      </c>
      <c r="G8" s="15">
        <f t="shared" si="1"/>
        <v>0</v>
      </c>
      <c r="H8" s="16" t="s">
        <v>23</v>
      </c>
      <c r="I8" s="17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37.5" customHeight="1">
      <c r="A9" s="30">
        <v>24311.0</v>
      </c>
      <c r="B9" s="14">
        <v>48.0</v>
      </c>
      <c r="C9" s="20">
        <v>286679.0</v>
      </c>
      <c r="D9" s="15">
        <v>286679.0</v>
      </c>
      <c r="E9" s="14">
        <v>48.0</v>
      </c>
      <c r="F9" s="20">
        <v>286679.0</v>
      </c>
      <c r="G9" s="15"/>
      <c r="H9" s="16" t="s">
        <v>11</v>
      </c>
      <c r="I9" s="17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37.5" customHeight="1">
      <c r="A10" s="30">
        <v>24312.0</v>
      </c>
      <c r="B10" s="14">
        <v>76.0</v>
      </c>
      <c r="C10" s="15">
        <v>523690.0</v>
      </c>
      <c r="D10" s="15">
        <v>523690.0</v>
      </c>
      <c r="E10" s="14">
        <v>76.0</v>
      </c>
      <c r="F10" s="15">
        <v>561090.0</v>
      </c>
      <c r="G10" s="15">
        <f>D10-F10</f>
        <v>-37400</v>
      </c>
      <c r="H10" s="16" t="s">
        <v>11</v>
      </c>
      <c r="I10" s="21" t="s">
        <v>28</v>
      </c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37.5" customHeight="1">
      <c r="A11" s="30">
        <v>24313.0</v>
      </c>
      <c r="B11" s="14">
        <v>83.0</v>
      </c>
      <c r="C11" s="15">
        <v>661590.0</v>
      </c>
      <c r="D11" s="15">
        <v>661590.0</v>
      </c>
      <c r="E11" s="14">
        <v>83.0</v>
      </c>
      <c r="F11" s="20">
        <v>661590.0</v>
      </c>
      <c r="G11" s="15"/>
      <c r="H11" s="16" t="s">
        <v>11</v>
      </c>
      <c r="I11" s="23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58.5" customHeight="1">
      <c r="A12" s="24"/>
      <c r="B12" s="25"/>
      <c r="C12" s="26">
        <f t="shared" ref="C12:D12" si="2">SUM(C4:C7)</f>
        <v>1842700</v>
      </c>
      <c r="D12" s="26">
        <f t="shared" si="2"/>
        <v>1842700</v>
      </c>
      <c r="E12" s="25"/>
      <c r="F12" s="26">
        <f>SUM(F4:F7)</f>
        <v>1846400</v>
      </c>
      <c r="G12" s="27"/>
      <c r="H12" s="25"/>
      <c r="I12" s="25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9.25"/>
    <col customWidth="1" min="2" max="2" width="19.25"/>
    <col customWidth="1" min="3" max="3" width="20.88"/>
    <col customWidth="1" min="4" max="4" width="23.88"/>
    <col customWidth="1" min="5" max="5" width="23.13"/>
    <col customWidth="1" min="6" max="6" width="19.75"/>
    <col customWidth="1" min="7" max="7" width="22.0"/>
    <col customWidth="1" min="8" max="8" width="29.38"/>
    <col customWidth="1" min="9" max="9" width="119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">
        <v>1</v>
      </c>
      <c r="B2" s="5" t="s">
        <v>2</v>
      </c>
      <c r="C2" s="2"/>
      <c r="D2" s="6"/>
      <c r="E2" s="7" t="s">
        <v>3</v>
      </c>
      <c r="F2" s="6"/>
      <c r="G2" s="8" t="s">
        <v>4</v>
      </c>
      <c r="H2" s="8" t="s">
        <v>5</v>
      </c>
      <c r="I2" s="9" t="s">
        <v>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10"/>
      <c r="B3" s="11" t="s">
        <v>7</v>
      </c>
      <c r="C3" s="11" t="s">
        <v>8</v>
      </c>
      <c r="D3" s="11" t="s">
        <v>9</v>
      </c>
      <c r="E3" s="12" t="s">
        <v>7</v>
      </c>
      <c r="F3" s="12" t="s">
        <v>8</v>
      </c>
      <c r="G3" s="6"/>
      <c r="H3" s="6"/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7.5" customHeight="1">
      <c r="A4" s="30">
        <v>24314.0</v>
      </c>
      <c r="B4" s="14">
        <v>78.0</v>
      </c>
      <c r="C4" s="32">
        <v>536720.0</v>
      </c>
      <c r="D4" s="32">
        <v>536720.0</v>
      </c>
      <c r="E4" s="14">
        <v>78.0</v>
      </c>
      <c r="F4" s="14">
        <v>541220.0</v>
      </c>
      <c r="G4" s="15">
        <f>SUM(F4-$D$4)</f>
        <v>4500</v>
      </c>
      <c r="H4" s="16" t="s">
        <v>23</v>
      </c>
      <c r="I4" s="23" t="s">
        <v>29</v>
      </c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37.5" customHeight="1">
      <c r="A5" s="30">
        <v>24315.0</v>
      </c>
      <c r="B5" s="14">
        <v>62.0</v>
      </c>
      <c r="C5" s="33">
        <v>463750.0</v>
      </c>
      <c r="D5" s="33">
        <v>463750.0</v>
      </c>
      <c r="E5" s="14">
        <v>62.0</v>
      </c>
      <c r="F5" s="14">
        <v>476650.0</v>
      </c>
      <c r="G5" s="15">
        <f t="shared" ref="G5:G8" si="1">SUM(F5-D5)</f>
        <v>12900</v>
      </c>
      <c r="H5" s="16" t="s">
        <v>16</v>
      </c>
      <c r="I5" s="23" t="s">
        <v>30</v>
      </c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37.5" customHeight="1">
      <c r="A6" s="19" t="s">
        <v>31</v>
      </c>
      <c r="B6" s="14">
        <v>93.0</v>
      </c>
      <c r="C6" s="34">
        <v>786345.0</v>
      </c>
      <c r="D6" s="34">
        <v>786345.0</v>
      </c>
      <c r="E6" s="14">
        <v>93.0</v>
      </c>
      <c r="F6" s="20">
        <v>786345.0</v>
      </c>
      <c r="G6" s="15">
        <f t="shared" si="1"/>
        <v>0</v>
      </c>
      <c r="H6" s="16" t="s">
        <v>23</v>
      </c>
      <c r="I6" s="17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37.5" customHeight="1">
      <c r="A7" s="30">
        <v>24318.0</v>
      </c>
      <c r="B7" s="14">
        <v>75.0</v>
      </c>
      <c r="C7" s="34">
        <v>538010.0</v>
      </c>
      <c r="D7" s="34">
        <v>538010.0</v>
      </c>
      <c r="E7" s="14">
        <v>75.0</v>
      </c>
      <c r="F7" s="20">
        <v>538010.0</v>
      </c>
      <c r="G7" s="15">
        <f t="shared" si="1"/>
        <v>0</v>
      </c>
      <c r="H7" s="16" t="s">
        <v>11</v>
      </c>
      <c r="I7" s="17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37.5" customHeight="1">
      <c r="A8" s="30">
        <v>24319.0</v>
      </c>
      <c r="B8" s="14">
        <v>83.0</v>
      </c>
      <c r="C8" s="20">
        <v>755810.0</v>
      </c>
      <c r="D8" s="34">
        <v>755810.0</v>
      </c>
      <c r="E8" s="20">
        <v>83.0</v>
      </c>
      <c r="F8" s="20">
        <v>760310.0</v>
      </c>
      <c r="G8" s="15">
        <f t="shared" si="1"/>
        <v>4500</v>
      </c>
      <c r="H8" s="16" t="s">
        <v>23</v>
      </c>
      <c r="I8" s="23" t="s">
        <v>32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37.5" customHeight="1">
      <c r="A9" s="30"/>
      <c r="B9" s="14"/>
      <c r="C9" s="20"/>
      <c r="D9" s="15"/>
      <c r="E9" s="14"/>
      <c r="F9" s="20"/>
      <c r="G9" s="15"/>
      <c r="H9" s="16"/>
      <c r="I9" s="17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37.5" customHeight="1">
      <c r="A10" s="30"/>
      <c r="B10" s="14"/>
      <c r="C10" s="15"/>
      <c r="D10" s="15"/>
      <c r="E10" s="14"/>
      <c r="F10" s="15"/>
      <c r="G10" s="15">
        <f>D10-F10</f>
        <v>0</v>
      </c>
      <c r="H10" s="16"/>
      <c r="I10" s="21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37.5" customHeight="1">
      <c r="A11" s="30"/>
      <c r="B11" s="14"/>
      <c r="C11" s="15"/>
      <c r="D11" s="15"/>
      <c r="E11" s="14"/>
      <c r="F11" s="20"/>
      <c r="G11" s="15"/>
      <c r="H11" s="16"/>
      <c r="I11" s="23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58.5" customHeight="1">
      <c r="A12" s="24"/>
      <c r="B12" s="25"/>
      <c r="C12" s="26">
        <f t="shared" ref="C12:D12" si="2">SUM(C4:C7)</f>
        <v>2324825</v>
      </c>
      <c r="D12" s="26">
        <f t="shared" si="2"/>
        <v>2324825</v>
      </c>
      <c r="E12" s="25"/>
      <c r="F12" s="26">
        <f>SUM(F4:F7)</f>
        <v>2342225</v>
      </c>
      <c r="G12" s="27"/>
      <c r="H12" s="25"/>
      <c r="I12" s="25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
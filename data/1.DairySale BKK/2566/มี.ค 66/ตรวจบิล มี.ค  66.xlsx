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ชีต2" sheetId="2" r:id="rId5"/>
  </sheets>
  <definedNames/>
  <calcPr/>
</workbook>
</file>

<file path=xl/sharedStrings.xml><?xml version="1.0" encoding="utf-8"?>
<sst xmlns="http://schemas.openxmlformats.org/spreadsheetml/2006/main" count="64" uniqueCount="23">
  <si>
    <t>ตรวจบิล มี.ค 66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</si>
  <si>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</si>
  <si>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</si>
  <si>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</si>
  <si>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</si>
  <si>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</si>
  <si>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</si>
  <si>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</si>
  <si>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</si>
  <si>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</si>
  <si>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28-2 มี.ค 66</t>
  </si>
  <si>
    <t>พี่เกษ</t>
  </si>
  <si>
    <t>ปูน</t>
  </si>
  <si>
    <t>เอิง</t>
  </si>
  <si>
    <t>ส่วนต่าง 25000 บาท เป็นบิลยกเลิกของวันที่ 12.3.66 เลขบิล STHBKK012303000536</t>
  </si>
  <si>
    <t>ส่วนต่าง 10000 บาท เป็นบิลยกเลิกของวันที่ 12- 13.3.66 เลขบิล STHONLIN2303000196 /STHONLIN2303000185</t>
  </si>
  <si>
    <t>ส่วนต่าง 30000 บาท เป็นบิลยกเลิกของวันที่ 14.3.66 เลขบิล STHBKK012303000635</t>
  </si>
  <si>
    <t>.</t>
  </si>
  <si>
    <t xml:space="preserve">ส่วนต่าง 68,500  บาท เป็นบิลยกเลิกของวันที่ 16.3.66 และ 11.3.66  เลขบิล    STHONLIN2303000255  STHBKK012303000467	</t>
  </si>
  <si>
    <t xml:space="preserve">ส่วนต่าง 22500 บาท เป็นบิลยกเลิกของวันที่ 18.3.66 STHONLIN2303000283     </t>
  </si>
  <si>
    <t>25 มี.ค. 66 งาน hero</t>
  </si>
  <si>
    <t>นี</t>
  </si>
  <si>
    <t>บิลยกเลิกแลกคูปอง รหัส 21828 // 74055 //36555 //52247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</si>
</sst>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d mmm yy"/>
    <numFmt numFmtId="166" formatCode="d/m/yy"/>
    <numFmt numFmtId="167" formatCode="#,###_);\(#,###\)"/>
  </numFmts>
  <fonts count="20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</font>
    <font>
      <sz val="19.0"/>
      <color theme="1"/>
      <name val="Calibri"/>
    </font>
    <font>
      <sz val="17.0"/>
      <color rgb="FFFF0000"/>
      <name val="Arial"/>
    </font>
    <font>
      <b/>
      <sz val="14.0"/>
      <color rgb="FFFF0000"/>
      <name val="Arial"/>
    </font>
    <font>
      <b/>
      <sz val="16.0"/>
      <color rgb="FFFF0000"/>
      <name val="Calibri"/>
    </font>
    <font>
      <sz val="19.0"/>
      <color theme="1"/>
      <name val="Arial"/>
    </font>
    <font>
      <sz val="19.0"/>
      <color rgb="FFFF0000"/>
      <name val="Arial"/>
    </font>
    <font>
      <sz val="16.0"/>
      <color rgb="FFFF0000"/>
      <name val="Arial"/>
    </font>
    <font>
      <b/>
      <u/>
      <sz val="20.0"/>
      <color theme="1"/>
      <name val="Calibri"/>
    </font>
    <font>
      <b/>
      <sz val="25.0"/>
      <color theme="1"/>
      <name val="Calibri"/>
    </font>
    <font>
      <sz val="20.0"/>
      <color theme="1"/>
      <name val="Arial"/>
    </font>
    <font>
      <b/>
      <sz val="20.0"/>
      <color theme="1"/>
      <name val="Calibri"/>
    </font>
    <font>
      <sz val="20.0"/>
      <color theme="1"/>
      <name val="Calibri"/>
    </font>
    <font>
      <sz val="20.0"/>
      <color rgb="FFFF0000"/>
      <name val="Arial"/>
    </font>
    <font>
      <b/>
      <sz val="20.0"/>
      <color rgb="FFFF0000"/>
      <name val="Arial"/>
    </font>
    <font>
      <b/>
      <sz val="20.0"/>
      <color rgb="FFFF0000"/>
      <name val="Calibri"/>
    </font>
    <font>
      <sz val="2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3" fontId="1" numFmtId="0" xfId="0" applyAlignment="1" applyBorder="1" applyFill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3" fillId="5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5" fillId="6" fontId="4" numFmtId="0" xfId="0" applyAlignment="1" applyBorder="1" applyFill="1" applyFont="1">
      <alignment horizontal="center" readingOrder="0" vertical="bottom"/>
    </xf>
    <xf borderId="3" fillId="6" fontId="4" numFmtId="38" xfId="0" applyAlignment="1" applyBorder="1" applyFont="1" applyNumberFormat="1">
      <alignment horizontal="center" readingOrder="0" vertical="bottom"/>
    </xf>
    <xf borderId="3" fillId="6" fontId="4" numFmtId="38" xfId="0" applyAlignment="1" applyBorder="1" applyFont="1" applyNumberFormat="1">
      <alignment horizontal="right" vertical="bottom"/>
    </xf>
    <xf borderId="3" fillId="6" fontId="5" numFmtId="164" xfId="0" applyAlignment="1" applyBorder="1" applyFont="1" applyNumberFormat="1">
      <alignment horizontal="right" vertical="bottom"/>
    </xf>
    <xf borderId="3" fillId="6" fontId="4" numFmtId="0" xfId="0" applyAlignment="1" applyBorder="1" applyFont="1">
      <alignment horizontal="center" readingOrder="0" vertical="bottom"/>
    </xf>
    <xf borderId="3" fillId="6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5" fillId="6" fontId="4" numFmtId="165" xfId="0" applyAlignment="1" applyBorder="1" applyFont="1" applyNumberFormat="1">
      <alignment horizontal="center" readingOrder="0" vertical="bottom"/>
    </xf>
    <xf borderId="3" fillId="6" fontId="4" numFmtId="164" xfId="0" applyAlignment="1" applyBorder="1" applyFont="1" applyNumberFormat="1">
      <alignment horizontal="right" vertical="bottom"/>
    </xf>
    <xf borderId="3" fillId="6" fontId="6" numFmtId="0" xfId="0" applyAlignment="1" applyBorder="1" applyFont="1">
      <alignment vertical="bottom"/>
    </xf>
    <xf borderId="3" fillId="6" fontId="4" numFmtId="164" xfId="0" applyAlignment="1" applyBorder="1" applyFont="1" applyNumberFormat="1">
      <alignment horizontal="right" readingOrder="0" vertical="bottom"/>
    </xf>
    <xf borderId="3" fillId="6" fontId="4" numFmtId="38" xfId="0" applyAlignment="1" applyBorder="1" applyFont="1" applyNumberFormat="1">
      <alignment horizontal="right" readingOrder="0" vertical="bottom"/>
    </xf>
    <xf borderId="5" fillId="6" fontId="4" numFmtId="166" xfId="0" applyAlignment="1" applyBorder="1" applyFont="1" applyNumberFormat="1">
      <alignment horizontal="center" readingOrder="0" vertical="bottom"/>
    </xf>
    <xf borderId="3" fillId="6" fontId="4" numFmtId="167" xfId="0" applyAlignment="1" applyBorder="1" applyFont="1" applyNumberFormat="1">
      <alignment horizontal="right" readingOrder="0" vertical="bottom"/>
    </xf>
    <xf borderId="3" fillId="6" fontId="7" numFmtId="0" xfId="0" applyAlignment="1" applyBorder="1" applyFont="1">
      <alignment vertical="bottom"/>
    </xf>
    <xf borderId="3" fillId="6" fontId="8" numFmtId="38" xfId="0" applyAlignment="1" applyBorder="1" applyFont="1" applyNumberFormat="1">
      <alignment horizontal="right" readingOrder="0" vertical="bottom"/>
    </xf>
    <xf borderId="3" fillId="6" fontId="3" numFmtId="164" xfId="0" applyAlignment="1" applyBorder="1" applyFont="1" applyNumberFormat="1">
      <alignment vertical="bottom"/>
    </xf>
    <xf borderId="3" fillId="6" fontId="9" numFmtId="164" xfId="0" applyAlignment="1" applyBorder="1" applyFont="1" applyNumberFormat="1">
      <alignment vertical="bottom"/>
    </xf>
    <xf borderId="3" fillId="6" fontId="10" numFmtId="0" xfId="0" applyAlignment="1" applyBorder="1" applyFont="1">
      <alignment readingOrder="0" vertical="bottom"/>
    </xf>
    <xf borderId="6" fillId="6" fontId="3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3" fillId="6" fontId="11" numFmtId="38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readingOrder="0" vertical="bottom"/>
    </xf>
    <xf borderId="0" fillId="0" fontId="13" numFmtId="0" xfId="0" applyAlignment="1" applyFont="1">
      <alignment vertical="bottom"/>
    </xf>
    <xf borderId="2" fillId="0" fontId="14" numFmtId="0" xfId="0" applyAlignment="1" applyBorder="1" applyFont="1">
      <alignment horizontal="center" vertical="bottom"/>
    </xf>
    <xf borderId="1" fillId="2" fontId="14" numFmtId="0" xfId="0" applyAlignment="1" applyBorder="1" applyFont="1">
      <alignment horizontal="center" vertical="bottom"/>
    </xf>
    <xf borderId="1" fillId="3" fontId="14" numFmtId="0" xfId="0" applyAlignment="1" applyBorder="1" applyFont="1">
      <alignment horizontal="center" vertical="bottom"/>
    </xf>
    <xf borderId="4" fillId="4" fontId="14" numFmtId="0" xfId="0" applyAlignment="1" applyBorder="1" applyFont="1">
      <alignment horizontal="center" vertical="bottom"/>
    </xf>
    <xf borderId="4" fillId="5" fontId="14" numFmtId="0" xfId="0" applyAlignment="1" applyBorder="1" applyFont="1">
      <alignment horizontal="center" vertical="bottom"/>
    </xf>
    <xf borderId="3" fillId="5" fontId="14" numFmtId="0" xfId="0" applyAlignment="1" applyBorder="1" applyFont="1">
      <alignment horizontal="center" vertical="bottom"/>
    </xf>
    <xf borderId="3" fillId="4" fontId="14" numFmtId="0" xfId="0" applyAlignment="1" applyBorder="1" applyFont="1">
      <alignment horizontal="center" vertical="bottom"/>
    </xf>
    <xf borderId="5" fillId="6" fontId="15" numFmtId="165" xfId="0" applyAlignment="1" applyBorder="1" applyFont="1" applyNumberFormat="1">
      <alignment horizontal="center" readingOrder="0" vertical="bottom"/>
    </xf>
    <xf borderId="3" fillId="6" fontId="15" numFmtId="38" xfId="0" applyAlignment="1" applyBorder="1" applyFont="1" applyNumberFormat="1">
      <alignment horizontal="center" readingOrder="0" vertical="bottom"/>
    </xf>
    <xf borderId="3" fillId="6" fontId="15" numFmtId="38" xfId="0" applyAlignment="1" applyBorder="1" applyFont="1" applyNumberFormat="1">
      <alignment horizontal="right" readingOrder="0" vertical="bottom"/>
    </xf>
    <xf borderId="3" fillId="6" fontId="16" numFmtId="164" xfId="0" applyAlignment="1" applyBorder="1" applyFont="1" applyNumberFormat="1">
      <alignment horizontal="right" vertical="bottom"/>
    </xf>
    <xf borderId="3" fillId="6" fontId="15" numFmtId="0" xfId="0" applyAlignment="1" applyBorder="1" applyFont="1">
      <alignment horizontal="center" readingOrder="0" vertical="bottom"/>
    </xf>
    <xf borderId="3" fillId="6" fontId="16" numFmtId="0" xfId="0" applyAlignment="1" applyBorder="1" applyFont="1">
      <alignment readingOrder="0" vertical="bottom"/>
    </xf>
    <xf borderId="0" fillId="6" fontId="13" numFmtId="0" xfId="0" applyAlignment="1" applyFont="1">
      <alignment vertical="bottom"/>
    </xf>
    <xf borderId="3" fillId="6" fontId="15" numFmtId="164" xfId="0" applyAlignment="1" applyBorder="1" applyFont="1" applyNumberFormat="1">
      <alignment horizontal="right" readingOrder="0" vertical="bottom"/>
    </xf>
    <xf borderId="3" fillId="6" fontId="17" numFmtId="0" xfId="0" applyAlignment="1" applyBorder="1" applyFont="1">
      <alignment vertical="bottom"/>
    </xf>
    <xf borderId="3" fillId="6" fontId="13" numFmtId="0" xfId="0" applyAlignment="1" applyBorder="1" applyFont="1">
      <alignment vertical="bottom"/>
    </xf>
    <xf borderId="3" fillId="6" fontId="18" numFmtId="0" xfId="0" applyAlignment="1" applyBorder="1" applyFont="1">
      <alignment vertical="bottom"/>
    </xf>
    <xf borderId="5" fillId="7" fontId="15" numFmtId="0" xfId="0" applyAlignment="1" applyBorder="1" applyFill="1" applyFont="1">
      <alignment horizontal="center" readingOrder="0" vertical="bottom"/>
    </xf>
    <xf borderId="7" fillId="7" fontId="19" numFmtId="38" xfId="0" applyAlignment="1" applyBorder="1" applyFont="1" applyNumberFormat="1">
      <alignment horizontal="center" readingOrder="0" vertical="bottom"/>
    </xf>
    <xf borderId="7" fillId="7" fontId="19" numFmtId="38" xfId="0" applyAlignment="1" applyBorder="1" applyFont="1" applyNumberFormat="1">
      <alignment horizontal="right" readingOrder="0" vertical="bottom"/>
    </xf>
    <xf borderId="7" fillId="7" fontId="16" numFmtId="164" xfId="0" applyAlignment="1" applyBorder="1" applyFont="1" applyNumberFormat="1">
      <alignment horizontal="right" vertical="bottom"/>
    </xf>
    <xf borderId="7" fillId="7" fontId="15" numFmtId="0" xfId="0" applyAlignment="1" applyBorder="1" applyFont="1">
      <alignment horizontal="center" readingOrder="0" vertical="bottom"/>
    </xf>
    <xf borderId="3" fillId="6" fontId="18" numFmtId="0" xfId="0" applyAlignment="1" applyBorder="1" applyFont="1">
      <alignment readingOrder="0" vertical="bottom"/>
    </xf>
    <xf borderId="3" fillId="6" fontId="15" numFmtId="38" xfId="0" applyAlignment="1" applyBorder="1" applyFont="1" applyNumberFormat="1">
      <alignment horizontal="right" vertical="bottom"/>
    </xf>
    <xf borderId="6" fillId="6" fontId="13" numFmtId="0" xfId="0" applyAlignment="1" applyBorder="1" applyFont="1">
      <alignment vertical="bottom"/>
    </xf>
    <xf borderId="1" fillId="6" fontId="13" numFmtId="0" xfId="0" applyAlignment="1" applyBorder="1" applyFont="1">
      <alignment vertical="bottom"/>
    </xf>
    <xf borderId="3" fillId="6" fontId="16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0"/>
    <col customWidth="1" min="3" max="3" width="16.63"/>
    <col customWidth="1" min="4" max="4" width="22.63"/>
    <col customWidth="1" min="6" max="6" width="20.5"/>
    <col customWidth="1" min="7" max="7" width="17.63"/>
    <col customWidth="1" min="8" max="8" width="19.13"/>
    <col customWidth="1" min="9" max="9" width="133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10</v>
      </c>
      <c r="B4" s="14">
        <v>97.0</v>
      </c>
      <c r="C4" s="15">
        <v>602680.0</v>
      </c>
      <c r="D4" s="15">
        <v>602680.0</v>
      </c>
      <c r="E4" s="14">
        <v>97.0</v>
      </c>
      <c r="F4" s="15">
        <v>602680.0</v>
      </c>
      <c r="G4" s="16"/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>
        <v>24169.0</v>
      </c>
      <c r="B5" s="14">
        <v>52.0</v>
      </c>
      <c r="C5" s="21">
        <v>342070.0</v>
      </c>
      <c r="D5" s="21">
        <v>342070.0</v>
      </c>
      <c r="E5" s="14">
        <v>52.0</v>
      </c>
      <c r="F5" s="15">
        <v>342070.0</v>
      </c>
      <c r="G5" s="16"/>
      <c r="H5" s="17" t="s">
        <v>12</v>
      </c>
      <c r="I5" s="22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>
        <v>24170.0</v>
      </c>
      <c r="B6" s="14">
        <v>44.0</v>
      </c>
      <c r="C6" s="23">
        <v>304250.0</v>
      </c>
      <c r="D6" s="23">
        <v>304250.0</v>
      </c>
      <c r="E6" s="14">
        <v>44.0</v>
      </c>
      <c r="F6" s="24">
        <v>304250.0</v>
      </c>
      <c r="G6" s="16"/>
      <c r="H6" s="17" t="s">
        <v>13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0">
        <v>24171.0</v>
      </c>
      <c r="B7" s="14">
        <v>26.0</v>
      </c>
      <c r="C7" s="21">
        <v>217020.0</v>
      </c>
      <c r="D7" s="21">
        <v>217020.0</v>
      </c>
      <c r="E7" s="14">
        <v>26.0</v>
      </c>
      <c r="F7" s="21">
        <v>217020.0</v>
      </c>
      <c r="G7" s="16"/>
      <c r="H7" s="17" t="s">
        <v>11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0">
        <v>24172.0</v>
      </c>
      <c r="B8" s="14">
        <v>36.0</v>
      </c>
      <c r="C8" s="24">
        <v>289150.0</v>
      </c>
      <c r="D8" s="24">
        <v>289150.0</v>
      </c>
      <c r="E8" s="14">
        <v>36.0</v>
      </c>
      <c r="F8" s="24">
        <v>289150.0</v>
      </c>
      <c r="G8" s="16"/>
      <c r="H8" s="17" t="s">
        <v>11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5">
        <v>24173.0</v>
      </c>
      <c r="B9" s="14">
        <v>57.0</v>
      </c>
      <c r="C9" s="24">
        <v>405235.0</v>
      </c>
      <c r="D9" s="24">
        <v>405235.0</v>
      </c>
      <c r="E9" s="14">
        <v>57.0</v>
      </c>
      <c r="F9" s="24">
        <v>405235.0</v>
      </c>
      <c r="G9" s="16"/>
      <c r="H9" s="17" t="s">
        <v>11</v>
      </c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0">
        <v>24174.0</v>
      </c>
      <c r="B10" s="14">
        <v>34.0</v>
      </c>
      <c r="C10" s="24">
        <v>283550.0</v>
      </c>
      <c r="D10" s="24">
        <v>283550.0</v>
      </c>
      <c r="E10" s="14">
        <v>34.0</v>
      </c>
      <c r="F10" s="26">
        <v>283550.0</v>
      </c>
      <c r="G10" s="16"/>
      <c r="H10" s="17" t="s">
        <v>11</v>
      </c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0">
        <v>24175.0</v>
      </c>
      <c r="B11" s="14">
        <v>38.0</v>
      </c>
      <c r="C11" s="24">
        <v>219120.0</v>
      </c>
      <c r="D11" s="24">
        <v>219120.0</v>
      </c>
      <c r="E11" s="14">
        <v>38.0</v>
      </c>
      <c r="F11" s="24">
        <v>219120.0</v>
      </c>
      <c r="G11" s="16"/>
      <c r="H11" s="17" t="s">
        <v>13</v>
      </c>
      <c r="I11" s="27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0">
        <v>24176.0</v>
      </c>
      <c r="B12" s="14">
        <v>37.0</v>
      </c>
      <c r="C12" s="28">
        <v>280325.0</v>
      </c>
      <c r="D12" s="28">
        <v>280325.0</v>
      </c>
      <c r="E12" s="14">
        <v>37.0</v>
      </c>
      <c r="F12" s="28">
        <v>280325.0</v>
      </c>
      <c r="G12" s="16"/>
      <c r="H12" s="17" t="s">
        <v>11</v>
      </c>
      <c r="I12" s="27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0">
        <v>24177.0</v>
      </c>
      <c r="B13" s="14">
        <v>47.0</v>
      </c>
      <c r="C13" s="24">
        <v>431720.0</v>
      </c>
      <c r="D13" s="24">
        <v>431720.0</v>
      </c>
      <c r="E13" s="14">
        <v>47.0</v>
      </c>
      <c r="F13" s="24">
        <v>431720.0</v>
      </c>
      <c r="G13" s="16"/>
      <c r="H13" s="17" t="s">
        <v>13</v>
      </c>
      <c r="I13" s="27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0">
        <v>24178.0</v>
      </c>
      <c r="B14" s="14">
        <v>47.0</v>
      </c>
      <c r="C14" s="24">
        <v>423390.0</v>
      </c>
      <c r="D14" s="23">
        <v>423390.0</v>
      </c>
      <c r="E14" s="14">
        <v>47.0</v>
      </c>
      <c r="F14" s="24">
        <v>423390.0</v>
      </c>
      <c r="G14" s="29"/>
      <c r="H14" s="17" t="s">
        <v>13</v>
      </c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0">
        <v>24179.0</v>
      </c>
      <c r="B15" s="14">
        <v>64.0</v>
      </c>
      <c r="C15" s="24">
        <v>1043240.0</v>
      </c>
      <c r="D15" s="24">
        <v>1043240.0</v>
      </c>
      <c r="E15" s="14">
        <v>64.0</v>
      </c>
      <c r="F15" s="24">
        <v>1068240.0</v>
      </c>
      <c r="G15" s="30">
        <f t="shared" ref="G15:G19" si="1">D15-F15</f>
        <v>-25000</v>
      </c>
      <c r="H15" s="17" t="s">
        <v>13</v>
      </c>
      <c r="I15" s="31" t="s">
        <v>14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0">
        <v>24180.0</v>
      </c>
      <c r="B16" s="14">
        <v>52.0</v>
      </c>
      <c r="C16" s="15">
        <v>466950.0</v>
      </c>
      <c r="D16" s="15">
        <v>466950.0</v>
      </c>
      <c r="E16" s="14">
        <v>52.0</v>
      </c>
      <c r="F16" s="24">
        <v>476950.0</v>
      </c>
      <c r="G16" s="30">
        <f t="shared" si="1"/>
        <v>-10000</v>
      </c>
      <c r="H16" s="17" t="s">
        <v>11</v>
      </c>
      <c r="I16" s="31" t="s">
        <v>15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29.25" customHeight="1">
      <c r="A17" s="20">
        <v>24181.0</v>
      </c>
      <c r="B17" s="14">
        <v>59.0</v>
      </c>
      <c r="C17" s="14">
        <v>684179.0</v>
      </c>
      <c r="D17" s="14">
        <v>684179.0</v>
      </c>
      <c r="E17" s="14">
        <v>59.0</v>
      </c>
      <c r="F17" s="24">
        <v>714179.0</v>
      </c>
      <c r="G17" s="30">
        <f t="shared" si="1"/>
        <v>-30000</v>
      </c>
      <c r="H17" s="17" t="s">
        <v>13</v>
      </c>
      <c r="I17" s="31" t="s">
        <v>16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31.5" customHeight="1">
      <c r="A18" s="20">
        <v>24182.0</v>
      </c>
      <c r="B18" s="14">
        <v>51.0</v>
      </c>
      <c r="C18" s="14">
        <v>441530.0</v>
      </c>
      <c r="D18" s="14">
        <v>441530.0</v>
      </c>
      <c r="E18" s="14">
        <v>51.0</v>
      </c>
      <c r="F18" s="24">
        <v>441530.0</v>
      </c>
      <c r="G18" s="30">
        <f t="shared" si="1"/>
        <v>0</v>
      </c>
      <c r="H18" s="17" t="s">
        <v>13</v>
      </c>
      <c r="I18" s="1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32"/>
      <c r="B19" s="33"/>
      <c r="C19" s="34">
        <f t="shared" ref="C19:D19" si="2">SUM(C4:C18)</f>
        <v>6434409</v>
      </c>
      <c r="D19" s="34">
        <f t="shared" si="2"/>
        <v>6434409</v>
      </c>
      <c r="E19" s="18"/>
      <c r="F19" s="34">
        <f>SUM(F4:F18)</f>
        <v>6499409</v>
      </c>
      <c r="G19" s="30">
        <f t="shared" si="1"/>
        <v>-65000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 t="s">
        <v>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88"/>
    <col customWidth="1" min="3" max="3" width="16.63"/>
    <col customWidth="1" min="4" max="4" width="22.63"/>
    <col customWidth="1" min="6" max="6" width="20.5"/>
    <col customWidth="1" min="7" max="7" width="17.63"/>
    <col customWidth="1" min="8" max="8" width="19.13"/>
    <col customWidth="1" min="9" max="9" width="181.13"/>
  </cols>
  <sheetData>
    <row r="1">
      <c r="A1" s="35" t="s">
        <v>0</v>
      </c>
      <c r="B1" s="2"/>
      <c r="C1" s="2"/>
      <c r="D1" s="2"/>
      <c r="E1" s="2"/>
      <c r="F1" s="2"/>
      <c r="G1" s="2"/>
      <c r="H1" s="2"/>
      <c r="I1" s="2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1</v>
      </c>
      <c r="B2" s="38" t="s">
        <v>2</v>
      </c>
      <c r="C2" s="2"/>
      <c r="D2" s="6"/>
      <c r="E2" s="39" t="s">
        <v>3</v>
      </c>
      <c r="F2" s="6"/>
      <c r="G2" s="40" t="s">
        <v>4</v>
      </c>
      <c r="H2" s="40" t="s">
        <v>5</v>
      </c>
      <c r="I2" s="41" t="s">
        <v>6</v>
      </c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10"/>
      <c r="B3" s="42" t="s">
        <v>7</v>
      </c>
      <c r="C3" s="42" t="s">
        <v>8</v>
      </c>
      <c r="D3" s="42" t="s">
        <v>9</v>
      </c>
      <c r="E3" s="43" t="s">
        <v>7</v>
      </c>
      <c r="F3" s="43" t="s">
        <v>8</v>
      </c>
      <c r="G3" s="6"/>
      <c r="H3" s="6"/>
      <c r="I3" s="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>
        <v>24183.0</v>
      </c>
      <c r="B4" s="45">
        <v>59.0</v>
      </c>
      <c r="C4" s="46">
        <v>431230.0</v>
      </c>
      <c r="D4" s="46">
        <v>431230.0</v>
      </c>
      <c r="E4" s="45">
        <v>59.0</v>
      </c>
      <c r="F4" s="46">
        <v>499730.0</v>
      </c>
      <c r="G4" s="47">
        <f t="shared" ref="G4:G19" si="1">D4-F4</f>
        <v>-68500</v>
      </c>
      <c r="H4" s="48" t="s">
        <v>13</v>
      </c>
      <c r="I4" s="49" t="s">
        <v>18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44">
        <v>24184.0</v>
      </c>
      <c r="B5" s="45">
        <v>47.0</v>
      </c>
      <c r="C5" s="51">
        <v>457145.0</v>
      </c>
      <c r="D5" s="51">
        <v>457145.0</v>
      </c>
      <c r="E5" s="45">
        <v>47.0</v>
      </c>
      <c r="F5" s="46">
        <v>457145.0</v>
      </c>
      <c r="G5" s="47">
        <f t="shared" si="1"/>
        <v>0</v>
      </c>
      <c r="H5" s="48" t="s">
        <v>13</v>
      </c>
      <c r="I5" s="52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44">
        <v>24185.0</v>
      </c>
      <c r="B6" s="45">
        <v>45.0</v>
      </c>
      <c r="C6" s="51">
        <v>338510.0</v>
      </c>
      <c r="D6" s="51">
        <v>338510.0</v>
      </c>
      <c r="E6" s="45">
        <v>45.0</v>
      </c>
      <c r="F6" s="46">
        <v>361010.0</v>
      </c>
      <c r="G6" s="47">
        <f t="shared" si="1"/>
        <v>-22500</v>
      </c>
      <c r="H6" s="48" t="s">
        <v>12</v>
      </c>
      <c r="I6" s="49" t="s">
        <v>19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44">
        <v>24186.0</v>
      </c>
      <c r="B7" s="45">
        <v>39.0</v>
      </c>
      <c r="C7" s="51">
        <v>469840.0</v>
      </c>
      <c r="D7" s="51">
        <v>469840.0</v>
      </c>
      <c r="E7" s="45">
        <v>39.0</v>
      </c>
      <c r="F7" s="51">
        <v>469840.0</v>
      </c>
      <c r="G7" s="47">
        <f t="shared" si="1"/>
        <v>0</v>
      </c>
      <c r="H7" s="48" t="s">
        <v>13</v>
      </c>
      <c r="I7" s="53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44">
        <v>24187.0</v>
      </c>
      <c r="B8" s="45">
        <v>42.0</v>
      </c>
      <c r="C8" s="46">
        <v>347695.0</v>
      </c>
      <c r="D8" s="46">
        <v>347695.0</v>
      </c>
      <c r="E8" s="45">
        <v>42.0</v>
      </c>
      <c r="F8" s="46">
        <v>347695.0</v>
      </c>
      <c r="G8" s="47">
        <f t="shared" si="1"/>
        <v>0</v>
      </c>
      <c r="H8" s="48" t="s">
        <v>11</v>
      </c>
      <c r="I8" s="53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44">
        <v>24188.0</v>
      </c>
      <c r="B9" s="45">
        <v>37.0</v>
      </c>
      <c r="C9" s="46">
        <v>368105.0</v>
      </c>
      <c r="D9" s="46">
        <v>368105.0</v>
      </c>
      <c r="E9" s="45">
        <v>37.0</v>
      </c>
      <c r="F9" s="46">
        <v>368105.0</v>
      </c>
      <c r="G9" s="47">
        <f t="shared" si="1"/>
        <v>0</v>
      </c>
      <c r="H9" s="48" t="s">
        <v>11</v>
      </c>
      <c r="I9" s="53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44">
        <v>24189.0</v>
      </c>
      <c r="B10" s="45">
        <v>35.0</v>
      </c>
      <c r="C10" s="46">
        <v>374645.0</v>
      </c>
      <c r="D10" s="46">
        <v>374645.0</v>
      </c>
      <c r="E10" s="45">
        <v>35.0</v>
      </c>
      <c r="F10" s="46">
        <v>374645.0</v>
      </c>
      <c r="G10" s="47">
        <f t="shared" si="1"/>
        <v>0</v>
      </c>
      <c r="H10" s="48" t="s">
        <v>13</v>
      </c>
      <c r="I10" s="53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44">
        <v>24190.0</v>
      </c>
      <c r="B11" s="45">
        <v>37.0</v>
      </c>
      <c r="C11" s="46">
        <v>332725.0</v>
      </c>
      <c r="D11" s="46">
        <v>332725.0</v>
      </c>
      <c r="E11" s="45">
        <v>37.0</v>
      </c>
      <c r="F11" s="46">
        <v>332725.0</v>
      </c>
      <c r="G11" s="47">
        <f t="shared" si="1"/>
        <v>0</v>
      </c>
      <c r="H11" s="48" t="s">
        <v>13</v>
      </c>
      <c r="I11" s="54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40.5" customHeight="1">
      <c r="A12" s="55" t="s">
        <v>20</v>
      </c>
      <c r="B12" s="56">
        <v>152.0</v>
      </c>
      <c r="C12" s="56">
        <v>976955.0</v>
      </c>
      <c r="D12" s="57">
        <v>976955.0</v>
      </c>
      <c r="E12" s="56">
        <v>152.0</v>
      </c>
      <c r="F12" s="57">
        <v>976955.0</v>
      </c>
      <c r="G12" s="58">
        <f t="shared" si="1"/>
        <v>0</v>
      </c>
      <c r="H12" s="59" t="s">
        <v>12</v>
      </c>
      <c r="I12" s="6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44">
        <v>24192.0</v>
      </c>
      <c r="B13" s="45">
        <v>63.0</v>
      </c>
      <c r="C13" s="46">
        <v>451880.0</v>
      </c>
      <c r="D13" s="46">
        <v>451880.0</v>
      </c>
      <c r="E13" s="45">
        <v>63.0</v>
      </c>
      <c r="F13" s="46">
        <v>451880.0</v>
      </c>
      <c r="G13" s="47">
        <f t="shared" si="1"/>
        <v>0</v>
      </c>
      <c r="H13" s="48" t="s">
        <v>13</v>
      </c>
      <c r="I13" s="54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44">
        <v>24193.0</v>
      </c>
      <c r="B14" s="45">
        <v>67.0</v>
      </c>
      <c r="C14" s="46">
        <v>578535.0</v>
      </c>
      <c r="D14" s="51">
        <v>578535.0</v>
      </c>
      <c r="E14" s="45">
        <v>67.0</v>
      </c>
      <c r="F14" s="46">
        <v>578535.0</v>
      </c>
      <c r="G14" s="47">
        <f t="shared" si="1"/>
        <v>0</v>
      </c>
      <c r="H14" s="48" t="s">
        <v>21</v>
      </c>
      <c r="I14" s="53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44">
        <v>24194.0</v>
      </c>
      <c r="B15" s="45">
        <v>55.0</v>
      </c>
      <c r="C15" s="61">
        <v>361915.0</v>
      </c>
      <c r="D15" s="61">
        <v>361915.0</v>
      </c>
      <c r="E15" s="45">
        <v>55.0</v>
      </c>
      <c r="F15" s="46">
        <v>381985.0</v>
      </c>
      <c r="G15" s="47">
        <f t="shared" si="1"/>
        <v>-20070</v>
      </c>
      <c r="H15" s="48" t="s">
        <v>12</v>
      </c>
      <c r="I15" s="49" t="s">
        <v>22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44">
        <v>24195.0</v>
      </c>
      <c r="B16" s="45">
        <v>48.0</v>
      </c>
      <c r="C16" s="46">
        <v>305340.0</v>
      </c>
      <c r="D16" s="61">
        <f>SUM(C16)</f>
        <v>305340</v>
      </c>
      <c r="E16" s="45">
        <v>48.0</v>
      </c>
      <c r="F16" s="46">
        <v>305340.0</v>
      </c>
      <c r="G16" s="47">
        <f t="shared" si="1"/>
        <v>0</v>
      </c>
      <c r="H16" s="48" t="s">
        <v>21</v>
      </c>
      <c r="I16" s="49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29.25" customHeight="1">
      <c r="A17" s="44">
        <v>24196.0</v>
      </c>
      <c r="B17" s="45">
        <v>59.0</v>
      </c>
      <c r="C17" s="45">
        <v>336675.0</v>
      </c>
      <c r="D17" s="45">
        <v>336675.0</v>
      </c>
      <c r="E17" s="45">
        <v>59.0</v>
      </c>
      <c r="F17" s="46">
        <v>336675.0</v>
      </c>
      <c r="G17" s="47">
        <f t="shared" si="1"/>
        <v>0</v>
      </c>
      <c r="H17" s="48" t="s">
        <v>11</v>
      </c>
      <c r="I17" s="49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31.5" customHeight="1">
      <c r="A18" s="44">
        <v>24197.0</v>
      </c>
      <c r="B18" s="45">
        <v>98.0</v>
      </c>
      <c r="C18" s="45">
        <v>774385.0</v>
      </c>
      <c r="D18" s="45">
        <v>774385.0</v>
      </c>
      <c r="E18" s="45">
        <v>38.0</v>
      </c>
      <c r="F18" s="46">
        <v>774385.0</v>
      </c>
      <c r="G18" s="47">
        <f t="shared" si="1"/>
        <v>0</v>
      </c>
      <c r="H18" s="48" t="s">
        <v>13</v>
      </c>
      <c r="I18" s="53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62"/>
      <c r="B19" s="63"/>
      <c r="C19" s="34">
        <f t="shared" ref="C19:D19" si="2">SUM(C4:C18)</f>
        <v>6905580</v>
      </c>
      <c r="D19" s="34">
        <f t="shared" si="2"/>
        <v>6905580</v>
      </c>
      <c r="E19" s="53"/>
      <c r="F19" s="34">
        <f>SUM(F4:F18)</f>
        <v>7016650</v>
      </c>
      <c r="G19" s="64">
        <f t="shared" si="1"/>
        <v>-111070</v>
      </c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6"/>
      <c r="B24" s="36"/>
      <c r="C24" s="36"/>
      <c r="D24" s="36"/>
      <c r="E24" s="36"/>
      <c r="F24" s="36"/>
      <c r="G24" s="36"/>
      <c r="H24" s="36"/>
      <c r="I24" s="36" t="s">
        <v>17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
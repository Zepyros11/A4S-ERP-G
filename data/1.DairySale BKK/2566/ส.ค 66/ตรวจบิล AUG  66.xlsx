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4"/>
    <sheet state="visible" name="สำเนาของ ชีต1" sheetId="2" r:id="rId5"/>
    <sheet state="visible" name="สำเนาของ สำเนาของ ชีต1" sheetId="3" r:id="rId6"/>
    <sheet state="visible" name="สำเนาของ สำเนาของ สำเนาของ ชีต1" sheetId="4" r:id="rId7"/>
  </sheets>
  <definedNames/>
  <calcPr/>
</workbook>
</file>

<file path=xl/sharedStrings.xml><?xml version="1.0" encoding="utf-8"?>
<sst xmlns="http://schemas.openxmlformats.org/spreadsheetml/2006/main" count="83" uniqueCount="20">
  <si>
    <t>ตรวจบิล  AUG  66</t>
  </si>
  <si>
    <t>วันที่</t>
  </si>
  <si>
    <t>ใน DAILY SALE</t>
  </si>
  <si>
    <t>ในระบบ</t>
  </si>
  <si>
    <t>ผลต่าง</t>
  </si>
  <si>
    <t>SIGNATURE</t>
  </si>
  <si>
    <t>หมายเหตุ</t>
  </si>
  <si>
    <t>จำนวน</t>
  </si>
  <si>
    <t>มูลค่า</t>
  </si>
  <si>
    <t>คงเหลือ</t>
  </si>
  <si>
    <t>30-2/8/66</t>
  </si>
  <si>
    <t>poon</t>
  </si>
  <si>
    <t>AOENG</t>
  </si>
  <si>
    <t xml:space="preserve">KET </t>
  </si>
  <si>
    <t xml:space="preserve">ผลต่าง 4500 บาท บิลยกเลิก STHBKK012308000352	ของวันที่ 06/8/66 </t>
  </si>
  <si>
    <t>วันที่ 12/8/66 (วันหยุดนักขัตฤกษ์)</t>
  </si>
  <si>
    <t>-</t>
  </si>
  <si>
    <t>KET</t>
  </si>
  <si>
    <t>ผลต่าง 8630 บาท เป็นบิลยกเลิก STHBKK012308000918 // STHBKK012303000176</t>
  </si>
  <si>
    <t>ผลต่าง800 บาท เนื่องจากบิลยกเลิก STHBKK012308001506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</si>
</sst>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-* #,##0_-;\-* #,##0_-;_-* &quot;-&quot;??_-;_-@"/>
    <numFmt numFmtId="165" formatCode="d/m/yy"/>
    <numFmt numFmtId="166" formatCode="#,###_);\(#,###\)"/>
    <numFmt numFmtId="167" formatCode="d/m/yyyy"/>
  </numFmts>
  <fonts count="12">
    <font>
      <sz val="10.0"/>
      <color rgb="FF000000"/>
      <name val="Arial"/>
      <scheme val="minor"/>
    </font>
    <font>
      <b/>
      <sz val="34.0"/>
      <color theme="1"/>
      <name val="Calibri"/>
    </font>
    <font/>
    <font>
      <color theme="1"/>
      <name val="Arial"/>
    </font>
    <font>
      <b/>
      <sz val="27.0"/>
      <color theme="1"/>
      <name val="Calibri"/>
    </font>
    <font>
      <sz val="26.0"/>
      <color theme="1"/>
      <name val="Calibri"/>
    </font>
    <font>
      <sz val="23.0"/>
      <color theme="1"/>
      <name val="Arial"/>
    </font>
    <font>
      <sz val="16.0"/>
      <color rgb="FFFF0000"/>
      <name val="Arial"/>
    </font>
    <font>
      <sz val="26.0"/>
      <color theme="1"/>
      <name val="Arial"/>
    </font>
    <font>
      <b/>
      <sz val="26.0"/>
      <color theme="1"/>
      <name val="Arial"/>
    </font>
    <font>
      <sz val="26.0"/>
      <color rgb="FFFF0000"/>
      <name val="Arial"/>
    </font>
    <font>
      <sz val="21.0"/>
      <color rgb="FFFF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D99594"/>
        <bgColor rgb="FFD99594"/>
      </patternFill>
    </fill>
    <fill>
      <patternFill patternType="solid">
        <fgColor rgb="FF31859B"/>
        <bgColor rgb="FF31859B"/>
      </patternFill>
    </fill>
    <fill>
      <patternFill patternType="solid">
        <fgColor rgb="FFB6DDE8"/>
        <bgColor rgb="FFB6DDE8"/>
      </patternFill>
    </fill>
    <fill>
      <patternFill patternType="solid">
        <fgColor rgb="FFE5B8B7"/>
        <bgColor rgb="FFE5B8B7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</fills>
  <borders count="8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1" fillId="0" fontId="2" numFmtId="0" xfId="0" applyBorder="1" applyFont="1"/>
    <xf borderId="0" fillId="0" fontId="3" numFmtId="0" xfId="0" applyAlignment="1" applyFont="1">
      <alignment vertical="bottom"/>
    </xf>
    <xf borderId="2" fillId="0" fontId="4" numFmtId="0" xfId="0" applyAlignment="1" applyBorder="1" applyFont="1">
      <alignment horizontal="center" vertical="bottom"/>
    </xf>
    <xf borderId="1" fillId="2" fontId="4" numFmtId="0" xfId="0" applyAlignment="1" applyBorder="1" applyFill="1" applyFont="1">
      <alignment horizontal="center" vertical="bottom"/>
    </xf>
    <xf borderId="3" fillId="0" fontId="2" numFmtId="0" xfId="0" applyBorder="1" applyFont="1"/>
    <xf borderId="1" fillId="3" fontId="4" numFmtId="0" xfId="0" applyAlignment="1" applyBorder="1" applyFill="1" applyFont="1">
      <alignment horizontal="center" vertical="bottom"/>
    </xf>
    <xf borderId="4" fillId="4" fontId="4" numFmtId="0" xfId="0" applyAlignment="1" applyBorder="1" applyFill="1" applyFont="1">
      <alignment horizontal="center" vertical="bottom"/>
    </xf>
    <xf borderId="4" fillId="5" fontId="4" numFmtId="0" xfId="0" applyAlignment="1" applyBorder="1" applyFill="1" applyFont="1">
      <alignment horizontal="center" vertical="bottom"/>
    </xf>
    <xf borderId="5" fillId="0" fontId="2" numFmtId="0" xfId="0" applyBorder="1" applyFont="1"/>
    <xf borderId="3" fillId="5" fontId="4" numFmtId="0" xfId="0" applyAlignment="1" applyBorder="1" applyFont="1">
      <alignment horizontal="center" vertical="bottom"/>
    </xf>
    <xf borderId="3" fillId="4" fontId="4" numFmtId="0" xfId="0" applyAlignment="1" applyBorder="1" applyFont="1">
      <alignment horizontal="center" vertical="bottom"/>
    </xf>
    <xf borderId="5" fillId="6" fontId="5" numFmtId="0" xfId="0" applyAlignment="1" applyBorder="1" applyFill="1" applyFont="1">
      <alignment horizontal="center" readingOrder="0" vertical="bottom"/>
    </xf>
    <xf borderId="3" fillId="6" fontId="6" numFmtId="38" xfId="0" applyAlignment="1" applyBorder="1" applyFont="1" applyNumberFormat="1">
      <alignment horizontal="center" readingOrder="0" vertical="bottom"/>
    </xf>
    <xf borderId="3" fillId="6" fontId="6" numFmtId="38" xfId="0" applyAlignment="1" applyBorder="1" applyFont="1" applyNumberFormat="1">
      <alignment horizontal="right" readingOrder="0" vertical="bottom"/>
    </xf>
    <xf borderId="3" fillId="6" fontId="6" numFmtId="164" xfId="0" applyAlignment="1" applyBorder="1" applyFont="1" applyNumberFormat="1">
      <alignment horizontal="center" vertical="bottom"/>
    </xf>
    <xf borderId="3" fillId="6" fontId="6" numFmtId="0" xfId="0" applyAlignment="1" applyBorder="1" applyFont="1">
      <alignment horizontal="center" readingOrder="0" vertical="bottom"/>
    </xf>
    <xf borderId="3" fillId="6" fontId="6" numFmtId="0" xfId="0" applyAlignment="1" applyBorder="1" applyFont="1">
      <alignment vertical="bottom"/>
    </xf>
    <xf borderId="0" fillId="6" fontId="3" numFmtId="0" xfId="0" applyAlignment="1" applyFont="1">
      <alignment vertical="bottom"/>
    </xf>
    <xf borderId="5" fillId="6" fontId="6" numFmtId="165" xfId="0" applyAlignment="1" applyBorder="1" applyFont="1" applyNumberFormat="1">
      <alignment horizontal="center" readingOrder="0" vertical="bottom"/>
    </xf>
    <xf borderId="3" fillId="6" fontId="6" numFmtId="166" xfId="0" applyAlignment="1" applyBorder="1" applyFont="1" applyNumberFormat="1">
      <alignment horizontal="right" readingOrder="0" vertical="bottom"/>
    </xf>
    <xf borderId="3" fillId="6" fontId="6" numFmtId="166" xfId="0" applyAlignment="1" applyBorder="1" applyFont="1" applyNumberFormat="1">
      <alignment horizontal="center" readingOrder="0" vertical="bottom"/>
    </xf>
    <xf borderId="3" fillId="6" fontId="3" numFmtId="0" xfId="0" applyAlignment="1" applyBorder="1" applyFont="1">
      <alignment vertical="bottom"/>
    </xf>
    <xf borderId="3" fillId="6" fontId="7" numFmtId="0" xfId="0" applyAlignment="1" applyBorder="1" applyFont="1">
      <alignment readingOrder="0" vertical="bottom"/>
    </xf>
    <xf borderId="3" fillId="6" fontId="6" numFmtId="164" xfId="0" applyAlignment="1" applyBorder="1" applyFont="1" applyNumberFormat="1">
      <alignment horizontal="right" readingOrder="0" vertical="bottom"/>
    </xf>
    <xf borderId="3" fillId="6" fontId="3" numFmtId="164" xfId="0" applyAlignment="1" applyBorder="1" applyFont="1" applyNumberFormat="1">
      <alignment vertical="bottom"/>
    </xf>
    <xf borderId="5" fillId="6" fontId="8" numFmtId="165" xfId="0" applyAlignment="1" applyBorder="1" applyFont="1" applyNumberFormat="1">
      <alignment horizontal="center" readingOrder="0" vertical="bottom"/>
    </xf>
    <xf borderId="3" fillId="6" fontId="8" numFmtId="38" xfId="0" applyAlignment="1" applyBorder="1" applyFont="1" applyNumberFormat="1">
      <alignment horizontal="center" readingOrder="0" vertical="bottom"/>
    </xf>
    <xf borderId="3" fillId="6" fontId="8" numFmtId="164" xfId="0" applyAlignment="1" applyBorder="1" applyFont="1" applyNumberFormat="1">
      <alignment horizontal="center" vertical="bottom"/>
    </xf>
    <xf borderId="3" fillId="6" fontId="8" numFmtId="0" xfId="0" applyAlignment="1" applyBorder="1" applyFont="1">
      <alignment horizontal="center" readingOrder="0" vertical="bottom"/>
    </xf>
    <xf borderId="3" fillId="6" fontId="8" numFmtId="0" xfId="0" applyAlignment="1" applyBorder="1" applyFont="1">
      <alignment horizontal="center" vertical="bottom"/>
    </xf>
    <xf borderId="6" fillId="7" fontId="9" numFmtId="0" xfId="0" applyAlignment="1" applyBorder="1" applyFill="1" applyFont="1">
      <alignment horizontal="center" readingOrder="0" vertical="bottom"/>
    </xf>
    <xf borderId="3" fillId="6" fontId="8" numFmtId="166" xfId="0" applyAlignment="1" applyBorder="1" applyFont="1" applyNumberFormat="1">
      <alignment horizontal="center" readingOrder="0" vertical="bottom"/>
    </xf>
    <xf borderId="3" fillId="6" fontId="8" numFmtId="166" xfId="0" applyAlignment="1" applyBorder="1" applyFont="1" applyNumberFormat="1">
      <alignment horizontal="center" vertical="bottom"/>
    </xf>
    <xf borderId="3" fillId="6" fontId="8" numFmtId="164" xfId="0" applyAlignment="1" applyBorder="1" applyFont="1" applyNumberFormat="1">
      <alignment horizontal="center" readingOrder="0" vertical="bottom"/>
    </xf>
    <xf borderId="3" fillId="6" fontId="10" numFmtId="164" xfId="0" applyAlignment="1" applyBorder="1" applyFont="1" applyNumberFormat="1">
      <alignment horizontal="center" vertical="bottom"/>
    </xf>
    <xf borderId="3" fillId="6" fontId="7" numFmtId="0" xfId="0" applyAlignment="1" applyBorder="1" applyFont="1">
      <alignment horizontal="center" readingOrder="0" vertical="bottom"/>
    </xf>
    <xf borderId="3" fillId="6" fontId="10" numFmtId="0" xfId="0" applyAlignment="1" applyBorder="1" applyFont="1">
      <alignment horizontal="center" readingOrder="0" vertical="bottom"/>
    </xf>
    <xf borderId="5" fillId="6" fontId="8" numFmtId="167" xfId="0" applyAlignment="1" applyBorder="1" applyFont="1" applyNumberFormat="1">
      <alignment horizontal="center" readingOrder="0" vertical="bottom"/>
    </xf>
    <xf borderId="3" fillId="0" fontId="5" numFmtId="166" xfId="0" applyAlignment="1" applyBorder="1" applyFont="1" applyNumberFormat="1">
      <alignment horizontal="center" readingOrder="0" vertical="bottom"/>
    </xf>
    <xf borderId="3" fillId="6" fontId="11" numFmtId="0" xfId="0" applyAlignment="1" applyBorder="1" applyFont="1">
      <alignment horizontal="center" readingOrder="0" vertical="bottom"/>
    </xf>
    <xf borderId="7" fillId="6" fontId="8" numFmtId="0" xfId="0" applyAlignment="1" applyBorder="1" applyFont="1">
      <alignment horizontal="center" vertical="bottom"/>
    </xf>
    <xf borderId="7" fillId="6" fontId="8" numFmtId="165" xfId="0" applyAlignment="1" applyBorder="1" applyFont="1" applyNumberFormat="1">
      <alignment horizontal="center" readingOrder="0" vertical="bottom"/>
    </xf>
    <xf borderId="7" fillId="6" fontId="8" numFmtId="38" xfId="0" applyAlignment="1" applyBorder="1" applyFont="1" applyNumberFormat="1">
      <alignment horizontal="center" readingOrder="0" vertical="bottom"/>
    </xf>
    <xf borderId="7" fillId="6" fontId="8" numFmtId="166" xfId="0" applyAlignment="1" applyBorder="1" applyFont="1" applyNumberFormat="1">
      <alignment horizontal="center" readingOrder="0" vertical="bottom"/>
    </xf>
    <xf borderId="7" fillId="6" fontId="8" numFmtId="164" xfId="0" applyAlignment="1" applyBorder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2.13"/>
    <col customWidth="1" min="2" max="2" width="18.13"/>
    <col customWidth="1" min="3" max="3" width="35.88"/>
    <col customWidth="1" min="4" max="4" width="28.88"/>
    <col customWidth="1" min="5" max="5" width="21.5"/>
    <col customWidth="1" min="6" max="6" width="42.63"/>
    <col customWidth="1" min="7" max="7" width="22.88"/>
    <col customWidth="1" min="8" max="8" width="22.5"/>
    <col customWidth="1" min="9" max="9" width="93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B2" s="5" t="s">
        <v>2</v>
      </c>
      <c r="C2" s="2"/>
      <c r="D2" s="6"/>
      <c r="E2" s="7" t="s">
        <v>3</v>
      </c>
      <c r="F2" s="6"/>
      <c r="G2" s="8" t="s">
        <v>4</v>
      </c>
      <c r="H2" s="8" t="s">
        <v>5</v>
      </c>
      <c r="I2" s="9" t="s">
        <v>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0"/>
      <c r="B3" s="11" t="s">
        <v>7</v>
      </c>
      <c r="C3" s="11" t="s">
        <v>8</v>
      </c>
      <c r="D3" s="11" t="s">
        <v>9</v>
      </c>
      <c r="E3" s="12" t="s">
        <v>7</v>
      </c>
      <c r="F3" s="12" t="s">
        <v>8</v>
      </c>
      <c r="G3" s="6"/>
      <c r="H3" s="6"/>
      <c r="I3" s="6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3" t="s">
        <v>10</v>
      </c>
      <c r="B4" s="14">
        <v>111.0</v>
      </c>
      <c r="C4" s="15">
        <v>750595.0</v>
      </c>
      <c r="D4" s="14">
        <v>750595.0</v>
      </c>
      <c r="E4" s="14">
        <v>111.0</v>
      </c>
      <c r="F4" s="15">
        <v>750595.0</v>
      </c>
      <c r="G4" s="16"/>
      <c r="H4" s="17" t="s">
        <v>11</v>
      </c>
      <c r="I4" s="18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32.25" customHeight="1">
      <c r="A5" s="20">
        <v>24322.0</v>
      </c>
      <c r="B5" s="14">
        <v>65.0</v>
      </c>
      <c r="C5" s="21">
        <v>412240.0</v>
      </c>
      <c r="D5" s="22">
        <v>412240.0</v>
      </c>
      <c r="E5" s="14">
        <v>65.0</v>
      </c>
      <c r="F5" s="15">
        <v>412240.0</v>
      </c>
      <c r="G5" s="16"/>
      <c r="H5" s="17" t="s">
        <v>12</v>
      </c>
      <c r="I5" s="23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27.75" customHeight="1">
      <c r="A6" s="20">
        <v>24323.0</v>
      </c>
      <c r="B6" s="14">
        <v>81.0</v>
      </c>
      <c r="C6" s="21">
        <v>493320.0</v>
      </c>
      <c r="D6" s="22">
        <v>493320.0</v>
      </c>
      <c r="E6" s="14">
        <v>81.0</v>
      </c>
      <c r="F6" s="15">
        <v>493320.0</v>
      </c>
      <c r="G6" s="16"/>
      <c r="H6" s="17" t="s">
        <v>12</v>
      </c>
      <c r="I6" s="23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24.75" customHeight="1">
      <c r="A7" s="20">
        <v>24324.0</v>
      </c>
      <c r="B7" s="14">
        <v>88.0</v>
      </c>
      <c r="C7" s="21">
        <v>569310.0</v>
      </c>
      <c r="D7" s="22">
        <v>569310.0</v>
      </c>
      <c r="E7" s="14">
        <v>88.0</v>
      </c>
      <c r="F7" s="15">
        <v>569310.0</v>
      </c>
      <c r="G7" s="16"/>
      <c r="H7" s="17" t="s">
        <v>12</v>
      </c>
      <c r="I7" s="23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26.25" customHeight="1">
      <c r="A8" s="20">
        <v>24325.0</v>
      </c>
      <c r="B8" s="14">
        <v>51.0</v>
      </c>
      <c r="C8" s="21">
        <v>309010.0</v>
      </c>
      <c r="D8" s="22">
        <v>309010.0</v>
      </c>
      <c r="E8" s="22">
        <v>51.0</v>
      </c>
      <c r="F8" s="21">
        <v>309010.0</v>
      </c>
      <c r="G8" s="16"/>
      <c r="H8" s="17" t="s">
        <v>13</v>
      </c>
      <c r="I8" s="18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25.5" customHeight="1">
      <c r="A9" s="20">
        <v>24326.0</v>
      </c>
      <c r="B9" s="14">
        <v>84.0</v>
      </c>
      <c r="C9" s="21">
        <v>579995.0</v>
      </c>
      <c r="D9" s="22">
        <v>579995.0</v>
      </c>
      <c r="E9" s="14">
        <v>84.0</v>
      </c>
      <c r="F9" s="21">
        <v>584495.0</v>
      </c>
      <c r="G9" s="16">
        <f>D9-F9</f>
        <v>-4500</v>
      </c>
      <c r="H9" s="17" t="s">
        <v>13</v>
      </c>
      <c r="I9" s="24" t="s">
        <v>14</v>
      </c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27.0" customHeight="1">
      <c r="A10" s="20">
        <v>24327.0</v>
      </c>
      <c r="B10" s="14">
        <v>69.0</v>
      </c>
      <c r="C10" s="25">
        <v>523025.0</v>
      </c>
      <c r="D10" s="22">
        <v>523025.0</v>
      </c>
      <c r="E10" s="14">
        <v>69.0</v>
      </c>
      <c r="F10" s="25">
        <v>523025.0</v>
      </c>
      <c r="G10" s="16"/>
      <c r="H10" s="17" t="s">
        <v>13</v>
      </c>
      <c r="I10" s="23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25.5" customHeight="1">
      <c r="A11" s="20">
        <v>24328.0</v>
      </c>
      <c r="B11" s="14">
        <v>95.0</v>
      </c>
      <c r="C11" s="25">
        <v>535145.0</v>
      </c>
      <c r="D11" s="22">
        <v>535145.0</v>
      </c>
      <c r="E11" s="14">
        <v>95.0</v>
      </c>
      <c r="F11" s="25">
        <v>535145.0</v>
      </c>
      <c r="G11" s="16"/>
      <c r="H11" s="17" t="s">
        <v>13</v>
      </c>
      <c r="I11" s="23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39.75" customHeight="1">
      <c r="A12" s="20">
        <v>24329.0</v>
      </c>
      <c r="B12" s="14">
        <v>57.0</v>
      </c>
      <c r="C12" s="21">
        <v>324129.0</v>
      </c>
      <c r="D12" s="22">
        <v>324129.0</v>
      </c>
      <c r="E12" s="14">
        <v>57.0</v>
      </c>
      <c r="F12" s="21">
        <v>324129.0</v>
      </c>
      <c r="G12" s="26"/>
      <c r="H12" s="17" t="s">
        <v>13</v>
      </c>
      <c r="I12" s="23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mergeCells count="7">
    <mergeCell ref="A1:I1"/>
    <mergeCell ref="A2:A3"/>
    <mergeCell ref="B2:D2"/>
    <mergeCell ref="E2:F2"/>
    <mergeCell ref="G2:G3"/>
    <mergeCell ref="H2:H3"/>
    <mergeCell ref="I2:I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2.13"/>
    <col customWidth="1" min="2" max="2" width="18.13"/>
    <col customWidth="1" min="3" max="3" width="35.88"/>
    <col customWidth="1" min="4" max="4" width="28.88"/>
    <col customWidth="1" min="5" max="5" width="21.5"/>
    <col customWidth="1" min="6" max="6" width="42.63"/>
    <col customWidth="1" min="7" max="7" width="22.88"/>
    <col customWidth="1" min="8" max="8" width="22.5"/>
    <col customWidth="1" min="9" max="9" width="102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B2" s="5" t="s">
        <v>2</v>
      </c>
      <c r="C2" s="2"/>
      <c r="D2" s="6"/>
      <c r="E2" s="7" t="s">
        <v>3</v>
      </c>
      <c r="F2" s="6"/>
      <c r="G2" s="8" t="s">
        <v>4</v>
      </c>
      <c r="H2" s="8" t="s">
        <v>5</v>
      </c>
      <c r="I2" s="9" t="s">
        <v>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0"/>
      <c r="B3" s="11" t="s">
        <v>7</v>
      </c>
      <c r="C3" s="11" t="s">
        <v>8</v>
      </c>
      <c r="D3" s="11" t="s">
        <v>9</v>
      </c>
      <c r="E3" s="12" t="s">
        <v>7</v>
      </c>
      <c r="F3" s="12" t="s">
        <v>8</v>
      </c>
      <c r="G3" s="6"/>
      <c r="H3" s="6"/>
      <c r="I3" s="6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42.0" customHeight="1">
      <c r="A4" s="27">
        <v>24330.0</v>
      </c>
      <c r="B4" s="28">
        <v>88.0</v>
      </c>
      <c r="C4" s="28">
        <v>584215.0</v>
      </c>
      <c r="D4" s="28">
        <v>584215.0</v>
      </c>
      <c r="E4" s="28">
        <v>88.0</v>
      </c>
      <c r="F4" s="28">
        <v>584215.0</v>
      </c>
      <c r="G4" s="29">
        <f>D4-F4</f>
        <v>0</v>
      </c>
      <c r="H4" s="30" t="s">
        <v>12</v>
      </c>
      <c r="I4" s="31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42.0" customHeight="1">
      <c r="A5" s="32" t="s">
        <v>15</v>
      </c>
      <c r="B5" s="2"/>
      <c r="C5" s="2"/>
      <c r="D5" s="2"/>
      <c r="E5" s="2"/>
      <c r="F5" s="2"/>
      <c r="G5" s="2"/>
      <c r="H5" s="2"/>
      <c r="I5" s="6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42.0" customHeight="1">
      <c r="A6" s="27">
        <v>24332.0</v>
      </c>
      <c r="B6" s="28">
        <v>103.0</v>
      </c>
      <c r="C6" s="33">
        <v>573705.0</v>
      </c>
      <c r="D6" s="33">
        <v>573705.0</v>
      </c>
      <c r="E6" s="28">
        <v>103.0</v>
      </c>
      <c r="F6" s="28">
        <v>573705.0</v>
      </c>
      <c r="G6" s="29">
        <f>D6-F6</f>
        <v>0</v>
      </c>
      <c r="H6" s="30" t="s">
        <v>12</v>
      </c>
      <c r="I6" s="31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42.0" customHeight="1">
      <c r="A7" s="27">
        <v>24333.0</v>
      </c>
      <c r="B7" s="28">
        <v>78.0</v>
      </c>
      <c r="C7" s="34">
        <v>508465.0</v>
      </c>
      <c r="D7" s="34">
        <v>508465.0</v>
      </c>
      <c r="E7" s="28">
        <v>78.0</v>
      </c>
      <c r="F7" s="34">
        <v>508465.0</v>
      </c>
      <c r="G7" s="35" t="s">
        <v>16</v>
      </c>
      <c r="H7" s="30" t="s">
        <v>17</v>
      </c>
      <c r="I7" s="31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42.0" customHeight="1">
      <c r="A8" s="27">
        <v>24334.0</v>
      </c>
      <c r="B8" s="28">
        <v>93.0</v>
      </c>
      <c r="C8" s="34">
        <v>753860.0</v>
      </c>
      <c r="D8" s="34">
        <v>753860.0</v>
      </c>
      <c r="E8" s="33">
        <v>93.0</v>
      </c>
      <c r="F8" s="33">
        <v>762490.0</v>
      </c>
      <c r="G8" s="36">
        <f>SUM(F8-D8)</f>
        <v>8630</v>
      </c>
      <c r="H8" s="30" t="s">
        <v>17</v>
      </c>
      <c r="I8" s="37" t="s">
        <v>18</v>
      </c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42.0" customHeight="1">
      <c r="A9" s="27">
        <v>24335.0</v>
      </c>
      <c r="B9" s="28">
        <v>82.0</v>
      </c>
      <c r="C9" s="33">
        <v>855595.0</v>
      </c>
      <c r="D9" s="33">
        <v>855595.0</v>
      </c>
      <c r="E9" s="28">
        <v>82.0</v>
      </c>
      <c r="F9" s="33">
        <v>855595.0</v>
      </c>
      <c r="G9" s="29"/>
      <c r="H9" s="30" t="s">
        <v>12</v>
      </c>
      <c r="I9" s="38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42.0" customHeight="1">
      <c r="A10" s="27">
        <v>24336.0</v>
      </c>
      <c r="B10" s="28">
        <v>72.0</v>
      </c>
      <c r="C10" s="33">
        <v>615555.0</v>
      </c>
      <c r="D10" s="33">
        <v>615555.0</v>
      </c>
      <c r="E10" s="28">
        <v>72.0</v>
      </c>
      <c r="F10" s="33">
        <v>615555.0</v>
      </c>
      <c r="G10" s="29"/>
      <c r="H10" s="30" t="s">
        <v>12</v>
      </c>
      <c r="I10" s="31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42.0" customHeight="1">
      <c r="A11" s="27">
        <v>24337.0</v>
      </c>
      <c r="B11" s="28">
        <v>77.0</v>
      </c>
      <c r="C11" s="33">
        <v>609415.0</v>
      </c>
      <c r="D11" s="33">
        <v>609415.0</v>
      </c>
      <c r="E11" s="28">
        <v>77.0</v>
      </c>
      <c r="F11" s="33">
        <v>609415.0</v>
      </c>
      <c r="G11" s="29"/>
      <c r="H11" s="30" t="s">
        <v>12</v>
      </c>
      <c r="I11" s="31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42.0" customHeight="1">
      <c r="A12" s="27">
        <v>24338.0</v>
      </c>
      <c r="B12" s="28">
        <v>59.0</v>
      </c>
      <c r="C12" s="33">
        <v>395295.0</v>
      </c>
      <c r="D12" s="33">
        <v>395295.0</v>
      </c>
      <c r="E12" s="28">
        <v>59.0</v>
      </c>
      <c r="F12" s="33">
        <v>395295.0</v>
      </c>
      <c r="G12" s="29"/>
      <c r="H12" s="30" t="s">
        <v>17</v>
      </c>
      <c r="I12" s="31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mergeCells count="8">
    <mergeCell ref="A1:I1"/>
    <mergeCell ref="A2:A3"/>
    <mergeCell ref="B2:D2"/>
    <mergeCell ref="E2:F2"/>
    <mergeCell ref="G2:G3"/>
    <mergeCell ref="H2:H3"/>
    <mergeCell ref="I2:I3"/>
    <mergeCell ref="A5:I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2.13"/>
    <col customWidth="1" min="2" max="2" width="18.13"/>
    <col customWidth="1" min="3" max="3" width="35.88"/>
    <col customWidth="1" min="4" max="4" width="28.88"/>
    <col customWidth="1" min="5" max="5" width="21.5"/>
    <col customWidth="1" min="6" max="6" width="42.63"/>
    <col customWidth="1" min="7" max="7" width="22.88"/>
    <col customWidth="1" min="8" max="8" width="22.5"/>
    <col customWidth="1" min="9" max="9" width="110.1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B2" s="5" t="s">
        <v>2</v>
      </c>
      <c r="C2" s="2"/>
      <c r="D2" s="6"/>
      <c r="E2" s="7" t="s">
        <v>3</v>
      </c>
      <c r="F2" s="6"/>
      <c r="G2" s="8" t="s">
        <v>4</v>
      </c>
      <c r="H2" s="8" t="s">
        <v>5</v>
      </c>
      <c r="I2" s="9" t="s">
        <v>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0"/>
      <c r="B3" s="11" t="s">
        <v>7</v>
      </c>
      <c r="C3" s="11" t="s">
        <v>8</v>
      </c>
      <c r="D3" s="11" t="s">
        <v>9</v>
      </c>
      <c r="E3" s="12" t="s">
        <v>7</v>
      </c>
      <c r="F3" s="12" t="s">
        <v>8</v>
      </c>
      <c r="G3" s="6"/>
      <c r="H3" s="6"/>
      <c r="I3" s="6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42.0" customHeight="1">
      <c r="A4" s="39">
        <v>243485.0</v>
      </c>
      <c r="B4" s="28">
        <v>36.0</v>
      </c>
      <c r="C4" s="40">
        <v>240365.0</v>
      </c>
      <c r="D4" s="28">
        <v>240365.0</v>
      </c>
      <c r="E4" s="28">
        <v>36.0</v>
      </c>
      <c r="F4" s="28">
        <v>240365.0</v>
      </c>
      <c r="G4" s="29">
        <f t="shared" ref="G4:G12" si="1">D4-F4</f>
        <v>0</v>
      </c>
      <c r="H4" s="30" t="s">
        <v>12</v>
      </c>
      <c r="I4" s="31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42.0" customHeight="1">
      <c r="A5" s="39">
        <v>243486.0</v>
      </c>
      <c r="B5" s="28">
        <v>65.0</v>
      </c>
      <c r="C5" s="28">
        <v>596970.0</v>
      </c>
      <c r="D5" s="28">
        <v>596970.0</v>
      </c>
      <c r="E5" s="28">
        <v>65.0</v>
      </c>
      <c r="F5" s="28">
        <v>596970.0</v>
      </c>
      <c r="G5" s="29">
        <f t="shared" si="1"/>
        <v>0</v>
      </c>
      <c r="H5" s="30" t="s">
        <v>17</v>
      </c>
      <c r="I5" s="31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42.0" customHeight="1">
      <c r="A6" s="27">
        <v>24341.0</v>
      </c>
      <c r="B6" s="28">
        <v>79.0</v>
      </c>
      <c r="C6" s="28">
        <v>702805.0</v>
      </c>
      <c r="D6" s="28">
        <v>702805.0</v>
      </c>
      <c r="E6" s="28">
        <v>79.0</v>
      </c>
      <c r="F6" s="28">
        <v>702805.0</v>
      </c>
      <c r="G6" s="29">
        <f t="shared" si="1"/>
        <v>0</v>
      </c>
      <c r="H6" s="30" t="s">
        <v>17</v>
      </c>
      <c r="I6" s="31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42.0" customHeight="1">
      <c r="A7" s="27">
        <v>24342.0</v>
      </c>
      <c r="B7" s="28">
        <v>62.0</v>
      </c>
      <c r="C7" s="28">
        <v>421315.0</v>
      </c>
      <c r="D7" s="28">
        <v>421315.0</v>
      </c>
      <c r="E7" s="28">
        <v>62.0</v>
      </c>
      <c r="F7" s="28">
        <v>421315.0</v>
      </c>
      <c r="G7" s="29">
        <f t="shared" si="1"/>
        <v>0</v>
      </c>
      <c r="H7" s="30" t="s">
        <v>17</v>
      </c>
      <c r="I7" s="31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42.0" customHeight="1">
      <c r="A8" s="27">
        <v>24343.0</v>
      </c>
      <c r="B8" s="28">
        <v>74.0</v>
      </c>
      <c r="C8" s="28">
        <v>493135.0</v>
      </c>
      <c r="D8" s="28">
        <v>493135.0</v>
      </c>
      <c r="E8" s="28">
        <v>74.0</v>
      </c>
      <c r="F8" s="28">
        <v>493935.0</v>
      </c>
      <c r="G8" s="29">
        <f t="shared" si="1"/>
        <v>-800</v>
      </c>
      <c r="H8" s="30" t="s">
        <v>12</v>
      </c>
      <c r="I8" s="41" t="s">
        <v>19</v>
      </c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42.0" customHeight="1">
      <c r="A9" s="27">
        <v>24344.0</v>
      </c>
      <c r="B9" s="28">
        <v>69.0</v>
      </c>
      <c r="C9" s="28">
        <v>561775.0</v>
      </c>
      <c r="D9" s="28">
        <v>561775.0</v>
      </c>
      <c r="E9" s="28">
        <v>69.0</v>
      </c>
      <c r="F9" s="28">
        <v>561775.0</v>
      </c>
      <c r="G9" s="29">
        <f t="shared" si="1"/>
        <v>0</v>
      </c>
      <c r="H9" s="30" t="s">
        <v>12</v>
      </c>
      <c r="I9" s="31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42.0" customHeight="1">
      <c r="A10" s="27">
        <v>24345.0</v>
      </c>
      <c r="B10" s="28">
        <v>73.0</v>
      </c>
      <c r="C10" s="28">
        <v>537295.0</v>
      </c>
      <c r="D10" s="28">
        <v>537295.0</v>
      </c>
      <c r="E10" s="28">
        <v>73.0</v>
      </c>
      <c r="F10" s="28">
        <v>537295.0</v>
      </c>
      <c r="G10" s="29">
        <f t="shared" si="1"/>
        <v>0</v>
      </c>
      <c r="H10" s="30" t="s">
        <v>12</v>
      </c>
      <c r="I10" s="31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42.0" customHeight="1">
      <c r="A11" s="27">
        <v>24346.0</v>
      </c>
      <c r="B11" s="28">
        <v>44.0</v>
      </c>
      <c r="C11" s="28">
        <v>229950.0</v>
      </c>
      <c r="D11" s="28">
        <v>229950.0</v>
      </c>
      <c r="E11" s="28">
        <v>44.0</v>
      </c>
      <c r="F11" s="28">
        <v>229950.0</v>
      </c>
      <c r="G11" s="29">
        <f t="shared" si="1"/>
        <v>0</v>
      </c>
      <c r="H11" s="30" t="s">
        <v>12</v>
      </c>
      <c r="I11" s="42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42.0" customHeight="1">
      <c r="A12" s="27">
        <v>24347.0</v>
      </c>
      <c r="B12" s="28">
        <v>71.0</v>
      </c>
      <c r="C12" s="34">
        <v>432180.0</v>
      </c>
      <c r="D12" s="34">
        <v>432180.0</v>
      </c>
      <c r="E12" s="28">
        <v>71.0</v>
      </c>
      <c r="F12" s="28">
        <v>432180.0</v>
      </c>
      <c r="G12" s="29">
        <f t="shared" si="1"/>
        <v>0</v>
      </c>
      <c r="H12" s="30" t="s">
        <v>12</v>
      </c>
      <c r="I12" s="42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42.0" customHeight="1">
      <c r="A13" s="43">
        <v>24348.0</v>
      </c>
      <c r="B13" s="44">
        <v>63.0</v>
      </c>
      <c r="C13" s="45">
        <v>433100.0</v>
      </c>
      <c r="D13" s="45">
        <v>433100.0</v>
      </c>
      <c r="E13" s="44">
        <v>63.0</v>
      </c>
      <c r="F13" s="44">
        <v>433100.0</v>
      </c>
      <c r="G13" s="46"/>
      <c r="H13" s="30" t="s">
        <v>17</v>
      </c>
      <c r="I13" s="42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</sheetData>
  <mergeCells count="7">
    <mergeCell ref="A1:I1"/>
    <mergeCell ref="A2:A3"/>
    <mergeCell ref="B2:D2"/>
    <mergeCell ref="E2:F2"/>
    <mergeCell ref="G2:G3"/>
    <mergeCell ref="H2:H3"/>
    <mergeCell ref="I2:I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2.13"/>
    <col customWidth="1" min="2" max="2" width="18.13"/>
    <col customWidth="1" min="3" max="3" width="35.88"/>
    <col customWidth="1" min="4" max="4" width="28.88"/>
    <col customWidth="1" min="5" max="5" width="21.5"/>
    <col customWidth="1" min="6" max="6" width="42.63"/>
    <col customWidth="1" min="7" max="7" width="22.88"/>
    <col customWidth="1" min="8" max="8" width="22.5"/>
    <col customWidth="1" min="9" max="9" width="110.1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B2" s="5" t="s">
        <v>2</v>
      </c>
      <c r="C2" s="2"/>
      <c r="D2" s="6"/>
      <c r="E2" s="7" t="s">
        <v>3</v>
      </c>
      <c r="F2" s="6"/>
      <c r="G2" s="8" t="s">
        <v>4</v>
      </c>
      <c r="H2" s="8" t="s">
        <v>5</v>
      </c>
      <c r="I2" s="9" t="s">
        <v>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0"/>
      <c r="B3" s="11" t="s">
        <v>7</v>
      </c>
      <c r="C3" s="11" t="s">
        <v>8</v>
      </c>
      <c r="D3" s="11" t="s">
        <v>9</v>
      </c>
      <c r="E3" s="12" t="s">
        <v>7</v>
      </c>
      <c r="F3" s="12" t="s">
        <v>8</v>
      </c>
      <c r="G3" s="6"/>
      <c r="H3" s="6"/>
      <c r="I3" s="6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42.0" customHeight="1">
      <c r="A4" s="39">
        <v>243495.0</v>
      </c>
      <c r="B4" s="28">
        <v>82.0</v>
      </c>
      <c r="C4" s="40">
        <v>543640.0</v>
      </c>
      <c r="D4" s="28">
        <v>543640.0</v>
      </c>
      <c r="E4" s="28">
        <v>82.0</v>
      </c>
      <c r="F4" s="28">
        <v>543640.0</v>
      </c>
      <c r="G4" s="36">
        <f t="shared" ref="G4:G5" si="1">D4-F4</f>
        <v>0</v>
      </c>
      <c r="H4" s="30" t="s">
        <v>12</v>
      </c>
      <c r="I4" s="30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42.0" customHeight="1">
      <c r="A5" s="39">
        <v>24350.0</v>
      </c>
      <c r="B5" s="28">
        <v>100.0</v>
      </c>
      <c r="C5" s="28">
        <v>913745.0</v>
      </c>
      <c r="D5" s="28">
        <v>913745.0</v>
      </c>
      <c r="E5" s="28">
        <v>100.0</v>
      </c>
      <c r="F5" s="28">
        <v>913745.0</v>
      </c>
      <c r="G5" s="36">
        <f t="shared" si="1"/>
        <v>0</v>
      </c>
      <c r="H5" s="30" t="s">
        <v>17</v>
      </c>
      <c r="I5" s="31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42.0" customHeight="1">
      <c r="A6" s="27"/>
      <c r="B6" s="28"/>
      <c r="C6" s="28"/>
      <c r="D6" s="28"/>
      <c r="E6" s="28"/>
      <c r="F6" s="28"/>
      <c r="G6" s="29"/>
      <c r="H6" s="30"/>
      <c r="I6" s="31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42.0" customHeight="1">
      <c r="A7" s="27"/>
      <c r="B7" s="28"/>
      <c r="C7" s="28"/>
      <c r="D7" s="28"/>
      <c r="E7" s="28"/>
      <c r="F7" s="28"/>
      <c r="G7" s="29"/>
      <c r="H7" s="30"/>
      <c r="I7" s="31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42.0" customHeight="1">
      <c r="A8" s="27"/>
      <c r="B8" s="28"/>
      <c r="C8" s="28"/>
      <c r="D8" s="28"/>
      <c r="E8" s="28"/>
      <c r="F8" s="28"/>
      <c r="G8" s="29"/>
      <c r="H8" s="30"/>
      <c r="I8" s="41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42.0" customHeight="1">
      <c r="A9" s="27"/>
      <c r="B9" s="28"/>
      <c r="C9" s="28"/>
      <c r="D9" s="28"/>
      <c r="E9" s="28"/>
      <c r="F9" s="28"/>
      <c r="G9" s="29"/>
      <c r="H9" s="30"/>
      <c r="I9" s="31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42.0" customHeight="1">
      <c r="A10" s="27"/>
      <c r="B10" s="28"/>
      <c r="C10" s="28"/>
      <c r="D10" s="28"/>
      <c r="E10" s="28"/>
      <c r="F10" s="28"/>
      <c r="G10" s="29"/>
      <c r="H10" s="30"/>
      <c r="I10" s="31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42.0" customHeight="1">
      <c r="A11" s="27"/>
      <c r="B11" s="28"/>
      <c r="C11" s="28"/>
      <c r="D11" s="28"/>
      <c r="E11" s="28"/>
      <c r="F11" s="28"/>
      <c r="G11" s="29"/>
      <c r="H11" s="30"/>
      <c r="I11" s="42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42.0" customHeight="1">
      <c r="A12" s="27"/>
      <c r="B12" s="28"/>
      <c r="C12" s="34"/>
      <c r="D12" s="34"/>
      <c r="E12" s="28"/>
      <c r="F12" s="28"/>
      <c r="G12" s="29"/>
      <c r="H12" s="30"/>
      <c r="I12" s="42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42.0" customHeight="1">
      <c r="A13" s="43"/>
      <c r="B13" s="44"/>
      <c r="C13" s="45"/>
      <c r="D13" s="45"/>
      <c r="E13" s="44"/>
      <c r="F13" s="44"/>
      <c r="G13" s="46"/>
      <c r="H13" s="30"/>
      <c r="I13" s="42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</sheetData>
  <mergeCells count="7">
    <mergeCell ref="A1:I1"/>
    <mergeCell ref="A2:A3"/>
    <mergeCell ref="B2:D2"/>
    <mergeCell ref="E2:F2"/>
    <mergeCell ref="G2:G3"/>
    <mergeCell ref="H2:H3"/>
    <mergeCell ref="I2:I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
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 ชีต2" sheetId="2" r:id="rId5"/>
  </sheets>
  <definedNames/>
  <calcPr/>
</workbook>
</file>

<file path=xl/sharedStrings.xml><?xml version="1.0" encoding="utf-8"?>
<sst xmlns="http://schemas.openxmlformats.org/spreadsheetml/2006/main" count="62" uniqueCount="23">
  <si>
    <t>ตรวจบิล ม.ค  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</si>
  <si>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</si>
  <si>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</si>
  <si>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</si>
  <si>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</si>
  <si>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</si>
  <si>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</si>
  <si>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</si>
  <si>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</si>
  <si>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</si>
  <si>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29-3/01/66</t>
  </si>
  <si>
    <t>พี่นี</t>
  </si>
  <si>
    <t>พี่ี่เกษ</t>
  </si>
  <si>
    <t>ปูน</t>
  </si>
  <si>
    <t>พี่เกษ</t>
  </si>
  <si>
    <t>เอิง</t>
  </si>
  <si>
    <t>ผลต่าง 5000 บาท จากบิล         STHBKK012301000321 วันที่ 6/1/66</t>
  </si>
  <si>
    <t>ผลต่าง 3200 บาท จากบิลยกเลิก STHONLIN2301000132  8/1/66</t>
  </si>
  <si>
    <t xml:space="preserve">ผลต่าง 1400  บาท จากบิลยกเลิก STHBKK012301000569  9/1/66 </t>
  </si>
  <si>
    <t>ผลต่าง 25000 บาท จากบิลยกเลิก  15/1/66  STHBKK012301000976</t>
  </si>
  <si>
    <t>.</t>
  </si>
  <si>
    <t>ผลต่าง 69500  บาท จากบิล  STHBKK012301001408 22/1/66</t>
  </si>
  <si>
    <t>ผลต่าง 48400  บาท จากบิล  STHBKK012301001682 26/1/66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</si>
</sst>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#,###_);\(#,###\)"/>
  </numFmts>
  <fonts count="13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8.0"/>
      <color theme="1"/>
      <name val="Calibri"/>
    </font>
    <font>
      <sz val="18.0"/>
      <color rgb="FFFF0000"/>
      <name val="Calibri"/>
    </font>
    <font>
      <sz val="16.0"/>
      <color theme="1"/>
      <name val="Arial"/>
    </font>
    <font>
      <sz val="17.0"/>
      <color theme="1"/>
      <name val="Calibri"/>
    </font>
    <font>
      <b/>
      <u/>
      <sz val="18.0"/>
      <color theme="1"/>
      <name val="Calibri"/>
    </font>
    <font>
      <b/>
      <u/>
      <sz val="18.0"/>
      <color theme="1"/>
      <name val="Calibri"/>
    </font>
    <font>
      <b/>
      <u/>
      <sz val="18.0"/>
      <color theme="1"/>
      <name val="Calibri"/>
    </font>
    <font>
      <b/>
      <u/>
      <sz val="18.0"/>
      <color theme="1"/>
      <name val="Calibri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6" fillId="6" fontId="4" numFmtId="0" xfId="0" applyAlignment="1" applyBorder="1" applyFill="1" applyFont="1">
      <alignment horizontal="center" readingOrder="0" vertical="bottom"/>
    </xf>
    <xf borderId="6" fillId="6" fontId="4" numFmtId="38" xfId="0" applyAlignment="1" applyBorder="1" applyFont="1" applyNumberFormat="1">
      <alignment horizontal="center" readingOrder="0" vertical="bottom"/>
    </xf>
    <xf borderId="6" fillId="6" fontId="4" numFmtId="38" xfId="0" applyAlignment="1" applyBorder="1" applyFont="1" applyNumberFormat="1">
      <alignment horizontal="right" readingOrder="0" vertical="bottom"/>
    </xf>
    <xf borderId="6" fillId="6" fontId="5" numFmtId="164" xfId="0" applyAlignment="1" applyBorder="1" applyFont="1" applyNumberFormat="1">
      <alignment horizontal="left" vertical="bottom"/>
    </xf>
    <xf borderId="6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6" fillId="6" fontId="4" numFmtId="165" xfId="0" applyAlignment="1" applyBorder="1" applyFont="1" applyNumberFormat="1">
      <alignment horizontal="center" readingOrder="0" vertical="bottom"/>
    </xf>
    <xf borderId="6" fillId="6" fontId="4" numFmtId="164" xfId="0" applyAlignment="1" applyBorder="1" applyFont="1" applyNumberFormat="1">
      <alignment horizontal="right" vertical="bottom"/>
    </xf>
    <xf borderId="3" fillId="6" fontId="4" numFmtId="164" xfId="0" applyAlignment="1" applyBorder="1" applyFont="1" applyNumberFormat="1">
      <alignment horizontal="right" vertical="bottom"/>
    </xf>
    <xf borderId="6" fillId="6" fontId="4" numFmtId="38" xfId="0" applyAlignment="1" applyBorder="1" applyFont="1" applyNumberFormat="1">
      <alignment horizontal="center" vertical="bottom"/>
    </xf>
    <xf borderId="6" fillId="6" fontId="4" numFmtId="164" xfId="0" applyAlignment="1" applyBorder="1" applyFont="1" applyNumberFormat="1">
      <alignment horizontal="right" readingOrder="0" vertical="bottom"/>
    </xf>
    <xf borderId="6" fillId="6" fontId="5" numFmtId="164" xfId="0" applyAlignment="1" applyBorder="1" applyFont="1" applyNumberFormat="1">
      <alignment horizontal="center" vertical="bottom"/>
    </xf>
    <xf borderId="6" fillId="6" fontId="4" numFmtId="0" xfId="0" applyAlignment="1" applyBorder="1" applyFont="1">
      <alignment vertical="bottom"/>
    </xf>
    <xf borderId="6" fillId="6" fontId="4" numFmtId="0" xfId="0" applyAlignment="1" applyBorder="1" applyFont="1">
      <alignment readingOrder="0" vertical="bottom"/>
    </xf>
    <xf borderId="3" fillId="6" fontId="4" numFmtId="166" xfId="0" applyAlignment="1" applyBorder="1" applyFont="1" applyNumberFormat="1">
      <alignment horizontal="center" vertical="bottom"/>
    </xf>
    <xf borderId="6" fillId="6" fontId="6" numFmtId="38" xfId="0" applyAlignment="1" applyBorder="1" applyFont="1" applyNumberFormat="1">
      <alignment horizontal="center" readingOrder="0" vertical="bottom"/>
    </xf>
    <xf borderId="5" fillId="6" fontId="7" numFmtId="38" xfId="0" applyAlignment="1" applyBorder="1" applyFont="1" applyNumberFormat="1">
      <alignment horizontal="center" vertical="bottom"/>
    </xf>
    <xf borderId="6" fillId="6" fontId="4" numFmtId="164" xfId="0" applyAlignment="1" applyBorder="1" applyFont="1" applyNumberFormat="1">
      <alignment horizontal="center" vertical="bottom"/>
    </xf>
    <xf borderId="6" fillId="6" fontId="6" numFmtId="0" xfId="0" applyAlignment="1" applyBorder="1" applyFont="1">
      <alignment readingOrder="0" vertical="bottom"/>
    </xf>
    <xf borderId="7" fillId="6" fontId="8" numFmtId="0" xfId="0" applyAlignment="1" applyBorder="1" applyFont="1">
      <alignment horizontal="center" vertical="bottom"/>
    </xf>
    <xf borderId="8" fillId="6" fontId="9" numFmtId="0" xfId="0" applyAlignment="1" applyBorder="1" applyFont="1">
      <alignment horizontal="center" vertical="bottom"/>
    </xf>
    <xf borderId="9" fillId="6" fontId="10" numFmtId="38" xfId="0" applyAlignment="1" applyBorder="1" applyFont="1" applyNumberFormat="1">
      <alignment horizontal="center" vertical="bottom"/>
    </xf>
    <xf borderId="3" fillId="6" fontId="11" numFmtId="38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vertical="bottom"/>
    </xf>
    <xf borderId="6" fillId="6" fontId="4" numFmtId="38" xfId="0" applyAlignment="1" applyBorder="1" applyFont="1" applyNumberFormat="1">
      <alignment horizontal="right" vertical="bottom"/>
    </xf>
    <xf borderId="6" fillId="6" fontId="12" numFmtId="0" xfId="0" applyAlignment="1" applyBorder="1" applyFont="1">
      <alignment readingOrder="0" vertical="bottom"/>
    </xf>
    <xf borderId="6" fillId="6" fontId="6" numFmtId="38" xfId="0" applyAlignment="1" applyBorder="1" applyFont="1" applyNumberFormat="1">
      <alignment horizontal="center" vertical="bottom"/>
    </xf>
    <xf borderId="5" fillId="6" fontId="7" numFmtId="38" xfId="0" applyAlignment="1" applyBorder="1" applyFont="1" applyNumberFormat="1">
      <alignment horizontal="center" readingOrder="0" vertical="bottom"/>
    </xf>
    <xf borderId="6" fillId="6" fontId="4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75"/>
    <col customWidth="1" min="3" max="3" width="14.38"/>
    <col customWidth="1" min="4" max="4" width="14.13"/>
    <col customWidth="1" min="6" max="6" width="16.13"/>
    <col customWidth="1" min="8" max="8" width="17.0"/>
    <col customWidth="1" min="9" max="9" width="10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72.0</v>
      </c>
      <c r="C4" s="15">
        <v>539985.0</v>
      </c>
      <c r="D4" s="15">
        <v>539985.0</v>
      </c>
      <c r="E4" s="14">
        <v>72.0</v>
      </c>
      <c r="F4" s="14">
        <v>539985.0</v>
      </c>
      <c r="G4" s="16"/>
      <c r="H4" s="13" t="s">
        <v>11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24111.0</v>
      </c>
      <c r="B5" s="14">
        <v>94.0</v>
      </c>
      <c r="C5" s="20">
        <v>680907.0</v>
      </c>
      <c r="D5" s="21">
        <v>680907.0</v>
      </c>
      <c r="E5" s="14">
        <v>94.0</v>
      </c>
      <c r="F5" s="22">
        <v>680907.0</v>
      </c>
      <c r="G5" s="16"/>
      <c r="H5" s="13" t="s">
        <v>12</v>
      </c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>
        <v>24112.0</v>
      </c>
      <c r="B6" s="14">
        <v>92.0</v>
      </c>
      <c r="C6" s="23">
        <v>672280.0</v>
      </c>
      <c r="D6" s="23">
        <v>672280.0</v>
      </c>
      <c r="E6" s="14">
        <v>92.0</v>
      </c>
      <c r="F6" s="14">
        <v>672280.0</v>
      </c>
      <c r="G6" s="24"/>
      <c r="H6" s="13" t="s">
        <v>13</v>
      </c>
      <c r="I6" s="25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>
        <v>24113.0</v>
      </c>
      <c r="B7" s="14">
        <v>67.0</v>
      </c>
      <c r="C7" s="23">
        <v>364610.0</v>
      </c>
      <c r="D7" s="23">
        <v>364610.0</v>
      </c>
      <c r="E7" s="14">
        <v>67.0</v>
      </c>
      <c r="F7" s="14">
        <v>364610.0</v>
      </c>
      <c r="G7" s="24"/>
      <c r="H7" s="13" t="s">
        <v>14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>
        <v>24114.0</v>
      </c>
      <c r="B8" s="14">
        <v>71.0</v>
      </c>
      <c r="C8" s="15">
        <v>502588.0</v>
      </c>
      <c r="D8" s="15">
        <v>502588.0</v>
      </c>
      <c r="E8" s="14">
        <v>71.0</v>
      </c>
      <c r="F8" s="14">
        <v>507588.0</v>
      </c>
      <c r="G8" s="24">
        <f t="shared" ref="G8:G11" si="1">D8-F8</f>
        <v>-5000</v>
      </c>
      <c r="H8" s="13" t="s">
        <v>15</v>
      </c>
      <c r="I8" s="26" t="s">
        <v>16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>
        <v>24115.0</v>
      </c>
      <c r="B9" s="14">
        <v>52.0</v>
      </c>
      <c r="C9" s="14">
        <v>448839.0</v>
      </c>
      <c r="D9" s="14">
        <v>448839.0</v>
      </c>
      <c r="E9" s="14">
        <v>52.0</v>
      </c>
      <c r="F9" s="22">
        <v>448839.0</v>
      </c>
      <c r="G9" s="24">
        <f t="shared" si="1"/>
        <v>0</v>
      </c>
      <c r="H9" s="13" t="s">
        <v>13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>
        <v>24116.0</v>
      </c>
      <c r="B10" s="14">
        <v>78.0</v>
      </c>
      <c r="C10" s="22">
        <v>433185.0</v>
      </c>
      <c r="D10" s="22">
        <v>433185.0</v>
      </c>
      <c r="E10" s="14">
        <v>78.0</v>
      </c>
      <c r="F10" s="27">
        <v>436385.0</v>
      </c>
      <c r="G10" s="24">
        <f t="shared" si="1"/>
        <v>-3200</v>
      </c>
      <c r="H10" s="13" t="s">
        <v>13</v>
      </c>
      <c r="I10" s="26" t="s">
        <v>17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>
        <v>24117.0</v>
      </c>
      <c r="B11" s="14">
        <v>91.0</v>
      </c>
      <c r="C11" s="22">
        <v>650535.0</v>
      </c>
      <c r="D11" s="22">
        <v>650535.0</v>
      </c>
      <c r="E11" s="14">
        <v>91.0</v>
      </c>
      <c r="F11" s="14">
        <v>651935.0</v>
      </c>
      <c r="G11" s="24">
        <f t="shared" si="1"/>
        <v>-1400</v>
      </c>
      <c r="H11" s="13" t="s">
        <v>13</v>
      </c>
      <c r="I11" s="26" t="s">
        <v>18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>
        <v>24118.0</v>
      </c>
      <c r="B12" s="14">
        <v>48.0</v>
      </c>
      <c r="C12" s="28">
        <v>431475.0</v>
      </c>
      <c r="D12" s="28">
        <v>431475.0</v>
      </c>
      <c r="E12" s="29">
        <v>48.0</v>
      </c>
      <c r="F12" s="28">
        <v>431475.0</v>
      </c>
      <c r="G12" s="24"/>
      <c r="H12" s="13" t="s">
        <v>15</v>
      </c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>
        <v>24119.0</v>
      </c>
      <c r="B13" s="14">
        <v>67.0</v>
      </c>
      <c r="C13" s="22">
        <v>438064.0</v>
      </c>
      <c r="D13" s="22">
        <v>438064.0</v>
      </c>
      <c r="E13" s="14">
        <v>67.0</v>
      </c>
      <c r="F13" s="22">
        <v>438064.0</v>
      </c>
      <c r="G13" s="24">
        <f t="shared" ref="G13:G19" si="2">D13-F13</f>
        <v>0</v>
      </c>
      <c r="H13" s="13" t="s">
        <v>13</v>
      </c>
      <c r="I13" s="25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>
        <v>24120.0</v>
      </c>
      <c r="B14" s="14">
        <v>63.0</v>
      </c>
      <c r="C14" s="22">
        <v>433695.0</v>
      </c>
      <c r="D14" s="30">
        <v>433695.0</v>
      </c>
      <c r="E14" s="14">
        <v>63.0</v>
      </c>
      <c r="F14" s="22">
        <v>433695.0</v>
      </c>
      <c r="G14" s="24">
        <f t="shared" si="2"/>
        <v>0</v>
      </c>
      <c r="H14" s="13" t="s">
        <v>13</v>
      </c>
      <c r="I14" s="25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>
        <v>24121.0</v>
      </c>
      <c r="B15" s="14">
        <v>53.0</v>
      </c>
      <c r="C15" s="14">
        <v>490930.0</v>
      </c>
      <c r="D15" s="14">
        <v>490930.0</v>
      </c>
      <c r="E15" s="14">
        <v>53.0</v>
      </c>
      <c r="F15" s="14">
        <v>490930.0</v>
      </c>
      <c r="G15" s="24">
        <f t="shared" si="2"/>
        <v>0</v>
      </c>
      <c r="H15" s="13" t="s">
        <v>14</v>
      </c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>
        <v>24122.0</v>
      </c>
      <c r="B16" s="14">
        <v>52.0</v>
      </c>
      <c r="C16" s="22">
        <v>347956.0</v>
      </c>
      <c r="D16" s="22">
        <v>347956.0</v>
      </c>
      <c r="E16" s="14">
        <v>52.0</v>
      </c>
      <c r="F16" s="22">
        <v>347956.0</v>
      </c>
      <c r="G16" s="24">
        <f t="shared" si="2"/>
        <v>0</v>
      </c>
      <c r="H16" s="13" t="s">
        <v>14</v>
      </c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>
        <v>24123.0</v>
      </c>
      <c r="B17" s="14">
        <v>63.0</v>
      </c>
      <c r="C17" s="14">
        <v>407620.0</v>
      </c>
      <c r="D17" s="22">
        <v>407620.0</v>
      </c>
      <c r="E17" s="14">
        <v>63.0</v>
      </c>
      <c r="F17" s="14">
        <v>432620.0</v>
      </c>
      <c r="G17" s="24">
        <f t="shared" si="2"/>
        <v>-25000</v>
      </c>
      <c r="H17" s="13" t="s">
        <v>14</v>
      </c>
      <c r="I17" s="31" t="s">
        <v>19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>
        <v>24124.0</v>
      </c>
      <c r="B18" s="14">
        <v>50.0</v>
      </c>
      <c r="C18" s="22">
        <v>302945.0</v>
      </c>
      <c r="D18" s="22">
        <v>302945.0</v>
      </c>
      <c r="E18" s="14">
        <v>50.0</v>
      </c>
      <c r="F18" s="22">
        <v>302945.0</v>
      </c>
      <c r="G18" s="24">
        <f t="shared" si="2"/>
        <v>0</v>
      </c>
      <c r="H18" s="13" t="s">
        <v>11</v>
      </c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2"/>
      <c r="B19" s="33"/>
      <c r="C19" s="34">
        <f t="shared" ref="C19:D19" si="3">SUM(C4:C18)</f>
        <v>7145614</v>
      </c>
      <c r="D19" s="35">
        <f t="shared" si="3"/>
        <v>7145614</v>
      </c>
      <c r="E19" s="36"/>
      <c r="F19" s="35">
        <f>SUM(F4:F18)</f>
        <v>7180214</v>
      </c>
      <c r="G19" s="24">
        <f t="shared" si="2"/>
        <v>-34600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75"/>
    <col customWidth="1" min="3" max="3" width="14.38"/>
    <col customWidth="1" min="4" max="4" width="14.13"/>
    <col customWidth="1" min="6" max="6" width="16.13"/>
    <col customWidth="1" min="8" max="8" width="15.0"/>
    <col customWidth="1" min="9" max="9" width="9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9">
        <v>24125.0</v>
      </c>
      <c r="B4" s="14">
        <v>43.0</v>
      </c>
      <c r="C4" s="37">
        <v>334060.0</v>
      </c>
      <c r="D4" s="15">
        <v>334060.0</v>
      </c>
      <c r="E4" s="14">
        <v>43.0</v>
      </c>
      <c r="F4" s="15">
        <v>334060.0</v>
      </c>
      <c r="G4" s="16">
        <f t="shared" ref="G4:G5" si="1">SUM(D4-F4)</f>
        <v>0</v>
      </c>
      <c r="H4" s="13" t="s">
        <v>14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24126.0</v>
      </c>
      <c r="B5" s="14">
        <v>51.0</v>
      </c>
      <c r="C5" s="23">
        <v>502155.0</v>
      </c>
      <c r="D5" s="23">
        <v>502155.0</v>
      </c>
      <c r="E5" s="14">
        <v>51.0</v>
      </c>
      <c r="F5" s="23">
        <v>502155.0</v>
      </c>
      <c r="G5" s="16">
        <f t="shared" si="1"/>
        <v>0</v>
      </c>
      <c r="H5" s="13" t="s">
        <v>14</v>
      </c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>
        <v>24127.0</v>
      </c>
      <c r="B6" s="14">
        <v>52.0</v>
      </c>
      <c r="C6" s="23">
        <v>369500.0</v>
      </c>
      <c r="D6" s="23">
        <v>369500.0</v>
      </c>
      <c r="E6" s="14">
        <v>52.0</v>
      </c>
      <c r="F6" s="15">
        <v>369500.0</v>
      </c>
      <c r="G6" s="16"/>
      <c r="H6" s="13" t="s">
        <v>14</v>
      </c>
      <c r="I6" s="25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>
        <v>24128.0</v>
      </c>
      <c r="B7" s="14">
        <v>48.0</v>
      </c>
      <c r="C7" s="23">
        <v>376039.0</v>
      </c>
      <c r="D7" s="23">
        <v>376039.0</v>
      </c>
      <c r="E7" s="14">
        <v>48.0</v>
      </c>
      <c r="F7" s="23">
        <v>376039.0</v>
      </c>
      <c r="G7" s="16">
        <f t="shared" ref="G7:G19" si="2">SUM(D7-F7)</f>
        <v>0</v>
      </c>
      <c r="H7" s="13" t="s">
        <v>15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>
        <v>24129.0</v>
      </c>
      <c r="B8" s="14">
        <v>45.0</v>
      </c>
      <c r="C8" s="37">
        <v>601950.0</v>
      </c>
      <c r="D8" s="37">
        <v>601950.0</v>
      </c>
      <c r="E8" s="14">
        <v>45.0</v>
      </c>
      <c r="F8" s="37">
        <v>601950.0</v>
      </c>
      <c r="G8" s="16">
        <f t="shared" si="2"/>
        <v>0</v>
      </c>
      <c r="H8" s="13" t="s">
        <v>14</v>
      </c>
      <c r="I8" s="2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>
        <v>23765.0</v>
      </c>
      <c r="B9" s="14">
        <v>71.0</v>
      </c>
      <c r="C9" s="22">
        <v>656070.0</v>
      </c>
      <c r="D9" s="22">
        <v>656070.0</v>
      </c>
      <c r="E9" s="14">
        <v>71.0</v>
      </c>
      <c r="F9" s="14">
        <v>725570.0</v>
      </c>
      <c r="G9" s="16">
        <f t="shared" si="2"/>
        <v>-69500</v>
      </c>
      <c r="H9" s="13" t="s">
        <v>14</v>
      </c>
      <c r="I9" s="38" t="s">
        <v>21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>
        <v>24131.0</v>
      </c>
      <c r="B10" s="14">
        <v>62.0</v>
      </c>
      <c r="C10" s="22">
        <v>547978.0</v>
      </c>
      <c r="D10" s="22">
        <v>547978.0</v>
      </c>
      <c r="E10" s="14">
        <v>62.0</v>
      </c>
      <c r="F10" s="27">
        <v>547978.0</v>
      </c>
      <c r="G10" s="16">
        <f t="shared" si="2"/>
        <v>0</v>
      </c>
      <c r="H10" s="13" t="s">
        <v>14</v>
      </c>
      <c r="I10" s="26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>
        <v>24132.0</v>
      </c>
      <c r="B11" s="14">
        <v>49.0</v>
      </c>
      <c r="C11" s="14">
        <v>385455.0</v>
      </c>
      <c r="D11" s="14">
        <v>385455.0</v>
      </c>
      <c r="E11" s="14">
        <v>49.0</v>
      </c>
      <c r="F11" s="14">
        <v>385455.0</v>
      </c>
      <c r="G11" s="16">
        <f t="shared" si="2"/>
        <v>0</v>
      </c>
      <c r="H11" s="13" t="s">
        <v>14</v>
      </c>
      <c r="I11" s="26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>
        <v>24133.0</v>
      </c>
      <c r="B12" s="14">
        <v>60.0</v>
      </c>
      <c r="C12" s="39">
        <v>662485.0</v>
      </c>
      <c r="D12" s="39">
        <v>662485.0</v>
      </c>
      <c r="E12" s="40">
        <v>60.0</v>
      </c>
      <c r="F12" s="39">
        <v>662485.0</v>
      </c>
      <c r="G12" s="16">
        <f t="shared" si="2"/>
        <v>0</v>
      </c>
      <c r="H12" s="13" t="s">
        <v>15</v>
      </c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>
        <v>24134.0</v>
      </c>
      <c r="B13" s="14">
        <v>56.0</v>
      </c>
      <c r="C13" s="14">
        <v>563935.0</v>
      </c>
      <c r="D13" s="14">
        <v>563935.0</v>
      </c>
      <c r="E13" s="14">
        <v>56.0</v>
      </c>
      <c r="F13" s="14">
        <v>612335.0</v>
      </c>
      <c r="G13" s="16">
        <f t="shared" si="2"/>
        <v>-48400</v>
      </c>
      <c r="H13" s="13" t="s">
        <v>15</v>
      </c>
      <c r="I13" s="26" t="s">
        <v>22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>
        <v>24135.0</v>
      </c>
      <c r="B14" s="14">
        <v>56.0</v>
      </c>
      <c r="C14" s="14">
        <v>449775.0</v>
      </c>
      <c r="D14" s="41">
        <v>449775.0</v>
      </c>
      <c r="E14" s="14">
        <v>56.0</v>
      </c>
      <c r="F14" s="14">
        <v>449775.0</v>
      </c>
      <c r="G14" s="16">
        <f t="shared" si="2"/>
        <v>0</v>
      </c>
      <c r="H14" s="13" t="s">
        <v>15</v>
      </c>
      <c r="I14" s="25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>
        <v>24136.0</v>
      </c>
      <c r="B15" s="14">
        <v>47.0</v>
      </c>
      <c r="C15" s="14">
        <v>425575.0</v>
      </c>
      <c r="D15" s="14">
        <v>425575.0</v>
      </c>
      <c r="E15" s="14">
        <v>47.0</v>
      </c>
      <c r="F15" s="14">
        <v>425575.0</v>
      </c>
      <c r="G15" s="16">
        <f t="shared" si="2"/>
        <v>0</v>
      </c>
      <c r="H15" s="13" t="s">
        <v>15</v>
      </c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>
        <v>24137.0</v>
      </c>
      <c r="B16" s="14">
        <v>85.0</v>
      </c>
      <c r="C16" s="22">
        <v>732420.0</v>
      </c>
      <c r="D16" s="22">
        <v>732420.0</v>
      </c>
      <c r="E16" s="14">
        <v>85.0</v>
      </c>
      <c r="F16" s="22">
        <v>732420.0</v>
      </c>
      <c r="G16" s="16">
        <f t="shared" si="2"/>
        <v>0</v>
      </c>
      <c r="H16" s="13" t="s">
        <v>14</v>
      </c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>
        <v>24138.0</v>
      </c>
      <c r="B17" s="14">
        <v>111.0</v>
      </c>
      <c r="C17" s="14">
        <v>924089.0</v>
      </c>
      <c r="D17" s="14">
        <v>924089.0</v>
      </c>
      <c r="E17" s="14">
        <v>111.0</v>
      </c>
      <c r="F17" s="14">
        <v>924089.0</v>
      </c>
      <c r="G17" s="16">
        <f t="shared" si="2"/>
        <v>0</v>
      </c>
      <c r="H17" s="13" t="s">
        <v>15</v>
      </c>
      <c r="I17" s="3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/>
      <c r="B18" s="14"/>
      <c r="C18" s="22"/>
      <c r="D18" s="22"/>
      <c r="E18" s="14"/>
      <c r="F18" s="22"/>
      <c r="G18" s="16">
        <f t="shared" si="2"/>
        <v>0</v>
      </c>
      <c r="H18" s="13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2"/>
      <c r="B19" s="33"/>
      <c r="C19" s="34">
        <f t="shared" ref="C19:D19" si="3">SUM(C4:C18)</f>
        <v>7531486</v>
      </c>
      <c r="D19" s="35">
        <f t="shared" si="3"/>
        <v>7531486</v>
      </c>
      <c r="E19" s="36"/>
      <c r="F19" s="35">
        <f>SUM(F4:F18)</f>
        <v>7649386</v>
      </c>
      <c r="G19" s="16">
        <f t="shared" si="2"/>
        <v>-117900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
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สำเนาของ ชีต1" sheetId="2" r:id="rId5"/>
  </sheets>
  <definedNames/>
  <calcPr/>
</workbook>
</file>

<file path=xl/sharedStrings.xml><?xml version="1.0" encoding="utf-8"?>
<sst xmlns="http://schemas.openxmlformats.org/spreadsheetml/2006/main" count="73" uniqueCount="34">
  <si>
    <t>ตรวจบิล ก.พ   66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</si>
  <si>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</si>
  <si>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</si>
  <si>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</si>
  <si>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</si>
  <si>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</si>
  <si>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</si>
  <si>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</si>
  <si>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</si>
  <si>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</si>
  <si>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31-2 ก.พ. 66</t>
  </si>
  <si>
    <t>เอิง</t>
  </si>
  <si>
    <t>ยอดต่าง จำนวน  25930 บาท บิลยกเลิก 2/2/66 STHBKK012302000108 / STHBKK012302000135</t>
  </si>
  <si>
    <t>พี่เกษ</t>
  </si>
  <si>
    <t xml:space="preserve">ยอดต่าง จำนวน 12460 บาท บิลยกเลิก 8/2/66     STHBKK012302000570        </t>
  </si>
  <si>
    <t>ปูน</t>
  </si>
  <si>
    <t xml:space="preserve">ยอดต่าง จำนวน 2500 บาท บิลยกเลิก 9/2/66       STHBKK012302000707        </t>
  </si>
  <si>
    <t>ยอดต่าง จำนวน 10850 บาท บิลยกเลิก 10/2/66   STHBKK012302000765</t>
  </si>
  <si>
    <t>.</t>
  </si>
  <si>
    <t>17.02.2566</t>
  </si>
  <si>
    <t>ยอดต่าง จำนวน 27000 บาท บิลยกเลิก  16/2/66 STHBKK012302001102</t>
  </si>
  <si>
    <t>18.02.2566</t>
  </si>
  <si>
    <t>ยอดต่าง จำนวน 8000 บาท บิลยกเลิก  17/2/66 STHBKK012302001222</t>
  </si>
  <si>
    <t>19.02.2566</t>
  </si>
  <si>
    <t>20.02.2566</t>
  </si>
  <si>
    <t>21.02.2566</t>
  </si>
  <si>
    <t>22.02.2566</t>
  </si>
  <si>
    <t>23.02.2566</t>
  </si>
  <si>
    <t>24.02.2566</t>
  </si>
  <si>
    <t>25.02.2566</t>
  </si>
  <si>
    <t>ยอดต่าง จำนวน 45000  บาท บิลยกเลิก  25/2/2566 STHBKK012302001582</t>
  </si>
  <si>
    <t>26.02.2566</t>
  </si>
  <si>
    <t>27.02.2566</t>
  </si>
  <si>
    <t>28.02.2566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</si>
</sst>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* #,##0_-;\-* #,##0_-;_-* &quot;-&quot;??_-;_-@"/>
    <numFmt numFmtId="165" formatCode="d mmm yy"/>
    <numFmt numFmtId="166" formatCode="d/m/yy"/>
    <numFmt numFmtId="167" formatCode="#,###_);\(#,###\)"/>
  </numFmts>
  <fonts count="14">
    <font>
      <sz val="10.0"/>
      <color rgb="FF000000"/>
      <name val="Arial"/>
      <scheme val="minor"/>
    </font>
    <font>
      <b/>
      <sz val="18.0"/>
      <color theme="1"/>
      <name val="Calibri"/>
    </font>
    <font/>
    <font>
      <color theme="1"/>
      <name val="Arial"/>
    </font>
    <font>
      <sz val="19.0"/>
      <color theme="1"/>
      <name val="Calibri"/>
    </font>
    <font>
      <sz val="17.0"/>
      <color rgb="FFFF0000"/>
      <name val="Arial"/>
    </font>
    <font>
      <b/>
      <sz val="14.0"/>
      <color rgb="FFFF0000"/>
      <name val="Arial"/>
    </font>
    <font>
      <sz val="18.0"/>
      <color theme="1"/>
      <name val="Calibri"/>
    </font>
    <font>
      <b/>
      <sz val="16.0"/>
      <color rgb="FFFF0000"/>
      <name val="Calibri"/>
    </font>
    <font>
      <sz val="19.0"/>
      <color theme="1"/>
      <name val="Arial"/>
    </font>
    <font>
      <sz val="16.0"/>
      <color theme="1"/>
      <name val="Arial"/>
    </font>
    <font>
      <sz val="20.0"/>
      <color theme="1"/>
      <name val="Arial"/>
    </font>
    <font>
      <b/>
      <u/>
      <sz val="20.0"/>
      <color theme="1"/>
      <name val="Calibri"/>
    </font>
    <font>
      <b/>
      <sz val="11.0"/>
      <color rgb="FFFF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31859B"/>
        <bgColor rgb="FF31859B"/>
      </patternFill>
    </fill>
    <fill>
      <patternFill patternType="solid">
        <fgColor rgb="FFB6DDE8"/>
        <bgColor rgb="FFB6DDE8"/>
      </patternFill>
    </fill>
    <fill>
      <patternFill patternType="solid">
        <fgColor rgb="FFE5B8B7"/>
        <bgColor rgb="FFE5B8B7"/>
      </patternFill>
    </fill>
    <fill>
      <patternFill patternType="solid">
        <fgColor rgb="FFFFFFFF"/>
        <bgColor rgb="FFFFFFFF"/>
      </patternFill>
    </fill>
  </fills>
  <borders count="7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3" fontId="1" numFmtId="0" xfId="0" applyAlignment="1" applyBorder="1" applyFill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3" fillId="5" fontId="1" numFmtId="0" xfId="0" applyAlignment="1" applyBorder="1" applyFont="1">
      <alignment horizontal="center" vertical="bottom"/>
    </xf>
    <xf borderId="3" fillId="4" fontId="1" numFmtId="0" xfId="0" applyAlignment="1" applyBorder="1" applyFont="1">
      <alignment horizontal="center" vertical="bottom"/>
    </xf>
    <xf borderId="5" fillId="6" fontId="4" numFmtId="0" xfId="0" applyAlignment="1" applyBorder="1" applyFill="1" applyFont="1">
      <alignment horizontal="center" readingOrder="0" vertical="bottom"/>
    </xf>
    <xf borderId="3" fillId="6" fontId="4" numFmtId="38" xfId="0" applyAlignment="1" applyBorder="1" applyFont="1" applyNumberFormat="1">
      <alignment horizontal="center" readingOrder="0" vertical="bottom"/>
    </xf>
    <xf borderId="3" fillId="6" fontId="4" numFmtId="38" xfId="0" applyAlignment="1" applyBorder="1" applyFont="1" applyNumberFormat="1">
      <alignment horizontal="right" readingOrder="0" vertical="bottom"/>
    </xf>
    <xf borderId="3" fillId="6" fontId="5" numFmtId="164" xfId="0" applyAlignment="1" applyBorder="1" applyFont="1" applyNumberFormat="1">
      <alignment vertical="bottom"/>
    </xf>
    <xf borderId="3" fillId="6" fontId="4" numFmtId="0" xfId="0" applyAlignment="1" applyBorder="1" applyFont="1">
      <alignment horizontal="center" readingOrder="0" vertical="bottom"/>
    </xf>
    <xf borderId="3" fillId="6" fontId="3" numFmtId="0" xfId="0" applyAlignment="1" applyBorder="1" applyFont="1">
      <alignment vertical="bottom"/>
    </xf>
    <xf borderId="0" fillId="6" fontId="3" numFmtId="0" xfId="0" applyAlignment="1" applyFont="1">
      <alignment vertical="bottom"/>
    </xf>
    <xf borderId="5" fillId="6" fontId="4" numFmtId="165" xfId="0" applyAlignment="1" applyBorder="1" applyFont="1" applyNumberFormat="1">
      <alignment horizontal="center" readingOrder="0" vertical="bottom"/>
    </xf>
    <xf borderId="3" fillId="6" fontId="4" numFmtId="164" xfId="0" applyAlignment="1" applyBorder="1" applyFont="1" applyNumberFormat="1">
      <alignment horizontal="right" readingOrder="0" vertical="bottom"/>
    </xf>
    <xf borderId="3" fillId="6" fontId="6" numFmtId="0" xfId="0" applyAlignment="1" applyBorder="1" applyFont="1">
      <alignment readingOrder="0" vertical="bottom"/>
    </xf>
    <xf borderId="3" fillId="6" fontId="4" numFmtId="38" xfId="0" applyAlignment="1" applyBorder="1" applyFont="1" applyNumberFormat="1">
      <alignment horizontal="center" vertical="bottom"/>
    </xf>
    <xf borderId="3" fillId="6" fontId="7" numFmtId="0" xfId="0" applyAlignment="1" applyBorder="1" applyFont="1">
      <alignment vertical="bottom"/>
    </xf>
    <xf borderId="5" fillId="6" fontId="4" numFmtId="166" xfId="0" applyAlignment="1" applyBorder="1" applyFont="1" applyNumberFormat="1">
      <alignment horizontal="center" readingOrder="0" vertical="bottom"/>
    </xf>
    <xf borderId="3" fillId="6" fontId="4" numFmtId="167" xfId="0" applyAlignment="1" applyBorder="1" applyFont="1" applyNumberFormat="1">
      <alignment horizontal="center" readingOrder="0" vertical="bottom"/>
    </xf>
    <xf borderId="3" fillId="6" fontId="8" numFmtId="0" xfId="0" applyAlignment="1" applyBorder="1" applyFont="1">
      <alignment readingOrder="0" vertical="bottom"/>
    </xf>
    <xf borderId="3" fillId="6" fontId="9" numFmtId="38" xfId="0" applyAlignment="1" applyBorder="1" applyFont="1" applyNumberFormat="1">
      <alignment horizontal="center" readingOrder="0" vertical="bottom"/>
    </xf>
    <xf borderId="3" fillId="6" fontId="4" numFmtId="164" xfId="0" applyAlignment="1" applyBorder="1" applyFont="1" applyNumberFormat="1">
      <alignment horizontal="center" readingOrder="0" vertical="bottom"/>
    </xf>
    <xf borderId="3" fillId="6" fontId="10" numFmtId="0" xfId="0" applyAlignment="1" applyBorder="1" applyFont="1">
      <alignment vertical="bottom"/>
    </xf>
    <xf borderId="6" fillId="6" fontId="11" numFmtId="0" xfId="0" applyAlignment="1" applyBorder="1" applyFont="1">
      <alignment vertical="bottom"/>
    </xf>
    <xf borderId="1" fillId="6" fontId="11" numFmtId="0" xfId="0" applyAlignment="1" applyBorder="1" applyFont="1">
      <alignment vertical="bottom"/>
    </xf>
    <xf borderId="3" fillId="6" fontId="12" numFmtId="38" xfId="0" applyAlignment="1" applyBorder="1" applyFont="1" applyNumberFormat="1">
      <alignment horizontal="center" vertical="bottom"/>
    </xf>
    <xf borderId="3" fillId="6" fontId="11" numFmtId="0" xfId="0" applyAlignment="1" applyBorder="1" applyFont="1">
      <alignment vertical="bottom"/>
    </xf>
    <xf borderId="0" fillId="6" fontId="11" numFmtId="0" xfId="0" applyAlignment="1" applyFont="1">
      <alignment vertical="bottom"/>
    </xf>
    <xf borderId="3" fillId="6" fontId="13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0"/>
    <col customWidth="1" min="3" max="4" width="15.0"/>
    <col customWidth="1" min="6" max="6" width="15.0"/>
    <col customWidth="1" min="8" max="8" width="18.63"/>
    <col customWidth="1" min="9" max="9" width="102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10</v>
      </c>
      <c r="B4" s="14">
        <v>131.0</v>
      </c>
      <c r="C4" s="15">
        <v>1232150.0</v>
      </c>
      <c r="D4" s="15">
        <v>1232150.0</v>
      </c>
      <c r="E4" s="14">
        <v>131.0</v>
      </c>
      <c r="F4" s="15">
        <v>1232150.0</v>
      </c>
      <c r="G4" s="16">
        <f t="shared" ref="G4:G13" si="1">C4-F4</f>
        <v>0</v>
      </c>
      <c r="H4" s="17" t="s">
        <v>11</v>
      </c>
      <c r="I4" s="18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20">
        <v>24141.0</v>
      </c>
      <c r="B5" s="14">
        <v>98.0</v>
      </c>
      <c r="C5" s="21">
        <v>610270.0</v>
      </c>
      <c r="D5" s="21">
        <v>610270.0</v>
      </c>
      <c r="E5" s="14">
        <v>98.0</v>
      </c>
      <c r="F5" s="14">
        <v>636200.0</v>
      </c>
      <c r="G5" s="16">
        <f t="shared" si="1"/>
        <v>-25930</v>
      </c>
      <c r="H5" s="17" t="s">
        <v>11</v>
      </c>
      <c r="I5" s="22" t="s">
        <v>12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20">
        <v>24142.0</v>
      </c>
      <c r="B6" s="14">
        <v>76.0</v>
      </c>
      <c r="C6" s="21">
        <v>523445.0</v>
      </c>
      <c r="D6" s="21">
        <v>523445.0</v>
      </c>
      <c r="E6" s="14">
        <v>76.0</v>
      </c>
      <c r="F6" s="14">
        <v>523445.0</v>
      </c>
      <c r="G6" s="16">
        <f t="shared" si="1"/>
        <v>0</v>
      </c>
      <c r="H6" s="17" t="s">
        <v>11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20">
        <v>24143.0</v>
      </c>
      <c r="B7" s="14">
        <v>46.0</v>
      </c>
      <c r="C7" s="21">
        <v>339569.0</v>
      </c>
      <c r="D7" s="21">
        <v>339569.0</v>
      </c>
      <c r="E7" s="14">
        <v>46.0</v>
      </c>
      <c r="F7" s="21">
        <v>339569.0</v>
      </c>
      <c r="G7" s="16">
        <f t="shared" si="1"/>
        <v>0</v>
      </c>
      <c r="H7" s="17" t="s">
        <v>11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20">
        <v>24144.0</v>
      </c>
      <c r="B8" s="14">
        <v>94.0</v>
      </c>
      <c r="C8" s="15">
        <v>594783.0</v>
      </c>
      <c r="D8" s="15">
        <v>594783.0</v>
      </c>
      <c r="E8" s="14">
        <v>94.0</v>
      </c>
      <c r="F8" s="23">
        <v>594783.0</v>
      </c>
      <c r="G8" s="16">
        <f t="shared" si="1"/>
        <v>0</v>
      </c>
      <c r="H8" s="17" t="s">
        <v>13</v>
      </c>
      <c r="I8" s="24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25">
        <v>24145.0</v>
      </c>
      <c r="B9" s="14">
        <v>74.0</v>
      </c>
      <c r="C9" s="23">
        <v>713760.0</v>
      </c>
      <c r="D9" s="23">
        <v>713760.0</v>
      </c>
      <c r="E9" s="14">
        <v>74.0</v>
      </c>
      <c r="F9" s="23">
        <v>713760.0</v>
      </c>
      <c r="G9" s="16">
        <f t="shared" si="1"/>
        <v>0</v>
      </c>
      <c r="H9" s="17" t="s">
        <v>13</v>
      </c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20">
        <v>24146.0</v>
      </c>
      <c r="B10" s="14">
        <v>55.0</v>
      </c>
      <c r="C10" s="14">
        <v>587295.0</v>
      </c>
      <c r="D10" s="14">
        <v>587295.0</v>
      </c>
      <c r="E10" s="14">
        <v>55.0</v>
      </c>
      <c r="F10" s="26">
        <v>587295.0</v>
      </c>
      <c r="G10" s="16">
        <f t="shared" si="1"/>
        <v>0</v>
      </c>
      <c r="H10" s="17" t="s">
        <v>11</v>
      </c>
      <c r="I10" s="24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20">
        <v>24147.0</v>
      </c>
      <c r="B11" s="14">
        <v>61.0</v>
      </c>
      <c r="C11" s="14">
        <v>418345.0</v>
      </c>
      <c r="D11" s="14">
        <v>418345.0</v>
      </c>
      <c r="E11" s="14">
        <v>61.0</v>
      </c>
      <c r="F11" s="14">
        <v>430805.0</v>
      </c>
      <c r="G11" s="16">
        <f t="shared" si="1"/>
        <v>-12460</v>
      </c>
      <c r="H11" s="17" t="s">
        <v>11</v>
      </c>
      <c r="I11" s="27" t="s">
        <v>14</v>
      </c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20">
        <v>24148.0</v>
      </c>
      <c r="B12" s="14">
        <v>55.0</v>
      </c>
      <c r="C12" s="28">
        <v>487960.0</v>
      </c>
      <c r="D12" s="28">
        <v>487960.0</v>
      </c>
      <c r="E12" s="14">
        <v>55.0</v>
      </c>
      <c r="F12" s="28">
        <v>490610.0</v>
      </c>
      <c r="G12" s="16">
        <f t="shared" si="1"/>
        <v>-2650</v>
      </c>
      <c r="H12" s="17" t="s">
        <v>15</v>
      </c>
      <c r="I12" s="27" t="s">
        <v>16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20">
        <v>24149.0</v>
      </c>
      <c r="B13" s="14">
        <v>62.0</v>
      </c>
      <c r="C13" s="14">
        <v>405273.0</v>
      </c>
      <c r="D13" s="14">
        <v>405273.0</v>
      </c>
      <c r="E13" s="14">
        <v>62.0</v>
      </c>
      <c r="F13" s="14">
        <v>416123.0</v>
      </c>
      <c r="G13" s="16">
        <f t="shared" si="1"/>
        <v>-10850</v>
      </c>
      <c r="H13" s="17" t="s">
        <v>11</v>
      </c>
      <c r="I13" s="27" t="s">
        <v>17</v>
      </c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20">
        <v>24150.0</v>
      </c>
      <c r="B14" s="14">
        <v>45.0</v>
      </c>
      <c r="C14" s="14">
        <v>270937.0</v>
      </c>
      <c r="D14" s="29">
        <v>270937.0</v>
      </c>
      <c r="E14" s="14">
        <v>45.0</v>
      </c>
      <c r="F14" s="14">
        <v>270937.0</v>
      </c>
      <c r="G14" s="16"/>
      <c r="H14" s="17" t="s">
        <v>13</v>
      </c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20">
        <v>24151.0</v>
      </c>
      <c r="B15" s="14">
        <v>75.0</v>
      </c>
      <c r="C15" s="14">
        <v>777765.0</v>
      </c>
      <c r="D15" s="14">
        <v>777765.0</v>
      </c>
      <c r="E15" s="14">
        <v>75.0</v>
      </c>
      <c r="F15" s="14">
        <v>777765.0</v>
      </c>
      <c r="G15" s="16"/>
      <c r="H15" s="17" t="s">
        <v>13</v>
      </c>
      <c r="I15" s="1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5">
        <v>24152.0</v>
      </c>
      <c r="B16" s="14">
        <v>76.0</v>
      </c>
      <c r="C16" s="14">
        <v>445290.0</v>
      </c>
      <c r="D16" s="14">
        <v>445290.0</v>
      </c>
      <c r="E16" s="14">
        <v>76.0</v>
      </c>
      <c r="F16" s="14">
        <v>445290.0</v>
      </c>
      <c r="G16" s="16"/>
      <c r="H16" s="17" t="s">
        <v>13</v>
      </c>
      <c r="I16" s="1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5">
        <v>24153.0</v>
      </c>
      <c r="B17" s="14">
        <v>69.0</v>
      </c>
      <c r="C17" s="14">
        <v>792380.0</v>
      </c>
      <c r="D17" s="14">
        <v>792380.0</v>
      </c>
      <c r="E17" s="14">
        <v>69.0</v>
      </c>
      <c r="F17" s="14">
        <v>792380.0</v>
      </c>
      <c r="G17" s="16"/>
      <c r="H17" s="17" t="s">
        <v>13</v>
      </c>
      <c r="I17" s="3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5">
        <v>24154.0</v>
      </c>
      <c r="B18" s="14">
        <v>51.0</v>
      </c>
      <c r="C18" s="14">
        <v>426375.0</v>
      </c>
      <c r="D18" s="14">
        <v>426375.0</v>
      </c>
      <c r="E18" s="14">
        <v>51.0</v>
      </c>
      <c r="F18" s="14">
        <v>426375.0</v>
      </c>
      <c r="G18" s="16"/>
      <c r="H18" s="17" t="s">
        <v>11</v>
      </c>
      <c r="I18" s="1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31"/>
      <c r="B19" s="32"/>
      <c r="C19" s="33">
        <f t="shared" ref="C19:D19" si="2">SUM(C4:C18)</f>
        <v>8625597</v>
      </c>
      <c r="D19" s="33">
        <f t="shared" si="2"/>
        <v>8625597</v>
      </c>
      <c r="E19" s="34"/>
      <c r="F19" s="33">
        <f t="shared" ref="F19:G19" si="3">SUM(F4:F18)</f>
        <v>8677487</v>
      </c>
      <c r="G19" s="16">
        <f t="shared" si="3"/>
        <v>-51890</v>
      </c>
      <c r="H19" s="35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 t="s">
        <v>18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3.0"/>
    <col customWidth="1" min="3" max="4" width="15.0"/>
    <col customWidth="1" min="6" max="6" width="15.0"/>
    <col customWidth="1" min="8" max="8" width="18.63"/>
    <col customWidth="1" min="9" max="9" width="102.1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B2" s="5" t="s">
        <v>2</v>
      </c>
      <c r="C2" s="2"/>
      <c r="D2" s="6"/>
      <c r="E2" s="7" t="s">
        <v>3</v>
      </c>
      <c r="F2" s="6"/>
      <c r="G2" s="8" t="s">
        <v>4</v>
      </c>
      <c r="H2" s="8" t="s">
        <v>5</v>
      </c>
      <c r="I2" s="9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6"/>
      <c r="H3" s="6"/>
      <c r="I3" s="6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3" t="s">
        <v>19</v>
      </c>
      <c r="B4" s="14">
        <v>60.0</v>
      </c>
      <c r="C4" s="15">
        <v>502595.0</v>
      </c>
      <c r="D4" s="15">
        <v>502595.0</v>
      </c>
      <c r="E4" s="14">
        <v>60.0</v>
      </c>
      <c r="F4" s="15">
        <v>529595.0</v>
      </c>
      <c r="G4" s="16">
        <f t="shared" ref="G4:G13" si="1">D4-F4</f>
        <v>-27000</v>
      </c>
      <c r="H4" s="17" t="s">
        <v>11</v>
      </c>
      <c r="I4" s="36" t="s">
        <v>20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>
      <c r="A5" s="13" t="s">
        <v>21</v>
      </c>
      <c r="B5" s="14">
        <v>53.0</v>
      </c>
      <c r="C5" s="21">
        <v>521920.0</v>
      </c>
      <c r="D5" s="21">
        <v>521920.0</v>
      </c>
      <c r="E5" s="14">
        <v>53.0</v>
      </c>
      <c r="F5" s="14">
        <v>529920.0</v>
      </c>
      <c r="G5" s="16">
        <f t="shared" si="1"/>
        <v>-8000</v>
      </c>
      <c r="H5" s="17" t="s">
        <v>13</v>
      </c>
      <c r="I5" s="36" t="s">
        <v>22</v>
      </c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>
      <c r="A6" s="13" t="s">
        <v>23</v>
      </c>
      <c r="B6" s="14">
        <v>36.0</v>
      </c>
      <c r="C6" s="21">
        <v>278790.0</v>
      </c>
      <c r="D6" s="21">
        <v>278790.0</v>
      </c>
      <c r="E6" s="14">
        <v>36.0</v>
      </c>
      <c r="F6" s="14">
        <v>278790.0</v>
      </c>
      <c r="G6" s="16">
        <f t="shared" si="1"/>
        <v>0</v>
      </c>
      <c r="H6" s="17" t="s">
        <v>13</v>
      </c>
      <c r="I6" s="18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>
      <c r="A7" s="13" t="s">
        <v>24</v>
      </c>
      <c r="B7" s="14">
        <v>48.0</v>
      </c>
      <c r="C7" s="21">
        <v>375090.0</v>
      </c>
      <c r="D7" s="21">
        <v>375090.0</v>
      </c>
      <c r="E7" s="14">
        <v>48.0</v>
      </c>
      <c r="F7" s="21">
        <v>375090.0</v>
      </c>
      <c r="G7" s="16">
        <f t="shared" si="1"/>
        <v>0</v>
      </c>
      <c r="H7" s="17" t="s">
        <v>13</v>
      </c>
      <c r="I7" s="18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>
      <c r="A8" s="13" t="s">
        <v>25</v>
      </c>
      <c r="B8" s="14">
        <v>45.0</v>
      </c>
      <c r="C8" s="15">
        <v>382985.0</v>
      </c>
      <c r="D8" s="15">
        <v>382985.0</v>
      </c>
      <c r="E8" s="14">
        <v>45.0</v>
      </c>
      <c r="F8" s="14">
        <v>382985.0</v>
      </c>
      <c r="G8" s="16">
        <f t="shared" si="1"/>
        <v>0</v>
      </c>
      <c r="H8" s="17" t="s">
        <v>13</v>
      </c>
      <c r="I8" s="24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>
      <c r="A9" s="13" t="s">
        <v>26</v>
      </c>
      <c r="B9" s="14">
        <v>53.0</v>
      </c>
      <c r="C9" s="14">
        <v>391275.0</v>
      </c>
      <c r="D9" s="14">
        <v>391275.0</v>
      </c>
      <c r="E9" s="14">
        <v>53.0</v>
      </c>
      <c r="F9" s="14">
        <v>391275.0</v>
      </c>
      <c r="G9" s="16">
        <f t="shared" si="1"/>
        <v>0</v>
      </c>
      <c r="H9" s="17" t="s">
        <v>13</v>
      </c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>
      <c r="A10" s="13" t="s">
        <v>27</v>
      </c>
      <c r="B10" s="14">
        <v>51.0</v>
      </c>
      <c r="C10" s="14">
        <v>436513.0</v>
      </c>
      <c r="D10" s="14">
        <v>436513.0</v>
      </c>
      <c r="E10" s="14">
        <v>51.0</v>
      </c>
      <c r="F10" s="26">
        <v>436513.0</v>
      </c>
      <c r="G10" s="16">
        <f t="shared" si="1"/>
        <v>0</v>
      </c>
      <c r="H10" s="17" t="s">
        <v>13</v>
      </c>
      <c r="I10" s="24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>
      <c r="A11" s="13" t="s">
        <v>28</v>
      </c>
      <c r="B11" s="14">
        <v>50.0</v>
      </c>
      <c r="C11" s="14">
        <v>460370.0</v>
      </c>
      <c r="D11" s="14">
        <v>460370.0</v>
      </c>
      <c r="E11" s="14">
        <v>50.0</v>
      </c>
      <c r="F11" s="14">
        <v>460370.0</v>
      </c>
      <c r="G11" s="16">
        <f t="shared" si="1"/>
        <v>0</v>
      </c>
      <c r="H11" s="17" t="s">
        <v>11</v>
      </c>
      <c r="I11" s="27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>
      <c r="A12" s="13" t="s">
        <v>29</v>
      </c>
      <c r="B12" s="14">
        <v>36.0</v>
      </c>
      <c r="C12" s="28">
        <v>354232.0</v>
      </c>
      <c r="D12" s="28">
        <v>354232.0</v>
      </c>
      <c r="E12" s="14">
        <v>36.0</v>
      </c>
      <c r="F12" s="28">
        <v>399232.0</v>
      </c>
      <c r="G12" s="16">
        <f t="shared" si="1"/>
        <v>-45000</v>
      </c>
      <c r="H12" s="17" t="s">
        <v>11</v>
      </c>
      <c r="I12" s="36" t="s">
        <v>30</v>
      </c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>
      <c r="A13" s="13" t="s">
        <v>31</v>
      </c>
      <c r="B13" s="14">
        <v>31.0</v>
      </c>
      <c r="C13" s="14">
        <v>189775.0</v>
      </c>
      <c r="D13" s="14">
        <v>189775.0</v>
      </c>
      <c r="E13" s="14">
        <v>31.0</v>
      </c>
      <c r="F13" s="14">
        <v>189775.0</v>
      </c>
      <c r="G13" s="16">
        <f t="shared" si="1"/>
        <v>0</v>
      </c>
      <c r="H13" s="17" t="s">
        <v>11</v>
      </c>
      <c r="I13" s="27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>
      <c r="A14" s="13" t="s">
        <v>32</v>
      </c>
      <c r="B14" s="14">
        <v>50.0</v>
      </c>
      <c r="C14" s="14">
        <v>449800.0</v>
      </c>
      <c r="D14" s="29">
        <v>449800.0</v>
      </c>
      <c r="E14" s="14">
        <v>50.0</v>
      </c>
      <c r="F14" s="14">
        <v>449800.0</v>
      </c>
      <c r="G14" s="16"/>
      <c r="H14" s="17" t="s">
        <v>13</v>
      </c>
      <c r="I14" s="18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>
      <c r="A15" s="13" t="s">
        <v>33</v>
      </c>
      <c r="B15" s="14">
        <v>79.0</v>
      </c>
      <c r="C15" s="23">
        <v>1075255.0</v>
      </c>
      <c r="D15" s="23">
        <v>1075255.0</v>
      </c>
      <c r="E15" s="14">
        <v>79.0</v>
      </c>
      <c r="F15" s="23">
        <v>1075255.0</v>
      </c>
      <c r="G15" s="16"/>
      <c r="H15" s="17" t="s">
        <v>13</v>
      </c>
      <c r="I15" s="18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>
      <c r="A16" s="25"/>
      <c r="B16" s="14"/>
      <c r="C16" s="14"/>
      <c r="D16" s="14"/>
      <c r="E16" s="14"/>
      <c r="F16" s="14"/>
      <c r="G16" s="16"/>
      <c r="H16" s="17"/>
      <c r="I16" s="18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>
      <c r="A17" s="25"/>
      <c r="B17" s="14"/>
      <c r="C17" s="14"/>
      <c r="D17" s="14"/>
      <c r="E17" s="14"/>
      <c r="F17" s="14"/>
      <c r="G17" s="16"/>
      <c r="H17" s="17"/>
      <c r="I17" s="30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>
      <c r="A18" s="25"/>
      <c r="B18" s="14"/>
      <c r="C18" s="14"/>
      <c r="D18" s="14"/>
      <c r="E18" s="14"/>
      <c r="F18" s="14"/>
      <c r="G18" s="16"/>
      <c r="H18" s="17"/>
      <c r="I18" s="18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>
      <c r="A19" s="31"/>
      <c r="B19" s="32"/>
      <c r="C19" s="33">
        <f t="shared" ref="C19:D19" si="2">SUM(C4:C18)</f>
        <v>5418600</v>
      </c>
      <c r="D19" s="33">
        <f t="shared" si="2"/>
        <v>5418600</v>
      </c>
      <c r="E19" s="34"/>
      <c r="F19" s="33">
        <f t="shared" ref="F19:G19" si="3">SUM(F4:F18)</f>
        <v>5498600</v>
      </c>
      <c r="G19" s="16">
        <f t="shared" si="3"/>
        <v>-80000</v>
      </c>
      <c r="H19" s="35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 t="s">
        <v>18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</sheetData>
  <mergeCells count="7">
    <mergeCell ref="A1:I1"/>
    <mergeCell ref="A2:A3"/>
    <mergeCell ref="B2:D2"/>
    <mergeCell ref="E2:F2"/>
    <mergeCell ref="G2:G3"/>
    <mergeCell ref="H2:H3"/>
    <mergeCell ref="I2:I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
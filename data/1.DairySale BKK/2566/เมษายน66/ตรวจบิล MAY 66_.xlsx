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  <sheet state="visible" name="ชีต3" sheetId="3" r:id="rId6"/>
    <sheet state="visible" name=" ชีต4" sheetId="4" r:id="rId7"/>
  </sheets>
  <definedNames/>
  <calcPr/>
</workbook>
</file>

<file path=xl/sharedStrings.xml><?xml version="1.0" encoding="utf-8"?>
<sst xmlns="http://schemas.openxmlformats.org/spreadsheetml/2006/main" count="88" uniqueCount="37">
  <si>
    <t>ตรวจบิล MAY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</si>
  <si>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</si>
  <si>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</si>
  <si>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</si>
  <si>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</si>
  <si>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</si>
  <si>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</si>
  <si>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</si>
  <si>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</si>
  <si>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</si>
  <si>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31- 2/5/66</t>
  </si>
  <si>
    <t>ตรวจบิล April 66</t>
  </si>
  <si>
    <t>พี่เกษ</t>
  </si>
  <si>
    <t>11.04.66</t>
  </si>
  <si>
    <t>12.04.66</t>
  </si>
  <si>
    <t>ปูน</t>
  </si>
  <si>
    <t>ผลต่าง400 บาท เป็นบิลยกเลิก STHBKK012304000532</t>
  </si>
  <si>
    <t>13-15 เมษายน 2566 หยุดเทศกาลสงกรานต์</t>
  </si>
  <si>
    <t>16.04.66</t>
  </si>
  <si>
    <t>เอิง</t>
  </si>
  <si>
    <t>17.04.66</t>
  </si>
  <si>
    <t>18.04.66</t>
  </si>
  <si>
    <t>20.04.66</t>
  </si>
  <si>
    <t>poon</t>
  </si>
  <si>
    <t>21.04.66</t>
  </si>
  <si>
    <t>22.04.66</t>
  </si>
  <si>
    <t>23.04.66</t>
  </si>
  <si>
    <t>24.04.66</t>
  </si>
  <si>
    <t>ผลต่าง16940 บาท เป็นบิลยกเลิก STHBKK012304000971 / STHBKK012304001123</t>
  </si>
  <si>
    <t>25.04.66</t>
  </si>
  <si>
    <t>26.04.66</t>
  </si>
  <si>
    <t>27.04.66</t>
  </si>
  <si>
    <t>28.04.66</t>
  </si>
  <si>
    <t>29.04.66</t>
  </si>
  <si>
    <t>30.04.66</t>
  </si>
  <si>
    <t xml:space="preserve">  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</si>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</sst>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-mm-yyyy"/>
    <numFmt numFmtId="166" formatCode="#,###_);\(#,###\)"/>
  </numFmts>
  <fonts count="16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7.0"/>
      <color theme="1"/>
      <name val="Calibri"/>
    </font>
    <font>
      <sz val="27.0"/>
      <color theme="1"/>
      <name val="Calibri"/>
    </font>
    <font>
      <sz val="27.0"/>
      <color rgb="FFFF0000"/>
      <name val="Arial"/>
    </font>
    <font>
      <sz val="27.0"/>
      <color theme="1"/>
      <name val="Arial"/>
    </font>
    <font>
      <b/>
      <sz val="27.0"/>
      <color rgb="FFFF0000"/>
      <name val="Arial"/>
    </font>
    <font>
      <sz val="28.0"/>
      <color theme="1"/>
      <name val="Calibri"/>
    </font>
    <font>
      <b/>
      <u/>
      <sz val="27.0"/>
      <color theme="1"/>
      <name val="Calibri"/>
    </font>
    <font>
      <sz val="27.0"/>
      <color rgb="FF000000"/>
      <name val="Calibri"/>
    </font>
    <font>
      <sz val="27.0"/>
      <color rgb="FF000000"/>
      <name val="Arial"/>
    </font>
    <font>
      <b/>
      <sz val="27.0"/>
      <color rgb="FF000000"/>
      <name val="Calibri"/>
    </font>
    <font>
      <b/>
      <sz val="17.0"/>
      <color rgb="FFFF0000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5" fillId="6" fontId="5" numFmtId="0" xfId="0" applyAlignment="1" applyBorder="1" applyFill="1" applyFont="1">
      <alignment horizontal="center" readingOrder="0" vertical="center"/>
    </xf>
    <xf borderId="3" fillId="6" fontId="5" numFmtId="38" xfId="0" applyAlignment="1" applyBorder="1" applyFont="1" applyNumberFormat="1">
      <alignment horizontal="center" readingOrder="0" vertical="center"/>
    </xf>
    <xf borderId="3" fillId="6" fontId="5" numFmtId="38" xfId="0" applyAlignment="1" applyBorder="1" applyFont="1" applyNumberFormat="1">
      <alignment horizontal="right" readingOrder="0" vertical="center"/>
    </xf>
    <xf borderId="3" fillId="6" fontId="6" numFmtId="164" xfId="0" applyAlignment="1" applyBorder="1" applyFont="1" applyNumberFormat="1">
      <alignment horizontal="right" vertical="center"/>
    </xf>
    <xf borderId="3" fillId="6" fontId="5" numFmtId="0" xfId="0" applyAlignment="1" applyBorder="1" applyFont="1">
      <alignment horizontal="center" readingOrder="0" vertical="center"/>
    </xf>
    <xf borderId="3" fillId="6" fontId="7" numFmtId="0" xfId="0" applyAlignment="1" applyBorder="1" applyFont="1">
      <alignment vertical="center"/>
    </xf>
    <xf borderId="0" fillId="6" fontId="3" numFmtId="0" xfId="0" applyAlignment="1" applyFont="1">
      <alignment vertical="bottom"/>
    </xf>
    <xf borderId="5" fillId="6" fontId="5" numFmtId="165" xfId="0" applyAlignment="1" applyBorder="1" applyFont="1" applyNumberFormat="1">
      <alignment horizontal="center" readingOrder="0" vertical="center"/>
    </xf>
    <xf borderId="3" fillId="6" fontId="5" numFmtId="164" xfId="0" applyAlignment="1" applyBorder="1" applyFont="1" applyNumberFormat="1">
      <alignment horizontal="right" readingOrder="0" vertical="center"/>
    </xf>
    <xf borderId="3" fillId="6" fontId="8" numFmtId="0" xfId="0" applyAlignment="1" applyBorder="1" applyFont="1">
      <alignment vertical="center"/>
    </xf>
    <xf borderId="6" fillId="6" fontId="5" numFmtId="165" xfId="0" applyAlignment="1" applyBorder="1" applyFont="1" applyNumberFormat="1">
      <alignment horizontal="center" readingOrder="0" vertical="center"/>
    </xf>
    <xf borderId="6" fillId="6" fontId="5" numFmtId="38" xfId="0" applyAlignment="1" applyBorder="1" applyFont="1" applyNumberFormat="1">
      <alignment horizontal="center" readingOrder="0" vertical="center"/>
    </xf>
    <xf borderId="6" fillId="6" fontId="5" numFmtId="164" xfId="0" applyAlignment="1" applyBorder="1" applyFont="1" applyNumberFormat="1">
      <alignment horizontal="right" readingOrder="0" vertical="center"/>
    </xf>
    <xf borderId="6" fillId="6" fontId="5" numFmtId="38" xfId="0" applyAlignment="1" applyBorder="1" applyFont="1" applyNumberFormat="1">
      <alignment horizontal="right" readingOrder="0" vertical="center"/>
    </xf>
    <xf borderId="3" fillId="6" fontId="8" numFmtId="0" xfId="0" applyAlignment="1" applyBorder="1" applyFont="1">
      <alignment horizontal="center" readingOrder="0" vertical="center"/>
    </xf>
    <xf borderId="6" fillId="6" fontId="5" numFmtId="164" xfId="0" applyAlignment="1" applyBorder="1" applyFont="1" applyNumberFormat="1">
      <alignment horizontal="right" vertical="center"/>
    </xf>
    <xf borderId="6" fillId="6" fontId="5" numFmtId="0" xfId="0" applyAlignment="1" applyBorder="1" applyFont="1">
      <alignment horizontal="center" readingOrder="0" vertical="center"/>
    </xf>
    <xf borderId="3" fillId="6" fontId="9" numFmtId="166" xfId="0" applyAlignment="1" applyBorder="1" applyFont="1" applyNumberFormat="1">
      <alignment horizontal="right" readingOrder="0" vertical="center"/>
    </xf>
    <xf borderId="3" fillId="6" fontId="6" numFmtId="164" xfId="0" applyAlignment="1" applyBorder="1" applyFont="1" applyNumberFormat="1">
      <alignment horizontal="right" vertical="bottom"/>
    </xf>
    <xf borderId="6" fillId="6" fontId="7" numFmtId="0" xfId="0" applyAlignment="1" applyBorder="1" applyFont="1">
      <alignment vertical="center"/>
    </xf>
    <xf borderId="6" fillId="6" fontId="10" numFmtId="38" xfId="0" applyAlignment="1" applyBorder="1" applyFont="1" applyNumberFormat="1">
      <alignment horizontal="center" vertical="center"/>
    </xf>
    <xf borderId="3" fillId="6" fontId="6" numFmtId="164" xfId="0" applyAlignment="1" applyBorder="1" applyFont="1" applyNumberFormat="1">
      <alignment vertical="center"/>
    </xf>
    <xf borderId="0" fillId="0" fontId="7" numFmtId="0" xfId="0" applyAlignment="1" applyFont="1">
      <alignment vertical="bottom"/>
    </xf>
    <xf borderId="3" fillId="6" fontId="11" numFmtId="38" xfId="0" applyAlignment="1" applyBorder="1" applyFont="1" applyNumberFormat="1">
      <alignment horizontal="right" readingOrder="0" vertical="center"/>
    </xf>
    <xf borderId="3" fillId="6" fontId="12" numFmtId="164" xfId="0" applyAlignment="1" applyBorder="1" applyFont="1" applyNumberFormat="1">
      <alignment horizontal="left" readingOrder="0" vertical="center"/>
    </xf>
    <xf borderId="3" fillId="6" fontId="12" numFmtId="164" xfId="0" applyAlignment="1" applyBorder="1" applyFont="1" applyNumberFormat="1">
      <alignment horizontal="right" readingOrder="0" vertical="center"/>
    </xf>
    <xf borderId="7" fillId="7" fontId="1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6" fillId="6" fontId="11" numFmtId="38" xfId="0" applyAlignment="1" applyBorder="1" applyFont="1" applyNumberFormat="1">
      <alignment horizontal="right" readingOrder="0" vertical="center"/>
    </xf>
    <xf borderId="3" fillId="6" fontId="5" numFmtId="38" xfId="0" applyAlignment="1" applyBorder="1" applyFont="1" applyNumberFormat="1">
      <alignment horizontal="right" vertical="center"/>
    </xf>
    <xf borderId="6" fillId="6" fontId="5" numFmtId="38" xfId="0" applyAlignment="1" applyBorder="1" applyFont="1" applyNumberFormat="1">
      <alignment horizontal="right" vertical="center"/>
    </xf>
    <xf borderId="3" fillId="6" fontId="14" numFmtId="0" xfId="0" applyAlignment="1" applyBorder="1" applyFont="1">
      <alignment horizontal="center" readingOrder="0" vertical="center"/>
    </xf>
    <xf borderId="0" fillId="6" fontId="15" numFmtId="0" xfId="0" applyAlignment="1" applyFont="1">
      <alignment textRotation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6.63"/>
    <col customWidth="1" min="3" max="4" width="21.25"/>
    <col customWidth="1" min="5" max="5" width="16.25"/>
    <col customWidth="1" min="6" max="6" width="21.25"/>
    <col customWidth="1" min="7" max="7" width="17.63"/>
    <col customWidth="1" min="8" max="8" width="21.63"/>
    <col customWidth="1" min="9" max="9" width="133.38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0" customHeight="1">
      <c r="A4" s="13" t="s">
        <v>10</v>
      </c>
      <c r="B4" s="14"/>
      <c r="C4" s="15"/>
      <c r="D4" s="15"/>
      <c r="E4" s="14"/>
      <c r="F4" s="15"/>
      <c r="G4" s="16"/>
      <c r="H4" s="17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4.0" customHeight="1">
      <c r="A5" s="20"/>
      <c r="B5" s="14"/>
      <c r="C5" s="21"/>
      <c r="D5" s="21"/>
      <c r="E5" s="14"/>
      <c r="F5" s="15"/>
      <c r="G5" s="16"/>
      <c r="H5" s="17"/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4.0" customHeight="1">
      <c r="A6" s="23"/>
      <c r="B6" s="24"/>
      <c r="C6" s="25"/>
      <c r="D6" s="25"/>
      <c r="E6" s="24"/>
      <c r="F6" s="26"/>
      <c r="G6" s="16"/>
      <c r="H6" s="17"/>
      <c r="I6" s="27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4.0" customHeight="1">
      <c r="A7" s="23"/>
      <c r="B7" s="24"/>
      <c r="C7" s="28"/>
      <c r="D7" s="28"/>
      <c r="E7" s="24"/>
      <c r="F7" s="28"/>
      <c r="G7" s="16"/>
      <c r="H7" s="17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4.0" customHeight="1">
      <c r="A8" s="29"/>
      <c r="B8" s="24"/>
      <c r="C8" s="25"/>
      <c r="D8" s="25"/>
      <c r="E8" s="24"/>
      <c r="F8" s="25"/>
      <c r="G8" s="16"/>
      <c r="H8" s="17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4.0" customHeight="1">
      <c r="A9" s="23"/>
      <c r="B9" s="24"/>
      <c r="C9" s="25"/>
      <c r="D9" s="25"/>
      <c r="E9" s="24"/>
      <c r="F9" s="25"/>
      <c r="G9" s="16"/>
      <c r="H9" s="17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4.0" customHeight="1">
      <c r="A10" s="23"/>
      <c r="B10" s="24"/>
      <c r="C10" s="30"/>
      <c r="D10" s="30"/>
      <c r="E10" s="24"/>
      <c r="F10" s="30"/>
      <c r="G10" s="31"/>
      <c r="H10" s="17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4.0" customHeight="1">
      <c r="A11" s="32"/>
      <c r="B11" s="32"/>
      <c r="C11" s="33">
        <f t="shared" ref="C11:D11" si="1">SUM(C4:C7)</f>
        <v>0</v>
      </c>
      <c r="D11" s="33">
        <f t="shared" si="1"/>
        <v>0</v>
      </c>
      <c r="E11" s="32"/>
      <c r="F11" s="33">
        <f>SUM(F4:F7)</f>
        <v>0</v>
      </c>
      <c r="G11" s="34">
        <f>D11-F11</f>
        <v>0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6.63"/>
    <col customWidth="1" min="3" max="4" width="21.25"/>
    <col customWidth="1" min="5" max="5" width="16.25"/>
    <col customWidth="1" min="6" max="6" width="21.25"/>
    <col customWidth="1" min="7" max="7" width="19.63"/>
    <col customWidth="1" min="8" max="8" width="21.63"/>
    <col customWidth="1" min="9" max="9" width="133.38"/>
  </cols>
  <sheetData>
    <row r="1" ht="67.5" customHeight="1">
      <c r="A1" s="1" t="s">
        <v>11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0" customHeight="1">
      <c r="A4" s="20">
        <v>243353.0</v>
      </c>
      <c r="B4" s="36">
        <v>58.0</v>
      </c>
      <c r="C4" s="15">
        <v>420515.0</v>
      </c>
      <c r="D4" s="15">
        <v>420515.0</v>
      </c>
      <c r="E4" s="14">
        <v>58.0</v>
      </c>
      <c r="F4" s="15">
        <v>420515.0</v>
      </c>
      <c r="G4" s="16">
        <f t="shared" ref="G4:G6" si="1">C4-F4</f>
        <v>0</v>
      </c>
      <c r="H4" s="17" t="s">
        <v>12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4.0" customHeight="1">
      <c r="A5" s="13" t="s">
        <v>13</v>
      </c>
      <c r="B5" s="37">
        <v>44.0</v>
      </c>
      <c r="C5" s="21">
        <v>401025.0</v>
      </c>
      <c r="D5" s="21">
        <v>401025.0</v>
      </c>
      <c r="E5" s="14">
        <v>44.0</v>
      </c>
      <c r="F5" s="15">
        <v>401025.0</v>
      </c>
      <c r="G5" s="16">
        <f t="shared" si="1"/>
        <v>0</v>
      </c>
      <c r="H5" s="17" t="s">
        <v>12</v>
      </c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4.0" customHeight="1">
      <c r="A6" s="29" t="s">
        <v>14</v>
      </c>
      <c r="B6" s="38">
        <v>56.0</v>
      </c>
      <c r="C6" s="28">
        <v>484640.0</v>
      </c>
      <c r="D6" s="28">
        <v>484640.0</v>
      </c>
      <c r="E6" s="24">
        <v>56.0</v>
      </c>
      <c r="F6" s="26">
        <v>485040.0</v>
      </c>
      <c r="G6" s="16">
        <f t="shared" si="1"/>
        <v>-400</v>
      </c>
      <c r="H6" s="17" t="s">
        <v>15</v>
      </c>
      <c r="I6" s="27" t="s">
        <v>16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4.0" customHeight="1">
      <c r="A7" s="39" t="s">
        <v>17</v>
      </c>
      <c r="B7" s="40"/>
      <c r="C7" s="40"/>
      <c r="D7" s="40"/>
      <c r="E7" s="40"/>
      <c r="F7" s="40"/>
      <c r="G7" s="40"/>
      <c r="H7" s="40"/>
      <c r="I7" s="4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4.0" customHeight="1">
      <c r="A8" s="29" t="s">
        <v>18</v>
      </c>
      <c r="B8" s="38">
        <v>43.0</v>
      </c>
      <c r="C8" s="25">
        <v>238169.0</v>
      </c>
      <c r="D8" s="25">
        <v>238169.0</v>
      </c>
      <c r="E8" s="24">
        <v>43.0</v>
      </c>
      <c r="F8" s="25">
        <v>238169.0</v>
      </c>
      <c r="G8" s="16">
        <f t="shared" ref="G8:G11" si="2">C8-F8</f>
        <v>0</v>
      </c>
      <c r="H8" s="17" t="s">
        <v>19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4.0" customHeight="1">
      <c r="A9" s="29" t="s">
        <v>20</v>
      </c>
      <c r="B9" s="38">
        <v>38.0</v>
      </c>
      <c r="C9" s="25">
        <v>210830.0</v>
      </c>
      <c r="D9" s="25">
        <v>210830.0</v>
      </c>
      <c r="E9" s="24">
        <v>38.0</v>
      </c>
      <c r="F9" s="25">
        <v>210830.0</v>
      </c>
      <c r="G9" s="16">
        <f t="shared" si="2"/>
        <v>0</v>
      </c>
      <c r="H9" s="17" t="s">
        <v>19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4.0" customHeight="1">
      <c r="A10" s="29" t="s">
        <v>21</v>
      </c>
      <c r="B10" s="42">
        <v>61.0</v>
      </c>
      <c r="C10" s="30">
        <v>385030.0</v>
      </c>
      <c r="D10" s="30">
        <v>385030.0</v>
      </c>
      <c r="E10" s="24">
        <v>61.0</v>
      </c>
      <c r="F10" s="30">
        <v>385030.0</v>
      </c>
      <c r="G10" s="16">
        <f t="shared" si="2"/>
        <v>0</v>
      </c>
      <c r="H10" s="17" t="s">
        <v>12</v>
      </c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4.0" customHeight="1">
      <c r="A11" s="32"/>
      <c r="B11" s="32"/>
      <c r="C11" s="33">
        <f t="shared" ref="C11:D11" si="3">SUM(C4:C7)</f>
        <v>1306180</v>
      </c>
      <c r="D11" s="33">
        <f t="shared" si="3"/>
        <v>1306180</v>
      </c>
      <c r="E11" s="32"/>
      <c r="F11" s="33">
        <f>SUM(F4:F7)</f>
        <v>1306580</v>
      </c>
      <c r="G11" s="16">
        <f t="shared" si="2"/>
        <v>-400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7:I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6.63"/>
    <col customWidth="1" min="3" max="4" width="21.25"/>
    <col customWidth="1" min="5" max="5" width="16.25"/>
    <col customWidth="1" min="6" max="6" width="21.25"/>
    <col customWidth="1" min="7" max="7" width="19.63"/>
    <col customWidth="1" min="8" max="8" width="21.63"/>
    <col customWidth="1" min="9" max="9" width="133.38"/>
  </cols>
  <sheetData>
    <row r="1" ht="67.5" customHeight="1">
      <c r="A1" s="1" t="s">
        <v>11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0" customHeight="1">
      <c r="A4" s="20">
        <v>243362.0</v>
      </c>
      <c r="B4" s="36">
        <v>53.0</v>
      </c>
      <c r="C4" s="15">
        <v>410275.0</v>
      </c>
      <c r="D4" s="15">
        <v>410275.0</v>
      </c>
      <c r="E4" s="14">
        <v>53.0</v>
      </c>
      <c r="F4" s="15">
        <v>410275.0</v>
      </c>
      <c r="G4" s="16">
        <f t="shared" ref="G4:G11" si="1">C4-F4</f>
        <v>0</v>
      </c>
      <c r="H4" s="17" t="s">
        <v>12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4.0" customHeight="1">
      <c r="A5" s="13" t="s">
        <v>22</v>
      </c>
      <c r="B5" s="37">
        <v>55.0</v>
      </c>
      <c r="C5" s="21">
        <v>296000.0</v>
      </c>
      <c r="D5" s="21">
        <v>296000.0</v>
      </c>
      <c r="E5" s="14">
        <v>55.0</v>
      </c>
      <c r="F5" s="43">
        <v>296000.0</v>
      </c>
      <c r="G5" s="16">
        <f t="shared" si="1"/>
        <v>0</v>
      </c>
      <c r="H5" s="17" t="s">
        <v>23</v>
      </c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4.0" customHeight="1">
      <c r="A6" s="29" t="s">
        <v>24</v>
      </c>
      <c r="B6" s="38">
        <v>57.0</v>
      </c>
      <c r="C6" s="25">
        <v>385745.0</v>
      </c>
      <c r="D6" s="25">
        <v>385745.0</v>
      </c>
      <c r="E6" s="24">
        <v>57.0</v>
      </c>
      <c r="F6" s="44">
        <v>385745.0</v>
      </c>
      <c r="G6" s="16">
        <f t="shared" si="1"/>
        <v>0</v>
      </c>
      <c r="H6" s="17" t="s">
        <v>23</v>
      </c>
      <c r="I6" s="27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4.0" customHeight="1">
      <c r="A7" s="29" t="s">
        <v>25</v>
      </c>
      <c r="B7" s="38">
        <v>48.0</v>
      </c>
      <c r="C7" s="25">
        <v>330675.0</v>
      </c>
      <c r="D7" s="25">
        <v>330675.0</v>
      </c>
      <c r="E7" s="24">
        <v>48.0</v>
      </c>
      <c r="F7" s="26">
        <v>330675.0</v>
      </c>
      <c r="G7" s="16">
        <f t="shared" si="1"/>
        <v>0</v>
      </c>
      <c r="H7" s="17" t="s">
        <v>12</v>
      </c>
      <c r="I7" s="27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4.0" customHeight="1">
      <c r="A8" s="29" t="s">
        <v>26</v>
      </c>
      <c r="B8" s="38">
        <v>49.0</v>
      </c>
      <c r="C8" s="25">
        <v>291430.0</v>
      </c>
      <c r="D8" s="25">
        <v>291430.0</v>
      </c>
      <c r="E8" s="24">
        <v>49.0</v>
      </c>
      <c r="F8" s="26">
        <v>291430.0</v>
      </c>
      <c r="G8" s="16">
        <f t="shared" si="1"/>
        <v>0</v>
      </c>
      <c r="H8" s="17" t="s">
        <v>12</v>
      </c>
      <c r="I8" s="2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4.0" customHeight="1">
      <c r="A9" s="29" t="s">
        <v>27</v>
      </c>
      <c r="B9" s="38">
        <v>68.0</v>
      </c>
      <c r="C9" s="25">
        <v>405935.0</v>
      </c>
      <c r="D9" s="25">
        <v>405935.0</v>
      </c>
      <c r="E9" s="24">
        <v>68.0</v>
      </c>
      <c r="F9" s="26">
        <v>422875.0</v>
      </c>
      <c r="G9" s="16">
        <f t="shared" si="1"/>
        <v>-16940</v>
      </c>
      <c r="H9" s="17" t="s">
        <v>19</v>
      </c>
      <c r="I9" s="45" t="s">
        <v>28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4.0" customHeight="1">
      <c r="A10" s="29" t="s">
        <v>29</v>
      </c>
      <c r="B10" s="38">
        <v>70.0</v>
      </c>
      <c r="C10" s="25">
        <v>355580.0</v>
      </c>
      <c r="D10" s="25">
        <v>355580.0</v>
      </c>
      <c r="E10" s="24">
        <v>70.0</v>
      </c>
      <c r="F10" s="26">
        <v>355580.0</v>
      </c>
      <c r="G10" s="16">
        <f t="shared" si="1"/>
        <v>0</v>
      </c>
      <c r="H10" s="17" t="s">
        <v>12</v>
      </c>
      <c r="I10" s="2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4.0" customHeight="1">
      <c r="A11" s="29" t="s">
        <v>30</v>
      </c>
      <c r="B11" s="38">
        <v>61.0</v>
      </c>
      <c r="C11" s="25">
        <v>369820.0</v>
      </c>
      <c r="D11" s="25">
        <v>369820.0</v>
      </c>
      <c r="E11" s="24">
        <v>61.0</v>
      </c>
      <c r="F11" s="26">
        <v>369820.0</v>
      </c>
      <c r="G11" s="16">
        <f t="shared" si="1"/>
        <v>0</v>
      </c>
      <c r="H11" s="17" t="s">
        <v>12</v>
      </c>
      <c r="I11" s="2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6.63"/>
    <col customWidth="1" min="3" max="4" width="23.25"/>
    <col customWidth="1" min="5" max="5" width="16.25"/>
    <col customWidth="1" min="6" max="6" width="23.25"/>
    <col customWidth="1" min="7" max="7" width="19.63"/>
    <col customWidth="1" min="8" max="8" width="21.63"/>
    <col customWidth="1" min="9" max="9" width="133.38"/>
  </cols>
  <sheetData>
    <row r="1" ht="67.5" customHeight="1">
      <c r="A1" s="1" t="s">
        <v>11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0.5" customHeight="1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0" customHeight="1">
      <c r="A4" s="29" t="s">
        <v>31</v>
      </c>
      <c r="B4" s="38">
        <v>60.0</v>
      </c>
      <c r="C4" s="25">
        <v>479185.0</v>
      </c>
      <c r="D4" s="25">
        <v>479185.0</v>
      </c>
      <c r="E4" s="24">
        <v>60.0</v>
      </c>
      <c r="F4" s="26">
        <v>479185.0</v>
      </c>
      <c r="G4" s="16">
        <f t="shared" ref="G4:G6" si="1">C4-F4</f>
        <v>0</v>
      </c>
      <c r="H4" s="17" t="s">
        <v>19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4.0" customHeight="1">
      <c r="A5" s="29" t="s">
        <v>32</v>
      </c>
      <c r="B5" s="37">
        <v>71.0</v>
      </c>
      <c r="C5" s="21">
        <v>590040.0</v>
      </c>
      <c r="D5" s="21">
        <v>590040.0</v>
      </c>
      <c r="E5" s="14">
        <v>71.0</v>
      </c>
      <c r="F5" s="15">
        <v>590040.0</v>
      </c>
      <c r="G5" s="16">
        <f t="shared" si="1"/>
        <v>0</v>
      </c>
      <c r="H5" s="17" t="s">
        <v>12</v>
      </c>
      <c r="I5" s="2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4.0" customHeight="1">
      <c r="A6" s="29" t="s">
        <v>33</v>
      </c>
      <c r="B6" s="38">
        <v>54.0</v>
      </c>
      <c r="C6" s="25">
        <v>387120.0</v>
      </c>
      <c r="D6" s="25">
        <v>387120.0</v>
      </c>
      <c r="E6" s="24">
        <v>54.0</v>
      </c>
      <c r="F6" s="26">
        <v>387120.0</v>
      </c>
      <c r="G6" s="16">
        <f t="shared" si="1"/>
        <v>0</v>
      </c>
      <c r="H6" s="17" t="s">
        <v>19</v>
      </c>
      <c r="I6" s="27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4.0" customHeight="1">
      <c r="A7" s="29" t="s">
        <v>34</v>
      </c>
      <c r="B7" s="38">
        <v>64.0</v>
      </c>
      <c r="C7" s="25">
        <v>466230.0</v>
      </c>
      <c r="D7" s="25">
        <v>466230.0</v>
      </c>
      <c r="E7" s="24">
        <v>64.0</v>
      </c>
      <c r="F7" s="26">
        <v>466230.0</v>
      </c>
      <c r="G7" s="16"/>
      <c r="H7" s="17" t="s">
        <v>19</v>
      </c>
      <c r="I7" s="27" t="s">
        <v>35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4.0" customHeight="1">
      <c r="A8" s="29"/>
      <c r="B8" s="38"/>
      <c r="C8" s="25"/>
      <c r="D8" s="25"/>
      <c r="E8" s="24"/>
      <c r="F8" s="26"/>
      <c r="G8" s="16"/>
      <c r="H8" s="17"/>
      <c r="I8" s="27" t="s">
        <v>36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4.0" customHeight="1">
      <c r="A9" s="29"/>
      <c r="B9" s="38"/>
      <c r="C9" s="25"/>
      <c r="D9" s="25"/>
      <c r="E9" s="24"/>
      <c r="F9" s="26"/>
      <c r="G9" s="16"/>
      <c r="H9" s="17"/>
      <c r="I9" s="45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4.0" customHeight="1">
      <c r="A10" s="29"/>
      <c r="B10" s="38"/>
      <c r="C10" s="25"/>
      <c r="D10" s="25"/>
      <c r="E10" s="24"/>
      <c r="F10" s="26"/>
      <c r="G10" s="16"/>
      <c r="H10" s="17"/>
      <c r="I10" s="2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4.0" customHeight="1">
      <c r="A11" s="32"/>
      <c r="B11" s="32"/>
      <c r="C11" s="33">
        <f t="shared" ref="C11:D11" si="2">SUM(C4:C10)</f>
        <v>1922575</v>
      </c>
      <c r="D11" s="33">
        <f t="shared" si="2"/>
        <v>1922575</v>
      </c>
      <c r="E11" s="32"/>
      <c r="F11" s="33">
        <f>SUM(F4:F7)</f>
        <v>1922575</v>
      </c>
      <c r="G11" s="34">
        <f>D11-F11</f>
        <v>0</v>
      </c>
      <c r="H11" s="17"/>
      <c r="I11" s="18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
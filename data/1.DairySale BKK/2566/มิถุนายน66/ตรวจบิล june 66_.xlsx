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สำเนาของ ชีต1" sheetId="2" r:id="rId5"/>
    <sheet state="visible" name="สำเนาของ สำเนาของ ชีต1" sheetId="3" r:id="rId6"/>
    <sheet state="visible" name="สำเนาของ สำเนาของ สำเนาของ ชีต1" sheetId="4" r:id="rId7"/>
  </sheets>
  <definedNames/>
  <calcPr/>
</workbook>
</file>

<file path=xl/sharedStrings.xml><?xml version="1.0" encoding="utf-8"?>
<sst xmlns="http://schemas.openxmlformats.org/spreadsheetml/2006/main" count="82" uniqueCount="19">
  <si>
    <t>ตรวจบิล June  66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</si>
  <si>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</si>
  <si>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</si>
  <si>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</si>
  <si>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</si>
  <si>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</si>
  <si>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</si>
  <si>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</si>
  <si>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</si>
  <si>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</si>
  <si>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31/05/66-1-3/6/66</t>
  </si>
  <si>
    <t>เอิง</t>
  </si>
  <si>
    <t>ผลต่าง 7000 บาท บิลยกเลิกของวันที่ 3/6/66  STHBKK012306000027</t>
  </si>
  <si>
    <t>พี่เกษ</t>
  </si>
  <si>
    <t>ผลต่าง 10900 บาท บิลยกเลิกของวันที่ STHONLIN2306000121</t>
  </si>
  <si>
    <t>ผลต่าง 7000 บาท บิลยกเลิกของวันที่ 9/6/66 STHBKK012306000527</t>
  </si>
  <si>
    <t>poon</t>
  </si>
  <si>
    <t>ผลต่าง7600เป็นบิลยกเลิกวันที่ 22/6/66 STHBKK012306001538</t>
  </si>
  <si>
    <t>ผลต่าง15000 เป็นบิลยกเลิกวันที่ 25/6/66 STHONLIN2306000523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</si>
</sst>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d/m/yy"/>
    <numFmt numFmtId="166" formatCode="#,###_);\(#,###\)"/>
    <numFmt numFmtId="167" formatCode="dd/mm/yy"/>
  </numFmts>
  <fonts count="13">
    <font>
      <sz val="10.0"/>
      <color rgb="FF000000"/>
      <name val="Arial"/>
      <scheme val="minor"/>
    </font>
    <font>
      <b/>
      <sz val="34.0"/>
      <color theme="1"/>
      <name val="Calibri"/>
    </font>
    <font/>
    <font>
      <color theme="1"/>
      <name val="Arial"/>
    </font>
    <font>
      <b/>
      <sz val="27.0"/>
      <color theme="1"/>
      <name val="Calibri"/>
    </font>
    <font>
      <sz val="26.0"/>
      <color theme="1"/>
      <name val="Calibri"/>
    </font>
    <font>
      <sz val="23.0"/>
      <color theme="1"/>
      <name val="Arial"/>
    </font>
    <font>
      <sz val="20.0"/>
      <color rgb="FFFF0000"/>
      <name val="Arial"/>
    </font>
    <font>
      <sz val="23.0"/>
      <color rgb="FFFF0000"/>
      <name val="Arial"/>
    </font>
    <font>
      <b/>
      <u/>
      <sz val="27.0"/>
      <color theme="1"/>
      <name val="Calibri"/>
    </font>
    <font>
      <sz val="27.0"/>
      <color rgb="FFFF0000"/>
      <name val="Arial"/>
    </font>
    <font>
      <sz val="20.0"/>
      <color theme="1"/>
      <name val="Arial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3" fontId="4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2" numFmtId="0" xfId="0" applyBorder="1" applyFont="1"/>
    <xf borderId="3" fillId="5" fontId="4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vertical="bottom"/>
    </xf>
    <xf borderId="5" fillId="6" fontId="5" numFmtId="0" xfId="0" applyAlignment="1" applyBorder="1" applyFill="1" applyFont="1">
      <alignment horizontal="center" readingOrder="0"/>
    </xf>
    <xf borderId="3" fillId="6" fontId="6" numFmtId="38" xfId="0" applyAlignment="1" applyBorder="1" applyFont="1" applyNumberFormat="1">
      <alignment horizontal="center" readingOrder="0"/>
    </xf>
    <xf borderId="3" fillId="6" fontId="6" numFmtId="38" xfId="0" applyAlignment="1" applyBorder="1" applyFont="1" applyNumberFormat="1">
      <alignment horizontal="right" readingOrder="0"/>
    </xf>
    <xf borderId="3" fillId="6" fontId="6" numFmtId="164" xfId="0" applyBorder="1" applyFont="1" applyNumberFormat="1"/>
    <xf borderId="3" fillId="6" fontId="6" numFmtId="0" xfId="0" applyAlignment="1" applyBorder="1" applyFont="1">
      <alignment horizontal="center" readingOrder="0"/>
    </xf>
    <xf borderId="3" fillId="6" fontId="6" numFmtId="0" xfId="0" applyBorder="1" applyFont="1"/>
    <xf borderId="0" fillId="6" fontId="6" numFmtId="0" xfId="0" applyAlignment="1" applyFont="1">
      <alignment vertical="bottom"/>
    </xf>
    <xf borderId="5" fillId="6" fontId="6" numFmtId="165" xfId="0" applyAlignment="1" applyBorder="1" applyFont="1" applyNumberFormat="1">
      <alignment horizontal="center" readingOrder="0"/>
    </xf>
    <xf borderId="3" fillId="6" fontId="6" numFmtId="164" xfId="0" applyAlignment="1" applyBorder="1" applyFont="1" applyNumberFormat="1">
      <alignment horizontal="right" readingOrder="0"/>
    </xf>
    <xf borderId="3" fillId="6" fontId="6" numFmtId="164" xfId="0" applyAlignment="1" applyBorder="1" applyFont="1" applyNumberFormat="1">
      <alignment horizontal="center" readingOrder="0"/>
    </xf>
    <xf borderId="3" fillId="6" fontId="7" numFmtId="0" xfId="0" applyAlignment="1" applyBorder="1" applyFont="1">
      <alignment readingOrder="0"/>
    </xf>
    <xf borderId="3" fillId="6" fontId="6" numFmtId="166" xfId="0" applyAlignment="1" applyBorder="1" applyFont="1" applyNumberFormat="1">
      <alignment horizontal="right"/>
    </xf>
    <xf borderId="3" fillId="6" fontId="6" numFmtId="166" xfId="0" applyAlignment="1" applyBorder="1" applyFont="1" applyNumberFormat="1">
      <alignment horizontal="right" readingOrder="0"/>
    </xf>
    <xf borderId="3" fillId="6" fontId="8" numFmtId="0" xfId="0" applyAlignment="1" applyBorder="1" applyFont="1">
      <alignment readingOrder="0"/>
    </xf>
    <xf borderId="5" fillId="6" fontId="3" numFmtId="0" xfId="0" applyBorder="1" applyFont="1"/>
    <xf borderId="3" fillId="6" fontId="3" numFmtId="0" xfId="0" applyBorder="1" applyFont="1"/>
    <xf borderId="3" fillId="6" fontId="9" numFmtId="38" xfId="0" applyAlignment="1" applyBorder="1" applyFont="1" applyNumberFormat="1">
      <alignment horizontal="center"/>
    </xf>
    <xf borderId="3" fillId="6" fontId="10" numFmtId="164" xfId="0" applyAlignment="1" applyBorder="1" applyFont="1" applyNumberFormat="1">
      <alignment horizontal="right"/>
    </xf>
    <xf borderId="0" fillId="6" fontId="3" numFmtId="0" xfId="0" applyAlignment="1" applyFont="1">
      <alignment vertical="bottom"/>
    </xf>
    <xf borderId="5" fillId="6" fontId="5" numFmtId="167" xfId="0" applyAlignment="1" applyBorder="1" applyFont="1" applyNumberFormat="1">
      <alignment horizontal="center" readingOrder="0"/>
    </xf>
    <xf borderId="0" fillId="0" fontId="6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3" fillId="6" fontId="6" numFmtId="166" xfId="0" applyAlignment="1" applyBorder="1" applyFont="1" applyNumberFormat="1">
      <alignment horizontal="center"/>
    </xf>
    <xf borderId="3" fillId="6" fontId="6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9.25"/>
    <col customWidth="1" min="3" max="3" width="20.88"/>
    <col customWidth="1" min="4" max="4" width="23.88"/>
    <col customWidth="1" min="5" max="5" width="23.13"/>
    <col customWidth="1" min="6" max="6" width="19.75"/>
    <col customWidth="1" min="7" max="7" width="22.0"/>
    <col customWidth="1" min="8" max="8" width="29.38"/>
    <col customWidth="1" min="9" max="9" width="1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13" t="s">
        <v>10</v>
      </c>
      <c r="B4" s="14">
        <v>155.0</v>
      </c>
      <c r="C4" s="15">
        <v>1243370.0</v>
      </c>
      <c r="D4" s="15">
        <v>155.0</v>
      </c>
      <c r="E4" s="15">
        <v>1243370.0</v>
      </c>
      <c r="F4" s="15">
        <v>1243370.0</v>
      </c>
      <c r="G4" s="16">
        <f t="shared" ref="G4:G7" si="1">F4-E4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7.5" customHeight="1">
      <c r="A5" s="20">
        <v>24262.0</v>
      </c>
      <c r="B5" s="14">
        <v>71.0</v>
      </c>
      <c r="C5" s="21">
        <v>401830.0</v>
      </c>
      <c r="D5" s="22">
        <v>71.0</v>
      </c>
      <c r="E5" s="15">
        <v>401830.0</v>
      </c>
      <c r="F5" s="15">
        <v>408830.0</v>
      </c>
      <c r="G5" s="16">
        <f t="shared" si="1"/>
        <v>7000</v>
      </c>
      <c r="H5" s="17" t="s">
        <v>11</v>
      </c>
      <c r="I5" s="23" t="s">
        <v>12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7.5" customHeight="1">
      <c r="A6" s="20">
        <v>24263.0</v>
      </c>
      <c r="B6" s="14">
        <v>88.0</v>
      </c>
      <c r="C6" s="21">
        <v>596270.0</v>
      </c>
      <c r="D6" s="22">
        <v>88.0</v>
      </c>
      <c r="E6" s="15">
        <v>596270.0</v>
      </c>
      <c r="F6" s="15">
        <v>596270.0</v>
      </c>
      <c r="G6" s="16">
        <f t="shared" si="1"/>
        <v>0</v>
      </c>
      <c r="H6" s="17" t="s">
        <v>11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7.5" customHeight="1">
      <c r="A7" s="20">
        <v>24264.0</v>
      </c>
      <c r="B7" s="14">
        <v>83.0</v>
      </c>
      <c r="C7" s="21">
        <v>464900.0</v>
      </c>
      <c r="D7" s="22">
        <v>83.0</v>
      </c>
      <c r="E7" s="15">
        <v>464900.0</v>
      </c>
      <c r="F7" s="21">
        <v>464900.0</v>
      </c>
      <c r="G7" s="16">
        <f t="shared" si="1"/>
        <v>0</v>
      </c>
      <c r="H7" s="17" t="s">
        <v>13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7.5" customHeight="1">
      <c r="A8" s="20">
        <v>24265.0</v>
      </c>
      <c r="B8" s="14">
        <v>79.0</v>
      </c>
      <c r="C8" s="24">
        <v>678045.0</v>
      </c>
      <c r="D8" s="22">
        <v>79.0</v>
      </c>
      <c r="E8" s="25">
        <v>688945.0</v>
      </c>
      <c r="F8" s="25">
        <v>688945.0</v>
      </c>
      <c r="G8" s="16">
        <f>SUM(F8-C8)</f>
        <v>10900</v>
      </c>
      <c r="H8" s="17" t="s">
        <v>13</v>
      </c>
      <c r="I8" s="26" t="s">
        <v>14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7.5" customHeight="1">
      <c r="A9" s="20">
        <v>24266.0</v>
      </c>
      <c r="B9" s="14">
        <v>69.0</v>
      </c>
      <c r="C9" s="21">
        <v>600400.0</v>
      </c>
      <c r="D9" s="22">
        <v>69.0</v>
      </c>
      <c r="E9" s="15">
        <v>600400.0</v>
      </c>
      <c r="F9" s="21">
        <v>600400.0</v>
      </c>
      <c r="G9" s="16">
        <f t="shared" ref="G9:G11" si="2">F9-E9</f>
        <v>0</v>
      </c>
      <c r="H9" s="17" t="s">
        <v>11</v>
      </c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7.5" customHeight="1">
      <c r="A10" s="20">
        <v>24267.0</v>
      </c>
      <c r="B10" s="14">
        <v>84.0</v>
      </c>
      <c r="C10" s="22">
        <v>588065.0</v>
      </c>
      <c r="D10" s="22">
        <v>84.0</v>
      </c>
      <c r="E10" s="14">
        <v>588065.0</v>
      </c>
      <c r="F10" s="22">
        <v>588065.0</v>
      </c>
      <c r="G10" s="16">
        <f t="shared" si="2"/>
        <v>0</v>
      </c>
      <c r="H10" s="17" t="s">
        <v>11</v>
      </c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7.5" customHeight="1">
      <c r="A11" s="20">
        <v>24268.0</v>
      </c>
      <c r="B11" s="14">
        <v>81.0</v>
      </c>
      <c r="C11" s="22">
        <v>591125.0</v>
      </c>
      <c r="D11" s="22">
        <v>81.0</v>
      </c>
      <c r="E11" s="14">
        <v>591125.0</v>
      </c>
      <c r="F11" s="22">
        <v>598125.0</v>
      </c>
      <c r="G11" s="16">
        <f t="shared" si="2"/>
        <v>7000</v>
      </c>
      <c r="H11" s="17" t="s">
        <v>11</v>
      </c>
      <c r="I11" s="26" t="s">
        <v>15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7"/>
      <c r="B12" s="28"/>
      <c r="C12" s="29">
        <f t="shared" ref="C12:D12" si="3">SUM(C4:C7)</f>
        <v>2706370</v>
      </c>
      <c r="D12" s="29">
        <f t="shared" si="3"/>
        <v>397</v>
      </c>
      <c r="E12" s="28"/>
      <c r="F12" s="29">
        <f>SUM(F4:F7)</f>
        <v>2713370</v>
      </c>
      <c r="G12" s="30"/>
      <c r="H12" s="28"/>
      <c r="I12" s="28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26.63"/>
    <col customWidth="1" min="3" max="4" width="21.25"/>
    <col customWidth="1" min="5" max="5" width="16.25"/>
    <col customWidth="1" min="6" max="6" width="19.75"/>
    <col customWidth="1" min="7" max="7" width="17.25"/>
    <col customWidth="1" min="8" max="8" width="23.63"/>
    <col customWidth="1" min="9" max="9" width="1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32">
        <v>24269.0</v>
      </c>
      <c r="B4" s="14">
        <v>43.0</v>
      </c>
      <c r="C4" s="15">
        <v>248760.0</v>
      </c>
      <c r="D4" s="15">
        <v>248760.0</v>
      </c>
      <c r="E4" s="15">
        <v>43.0</v>
      </c>
      <c r="F4" s="15">
        <v>248760.0</v>
      </c>
      <c r="G4" s="16">
        <f>SUM(F4-D4)</f>
        <v>0</v>
      </c>
      <c r="H4" s="17" t="s">
        <v>13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7.5" customHeight="1">
      <c r="A5" s="20">
        <v>24270.0</v>
      </c>
      <c r="B5" s="14">
        <v>90.0</v>
      </c>
      <c r="C5" s="21">
        <v>686070.0</v>
      </c>
      <c r="D5" s="21">
        <v>686070.0</v>
      </c>
      <c r="E5" s="15">
        <v>90.0</v>
      </c>
      <c r="F5" s="21">
        <v>686070.0</v>
      </c>
      <c r="G5" s="16">
        <f t="shared" ref="G5:G11" si="1">F5-D5</f>
        <v>0</v>
      </c>
      <c r="H5" s="17" t="s">
        <v>11</v>
      </c>
      <c r="I5" s="23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7.5" customHeight="1">
      <c r="A6" s="20">
        <v>24271.0</v>
      </c>
      <c r="B6" s="14">
        <v>85.0</v>
      </c>
      <c r="C6" s="24">
        <v>641705.0</v>
      </c>
      <c r="D6" s="24">
        <v>641705.0</v>
      </c>
      <c r="E6" s="15">
        <v>85.0</v>
      </c>
      <c r="F6" s="24">
        <v>641705.0</v>
      </c>
      <c r="G6" s="16">
        <f t="shared" si="1"/>
        <v>0</v>
      </c>
      <c r="H6" s="17" t="s">
        <v>13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7.5" customHeight="1">
      <c r="A7" s="20">
        <v>24272.0</v>
      </c>
      <c r="B7" s="14">
        <v>65.0</v>
      </c>
      <c r="C7" s="24">
        <v>450025.0</v>
      </c>
      <c r="D7" s="22">
        <v>450025.0</v>
      </c>
      <c r="E7" s="15">
        <v>65.0</v>
      </c>
      <c r="F7" s="21">
        <v>450025.0</v>
      </c>
      <c r="G7" s="16">
        <f t="shared" si="1"/>
        <v>0</v>
      </c>
      <c r="H7" s="17" t="s">
        <v>13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7.5" customHeight="1">
      <c r="A8" s="20">
        <v>24273.0</v>
      </c>
      <c r="B8" s="14">
        <v>64.0</v>
      </c>
      <c r="C8" s="25">
        <v>398750.0</v>
      </c>
      <c r="D8" s="22">
        <v>398750.0</v>
      </c>
      <c r="E8" s="25">
        <v>64.0</v>
      </c>
      <c r="F8" s="25">
        <v>398750.0</v>
      </c>
      <c r="G8" s="16">
        <f t="shared" si="1"/>
        <v>0</v>
      </c>
      <c r="H8" s="17" t="s">
        <v>11</v>
      </c>
      <c r="I8" s="26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7.5" customHeight="1">
      <c r="A9" s="20">
        <v>24274.0</v>
      </c>
      <c r="B9" s="14">
        <v>54.0</v>
      </c>
      <c r="C9" s="21">
        <v>475979.0</v>
      </c>
      <c r="D9" s="22">
        <v>475979.0</v>
      </c>
      <c r="E9" s="15">
        <v>54.0</v>
      </c>
      <c r="F9" s="21">
        <v>475979.0</v>
      </c>
      <c r="G9" s="16">
        <f t="shared" si="1"/>
        <v>0</v>
      </c>
      <c r="H9" s="17" t="s">
        <v>11</v>
      </c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7.5" customHeight="1">
      <c r="A10" s="20">
        <v>24275.0</v>
      </c>
      <c r="B10" s="14">
        <v>68.0</v>
      </c>
      <c r="C10" s="22">
        <v>510560.0</v>
      </c>
      <c r="D10" s="22">
        <v>510560.0</v>
      </c>
      <c r="E10" s="15">
        <v>68.0</v>
      </c>
      <c r="F10" s="22">
        <v>510560.0</v>
      </c>
      <c r="G10" s="16">
        <f t="shared" si="1"/>
        <v>0</v>
      </c>
      <c r="H10" s="17" t="s">
        <v>11</v>
      </c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7.5" customHeight="1">
      <c r="A11" s="20">
        <v>24276.0</v>
      </c>
      <c r="B11" s="14">
        <v>48.0</v>
      </c>
      <c r="C11" s="22">
        <v>223760.0</v>
      </c>
      <c r="D11" s="22">
        <v>223760.0</v>
      </c>
      <c r="E11" s="15">
        <v>48.0</v>
      </c>
      <c r="F11" s="22">
        <v>223760.0</v>
      </c>
      <c r="G11" s="16">
        <f t="shared" si="1"/>
        <v>0</v>
      </c>
      <c r="H11" s="17" t="s">
        <v>13</v>
      </c>
      <c r="I11" s="2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7"/>
      <c r="B12" s="28"/>
      <c r="C12" s="29">
        <f t="shared" ref="C12:D12" si="2">SUM(C4:C7)</f>
        <v>2026560</v>
      </c>
      <c r="D12" s="29">
        <f t="shared" si="2"/>
        <v>2026560</v>
      </c>
      <c r="E12" s="28"/>
      <c r="F12" s="29">
        <f>SUM(F4:F7)</f>
        <v>2026560</v>
      </c>
      <c r="G12" s="30"/>
      <c r="H12" s="28"/>
      <c r="I12" s="28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26.63"/>
    <col customWidth="1" min="3" max="4" width="21.25"/>
    <col customWidth="1" min="5" max="5" width="16.25"/>
    <col customWidth="1" min="6" max="6" width="19.75"/>
    <col customWidth="1" min="7" max="7" width="17.25"/>
    <col customWidth="1" min="8" max="8" width="23.63"/>
    <col customWidth="1" min="9" max="9" width="1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32">
        <v>24277.0</v>
      </c>
      <c r="B4" s="14">
        <v>67.0</v>
      </c>
      <c r="C4" s="15">
        <v>568165.0</v>
      </c>
      <c r="D4" s="15">
        <v>568165.0</v>
      </c>
      <c r="E4" s="15">
        <v>67.0</v>
      </c>
      <c r="F4" s="15">
        <v>568165.0</v>
      </c>
      <c r="G4" s="16">
        <f>SUM(F4-D4)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7.5" customHeight="1">
      <c r="A5" s="20">
        <v>24278.0</v>
      </c>
      <c r="B5" s="14">
        <v>62.0</v>
      </c>
      <c r="C5" s="21">
        <v>392600.0</v>
      </c>
      <c r="D5" s="21">
        <v>392600.0</v>
      </c>
      <c r="E5" s="15">
        <v>62.0</v>
      </c>
      <c r="F5" s="24">
        <v>392600.0</v>
      </c>
      <c r="G5" s="16">
        <f t="shared" ref="G5:G11" si="1">F5-D5</f>
        <v>0</v>
      </c>
      <c r="H5" s="17" t="s">
        <v>16</v>
      </c>
      <c r="I5" s="23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7.5" customHeight="1">
      <c r="A6" s="20">
        <v>24279.0</v>
      </c>
      <c r="B6" s="14">
        <v>72.0</v>
      </c>
      <c r="C6" s="25">
        <v>592040.0</v>
      </c>
      <c r="D6" s="25">
        <v>592040.0</v>
      </c>
      <c r="E6" s="15">
        <v>72.0</v>
      </c>
      <c r="F6" s="24">
        <v>592040.0</v>
      </c>
      <c r="G6" s="16">
        <f t="shared" si="1"/>
        <v>0</v>
      </c>
      <c r="H6" s="17" t="s">
        <v>13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7.5" customHeight="1">
      <c r="A7" s="20">
        <v>24280.0</v>
      </c>
      <c r="B7" s="14">
        <v>85.0</v>
      </c>
      <c r="C7" s="24">
        <v>642655.0</v>
      </c>
      <c r="D7" s="36">
        <v>642655.0</v>
      </c>
      <c r="E7" s="15">
        <v>85.0</v>
      </c>
      <c r="F7" s="24">
        <v>642655.0</v>
      </c>
      <c r="G7" s="16">
        <f t="shared" si="1"/>
        <v>0</v>
      </c>
      <c r="H7" s="17" t="s">
        <v>13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7.5" customHeight="1">
      <c r="A8" s="20">
        <v>24281.0</v>
      </c>
      <c r="B8" s="14">
        <v>64.0</v>
      </c>
      <c r="C8" s="25">
        <v>594425.0</v>
      </c>
      <c r="D8" s="22">
        <v>594425.0</v>
      </c>
      <c r="E8" s="25">
        <v>64.0</v>
      </c>
      <c r="F8" s="25">
        <v>602025.0</v>
      </c>
      <c r="G8" s="16">
        <f t="shared" si="1"/>
        <v>7600</v>
      </c>
      <c r="H8" s="17" t="s">
        <v>16</v>
      </c>
      <c r="I8" s="26" t="s">
        <v>17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7.5" customHeight="1">
      <c r="A9" s="20">
        <v>24282.0</v>
      </c>
      <c r="B9" s="14">
        <v>42.0</v>
      </c>
      <c r="C9" s="21">
        <v>261795.0</v>
      </c>
      <c r="D9" s="22">
        <v>261795.0</v>
      </c>
      <c r="E9" s="15">
        <v>42.0</v>
      </c>
      <c r="F9" s="21">
        <v>261795.0</v>
      </c>
      <c r="G9" s="16">
        <f t="shared" si="1"/>
        <v>0</v>
      </c>
      <c r="H9" s="17" t="s">
        <v>11</v>
      </c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7.5" customHeight="1">
      <c r="A10" s="20">
        <v>24283.0</v>
      </c>
      <c r="B10" s="14">
        <v>26.0</v>
      </c>
      <c r="C10" s="22">
        <v>186700.0</v>
      </c>
      <c r="D10" s="22">
        <v>186700.0</v>
      </c>
      <c r="E10" s="15">
        <v>26.0</v>
      </c>
      <c r="F10" s="22">
        <v>186700.0</v>
      </c>
      <c r="G10" s="16">
        <f t="shared" si="1"/>
        <v>0</v>
      </c>
      <c r="H10" s="17" t="s">
        <v>11</v>
      </c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7.5" customHeight="1">
      <c r="A11" s="20">
        <v>24284.0</v>
      </c>
      <c r="B11" s="14">
        <v>68.0</v>
      </c>
      <c r="C11" s="22">
        <v>520300.0</v>
      </c>
      <c r="D11" s="22">
        <v>520300.0</v>
      </c>
      <c r="E11" s="15">
        <v>68.0</v>
      </c>
      <c r="F11" s="22">
        <v>535300.0</v>
      </c>
      <c r="G11" s="16">
        <f t="shared" si="1"/>
        <v>15000</v>
      </c>
      <c r="H11" s="17" t="s">
        <v>16</v>
      </c>
      <c r="I11" s="26" t="s">
        <v>18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7"/>
      <c r="B12" s="28"/>
      <c r="C12" s="29">
        <f t="shared" ref="C12:D12" si="2">SUM(C4:C7)</f>
        <v>2195460</v>
      </c>
      <c r="D12" s="29">
        <f t="shared" si="2"/>
        <v>2195460</v>
      </c>
      <c r="E12" s="28"/>
      <c r="F12" s="29">
        <f>SUM(F4:F7)</f>
        <v>2195460</v>
      </c>
      <c r="G12" s="30"/>
      <c r="H12" s="28"/>
      <c r="I12" s="28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26.63"/>
    <col customWidth="1" min="3" max="4" width="21.25"/>
    <col customWidth="1" min="5" max="5" width="16.25"/>
    <col customWidth="1" min="6" max="6" width="19.75"/>
    <col customWidth="1" min="7" max="7" width="17.25"/>
    <col customWidth="1" min="8" max="8" width="23.63"/>
    <col customWidth="1" min="9" max="9" width="1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32">
        <v>24285.0</v>
      </c>
      <c r="B4" s="14">
        <v>75.0</v>
      </c>
      <c r="C4" s="15">
        <v>549875.0</v>
      </c>
      <c r="D4" s="15">
        <v>549875.0</v>
      </c>
      <c r="E4" s="15">
        <v>75.0</v>
      </c>
      <c r="F4" s="15">
        <v>549875.0</v>
      </c>
      <c r="G4" s="16">
        <f>SUM(F4-D4)</f>
        <v>0</v>
      </c>
      <c r="H4" s="17" t="s">
        <v>13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7.5" customHeight="1">
      <c r="A5" s="32">
        <v>24286.0</v>
      </c>
      <c r="B5" s="14">
        <v>92.0</v>
      </c>
      <c r="C5" s="21">
        <v>665615.0</v>
      </c>
      <c r="D5" s="21">
        <v>665615.0</v>
      </c>
      <c r="E5" s="15">
        <v>92.0</v>
      </c>
      <c r="F5" s="25">
        <v>665615.0</v>
      </c>
      <c r="G5" s="16">
        <f t="shared" ref="G5:G11" si="1">F5-D5</f>
        <v>0</v>
      </c>
      <c r="H5" s="17" t="s">
        <v>13</v>
      </c>
      <c r="I5" s="23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7.5" customHeight="1">
      <c r="A6" s="32">
        <v>24287.0</v>
      </c>
      <c r="B6" s="14">
        <v>77.0</v>
      </c>
      <c r="C6" s="25">
        <v>626130.0</v>
      </c>
      <c r="D6" s="25">
        <v>626130.0</v>
      </c>
      <c r="E6" s="15">
        <v>77.0</v>
      </c>
      <c r="F6" s="25">
        <v>626130.0</v>
      </c>
      <c r="G6" s="16">
        <f t="shared" si="1"/>
        <v>0</v>
      </c>
      <c r="H6" s="17" t="s">
        <v>11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7.5" customHeight="1">
      <c r="A7" s="32">
        <v>24288.0</v>
      </c>
      <c r="B7" s="14">
        <v>96.0</v>
      </c>
      <c r="C7" s="25">
        <v>964265.0</v>
      </c>
      <c r="D7" s="37">
        <v>964265.0</v>
      </c>
      <c r="E7" s="15">
        <v>96.0</v>
      </c>
      <c r="F7" s="25">
        <v>964265.0</v>
      </c>
      <c r="G7" s="16">
        <f t="shared" si="1"/>
        <v>0</v>
      </c>
      <c r="H7" s="17" t="s">
        <v>11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7.5" customHeight="1">
      <c r="A8" s="20"/>
      <c r="B8" s="14"/>
      <c r="C8" s="25"/>
      <c r="D8" s="22"/>
      <c r="E8" s="25"/>
      <c r="F8" s="25"/>
      <c r="G8" s="16">
        <f t="shared" si="1"/>
        <v>0</v>
      </c>
      <c r="H8" s="17"/>
      <c r="I8" s="26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7.5" customHeight="1">
      <c r="A9" s="20"/>
      <c r="B9" s="14"/>
      <c r="C9" s="21"/>
      <c r="D9" s="22"/>
      <c r="E9" s="15"/>
      <c r="F9" s="21"/>
      <c r="G9" s="16">
        <f t="shared" si="1"/>
        <v>0</v>
      </c>
      <c r="H9" s="17"/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7.5" customHeight="1">
      <c r="A10" s="20"/>
      <c r="B10" s="14"/>
      <c r="C10" s="22"/>
      <c r="D10" s="22"/>
      <c r="E10" s="15"/>
      <c r="F10" s="22"/>
      <c r="G10" s="16">
        <f t="shared" si="1"/>
        <v>0</v>
      </c>
      <c r="H10" s="17"/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7.5" customHeight="1">
      <c r="A11" s="20"/>
      <c r="B11" s="14"/>
      <c r="C11" s="22"/>
      <c r="D11" s="22"/>
      <c r="E11" s="15"/>
      <c r="F11" s="22"/>
      <c r="G11" s="16">
        <f t="shared" si="1"/>
        <v>0</v>
      </c>
      <c r="H11" s="17"/>
      <c r="I11" s="2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7"/>
      <c r="B12" s="28"/>
      <c r="C12" s="29">
        <f t="shared" ref="C12:D12" si="2">SUM(C4:C7)</f>
        <v>2805885</v>
      </c>
      <c r="D12" s="29">
        <f t="shared" si="2"/>
        <v>2805885</v>
      </c>
      <c r="E12" s="28"/>
      <c r="F12" s="29">
        <f>SUM(F4:F7)</f>
        <v>2805885</v>
      </c>
      <c r="G12" s="30"/>
      <c r="H12" s="28"/>
      <c r="I12" s="28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
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 พ.ย.- 2 ธ.ค. 67" sheetId="1" r:id="rId4"/>
    <sheet state="visible" name="3.ธ.ค. 67" sheetId="2" r:id="rId5"/>
    <sheet state="visible" name="4.ธ.ค. 67" sheetId="3" r:id="rId6"/>
    <sheet state="visible" name="5-6.ธ.ค. 67" sheetId="4" r:id="rId7"/>
    <sheet state="visible" name="A4S The Big JUMP 7.12.67" sheetId="5" r:id="rId8"/>
    <sheet state="visible" name=" 7 ธ.ค. 67" sheetId="6" r:id="rId9"/>
    <sheet state="visible" name=" 8  ธ.ค. 67" sheetId="7" r:id="rId10"/>
    <sheet state="visible" name="9  ธ.ค. 67" sheetId="8" r:id="rId11"/>
    <sheet state="visible" name="11  ธ.ค. 67" sheetId="9" r:id="rId12"/>
    <sheet state="visible" name="12 ธ.ค. 67" sheetId="10" r:id="rId13"/>
    <sheet state="visible" name="13. ธ.ค. 67" sheetId="11" r:id="rId14"/>
    <sheet state="visible" name="14. ธ.ค. 67" sheetId="12" r:id="rId15"/>
    <sheet state="visible" name="15. ธ.ค. 67" sheetId="13" r:id="rId16"/>
    <sheet state="visible" name="16. ธ.ค. 67" sheetId="14" r:id="rId17"/>
    <sheet state="visible" name="17. ธ.ค. 67" sheetId="15" r:id="rId18"/>
    <sheet state="visible" name="18 . ธ.ค. 67" sheetId="16" r:id="rId19"/>
    <sheet state="visible" name="19 . ธ.ค. 67" sheetId="17" r:id="rId20"/>
    <sheet state="visible" name="20 . ธ.ค. 67" sheetId="18" r:id="rId21"/>
    <sheet state="visible" name="21 . ธ.ค. 67" sheetId="19" r:id="rId22"/>
    <sheet state="visible" name="22. ธ.ค. 67" sheetId="20" r:id="rId23"/>
    <sheet state="visible" name="23. ธ.ค. 67" sheetId="21" r:id="rId24"/>
    <sheet state="visible" name="24. ธ.ค. 67" sheetId="22" r:id="rId25"/>
    <sheet state="visible" name="25 ธ.ค. 67" sheetId="23" r:id="rId26"/>
    <sheet state="visible" name="26 ธ.ค. 67" sheetId="24" r:id="rId27"/>
    <sheet state="visible" name="27.ธ.ค. 67" sheetId="25" r:id="rId28"/>
    <sheet state="visible" name="28.ธ.ค. 67 " sheetId="26" r:id="rId29"/>
    <sheet state="visible" name="29.ธ.ค. 67 " sheetId="27" r:id="rId30"/>
  </sheets>
  <definedNames/>
  <calcPr/>
  <extLst>
    <ext uri="GoogleSheetsCustomDataVersion2">
      <go:sheetsCustomData xmlns:go="http://customooxmlschemas.google.com/" r:id="rId31" roundtripDataChecksum="QhhoOrnCAE4Edixm+tOAGcisa7YfzAGK1rKdIqRPrv0="/>
    </ext>
  </extLst>
</workbook>
</file>

<file path=xl/sharedStrings.xml><?xml version="1.0" encoding="utf-8"?>
<sst xmlns="http://schemas.openxmlformats.org/spreadsheetml/2006/main" count="3593" uniqueCount="1367">
  <si>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30 พ.ย.  -  2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</si>
  <si>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</si>
  <si>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</si>
  <si>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</si>
  <si>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</si>
  <si>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</si>
  <si>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</si>
  <si>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</si>
  <si>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</si>
  <si>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</si>
  <si>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</si>
  <si>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</si>
  <si>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</si>
  <si>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</si>
  <si>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</si>
  <si>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</si>
  <si>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</si>
  <si>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</si>
  <si>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</si>
  <si>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</si>
  <si>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</si>
  <si>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</si>
  <si>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</si>
  <si>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STHBKK012411000674</t>
  </si>
  <si>
    <t>นางสาว มัลลิกา พลรัตน์</t>
  </si>
  <si>
    <t>NEWBKK</t>
  </si>
  <si>
    <t>STHBKK012411000675</t>
  </si>
  <si>
    <t>นางสาว ยูรีนา เกษา</t>
  </si>
  <si>
    <t>STHBKK012411000676</t>
  </si>
  <si>
    <t>นาย สุเมธ จันทร์งาม</t>
  </si>
  <si>
    <t>TOYBKK</t>
  </si>
  <si>
    <t>STHBKK012411000678</t>
  </si>
  <si>
    <t>นาย ยศพัทธิ์ ศรีอุทิศ</t>
  </si>
  <si>
    <t>bkk-aoeng</t>
  </si>
  <si>
    <t>STHBKK012411000679</t>
  </si>
  <si>
    <t>นาย สมบัติ  สุวรรณสิทธิ์</t>
  </si>
  <si>
    <t>STHBKK012412000002</t>
  </si>
  <si>
    <t>นางสาว กรรณิการ์ คล้ายแก้ว</t>
  </si>
  <si>
    <t>STHBKK012412000004</t>
  </si>
  <si>
    <t>บริษัท ซีเวียร์ 289 จำกัด ( สำนักงานใหญ่ )</t>
  </si>
  <si>
    <t>STHBKK012412000005</t>
  </si>
  <si>
    <t>นาง วันเพ็ญ  โขมพัด</t>
  </si>
  <si>
    <t>STHBKK012412000006</t>
  </si>
  <si>
    <t>นางสาว รุ่งรัตน์ สารสุวรรณ</t>
  </si>
  <si>
    <t>STHBKK012412000007</t>
  </si>
  <si>
    <t>นาย ศักดา ตำนาญ</t>
  </si>
  <si>
    <t>STHBKK012412000008</t>
  </si>
  <si>
    <t xml:space="preserve">นาย ทนงศักดิ์ รัตนบุรี		</t>
  </si>
  <si>
    <t>Ketbkk</t>
  </si>
  <si>
    <t>STHBKK012412000009</t>
  </si>
  <si>
    <t>นาย สนั่นศักดิ์  สมทอง</t>
  </si>
  <si>
    <t>STHBKK012412000010</t>
  </si>
  <si>
    <t>นางสาว สุปรานี เขียวแดง</t>
  </si>
  <si>
    <t>STHBKK012412000012</t>
  </si>
  <si>
    <t>ห้างหุ้นส่วน ปูแดงพารวย ( สำนักงานใหญ่)</t>
  </si>
  <si>
    <t>STHBKK012412000013</t>
  </si>
  <si>
    <t>นาง ฐานมญ ชลคีรี</t>
  </si>
  <si>
    <t>STHBKK012412000015</t>
  </si>
  <si>
    <t>นาย สถาพร แสงภู่</t>
  </si>
  <si>
    <t>STHBKK012412000016</t>
  </si>
  <si>
    <t>นางสาว คณาง ไพรบึง</t>
  </si>
  <si>
    <t>STHBKK012412000017</t>
  </si>
  <si>
    <t>นางสาว ดาณี หมัดหมัน</t>
  </si>
  <si>
    <t>STHBKK012412000018</t>
  </si>
  <si>
    <t>นางสาว ธันย์ณิชา ชำนาญป่า</t>
  </si>
  <si>
    <t>STHBKK012412000019</t>
  </si>
  <si>
    <t>นาย ธราดล ทองประกอบ</t>
  </si>
  <si>
    <t>STHBKK012412000020</t>
  </si>
  <si>
    <t>STHBKK012412000021</t>
  </si>
  <si>
    <t>นางสาว ชญาณิศา มาสุด้า</t>
  </si>
  <si>
    <t>STHBKK012412000022</t>
  </si>
  <si>
    <t>นางสาว ยุพิน กรลำ</t>
  </si>
  <si>
    <t>STHBKK012412000023</t>
  </si>
  <si>
    <t>นาง สมบูรณ์ สุ่มประเสริฐ</t>
  </si>
  <si>
    <t>STHBKK012412000024</t>
  </si>
  <si>
    <t>STHBKK012412000025</t>
  </si>
  <si>
    <t>มธุรา ชาติสุทธิ์</t>
  </si>
  <si>
    <t>STHBKK012412000026</t>
  </si>
  <si>
    <t>นางสาว พิชาวีร์ บวรธีราเศรษฐ์</t>
  </si>
  <si>
    <t>STHBKK012412000027</t>
  </si>
  <si>
    <t>นาง สิริรักษ์ ผิวอ่อน</t>
  </si>
  <si>
    <t>STHBKK012412000030</t>
  </si>
  <si>
    <t>นางสาว ธนิดา  แสงจันทร์</t>
  </si>
  <si>
    <t>STHBKK012412000031</t>
  </si>
  <si>
    <t>นาย รวมพล บุญยัง</t>
  </si>
  <si>
    <t>STHBKK012412000032</t>
  </si>
  <si>
    <t>นาย สุวชัช  อมตวงษ์</t>
  </si>
  <si>
    <t>STHBKK012412000033</t>
  </si>
  <si>
    <t>STHBKK012412000034</t>
  </si>
  <si>
    <t>บริษัท สว่างทรัพย์ จำกัด (สำนักงานใหญ่)</t>
  </si>
  <si>
    <t>STHBKK012412000035</t>
  </si>
  <si>
    <t>นาง ศรีประภา  มณีวงษ์</t>
  </si>
  <si>
    <t>STHBKK012412000036</t>
  </si>
  <si>
    <t>นาย ธนาศุภเดช ภุชพัชราธาดาณัช</t>
  </si>
  <si>
    <t>STHBKK012412000037</t>
  </si>
  <si>
    <t>STHBKK012412000040</t>
  </si>
  <si>
    <t>นางสาว โสภา  นายสุข</t>
  </si>
  <si>
    <t>STHBKK012412000041</t>
  </si>
  <si>
    <t>นาง นารินี กมลสุวรรณ</t>
  </si>
  <si>
    <t>STHONLIN2411000306</t>
  </si>
  <si>
    <t>นางสาว สุพรรณษา ไพศาล</t>
  </si>
  <si>
    <t>STHONLIN2411000308</t>
  </si>
  <si>
    <t>STHONLIN2411000310</t>
  </si>
  <si>
    <t>STHONLIN2411000311</t>
  </si>
  <si>
    <t>นาย ธนบูลย์ แสงฐิตาพันธุ์</t>
  </si>
  <si>
    <t>STHONLIN2411000312</t>
  </si>
  <si>
    <t>นางสาว กมลชนก อ่อนศรี</t>
  </si>
  <si>
    <t>STHONLIN2411000313</t>
  </si>
  <si>
    <t>นาย ดำรงค์ ปฏิสังข์</t>
  </si>
  <si>
    <t>STHONLIN2411000314</t>
  </si>
  <si>
    <t>นาย สงขลา กายพันธุ์</t>
  </si>
  <si>
    <t>STHONLIN2411000315</t>
  </si>
  <si>
    <t>นางสาว ริญญ์รภัส ศรีศุภณัฐธนากุล</t>
  </si>
  <si>
    <t>STHONLIN2411000316</t>
  </si>
  <si>
    <t>นางสาว รวีวรรณ จินต์สวัสดิ์</t>
  </si>
  <si>
    <t>STHONLIN2411000317</t>
  </si>
  <si>
    <t>นาง ทิพยาภรณ์ ฆ้องวงษ์</t>
  </si>
  <si>
    <t>STHONLIN2411000318</t>
  </si>
  <si>
    <t>STHONLIN2412000001</t>
  </si>
  <si>
    <t>บริษัท เอส ซี โกรท โกลบอล จำกัด (สำนักงานใหญ่)</t>
  </si>
  <si>
    <t>STHONLIN2412000002</t>
  </si>
  <si>
    <t>วาทิศธรรม เปรื่องวิริยะ</t>
  </si>
  <si>
    <t>STHONLIN2412000006</t>
  </si>
  <si>
    <t>บริษัท แก้วแกมทอง เทรดดิ้ง จำกัด (สำนักงานใหญ่)</t>
  </si>
  <si>
    <t>STHONLIN2412000007</t>
  </si>
  <si>
    <t>STHONLIN2412000008</t>
  </si>
  <si>
    <t>STHONLIN2412000011</t>
  </si>
  <si>
    <t>นาย ไทคูณ ไพรบึง</t>
  </si>
  <si>
    <t>STHONLIN2412000012</t>
  </si>
  <si>
    <t>STHONLIN2412000013</t>
  </si>
  <si>
    <t>นางสาว ภาวิณี พวงมาลัยทอง</t>
  </si>
  <si>
    <t>STHONLIN2412000014</t>
  </si>
  <si>
    <t>บี ฮัมเบิล แอนด์ เมอร์ซี กรุ๊ป  (สำนักงานใหญ่)</t>
  </si>
  <si>
    <t>STHONLIN2412000017</t>
  </si>
  <si>
    <t>นาง ดุษณี  เจมส์</t>
  </si>
  <si>
    <t xml:space="preserve"> </t>
  </si>
  <si>
    <t xml:space="preserve">ผู้ดึงบิลทางบ้าน  </t>
  </si>
  <si>
    <t>-----</t>
  </si>
  <si>
    <t xml:space="preserve">ผู้เรียงบิล     </t>
  </si>
  <si>
    <t>เอิง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</si>
  <si>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</si>
  <si>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</si>
  <si>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</si>
  <si>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t>เอิง/ตอย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</si>
  <si>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</si>
  <si>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</si>
  <si>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เกษ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</si>
  <si>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</si>
  <si>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</si>
  <si>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</si>
  <si>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STHBKK012412000044</t>
  </si>
  <si>
    <t>บริษัท เค24 โกลบอล จำกัด (สำนักงานใหญ่)</t>
  </si>
  <si>
    <t>STHBKK012412000045</t>
  </si>
  <si>
    <t>บริษัท เค.ที.คอนแทคท์เวิลด์ จำกัด (สำนักงานใหญ่)</t>
  </si>
  <si>
    <t>STHBKK012412000046</t>
  </si>
  <si>
    <t>มาลี เวียงบาล</t>
  </si>
  <si>
    <t>STHBKK012412000047</t>
  </si>
  <si>
    <t>นาย วิเชษฐ สกุลหอม</t>
  </si>
  <si>
    <t>STHBKK012412000048</t>
  </si>
  <si>
    <t>นางสาว มัตติกา  พร้อมสระน้อย</t>
  </si>
  <si>
    <t>STHBKK012412000050</t>
  </si>
  <si>
    <t>จันทร์เพ็ญ วิลัยกุล</t>
  </si>
  <si>
    <t>STHBKK012412000051</t>
  </si>
  <si>
    <t>STHBKK012412000052</t>
  </si>
  <si>
    <t>นาง ณัฎฐณันธ์ วงวันดี</t>
  </si>
  <si>
    <t>STHBKK012412000053</t>
  </si>
  <si>
    <t>ห้างหุ้นส่วน รีลิกธีน  (สำนักงานใหญ่)</t>
  </si>
  <si>
    <t>STHBKK012412000054</t>
  </si>
  <si>
    <t>STHBKK012412000056</t>
  </si>
  <si>
    <t>นาย ธีรศักดิ์ สุขาบูลย์</t>
  </si>
  <si>
    <t>STHBKK012412000057</t>
  </si>
  <si>
    <t>นาย บูชาติ หาดสร้อย</t>
  </si>
  <si>
    <t>STHBKK012412000058</t>
  </si>
  <si>
    <t>นาง อสมากร สุขาล</t>
  </si>
  <si>
    <t>STHBKK012412000060</t>
  </si>
  <si>
    <t>นาย มนตรี โมรานิล</t>
  </si>
  <si>
    <t>STHBKK012412000061</t>
  </si>
  <si>
    <t>นาย สุเมธ กลิ่นเย็น</t>
  </si>
  <si>
    <t>STHBKK012412000062</t>
  </si>
  <si>
    <t>นาย สิปปภาส  โรจนวสุธร</t>
  </si>
  <si>
    <t>STHBKK012412000063</t>
  </si>
  <si>
    <t>นาย สุรวัฒน์ ตั้งพงศ์ศิรประภา</t>
  </si>
  <si>
    <t>STHBKK012412000064</t>
  </si>
  <si>
    <t>นาย ภวินท์สุข ตั้งพงษ์ศิรประภา</t>
  </si>
  <si>
    <t>STHBKK012412000065</t>
  </si>
  <si>
    <t>STHBKK012412000066</t>
  </si>
  <si>
    <t>lFrAmEl</t>
  </si>
  <si>
    <t>STHBKK012412000067</t>
  </si>
  <si>
    <t>นางสาว ประภัสสร  ดีดวงพันธ์</t>
  </si>
  <si>
    <t>STHBKK012412000068</t>
  </si>
  <si>
    <t>ห้างหุ้นส่วน ไดม่อนอันดามัน เน็ตเวิร์ค  (สำนักงานใหญ่)</t>
  </si>
  <si>
    <t>STHBKK012412000069</t>
  </si>
  <si>
    <t>STHBKK012412000070</t>
  </si>
  <si>
    <t>นาง จีราภา การนอก</t>
  </si>
  <si>
    <t>STHBKK012412000071</t>
  </si>
  <si>
    <t>STHBKK012412000072</t>
  </si>
  <si>
    <t>นางสาว พิมพ์ชญา  สุริยปรีชาพงษ์</t>
  </si>
  <si>
    <t>STHBKK012412000073</t>
  </si>
  <si>
    <t>STHBKK012412000074</t>
  </si>
  <si>
    <t>นางสาว วนิดา  รุ่งแสง</t>
  </si>
  <si>
    <t>STHBKK012412000075</t>
  </si>
  <si>
    <t>นางสาว นวิยา พรมแสน</t>
  </si>
  <si>
    <t>STHBKK012412000076</t>
  </si>
  <si>
    <t>นาย คมสันช์  ชาญธนโชค</t>
  </si>
  <si>
    <t>STHBKK012412000077</t>
  </si>
  <si>
    <t>STHONLIN2412000023</t>
  </si>
  <si>
    <t>STHONLIN2412000024</t>
  </si>
  <si>
    <t>นางสาว ธันยาพร สีแก้ว</t>
  </si>
  <si>
    <t>STHONLIN2412000025</t>
  </si>
  <si>
    <t>นางสาว พิชญ์สินี บุญมีฉิมมา</t>
  </si>
  <si>
    <t>STHONLIN2412000026</t>
  </si>
  <si>
    <t>บริษัท โคบาราเอฟโวลูชั่น (ประเทศไทย)จำกัด ( สำนักงานใหญ่ )</t>
  </si>
  <si>
    <t>STHONLIN2412000027</t>
  </si>
  <si>
    <t>นาย ธนวรรธน์  ปราชญ์เรืองนนท์</t>
  </si>
  <si>
    <t>STHONLIN2412000028</t>
  </si>
  <si>
    <t>STHONLIN2412000029</t>
  </si>
  <si>
    <t>นางสาว ณัฐญาวรรณ  ยอดเดชา</t>
  </si>
  <si>
    <t>STHONLIN2412000032</t>
  </si>
  <si>
    <t>นางสาว สุปราณี เรืองพานิช</t>
  </si>
  <si>
    <t>STHONLIN2412000035</t>
  </si>
  <si>
    <t>STHONLIN2412000036</t>
  </si>
  <si>
    <t>STHONLIN2412000037</t>
  </si>
  <si>
    <t>นางสาว ณัฐนันท์ เจริญศิริวิชญกุล</t>
  </si>
  <si>
    <t>STHONLIN2412000038</t>
  </si>
  <si>
    <t>STHONLIN2412000039</t>
  </si>
  <si>
    <t>นางสาว อภัสนันท์  เจริญศิริวิชญกุล</t>
  </si>
  <si>
    <t>STHONLIN2412000040</t>
  </si>
  <si>
    <t>STHONLIN2412000041</t>
  </si>
  <si>
    <t>นางสาว เขมจิรา  เจริญศิริ</t>
  </si>
  <si>
    <t xml:space="preserve">                                                             </t>
  </si>
  <si>
    <t>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</si>
  <si>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</si>
  <si>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4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</si>
  <si>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STHBKK012412000078</t>
  </si>
  <si>
    <t>นางสาว เมทินี แจ้งอรุณ</t>
  </si>
  <si>
    <t>STHBKK012412000079</t>
  </si>
  <si>
    <t>STHBKK012412000081</t>
  </si>
  <si>
    <t>นาย พีรพงศ์ ภรประเสริฐศรี</t>
  </si>
  <si>
    <t>STHBKK012412000082</t>
  </si>
  <si>
    <t>STHBKK012412000083</t>
  </si>
  <si>
    <t>นางสาว ชวัลรัตน์ ปัสสาพันธุ์</t>
  </si>
  <si>
    <t>STHBKK012412000084</t>
  </si>
  <si>
    <t>สมใจ สุวรรณรัตน์</t>
  </si>
  <si>
    <t>STHBKK012412000085</t>
  </si>
  <si>
    <t>นาง ศิลา  สงอาจินต์</t>
  </si>
  <si>
    <t>STHBKK012412000086</t>
  </si>
  <si>
    <t>บริษัท ผักคะน้ากรอบ จำกัด(สำนักงานใหญ่)</t>
  </si>
  <si>
    <t>STHBKK012412000087</t>
  </si>
  <si>
    <t>STHBKK012412000088</t>
  </si>
  <si>
    <t>นางสาว แตว ศรีแก้ว</t>
  </si>
  <si>
    <t>STHBKK012412000089</t>
  </si>
  <si>
    <t>นาย ปริญพัชร์ ศรีศุภณัฐธนากุล</t>
  </si>
  <si>
    <t>STHBKK012412000090</t>
  </si>
  <si>
    <t>STHBKK012412000091</t>
  </si>
  <si>
    <t>นาย ธิติวัฒน์  รัตนภูมิ</t>
  </si>
  <si>
    <t>STHBKK012412000093</t>
  </si>
  <si>
    <t>STHBKK012412000095</t>
  </si>
  <si>
    <t>STHBKK012412000096</t>
  </si>
  <si>
    <t>STHBKK012412000097</t>
  </si>
  <si>
    <t>STHBKK012412000098</t>
  </si>
  <si>
    <t>นางสาว สมคิด ยิ้มสาระ</t>
  </si>
  <si>
    <t>STHBKK012412000099</t>
  </si>
  <si>
    <t>STHBKK012412000100</t>
  </si>
  <si>
    <t>นางสาว ลำใย  เจริญศิริ</t>
  </si>
  <si>
    <t>STHBKK012412000101</t>
  </si>
  <si>
    <t>STHBKK012412000102</t>
  </si>
  <si>
    <t>นางสาว นพัตศรณ์ จารุสิริการณ์กูล</t>
  </si>
  <si>
    <t>STHBKK012412000103</t>
  </si>
  <si>
    <t>นางสาว รุ้งลาวรรณ ศรีศักดา</t>
  </si>
  <si>
    <t>STHBKK012412000104</t>
  </si>
  <si>
    <t>STHBKK012412000105</t>
  </si>
  <si>
    <t>นางสาว ดวงพร   แก้วเจริญ</t>
  </si>
  <si>
    <t>STHBKK012412000106</t>
  </si>
  <si>
    <t>STHBKK012412000107</t>
  </si>
  <si>
    <t>ห้างหุ้นส่วน โกรท โกลเบิล เน็ตเวิร์ก (สำนักงานใหญ่)</t>
  </si>
  <si>
    <t>STHONLIN2412000045</t>
  </si>
  <si>
    <t>STHONLIN2412000046</t>
  </si>
  <si>
    <t>นาย เพชร ภูมี</t>
  </si>
  <si>
    <t>STHONLIN2412000047</t>
  </si>
  <si>
    <t>STHONLIN2412000049</t>
  </si>
  <si>
    <t>นาย จิระวัฒน์  ใจอารีย์</t>
  </si>
  <si>
    <t>STHONLIN2412000052</t>
  </si>
  <si>
    <t>นาง สมหมาย จิรรัตน์พิทักษ์</t>
  </si>
  <si>
    <t>STHONLIN2412000054</t>
  </si>
  <si>
    <t>บริษัท เอ.ซี.พี.เค จำกัด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</si>
  <si>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</si>
  <si>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6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</si>
  <si>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STHBKK012412000108</t>
  </si>
  <si>
    <t>STHBKK012412000109</t>
  </si>
  <si>
    <t>นาย ชัยณรงค์.ศรีเพ็ชร</t>
  </si>
  <si>
    <t>STHBKK012412000110</t>
  </si>
  <si>
    <t>นาง แสงทอง บางเขียว</t>
  </si>
  <si>
    <t>STHBKK012412000111</t>
  </si>
  <si>
    <t>นางสาว จิรภาทิชา โคดมการภัทรารัช</t>
  </si>
  <si>
    <t>STHBKK012412000112</t>
  </si>
  <si>
    <t>นาง นวลจันทร์  กลิ่นฟุ้ง</t>
  </si>
  <si>
    <t>STHBKK012412000114</t>
  </si>
  <si>
    <t>นางสาว วัชรี    ด้วงนคร</t>
  </si>
  <si>
    <t>STHBKK012412000115</t>
  </si>
  <si>
    <t>นาย สิริศักดิ์ นมพุก</t>
  </si>
  <si>
    <t>STHBKK012412000116</t>
  </si>
  <si>
    <t>นาย อนุศิษฎ์  อนันตะ</t>
  </si>
  <si>
    <t>STHBKK012412000117</t>
  </si>
  <si>
    <t>STHBKK012412000118</t>
  </si>
  <si>
    <t>นางสาว นิกุล เสือนุ่ม</t>
  </si>
  <si>
    <t>STHBKK012412000119</t>
  </si>
  <si>
    <t>STHBKK012412000121</t>
  </si>
  <si>
    <t>STHBKK012412000122</t>
  </si>
  <si>
    <t>น้ำฝน เลี้ยงชั่งทอง</t>
  </si>
  <si>
    <t>STHBKK012412000124</t>
  </si>
  <si>
    <t>นาย ยงยุทธ ครุธจร</t>
  </si>
  <si>
    <t>STHBKK012412000126</t>
  </si>
  <si>
    <t>นาย สมร สิงห์มณี</t>
  </si>
  <si>
    <t>STHBKK012412000127</t>
  </si>
  <si>
    <t>STHBKK012412000130</t>
  </si>
  <si>
    <t>นาย เจริญ   นาน่วม</t>
  </si>
  <si>
    <t>STHBKK012412000131</t>
  </si>
  <si>
    <t>STHBKK012412000132</t>
  </si>
  <si>
    <t>นาย ธันพ้ฒน์ พี่งพินเจริญคุณ</t>
  </si>
  <si>
    <t>STHBKK012412000133</t>
  </si>
  <si>
    <t>STHBKK012412000134</t>
  </si>
  <si>
    <t>นาย ฐนพัฒน์ เฉลยกลิ่น</t>
  </si>
  <si>
    <t>STHBKK012412000135</t>
  </si>
  <si>
    <t>นางสาว สมพร สุพงศ์พาณิช</t>
  </si>
  <si>
    <t>STHBKK012412000136</t>
  </si>
  <si>
    <t>STHBKK012412000139</t>
  </si>
  <si>
    <t>นาย ทิวา เตียววิไล</t>
  </si>
  <si>
    <t>STHBKK012412000140</t>
  </si>
  <si>
    <t>นาง สายรุ้ง ขำสิริ</t>
  </si>
  <si>
    <t>STHONLIN2412000063</t>
  </si>
  <si>
    <t>บริษัท สยามทวีทิพย์ จำกัด(สำนักงานใหญ่)</t>
  </si>
  <si>
    <t>STHONLIN2412000064</t>
  </si>
  <si>
    <t>บริษัท ดีเวย์ ริชคอร์ป จำกัด(สำนักงานใหญ่)</t>
  </si>
  <si>
    <t>STHONLIN2412000065</t>
  </si>
  <si>
    <t>STHONLIN2412000068</t>
  </si>
  <si>
    <t>บริษัท  ต.ศรีโสภณ จำกัด (สำนักงานใหญ่)</t>
  </si>
  <si>
    <t>STHONLIN2412000074</t>
  </si>
  <si>
    <t>นางสาว น้อง คงมา</t>
  </si>
  <si>
    <t>STHONLIN2412000075</t>
  </si>
  <si>
    <t>สนั่น ปริมาณ</t>
  </si>
  <si>
    <t>STHONLIN2412000076</t>
  </si>
  <si>
    <t>นางสาว นงพงา ตั้งฤทัยเยี่ยม</t>
  </si>
  <si>
    <t>STHONLIN2412000077</t>
  </si>
  <si>
    <t>STHONLIN2412000078</t>
  </si>
  <si>
    <t>STHONLIN2412000079</t>
  </si>
  <si>
    <t>นางสาว พัชรมณฑ์ พรมทา</t>
  </si>
  <si>
    <t>STHONLIN2412000080</t>
  </si>
  <si>
    <t>นาย เกียรติศักดิ์ อาดมะเร๊ะ</t>
  </si>
  <si>
    <t>นิ้ว</t>
  </si>
  <si>
    <t>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</si>
  <si>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</si>
  <si>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เกษ/นิ่้ว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</si>
  <si>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A4S The Big JUMP 7.12.67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</si>
  <si>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STHBKK012412000156</t>
  </si>
  <si>
    <t>STHBKK012412000159</t>
  </si>
  <si>
    <t>STHBKK012412000160</t>
  </si>
  <si>
    <t>STHBKK012412000161</t>
  </si>
  <si>
    <t>STHBKK012412000162</t>
  </si>
  <si>
    <t>บริษัท เอ็น.พี มาร์เก็ตติ้ง แบรนด์ จำกัด(สำนักงานใหญ่)</t>
  </si>
  <si>
    <t>STHBKK012412000163</t>
  </si>
  <si>
    <t>นางสาว สุชานันท์ สะตะ</t>
  </si>
  <si>
    <t>STHBKK012412000164</t>
  </si>
  <si>
    <t>นางสาว พิณทิพย์ ตันแสนทวี</t>
  </si>
  <si>
    <t>STHBKK012412000165</t>
  </si>
  <si>
    <t>นาย เอกชลิต ธวัชกฤตยา</t>
  </si>
  <si>
    <t>STHBKK012412000166</t>
  </si>
  <si>
    <t>STHBKK012412000168</t>
  </si>
  <si>
    <t>STHBKK012412000169</t>
  </si>
  <si>
    <t>นางสาว มาเรียม ยิ้มสาระ</t>
  </si>
  <si>
    <t>STHBKK012412000170</t>
  </si>
  <si>
    <t>นาง จิราพร โพธิ์ไกร</t>
  </si>
  <si>
    <t>STHBKK012412000171</t>
  </si>
  <si>
    <t>นาย ยงยุทธ อรธรรมรัตน์</t>
  </si>
  <si>
    <t>STHBKK012412000172</t>
  </si>
  <si>
    <t>STHBKK012412000173</t>
  </si>
  <si>
    <t>นางสาว กาญจนา บุญเกษม</t>
  </si>
  <si>
    <t>STHBKK012412000175</t>
  </si>
  <si>
    <t>นางสาว ลำใย เจริญศิริ</t>
  </si>
  <si>
    <t>STHBKK012412000176</t>
  </si>
  <si>
    <t>นาย ธนวรรธน์ ปราชญ์เรืองนนท์</t>
  </si>
  <si>
    <t>STHBKK012412000177</t>
  </si>
  <si>
    <t>นางสาว อภัสนันท์ เจริญศิริวิชญกุล</t>
  </si>
  <si>
    <t>STHBKK012412000178</t>
  </si>
  <si>
    <t>นางสาว อัญชนาฬ์ มาลัย</t>
  </si>
  <si>
    <t>STHBKK012412000179</t>
  </si>
  <si>
    <t>ห้างหุ้นส่วน รีลิกธีน (สำนักงานใหญ่)</t>
  </si>
  <si>
    <t>STHBKK012412000180</t>
  </si>
  <si>
    <t>นาย สมชาย โสภา</t>
  </si>
  <si>
    <t>STHBKK012412000181</t>
  </si>
  <si>
    <t>นาง ทัศนา เลื่อมสำราญ</t>
  </si>
  <si>
    <t>STHBKK012412000182</t>
  </si>
  <si>
    <t>STHBKK012412000186</t>
  </si>
  <si>
    <t>บริษัทเศรษฐกวี จำกัด (สำนักงานใหญ่)</t>
  </si>
  <si>
    <t>STHBKK012412000187</t>
  </si>
  <si>
    <t>พิมพ์ชญา สุริยปรีชาพงษ์</t>
  </si>
  <si>
    <t>STHBKK012412000188</t>
  </si>
  <si>
    <t>ศิลา สงอาจินต์</t>
  </si>
  <si>
    <t>STHBKK012412000189</t>
  </si>
  <si>
    <t>สิปปภาส โรจน์วสุธร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</si>
  <si>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</si>
  <si>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7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</si>
  <si>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STHBKK012412000143</t>
  </si>
  <si>
    <t>นาย สุรัตน์  สุขเพ็ง</t>
  </si>
  <si>
    <t>STHBKK012412000146</t>
  </si>
  <si>
    <t>STHBKK012412000151</t>
  </si>
  <si>
    <t>นาย อนุสรณ์ ตั้งสังวรณ์</t>
  </si>
  <si>
    <t>STHBKK012412000152</t>
  </si>
  <si>
    <t>นาย ธนกร อภัยพงศ์</t>
  </si>
  <si>
    <t>STHBKK012412000153</t>
  </si>
  <si>
    <t>STHBKK012412000154</t>
  </si>
  <si>
    <t>นางสาว นพรัตน์  ศุจิภานันท์</t>
  </si>
  <si>
    <t>STHBKK012412000155</t>
  </si>
  <si>
    <t>STHBKK012412000157</t>
  </si>
  <si>
    <t>นาย ธงชัย อ่อนพุทธา</t>
  </si>
  <si>
    <t>STHBKK012412000158</t>
  </si>
  <si>
    <t>STHBKK012412000183</t>
  </si>
  <si>
    <t>นาย พิชิต ผิวสุข</t>
  </si>
  <si>
    <t>STHBKK012412000184</t>
  </si>
  <si>
    <t>นาย อพิรุณ  คชสิทธิ์</t>
  </si>
  <si>
    <t>STHBKK012412000185</t>
  </si>
  <si>
    <t>นาย สรรณ สินธุรัตน์</t>
  </si>
  <si>
    <t>STHONLIN2412000091</t>
  </si>
  <si>
    <t>STHONLIN2412000092</t>
  </si>
  <si>
    <t>นางสาว รตนพร สุนทรารักษ์</t>
  </si>
  <si>
    <t>STHONLIN2412000094</t>
  </si>
  <si>
    <t>นาง รุ่งระวี สินธุรัตน์</t>
  </si>
  <si>
    <t>นิ้ิ้ว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</si>
  <si>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</si>
  <si>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8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</si>
  <si>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STHBKK012412000191</t>
  </si>
  <si>
    <t>นาง วรรณวิษา ไชยชนะ</t>
  </si>
  <si>
    <t>STHBKK012412000192</t>
  </si>
  <si>
    <t>STHBKK012412000193</t>
  </si>
  <si>
    <t>STHBKK012412000195</t>
  </si>
  <si>
    <t>นาย บริษัท ทีอาร์พีที เทรดดิ้ง จำกัด</t>
  </si>
  <si>
    <t>STHBKK012412000196</t>
  </si>
  <si>
    <t>STHBKK012412000197</t>
  </si>
  <si>
    <t>STHBKK012412000198</t>
  </si>
  <si>
    <t>นาง มินตรา แก้วอำนวยจิตร</t>
  </si>
  <si>
    <t>STHBKK012412000199</t>
  </si>
  <si>
    <t>STHBKK012412000200</t>
  </si>
  <si>
    <t>STHBKK012412000201</t>
  </si>
  <si>
    <t>STHBKK012412000202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</si>
  <si>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</si>
  <si>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9 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</si>
  <si>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STHBKK012412000203</t>
  </si>
  <si>
    <t>STHBKK012412000204</t>
  </si>
  <si>
    <t>นาง พรทิพย์ ฤทธิรณ</t>
  </si>
  <si>
    <t>STHBKK012412000205</t>
  </si>
  <si>
    <t>BiG JUMP</t>
  </si>
  <si>
    <t>STHBKK012412000206</t>
  </si>
  <si>
    <t>นางสาว ดาวธิดา  วงมาเกษ</t>
  </si>
  <si>
    <t>STHBKK012412000207</t>
  </si>
  <si>
    <t>นาง ชลนิกาญจน์ สุวรรณประเสริฐ</t>
  </si>
  <si>
    <t>STHBKK012412000208</t>
  </si>
  <si>
    <t>STHBKK012412000209</t>
  </si>
  <si>
    <t>นาย กิจปณัฎฐ์ ศิราเศรณี</t>
  </si>
  <si>
    <t>STHBKK012412000210</t>
  </si>
  <si>
    <t>STHBKK012412000211</t>
  </si>
  <si>
    <t>STHBKK012412000212</t>
  </si>
  <si>
    <t>STHBKK012412000213</t>
  </si>
  <si>
    <t>STHBKK012412000214</t>
  </si>
  <si>
    <t>นาง พัชรี   ธรรมรักษ์กุล</t>
  </si>
  <si>
    <t>STHBKK012412000215</t>
  </si>
  <si>
    <t>STHBKK012412000216</t>
  </si>
  <si>
    <t>STHBKK012412000217</t>
  </si>
  <si>
    <t>นาย ยงยุทธ  อรธรรมรัตน์</t>
  </si>
  <si>
    <t>STHBKK012412000218</t>
  </si>
  <si>
    <t>STHBKK012412000219</t>
  </si>
  <si>
    <t>STHBKK012412000220</t>
  </si>
  <si>
    <t>STHBKK012412000221</t>
  </si>
  <si>
    <t>นางสาว ธิราพร หนูเนียม</t>
  </si>
  <si>
    <t>STHBKK012412000222</t>
  </si>
  <si>
    <t>นาย บุญเชิด ปิ่นมณี</t>
  </si>
  <si>
    <t>STHBKK012412000223</t>
  </si>
  <si>
    <t>STHBKK012412000224</t>
  </si>
  <si>
    <t>STHBKK012412000226</t>
  </si>
  <si>
    <t>นาย ชนกันต์ ควรเรียน</t>
  </si>
  <si>
    <t>STHBKK012412000227</t>
  </si>
  <si>
    <t>STHBKK012412000228</t>
  </si>
  <si>
    <t>STHBKK012412000229</t>
  </si>
  <si>
    <t>STHBKK012412000233</t>
  </si>
  <si>
    <t>นางสาว สุนีรัตน์ ไร่ขาม</t>
  </si>
  <si>
    <t>STHBKK012412000234</t>
  </si>
  <si>
    <t>STHBKK012412000235</t>
  </si>
  <si>
    <t>นางสาว จิดาภา ทองเบ้า</t>
  </si>
  <si>
    <t>STHBKK012412000236</t>
  </si>
  <si>
    <t>STHBKK012412000237</t>
  </si>
  <si>
    <t>นาย สหชัย ม่วงกล่ำ</t>
  </si>
  <si>
    <t>STHBKK012412000238</t>
  </si>
  <si>
    <t>นางสาว อัญชลี พรมคล้าย</t>
  </si>
  <si>
    <t>STHBKK012412000239</t>
  </si>
  <si>
    <t>นางสาว กัลยรัตน์ ฤทธิ์น้อย</t>
  </si>
  <si>
    <t>STHBKK012412000240</t>
  </si>
  <si>
    <t>STHBKK012412000241</t>
  </si>
  <si>
    <t>STHBKK012412000242</t>
  </si>
  <si>
    <t>STHBKK012412000243</t>
  </si>
  <si>
    <t>STHBKK012412000244</t>
  </si>
  <si>
    <t>STHBKK012412000246</t>
  </si>
  <si>
    <t>นาง วรนุช มาดวง</t>
  </si>
  <si>
    <t>STHBKK012412000247</t>
  </si>
  <si>
    <t>นาย เสฎฐวุฒิ พนาอภิชน</t>
  </si>
  <si>
    <t>STHBKK012412000248</t>
  </si>
  <si>
    <t>นาย จตุพล จุมพลพงษ์</t>
  </si>
  <si>
    <t>STHBKK012412000249</t>
  </si>
  <si>
    <t>นางสาว พศิจาธิกาณ ธนัฐศิณีญา</t>
  </si>
  <si>
    <t>STHBKK012412000250</t>
  </si>
  <si>
    <t>นางสาว ธัญญรัตน์ มานะโพน</t>
  </si>
  <si>
    <t>STHBKK012412000251</t>
  </si>
  <si>
    <t>STHBKK012412000252</t>
  </si>
  <si>
    <t>นาง กาญจนา ท้วมสมบูรณ์</t>
  </si>
  <si>
    <t>STHONLIN2412000098</t>
  </si>
  <si>
    <t>นางสาว วาสนา บุญเกษม</t>
  </si>
  <si>
    <t>STHONLIN2412000100</t>
  </si>
  <si>
    <t>STHONLIN2412000102</t>
  </si>
  <si>
    <t>นาย ประวิต หล้าสุดตา</t>
  </si>
  <si>
    <t>STHONLIN2412000103</t>
  </si>
  <si>
    <t>บริษัท เศรษฐกวี จำกัด ( สำนักงานใหญ่ )</t>
  </si>
  <si>
    <t>STHONLIN2412000104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</si>
  <si>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</si>
  <si>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</si>
  <si>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STHBKK012412000253</t>
  </si>
  <si>
    <t>STHBKK012412000256</t>
  </si>
  <si>
    <t>นาย ภณ   นิลสวัสดิ์</t>
  </si>
  <si>
    <t>STHBKK012412000257</t>
  </si>
  <si>
    <t>นาย บัวไล  จันทะเกษ</t>
  </si>
  <si>
    <t>STHBKK012412000260</t>
  </si>
  <si>
    <t>STHBKK012412000261</t>
  </si>
  <si>
    <t>นาย ยืนยง ชินมิตโต</t>
  </si>
  <si>
    <t>STHBKK012412000262</t>
  </si>
  <si>
    <t>นาง วรวีร์ สุขประเสริฐ</t>
  </si>
  <si>
    <t>STHBKK012412000265</t>
  </si>
  <si>
    <t>นาย นพพร โสวรรณะ</t>
  </si>
  <si>
    <t>STHBKK012412000266</t>
  </si>
  <si>
    <t>นาย เอกชัย เดือนแจ่ม</t>
  </si>
  <si>
    <t>STHBKK012412000267</t>
  </si>
  <si>
    <t>STHBKK012412000268</t>
  </si>
  <si>
    <t>STHBKK012412000269</t>
  </si>
  <si>
    <t>นาย สมาน รัตนวัน</t>
  </si>
  <si>
    <t>STHBKK012412000270</t>
  </si>
  <si>
    <t>นาง ศรีจันทร์ นุชดา</t>
  </si>
  <si>
    <t>STHBKK012412000273</t>
  </si>
  <si>
    <t>ศรีรัตน์ แก้วลำดวน</t>
  </si>
  <si>
    <t>STHBKK012412000275</t>
  </si>
  <si>
    <t>STHBKK012412000276</t>
  </si>
  <si>
    <t>STHBKK012412000277</t>
  </si>
  <si>
    <t>นาย บุญธรรม โหรสกุล</t>
  </si>
  <si>
    <t>STHBKK012412000278</t>
  </si>
  <si>
    <t>นาย ธนธรณ์ ปัจฉิมพาณิชย์</t>
  </si>
  <si>
    <t>STHBKK012412000279</t>
  </si>
  <si>
    <t>นาง ศศิธร เม่นตะเภา</t>
  </si>
  <si>
    <t>STHBKK012412000281</t>
  </si>
  <si>
    <t>นาย ศุภชัย  ลิ้มเหมอนันต์</t>
  </si>
  <si>
    <t>STHBKK012412000282</t>
  </si>
  <si>
    <t>STHBKK012412000283</t>
  </si>
  <si>
    <t>STHBKK012412000284</t>
  </si>
  <si>
    <t>นาย สมควร พึ่งเมือง</t>
  </si>
  <si>
    <t>STHBKK012412000285</t>
  </si>
  <si>
    <t>STHBKK012412000286</t>
  </si>
  <si>
    <t>STHBKK012412000287</t>
  </si>
  <si>
    <t>นาง ภิชญาภัค หล้านาม</t>
  </si>
  <si>
    <t>STHBKK012412000288</t>
  </si>
  <si>
    <t>STHBKK012412000290</t>
  </si>
  <si>
    <t>วาสนา ดิษปัญญา</t>
  </si>
  <si>
    <t>STHBKK012412000291</t>
  </si>
  <si>
    <t>STHBKK012412000293</t>
  </si>
  <si>
    <t>Mr. AKINYOADE  ADEGBOYE  SAMUEL</t>
  </si>
  <si>
    <t>STHBKK012412000294</t>
  </si>
  <si>
    <t>นาย LAWAL  HARUNA</t>
  </si>
  <si>
    <t>STHBKK012412000295</t>
  </si>
  <si>
    <t>STHONLIN2412000117</t>
  </si>
  <si>
    <t>STHONLIN2412000118</t>
  </si>
  <si>
    <t>STHONLIN2412000119</t>
  </si>
  <si>
    <t>STHONLIN2412000120</t>
  </si>
  <si>
    <t>นาย ไพฑูรย์ โนนพลกรัง</t>
  </si>
  <si>
    <t>STHONLIN2412000122</t>
  </si>
  <si>
    <t>STHONLIN2412000123</t>
  </si>
  <si>
    <t>นาย ติณณวิชญ์ อนันต์พิชัยเดช</t>
  </si>
  <si>
    <t>STHONLIN2412000126</t>
  </si>
  <si>
    <t>STHONLIN2412000127</t>
  </si>
  <si>
    <t>นางสาว ทองหล่อ ยิ้มสาระ</t>
  </si>
  <si>
    <t>STHONLIN2412000128</t>
  </si>
  <si>
    <t>นางสาว น้ำค้าง  ยิ้มสาระ</t>
  </si>
  <si>
    <t>STHONLIN2412000130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</si>
  <si>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</si>
  <si>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12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</si>
  <si>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STHBKK012412000296</t>
  </si>
  <si>
    <t>นาง สมควร  มโหรา</t>
  </si>
  <si>
    <t>STHBKK012412000297</t>
  </si>
  <si>
    <t>STHBKK012412000298</t>
  </si>
  <si>
    <t>STHBKK012412000299</t>
  </si>
  <si>
    <t>ธนวรรธน์ สุขจิตร</t>
  </si>
  <si>
    <t>STHBKK012412000300</t>
  </si>
  <si>
    <t>STHBKK012412000301</t>
  </si>
  <si>
    <t>นาย จักรกฤษ อินทะชัย</t>
  </si>
  <si>
    <t>STHBKK012412000303</t>
  </si>
  <si>
    <t>นางสาว กำไร รุ่งกิจกุลภัค</t>
  </si>
  <si>
    <t>STHBKK012412000304</t>
  </si>
  <si>
    <t>นางสาว ธัญวลัย ชัยวัชรเศรษฐี</t>
  </si>
  <si>
    <t>STHBKK012412000305</t>
  </si>
  <si>
    <t>นาย สาธิต โตตรุชัย</t>
  </si>
  <si>
    <t>STHBKK012412000306</t>
  </si>
  <si>
    <t>STHBKK012412000307</t>
  </si>
  <si>
    <t>STHBKK012412000308</t>
  </si>
  <si>
    <t>STHBKK012412000309</t>
  </si>
  <si>
    <t>STHBKK012412000310</t>
  </si>
  <si>
    <t>นางสาว พิกุล กลิ่นฟุ้ง</t>
  </si>
  <si>
    <t>STHBKK012412000311</t>
  </si>
  <si>
    <t>นาย ภูวกร บวรฉัตรชาตรี</t>
  </si>
  <si>
    <t>STHBKK012412000312</t>
  </si>
  <si>
    <t>STHBKK012412000314</t>
  </si>
  <si>
    <t>STHBKK012412000315</t>
  </si>
  <si>
    <t>STHBKK012412000316</t>
  </si>
  <si>
    <t>นาย ธนวรรธน์ จันทะวงศ์</t>
  </si>
  <si>
    <t>STHBKK012412000317</t>
  </si>
  <si>
    <t>STHBKK012412000318</t>
  </si>
  <si>
    <t>STHBKK012412000319</t>
  </si>
  <si>
    <t>STHBKK012412000320</t>
  </si>
  <si>
    <t>STHBKK012412000321</t>
  </si>
  <si>
    <t>นางสาว มนัสนันท์ อ่อนศิริ</t>
  </si>
  <si>
    <t>STHBKK012412000323</t>
  </si>
  <si>
    <t>STHBKK012412000324</t>
  </si>
  <si>
    <t>STHBKK012412000325</t>
  </si>
  <si>
    <t>นาง รุจิรา โตทุ้ย</t>
  </si>
  <si>
    <t>STHBKK012412000327</t>
  </si>
  <si>
    <t>นาย อัคค์สัจจา  ใจบุญตระกูล</t>
  </si>
  <si>
    <t>STHBKK012412000328</t>
  </si>
  <si>
    <t>STHBKK012412000330</t>
  </si>
  <si>
    <t>STHBKK012412000331</t>
  </si>
  <si>
    <t>Mr. UDO  NTUK  JOSHUA</t>
  </si>
  <si>
    <t>STHBKK012412000333</t>
  </si>
  <si>
    <t>STHBKK012412000334</t>
  </si>
  <si>
    <t>Mr. ACHILE  FELIX JOEL</t>
  </si>
  <si>
    <t>STHONLIN2412000133</t>
  </si>
  <si>
    <t>นางสาว วิลาวรรณ ศรีชาติ</t>
  </si>
  <si>
    <t>STHONLIN2412000134</t>
  </si>
  <si>
    <t>STHONLIN2412000135</t>
  </si>
  <si>
    <t>STHONLIN2412000137</t>
  </si>
  <si>
    <t>นางสาว กมลชนก บุญเสริม</t>
  </si>
  <si>
    <t>STHONLIN2412000138</t>
  </si>
  <si>
    <t>STHONLIN2412000139</t>
  </si>
  <si>
    <t>นางสาว จุไรรัตน์ มุมทอง</t>
  </si>
  <si>
    <t>STHONLIN2412000140</t>
  </si>
  <si>
    <t>นาย ปรีชา   สืบค้า</t>
  </si>
  <si>
    <t>STHONLIN2412000141</t>
  </si>
  <si>
    <t>นาง มะราวรรณ์ ทบแก้ว</t>
  </si>
  <si>
    <t>STHONLIN2412000142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</si>
  <si>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</si>
  <si>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</si>
  <si>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STHBKK012412000335</t>
  </si>
  <si>
    <t>STHBKK012412000352</t>
  </si>
  <si>
    <t>STHBKK012412000353</t>
  </si>
  <si>
    <t>นาย วุฒิชัย รักศรี</t>
  </si>
  <si>
    <t>STHBKK012412000354</t>
  </si>
  <si>
    <t>นางสาว ภัทร์ปรียา โชคชัย</t>
  </si>
  <si>
    <t>STHBKK012412000355</t>
  </si>
  <si>
    <t>นางสาว จำเรียง อินทปัตย์</t>
  </si>
  <si>
    <t>STHBKK012412000356</t>
  </si>
  <si>
    <t>STHBKK012412000357</t>
  </si>
  <si>
    <t>STHBKK012412000358</t>
  </si>
  <si>
    <t>นาย พินิจ  ภูผา</t>
  </si>
  <si>
    <t>STHBKK012412000364</t>
  </si>
  <si>
    <t>Mr. SAMUEL MARCUS  NIGERIAN</t>
  </si>
  <si>
    <t>STHBKK012412000365</t>
  </si>
  <si>
    <t>STHBKK012412000366</t>
  </si>
  <si>
    <t>นาย เสรี ประสิทธิ์</t>
  </si>
  <si>
    <t>STHBKK012412000367</t>
  </si>
  <si>
    <t>STHBKK012412000368</t>
  </si>
  <si>
    <t>STHBKK012412000370</t>
  </si>
  <si>
    <t>Mr. LAERENCE ISAAC</t>
  </si>
  <si>
    <t>STHBKK012412000372</t>
  </si>
  <si>
    <t>Mrs. ABDULLAHI FATIMA TIGGA</t>
  </si>
  <si>
    <t>STHBKK012412000373</t>
  </si>
  <si>
    <t>นาย ทรงวุฒิ  สิงห์กวาง</t>
  </si>
  <si>
    <t>STHBKK012412000374</t>
  </si>
  <si>
    <t>STHBKK012412000375</t>
  </si>
  <si>
    <t>STHBKK012412000376</t>
  </si>
  <si>
    <t>STHBKK012412000377</t>
  </si>
  <si>
    <t>STHBKK012412000378</t>
  </si>
  <si>
    <t>นาย ภัทรพล ชัยมโนภิรมย์</t>
  </si>
  <si>
    <t>STHBKK012412000379</t>
  </si>
  <si>
    <t>STHBKK012412000380</t>
  </si>
  <si>
    <t>STHBKK012412000381</t>
  </si>
  <si>
    <t>นาง ศริยา  รักษาราษฎร์</t>
  </si>
  <si>
    <t>STHBKK012412000382</t>
  </si>
  <si>
    <t>Meiy</t>
  </si>
  <si>
    <t>STHBKK012412000383</t>
  </si>
  <si>
    <t>STHONLIN2412000145</t>
  </si>
  <si>
    <t>STHONLIN2412000146</t>
  </si>
  <si>
    <t>นาง กมลวรรณ  จันทรศร</t>
  </si>
  <si>
    <t>STHONLIN2412000149</t>
  </si>
  <si>
    <t>STHONLIN2412000164</t>
  </si>
  <si>
    <t>STHONLIN2412000165</t>
  </si>
  <si>
    <t>STHONLIN2412000166</t>
  </si>
  <si>
    <t>STHONLIN2412000167</t>
  </si>
  <si>
    <t>STHONLIN2412000168</t>
  </si>
  <si>
    <t>STHONLIN2412000169</t>
  </si>
  <si>
    <t xml:space="preserve">เอิง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</si>
  <si>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</si>
  <si>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นิ่้ว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</si>
  <si>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</si>
  <si>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STHBKK012412000384</t>
  </si>
  <si>
    <t>นาย นรชัย ไชยสังข์</t>
  </si>
  <si>
    <t>STHBKK012412000385</t>
  </si>
  <si>
    <t>STHBKK012412000387</t>
  </si>
  <si>
    <t>นางสาว วณัฐกมล  วิไลลักษณ์</t>
  </si>
  <si>
    <t>STHBKK012412000388</t>
  </si>
  <si>
    <t>STHBKK012412000389</t>
  </si>
  <si>
    <t>นางสาว วิจิตรา คดีเวียง</t>
  </si>
  <si>
    <t>STHBKK012412000391</t>
  </si>
  <si>
    <t>นาย พิสิฐ โฉ่พลกรัง</t>
  </si>
  <si>
    <t>STHBKK012412000394</t>
  </si>
  <si>
    <t>นาย ปรีชา  แก้วโกถม</t>
  </si>
  <si>
    <t>STHBKK012412000395</t>
  </si>
  <si>
    <t>Mr. AKPAH OJONUGWA EZEKIEL</t>
  </si>
  <si>
    <t>STHBKK012412000396</t>
  </si>
  <si>
    <t>STHBKK012412000397</t>
  </si>
  <si>
    <t>STHBKK012412000398</t>
  </si>
  <si>
    <t>STHBKK012412000400</t>
  </si>
  <si>
    <t>STHBKK012412000401</t>
  </si>
  <si>
    <t>นาย สมชาย ทองสว่าง</t>
  </si>
  <si>
    <t>STHBKK012412000402</t>
  </si>
  <si>
    <t>นางสาว จินตหรา วัตตะโส</t>
  </si>
  <si>
    <t>STHBKK012412000403</t>
  </si>
  <si>
    <t>STHBKK012412000404</t>
  </si>
  <si>
    <t>ห้างหุ้นส่วน เครือข่ายปิยธนา ( สำนักงานใหญ่ )</t>
  </si>
  <si>
    <t>STHBKK012412000405</t>
  </si>
  <si>
    <t>นางสาว สุวพร ญาณกวี</t>
  </si>
  <si>
    <t>STHBKK012412000406</t>
  </si>
  <si>
    <t>นางสาว มุกดา พวงสง่า</t>
  </si>
  <si>
    <t>STHBKK012412000409</t>
  </si>
  <si>
    <t>Mr. ISMA ILA IDRIS</t>
  </si>
  <si>
    <t>STHBKK012412000410</t>
  </si>
  <si>
    <t>นาย พิชัย  อาษาสุข</t>
  </si>
  <si>
    <t>STHBKK012412000412</t>
  </si>
  <si>
    <t>นาย วีรกร พงษ์วัน</t>
  </si>
  <si>
    <t>STHBKK012412000414</t>
  </si>
  <si>
    <t>STHBKK012412000415</t>
  </si>
  <si>
    <t>นางสาว ปรียานุช  กรัดเฟื่อง</t>
  </si>
  <si>
    <t>STHBKK012412000416</t>
  </si>
  <si>
    <t>STHBKK012412000418</t>
  </si>
  <si>
    <t>STHBKK012412000419</t>
  </si>
  <si>
    <t>STHBKK012412000420</t>
  </si>
  <si>
    <t>STHBKK012412000421</t>
  </si>
  <si>
    <t>นาย เก่งภพ ศุภาภพปภาส</t>
  </si>
  <si>
    <t>STHBKK012412000422</t>
  </si>
  <si>
    <t>STHBKK012412000423</t>
  </si>
  <si>
    <t>STHBKK012412000424</t>
  </si>
  <si>
    <t>นางสาว มัฐยา ลาศา</t>
  </si>
  <si>
    <t>STHONLIN2412000174</t>
  </si>
  <si>
    <t>นาย สุวิทย์  รองชูเพ็ง</t>
  </si>
  <si>
    <t>STHONLIN2412000177</t>
  </si>
  <si>
    <t>STHONLIN2412000178</t>
  </si>
  <si>
    <t>STHONLIN2412000179</t>
  </si>
  <si>
    <t>STHONLIN2412000181</t>
  </si>
  <si>
    <t>STHONLIN2412000184</t>
  </si>
  <si>
    <t>นางสาว ธิดารัตน์ สมทรัพย์</t>
  </si>
  <si>
    <t>STHONLIN2412000185</t>
  </si>
  <si>
    <t>นางสาว เพลิน รายสันเทียะ</t>
  </si>
  <si>
    <t>นิ่้ิ้ว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</si>
  <si>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</si>
  <si>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15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</si>
  <si>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STHBKK012412000426</t>
  </si>
  <si>
    <t>STHBKK012412000427</t>
  </si>
  <si>
    <t>STHBKK012412000429</t>
  </si>
  <si>
    <t>STHBKK012412000430</t>
  </si>
  <si>
    <t>นาย เธียรวิชญ์ สิรินรภักดีกุล</t>
  </si>
  <si>
    <t>STHBKK012412000431</t>
  </si>
  <si>
    <t>STHBKK012412000432</t>
  </si>
  <si>
    <t>STHBKK012412000433</t>
  </si>
  <si>
    <t>นาง ยินดี ไตยมูล</t>
  </si>
  <si>
    <t>STHBKK012412000434</t>
  </si>
  <si>
    <t>STHBKK012412000435</t>
  </si>
  <si>
    <t>นางสาว วัชรวรรณ  นิลสุ</t>
  </si>
  <si>
    <t>STHBKK012412000436</t>
  </si>
  <si>
    <t>STHBKK012412000437</t>
  </si>
  <si>
    <t>STHBKK012412000438</t>
  </si>
  <si>
    <t>นางสาว จิราภรณ์ เขาทอง</t>
  </si>
  <si>
    <t>STHBKK012412000439</t>
  </si>
  <si>
    <t>STHBKK012412000440</t>
  </si>
  <si>
    <t>Mr. DAUDU  WODI TASHELANI</t>
  </si>
  <si>
    <t>STHBKK012412000441</t>
  </si>
  <si>
    <t>Mr. BALA  SAMAILA</t>
  </si>
  <si>
    <t>STHBKK012412000442</t>
  </si>
  <si>
    <t>STHBKK012412000443</t>
  </si>
  <si>
    <t>นาง รัตนกร ไม้แดง</t>
  </si>
  <si>
    <t>STHBKK012412000446</t>
  </si>
  <si>
    <t>นาย จตุรเทพ ไม้แดง</t>
  </si>
  <si>
    <t>STHBKK012412000447</t>
  </si>
  <si>
    <t>นาย ณัฐพล ไม้แดง</t>
  </si>
  <si>
    <t>STHBKK012412000448</t>
  </si>
  <si>
    <t>Mr. OKEKE AMANDI PETER</t>
  </si>
  <si>
    <t>STHBKK012412000449</t>
  </si>
  <si>
    <t xml:space="preserve">นางสาว ภัทราณิษฐ์ พืชพันธ์วรเดชา	</t>
  </si>
  <si>
    <t>STHBKK012412000451</t>
  </si>
  <si>
    <t>Mr. SAW  AHLAY</t>
  </si>
  <si>
    <t>STHBKK012412000452</t>
  </si>
  <si>
    <t>นาย วิกรม ทองพูล</t>
  </si>
  <si>
    <t>STHBKK012412000453</t>
  </si>
  <si>
    <t>STHBKK012412000455</t>
  </si>
  <si>
    <t>STHBKK012412000456</t>
  </si>
  <si>
    <t>นางสาว อัมพร    ก้านลำภู</t>
  </si>
  <si>
    <t>STHBKK012412000457</t>
  </si>
  <si>
    <t>STHBKK012412000459</t>
  </si>
  <si>
    <t>STHBKK012412000460</t>
  </si>
  <si>
    <t>Mr. MUHAMMAD  YUSUF  BAGUDU</t>
  </si>
  <si>
    <t>STHBKK012412000461</t>
  </si>
  <si>
    <t>Mr. USMAN  YAHUZA</t>
  </si>
  <si>
    <t>STHBKK012412000462</t>
  </si>
  <si>
    <t>STHBKK012412000463</t>
  </si>
  <si>
    <t>นางสาว วัชรวรรณ นิลสุ</t>
  </si>
  <si>
    <t>STHONLIN2412000187</t>
  </si>
  <si>
    <t>STHONLIN2412000188</t>
  </si>
  <si>
    <t>นาง ทูนศรี บัวนุช</t>
  </si>
  <si>
    <t>STHONLIN2412000190</t>
  </si>
  <si>
    <t>STHONLIN2412000192</t>
  </si>
  <si>
    <t>นางสาว อรณิกร บุญเกษม</t>
  </si>
  <si>
    <t>STHONLIN2412000193</t>
  </si>
  <si>
    <t>STHONLIN2412000194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</si>
  <si>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</si>
  <si>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นิ่้ว/เกษ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</si>
  <si>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</si>
  <si>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STHBKK012412000465</t>
  </si>
  <si>
    <t>นาย กันต์  ไชยสังข์</t>
  </si>
  <si>
    <t>STHBKK012412000466</t>
  </si>
  <si>
    <t>STHBKK012412000467</t>
  </si>
  <si>
    <t>STHBKK012412000468</t>
  </si>
  <si>
    <t>STHBKK012412000469</t>
  </si>
  <si>
    <t>STHBKK012412000470</t>
  </si>
  <si>
    <t>STHBKK012412000471</t>
  </si>
  <si>
    <t>STHBKK012412000472</t>
  </si>
  <si>
    <t>นาง อรอนงค์ บุญรินทร์</t>
  </si>
  <si>
    <t>STHBKK012412000473</t>
  </si>
  <si>
    <t>นางสาว ฐิติรัตน์ พัชรวรพันธุ์</t>
  </si>
  <si>
    <t>STHBKK012412000475</t>
  </si>
  <si>
    <t>นาย ดิลก แผ่ทอง</t>
  </si>
  <si>
    <t>STHBKK012412000476</t>
  </si>
  <si>
    <t>STHBKK012412000477</t>
  </si>
  <si>
    <t>STHBKK012412000478</t>
  </si>
  <si>
    <t>STHBKK012412000479</t>
  </si>
  <si>
    <t>นาย อิทธิพล วิทยาเรืองศรี</t>
  </si>
  <si>
    <t>STHBKK012412000480</t>
  </si>
  <si>
    <t>STHBKK012412000481</t>
  </si>
  <si>
    <t>นาย นิตินาฎ หมิ่นขัด</t>
  </si>
  <si>
    <t>STHBKK012412000482</t>
  </si>
  <si>
    <t>STHBKK012412000483</t>
  </si>
  <si>
    <t>STHBKK012412000484</t>
  </si>
  <si>
    <t>STHBKK012412000485</t>
  </si>
  <si>
    <t>นาย สามภพ คงเมือง</t>
  </si>
  <si>
    <t>STHBKK012412000486</t>
  </si>
  <si>
    <t>นาย ธงชัย โชติผุย</t>
  </si>
  <si>
    <t>STHBKK012412000487</t>
  </si>
  <si>
    <t>STHBKK012412000488</t>
  </si>
  <si>
    <t>นางสาว อนัญญา อภัยแสน</t>
  </si>
  <si>
    <t>STHBKK012412000489</t>
  </si>
  <si>
    <t>STHBKK012412000490</t>
  </si>
  <si>
    <t>STHBKK012412000491</t>
  </si>
  <si>
    <t>STHBKK012412000492</t>
  </si>
  <si>
    <t>STHBKK012412000493</t>
  </si>
  <si>
    <t>Ms. KHIN SEIN SEIN</t>
  </si>
  <si>
    <t>STHONLIN2412000202</t>
  </si>
  <si>
    <t>STHONLIN2412000203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</si>
  <si>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</si>
  <si>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</si>
  <si>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STHBKK012412000494</t>
  </si>
  <si>
    <t>นางสาว ภิญญาพัชญ์ เอี่ยมกมล</t>
  </si>
  <si>
    <t>STHBKK012412000495</t>
  </si>
  <si>
    <t>STHBKK012412000497</t>
  </si>
  <si>
    <t>STHBKK012412000498</t>
  </si>
  <si>
    <t>STHBKK012412000499</t>
  </si>
  <si>
    <t>STHBKK012412000500</t>
  </si>
  <si>
    <t>นาย นพดล พวงศรี</t>
  </si>
  <si>
    <t>STHBKK012412000502</t>
  </si>
  <si>
    <t>STHBKK012412000503</t>
  </si>
  <si>
    <t>นางสาว กัญญ์ญภัสส์ ผลิวรรธนะ</t>
  </si>
  <si>
    <t>STHBKK012412000504</t>
  </si>
  <si>
    <t>STHBKK012412000505</t>
  </si>
  <si>
    <t>นางสาว กาญจนา จันทรมณี</t>
  </si>
  <si>
    <t>STHBKK012412000506</t>
  </si>
  <si>
    <t>นาย สมชาย เกตุแก้ว</t>
  </si>
  <si>
    <t>STHBKK012412000507</t>
  </si>
  <si>
    <t>STHBKK012412000508</t>
  </si>
  <si>
    <t>STHBKK012412000510</t>
  </si>
  <si>
    <t>นางสาว รัยวินทก์ วิทวัสสกุลวงศ์</t>
  </si>
  <si>
    <t>STHBKK012412000511</t>
  </si>
  <si>
    <t>นาง พรหมพร จินดา</t>
  </si>
  <si>
    <t>STHBKK012412000512</t>
  </si>
  <si>
    <t>นาย อดิศักดิ์ วงษ์โท</t>
  </si>
  <si>
    <t>STHBKK012412000513</t>
  </si>
  <si>
    <t>STHONLIN2412000211</t>
  </si>
  <si>
    <t>STHONLIN2412000212</t>
  </si>
  <si>
    <t>STHONLIN2412000213</t>
  </si>
  <si>
    <t>นางสาว ปราณี บุญศิริ</t>
  </si>
  <si>
    <t>STHONLIN2412000214</t>
  </si>
  <si>
    <t>STHONLIN2412000215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</si>
  <si>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</si>
  <si>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18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</si>
  <si>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STHBKK012412000514</t>
  </si>
  <si>
    <t>STHBKK012412000515</t>
  </si>
  <si>
    <t>นาย ชินโชติ จันทร์เกตุ</t>
  </si>
  <si>
    <t>STHBKK012412000516</t>
  </si>
  <si>
    <t>นาง กานดา วงศ์เทพนิวัติ</t>
  </si>
  <si>
    <t>STHBKK012412000517</t>
  </si>
  <si>
    <t>STHBKK012412000518</t>
  </si>
  <si>
    <t>STHBKK012412000519</t>
  </si>
  <si>
    <t>STHBKK012412000520</t>
  </si>
  <si>
    <t>STHBKK012412000522</t>
  </si>
  <si>
    <t>Mr. HUSSAINI  HALIRU, ABDULLAHI</t>
  </si>
  <si>
    <t>STHBKK012412000523</t>
  </si>
  <si>
    <t>นาย สรรค์สรวง วัชรินทรชัย</t>
  </si>
  <si>
    <t>STHBKK012412000524</t>
  </si>
  <si>
    <t>STHBKK012412000525</t>
  </si>
  <si>
    <t>นาง บัวลอย ประสงค์ผล</t>
  </si>
  <si>
    <t>STHONLIN2412000219</t>
  </si>
  <si>
    <t>STHONLIN2412000221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</si>
  <si>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</si>
  <si>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</si>
  <si>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STHBKK012412000527</t>
  </si>
  <si>
    <t>STHBKK012412000528</t>
  </si>
  <si>
    <t>นาย มานิตย์ พรมสอน</t>
  </si>
  <si>
    <t>STHBKK012412000529</t>
  </si>
  <si>
    <t>นาย วิเชียร พูลบ่อโพธิ์</t>
  </si>
  <si>
    <t>STHBKK012412000530</t>
  </si>
  <si>
    <t>STHBKK012412000531</t>
  </si>
  <si>
    <t>STHBKK012412000533</t>
  </si>
  <si>
    <t>STHBKK012412000534</t>
  </si>
  <si>
    <t>STHBKK012412000535</t>
  </si>
  <si>
    <t>STHBKK012412000536</t>
  </si>
  <si>
    <t>นาง ภัชษนัญฑ์ ชิเดนทรีย์</t>
  </si>
  <si>
    <t>STHBKK012412000537</t>
  </si>
  <si>
    <t>นาย วัชรวุทธิ์ หิรัญกิจอนันต์</t>
  </si>
  <si>
    <t>STHBKK012412000538</t>
  </si>
  <si>
    <t>นางสาว วิไลรัตน์  สุขสว่าง</t>
  </si>
  <si>
    <t>STHBKK012412000539</t>
  </si>
  <si>
    <t>นาย อนันต์กฤช เต็มศิริพันธุ์</t>
  </si>
  <si>
    <t>STHBKK012412000540</t>
  </si>
  <si>
    <t>STHBKK012412000541</t>
  </si>
  <si>
    <t>นางสาว สุนิตรา สิงห์โต</t>
  </si>
  <si>
    <t>STHBKK012412000542</t>
  </si>
  <si>
    <t>บริษัท พิมปรีชา จำกัด (สำนักงานใหญ่)</t>
  </si>
  <si>
    <t>STHBKK012412000543</t>
  </si>
  <si>
    <t>STHBKK012412000544</t>
  </si>
  <si>
    <t>นาง ทวีวรรณ กองประยุทธ</t>
  </si>
  <si>
    <t>STHBKK012412000547</t>
  </si>
  <si>
    <t>นาย นพดล   จงจิตร</t>
  </si>
  <si>
    <t>STHBKK012412000548</t>
  </si>
  <si>
    <t>นาย สมพร   กล่ำเอม</t>
  </si>
  <si>
    <t>STHBKK012412000549</t>
  </si>
  <si>
    <t>STHBKK012412000550</t>
  </si>
  <si>
    <t>STHBKK012412000551</t>
  </si>
  <si>
    <t>นางสาว ฉลวย ระเริง</t>
  </si>
  <si>
    <t>STHBKK012412000552</t>
  </si>
  <si>
    <t>STHONLIN2412000228</t>
  </si>
  <si>
    <t>STHONLIN2412000236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</si>
  <si>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</si>
  <si>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20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</si>
  <si>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STHBKK012412000554</t>
  </si>
  <si>
    <t>นาย บุญเสริม  สุขจิตต์</t>
  </si>
  <si>
    <t>STHBKK012412000555</t>
  </si>
  <si>
    <t>STHBKK012412000556</t>
  </si>
  <si>
    <t>นาย ณัฐพล ศรีทอง</t>
  </si>
  <si>
    <t>STHBKK012412000557</t>
  </si>
  <si>
    <t>STHBKK012412000558</t>
  </si>
  <si>
    <t>STHBKK012412000559</t>
  </si>
  <si>
    <t>STHBKK012412000560</t>
  </si>
  <si>
    <t>STHBKK012412000562</t>
  </si>
  <si>
    <t>STHBKK012412000563</t>
  </si>
  <si>
    <t>นางสาว ทิชากร เรืองเชื้อเหมือน</t>
  </si>
  <si>
    <t>STHBKK012412000564</t>
  </si>
  <si>
    <t>STHBKK012412000565</t>
  </si>
  <si>
    <t>นาย สมศักดิ์ เจริญสุข</t>
  </si>
  <si>
    <t>STHBKK012412000566</t>
  </si>
  <si>
    <t>STHBKK012412000567</t>
  </si>
  <si>
    <t>STHBKK012412000568</t>
  </si>
  <si>
    <t>นางสาว สุพิชชา เจริญศรี</t>
  </si>
  <si>
    <t>STHBKK012412000569</t>
  </si>
  <si>
    <t>STHBKK012412000571</t>
  </si>
  <si>
    <t>นาย อนุวัตร จันทร์เอี่ยม</t>
  </si>
  <si>
    <t>STHBKK012412000572</t>
  </si>
  <si>
    <t>นาย สุทธิ คำบุญ</t>
  </si>
  <si>
    <t>STHBKK012412000573</t>
  </si>
  <si>
    <t>STHBKK012412000574</t>
  </si>
  <si>
    <t>นาย เชาวลิตร์ เหล่าเขตกิจ</t>
  </si>
  <si>
    <t>STHBKK012412000575</t>
  </si>
  <si>
    <t>STHBKK012412000576</t>
  </si>
  <si>
    <t>นางสาว บุญเรือง ชาติเวช</t>
  </si>
  <si>
    <t>STHBKK012412000577</t>
  </si>
  <si>
    <t>นาย สมรวม กุลโสภณ</t>
  </si>
  <si>
    <t>STHBKK012412000578</t>
  </si>
  <si>
    <t>STHBKK012412000580</t>
  </si>
  <si>
    <t>STHBKK012412000582</t>
  </si>
  <si>
    <t>Mr. GWANBOBMUGA JEMIA BRANDON</t>
  </si>
  <si>
    <t>STHBKK012412000583</t>
  </si>
  <si>
    <t>นาง จรรยา ขาวใส</t>
  </si>
  <si>
    <t>STHBKK012412000585</t>
  </si>
  <si>
    <t>STHBKK012412000586</t>
  </si>
  <si>
    <t>STHBKK012412000587</t>
  </si>
  <si>
    <t>STHBKK012412000588</t>
  </si>
  <si>
    <t>STHBKK012412000589</t>
  </si>
  <si>
    <t>นาย เอกกวี เจริญผล</t>
  </si>
  <si>
    <t>STHBKK012412000590</t>
  </si>
  <si>
    <t>นาง วิมารัตน์ คชพันธิ์</t>
  </si>
  <si>
    <t>STHONLIN2412000242</t>
  </si>
  <si>
    <t>STHONLIN2412000243</t>
  </si>
  <si>
    <t>STHONLIN2412000244</t>
  </si>
  <si>
    <t>STHONLIN2412000245</t>
  </si>
  <si>
    <t>STHONLIN2412000246</t>
  </si>
  <si>
    <t>นาย สมยศ อภิรัชนากุล</t>
  </si>
  <si>
    <t>STHONLIN2412000249</t>
  </si>
  <si>
    <t>นาย สมนึก สร้อยฟ้า</t>
  </si>
  <si>
    <t>STHONLIN2412000250</t>
  </si>
  <si>
    <t>นางสาว พรพรรณ แก้วเพชร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</si>
  <si>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</si>
  <si>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21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</si>
  <si>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STHBKK012412000591</t>
  </si>
  <si>
    <t>Mr.  Salihu Abdullahi</t>
  </si>
  <si>
    <t>STHBKK012412000597</t>
  </si>
  <si>
    <t>STHBKK012412000599</t>
  </si>
  <si>
    <t>STHBKK012412000600</t>
  </si>
  <si>
    <t>STHBKK012412000601</t>
  </si>
  <si>
    <t>STHBKK012412000603</t>
  </si>
  <si>
    <t>STHBKK012412000604</t>
  </si>
  <si>
    <t>นาง เสถียร มรรคพิมพ์</t>
  </si>
  <si>
    <t>STHBKK012412000605</t>
  </si>
  <si>
    <t>นาง ยุพิน  สำเภา</t>
  </si>
  <si>
    <t>STHBKK012412000606</t>
  </si>
  <si>
    <t>STHBKK012412000608</t>
  </si>
  <si>
    <t>นางสาว ฐิตินันท์ พลอยสำลี</t>
  </si>
  <si>
    <t>STHBKK012412000609</t>
  </si>
  <si>
    <t>STHBKK012412000611</t>
  </si>
  <si>
    <t>STHBKK012412000612</t>
  </si>
  <si>
    <t>STHBKK012412000614</t>
  </si>
  <si>
    <t>นาย สกลสักก์ สาครเรืองสิรี</t>
  </si>
  <si>
    <t>STHBKK012412000615</t>
  </si>
  <si>
    <t>Mr. Usman mahmud</t>
  </si>
  <si>
    <t>STHBKK012412000616</t>
  </si>
  <si>
    <t>STHBKK012412000617</t>
  </si>
  <si>
    <t>STHBKK012412000618</t>
  </si>
  <si>
    <t>STHBKK012412000619</t>
  </si>
  <si>
    <t>นางสาว สุดาวรรณ์  จันทร์แดง</t>
  </si>
  <si>
    <t>STHBKK012412000620</t>
  </si>
  <si>
    <t>STHBKK012412000621</t>
  </si>
  <si>
    <t>STHBKK012412000624</t>
  </si>
  <si>
    <t>นาง ภัคภร ทองประสม</t>
  </si>
  <si>
    <t>STHBKK012412000627</t>
  </si>
  <si>
    <t>นาง บุญรอด วงษ์พันทา</t>
  </si>
  <si>
    <t>STHBKK012412000628</t>
  </si>
  <si>
    <t>นาย พุฒิพัฒน์ รัตนพิริยสกุล</t>
  </si>
  <si>
    <t>STHONLIN2412000255</t>
  </si>
  <si>
    <t>นาย พงษ์พันธ์  สัตย์ซ้ำ</t>
  </si>
  <si>
    <t>STHONLIN2412000256</t>
  </si>
  <si>
    <t>นาย ชัด  แหยมพิมาย</t>
  </si>
  <si>
    <t>STHONLIN2412000257</t>
  </si>
  <si>
    <t>นาย สุวิทย์  เหล็กพิมาย</t>
  </si>
  <si>
    <t>STHONLIN2412000258</t>
  </si>
  <si>
    <t>นาง ศรี  มณฑล</t>
  </si>
  <si>
    <t>STHONLIN2412000260</t>
  </si>
  <si>
    <t>นางสาว อธิรัตน์  ทองฝักแว่น</t>
  </si>
  <si>
    <t>STHONLIN2412000262</t>
  </si>
  <si>
    <t>นาย ฉัตรชัย  ดีใจ</t>
  </si>
  <si>
    <t>STHONLIN2412000267</t>
  </si>
  <si>
    <t>STHONLIN2412000269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</si>
  <si>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</si>
  <si>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22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</si>
  <si>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STHBKK012412000629</t>
  </si>
  <si>
    <t>STHBKK012412000630</t>
  </si>
  <si>
    <t>STHBKK012412000632</t>
  </si>
  <si>
    <t>STHBKK012412000633</t>
  </si>
  <si>
    <t>นาง ธิติมา  มูลสาร</t>
  </si>
  <si>
    <t>STHBKK012412000634</t>
  </si>
  <si>
    <t>STHBKK012412000635</t>
  </si>
  <si>
    <t>STHBKK012412000636</t>
  </si>
  <si>
    <t>STHBKK012412000637</t>
  </si>
  <si>
    <t>STHBKK012412000638</t>
  </si>
  <si>
    <t>STHBKK012412000639</t>
  </si>
  <si>
    <t>STHBKK012412000643</t>
  </si>
  <si>
    <t>STHBKK012412000645</t>
  </si>
  <si>
    <t>STHBKK012412000646</t>
  </si>
  <si>
    <t>STHBKK012412000647</t>
  </si>
  <si>
    <t>STHBKK012412000648</t>
  </si>
  <si>
    <t>STHBKK012412000649</t>
  </si>
  <si>
    <t>นางสาว กัญจน์ณัฏฐ์ บุญเชียงมา</t>
  </si>
  <si>
    <t>STHBKK012412000650</t>
  </si>
  <si>
    <t>STHBKK012412000651</t>
  </si>
  <si>
    <t>STHBKK012412000653</t>
  </si>
  <si>
    <t>STHBKK012412000655</t>
  </si>
  <si>
    <t>STHBKK012412000656</t>
  </si>
  <si>
    <t>STHBKK012412000657</t>
  </si>
  <si>
    <t>Mr. IWUOHA  JOSEPH CHIDUWEM</t>
  </si>
  <si>
    <t>STHBKK012412000658</t>
  </si>
  <si>
    <t>นาง วิไลลักษณ์ ทองสดชูวงศ์</t>
  </si>
  <si>
    <t>STHBKK012412000659</t>
  </si>
  <si>
    <t>99 ณัฐรดา จุ่นแพร  (ว่าที่ ร้อยตรีหญิง)</t>
  </si>
  <si>
    <t>STHONLIN2412000273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</si>
  <si>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</si>
  <si>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</si>
  <si>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STHBKK012412000660</t>
  </si>
  <si>
    <t>Mr. BANJO BODE DOMING</t>
  </si>
  <si>
    <t>STHBKK012412000663</t>
  </si>
  <si>
    <t>STHBKK012412000664</t>
  </si>
  <si>
    <t>STHBKK012412000666</t>
  </si>
  <si>
    <t>นาง ปฐภรณ์ เซาว์แก้ว จีนชาวนา</t>
  </si>
  <si>
    <t>STHBKK012412000667</t>
  </si>
  <si>
    <t>STHBKK012412000668</t>
  </si>
  <si>
    <t>STHBKK012412000669</t>
  </si>
  <si>
    <t>Ms. TAI THI XUAN HUE</t>
  </si>
  <si>
    <t>STHBKK012412000670</t>
  </si>
  <si>
    <t>นาย วิเชียร บุญมาก</t>
  </si>
  <si>
    <t>STHBKK012412000671</t>
  </si>
  <si>
    <t>นาย จักรกฤษณ์ ผิวเขียว</t>
  </si>
  <si>
    <t>STHBKK012412000672</t>
  </si>
  <si>
    <t>นางสาว เกศร วงษ์วิภาค</t>
  </si>
  <si>
    <t>STHBKK012412000673</t>
  </si>
  <si>
    <t>บริษัท  รินทร์รฐา กรุ๊ป จำกัด(สำนักงานใหญ่)</t>
  </si>
  <si>
    <t>STHBKK012412000674</t>
  </si>
  <si>
    <t>STHBKK012412000675</t>
  </si>
  <si>
    <t>STHBKK012412000676</t>
  </si>
  <si>
    <t>STHBKK012412000677</t>
  </si>
  <si>
    <t>นาย นายวินัย บุญเครื่อง</t>
  </si>
  <si>
    <t>STHBKK012412000678</t>
  </si>
  <si>
    <t>นาง พจนีย์  มุ้ยแก้ว</t>
  </si>
  <si>
    <t>STHBKK012412000679</t>
  </si>
  <si>
    <t>นางสาว กาญตนา ตรีศักดิ์</t>
  </si>
  <si>
    <t>STHBKK012412000680</t>
  </si>
  <si>
    <t>นางสาว สาหร่าย พ่วงจีน</t>
  </si>
  <si>
    <t>STHBKK012412000681</t>
  </si>
  <si>
    <t>STHBKK012412000683</t>
  </si>
  <si>
    <t xml:space="preserve">	Mr. MAUNG YE MOE</t>
  </si>
  <si>
    <t>STHBKK012412000684</t>
  </si>
  <si>
    <t>STHONLIN2412000278</t>
  </si>
  <si>
    <t>นางสาว ธนิชชนันท์ สิริภาคยะประภา</t>
  </si>
  <si>
    <t>STHONLIN2412000279</t>
  </si>
  <si>
    <t>STHONLIN2412000280</t>
  </si>
  <si>
    <t>STHONLIN2412000281</t>
  </si>
  <si>
    <t>นาย สุรพล จันทรานุรักษ์</t>
  </si>
  <si>
    <t>STHONLIN2412000283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</si>
  <si>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</si>
  <si>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24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</si>
  <si>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STHBKK012412000685</t>
  </si>
  <si>
    <t>STHBKK012412000686</t>
  </si>
  <si>
    <t>STHBKK012412000687</t>
  </si>
  <si>
    <t>STHBKK012412000688</t>
  </si>
  <si>
    <t>นาง อรวรรณ จันทร์วงศ์</t>
  </si>
  <si>
    <t>STHBKK012412000690</t>
  </si>
  <si>
    <t>นาย ชุติเมธ ดียิ่ง</t>
  </si>
  <si>
    <t>STHBKK012412000693</t>
  </si>
  <si>
    <t>STHBKK012412000694</t>
  </si>
  <si>
    <t>STHBKK012412000695</t>
  </si>
  <si>
    <t>นาย พิสิฐพงษ์  ยอดจันทร์</t>
  </si>
  <si>
    <t>STHBKK012412000697</t>
  </si>
  <si>
    <t>นาย ธนกฤต อินชู</t>
  </si>
  <si>
    <t>STHBKK012412000698</t>
  </si>
  <si>
    <t>นาง ลำเพลิน  พุ่มไสว</t>
  </si>
  <si>
    <t>STHBKK012412000699</t>
  </si>
  <si>
    <t>พิชชาพร พุ่มไสว</t>
  </si>
  <si>
    <t>STHBKK012412000700</t>
  </si>
  <si>
    <t>นาย ไพทูล ปันขื่น</t>
  </si>
  <si>
    <t>STHBKK012412000701</t>
  </si>
  <si>
    <t>STHBKK012412000702</t>
  </si>
  <si>
    <t>Mr. MAI DUC MANH</t>
  </si>
  <si>
    <t>STHBKK012412000703</t>
  </si>
  <si>
    <t>STHBKK012412000705</t>
  </si>
  <si>
    <t>นาย สุวิทย์ มั่นเขตวิทย์</t>
  </si>
  <si>
    <t>STHONLIN2412000288</t>
  </si>
  <si>
    <t>นาง ปัฐมพร  เลขาตะกูล</t>
  </si>
  <si>
    <t>STHONLIN2412000297</t>
  </si>
  <si>
    <t>STHONLIN2412000300</t>
  </si>
  <si>
    <t>STHONLIN2412000302</t>
  </si>
  <si>
    <t>นางสาว ธนพรรษ​ ยี่ภู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</si>
  <si>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</si>
  <si>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25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</si>
  <si>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STHBKK012412000706</t>
  </si>
  <si>
    <t>STHBKK012412000707</t>
  </si>
  <si>
    <t>STHBKK012412000708</t>
  </si>
  <si>
    <t>STHBKK012412000709</t>
  </si>
  <si>
    <t>STHBKK012412000710</t>
  </si>
  <si>
    <t>STHBKK012412000711</t>
  </si>
  <si>
    <t>นางสาว ภัคชัญญา เทพวรรณ์</t>
  </si>
  <si>
    <t>STHBKK012412000712</t>
  </si>
  <si>
    <t>นางสาว อรอนงค์ แซ่เฮง</t>
  </si>
  <si>
    <t>STHBKK012412000713</t>
  </si>
  <si>
    <t>STHBKK012412000715</t>
  </si>
  <si>
    <t>นาง คันสนีย์ ศรแก้ว</t>
  </si>
  <si>
    <t>STHBKK012412000716</t>
  </si>
  <si>
    <t>STHBKK012412000718</t>
  </si>
  <si>
    <t>STHBKK012412000719</t>
  </si>
  <si>
    <t>นาง ประชุม แกล้วกสิวิทย์</t>
  </si>
  <si>
    <t>STHBKK012412000720</t>
  </si>
  <si>
    <t>นาง ฉัตรวิสาระ อยู่สบาย</t>
  </si>
  <si>
    <t>STHBKK012412000721</t>
  </si>
  <si>
    <t>นางสาว พรทิพย์  นาสวน</t>
  </si>
  <si>
    <t>STHBKK012412000722</t>
  </si>
  <si>
    <t>STHBKK012412000723</t>
  </si>
  <si>
    <t>STHBKK012412000724</t>
  </si>
  <si>
    <t>STHBKK012412000725</t>
  </si>
  <si>
    <t>STHBKK012412000726</t>
  </si>
  <si>
    <t>STHBKK012412000727</t>
  </si>
  <si>
    <t>นางสาว ดารดี ญาณกวี</t>
  </si>
  <si>
    <t>STHBKK012412000729</t>
  </si>
  <si>
    <t>นางสาว นภัทร อินทราพงษ์</t>
  </si>
  <si>
    <t>STHBKK012412000730</t>
  </si>
  <si>
    <t>STHBKK012412000731</t>
  </si>
  <si>
    <t>STHBKK012412000732</t>
  </si>
  <si>
    <t>STHBKK012412000733</t>
  </si>
  <si>
    <t>นาย  จักรพงศ์ เพชรเหลี่ยม</t>
  </si>
  <si>
    <t>STHBKK012412000734</t>
  </si>
  <si>
    <t>STHBKK012412000735</t>
  </si>
  <si>
    <t>STHBKK012412000736</t>
  </si>
  <si>
    <t>STHBKK012412000742</t>
  </si>
  <si>
    <t>STHONLIN2412000323</t>
  </si>
  <si>
    <t>STHONLIN2412000332</t>
  </si>
  <si>
    <t>นางสาว บุญพา สวนใต้</t>
  </si>
  <si>
    <t>STHONLIN2412000334</t>
  </si>
  <si>
    <t>STHONLIN2412000350</t>
  </si>
  <si>
    <t>STHONLIN2412000351</t>
  </si>
  <si>
    <t>นาย ไกรวินทก์ วิทวัสกุลวงศ์</t>
  </si>
  <si>
    <t>เอิิง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</si>
  <si>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</si>
  <si>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26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</si>
  <si>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STHBKK012412000749</t>
  </si>
  <si>
    <t>นาย สุรทัศน์ เกไธสง</t>
  </si>
  <si>
    <t>STHBKK012412000750</t>
  </si>
  <si>
    <t>นาย วิโรจน์ กันทาสุข</t>
  </si>
  <si>
    <t>STHBKK012412000751</t>
  </si>
  <si>
    <t>นาง จเร  ยอดดี</t>
  </si>
  <si>
    <t>STHBKK012412000752</t>
  </si>
  <si>
    <t>นางสาว สุธาสินี ชุณฬหวานิช</t>
  </si>
  <si>
    <t>STHBKK012412000753</t>
  </si>
  <si>
    <t>Mr. ADAM MALLAM,BABA</t>
  </si>
  <si>
    <t>STHBKK012412000754</t>
  </si>
  <si>
    <t>STHBKK012412000755</t>
  </si>
  <si>
    <t>นาย ศักรินทร์ บุญรอด</t>
  </si>
  <si>
    <t>STHBKK012412000756</t>
  </si>
  <si>
    <t>STHBKK012412000757</t>
  </si>
  <si>
    <t>STHBKK012412000758</t>
  </si>
  <si>
    <t>STHBKK012412000759</t>
  </si>
  <si>
    <t>นาง สิริรัตน์ อินทร์ศักดิ์</t>
  </si>
  <si>
    <t>STHBKK012412000760</t>
  </si>
  <si>
    <t>STHBKK012412000762</t>
  </si>
  <si>
    <t>STHBKK012412000763</t>
  </si>
  <si>
    <t>STHBKK012412000764</t>
  </si>
  <si>
    <t>นาย นิรุตติ  สมนิ่ม</t>
  </si>
  <si>
    <t>STHBKK012412000765</t>
  </si>
  <si>
    <t>STHBKK012412000766</t>
  </si>
  <si>
    <t>STHBKK012412000768</t>
  </si>
  <si>
    <t>นาย พิเชษฐ์ มีสิริ</t>
  </si>
  <si>
    <t>STHBKK012412000769</t>
  </si>
  <si>
    <t>STHBKK012412000770</t>
  </si>
  <si>
    <t>นางสาว ดวงสุดา ขุนวิเชียร</t>
  </si>
  <si>
    <t>STHBKK012412000771</t>
  </si>
  <si>
    <t>STHBKK012412000772</t>
  </si>
  <si>
    <t>STHBKK012412000773</t>
  </si>
  <si>
    <t>นาย สมชาย โพธิ์คำ</t>
  </si>
  <si>
    <t>STHBKK012412000774</t>
  </si>
  <si>
    <t>นาย อดุลย์ คุณสุข</t>
  </si>
  <si>
    <t>STHBKK012412000775</t>
  </si>
  <si>
    <t>STHBKK012412000776</t>
  </si>
  <si>
    <t>STHONLIN2412000352</t>
  </si>
  <si>
    <t>STHONLIN2412000389</t>
  </si>
  <si>
    <t>STHONLIN2412000394</t>
  </si>
  <si>
    <t>STHONLIN2412000395</t>
  </si>
  <si>
    <t>นางสาว สุพัชชา  กันหาเวียง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</si>
  <si>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</si>
  <si>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27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</si>
  <si>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STHBKK012412000777</t>
  </si>
  <si>
    <t>STHBKK012412000778</t>
  </si>
  <si>
    <t>นางสาว จิตรานุช อินทโมรา</t>
  </si>
  <si>
    <t>STHBKK012412000779</t>
  </si>
  <si>
    <t>นางสาว ศิริพร อินทวงษ์</t>
  </si>
  <si>
    <t>STHBKK012412000780</t>
  </si>
  <si>
    <t>STHBKK012412000783</t>
  </si>
  <si>
    <t>STHBKK012412000784</t>
  </si>
  <si>
    <t>STHBKK012412000785</t>
  </si>
  <si>
    <t>STHBKK012412000786</t>
  </si>
  <si>
    <t>MRS. THET  THET   MYINT</t>
  </si>
  <si>
    <t>STHBKK012412000787</t>
  </si>
  <si>
    <t>STHBKK012412000788</t>
  </si>
  <si>
    <t>นาง ทัศนีย์ พูลพงษ์</t>
  </si>
  <si>
    <t>STHBKK012412000789</t>
  </si>
  <si>
    <t>STHBKK012412000791</t>
  </si>
  <si>
    <t>นาง ลำพึง เวชการ</t>
  </si>
  <si>
    <t>STHBKK012412000792</t>
  </si>
  <si>
    <t>นางสาว พรรณณี จัดคร่อง</t>
  </si>
  <si>
    <t>STHBKK012412000793</t>
  </si>
  <si>
    <t>Mr. Yakubu  Abdulsalam</t>
  </si>
  <si>
    <t>STHBKK012412000794</t>
  </si>
  <si>
    <t>นาย สุวิทย์  โตทุ้ย</t>
  </si>
  <si>
    <t>STHBKK012412000796</t>
  </si>
  <si>
    <t>Mr. OMOLE OLU ROBERT</t>
  </si>
  <si>
    <t>STHBKK012412000797</t>
  </si>
  <si>
    <t>Mr. Abdul rauf Suleiman</t>
  </si>
  <si>
    <t>STHBKK012412000800</t>
  </si>
  <si>
    <t>นางสาว ณัฐพร มากรัตน์</t>
  </si>
  <si>
    <t>STHBKK012412000801</t>
  </si>
  <si>
    <t>นาย นิรุตย์ ศรีสวัสดิ์</t>
  </si>
  <si>
    <t>STHBKK012412000802</t>
  </si>
  <si>
    <t>STHONLIN2412000447</t>
  </si>
  <si>
    <t>STHONLIN2412000475</t>
  </si>
  <si>
    <t>STHONLIN2412000481</t>
  </si>
  <si>
    <t>นาง สิดาพร วีรีรัตน์</t>
  </si>
  <si>
    <t>STHONLIN2412000482</t>
  </si>
  <si>
    <t>STHONLIN2412000487</t>
  </si>
  <si>
    <t>บริษัท ฟองใหญ่ จำกัด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</si>
  <si>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</si>
  <si>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STHBKK012412000803</t>
  </si>
  <si>
    <t>นาย สุชาติ นิลศิริโก</t>
  </si>
  <si>
    <t>STHBKK012412000804</t>
  </si>
  <si>
    <t>นาง นฤมล จันทร์แก้ว</t>
  </si>
  <si>
    <t>STHBKK012412000805</t>
  </si>
  <si>
    <t>นาง สมพิศ แซ่ปัง</t>
  </si>
  <si>
    <t>STHBKK012412000806</t>
  </si>
  <si>
    <t>STHBKK012412000807</t>
  </si>
  <si>
    <t>STHBKK012412000809</t>
  </si>
  <si>
    <t>STHBKK012412000811</t>
  </si>
  <si>
    <t>STHBKK012412000812</t>
  </si>
  <si>
    <t>STHBKK012412000814</t>
  </si>
  <si>
    <t>STHBKK012412000815</t>
  </si>
  <si>
    <t>STHBKK012412000816</t>
  </si>
  <si>
    <t>STHBKK012412000817</t>
  </si>
  <si>
    <t>นางสาว นัชชา ยศภัทร์ธนิกุล</t>
  </si>
  <si>
    <t>STHBKK012412000818</t>
  </si>
  <si>
    <t>STHBKK012412000819</t>
  </si>
  <si>
    <t>STHBKK012412000820</t>
  </si>
  <si>
    <t>STHBKK012412000821</t>
  </si>
  <si>
    <t>STHBKK012412000822</t>
  </si>
  <si>
    <t>STHBKK012412000823</t>
  </si>
  <si>
    <t>STHONLIN2412000508</t>
  </si>
  <si>
    <t>STHONLIN2412000517</t>
  </si>
  <si>
    <t>STHONLIN2412000518</t>
  </si>
  <si>
    <t>STHONLIN2412000519</t>
  </si>
  <si>
    <t>STHONLIN2412000524</t>
  </si>
  <si>
    <t>นางสาว เสาวลักษณ์    ควรสมบัติ</t>
  </si>
  <si>
    <t>STHONLIN2412000525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</si>
  <si>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</si>
  <si>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เกษ/นิ้ว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</si>
  <si>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ธ.ค.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</si>
  <si>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STHBKK012412000824</t>
  </si>
  <si>
    <t>STHBKK012412000826</t>
  </si>
  <si>
    <t>STHBKK012412000827</t>
  </si>
  <si>
    <t>STHBKK012412000829</t>
  </si>
  <si>
    <t>นาย ไชโย   ท้วมไทย</t>
  </si>
  <si>
    <t>STHBKK012412000830</t>
  </si>
  <si>
    <t>STHBKK012412000832</t>
  </si>
  <si>
    <t>STHBKK012412000833</t>
  </si>
  <si>
    <t>STHBKK012412000834</t>
  </si>
  <si>
    <t>STHBKK012412000835</t>
  </si>
  <si>
    <t>STHBKK012412000836</t>
  </si>
  <si>
    <t>นางสาว ภกุชา  อติพรวณิชย์</t>
  </si>
  <si>
    <t>STHBKK012412000837</t>
  </si>
  <si>
    <t>บริษัท ดาโร่ บิ้วตี้ จำกัด ( สำนักงานใหญ่ )</t>
  </si>
  <si>
    <t>STHBKK012412000838</t>
  </si>
  <si>
    <t>นาง มาลาพร บัวใหญ่</t>
  </si>
  <si>
    <t>STHBKK012412000839</t>
  </si>
  <si>
    <t>นางสาว นูรมาลา สูเด็น</t>
  </si>
  <si>
    <t>STHBKK012412000840</t>
  </si>
  <si>
    <t>นาง สายฝน ช่อมะกอก</t>
  </si>
  <si>
    <t>STHBKK012412000841</t>
  </si>
  <si>
    <t>STHBKK012412000842</t>
  </si>
  <si>
    <t>STHBKK012412000844</t>
  </si>
  <si>
    <t>นาย นิรันดร์ สันอัด</t>
  </si>
  <si>
    <t>STHBKK012412000846</t>
  </si>
  <si>
    <t>STHBKK012412000848</t>
  </si>
  <si>
    <t>STHONLIN2412000528</t>
  </si>
  <si>
    <t>นาย มงคล เพ็งเคียน</t>
  </si>
  <si>
    <t>STHONLIN2412000529</t>
  </si>
  <si>
    <t>STHONLIN2412000556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</si>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</sst>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20">
    <font>
      <sz val="10.0"/>
      <color rgb="FF000000"/>
      <name val="Arial"/>
      <scheme val="minor"/>
    </font>
    <font>
      <b/>
      <sz val="30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11.0"/>
      <color theme="0"/>
      <name val="Arial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b/>
      <sz val="19.0"/>
      <color rgb="FF000000"/>
      <name val="&quot;Times New Roman&quot;"/>
    </font>
    <font>
      <b/>
      <sz val="18.0"/>
      <color rgb="FF000000"/>
      <name val="&quot;Times New Roman&quot;"/>
    </font>
    <font>
      <b/>
      <sz val="19.0"/>
      <color rgb="FFFF0000"/>
      <name val="Arial"/>
    </font>
    <font>
      <b/>
      <sz val="19.0"/>
      <color theme="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readingOrder="0" vertical="bottom"/>
    </xf>
    <xf borderId="7" fillId="0" fontId="4" numFmtId="4" xfId="0" applyAlignment="1" applyBorder="1" applyFont="1" applyNumberFormat="1">
      <alignment horizontal="left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readingOrder="0" vertical="bottom"/>
    </xf>
    <xf borderId="7" fillId="4" fontId="6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right" vertical="bottom"/>
    </xf>
    <xf borderId="7" fillId="4" fontId="7" numFmtId="38" xfId="0" applyAlignment="1" applyBorder="1" applyFont="1" applyNumberFormat="1">
      <alignment readingOrder="0" vertical="bottom"/>
    </xf>
    <xf borderId="7" fillId="0" fontId="4" numFmtId="38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vertical="bottom"/>
    </xf>
    <xf borderId="9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readingOrder="0" vertical="bottom"/>
    </xf>
    <xf borderId="7" fillId="4" fontId="6" numFmtId="38" xfId="0" applyAlignment="1" applyBorder="1" applyFont="1" applyNumberFormat="1">
      <alignment readingOrder="0" vertical="bottom"/>
    </xf>
    <xf borderId="9" fillId="5" fontId="8" numFmtId="38" xfId="0" applyAlignment="1" applyBorder="1" applyFill="1" applyFont="1" applyNumberFormat="1">
      <alignment horizontal="center" vertical="center"/>
    </xf>
    <xf borderId="7" fillId="4" fontId="4" numFmtId="166" xfId="0" applyAlignment="1" applyBorder="1" applyFont="1" applyNumberFormat="1">
      <alignment horizontal="center" readingOrder="0" vertical="bottom"/>
    </xf>
    <xf borderId="7" fillId="4" fontId="4" numFmtId="4" xfId="0" applyAlignment="1" applyBorder="1" applyFont="1" applyNumberFormat="1">
      <alignment horizontal="left" readingOrder="0" vertical="bottom"/>
    </xf>
    <xf borderId="7" fillId="4" fontId="4" numFmtId="0" xfId="0" applyAlignment="1" applyBorder="1" applyFont="1">
      <alignment horizontal="center" readingOrder="0" vertical="bottom"/>
    </xf>
    <xf borderId="7" fillId="4" fontId="4" numFmtId="0" xfId="0" applyAlignment="1" applyBorder="1" applyFont="1">
      <alignment readingOrder="0" vertical="bottom"/>
    </xf>
    <xf borderId="7" fillId="4" fontId="4" numFmtId="38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vertical="bottom"/>
    </xf>
    <xf borderId="8" fillId="6" fontId="4" numFmtId="0" xfId="0" applyAlignment="1" applyBorder="1" applyFill="1" applyFont="1">
      <alignment horizontal="center" vertical="bottom"/>
    </xf>
    <xf borderId="7" fillId="6" fontId="4" numFmtId="166" xfId="0" applyAlignment="1" applyBorder="1" applyFont="1" applyNumberFormat="1">
      <alignment horizontal="center" readingOrder="0" vertical="bottom"/>
    </xf>
    <xf borderId="7" fillId="6" fontId="4" numFmtId="4" xfId="0" applyAlignment="1" applyBorder="1" applyFont="1" applyNumberFormat="1">
      <alignment horizontal="left" readingOrder="0" vertical="bottom"/>
    </xf>
    <xf borderId="7" fillId="6" fontId="4" numFmtId="0" xfId="0" applyAlignment="1" applyBorder="1" applyFont="1">
      <alignment horizontal="center" readingOrder="0" vertical="bottom"/>
    </xf>
    <xf borderId="7" fillId="6" fontId="4" numFmtId="0" xfId="0" applyAlignment="1" applyBorder="1" applyFont="1">
      <alignment readingOrder="0" vertical="bottom"/>
    </xf>
    <xf borderId="7" fillId="6" fontId="7" numFmtId="38" xfId="0" applyAlignment="1" applyBorder="1" applyFont="1" applyNumberFormat="1">
      <alignment vertical="bottom"/>
    </xf>
    <xf borderId="7" fillId="6" fontId="6" numFmtId="38" xfId="0" applyAlignment="1" applyBorder="1" applyFont="1" applyNumberFormat="1">
      <alignment readingOrder="0" vertical="bottom"/>
    </xf>
    <xf borderId="7" fillId="6" fontId="6" numFmtId="38" xfId="0" applyAlignment="1" applyBorder="1" applyFont="1" applyNumberFormat="1">
      <alignment vertical="bottom"/>
    </xf>
    <xf borderId="7" fillId="6" fontId="4" numFmtId="38" xfId="0" applyAlignment="1" applyBorder="1" applyFont="1" applyNumberFormat="1">
      <alignment horizontal="center" readingOrder="0" vertical="bottom"/>
    </xf>
    <xf borderId="7" fillId="6" fontId="5" numFmtId="38" xfId="0" applyAlignment="1" applyBorder="1" applyFont="1" applyNumberFormat="1">
      <alignment horizontal="center" vertical="bottom"/>
    </xf>
    <xf borderId="9" fillId="6" fontId="4" numFmtId="38" xfId="0" applyAlignment="1" applyBorder="1" applyFont="1" applyNumberFormat="1">
      <alignment horizontal="center" vertical="bottom"/>
    </xf>
    <xf borderId="7" fillId="4" fontId="9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horizontal="right" vertical="bottom"/>
    </xf>
    <xf borderId="7" fillId="4" fontId="10" numFmtId="166" xfId="0" applyAlignment="1" applyBorder="1" applyFont="1" applyNumberFormat="1">
      <alignment horizontal="center" readingOrder="0" vertical="bottom"/>
    </xf>
    <xf borderId="7" fillId="4" fontId="10" numFmtId="4" xfId="0" applyAlignment="1" applyBorder="1" applyFont="1" applyNumberFormat="1">
      <alignment horizontal="left" readingOrder="0" vertical="bottom"/>
    </xf>
    <xf borderId="7" fillId="4" fontId="10" numFmtId="0" xfId="0" applyAlignment="1" applyBorder="1" applyFont="1">
      <alignment horizontal="center" readingOrder="0" vertical="bottom"/>
    </xf>
    <xf borderId="7" fillId="4" fontId="10" numFmtId="0" xfId="0" applyAlignment="1" applyBorder="1" applyFont="1">
      <alignment readingOrder="0" vertical="bottom"/>
    </xf>
    <xf borderId="7" fillId="4" fontId="9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0" numFmtId="38" xfId="0" applyAlignment="1" applyBorder="1" applyFont="1" applyNumberFormat="1">
      <alignment horizontal="center" readingOrder="0" vertical="bottom"/>
    </xf>
    <xf borderId="0" fillId="4" fontId="12" numFmtId="0" xfId="0" applyAlignment="1" applyFont="1">
      <alignment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6" fontId="6" numFmtId="38" xfId="0" applyAlignment="1" applyBorder="1" applyFont="1" applyNumberFormat="1">
      <alignment horizontal="right" vertical="bottom"/>
    </xf>
    <xf borderId="7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7" fontId="4" numFmtId="167" xfId="0" applyAlignment="1" applyBorder="1" applyFill="1" applyFont="1" applyNumberFormat="1">
      <alignment horizontal="center"/>
    </xf>
    <xf borderId="7" fillId="7" fontId="3" numFmtId="0" xfId="0" applyAlignment="1" applyBorder="1" applyFont="1">
      <alignment vertical="bottom"/>
    </xf>
    <xf borderId="0" fillId="8" fontId="3" numFmtId="0" xfId="0" applyAlignment="1" applyFill="1" applyFont="1">
      <alignment vertical="bottom"/>
    </xf>
    <xf borderId="0" fillId="8" fontId="3" numFmtId="0" xfId="0" applyAlignment="1" applyFont="1">
      <alignment horizontal="left" vertical="bottom"/>
    </xf>
    <xf borderId="0" fillId="8" fontId="13" numFmtId="167" xfId="0" applyAlignment="1" applyFont="1" applyNumberFormat="1">
      <alignment horizontal="center" vertical="center"/>
    </xf>
    <xf borderId="0" fillId="8" fontId="3" numFmtId="167" xfId="0" applyFont="1" applyNumberFormat="1"/>
    <xf borderId="0" fillId="0" fontId="3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9" fontId="4" numFmtId="0" xfId="0" applyAlignment="1" applyFill="1" applyFont="1">
      <alignment horizontal="right" readingOrder="0" vertical="bottom"/>
    </xf>
    <xf borderId="0" fillId="9" fontId="15" numFmtId="0" xfId="0" applyAlignment="1" applyFont="1">
      <alignment horizontal="center" readingOrder="0" vertical="bottom"/>
    </xf>
    <xf borderId="0" fillId="10" fontId="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10" fontId="15" numFmtId="0" xfId="0" applyAlignment="1" applyFont="1">
      <alignment horizontal="center" readingOrder="0" vertical="bottom"/>
    </xf>
    <xf borderId="9" fillId="4" fontId="4" numFmtId="38" xfId="0" applyAlignment="1" applyBorder="1" applyFont="1" applyNumberFormat="1">
      <alignment horizontal="center" vertical="bottom"/>
    </xf>
    <xf borderId="0" fillId="0" fontId="3" numFmtId="0" xfId="0" applyAlignment="1" applyFont="1">
      <alignment horizontal="left" readingOrder="0" vertical="bottom"/>
    </xf>
    <xf borderId="8" fillId="4" fontId="4" numFmtId="0" xfId="0" applyAlignment="1" applyBorder="1" applyFont="1">
      <alignment horizontal="center" readingOrder="0" vertical="bottom"/>
    </xf>
    <xf borderId="9" fillId="6" fontId="8" numFmtId="38" xfId="0" applyAlignment="1" applyBorder="1" applyFont="1" applyNumberFormat="1">
      <alignment horizontal="center" vertical="center"/>
    </xf>
    <xf borderId="7" fillId="7" fontId="4" numFmtId="167" xfId="0" applyAlignment="1" applyBorder="1" applyFont="1" applyNumberFormat="1">
      <alignment horizontal="center" readingOrder="0"/>
    </xf>
    <xf borderId="8" fillId="6" fontId="4" numFmtId="0" xfId="0" applyAlignment="1" applyBorder="1" applyFont="1">
      <alignment horizontal="center" readingOrder="0" vertical="bottom"/>
    </xf>
    <xf borderId="8" fillId="4" fontId="7" numFmtId="0" xfId="0" applyAlignment="1" applyBorder="1" applyFont="1">
      <alignment horizontal="center" readingOrder="0" vertical="bottom"/>
    </xf>
    <xf borderId="9" fillId="0" fontId="16" numFmtId="165" xfId="0" applyAlignment="1" applyBorder="1" applyFont="1" applyNumberFormat="1">
      <alignment horizontal="center" readingOrder="0" shrinkToFit="0" vertical="bottom" wrapText="0"/>
    </xf>
    <xf borderId="9" fillId="0" fontId="16" numFmtId="4" xfId="0" applyAlignment="1" applyBorder="1" applyFont="1" applyNumberFormat="1">
      <alignment horizontal="center" readingOrder="0" shrinkToFit="0" vertical="bottom" wrapText="0"/>
    </xf>
    <xf borderId="9" fillId="0" fontId="16" numFmtId="0" xfId="0" applyAlignment="1" applyBorder="1" applyFont="1">
      <alignment horizontal="center" readingOrder="0" shrinkToFit="0" vertical="bottom" wrapText="0"/>
    </xf>
    <xf borderId="9" fillId="0" fontId="16" numFmtId="0" xfId="0" applyAlignment="1" applyBorder="1" applyFont="1">
      <alignment horizontal="left" readingOrder="0" shrinkToFit="0" vertical="bottom" wrapText="0"/>
    </xf>
    <xf borderId="9" fillId="0" fontId="17" numFmtId="3" xfId="0" applyAlignment="1" applyBorder="1" applyFont="1" applyNumberFormat="1">
      <alignment horizontal="center" readingOrder="0" shrinkToFit="0" vertical="bottom" wrapText="0"/>
    </xf>
    <xf borderId="7" fillId="4" fontId="18" numFmtId="38" xfId="0" applyAlignment="1" applyBorder="1" applyFont="1" applyNumberFormat="1">
      <alignment horizontal="center" readingOrder="0" vertical="bottom"/>
    </xf>
    <xf borderId="9" fillId="0" fontId="17" numFmtId="38" xfId="0" applyAlignment="1" applyBorder="1" applyFont="1" applyNumberFormat="1">
      <alignment horizontal="left" readingOrder="0" shrinkToFit="0" vertical="bottom" wrapText="0"/>
    </xf>
    <xf borderId="9" fillId="0" fontId="7" numFmtId="38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9" fillId="0" fontId="16" numFmtId="166" xfId="0" applyAlignment="1" applyBorder="1" applyFont="1" applyNumberFormat="1">
      <alignment horizontal="center" readingOrder="0" shrinkToFit="0" vertical="bottom" wrapText="0"/>
    </xf>
    <xf borderId="9" fillId="4" fontId="19" numFmtId="38" xfId="0" applyAlignment="1" applyBorder="1" applyFont="1" applyNumberFormat="1">
      <alignment horizontal="center" vertical="center"/>
    </xf>
    <xf borderId="0" fillId="4" fontId="7" numFmtId="0" xfId="0" applyAlignment="1" applyFont="1">
      <alignment vertical="bottom"/>
    </xf>
    <xf borderId="9" fillId="4" fontId="7" numFmtId="38" xfId="0" applyAlignment="1" applyBorder="1" applyFont="1" applyNumberFormat="1">
      <alignment horizontal="center" vertical="bottom"/>
    </xf>
    <xf borderId="0" fillId="4" fontId="11" numFmtId="0" xfId="0" applyAlignment="1" applyFont="1">
      <alignment vertical="bottom"/>
    </xf>
    <xf borderId="9" fillId="0" fontId="17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left" readingOrder="0" shrinkToFit="0" vertical="bottom" wrapText="0"/>
    </xf>
    <xf borderId="8" fillId="5" fontId="4" numFmtId="0" xfId="0" applyAlignment="1" applyBorder="1" applyFont="1">
      <alignment horizontal="center" readingOrder="0" vertical="bottom"/>
    </xf>
    <xf borderId="7" fillId="5" fontId="4" numFmtId="166" xfId="0" applyAlignment="1" applyBorder="1" applyFont="1" applyNumberFormat="1">
      <alignment horizontal="center" readingOrder="0" vertical="bottom"/>
    </xf>
    <xf borderId="7" fillId="5" fontId="4" numFmtId="4" xfId="0" applyAlignment="1" applyBorder="1" applyFont="1" applyNumberFormat="1">
      <alignment horizontal="left" readingOrder="0" vertical="bottom"/>
    </xf>
    <xf borderId="7" fillId="5" fontId="4" numFmtId="0" xfId="0" applyAlignment="1" applyBorder="1" applyFon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7" fillId="5" fontId="7" numFmtId="38" xfId="0" applyAlignment="1" applyBorder="1" applyFont="1" applyNumberFormat="1">
      <alignment vertical="bottom"/>
    </xf>
    <xf borderId="7" fillId="5" fontId="6" numFmtId="38" xfId="0" applyAlignment="1" applyBorder="1" applyFont="1" applyNumberFormat="1">
      <alignment readingOrder="0" vertical="bottom"/>
    </xf>
    <xf borderId="7" fillId="5" fontId="6" numFmtId="38" xfId="0" applyAlignment="1" applyBorder="1" applyFont="1" applyNumberFormat="1">
      <alignment vertical="bottom"/>
    </xf>
    <xf borderId="7" fillId="5" fontId="4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center" vertical="bottom"/>
    </xf>
    <xf borderId="7" fillId="5" fontId="7" numFmtId="38" xfId="0" applyAlignment="1" applyBorder="1" applyFont="1" applyNumberFormat="1">
      <alignment readingOrder="0" vertical="bottom"/>
    </xf>
    <xf borderId="7" fillId="6" fontId="7" numFmtId="38" xfId="0" applyAlignment="1" applyBorder="1" applyFont="1" applyNumberFormat="1">
      <alignment readingOrder="0" vertical="bottom"/>
    </xf>
    <xf borderId="9" fillId="6" fontId="4" numFmtId="38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readingOrder="0" vertical="bottom"/>
    </xf>
    <xf borderId="7" fillId="4" fontId="9" numFmtId="38" xfId="0" applyAlignment="1" applyBorder="1" applyFont="1" applyNumberFormat="1">
      <alignment horizontal="right" vertical="bottom"/>
    </xf>
    <xf borderId="7" fillId="3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45626.0</v>
      </c>
      <c r="C5" s="18" t="s">
        <v>23</v>
      </c>
      <c r="D5" s="19">
        <v>22341.0</v>
      </c>
      <c r="E5" s="20" t="s">
        <v>24</v>
      </c>
      <c r="F5" s="21"/>
      <c r="G5" s="22"/>
      <c r="H5" s="21"/>
      <c r="I5" s="23">
        <v>3600.0</v>
      </c>
      <c r="J5" s="24"/>
      <c r="K5" s="22"/>
      <c r="L5" s="25"/>
      <c r="M5" s="21"/>
      <c r="N5" s="22"/>
      <c r="O5" s="22"/>
      <c r="P5" s="26">
        <v>3600.0</v>
      </c>
      <c r="Q5" s="27">
        <f t="shared" ref="Q5:Q63" si="1">F5+G5+H5+I5+J5+K5+L5+M5+N5+O5-P5</f>
        <v>0</v>
      </c>
      <c r="R5" s="26" t="s">
        <v>25</v>
      </c>
      <c r="S5" s="2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9">
        <v>45626.0</v>
      </c>
      <c r="C6" s="18" t="s">
        <v>26</v>
      </c>
      <c r="D6" s="19">
        <v>49825.0</v>
      </c>
      <c r="E6" s="20" t="s">
        <v>27</v>
      </c>
      <c r="F6" s="21"/>
      <c r="G6" s="22"/>
      <c r="H6" s="22"/>
      <c r="I6" s="21"/>
      <c r="J6" s="22"/>
      <c r="K6" s="25">
        <v>4500.0</v>
      </c>
      <c r="L6" s="22"/>
      <c r="M6" s="21"/>
      <c r="N6" s="22"/>
      <c r="O6" s="22"/>
      <c r="P6" s="26">
        <v>4500.0</v>
      </c>
      <c r="Q6" s="27">
        <f t="shared" si="1"/>
        <v>0</v>
      </c>
      <c r="R6" s="26" t="s">
        <v>25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9">
        <v>45626.0</v>
      </c>
      <c r="C7" s="18" t="s">
        <v>28</v>
      </c>
      <c r="D7" s="19">
        <v>52686.0</v>
      </c>
      <c r="E7" s="20" t="s">
        <v>29</v>
      </c>
      <c r="F7" s="22"/>
      <c r="G7" s="25">
        <v>8000.0</v>
      </c>
      <c r="H7" s="21"/>
      <c r="I7" s="21"/>
      <c r="J7" s="24"/>
      <c r="K7" s="22"/>
      <c r="L7" s="22"/>
      <c r="M7" s="22"/>
      <c r="N7" s="22"/>
      <c r="O7" s="22"/>
      <c r="P7" s="26">
        <v>8000.0</v>
      </c>
      <c r="Q7" s="27">
        <f t="shared" si="1"/>
        <v>0</v>
      </c>
      <c r="R7" s="26" t="s">
        <v>30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9">
        <v>45626.0</v>
      </c>
      <c r="C8" s="18" t="s">
        <v>31</v>
      </c>
      <c r="D8" s="19">
        <v>36769.0</v>
      </c>
      <c r="E8" s="20" t="s">
        <v>32</v>
      </c>
      <c r="F8" s="22"/>
      <c r="G8" s="22"/>
      <c r="H8" s="25">
        <v>2400.0</v>
      </c>
      <c r="I8" s="21"/>
      <c r="J8" s="21"/>
      <c r="K8" s="22"/>
      <c r="L8" s="22"/>
      <c r="M8" s="22"/>
      <c r="N8" s="22"/>
      <c r="O8" s="22"/>
      <c r="P8" s="26">
        <v>2400.0</v>
      </c>
      <c r="Q8" s="27">
        <f t="shared" si="1"/>
        <v>0</v>
      </c>
      <c r="R8" s="26" t="s">
        <v>33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45626.0</v>
      </c>
      <c r="C9" s="18" t="s">
        <v>34</v>
      </c>
      <c r="D9" s="19">
        <v>36771.0</v>
      </c>
      <c r="E9" s="20" t="s">
        <v>35</v>
      </c>
      <c r="F9" s="22"/>
      <c r="G9" s="22"/>
      <c r="H9" s="25">
        <v>3600.0</v>
      </c>
      <c r="I9" s="21"/>
      <c r="J9" s="21"/>
      <c r="K9" s="22"/>
      <c r="L9" s="22"/>
      <c r="M9" s="21"/>
      <c r="N9" s="22"/>
      <c r="O9" s="22"/>
      <c r="P9" s="26">
        <v>3600.0</v>
      </c>
      <c r="Q9" s="27">
        <f t="shared" si="1"/>
        <v>0</v>
      </c>
      <c r="R9" s="26" t="s">
        <v>33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9">
        <v>45627.0</v>
      </c>
      <c r="C10" s="18" t="s">
        <v>36</v>
      </c>
      <c r="D10" s="19">
        <v>55409.0</v>
      </c>
      <c r="E10" s="20" t="s">
        <v>37</v>
      </c>
      <c r="F10" s="22"/>
      <c r="G10" s="22"/>
      <c r="H10" s="22"/>
      <c r="I10" s="30">
        <v>5100.0</v>
      </c>
      <c r="J10" s="21"/>
      <c r="K10" s="22"/>
      <c r="L10" s="22"/>
      <c r="M10" s="21"/>
      <c r="N10" s="22"/>
      <c r="O10" s="22"/>
      <c r="P10" s="26">
        <v>5100.0</v>
      </c>
      <c r="Q10" s="27">
        <f t="shared" si="1"/>
        <v>0</v>
      </c>
      <c r="R10" s="26" t="s">
        <v>30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9">
        <v>45627.0</v>
      </c>
      <c r="C11" s="18" t="s">
        <v>38</v>
      </c>
      <c r="D11" s="19">
        <v>53095.0</v>
      </c>
      <c r="E11" s="20" t="s">
        <v>39</v>
      </c>
      <c r="F11" s="22"/>
      <c r="G11" s="22"/>
      <c r="H11" s="22"/>
      <c r="I11" s="21"/>
      <c r="J11" s="30">
        <v>7800.0</v>
      </c>
      <c r="K11" s="22"/>
      <c r="L11" s="22"/>
      <c r="M11" s="21"/>
      <c r="N11" s="22"/>
      <c r="O11" s="22"/>
      <c r="P11" s="26">
        <v>7800.0</v>
      </c>
      <c r="Q11" s="27">
        <f t="shared" si="1"/>
        <v>0</v>
      </c>
      <c r="R11" s="26" t="s">
        <v>33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45627.0</v>
      </c>
      <c r="C12" s="18" t="s">
        <v>40</v>
      </c>
      <c r="D12" s="19">
        <v>59377.0</v>
      </c>
      <c r="E12" s="20" t="s">
        <v>41</v>
      </c>
      <c r="F12" s="22"/>
      <c r="G12" s="22"/>
      <c r="H12" s="22"/>
      <c r="I12" s="30">
        <v>3950.0</v>
      </c>
      <c r="J12" s="21"/>
      <c r="K12" s="22"/>
      <c r="L12" s="22"/>
      <c r="M12" s="21"/>
      <c r="N12" s="22"/>
      <c r="O12" s="22"/>
      <c r="P12" s="26">
        <v>3950.0</v>
      </c>
      <c r="Q12" s="27">
        <f t="shared" si="1"/>
        <v>0</v>
      </c>
      <c r="R12" s="26" t="s">
        <v>25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2">
        <v>45627.0</v>
      </c>
      <c r="C13" s="33" t="s">
        <v>42</v>
      </c>
      <c r="D13" s="34">
        <v>79602.0</v>
      </c>
      <c r="E13" s="35" t="s">
        <v>43</v>
      </c>
      <c r="F13" s="22"/>
      <c r="G13" s="22"/>
      <c r="H13" s="22"/>
      <c r="I13" s="21"/>
      <c r="J13" s="30">
        <v>5100.0</v>
      </c>
      <c r="K13" s="22"/>
      <c r="L13" s="22"/>
      <c r="M13" s="21"/>
      <c r="N13" s="22"/>
      <c r="O13" s="22"/>
      <c r="P13" s="36">
        <v>5100.0</v>
      </c>
      <c r="Q13" s="27">
        <f t="shared" si="1"/>
        <v>0</v>
      </c>
      <c r="R13" s="36" t="s">
        <v>25</v>
      </c>
      <c r="S13" s="28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ht="34.5" customHeight="1">
      <c r="A14" s="16">
        <v>10.0</v>
      </c>
      <c r="B14" s="29">
        <v>45628.0</v>
      </c>
      <c r="C14" s="18" t="s">
        <v>44</v>
      </c>
      <c r="D14" s="19">
        <v>75045.0</v>
      </c>
      <c r="E14" s="20" t="s">
        <v>45</v>
      </c>
      <c r="F14" s="22"/>
      <c r="G14" s="22"/>
      <c r="H14" s="22"/>
      <c r="I14" s="30">
        <v>6100.0</v>
      </c>
      <c r="J14" s="21"/>
      <c r="K14" s="22"/>
      <c r="L14" s="22"/>
      <c r="M14" s="21"/>
      <c r="N14" s="22"/>
      <c r="O14" s="22"/>
      <c r="P14" s="26">
        <v>6100.0</v>
      </c>
      <c r="Q14" s="27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38">
        <v>11.0</v>
      </c>
      <c r="B15" s="39">
        <v>45628.0</v>
      </c>
      <c r="C15" s="40" t="s">
        <v>46</v>
      </c>
      <c r="D15" s="41">
        <v>57499.0</v>
      </c>
      <c r="E15" s="42" t="s">
        <v>47</v>
      </c>
      <c r="F15" s="43"/>
      <c r="G15" s="43"/>
      <c r="H15" s="43"/>
      <c r="I15" s="44">
        <v>500.0</v>
      </c>
      <c r="J15" s="44"/>
      <c r="K15" s="43"/>
      <c r="L15" s="43"/>
      <c r="M15" s="45"/>
      <c r="N15" s="43"/>
      <c r="O15" s="43"/>
      <c r="P15" s="46">
        <v>500.0</v>
      </c>
      <c r="Q15" s="47">
        <f t="shared" si="1"/>
        <v>0</v>
      </c>
      <c r="R15" s="46" t="s">
        <v>48</v>
      </c>
      <c r="S15" s="48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38">
        <v>12.0</v>
      </c>
      <c r="B16" s="39">
        <v>45628.0</v>
      </c>
      <c r="C16" s="40" t="s">
        <v>49</v>
      </c>
      <c r="D16" s="41">
        <v>59244.0</v>
      </c>
      <c r="E16" s="42" t="s">
        <v>50</v>
      </c>
      <c r="F16" s="43"/>
      <c r="G16" s="43"/>
      <c r="H16" s="43"/>
      <c r="I16" s="44">
        <v>500.0</v>
      </c>
      <c r="J16" s="45"/>
      <c r="K16" s="43"/>
      <c r="L16" s="43"/>
      <c r="M16" s="45"/>
      <c r="N16" s="43"/>
      <c r="O16" s="43"/>
      <c r="P16" s="46">
        <v>500.0</v>
      </c>
      <c r="Q16" s="47">
        <f t="shared" si="1"/>
        <v>0</v>
      </c>
      <c r="R16" s="46" t="s">
        <v>48</v>
      </c>
      <c r="S16" s="4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9">
        <v>45628.0</v>
      </c>
      <c r="C17" s="18" t="s">
        <v>51</v>
      </c>
      <c r="D17" s="19">
        <v>56747.0</v>
      </c>
      <c r="E17" s="20" t="s">
        <v>52</v>
      </c>
      <c r="F17" s="22"/>
      <c r="G17" s="22"/>
      <c r="H17" s="22"/>
      <c r="I17" s="21"/>
      <c r="J17" s="30">
        <v>5100.0</v>
      </c>
      <c r="K17" s="22"/>
      <c r="L17" s="22"/>
      <c r="M17" s="21"/>
      <c r="N17" s="22"/>
      <c r="O17" s="22"/>
      <c r="P17" s="26">
        <v>5100.0</v>
      </c>
      <c r="Q17" s="27">
        <f t="shared" si="1"/>
        <v>0</v>
      </c>
      <c r="R17" s="26" t="s">
        <v>30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9">
        <v>45628.0</v>
      </c>
      <c r="C18" s="18" t="s">
        <v>53</v>
      </c>
      <c r="D18" s="19">
        <v>53249.0</v>
      </c>
      <c r="E18" s="20" t="s">
        <v>54</v>
      </c>
      <c r="F18" s="22"/>
      <c r="G18" s="22"/>
      <c r="H18" s="22"/>
      <c r="I18" s="21"/>
      <c r="J18" s="30">
        <v>30000.0</v>
      </c>
      <c r="K18" s="22"/>
      <c r="L18" s="22"/>
      <c r="M18" s="22"/>
      <c r="N18" s="22"/>
      <c r="O18" s="22"/>
      <c r="P18" s="26">
        <v>30000.0</v>
      </c>
      <c r="Q18" s="27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2">
        <v>45628.0</v>
      </c>
      <c r="C19" s="33" t="s">
        <v>55</v>
      </c>
      <c r="D19" s="34">
        <v>36928.0</v>
      </c>
      <c r="E19" s="35" t="s">
        <v>56</v>
      </c>
      <c r="F19" s="22"/>
      <c r="G19" s="22"/>
      <c r="H19" s="22"/>
      <c r="I19" s="30">
        <v>4600.0</v>
      </c>
      <c r="J19" s="21"/>
      <c r="K19" s="22"/>
      <c r="L19" s="22"/>
      <c r="M19" s="21"/>
      <c r="N19" s="22"/>
      <c r="O19" s="22"/>
      <c r="P19" s="36">
        <v>4600.0</v>
      </c>
      <c r="Q19" s="27">
        <f t="shared" si="1"/>
        <v>0</v>
      </c>
      <c r="R19" s="36" t="s">
        <v>48</v>
      </c>
      <c r="S19" s="28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ht="34.5" customHeight="1">
      <c r="A20" s="16">
        <v>16.0</v>
      </c>
      <c r="B20" s="29">
        <v>45628.0</v>
      </c>
      <c r="C20" s="18" t="s">
        <v>57</v>
      </c>
      <c r="D20" s="19">
        <v>29445.0</v>
      </c>
      <c r="E20" s="20" t="s">
        <v>58</v>
      </c>
      <c r="F20" s="22"/>
      <c r="G20" s="22"/>
      <c r="H20" s="22"/>
      <c r="I20" s="23">
        <v>7600.0</v>
      </c>
      <c r="J20" s="24"/>
      <c r="K20" s="22"/>
      <c r="L20" s="22"/>
      <c r="M20" s="22"/>
      <c r="N20" s="22"/>
      <c r="O20" s="22"/>
      <c r="P20" s="26">
        <v>7600.0</v>
      </c>
      <c r="Q20" s="27">
        <f t="shared" si="1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9">
        <v>45628.0</v>
      </c>
      <c r="C21" s="18" t="s">
        <v>59</v>
      </c>
      <c r="D21" s="19">
        <v>22332.0</v>
      </c>
      <c r="E21" s="20" t="s">
        <v>60</v>
      </c>
      <c r="F21" s="21"/>
      <c r="G21" s="22"/>
      <c r="H21" s="22"/>
      <c r="I21" s="49">
        <v>4600.0</v>
      </c>
      <c r="J21" s="22"/>
      <c r="K21" s="50"/>
      <c r="L21" s="22"/>
      <c r="M21" s="22"/>
      <c r="N21" s="22"/>
      <c r="O21" s="22"/>
      <c r="P21" s="26">
        <v>4600.0</v>
      </c>
      <c r="Q21" s="27">
        <f t="shared" si="1"/>
        <v>0</v>
      </c>
      <c r="R21" s="26" t="s">
        <v>30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9">
        <v>45628.0</v>
      </c>
      <c r="C22" s="18" t="s">
        <v>61</v>
      </c>
      <c r="D22" s="19">
        <v>50557.0</v>
      </c>
      <c r="E22" s="20" t="s">
        <v>62</v>
      </c>
      <c r="F22" s="21"/>
      <c r="G22" s="22"/>
      <c r="H22" s="22"/>
      <c r="I22" s="30">
        <v>2500.0</v>
      </c>
      <c r="J22" s="22"/>
      <c r="K22" s="21"/>
      <c r="L22" s="22"/>
      <c r="M22" s="22"/>
      <c r="N22" s="22"/>
      <c r="O22" s="22"/>
      <c r="P22" s="26">
        <v>2500.0</v>
      </c>
      <c r="Q22" s="27">
        <f t="shared" si="1"/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51">
        <v>45628.0</v>
      </c>
      <c r="C23" s="52" t="s">
        <v>63</v>
      </c>
      <c r="D23" s="53">
        <v>52247.0</v>
      </c>
      <c r="E23" s="54" t="s">
        <v>64</v>
      </c>
      <c r="F23" s="55"/>
      <c r="G23" s="56">
        <v>39000.0</v>
      </c>
      <c r="H23" s="57"/>
      <c r="I23" s="49">
        <v>30500.0</v>
      </c>
      <c r="J23" s="55"/>
      <c r="K23" s="58"/>
      <c r="L23" s="57"/>
      <c r="M23" s="57"/>
      <c r="N23" s="57"/>
      <c r="O23" s="57"/>
      <c r="P23" s="59">
        <v>69500.0</v>
      </c>
      <c r="Q23" s="27">
        <f t="shared" si="1"/>
        <v>0</v>
      </c>
      <c r="R23" s="59" t="s">
        <v>48</v>
      </c>
      <c r="S23" s="28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</row>
    <row r="24" ht="34.5" customHeight="1">
      <c r="A24" s="16">
        <v>20.0</v>
      </c>
      <c r="B24" s="29">
        <v>45628.0</v>
      </c>
      <c r="C24" s="18" t="s">
        <v>65</v>
      </c>
      <c r="D24" s="19">
        <v>51970.0</v>
      </c>
      <c r="E24" s="20" t="s">
        <v>66</v>
      </c>
      <c r="F24" s="21"/>
      <c r="G24" s="22"/>
      <c r="H24" s="22"/>
      <c r="I24" s="30">
        <v>100.0</v>
      </c>
      <c r="J24" s="22"/>
      <c r="K24" s="50"/>
      <c r="L24" s="22"/>
      <c r="M24" s="22"/>
      <c r="N24" s="22"/>
      <c r="O24" s="22"/>
      <c r="P24" s="26">
        <v>100.0</v>
      </c>
      <c r="Q24" s="27">
        <f t="shared" si="1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9">
        <v>45628.0</v>
      </c>
      <c r="C25" s="18" t="s">
        <v>67</v>
      </c>
      <c r="D25" s="19">
        <v>52247.0</v>
      </c>
      <c r="E25" s="20" t="s">
        <v>64</v>
      </c>
      <c r="F25" s="21"/>
      <c r="G25" s="22"/>
      <c r="H25" s="22"/>
      <c r="I25" s="30">
        <v>20000.0</v>
      </c>
      <c r="J25" s="21"/>
      <c r="K25" s="50"/>
      <c r="L25" s="22"/>
      <c r="M25" s="22"/>
      <c r="N25" s="22"/>
      <c r="O25" s="22"/>
      <c r="P25" s="26">
        <v>20000.0</v>
      </c>
      <c r="Q25" s="27">
        <f t="shared" si="1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9">
        <v>45628.0</v>
      </c>
      <c r="C26" s="18" t="s">
        <v>68</v>
      </c>
      <c r="D26" s="19">
        <v>81359.0</v>
      </c>
      <c r="E26" s="20" t="s">
        <v>69</v>
      </c>
      <c r="F26" s="21"/>
      <c r="G26" s="22"/>
      <c r="H26" s="22"/>
      <c r="I26" s="61">
        <v>5750.0</v>
      </c>
      <c r="J26" s="21"/>
      <c r="K26" s="50"/>
      <c r="L26" s="22"/>
      <c r="M26" s="22"/>
      <c r="N26" s="22"/>
      <c r="O26" s="22"/>
      <c r="P26" s="26">
        <v>5750.0</v>
      </c>
      <c r="Q26" s="27">
        <f t="shared" si="1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38">
        <v>23.0</v>
      </c>
      <c r="B27" s="39">
        <v>45628.0</v>
      </c>
      <c r="C27" s="40" t="s">
        <v>70</v>
      </c>
      <c r="D27" s="41">
        <v>30248.0</v>
      </c>
      <c r="E27" s="42" t="s">
        <v>71</v>
      </c>
      <c r="F27" s="45"/>
      <c r="G27" s="43"/>
      <c r="H27" s="43"/>
      <c r="I27" s="44">
        <v>500.0</v>
      </c>
      <c r="J27" s="45"/>
      <c r="K27" s="62"/>
      <c r="L27" s="43"/>
      <c r="M27" s="43"/>
      <c r="N27" s="43"/>
      <c r="O27" s="43"/>
      <c r="P27" s="46">
        <v>500.0</v>
      </c>
      <c r="Q27" s="47">
        <f t="shared" si="1"/>
        <v>0</v>
      </c>
      <c r="R27" s="46" t="s">
        <v>48</v>
      </c>
      <c r="S27" s="4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9">
        <v>45628.0</v>
      </c>
      <c r="C28" s="18" t="s">
        <v>72</v>
      </c>
      <c r="D28" s="19">
        <v>75989.0</v>
      </c>
      <c r="E28" s="20" t="s">
        <v>73</v>
      </c>
      <c r="F28" s="21"/>
      <c r="G28" s="22"/>
      <c r="H28" s="22"/>
      <c r="I28" s="30">
        <v>3500.0</v>
      </c>
      <c r="J28" s="21"/>
      <c r="K28" s="24"/>
      <c r="L28" s="22"/>
      <c r="M28" s="22"/>
      <c r="N28" s="22"/>
      <c r="O28" s="22"/>
      <c r="P28" s="26">
        <v>3500.0</v>
      </c>
      <c r="Q28" s="27">
        <f t="shared" si="1"/>
        <v>0</v>
      </c>
      <c r="R28" s="26" t="s">
        <v>33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9">
        <v>45628.0</v>
      </c>
      <c r="C29" s="18" t="s">
        <v>74</v>
      </c>
      <c r="D29" s="19">
        <v>52247.0</v>
      </c>
      <c r="E29" s="20" t="s">
        <v>64</v>
      </c>
      <c r="F29" s="21"/>
      <c r="G29" s="22"/>
      <c r="H29" s="22"/>
      <c r="I29" s="30">
        <v>11450.0</v>
      </c>
      <c r="J29" s="21"/>
      <c r="K29" s="24"/>
      <c r="L29" s="22"/>
      <c r="M29" s="22"/>
      <c r="N29" s="22"/>
      <c r="O29" s="22"/>
      <c r="P29" s="26">
        <v>11450.0</v>
      </c>
      <c r="Q29" s="27">
        <f t="shared" si="1"/>
        <v>0</v>
      </c>
      <c r="R29" s="26" t="s">
        <v>48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38">
        <v>26.0</v>
      </c>
      <c r="B30" s="39">
        <v>45628.0</v>
      </c>
      <c r="C30" s="40" t="s">
        <v>75</v>
      </c>
      <c r="D30" s="41">
        <v>38098.0</v>
      </c>
      <c r="E30" s="42" t="s">
        <v>76</v>
      </c>
      <c r="F30" s="45"/>
      <c r="G30" s="43"/>
      <c r="H30" s="43"/>
      <c r="I30" s="45"/>
      <c r="J30" s="44">
        <v>500.0</v>
      </c>
      <c r="K30" s="62"/>
      <c r="L30" s="43"/>
      <c r="M30" s="43"/>
      <c r="N30" s="43"/>
      <c r="O30" s="43"/>
      <c r="P30" s="46">
        <v>500.0</v>
      </c>
      <c r="Q30" s="47">
        <f t="shared" si="1"/>
        <v>0</v>
      </c>
      <c r="R30" s="46" t="s">
        <v>30</v>
      </c>
      <c r="S30" s="4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9">
        <v>45628.0</v>
      </c>
      <c r="C31" s="18" t="s">
        <v>77</v>
      </c>
      <c r="D31" s="19">
        <v>50436.0</v>
      </c>
      <c r="E31" s="20" t="s">
        <v>78</v>
      </c>
      <c r="F31" s="21"/>
      <c r="G31" s="22"/>
      <c r="H31" s="22"/>
      <c r="I31" s="30">
        <v>5100.0</v>
      </c>
      <c r="J31" s="21"/>
      <c r="K31" s="24"/>
      <c r="L31" s="22"/>
      <c r="M31" s="22"/>
      <c r="N31" s="22"/>
      <c r="O31" s="22"/>
      <c r="P31" s="26">
        <v>5100.0</v>
      </c>
      <c r="Q31" s="27">
        <f t="shared" si="1"/>
        <v>0</v>
      </c>
      <c r="R31" s="26" t="s">
        <v>33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9">
        <v>45628.0</v>
      </c>
      <c r="C32" s="18" t="s">
        <v>79</v>
      </c>
      <c r="D32" s="19">
        <v>59812.0</v>
      </c>
      <c r="E32" s="20" t="s">
        <v>80</v>
      </c>
      <c r="F32" s="21"/>
      <c r="G32" s="22"/>
      <c r="H32" s="22"/>
      <c r="I32" s="30">
        <v>11500.0</v>
      </c>
      <c r="J32" s="21"/>
      <c r="K32" s="24"/>
      <c r="L32" s="22"/>
      <c r="M32" s="22"/>
      <c r="N32" s="22"/>
      <c r="O32" s="22"/>
      <c r="P32" s="26">
        <v>11500.0</v>
      </c>
      <c r="Q32" s="27">
        <f t="shared" si="1"/>
        <v>0</v>
      </c>
      <c r="R32" s="26" t="s">
        <v>30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9">
        <v>45628.0</v>
      </c>
      <c r="C33" s="18" t="s">
        <v>81</v>
      </c>
      <c r="D33" s="19">
        <v>49864.0</v>
      </c>
      <c r="E33" s="20" t="s">
        <v>82</v>
      </c>
      <c r="F33" s="21"/>
      <c r="G33" s="22"/>
      <c r="H33" s="22"/>
      <c r="I33" s="30">
        <v>2500.0</v>
      </c>
      <c r="J33" s="21"/>
      <c r="K33" s="24"/>
      <c r="L33" s="22"/>
      <c r="M33" s="22"/>
      <c r="N33" s="22"/>
      <c r="O33" s="22"/>
      <c r="P33" s="26">
        <v>2500.0</v>
      </c>
      <c r="Q33" s="27">
        <f t="shared" si="1"/>
        <v>0</v>
      </c>
      <c r="R33" s="26" t="s">
        <v>30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38">
        <v>30.0</v>
      </c>
      <c r="B34" s="39">
        <v>45628.0</v>
      </c>
      <c r="C34" s="40" t="s">
        <v>83</v>
      </c>
      <c r="D34" s="41">
        <v>21937.0</v>
      </c>
      <c r="E34" s="42" t="s">
        <v>84</v>
      </c>
      <c r="F34" s="45"/>
      <c r="G34" s="43"/>
      <c r="H34" s="43"/>
      <c r="I34" s="44">
        <v>500.0</v>
      </c>
      <c r="J34" s="45"/>
      <c r="K34" s="62"/>
      <c r="L34" s="43"/>
      <c r="M34" s="43"/>
      <c r="N34" s="43"/>
      <c r="O34" s="43"/>
      <c r="P34" s="46">
        <v>500.0</v>
      </c>
      <c r="Q34" s="47">
        <f t="shared" si="1"/>
        <v>0</v>
      </c>
      <c r="R34" s="46" t="s">
        <v>48</v>
      </c>
      <c r="S34" s="4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9">
        <v>45628.0</v>
      </c>
      <c r="C35" s="18" t="s">
        <v>85</v>
      </c>
      <c r="D35" s="19">
        <v>25650.0</v>
      </c>
      <c r="E35" s="20" t="s">
        <v>86</v>
      </c>
      <c r="F35" s="21"/>
      <c r="G35" s="22"/>
      <c r="H35" s="22"/>
      <c r="I35" s="30">
        <v>4000.0</v>
      </c>
      <c r="J35" s="21"/>
      <c r="K35" s="24"/>
      <c r="L35" s="22"/>
      <c r="M35" s="22"/>
      <c r="N35" s="22"/>
      <c r="O35" s="22"/>
      <c r="P35" s="26">
        <v>4000.0</v>
      </c>
      <c r="Q35" s="27">
        <f t="shared" si="1"/>
        <v>0</v>
      </c>
      <c r="R35" s="26" t="s">
        <v>33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9">
        <v>45628.0</v>
      </c>
      <c r="C36" s="18" t="s">
        <v>87</v>
      </c>
      <c r="D36" s="19">
        <v>25650.0</v>
      </c>
      <c r="E36" s="20" t="s">
        <v>86</v>
      </c>
      <c r="F36" s="21"/>
      <c r="G36" s="22"/>
      <c r="H36" s="22"/>
      <c r="I36" s="30">
        <v>1000.0</v>
      </c>
      <c r="J36" s="21"/>
      <c r="K36" s="24"/>
      <c r="L36" s="22"/>
      <c r="M36" s="22"/>
      <c r="N36" s="22"/>
      <c r="O36" s="22"/>
      <c r="P36" s="26">
        <v>1000.0</v>
      </c>
      <c r="Q36" s="27">
        <f t="shared" si="1"/>
        <v>0</v>
      </c>
      <c r="R36" s="26" t="s">
        <v>33</v>
      </c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9">
        <v>45628.0</v>
      </c>
      <c r="C37" s="18" t="s">
        <v>88</v>
      </c>
      <c r="D37" s="19">
        <v>10001.0</v>
      </c>
      <c r="E37" s="20" t="s">
        <v>89</v>
      </c>
      <c r="F37" s="30">
        <v>1350.0</v>
      </c>
      <c r="G37" s="22"/>
      <c r="H37" s="22"/>
      <c r="I37" s="21"/>
      <c r="J37" s="21"/>
      <c r="K37" s="24"/>
      <c r="L37" s="22"/>
      <c r="M37" s="22"/>
      <c r="N37" s="22"/>
      <c r="O37" s="22"/>
      <c r="P37" s="26">
        <v>1350.0</v>
      </c>
      <c r="Q37" s="27">
        <f t="shared" si="1"/>
        <v>0</v>
      </c>
      <c r="R37" s="26" t="s">
        <v>33</v>
      </c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9">
        <v>45628.0</v>
      </c>
      <c r="C38" s="18" t="s">
        <v>90</v>
      </c>
      <c r="D38" s="19">
        <v>80339.0</v>
      </c>
      <c r="E38" s="20" t="s">
        <v>91</v>
      </c>
      <c r="F38" s="30">
        <v>325.0</v>
      </c>
      <c r="G38" s="22"/>
      <c r="H38" s="22"/>
      <c r="I38" s="21"/>
      <c r="J38" s="21"/>
      <c r="K38" s="24"/>
      <c r="L38" s="22"/>
      <c r="M38" s="25">
        <v>350.0</v>
      </c>
      <c r="N38" s="22"/>
      <c r="O38" s="22"/>
      <c r="P38" s="26">
        <v>675.0</v>
      </c>
      <c r="Q38" s="27">
        <f t="shared" si="1"/>
        <v>0</v>
      </c>
      <c r="R38" s="26" t="s">
        <v>33</v>
      </c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9">
        <v>45628.0</v>
      </c>
      <c r="C39" s="18" t="s">
        <v>92</v>
      </c>
      <c r="D39" s="19">
        <v>52083.0</v>
      </c>
      <c r="E39" s="20" t="s">
        <v>93</v>
      </c>
      <c r="F39" s="21"/>
      <c r="G39" s="22"/>
      <c r="H39" s="22"/>
      <c r="I39" s="30">
        <v>2000.0</v>
      </c>
      <c r="J39" s="21"/>
      <c r="K39" s="24"/>
      <c r="L39" s="22"/>
      <c r="M39" s="22"/>
      <c r="N39" s="22"/>
      <c r="O39" s="22"/>
      <c r="P39" s="26">
        <v>2000.0</v>
      </c>
      <c r="Q39" s="27">
        <f t="shared" si="1"/>
        <v>0</v>
      </c>
      <c r="R39" s="26" t="s">
        <v>30</v>
      </c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9">
        <v>45628.0</v>
      </c>
      <c r="C40" s="18" t="s">
        <v>94</v>
      </c>
      <c r="D40" s="19">
        <v>22332.0</v>
      </c>
      <c r="E40" s="20" t="s">
        <v>60</v>
      </c>
      <c r="F40" s="21"/>
      <c r="G40" s="22"/>
      <c r="H40" s="22"/>
      <c r="I40" s="30">
        <v>100.0</v>
      </c>
      <c r="J40" s="21"/>
      <c r="K40" s="24"/>
      <c r="L40" s="22"/>
      <c r="M40" s="22"/>
      <c r="N40" s="22"/>
      <c r="O40" s="22"/>
      <c r="P40" s="26">
        <v>100.0</v>
      </c>
      <c r="Q40" s="27">
        <f t="shared" si="1"/>
        <v>0</v>
      </c>
      <c r="R40" s="26" t="s">
        <v>30</v>
      </c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9">
        <v>45628.0</v>
      </c>
      <c r="C41" s="18" t="s">
        <v>95</v>
      </c>
      <c r="D41" s="19">
        <v>44035.0</v>
      </c>
      <c r="E41" s="20" t="s">
        <v>96</v>
      </c>
      <c r="F41" s="21"/>
      <c r="G41" s="22"/>
      <c r="H41" s="22"/>
      <c r="I41" s="30">
        <v>100.0</v>
      </c>
      <c r="J41" s="21"/>
      <c r="K41" s="24"/>
      <c r="L41" s="22"/>
      <c r="M41" s="22"/>
      <c r="N41" s="22"/>
      <c r="O41" s="22"/>
      <c r="P41" s="26">
        <v>100.0</v>
      </c>
      <c r="Q41" s="27">
        <f t="shared" si="1"/>
        <v>0</v>
      </c>
      <c r="R41" s="26" t="s">
        <v>48</v>
      </c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9">
        <v>45628.0</v>
      </c>
      <c r="C42" s="18" t="s">
        <v>97</v>
      </c>
      <c r="D42" s="19">
        <v>30894.0</v>
      </c>
      <c r="E42" s="20" t="s">
        <v>98</v>
      </c>
      <c r="F42" s="21"/>
      <c r="G42" s="22"/>
      <c r="H42" s="22"/>
      <c r="I42" s="30">
        <v>8450.0</v>
      </c>
      <c r="J42" s="21"/>
      <c r="K42" s="24"/>
      <c r="L42" s="22"/>
      <c r="M42" s="22"/>
      <c r="N42" s="22"/>
      <c r="O42" s="22"/>
      <c r="P42" s="26">
        <v>8450.0</v>
      </c>
      <c r="Q42" s="27">
        <f t="shared" si="1"/>
        <v>0</v>
      </c>
      <c r="R42" s="26" t="s">
        <v>33</v>
      </c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9">
        <v>45626.0</v>
      </c>
      <c r="C43" s="18" t="s">
        <v>99</v>
      </c>
      <c r="D43" s="19">
        <v>59103.0</v>
      </c>
      <c r="E43" s="20" t="s">
        <v>100</v>
      </c>
      <c r="F43" s="21"/>
      <c r="G43" s="22"/>
      <c r="H43" s="22"/>
      <c r="I43" s="30"/>
      <c r="J43" s="21"/>
      <c r="K43" s="23">
        <v>10000.0</v>
      </c>
      <c r="L43" s="22"/>
      <c r="M43" s="22"/>
      <c r="N43" s="22"/>
      <c r="O43" s="22"/>
      <c r="P43" s="26">
        <v>10000.0</v>
      </c>
      <c r="Q43" s="27">
        <f t="shared" si="1"/>
        <v>0</v>
      </c>
      <c r="R43" s="63"/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9">
        <v>45626.0</v>
      </c>
      <c r="C44" s="18" t="s">
        <v>101</v>
      </c>
      <c r="D44" s="19">
        <v>59103.0</v>
      </c>
      <c r="E44" s="20" t="s">
        <v>100</v>
      </c>
      <c r="F44" s="21"/>
      <c r="G44" s="22"/>
      <c r="H44" s="22"/>
      <c r="I44" s="21"/>
      <c r="J44" s="21"/>
      <c r="K44" s="23">
        <v>20000.0</v>
      </c>
      <c r="L44" s="22"/>
      <c r="M44" s="22"/>
      <c r="N44" s="22"/>
      <c r="O44" s="22"/>
      <c r="P44" s="26">
        <v>20000.0</v>
      </c>
      <c r="Q44" s="27">
        <f t="shared" si="1"/>
        <v>0</v>
      </c>
      <c r="R44" s="63"/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9">
        <v>45626.0</v>
      </c>
      <c r="C45" s="18" t="s">
        <v>102</v>
      </c>
      <c r="D45" s="19">
        <v>59103.0</v>
      </c>
      <c r="E45" s="20" t="s">
        <v>100</v>
      </c>
      <c r="F45" s="21"/>
      <c r="G45" s="22"/>
      <c r="H45" s="22"/>
      <c r="I45" s="21"/>
      <c r="J45" s="21"/>
      <c r="K45" s="23">
        <v>5000.0</v>
      </c>
      <c r="L45" s="22"/>
      <c r="M45" s="22"/>
      <c r="N45" s="22"/>
      <c r="O45" s="22"/>
      <c r="P45" s="26">
        <v>5000.0</v>
      </c>
      <c r="Q45" s="27">
        <f t="shared" si="1"/>
        <v>0</v>
      </c>
      <c r="R45" s="63"/>
      <c r="S45" s="2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9">
        <v>45626.0</v>
      </c>
      <c r="C46" s="18" t="s">
        <v>103</v>
      </c>
      <c r="D46" s="19">
        <v>21828.0</v>
      </c>
      <c r="E46" s="20" t="s">
        <v>104</v>
      </c>
      <c r="F46" s="21"/>
      <c r="G46" s="22"/>
      <c r="H46" s="22"/>
      <c r="I46" s="21"/>
      <c r="J46" s="21"/>
      <c r="K46" s="23">
        <v>350.0</v>
      </c>
      <c r="L46" s="22"/>
      <c r="M46" s="22"/>
      <c r="N46" s="22"/>
      <c r="O46" s="22"/>
      <c r="P46" s="26">
        <v>350.0</v>
      </c>
      <c r="Q46" s="27">
        <f t="shared" si="1"/>
        <v>0</v>
      </c>
      <c r="R46" s="63"/>
      <c r="S46" s="2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9">
        <v>45626.0</v>
      </c>
      <c r="C47" s="18" t="s">
        <v>105</v>
      </c>
      <c r="D47" s="19">
        <v>48649.0</v>
      </c>
      <c r="E47" s="20" t="s">
        <v>106</v>
      </c>
      <c r="F47" s="21"/>
      <c r="G47" s="22"/>
      <c r="H47" s="25">
        <v>5000.0</v>
      </c>
      <c r="I47" s="21"/>
      <c r="J47" s="21"/>
      <c r="K47" s="24"/>
      <c r="L47" s="22"/>
      <c r="M47" s="22"/>
      <c r="N47" s="22"/>
      <c r="O47" s="22"/>
      <c r="P47" s="26">
        <v>5000.0</v>
      </c>
      <c r="Q47" s="27">
        <f t="shared" si="1"/>
        <v>0</v>
      </c>
      <c r="R47" s="63"/>
      <c r="S47" s="28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9">
        <v>45626.0</v>
      </c>
      <c r="C48" s="18" t="s">
        <v>107</v>
      </c>
      <c r="D48" s="19">
        <v>10357.0</v>
      </c>
      <c r="E48" s="20" t="s">
        <v>108</v>
      </c>
      <c r="F48" s="21"/>
      <c r="G48" s="22"/>
      <c r="H48" s="25">
        <v>4600.0</v>
      </c>
      <c r="I48" s="21"/>
      <c r="J48" s="21"/>
      <c r="K48" s="24"/>
      <c r="L48" s="22"/>
      <c r="M48" s="22"/>
      <c r="N48" s="22"/>
      <c r="O48" s="22"/>
      <c r="P48" s="26">
        <v>4600.0</v>
      </c>
      <c r="Q48" s="27">
        <f t="shared" si="1"/>
        <v>0</v>
      </c>
      <c r="R48" s="63"/>
      <c r="S48" s="28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9">
        <v>45626.0</v>
      </c>
      <c r="C49" s="18" t="s">
        <v>109</v>
      </c>
      <c r="D49" s="19">
        <v>19122.0</v>
      </c>
      <c r="E49" s="20" t="s">
        <v>110</v>
      </c>
      <c r="F49" s="21"/>
      <c r="G49" s="22"/>
      <c r="H49" s="25">
        <v>1200.0</v>
      </c>
      <c r="I49" s="21"/>
      <c r="J49" s="21"/>
      <c r="K49" s="24"/>
      <c r="L49" s="22"/>
      <c r="M49" s="22"/>
      <c r="N49" s="22"/>
      <c r="O49" s="22"/>
      <c r="P49" s="26">
        <v>1200.0</v>
      </c>
      <c r="Q49" s="27">
        <f t="shared" si="1"/>
        <v>0</v>
      </c>
      <c r="R49" s="63"/>
      <c r="S49" s="28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9">
        <v>45626.0</v>
      </c>
      <c r="C50" s="18" t="s">
        <v>111</v>
      </c>
      <c r="D50" s="19">
        <v>10281.0</v>
      </c>
      <c r="E50" s="20" t="s">
        <v>112</v>
      </c>
      <c r="F50" s="21"/>
      <c r="G50" s="22"/>
      <c r="H50" s="25">
        <v>6000.0</v>
      </c>
      <c r="I50" s="21"/>
      <c r="J50" s="21"/>
      <c r="K50" s="24"/>
      <c r="L50" s="22"/>
      <c r="M50" s="22"/>
      <c r="N50" s="22"/>
      <c r="O50" s="22"/>
      <c r="P50" s="26">
        <v>6000.0</v>
      </c>
      <c r="Q50" s="27">
        <f t="shared" si="1"/>
        <v>0</v>
      </c>
      <c r="R50" s="63"/>
      <c r="S50" s="2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9">
        <v>45626.0</v>
      </c>
      <c r="C51" s="18" t="s">
        <v>113</v>
      </c>
      <c r="D51" s="19">
        <v>71126.0</v>
      </c>
      <c r="E51" s="20" t="s">
        <v>114</v>
      </c>
      <c r="F51" s="21"/>
      <c r="G51" s="22"/>
      <c r="H51" s="22"/>
      <c r="I51" s="21"/>
      <c r="J51" s="21"/>
      <c r="K51" s="24"/>
      <c r="L51" s="22"/>
      <c r="M51" s="25">
        <v>900.0</v>
      </c>
      <c r="N51" s="22"/>
      <c r="O51" s="22"/>
      <c r="P51" s="26">
        <v>900.0</v>
      </c>
      <c r="Q51" s="27">
        <f t="shared" si="1"/>
        <v>0</v>
      </c>
      <c r="R51" s="63"/>
      <c r="S51" s="2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9">
        <v>45626.0</v>
      </c>
      <c r="C52" s="18" t="s">
        <v>115</v>
      </c>
      <c r="D52" s="19">
        <v>31927.0</v>
      </c>
      <c r="E52" s="20" t="s">
        <v>116</v>
      </c>
      <c r="F52" s="21"/>
      <c r="G52" s="22"/>
      <c r="H52" s="22"/>
      <c r="I52" s="21"/>
      <c r="J52" s="21"/>
      <c r="K52" s="24"/>
      <c r="L52" s="22"/>
      <c r="M52" s="25">
        <v>2500.0</v>
      </c>
      <c r="N52" s="22"/>
      <c r="O52" s="22"/>
      <c r="P52" s="26">
        <v>2500.0</v>
      </c>
      <c r="Q52" s="27">
        <f t="shared" si="1"/>
        <v>0</v>
      </c>
      <c r="R52" s="63"/>
      <c r="S52" s="2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9">
        <v>45626.0</v>
      </c>
      <c r="C53" s="18" t="s">
        <v>117</v>
      </c>
      <c r="D53" s="19">
        <v>71126.0</v>
      </c>
      <c r="E53" s="20" t="s">
        <v>114</v>
      </c>
      <c r="F53" s="21"/>
      <c r="G53" s="22"/>
      <c r="H53" s="22"/>
      <c r="I53" s="21"/>
      <c r="J53" s="21"/>
      <c r="K53" s="24"/>
      <c r="L53" s="22"/>
      <c r="M53" s="25">
        <v>5000.0</v>
      </c>
      <c r="N53" s="22"/>
      <c r="O53" s="22"/>
      <c r="P53" s="26">
        <v>5000.0</v>
      </c>
      <c r="Q53" s="27">
        <f t="shared" si="1"/>
        <v>0</v>
      </c>
      <c r="R53" s="63"/>
      <c r="S53" s="2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9">
        <v>45627.0</v>
      </c>
      <c r="C54" s="18" t="s">
        <v>118</v>
      </c>
      <c r="D54" s="19">
        <v>69659.0</v>
      </c>
      <c r="E54" s="20" t="s">
        <v>119</v>
      </c>
      <c r="F54" s="21"/>
      <c r="G54" s="22"/>
      <c r="H54" s="22"/>
      <c r="I54" s="21"/>
      <c r="J54" s="21"/>
      <c r="K54" s="24"/>
      <c r="L54" s="22"/>
      <c r="M54" s="25">
        <v>2400.0</v>
      </c>
      <c r="N54" s="22"/>
      <c r="O54" s="22"/>
      <c r="P54" s="26">
        <v>2400.0</v>
      </c>
      <c r="Q54" s="27">
        <f t="shared" si="1"/>
        <v>0</v>
      </c>
      <c r="R54" s="63"/>
      <c r="S54" s="2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9">
        <v>45627.0</v>
      </c>
      <c r="C55" s="18" t="s">
        <v>120</v>
      </c>
      <c r="D55" s="19">
        <v>85364.0</v>
      </c>
      <c r="E55" s="20" t="s">
        <v>121</v>
      </c>
      <c r="F55" s="21"/>
      <c r="G55" s="22"/>
      <c r="H55" s="22"/>
      <c r="I55" s="21"/>
      <c r="J55" s="21"/>
      <c r="K55" s="24"/>
      <c r="L55" s="22"/>
      <c r="M55" s="25">
        <v>300.0</v>
      </c>
      <c r="N55" s="22"/>
      <c r="O55" s="22"/>
      <c r="P55" s="26">
        <v>300.0</v>
      </c>
      <c r="Q55" s="27">
        <f t="shared" si="1"/>
        <v>0</v>
      </c>
      <c r="R55" s="63"/>
      <c r="S55" s="2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9">
        <v>45628.0</v>
      </c>
      <c r="C56" s="18" t="s">
        <v>122</v>
      </c>
      <c r="D56" s="19">
        <v>50595.0</v>
      </c>
      <c r="E56" s="20" t="s">
        <v>123</v>
      </c>
      <c r="F56" s="21"/>
      <c r="G56" s="22"/>
      <c r="H56" s="25">
        <v>17600.0</v>
      </c>
      <c r="I56" s="21"/>
      <c r="J56" s="21"/>
      <c r="K56" s="24"/>
      <c r="L56" s="22"/>
      <c r="M56" s="22"/>
      <c r="N56" s="22"/>
      <c r="O56" s="22"/>
      <c r="P56" s="26">
        <v>17600.0</v>
      </c>
      <c r="Q56" s="27">
        <f t="shared" si="1"/>
        <v>0</v>
      </c>
      <c r="R56" s="63"/>
      <c r="S56" s="28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9">
        <v>45628.0</v>
      </c>
      <c r="C57" s="18" t="s">
        <v>124</v>
      </c>
      <c r="D57" s="19">
        <v>51970.0</v>
      </c>
      <c r="E57" s="20" t="s">
        <v>66</v>
      </c>
      <c r="F57" s="21"/>
      <c r="G57" s="22"/>
      <c r="H57" s="22"/>
      <c r="I57" s="21"/>
      <c r="J57" s="21"/>
      <c r="K57" s="24"/>
      <c r="L57" s="22"/>
      <c r="M57" s="22"/>
      <c r="N57" s="22"/>
      <c r="O57" s="25">
        <v>15600.0</v>
      </c>
      <c r="P57" s="26">
        <v>15600.0</v>
      </c>
      <c r="Q57" s="27">
        <f t="shared" si="1"/>
        <v>0</v>
      </c>
      <c r="R57" s="63"/>
      <c r="S57" s="2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9">
        <v>45628.0</v>
      </c>
      <c r="C58" s="18" t="s">
        <v>125</v>
      </c>
      <c r="D58" s="19">
        <v>52247.0</v>
      </c>
      <c r="E58" s="20" t="s">
        <v>64</v>
      </c>
      <c r="F58" s="21"/>
      <c r="G58" s="22"/>
      <c r="H58" s="22"/>
      <c r="I58" s="21"/>
      <c r="J58" s="21"/>
      <c r="K58" s="24"/>
      <c r="L58" s="22"/>
      <c r="M58" s="22"/>
      <c r="N58" s="22"/>
      <c r="O58" s="25">
        <v>22800.0</v>
      </c>
      <c r="P58" s="26">
        <v>22800.0</v>
      </c>
      <c r="Q58" s="27">
        <f t="shared" si="1"/>
        <v>0</v>
      </c>
      <c r="R58" s="63"/>
      <c r="S58" s="28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9">
        <v>45628.0</v>
      </c>
      <c r="C59" s="18" t="s">
        <v>126</v>
      </c>
      <c r="D59" s="19">
        <v>24368.0</v>
      </c>
      <c r="E59" s="20" t="s">
        <v>127</v>
      </c>
      <c r="F59" s="21"/>
      <c r="G59" s="22"/>
      <c r="H59" s="22"/>
      <c r="I59" s="21"/>
      <c r="J59" s="21"/>
      <c r="K59" s="23">
        <v>5100.0</v>
      </c>
      <c r="L59" s="22"/>
      <c r="M59" s="22"/>
      <c r="N59" s="22"/>
      <c r="O59" s="22"/>
      <c r="P59" s="26">
        <v>5100.0</v>
      </c>
      <c r="Q59" s="27">
        <f t="shared" si="1"/>
        <v>0</v>
      </c>
      <c r="R59" s="63"/>
      <c r="S59" s="28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29">
        <v>45628.0</v>
      </c>
      <c r="C60" s="18" t="s">
        <v>128</v>
      </c>
      <c r="D60" s="19">
        <v>21828.0</v>
      </c>
      <c r="E60" s="20" t="s">
        <v>104</v>
      </c>
      <c r="F60" s="21"/>
      <c r="G60" s="22"/>
      <c r="H60" s="22"/>
      <c r="I60" s="21"/>
      <c r="J60" s="21"/>
      <c r="K60" s="23">
        <v>2500.0</v>
      </c>
      <c r="L60" s="22"/>
      <c r="M60" s="22"/>
      <c r="N60" s="22"/>
      <c r="O60" s="22"/>
      <c r="P60" s="26">
        <v>2500.0</v>
      </c>
      <c r="Q60" s="27">
        <f t="shared" si="1"/>
        <v>0</v>
      </c>
      <c r="R60" s="63"/>
      <c r="S60" s="28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29">
        <v>45628.0</v>
      </c>
      <c r="C61" s="18" t="s">
        <v>129</v>
      </c>
      <c r="D61" s="19">
        <v>80132.0</v>
      </c>
      <c r="E61" s="20" t="s">
        <v>130</v>
      </c>
      <c r="F61" s="21"/>
      <c r="G61" s="22"/>
      <c r="H61" s="22"/>
      <c r="I61" s="21"/>
      <c r="J61" s="21"/>
      <c r="K61" s="23">
        <v>10000.0</v>
      </c>
      <c r="L61" s="22"/>
      <c r="M61" s="22"/>
      <c r="N61" s="22"/>
      <c r="O61" s="22"/>
      <c r="P61" s="26">
        <v>10000.0</v>
      </c>
      <c r="Q61" s="27">
        <f t="shared" si="1"/>
        <v>0</v>
      </c>
      <c r="R61" s="63"/>
      <c r="S61" s="28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29">
        <v>45628.0</v>
      </c>
      <c r="C62" s="18" t="s">
        <v>131</v>
      </c>
      <c r="D62" s="19">
        <v>49655.0</v>
      </c>
      <c r="E62" s="20" t="s">
        <v>132</v>
      </c>
      <c r="F62" s="21"/>
      <c r="G62" s="22"/>
      <c r="H62" s="22"/>
      <c r="I62" s="21"/>
      <c r="J62" s="21"/>
      <c r="K62" s="23">
        <v>4500.0</v>
      </c>
      <c r="L62" s="22"/>
      <c r="M62" s="22"/>
      <c r="N62" s="22"/>
      <c r="O62" s="22"/>
      <c r="P62" s="26">
        <v>4500.0</v>
      </c>
      <c r="Q62" s="27">
        <f t="shared" si="1"/>
        <v>0</v>
      </c>
      <c r="R62" s="63"/>
      <c r="S62" s="28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29">
        <v>45628.0</v>
      </c>
      <c r="C63" s="18" t="s">
        <v>133</v>
      </c>
      <c r="D63" s="19">
        <v>48072.0</v>
      </c>
      <c r="E63" s="20" t="s">
        <v>134</v>
      </c>
      <c r="F63" s="21"/>
      <c r="G63" s="22"/>
      <c r="H63" s="25">
        <v>10000.0</v>
      </c>
      <c r="I63" s="21"/>
      <c r="J63" s="21"/>
      <c r="K63" s="24"/>
      <c r="L63" s="22"/>
      <c r="M63" s="22"/>
      <c r="N63" s="22"/>
      <c r="O63" s="22"/>
      <c r="P63" s="26">
        <v>10000.0</v>
      </c>
      <c r="Q63" s="27">
        <f t="shared" si="1"/>
        <v>0</v>
      </c>
      <c r="R63" s="63"/>
      <c r="S63" s="28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7.5" customHeight="1">
      <c r="A64" s="16"/>
      <c r="B64" s="64"/>
      <c r="C64" s="65"/>
      <c r="D64" s="66" t="s">
        <v>135</v>
      </c>
      <c r="E64" s="67"/>
      <c r="F64" s="68">
        <f t="shared" ref="F64:K64" si="2">SUM(F5:F63)</f>
        <v>1675</v>
      </c>
      <c r="G64" s="68">
        <f t="shared" si="2"/>
        <v>47000</v>
      </c>
      <c r="H64" s="68">
        <f t="shared" si="2"/>
        <v>50400</v>
      </c>
      <c r="I64" s="68">
        <f t="shared" si="2"/>
        <v>146100</v>
      </c>
      <c r="J64" s="68">
        <f t="shared" si="2"/>
        <v>48500</v>
      </c>
      <c r="K64" s="68">
        <f t="shared" si="2"/>
        <v>61950</v>
      </c>
      <c r="L64" s="68">
        <f>SUM(L5:L55)</f>
        <v>0</v>
      </c>
      <c r="M64" s="68">
        <f>SUM(M5:M63)</f>
        <v>11450</v>
      </c>
      <c r="N64" s="68">
        <f>SUM(N5:N55)</f>
        <v>0</v>
      </c>
      <c r="O64" s="68">
        <f t="shared" ref="O64:Q64" si="3">SUM(O5:O63)</f>
        <v>38400</v>
      </c>
      <c r="P64" s="68">
        <f t="shared" si="3"/>
        <v>405475</v>
      </c>
      <c r="Q64" s="68">
        <f t="shared" si="3"/>
        <v>0</v>
      </c>
      <c r="R64" s="69"/>
      <c r="S64" s="28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</row>
    <row r="65" ht="58.5" customHeight="1">
      <c r="A65" s="70"/>
      <c r="B65" s="70"/>
      <c r="C65" s="71"/>
      <c r="D65" s="70"/>
      <c r="E65" s="70"/>
      <c r="F65" s="72">
        <f>F64+G64+H64+I64+J64+K64+L64+M64+N64+O64</f>
        <v>405475</v>
      </c>
      <c r="P65" s="73"/>
      <c r="Q65" s="73"/>
      <c r="R65" s="70"/>
      <c r="S65" s="70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75" t="s">
        <v>135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74"/>
      <c r="D69" s="4"/>
      <c r="E69" s="76" t="s">
        <v>136</v>
      </c>
      <c r="F69" s="77" t="s">
        <v>137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74"/>
      <c r="D70" s="4"/>
      <c r="E70" s="78" t="s">
        <v>138</v>
      </c>
      <c r="F70" s="77" t="s">
        <v>139</v>
      </c>
      <c r="G70" s="4"/>
      <c r="H70" s="4"/>
      <c r="I70" s="4"/>
      <c r="J70" s="4"/>
      <c r="K70" s="4"/>
      <c r="L70" s="4"/>
      <c r="M70" s="4"/>
      <c r="N70" s="4"/>
      <c r="O70" s="79" t="s">
        <v>135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26.25" customHeight="1">
      <c r="A71" s="4"/>
      <c r="B71" s="4"/>
      <c r="C71" s="74"/>
      <c r="D71" s="4"/>
      <c r="E71" s="78" t="s">
        <v>140</v>
      </c>
      <c r="F71" s="77" t="s">
        <v>139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26.25" customHeight="1">
      <c r="A72" s="4"/>
      <c r="B72" s="4"/>
      <c r="C72" s="74"/>
      <c r="D72" s="4"/>
      <c r="E72" s="78" t="s">
        <v>141</v>
      </c>
      <c r="F72" s="77" t="s">
        <v>139</v>
      </c>
      <c r="G72" s="4"/>
      <c r="H72" s="4"/>
      <c r="I72" s="4"/>
      <c r="J72" s="4"/>
      <c r="K72" s="4" t="s">
        <v>135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26.25" customHeight="1">
      <c r="A73" s="4"/>
      <c r="B73" s="4"/>
      <c r="C73" s="74"/>
      <c r="D73" s="4"/>
      <c r="E73" s="78" t="s">
        <v>142</v>
      </c>
      <c r="F73" s="77" t="s">
        <v>143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26.25" customHeight="1">
      <c r="A74" s="4"/>
      <c r="B74" s="4"/>
      <c r="C74" s="74"/>
      <c r="D74" s="4"/>
      <c r="E74" s="78" t="s">
        <v>144</v>
      </c>
      <c r="F74" s="77" t="s">
        <v>139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26.25" customHeight="1">
      <c r="A75" s="4"/>
      <c r="B75" s="4"/>
      <c r="C75" s="74"/>
      <c r="D75" s="4"/>
      <c r="E75" s="78" t="s">
        <v>145</v>
      </c>
      <c r="F75" s="77" t="s">
        <v>146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26.25" customHeight="1">
      <c r="A76" s="4"/>
      <c r="B76" s="4"/>
      <c r="C76" s="74"/>
      <c r="D76" s="4"/>
      <c r="E76" s="78" t="s">
        <v>147</v>
      </c>
      <c r="F76" s="80" t="s">
        <v>137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79" t="s">
        <v>135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26.2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 t="str">
        <f>I72464</f>
        <v/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26.2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79" t="s">
        <v>148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>
        <v>7.0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7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7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7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7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7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7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7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7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7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7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7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7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7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7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7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7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7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7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7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7">
    <mergeCell ref="R2:R4"/>
    <mergeCell ref="S2:S4"/>
    <mergeCell ref="F3:F4"/>
    <mergeCell ref="G3:H3"/>
    <mergeCell ref="I3:J3"/>
    <mergeCell ref="K3:K4"/>
    <mergeCell ref="F65:O6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45628.0</v>
      </c>
      <c r="C5" s="18" t="s">
        <v>150</v>
      </c>
      <c r="D5" s="19">
        <v>10008.0</v>
      </c>
      <c r="E5" s="20" t="s">
        <v>151</v>
      </c>
      <c r="F5" s="21"/>
      <c r="G5" s="22"/>
      <c r="H5" s="21"/>
      <c r="I5" s="23">
        <v>1500.0</v>
      </c>
      <c r="J5" s="24"/>
      <c r="K5" s="22"/>
      <c r="L5" s="25"/>
      <c r="M5" s="21"/>
      <c r="N5" s="22"/>
      <c r="O5" s="22"/>
      <c r="P5" s="26">
        <v>1500.0</v>
      </c>
      <c r="Q5" s="27">
        <f t="shared" ref="Q5:Q50" si="1">F5+G5+H5+I5+J5+K5+L5+M5+N5+O5-P5</f>
        <v>0</v>
      </c>
      <c r="R5" s="26" t="s">
        <v>48</v>
      </c>
      <c r="S5" s="2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9">
        <v>45628.0</v>
      </c>
      <c r="C6" s="18" t="s">
        <v>152</v>
      </c>
      <c r="D6" s="19">
        <v>84993.0</v>
      </c>
      <c r="E6" s="20" t="s">
        <v>153</v>
      </c>
      <c r="F6" s="21"/>
      <c r="G6" s="25">
        <v>2400.0</v>
      </c>
      <c r="H6" s="22"/>
      <c r="I6" s="21"/>
      <c r="J6" s="22"/>
      <c r="K6" s="25"/>
      <c r="L6" s="22"/>
      <c r="M6" s="21"/>
      <c r="N6" s="22"/>
      <c r="O6" s="22"/>
      <c r="P6" s="26">
        <v>2400.0</v>
      </c>
      <c r="Q6" s="27">
        <f t="shared" si="1"/>
        <v>0</v>
      </c>
      <c r="R6" s="26" t="s">
        <v>30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9">
        <v>45628.0</v>
      </c>
      <c r="C7" s="18" t="s">
        <v>154</v>
      </c>
      <c r="D7" s="19">
        <v>49658.0</v>
      </c>
      <c r="E7" s="20" t="s">
        <v>155</v>
      </c>
      <c r="F7" s="22"/>
      <c r="G7" s="25"/>
      <c r="H7" s="21"/>
      <c r="I7" s="30">
        <v>1450.0</v>
      </c>
      <c r="J7" s="24"/>
      <c r="K7" s="22"/>
      <c r="L7" s="22"/>
      <c r="M7" s="22"/>
      <c r="N7" s="22"/>
      <c r="O7" s="22"/>
      <c r="P7" s="26">
        <v>1450.0</v>
      </c>
      <c r="Q7" s="27">
        <f t="shared" si="1"/>
        <v>0</v>
      </c>
      <c r="R7" s="26" t="s">
        <v>33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9">
        <v>45629.0</v>
      </c>
      <c r="C8" s="18" t="s">
        <v>156</v>
      </c>
      <c r="D8" s="19">
        <v>45096.0</v>
      </c>
      <c r="E8" s="20" t="s">
        <v>157</v>
      </c>
      <c r="F8" s="22"/>
      <c r="G8" s="22"/>
      <c r="H8" s="25"/>
      <c r="I8" s="30">
        <v>5100.0</v>
      </c>
      <c r="J8" s="21"/>
      <c r="K8" s="22"/>
      <c r="L8" s="22"/>
      <c r="M8" s="22"/>
      <c r="N8" s="22"/>
      <c r="O8" s="22"/>
      <c r="P8" s="26">
        <v>5100.0</v>
      </c>
      <c r="Q8" s="27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9">
        <v>45629.0</v>
      </c>
      <c r="C9" s="18" t="s">
        <v>158</v>
      </c>
      <c r="D9" s="19">
        <v>76816.0</v>
      </c>
      <c r="E9" s="20" t="s">
        <v>159</v>
      </c>
      <c r="F9" s="22"/>
      <c r="G9" s="22"/>
      <c r="H9" s="25"/>
      <c r="I9" s="30">
        <v>2600.0</v>
      </c>
      <c r="J9" s="21"/>
      <c r="K9" s="22"/>
      <c r="L9" s="22"/>
      <c r="M9" s="21"/>
      <c r="N9" s="22"/>
      <c r="O9" s="22"/>
      <c r="P9" s="26">
        <v>2600.0</v>
      </c>
      <c r="Q9" s="27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9">
        <v>45629.0</v>
      </c>
      <c r="C10" s="18" t="s">
        <v>160</v>
      </c>
      <c r="D10" s="19">
        <v>42052.0</v>
      </c>
      <c r="E10" s="20" t="s">
        <v>161</v>
      </c>
      <c r="F10" s="22"/>
      <c r="G10" s="22"/>
      <c r="H10" s="22"/>
      <c r="I10" s="30">
        <v>2600.0</v>
      </c>
      <c r="J10" s="21"/>
      <c r="K10" s="22"/>
      <c r="L10" s="22"/>
      <c r="M10" s="21"/>
      <c r="N10" s="22"/>
      <c r="O10" s="22"/>
      <c r="P10" s="26">
        <v>2600.0</v>
      </c>
      <c r="Q10" s="27">
        <f t="shared" si="1"/>
        <v>0</v>
      </c>
      <c r="R10" s="26" t="s">
        <v>30</v>
      </c>
      <c r="S10" s="31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9">
        <v>45629.0</v>
      </c>
      <c r="C11" s="18" t="s">
        <v>162</v>
      </c>
      <c r="D11" s="19">
        <v>22332.0</v>
      </c>
      <c r="E11" s="20" t="s">
        <v>60</v>
      </c>
      <c r="F11" s="22"/>
      <c r="G11" s="22"/>
      <c r="H11" s="22"/>
      <c r="I11" s="21"/>
      <c r="J11" s="30">
        <v>25000.0</v>
      </c>
      <c r="K11" s="22"/>
      <c r="L11" s="22"/>
      <c r="M11" s="21"/>
      <c r="N11" s="22"/>
      <c r="O11" s="22"/>
      <c r="P11" s="26">
        <v>25000.0</v>
      </c>
      <c r="Q11" s="27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9">
        <v>45629.0</v>
      </c>
      <c r="C12" s="18" t="s">
        <v>163</v>
      </c>
      <c r="D12" s="19">
        <v>28414.0</v>
      </c>
      <c r="E12" s="20" t="s">
        <v>164</v>
      </c>
      <c r="F12" s="22"/>
      <c r="G12" s="22"/>
      <c r="H12" s="22"/>
      <c r="I12" s="30">
        <v>2600.0</v>
      </c>
      <c r="J12" s="21"/>
      <c r="K12" s="22"/>
      <c r="L12" s="22"/>
      <c r="M12" s="21"/>
      <c r="N12" s="22"/>
      <c r="O12" s="22"/>
      <c r="P12" s="26">
        <v>2600.0</v>
      </c>
      <c r="Q12" s="27">
        <f t="shared" si="1"/>
        <v>0</v>
      </c>
      <c r="R12" s="26" t="s">
        <v>48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38">
        <v>9.0</v>
      </c>
      <c r="B13" s="39">
        <v>45629.0</v>
      </c>
      <c r="C13" s="40" t="s">
        <v>165</v>
      </c>
      <c r="D13" s="41">
        <v>48631.0</v>
      </c>
      <c r="E13" s="42" t="s">
        <v>166</v>
      </c>
      <c r="F13" s="43"/>
      <c r="G13" s="43"/>
      <c r="H13" s="43"/>
      <c r="I13" s="44">
        <v>500.0</v>
      </c>
      <c r="J13" s="44"/>
      <c r="K13" s="43"/>
      <c r="L13" s="43"/>
      <c r="M13" s="45"/>
      <c r="N13" s="43"/>
      <c r="O13" s="43"/>
      <c r="P13" s="46">
        <v>500.0</v>
      </c>
      <c r="Q13" s="47">
        <f t="shared" si="1"/>
        <v>0</v>
      </c>
      <c r="R13" s="46" t="s">
        <v>48</v>
      </c>
      <c r="S13" s="48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ht="34.5" customHeight="1">
      <c r="A14" s="38">
        <v>10.0</v>
      </c>
      <c r="B14" s="39">
        <v>45629.0</v>
      </c>
      <c r="C14" s="40" t="s">
        <v>167</v>
      </c>
      <c r="D14" s="41">
        <v>49655.0</v>
      </c>
      <c r="E14" s="42" t="s">
        <v>132</v>
      </c>
      <c r="F14" s="43"/>
      <c r="G14" s="43"/>
      <c r="H14" s="43"/>
      <c r="I14" s="44">
        <v>500.0</v>
      </c>
      <c r="J14" s="45"/>
      <c r="K14" s="43"/>
      <c r="L14" s="43"/>
      <c r="M14" s="45"/>
      <c r="N14" s="43"/>
      <c r="O14" s="43"/>
      <c r="P14" s="46">
        <v>500.0</v>
      </c>
      <c r="Q14" s="47">
        <f t="shared" si="1"/>
        <v>0</v>
      </c>
      <c r="R14" s="46" t="s">
        <v>48</v>
      </c>
      <c r="S14" s="48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16">
        <v>11.0</v>
      </c>
      <c r="B15" s="32">
        <v>45629.0</v>
      </c>
      <c r="C15" s="33" t="s">
        <v>168</v>
      </c>
      <c r="D15" s="34">
        <v>80335.0</v>
      </c>
      <c r="E15" s="35" t="s">
        <v>169</v>
      </c>
      <c r="F15" s="22"/>
      <c r="G15" s="22"/>
      <c r="H15" s="22"/>
      <c r="I15" s="30"/>
      <c r="J15" s="30"/>
      <c r="K15" s="22"/>
      <c r="L15" s="22"/>
      <c r="M15" s="30">
        <v>1350.0</v>
      </c>
      <c r="N15" s="22"/>
      <c r="O15" s="22"/>
      <c r="P15" s="36">
        <v>1350.0</v>
      </c>
      <c r="Q15" s="27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38">
        <v>12.0</v>
      </c>
      <c r="B16" s="39">
        <v>45629.0</v>
      </c>
      <c r="C16" s="40" t="s">
        <v>170</v>
      </c>
      <c r="D16" s="41">
        <v>54763.0</v>
      </c>
      <c r="E16" s="42" t="s">
        <v>171</v>
      </c>
      <c r="F16" s="43"/>
      <c r="G16" s="43"/>
      <c r="H16" s="43"/>
      <c r="I16" s="44">
        <v>500.0</v>
      </c>
      <c r="J16" s="45"/>
      <c r="K16" s="43"/>
      <c r="L16" s="43"/>
      <c r="M16" s="45"/>
      <c r="N16" s="43"/>
      <c r="O16" s="43"/>
      <c r="P16" s="46">
        <v>500.0</v>
      </c>
      <c r="Q16" s="47">
        <f t="shared" si="1"/>
        <v>0</v>
      </c>
      <c r="R16" s="46" t="s">
        <v>48</v>
      </c>
      <c r="S16" s="48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38">
        <v>13.0</v>
      </c>
      <c r="B17" s="39">
        <v>45629.0</v>
      </c>
      <c r="C17" s="40" t="s">
        <v>172</v>
      </c>
      <c r="D17" s="41">
        <v>54764.0</v>
      </c>
      <c r="E17" s="42" t="s">
        <v>173</v>
      </c>
      <c r="F17" s="43"/>
      <c r="G17" s="43"/>
      <c r="H17" s="43"/>
      <c r="I17" s="44">
        <v>500.0</v>
      </c>
      <c r="J17" s="44"/>
      <c r="K17" s="43"/>
      <c r="L17" s="43"/>
      <c r="M17" s="45"/>
      <c r="N17" s="43"/>
      <c r="O17" s="43"/>
      <c r="P17" s="46">
        <v>500.0</v>
      </c>
      <c r="Q17" s="47">
        <f t="shared" si="1"/>
        <v>0</v>
      </c>
      <c r="R17" s="46" t="s">
        <v>48</v>
      </c>
      <c r="S17" s="48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ht="34.5" customHeight="1">
      <c r="A18" s="16">
        <v>14.0</v>
      </c>
      <c r="B18" s="29">
        <v>45629.0</v>
      </c>
      <c r="C18" s="18" t="s">
        <v>174</v>
      </c>
      <c r="D18" s="19">
        <v>85379.0</v>
      </c>
      <c r="E18" s="20" t="s">
        <v>175</v>
      </c>
      <c r="F18" s="22"/>
      <c r="G18" s="22"/>
      <c r="H18" s="22"/>
      <c r="I18" s="30">
        <v>6050.0</v>
      </c>
      <c r="J18" s="30"/>
      <c r="K18" s="22"/>
      <c r="L18" s="22"/>
      <c r="M18" s="22"/>
      <c r="N18" s="22"/>
      <c r="O18" s="22"/>
      <c r="P18" s="26">
        <v>6050.0</v>
      </c>
      <c r="Q18" s="27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2">
        <v>45629.0</v>
      </c>
      <c r="C19" s="33" t="s">
        <v>176</v>
      </c>
      <c r="D19" s="34">
        <v>56980.0</v>
      </c>
      <c r="E19" s="35" t="s">
        <v>177</v>
      </c>
      <c r="F19" s="22"/>
      <c r="G19" s="25">
        <v>10000.0</v>
      </c>
      <c r="H19" s="22"/>
      <c r="I19" s="30"/>
      <c r="J19" s="21"/>
      <c r="K19" s="25">
        <v>290.0</v>
      </c>
      <c r="L19" s="22"/>
      <c r="M19" s="21"/>
      <c r="N19" s="22"/>
      <c r="O19" s="22"/>
      <c r="P19" s="36">
        <v>10290.0</v>
      </c>
      <c r="Q19" s="27">
        <f t="shared" si="1"/>
        <v>0</v>
      </c>
      <c r="R19" s="36" t="s">
        <v>30</v>
      </c>
      <c r="S19" s="28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ht="34.5" customHeight="1">
      <c r="A20" s="16">
        <v>16.0</v>
      </c>
      <c r="B20" s="29">
        <v>45629.0</v>
      </c>
      <c r="C20" s="18" t="s">
        <v>178</v>
      </c>
      <c r="D20" s="19">
        <v>30895.0</v>
      </c>
      <c r="E20" s="20" t="s">
        <v>179</v>
      </c>
      <c r="F20" s="22"/>
      <c r="G20" s="22"/>
      <c r="H20" s="22"/>
      <c r="I20" s="23"/>
      <c r="J20" s="24"/>
      <c r="K20" s="25">
        <v>10650.0</v>
      </c>
      <c r="L20" s="22"/>
      <c r="M20" s="22"/>
      <c r="N20" s="22"/>
      <c r="O20" s="22"/>
      <c r="P20" s="26">
        <v>10650.0</v>
      </c>
      <c r="Q20" s="27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9">
        <v>45629.0</v>
      </c>
      <c r="C21" s="18" t="s">
        <v>180</v>
      </c>
      <c r="D21" s="19">
        <v>13781.0</v>
      </c>
      <c r="E21" s="20" t="s">
        <v>181</v>
      </c>
      <c r="F21" s="21"/>
      <c r="G21" s="25">
        <v>2850.0</v>
      </c>
      <c r="H21" s="22"/>
      <c r="I21" s="49"/>
      <c r="J21" s="22"/>
      <c r="K21" s="50"/>
      <c r="L21" s="22"/>
      <c r="M21" s="22"/>
      <c r="N21" s="22"/>
      <c r="O21" s="22"/>
      <c r="P21" s="26">
        <v>2850.0</v>
      </c>
      <c r="Q21" s="27">
        <f t="shared" si="1"/>
        <v>0</v>
      </c>
      <c r="R21" s="26" t="s">
        <v>30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9">
        <v>45629.0</v>
      </c>
      <c r="C22" s="18" t="s">
        <v>182</v>
      </c>
      <c r="D22" s="19">
        <v>15837.0</v>
      </c>
      <c r="E22" s="20" t="s">
        <v>183</v>
      </c>
      <c r="F22" s="30">
        <v>5000.0</v>
      </c>
      <c r="G22" s="22"/>
      <c r="H22" s="22"/>
      <c r="I22" s="30"/>
      <c r="J22" s="22"/>
      <c r="K22" s="21"/>
      <c r="L22" s="22"/>
      <c r="M22" s="22"/>
      <c r="N22" s="22"/>
      <c r="O22" s="22"/>
      <c r="P22" s="26">
        <v>5000.0</v>
      </c>
      <c r="Q22" s="27">
        <f t="shared" si="1"/>
        <v>0</v>
      </c>
      <c r="R22" s="26" t="s">
        <v>30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51">
        <v>45629.0</v>
      </c>
      <c r="C23" s="52" t="s">
        <v>184</v>
      </c>
      <c r="D23" s="53">
        <v>49655.0</v>
      </c>
      <c r="E23" s="54" t="s">
        <v>132</v>
      </c>
      <c r="F23" s="55"/>
      <c r="G23" s="56"/>
      <c r="H23" s="57"/>
      <c r="I23" s="49"/>
      <c r="J23" s="49">
        <v>2600.0</v>
      </c>
      <c r="K23" s="58"/>
      <c r="L23" s="57"/>
      <c r="M23" s="57"/>
      <c r="N23" s="57"/>
      <c r="O23" s="57"/>
      <c r="P23" s="59">
        <v>2600.0</v>
      </c>
      <c r="Q23" s="27">
        <f t="shared" si="1"/>
        <v>0</v>
      </c>
      <c r="R23" s="59" t="s">
        <v>48</v>
      </c>
      <c r="S23" s="28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</row>
    <row r="24" ht="34.5" customHeight="1">
      <c r="A24" s="16">
        <v>20.0</v>
      </c>
      <c r="B24" s="29">
        <v>45629.0</v>
      </c>
      <c r="C24" s="18" t="s">
        <v>185</v>
      </c>
      <c r="D24" s="19">
        <v>25650.0</v>
      </c>
      <c r="E24" s="20" t="s">
        <v>86</v>
      </c>
      <c r="F24" s="21"/>
      <c r="G24" s="22"/>
      <c r="H24" s="22"/>
      <c r="I24" s="30"/>
      <c r="J24" s="22"/>
      <c r="K24" s="50"/>
      <c r="L24" s="22"/>
      <c r="M24" s="25">
        <v>2400.0</v>
      </c>
      <c r="N24" s="22"/>
      <c r="O24" s="22"/>
      <c r="P24" s="26">
        <v>2400.0</v>
      </c>
      <c r="Q24" s="27">
        <f t="shared" si="1"/>
        <v>0</v>
      </c>
      <c r="R24" s="26" t="s">
        <v>186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9">
        <v>45629.0</v>
      </c>
      <c r="C25" s="18" t="s">
        <v>187</v>
      </c>
      <c r="D25" s="19">
        <v>45227.0</v>
      </c>
      <c r="E25" s="20" t="s">
        <v>188</v>
      </c>
      <c r="F25" s="21"/>
      <c r="G25" s="22"/>
      <c r="H25" s="22"/>
      <c r="I25" s="30">
        <v>2500.0</v>
      </c>
      <c r="J25" s="21"/>
      <c r="K25" s="50"/>
      <c r="L25" s="22"/>
      <c r="M25" s="22"/>
      <c r="N25" s="22"/>
      <c r="O25" s="22"/>
      <c r="P25" s="26">
        <v>2500.0</v>
      </c>
      <c r="Q25" s="27">
        <f t="shared" si="1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9">
        <v>45629.0</v>
      </c>
      <c r="C26" s="18" t="s">
        <v>189</v>
      </c>
      <c r="D26" s="19">
        <v>21818.0</v>
      </c>
      <c r="E26" s="20" t="s">
        <v>190</v>
      </c>
      <c r="F26" s="21"/>
      <c r="G26" s="22"/>
      <c r="H26" s="22"/>
      <c r="I26" s="61"/>
      <c r="J26" s="21"/>
      <c r="K26" s="61">
        <v>5000.0</v>
      </c>
      <c r="L26" s="22"/>
      <c r="M26" s="22"/>
      <c r="N26" s="22"/>
      <c r="O26" s="22"/>
      <c r="P26" s="26">
        <v>5000.0</v>
      </c>
      <c r="Q26" s="27">
        <f t="shared" si="1"/>
        <v>0</v>
      </c>
      <c r="R26" s="26" t="s">
        <v>48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32">
        <v>45629.0</v>
      </c>
      <c r="C27" s="33" t="s">
        <v>191</v>
      </c>
      <c r="D27" s="34">
        <v>59244.0</v>
      </c>
      <c r="E27" s="35" t="s">
        <v>50</v>
      </c>
      <c r="F27" s="21"/>
      <c r="G27" s="22"/>
      <c r="H27" s="22"/>
      <c r="I27" s="30">
        <v>4550.0</v>
      </c>
      <c r="J27" s="21"/>
      <c r="K27" s="24"/>
      <c r="L27" s="22"/>
      <c r="M27" s="22"/>
      <c r="N27" s="22"/>
      <c r="O27" s="22"/>
      <c r="P27" s="36">
        <v>4550.0</v>
      </c>
      <c r="Q27" s="27">
        <f t="shared" si="1"/>
        <v>0</v>
      </c>
      <c r="R27" s="36" t="s">
        <v>48</v>
      </c>
      <c r="S27" s="81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ht="34.5" customHeight="1">
      <c r="A28" s="16">
        <v>24.0</v>
      </c>
      <c r="B28" s="32">
        <v>45629.0</v>
      </c>
      <c r="C28" s="33" t="s">
        <v>192</v>
      </c>
      <c r="D28" s="34">
        <v>80056.0</v>
      </c>
      <c r="E28" s="35" t="s">
        <v>193</v>
      </c>
      <c r="F28" s="21"/>
      <c r="G28" s="22"/>
      <c r="H28" s="22"/>
      <c r="I28" s="30">
        <v>2600.0</v>
      </c>
      <c r="J28" s="21"/>
      <c r="K28" s="24"/>
      <c r="L28" s="22"/>
      <c r="M28" s="22"/>
      <c r="N28" s="22"/>
      <c r="O28" s="22"/>
      <c r="P28" s="36">
        <v>2600.0</v>
      </c>
      <c r="Q28" s="27">
        <f t="shared" si="1"/>
        <v>0</v>
      </c>
      <c r="R28" s="36" t="s">
        <v>48</v>
      </c>
      <c r="S28" s="81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34.5" customHeight="1">
      <c r="A29" s="16">
        <v>25.0</v>
      </c>
      <c r="B29" s="32">
        <v>45629.0</v>
      </c>
      <c r="C29" s="33" t="s">
        <v>194</v>
      </c>
      <c r="D29" s="34">
        <v>36769.0</v>
      </c>
      <c r="E29" s="35" t="s">
        <v>32</v>
      </c>
      <c r="F29" s="21"/>
      <c r="G29" s="22"/>
      <c r="H29" s="22"/>
      <c r="I29" s="30">
        <v>1000.0</v>
      </c>
      <c r="J29" s="21"/>
      <c r="K29" s="24"/>
      <c r="L29" s="22"/>
      <c r="M29" s="22"/>
      <c r="N29" s="22"/>
      <c r="O29" s="22"/>
      <c r="P29" s="36">
        <v>1000.0</v>
      </c>
      <c r="Q29" s="27">
        <f t="shared" si="1"/>
        <v>0</v>
      </c>
      <c r="R29" s="36" t="s">
        <v>48</v>
      </c>
      <c r="S29" s="81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34.5" customHeight="1">
      <c r="A30" s="16">
        <v>26.0</v>
      </c>
      <c r="B30" s="32">
        <v>45629.0</v>
      </c>
      <c r="C30" s="33" t="s">
        <v>195</v>
      </c>
      <c r="D30" s="34">
        <v>36555.0</v>
      </c>
      <c r="E30" s="35" t="s">
        <v>196</v>
      </c>
      <c r="F30" s="21"/>
      <c r="G30" s="22"/>
      <c r="H30" s="22"/>
      <c r="I30" s="21"/>
      <c r="J30" s="30"/>
      <c r="K30" s="23">
        <v>1400.0</v>
      </c>
      <c r="L30" s="22"/>
      <c r="M30" s="22"/>
      <c r="N30" s="22"/>
      <c r="O30" s="22"/>
      <c r="P30" s="36">
        <v>1400.0</v>
      </c>
      <c r="Q30" s="27">
        <f t="shared" si="1"/>
        <v>0</v>
      </c>
      <c r="R30" s="36" t="s">
        <v>30</v>
      </c>
      <c r="S30" s="81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34.5" customHeight="1">
      <c r="A31" s="16">
        <v>27.0</v>
      </c>
      <c r="B31" s="32">
        <v>45629.0</v>
      </c>
      <c r="C31" s="33" t="s">
        <v>197</v>
      </c>
      <c r="D31" s="34">
        <v>36555.0</v>
      </c>
      <c r="E31" s="35" t="s">
        <v>196</v>
      </c>
      <c r="F31" s="21"/>
      <c r="G31" s="22"/>
      <c r="H31" s="25">
        <v>7500.0</v>
      </c>
      <c r="I31" s="30"/>
      <c r="J31" s="21"/>
      <c r="K31" s="24"/>
      <c r="L31" s="22"/>
      <c r="M31" s="22"/>
      <c r="N31" s="22"/>
      <c r="O31" s="22"/>
      <c r="P31" s="36">
        <v>7500.0</v>
      </c>
      <c r="Q31" s="27">
        <f t="shared" si="1"/>
        <v>0</v>
      </c>
      <c r="R31" s="36" t="s">
        <v>48</v>
      </c>
      <c r="S31" s="81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34.5" customHeight="1">
      <c r="A32" s="16">
        <v>28.0</v>
      </c>
      <c r="B32" s="32">
        <v>45629.0</v>
      </c>
      <c r="C32" s="33" t="s">
        <v>198</v>
      </c>
      <c r="D32" s="34">
        <v>16036.0</v>
      </c>
      <c r="E32" s="35" t="s">
        <v>199</v>
      </c>
      <c r="F32" s="21"/>
      <c r="G32" s="22"/>
      <c r="H32" s="22"/>
      <c r="I32" s="30"/>
      <c r="J32" s="21"/>
      <c r="K32" s="24"/>
      <c r="L32" s="22"/>
      <c r="M32" s="25">
        <v>290.0</v>
      </c>
      <c r="N32" s="22"/>
      <c r="O32" s="22"/>
      <c r="P32" s="36">
        <v>290.0</v>
      </c>
      <c r="Q32" s="27">
        <f t="shared" si="1"/>
        <v>0</v>
      </c>
      <c r="R32" s="36" t="s">
        <v>30</v>
      </c>
      <c r="S32" s="81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34.5" customHeight="1">
      <c r="A33" s="16">
        <v>29.0</v>
      </c>
      <c r="B33" s="32">
        <v>45629.0</v>
      </c>
      <c r="C33" s="33" t="s">
        <v>200</v>
      </c>
      <c r="D33" s="34">
        <v>51195.0</v>
      </c>
      <c r="E33" s="35" t="s">
        <v>201</v>
      </c>
      <c r="F33" s="21"/>
      <c r="G33" s="22"/>
      <c r="H33" s="22"/>
      <c r="I33" s="30">
        <v>10900.0</v>
      </c>
      <c r="J33" s="21"/>
      <c r="K33" s="24"/>
      <c r="L33" s="22"/>
      <c r="M33" s="22"/>
      <c r="N33" s="22"/>
      <c r="O33" s="22"/>
      <c r="P33" s="36">
        <v>10900.0</v>
      </c>
      <c r="Q33" s="27">
        <f t="shared" si="1"/>
        <v>0</v>
      </c>
      <c r="R33" s="36" t="s">
        <v>48</v>
      </c>
      <c r="S33" s="81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ht="34.5" customHeight="1">
      <c r="A34" s="16">
        <v>30.0</v>
      </c>
      <c r="B34" s="32">
        <v>45629.0</v>
      </c>
      <c r="C34" s="33" t="s">
        <v>202</v>
      </c>
      <c r="D34" s="34">
        <v>10684.0</v>
      </c>
      <c r="E34" s="35" t="s">
        <v>203</v>
      </c>
      <c r="F34" s="21"/>
      <c r="G34" s="22"/>
      <c r="H34" s="22"/>
      <c r="I34" s="30">
        <v>4500.0</v>
      </c>
      <c r="J34" s="21"/>
      <c r="K34" s="24"/>
      <c r="L34" s="22"/>
      <c r="M34" s="22"/>
      <c r="N34" s="22"/>
      <c r="O34" s="22"/>
      <c r="P34" s="36">
        <v>4500.0</v>
      </c>
      <c r="Q34" s="27">
        <f t="shared" si="1"/>
        <v>0</v>
      </c>
      <c r="R34" s="36" t="s">
        <v>48</v>
      </c>
      <c r="S34" s="81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ht="34.5" customHeight="1">
      <c r="A35" s="16">
        <v>31.0</v>
      </c>
      <c r="B35" s="32">
        <v>45629.0</v>
      </c>
      <c r="C35" s="33" t="s">
        <v>204</v>
      </c>
      <c r="D35" s="34">
        <v>10684.0</v>
      </c>
      <c r="E35" s="35" t="s">
        <v>203</v>
      </c>
      <c r="F35" s="21"/>
      <c r="G35" s="22"/>
      <c r="H35" s="22"/>
      <c r="I35" s="30">
        <v>6900.0</v>
      </c>
      <c r="J35" s="21"/>
      <c r="K35" s="24"/>
      <c r="L35" s="22"/>
      <c r="M35" s="22"/>
      <c r="N35" s="22"/>
      <c r="O35" s="22"/>
      <c r="P35" s="36">
        <v>6900.0</v>
      </c>
      <c r="Q35" s="27">
        <f t="shared" si="1"/>
        <v>0</v>
      </c>
      <c r="R35" s="36" t="s">
        <v>48</v>
      </c>
      <c r="S35" s="81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ht="34.5" customHeight="1">
      <c r="A36" s="16">
        <v>32.0</v>
      </c>
      <c r="B36" s="29">
        <v>45629.0</v>
      </c>
      <c r="C36" s="18" t="s">
        <v>205</v>
      </c>
      <c r="D36" s="19">
        <v>53249.0</v>
      </c>
      <c r="E36" s="20" t="s">
        <v>54</v>
      </c>
      <c r="F36" s="21"/>
      <c r="G36" s="22"/>
      <c r="H36" s="22"/>
      <c r="I36" s="30"/>
      <c r="J36" s="21"/>
      <c r="K36" s="24"/>
      <c r="L36" s="22"/>
      <c r="M36" s="22"/>
      <c r="N36" s="22"/>
      <c r="O36" s="25">
        <v>1200.0</v>
      </c>
      <c r="P36" s="26">
        <v>1200.0</v>
      </c>
      <c r="Q36" s="27">
        <f t="shared" si="1"/>
        <v>0</v>
      </c>
      <c r="R36" s="26"/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9">
        <v>45629.0</v>
      </c>
      <c r="C37" s="18" t="s">
        <v>206</v>
      </c>
      <c r="D37" s="19">
        <v>55969.0</v>
      </c>
      <c r="E37" s="20" t="s">
        <v>207</v>
      </c>
      <c r="F37" s="30"/>
      <c r="G37" s="22"/>
      <c r="H37" s="22"/>
      <c r="I37" s="21"/>
      <c r="J37" s="21"/>
      <c r="K37" s="24"/>
      <c r="L37" s="22"/>
      <c r="M37" s="22"/>
      <c r="N37" s="22"/>
      <c r="O37" s="25">
        <v>1200.0</v>
      </c>
      <c r="P37" s="26">
        <v>1200.0</v>
      </c>
      <c r="Q37" s="27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9">
        <v>45629.0</v>
      </c>
      <c r="C38" s="18" t="s">
        <v>208</v>
      </c>
      <c r="D38" s="19">
        <v>56330.0</v>
      </c>
      <c r="E38" s="20" t="s">
        <v>209</v>
      </c>
      <c r="F38" s="30"/>
      <c r="G38" s="22"/>
      <c r="H38" s="22"/>
      <c r="I38" s="21"/>
      <c r="J38" s="21"/>
      <c r="K38" s="23"/>
      <c r="L38" s="22"/>
      <c r="M38" s="25"/>
      <c r="N38" s="22"/>
      <c r="O38" s="25">
        <v>1200.0</v>
      </c>
      <c r="P38" s="26">
        <v>1200.0</v>
      </c>
      <c r="Q38" s="27">
        <f t="shared" si="1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9">
        <v>45629.0</v>
      </c>
      <c r="C39" s="18" t="s">
        <v>210</v>
      </c>
      <c r="D39" s="19">
        <v>52669.0</v>
      </c>
      <c r="E39" s="20" t="s">
        <v>211</v>
      </c>
      <c r="F39" s="21"/>
      <c r="G39" s="22"/>
      <c r="H39" s="25">
        <v>27250.0</v>
      </c>
      <c r="I39" s="30"/>
      <c r="J39" s="21"/>
      <c r="K39" s="23"/>
      <c r="L39" s="22"/>
      <c r="M39" s="22"/>
      <c r="N39" s="22"/>
      <c r="O39" s="22"/>
      <c r="P39" s="26">
        <v>27250.0</v>
      </c>
      <c r="Q39" s="27">
        <f t="shared" si="1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9">
        <v>45629.0</v>
      </c>
      <c r="C40" s="18" t="s">
        <v>212</v>
      </c>
      <c r="D40" s="19">
        <v>55446.0</v>
      </c>
      <c r="E40" s="20" t="s">
        <v>213</v>
      </c>
      <c r="F40" s="21"/>
      <c r="G40" s="22"/>
      <c r="H40" s="25">
        <v>5100.0</v>
      </c>
      <c r="I40" s="30"/>
      <c r="J40" s="21"/>
      <c r="K40" s="24"/>
      <c r="L40" s="22"/>
      <c r="M40" s="22"/>
      <c r="N40" s="22"/>
      <c r="O40" s="22"/>
      <c r="P40" s="26">
        <v>5100.0</v>
      </c>
      <c r="Q40" s="27">
        <f t="shared" si="1"/>
        <v>0</v>
      </c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9">
        <v>45629.0</v>
      </c>
      <c r="C41" s="18" t="s">
        <v>214</v>
      </c>
      <c r="D41" s="19">
        <v>48072.0</v>
      </c>
      <c r="E41" s="20" t="s">
        <v>134</v>
      </c>
      <c r="F41" s="21"/>
      <c r="G41" s="22"/>
      <c r="H41" s="25">
        <v>2500.0</v>
      </c>
      <c r="I41" s="30"/>
      <c r="J41" s="21"/>
      <c r="K41" s="24"/>
      <c r="L41" s="22"/>
      <c r="M41" s="22"/>
      <c r="N41" s="22"/>
      <c r="O41" s="22"/>
      <c r="P41" s="26">
        <v>2500.0</v>
      </c>
      <c r="Q41" s="27">
        <f t="shared" si="1"/>
        <v>0</v>
      </c>
      <c r="R41" s="26"/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9">
        <v>45629.0</v>
      </c>
      <c r="C42" s="18" t="s">
        <v>215</v>
      </c>
      <c r="D42" s="19">
        <v>71597.0</v>
      </c>
      <c r="E42" s="20" t="s">
        <v>216</v>
      </c>
      <c r="F42" s="21"/>
      <c r="G42" s="22"/>
      <c r="H42" s="25">
        <v>1550.0</v>
      </c>
      <c r="I42" s="30"/>
      <c r="J42" s="21"/>
      <c r="K42" s="24"/>
      <c r="L42" s="22"/>
      <c r="M42" s="22"/>
      <c r="N42" s="22"/>
      <c r="O42" s="22"/>
      <c r="P42" s="26">
        <v>1550.0</v>
      </c>
      <c r="Q42" s="27">
        <f t="shared" si="1"/>
        <v>0</v>
      </c>
      <c r="R42" s="26"/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9">
        <v>45629.0</v>
      </c>
      <c r="C43" s="18" t="s">
        <v>217</v>
      </c>
      <c r="D43" s="19">
        <v>54440.0</v>
      </c>
      <c r="E43" s="20" t="s">
        <v>218</v>
      </c>
      <c r="F43" s="21"/>
      <c r="G43" s="22"/>
      <c r="H43" s="22"/>
      <c r="I43" s="30"/>
      <c r="J43" s="21"/>
      <c r="K43" s="23"/>
      <c r="L43" s="22"/>
      <c r="M43" s="22"/>
      <c r="N43" s="22"/>
      <c r="O43" s="25">
        <v>800.0</v>
      </c>
      <c r="P43" s="26">
        <v>800.0</v>
      </c>
      <c r="Q43" s="27">
        <f t="shared" si="1"/>
        <v>0</v>
      </c>
      <c r="R43" s="63"/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9">
        <v>45629.0</v>
      </c>
      <c r="C44" s="18" t="s">
        <v>219</v>
      </c>
      <c r="D44" s="19">
        <v>13781.0</v>
      </c>
      <c r="E44" s="20" t="s">
        <v>181</v>
      </c>
      <c r="F44" s="21"/>
      <c r="G44" s="22"/>
      <c r="H44" s="22"/>
      <c r="I44" s="21"/>
      <c r="J44" s="21"/>
      <c r="K44" s="23"/>
      <c r="L44" s="22"/>
      <c r="M44" s="25"/>
      <c r="N44" s="22"/>
      <c r="O44" s="25">
        <v>6000.0</v>
      </c>
      <c r="P44" s="26">
        <v>6000.0</v>
      </c>
      <c r="Q44" s="27">
        <f t="shared" si="1"/>
        <v>0</v>
      </c>
      <c r="R44" s="63"/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9">
        <v>45629.0</v>
      </c>
      <c r="C45" s="18" t="s">
        <v>220</v>
      </c>
      <c r="D45" s="19">
        <v>36769.0</v>
      </c>
      <c r="E45" s="20" t="s">
        <v>32</v>
      </c>
      <c r="F45" s="21"/>
      <c r="G45" s="22"/>
      <c r="H45" s="22"/>
      <c r="I45" s="21"/>
      <c r="J45" s="21"/>
      <c r="K45" s="23"/>
      <c r="L45" s="22"/>
      <c r="M45" s="25"/>
      <c r="N45" s="22"/>
      <c r="O45" s="25">
        <v>2400.0</v>
      </c>
      <c r="P45" s="26">
        <v>2400.0</v>
      </c>
      <c r="Q45" s="27">
        <f t="shared" si="1"/>
        <v>0</v>
      </c>
      <c r="R45" s="63"/>
      <c r="S45" s="2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9">
        <v>45629.0</v>
      </c>
      <c r="C46" s="18" t="s">
        <v>221</v>
      </c>
      <c r="D46" s="19">
        <v>10270.0</v>
      </c>
      <c r="E46" s="20" t="s">
        <v>222</v>
      </c>
      <c r="F46" s="21"/>
      <c r="G46" s="22"/>
      <c r="H46" s="22"/>
      <c r="I46" s="21"/>
      <c r="J46" s="21"/>
      <c r="K46" s="23"/>
      <c r="L46" s="22"/>
      <c r="M46" s="22"/>
      <c r="N46" s="22"/>
      <c r="O46" s="25">
        <v>2400.0</v>
      </c>
      <c r="P46" s="26">
        <v>2400.0</v>
      </c>
      <c r="Q46" s="27">
        <f t="shared" si="1"/>
        <v>0</v>
      </c>
      <c r="R46" s="63"/>
      <c r="S46" s="2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9">
        <v>45629.0</v>
      </c>
      <c r="C47" s="18" t="s">
        <v>223</v>
      </c>
      <c r="D47" s="19">
        <v>10270.0</v>
      </c>
      <c r="E47" s="20" t="s">
        <v>222</v>
      </c>
      <c r="F47" s="21"/>
      <c r="G47" s="22"/>
      <c r="H47" s="25"/>
      <c r="I47" s="21"/>
      <c r="J47" s="21"/>
      <c r="K47" s="23">
        <v>286.0</v>
      </c>
      <c r="L47" s="22"/>
      <c r="M47" s="22"/>
      <c r="N47" s="22"/>
      <c r="O47" s="25">
        <v>914.0</v>
      </c>
      <c r="P47" s="26">
        <f>SUM(F47:O47)</f>
        <v>1200</v>
      </c>
      <c r="Q47" s="27">
        <f t="shared" si="1"/>
        <v>0</v>
      </c>
      <c r="R47" s="63"/>
      <c r="S47" s="28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9">
        <v>45629.0</v>
      </c>
      <c r="C48" s="18" t="s">
        <v>224</v>
      </c>
      <c r="D48" s="19">
        <v>10255.0</v>
      </c>
      <c r="E48" s="20" t="s">
        <v>225</v>
      </c>
      <c r="F48" s="21"/>
      <c r="G48" s="22"/>
      <c r="H48" s="25"/>
      <c r="I48" s="21"/>
      <c r="J48" s="21"/>
      <c r="K48" s="24"/>
      <c r="L48" s="22"/>
      <c r="M48" s="22"/>
      <c r="N48" s="22"/>
      <c r="O48" s="25">
        <v>1200.0</v>
      </c>
      <c r="P48" s="26">
        <v>1200.0</v>
      </c>
      <c r="Q48" s="27">
        <f t="shared" si="1"/>
        <v>0</v>
      </c>
      <c r="R48" s="63"/>
      <c r="S48" s="28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9">
        <v>45629.0</v>
      </c>
      <c r="C49" s="18" t="s">
        <v>226</v>
      </c>
      <c r="D49" s="19">
        <v>36555.0</v>
      </c>
      <c r="E49" s="20" t="s">
        <v>196</v>
      </c>
      <c r="F49" s="21"/>
      <c r="G49" s="22"/>
      <c r="H49" s="25"/>
      <c r="I49" s="21"/>
      <c r="J49" s="21"/>
      <c r="K49" s="24"/>
      <c r="L49" s="22"/>
      <c r="M49" s="22"/>
      <c r="N49" s="22"/>
      <c r="O49" s="25">
        <v>1200.0</v>
      </c>
      <c r="P49" s="26">
        <v>1200.0</v>
      </c>
      <c r="Q49" s="27">
        <f t="shared" si="1"/>
        <v>0</v>
      </c>
      <c r="R49" s="63"/>
      <c r="S49" s="28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9">
        <v>45629.0</v>
      </c>
      <c r="C50" s="18" t="s">
        <v>227</v>
      </c>
      <c r="D50" s="19">
        <v>10908.0</v>
      </c>
      <c r="E50" s="20" t="s">
        <v>228</v>
      </c>
      <c r="F50" s="21"/>
      <c r="G50" s="22"/>
      <c r="H50" s="25"/>
      <c r="I50" s="21"/>
      <c r="J50" s="21"/>
      <c r="K50" s="24"/>
      <c r="L50" s="22"/>
      <c r="M50" s="22"/>
      <c r="N50" s="22"/>
      <c r="O50" s="25">
        <v>1200.0</v>
      </c>
      <c r="P50" s="26">
        <v>1200.0</v>
      </c>
      <c r="Q50" s="27">
        <f t="shared" si="1"/>
        <v>0</v>
      </c>
      <c r="R50" s="63"/>
      <c r="S50" s="2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/>
      <c r="B51" s="29"/>
      <c r="C51" s="18"/>
      <c r="D51" s="19"/>
      <c r="E51" s="20"/>
      <c r="F51" s="21"/>
      <c r="G51" s="22"/>
      <c r="H51" s="25"/>
      <c r="I51" s="21"/>
      <c r="J51" s="21"/>
      <c r="K51" s="24"/>
      <c r="L51" s="22"/>
      <c r="M51" s="22"/>
      <c r="N51" s="22"/>
      <c r="O51" s="22"/>
      <c r="P51" s="26"/>
      <c r="Q51" s="27"/>
      <c r="R51" s="63"/>
      <c r="S51" s="2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7.5" customHeight="1">
      <c r="A52" s="16"/>
      <c r="B52" s="64"/>
      <c r="C52" s="65"/>
      <c r="D52" s="66" t="s">
        <v>135</v>
      </c>
      <c r="E52" s="67"/>
      <c r="F52" s="68">
        <f t="shared" ref="F52:Q52" si="2">SUM(F5:F51)</f>
        <v>5000</v>
      </c>
      <c r="G52" s="68">
        <f t="shared" si="2"/>
        <v>15250</v>
      </c>
      <c r="H52" s="68">
        <f t="shared" si="2"/>
        <v>43900</v>
      </c>
      <c r="I52" s="68">
        <f t="shared" si="2"/>
        <v>56850</v>
      </c>
      <c r="J52" s="68">
        <f t="shared" si="2"/>
        <v>27600</v>
      </c>
      <c r="K52" s="68">
        <f t="shared" si="2"/>
        <v>17626</v>
      </c>
      <c r="L52" s="68">
        <f t="shared" si="2"/>
        <v>0</v>
      </c>
      <c r="M52" s="68">
        <f t="shared" si="2"/>
        <v>4040</v>
      </c>
      <c r="N52" s="68">
        <f t="shared" si="2"/>
        <v>0</v>
      </c>
      <c r="O52" s="68">
        <f t="shared" si="2"/>
        <v>19714</v>
      </c>
      <c r="P52" s="68">
        <f t="shared" si="2"/>
        <v>189980</v>
      </c>
      <c r="Q52" s="68">
        <f t="shared" si="2"/>
        <v>0</v>
      </c>
      <c r="R52" s="69"/>
      <c r="S52" s="28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ht="58.5" customHeight="1">
      <c r="A53" s="70"/>
      <c r="B53" s="70"/>
      <c r="C53" s="71"/>
      <c r="D53" s="70"/>
      <c r="E53" s="70"/>
      <c r="F53" s="72">
        <f>F52+G52+H52+I52+J52+K52+L52+M52+N52+O52</f>
        <v>189980</v>
      </c>
      <c r="P53" s="73"/>
      <c r="Q53" s="73"/>
      <c r="R53" s="70"/>
      <c r="S53" s="70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75" t="s">
        <v>135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82" t="s">
        <v>229</v>
      </c>
      <c r="D57" s="4"/>
      <c r="E57" s="76" t="s">
        <v>136</v>
      </c>
      <c r="F57" s="77" t="s">
        <v>137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74"/>
      <c r="D58" s="4"/>
      <c r="E58" s="78" t="s">
        <v>138</v>
      </c>
      <c r="F58" s="77" t="s">
        <v>230</v>
      </c>
      <c r="G58" s="4"/>
      <c r="H58" s="4"/>
      <c r="I58" s="4"/>
      <c r="J58" s="4"/>
      <c r="K58" s="4"/>
      <c r="L58" s="4"/>
      <c r="M58" s="4"/>
      <c r="N58" s="4"/>
      <c r="O58" s="79" t="s">
        <v>135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74"/>
      <c r="D59" s="4"/>
      <c r="E59" s="78" t="s">
        <v>140</v>
      </c>
      <c r="F59" s="77" t="s">
        <v>146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74"/>
      <c r="D60" s="4"/>
      <c r="E60" s="78" t="s">
        <v>141</v>
      </c>
      <c r="F60" s="77" t="s">
        <v>230</v>
      </c>
      <c r="G60" s="4"/>
      <c r="H60" s="4"/>
      <c r="I60" s="4"/>
      <c r="J60" s="4"/>
      <c r="K60" s="4" t="s">
        <v>135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74"/>
      <c r="D61" s="4"/>
      <c r="E61" s="78" t="s">
        <v>142</v>
      </c>
      <c r="F61" s="77" t="s">
        <v>230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74"/>
      <c r="D62" s="4"/>
      <c r="E62" s="78" t="s">
        <v>231</v>
      </c>
      <c r="F62" s="77" t="s">
        <v>230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74"/>
      <c r="D63" s="4"/>
      <c r="E63" s="78" t="s">
        <v>145</v>
      </c>
      <c r="F63" s="77" t="s">
        <v>146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74"/>
      <c r="D64" s="4"/>
      <c r="E64" s="78" t="s">
        <v>147</v>
      </c>
      <c r="F64" s="80" t="s">
        <v>137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79" t="s">
        <v>135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 t="str">
        <f>I72452</f>
        <v/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79" t="s">
        <v>148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>
        <v>7.0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7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7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7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7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7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7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7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7">
    <mergeCell ref="R2:R4"/>
    <mergeCell ref="S2:S4"/>
    <mergeCell ref="F3:F4"/>
    <mergeCell ref="G3:H3"/>
    <mergeCell ref="I3:J3"/>
    <mergeCell ref="K3:K4"/>
    <mergeCell ref="F53:O5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45629.0</v>
      </c>
      <c r="C5" s="18" t="s">
        <v>233</v>
      </c>
      <c r="D5" s="19">
        <v>80128.0</v>
      </c>
      <c r="E5" s="20" t="s">
        <v>234</v>
      </c>
      <c r="F5" s="21"/>
      <c r="G5" s="22"/>
      <c r="H5" s="21"/>
      <c r="I5" s="23">
        <v>2600.0</v>
      </c>
      <c r="J5" s="24"/>
      <c r="K5" s="22"/>
      <c r="L5" s="25"/>
      <c r="M5" s="21"/>
      <c r="N5" s="22"/>
      <c r="O5" s="22"/>
      <c r="P5" s="26">
        <v>2600.0</v>
      </c>
      <c r="Q5" s="27">
        <f t="shared" ref="Q5:Q37" si="1">F5+G5+H5+I5+J5+K5+L5+M5+N5+O5-P5</f>
        <v>0</v>
      </c>
      <c r="R5" s="26" t="s">
        <v>30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45629.0</v>
      </c>
      <c r="C6" s="18" t="s">
        <v>235</v>
      </c>
      <c r="D6" s="19">
        <v>22332.0</v>
      </c>
      <c r="E6" s="20" t="s">
        <v>60</v>
      </c>
      <c r="F6" s="21"/>
      <c r="G6" s="22"/>
      <c r="H6" s="21"/>
      <c r="I6" s="23"/>
      <c r="J6" s="24"/>
      <c r="K6" s="22"/>
      <c r="L6" s="25"/>
      <c r="M6" s="30">
        <v>2500.0</v>
      </c>
      <c r="N6" s="22"/>
      <c r="O6" s="22"/>
      <c r="P6" s="26">
        <v>2500.0</v>
      </c>
      <c r="Q6" s="27">
        <f t="shared" si="1"/>
        <v>0</v>
      </c>
      <c r="R6" s="26" t="s">
        <v>48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29">
        <v>45630.0</v>
      </c>
      <c r="C7" s="18" t="s">
        <v>236</v>
      </c>
      <c r="D7" s="19">
        <v>35227.0</v>
      </c>
      <c r="E7" s="20" t="s">
        <v>237</v>
      </c>
      <c r="F7" s="21"/>
      <c r="G7" s="25"/>
      <c r="H7" s="22"/>
      <c r="I7" s="30">
        <v>1000.0</v>
      </c>
      <c r="J7" s="22"/>
      <c r="K7" s="25"/>
      <c r="L7" s="22"/>
      <c r="M7" s="21"/>
      <c r="N7" s="22"/>
      <c r="O7" s="22"/>
      <c r="P7" s="26">
        <v>1000.0</v>
      </c>
      <c r="Q7" s="27">
        <f t="shared" si="1"/>
        <v>0</v>
      </c>
      <c r="R7" s="26" t="s">
        <v>48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45630.0</v>
      </c>
      <c r="C8" s="18" t="s">
        <v>238</v>
      </c>
      <c r="D8" s="19">
        <v>36555.0</v>
      </c>
      <c r="E8" s="20" t="s">
        <v>196</v>
      </c>
      <c r="F8" s="22"/>
      <c r="G8" s="25"/>
      <c r="H8" s="21"/>
      <c r="I8" s="30"/>
      <c r="J8" s="24"/>
      <c r="K8" s="25">
        <v>2600.0</v>
      </c>
      <c r="L8" s="22"/>
      <c r="M8" s="22"/>
      <c r="N8" s="22"/>
      <c r="O8" s="22"/>
      <c r="P8" s="26">
        <v>2600.0</v>
      </c>
      <c r="Q8" s="27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45630.0</v>
      </c>
      <c r="C9" s="18" t="s">
        <v>239</v>
      </c>
      <c r="D9" s="19">
        <v>78256.0</v>
      </c>
      <c r="E9" s="20" t="s">
        <v>240</v>
      </c>
      <c r="F9" s="22"/>
      <c r="G9" s="22"/>
      <c r="H9" s="25"/>
      <c r="I9" s="30">
        <v>4500.0</v>
      </c>
      <c r="J9" s="21"/>
      <c r="K9" s="22"/>
      <c r="L9" s="22"/>
      <c r="M9" s="22"/>
      <c r="N9" s="22"/>
      <c r="O9" s="22"/>
      <c r="P9" s="26">
        <v>4500.0</v>
      </c>
      <c r="Q9" s="27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45630.0</v>
      </c>
      <c r="C10" s="18" t="s">
        <v>241</v>
      </c>
      <c r="D10" s="19">
        <v>43112.0</v>
      </c>
      <c r="E10" s="20" t="s">
        <v>242</v>
      </c>
      <c r="F10" s="22"/>
      <c r="G10" s="22"/>
      <c r="H10" s="25"/>
      <c r="I10" s="30"/>
      <c r="J10" s="30">
        <v>5100.0</v>
      </c>
      <c r="K10" s="22"/>
      <c r="L10" s="22"/>
      <c r="M10" s="21"/>
      <c r="N10" s="22"/>
      <c r="O10" s="22"/>
      <c r="P10" s="26">
        <v>5100.0</v>
      </c>
      <c r="Q10" s="27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39">
        <v>45630.0</v>
      </c>
      <c r="C11" s="40" t="s">
        <v>243</v>
      </c>
      <c r="D11" s="41">
        <v>45193.0</v>
      </c>
      <c r="E11" s="42" t="s">
        <v>244</v>
      </c>
      <c r="F11" s="43"/>
      <c r="G11" s="43"/>
      <c r="H11" s="43"/>
      <c r="I11" s="44">
        <v>1000.0</v>
      </c>
      <c r="J11" s="45"/>
      <c r="K11" s="43"/>
      <c r="L11" s="43"/>
      <c r="M11" s="45"/>
      <c r="N11" s="43"/>
      <c r="O11" s="43"/>
      <c r="P11" s="46">
        <v>1000.0</v>
      </c>
      <c r="Q11" s="47">
        <f t="shared" si="1"/>
        <v>0</v>
      </c>
      <c r="R11" s="46" t="s">
        <v>48</v>
      </c>
      <c r="S11" s="8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45630.0</v>
      </c>
      <c r="C12" s="18" t="s">
        <v>245</v>
      </c>
      <c r="D12" s="19">
        <v>81108.0</v>
      </c>
      <c r="E12" s="20" t="s">
        <v>246</v>
      </c>
      <c r="F12" s="22"/>
      <c r="G12" s="22"/>
      <c r="H12" s="22"/>
      <c r="I12" s="30">
        <v>14100.0</v>
      </c>
      <c r="J12" s="30"/>
      <c r="K12" s="22"/>
      <c r="L12" s="22"/>
      <c r="M12" s="21"/>
      <c r="N12" s="22"/>
      <c r="O12" s="22"/>
      <c r="P12" s="26">
        <v>14100.0</v>
      </c>
      <c r="Q12" s="27">
        <f t="shared" si="1"/>
        <v>0</v>
      </c>
      <c r="R12" s="26" t="s">
        <v>30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45630.0</v>
      </c>
      <c r="C13" s="18" t="s">
        <v>247</v>
      </c>
      <c r="D13" s="19">
        <v>53249.0</v>
      </c>
      <c r="E13" s="20" t="s">
        <v>54</v>
      </c>
      <c r="F13" s="22"/>
      <c r="G13" s="22"/>
      <c r="H13" s="22"/>
      <c r="I13" s="30"/>
      <c r="J13" s="30">
        <v>31300.0</v>
      </c>
      <c r="K13" s="22"/>
      <c r="L13" s="22"/>
      <c r="M13" s="21"/>
      <c r="N13" s="22"/>
      <c r="O13" s="22"/>
      <c r="P13" s="26">
        <v>31300.0</v>
      </c>
      <c r="Q13" s="27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45630.0</v>
      </c>
      <c r="C14" s="33" t="s">
        <v>248</v>
      </c>
      <c r="D14" s="34">
        <v>74811.0</v>
      </c>
      <c r="E14" s="35" t="s">
        <v>249</v>
      </c>
      <c r="F14" s="22"/>
      <c r="G14" s="22"/>
      <c r="H14" s="22"/>
      <c r="I14" s="30">
        <v>100.0</v>
      </c>
      <c r="J14" s="30"/>
      <c r="K14" s="22"/>
      <c r="L14" s="22"/>
      <c r="M14" s="21"/>
      <c r="N14" s="22"/>
      <c r="O14" s="22"/>
      <c r="P14" s="36">
        <v>100.0</v>
      </c>
      <c r="Q14" s="27">
        <f t="shared" si="1"/>
        <v>0</v>
      </c>
      <c r="R14" s="36" t="s">
        <v>48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45630.0</v>
      </c>
      <c r="C15" s="33" t="s">
        <v>250</v>
      </c>
      <c r="D15" s="34">
        <v>10249.0</v>
      </c>
      <c r="E15" s="35" t="s">
        <v>251</v>
      </c>
      <c r="F15" s="22"/>
      <c r="G15" s="22"/>
      <c r="H15" s="22"/>
      <c r="I15" s="30"/>
      <c r="J15" s="30">
        <v>5000.0</v>
      </c>
      <c r="K15" s="22"/>
      <c r="L15" s="22"/>
      <c r="M15" s="21"/>
      <c r="N15" s="22"/>
      <c r="O15" s="22"/>
      <c r="P15" s="36">
        <v>5000.0</v>
      </c>
      <c r="Q15" s="27">
        <f t="shared" si="1"/>
        <v>0</v>
      </c>
      <c r="R15" s="36" t="s">
        <v>33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45630.0</v>
      </c>
      <c r="C16" s="33" t="s">
        <v>252</v>
      </c>
      <c r="D16" s="34">
        <v>10249.0</v>
      </c>
      <c r="E16" s="35" t="s">
        <v>251</v>
      </c>
      <c r="F16" s="22"/>
      <c r="G16" s="22"/>
      <c r="H16" s="22"/>
      <c r="I16" s="30"/>
      <c r="J16" s="30">
        <v>5000.0</v>
      </c>
      <c r="K16" s="22"/>
      <c r="L16" s="22"/>
      <c r="M16" s="30"/>
      <c r="N16" s="22"/>
      <c r="O16" s="22"/>
      <c r="P16" s="36">
        <v>5000.0</v>
      </c>
      <c r="Q16" s="27">
        <f t="shared" si="1"/>
        <v>0</v>
      </c>
      <c r="R16" s="36" t="s">
        <v>33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32">
        <v>45630.0</v>
      </c>
      <c r="C17" s="33" t="s">
        <v>253</v>
      </c>
      <c r="D17" s="34">
        <v>36826.0</v>
      </c>
      <c r="E17" s="35" t="s">
        <v>254</v>
      </c>
      <c r="F17" s="22"/>
      <c r="G17" s="22"/>
      <c r="H17" s="25">
        <v>11450.0</v>
      </c>
      <c r="I17" s="30"/>
      <c r="J17" s="21"/>
      <c r="K17" s="22"/>
      <c r="L17" s="22"/>
      <c r="M17" s="21"/>
      <c r="N17" s="22"/>
      <c r="O17" s="22"/>
      <c r="P17" s="36">
        <v>11450.0</v>
      </c>
      <c r="Q17" s="27">
        <f t="shared" si="1"/>
        <v>0</v>
      </c>
      <c r="R17" s="36" t="s">
        <v>30</v>
      </c>
      <c r="S17" s="81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ht="34.5" customHeight="1">
      <c r="A18" s="83">
        <v>14.0</v>
      </c>
      <c r="B18" s="32">
        <v>45630.0</v>
      </c>
      <c r="C18" s="33" t="s">
        <v>255</v>
      </c>
      <c r="D18" s="34">
        <v>49655.0</v>
      </c>
      <c r="E18" s="35" t="s">
        <v>132</v>
      </c>
      <c r="F18" s="22"/>
      <c r="G18" s="22"/>
      <c r="H18" s="22"/>
      <c r="I18" s="30"/>
      <c r="J18" s="30"/>
      <c r="K18" s="25">
        <v>9000.0</v>
      </c>
      <c r="L18" s="22"/>
      <c r="M18" s="21"/>
      <c r="N18" s="22"/>
      <c r="O18" s="22"/>
      <c r="P18" s="36">
        <v>9000.0</v>
      </c>
      <c r="Q18" s="27">
        <f t="shared" si="1"/>
        <v>0</v>
      </c>
      <c r="R18" s="36" t="s">
        <v>30</v>
      </c>
      <c r="S18" s="81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ht="34.5" customHeight="1">
      <c r="A19" s="83">
        <v>15.0</v>
      </c>
      <c r="B19" s="29">
        <v>45630.0</v>
      </c>
      <c r="C19" s="18" t="s">
        <v>256</v>
      </c>
      <c r="D19" s="19">
        <v>35227.0</v>
      </c>
      <c r="E19" s="20" t="s">
        <v>237</v>
      </c>
      <c r="F19" s="22"/>
      <c r="G19" s="25">
        <v>100.0</v>
      </c>
      <c r="H19" s="22"/>
      <c r="I19" s="30">
        <v>800.0</v>
      </c>
      <c r="J19" s="30"/>
      <c r="K19" s="22"/>
      <c r="L19" s="22"/>
      <c r="M19" s="22"/>
      <c r="N19" s="22"/>
      <c r="O19" s="22"/>
      <c r="P19" s="26">
        <v>900.0</v>
      </c>
      <c r="Q19" s="27">
        <f t="shared" si="1"/>
        <v>0</v>
      </c>
      <c r="R19" s="26" t="s">
        <v>33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32">
        <v>45630.0</v>
      </c>
      <c r="C20" s="33" t="s">
        <v>257</v>
      </c>
      <c r="D20" s="34">
        <v>35227.0</v>
      </c>
      <c r="E20" s="35" t="s">
        <v>237</v>
      </c>
      <c r="F20" s="22"/>
      <c r="G20" s="25">
        <v>4500.0</v>
      </c>
      <c r="H20" s="22"/>
      <c r="I20" s="30"/>
      <c r="J20" s="21"/>
      <c r="K20" s="25"/>
      <c r="L20" s="22"/>
      <c r="M20" s="21"/>
      <c r="N20" s="22"/>
      <c r="O20" s="22"/>
      <c r="P20" s="36">
        <v>4500.0</v>
      </c>
      <c r="Q20" s="27">
        <f t="shared" si="1"/>
        <v>0</v>
      </c>
      <c r="R20" s="36" t="s">
        <v>33</v>
      </c>
      <c r="S20" s="28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ht="34.5" customHeight="1">
      <c r="A21" s="83">
        <v>17.0</v>
      </c>
      <c r="B21" s="29">
        <v>45630.0</v>
      </c>
      <c r="C21" s="18" t="s">
        <v>258</v>
      </c>
      <c r="D21" s="19">
        <v>49655.0</v>
      </c>
      <c r="E21" s="20" t="s">
        <v>132</v>
      </c>
      <c r="F21" s="22"/>
      <c r="G21" s="22"/>
      <c r="H21" s="22"/>
      <c r="I21" s="23"/>
      <c r="J21" s="24"/>
      <c r="K21" s="25">
        <v>400.0</v>
      </c>
      <c r="L21" s="22"/>
      <c r="M21" s="22"/>
      <c r="N21" s="22"/>
      <c r="O21" s="22"/>
      <c r="P21" s="26">
        <v>400.0</v>
      </c>
      <c r="Q21" s="27">
        <f t="shared" si="1"/>
        <v>0</v>
      </c>
      <c r="R21" s="26" t="s">
        <v>30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45630.0</v>
      </c>
      <c r="C22" s="18" t="s">
        <v>259</v>
      </c>
      <c r="D22" s="19">
        <v>19688.0</v>
      </c>
      <c r="E22" s="20" t="s">
        <v>260</v>
      </c>
      <c r="F22" s="21"/>
      <c r="G22" s="25"/>
      <c r="H22" s="22"/>
      <c r="I22" s="49"/>
      <c r="J22" s="25">
        <v>10000.0</v>
      </c>
      <c r="K22" s="50"/>
      <c r="L22" s="22"/>
      <c r="M22" s="22"/>
      <c r="N22" s="22"/>
      <c r="O22" s="22"/>
      <c r="P22" s="26">
        <v>10000.0</v>
      </c>
      <c r="Q22" s="27">
        <f t="shared" si="1"/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45630.0</v>
      </c>
      <c r="C23" s="18" t="s">
        <v>261</v>
      </c>
      <c r="D23" s="19">
        <v>24368.0</v>
      </c>
      <c r="E23" s="20" t="s">
        <v>127</v>
      </c>
      <c r="F23" s="30"/>
      <c r="G23" s="22"/>
      <c r="H23" s="22"/>
      <c r="I23" s="30">
        <v>414.0</v>
      </c>
      <c r="J23" s="22"/>
      <c r="K23" s="30">
        <v>1136.0</v>
      </c>
      <c r="L23" s="22"/>
      <c r="M23" s="22"/>
      <c r="N23" s="22"/>
      <c r="O23" s="22"/>
      <c r="P23" s="26">
        <v>1550.0</v>
      </c>
      <c r="Q23" s="27">
        <f t="shared" si="1"/>
        <v>0</v>
      </c>
      <c r="R23" s="26" t="s">
        <v>33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51">
        <v>45630.0</v>
      </c>
      <c r="C24" s="52" t="s">
        <v>262</v>
      </c>
      <c r="D24" s="53">
        <v>10271.0</v>
      </c>
      <c r="E24" s="54" t="s">
        <v>263</v>
      </c>
      <c r="F24" s="55"/>
      <c r="G24" s="56"/>
      <c r="H24" s="57"/>
      <c r="I24" s="49"/>
      <c r="J24" s="49">
        <v>100.0</v>
      </c>
      <c r="K24" s="58"/>
      <c r="L24" s="57"/>
      <c r="M24" s="57"/>
      <c r="N24" s="57"/>
      <c r="O24" s="57"/>
      <c r="P24" s="59">
        <v>100.0</v>
      </c>
      <c r="Q24" s="27">
        <f t="shared" si="1"/>
        <v>0</v>
      </c>
      <c r="R24" s="59" t="s">
        <v>48</v>
      </c>
      <c r="S24" s="28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</row>
    <row r="25" ht="34.5" customHeight="1">
      <c r="A25" s="83">
        <v>21.0</v>
      </c>
      <c r="B25" s="29">
        <v>45630.0</v>
      </c>
      <c r="C25" s="18" t="s">
        <v>264</v>
      </c>
      <c r="D25" s="19">
        <v>48631.0</v>
      </c>
      <c r="E25" s="20" t="s">
        <v>166</v>
      </c>
      <c r="F25" s="21"/>
      <c r="G25" s="22"/>
      <c r="H25" s="22"/>
      <c r="I25" s="30">
        <v>1250.0</v>
      </c>
      <c r="J25" s="22"/>
      <c r="K25" s="50"/>
      <c r="L25" s="22"/>
      <c r="M25" s="25"/>
      <c r="N25" s="22"/>
      <c r="O25" s="22"/>
      <c r="P25" s="26">
        <v>1250.0</v>
      </c>
      <c r="Q25" s="27">
        <f t="shared" si="1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45630.0</v>
      </c>
      <c r="C26" s="18" t="s">
        <v>265</v>
      </c>
      <c r="D26" s="19">
        <v>48049.0</v>
      </c>
      <c r="E26" s="20" t="s">
        <v>266</v>
      </c>
      <c r="F26" s="21"/>
      <c r="G26" s="22"/>
      <c r="H26" s="22"/>
      <c r="I26" s="30">
        <v>1500.0</v>
      </c>
      <c r="J26" s="21"/>
      <c r="K26" s="50"/>
      <c r="L26" s="22"/>
      <c r="M26" s="22"/>
      <c r="N26" s="22"/>
      <c r="O26" s="22"/>
      <c r="P26" s="26">
        <v>1500.0</v>
      </c>
      <c r="Q26" s="27">
        <f t="shared" si="1"/>
        <v>0</v>
      </c>
      <c r="R26" s="26" t="s">
        <v>48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45630.0</v>
      </c>
      <c r="C27" s="18" t="s">
        <v>267</v>
      </c>
      <c r="D27" s="19">
        <v>47576.0</v>
      </c>
      <c r="E27" s="20" t="s">
        <v>268</v>
      </c>
      <c r="F27" s="21"/>
      <c r="G27" s="22"/>
      <c r="H27" s="22"/>
      <c r="I27" s="61">
        <v>5100.0</v>
      </c>
      <c r="J27" s="21"/>
      <c r="K27" s="61"/>
      <c r="L27" s="22"/>
      <c r="M27" s="22"/>
      <c r="N27" s="22"/>
      <c r="O27" s="22"/>
      <c r="P27" s="26">
        <v>5100.0</v>
      </c>
      <c r="Q27" s="27">
        <f t="shared" si="1"/>
        <v>0</v>
      </c>
      <c r="R27" s="26" t="s">
        <v>48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32">
        <v>45630.0</v>
      </c>
      <c r="C28" s="33" t="s">
        <v>269</v>
      </c>
      <c r="D28" s="34">
        <v>49658.0</v>
      </c>
      <c r="E28" s="35" t="s">
        <v>155</v>
      </c>
      <c r="F28" s="21"/>
      <c r="G28" s="22"/>
      <c r="H28" s="22"/>
      <c r="I28" s="30">
        <v>100.0</v>
      </c>
      <c r="J28" s="21"/>
      <c r="K28" s="24"/>
      <c r="L28" s="22"/>
      <c r="M28" s="22"/>
      <c r="N28" s="22"/>
      <c r="O28" s="22"/>
      <c r="P28" s="36">
        <v>100.0</v>
      </c>
      <c r="Q28" s="27">
        <f t="shared" si="1"/>
        <v>0</v>
      </c>
      <c r="R28" s="36" t="s">
        <v>48</v>
      </c>
      <c r="S28" s="81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34.5" customHeight="1">
      <c r="A29" s="83">
        <v>25.0</v>
      </c>
      <c r="B29" s="32">
        <v>45630.0</v>
      </c>
      <c r="C29" s="33" t="s">
        <v>270</v>
      </c>
      <c r="D29" s="34">
        <v>85298.0</v>
      </c>
      <c r="E29" s="35" t="s">
        <v>271</v>
      </c>
      <c r="F29" s="21"/>
      <c r="G29" s="22"/>
      <c r="H29" s="22"/>
      <c r="I29" s="30"/>
      <c r="J29" s="21"/>
      <c r="K29" s="24"/>
      <c r="L29" s="22"/>
      <c r="M29" s="25">
        <v>150.0</v>
      </c>
      <c r="N29" s="22"/>
      <c r="O29" s="22"/>
      <c r="P29" s="36">
        <v>150.0</v>
      </c>
      <c r="Q29" s="27">
        <f t="shared" si="1"/>
        <v>0</v>
      </c>
      <c r="R29" s="36" t="s">
        <v>48</v>
      </c>
      <c r="S29" s="81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34.5" customHeight="1">
      <c r="A30" s="83">
        <v>26.0</v>
      </c>
      <c r="B30" s="32">
        <v>45630.0</v>
      </c>
      <c r="C30" s="33" t="s">
        <v>272</v>
      </c>
      <c r="D30" s="34">
        <v>22332.0</v>
      </c>
      <c r="E30" s="35" t="s">
        <v>60</v>
      </c>
      <c r="F30" s="21"/>
      <c r="G30" s="22"/>
      <c r="H30" s="22"/>
      <c r="I30" s="30"/>
      <c r="J30" s="21"/>
      <c r="K30" s="23">
        <v>600.0</v>
      </c>
      <c r="L30" s="22"/>
      <c r="M30" s="22"/>
      <c r="N30" s="22"/>
      <c r="O30" s="22"/>
      <c r="P30" s="36">
        <v>600.0</v>
      </c>
      <c r="Q30" s="27">
        <f t="shared" si="1"/>
        <v>0</v>
      </c>
      <c r="R30" s="36" t="s">
        <v>48</v>
      </c>
      <c r="S30" s="81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34.5" customHeight="1">
      <c r="A31" s="83">
        <v>27.0</v>
      </c>
      <c r="B31" s="32">
        <v>45630.0</v>
      </c>
      <c r="C31" s="33" t="s">
        <v>273</v>
      </c>
      <c r="D31" s="34">
        <v>47787.0</v>
      </c>
      <c r="E31" s="35" t="s">
        <v>274</v>
      </c>
      <c r="F31" s="21"/>
      <c r="G31" s="22"/>
      <c r="H31" s="22"/>
      <c r="I31" s="30">
        <v>4700.0</v>
      </c>
      <c r="J31" s="30"/>
      <c r="K31" s="23"/>
      <c r="L31" s="22"/>
      <c r="M31" s="22"/>
      <c r="N31" s="22"/>
      <c r="O31" s="22"/>
      <c r="P31" s="36">
        <v>4700.0</v>
      </c>
      <c r="Q31" s="27">
        <f t="shared" si="1"/>
        <v>0</v>
      </c>
      <c r="R31" s="36" t="s">
        <v>30</v>
      </c>
      <c r="S31" s="81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34.5" customHeight="1">
      <c r="A32" s="83">
        <v>28.0</v>
      </c>
      <c r="B32" s="32">
        <v>45630.0</v>
      </c>
      <c r="C32" s="33" t="s">
        <v>275</v>
      </c>
      <c r="D32" s="34">
        <v>45096.0</v>
      </c>
      <c r="E32" s="35" t="s">
        <v>157</v>
      </c>
      <c r="F32" s="21"/>
      <c r="G32" s="22"/>
      <c r="H32" s="25"/>
      <c r="I32" s="30"/>
      <c r="J32" s="21"/>
      <c r="K32" s="24"/>
      <c r="L32" s="22"/>
      <c r="M32" s="22"/>
      <c r="N32" s="22"/>
      <c r="O32" s="25">
        <v>800.0</v>
      </c>
      <c r="P32" s="36">
        <v>800.0</v>
      </c>
      <c r="Q32" s="27">
        <f t="shared" si="1"/>
        <v>0</v>
      </c>
      <c r="R32" s="36"/>
      <c r="S32" s="81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34.5" customHeight="1">
      <c r="A33" s="83">
        <v>29.0</v>
      </c>
      <c r="B33" s="32">
        <v>45630.0</v>
      </c>
      <c r="C33" s="33" t="s">
        <v>276</v>
      </c>
      <c r="D33" s="34">
        <v>43134.0</v>
      </c>
      <c r="E33" s="35" t="s">
        <v>277</v>
      </c>
      <c r="F33" s="21"/>
      <c r="G33" s="22"/>
      <c r="H33" s="22"/>
      <c r="I33" s="30"/>
      <c r="J33" s="21"/>
      <c r="K33" s="24"/>
      <c r="L33" s="22"/>
      <c r="M33" s="25"/>
      <c r="N33" s="22"/>
      <c r="O33" s="25">
        <v>2400.0</v>
      </c>
      <c r="P33" s="36">
        <v>2400.0</v>
      </c>
      <c r="Q33" s="27">
        <f t="shared" si="1"/>
        <v>0</v>
      </c>
      <c r="R33" s="36"/>
      <c r="S33" s="81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ht="34.5" customHeight="1">
      <c r="A34" s="83">
        <v>30.0</v>
      </c>
      <c r="B34" s="32">
        <v>45630.0</v>
      </c>
      <c r="C34" s="33" t="s">
        <v>278</v>
      </c>
      <c r="D34" s="34">
        <v>74811.0</v>
      </c>
      <c r="E34" s="35" t="s">
        <v>249</v>
      </c>
      <c r="F34" s="21"/>
      <c r="G34" s="22"/>
      <c r="H34" s="22"/>
      <c r="I34" s="30"/>
      <c r="J34" s="21"/>
      <c r="K34" s="23">
        <v>150.0</v>
      </c>
      <c r="L34" s="22"/>
      <c r="M34" s="22"/>
      <c r="N34" s="22"/>
      <c r="O34" s="25">
        <v>3150.0</v>
      </c>
      <c r="P34" s="36">
        <v>3300.0</v>
      </c>
      <c r="Q34" s="27">
        <f t="shared" si="1"/>
        <v>0</v>
      </c>
      <c r="R34" s="36"/>
      <c r="S34" s="81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ht="34.5" customHeight="1">
      <c r="A35" s="83">
        <v>31.0</v>
      </c>
      <c r="B35" s="32">
        <v>45630.0</v>
      </c>
      <c r="C35" s="33" t="s">
        <v>279</v>
      </c>
      <c r="D35" s="34">
        <v>12102.0</v>
      </c>
      <c r="E35" s="35" t="s">
        <v>280</v>
      </c>
      <c r="F35" s="21"/>
      <c r="G35" s="22"/>
      <c r="H35" s="25">
        <v>10000.0</v>
      </c>
      <c r="I35" s="30"/>
      <c r="J35" s="21"/>
      <c r="K35" s="23"/>
      <c r="L35" s="22"/>
      <c r="M35" s="22"/>
      <c r="N35" s="22"/>
      <c r="O35" s="22"/>
      <c r="P35" s="36">
        <v>10000.0</v>
      </c>
      <c r="Q35" s="27">
        <f t="shared" si="1"/>
        <v>0</v>
      </c>
      <c r="R35" s="36"/>
      <c r="S35" s="81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ht="34.5" customHeight="1">
      <c r="A36" s="83">
        <v>32.0</v>
      </c>
      <c r="B36" s="32">
        <v>45630.0</v>
      </c>
      <c r="C36" s="33" t="s">
        <v>281</v>
      </c>
      <c r="D36" s="34">
        <v>38299.0</v>
      </c>
      <c r="E36" s="35" t="s">
        <v>282</v>
      </c>
      <c r="F36" s="21"/>
      <c r="G36" s="22"/>
      <c r="H36" s="22"/>
      <c r="I36" s="30"/>
      <c r="J36" s="21"/>
      <c r="K36" s="23">
        <v>300.0</v>
      </c>
      <c r="L36" s="22"/>
      <c r="M36" s="22"/>
      <c r="N36" s="22"/>
      <c r="O36" s="22"/>
      <c r="P36" s="36">
        <v>300.0</v>
      </c>
      <c r="Q36" s="27">
        <f t="shared" si="1"/>
        <v>0</v>
      </c>
      <c r="R36" s="36"/>
      <c r="S36" s="81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34.5" customHeight="1">
      <c r="A37" s="83">
        <v>33.0</v>
      </c>
      <c r="B37" s="29">
        <v>45630.0</v>
      </c>
      <c r="C37" s="18" t="s">
        <v>283</v>
      </c>
      <c r="D37" s="19">
        <v>50148.0</v>
      </c>
      <c r="E37" s="20" t="s">
        <v>284</v>
      </c>
      <c r="F37" s="21"/>
      <c r="G37" s="22"/>
      <c r="H37" s="25">
        <v>450.0</v>
      </c>
      <c r="I37" s="30"/>
      <c r="J37" s="21"/>
      <c r="K37" s="24"/>
      <c r="L37" s="22"/>
      <c r="M37" s="22"/>
      <c r="N37" s="22"/>
      <c r="O37" s="25"/>
      <c r="P37" s="26">
        <v>450.0</v>
      </c>
      <c r="Q37" s="27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/>
      <c r="B38" s="29"/>
      <c r="C38" s="18"/>
      <c r="D38" s="19"/>
      <c r="E38" s="20"/>
      <c r="F38" s="21"/>
      <c r="G38" s="22"/>
      <c r="H38" s="25"/>
      <c r="I38" s="21"/>
      <c r="J38" s="21"/>
      <c r="K38" s="24"/>
      <c r="L38" s="22"/>
      <c r="M38" s="22"/>
      <c r="N38" s="22"/>
      <c r="O38" s="22"/>
      <c r="P38" s="26"/>
      <c r="Q38" s="27"/>
      <c r="R38" s="63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7.5" customHeight="1">
      <c r="A39" s="16"/>
      <c r="B39" s="64"/>
      <c r="C39" s="65"/>
      <c r="D39" s="66" t="s">
        <v>135</v>
      </c>
      <c r="E39" s="67"/>
      <c r="F39" s="68">
        <f>SUM(F6:F38)</f>
        <v>0</v>
      </c>
      <c r="G39" s="68">
        <f t="shared" ref="G39:K39" si="2">SUM(G5:G38)</f>
        <v>4600</v>
      </c>
      <c r="H39" s="68">
        <f t="shared" si="2"/>
        <v>21900</v>
      </c>
      <c r="I39" s="68">
        <f t="shared" si="2"/>
        <v>37164</v>
      </c>
      <c r="J39" s="68">
        <f t="shared" si="2"/>
        <v>56500</v>
      </c>
      <c r="K39" s="68">
        <f t="shared" si="2"/>
        <v>14186</v>
      </c>
      <c r="L39" s="68">
        <f>SUM(L6:L38)</f>
        <v>0</v>
      </c>
      <c r="M39" s="68">
        <f>SUM(M5:M38)</f>
        <v>2650</v>
      </c>
      <c r="N39" s="68">
        <f>SUM(N6:N38)</f>
        <v>0</v>
      </c>
      <c r="O39" s="68">
        <f t="shared" ref="O39:P39" si="3">SUM(O5:O38)</f>
        <v>6350</v>
      </c>
      <c r="P39" s="68">
        <f t="shared" si="3"/>
        <v>143350</v>
      </c>
      <c r="Q39" s="85">
        <v>143350.0</v>
      </c>
      <c r="R39" s="69"/>
      <c r="S39" s="28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ht="58.5" customHeight="1">
      <c r="A40" s="70"/>
      <c r="B40" s="70"/>
      <c r="C40" s="71"/>
      <c r="D40" s="70"/>
      <c r="E40" s="70"/>
      <c r="F40" s="72">
        <f>F39+G39+H39+I39+J39+K39+L39+M39+N39+O39</f>
        <v>143350</v>
      </c>
      <c r="P40" s="73"/>
      <c r="Q40" s="73"/>
      <c r="R40" s="70"/>
      <c r="S40" s="70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ht="15.75" customHeight="1">
      <c r="A41" s="4"/>
      <c r="B41" s="4"/>
      <c r="C41" s="7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5" t="s">
        <v>135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82" t="s">
        <v>229</v>
      </c>
      <c r="D44" s="4"/>
      <c r="E44" s="76" t="s">
        <v>136</v>
      </c>
      <c r="F44" s="77" t="s">
        <v>137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78" t="s">
        <v>138</v>
      </c>
      <c r="F45" s="77" t="s">
        <v>230</v>
      </c>
      <c r="G45" s="4"/>
      <c r="H45" s="4"/>
      <c r="I45" s="4"/>
      <c r="J45" s="4"/>
      <c r="K45" s="4"/>
      <c r="L45" s="4"/>
      <c r="M45" s="4"/>
      <c r="N45" s="4"/>
      <c r="O45" s="79" t="s">
        <v>135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78" t="s">
        <v>140</v>
      </c>
      <c r="F46" s="77" t="s">
        <v>146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141</v>
      </c>
      <c r="F47" s="77" t="s">
        <v>230</v>
      </c>
      <c r="G47" s="4"/>
      <c r="H47" s="4"/>
      <c r="I47" s="4"/>
      <c r="J47" s="4"/>
      <c r="K47" s="4" t="s">
        <v>135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142</v>
      </c>
      <c r="F48" s="77" t="s">
        <v>230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78" t="s">
        <v>285</v>
      </c>
      <c r="F49" s="77" t="s">
        <v>230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78" t="s">
        <v>145</v>
      </c>
      <c r="F50" s="77" t="s">
        <v>146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78" t="s">
        <v>147</v>
      </c>
      <c r="F51" s="80" t="s">
        <v>137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79" t="s">
        <v>135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79" t="s">
        <v>148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7">
    <mergeCell ref="R2:R4"/>
    <mergeCell ref="S2:S4"/>
    <mergeCell ref="F3:F4"/>
    <mergeCell ref="G3:H3"/>
    <mergeCell ref="I3:J3"/>
    <mergeCell ref="K3:K4"/>
    <mergeCell ref="F40:O4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45630.0</v>
      </c>
      <c r="C5" s="18" t="s">
        <v>287</v>
      </c>
      <c r="D5" s="19">
        <v>10008.0</v>
      </c>
      <c r="E5" s="20" t="s">
        <v>151</v>
      </c>
      <c r="F5" s="21"/>
      <c r="G5" s="22"/>
      <c r="H5" s="21"/>
      <c r="I5" s="23">
        <v>1400.0</v>
      </c>
      <c r="J5" s="24"/>
      <c r="K5" s="22"/>
      <c r="L5" s="25"/>
      <c r="M5" s="21"/>
      <c r="N5" s="22"/>
      <c r="O5" s="22"/>
      <c r="P5" s="26">
        <v>1400.0</v>
      </c>
      <c r="Q5" s="27">
        <f t="shared" ref="Q5:Q40" si="1">F5+G5+H5+I5+J5+K5+L5+M5+N5+O5-P5</f>
        <v>0</v>
      </c>
      <c r="R5" s="26" t="s">
        <v>33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45630.0</v>
      </c>
      <c r="C6" s="18" t="s">
        <v>288</v>
      </c>
      <c r="D6" s="19">
        <v>51043.0</v>
      </c>
      <c r="E6" s="20" t="s">
        <v>289</v>
      </c>
      <c r="F6" s="21"/>
      <c r="G6" s="22"/>
      <c r="H6" s="21"/>
      <c r="I6" s="23"/>
      <c r="J6" s="23">
        <v>2600.0</v>
      </c>
      <c r="K6" s="22"/>
      <c r="L6" s="25"/>
      <c r="M6" s="30"/>
      <c r="N6" s="22"/>
      <c r="O6" s="22"/>
      <c r="P6" s="26">
        <v>2600.0</v>
      </c>
      <c r="Q6" s="27">
        <f t="shared" si="1"/>
        <v>0</v>
      </c>
      <c r="R6" s="26" t="s">
        <v>30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29">
        <v>45632.0</v>
      </c>
      <c r="C7" s="18" t="s">
        <v>290</v>
      </c>
      <c r="D7" s="19">
        <v>56743.0</v>
      </c>
      <c r="E7" s="20" t="s">
        <v>291</v>
      </c>
      <c r="F7" s="21"/>
      <c r="G7" s="25"/>
      <c r="H7" s="22"/>
      <c r="I7" s="30"/>
      <c r="J7" s="25">
        <v>2600.0</v>
      </c>
      <c r="K7" s="25"/>
      <c r="L7" s="22"/>
      <c r="M7" s="21"/>
      <c r="N7" s="22"/>
      <c r="O7" s="22"/>
      <c r="P7" s="26">
        <v>2600.0</v>
      </c>
      <c r="Q7" s="27">
        <f t="shared" si="1"/>
        <v>0</v>
      </c>
      <c r="R7" s="26" t="s">
        <v>48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45632.0</v>
      </c>
      <c r="C8" s="18" t="s">
        <v>292</v>
      </c>
      <c r="D8" s="19">
        <v>50596.0</v>
      </c>
      <c r="E8" s="20" t="s">
        <v>293</v>
      </c>
      <c r="F8" s="22"/>
      <c r="G8" s="25"/>
      <c r="H8" s="21"/>
      <c r="I8" s="30">
        <v>2500.0</v>
      </c>
      <c r="J8" s="24"/>
      <c r="K8" s="25"/>
      <c r="L8" s="22"/>
      <c r="M8" s="22"/>
      <c r="N8" s="22"/>
      <c r="O8" s="22"/>
      <c r="P8" s="26">
        <v>2500.0</v>
      </c>
      <c r="Q8" s="27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45632.0</v>
      </c>
      <c r="C9" s="18" t="s">
        <v>294</v>
      </c>
      <c r="D9" s="19">
        <v>77886.0</v>
      </c>
      <c r="E9" s="20" t="s">
        <v>295</v>
      </c>
      <c r="F9" s="22"/>
      <c r="G9" s="22"/>
      <c r="H9" s="25"/>
      <c r="I9" s="30">
        <v>5400.0</v>
      </c>
      <c r="J9" s="21"/>
      <c r="K9" s="22"/>
      <c r="L9" s="22"/>
      <c r="M9" s="22"/>
      <c r="N9" s="22"/>
      <c r="O9" s="22"/>
      <c r="P9" s="26">
        <v>5400.0</v>
      </c>
      <c r="Q9" s="27">
        <f t="shared" si="1"/>
        <v>0</v>
      </c>
      <c r="R9" s="26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45632.0</v>
      </c>
      <c r="C10" s="18" t="s">
        <v>296</v>
      </c>
      <c r="D10" s="19">
        <v>63830.0</v>
      </c>
      <c r="E10" s="20" t="s">
        <v>297</v>
      </c>
      <c r="F10" s="22"/>
      <c r="G10" s="22"/>
      <c r="H10" s="25"/>
      <c r="I10" s="30">
        <v>10000.0</v>
      </c>
      <c r="J10" s="30"/>
      <c r="K10" s="22"/>
      <c r="L10" s="22"/>
      <c r="M10" s="21"/>
      <c r="N10" s="22"/>
      <c r="O10" s="22"/>
      <c r="P10" s="26">
        <v>10000.0</v>
      </c>
      <c r="Q10" s="27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6">
        <v>7.0</v>
      </c>
      <c r="B11" s="39">
        <v>45632.0</v>
      </c>
      <c r="C11" s="40" t="s">
        <v>298</v>
      </c>
      <c r="D11" s="41">
        <v>48973.0</v>
      </c>
      <c r="E11" s="42" t="s">
        <v>299</v>
      </c>
      <c r="F11" s="43"/>
      <c r="G11" s="43"/>
      <c r="H11" s="43"/>
      <c r="I11" s="44">
        <v>1000.0</v>
      </c>
      <c r="J11" s="45"/>
      <c r="K11" s="43"/>
      <c r="L11" s="43"/>
      <c r="M11" s="45"/>
      <c r="N11" s="43"/>
      <c r="O11" s="43"/>
      <c r="P11" s="46">
        <v>1000.0</v>
      </c>
      <c r="Q11" s="47">
        <f t="shared" si="1"/>
        <v>0</v>
      </c>
      <c r="R11" s="46" t="s">
        <v>48</v>
      </c>
      <c r="S11" s="8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45632.0</v>
      </c>
      <c r="C12" s="18" t="s">
        <v>300</v>
      </c>
      <c r="D12" s="19">
        <v>66770.0</v>
      </c>
      <c r="E12" s="20" t="s">
        <v>301</v>
      </c>
      <c r="F12" s="22"/>
      <c r="G12" s="22"/>
      <c r="H12" s="22"/>
      <c r="I12" s="30"/>
      <c r="J12" s="30">
        <v>10000.0</v>
      </c>
      <c r="K12" s="22"/>
      <c r="L12" s="22"/>
      <c r="M12" s="21"/>
      <c r="N12" s="22"/>
      <c r="O12" s="22"/>
      <c r="P12" s="26">
        <v>10000.0</v>
      </c>
      <c r="Q12" s="27">
        <f t="shared" si="1"/>
        <v>0</v>
      </c>
      <c r="R12" s="26" t="s">
        <v>30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45632.0</v>
      </c>
      <c r="C13" s="18" t="s">
        <v>302</v>
      </c>
      <c r="D13" s="19">
        <v>52669.0</v>
      </c>
      <c r="E13" s="20" t="s">
        <v>211</v>
      </c>
      <c r="F13" s="22"/>
      <c r="G13" s="22"/>
      <c r="H13" s="22"/>
      <c r="I13" s="30">
        <v>4500.0</v>
      </c>
      <c r="J13" s="30"/>
      <c r="K13" s="22"/>
      <c r="L13" s="22"/>
      <c r="M13" s="21"/>
      <c r="N13" s="22"/>
      <c r="O13" s="22"/>
      <c r="P13" s="26">
        <v>4500.0</v>
      </c>
      <c r="Q13" s="27">
        <f t="shared" si="1"/>
        <v>0</v>
      </c>
      <c r="R13" s="26" t="s">
        <v>30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45632.0</v>
      </c>
      <c r="C14" s="33" t="s">
        <v>303</v>
      </c>
      <c r="D14" s="34">
        <v>19971.0</v>
      </c>
      <c r="E14" s="35" t="s">
        <v>304</v>
      </c>
      <c r="F14" s="22"/>
      <c r="G14" s="22"/>
      <c r="H14" s="22"/>
      <c r="I14" s="30"/>
      <c r="J14" s="30">
        <v>5000.0</v>
      </c>
      <c r="K14" s="22"/>
      <c r="L14" s="22"/>
      <c r="M14" s="21"/>
      <c r="N14" s="22"/>
      <c r="O14" s="22"/>
      <c r="P14" s="36">
        <v>5000.0</v>
      </c>
      <c r="Q14" s="27">
        <f t="shared" si="1"/>
        <v>0</v>
      </c>
      <c r="R14" s="36" t="s">
        <v>30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45632.0</v>
      </c>
      <c r="C15" s="33" t="s">
        <v>305</v>
      </c>
      <c r="D15" s="34">
        <v>19971.0</v>
      </c>
      <c r="E15" s="35" t="s">
        <v>304</v>
      </c>
      <c r="F15" s="22"/>
      <c r="G15" s="22"/>
      <c r="H15" s="22"/>
      <c r="I15" s="30"/>
      <c r="J15" s="30">
        <v>5000.0</v>
      </c>
      <c r="K15" s="22"/>
      <c r="L15" s="22"/>
      <c r="M15" s="21"/>
      <c r="N15" s="22"/>
      <c r="O15" s="22"/>
      <c r="P15" s="36">
        <v>5000.0</v>
      </c>
      <c r="Q15" s="27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45632.0</v>
      </c>
      <c r="C16" s="33" t="s">
        <v>306</v>
      </c>
      <c r="D16" s="34">
        <v>22332.0</v>
      </c>
      <c r="E16" s="35" t="s">
        <v>60</v>
      </c>
      <c r="F16" s="22"/>
      <c r="G16" s="22"/>
      <c r="H16" s="22"/>
      <c r="I16" s="30">
        <v>5100.0</v>
      </c>
      <c r="J16" s="30"/>
      <c r="K16" s="22"/>
      <c r="L16" s="22"/>
      <c r="M16" s="30"/>
      <c r="N16" s="22"/>
      <c r="O16" s="22"/>
      <c r="P16" s="36">
        <v>5100.0</v>
      </c>
      <c r="Q16" s="27">
        <f t="shared" si="1"/>
        <v>0</v>
      </c>
      <c r="R16" s="36" t="s">
        <v>33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32">
        <v>45632.0</v>
      </c>
      <c r="C17" s="33" t="s">
        <v>307</v>
      </c>
      <c r="D17" s="34">
        <v>85241.0</v>
      </c>
      <c r="E17" s="35" t="s">
        <v>308</v>
      </c>
      <c r="F17" s="22"/>
      <c r="G17" s="22"/>
      <c r="H17" s="25"/>
      <c r="I17" s="30">
        <v>2600.0</v>
      </c>
      <c r="J17" s="21"/>
      <c r="K17" s="22"/>
      <c r="L17" s="22"/>
      <c r="M17" s="21"/>
      <c r="N17" s="22"/>
      <c r="O17" s="22"/>
      <c r="P17" s="36">
        <v>2600.0</v>
      </c>
      <c r="Q17" s="27">
        <f t="shared" si="1"/>
        <v>0</v>
      </c>
      <c r="R17" s="36" t="s">
        <v>25</v>
      </c>
      <c r="S17" s="81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ht="34.5" customHeight="1">
      <c r="A18" s="83">
        <v>14.0</v>
      </c>
      <c r="B18" s="32">
        <v>45632.0</v>
      </c>
      <c r="C18" s="33" t="s">
        <v>309</v>
      </c>
      <c r="D18" s="34">
        <v>10839.0</v>
      </c>
      <c r="E18" s="35" t="s">
        <v>310</v>
      </c>
      <c r="F18" s="22"/>
      <c r="G18" s="22"/>
      <c r="H18" s="22"/>
      <c r="I18" s="30"/>
      <c r="J18" s="30">
        <v>4600.0</v>
      </c>
      <c r="K18" s="25"/>
      <c r="L18" s="22"/>
      <c r="M18" s="21"/>
      <c r="N18" s="22"/>
      <c r="O18" s="22"/>
      <c r="P18" s="36">
        <v>4600.0</v>
      </c>
      <c r="Q18" s="27">
        <f t="shared" si="1"/>
        <v>0</v>
      </c>
      <c r="R18" s="36" t="s">
        <v>33</v>
      </c>
      <c r="S18" s="81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ht="34.5" customHeight="1">
      <c r="A19" s="83">
        <v>15.0</v>
      </c>
      <c r="B19" s="29">
        <v>45632.0</v>
      </c>
      <c r="C19" s="18" t="s">
        <v>311</v>
      </c>
      <c r="D19" s="19">
        <v>85398.0</v>
      </c>
      <c r="E19" s="20" t="s">
        <v>312</v>
      </c>
      <c r="F19" s="22"/>
      <c r="G19" s="25"/>
      <c r="H19" s="22"/>
      <c r="I19" s="30">
        <v>7300.0</v>
      </c>
      <c r="J19" s="30"/>
      <c r="K19" s="22"/>
      <c r="L19" s="22"/>
      <c r="M19" s="22"/>
      <c r="N19" s="22"/>
      <c r="O19" s="22"/>
      <c r="P19" s="26">
        <v>7300.0</v>
      </c>
      <c r="Q19" s="27">
        <f t="shared" si="1"/>
        <v>0</v>
      </c>
      <c r="R19" s="26" t="s">
        <v>30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32">
        <v>45632.0</v>
      </c>
      <c r="C20" s="33" t="s">
        <v>313</v>
      </c>
      <c r="D20" s="34">
        <v>56747.0</v>
      </c>
      <c r="E20" s="35" t="s">
        <v>52</v>
      </c>
      <c r="F20" s="22"/>
      <c r="G20" s="25"/>
      <c r="H20" s="22"/>
      <c r="I20" s="30"/>
      <c r="J20" s="30">
        <v>9500.0</v>
      </c>
      <c r="K20" s="25"/>
      <c r="L20" s="22"/>
      <c r="M20" s="21"/>
      <c r="N20" s="22"/>
      <c r="O20" s="22"/>
      <c r="P20" s="36">
        <v>9500.0</v>
      </c>
      <c r="Q20" s="27">
        <f t="shared" si="1"/>
        <v>0</v>
      </c>
      <c r="R20" s="36" t="s">
        <v>33</v>
      </c>
      <c r="S20" s="28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ht="34.5" customHeight="1">
      <c r="A21" s="83">
        <v>17.0</v>
      </c>
      <c r="B21" s="29">
        <v>45632.0</v>
      </c>
      <c r="C21" s="18" t="s">
        <v>314</v>
      </c>
      <c r="D21" s="19">
        <v>85399.0</v>
      </c>
      <c r="E21" s="20" t="s">
        <v>315</v>
      </c>
      <c r="F21" s="22"/>
      <c r="G21" s="22"/>
      <c r="H21" s="22"/>
      <c r="I21" s="23">
        <v>300.0</v>
      </c>
      <c r="J21" s="24"/>
      <c r="K21" s="25"/>
      <c r="L21" s="22"/>
      <c r="M21" s="22"/>
      <c r="N21" s="22"/>
      <c r="O21" s="22"/>
      <c r="P21" s="26">
        <v>300.0</v>
      </c>
      <c r="Q21" s="27">
        <f t="shared" si="1"/>
        <v>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45632.0</v>
      </c>
      <c r="C22" s="18" t="s">
        <v>316</v>
      </c>
      <c r="D22" s="19">
        <v>43134.0</v>
      </c>
      <c r="E22" s="20" t="s">
        <v>277</v>
      </c>
      <c r="F22" s="21"/>
      <c r="G22" s="25"/>
      <c r="H22" s="22"/>
      <c r="I22" s="49">
        <v>14500.0</v>
      </c>
      <c r="J22" s="25"/>
      <c r="K22" s="50"/>
      <c r="L22" s="22"/>
      <c r="M22" s="22"/>
      <c r="N22" s="22"/>
      <c r="O22" s="22"/>
      <c r="P22" s="26">
        <v>14500.0</v>
      </c>
      <c r="Q22" s="27">
        <f t="shared" si="1"/>
        <v>0</v>
      </c>
      <c r="R22" s="26" t="s">
        <v>25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45632.0</v>
      </c>
      <c r="C23" s="18" t="s">
        <v>317</v>
      </c>
      <c r="D23" s="19">
        <v>59542.0</v>
      </c>
      <c r="E23" s="20" t="s">
        <v>318</v>
      </c>
      <c r="F23" s="30"/>
      <c r="G23" s="22"/>
      <c r="H23" s="22"/>
      <c r="I23" s="30">
        <v>15000.0</v>
      </c>
      <c r="J23" s="22"/>
      <c r="K23" s="30"/>
      <c r="L23" s="22"/>
      <c r="M23" s="22"/>
      <c r="N23" s="22"/>
      <c r="O23" s="22"/>
      <c r="P23" s="26">
        <v>15000.0</v>
      </c>
      <c r="Q23" s="27">
        <f t="shared" si="1"/>
        <v>0</v>
      </c>
      <c r="R23" s="26" t="s">
        <v>48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51">
        <v>45632.0</v>
      </c>
      <c r="C24" s="52" t="s">
        <v>319</v>
      </c>
      <c r="D24" s="53">
        <v>50436.0</v>
      </c>
      <c r="E24" s="54" t="s">
        <v>78</v>
      </c>
      <c r="F24" s="55"/>
      <c r="G24" s="56"/>
      <c r="H24" s="57"/>
      <c r="I24" s="49">
        <v>9500.0</v>
      </c>
      <c r="J24" s="49"/>
      <c r="K24" s="58"/>
      <c r="L24" s="57"/>
      <c r="M24" s="57"/>
      <c r="N24" s="57"/>
      <c r="O24" s="57"/>
      <c r="P24" s="59">
        <v>9500.0</v>
      </c>
      <c r="Q24" s="27">
        <f t="shared" si="1"/>
        <v>0</v>
      </c>
      <c r="R24" s="59" t="s">
        <v>33</v>
      </c>
      <c r="S24" s="28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</row>
    <row r="25" ht="34.5" customHeight="1">
      <c r="A25" s="83">
        <v>21.0</v>
      </c>
      <c r="B25" s="29">
        <v>45632.0</v>
      </c>
      <c r="C25" s="18" t="s">
        <v>320</v>
      </c>
      <c r="D25" s="19">
        <v>77501.0</v>
      </c>
      <c r="E25" s="20" t="s">
        <v>321</v>
      </c>
      <c r="F25" s="21"/>
      <c r="G25" s="22"/>
      <c r="H25" s="22"/>
      <c r="I25" s="30"/>
      <c r="J25" s="25">
        <v>5100.0</v>
      </c>
      <c r="K25" s="50"/>
      <c r="L25" s="22"/>
      <c r="M25" s="25"/>
      <c r="N25" s="22"/>
      <c r="O25" s="22"/>
      <c r="P25" s="26">
        <v>5100.0</v>
      </c>
      <c r="Q25" s="27">
        <f t="shared" si="1"/>
        <v>0</v>
      </c>
      <c r="R25" s="26" t="s">
        <v>33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45632.0</v>
      </c>
      <c r="C26" s="18" t="s">
        <v>322</v>
      </c>
      <c r="D26" s="19">
        <v>64461.0</v>
      </c>
      <c r="E26" s="20" t="s">
        <v>323</v>
      </c>
      <c r="F26" s="30">
        <v>5000.0</v>
      </c>
      <c r="G26" s="22"/>
      <c r="H26" s="22"/>
      <c r="I26" s="30"/>
      <c r="J26" s="21"/>
      <c r="K26" s="50"/>
      <c r="L26" s="22"/>
      <c r="M26" s="22"/>
      <c r="N26" s="22"/>
      <c r="O26" s="22"/>
      <c r="P26" s="26">
        <v>5000.0</v>
      </c>
      <c r="Q26" s="27">
        <f t="shared" si="1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45632.0</v>
      </c>
      <c r="C27" s="18" t="s">
        <v>324</v>
      </c>
      <c r="D27" s="19">
        <v>64461.0</v>
      </c>
      <c r="E27" s="20" t="s">
        <v>323</v>
      </c>
      <c r="F27" s="30">
        <v>5000.0</v>
      </c>
      <c r="G27" s="22"/>
      <c r="H27" s="22"/>
      <c r="I27" s="61"/>
      <c r="J27" s="21"/>
      <c r="K27" s="61"/>
      <c r="L27" s="22"/>
      <c r="M27" s="22"/>
      <c r="N27" s="22"/>
      <c r="O27" s="22"/>
      <c r="P27" s="26">
        <v>5000.0</v>
      </c>
      <c r="Q27" s="27">
        <f t="shared" si="1"/>
        <v>0</v>
      </c>
      <c r="R27" s="26" t="s">
        <v>33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32">
        <v>45632.0</v>
      </c>
      <c r="C28" s="33" t="s">
        <v>325</v>
      </c>
      <c r="D28" s="34">
        <v>76189.0</v>
      </c>
      <c r="E28" s="35" t="s">
        <v>326</v>
      </c>
      <c r="F28" s="21"/>
      <c r="G28" s="22"/>
      <c r="H28" s="22"/>
      <c r="I28" s="30">
        <v>5100.0</v>
      </c>
      <c r="J28" s="21"/>
      <c r="K28" s="24"/>
      <c r="L28" s="22"/>
      <c r="M28" s="22"/>
      <c r="N28" s="22"/>
      <c r="O28" s="22"/>
      <c r="P28" s="36">
        <v>5100.0</v>
      </c>
      <c r="Q28" s="27">
        <f t="shared" si="1"/>
        <v>0</v>
      </c>
      <c r="R28" s="36" t="s">
        <v>33</v>
      </c>
      <c r="S28" s="81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34.5" customHeight="1">
      <c r="A29" s="83">
        <v>25.0</v>
      </c>
      <c r="B29" s="32">
        <v>45632.0</v>
      </c>
      <c r="C29" s="33" t="s">
        <v>327</v>
      </c>
      <c r="D29" s="34">
        <v>78063.0</v>
      </c>
      <c r="E29" s="35" t="s">
        <v>328</v>
      </c>
      <c r="F29" s="21"/>
      <c r="G29" s="22"/>
      <c r="H29" s="22"/>
      <c r="I29" s="30">
        <v>5200.0</v>
      </c>
      <c r="J29" s="21"/>
      <c r="K29" s="24"/>
      <c r="L29" s="22"/>
      <c r="M29" s="25"/>
      <c r="N29" s="22"/>
      <c r="O29" s="22"/>
      <c r="P29" s="36">
        <v>5200.0</v>
      </c>
      <c r="Q29" s="27">
        <f t="shared" si="1"/>
        <v>0</v>
      </c>
      <c r="R29" s="36" t="s">
        <v>48</v>
      </c>
      <c r="S29" s="81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34.5" customHeight="1">
      <c r="A30" s="83">
        <v>26.0</v>
      </c>
      <c r="B30" s="32">
        <v>45631.0</v>
      </c>
      <c r="C30" s="33" t="s">
        <v>329</v>
      </c>
      <c r="D30" s="34">
        <v>10250.0</v>
      </c>
      <c r="E30" s="35" t="s">
        <v>330</v>
      </c>
      <c r="F30" s="21"/>
      <c r="G30" s="22"/>
      <c r="H30" s="25">
        <v>14500.0</v>
      </c>
      <c r="I30" s="30"/>
      <c r="J30" s="21"/>
      <c r="K30" s="23"/>
      <c r="L30" s="22"/>
      <c r="M30" s="22"/>
      <c r="N30" s="22"/>
      <c r="O30" s="22"/>
      <c r="P30" s="36">
        <v>14500.0</v>
      </c>
      <c r="Q30" s="27">
        <f t="shared" si="1"/>
        <v>0</v>
      </c>
      <c r="R30" s="36"/>
      <c r="S30" s="81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34.5" customHeight="1">
      <c r="A31" s="83">
        <v>27.0</v>
      </c>
      <c r="B31" s="32">
        <v>45631.0</v>
      </c>
      <c r="C31" s="33" t="s">
        <v>331</v>
      </c>
      <c r="D31" s="34">
        <v>10006.0</v>
      </c>
      <c r="E31" s="35" t="s">
        <v>332</v>
      </c>
      <c r="F31" s="21"/>
      <c r="G31" s="22"/>
      <c r="H31" s="22"/>
      <c r="I31" s="30"/>
      <c r="J31" s="30"/>
      <c r="K31" s="23">
        <v>15000.0</v>
      </c>
      <c r="L31" s="22"/>
      <c r="M31" s="22"/>
      <c r="N31" s="22"/>
      <c r="O31" s="22"/>
      <c r="P31" s="36">
        <v>15000.0</v>
      </c>
      <c r="Q31" s="27">
        <f t="shared" si="1"/>
        <v>0</v>
      </c>
      <c r="R31" s="36"/>
      <c r="S31" s="81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34.5" customHeight="1">
      <c r="A32" s="83">
        <v>28.0</v>
      </c>
      <c r="B32" s="32">
        <v>45631.0</v>
      </c>
      <c r="C32" s="33" t="s">
        <v>333</v>
      </c>
      <c r="D32" s="34">
        <v>10006.0</v>
      </c>
      <c r="E32" s="35" t="s">
        <v>332</v>
      </c>
      <c r="F32" s="21"/>
      <c r="G32" s="22"/>
      <c r="H32" s="25">
        <v>6000.0</v>
      </c>
      <c r="I32" s="30"/>
      <c r="J32" s="21"/>
      <c r="K32" s="24"/>
      <c r="L32" s="22"/>
      <c r="M32" s="22"/>
      <c r="N32" s="22"/>
      <c r="O32" s="25"/>
      <c r="P32" s="36">
        <v>6000.0</v>
      </c>
      <c r="Q32" s="27">
        <f t="shared" si="1"/>
        <v>0</v>
      </c>
      <c r="R32" s="36"/>
      <c r="S32" s="81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34.5" customHeight="1">
      <c r="A33" s="83">
        <v>29.0</v>
      </c>
      <c r="B33" s="32">
        <v>45631.0</v>
      </c>
      <c r="C33" s="33" t="s">
        <v>334</v>
      </c>
      <c r="D33" s="34">
        <v>51017.0</v>
      </c>
      <c r="E33" s="35" t="s">
        <v>335</v>
      </c>
      <c r="F33" s="21"/>
      <c r="G33" s="22"/>
      <c r="H33" s="25">
        <v>15000.0</v>
      </c>
      <c r="I33" s="30"/>
      <c r="J33" s="21"/>
      <c r="K33" s="24"/>
      <c r="L33" s="22"/>
      <c r="M33" s="25"/>
      <c r="N33" s="22"/>
      <c r="O33" s="25"/>
      <c r="P33" s="36">
        <v>15000.0</v>
      </c>
      <c r="Q33" s="27">
        <f t="shared" si="1"/>
        <v>0</v>
      </c>
      <c r="R33" s="36"/>
      <c r="S33" s="81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ht="34.5" customHeight="1">
      <c r="A34" s="83">
        <v>30.0</v>
      </c>
      <c r="B34" s="32">
        <v>45632.0</v>
      </c>
      <c r="C34" s="33" t="s">
        <v>336</v>
      </c>
      <c r="D34" s="34">
        <v>57876.0</v>
      </c>
      <c r="E34" s="35" t="s">
        <v>337</v>
      </c>
      <c r="F34" s="21"/>
      <c r="G34" s="22"/>
      <c r="H34" s="22"/>
      <c r="I34" s="30"/>
      <c r="J34" s="21"/>
      <c r="K34" s="23"/>
      <c r="L34" s="22"/>
      <c r="M34" s="22"/>
      <c r="N34" s="22"/>
      <c r="O34" s="25">
        <v>800.0</v>
      </c>
      <c r="P34" s="36">
        <v>800.0</v>
      </c>
      <c r="Q34" s="27">
        <f t="shared" si="1"/>
        <v>0</v>
      </c>
      <c r="R34" s="36"/>
      <c r="S34" s="81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ht="34.5" customHeight="1">
      <c r="A35" s="83">
        <v>31.0</v>
      </c>
      <c r="B35" s="32">
        <v>45632.0</v>
      </c>
      <c r="C35" s="33" t="s">
        <v>338</v>
      </c>
      <c r="D35" s="34">
        <v>37642.0</v>
      </c>
      <c r="E35" s="35" t="s">
        <v>339</v>
      </c>
      <c r="F35" s="21"/>
      <c r="G35" s="22"/>
      <c r="H35" s="25">
        <v>10000.0</v>
      </c>
      <c r="I35" s="30"/>
      <c r="J35" s="21"/>
      <c r="K35" s="23"/>
      <c r="L35" s="22"/>
      <c r="M35" s="22"/>
      <c r="N35" s="22"/>
      <c r="O35" s="22"/>
      <c r="P35" s="36">
        <v>10000.0</v>
      </c>
      <c r="Q35" s="27">
        <f t="shared" si="1"/>
        <v>0</v>
      </c>
      <c r="R35" s="36"/>
      <c r="S35" s="81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ht="34.5" customHeight="1">
      <c r="A36" s="83">
        <v>32.0</v>
      </c>
      <c r="B36" s="32">
        <v>45632.0</v>
      </c>
      <c r="C36" s="33" t="s">
        <v>340</v>
      </c>
      <c r="D36" s="34">
        <v>69346.0</v>
      </c>
      <c r="E36" s="35" t="s">
        <v>341</v>
      </c>
      <c r="F36" s="21"/>
      <c r="G36" s="22"/>
      <c r="H36" s="22"/>
      <c r="I36" s="30"/>
      <c r="J36" s="21"/>
      <c r="K36" s="23"/>
      <c r="L36" s="22"/>
      <c r="M36" s="22"/>
      <c r="N36" s="22"/>
      <c r="O36" s="25">
        <v>2400.0</v>
      </c>
      <c r="P36" s="36">
        <v>2400.0</v>
      </c>
      <c r="Q36" s="27">
        <f t="shared" si="1"/>
        <v>0</v>
      </c>
      <c r="R36" s="36"/>
      <c r="S36" s="81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34.5" customHeight="1">
      <c r="A37" s="83">
        <v>33.0</v>
      </c>
      <c r="B37" s="29">
        <v>45632.0</v>
      </c>
      <c r="C37" s="18" t="s">
        <v>342</v>
      </c>
      <c r="D37" s="19">
        <v>59542.0</v>
      </c>
      <c r="E37" s="20" t="s">
        <v>318</v>
      </c>
      <c r="F37" s="21"/>
      <c r="G37" s="22"/>
      <c r="H37" s="25"/>
      <c r="I37" s="30"/>
      <c r="J37" s="21"/>
      <c r="K37" s="24"/>
      <c r="L37" s="22"/>
      <c r="M37" s="22"/>
      <c r="N37" s="22"/>
      <c r="O37" s="25">
        <v>2400.0</v>
      </c>
      <c r="P37" s="26">
        <v>2400.0</v>
      </c>
      <c r="Q37" s="27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45632.0</v>
      </c>
      <c r="C38" s="18" t="s">
        <v>343</v>
      </c>
      <c r="D38" s="19">
        <v>69346.0</v>
      </c>
      <c r="E38" s="20" t="s">
        <v>341</v>
      </c>
      <c r="F38" s="21"/>
      <c r="G38" s="22"/>
      <c r="H38" s="25"/>
      <c r="I38" s="21"/>
      <c r="J38" s="21"/>
      <c r="K38" s="24"/>
      <c r="L38" s="22"/>
      <c r="M38" s="22"/>
      <c r="N38" s="22"/>
      <c r="O38" s="25">
        <v>1200.0</v>
      </c>
      <c r="P38" s="26">
        <v>1200.0</v>
      </c>
      <c r="Q38" s="27">
        <f t="shared" si="1"/>
        <v>0</v>
      </c>
      <c r="R38" s="63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45632.0</v>
      </c>
      <c r="C39" s="18" t="s">
        <v>344</v>
      </c>
      <c r="D39" s="19">
        <v>43380.0</v>
      </c>
      <c r="E39" s="20" t="s">
        <v>345</v>
      </c>
      <c r="F39" s="21"/>
      <c r="G39" s="22"/>
      <c r="H39" s="25">
        <v>18000.0</v>
      </c>
      <c r="I39" s="21"/>
      <c r="J39" s="21"/>
      <c r="K39" s="24"/>
      <c r="L39" s="22"/>
      <c r="M39" s="22"/>
      <c r="N39" s="22"/>
      <c r="O39" s="22"/>
      <c r="P39" s="26">
        <v>18000.0</v>
      </c>
      <c r="Q39" s="27">
        <f t="shared" si="1"/>
        <v>0</v>
      </c>
      <c r="R39" s="63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45632.0</v>
      </c>
      <c r="C40" s="18" t="s">
        <v>346</v>
      </c>
      <c r="D40" s="19">
        <v>49918.0</v>
      </c>
      <c r="E40" s="20" t="s">
        <v>347</v>
      </c>
      <c r="F40" s="21"/>
      <c r="G40" s="22"/>
      <c r="H40" s="25"/>
      <c r="I40" s="21"/>
      <c r="J40" s="21"/>
      <c r="K40" s="24"/>
      <c r="L40" s="22"/>
      <c r="M40" s="25">
        <v>1000.0</v>
      </c>
      <c r="N40" s="22"/>
      <c r="O40" s="22"/>
      <c r="P40" s="26">
        <v>1000.0</v>
      </c>
      <c r="Q40" s="27">
        <f t="shared" si="1"/>
        <v>0</v>
      </c>
      <c r="R40" s="63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64"/>
      <c r="C41" s="65"/>
      <c r="D41" s="66" t="s">
        <v>135</v>
      </c>
      <c r="E41" s="67"/>
      <c r="F41" s="68">
        <f>SUM(F6:F40)</f>
        <v>10000</v>
      </c>
      <c r="G41" s="68">
        <f t="shared" ref="G41:K41" si="2">SUM(G5:G40)</f>
        <v>0</v>
      </c>
      <c r="H41" s="68">
        <f t="shared" si="2"/>
        <v>63500</v>
      </c>
      <c r="I41" s="68">
        <f t="shared" si="2"/>
        <v>89400</v>
      </c>
      <c r="J41" s="68">
        <f t="shared" si="2"/>
        <v>44400</v>
      </c>
      <c r="K41" s="68">
        <f t="shared" si="2"/>
        <v>15000</v>
      </c>
      <c r="L41" s="68">
        <f>SUM(L6:L40)</f>
        <v>0</v>
      </c>
      <c r="M41" s="68">
        <f>SUM(M5:M40)</f>
        <v>1000</v>
      </c>
      <c r="N41" s="68">
        <f>SUM(N6:N40)</f>
        <v>0</v>
      </c>
      <c r="O41" s="68">
        <f t="shared" ref="O41:P41" si="3">SUM(O5:O40)</f>
        <v>6800</v>
      </c>
      <c r="P41" s="68">
        <f t="shared" si="3"/>
        <v>230100</v>
      </c>
      <c r="Q41" s="85"/>
      <c r="R41" s="69"/>
      <c r="S41" s="28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ht="58.5" customHeight="1">
      <c r="A42" s="70"/>
      <c r="B42" s="70"/>
      <c r="C42" s="71"/>
      <c r="D42" s="70"/>
      <c r="E42" s="70"/>
      <c r="F42" s="72">
        <f>F41+G41+H41+I41+J41+K41+L41+M41+N41+O41</f>
        <v>230100</v>
      </c>
      <c r="P42" s="73"/>
      <c r="Q42" s="73"/>
      <c r="R42" s="70"/>
      <c r="S42" s="70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5" t="s">
        <v>135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82" t="s">
        <v>229</v>
      </c>
      <c r="D46" s="4"/>
      <c r="E46" s="76" t="s">
        <v>136</v>
      </c>
      <c r="F46" s="77" t="s">
        <v>137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138</v>
      </c>
      <c r="F47" s="77" t="s">
        <v>348</v>
      </c>
      <c r="G47" s="4"/>
      <c r="H47" s="4"/>
      <c r="I47" s="4"/>
      <c r="J47" s="4"/>
      <c r="K47" s="4"/>
      <c r="L47" s="4"/>
      <c r="M47" s="4"/>
      <c r="N47" s="4"/>
      <c r="O47" s="79" t="s">
        <v>135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140</v>
      </c>
      <c r="F48" s="77" t="s">
        <v>146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78" t="s">
        <v>141</v>
      </c>
      <c r="F49" s="77" t="s">
        <v>230</v>
      </c>
      <c r="G49" s="4"/>
      <c r="H49" s="4"/>
      <c r="I49" s="4"/>
      <c r="J49" s="4"/>
      <c r="K49" s="4" t="s">
        <v>135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78" t="s">
        <v>142</v>
      </c>
      <c r="F50" s="77" t="s">
        <v>349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78" t="s">
        <v>350</v>
      </c>
      <c r="F51" s="77" t="s">
        <v>139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78" t="s">
        <v>145</v>
      </c>
      <c r="F52" s="77" t="s">
        <v>351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78" t="s">
        <v>147</v>
      </c>
      <c r="F53" s="80" t="s">
        <v>137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 t="s">
        <v>135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 t="str">
        <f>I72441</f>
        <v/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79" t="s">
        <v>148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>
        <v>7.0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5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4.5"/>
    <col customWidth="1" min="19" max="19" width="24.5"/>
  </cols>
  <sheetData>
    <row r="1" ht="69.0" customHeight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4.5" customHeight="1">
      <c r="A5" s="87">
        <v>1.0</v>
      </c>
      <c r="B5" s="88">
        <v>45633.0</v>
      </c>
      <c r="C5" s="89" t="s">
        <v>353</v>
      </c>
      <c r="D5" s="90">
        <v>10008.0</v>
      </c>
      <c r="E5" s="91" t="s">
        <v>151</v>
      </c>
      <c r="F5" s="22"/>
      <c r="G5" s="25">
        <v>4500.0</v>
      </c>
      <c r="H5" s="22"/>
      <c r="I5" s="61"/>
      <c r="J5" s="61"/>
      <c r="K5" s="22"/>
      <c r="L5" s="25"/>
      <c r="M5" s="25"/>
      <c r="N5" s="22"/>
      <c r="O5" s="22"/>
      <c r="P5" s="92">
        <v>4500.0</v>
      </c>
      <c r="Q5" s="93">
        <v>0.0</v>
      </c>
      <c r="R5" s="94" t="s">
        <v>33</v>
      </c>
      <c r="S5" s="95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</row>
    <row r="6" ht="34.5" customHeight="1">
      <c r="A6" s="87">
        <v>2.0</v>
      </c>
      <c r="B6" s="97">
        <v>45633.0</v>
      </c>
      <c r="C6" s="89" t="s">
        <v>354</v>
      </c>
      <c r="D6" s="90">
        <v>10250.0</v>
      </c>
      <c r="E6" s="91" t="s">
        <v>330</v>
      </c>
      <c r="F6" s="22"/>
      <c r="G6" s="25"/>
      <c r="H6" s="22"/>
      <c r="I6" s="25"/>
      <c r="J6" s="25"/>
      <c r="K6" s="25"/>
      <c r="L6" s="22"/>
      <c r="M6" s="25">
        <v>4500.0</v>
      </c>
      <c r="N6" s="22"/>
      <c r="O6" s="22"/>
      <c r="P6" s="92">
        <v>4500.0</v>
      </c>
      <c r="Q6" s="93">
        <v>0.0</v>
      </c>
      <c r="R6" s="94" t="s">
        <v>33</v>
      </c>
      <c r="S6" s="95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</row>
    <row r="7" ht="34.5" customHeight="1">
      <c r="A7" s="87">
        <v>3.0</v>
      </c>
      <c r="B7" s="97">
        <v>45633.0</v>
      </c>
      <c r="C7" s="89" t="s">
        <v>355</v>
      </c>
      <c r="D7" s="90">
        <v>69346.0</v>
      </c>
      <c r="E7" s="91" t="s">
        <v>341</v>
      </c>
      <c r="F7" s="22"/>
      <c r="G7" s="25">
        <v>4500.0</v>
      </c>
      <c r="H7" s="22"/>
      <c r="I7" s="25"/>
      <c r="J7" s="50"/>
      <c r="K7" s="25"/>
      <c r="L7" s="22"/>
      <c r="M7" s="22"/>
      <c r="N7" s="22"/>
      <c r="O7" s="22"/>
      <c r="P7" s="92">
        <v>4500.0</v>
      </c>
      <c r="Q7" s="93">
        <v>0.0</v>
      </c>
      <c r="R7" s="94" t="s">
        <v>33</v>
      </c>
      <c r="S7" s="95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</row>
    <row r="8" ht="34.5" customHeight="1">
      <c r="A8" s="87">
        <v>4.0</v>
      </c>
      <c r="B8" s="97">
        <v>45633.0</v>
      </c>
      <c r="C8" s="89" t="s">
        <v>356</v>
      </c>
      <c r="D8" s="90">
        <v>22332.0</v>
      </c>
      <c r="E8" s="91" t="s">
        <v>60</v>
      </c>
      <c r="F8" s="22"/>
      <c r="G8" s="22"/>
      <c r="H8" s="25"/>
      <c r="I8" s="25"/>
      <c r="J8" s="22"/>
      <c r="K8" s="22"/>
      <c r="L8" s="22"/>
      <c r="M8" s="25">
        <v>4500.0</v>
      </c>
      <c r="N8" s="22"/>
      <c r="O8" s="22"/>
      <c r="P8" s="92">
        <v>4500.0</v>
      </c>
      <c r="Q8" s="93">
        <v>0.0</v>
      </c>
      <c r="R8" s="94" t="s">
        <v>33</v>
      </c>
      <c r="S8" s="95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ht="34.5" customHeight="1">
      <c r="A9" s="87">
        <v>5.0</v>
      </c>
      <c r="B9" s="97">
        <v>45633.0</v>
      </c>
      <c r="C9" s="89" t="s">
        <v>357</v>
      </c>
      <c r="D9" s="90">
        <v>21384.0</v>
      </c>
      <c r="E9" s="91" t="s">
        <v>358</v>
      </c>
      <c r="F9" s="22"/>
      <c r="G9" s="22"/>
      <c r="H9" s="25"/>
      <c r="I9" s="25"/>
      <c r="J9" s="25"/>
      <c r="K9" s="25">
        <v>4500.0</v>
      </c>
      <c r="L9" s="22"/>
      <c r="M9" s="22"/>
      <c r="N9" s="22"/>
      <c r="O9" s="22"/>
      <c r="P9" s="92">
        <v>4500.0</v>
      </c>
      <c r="Q9" s="93">
        <v>0.0</v>
      </c>
      <c r="R9" s="94" t="s">
        <v>33</v>
      </c>
      <c r="S9" s="95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</row>
    <row r="10" ht="34.5" customHeight="1">
      <c r="A10" s="87">
        <v>6.0</v>
      </c>
      <c r="B10" s="97">
        <v>45633.0</v>
      </c>
      <c r="C10" s="89" t="s">
        <v>359</v>
      </c>
      <c r="D10" s="90">
        <v>13762.0</v>
      </c>
      <c r="E10" s="91" t="s">
        <v>360</v>
      </c>
      <c r="F10" s="22"/>
      <c r="G10" s="22"/>
      <c r="H10" s="22"/>
      <c r="I10" s="25"/>
      <c r="J10" s="25">
        <v>4500.0</v>
      </c>
      <c r="K10" s="22"/>
      <c r="L10" s="22"/>
      <c r="M10" s="22"/>
      <c r="N10" s="22"/>
      <c r="O10" s="22"/>
      <c r="P10" s="92">
        <v>4500.0</v>
      </c>
      <c r="Q10" s="93">
        <v>0.0</v>
      </c>
      <c r="R10" s="94" t="s">
        <v>33</v>
      </c>
      <c r="S10" s="98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 ht="34.5" customHeight="1">
      <c r="A11" s="87">
        <v>7.0</v>
      </c>
      <c r="B11" s="97">
        <v>45633.0</v>
      </c>
      <c r="C11" s="89" t="s">
        <v>361</v>
      </c>
      <c r="D11" s="90">
        <v>20670.0</v>
      </c>
      <c r="E11" s="91" t="s">
        <v>362</v>
      </c>
      <c r="F11" s="22"/>
      <c r="G11" s="25">
        <v>4500.0</v>
      </c>
      <c r="H11" s="22"/>
      <c r="I11" s="25"/>
      <c r="J11" s="25"/>
      <c r="K11" s="22"/>
      <c r="L11" s="22"/>
      <c r="M11" s="22"/>
      <c r="N11" s="22"/>
      <c r="O11" s="22"/>
      <c r="P11" s="92">
        <v>4500.0</v>
      </c>
      <c r="Q11" s="93">
        <v>0.0</v>
      </c>
      <c r="R11" s="94" t="s">
        <v>33</v>
      </c>
      <c r="S11" s="95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</row>
    <row r="12" ht="34.5" customHeight="1">
      <c r="A12" s="87">
        <v>8.0</v>
      </c>
      <c r="B12" s="97">
        <v>45633.0</v>
      </c>
      <c r="C12" s="89" t="s">
        <v>363</v>
      </c>
      <c r="D12" s="90">
        <v>42278.0</v>
      </c>
      <c r="E12" s="91" t="s">
        <v>364</v>
      </c>
      <c r="F12" s="22"/>
      <c r="G12" s="25">
        <v>4500.0</v>
      </c>
      <c r="H12" s="22"/>
      <c r="I12" s="25"/>
      <c r="J12" s="25"/>
      <c r="K12" s="22"/>
      <c r="L12" s="22"/>
      <c r="M12" s="22"/>
      <c r="N12" s="22"/>
      <c r="O12" s="22"/>
      <c r="P12" s="92">
        <v>4500.0</v>
      </c>
      <c r="Q12" s="93">
        <v>0.0</v>
      </c>
      <c r="R12" s="94" t="s">
        <v>33</v>
      </c>
      <c r="S12" s="95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</row>
    <row r="13" ht="34.5" customHeight="1">
      <c r="A13" s="87">
        <v>9.0</v>
      </c>
      <c r="B13" s="97">
        <v>45633.0</v>
      </c>
      <c r="C13" s="89" t="s">
        <v>365</v>
      </c>
      <c r="D13" s="90">
        <v>36928.0</v>
      </c>
      <c r="E13" s="91" t="s">
        <v>56</v>
      </c>
      <c r="F13" s="22"/>
      <c r="G13" s="22"/>
      <c r="H13" s="22"/>
      <c r="I13" s="25"/>
      <c r="J13" s="25"/>
      <c r="K13" s="22"/>
      <c r="L13" s="22"/>
      <c r="M13" s="25">
        <v>4500.0</v>
      </c>
      <c r="N13" s="22"/>
      <c r="O13" s="22"/>
      <c r="P13" s="92">
        <v>4500.0</v>
      </c>
      <c r="Q13" s="93">
        <v>0.0</v>
      </c>
      <c r="R13" s="94" t="s">
        <v>33</v>
      </c>
      <c r="S13" s="100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</row>
    <row r="14" ht="34.5" customHeight="1">
      <c r="A14" s="87">
        <v>10.0</v>
      </c>
      <c r="B14" s="97">
        <v>45633.0</v>
      </c>
      <c r="C14" s="89" t="s">
        <v>366</v>
      </c>
      <c r="D14" s="90">
        <v>30248.0</v>
      </c>
      <c r="E14" s="91" t="s">
        <v>71</v>
      </c>
      <c r="F14" s="22"/>
      <c r="G14" s="22"/>
      <c r="H14" s="22"/>
      <c r="I14" s="25"/>
      <c r="J14" s="25"/>
      <c r="K14" s="22"/>
      <c r="L14" s="22"/>
      <c r="M14" s="25">
        <v>4500.0</v>
      </c>
      <c r="N14" s="22"/>
      <c r="O14" s="22"/>
      <c r="P14" s="92">
        <v>4500.0</v>
      </c>
      <c r="Q14" s="93">
        <v>0.0</v>
      </c>
      <c r="R14" s="94" t="s">
        <v>33</v>
      </c>
      <c r="S14" s="100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</row>
    <row r="15" ht="34.5" customHeight="1">
      <c r="A15" s="87">
        <v>11.0</v>
      </c>
      <c r="B15" s="97">
        <v>45633.0</v>
      </c>
      <c r="C15" s="89" t="s">
        <v>367</v>
      </c>
      <c r="D15" s="90">
        <v>13133.0</v>
      </c>
      <c r="E15" s="91" t="s">
        <v>368</v>
      </c>
      <c r="F15" s="22"/>
      <c r="G15" s="22"/>
      <c r="H15" s="22"/>
      <c r="I15" s="25"/>
      <c r="J15" s="25">
        <v>4500.0</v>
      </c>
      <c r="K15" s="22"/>
      <c r="L15" s="22"/>
      <c r="M15" s="25"/>
      <c r="N15" s="22"/>
      <c r="O15" s="22"/>
      <c r="P15" s="92">
        <v>4500.0</v>
      </c>
      <c r="Q15" s="93">
        <v>0.0</v>
      </c>
      <c r="R15" s="94" t="s">
        <v>33</v>
      </c>
      <c r="S15" s="100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</row>
    <row r="16" ht="34.5" customHeight="1">
      <c r="A16" s="87">
        <v>12.0</v>
      </c>
      <c r="B16" s="97">
        <v>45633.0</v>
      </c>
      <c r="C16" s="89" t="s">
        <v>369</v>
      </c>
      <c r="D16" s="90">
        <v>52373.0</v>
      </c>
      <c r="E16" s="91" t="s">
        <v>370</v>
      </c>
      <c r="F16" s="22"/>
      <c r="G16" s="22"/>
      <c r="H16" s="25"/>
      <c r="I16" s="25"/>
      <c r="J16" s="22"/>
      <c r="K16" s="22"/>
      <c r="L16" s="22"/>
      <c r="M16" s="25">
        <v>4500.0</v>
      </c>
      <c r="N16" s="22"/>
      <c r="O16" s="22"/>
      <c r="P16" s="92">
        <v>4500.0</v>
      </c>
      <c r="Q16" s="93">
        <v>0.0</v>
      </c>
      <c r="R16" s="94" t="s">
        <v>33</v>
      </c>
      <c r="S16" s="100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ht="34.5" customHeight="1">
      <c r="A17" s="87">
        <v>13.0</v>
      </c>
      <c r="B17" s="97">
        <v>45633.0</v>
      </c>
      <c r="C17" s="89" t="s">
        <v>371</v>
      </c>
      <c r="D17" s="90">
        <v>55555.0</v>
      </c>
      <c r="E17" s="91" t="s">
        <v>372</v>
      </c>
      <c r="F17" s="22"/>
      <c r="G17" s="25">
        <v>4500.0</v>
      </c>
      <c r="H17" s="22"/>
      <c r="I17" s="25"/>
      <c r="J17" s="25"/>
      <c r="K17" s="25"/>
      <c r="L17" s="22"/>
      <c r="M17" s="22"/>
      <c r="N17" s="22"/>
      <c r="O17" s="22"/>
      <c r="P17" s="92">
        <v>4500.0</v>
      </c>
      <c r="Q17" s="93">
        <v>0.0</v>
      </c>
      <c r="R17" s="94" t="s">
        <v>33</v>
      </c>
      <c r="S17" s="100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</row>
    <row r="18" ht="34.5" customHeight="1">
      <c r="A18" s="87">
        <v>14.0</v>
      </c>
      <c r="B18" s="97">
        <v>45633.0</v>
      </c>
      <c r="C18" s="89" t="s">
        <v>373</v>
      </c>
      <c r="D18" s="90">
        <v>13781.0</v>
      </c>
      <c r="E18" s="91" t="s">
        <v>181</v>
      </c>
      <c r="F18" s="22"/>
      <c r="G18" s="25">
        <v>4500.0</v>
      </c>
      <c r="H18" s="22"/>
      <c r="I18" s="25"/>
      <c r="J18" s="25"/>
      <c r="K18" s="22"/>
      <c r="L18" s="22"/>
      <c r="M18" s="22"/>
      <c r="N18" s="22"/>
      <c r="O18" s="22"/>
      <c r="P18" s="92">
        <v>4500.0</v>
      </c>
      <c r="Q18" s="93">
        <v>0.0</v>
      </c>
      <c r="R18" s="94" t="s">
        <v>33</v>
      </c>
      <c r="S18" s="95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</row>
    <row r="19" ht="34.5" customHeight="1">
      <c r="A19" s="87">
        <v>15.0</v>
      </c>
      <c r="B19" s="97">
        <v>45633.0</v>
      </c>
      <c r="C19" s="89" t="s">
        <v>374</v>
      </c>
      <c r="D19" s="90">
        <v>25541.0</v>
      </c>
      <c r="E19" s="91" t="s">
        <v>375</v>
      </c>
      <c r="F19" s="22"/>
      <c r="G19" s="25">
        <v>4500.0</v>
      </c>
      <c r="H19" s="22"/>
      <c r="I19" s="25"/>
      <c r="J19" s="25"/>
      <c r="K19" s="25"/>
      <c r="L19" s="22"/>
      <c r="M19" s="22"/>
      <c r="N19" s="22"/>
      <c r="O19" s="22"/>
      <c r="P19" s="92">
        <v>4500.0</v>
      </c>
      <c r="Q19" s="93">
        <v>0.0</v>
      </c>
      <c r="R19" s="94" t="s">
        <v>33</v>
      </c>
      <c r="S19" s="95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</row>
    <row r="20" ht="34.5" customHeight="1">
      <c r="A20" s="87">
        <v>16.0</v>
      </c>
      <c r="B20" s="97">
        <v>45633.0</v>
      </c>
      <c r="C20" s="89" t="s">
        <v>376</v>
      </c>
      <c r="D20" s="90">
        <v>10271.0</v>
      </c>
      <c r="E20" s="91" t="s">
        <v>377</v>
      </c>
      <c r="F20" s="22"/>
      <c r="G20" s="25">
        <v>4500.0</v>
      </c>
      <c r="H20" s="22"/>
      <c r="I20" s="61"/>
      <c r="J20" s="50"/>
      <c r="K20" s="25"/>
      <c r="L20" s="22"/>
      <c r="M20" s="22"/>
      <c r="N20" s="22"/>
      <c r="O20" s="22"/>
      <c r="P20" s="92">
        <v>4500.0</v>
      </c>
      <c r="Q20" s="93">
        <v>0.0</v>
      </c>
      <c r="R20" s="94" t="s">
        <v>33</v>
      </c>
      <c r="S20" s="95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</row>
    <row r="21" ht="34.5" customHeight="1">
      <c r="A21" s="87">
        <v>17.0</v>
      </c>
      <c r="B21" s="97">
        <v>45633.0</v>
      </c>
      <c r="C21" s="89" t="s">
        <v>378</v>
      </c>
      <c r="D21" s="90">
        <v>55446.0</v>
      </c>
      <c r="E21" s="91" t="s">
        <v>379</v>
      </c>
      <c r="F21" s="22"/>
      <c r="G21" s="25">
        <v>4500.0</v>
      </c>
      <c r="H21" s="22"/>
      <c r="I21" s="56"/>
      <c r="J21" s="25"/>
      <c r="K21" s="50"/>
      <c r="L21" s="22"/>
      <c r="M21" s="22"/>
      <c r="N21" s="22"/>
      <c r="O21" s="22"/>
      <c r="P21" s="92">
        <v>4500.0</v>
      </c>
      <c r="Q21" s="93">
        <v>0.0</v>
      </c>
      <c r="R21" s="94" t="s">
        <v>33</v>
      </c>
      <c r="S21" s="95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</row>
    <row r="22" ht="34.5" customHeight="1">
      <c r="A22" s="87">
        <v>18.0</v>
      </c>
      <c r="B22" s="97">
        <v>45633.0</v>
      </c>
      <c r="C22" s="89" t="s">
        <v>380</v>
      </c>
      <c r="D22" s="90">
        <v>10255.0</v>
      </c>
      <c r="E22" s="91" t="s">
        <v>381</v>
      </c>
      <c r="F22" s="25"/>
      <c r="G22" s="25">
        <v>4500.0</v>
      </c>
      <c r="H22" s="22"/>
      <c r="I22" s="25"/>
      <c r="J22" s="22"/>
      <c r="K22" s="25"/>
      <c r="L22" s="22"/>
      <c r="M22" s="22"/>
      <c r="N22" s="22"/>
      <c r="O22" s="22"/>
      <c r="P22" s="92">
        <v>4500.0</v>
      </c>
      <c r="Q22" s="93">
        <v>0.0</v>
      </c>
      <c r="R22" s="94" t="s">
        <v>33</v>
      </c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</row>
    <row r="23" ht="34.5" customHeight="1">
      <c r="A23" s="87">
        <v>19.0</v>
      </c>
      <c r="B23" s="97">
        <v>45633.0</v>
      </c>
      <c r="C23" s="89" t="s">
        <v>382</v>
      </c>
      <c r="D23" s="90">
        <v>65162.0</v>
      </c>
      <c r="E23" s="91" t="s">
        <v>383</v>
      </c>
      <c r="F23" s="57"/>
      <c r="G23" s="56">
        <v>4500.0</v>
      </c>
      <c r="H23" s="57"/>
      <c r="I23" s="56"/>
      <c r="J23" s="56"/>
      <c r="K23" s="58"/>
      <c r="L23" s="57"/>
      <c r="M23" s="57"/>
      <c r="N23" s="57"/>
      <c r="O23" s="57"/>
      <c r="P23" s="92">
        <v>4500.0</v>
      </c>
      <c r="Q23" s="93">
        <v>0.0</v>
      </c>
      <c r="R23" s="94" t="s">
        <v>33</v>
      </c>
      <c r="S23" s="95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</row>
    <row r="24" ht="34.5" customHeight="1">
      <c r="A24" s="87">
        <v>20.0</v>
      </c>
      <c r="B24" s="97">
        <v>45633.0</v>
      </c>
      <c r="C24" s="89" t="s">
        <v>384</v>
      </c>
      <c r="D24" s="90">
        <v>48631.0</v>
      </c>
      <c r="E24" s="91" t="s">
        <v>385</v>
      </c>
      <c r="F24" s="22"/>
      <c r="G24" s="25">
        <v>4500.0</v>
      </c>
      <c r="H24" s="22"/>
      <c r="I24" s="25"/>
      <c r="J24" s="25"/>
      <c r="K24" s="50"/>
      <c r="L24" s="22"/>
      <c r="M24" s="25"/>
      <c r="N24" s="22"/>
      <c r="O24" s="22"/>
      <c r="P24" s="92">
        <v>4500.0</v>
      </c>
      <c r="Q24" s="93">
        <v>0.0</v>
      </c>
      <c r="R24" s="94" t="s">
        <v>33</v>
      </c>
      <c r="S24" s="95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</row>
    <row r="25" ht="34.5" customHeight="1">
      <c r="A25" s="87">
        <v>21.0</v>
      </c>
      <c r="B25" s="97">
        <v>45633.0</v>
      </c>
      <c r="C25" s="89" t="s">
        <v>386</v>
      </c>
      <c r="D25" s="90">
        <v>58257.0</v>
      </c>
      <c r="E25" s="91" t="s">
        <v>387</v>
      </c>
      <c r="F25" s="25">
        <v>4500.0</v>
      </c>
      <c r="G25" s="22"/>
      <c r="H25" s="22"/>
      <c r="I25" s="25"/>
      <c r="J25" s="22"/>
      <c r="K25" s="50"/>
      <c r="L25" s="22"/>
      <c r="M25" s="22"/>
      <c r="N25" s="22"/>
      <c r="O25" s="22"/>
      <c r="P25" s="92">
        <v>4500.0</v>
      </c>
      <c r="Q25" s="93">
        <v>0.0</v>
      </c>
      <c r="R25" s="94" t="s">
        <v>33</v>
      </c>
      <c r="S25" s="95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</row>
    <row r="26" ht="34.5" customHeight="1">
      <c r="A26" s="87">
        <v>22.0</v>
      </c>
      <c r="B26" s="97">
        <v>45633.0</v>
      </c>
      <c r="C26" s="89" t="s">
        <v>388</v>
      </c>
      <c r="D26" s="90">
        <v>72839.0</v>
      </c>
      <c r="E26" s="91" t="s">
        <v>389</v>
      </c>
      <c r="F26" s="25">
        <v>500.0</v>
      </c>
      <c r="G26" s="22"/>
      <c r="H26" s="22"/>
      <c r="I26" s="61"/>
      <c r="J26" s="22"/>
      <c r="K26" s="61"/>
      <c r="L26" s="22"/>
      <c r="M26" s="22"/>
      <c r="N26" s="22"/>
      <c r="O26" s="22"/>
      <c r="P26" s="102">
        <v>500.0</v>
      </c>
      <c r="Q26" s="93">
        <v>0.0</v>
      </c>
      <c r="R26" s="94" t="s">
        <v>33</v>
      </c>
      <c r="S26" s="95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</row>
    <row r="27" ht="34.5" customHeight="1">
      <c r="A27" s="87">
        <v>23.0</v>
      </c>
      <c r="B27" s="97">
        <v>45633.0</v>
      </c>
      <c r="C27" s="89" t="s">
        <v>390</v>
      </c>
      <c r="D27" s="90">
        <v>42278.0</v>
      </c>
      <c r="E27" s="91" t="s">
        <v>364</v>
      </c>
      <c r="F27" s="25">
        <v>500.0</v>
      </c>
      <c r="G27" s="22"/>
      <c r="H27" s="22"/>
      <c r="I27" s="25"/>
      <c r="J27" s="22"/>
      <c r="K27" s="50"/>
      <c r="L27" s="22"/>
      <c r="M27" s="22"/>
      <c r="N27" s="22"/>
      <c r="O27" s="22"/>
      <c r="P27" s="102">
        <v>500.0</v>
      </c>
      <c r="Q27" s="93">
        <v>0.0</v>
      </c>
      <c r="R27" s="94" t="s">
        <v>33</v>
      </c>
      <c r="S27" s="100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</row>
    <row r="28" ht="34.5" customHeight="1">
      <c r="A28" s="87">
        <v>24.0</v>
      </c>
      <c r="B28" s="97">
        <v>45633.0</v>
      </c>
      <c r="C28" s="89" t="s">
        <v>391</v>
      </c>
      <c r="D28" s="103">
        <v>35245.0</v>
      </c>
      <c r="E28" s="104" t="s">
        <v>392</v>
      </c>
      <c r="F28" s="25"/>
      <c r="G28" s="25">
        <v>9000.0</v>
      </c>
      <c r="H28" s="22"/>
      <c r="I28" s="25"/>
      <c r="J28" s="22"/>
      <c r="K28" s="50"/>
      <c r="L28" s="22"/>
      <c r="M28" s="22"/>
      <c r="N28" s="22"/>
      <c r="O28" s="22"/>
      <c r="P28" s="92">
        <v>9000.0</v>
      </c>
      <c r="Q28" s="93">
        <v>0.0</v>
      </c>
      <c r="R28" s="94" t="s">
        <v>33</v>
      </c>
      <c r="S28" s="100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</row>
    <row r="29" ht="34.5" customHeight="1">
      <c r="A29" s="87">
        <v>25.0</v>
      </c>
      <c r="B29" s="97">
        <v>45633.0</v>
      </c>
      <c r="C29" s="89" t="s">
        <v>393</v>
      </c>
      <c r="D29" s="103">
        <v>36555.0</v>
      </c>
      <c r="E29" s="104" t="s">
        <v>394</v>
      </c>
      <c r="F29" s="25"/>
      <c r="G29" s="25">
        <v>4500.0</v>
      </c>
      <c r="H29" s="22"/>
      <c r="I29" s="25"/>
      <c r="J29" s="22"/>
      <c r="K29" s="50"/>
      <c r="L29" s="22"/>
      <c r="M29" s="22"/>
      <c r="N29" s="22"/>
      <c r="O29" s="22"/>
      <c r="P29" s="92">
        <v>4500.0</v>
      </c>
      <c r="Q29" s="93">
        <v>0.0</v>
      </c>
      <c r="R29" s="94" t="s">
        <v>33</v>
      </c>
      <c r="S29" s="100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</row>
    <row r="30" ht="34.5" customHeight="1">
      <c r="A30" s="87">
        <v>26.0</v>
      </c>
      <c r="B30" s="97">
        <v>45633.0</v>
      </c>
      <c r="C30" s="89" t="s">
        <v>395</v>
      </c>
      <c r="D30" s="103">
        <v>45193.0</v>
      </c>
      <c r="E30" s="104" t="s">
        <v>396</v>
      </c>
      <c r="F30" s="25"/>
      <c r="G30" s="22"/>
      <c r="H30" s="22"/>
      <c r="I30" s="25"/>
      <c r="J30" s="22"/>
      <c r="K30" s="50"/>
      <c r="L30" s="22"/>
      <c r="M30" s="25">
        <v>4500.0</v>
      </c>
      <c r="N30" s="22"/>
      <c r="O30" s="22"/>
      <c r="P30" s="92">
        <v>4500.0</v>
      </c>
      <c r="Q30" s="93">
        <v>0.0</v>
      </c>
      <c r="R30" s="94" t="s">
        <v>33</v>
      </c>
      <c r="S30" s="100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</row>
    <row r="31" ht="34.5" customHeight="1">
      <c r="A31" s="87">
        <v>27.0</v>
      </c>
      <c r="B31" s="97">
        <v>45633.0</v>
      </c>
      <c r="C31" s="89" t="s">
        <v>397</v>
      </c>
      <c r="D31" s="103">
        <v>30895.0</v>
      </c>
      <c r="E31" s="104" t="s">
        <v>398</v>
      </c>
      <c r="F31" s="25"/>
      <c r="G31" s="25">
        <v>4500.0</v>
      </c>
      <c r="H31" s="25"/>
      <c r="I31" s="25"/>
      <c r="J31" s="22"/>
      <c r="K31" s="50"/>
      <c r="L31" s="22"/>
      <c r="M31" s="22"/>
      <c r="N31" s="22"/>
      <c r="O31" s="22"/>
      <c r="P31" s="92">
        <v>4500.0</v>
      </c>
      <c r="Q31" s="93">
        <v>0.0</v>
      </c>
      <c r="R31" s="94" t="s">
        <v>33</v>
      </c>
      <c r="S31" s="100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</row>
    <row r="32" ht="37.5" customHeight="1">
      <c r="A32" s="16"/>
      <c r="B32" s="64"/>
      <c r="C32" s="65"/>
      <c r="D32" s="66" t="s">
        <v>135</v>
      </c>
      <c r="E32" s="67"/>
      <c r="F32" s="68">
        <f t="shared" ref="F32:P32" si="1">SUM(F5:F31)</f>
        <v>5500</v>
      </c>
      <c r="G32" s="68">
        <f t="shared" si="1"/>
        <v>72000</v>
      </c>
      <c r="H32" s="68">
        <f t="shared" si="1"/>
        <v>0</v>
      </c>
      <c r="I32" s="68">
        <f t="shared" si="1"/>
        <v>0</v>
      </c>
      <c r="J32" s="68">
        <f t="shared" si="1"/>
        <v>9000</v>
      </c>
      <c r="K32" s="68">
        <f t="shared" si="1"/>
        <v>4500</v>
      </c>
      <c r="L32" s="68">
        <f t="shared" si="1"/>
        <v>0</v>
      </c>
      <c r="M32" s="68">
        <f t="shared" si="1"/>
        <v>27000</v>
      </c>
      <c r="N32" s="68">
        <f t="shared" si="1"/>
        <v>0</v>
      </c>
      <c r="O32" s="68">
        <f t="shared" si="1"/>
        <v>0</v>
      </c>
      <c r="P32" s="68">
        <f t="shared" si="1"/>
        <v>118000</v>
      </c>
      <c r="Q32" s="85"/>
      <c r="R32" s="85"/>
      <c r="S32" s="28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</row>
    <row r="33" ht="58.5" customHeight="1">
      <c r="A33" s="70"/>
      <c r="B33" s="70"/>
      <c r="C33" s="71"/>
      <c r="D33" s="70"/>
      <c r="E33" s="70"/>
      <c r="F33" s="72">
        <f>F32+G32+H32+I32+J32+K32+L32+M32+N32+O32</f>
        <v>118000</v>
      </c>
      <c r="P33" s="73"/>
      <c r="Q33" s="73"/>
      <c r="R33" s="70"/>
      <c r="S33" s="70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 ht="15.75" customHeight="1">
      <c r="A34" s="4"/>
      <c r="B34" s="4"/>
      <c r="C34" s="7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26.25" customHeight="1">
      <c r="A35" s="4"/>
      <c r="B35" s="4"/>
      <c r="C35" s="7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26.25" customHeight="1">
      <c r="A36" s="4"/>
      <c r="B36" s="4"/>
      <c r="C36" s="75" t="s">
        <v>135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6.25" customHeight="1">
      <c r="A37" s="4"/>
      <c r="B37" s="4"/>
      <c r="C37" s="82" t="s">
        <v>229</v>
      </c>
      <c r="D37" s="4"/>
      <c r="E37" s="76" t="s">
        <v>136</v>
      </c>
      <c r="F37" s="77" t="s">
        <v>137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6.25" customHeight="1">
      <c r="A38" s="4"/>
      <c r="B38" s="4"/>
      <c r="C38" s="74"/>
      <c r="D38" s="4"/>
      <c r="E38" s="78" t="s">
        <v>138</v>
      </c>
      <c r="F38" s="77" t="s">
        <v>230</v>
      </c>
      <c r="G38" s="4"/>
      <c r="H38" s="4"/>
      <c r="I38" s="4"/>
      <c r="J38" s="4"/>
      <c r="K38" s="4"/>
      <c r="L38" s="4"/>
      <c r="M38" s="4"/>
      <c r="N38" s="4"/>
      <c r="O38" s="79" t="s">
        <v>135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6.25" customHeight="1">
      <c r="A39" s="4"/>
      <c r="B39" s="4"/>
      <c r="C39" s="74"/>
      <c r="D39" s="4"/>
      <c r="E39" s="78" t="s">
        <v>140</v>
      </c>
      <c r="F39" s="7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6.25" customHeight="1">
      <c r="A40" s="4"/>
      <c r="B40" s="4"/>
      <c r="C40" s="74"/>
      <c r="D40" s="4"/>
      <c r="E40" s="78" t="s">
        <v>141</v>
      </c>
      <c r="F40" s="77" t="s">
        <v>139</v>
      </c>
      <c r="G40" s="4"/>
      <c r="H40" s="4"/>
      <c r="I40" s="4"/>
      <c r="J40" s="4"/>
      <c r="K40" s="4" t="s">
        <v>135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6.25" customHeight="1">
      <c r="A41" s="4"/>
      <c r="B41" s="4"/>
      <c r="C41" s="74"/>
      <c r="D41" s="4"/>
      <c r="E41" s="78" t="s">
        <v>142</v>
      </c>
      <c r="F41" s="77" t="s">
        <v>139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6.25" customHeight="1">
      <c r="A42" s="4"/>
      <c r="B42" s="4"/>
      <c r="C42" s="74"/>
      <c r="D42" s="4"/>
      <c r="E42" s="78" t="s">
        <v>399</v>
      </c>
      <c r="F42" s="77" t="s">
        <v>139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6.25" customHeight="1">
      <c r="A43" s="4"/>
      <c r="B43" s="4"/>
      <c r="C43" s="74"/>
      <c r="D43" s="4"/>
      <c r="E43" s="78" t="s">
        <v>145</v>
      </c>
      <c r="F43" s="77" t="s">
        <v>139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6.25" customHeight="1">
      <c r="A44" s="4"/>
      <c r="B44" s="4"/>
      <c r="C44" s="74"/>
      <c r="D44" s="4"/>
      <c r="E44" s="78" t="s">
        <v>147</v>
      </c>
      <c r="F44" s="80" t="s">
        <v>137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6.2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6.2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79" t="s">
        <v>148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45632.0</v>
      </c>
      <c r="C5" s="18" t="s">
        <v>401</v>
      </c>
      <c r="D5" s="19">
        <v>61445.0</v>
      </c>
      <c r="E5" s="20" t="s">
        <v>402</v>
      </c>
      <c r="F5" s="21"/>
      <c r="G5" s="22"/>
      <c r="H5" s="21"/>
      <c r="I5" s="23"/>
      <c r="J5" s="24"/>
      <c r="K5" s="22"/>
      <c r="L5" s="25"/>
      <c r="M5" s="30">
        <v>4800.0</v>
      </c>
      <c r="N5" s="22"/>
      <c r="O5" s="22"/>
      <c r="P5" s="26">
        <v>4800.0</v>
      </c>
      <c r="Q5" s="27">
        <f t="shared" ref="Q5:Q21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45633.0</v>
      </c>
      <c r="C6" s="18" t="s">
        <v>403</v>
      </c>
      <c r="D6" s="19">
        <v>10250.0</v>
      </c>
      <c r="E6" s="20" t="s">
        <v>330</v>
      </c>
      <c r="F6" s="21"/>
      <c r="G6" s="22"/>
      <c r="H6" s="21"/>
      <c r="I6" s="23"/>
      <c r="J6" s="23">
        <v>9500.0</v>
      </c>
      <c r="K6" s="22"/>
      <c r="L6" s="25"/>
      <c r="M6" s="30"/>
      <c r="N6" s="22"/>
      <c r="O6" s="22"/>
      <c r="P6" s="26">
        <v>9500.0</v>
      </c>
      <c r="Q6" s="27">
        <f t="shared" si="1"/>
        <v>0</v>
      </c>
      <c r="R6" s="26" t="s">
        <v>48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29">
        <v>45633.0</v>
      </c>
      <c r="C7" s="18" t="s">
        <v>404</v>
      </c>
      <c r="D7" s="19">
        <v>79705.0</v>
      </c>
      <c r="E7" s="20" t="s">
        <v>405</v>
      </c>
      <c r="F7" s="21"/>
      <c r="G7" s="25"/>
      <c r="H7" s="22"/>
      <c r="I7" s="30">
        <v>5100.0</v>
      </c>
      <c r="J7" s="25"/>
      <c r="K7" s="25"/>
      <c r="L7" s="22"/>
      <c r="M7" s="21"/>
      <c r="N7" s="22"/>
      <c r="O7" s="22"/>
      <c r="P7" s="26">
        <v>5100.0</v>
      </c>
      <c r="Q7" s="27">
        <f t="shared" si="1"/>
        <v>0</v>
      </c>
      <c r="R7" s="26" t="s">
        <v>48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45633.0</v>
      </c>
      <c r="C8" s="18" t="s">
        <v>406</v>
      </c>
      <c r="D8" s="19">
        <v>42046.0</v>
      </c>
      <c r="E8" s="20" t="s">
        <v>407</v>
      </c>
      <c r="F8" s="22"/>
      <c r="G8" s="25"/>
      <c r="H8" s="21"/>
      <c r="I8" s="30"/>
      <c r="J8" s="24"/>
      <c r="K8" s="25">
        <v>11500.0</v>
      </c>
      <c r="L8" s="22"/>
      <c r="M8" s="22"/>
      <c r="N8" s="22"/>
      <c r="O8" s="22"/>
      <c r="P8" s="26">
        <v>11500.0</v>
      </c>
      <c r="Q8" s="27">
        <f t="shared" si="1"/>
        <v>0</v>
      </c>
      <c r="R8" s="26" t="s">
        <v>25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45633.0</v>
      </c>
      <c r="C9" s="18" t="s">
        <v>408</v>
      </c>
      <c r="D9" s="19">
        <v>49655.0</v>
      </c>
      <c r="E9" s="20" t="s">
        <v>132</v>
      </c>
      <c r="F9" s="22"/>
      <c r="G9" s="22"/>
      <c r="H9" s="25"/>
      <c r="I9" s="30">
        <v>250.0</v>
      </c>
      <c r="J9" s="21"/>
      <c r="K9" s="22"/>
      <c r="L9" s="22"/>
      <c r="M9" s="22"/>
      <c r="N9" s="22"/>
      <c r="O9" s="22"/>
      <c r="P9" s="26">
        <v>250.0</v>
      </c>
      <c r="Q9" s="27">
        <f t="shared" si="1"/>
        <v>0</v>
      </c>
      <c r="R9" s="26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45633.0</v>
      </c>
      <c r="C10" s="18" t="s">
        <v>409</v>
      </c>
      <c r="D10" s="19">
        <v>74087.0</v>
      </c>
      <c r="E10" s="20" t="s">
        <v>410</v>
      </c>
      <c r="F10" s="22"/>
      <c r="G10" s="22"/>
      <c r="H10" s="25"/>
      <c r="I10" s="30"/>
      <c r="J10" s="30">
        <v>5650.0</v>
      </c>
      <c r="K10" s="22"/>
      <c r="L10" s="22"/>
      <c r="M10" s="21"/>
      <c r="N10" s="22"/>
      <c r="O10" s="22"/>
      <c r="P10" s="26">
        <v>5650.0</v>
      </c>
      <c r="Q10" s="27">
        <f t="shared" si="1"/>
        <v>0</v>
      </c>
      <c r="R10" s="26" t="s">
        <v>25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05">
        <v>7.0</v>
      </c>
      <c r="B11" s="106">
        <v>45633.0</v>
      </c>
      <c r="C11" s="107" t="s">
        <v>411</v>
      </c>
      <c r="D11" s="108">
        <v>52083.0</v>
      </c>
      <c r="E11" s="109" t="s">
        <v>93</v>
      </c>
      <c r="F11" s="110"/>
      <c r="G11" s="110"/>
      <c r="H11" s="110"/>
      <c r="I11" s="111">
        <v>2900.0</v>
      </c>
      <c r="J11" s="112"/>
      <c r="K11" s="110"/>
      <c r="L11" s="110"/>
      <c r="M11" s="112"/>
      <c r="N11" s="110"/>
      <c r="O11" s="110"/>
      <c r="P11" s="113">
        <v>2900.0</v>
      </c>
      <c r="Q11" s="114">
        <f t="shared" si="1"/>
        <v>0</v>
      </c>
      <c r="R11" s="113" t="s">
        <v>25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45633.0</v>
      </c>
      <c r="C12" s="18" t="s">
        <v>412</v>
      </c>
      <c r="D12" s="19">
        <v>76345.0</v>
      </c>
      <c r="E12" s="20" t="s">
        <v>413</v>
      </c>
      <c r="F12" s="22"/>
      <c r="G12" s="22"/>
      <c r="H12" s="22"/>
      <c r="I12" s="30">
        <v>590.0</v>
      </c>
      <c r="J12" s="30"/>
      <c r="K12" s="22"/>
      <c r="L12" s="22"/>
      <c r="M12" s="21"/>
      <c r="N12" s="22"/>
      <c r="O12" s="22"/>
      <c r="P12" s="26">
        <v>590.0</v>
      </c>
      <c r="Q12" s="27">
        <f t="shared" si="1"/>
        <v>0</v>
      </c>
      <c r="R12" s="26" t="s">
        <v>48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45633.0</v>
      </c>
      <c r="C13" s="18" t="s">
        <v>414</v>
      </c>
      <c r="D13" s="19">
        <v>19688.0</v>
      </c>
      <c r="E13" s="20" t="s">
        <v>260</v>
      </c>
      <c r="F13" s="22"/>
      <c r="G13" s="22"/>
      <c r="H13" s="22"/>
      <c r="I13" s="30"/>
      <c r="J13" s="30">
        <v>14500.0</v>
      </c>
      <c r="K13" s="22"/>
      <c r="L13" s="22"/>
      <c r="M13" s="21"/>
      <c r="N13" s="22"/>
      <c r="O13" s="22"/>
      <c r="P13" s="26">
        <v>14500.0</v>
      </c>
      <c r="Q13" s="27">
        <f t="shared" si="1"/>
        <v>0</v>
      </c>
      <c r="R13" s="26" t="s">
        <v>25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45633.0</v>
      </c>
      <c r="C14" s="33" t="s">
        <v>415</v>
      </c>
      <c r="D14" s="34">
        <v>67621.0</v>
      </c>
      <c r="E14" s="35" t="s">
        <v>416</v>
      </c>
      <c r="F14" s="22"/>
      <c r="G14" s="22"/>
      <c r="H14" s="22"/>
      <c r="I14" s="30">
        <v>5000.0</v>
      </c>
      <c r="J14" s="30"/>
      <c r="K14" s="22"/>
      <c r="L14" s="22"/>
      <c r="M14" s="21"/>
      <c r="N14" s="22"/>
      <c r="O14" s="22"/>
      <c r="P14" s="36">
        <v>5000.0</v>
      </c>
      <c r="Q14" s="27">
        <f t="shared" si="1"/>
        <v>0</v>
      </c>
      <c r="R14" s="36" t="s">
        <v>25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45633.0</v>
      </c>
      <c r="C15" s="33" t="s">
        <v>417</v>
      </c>
      <c r="D15" s="34">
        <v>83606.0</v>
      </c>
      <c r="E15" s="35" t="s">
        <v>418</v>
      </c>
      <c r="F15" s="22"/>
      <c r="G15" s="22"/>
      <c r="H15" s="22"/>
      <c r="I15" s="30">
        <v>5100.0</v>
      </c>
      <c r="J15" s="30"/>
      <c r="K15" s="22"/>
      <c r="L15" s="22"/>
      <c r="M15" s="21"/>
      <c r="N15" s="22"/>
      <c r="O15" s="22"/>
      <c r="P15" s="36">
        <v>5100.0</v>
      </c>
      <c r="Q15" s="27">
        <f t="shared" si="1"/>
        <v>0</v>
      </c>
      <c r="R15" s="36" t="s">
        <v>48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45633.0</v>
      </c>
      <c r="C16" s="33" t="s">
        <v>419</v>
      </c>
      <c r="D16" s="34">
        <v>51040.0</v>
      </c>
      <c r="E16" s="35" t="s">
        <v>420</v>
      </c>
      <c r="F16" s="22"/>
      <c r="G16" s="22"/>
      <c r="H16" s="22"/>
      <c r="I16" s="30"/>
      <c r="J16" s="30"/>
      <c r="K16" s="22"/>
      <c r="L16" s="22"/>
      <c r="M16" s="30">
        <v>225.0</v>
      </c>
      <c r="N16" s="22"/>
      <c r="O16" s="22"/>
      <c r="P16" s="36">
        <v>225.0</v>
      </c>
      <c r="Q16" s="27">
        <f t="shared" si="1"/>
        <v>0</v>
      </c>
      <c r="R16" s="36" t="s">
        <v>48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32">
        <v>45633.0</v>
      </c>
      <c r="C17" s="33" t="s">
        <v>421</v>
      </c>
      <c r="D17" s="34">
        <v>51040.0</v>
      </c>
      <c r="E17" s="35" t="s">
        <v>420</v>
      </c>
      <c r="F17" s="22"/>
      <c r="G17" s="22"/>
      <c r="H17" s="25"/>
      <c r="I17" s="30"/>
      <c r="J17" s="21"/>
      <c r="K17" s="25">
        <v>210.0</v>
      </c>
      <c r="L17" s="22"/>
      <c r="M17" s="21"/>
      <c r="N17" s="22"/>
      <c r="O17" s="25">
        <v>990.0</v>
      </c>
      <c r="P17" s="36">
        <v>1200.0</v>
      </c>
      <c r="Q17" s="27">
        <f t="shared" si="1"/>
        <v>0</v>
      </c>
      <c r="R17" s="36"/>
      <c r="S17" s="81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ht="34.5" customHeight="1">
      <c r="A18" s="83">
        <v>14.0</v>
      </c>
      <c r="B18" s="32">
        <v>45633.0</v>
      </c>
      <c r="C18" s="33" t="s">
        <v>422</v>
      </c>
      <c r="D18" s="34">
        <v>52058.0</v>
      </c>
      <c r="E18" s="35" t="s">
        <v>423</v>
      </c>
      <c r="F18" s="22"/>
      <c r="G18" s="22"/>
      <c r="H18" s="22"/>
      <c r="I18" s="30"/>
      <c r="J18" s="30"/>
      <c r="K18" s="25">
        <v>170.0</v>
      </c>
      <c r="L18" s="22"/>
      <c r="M18" s="21"/>
      <c r="N18" s="22"/>
      <c r="O18" s="25">
        <v>630.0</v>
      </c>
      <c r="P18" s="36">
        <v>800.0</v>
      </c>
      <c r="Q18" s="27">
        <f t="shared" si="1"/>
        <v>0</v>
      </c>
      <c r="R18" s="36"/>
      <c r="S18" s="81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ht="34.5" customHeight="1">
      <c r="A19" s="83">
        <v>15.0</v>
      </c>
      <c r="B19" s="29">
        <v>45633.0</v>
      </c>
      <c r="C19" s="18" t="s">
        <v>424</v>
      </c>
      <c r="D19" s="19">
        <v>52057.0</v>
      </c>
      <c r="E19" s="20" t="s">
        <v>425</v>
      </c>
      <c r="F19" s="22"/>
      <c r="G19" s="25"/>
      <c r="H19" s="22"/>
      <c r="I19" s="30"/>
      <c r="J19" s="30"/>
      <c r="K19" s="25">
        <v>575.0</v>
      </c>
      <c r="L19" s="22"/>
      <c r="M19" s="22"/>
      <c r="N19" s="22"/>
      <c r="O19" s="25">
        <v>225.0</v>
      </c>
      <c r="P19" s="26">
        <v>800.0</v>
      </c>
      <c r="Q19" s="27">
        <f t="shared" si="1"/>
        <v>0</v>
      </c>
      <c r="R19" s="26"/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/>
      <c r="B20" s="29"/>
      <c r="C20" s="18"/>
      <c r="D20" s="19"/>
      <c r="E20" s="20"/>
      <c r="F20" s="21"/>
      <c r="G20" s="22"/>
      <c r="H20" s="25"/>
      <c r="I20" s="21"/>
      <c r="J20" s="21"/>
      <c r="K20" s="24"/>
      <c r="L20" s="22"/>
      <c r="M20" s="22"/>
      <c r="N20" s="22"/>
      <c r="O20" s="22"/>
      <c r="P20" s="26"/>
      <c r="Q20" s="27">
        <f t="shared" si="1"/>
        <v>0</v>
      </c>
      <c r="R20" s="63"/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/>
      <c r="B21" s="29"/>
      <c r="C21" s="18"/>
      <c r="D21" s="19"/>
      <c r="E21" s="20"/>
      <c r="F21" s="21"/>
      <c r="G21" s="22"/>
      <c r="H21" s="25"/>
      <c r="I21" s="21"/>
      <c r="J21" s="21"/>
      <c r="K21" s="24"/>
      <c r="L21" s="22"/>
      <c r="M21" s="25"/>
      <c r="N21" s="22"/>
      <c r="O21" s="22"/>
      <c r="P21" s="26"/>
      <c r="Q21" s="27">
        <f t="shared" si="1"/>
        <v>0</v>
      </c>
      <c r="R21" s="63"/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7.5" customHeight="1">
      <c r="A22" s="16"/>
      <c r="B22" s="64"/>
      <c r="C22" s="65"/>
      <c r="D22" s="66" t="s">
        <v>135</v>
      </c>
      <c r="E22" s="67"/>
      <c r="F22" s="68">
        <f>SUM(F6:F21)</f>
        <v>0</v>
      </c>
      <c r="G22" s="68">
        <f t="shared" ref="G22:K22" si="2">SUM(G5:G21)</f>
        <v>0</v>
      </c>
      <c r="H22" s="68">
        <f t="shared" si="2"/>
        <v>0</v>
      </c>
      <c r="I22" s="68">
        <f t="shared" si="2"/>
        <v>18940</v>
      </c>
      <c r="J22" s="68">
        <f t="shared" si="2"/>
        <v>29650</v>
      </c>
      <c r="K22" s="68">
        <f t="shared" si="2"/>
        <v>12455</v>
      </c>
      <c r="L22" s="68">
        <f>SUM(L6:L21)</f>
        <v>0</v>
      </c>
      <c r="M22" s="68">
        <f>SUM(M5:M21)</f>
        <v>5025</v>
      </c>
      <c r="N22" s="68">
        <f>SUM(N6:N21)</f>
        <v>0</v>
      </c>
      <c r="O22" s="68">
        <f t="shared" ref="O22:P22" si="3">SUM(O5:O21)</f>
        <v>1845</v>
      </c>
      <c r="P22" s="68">
        <f t="shared" si="3"/>
        <v>67915</v>
      </c>
      <c r="Q22" s="85"/>
      <c r="R22" s="69"/>
      <c r="S22" s="28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  <row r="23" ht="58.5" customHeight="1">
      <c r="A23" s="70"/>
      <c r="B23" s="70"/>
      <c r="C23" s="71"/>
      <c r="D23" s="70"/>
      <c r="E23" s="70"/>
      <c r="F23" s="72">
        <f>F22+G22+H22+I22+J22+K22+L22+M22+N22+O22</f>
        <v>67915</v>
      </c>
      <c r="P23" s="73"/>
      <c r="Q23" s="73"/>
      <c r="R23" s="70"/>
      <c r="S23" s="70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</row>
    <row r="24" ht="15.75" customHeight="1">
      <c r="A24" s="4"/>
      <c r="B24" s="4"/>
      <c r="C24" s="7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7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75" t="s">
        <v>135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82" t="s">
        <v>229</v>
      </c>
      <c r="D27" s="4"/>
      <c r="E27" s="76" t="s">
        <v>136</v>
      </c>
      <c r="F27" s="77" t="s">
        <v>137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74"/>
      <c r="D28" s="4"/>
      <c r="E28" s="78" t="s">
        <v>138</v>
      </c>
      <c r="F28" s="77" t="s">
        <v>348</v>
      </c>
      <c r="G28" s="4"/>
      <c r="H28" s="4"/>
      <c r="I28" s="4"/>
      <c r="J28" s="4"/>
      <c r="K28" s="4"/>
      <c r="L28" s="4"/>
      <c r="M28" s="4"/>
      <c r="N28" s="4"/>
      <c r="O28" s="79" t="s">
        <v>135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74"/>
      <c r="D29" s="4"/>
      <c r="E29" s="78" t="s">
        <v>140</v>
      </c>
      <c r="F29" s="77" t="s">
        <v>146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74"/>
      <c r="D30" s="4"/>
      <c r="E30" s="78" t="s">
        <v>141</v>
      </c>
      <c r="F30" s="77" t="s">
        <v>146</v>
      </c>
      <c r="G30" s="4"/>
      <c r="H30" s="4"/>
      <c r="I30" s="4"/>
      <c r="J30" s="4"/>
      <c r="K30" s="4" t="s">
        <v>135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74"/>
      <c r="D31" s="4"/>
      <c r="E31" s="78" t="s">
        <v>142</v>
      </c>
      <c r="F31" s="77" t="s">
        <v>426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74"/>
      <c r="D32" s="4"/>
      <c r="E32" s="78" t="s">
        <v>427</v>
      </c>
      <c r="F32" s="77" t="s">
        <v>146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74"/>
      <c r="D33" s="4"/>
      <c r="E33" s="78" t="s">
        <v>145</v>
      </c>
      <c r="F33" s="77" t="s">
        <v>351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4"/>
      <c r="D34" s="4"/>
      <c r="E34" s="78" t="s">
        <v>147</v>
      </c>
      <c r="F34" s="80" t="s">
        <v>137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79" t="s">
        <v>135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4"/>
      <c r="D35" s="4"/>
      <c r="E35" s="4"/>
      <c r="F35" s="4"/>
      <c r="G35" s="4"/>
      <c r="H35" s="4"/>
      <c r="I35" s="4"/>
      <c r="J35" s="4"/>
      <c r="K35" s="4" t="str">
        <f>I72422</f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7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7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7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7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7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74"/>
      <c r="D42" s="4"/>
      <c r="E42" s="4"/>
      <c r="F42" s="4"/>
      <c r="G42" s="4"/>
      <c r="H42" s="4"/>
      <c r="I42" s="79" t="s">
        <v>148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>
        <v>7.0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7">
    <mergeCell ref="R2:R4"/>
    <mergeCell ref="S2:S4"/>
    <mergeCell ref="F3:F4"/>
    <mergeCell ref="G3:H3"/>
    <mergeCell ref="I3:J3"/>
    <mergeCell ref="K3:K4"/>
    <mergeCell ref="F23:O2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45634.0</v>
      </c>
      <c r="C5" s="18" t="s">
        <v>429</v>
      </c>
      <c r="D5" s="19">
        <v>43088.0</v>
      </c>
      <c r="E5" s="20" t="s">
        <v>430</v>
      </c>
      <c r="F5" s="21"/>
      <c r="G5" s="22"/>
      <c r="H5" s="30"/>
      <c r="I5" s="23">
        <v>1300.0</v>
      </c>
      <c r="J5" s="24"/>
      <c r="K5" s="22"/>
      <c r="L5" s="25"/>
      <c r="M5" s="30"/>
      <c r="N5" s="22"/>
      <c r="O5" s="22"/>
      <c r="P5" s="26">
        <v>1300.0</v>
      </c>
      <c r="Q5" s="27">
        <f t="shared" ref="Q5:Q17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45634.0</v>
      </c>
      <c r="C6" s="18" t="s">
        <v>431</v>
      </c>
      <c r="D6" s="19">
        <v>45096.0</v>
      </c>
      <c r="E6" s="20" t="s">
        <v>157</v>
      </c>
      <c r="F6" s="21"/>
      <c r="G6" s="22"/>
      <c r="H6" s="30"/>
      <c r="I6" s="23">
        <v>4600.0</v>
      </c>
      <c r="J6" s="23"/>
      <c r="K6" s="22"/>
      <c r="L6" s="25"/>
      <c r="M6" s="30"/>
      <c r="N6" s="22"/>
      <c r="O6" s="22"/>
      <c r="P6" s="26">
        <v>4600.0</v>
      </c>
      <c r="Q6" s="27">
        <f t="shared" si="1"/>
        <v>0</v>
      </c>
      <c r="R6" s="26" t="s">
        <v>25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29">
        <v>45634.0</v>
      </c>
      <c r="C7" s="18" t="s">
        <v>432</v>
      </c>
      <c r="D7" s="19">
        <v>45227.0</v>
      </c>
      <c r="E7" s="20" t="s">
        <v>188</v>
      </c>
      <c r="F7" s="21"/>
      <c r="G7" s="25"/>
      <c r="H7" s="25"/>
      <c r="I7" s="30">
        <v>700.0</v>
      </c>
      <c r="J7" s="25"/>
      <c r="K7" s="25"/>
      <c r="L7" s="22"/>
      <c r="M7" s="21"/>
      <c r="N7" s="22"/>
      <c r="O7" s="22"/>
      <c r="P7" s="26">
        <v>700.0</v>
      </c>
      <c r="Q7" s="27">
        <f t="shared" si="1"/>
        <v>0</v>
      </c>
      <c r="R7" s="26" t="s">
        <v>25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45634.0</v>
      </c>
      <c r="C8" s="18" t="s">
        <v>433</v>
      </c>
      <c r="D8" s="19">
        <v>85418.0</v>
      </c>
      <c r="E8" s="20" t="s">
        <v>434</v>
      </c>
      <c r="F8" s="22"/>
      <c r="G8" s="25"/>
      <c r="H8" s="30"/>
      <c r="I8" s="30"/>
      <c r="J8" s="24"/>
      <c r="K8" s="25"/>
      <c r="L8" s="22"/>
      <c r="M8" s="25">
        <v>300.0</v>
      </c>
      <c r="N8" s="22"/>
      <c r="O8" s="22"/>
      <c r="P8" s="26">
        <v>300.0</v>
      </c>
      <c r="Q8" s="27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45634.0</v>
      </c>
      <c r="C9" s="18" t="s">
        <v>435</v>
      </c>
      <c r="D9" s="19">
        <v>28414.0</v>
      </c>
      <c r="E9" s="20" t="s">
        <v>164</v>
      </c>
      <c r="F9" s="22"/>
      <c r="G9" s="22"/>
      <c r="H9" s="25"/>
      <c r="I9" s="30">
        <v>300.0</v>
      </c>
      <c r="J9" s="21"/>
      <c r="K9" s="22"/>
      <c r="L9" s="22"/>
      <c r="M9" s="22"/>
      <c r="N9" s="22"/>
      <c r="O9" s="22"/>
      <c r="P9" s="26">
        <v>300.0</v>
      </c>
      <c r="Q9" s="27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45634.0</v>
      </c>
      <c r="C10" s="18" t="s">
        <v>436</v>
      </c>
      <c r="D10" s="19">
        <v>19688.0</v>
      </c>
      <c r="E10" s="20" t="s">
        <v>260</v>
      </c>
      <c r="F10" s="22"/>
      <c r="G10" s="22"/>
      <c r="H10" s="25"/>
      <c r="I10" s="30"/>
      <c r="J10" s="30">
        <v>10900.0</v>
      </c>
      <c r="K10" s="22"/>
      <c r="L10" s="22"/>
      <c r="M10" s="21"/>
      <c r="N10" s="22"/>
      <c r="O10" s="22"/>
      <c r="P10" s="26">
        <v>10900.0</v>
      </c>
      <c r="Q10" s="27">
        <f t="shared" si="1"/>
        <v>0</v>
      </c>
      <c r="R10" s="26" t="s">
        <v>48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05">
        <v>7.0</v>
      </c>
      <c r="B11" s="106">
        <v>45634.0</v>
      </c>
      <c r="C11" s="107" t="s">
        <v>437</v>
      </c>
      <c r="D11" s="108">
        <v>76637.0</v>
      </c>
      <c r="E11" s="109" t="s">
        <v>438</v>
      </c>
      <c r="F11" s="110"/>
      <c r="G11" s="110"/>
      <c r="H11" s="115"/>
      <c r="I11" s="111">
        <v>5100.0</v>
      </c>
      <c r="J11" s="112"/>
      <c r="K11" s="110"/>
      <c r="L11" s="110"/>
      <c r="M11" s="112"/>
      <c r="N11" s="110"/>
      <c r="O11" s="110"/>
      <c r="P11" s="113">
        <v>5100.0</v>
      </c>
      <c r="Q11" s="114">
        <f t="shared" si="1"/>
        <v>0</v>
      </c>
      <c r="R11" s="113" t="s">
        <v>48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45634.0</v>
      </c>
      <c r="C12" s="18" t="s">
        <v>439</v>
      </c>
      <c r="D12" s="19">
        <v>48631.0</v>
      </c>
      <c r="E12" s="20" t="s">
        <v>166</v>
      </c>
      <c r="F12" s="22"/>
      <c r="G12" s="22"/>
      <c r="H12" s="25"/>
      <c r="I12" s="30">
        <v>25000.0</v>
      </c>
      <c r="J12" s="30"/>
      <c r="K12" s="22"/>
      <c r="L12" s="22"/>
      <c r="M12" s="21"/>
      <c r="N12" s="22"/>
      <c r="O12" s="22"/>
      <c r="P12" s="26">
        <v>25000.0</v>
      </c>
      <c r="Q12" s="27">
        <f t="shared" si="1"/>
        <v>0</v>
      </c>
      <c r="R12" s="26" t="s">
        <v>48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45634.0</v>
      </c>
      <c r="C13" s="18" t="s">
        <v>440</v>
      </c>
      <c r="D13" s="19">
        <v>48631.0</v>
      </c>
      <c r="E13" s="20" t="s">
        <v>166</v>
      </c>
      <c r="F13" s="22"/>
      <c r="G13" s="22"/>
      <c r="H13" s="25"/>
      <c r="I13" s="30">
        <v>2700.0</v>
      </c>
      <c r="J13" s="30"/>
      <c r="K13" s="22"/>
      <c r="L13" s="22"/>
      <c r="M13" s="21"/>
      <c r="N13" s="22"/>
      <c r="O13" s="22"/>
      <c r="P13" s="26">
        <v>2700.0</v>
      </c>
      <c r="Q13" s="27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45634.0</v>
      </c>
      <c r="C14" s="33" t="s">
        <v>441</v>
      </c>
      <c r="D14" s="34">
        <v>59103.0</v>
      </c>
      <c r="E14" s="35" t="s">
        <v>100</v>
      </c>
      <c r="F14" s="22"/>
      <c r="G14" s="22"/>
      <c r="H14" s="25"/>
      <c r="I14" s="30"/>
      <c r="J14" s="30"/>
      <c r="K14" s="25">
        <v>4500.0</v>
      </c>
      <c r="L14" s="22"/>
      <c r="M14" s="21"/>
      <c r="N14" s="22"/>
      <c r="O14" s="22"/>
      <c r="P14" s="36">
        <v>4500.0</v>
      </c>
      <c r="Q14" s="27">
        <f t="shared" si="1"/>
        <v>0</v>
      </c>
      <c r="R14" s="36" t="s">
        <v>25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45634.0</v>
      </c>
      <c r="C15" s="33" t="s">
        <v>442</v>
      </c>
      <c r="D15" s="34">
        <v>21818.0</v>
      </c>
      <c r="E15" s="35" t="s">
        <v>190</v>
      </c>
      <c r="F15" s="22"/>
      <c r="G15" s="22"/>
      <c r="H15" s="25"/>
      <c r="I15" s="30"/>
      <c r="J15" s="30"/>
      <c r="K15" s="25">
        <v>4500.0</v>
      </c>
      <c r="L15" s="22"/>
      <c r="M15" s="21"/>
      <c r="N15" s="22"/>
      <c r="O15" s="22"/>
      <c r="P15" s="36">
        <v>4500.0</v>
      </c>
      <c r="Q15" s="27">
        <f t="shared" si="1"/>
        <v>0</v>
      </c>
      <c r="R15" s="36" t="s">
        <v>48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/>
      <c r="B16" s="29"/>
      <c r="C16" s="18"/>
      <c r="D16" s="19"/>
      <c r="E16" s="20"/>
      <c r="F16" s="21"/>
      <c r="G16" s="22"/>
      <c r="H16" s="25"/>
      <c r="I16" s="21"/>
      <c r="J16" s="21"/>
      <c r="K16" s="24"/>
      <c r="L16" s="22"/>
      <c r="M16" s="22"/>
      <c r="N16" s="22"/>
      <c r="O16" s="22"/>
      <c r="P16" s="26"/>
      <c r="Q16" s="27">
        <f t="shared" si="1"/>
        <v>0</v>
      </c>
      <c r="R16" s="63"/>
      <c r="S16" s="2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3"/>
      <c r="B17" s="29"/>
      <c r="C17" s="18"/>
      <c r="D17" s="19"/>
      <c r="E17" s="20"/>
      <c r="F17" s="21"/>
      <c r="G17" s="22"/>
      <c r="H17" s="25"/>
      <c r="I17" s="21"/>
      <c r="J17" s="21"/>
      <c r="K17" s="24"/>
      <c r="L17" s="22"/>
      <c r="M17" s="25"/>
      <c r="N17" s="22"/>
      <c r="O17" s="22"/>
      <c r="P17" s="26"/>
      <c r="Q17" s="27">
        <f t="shared" si="1"/>
        <v>0</v>
      </c>
      <c r="R17" s="63"/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7.5" customHeight="1">
      <c r="A18" s="16"/>
      <c r="B18" s="64"/>
      <c r="C18" s="65"/>
      <c r="D18" s="66" t="s">
        <v>135</v>
      </c>
      <c r="E18" s="67"/>
      <c r="F18" s="68">
        <f>SUM(F6:F17)</f>
        <v>0</v>
      </c>
      <c r="G18" s="68">
        <f t="shared" ref="G18:K18" si="2">SUM(G5:G17)</f>
        <v>0</v>
      </c>
      <c r="H18" s="68">
        <f t="shared" si="2"/>
        <v>0</v>
      </c>
      <c r="I18" s="68">
        <f t="shared" si="2"/>
        <v>39700</v>
      </c>
      <c r="J18" s="68">
        <f t="shared" si="2"/>
        <v>10900</v>
      </c>
      <c r="K18" s="68">
        <f t="shared" si="2"/>
        <v>9000</v>
      </c>
      <c r="L18" s="68">
        <f>SUM(L6:L17)</f>
        <v>0</v>
      </c>
      <c r="M18" s="68">
        <f>SUM(M5:M17)</f>
        <v>300</v>
      </c>
      <c r="N18" s="68">
        <f>SUM(N6:N17)</f>
        <v>0</v>
      </c>
      <c r="O18" s="68">
        <f t="shared" ref="O18:P18" si="3">SUM(O5:O17)</f>
        <v>0</v>
      </c>
      <c r="P18" s="68">
        <f t="shared" si="3"/>
        <v>59900</v>
      </c>
      <c r="Q18" s="85"/>
      <c r="R18" s="69"/>
      <c r="S18" s="28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ht="58.5" customHeight="1">
      <c r="A19" s="70"/>
      <c r="B19" s="70"/>
      <c r="C19" s="71"/>
      <c r="D19" s="70"/>
      <c r="E19" s="70"/>
      <c r="F19" s="72">
        <f>F18+G18+H18+I18+J18+K18+L18+M18+N18+O18</f>
        <v>59900</v>
      </c>
      <c r="P19" s="73"/>
      <c r="Q19" s="73"/>
      <c r="R19" s="70"/>
      <c r="S19" s="70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ht="15.75" customHeight="1">
      <c r="A20" s="4"/>
      <c r="B20" s="4"/>
      <c r="C20" s="7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7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75" t="s">
        <v>135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82" t="s">
        <v>229</v>
      </c>
      <c r="D23" s="4"/>
      <c r="E23" s="76" t="s">
        <v>136</v>
      </c>
      <c r="F23" s="77" t="s">
        <v>137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74"/>
      <c r="D24" s="4"/>
      <c r="E24" s="78" t="s">
        <v>138</v>
      </c>
      <c r="F24" s="77" t="s">
        <v>348</v>
      </c>
      <c r="G24" s="4"/>
      <c r="H24" s="4"/>
      <c r="I24" s="4"/>
      <c r="J24" s="4"/>
      <c r="K24" s="4"/>
      <c r="L24" s="4"/>
      <c r="M24" s="4"/>
      <c r="N24" s="4"/>
      <c r="O24" s="79" t="s">
        <v>135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74"/>
      <c r="D25" s="4"/>
      <c r="E25" s="78" t="s">
        <v>140</v>
      </c>
      <c r="F25" s="77" t="s">
        <v>137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74"/>
      <c r="D26" s="4"/>
      <c r="E26" s="78" t="s">
        <v>141</v>
      </c>
      <c r="F26" s="77" t="s">
        <v>146</v>
      </c>
      <c r="G26" s="4"/>
      <c r="H26" s="4"/>
      <c r="I26" s="4"/>
      <c r="J26" s="4"/>
      <c r="K26" s="4" t="s">
        <v>135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74"/>
      <c r="D27" s="4"/>
      <c r="E27" s="78" t="s">
        <v>142</v>
      </c>
      <c r="F27" s="77" t="s">
        <v>426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74"/>
      <c r="D28" s="4"/>
      <c r="E28" s="78" t="s">
        <v>443</v>
      </c>
      <c r="F28" s="77" t="s">
        <v>146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74"/>
      <c r="D29" s="4"/>
      <c r="E29" s="78" t="s">
        <v>145</v>
      </c>
      <c r="F29" s="77" t="s">
        <v>351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74"/>
      <c r="D30" s="4"/>
      <c r="E30" s="78" t="s">
        <v>147</v>
      </c>
      <c r="F30" s="80" t="s">
        <v>137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79" t="s">
        <v>135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74"/>
      <c r="D31" s="4"/>
      <c r="E31" s="4"/>
      <c r="F31" s="4"/>
      <c r="G31" s="4"/>
      <c r="H31" s="4"/>
      <c r="I31" s="4"/>
      <c r="J31" s="4"/>
      <c r="K31" s="4" t="str">
        <f>I72418</f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7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7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7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7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7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7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74"/>
      <c r="D38" s="4"/>
      <c r="E38" s="4"/>
      <c r="F38" s="4"/>
      <c r="G38" s="4"/>
      <c r="H38" s="4"/>
      <c r="I38" s="79" t="s">
        <v>148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7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7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7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>
        <v>7.0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7">
    <mergeCell ref="R2:R4"/>
    <mergeCell ref="S2:S4"/>
    <mergeCell ref="F3:F4"/>
    <mergeCell ref="G3:H3"/>
    <mergeCell ref="I3:J3"/>
    <mergeCell ref="K3:K4"/>
    <mergeCell ref="F19:O1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444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45635.0</v>
      </c>
      <c r="C5" s="18" t="s">
        <v>445</v>
      </c>
      <c r="D5" s="19">
        <v>10250.0</v>
      </c>
      <c r="E5" s="20" t="s">
        <v>330</v>
      </c>
      <c r="F5" s="21"/>
      <c r="G5" s="22"/>
      <c r="H5" s="30"/>
      <c r="I5" s="23">
        <v>2400.0</v>
      </c>
      <c r="J5" s="24"/>
      <c r="K5" s="22"/>
      <c r="L5" s="25"/>
      <c r="M5" s="30"/>
      <c r="N5" s="22"/>
      <c r="O5" s="22"/>
      <c r="P5" s="26">
        <v>2400.0</v>
      </c>
      <c r="Q5" s="27">
        <f t="shared" ref="Q5:Q14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45635.0</v>
      </c>
      <c r="C6" s="18" t="s">
        <v>446</v>
      </c>
      <c r="D6" s="19">
        <v>83066.0</v>
      </c>
      <c r="E6" s="20" t="s">
        <v>447</v>
      </c>
      <c r="F6" s="30">
        <v>3000.0</v>
      </c>
      <c r="G6" s="22"/>
      <c r="H6" s="30"/>
      <c r="I6" s="23"/>
      <c r="J6" s="23"/>
      <c r="K6" s="22"/>
      <c r="L6" s="25"/>
      <c r="M6" s="30">
        <v>1500.0</v>
      </c>
      <c r="N6" s="22"/>
      <c r="O6" s="22"/>
      <c r="P6" s="26">
        <v>4500.0</v>
      </c>
      <c r="Q6" s="27">
        <f t="shared" si="1"/>
        <v>0</v>
      </c>
      <c r="R6" s="26" t="s">
        <v>33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6">
        <v>3.0</v>
      </c>
      <c r="B7" s="39">
        <v>45635.0</v>
      </c>
      <c r="C7" s="40" t="s">
        <v>448</v>
      </c>
      <c r="D7" s="41">
        <v>21828.0</v>
      </c>
      <c r="E7" s="42" t="s">
        <v>104</v>
      </c>
      <c r="F7" s="45"/>
      <c r="G7" s="116"/>
      <c r="H7" s="116"/>
      <c r="I7" s="44"/>
      <c r="J7" s="116">
        <v>500.0</v>
      </c>
      <c r="K7" s="116"/>
      <c r="L7" s="43"/>
      <c r="M7" s="45"/>
      <c r="N7" s="43"/>
      <c r="O7" s="43"/>
      <c r="P7" s="46">
        <v>500.0</v>
      </c>
      <c r="Q7" s="47">
        <f t="shared" si="1"/>
        <v>0</v>
      </c>
      <c r="R7" s="46" t="s">
        <v>33</v>
      </c>
      <c r="S7" s="117" t="s">
        <v>449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45635.0</v>
      </c>
      <c r="C8" s="18" t="s">
        <v>450</v>
      </c>
      <c r="D8" s="19">
        <v>57773.0</v>
      </c>
      <c r="E8" s="20" t="s">
        <v>451</v>
      </c>
      <c r="F8" s="22"/>
      <c r="G8" s="25"/>
      <c r="H8" s="30"/>
      <c r="I8" s="30">
        <v>3050.0</v>
      </c>
      <c r="J8" s="24"/>
      <c r="K8" s="25"/>
      <c r="L8" s="22"/>
      <c r="M8" s="25"/>
      <c r="N8" s="22"/>
      <c r="O8" s="22"/>
      <c r="P8" s="26">
        <v>3050.0</v>
      </c>
      <c r="Q8" s="27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45635.0</v>
      </c>
      <c r="C9" s="18" t="s">
        <v>452</v>
      </c>
      <c r="D9" s="19">
        <v>74664.0</v>
      </c>
      <c r="E9" s="20" t="s">
        <v>453</v>
      </c>
      <c r="F9" s="22"/>
      <c r="G9" s="22"/>
      <c r="H9" s="25"/>
      <c r="I9" s="30"/>
      <c r="J9" s="21"/>
      <c r="K9" s="22"/>
      <c r="L9" s="22"/>
      <c r="M9" s="25">
        <v>200.0</v>
      </c>
      <c r="N9" s="22"/>
      <c r="O9" s="22"/>
      <c r="P9" s="26">
        <v>200.0</v>
      </c>
      <c r="Q9" s="27">
        <f t="shared" si="1"/>
        <v>0</v>
      </c>
      <c r="R9" s="26" t="s">
        <v>33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45635.0</v>
      </c>
      <c r="C10" s="18" t="s">
        <v>454</v>
      </c>
      <c r="D10" s="19">
        <v>83066.0</v>
      </c>
      <c r="E10" s="20" t="s">
        <v>447</v>
      </c>
      <c r="F10" s="22"/>
      <c r="G10" s="22"/>
      <c r="H10" s="25"/>
      <c r="I10" s="30"/>
      <c r="J10" s="30"/>
      <c r="K10" s="22"/>
      <c r="L10" s="22"/>
      <c r="M10" s="30">
        <v>400.0</v>
      </c>
      <c r="N10" s="22"/>
      <c r="O10" s="22"/>
      <c r="P10" s="26">
        <v>400.0</v>
      </c>
      <c r="Q10" s="27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106">
        <v>45635.0</v>
      </c>
      <c r="C11" s="107" t="s">
        <v>455</v>
      </c>
      <c r="D11" s="108">
        <v>83056.0</v>
      </c>
      <c r="E11" s="109" t="s">
        <v>456</v>
      </c>
      <c r="F11" s="110"/>
      <c r="G11" s="110"/>
      <c r="H11" s="115"/>
      <c r="I11" s="111"/>
      <c r="J11" s="112"/>
      <c r="K11" s="110"/>
      <c r="L11" s="110"/>
      <c r="M11" s="111">
        <v>200.0</v>
      </c>
      <c r="N11" s="110"/>
      <c r="O11" s="110"/>
      <c r="P11" s="113">
        <v>200.0</v>
      </c>
      <c r="Q11" s="27">
        <f t="shared" si="1"/>
        <v>0</v>
      </c>
      <c r="R11" s="113" t="s">
        <v>33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45635.0</v>
      </c>
      <c r="C12" s="18" t="s">
        <v>457</v>
      </c>
      <c r="D12" s="19">
        <v>59244.0</v>
      </c>
      <c r="E12" s="20" t="s">
        <v>50</v>
      </c>
      <c r="F12" s="22"/>
      <c r="G12" s="22"/>
      <c r="H12" s="25"/>
      <c r="I12" s="30"/>
      <c r="J12" s="30"/>
      <c r="K12" s="22"/>
      <c r="L12" s="22"/>
      <c r="M12" s="30">
        <v>200.0</v>
      </c>
      <c r="N12" s="22"/>
      <c r="O12" s="22"/>
      <c r="P12" s="26">
        <v>200.0</v>
      </c>
      <c r="Q12" s="27">
        <f t="shared" si="1"/>
        <v>0</v>
      </c>
      <c r="R12" s="26" t="s">
        <v>30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45635.0</v>
      </c>
      <c r="C13" s="18" t="s">
        <v>458</v>
      </c>
      <c r="D13" s="19">
        <v>45193.0</v>
      </c>
      <c r="E13" s="20" t="s">
        <v>244</v>
      </c>
      <c r="F13" s="22"/>
      <c r="G13" s="22"/>
      <c r="H13" s="25"/>
      <c r="I13" s="30"/>
      <c r="J13" s="30">
        <v>400.0</v>
      </c>
      <c r="K13" s="22"/>
      <c r="L13" s="22"/>
      <c r="M13" s="21"/>
      <c r="N13" s="22"/>
      <c r="O13" s="22"/>
      <c r="P13" s="26">
        <v>400.0</v>
      </c>
      <c r="Q13" s="27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45635.0</v>
      </c>
      <c r="C14" s="33" t="s">
        <v>459</v>
      </c>
      <c r="D14" s="34">
        <v>69346.0</v>
      </c>
      <c r="E14" s="35" t="s">
        <v>341</v>
      </c>
      <c r="F14" s="22"/>
      <c r="G14" s="22"/>
      <c r="H14" s="25"/>
      <c r="I14" s="30"/>
      <c r="J14" s="30"/>
      <c r="K14" s="25"/>
      <c r="L14" s="22"/>
      <c r="M14" s="30">
        <v>200.0</v>
      </c>
      <c r="N14" s="22"/>
      <c r="O14" s="22"/>
      <c r="P14" s="36">
        <v>200.0</v>
      </c>
      <c r="Q14" s="27">
        <f t="shared" si="1"/>
        <v>0</v>
      </c>
      <c r="R14" s="36" t="s">
        <v>30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45635.0</v>
      </c>
      <c r="C15" s="33" t="s">
        <v>460</v>
      </c>
      <c r="D15" s="34">
        <v>52373.0</v>
      </c>
      <c r="E15" s="35" t="s">
        <v>370</v>
      </c>
      <c r="F15" s="25">
        <v>200.0</v>
      </c>
      <c r="G15" s="22"/>
      <c r="H15" s="25"/>
      <c r="I15" s="30"/>
      <c r="J15" s="30"/>
      <c r="K15" s="25"/>
      <c r="L15" s="22"/>
      <c r="M15" s="21"/>
      <c r="N15" s="22"/>
      <c r="O15" s="22"/>
      <c r="P15" s="36">
        <v>200.0</v>
      </c>
      <c r="Q15" s="118">
        <v>0.0</v>
      </c>
      <c r="R15" s="36" t="s">
        <v>33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29">
        <v>45635.0</v>
      </c>
      <c r="C16" s="18" t="s">
        <v>461</v>
      </c>
      <c r="D16" s="19">
        <v>52776.0</v>
      </c>
      <c r="E16" s="20" t="s">
        <v>462</v>
      </c>
      <c r="F16" s="30">
        <v>200.0</v>
      </c>
      <c r="G16" s="22"/>
      <c r="H16" s="25"/>
      <c r="I16" s="21"/>
      <c r="J16" s="21"/>
      <c r="K16" s="24"/>
      <c r="L16" s="22"/>
      <c r="M16" s="22"/>
      <c r="N16" s="22"/>
      <c r="O16" s="22"/>
      <c r="P16" s="26">
        <v>200.0</v>
      </c>
      <c r="Q16" s="27">
        <f t="shared" ref="Q16:Q54" si="2">F16+G16+H16+I16+J16+K16+L16+M16+N16+O16-P16</f>
        <v>0</v>
      </c>
      <c r="R16" s="26" t="s">
        <v>33</v>
      </c>
      <c r="S16" s="2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3">
        <v>13.0</v>
      </c>
      <c r="B17" s="29">
        <v>45635.0</v>
      </c>
      <c r="C17" s="18" t="s">
        <v>463</v>
      </c>
      <c r="D17" s="19">
        <v>21384.0</v>
      </c>
      <c r="E17" s="20" t="s">
        <v>358</v>
      </c>
      <c r="F17" s="30">
        <v>400.0</v>
      </c>
      <c r="G17" s="22"/>
      <c r="H17" s="25"/>
      <c r="I17" s="21"/>
      <c r="J17" s="21"/>
      <c r="K17" s="24"/>
      <c r="L17" s="22"/>
      <c r="M17" s="22"/>
      <c r="N17" s="22"/>
      <c r="O17" s="22"/>
      <c r="P17" s="26">
        <v>400.0</v>
      </c>
      <c r="Q17" s="27">
        <f t="shared" si="2"/>
        <v>0</v>
      </c>
      <c r="R17" s="26" t="s">
        <v>33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45635.0</v>
      </c>
      <c r="C18" s="18" t="s">
        <v>464</v>
      </c>
      <c r="D18" s="19">
        <v>22332.0</v>
      </c>
      <c r="E18" s="20" t="s">
        <v>60</v>
      </c>
      <c r="F18" s="30">
        <v>400.0</v>
      </c>
      <c r="G18" s="22"/>
      <c r="H18" s="25"/>
      <c r="I18" s="21"/>
      <c r="J18" s="21"/>
      <c r="K18" s="24"/>
      <c r="L18" s="22"/>
      <c r="M18" s="22"/>
      <c r="N18" s="22"/>
      <c r="O18" s="22"/>
      <c r="P18" s="26">
        <v>400.0</v>
      </c>
      <c r="Q18" s="27">
        <f t="shared" si="2"/>
        <v>0</v>
      </c>
      <c r="R18" s="26" t="s">
        <v>33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45635.0</v>
      </c>
      <c r="C19" s="18" t="s">
        <v>465</v>
      </c>
      <c r="D19" s="19">
        <v>55555.0</v>
      </c>
      <c r="E19" s="20" t="s">
        <v>466</v>
      </c>
      <c r="F19" s="30">
        <v>400.0</v>
      </c>
      <c r="G19" s="22"/>
      <c r="H19" s="25"/>
      <c r="I19" s="21"/>
      <c r="J19" s="21"/>
      <c r="K19" s="24"/>
      <c r="L19" s="22"/>
      <c r="M19" s="22"/>
      <c r="N19" s="22"/>
      <c r="O19" s="22"/>
      <c r="P19" s="26">
        <v>400.0</v>
      </c>
      <c r="Q19" s="27">
        <f t="shared" si="2"/>
        <v>0</v>
      </c>
      <c r="R19" s="26" t="s">
        <v>33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45635.0</v>
      </c>
      <c r="C20" s="18" t="s">
        <v>467</v>
      </c>
      <c r="D20" s="19">
        <v>20670.0</v>
      </c>
      <c r="E20" s="20" t="s">
        <v>362</v>
      </c>
      <c r="F20" s="30">
        <v>200.0</v>
      </c>
      <c r="G20" s="22"/>
      <c r="H20" s="25"/>
      <c r="I20" s="21"/>
      <c r="J20" s="21"/>
      <c r="K20" s="24"/>
      <c r="L20" s="22"/>
      <c r="M20" s="22"/>
      <c r="N20" s="22"/>
      <c r="O20" s="22"/>
      <c r="P20" s="26">
        <v>200.0</v>
      </c>
      <c r="Q20" s="27">
        <f t="shared" si="2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45635.0</v>
      </c>
      <c r="C21" s="18" t="s">
        <v>468</v>
      </c>
      <c r="D21" s="19">
        <v>21937.0</v>
      </c>
      <c r="E21" s="20" t="s">
        <v>84</v>
      </c>
      <c r="F21" s="30">
        <v>200.0</v>
      </c>
      <c r="G21" s="22"/>
      <c r="H21" s="25"/>
      <c r="I21" s="21"/>
      <c r="J21" s="21"/>
      <c r="K21" s="24"/>
      <c r="L21" s="22"/>
      <c r="M21" s="22"/>
      <c r="N21" s="22"/>
      <c r="O21" s="22"/>
      <c r="P21" s="26">
        <v>200.0</v>
      </c>
      <c r="Q21" s="27">
        <f t="shared" si="2"/>
        <v>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45635.0</v>
      </c>
      <c r="C22" s="18" t="s">
        <v>469</v>
      </c>
      <c r="D22" s="19">
        <v>35227.0</v>
      </c>
      <c r="E22" s="20" t="s">
        <v>237</v>
      </c>
      <c r="F22" s="30">
        <v>1000.0</v>
      </c>
      <c r="G22" s="22"/>
      <c r="H22" s="25"/>
      <c r="I22" s="21"/>
      <c r="J22" s="21"/>
      <c r="K22" s="24"/>
      <c r="L22" s="22"/>
      <c r="M22" s="22"/>
      <c r="N22" s="22"/>
      <c r="O22" s="22"/>
      <c r="P22" s="26">
        <v>1000.0</v>
      </c>
      <c r="Q22" s="27">
        <f t="shared" si="2"/>
        <v>0</v>
      </c>
      <c r="R22" s="26" t="s">
        <v>30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45635.0</v>
      </c>
      <c r="C23" s="18" t="s">
        <v>470</v>
      </c>
      <c r="D23" s="19">
        <v>35382.0</v>
      </c>
      <c r="E23" s="20" t="s">
        <v>471</v>
      </c>
      <c r="F23" s="21"/>
      <c r="G23" s="22"/>
      <c r="H23" s="25"/>
      <c r="I23" s="21"/>
      <c r="J23" s="21"/>
      <c r="K23" s="24"/>
      <c r="L23" s="22"/>
      <c r="M23" s="25">
        <v>1450.0</v>
      </c>
      <c r="N23" s="22"/>
      <c r="O23" s="22"/>
      <c r="P23" s="26">
        <v>1450.0</v>
      </c>
      <c r="Q23" s="27">
        <f t="shared" si="2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45635.0</v>
      </c>
      <c r="C24" s="18" t="s">
        <v>472</v>
      </c>
      <c r="D24" s="19">
        <v>76556.0</v>
      </c>
      <c r="E24" s="20" t="s">
        <v>473</v>
      </c>
      <c r="F24" s="21"/>
      <c r="G24" s="22"/>
      <c r="H24" s="25"/>
      <c r="I24" s="21"/>
      <c r="J24" s="21"/>
      <c r="K24" s="24"/>
      <c r="L24" s="22"/>
      <c r="M24" s="25">
        <v>1450.0</v>
      </c>
      <c r="N24" s="22"/>
      <c r="O24" s="22"/>
      <c r="P24" s="26">
        <v>1450.0</v>
      </c>
      <c r="Q24" s="27">
        <f t="shared" si="2"/>
        <v>0</v>
      </c>
      <c r="R24" s="26" t="s">
        <v>48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45635.0</v>
      </c>
      <c r="C25" s="18" t="s">
        <v>474</v>
      </c>
      <c r="D25" s="19">
        <v>47787.0</v>
      </c>
      <c r="E25" s="20" t="s">
        <v>274</v>
      </c>
      <c r="F25" s="21"/>
      <c r="G25" s="22"/>
      <c r="H25" s="25"/>
      <c r="I25" s="30">
        <v>1200.0</v>
      </c>
      <c r="J25" s="21"/>
      <c r="K25" s="24"/>
      <c r="L25" s="22"/>
      <c r="M25" s="22"/>
      <c r="N25" s="22"/>
      <c r="O25" s="22"/>
      <c r="P25" s="26">
        <v>1200.0</v>
      </c>
      <c r="Q25" s="27">
        <f t="shared" si="2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45635.0</v>
      </c>
      <c r="C26" s="18" t="s">
        <v>475</v>
      </c>
      <c r="D26" s="19">
        <v>36928.0</v>
      </c>
      <c r="E26" s="20" t="s">
        <v>56</v>
      </c>
      <c r="F26" s="21"/>
      <c r="G26" s="22"/>
      <c r="H26" s="25"/>
      <c r="I26" s="30">
        <v>100.0</v>
      </c>
      <c r="J26" s="21"/>
      <c r="K26" s="24"/>
      <c r="L26" s="22"/>
      <c r="M26" s="22"/>
      <c r="N26" s="22"/>
      <c r="O26" s="22"/>
      <c r="P26" s="26">
        <v>100.0</v>
      </c>
      <c r="Q26" s="27">
        <f t="shared" si="2"/>
        <v>0</v>
      </c>
      <c r="R26" s="26" t="s">
        <v>48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45635.0</v>
      </c>
      <c r="C27" s="18" t="s">
        <v>476</v>
      </c>
      <c r="D27" s="19">
        <v>85422.0</v>
      </c>
      <c r="E27" s="20" t="s">
        <v>477</v>
      </c>
      <c r="F27" s="21"/>
      <c r="G27" s="22"/>
      <c r="H27" s="25"/>
      <c r="I27" s="21"/>
      <c r="J27" s="30">
        <v>300.0</v>
      </c>
      <c r="K27" s="24"/>
      <c r="L27" s="22"/>
      <c r="M27" s="22"/>
      <c r="N27" s="22"/>
      <c r="O27" s="22"/>
      <c r="P27" s="26">
        <v>300.0</v>
      </c>
      <c r="Q27" s="27">
        <f t="shared" si="2"/>
        <v>0</v>
      </c>
      <c r="R27" s="26" t="s">
        <v>30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45635.0</v>
      </c>
      <c r="C28" s="18" t="s">
        <v>478</v>
      </c>
      <c r="D28" s="19">
        <v>13133.0</v>
      </c>
      <c r="E28" s="20" t="s">
        <v>368</v>
      </c>
      <c r="F28" s="21"/>
      <c r="G28" s="22"/>
      <c r="H28" s="25"/>
      <c r="I28" s="21"/>
      <c r="J28" s="30">
        <v>10000.0</v>
      </c>
      <c r="K28" s="24"/>
      <c r="L28" s="22"/>
      <c r="M28" s="22"/>
      <c r="N28" s="22"/>
      <c r="O28" s="22"/>
      <c r="P28" s="26">
        <v>10000.0</v>
      </c>
      <c r="Q28" s="27">
        <f t="shared" si="2"/>
        <v>0</v>
      </c>
      <c r="R28" s="26" t="s">
        <v>30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45635.0</v>
      </c>
      <c r="C29" s="18" t="s">
        <v>479</v>
      </c>
      <c r="D29" s="19">
        <v>44035.0</v>
      </c>
      <c r="E29" s="20" t="s">
        <v>96</v>
      </c>
      <c r="F29" s="21"/>
      <c r="G29" s="22"/>
      <c r="H29" s="25"/>
      <c r="I29" s="21"/>
      <c r="J29" s="21"/>
      <c r="K29" s="23">
        <v>9000.0</v>
      </c>
      <c r="L29" s="22"/>
      <c r="M29" s="22"/>
      <c r="N29" s="22"/>
      <c r="O29" s="22"/>
      <c r="P29" s="26">
        <v>9000.0</v>
      </c>
      <c r="Q29" s="27">
        <f t="shared" si="2"/>
        <v>0</v>
      </c>
      <c r="R29" s="26" t="s">
        <v>48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45635.0</v>
      </c>
      <c r="C30" s="18" t="s">
        <v>480</v>
      </c>
      <c r="D30" s="19">
        <v>22332.0</v>
      </c>
      <c r="E30" s="20" t="s">
        <v>60</v>
      </c>
      <c r="F30" s="21"/>
      <c r="G30" s="22"/>
      <c r="H30" s="25"/>
      <c r="I30" s="30">
        <v>4100.0</v>
      </c>
      <c r="J30" s="30"/>
      <c r="K30" s="24"/>
      <c r="L30" s="22"/>
      <c r="M30" s="22"/>
      <c r="N30" s="22"/>
      <c r="O30" s="22"/>
      <c r="P30" s="26">
        <v>4100.0</v>
      </c>
      <c r="Q30" s="27">
        <f t="shared" si="2"/>
        <v>0</v>
      </c>
      <c r="R30" s="26" t="s">
        <v>30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45635.0</v>
      </c>
      <c r="C31" s="18" t="s">
        <v>481</v>
      </c>
      <c r="D31" s="19">
        <v>85405.0</v>
      </c>
      <c r="E31" s="20" t="s">
        <v>482</v>
      </c>
      <c r="F31" s="21"/>
      <c r="G31" s="22"/>
      <c r="H31" s="25"/>
      <c r="I31" s="21"/>
      <c r="J31" s="21"/>
      <c r="K31" s="24"/>
      <c r="L31" s="22"/>
      <c r="M31" s="25">
        <v>600.0</v>
      </c>
      <c r="N31" s="22"/>
      <c r="O31" s="22"/>
      <c r="P31" s="26">
        <v>600.0</v>
      </c>
      <c r="Q31" s="27">
        <f t="shared" si="2"/>
        <v>0</v>
      </c>
      <c r="R31" s="26" t="s">
        <v>33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45635.0</v>
      </c>
      <c r="C32" s="18" t="s">
        <v>483</v>
      </c>
      <c r="D32" s="19">
        <v>85405.0</v>
      </c>
      <c r="E32" s="20" t="s">
        <v>482</v>
      </c>
      <c r="F32" s="21"/>
      <c r="G32" s="22"/>
      <c r="H32" s="25"/>
      <c r="I32" s="21"/>
      <c r="J32" s="21"/>
      <c r="K32" s="24"/>
      <c r="L32" s="22"/>
      <c r="M32" s="25">
        <v>350.0</v>
      </c>
      <c r="N32" s="22"/>
      <c r="O32" s="22"/>
      <c r="P32" s="26">
        <v>350.0</v>
      </c>
      <c r="Q32" s="27">
        <f t="shared" si="2"/>
        <v>0</v>
      </c>
      <c r="R32" s="26" t="s">
        <v>30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45635.0</v>
      </c>
      <c r="C33" s="18" t="s">
        <v>484</v>
      </c>
      <c r="D33" s="19">
        <v>78454.0</v>
      </c>
      <c r="E33" s="20" t="s">
        <v>485</v>
      </c>
      <c r="F33" s="21"/>
      <c r="G33" s="22"/>
      <c r="H33" s="25"/>
      <c r="I33" s="30">
        <v>3050.0</v>
      </c>
      <c r="J33" s="30"/>
      <c r="K33" s="24"/>
      <c r="L33" s="22"/>
      <c r="M33" s="22"/>
      <c r="N33" s="22"/>
      <c r="O33" s="22"/>
      <c r="P33" s="26">
        <v>3050.0</v>
      </c>
      <c r="Q33" s="27">
        <f t="shared" si="2"/>
        <v>0</v>
      </c>
      <c r="R33" s="26" t="s">
        <v>25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45635.0</v>
      </c>
      <c r="C34" s="18" t="s">
        <v>486</v>
      </c>
      <c r="D34" s="19">
        <v>85405.0</v>
      </c>
      <c r="E34" s="20" t="s">
        <v>482</v>
      </c>
      <c r="F34" s="30">
        <v>225.0</v>
      </c>
      <c r="G34" s="22"/>
      <c r="H34" s="25"/>
      <c r="I34" s="21"/>
      <c r="J34" s="21"/>
      <c r="K34" s="24"/>
      <c r="L34" s="22"/>
      <c r="M34" s="22"/>
      <c r="N34" s="22"/>
      <c r="O34" s="22"/>
      <c r="P34" s="26">
        <v>225.0</v>
      </c>
      <c r="Q34" s="27">
        <f t="shared" si="2"/>
        <v>0</v>
      </c>
      <c r="R34" s="26" t="s">
        <v>30</v>
      </c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45635.0</v>
      </c>
      <c r="C35" s="18" t="s">
        <v>487</v>
      </c>
      <c r="D35" s="19">
        <v>10744.0</v>
      </c>
      <c r="E35" s="20" t="s">
        <v>488</v>
      </c>
      <c r="F35" s="21"/>
      <c r="G35" s="22"/>
      <c r="H35" s="25"/>
      <c r="I35" s="30">
        <v>15000.0</v>
      </c>
      <c r="J35" s="30"/>
      <c r="K35" s="24"/>
      <c r="L35" s="22"/>
      <c r="M35" s="22"/>
      <c r="N35" s="22"/>
      <c r="O35" s="22"/>
      <c r="P35" s="26">
        <v>15000.0</v>
      </c>
      <c r="Q35" s="27">
        <f t="shared" si="2"/>
        <v>0</v>
      </c>
      <c r="R35" s="26" t="s">
        <v>25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45635.0</v>
      </c>
      <c r="C36" s="18" t="s">
        <v>489</v>
      </c>
      <c r="D36" s="19">
        <v>60978.0</v>
      </c>
      <c r="E36" s="20" t="s">
        <v>490</v>
      </c>
      <c r="F36" s="21"/>
      <c r="G36" s="22"/>
      <c r="H36" s="25"/>
      <c r="I36" s="21"/>
      <c r="J36" s="21"/>
      <c r="K36" s="23">
        <v>10000.0</v>
      </c>
      <c r="L36" s="22"/>
      <c r="M36" s="22"/>
      <c r="N36" s="22"/>
      <c r="O36" s="22"/>
      <c r="P36" s="26">
        <v>10000.0</v>
      </c>
      <c r="Q36" s="27">
        <f t="shared" si="2"/>
        <v>0</v>
      </c>
      <c r="R36" s="26" t="s">
        <v>25</v>
      </c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45635.0</v>
      </c>
      <c r="C37" s="18" t="s">
        <v>491</v>
      </c>
      <c r="D37" s="19">
        <v>66932.0</v>
      </c>
      <c r="E37" s="20" t="s">
        <v>492</v>
      </c>
      <c r="F37" s="21"/>
      <c r="G37" s="22"/>
      <c r="H37" s="25"/>
      <c r="I37" s="30">
        <v>1500.0</v>
      </c>
      <c r="J37" s="30"/>
      <c r="K37" s="24"/>
      <c r="L37" s="22"/>
      <c r="M37" s="22"/>
      <c r="N37" s="22"/>
      <c r="O37" s="22"/>
      <c r="P37" s="26">
        <v>1500.0</v>
      </c>
      <c r="Q37" s="27">
        <f t="shared" si="2"/>
        <v>0</v>
      </c>
      <c r="R37" s="26" t="s">
        <v>25</v>
      </c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45635.0</v>
      </c>
      <c r="C38" s="18" t="s">
        <v>493</v>
      </c>
      <c r="D38" s="19">
        <v>48631.0</v>
      </c>
      <c r="E38" s="20" t="s">
        <v>166</v>
      </c>
      <c r="F38" s="21"/>
      <c r="G38" s="22"/>
      <c r="H38" s="25"/>
      <c r="I38" s="30">
        <v>3050.0</v>
      </c>
      <c r="J38" s="30"/>
      <c r="K38" s="23"/>
      <c r="L38" s="22"/>
      <c r="M38" s="22"/>
      <c r="N38" s="22"/>
      <c r="O38" s="22"/>
      <c r="P38" s="26">
        <v>3050.0</v>
      </c>
      <c r="Q38" s="27">
        <f t="shared" si="2"/>
        <v>0</v>
      </c>
      <c r="R38" s="26" t="s">
        <v>48</v>
      </c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45635.0</v>
      </c>
      <c r="C39" s="18" t="s">
        <v>494</v>
      </c>
      <c r="D39" s="19">
        <v>57499.0</v>
      </c>
      <c r="E39" s="20" t="s">
        <v>47</v>
      </c>
      <c r="F39" s="21"/>
      <c r="G39" s="22"/>
      <c r="H39" s="25"/>
      <c r="I39" s="30">
        <v>2500.0</v>
      </c>
      <c r="J39" s="30"/>
      <c r="K39" s="24"/>
      <c r="L39" s="22"/>
      <c r="M39" s="22"/>
      <c r="N39" s="22"/>
      <c r="O39" s="22"/>
      <c r="P39" s="26">
        <v>2500.0</v>
      </c>
      <c r="Q39" s="27">
        <f t="shared" si="2"/>
        <v>0</v>
      </c>
      <c r="R39" s="26" t="s">
        <v>25</v>
      </c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45635.0</v>
      </c>
      <c r="C40" s="18" t="s">
        <v>495</v>
      </c>
      <c r="D40" s="19">
        <v>10250.0</v>
      </c>
      <c r="E40" s="20" t="s">
        <v>330</v>
      </c>
      <c r="F40" s="21"/>
      <c r="G40" s="22"/>
      <c r="H40" s="25"/>
      <c r="I40" s="30">
        <v>350.0</v>
      </c>
      <c r="J40" s="30"/>
      <c r="K40" s="24"/>
      <c r="L40" s="22"/>
      <c r="M40" s="22"/>
      <c r="N40" s="22"/>
      <c r="O40" s="22"/>
      <c r="P40" s="26">
        <v>350.0</v>
      </c>
      <c r="Q40" s="27">
        <f t="shared" si="2"/>
        <v>0</v>
      </c>
      <c r="R40" s="26" t="s">
        <v>25</v>
      </c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83">
        <v>37.0</v>
      </c>
      <c r="B41" s="29">
        <v>45635.0</v>
      </c>
      <c r="C41" s="18" t="s">
        <v>496</v>
      </c>
      <c r="D41" s="19">
        <v>10249.0</v>
      </c>
      <c r="E41" s="20" t="s">
        <v>251</v>
      </c>
      <c r="F41" s="30">
        <v>450.0</v>
      </c>
      <c r="G41" s="22"/>
      <c r="H41" s="25"/>
      <c r="I41" s="21"/>
      <c r="J41" s="21"/>
      <c r="K41" s="24"/>
      <c r="L41" s="22"/>
      <c r="M41" s="25">
        <v>1000.0</v>
      </c>
      <c r="N41" s="22"/>
      <c r="O41" s="22"/>
      <c r="P41" s="26">
        <v>1450.0</v>
      </c>
      <c r="Q41" s="27">
        <f t="shared" si="2"/>
        <v>0</v>
      </c>
      <c r="R41" s="26" t="s">
        <v>25</v>
      </c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83">
        <v>38.0</v>
      </c>
      <c r="B42" s="29">
        <v>45635.0</v>
      </c>
      <c r="C42" s="18" t="s">
        <v>497</v>
      </c>
      <c r="D42" s="19">
        <v>81108.0</v>
      </c>
      <c r="E42" s="20" t="s">
        <v>246</v>
      </c>
      <c r="F42" s="21"/>
      <c r="G42" s="22"/>
      <c r="H42" s="25"/>
      <c r="I42" s="30">
        <v>14000.0</v>
      </c>
      <c r="J42" s="30"/>
      <c r="K42" s="24"/>
      <c r="L42" s="22"/>
      <c r="M42" s="22"/>
      <c r="N42" s="22"/>
      <c r="O42" s="22"/>
      <c r="P42" s="26">
        <v>14000.0</v>
      </c>
      <c r="Q42" s="27">
        <f t="shared" si="2"/>
        <v>0</v>
      </c>
      <c r="R42" s="26" t="s">
        <v>25</v>
      </c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83">
        <v>39.0</v>
      </c>
      <c r="B43" s="29">
        <v>45635.0</v>
      </c>
      <c r="C43" s="18" t="s">
        <v>498</v>
      </c>
      <c r="D43" s="19">
        <v>61729.0</v>
      </c>
      <c r="E43" s="20" t="s">
        <v>499</v>
      </c>
      <c r="F43" s="21"/>
      <c r="G43" s="22"/>
      <c r="H43" s="25"/>
      <c r="I43" s="30">
        <v>10000.0</v>
      </c>
      <c r="J43" s="30"/>
      <c r="K43" s="24"/>
      <c r="L43" s="22"/>
      <c r="M43" s="22"/>
      <c r="N43" s="22"/>
      <c r="O43" s="22"/>
      <c r="P43" s="26">
        <v>10000.0</v>
      </c>
      <c r="Q43" s="27">
        <f t="shared" si="2"/>
        <v>0</v>
      </c>
      <c r="R43" s="26" t="s">
        <v>25</v>
      </c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83">
        <v>40.0</v>
      </c>
      <c r="B44" s="29">
        <v>45635.0</v>
      </c>
      <c r="C44" s="18" t="s">
        <v>500</v>
      </c>
      <c r="D44" s="19">
        <v>66838.0</v>
      </c>
      <c r="E44" s="20" t="s">
        <v>501</v>
      </c>
      <c r="F44" s="21"/>
      <c r="G44" s="22"/>
      <c r="H44" s="25"/>
      <c r="I44" s="21"/>
      <c r="J44" s="21"/>
      <c r="K44" s="24"/>
      <c r="L44" s="22"/>
      <c r="M44" s="25">
        <v>1400.0</v>
      </c>
      <c r="N44" s="22"/>
      <c r="O44" s="22"/>
      <c r="P44" s="26">
        <v>1400.0</v>
      </c>
      <c r="Q44" s="27">
        <f t="shared" si="2"/>
        <v>0</v>
      </c>
      <c r="R44" s="26" t="s">
        <v>48</v>
      </c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83">
        <v>41.0</v>
      </c>
      <c r="B45" s="29">
        <v>45635.0</v>
      </c>
      <c r="C45" s="18" t="s">
        <v>502</v>
      </c>
      <c r="D45" s="19">
        <v>80715.0</v>
      </c>
      <c r="E45" s="20" t="s">
        <v>503</v>
      </c>
      <c r="F45" s="21"/>
      <c r="G45" s="22"/>
      <c r="H45" s="25"/>
      <c r="I45" s="21"/>
      <c r="J45" s="30">
        <v>1805.0</v>
      </c>
      <c r="K45" s="23"/>
      <c r="L45" s="22"/>
      <c r="M45" s="22"/>
      <c r="N45" s="22"/>
      <c r="O45" s="22"/>
      <c r="P45" s="26">
        <v>1805.0</v>
      </c>
      <c r="Q45" s="27">
        <f t="shared" si="2"/>
        <v>0</v>
      </c>
      <c r="R45" s="26" t="s">
        <v>33</v>
      </c>
      <c r="S45" s="2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83">
        <v>42.0</v>
      </c>
      <c r="B46" s="29">
        <v>45635.0</v>
      </c>
      <c r="C46" s="18" t="s">
        <v>504</v>
      </c>
      <c r="D46" s="19">
        <v>21971.0</v>
      </c>
      <c r="E46" s="20" t="s">
        <v>505</v>
      </c>
      <c r="F46" s="30">
        <v>300.0</v>
      </c>
      <c r="G46" s="22"/>
      <c r="H46" s="25"/>
      <c r="I46" s="21"/>
      <c r="J46" s="21"/>
      <c r="K46" s="24"/>
      <c r="L46" s="22"/>
      <c r="M46" s="22"/>
      <c r="N46" s="22"/>
      <c r="O46" s="22"/>
      <c r="P46" s="26">
        <v>300.0</v>
      </c>
      <c r="Q46" s="27">
        <f t="shared" si="2"/>
        <v>0</v>
      </c>
      <c r="R46" s="26" t="s">
        <v>25</v>
      </c>
      <c r="S46" s="2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83">
        <v>43.0</v>
      </c>
      <c r="B47" s="29">
        <v>45635.0</v>
      </c>
      <c r="C47" s="18" t="s">
        <v>506</v>
      </c>
      <c r="D47" s="19">
        <v>45929.0</v>
      </c>
      <c r="E47" s="20" t="s">
        <v>507</v>
      </c>
      <c r="F47" s="21"/>
      <c r="G47" s="22"/>
      <c r="H47" s="25"/>
      <c r="I47" s="21"/>
      <c r="J47" s="21"/>
      <c r="K47" s="24"/>
      <c r="L47" s="22"/>
      <c r="M47" s="25">
        <v>430.0</v>
      </c>
      <c r="N47" s="22"/>
      <c r="O47" s="22"/>
      <c r="P47" s="26">
        <v>430.0</v>
      </c>
      <c r="Q47" s="27">
        <f t="shared" si="2"/>
        <v>0</v>
      </c>
      <c r="R47" s="26" t="s">
        <v>48</v>
      </c>
      <c r="S47" s="28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83">
        <v>44.0</v>
      </c>
      <c r="B48" s="29">
        <v>45635.0</v>
      </c>
      <c r="C48" s="18" t="s">
        <v>508</v>
      </c>
      <c r="D48" s="19">
        <v>67621.0</v>
      </c>
      <c r="E48" s="20" t="s">
        <v>416</v>
      </c>
      <c r="F48" s="21"/>
      <c r="G48" s="22"/>
      <c r="H48" s="25"/>
      <c r="I48" s="21"/>
      <c r="J48" s="30">
        <v>10000.0</v>
      </c>
      <c r="K48" s="24"/>
      <c r="L48" s="22"/>
      <c r="M48" s="22"/>
      <c r="N48" s="22"/>
      <c r="O48" s="22"/>
      <c r="P48" s="26">
        <v>10000.0</v>
      </c>
      <c r="Q48" s="27">
        <f t="shared" si="2"/>
        <v>0</v>
      </c>
      <c r="R48" s="26" t="s">
        <v>25</v>
      </c>
      <c r="S48" s="28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83">
        <v>45.0</v>
      </c>
      <c r="B49" s="29">
        <v>45635.0</v>
      </c>
      <c r="C49" s="18" t="s">
        <v>509</v>
      </c>
      <c r="D49" s="19">
        <v>59627.0</v>
      </c>
      <c r="E49" s="20" t="s">
        <v>510</v>
      </c>
      <c r="F49" s="21"/>
      <c r="G49" s="22"/>
      <c r="H49" s="25"/>
      <c r="I49" s="30">
        <v>4600.0</v>
      </c>
      <c r="J49" s="21"/>
      <c r="K49" s="24"/>
      <c r="L49" s="22"/>
      <c r="M49" s="22"/>
      <c r="N49" s="22"/>
      <c r="O49" s="22"/>
      <c r="P49" s="26">
        <v>4600.0</v>
      </c>
      <c r="Q49" s="27">
        <f t="shared" si="2"/>
        <v>0</v>
      </c>
      <c r="R49" s="63"/>
      <c r="S49" s="28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83">
        <v>46.0</v>
      </c>
      <c r="B50" s="29">
        <v>45634.0</v>
      </c>
      <c r="C50" s="18" t="s">
        <v>511</v>
      </c>
      <c r="D50" s="19">
        <v>25542.0</v>
      </c>
      <c r="E50" s="20" t="s">
        <v>512</v>
      </c>
      <c r="F50" s="21"/>
      <c r="G50" s="22"/>
      <c r="H50" s="25">
        <v>4500.0</v>
      </c>
      <c r="I50" s="21"/>
      <c r="J50" s="21"/>
      <c r="K50" s="24"/>
      <c r="L50" s="22"/>
      <c r="M50" s="22"/>
      <c r="N50" s="22"/>
      <c r="O50" s="22"/>
      <c r="P50" s="26">
        <v>4500.0</v>
      </c>
      <c r="Q50" s="27">
        <f t="shared" si="2"/>
        <v>0</v>
      </c>
      <c r="R50" s="63"/>
      <c r="S50" s="2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83">
        <v>47.0</v>
      </c>
      <c r="B51" s="29">
        <v>45635.0</v>
      </c>
      <c r="C51" s="18" t="s">
        <v>513</v>
      </c>
      <c r="D51" s="19">
        <v>21828.0</v>
      </c>
      <c r="E51" s="20" t="s">
        <v>104</v>
      </c>
      <c r="F51" s="21"/>
      <c r="G51" s="22"/>
      <c r="H51" s="25"/>
      <c r="I51" s="21"/>
      <c r="J51" s="21"/>
      <c r="K51" s="23">
        <v>2500.0</v>
      </c>
      <c r="L51" s="22"/>
      <c r="M51" s="22"/>
      <c r="N51" s="22"/>
      <c r="O51" s="22"/>
      <c r="P51" s="26">
        <v>2500.0</v>
      </c>
      <c r="Q51" s="27">
        <f t="shared" si="2"/>
        <v>0</v>
      </c>
      <c r="R51" s="63"/>
      <c r="S51" s="2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83">
        <v>48.0</v>
      </c>
      <c r="B52" s="29">
        <v>45635.0</v>
      </c>
      <c r="C52" s="18" t="s">
        <v>514</v>
      </c>
      <c r="D52" s="19">
        <v>65868.0</v>
      </c>
      <c r="E52" s="20" t="s">
        <v>515</v>
      </c>
      <c r="F52" s="21"/>
      <c r="G52" s="22"/>
      <c r="H52" s="25"/>
      <c r="I52" s="21"/>
      <c r="J52" s="21"/>
      <c r="K52" s="24"/>
      <c r="L52" s="22"/>
      <c r="M52" s="22"/>
      <c r="N52" s="22"/>
      <c r="O52" s="25">
        <v>2100.0</v>
      </c>
      <c r="P52" s="26">
        <v>2100.0</v>
      </c>
      <c r="Q52" s="27">
        <f t="shared" si="2"/>
        <v>0</v>
      </c>
      <c r="R52" s="63"/>
      <c r="S52" s="2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83">
        <v>49.0</v>
      </c>
      <c r="B53" s="29">
        <v>45635.0</v>
      </c>
      <c r="C53" s="18" t="s">
        <v>516</v>
      </c>
      <c r="D53" s="19">
        <v>35245.0</v>
      </c>
      <c r="E53" s="20" t="s">
        <v>517</v>
      </c>
      <c r="F53" s="21"/>
      <c r="G53" s="22"/>
      <c r="H53" s="25"/>
      <c r="I53" s="21"/>
      <c r="J53" s="21"/>
      <c r="K53" s="24"/>
      <c r="L53" s="22"/>
      <c r="M53" s="22"/>
      <c r="N53" s="22"/>
      <c r="O53" s="25">
        <v>5600.0</v>
      </c>
      <c r="P53" s="26">
        <v>5600.0</v>
      </c>
      <c r="Q53" s="27">
        <f t="shared" si="2"/>
        <v>0</v>
      </c>
      <c r="R53" s="63"/>
      <c r="S53" s="2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83">
        <v>50.0</v>
      </c>
      <c r="B54" s="29">
        <v>45635.0</v>
      </c>
      <c r="C54" s="18" t="s">
        <v>518</v>
      </c>
      <c r="D54" s="19">
        <v>43380.0</v>
      </c>
      <c r="E54" s="20" t="s">
        <v>345</v>
      </c>
      <c r="F54" s="21"/>
      <c r="G54" s="22"/>
      <c r="H54" s="25">
        <v>9000.0</v>
      </c>
      <c r="I54" s="21"/>
      <c r="J54" s="21"/>
      <c r="K54" s="24"/>
      <c r="L54" s="22"/>
      <c r="M54" s="22"/>
      <c r="N54" s="22"/>
      <c r="O54" s="22"/>
      <c r="P54" s="26">
        <v>9000.0</v>
      </c>
      <c r="Q54" s="27">
        <f t="shared" si="2"/>
        <v>0</v>
      </c>
      <c r="R54" s="63"/>
      <c r="S54" s="2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7.5" customHeight="1">
      <c r="A55" s="16"/>
      <c r="B55" s="64"/>
      <c r="C55" s="65"/>
      <c r="D55" s="66" t="s">
        <v>135</v>
      </c>
      <c r="E55" s="67"/>
      <c r="F55" s="68">
        <f t="shared" ref="F55:P55" si="3">SUM(F5:F54)</f>
        <v>6975</v>
      </c>
      <c r="G55" s="68">
        <f t="shared" si="3"/>
        <v>0</v>
      </c>
      <c r="H55" s="68">
        <f t="shared" si="3"/>
        <v>13500</v>
      </c>
      <c r="I55" s="68">
        <f t="shared" si="3"/>
        <v>64900</v>
      </c>
      <c r="J55" s="68">
        <f t="shared" si="3"/>
        <v>23005</v>
      </c>
      <c r="K55" s="68">
        <f t="shared" si="3"/>
        <v>21500</v>
      </c>
      <c r="L55" s="68">
        <f t="shared" si="3"/>
        <v>0</v>
      </c>
      <c r="M55" s="68">
        <f t="shared" si="3"/>
        <v>9380</v>
      </c>
      <c r="N55" s="68">
        <f t="shared" si="3"/>
        <v>0</v>
      </c>
      <c r="O55" s="68">
        <f t="shared" si="3"/>
        <v>7700</v>
      </c>
      <c r="P55" s="68">
        <f t="shared" si="3"/>
        <v>146960</v>
      </c>
      <c r="Q55" s="85"/>
      <c r="R55" s="69"/>
      <c r="S55" s="28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ht="58.5" customHeight="1">
      <c r="A56" s="70"/>
      <c r="B56" s="70"/>
      <c r="C56" s="71"/>
      <c r="D56" s="70"/>
      <c r="E56" s="70"/>
      <c r="F56" s="72">
        <f>F55+G55+H55+I55+J55+K55+L55+M55+N55+O55</f>
        <v>146960</v>
      </c>
      <c r="P56" s="73"/>
      <c r="Q56" s="73"/>
      <c r="R56" s="70"/>
      <c r="S56" s="70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75" t="s">
        <v>135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82" t="s">
        <v>229</v>
      </c>
      <c r="D60" s="4"/>
      <c r="E60" s="76" t="s">
        <v>136</v>
      </c>
      <c r="F60" s="77" t="s">
        <v>137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74"/>
      <c r="D61" s="4"/>
      <c r="E61" s="78" t="s">
        <v>138</v>
      </c>
      <c r="F61" s="77" t="s">
        <v>230</v>
      </c>
      <c r="G61" s="4"/>
      <c r="H61" s="4"/>
      <c r="I61" s="4"/>
      <c r="J61" s="4"/>
      <c r="K61" s="4"/>
      <c r="L61" s="4"/>
      <c r="M61" s="4"/>
      <c r="N61" s="4"/>
      <c r="O61" s="79" t="s">
        <v>135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74"/>
      <c r="D62" s="4"/>
      <c r="E62" s="78" t="s">
        <v>140</v>
      </c>
      <c r="F62" s="77" t="s">
        <v>137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74"/>
      <c r="D63" s="4"/>
      <c r="E63" s="78" t="s">
        <v>141</v>
      </c>
      <c r="F63" s="77" t="s">
        <v>139</v>
      </c>
      <c r="G63" s="4"/>
      <c r="H63" s="4"/>
      <c r="I63" s="4"/>
      <c r="J63" s="4"/>
      <c r="K63" s="4" t="s">
        <v>135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74"/>
      <c r="D64" s="4"/>
      <c r="E64" s="78" t="s">
        <v>142</v>
      </c>
      <c r="F64" s="77" t="s">
        <v>143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74"/>
      <c r="D65" s="4"/>
      <c r="E65" s="78" t="s">
        <v>519</v>
      </c>
      <c r="F65" s="77" t="s">
        <v>139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74"/>
      <c r="D66" s="4"/>
      <c r="E66" s="78" t="s">
        <v>145</v>
      </c>
      <c r="F66" s="77" t="s">
        <v>351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74"/>
      <c r="D67" s="4"/>
      <c r="E67" s="78" t="s">
        <v>147</v>
      </c>
      <c r="F67" s="80" t="s">
        <v>137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79" t="s">
        <v>135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 t="str">
        <f>I72455</f>
        <v/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79" t="s">
        <v>148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>
        <v>7.0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7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7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7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7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7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7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7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7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7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7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">
    <mergeCell ref="R2:R4"/>
    <mergeCell ref="S2:S4"/>
    <mergeCell ref="F3:F4"/>
    <mergeCell ref="G3:H3"/>
    <mergeCell ref="I3:J3"/>
    <mergeCell ref="K3:K4"/>
    <mergeCell ref="F56:O5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520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45635.0</v>
      </c>
      <c r="C5" s="18" t="s">
        <v>521</v>
      </c>
      <c r="D5" s="19">
        <v>22341.0</v>
      </c>
      <c r="E5" s="20" t="s">
        <v>24</v>
      </c>
      <c r="F5" s="21"/>
      <c r="G5" s="22"/>
      <c r="H5" s="30"/>
      <c r="I5" s="23">
        <v>900.0</v>
      </c>
      <c r="J5" s="24"/>
      <c r="K5" s="22"/>
      <c r="L5" s="25"/>
      <c r="M5" s="30"/>
      <c r="N5" s="22"/>
      <c r="O5" s="22"/>
      <c r="P5" s="26">
        <v>900.0</v>
      </c>
      <c r="Q5" s="27">
        <f t="shared" ref="Q5:Q14" si="1">F5+G5+H5+I5+J5+K5+L5+M5+N5+O5-P5</f>
        <v>0</v>
      </c>
      <c r="R5" s="26" t="s">
        <v>25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45635.0</v>
      </c>
      <c r="C6" s="18" t="s">
        <v>522</v>
      </c>
      <c r="D6" s="19">
        <v>85427.0</v>
      </c>
      <c r="E6" s="20" t="s">
        <v>523</v>
      </c>
      <c r="F6" s="30"/>
      <c r="G6" s="22"/>
      <c r="H6" s="30"/>
      <c r="I6" s="23"/>
      <c r="J6" s="23"/>
      <c r="K6" s="22"/>
      <c r="L6" s="25"/>
      <c r="M6" s="30">
        <v>300.0</v>
      </c>
      <c r="N6" s="22"/>
      <c r="O6" s="22"/>
      <c r="P6" s="26">
        <v>300.0</v>
      </c>
      <c r="Q6" s="27">
        <f t="shared" si="1"/>
        <v>0</v>
      </c>
      <c r="R6" s="26" t="s">
        <v>25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29">
        <v>45635.0</v>
      </c>
      <c r="C7" s="18" t="s">
        <v>524</v>
      </c>
      <c r="D7" s="19">
        <v>85426.0</v>
      </c>
      <c r="E7" s="20" t="s">
        <v>525</v>
      </c>
      <c r="F7" s="21"/>
      <c r="G7" s="25"/>
      <c r="H7" s="25"/>
      <c r="I7" s="30">
        <v>2400.0</v>
      </c>
      <c r="J7" s="25"/>
      <c r="K7" s="25"/>
      <c r="L7" s="22"/>
      <c r="M7" s="21"/>
      <c r="N7" s="22"/>
      <c r="O7" s="22"/>
      <c r="P7" s="26">
        <v>2400.0</v>
      </c>
      <c r="Q7" s="27">
        <f t="shared" si="1"/>
        <v>0</v>
      </c>
      <c r="R7" s="26" t="s">
        <v>48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45637.0</v>
      </c>
      <c r="C8" s="18" t="s">
        <v>526</v>
      </c>
      <c r="D8" s="19">
        <v>66770.0</v>
      </c>
      <c r="E8" s="20" t="s">
        <v>301</v>
      </c>
      <c r="F8" s="22"/>
      <c r="G8" s="25"/>
      <c r="H8" s="30"/>
      <c r="I8" s="30"/>
      <c r="J8" s="23">
        <v>350.0</v>
      </c>
      <c r="K8" s="25"/>
      <c r="L8" s="22"/>
      <c r="M8" s="25"/>
      <c r="N8" s="22"/>
      <c r="O8" s="22"/>
      <c r="P8" s="26">
        <v>350.0</v>
      </c>
      <c r="Q8" s="27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45637.0</v>
      </c>
      <c r="C9" s="18" t="s">
        <v>527</v>
      </c>
      <c r="D9" s="19">
        <v>42339.0</v>
      </c>
      <c r="E9" s="20" t="s">
        <v>528</v>
      </c>
      <c r="F9" s="22"/>
      <c r="G9" s="22"/>
      <c r="H9" s="25"/>
      <c r="I9" s="30"/>
      <c r="J9" s="30">
        <v>2600.0</v>
      </c>
      <c r="K9" s="22"/>
      <c r="L9" s="22"/>
      <c r="M9" s="25"/>
      <c r="N9" s="22"/>
      <c r="O9" s="22"/>
      <c r="P9" s="26">
        <v>2600.0</v>
      </c>
      <c r="Q9" s="27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45637.0</v>
      </c>
      <c r="C10" s="18" t="s">
        <v>529</v>
      </c>
      <c r="D10" s="19">
        <v>40901.0</v>
      </c>
      <c r="E10" s="20" t="s">
        <v>530</v>
      </c>
      <c r="F10" s="22"/>
      <c r="G10" s="22"/>
      <c r="H10" s="25"/>
      <c r="I10" s="30">
        <v>4600.0</v>
      </c>
      <c r="J10" s="30"/>
      <c r="K10" s="22"/>
      <c r="L10" s="22"/>
      <c r="M10" s="30"/>
      <c r="N10" s="22"/>
      <c r="O10" s="22"/>
      <c r="P10" s="26">
        <v>4600.0</v>
      </c>
      <c r="Q10" s="27">
        <f t="shared" si="1"/>
        <v>0</v>
      </c>
      <c r="R10" s="26" t="s">
        <v>48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106">
        <v>45637.0</v>
      </c>
      <c r="C11" s="107" t="s">
        <v>531</v>
      </c>
      <c r="D11" s="108">
        <v>60306.0</v>
      </c>
      <c r="E11" s="109" t="s">
        <v>532</v>
      </c>
      <c r="F11" s="110"/>
      <c r="G11" s="110"/>
      <c r="H11" s="115"/>
      <c r="I11" s="111">
        <v>3600.0</v>
      </c>
      <c r="J11" s="112"/>
      <c r="K11" s="110"/>
      <c r="L11" s="110"/>
      <c r="M11" s="111"/>
      <c r="N11" s="110"/>
      <c r="O11" s="110"/>
      <c r="P11" s="113">
        <v>3600.0</v>
      </c>
      <c r="Q11" s="27">
        <f t="shared" si="1"/>
        <v>0</v>
      </c>
      <c r="R11" s="113" t="s">
        <v>48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45637.0</v>
      </c>
      <c r="C12" s="18" t="s">
        <v>533</v>
      </c>
      <c r="D12" s="19">
        <v>59576.0</v>
      </c>
      <c r="E12" s="20" t="s">
        <v>534</v>
      </c>
      <c r="F12" s="22"/>
      <c r="G12" s="22"/>
      <c r="H12" s="25"/>
      <c r="I12" s="30"/>
      <c r="J12" s="30">
        <v>10000.0</v>
      </c>
      <c r="K12" s="22"/>
      <c r="L12" s="22"/>
      <c r="M12" s="30"/>
      <c r="N12" s="22"/>
      <c r="O12" s="22"/>
      <c r="P12" s="26">
        <v>10000.0</v>
      </c>
      <c r="Q12" s="27">
        <f t="shared" si="1"/>
        <v>0</v>
      </c>
      <c r="R12" s="26" t="s">
        <v>48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45637.0</v>
      </c>
      <c r="C13" s="18" t="s">
        <v>535</v>
      </c>
      <c r="D13" s="19">
        <v>59244.0</v>
      </c>
      <c r="E13" s="20" t="s">
        <v>50</v>
      </c>
      <c r="F13" s="22"/>
      <c r="G13" s="22"/>
      <c r="H13" s="25"/>
      <c r="I13" s="30">
        <v>600.0</v>
      </c>
      <c r="J13" s="30"/>
      <c r="K13" s="22"/>
      <c r="L13" s="22"/>
      <c r="M13" s="21"/>
      <c r="N13" s="22"/>
      <c r="O13" s="22"/>
      <c r="P13" s="26">
        <v>600.0</v>
      </c>
      <c r="Q13" s="27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45637.0</v>
      </c>
      <c r="C14" s="33" t="s">
        <v>536</v>
      </c>
      <c r="D14" s="34">
        <v>49825.0</v>
      </c>
      <c r="E14" s="35" t="s">
        <v>27</v>
      </c>
      <c r="F14" s="22"/>
      <c r="G14" s="22"/>
      <c r="H14" s="25"/>
      <c r="I14" s="30">
        <v>5000.0</v>
      </c>
      <c r="J14" s="30"/>
      <c r="K14" s="25"/>
      <c r="L14" s="22"/>
      <c r="M14" s="30"/>
      <c r="N14" s="22"/>
      <c r="O14" s="22"/>
      <c r="P14" s="36">
        <v>5000.0</v>
      </c>
      <c r="Q14" s="27">
        <f t="shared" si="1"/>
        <v>0</v>
      </c>
      <c r="R14" s="36" t="s">
        <v>48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45637.0</v>
      </c>
      <c r="C15" s="33" t="s">
        <v>537</v>
      </c>
      <c r="D15" s="34">
        <v>76245.0</v>
      </c>
      <c r="E15" s="35" t="s">
        <v>538</v>
      </c>
      <c r="F15" s="25"/>
      <c r="G15" s="22"/>
      <c r="H15" s="25"/>
      <c r="I15" s="30">
        <v>5100.0</v>
      </c>
      <c r="J15" s="30"/>
      <c r="K15" s="25"/>
      <c r="L15" s="22"/>
      <c r="M15" s="21"/>
      <c r="N15" s="22"/>
      <c r="O15" s="22"/>
      <c r="P15" s="36">
        <v>5100.0</v>
      </c>
      <c r="Q15" s="118">
        <v>0.0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29">
        <v>45637.0</v>
      </c>
      <c r="C16" s="18" t="s">
        <v>539</v>
      </c>
      <c r="D16" s="19">
        <v>41462.0</v>
      </c>
      <c r="E16" s="20" t="s">
        <v>540</v>
      </c>
      <c r="F16" s="30"/>
      <c r="G16" s="22"/>
      <c r="H16" s="25"/>
      <c r="I16" s="21"/>
      <c r="J16" s="30">
        <v>1500.0</v>
      </c>
      <c r="K16" s="24"/>
      <c r="L16" s="22"/>
      <c r="M16" s="22"/>
      <c r="N16" s="22"/>
      <c r="O16" s="22"/>
      <c r="P16" s="26">
        <v>1500.0</v>
      </c>
      <c r="Q16" s="27">
        <f t="shared" ref="Q16:Q20" si="2">F16+G16+H16+I16+J16+K16+L16+M16+N16+O16-P16</f>
        <v>0</v>
      </c>
      <c r="R16" s="26" t="s">
        <v>25</v>
      </c>
      <c r="S16" s="2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3">
        <v>13.0</v>
      </c>
      <c r="B17" s="29">
        <v>45637.0</v>
      </c>
      <c r="C17" s="18" t="s">
        <v>541</v>
      </c>
      <c r="D17" s="19">
        <v>10257.0</v>
      </c>
      <c r="E17" s="20" t="s">
        <v>542</v>
      </c>
      <c r="F17" s="30"/>
      <c r="G17" s="22"/>
      <c r="H17" s="25"/>
      <c r="I17" s="30">
        <v>2600.0</v>
      </c>
      <c r="J17" s="21"/>
      <c r="K17" s="24"/>
      <c r="L17" s="22"/>
      <c r="M17" s="22"/>
      <c r="N17" s="22"/>
      <c r="O17" s="22"/>
      <c r="P17" s="26">
        <v>2600.0</v>
      </c>
      <c r="Q17" s="27">
        <f t="shared" si="2"/>
        <v>0</v>
      </c>
      <c r="R17" s="26" t="s">
        <v>48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45637.0</v>
      </c>
      <c r="C18" s="18" t="s">
        <v>543</v>
      </c>
      <c r="D18" s="19">
        <v>10257.0</v>
      </c>
      <c r="E18" s="20" t="s">
        <v>542</v>
      </c>
      <c r="F18" s="30"/>
      <c r="G18" s="22"/>
      <c r="H18" s="25"/>
      <c r="I18" s="30">
        <v>2750.0</v>
      </c>
      <c r="J18" s="21"/>
      <c r="K18" s="24"/>
      <c r="L18" s="22"/>
      <c r="M18" s="22"/>
      <c r="N18" s="22"/>
      <c r="O18" s="22"/>
      <c r="P18" s="26">
        <v>2750.0</v>
      </c>
      <c r="Q18" s="27">
        <f t="shared" si="2"/>
        <v>0</v>
      </c>
      <c r="R18" s="26" t="s">
        <v>48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45637.0</v>
      </c>
      <c r="C19" s="18" t="s">
        <v>544</v>
      </c>
      <c r="D19" s="19">
        <v>13781.0</v>
      </c>
      <c r="E19" s="20" t="s">
        <v>181</v>
      </c>
      <c r="F19" s="30"/>
      <c r="G19" s="25">
        <v>5000.0</v>
      </c>
      <c r="H19" s="25"/>
      <c r="I19" s="21"/>
      <c r="J19" s="21"/>
      <c r="K19" s="24"/>
      <c r="L19" s="22"/>
      <c r="M19" s="22"/>
      <c r="N19" s="22"/>
      <c r="O19" s="22"/>
      <c r="P19" s="26">
        <v>5000.0</v>
      </c>
      <c r="Q19" s="27">
        <f t="shared" si="2"/>
        <v>0</v>
      </c>
      <c r="R19" s="26" t="s">
        <v>48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45637.0</v>
      </c>
      <c r="C20" s="18" t="s">
        <v>545</v>
      </c>
      <c r="D20" s="19">
        <v>80931.0</v>
      </c>
      <c r="E20" s="20" t="s">
        <v>546</v>
      </c>
      <c r="F20" s="30"/>
      <c r="G20" s="22"/>
      <c r="H20" s="25"/>
      <c r="I20" s="30">
        <v>4600.0</v>
      </c>
      <c r="J20" s="21"/>
      <c r="K20" s="24"/>
      <c r="L20" s="22"/>
      <c r="M20" s="22"/>
      <c r="N20" s="22"/>
      <c r="O20" s="22"/>
      <c r="P20" s="26">
        <v>4600.0</v>
      </c>
      <c r="Q20" s="27">
        <f t="shared" si="2"/>
        <v>0</v>
      </c>
      <c r="R20" s="26" t="s">
        <v>25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45637.0</v>
      </c>
      <c r="C21" s="18" t="s">
        <v>547</v>
      </c>
      <c r="D21" s="19">
        <v>52681.0</v>
      </c>
      <c r="E21" s="20" t="s">
        <v>548</v>
      </c>
      <c r="F21" s="30"/>
      <c r="G21" s="22"/>
      <c r="H21" s="25"/>
      <c r="I21" s="30">
        <v>3500.0</v>
      </c>
      <c r="J21" s="21"/>
      <c r="K21" s="24"/>
      <c r="L21" s="22"/>
      <c r="M21" s="25" t="s">
        <v>135</v>
      </c>
      <c r="N21" s="22"/>
      <c r="O21" s="22"/>
      <c r="P21" s="26">
        <v>3500.0</v>
      </c>
      <c r="Q21" s="118">
        <v>0.0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45637.0</v>
      </c>
      <c r="C22" s="18" t="s">
        <v>549</v>
      </c>
      <c r="D22" s="19">
        <v>74492.0</v>
      </c>
      <c r="E22" s="20" t="s">
        <v>550</v>
      </c>
      <c r="F22" s="30"/>
      <c r="G22" s="22"/>
      <c r="H22" s="25"/>
      <c r="I22" s="21"/>
      <c r="J22" s="21"/>
      <c r="K22" s="23">
        <v>100.0</v>
      </c>
      <c r="L22" s="22"/>
      <c r="M22" s="22"/>
      <c r="N22" s="22"/>
      <c r="O22" s="22"/>
      <c r="P22" s="26">
        <v>100.0</v>
      </c>
      <c r="Q22" s="27">
        <f t="shared" ref="Q22:Q47" si="3">F22+G22+H22+I22+J22+K22+L22+M22+N22+O22-P22</f>
        <v>0</v>
      </c>
      <c r="R22" s="26" t="s">
        <v>48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45637.0</v>
      </c>
      <c r="C23" s="18" t="s">
        <v>551</v>
      </c>
      <c r="D23" s="19">
        <v>85443.0</v>
      </c>
      <c r="E23" s="20" t="s">
        <v>552</v>
      </c>
      <c r="F23" s="30">
        <v>7300.0</v>
      </c>
      <c r="G23" s="22"/>
      <c r="H23" s="25"/>
      <c r="I23" s="21"/>
      <c r="J23" s="21"/>
      <c r="K23" s="24"/>
      <c r="L23" s="22"/>
      <c r="M23" s="25"/>
      <c r="N23" s="22"/>
      <c r="O23" s="22"/>
      <c r="P23" s="26">
        <v>7300.0</v>
      </c>
      <c r="Q23" s="27">
        <f t="shared" si="3"/>
        <v>0</v>
      </c>
      <c r="R23" s="26" t="s">
        <v>48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45637.0</v>
      </c>
      <c r="C24" s="18" t="s">
        <v>553</v>
      </c>
      <c r="D24" s="19">
        <v>36555.0</v>
      </c>
      <c r="E24" s="20" t="s">
        <v>196</v>
      </c>
      <c r="F24" s="21"/>
      <c r="G24" s="22"/>
      <c r="H24" s="25"/>
      <c r="I24" s="30">
        <v>4600.0</v>
      </c>
      <c r="J24" s="21"/>
      <c r="K24" s="24"/>
      <c r="L24" s="22"/>
      <c r="M24" s="25"/>
      <c r="N24" s="22"/>
      <c r="O24" s="22"/>
      <c r="P24" s="26">
        <v>4600.0</v>
      </c>
      <c r="Q24" s="27">
        <f t="shared" si="3"/>
        <v>0</v>
      </c>
      <c r="R24" s="26" t="s">
        <v>25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45637.0</v>
      </c>
      <c r="C25" s="18" t="s">
        <v>554</v>
      </c>
      <c r="D25" s="19">
        <v>76556.0</v>
      </c>
      <c r="E25" s="20" t="s">
        <v>473</v>
      </c>
      <c r="F25" s="30">
        <v>1000.0</v>
      </c>
      <c r="G25" s="22"/>
      <c r="H25" s="25"/>
      <c r="I25" s="30"/>
      <c r="J25" s="21"/>
      <c r="K25" s="24"/>
      <c r="L25" s="22"/>
      <c r="M25" s="22"/>
      <c r="N25" s="22"/>
      <c r="O25" s="22"/>
      <c r="P25" s="26">
        <v>1000.0</v>
      </c>
      <c r="Q25" s="27">
        <f t="shared" si="3"/>
        <v>0</v>
      </c>
      <c r="R25" s="26" t="s">
        <v>25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45637.0</v>
      </c>
      <c r="C26" s="18" t="s">
        <v>555</v>
      </c>
      <c r="D26" s="19">
        <v>56027.0</v>
      </c>
      <c r="E26" s="20" t="s">
        <v>556</v>
      </c>
      <c r="F26" s="21"/>
      <c r="G26" s="22"/>
      <c r="H26" s="25"/>
      <c r="I26" s="30"/>
      <c r="J26" s="30">
        <v>4600.0</v>
      </c>
      <c r="K26" s="24"/>
      <c r="L26" s="22"/>
      <c r="M26" s="22"/>
      <c r="N26" s="22"/>
      <c r="O26" s="22"/>
      <c r="P26" s="26">
        <v>4600.0</v>
      </c>
      <c r="Q26" s="27">
        <f t="shared" si="3"/>
        <v>0</v>
      </c>
      <c r="R26" s="26" t="s">
        <v>25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45637.0</v>
      </c>
      <c r="C27" s="18" t="s">
        <v>557</v>
      </c>
      <c r="D27" s="19">
        <v>50596.0</v>
      </c>
      <c r="E27" s="20" t="s">
        <v>293</v>
      </c>
      <c r="F27" s="21"/>
      <c r="G27" s="22"/>
      <c r="H27" s="25"/>
      <c r="I27" s="30">
        <v>2500.0</v>
      </c>
      <c r="J27" s="30"/>
      <c r="K27" s="24"/>
      <c r="L27" s="22"/>
      <c r="M27" s="22"/>
      <c r="N27" s="22"/>
      <c r="O27" s="22"/>
      <c r="P27" s="26">
        <v>2500.0</v>
      </c>
      <c r="Q27" s="27">
        <f t="shared" si="3"/>
        <v>0</v>
      </c>
      <c r="R27" s="26" t="s">
        <v>48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45637.0</v>
      </c>
      <c r="C28" s="18" t="s">
        <v>558</v>
      </c>
      <c r="D28" s="19">
        <v>52083.0</v>
      </c>
      <c r="E28" s="20" t="s">
        <v>93</v>
      </c>
      <c r="F28" s="21"/>
      <c r="G28" s="22"/>
      <c r="H28" s="25"/>
      <c r="I28" s="30">
        <v>4150.0</v>
      </c>
      <c r="J28" s="30"/>
      <c r="K28" s="24"/>
      <c r="L28" s="22"/>
      <c r="M28" s="22"/>
      <c r="N28" s="22"/>
      <c r="O28" s="22"/>
      <c r="P28" s="26">
        <v>4150.0</v>
      </c>
      <c r="Q28" s="27">
        <f t="shared" si="3"/>
        <v>0</v>
      </c>
      <c r="R28" s="26" t="s">
        <v>48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45637.0</v>
      </c>
      <c r="C29" s="18" t="s">
        <v>559</v>
      </c>
      <c r="D29" s="19">
        <v>62508.0</v>
      </c>
      <c r="E29" s="20" t="s">
        <v>560</v>
      </c>
      <c r="F29" s="21"/>
      <c r="G29" s="22"/>
      <c r="H29" s="25"/>
      <c r="I29" s="21"/>
      <c r="J29" s="21"/>
      <c r="K29" s="23"/>
      <c r="L29" s="22"/>
      <c r="M29" s="25">
        <v>2650.0</v>
      </c>
      <c r="N29" s="22"/>
      <c r="O29" s="22"/>
      <c r="P29" s="26">
        <v>2650.0</v>
      </c>
      <c r="Q29" s="27">
        <f t="shared" si="3"/>
        <v>0</v>
      </c>
      <c r="R29" s="26" t="s">
        <v>48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45637.0</v>
      </c>
      <c r="C30" s="18" t="s">
        <v>561</v>
      </c>
      <c r="D30" s="19">
        <v>21818.0</v>
      </c>
      <c r="E30" s="20" t="s">
        <v>190</v>
      </c>
      <c r="F30" s="21"/>
      <c r="G30" s="22"/>
      <c r="H30" s="25"/>
      <c r="I30" s="30"/>
      <c r="J30" s="30"/>
      <c r="K30" s="23">
        <v>9000.0</v>
      </c>
      <c r="L30" s="22"/>
      <c r="M30" s="22"/>
      <c r="N30" s="22"/>
      <c r="O30" s="22"/>
      <c r="P30" s="26">
        <v>9000.0</v>
      </c>
      <c r="Q30" s="27">
        <f t="shared" si="3"/>
        <v>0</v>
      </c>
      <c r="R30" s="26" t="s">
        <v>48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45637.0</v>
      </c>
      <c r="C31" s="18" t="s">
        <v>562</v>
      </c>
      <c r="D31" s="19">
        <v>48910.0</v>
      </c>
      <c r="E31" s="20" t="s">
        <v>563</v>
      </c>
      <c r="F31" s="21"/>
      <c r="G31" s="22"/>
      <c r="H31" s="25"/>
      <c r="I31" s="21"/>
      <c r="J31" s="30">
        <v>1110.0</v>
      </c>
      <c r="K31" s="24"/>
      <c r="L31" s="22"/>
      <c r="M31" s="25"/>
      <c r="N31" s="22"/>
      <c r="O31" s="22"/>
      <c r="P31" s="26">
        <v>1110.0</v>
      </c>
      <c r="Q31" s="27">
        <f t="shared" si="3"/>
        <v>0</v>
      </c>
      <c r="R31" s="26" t="s">
        <v>48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45637.0</v>
      </c>
      <c r="C32" s="18" t="s">
        <v>564</v>
      </c>
      <c r="D32" s="19">
        <v>83056.0</v>
      </c>
      <c r="E32" s="20" t="s">
        <v>456</v>
      </c>
      <c r="F32" s="21"/>
      <c r="G32" s="22"/>
      <c r="H32" s="25"/>
      <c r="I32" s="21"/>
      <c r="J32" s="21"/>
      <c r="K32" s="24"/>
      <c r="L32" s="22"/>
      <c r="M32" s="25">
        <v>400.0</v>
      </c>
      <c r="N32" s="22"/>
      <c r="O32" s="22"/>
      <c r="P32" s="26">
        <v>400.0</v>
      </c>
      <c r="Q32" s="27">
        <f t="shared" si="3"/>
        <v>0</v>
      </c>
      <c r="R32" s="26" t="s">
        <v>48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45637.0</v>
      </c>
      <c r="C33" s="18" t="s">
        <v>565</v>
      </c>
      <c r="D33" s="19">
        <v>85447.0</v>
      </c>
      <c r="E33" s="20" t="s">
        <v>566</v>
      </c>
      <c r="F33" s="21"/>
      <c r="G33" s="22"/>
      <c r="H33" s="25"/>
      <c r="I33" s="30"/>
      <c r="J33" s="30"/>
      <c r="K33" s="24"/>
      <c r="L33" s="22"/>
      <c r="M33" s="25">
        <v>300.0</v>
      </c>
      <c r="N33" s="22"/>
      <c r="O33" s="22"/>
      <c r="P33" s="26">
        <v>300.0</v>
      </c>
      <c r="Q33" s="27">
        <f t="shared" si="3"/>
        <v>0</v>
      </c>
      <c r="R33" s="26" t="s">
        <v>25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45637.0</v>
      </c>
      <c r="C34" s="18" t="s">
        <v>567</v>
      </c>
      <c r="D34" s="19">
        <v>85449.0</v>
      </c>
      <c r="E34" s="20" t="s">
        <v>568</v>
      </c>
      <c r="F34" s="30"/>
      <c r="G34" s="22"/>
      <c r="H34" s="25"/>
      <c r="I34" s="21"/>
      <c r="J34" s="21"/>
      <c r="K34" s="24"/>
      <c r="L34" s="22"/>
      <c r="M34" s="25">
        <v>300.0</v>
      </c>
      <c r="N34" s="22"/>
      <c r="O34" s="22"/>
      <c r="P34" s="26">
        <v>300.0</v>
      </c>
      <c r="Q34" s="27">
        <f t="shared" si="3"/>
        <v>0</v>
      </c>
      <c r="R34" s="26" t="s">
        <v>25</v>
      </c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45637.0</v>
      </c>
      <c r="C35" s="18" t="s">
        <v>569</v>
      </c>
      <c r="D35" s="19">
        <v>21818.0</v>
      </c>
      <c r="E35" s="20" t="s">
        <v>190</v>
      </c>
      <c r="F35" s="21"/>
      <c r="G35" s="22"/>
      <c r="H35" s="25"/>
      <c r="I35" s="30"/>
      <c r="J35" s="30"/>
      <c r="K35" s="23">
        <v>76500.0</v>
      </c>
      <c r="L35" s="22"/>
      <c r="M35" s="22"/>
      <c r="N35" s="22"/>
      <c r="O35" s="22"/>
      <c r="P35" s="26">
        <v>76500.0</v>
      </c>
      <c r="Q35" s="27">
        <f t="shared" si="3"/>
        <v>0</v>
      </c>
      <c r="R35" s="26" t="s">
        <v>48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45637.0</v>
      </c>
      <c r="C36" s="18" t="s">
        <v>570</v>
      </c>
      <c r="D36" s="19">
        <v>21828.0</v>
      </c>
      <c r="E36" s="20" t="s">
        <v>104</v>
      </c>
      <c r="F36" s="21"/>
      <c r="G36" s="22"/>
      <c r="H36" s="25"/>
      <c r="I36" s="21"/>
      <c r="J36" s="21"/>
      <c r="K36" s="23"/>
      <c r="L36" s="22"/>
      <c r="M36" s="25">
        <v>2950.0</v>
      </c>
      <c r="N36" s="22"/>
      <c r="O36" s="22"/>
      <c r="P36" s="26">
        <v>2950.0</v>
      </c>
      <c r="Q36" s="27">
        <f t="shared" si="3"/>
        <v>0</v>
      </c>
      <c r="R36" s="26"/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45637.0</v>
      </c>
      <c r="C37" s="18" t="s">
        <v>571</v>
      </c>
      <c r="D37" s="19">
        <v>51017.0</v>
      </c>
      <c r="E37" s="20" t="s">
        <v>335</v>
      </c>
      <c r="F37" s="21"/>
      <c r="G37" s="22"/>
      <c r="H37" s="25">
        <v>15900.0</v>
      </c>
      <c r="I37" s="30"/>
      <c r="J37" s="30"/>
      <c r="K37" s="24"/>
      <c r="L37" s="22"/>
      <c r="M37" s="22"/>
      <c r="N37" s="22"/>
      <c r="O37" s="22"/>
      <c r="P37" s="26">
        <v>15900.0</v>
      </c>
      <c r="Q37" s="27">
        <f t="shared" si="3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45637.0</v>
      </c>
      <c r="C38" s="18" t="s">
        <v>572</v>
      </c>
      <c r="D38" s="19">
        <v>21828.0</v>
      </c>
      <c r="E38" s="20" t="s">
        <v>104</v>
      </c>
      <c r="F38" s="21"/>
      <c r="G38" s="22"/>
      <c r="H38" s="25"/>
      <c r="I38" s="30"/>
      <c r="J38" s="30"/>
      <c r="K38" s="23"/>
      <c r="L38" s="22"/>
      <c r="M38" s="25">
        <v>450.0</v>
      </c>
      <c r="N38" s="22"/>
      <c r="O38" s="22"/>
      <c r="P38" s="26">
        <v>450.0</v>
      </c>
      <c r="Q38" s="27">
        <f t="shared" si="3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45637.0</v>
      </c>
      <c r="C39" s="18" t="s">
        <v>573</v>
      </c>
      <c r="D39" s="19">
        <v>82902.0</v>
      </c>
      <c r="E39" s="20" t="s">
        <v>574</v>
      </c>
      <c r="F39" s="21"/>
      <c r="G39" s="22"/>
      <c r="H39" s="25"/>
      <c r="I39" s="30"/>
      <c r="J39" s="30"/>
      <c r="K39" s="24"/>
      <c r="L39" s="22"/>
      <c r="M39" s="25">
        <v>4600.0</v>
      </c>
      <c r="N39" s="22"/>
      <c r="O39" s="22"/>
      <c r="P39" s="26">
        <v>4600.0</v>
      </c>
      <c r="Q39" s="27">
        <f t="shared" si="3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45637.0</v>
      </c>
      <c r="C40" s="18" t="s">
        <v>575</v>
      </c>
      <c r="D40" s="19">
        <v>74492.0</v>
      </c>
      <c r="E40" s="20" t="s">
        <v>550</v>
      </c>
      <c r="F40" s="21"/>
      <c r="G40" s="22"/>
      <c r="H40" s="25"/>
      <c r="I40" s="30"/>
      <c r="J40" s="30"/>
      <c r="K40" s="23">
        <v>265.0</v>
      </c>
      <c r="L40" s="22"/>
      <c r="M40" s="22"/>
      <c r="N40" s="22"/>
      <c r="O40" s="25">
        <v>2135.0</v>
      </c>
      <c r="P40" s="26">
        <v>2400.0</v>
      </c>
      <c r="Q40" s="27">
        <f t="shared" si="3"/>
        <v>0</v>
      </c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83">
        <v>37.0</v>
      </c>
      <c r="B41" s="29">
        <v>45637.0</v>
      </c>
      <c r="C41" s="18" t="s">
        <v>576</v>
      </c>
      <c r="D41" s="19">
        <v>57328.0</v>
      </c>
      <c r="E41" s="20" t="s">
        <v>577</v>
      </c>
      <c r="F41" s="30"/>
      <c r="G41" s="22"/>
      <c r="H41" s="25">
        <v>2850.0</v>
      </c>
      <c r="I41" s="21"/>
      <c r="J41" s="21"/>
      <c r="K41" s="24"/>
      <c r="L41" s="22"/>
      <c r="M41" s="25"/>
      <c r="N41" s="22"/>
      <c r="O41" s="22"/>
      <c r="P41" s="26">
        <v>2850.0</v>
      </c>
      <c r="Q41" s="27">
        <f t="shared" si="3"/>
        <v>0</v>
      </c>
      <c r="R41" s="26"/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83">
        <v>38.0</v>
      </c>
      <c r="B42" s="29">
        <v>45637.0</v>
      </c>
      <c r="C42" s="18" t="s">
        <v>578</v>
      </c>
      <c r="D42" s="19">
        <v>19688.0</v>
      </c>
      <c r="E42" s="20" t="s">
        <v>260</v>
      </c>
      <c r="F42" s="21"/>
      <c r="G42" s="22"/>
      <c r="H42" s="25"/>
      <c r="I42" s="30"/>
      <c r="J42" s="30"/>
      <c r="K42" s="24"/>
      <c r="L42" s="22"/>
      <c r="M42" s="22"/>
      <c r="N42" s="22"/>
      <c r="O42" s="25">
        <v>1200.0</v>
      </c>
      <c r="P42" s="26">
        <v>1200.0</v>
      </c>
      <c r="Q42" s="27">
        <f t="shared" si="3"/>
        <v>0</v>
      </c>
      <c r="R42" s="26"/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83">
        <v>39.0</v>
      </c>
      <c r="B43" s="29">
        <v>45637.0</v>
      </c>
      <c r="C43" s="18" t="s">
        <v>579</v>
      </c>
      <c r="D43" s="19">
        <v>21670.0</v>
      </c>
      <c r="E43" s="20" t="s">
        <v>580</v>
      </c>
      <c r="F43" s="21"/>
      <c r="G43" s="22"/>
      <c r="H43" s="25"/>
      <c r="I43" s="30"/>
      <c r="J43" s="30"/>
      <c r="K43" s="24"/>
      <c r="L43" s="22"/>
      <c r="M43" s="22"/>
      <c r="N43" s="22"/>
      <c r="O43" s="25">
        <v>800.0</v>
      </c>
      <c r="P43" s="26">
        <v>800.0</v>
      </c>
      <c r="Q43" s="27">
        <f t="shared" si="3"/>
        <v>0</v>
      </c>
      <c r="R43" s="26"/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83">
        <v>40.0</v>
      </c>
      <c r="B44" s="29">
        <v>45637.0</v>
      </c>
      <c r="C44" s="18" t="s">
        <v>581</v>
      </c>
      <c r="D44" s="19">
        <v>20820.0</v>
      </c>
      <c r="E44" s="20" t="s">
        <v>582</v>
      </c>
      <c r="F44" s="21"/>
      <c r="G44" s="22"/>
      <c r="H44" s="25"/>
      <c r="I44" s="21"/>
      <c r="J44" s="21"/>
      <c r="K44" s="24"/>
      <c r="L44" s="22"/>
      <c r="M44" s="25"/>
      <c r="N44" s="22"/>
      <c r="O44" s="25">
        <v>800.0</v>
      </c>
      <c r="P44" s="26">
        <v>800.0</v>
      </c>
      <c r="Q44" s="27">
        <f t="shared" si="3"/>
        <v>0</v>
      </c>
      <c r="R44" s="26"/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83">
        <v>41.0</v>
      </c>
      <c r="B45" s="29">
        <v>45637.0</v>
      </c>
      <c r="C45" s="18" t="s">
        <v>583</v>
      </c>
      <c r="D45" s="19">
        <v>48910.0</v>
      </c>
      <c r="E45" s="20" t="s">
        <v>563</v>
      </c>
      <c r="F45" s="21"/>
      <c r="G45" s="22"/>
      <c r="H45" s="25"/>
      <c r="I45" s="21"/>
      <c r="J45" s="30"/>
      <c r="K45" s="23"/>
      <c r="L45" s="22"/>
      <c r="M45" s="22"/>
      <c r="N45" s="22"/>
      <c r="O45" s="25">
        <v>1200.0</v>
      </c>
      <c r="P45" s="26">
        <v>1200.0</v>
      </c>
      <c r="Q45" s="27">
        <f t="shared" si="3"/>
        <v>0</v>
      </c>
      <c r="R45" s="26"/>
      <c r="S45" s="2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83"/>
      <c r="B46" s="29"/>
      <c r="C46" s="18"/>
      <c r="D46" s="19"/>
      <c r="E46" s="20"/>
      <c r="F46" s="21"/>
      <c r="G46" s="22"/>
      <c r="H46" s="25"/>
      <c r="I46" s="21"/>
      <c r="J46" s="21"/>
      <c r="K46" s="24"/>
      <c r="L46" s="22"/>
      <c r="M46" s="22"/>
      <c r="N46" s="22"/>
      <c r="O46" s="25"/>
      <c r="P46" s="26"/>
      <c r="Q46" s="27">
        <f t="shared" si="3"/>
        <v>0</v>
      </c>
      <c r="R46" s="63"/>
      <c r="S46" s="2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83"/>
      <c r="B47" s="29"/>
      <c r="C47" s="18"/>
      <c r="D47" s="19"/>
      <c r="E47" s="20"/>
      <c r="F47" s="21"/>
      <c r="G47" s="22"/>
      <c r="H47" s="25"/>
      <c r="I47" s="21"/>
      <c r="J47" s="21"/>
      <c r="K47" s="24"/>
      <c r="L47" s="22"/>
      <c r="M47" s="22"/>
      <c r="N47" s="22"/>
      <c r="O47" s="22"/>
      <c r="P47" s="26"/>
      <c r="Q47" s="27">
        <f t="shared" si="3"/>
        <v>0</v>
      </c>
      <c r="R47" s="63"/>
      <c r="S47" s="28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7.5" customHeight="1">
      <c r="A48" s="16"/>
      <c r="B48" s="64"/>
      <c r="C48" s="65"/>
      <c r="D48" s="66" t="s">
        <v>135</v>
      </c>
      <c r="E48" s="67"/>
      <c r="F48" s="68">
        <f t="shared" ref="F48:P48" si="4">SUM(F5:F47)</f>
        <v>8300</v>
      </c>
      <c r="G48" s="68">
        <f t="shared" si="4"/>
        <v>5000</v>
      </c>
      <c r="H48" s="68">
        <f t="shared" si="4"/>
        <v>18750</v>
      </c>
      <c r="I48" s="68">
        <f t="shared" si="4"/>
        <v>46900</v>
      </c>
      <c r="J48" s="68">
        <f t="shared" si="4"/>
        <v>20160</v>
      </c>
      <c r="K48" s="68">
        <f t="shared" si="4"/>
        <v>85865</v>
      </c>
      <c r="L48" s="68">
        <f t="shared" si="4"/>
        <v>0</v>
      </c>
      <c r="M48" s="68">
        <f t="shared" si="4"/>
        <v>11950</v>
      </c>
      <c r="N48" s="68">
        <f t="shared" si="4"/>
        <v>0</v>
      </c>
      <c r="O48" s="68">
        <f t="shared" si="4"/>
        <v>6135</v>
      </c>
      <c r="P48" s="68">
        <f t="shared" si="4"/>
        <v>203060</v>
      </c>
      <c r="Q48" s="85"/>
      <c r="R48" s="69"/>
      <c r="S48" s="28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</row>
    <row r="49" ht="58.5" customHeight="1">
      <c r="A49" s="70"/>
      <c r="B49" s="70"/>
      <c r="C49" s="71"/>
      <c r="D49" s="70"/>
      <c r="E49" s="70"/>
      <c r="F49" s="72">
        <f>F48+G48+H48+I48+J48+K48+L48+M48+N48+O48</f>
        <v>203060</v>
      </c>
      <c r="P49" s="73"/>
      <c r="Q49" s="73"/>
      <c r="R49" s="70"/>
      <c r="S49" s="70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5" t="s">
        <v>135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82" t="s">
        <v>229</v>
      </c>
      <c r="D53" s="4"/>
      <c r="E53" s="76" t="s">
        <v>136</v>
      </c>
      <c r="F53" s="77" t="s">
        <v>137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78" t="s">
        <v>138</v>
      </c>
      <c r="F54" s="77" t="s">
        <v>348</v>
      </c>
      <c r="G54" s="4"/>
      <c r="H54" s="4"/>
      <c r="I54" s="4"/>
      <c r="J54" s="4"/>
      <c r="K54" s="4"/>
      <c r="L54" s="4"/>
      <c r="M54" s="4"/>
      <c r="N54" s="4"/>
      <c r="O54" s="79" t="s">
        <v>135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78" t="s">
        <v>140</v>
      </c>
      <c r="F55" s="77" t="s">
        <v>146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74"/>
      <c r="D56" s="4"/>
      <c r="E56" s="78" t="s">
        <v>141</v>
      </c>
      <c r="F56" s="77" t="s">
        <v>146</v>
      </c>
      <c r="G56" s="4"/>
      <c r="H56" s="4"/>
      <c r="I56" s="4"/>
      <c r="J56" s="4"/>
      <c r="K56" s="4" t="s">
        <v>135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74"/>
      <c r="D57" s="4"/>
      <c r="E57" s="78" t="s">
        <v>142</v>
      </c>
      <c r="F57" s="77" t="s">
        <v>426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74"/>
      <c r="D58" s="4"/>
      <c r="E58" s="78" t="s">
        <v>584</v>
      </c>
      <c r="F58" s="77" t="s">
        <v>146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74"/>
      <c r="D59" s="4"/>
      <c r="E59" s="78" t="s">
        <v>145</v>
      </c>
      <c r="F59" s="77" t="s">
        <v>351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74"/>
      <c r="D60" s="4"/>
      <c r="E60" s="78" t="s">
        <v>147</v>
      </c>
      <c r="F60" s="80" t="s">
        <v>137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79" t="s">
        <v>135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 t="str">
        <f>I72448</f>
        <v/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79" t="s">
        <v>148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>
        <v>7.0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7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7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7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7">
    <mergeCell ref="R2:R4"/>
    <mergeCell ref="S2:S4"/>
    <mergeCell ref="F3:F4"/>
    <mergeCell ref="G3:H3"/>
    <mergeCell ref="I3:J3"/>
    <mergeCell ref="K3:K4"/>
    <mergeCell ref="F49:O4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22.75"/>
    <col customWidth="1" min="19" max="19" width="24.5"/>
  </cols>
  <sheetData>
    <row r="1" ht="69.0" customHeight="1">
      <c r="A1" s="1" t="s">
        <v>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45638.0</v>
      </c>
      <c r="C5" s="18" t="s">
        <v>586</v>
      </c>
      <c r="D5" s="19">
        <v>84453.0</v>
      </c>
      <c r="E5" s="20" t="s">
        <v>587</v>
      </c>
      <c r="F5" s="21"/>
      <c r="G5" s="22"/>
      <c r="H5" s="30"/>
      <c r="I5" s="23"/>
      <c r="J5" s="23">
        <v>2600.0</v>
      </c>
      <c r="K5" s="22"/>
      <c r="L5" s="25"/>
      <c r="M5" s="30"/>
      <c r="N5" s="22"/>
      <c r="O5" s="22"/>
      <c r="P5" s="26">
        <v>2600.0</v>
      </c>
      <c r="Q5" s="27">
        <f t="shared" ref="Q5:Q14" si="1">F5+G5+H5+I5+J5+K5+L5+M5+N5+O5-P5</f>
        <v>0</v>
      </c>
      <c r="R5" s="26" t="s">
        <v>25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45638.0</v>
      </c>
      <c r="C6" s="18" t="s">
        <v>588</v>
      </c>
      <c r="D6" s="19">
        <v>77886.0</v>
      </c>
      <c r="E6" s="20" t="s">
        <v>295</v>
      </c>
      <c r="F6" s="30"/>
      <c r="G6" s="22"/>
      <c r="H6" s="30"/>
      <c r="I6" s="23">
        <v>450.0</v>
      </c>
      <c r="J6" s="23"/>
      <c r="K6" s="22"/>
      <c r="L6" s="25"/>
      <c r="M6" s="30"/>
      <c r="N6" s="22"/>
      <c r="O6" s="22"/>
      <c r="P6" s="26">
        <v>450.0</v>
      </c>
      <c r="Q6" s="27">
        <f t="shared" si="1"/>
        <v>0</v>
      </c>
      <c r="R6" s="26" t="s">
        <v>48</v>
      </c>
      <c r="S6" s="2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29">
        <v>45638.0</v>
      </c>
      <c r="C7" s="18" t="s">
        <v>589</v>
      </c>
      <c r="D7" s="19">
        <v>48631.0</v>
      </c>
      <c r="E7" s="20" t="s">
        <v>166</v>
      </c>
      <c r="F7" s="21"/>
      <c r="G7" s="25"/>
      <c r="H7" s="25"/>
      <c r="I7" s="30">
        <v>15000.0</v>
      </c>
      <c r="J7" s="25"/>
      <c r="K7" s="25"/>
      <c r="L7" s="22"/>
      <c r="M7" s="21"/>
      <c r="N7" s="22"/>
      <c r="O7" s="22"/>
      <c r="P7" s="26">
        <v>15000.0</v>
      </c>
      <c r="Q7" s="27">
        <f t="shared" si="1"/>
        <v>0</v>
      </c>
      <c r="R7" s="26" t="s">
        <v>33</v>
      </c>
      <c r="S7" s="2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29">
        <v>45638.0</v>
      </c>
      <c r="C8" s="18" t="s">
        <v>590</v>
      </c>
      <c r="D8" s="19">
        <v>48854.0</v>
      </c>
      <c r="E8" s="20" t="s">
        <v>591</v>
      </c>
      <c r="F8" s="22"/>
      <c r="G8" s="25"/>
      <c r="H8" s="30"/>
      <c r="I8" s="30"/>
      <c r="J8" s="23">
        <v>7100.0</v>
      </c>
      <c r="K8" s="25"/>
      <c r="L8" s="22"/>
      <c r="M8" s="25"/>
      <c r="N8" s="22"/>
      <c r="O8" s="22"/>
      <c r="P8" s="26">
        <v>7100.0</v>
      </c>
      <c r="Q8" s="27">
        <f t="shared" si="1"/>
        <v>0</v>
      </c>
      <c r="R8" s="26" t="s">
        <v>33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45638.0</v>
      </c>
      <c r="C9" s="18" t="s">
        <v>592</v>
      </c>
      <c r="D9" s="19">
        <v>19688.0</v>
      </c>
      <c r="E9" s="20" t="s">
        <v>260</v>
      </c>
      <c r="F9" s="22"/>
      <c r="G9" s="22"/>
      <c r="H9" s="25"/>
      <c r="I9" s="30"/>
      <c r="J9" s="30">
        <v>4600.0</v>
      </c>
      <c r="K9" s="22"/>
      <c r="L9" s="22"/>
      <c r="M9" s="25"/>
      <c r="N9" s="22"/>
      <c r="O9" s="22"/>
      <c r="P9" s="26">
        <v>4600.0</v>
      </c>
      <c r="Q9" s="27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45638.0</v>
      </c>
      <c r="C10" s="18" t="s">
        <v>593</v>
      </c>
      <c r="D10" s="19">
        <v>78497.0</v>
      </c>
      <c r="E10" s="20" t="s">
        <v>594</v>
      </c>
      <c r="F10" s="22"/>
      <c r="G10" s="22"/>
      <c r="H10" s="25"/>
      <c r="I10" s="30"/>
      <c r="J10" s="30">
        <v>2600.0</v>
      </c>
      <c r="K10" s="22"/>
      <c r="L10" s="22"/>
      <c r="M10" s="30"/>
      <c r="N10" s="22"/>
      <c r="O10" s="22"/>
      <c r="P10" s="26">
        <v>2600.0</v>
      </c>
      <c r="Q10" s="27">
        <f t="shared" si="1"/>
        <v>0</v>
      </c>
      <c r="R10" s="26" t="s">
        <v>25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106">
        <v>45638.0</v>
      </c>
      <c r="C11" s="107" t="s">
        <v>595</v>
      </c>
      <c r="D11" s="108">
        <v>26005.0</v>
      </c>
      <c r="E11" s="109" t="s">
        <v>596</v>
      </c>
      <c r="F11" s="110"/>
      <c r="G11" s="110"/>
      <c r="H11" s="115"/>
      <c r="I11" s="111">
        <v>4500.0</v>
      </c>
      <c r="J11" s="112"/>
      <c r="K11" s="110"/>
      <c r="L11" s="110"/>
      <c r="M11" s="111"/>
      <c r="N11" s="110"/>
      <c r="O11" s="110"/>
      <c r="P11" s="113">
        <v>4500.0</v>
      </c>
      <c r="Q11" s="27">
        <f t="shared" si="1"/>
        <v>0</v>
      </c>
      <c r="R11" s="113" t="s">
        <v>25</v>
      </c>
      <c r="S11" s="31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45638.0</v>
      </c>
      <c r="C12" s="18" t="s">
        <v>597</v>
      </c>
      <c r="D12" s="19">
        <v>37078.0</v>
      </c>
      <c r="E12" s="20" t="s">
        <v>598</v>
      </c>
      <c r="F12" s="22"/>
      <c r="G12" s="22"/>
      <c r="H12" s="25"/>
      <c r="I12" s="30">
        <v>1250.0</v>
      </c>
      <c r="J12" s="30"/>
      <c r="K12" s="25">
        <v>50.0</v>
      </c>
      <c r="L12" s="22"/>
      <c r="M12" s="30"/>
      <c r="N12" s="22"/>
      <c r="O12" s="22"/>
      <c r="P12" s="26">
        <v>1300.0</v>
      </c>
      <c r="Q12" s="27">
        <f t="shared" si="1"/>
        <v>0</v>
      </c>
      <c r="R12" s="26" t="s">
        <v>25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45638.0</v>
      </c>
      <c r="C13" s="18" t="s">
        <v>599</v>
      </c>
      <c r="D13" s="19">
        <v>49252.0</v>
      </c>
      <c r="E13" s="20" t="s">
        <v>600</v>
      </c>
      <c r="F13" s="22"/>
      <c r="G13" s="22"/>
      <c r="H13" s="25"/>
      <c r="I13" s="30">
        <v>6690.0</v>
      </c>
      <c r="J13" s="30"/>
      <c r="K13" s="22"/>
      <c r="L13" s="22"/>
      <c r="M13" s="21"/>
      <c r="N13" s="22"/>
      <c r="O13" s="22"/>
      <c r="P13" s="26">
        <v>6690.0</v>
      </c>
      <c r="Q13" s="27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32">
        <v>45638.0</v>
      </c>
      <c r="C14" s="33" t="s">
        <v>601</v>
      </c>
      <c r="D14" s="34">
        <v>69659.0</v>
      </c>
      <c r="E14" s="35" t="s">
        <v>119</v>
      </c>
      <c r="F14" s="22"/>
      <c r="G14" s="22"/>
      <c r="H14" s="25"/>
      <c r="I14" s="30">
        <v>2900.0</v>
      </c>
      <c r="J14" s="30"/>
      <c r="K14" s="25"/>
      <c r="L14" s="22"/>
      <c r="M14" s="30"/>
      <c r="N14" s="22"/>
      <c r="O14" s="22"/>
      <c r="P14" s="36">
        <v>2900.0</v>
      </c>
      <c r="Q14" s="27">
        <f t="shared" si="1"/>
        <v>0</v>
      </c>
      <c r="R14" s="36" t="s">
        <v>25</v>
      </c>
      <c r="S14" s="81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34.5" customHeight="1">
      <c r="A15" s="83">
        <v>11.0</v>
      </c>
      <c r="B15" s="32">
        <v>45638.0</v>
      </c>
      <c r="C15" s="33" t="s">
        <v>602</v>
      </c>
      <c r="D15" s="34">
        <v>10744.0</v>
      </c>
      <c r="E15" s="35" t="s">
        <v>488</v>
      </c>
      <c r="F15" s="25"/>
      <c r="G15" s="22"/>
      <c r="H15" s="25"/>
      <c r="I15" s="30">
        <v>2600.0</v>
      </c>
      <c r="J15" s="30"/>
      <c r="K15" s="25"/>
      <c r="L15" s="22"/>
      <c r="M15" s="21"/>
      <c r="N15" s="22"/>
      <c r="O15" s="22"/>
      <c r="P15" s="36">
        <v>2600.0</v>
      </c>
      <c r="Q15" s="118">
        <v>0.0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29">
        <v>45638.0</v>
      </c>
      <c r="C16" s="18" t="s">
        <v>603</v>
      </c>
      <c r="D16" s="19">
        <v>52373.0</v>
      </c>
      <c r="E16" s="20" t="s">
        <v>370</v>
      </c>
      <c r="F16" s="30"/>
      <c r="G16" s="22"/>
      <c r="H16" s="25"/>
      <c r="I16" s="21"/>
      <c r="J16" s="30">
        <v>10000.0</v>
      </c>
      <c r="K16" s="24"/>
      <c r="L16" s="22"/>
      <c r="M16" s="22"/>
      <c r="N16" s="22"/>
      <c r="O16" s="22"/>
      <c r="P16" s="26">
        <v>10000.0</v>
      </c>
      <c r="Q16" s="27">
        <f t="shared" ref="Q16:Q20" si="2">F16+G16+H16+I16+J16+K16+L16+M16+N16+O16-P16</f>
        <v>0</v>
      </c>
      <c r="R16" s="26" t="s">
        <v>25</v>
      </c>
      <c r="S16" s="28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3">
        <v>13.0</v>
      </c>
      <c r="B17" s="29">
        <v>45638.0</v>
      </c>
      <c r="C17" s="18" t="s">
        <v>604</v>
      </c>
      <c r="D17" s="19">
        <v>48631.0</v>
      </c>
      <c r="E17" s="20" t="s">
        <v>166</v>
      </c>
      <c r="F17" s="30"/>
      <c r="G17" s="22"/>
      <c r="H17" s="25"/>
      <c r="I17" s="30"/>
      <c r="J17" s="30">
        <v>2500.0</v>
      </c>
      <c r="K17" s="24"/>
      <c r="L17" s="22"/>
      <c r="M17" s="22"/>
      <c r="N17" s="22"/>
      <c r="O17" s="22"/>
      <c r="P17" s="26">
        <v>2500.0</v>
      </c>
      <c r="Q17" s="27">
        <f t="shared" si="2"/>
        <v>0</v>
      </c>
      <c r="R17" s="26" t="s">
        <v>33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45638.0</v>
      </c>
      <c r="C18" s="18" t="s">
        <v>605</v>
      </c>
      <c r="D18" s="19">
        <v>62146.0</v>
      </c>
      <c r="E18" s="20" t="s">
        <v>606</v>
      </c>
      <c r="F18" s="30"/>
      <c r="G18" s="22"/>
      <c r="H18" s="25"/>
      <c r="I18" s="30">
        <v>450.0</v>
      </c>
      <c r="J18" s="21"/>
      <c r="K18" s="24"/>
      <c r="L18" s="22"/>
      <c r="M18" s="22"/>
      <c r="N18" s="22"/>
      <c r="O18" s="22"/>
      <c r="P18" s="26">
        <v>450.0</v>
      </c>
      <c r="Q18" s="27">
        <f t="shared" si="2"/>
        <v>0</v>
      </c>
      <c r="R18" s="26" t="s">
        <v>33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45638.0</v>
      </c>
      <c r="C19" s="18" t="s">
        <v>607</v>
      </c>
      <c r="D19" s="19">
        <v>52206.0</v>
      </c>
      <c r="E19" s="20" t="s">
        <v>608</v>
      </c>
      <c r="F19" s="30"/>
      <c r="G19" s="25"/>
      <c r="H19" s="25"/>
      <c r="I19" s="30">
        <v>3200.0</v>
      </c>
      <c r="J19" s="21"/>
      <c r="K19" s="24"/>
      <c r="L19" s="22"/>
      <c r="M19" s="22"/>
      <c r="N19" s="22"/>
      <c r="O19" s="22"/>
      <c r="P19" s="26">
        <v>3200.0</v>
      </c>
      <c r="Q19" s="27">
        <f t="shared" si="2"/>
        <v>0</v>
      </c>
      <c r="R19" s="26" t="s">
        <v>25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45638.0</v>
      </c>
      <c r="C20" s="18" t="s">
        <v>609</v>
      </c>
      <c r="D20" s="19">
        <v>54763.0</v>
      </c>
      <c r="E20" s="20" t="s">
        <v>171</v>
      </c>
      <c r="F20" s="30"/>
      <c r="G20" s="22"/>
      <c r="H20" s="25"/>
      <c r="I20" s="30">
        <v>14000.0</v>
      </c>
      <c r="J20" s="21"/>
      <c r="K20" s="24"/>
      <c r="L20" s="22"/>
      <c r="M20" s="22"/>
      <c r="N20" s="22"/>
      <c r="O20" s="22"/>
      <c r="P20" s="26">
        <v>14000.0</v>
      </c>
      <c r="Q20" s="27">
        <f t="shared" si="2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45638.0</v>
      </c>
      <c r="C21" s="18" t="s">
        <v>610</v>
      </c>
      <c r="D21" s="19">
        <v>78063.0</v>
      </c>
      <c r="E21" s="20" t="s">
        <v>328</v>
      </c>
      <c r="F21" s="30"/>
      <c r="G21" s="22"/>
      <c r="H21" s="25"/>
      <c r="I21" s="30">
        <v>6000.0</v>
      </c>
      <c r="J21" s="21"/>
      <c r="K21" s="24"/>
      <c r="L21" s="22"/>
      <c r="M21" s="25"/>
      <c r="N21" s="22"/>
      <c r="O21" s="22"/>
      <c r="P21" s="26">
        <v>6000.0</v>
      </c>
      <c r="Q21" s="118">
        <v>0.0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45638.0</v>
      </c>
      <c r="C22" s="18" t="s">
        <v>611</v>
      </c>
      <c r="D22" s="19">
        <v>78063.0</v>
      </c>
      <c r="E22" s="20" t="s">
        <v>328</v>
      </c>
      <c r="F22" s="30"/>
      <c r="G22" s="22"/>
      <c r="H22" s="25"/>
      <c r="I22" s="30">
        <v>4500.0</v>
      </c>
      <c r="J22" s="21"/>
      <c r="K22" s="23"/>
      <c r="L22" s="22"/>
      <c r="M22" s="22"/>
      <c r="N22" s="22"/>
      <c r="O22" s="22"/>
      <c r="P22" s="26">
        <v>4500.0</v>
      </c>
      <c r="Q22" s="27">
        <f t="shared" ref="Q22:Q45" si="3">F22+G22+H22+I22+J22+K22+L22+M22+N22+O22-P22</f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45638.0</v>
      </c>
      <c r="C23" s="18" t="s">
        <v>612</v>
      </c>
      <c r="D23" s="19">
        <v>64602.0</v>
      </c>
      <c r="E23" s="20" t="s">
        <v>613</v>
      </c>
      <c r="F23" s="30"/>
      <c r="G23" s="22"/>
      <c r="H23" s="25"/>
      <c r="I23" s="30">
        <v>2600.0</v>
      </c>
      <c r="J23" s="21"/>
      <c r="K23" s="24"/>
      <c r="L23" s="22"/>
      <c r="M23" s="25"/>
      <c r="N23" s="22"/>
      <c r="O23" s="22"/>
      <c r="P23" s="26">
        <v>2600.0</v>
      </c>
      <c r="Q23" s="27">
        <f t="shared" si="3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45638.0</v>
      </c>
      <c r="C24" s="18" t="s">
        <v>614</v>
      </c>
      <c r="D24" s="19">
        <v>50436.0</v>
      </c>
      <c r="E24" s="20" t="s">
        <v>78</v>
      </c>
      <c r="F24" s="21"/>
      <c r="G24" s="22"/>
      <c r="H24" s="25"/>
      <c r="I24" s="30">
        <v>5000.0</v>
      </c>
      <c r="J24" s="21"/>
      <c r="K24" s="24"/>
      <c r="L24" s="22"/>
      <c r="M24" s="25"/>
      <c r="N24" s="22"/>
      <c r="O24" s="22"/>
      <c r="P24" s="26">
        <v>5000.0</v>
      </c>
      <c r="Q24" s="27">
        <f t="shared" si="3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45638.0</v>
      </c>
      <c r="C25" s="18" t="s">
        <v>615</v>
      </c>
      <c r="D25" s="19">
        <v>28414.0</v>
      </c>
      <c r="E25" s="20" t="s">
        <v>164</v>
      </c>
      <c r="F25" s="30"/>
      <c r="G25" s="22"/>
      <c r="H25" s="25"/>
      <c r="I25" s="30">
        <v>10000.0</v>
      </c>
      <c r="J25" s="21"/>
      <c r="K25" s="24"/>
      <c r="L25" s="22"/>
      <c r="M25" s="22"/>
      <c r="N25" s="22"/>
      <c r="O25" s="22"/>
      <c r="P25" s="26">
        <v>10000.0</v>
      </c>
      <c r="Q25" s="27">
        <f t="shared" si="3"/>
        <v>0</v>
      </c>
      <c r="R25" s="26" t="s">
        <v>25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45638.0</v>
      </c>
      <c r="C26" s="18" t="s">
        <v>616</v>
      </c>
      <c r="D26" s="19">
        <v>36769.0</v>
      </c>
      <c r="E26" s="20" t="s">
        <v>32</v>
      </c>
      <c r="F26" s="21"/>
      <c r="G26" s="22"/>
      <c r="H26" s="25"/>
      <c r="I26" s="30">
        <v>5100.0</v>
      </c>
      <c r="J26" s="30"/>
      <c r="K26" s="24"/>
      <c r="L26" s="22"/>
      <c r="M26" s="22"/>
      <c r="N26" s="22"/>
      <c r="O26" s="22"/>
      <c r="P26" s="26">
        <v>5100.0</v>
      </c>
      <c r="Q26" s="27">
        <f t="shared" si="3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45638.0</v>
      </c>
      <c r="C27" s="18" t="s">
        <v>617</v>
      </c>
      <c r="D27" s="19">
        <v>10744.0</v>
      </c>
      <c r="E27" s="20" t="s">
        <v>488</v>
      </c>
      <c r="F27" s="21"/>
      <c r="G27" s="22"/>
      <c r="H27" s="25"/>
      <c r="I27" s="30">
        <v>10000.0</v>
      </c>
      <c r="J27" s="30"/>
      <c r="K27" s="24"/>
      <c r="L27" s="22"/>
      <c r="M27" s="22"/>
      <c r="N27" s="22"/>
      <c r="O27" s="22"/>
      <c r="P27" s="26">
        <v>10000.0</v>
      </c>
      <c r="Q27" s="27">
        <f t="shared" si="3"/>
        <v>0</v>
      </c>
      <c r="R27" s="26" t="s">
        <v>25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45638.0</v>
      </c>
      <c r="C28" s="18" t="s">
        <v>618</v>
      </c>
      <c r="D28" s="19">
        <v>64740.0</v>
      </c>
      <c r="E28" s="20" t="s">
        <v>619</v>
      </c>
      <c r="F28" s="21"/>
      <c r="G28" s="22"/>
      <c r="H28" s="25"/>
      <c r="I28" s="30"/>
      <c r="J28" s="30">
        <v>10000.0</v>
      </c>
      <c r="K28" s="24"/>
      <c r="L28" s="22"/>
      <c r="M28" s="22"/>
      <c r="N28" s="22"/>
      <c r="O28" s="22"/>
      <c r="P28" s="26">
        <v>10000.0</v>
      </c>
      <c r="Q28" s="27">
        <f t="shared" si="3"/>
        <v>0</v>
      </c>
      <c r="R28" s="26" t="s">
        <v>25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45638.0</v>
      </c>
      <c r="C29" s="18" t="s">
        <v>620</v>
      </c>
      <c r="D29" s="19">
        <v>62146.0</v>
      </c>
      <c r="E29" s="20" t="s">
        <v>606</v>
      </c>
      <c r="F29" s="21"/>
      <c r="G29" s="22"/>
      <c r="H29" s="25"/>
      <c r="I29" s="30">
        <v>100.0</v>
      </c>
      <c r="J29" s="21"/>
      <c r="K29" s="23"/>
      <c r="L29" s="22"/>
      <c r="M29" s="25"/>
      <c r="N29" s="22"/>
      <c r="O29" s="22"/>
      <c r="P29" s="26">
        <v>100.0</v>
      </c>
      <c r="Q29" s="27">
        <f t="shared" si="3"/>
        <v>0</v>
      </c>
      <c r="R29" s="26" t="s">
        <v>33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45638.0</v>
      </c>
      <c r="C30" s="18" t="s">
        <v>621</v>
      </c>
      <c r="D30" s="19">
        <v>22332.0</v>
      </c>
      <c r="E30" s="20" t="s">
        <v>60</v>
      </c>
      <c r="F30" s="21"/>
      <c r="G30" s="22"/>
      <c r="H30" s="25"/>
      <c r="I30" s="30">
        <v>970.0</v>
      </c>
      <c r="J30" s="30"/>
      <c r="K30" s="23">
        <v>580.0</v>
      </c>
      <c r="L30" s="22"/>
      <c r="M30" s="22"/>
      <c r="N30" s="22"/>
      <c r="O30" s="22"/>
      <c r="P30" s="26">
        <v>1550.0</v>
      </c>
      <c r="Q30" s="27">
        <f t="shared" si="3"/>
        <v>0</v>
      </c>
      <c r="R30" s="26" t="s">
        <v>48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45638.0</v>
      </c>
      <c r="C31" s="18" t="s">
        <v>622</v>
      </c>
      <c r="D31" s="19">
        <v>61724.0</v>
      </c>
      <c r="E31" s="20" t="s">
        <v>623</v>
      </c>
      <c r="F31" s="21"/>
      <c r="G31" s="22"/>
      <c r="H31" s="25"/>
      <c r="I31" s="30">
        <v>5100.0</v>
      </c>
      <c r="J31" s="30"/>
      <c r="K31" s="24"/>
      <c r="L31" s="22"/>
      <c r="M31" s="25"/>
      <c r="N31" s="22"/>
      <c r="O31" s="22"/>
      <c r="P31" s="26">
        <v>5100.0</v>
      </c>
      <c r="Q31" s="27">
        <f t="shared" si="3"/>
        <v>0</v>
      </c>
      <c r="R31" s="26" t="s">
        <v>48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45638.0</v>
      </c>
      <c r="C32" s="18" t="s">
        <v>624</v>
      </c>
      <c r="D32" s="19">
        <v>85454.0</v>
      </c>
      <c r="E32" s="20" t="s">
        <v>625</v>
      </c>
      <c r="F32" s="21"/>
      <c r="G32" s="22"/>
      <c r="H32" s="25"/>
      <c r="I32" s="21"/>
      <c r="J32" s="21"/>
      <c r="K32" s="24"/>
      <c r="L32" s="22"/>
      <c r="M32" s="25">
        <v>300.0</v>
      </c>
      <c r="N32" s="22"/>
      <c r="O32" s="22"/>
      <c r="P32" s="26">
        <v>300.0</v>
      </c>
      <c r="Q32" s="27">
        <f t="shared" si="3"/>
        <v>0</v>
      </c>
      <c r="R32" s="26" t="s">
        <v>48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45638.0</v>
      </c>
      <c r="C33" s="18" t="s">
        <v>626</v>
      </c>
      <c r="D33" s="19">
        <v>48973.0</v>
      </c>
      <c r="E33" s="20" t="s">
        <v>299</v>
      </c>
      <c r="F33" s="21"/>
      <c r="G33" s="22"/>
      <c r="H33" s="25"/>
      <c r="I33" s="30">
        <v>100.0</v>
      </c>
      <c r="J33" s="30"/>
      <c r="K33" s="24"/>
      <c r="L33" s="22"/>
      <c r="M33" s="25"/>
      <c r="N33" s="22"/>
      <c r="O33" s="22"/>
      <c r="P33" s="26">
        <v>100.0</v>
      </c>
      <c r="Q33" s="27">
        <f t="shared" si="3"/>
        <v>0</v>
      </c>
      <c r="R33" s="26" t="s">
        <v>25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45638.0</v>
      </c>
      <c r="C34" s="18" t="s">
        <v>627</v>
      </c>
      <c r="D34" s="19">
        <v>69659.0</v>
      </c>
      <c r="E34" s="20" t="s">
        <v>119</v>
      </c>
      <c r="F34" s="30"/>
      <c r="G34" s="22"/>
      <c r="H34" s="25"/>
      <c r="I34" s="30">
        <v>200.0</v>
      </c>
      <c r="J34" s="21"/>
      <c r="K34" s="24"/>
      <c r="L34" s="22"/>
      <c r="M34" s="25"/>
      <c r="N34" s="22"/>
      <c r="O34" s="22"/>
      <c r="P34" s="26">
        <v>200.0</v>
      </c>
      <c r="Q34" s="27">
        <f t="shared" si="3"/>
        <v>0</v>
      </c>
      <c r="R34" s="26" t="s">
        <v>48</v>
      </c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45638.0</v>
      </c>
      <c r="C35" s="18" t="s">
        <v>628</v>
      </c>
      <c r="D35" s="19">
        <v>85455.0</v>
      </c>
      <c r="E35" s="20" t="s">
        <v>629</v>
      </c>
      <c r="F35" s="21"/>
      <c r="G35" s="22"/>
      <c r="H35" s="25"/>
      <c r="I35" s="30"/>
      <c r="J35" s="30"/>
      <c r="K35" s="23"/>
      <c r="L35" s="22"/>
      <c r="M35" s="25">
        <v>300.0</v>
      </c>
      <c r="N35" s="22"/>
      <c r="O35" s="22"/>
      <c r="P35" s="26">
        <v>300.0</v>
      </c>
      <c r="Q35" s="27">
        <f t="shared" si="3"/>
        <v>0</v>
      </c>
      <c r="R35" s="26" t="s">
        <v>48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45638.0</v>
      </c>
      <c r="C36" s="18" t="s">
        <v>630</v>
      </c>
      <c r="D36" s="19">
        <v>54763.0</v>
      </c>
      <c r="E36" s="20" t="s">
        <v>171</v>
      </c>
      <c r="F36" s="21"/>
      <c r="G36" s="22"/>
      <c r="H36" s="25"/>
      <c r="I36" s="30">
        <v>2500.0</v>
      </c>
      <c r="J36" s="21"/>
      <c r="K36" s="23"/>
      <c r="L36" s="22"/>
      <c r="M36" s="22"/>
      <c r="N36" s="22"/>
      <c r="O36" s="22"/>
      <c r="P36" s="26">
        <v>2500.0</v>
      </c>
      <c r="Q36" s="27">
        <f t="shared" si="3"/>
        <v>0</v>
      </c>
      <c r="R36" s="26" t="s">
        <v>25</v>
      </c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45638.0</v>
      </c>
      <c r="C37" s="18" t="s">
        <v>631</v>
      </c>
      <c r="D37" s="19">
        <v>85457.0</v>
      </c>
      <c r="E37" s="20" t="s">
        <v>632</v>
      </c>
      <c r="F37" s="21"/>
      <c r="G37" s="22"/>
      <c r="H37" s="25"/>
      <c r="I37" s="30"/>
      <c r="J37" s="30"/>
      <c r="K37" s="24"/>
      <c r="L37" s="22"/>
      <c r="M37" s="25">
        <v>300.0</v>
      </c>
      <c r="N37" s="22"/>
      <c r="O37" s="22"/>
      <c r="P37" s="26">
        <v>300.0</v>
      </c>
      <c r="Q37" s="27">
        <f t="shared" si="3"/>
        <v>0</v>
      </c>
      <c r="R37" s="26" t="s">
        <v>48</v>
      </c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45638.0</v>
      </c>
      <c r="C38" s="18" t="s">
        <v>633</v>
      </c>
      <c r="D38" s="19">
        <v>62767.0</v>
      </c>
      <c r="E38" s="20" t="s">
        <v>634</v>
      </c>
      <c r="F38" s="21"/>
      <c r="G38" s="22"/>
      <c r="H38" s="25"/>
      <c r="I38" s="30"/>
      <c r="J38" s="30"/>
      <c r="K38" s="23"/>
      <c r="L38" s="22"/>
      <c r="M38" s="25"/>
      <c r="N38" s="22"/>
      <c r="O38" s="25">
        <v>5200.0</v>
      </c>
      <c r="P38" s="26">
        <v>5200.0</v>
      </c>
      <c r="Q38" s="27">
        <f t="shared" si="3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45638.0</v>
      </c>
      <c r="C39" s="18" t="s">
        <v>635</v>
      </c>
      <c r="D39" s="19">
        <v>72839.0</v>
      </c>
      <c r="E39" s="20" t="s">
        <v>389</v>
      </c>
      <c r="F39" s="21"/>
      <c r="G39" s="22"/>
      <c r="H39" s="25">
        <v>25000.0</v>
      </c>
      <c r="I39" s="30"/>
      <c r="J39" s="30"/>
      <c r="K39" s="24"/>
      <c r="L39" s="22"/>
      <c r="M39" s="25"/>
      <c r="N39" s="22"/>
      <c r="O39" s="22"/>
      <c r="P39" s="26">
        <v>25000.0</v>
      </c>
      <c r="Q39" s="27">
        <f t="shared" si="3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45638.0</v>
      </c>
      <c r="C40" s="18" t="s">
        <v>636</v>
      </c>
      <c r="D40" s="19">
        <v>72839.0</v>
      </c>
      <c r="E40" s="20" t="s">
        <v>389</v>
      </c>
      <c r="F40" s="21"/>
      <c r="G40" s="22"/>
      <c r="H40" s="25"/>
      <c r="I40" s="30"/>
      <c r="J40" s="30"/>
      <c r="K40" s="23"/>
      <c r="L40" s="22"/>
      <c r="M40" s="25">
        <v>300.0</v>
      </c>
      <c r="N40" s="22"/>
      <c r="O40" s="25"/>
      <c r="P40" s="26">
        <v>300.0</v>
      </c>
      <c r="Q40" s="27">
        <f t="shared" si="3"/>
        <v>0</v>
      </c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83">
        <v>37.0</v>
      </c>
      <c r="B41" s="29">
        <v>45638.0</v>
      </c>
      <c r="C41" s="18" t="s">
        <v>637</v>
      </c>
      <c r="D41" s="19">
        <v>54179.0</v>
      </c>
      <c r="E41" s="20" t="s">
        <v>638</v>
      </c>
      <c r="F41" s="30"/>
      <c r="G41" s="22"/>
      <c r="H41" s="25"/>
      <c r="I41" s="21"/>
      <c r="J41" s="21"/>
      <c r="K41" s="24"/>
      <c r="L41" s="22"/>
      <c r="M41" s="25"/>
      <c r="N41" s="22"/>
      <c r="O41" s="25">
        <v>6400.0</v>
      </c>
      <c r="P41" s="26">
        <v>6400.0</v>
      </c>
      <c r="Q41" s="27">
        <f t="shared" si="3"/>
        <v>0</v>
      </c>
      <c r="R41" s="26"/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83">
        <v>38.0</v>
      </c>
      <c r="B42" s="29">
        <v>45638.0</v>
      </c>
      <c r="C42" s="18" t="s">
        <v>639</v>
      </c>
      <c r="D42" s="19">
        <v>52247.0</v>
      </c>
      <c r="E42" s="20" t="s">
        <v>64</v>
      </c>
      <c r="F42" s="21"/>
      <c r="G42" s="22"/>
      <c r="H42" s="25"/>
      <c r="I42" s="30"/>
      <c r="J42" s="30"/>
      <c r="K42" s="24"/>
      <c r="L42" s="22"/>
      <c r="M42" s="22"/>
      <c r="N42" s="22"/>
      <c r="O42" s="25">
        <v>1200.0</v>
      </c>
      <c r="P42" s="26">
        <v>1200.0</v>
      </c>
      <c r="Q42" s="27">
        <f t="shared" si="3"/>
        <v>0</v>
      </c>
      <c r="R42" s="26"/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83">
        <v>39.0</v>
      </c>
      <c r="B43" s="29">
        <v>45638.0</v>
      </c>
      <c r="C43" s="18" t="s">
        <v>640</v>
      </c>
      <c r="D43" s="19">
        <v>58674.0</v>
      </c>
      <c r="E43" s="20" t="s">
        <v>641</v>
      </c>
      <c r="F43" s="21"/>
      <c r="G43" s="22"/>
      <c r="H43" s="25"/>
      <c r="I43" s="30"/>
      <c r="J43" s="30"/>
      <c r="K43" s="24"/>
      <c r="L43" s="22"/>
      <c r="M43" s="22"/>
      <c r="N43" s="22"/>
      <c r="O43" s="25">
        <v>6000.0</v>
      </c>
      <c r="P43" s="26">
        <v>6000.0</v>
      </c>
      <c r="Q43" s="27">
        <f t="shared" si="3"/>
        <v>0</v>
      </c>
      <c r="R43" s="26"/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83">
        <v>40.0</v>
      </c>
      <c r="B44" s="29">
        <v>45638.0</v>
      </c>
      <c r="C44" s="18" t="s">
        <v>642</v>
      </c>
      <c r="D44" s="19">
        <v>74304.0</v>
      </c>
      <c r="E44" s="20" t="s">
        <v>643</v>
      </c>
      <c r="F44" s="21"/>
      <c r="G44" s="22"/>
      <c r="H44" s="25"/>
      <c r="I44" s="21"/>
      <c r="J44" s="21"/>
      <c r="K44" s="24"/>
      <c r="L44" s="22"/>
      <c r="M44" s="25"/>
      <c r="N44" s="22"/>
      <c r="O44" s="25">
        <v>1200.0</v>
      </c>
      <c r="P44" s="26">
        <v>1200.0</v>
      </c>
      <c r="Q44" s="27">
        <f t="shared" si="3"/>
        <v>0</v>
      </c>
      <c r="R44" s="26"/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83">
        <v>41.0</v>
      </c>
      <c r="B45" s="29">
        <v>45638.0</v>
      </c>
      <c r="C45" s="18" t="s">
        <v>644</v>
      </c>
      <c r="D45" s="19">
        <v>67023.0</v>
      </c>
      <c r="E45" s="20" t="s">
        <v>645</v>
      </c>
      <c r="F45" s="21"/>
      <c r="G45" s="22"/>
      <c r="H45" s="25"/>
      <c r="I45" s="21"/>
      <c r="J45" s="30"/>
      <c r="K45" s="23"/>
      <c r="L45" s="22"/>
      <c r="M45" s="22"/>
      <c r="N45" s="22"/>
      <c r="O45" s="25">
        <v>1200.0</v>
      </c>
      <c r="P45" s="26">
        <v>1200.0</v>
      </c>
      <c r="Q45" s="27">
        <f t="shared" si="3"/>
        <v>0</v>
      </c>
      <c r="R45" s="26"/>
      <c r="S45" s="2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83">
        <v>42.0</v>
      </c>
      <c r="B46" s="29">
        <v>45638.0</v>
      </c>
      <c r="C46" s="18" t="s">
        <v>646</v>
      </c>
      <c r="D46" s="19">
        <v>21828.0</v>
      </c>
      <c r="E46" s="20" t="s">
        <v>104</v>
      </c>
      <c r="F46" s="21"/>
      <c r="G46" s="22"/>
      <c r="H46" s="25"/>
      <c r="I46" s="21"/>
      <c r="J46" s="30"/>
      <c r="K46" s="23"/>
      <c r="L46" s="22"/>
      <c r="M46" s="25">
        <v>900.0</v>
      </c>
      <c r="N46" s="22"/>
      <c r="O46" s="25"/>
      <c r="P46" s="26">
        <v>900.0</v>
      </c>
      <c r="Q46" s="27"/>
      <c r="R46" s="26"/>
      <c r="S46" s="28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7.5" customHeight="1">
      <c r="A47" s="16"/>
      <c r="B47" s="64"/>
      <c r="C47" s="65"/>
      <c r="D47" s="66" t="s">
        <v>135</v>
      </c>
      <c r="E47" s="67"/>
      <c r="F47" s="68">
        <f t="shared" ref="F47:P47" si="4">SUM(F5:F46)</f>
        <v>0</v>
      </c>
      <c r="G47" s="68">
        <f t="shared" si="4"/>
        <v>0</v>
      </c>
      <c r="H47" s="68">
        <f t="shared" si="4"/>
        <v>25000</v>
      </c>
      <c r="I47" s="68">
        <f t="shared" si="4"/>
        <v>103210</v>
      </c>
      <c r="J47" s="68">
        <f t="shared" si="4"/>
        <v>39400</v>
      </c>
      <c r="K47" s="68">
        <f t="shared" si="4"/>
        <v>630</v>
      </c>
      <c r="L47" s="68">
        <f t="shared" si="4"/>
        <v>0</v>
      </c>
      <c r="M47" s="68">
        <f t="shared" si="4"/>
        <v>2100</v>
      </c>
      <c r="N47" s="68">
        <f t="shared" si="4"/>
        <v>0</v>
      </c>
      <c r="O47" s="68">
        <f t="shared" si="4"/>
        <v>21200</v>
      </c>
      <c r="P47" s="68">
        <f t="shared" si="4"/>
        <v>191540</v>
      </c>
      <c r="Q47" s="85"/>
      <c r="R47" s="69"/>
      <c r="S47" s="28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</row>
    <row r="48" ht="58.5" customHeight="1">
      <c r="A48" s="70"/>
      <c r="B48" s="70"/>
      <c r="C48" s="71"/>
      <c r="D48" s="70"/>
      <c r="E48" s="70"/>
      <c r="F48" s="72">
        <f>F47+G47+H47+I47+J47+K47+L47+M47+N47+O47</f>
        <v>191540</v>
      </c>
      <c r="P48" s="73"/>
      <c r="Q48" s="73"/>
      <c r="R48" s="70"/>
      <c r="S48" s="70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5" t="s">
        <v>135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82" t="s">
        <v>229</v>
      </c>
      <c r="D52" s="4"/>
      <c r="E52" s="76" t="s">
        <v>136</v>
      </c>
      <c r="F52" s="77" t="s">
        <v>137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78" t="s">
        <v>138</v>
      </c>
      <c r="F53" s="77" t="s">
        <v>139</v>
      </c>
      <c r="G53" s="4"/>
      <c r="H53" s="4"/>
      <c r="I53" s="4"/>
      <c r="J53" s="4"/>
      <c r="K53" s="4"/>
      <c r="L53" s="4"/>
      <c r="M53" s="4"/>
      <c r="N53" s="4"/>
      <c r="O53" s="79" t="s">
        <v>135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78" t="s">
        <v>140</v>
      </c>
      <c r="F54" s="77" t="s">
        <v>139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78" t="s">
        <v>141</v>
      </c>
      <c r="F55" s="77" t="s">
        <v>139</v>
      </c>
      <c r="G55" s="4"/>
      <c r="H55" s="4"/>
      <c r="I55" s="4"/>
      <c r="J55" s="4"/>
      <c r="K55" s="4" t="s">
        <v>135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74"/>
      <c r="D56" s="4"/>
      <c r="E56" s="78" t="s">
        <v>142</v>
      </c>
      <c r="F56" s="77" t="s">
        <v>139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74"/>
      <c r="D57" s="4"/>
      <c r="E57" s="78" t="s">
        <v>647</v>
      </c>
      <c r="F57" s="77" t="s">
        <v>139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74"/>
      <c r="D58" s="4"/>
      <c r="E58" s="78" t="s">
        <v>145</v>
      </c>
      <c r="F58" s="77" t="s">
        <v>351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74"/>
      <c r="D59" s="4"/>
      <c r="E59" s="78" t="s">
        <v>147</v>
      </c>
      <c r="F59" s="80" t="s">
        <v>137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79" t="s">
        <v>135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 t="str">
        <f>I72447</f>
        <v/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79" t="s">
        <v>148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>
        <v>7.0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7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7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7">
    <mergeCell ref="R2:R4"/>
    <mergeCell ref="S2:S4"/>
    <mergeCell ref="F3:F4"/>
    <mergeCell ref="G3:H3"/>
    <mergeCell ref="I3:J3"/>
    <mergeCell ref="K3:K4"/>
    <mergeCell ref="F48:O4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648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45638.0</v>
      </c>
      <c r="C5" s="18" t="s">
        <v>649</v>
      </c>
      <c r="D5" s="19">
        <v>21818.0</v>
      </c>
      <c r="E5" s="20" t="s">
        <v>190</v>
      </c>
      <c r="F5" s="21"/>
      <c r="G5" s="22"/>
      <c r="H5" s="30"/>
      <c r="I5" s="23"/>
      <c r="J5" s="23"/>
      <c r="K5" s="25">
        <v>450.0</v>
      </c>
      <c r="L5" s="25"/>
      <c r="M5" s="30"/>
      <c r="N5" s="22"/>
      <c r="O5" s="22"/>
      <c r="P5" s="26">
        <v>450.0</v>
      </c>
      <c r="Q5" s="118">
        <f t="shared" ref="Q5:Q39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45639.0</v>
      </c>
      <c r="C6" s="18" t="s">
        <v>650</v>
      </c>
      <c r="D6" s="19">
        <v>59244.0</v>
      </c>
      <c r="E6" s="20" t="s">
        <v>50</v>
      </c>
      <c r="F6" s="21"/>
      <c r="G6" s="22"/>
      <c r="H6" s="30"/>
      <c r="I6" s="23">
        <v>4500.0</v>
      </c>
      <c r="J6" s="23"/>
      <c r="K6" s="22"/>
      <c r="L6" s="25"/>
      <c r="M6" s="30"/>
      <c r="N6" s="22"/>
      <c r="O6" s="22"/>
      <c r="P6" s="26">
        <v>4500.0</v>
      </c>
      <c r="Q6" s="118">
        <f t="shared" si="1"/>
        <v>0</v>
      </c>
      <c r="R6" s="26" t="s">
        <v>30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45639.0</v>
      </c>
      <c r="C7" s="18" t="s">
        <v>651</v>
      </c>
      <c r="D7" s="19">
        <v>35102.0</v>
      </c>
      <c r="E7" s="20" t="s">
        <v>652</v>
      </c>
      <c r="F7" s="21"/>
      <c r="G7" s="22"/>
      <c r="H7" s="30"/>
      <c r="I7" s="23"/>
      <c r="J7" s="23">
        <v>5100.0</v>
      </c>
      <c r="K7" s="22"/>
      <c r="L7" s="25"/>
      <c r="M7" s="30"/>
      <c r="N7" s="22"/>
      <c r="O7" s="22"/>
      <c r="P7" s="26">
        <v>5100.0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45639.0</v>
      </c>
      <c r="C8" s="18" t="s">
        <v>653</v>
      </c>
      <c r="D8" s="19">
        <v>54581.0</v>
      </c>
      <c r="E8" s="20" t="s">
        <v>654</v>
      </c>
      <c r="F8" s="30"/>
      <c r="G8" s="22"/>
      <c r="H8" s="30"/>
      <c r="I8" s="23">
        <v>4500.0</v>
      </c>
      <c r="J8" s="23"/>
      <c r="K8" s="22"/>
      <c r="L8" s="25"/>
      <c r="M8" s="30"/>
      <c r="N8" s="22"/>
      <c r="O8" s="22"/>
      <c r="P8" s="26">
        <v>4500.0</v>
      </c>
      <c r="Q8" s="118">
        <f t="shared" si="1"/>
        <v>0</v>
      </c>
      <c r="R8" s="26" t="s">
        <v>33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45639.0</v>
      </c>
      <c r="C9" s="18" t="s">
        <v>655</v>
      </c>
      <c r="D9" s="19">
        <v>54211.0</v>
      </c>
      <c r="E9" s="20" t="s">
        <v>656</v>
      </c>
      <c r="F9" s="21"/>
      <c r="G9" s="25"/>
      <c r="H9" s="25"/>
      <c r="I9" s="30">
        <v>5000.0</v>
      </c>
      <c r="J9" s="25"/>
      <c r="K9" s="25"/>
      <c r="L9" s="22"/>
      <c r="M9" s="21"/>
      <c r="N9" s="22"/>
      <c r="O9" s="22"/>
      <c r="P9" s="26">
        <v>5000.0</v>
      </c>
      <c r="Q9" s="118">
        <f t="shared" si="1"/>
        <v>0</v>
      </c>
      <c r="R9" s="26" t="s">
        <v>33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45639.0</v>
      </c>
      <c r="C10" s="18" t="s">
        <v>657</v>
      </c>
      <c r="D10" s="19">
        <v>54211.0</v>
      </c>
      <c r="E10" s="20" t="s">
        <v>656</v>
      </c>
      <c r="F10" s="22"/>
      <c r="G10" s="25"/>
      <c r="H10" s="30"/>
      <c r="I10" s="30">
        <v>5000.0</v>
      </c>
      <c r="J10" s="23"/>
      <c r="K10" s="25"/>
      <c r="L10" s="22"/>
      <c r="M10" s="25"/>
      <c r="N10" s="22"/>
      <c r="O10" s="22"/>
      <c r="P10" s="26">
        <v>5000.0</v>
      </c>
      <c r="Q10" s="118">
        <f t="shared" si="1"/>
        <v>0</v>
      </c>
      <c r="R10" s="26" t="s">
        <v>33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45639.0</v>
      </c>
      <c r="C11" s="18" t="s">
        <v>658</v>
      </c>
      <c r="D11" s="19">
        <v>28414.0</v>
      </c>
      <c r="E11" s="20" t="s">
        <v>164</v>
      </c>
      <c r="F11" s="22"/>
      <c r="G11" s="22"/>
      <c r="H11" s="25"/>
      <c r="I11" s="30">
        <v>2600.0</v>
      </c>
      <c r="J11" s="30"/>
      <c r="K11" s="22"/>
      <c r="L11" s="22"/>
      <c r="M11" s="25"/>
      <c r="N11" s="22"/>
      <c r="O11" s="22"/>
      <c r="P11" s="26">
        <v>2600.0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29">
        <v>45639.0</v>
      </c>
      <c r="C12" s="18" t="s">
        <v>659</v>
      </c>
      <c r="D12" s="19">
        <v>79011.0</v>
      </c>
      <c r="E12" s="20" t="s">
        <v>660</v>
      </c>
      <c r="F12" s="22"/>
      <c r="G12" s="22"/>
      <c r="H12" s="25"/>
      <c r="I12" s="30">
        <v>13500.0</v>
      </c>
      <c r="J12" s="30"/>
      <c r="K12" s="22"/>
      <c r="L12" s="22"/>
      <c r="M12" s="30"/>
      <c r="N12" s="22"/>
      <c r="O12" s="22"/>
      <c r="P12" s="26">
        <v>13500.0</v>
      </c>
      <c r="Q12" s="118">
        <f t="shared" si="1"/>
        <v>0</v>
      </c>
      <c r="R12" s="26" t="s">
        <v>33</v>
      </c>
      <c r="S12" s="28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106">
        <v>45639.0</v>
      </c>
      <c r="C13" s="107" t="s">
        <v>661</v>
      </c>
      <c r="D13" s="108">
        <v>85463.0</v>
      </c>
      <c r="E13" s="109" t="s">
        <v>662</v>
      </c>
      <c r="F13" s="110"/>
      <c r="G13" s="110"/>
      <c r="H13" s="115"/>
      <c r="I13" s="111"/>
      <c r="J13" s="112"/>
      <c r="K13" s="110"/>
      <c r="L13" s="110"/>
      <c r="M13" s="111">
        <v>300.0</v>
      </c>
      <c r="N13" s="110"/>
      <c r="O13" s="110"/>
      <c r="P13" s="113">
        <v>300.0</v>
      </c>
      <c r="Q13" s="118">
        <f t="shared" si="1"/>
        <v>0</v>
      </c>
      <c r="R13" s="113" t="s">
        <v>30</v>
      </c>
      <c r="S13" s="31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45639.0</v>
      </c>
      <c r="C14" s="18" t="s">
        <v>663</v>
      </c>
      <c r="D14" s="19">
        <v>81108.0</v>
      </c>
      <c r="E14" s="20" t="s">
        <v>246</v>
      </c>
      <c r="F14" s="22"/>
      <c r="G14" s="22"/>
      <c r="H14" s="25"/>
      <c r="I14" s="30">
        <v>14300.0</v>
      </c>
      <c r="J14" s="30"/>
      <c r="K14" s="25"/>
      <c r="L14" s="22"/>
      <c r="M14" s="30"/>
      <c r="N14" s="22"/>
      <c r="O14" s="22"/>
      <c r="P14" s="26">
        <v>14300.0</v>
      </c>
      <c r="Q14" s="118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29">
        <v>45639.0</v>
      </c>
      <c r="C15" s="18" t="s">
        <v>664</v>
      </c>
      <c r="D15" s="19">
        <v>55173.0</v>
      </c>
      <c r="E15" s="20" t="s">
        <v>665</v>
      </c>
      <c r="F15" s="22"/>
      <c r="G15" s="22"/>
      <c r="H15" s="25"/>
      <c r="I15" s="30">
        <v>2600.0</v>
      </c>
      <c r="J15" s="30"/>
      <c r="K15" s="22"/>
      <c r="L15" s="22"/>
      <c r="M15" s="21"/>
      <c r="N15" s="22"/>
      <c r="O15" s="22"/>
      <c r="P15" s="26">
        <v>2600.0</v>
      </c>
      <c r="Q15" s="118">
        <f t="shared" si="1"/>
        <v>0</v>
      </c>
      <c r="R15" s="26" t="s">
        <v>33</v>
      </c>
      <c r="S15" s="28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83">
        <v>12.0</v>
      </c>
      <c r="B16" s="32">
        <v>45639.0</v>
      </c>
      <c r="C16" s="33" t="s">
        <v>666</v>
      </c>
      <c r="D16" s="34">
        <v>74087.0</v>
      </c>
      <c r="E16" s="35" t="s">
        <v>410</v>
      </c>
      <c r="F16" s="22"/>
      <c r="G16" s="22"/>
      <c r="H16" s="25"/>
      <c r="I16" s="30"/>
      <c r="J16" s="30">
        <v>5100.0</v>
      </c>
      <c r="K16" s="25"/>
      <c r="L16" s="22"/>
      <c r="M16" s="30"/>
      <c r="N16" s="22"/>
      <c r="O16" s="22"/>
      <c r="P16" s="36">
        <v>5100.0</v>
      </c>
      <c r="Q16" s="118">
        <f t="shared" si="1"/>
        <v>0</v>
      </c>
      <c r="R16" s="36" t="s">
        <v>33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32">
        <v>45639.0</v>
      </c>
      <c r="C17" s="33" t="s">
        <v>667</v>
      </c>
      <c r="D17" s="34">
        <v>22332.0</v>
      </c>
      <c r="E17" s="35" t="s">
        <v>60</v>
      </c>
      <c r="F17" s="25"/>
      <c r="G17" s="22"/>
      <c r="H17" s="25"/>
      <c r="I17" s="30">
        <v>50000.0</v>
      </c>
      <c r="J17" s="30"/>
      <c r="K17" s="25"/>
      <c r="L17" s="22"/>
      <c r="M17" s="21"/>
      <c r="N17" s="22"/>
      <c r="O17" s="22"/>
      <c r="P17" s="36">
        <v>50000.0</v>
      </c>
      <c r="Q17" s="118">
        <f t="shared" si="1"/>
        <v>0</v>
      </c>
      <c r="R17" s="36" t="s">
        <v>30</v>
      </c>
      <c r="S17" s="81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ht="34.5" customHeight="1">
      <c r="A18" s="83">
        <v>14.0</v>
      </c>
      <c r="B18" s="29">
        <v>45639.0</v>
      </c>
      <c r="C18" s="18" t="s">
        <v>668</v>
      </c>
      <c r="D18" s="19">
        <v>85464.0</v>
      </c>
      <c r="E18" s="20" t="s">
        <v>669</v>
      </c>
      <c r="F18" s="30"/>
      <c r="G18" s="22"/>
      <c r="H18" s="25"/>
      <c r="I18" s="21"/>
      <c r="J18" s="30">
        <v>300.0</v>
      </c>
      <c r="K18" s="24"/>
      <c r="L18" s="22"/>
      <c r="M18" s="22"/>
      <c r="N18" s="22"/>
      <c r="O18" s="22"/>
      <c r="P18" s="26">
        <v>300.0</v>
      </c>
      <c r="Q18" s="118">
        <f t="shared" si="1"/>
        <v>0</v>
      </c>
      <c r="R18" s="26" t="s">
        <v>33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45639.0</v>
      </c>
      <c r="C19" s="18" t="s">
        <v>670</v>
      </c>
      <c r="D19" s="19">
        <v>85465.0</v>
      </c>
      <c r="E19" s="20" t="s">
        <v>671</v>
      </c>
      <c r="F19" s="30"/>
      <c r="G19" s="22"/>
      <c r="H19" s="25"/>
      <c r="I19" s="30"/>
      <c r="J19" s="30">
        <v>300.0</v>
      </c>
      <c r="K19" s="24"/>
      <c r="L19" s="22"/>
      <c r="M19" s="22"/>
      <c r="N19" s="22"/>
      <c r="O19" s="22"/>
      <c r="P19" s="26">
        <v>300.0</v>
      </c>
      <c r="Q19" s="118">
        <f t="shared" si="1"/>
        <v>0</v>
      </c>
      <c r="R19" s="26" t="s">
        <v>33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45639.0</v>
      </c>
      <c r="C20" s="18" t="s">
        <v>672</v>
      </c>
      <c r="D20" s="19">
        <v>58538.0</v>
      </c>
      <c r="E20" s="20" t="s">
        <v>673</v>
      </c>
      <c r="F20" s="30"/>
      <c r="G20" s="22"/>
      <c r="H20" s="25"/>
      <c r="I20" s="30">
        <v>10000.0</v>
      </c>
      <c r="J20" s="21"/>
      <c r="K20" s="24"/>
      <c r="L20" s="22"/>
      <c r="M20" s="22"/>
      <c r="N20" s="22"/>
      <c r="O20" s="22"/>
      <c r="P20" s="26">
        <v>10000.0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45639.0</v>
      </c>
      <c r="C21" s="18" t="s">
        <v>674</v>
      </c>
      <c r="D21" s="19">
        <v>53249.0</v>
      </c>
      <c r="E21" s="20" t="s">
        <v>54</v>
      </c>
      <c r="F21" s="30"/>
      <c r="G21" s="25"/>
      <c r="H21" s="25"/>
      <c r="I21" s="30">
        <v>15000.0</v>
      </c>
      <c r="J21" s="21"/>
      <c r="K21" s="24"/>
      <c r="L21" s="22"/>
      <c r="M21" s="22"/>
      <c r="N21" s="22"/>
      <c r="O21" s="22"/>
      <c r="P21" s="26">
        <v>15000.0</v>
      </c>
      <c r="Q21" s="118">
        <f t="shared" si="1"/>
        <v>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45639.0</v>
      </c>
      <c r="C22" s="18" t="s">
        <v>675</v>
      </c>
      <c r="D22" s="19">
        <v>22332.0</v>
      </c>
      <c r="E22" s="20" t="s">
        <v>60</v>
      </c>
      <c r="F22" s="30"/>
      <c r="G22" s="22"/>
      <c r="H22" s="25"/>
      <c r="I22" s="30"/>
      <c r="J22" s="30">
        <v>25000.0</v>
      </c>
      <c r="K22" s="24"/>
      <c r="L22" s="22"/>
      <c r="M22" s="22"/>
      <c r="N22" s="22"/>
      <c r="O22" s="22"/>
      <c r="P22" s="26">
        <v>25000.0</v>
      </c>
      <c r="Q22" s="118">
        <f t="shared" si="1"/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45639.0</v>
      </c>
      <c r="C23" s="18" t="s">
        <v>676</v>
      </c>
      <c r="D23" s="19">
        <v>19688.0</v>
      </c>
      <c r="E23" s="20" t="s">
        <v>260</v>
      </c>
      <c r="F23" s="30"/>
      <c r="G23" s="22"/>
      <c r="H23" s="25"/>
      <c r="I23" s="30"/>
      <c r="J23" s="30">
        <v>5000.0</v>
      </c>
      <c r="K23" s="24"/>
      <c r="L23" s="22"/>
      <c r="M23" s="25"/>
      <c r="N23" s="22"/>
      <c r="O23" s="22"/>
      <c r="P23" s="26">
        <v>5000.0</v>
      </c>
      <c r="Q23" s="118">
        <f t="shared" si="1"/>
        <v>0</v>
      </c>
      <c r="R23" s="26" t="s">
        <v>33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45639.0</v>
      </c>
      <c r="C24" s="18" t="s">
        <v>677</v>
      </c>
      <c r="D24" s="19">
        <v>50436.0</v>
      </c>
      <c r="E24" s="20" t="s">
        <v>78</v>
      </c>
      <c r="F24" s="30"/>
      <c r="G24" s="22"/>
      <c r="H24" s="25"/>
      <c r="I24" s="30">
        <v>10000.0</v>
      </c>
      <c r="J24" s="21"/>
      <c r="K24" s="23"/>
      <c r="L24" s="22"/>
      <c r="M24" s="22"/>
      <c r="N24" s="22"/>
      <c r="O24" s="22"/>
      <c r="P24" s="26">
        <v>10000.0</v>
      </c>
      <c r="Q24" s="118">
        <f t="shared" si="1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45639.0</v>
      </c>
      <c r="C25" s="18" t="s">
        <v>678</v>
      </c>
      <c r="D25" s="19">
        <v>74778.0</v>
      </c>
      <c r="E25" s="20" t="s">
        <v>679</v>
      </c>
      <c r="F25" s="30"/>
      <c r="G25" s="22"/>
      <c r="H25" s="25"/>
      <c r="I25" s="30">
        <v>4650.0</v>
      </c>
      <c r="J25" s="21"/>
      <c r="K25" s="24"/>
      <c r="L25" s="22"/>
      <c r="M25" s="25"/>
      <c r="N25" s="22"/>
      <c r="O25" s="22"/>
      <c r="P25" s="26">
        <v>4650.0</v>
      </c>
      <c r="Q25" s="118">
        <f t="shared" si="1"/>
        <v>0</v>
      </c>
      <c r="R25" s="26" t="s">
        <v>30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45639.0</v>
      </c>
      <c r="C26" s="18" t="s">
        <v>680</v>
      </c>
      <c r="D26" s="19">
        <v>58257.0</v>
      </c>
      <c r="E26" s="20" t="s">
        <v>387</v>
      </c>
      <c r="F26" s="21"/>
      <c r="G26" s="22"/>
      <c r="H26" s="25"/>
      <c r="I26" s="30"/>
      <c r="J26" s="21"/>
      <c r="K26" s="23">
        <v>20000.0</v>
      </c>
      <c r="L26" s="22"/>
      <c r="M26" s="25"/>
      <c r="N26" s="22"/>
      <c r="O26" s="22"/>
      <c r="P26" s="26">
        <v>20000.0</v>
      </c>
      <c r="Q26" s="118">
        <f t="shared" si="1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45639.0</v>
      </c>
      <c r="C27" s="18" t="s">
        <v>681</v>
      </c>
      <c r="D27" s="19">
        <v>53249.0</v>
      </c>
      <c r="E27" s="20" t="s">
        <v>54</v>
      </c>
      <c r="F27" s="30"/>
      <c r="G27" s="22"/>
      <c r="H27" s="25"/>
      <c r="I27" s="30"/>
      <c r="J27" s="30">
        <v>1000.0</v>
      </c>
      <c r="K27" s="24"/>
      <c r="L27" s="22"/>
      <c r="M27" s="22"/>
      <c r="N27" s="22"/>
      <c r="O27" s="22"/>
      <c r="P27" s="26">
        <v>1000.0</v>
      </c>
      <c r="Q27" s="118">
        <f t="shared" si="1"/>
        <v>0</v>
      </c>
      <c r="R27" s="26" t="s">
        <v>30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45639.0</v>
      </c>
      <c r="C28" s="18" t="s">
        <v>682</v>
      </c>
      <c r="D28" s="19">
        <v>43955.0</v>
      </c>
      <c r="E28" s="20" t="s">
        <v>683</v>
      </c>
      <c r="F28" s="21"/>
      <c r="G28" s="22"/>
      <c r="H28" s="25"/>
      <c r="I28" s="30">
        <v>3000.0</v>
      </c>
      <c r="J28" s="30"/>
      <c r="K28" s="24"/>
      <c r="L28" s="22"/>
      <c r="M28" s="22"/>
      <c r="N28" s="22"/>
      <c r="O28" s="22"/>
      <c r="P28" s="26">
        <v>3000.0</v>
      </c>
      <c r="Q28" s="118">
        <f t="shared" si="1"/>
        <v>0</v>
      </c>
      <c r="R28" s="26" t="s">
        <v>30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45639.0</v>
      </c>
      <c r="C29" s="18" t="s">
        <v>684</v>
      </c>
      <c r="D29" s="19">
        <v>44035.0</v>
      </c>
      <c r="E29" s="20" t="s">
        <v>96</v>
      </c>
      <c r="F29" s="21"/>
      <c r="G29" s="22"/>
      <c r="H29" s="25"/>
      <c r="I29" s="30"/>
      <c r="J29" s="30"/>
      <c r="K29" s="23">
        <v>20140.0</v>
      </c>
      <c r="L29" s="22"/>
      <c r="M29" s="22"/>
      <c r="N29" s="22"/>
      <c r="O29" s="22"/>
      <c r="P29" s="26">
        <v>20140.0</v>
      </c>
      <c r="Q29" s="118">
        <f t="shared" si="1"/>
        <v>0</v>
      </c>
      <c r="R29" s="26" t="s">
        <v>685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45639.0</v>
      </c>
      <c r="C30" s="18" t="s">
        <v>686</v>
      </c>
      <c r="D30" s="19">
        <v>30895.0</v>
      </c>
      <c r="E30" s="20" t="s">
        <v>179</v>
      </c>
      <c r="F30" s="21"/>
      <c r="G30" s="22"/>
      <c r="H30" s="25"/>
      <c r="I30" s="30"/>
      <c r="J30" s="30"/>
      <c r="K30" s="23">
        <v>10000.0</v>
      </c>
      <c r="L30" s="22"/>
      <c r="M30" s="22"/>
      <c r="N30" s="22"/>
      <c r="O30" s="22"/>
      <c r="P30" s="26">
        <v>10000.0</v>
      </c>
      <c r="Q30" s="118">
        <f t="shared" si="1"/>
        <v>0</v>
      </c>
      <c r="R30" s="26" t="s">
        <v>30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45638.0</v>
      </c>
      <c r="C31" s="18" t="s">
        <v>687</v>
      </c>
      <c r="D31" s="19">
        <v>83056.0</v>
      </c>
      <c r="E31" s="20" t="s">
        <v>456</v>
      </c>
      <c r="F31" s="21"/>
      <c r="G31" s="22"/>
      <c r="H31" s="25"/>
      <c r="I31" s="30"/>
      <c r="J31" s="21"/>
      <c r="K31" s="23">
        <v>160.0</v>
      </c>
      <c r="L31" s="22"/>
      <c r="M31" s="25"/>
      <c r="N31" s="22"/>
      <c r="O31" s="25">
        <v>3840.0</v>
      </c>
      <c r="P31" s="26">
        <v>4000.0</v>
      </c>
      <c r="Q31" s="118">
        <f t="shared" si="1"/>
        <v>0</v>
      </c>
      <c r="R31" s="26"/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45638.0</v>
      </c>
      <c r="C32" s="18" t="s">
        <v>688</v>
      </c>
      <c r="D32" s="19">
        <v>80636.0</v>
      </c>
      <c r="E32" s="20" t="s">
        <v>689</v>
      </c>
      <c r="F32" s="21"/>
      <c r="G32" s="22"/>
      <c r="H32" s="25">
        <v>18000.0</v>
      </c>
      <c r="I32" s="30"/>
      <c r="J32" s="30"/>
      <c r="K32" s="23"/>
      <c r="L32" s="22"/>
      <c r="M32" s="22"/>
      <c r="N32" s="22"/>
      <c r="O32" s="22"/>
      <c r="P32" s="26">
        <v>18000.0</v>
      </c>
      <c r="Q32" s="118">
        <f t="shared" si="1"/>
        <v>0</v>
      </c>
      <c r="R32" s="26"/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45638.0</v>
      </c>
      <c r="C33" s="18" t="s">
        <v>690</v>
      </c>
      <c r="D33" s="19">
        <v>52669.0</v>
      </c>
      <c r="E33" s="20" t="s">
        <v>211</v>
      </c>
      <c r="F33" s="21"/>
      <c r="G33" s="22"/>
      <c r="H33" s="25">
        <v>10300.0</v>
      </c>
      <c r="I33" s="30"/>
      <c r="J33" s="30"/>
      <c r="K33" s="24"/>
      <c r="L33" s="22"/>
      <c r="M33" s="25"/>
      <c r="N33" s="22"/>
      <c r="O33" s="22"/>
      <c r="P33" s="26">
        <v>10300.0</v>
      </c>
      <c r="Q33" s="118">
        <f t="shared" si="1"/>
        <v>0</v>
      </c>
      <c r="R33" s="26"/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45639.0</v>
      </c>
      <c r="C34" s="18" t="s">
        <v>691</v>
      </c>
      <c r="D34" s="19">
        <v>21828.0</v>
      </c>
      <c r="E34" s="20" t="s">
        <v>104</v>
      </c>
      <c r="F34" s="21"/>
      <c r="G34" s="22"/>
      <c r="H34" s="25"/>
      <c r="I34" s="21"/>
      <c r="J34" s="21"/>
      <c r="K34" s="24"/>
      <c r="L34" s="22"/>
      <c r="M34" s="25">
        <v>450.0</v>
      </c>
      <c r="N34" s="22"/>
      <c r="O34" s="22"/>
      <c r="P34" s="26">
        <v>450.0</v>
      </c>
      <c r="Q34" s="118">
        <f t="shared" si="1"/>
        <v>0</v>
      </c>
      <c r="R34" s="26"/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45639.0</v>
      </c>
      <c r="C35" s="18" t="s">
        <v>692</v>
      </c>
      <c r="D35" s="19">
        <v>21828.0</v>
      </c>
      <c r="E35" s="20" t="s">
        <v>104</v>
      </c>
      <c r="F35" s="21"/>
      <c r="G35" s="22"/>
      <c r="H35" s="25"/>
      <c r="I35" s="30"/>
      <c r="J35" s="30"/>
      <c r="K35" s="24"/>
      <c r="L35" s="22"/>
      <c r="M35" s="25">
        <v>2500.0</v>
      </c>
      <c r="N35" s="22"/>
      <c r="O35" s="22"/>
      <c r="P35" s="26">
        <v>2500.0</v>
      </c>
      <c r="Q35" s="118">
        <f t="shared" si="1"/>
        <v>0</v>
      </c>
      <c r="R35" s="26"/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45639.0</v>
      </c>
      <c r="C36" s="18" t="s">
        <v>693</v>
      </c>
      <c r="D36" s="19">
        <v>51017.0</v>
      </c>
      <c r="E36" s="20" t="s">
        <v>335</v>
      </c>
      <c r="F36" s="30"/>
      <c r="G36" s="22"/>
      <c r="H36" s="25">
        <v>10000.0</v>
      </c>
      <c r="I36" s="30"/>
      <c r="J36" s="21"/>
      <c r="K36" s="24"/>
      <c r="L36" s="22"/>
      <c r="M36" s="25"/>
      <c r="N36" s="22"/>
      <c r="O36" s="22"/>
      <c r="P36" s="26">
        <v>10000.0</v>
      </c>
      <c r="Q36" s="118">
        <f t="shared" si="1"/>
        <v>0</v>
      </c>
      <c r="R36" s="26"/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45639.0</v>
      </c>
      <c r="C37" s="18" t="s">
        <v>694</v>
      </c>
      <c r="D37" s="19">
        <v>10008.0</v>
      </c>
      <c r="E37" s="20" t="s">
        <v>151</v>
      </c>
      <c r="F37" s="21"/>
      <c r="G37" s="22"/>
      <c r="H37" s="25">
        <v>20000.0</v>
      </c>
      <c r="I37" s="30"/>
      <c r="J37" s="30"/>
      <c r="K37" s="23"/>
      <c r="L37" s="22"/>
      <c r="M37" s="25"/>
      <c r="N37" s="22"/>
      <c r="O37" s="22"/>
      <c r="P37" s="26">
        <v>20000.0</v>
      </c>
      <c r="Q37" s="118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45639.0</v>
      </c>
      <c r="C38" s="18" t="s">
        <v>695</v>
      </c>
      <c r="D38" s="19">
        <v>37642.0</v>
      </c>
      <c r="E38" s="20" t="s">
        <v>339</v>
      </c>
      <c r="F38" s="21"/>
      <c r="G38" s="22"/>
      <c r="H38" s="25">
        <v>26250.0</v>
      </c>
      <c r="I38" s="30"/>
      <c r="J38" s="21"/>
      <c r="K38" s="23"/>
      <c r="L38" s="22"/>
      <c r="M38" s="22"/>
      <c r="N38" s="22"/>
      <c r="O38" s="22"/>
      <c r="P38" s="26">
        <v>26250.0</v>
      </c>
      <c r="Q38" s="118">
        <f t="shared" si="1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45639.0</v>
      </c>
      <c r="C39" s="18" t="s">
        <v>696</v>
      </c>
      <c r="D39" s="19">
        <v>10008.0</v>
      </c>
      <c r="E39" s="20" t="s">
        <v>151</v>
      </c>
      <c r="F39" s="21"/>
      <c r="G39" s="22"/>
      <c r="H39" s="25">
        <v>7500.0</v>
      </c>
      <c r="I39" s="30"/>
      <c r="J39" s="30"/>
      <c r="K39" s="24"/>
      <c r="L39" s="22"/>
      <c r="M39" s="25"/>
      <c r="N39" s="22"/>
      <c r="O39" s="22"/>
      <c r="P39" s="26">
        <v>7500.0</v>
      </c>
      <c r="Q39" s="118">
        <f t="shared" si="1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/>
      <c r="B40" s="29"/>
      <c r="C40" s="18"/>
      <c r="D40" s="19"/>
      <c r="E40" s="20"/>
      <c r="F40" s="21"/>
      <c r="G40" s="22"/>
      <c r="H40" s="25"/>
      <c r="I40" s="30"/>
      <c r="J40" s="30"/>
      <c r="K40" s="23"/>
      <c r="L40" s="22"/>
      <c r="M40" s="25"/>
      <c r="N40" s="22"/>
      <c r="O40" s="25"/>
      <c r="P40" s="26"/>
      <c r="Q40" s="27"/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7.5" customHeight="1">
      <c r="A41" s="16"/>
      <c r="B41" s="64"/>
      <c r="C41" s="65"/>
      <c r="D41" s="66" t="s">
        <v>135</v>
      </c>
      <c r="E41" s="67"/>
      <c r="F41" s="68">
        <f t="shared" ref="F41:Q41" si="2">SUM(F7:F40)</f>
        <v>0</v>
      </c>
      <c r="G41" s="68">
        <f t="shared" si="2"/>
        <v>0</v>
      </c>
      <c r="H41" s="68">
        <f t="shared" si="2"/>
        <v>92050</v>
      </c>
      <c r="I41" s="68">
        <f t="shared" si="2"/>
        <v>140150</v>
      </c>
      <c r="J41" s="68">
        <f t="shared" si="2"/>
        <v>41800</v>
      </c>
      <c r="K41" s="68">
        <f t="shared" si="2"/>
        <v>50300</v>
      </c>
      <c r="L41" s="68">
        <f t="shared" si="2"/>
        <v>0</v>
      </c>
      <c r="M41" s="68">
        <f t="shared" si="2"/>
        <v>3250</v>
      </c>
      <c r="N41" s="68">
        <f t="shared" si="2"/>
        <v>0</v>
      </c>
      <c r="O41" s="68">
        <f t="shared" si="2"/>
        <v>3840</v>
      </c>
      <c r="P41" s="68">
        <f t="shared" si="2"/>
        <v>331390</v>
      </c>
      <c r="Q41" s="68">
        <f t="shared" si="2"/>
        <v>0</v>
      </c>
      <c r="R41" s="69"/>
      <c r="S41" s="28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ht="58.5" customHeight="1">
      <c r="A42" s="70"/>
      <c r="B42" s="70"/>
      <c r="C42" s="71"/>
      <c r="D42" s="70"/>
      <c r="E42" s="70"/>
      <c r="F42" s="72">
        <f>F41+G41+H41+I41+J41+K41+L41+M41+N41+O41</f>
        <v>331390</v>
      </c>
      <c r="P42" s="73"/>
      <c r="Q42" s="73"/>
      <c r="R42" s="70"/>
      <c r="S42" s="70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5" t="s">
        <v>135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82" t="s">
        <v>229</v>
      </c>
      <c r="D46" s="4"/>
      <c r="E46" s="76" t="s">
        <v>136</v>
      </c>
      <c r="F46" s="77" t="s">
        <v>137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138</v>
      </c>
      <c r="F47" s="77" t="s">
        <v>230</v>
      </c>
      <c r="G47" s="4"/>
      <c r="H47" s="4"/>
      <c r="I47" s="4"/>
      <c r="J47" s="4"/>
      <c r="K47" s="4"/>
      <c r="L47" s="4"/>
      <c r="M47" s="4"/>
      <c r="N47" s="4"/>
      <c r="O47" s="79" t="s">
        <v>135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140</v>
      </c>
      <c r="F48" s="77" t="s">
        <v>697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78" t="s">
        <v>141</v>
      </c>
      <c r="F49" s="77" t="s">
        <v>139</v>
      </c>
      <c r="G49" s="4"/>
      <c r="H49" s="4"/>
      <c r="I49" s="4"/>
      <c r="J49" s="4"/>
      <c r="K49" s="4" t="s">
        <v>135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78" t="s">
        <v>142</v>
      </c>
      <c r="F50" s="77" t="s">
        <v>143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78" t="s">
        <v>698</v>
      </c>
      <c r="F51" s="77" t="s">
        <v>139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78" t="s">
        <v>145</v>
      </c>
      <c r="F52" s="77" t="s">
        <v>699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78" t="s">
        <v>147</v>
      </c>
      <c r="F53" s="80" t="s">
        <v>137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 t="s">
        <v>135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 t="str">
        <f>I72441</f>
        <v/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79" t="s">
        <v>148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>
        <v>7.0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7">
    <mergeCell ref="R2:R4"/>
    <mergeCell ref="S2:S4"/>
    <mergeCell ref="F3:F4"/>
    <mergeCell ref="G3:H3"/>
    <mergeCell ref="I3:J3"/>
    <mergeCell ref="K3:K4"/>
    <mergeCell ref="F42:O4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700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45639.0</v>
      </c>
      <c r="C5" s="18" t="s">
        <v>701</v>
      </c>
      <c r="D5" s="19">
        <v>84859.0</v>
      </c>
      <c r="E5" s="20" t="s">
        <v>702</v>
      </c>
      <c r="F5" s="21"/>
      <c r="G5" s="22"/>
      <c r="H5" s="30"/>
      <c r="I5" s="23"/>
      <c r="J5" s="23"/>
      <c r="K5" s="25"/>
      <c r="L5" s="25"/>
      <c r="M5" s="30">
        <v>3950.0</v>
      </c>
      <c r="N5" s="22"/>
      <c r="O5" s="22"/>
      <c r="P5" s="26">
        <v>3950.0</v>
      </c>
      <c r="Q5" s="118">
        <f t="shared" ref="Q5:Q42" si="1">F5+G5+H5+I5+J5+K5+L5+M5+N5+O5-P5</f>
        <v>0</v>
      </c>
      <c r="R5" s="26" t="s">
        <v>33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45639.0</v>
      </c>
      <c r="C6" s="18" t="s">
        <v>703</v>
      </c>
      <c r="D6" s="19">
        <v>30895.0</v>
      </c>
      <c r="E6" s="20" t="s">
        <v>179</v>
      </c>
      <c r="F6" s="21"/>
      <c r="G6" s="22"/>
      <c r="H6" s="30"/>
      <c r="I6" s="23"/>
      <c r="J6" s="23"/>
      <c r="K6" s="25">
        <v>4600.0</v>
      </c>
      <c r="L6" s="25"/>
      <c r="M6" s="30"/>
      <c r="N6" s="22"/>
      <c r="O6" s="22"/>
      <c r="P6" s="26">
        <v>4600.0</v>
      </c>
      <c r="Q6" s="118">
        <f t="shared" si="1"/>
        <v>0</v>
      </c>
      <c r="R6" s="26" t="s">
        <v>30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45640.0</v>
      </c>
      <c r="C7" s="18" t="s">
        <v>704</v>
      </c>
      <c r="D7" s="19">
        <v>44149.0</v>
      </c>
      <c r="E7" s="20" t="s">
        <v>705</v>
      </c>
      <c r="F7" s="21"/>
      <c r="G7" s="22"/>
      <c r="H7" s="30"/>
      <c r="I7" s="23">
        <v>7600.0</v>
      </c>
      <c r="J7" s="23"/>
      <c r="K7" s="22"/>
      <c r="L7" s="25"/>
      <c r="M7" s="30"/>
      <c r="N7" s="22"/>
      <c r="O7" s="22"/>
      <c r="P7" s="26">
        <v>7600.0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45640.0</v>
      </c>
      <c r="C8" s="18" t="s">
        <v>706</v>
      </c>
      <c r="D8" s="19">
        <v>45096.0</v>
      </c>
      <c r="E8" s="20" t="s">
        <v>157</v>
      </c>
      <c r="F8" s="30"/>
      <c r="G8" s="22"/>
      <c r="H8" s="30"/>
      <c r="I8" s="23">
        <v>5100.0</v>
      </c>
      <c r="J8" s="23"/>
      <c r="K8" s="22"/>
      <c r="L8" s="25"/>
      <c r="M8" s="30"/>
      <c r="N8" s="22"/>
      <c r="O8" s="22"/>
      <c r="P8" s="26">
        <v>5100.0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45640.0</v>
      </c>
      <c r="C9" s="18" t="s">
        <v>707</v>
      </c>
      <c r="D9" s="19">
        <v>55898.0</v>
      </c>
      <c r="E9" s="20" t="s">
        <v>708</v>
      </c>
      <c r="F9" s="21"/>
      <c r="G9" s="25"/>
      <c r="H9" s="25"/>
      <c r="I9" s="30">
        <v>10000.0</v>
      </c>
      <c r="J9" s="25"/>
      <c r="K9" s="25"/>
      <c r="L9" s="22"/>
      <c r="M9" s="21"/>
      <c r="N9" s="22"/>
      <c r="O9" s="22"/>
      <c r="P9" s="26">
        <v>10000.0</v>
      </c>
      <c r="Q9" s="118">
        <f t="shared" si="1"/>
        <v>0</v>
      </c>
      <c r="R9" s="26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45640.0</v>
      </c>
      <c r="C10" s="18" t="s">
        <v>709</v>
      </c>
      <c r="D10" s="19">
        <v>49272.0</v>
      </c>
      <c r="E10" s="20" t="s">
        <v>710</v>
      </c>
      <c r="F10" s="22"/>
      <c r="G10" s="25"/>
      <c r="H10" s="30"/>
      <c r="I10" s="30">
        <v>10000.0</v>
      </c>
      <c r="J10" s="23"/>
      <c r="K10" s="25"/>
      <c r="L10" s="22"/>
      <c r="M10" s="25"/>
      <c r="N10" s="22"/>
      <c r="O10" s="22"/>
      <c r="P10" s="26">
        <v>10000.0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45640.0</v>
      </c>
      <c r="C11" s="18" t="s">
        <v>711</v>
      </c>
      <c r="D11" s="19">
        <v>46778.0</v>
      </c>
      <c r="E11" s="20" t="s">
        <v>712</v>
      </c>
      <c r="F11" s="22"/>
      <c r="G11" s="22"/>
      <c r="H11" s="25"/>
      <c r="I11" s="30"/>
      <c r="J11" s="30">
        <v>4500.0</v>
      </c>
      <c r="K11" s="22"/>
      <c r="L11" s="22"/>
      <c r="M11" s="30"/>
      <c r="N11" s="22"/>
      <c r="O11" s="22"/>
      <c r="P11" s="26">
        <v>4500.0</v>
      </c>
      <c r="Q11" s="118">
        <f t="shared" si="1"/>
        <v>0</v>
      </c>
      <c r="R11" s="26" t="s">
        <v>33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45640.0</v>
      </c>
      <c r="C12" s="107" t="s">
        <v>713</v>
      </c>
      <c r="D12" s="108">
        <v>85473.0</v>
      </c>
      <c r="E12" s="109" t="s">
        <v>714</v>
      </c>
      <c r="F12" s="110"/>
      <c r="G12" s="110"/>
      <c r="H12" s="115"/>
      <c r="I12" s="111"/>
      <c r="J12" s="111">
        <v>300.0</v>
      </c>
      <c r="K12" s="110"/>
      <c r="L12" s="110"/>
      <c r="M12" s="111"/>
      <c r="N12" s="110"/>
      <c r="O12" s="110"/>
      <c r="P12" s="113">
        <v>300.0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45640.0</v>
      </c>
      <c r="C13" s="18" t="s">
        <v>715</v>
      </c>
      <c r="D13" s="19">
        <v>28414.0</v>
      </c>
      <c r="E13" s="20" t="s">
        <v>164</v>
      </c>
      <c r="F13" s="22"/>
      <c r="G13" s="25">
        <v>9750.0</v>
      </c>
      <c r="H13" s="25"/>
      <c r="I13" s="30"/>
      <c r="J13" s="30"/>
      <c r="K13" s="25"/>
      <c r="L13" s="22"/>
      <c r="M13" s="30"/>
      <c r="N13" s="22"/>
      <c r="O13" s="22"/>
      <c r="P13" s="26">
        <v>9750.0</v>
      </c>
      <c r="Q13" s="118">
        <f t="shared" si="1"/>
        <v>0</v>
      </c>
      <c r="R13" s="26" t="s">
        <v>25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45640.0</v>
      </c>
      <c r="C14" s="18" t="s">
        <v>716</v>
      </c>
      <c r="D14" s="19">
        <v>46778.0</v>
      </c>
      <c r="E14" s="20" t="s">
        <v>712</v>
      </c>
      <c r="F14" s="22"/>
      <c r="G14" s="22"/>
      <c r="H14" s="25"/>
      <c r="I14" s="30"/>
      <c r="J14" s="30">
        <v>3100.0</v>
      </c>
      <c r="K14" s="22"/>
      <c r="L14" s="22"/>
      <c r="M14" s="21"/>
      <c r="N14" s="22"/>
      <c r="O14" s="22"/>
      <c r="P14" s="26">
        <v>3100.0</v>
      </c>
      <c r="Q14" s="118">
        <f t="shared" si="1"/>
        <v>0</v>
      </c>
      <c r="R14" s="26" t="s">
        <v>33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45640.0</v>
      </c>
      <c r="C15" s="33" t="s">
        <v>717</v>
      </c>
      <c r="D15" s="34">
        <v>59103.0</v>
      </c>
      <c r="E15" s="35" t="s">
        <v>100</v>
      </c>
      <c r="F15" s="22"/>
      <c r="G15" s="22"/>
      <c r="H15" s="25"/>
      <c r="I15" s="30"/>
      <c r="J15" s="30"/>
      <c r="K15" s="25">
        <v>4500.0</v>
      </c>
      <c r="L15" s="22"/>
      <c r="M15" s="30"/>
      <c r="N15" s="22"/>
      <c r="O15" s="22"/>
      <c r="P15" s="36">
        <v>4500.0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45640.0</v>
      </c>
      <c r="C16" s="33" t="s">
        <v>718</v>
      </c>
      <c r="D16" s="34">
        <v>52083.0</v>
      </c>
      <c r="E16" s="35" t="s">
        <v>93</v>
      </c>
      <c r="F16" s="25"/>
      <c r="G16" s="22"/>
      <c r="H16" s="25"/>
      <c r="I16" s="30">
        <v>2900.0</v>
      </c>
      <c r="J16" s="30"/>
      <c r="K16" s="25"/>
      <c r="L16" s="22"/>
      <c r="M16" s="21"/>
      <c r="N16" s="22"/>
      <c r="O16" s="22"/>
      <c r="P16" s="36">
        <v>2900.0</v>
      </c>
      <c r="Q16" s="118">
        <f t="shared" si="1"/>
        <v>0</v>
      </c>
      <c r="R16" s="36" t="s">
        <v>33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45640.0</v>
      </c>
      <c r="C17" s="18" t="s">
        <v>719</v>
      </c>
      <c r="D17" s="19">
        <v>41669.0</v>
      </c>
      <c r="E17" s="20" t="s">
        <v>720</v>
      </c>
      <c r="F17" s="30"/>
      <c r="G17" s="22"/>
      <c r="H17" s="25"/>
      <c r="I17" s="21"/>
      <c r="J17" s="30">
        <v>5000.0</v>
      </c>
      <c r="K17" s="24"/>
      <c r="L17" s="22"/>
      <c r="M17" s="22"/>
      <c r="N17" s="22"/>
      <c r="O17" s="22"/>
      <c r="P17" s="26">
        <v>5000.0</v>
      </c>
      <c r="Q17" s="118">
        <f t="shared" si="1"/>
        <v>0</v>
      </c>
      <c r="R17" s="26" t="s">
        <v>30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45640.0</v>
      </c>
      <c r="C18" s="18" t="s">
        <v>721</v>
      </c>
      <c r="D18" s="19">
        <v>77112.0</v>
      </c>
      <c r="E18" s="20" t="s">
        <v>722</v>
      </c>
      <c r="F18" s="30"/>
      <c r="G18" s="22"/>
      <c r="H18" s="25"/>
      <c r="I18" s="30"/>
      <c r="J18" s="30">
        <v>5000.0</v>
      </c>
      <c r="K18" s="24"/>
      <c r="L18" s="22"/>
      <c r="M18" s="22"/>
      <c r="N18" s="22"/>
      <c r="O18" s="22"/>
      <c r="P18" s="26">
        <v>5000.0</v>
      </c>
      <c r="Q18" s="118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45640.0</v>
      </c>
      <c r="C19" s="18" t="s">
        <v>723</v>
      </c>
      <c r="D19" s="19">
        <v>56747.0</v>
      </c>
      <c r="E19" s="20" t="s">
        <v>52</v>
      </c>
      <c r="F19" s="30"/>
      <c r="G19" s="22"/>
      <c r="H19" s="25"/>
      <c r="I19" s="30"/>
      <c r="J19" s="30">
        <v>7600.0</v>
      </c>
      <c r="K19" s="24"/>
      <c r="L19" s="22"/>
      <c r="M19" s="22"/>
      <c r="N19" s="22"/>
      <c r="O19" s="22"/>
      <c r="P19" s="26">
        <v>7600.0</v>
      </c>
      <c r="Q19" s="118">
        <f t="shared" si="1"/>
        <v>0</v>
      </c>
      <c r="R19" s="26" t="s">
        <v>30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45640.0</v>
      </c>
      <c r="C20" s="18" t="s">
        <v>724</v>
      </c>
      <c r="D20" s="19">
        <v>21821.0</v>
      </c>
      <c r="E20" s="20" t="s">
        <v>725</v>
      </c>
      <c r="F20" s="30"/>
      <c r="G20" s="25"/>
      <c r="H20" s="25"/>
      <c r="I20" s="30"/>
      <c r="J20" s="21"/>
      <c r="K20" s="23">
        <v>250000.0</v>
      </c>
      <c r="L20" s="22"/>
      <c r="M20" s="22"/>
      <c r="N20" s="22"/>
      <c r="O20" s="22"/>
      <c r="P20" s="26">
        <v>250000.0</v>
      </c>
      <c r="Q20" s="118">
        <f t="shared" si="1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45640.0</v>
      </c>
      <c r="C21" s="18" t="s">
        <v>726</v>
      </c>
      <c r="D21" s="19">
        <v>48635.0</v>
      </c>
      <c r="E21" s="20" t="s">
        <v>727</v>
      </c>
      <c r="F21" s="30"/>
      <c r="G21" s="22"/>
      <c r="H21" s="25"/>
      <c r="I21" s="30">
        <v>140.0</v>
      </c>
      <c r="J21" s="30"/>
      <c r="K21" s="24"/>
      <c r="L21" s="22"/>
      <c r="M21" s="22"/>
      <c r="N21" s="22"/>
      <c r="O21" s="22"/>
      <c r="P21" s="26">
        <v>140.0</v>
      </c>
      <c r="Q21" s="118">
        <f t="shared" si="1"/>
        <v>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45640.0</v>
      </c>
      <c r="C22" s="18" t="s">
        <v>728</v>
      </c>
      <c r="D22" s="19">
        <v>67899.0</v>
      </c>
      <c r="E22" s="20" t="s">
        <v>729</v>
      </c>
      <c r="F22" s="30"/>
      <c r="G22" s="25">
        <v>3600.0</v>
      </c>
      <c r="H22" s="25"/>
      <c r="I22" s="30"/>
      <c r="J22" s="30"/>
      <c r="K22" s="24"/>
      <c r="L22" s="22"/>
      <c r="M22" s="25"/>
      <c r="N22" s="22"/>
      <c r="O22" s="22"/>
      <c r="P22" s="26">
        <v>3600.0</v>
      </c>
      <c r="Q22" s="118">
        <f t="shared" si="1"/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45640.0</v>
      </c>
      <c r="C23" s="18" t="s">
        <v>730</v>
      </c>
      <c r="D23" s="19">
        <v>85475.0</v>
      </c>
      <c r="E23" s="20" t="s">
        <v>731</v>
      </c>
      <c r="F23" s="30"/>
      <c r="G23" s="22"/>
      <c r="H23" s="25"/>
      <c r="I23" s="30">
        <v>300.0</v>
      </c>
      <c r="J23" s="21"/>
      <c r="K23" s="24"/>
      <c r="L23" s="22"/>
      <c r="M23" s="25"/>
      <c r="N23" s="22"/>
      <c r="O23" s="22"/>
      <c r="P23" s="26">
        <v>300.0</v>
      </c>
      <c r="Q23" s="118">
        <f t="shared" si="1"/>
        <v>0</v>
      </c>
      <c r="R23" s="26" t="s">
        <v>30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45640.0</v>
      </c>
      <c r="C24" s="18" t="s">
        <v>732</v>
      </c>
      <c r="D24" s="19">
        <v>70684.0</v>
      </c>
      <c r="E24" s="20" t="s">
        <v>733</v>
      </c>
      <c r="F24" s="21"/>
      <c r="G24" s="22"/>
      <c r="H24" s="25"/>
      <c r="I24" s="30"/>
      <c r="J24" s="30">
        <v>29500.0</v>
      </c>
      <c r="K24" s="23"/>
      <c r="L24" s="22"/>
      <c r="M24" s="25"/>
      <c r="N24" s="22"/>
      <c r="O24" s="22"/>
      <c r="P24" s="26">
        <v>29500.0</v>
      </c>
      <c r="Q24" s="118">
        <f t="shared" si="1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45640.0</v>
      </c>
      <c r="C25" s="18" t="s">
        <v>734</v>
      </c>
      <c r="D25" s="19">
        <v>51069.0</v>
      </c>
      <c r="E25" s="20" t="s">
        <v>735</v>
      </c>
      <c r="F25" s="30"/>
      <c r="G25" s="22"/>
      <c r="H25" s="25"/>
      <c r="I25" s="30"/>
      <c r="J25" s="30"/>
      <c r="K25" s="24"/>
      <c r="L25" s="22"/>
      <c r="M25" s="25">
        <v>1250.0</v>
      </c>
      <c r="N25" s="22"/>
      <c r="O25" s="22"/>
      <c r="P25" s="26">
        <v>1250.0</v>
      </c>
      <c r="Q25" s="118">
        <f t="shared" si="1"/>
        <v>0</v>
      </c>
      <c r="R25" s="26" t="s">
        <v>33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45640.0</v>
      </c>
      <c r="C26" s="18" t="s">
        <v>736</v>
      </c>
      <c r="D26" s="19">
        <v>52083.0</v>
      </c>
      <c r="E26" s="20" t="s">
        <v>93</v>
      </c>
      <c r="F26" s="21"/>
      <c r="G26" s="22"/>
      <c r="H26" s="25"/>
      <c r="I26" s="30">
        <v>1250.0</v>
      </c>
      <c r="J26" s="30"/>
      <c r="K26" s="24"/>
      <c r="L26" s="22"/>
      <c r="M26" s="25"/>
      <c r="N26" s="22"/>
      <c r="O26" s="22"/>
      <c r="P26" s="26">
        <v>1250.0</v>
      </c>
      <c r="Q26" s="118">
        <f t="shared" si="1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45640.0</v>
      </c>
      <c r="C27" s="18" t="s">
        <v>737</v>
      </c>
      <c r="D27" s="19">
        <v>55562.0</v>
      </c>
      <c r="E27" s="20" t="s">
        <v>738</v>
      </c>
      <c r="F27" s="21"/>
      <c r="G27" s="22"/>
      <c r="H27" s="25"/>
      <c r="I27" s="30">
        <v>5000.0</v>
      </c>
      <c r="J27" s="30"/>
      <c r="K27" s="23"/>
      <c r="L27" s="22"/>
      <c r="M27" s="22"/>
      <c r="N27" s="22"/>
      <c r="O27" s="22"/>
      <c r="P27" s="26">
        <v>5000.0</v>
      </c>
      <c r="Q27" s="118">
        <f t="shared" si="1"/>
        <v>0</v>
      </c>
      <c r="R27" s="26" t="s">
        <v>25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45640.0</v>
      </c>
      <c r="C28" s="18" t="s">
        <v>739</v>
      </c>
      <c r="D28" s="19">
        <v>55562.0</v>
      </c>
      <c r="E28" s="20" t="s">
        <v>738</v>
      </c>
      <c r="F28" s="21"/>
      <c r="G28" s="22"/>
      <c r="H28" s="25"/>
      <c r="I28" s="30">
        <v>5000.0</v>
      </c>
      <c r="J28" s="30"/>
      <c r="K28" s="23"/>
      <c r="L28" s="22"/>
      <c r="M28" s="22"/>
      <c r="N28" s="22"/>
      <c r="O28" s="22"/>
      <c r="P28" s="26">
        <v>5000.0</v>
      </c>
      <c r="Q28" s="118">
        <f t="shared" si="1"/>
        <v>0</v>
      </c>
      <c r="R28" s="26" t="s">
        <v>25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45640.0</v>
      </c>
      <c r="C29" s="18" t="s">
        <v>740</v>
      </c>
      <c r="D29" s="19">
        <v>47576.0</v>
      </c>
      <c r="E29" s="20" t="s">
        <v>268</v>
      </c>
      <c r="F29" s="21"/>
      <c r="G29" s="22"/>
      <c r="H29" s="25"/>
      <c r="I29" s="30">
        <v>2600.0</v>
      </c>
      <c r="J29" s="21"/>
      <c r="K29" s="23"/>
      <c r="L29" s="22"/>
      <c r="M29" s="25"/>
      <c r="N29" s="22"/>
      <c r="O29" s="25"/>
      <c r="P29" s="26">
        <v>2600.0</v>
      </c>
      <c r="Q29" s="118">
        <f t="shared" si="1"/>
        <v>0</v>
      </c>
      <c r="R29" s="26" t="s">
        <v>25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45640.0</v>
      </c>
      <c r="C30" s="18" t="s">
        <v>741</v>
      </c>
      <c r="D30" s="19">
        <v>77501.0</v>
      </c>
      <c r="E30" s="20" t="s">
        <v>321</v>
      </c>
      <c r="F30" s="21"/>
      <c r="G30" s="22"/>
      <c r="H30" s="25"/>
      <c r="I30" s="30"/>
      <c r="J30" s="30">
        <v>1900.0</v>
      </c>
      <c r="K30" s="23"/>
      <c r="L30" s="22"/>
      <c r="M30" s="22"/>
      <c r="N30" s="22"/>
      <c r="O30" s="22"/>
      <c r="P30" s="26">
        <v>1900.0</v>
      </c>
      <c r="Q30" s="118">
        <f t="shared" si="1"/>
        <v>0</v>
      </c>
      <c r="R30" s="26" t="s">
        <v>25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45640.0</v>
      </c>
      <c r="C31" s="18" t="s">
        <v>742</v>
      </c>
      <c r="D31" s="19">
        <v>53249.0</v>
      </c>
      <c r="E31" s="20" t="s">
        <v>54</v>
      </c>
      <c r="F31" s="21"/>
      <c r="G31" s="22"/>
      <c r="H31" s="25"/>
      <c r="I31" s="30"/>
      <c r="J31" s="30">
        <v>16000.0</v>
      </c>
      <c r="K31" s="24"/>
      <c r="L31" s="22"/>
      <c r="M31" s="25"/>
      <c r="N31" s="22"/>
      <c r="O31" s="22"/>
      <c r="P31" s="26">
        <v>16000.0</v>
      </c>
      <c r="Q31" s="118">
        <f t="shared" si="1"/>
        <v>0</v>
      </c>
      <c r="R31" s="26" t="s">
        <v>30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51">
        <v>45640.0</v>
      </c>
      <c r="C32" s="52" t="s">
        <v>743</v>
      </c>
      <c r="D32" s="53">
        <v>51660.0</v>
      </c>
      <c r="E32" s="54" t="s">
        <v>744</v>
      </c>
      <c r="F32" s="55"/>
      <c r="G32" s="57"/>
      <c r="H32" s="56"/>
      <c r="I32" s="49">
        <v>500.0</v>
      </c>
      <c r="J32" s="55"/>
      <c r="K32" s="119"/>
      <c r="L32" s="57"/>
      <c r="M32" s="56"/>
      <c r="N32" s="57"/>
      <c r="O32" s="57"/>
      <c r="P32" s="59">
        <v>500.0</v>
      </c>
      <c r="Q32" s="118">
        <f t="shared" si="1"/>
        <v>0</v>
      </c>
      <c r="R32" s="26" t="s">
        <v>33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32">
        <v>45640.0</v>
      </c>
      <c r="C33" s="33" t="s">
        <v>745</v>
      </c>
      <c r="D33" s="34">
        <v>42278.0</v>
      </c>
      <c r="E33" s="35" t="s">
        <v>364</v>
      </c>
      <c r="F33" s="21"/>
      <c r="G33" s="25">
        <v>4000.0</v>
      </c>
      <c r="H33" s="25"/>
      <c r="I33" s="30"/>
      <c r="J33" s="30"/>
      <c r="K33" s="24"/>
      <c r="L33" s="22"/>
      <c r="M33" s="25"/>
      <c r="N33" s="22"/>
      <c r="O33" s="22"/>
      <c r="P33" s="36">
        <v>4000.0</v>
      </c>
      <c r="Q33" s="118">
        <f t="shared" si="1"/>
        <v>0</v>
      </c>
      <c r="R33" s="26" t="s">
        <v>33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45640.0</v>
      </c>
      <c r="C34" s="18" t="s">
        <v>746</v>
      </c>
      <c r="D34" s="19">
        <v>10001.0</v>
      </c>
      <c r="E34" s="20" t="s">
        <v>89</v>
      </c>
      <c r="F34" s="30"/>
      <c r="G34" s="22"/>
      <c r="H34" s="25"/>
      <c r="I34" s="30">
        <v>5000.0</v>
      </c>
      <c r="J34" s="21"/>
      <c r="K34" s="24"/>
      <c r="L34" s="22"/>
      <c r="M34" s="25"/>
      <c r="N34" s="22"/>
      <c r="O34" s="22"/>
      <c r="P34" s="26">
        <v>5000.0</v>
      </c>
      <c r="Q34" s="118">
        <f t="shared" si="1"/>
        <v>0</v>
      </c>
      <c r="R34" s="26" t="s">
        <v>30</v>
      </c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45640.0</v>
      </c>
      <c r="C35" s="18" t="s">
        <v>747</v>
      </c>
      <c r="D35" s="19">
        <v>84683.0</v>
      </c>
      <c r="E35" s="20" t="s">
        <v>748</v>
      </c>
      <c r="F35" s="21"/>
      <c r="G35" s="25">
        <v>4000.0</v>
      </c>
      <c r="H35" s="25"/>
      <c r="I35" s="30"/>
      <c r="J35" s="30"/>
      <c r="K35" s="23"/>
      <c r="L35" s="22"/>
      <c r="M35" s="25"/>
      <c r="N35" s="22"/>
      <c r="O35" s="22"/>
      <c r="P35" s="26">
        <v>4000.0</v>
      </c>
      <c r="Q35" s="118">
        <f t="shared" si="1"/>
        <v>0</v>
      </c>
      <c r="R35" s="26" t="s">
        <v>30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45639.0</v>
      </c>
      <c r="C36" s="18" t="s">
        <v>749</v>
      </c>
      <c r="D36" s="19">
        <v>51782.0</v>
      </c>
      <c r="E36" s="20" t="s">
        <v>750</v>
      </c>
      <c r="F36" s="21"/>
      <c r="G36" s="22"/>
      <c r="H36" s="25">
        <v>1050.0</v>
      </c>
      <c r="I36" s="30"/>
      <c r="J36" s="30"/>
      <c r="K36" s="24"/>
      <c r="L36" s="22"/>
      <c r="M36" s="25"/>
      <c r="N36" s="22"/>
      <c r="O36" s="22"/>
      <c r="P36" s="26">
        <v>1050.0</v>
      </c>
      <c r="Q36" s="118">
        <f t="shared" si="1"/>
        <v>0</v>
      </c>
      <c r="R36" s="26"/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45640.0</v>
      </c>
      <c r="C37" s="18" t="s">
        <v>751</v>
      </c>
      <c r="D37" s="19">
        <v>51017.0</v>
      </c>
      <c r="E37" s="20" t="s">
        <v>335</v>
      </c>
      <c r="F37" s="21"/>
      <c r="G37" s="22"/>
      <c r="H37" s="25">
        <v>10000.0</v>
      </c>
      <c r="I37" s="30"/>
      <c r="J37" s="30"/>
      <c r="K37" s="24"/>
      <c r="L37" s="22"/>
      <c r="M37" s="25"/>
      <c r="N37" s="22"/>
      <c r="O37" s="22"/>
      <c r="P37" s="26">
        <v>10000.0</v>
      </c>
      <c r="Q37" s="118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45640.0</v>
      </c>
      <c r="C38" s="18" t="s">
        <v>752</v>
      </c>
      <c r="D38" s="19">
        <v>46778.0</v>
      </c>
      <c r="E38" s="20" t="s">
        <v>712</v>
      </c>
      <c r="F38" s="21"/>
      <c r="G38" s="22"/>
      <c r="H38" s="25"/>
      <c r="I38" s="30"/>
      <c r="J38" s="30"/>
      <c r="K38" s="24"/>
      <c r="L38" s="22"/>
      <c r="M38" s="25"/>
      <c r="N38" s="22"/>
      <c r="O38" s="25">
        <v>3600.0</v>
      </c>
      <c r="P38" s="26">
        <v>3600.0</v>
      </c>
      <c r="Q38" s="118">
        <f t="shared" si="1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45640.0</v>
      </c>
      <c r="C39" s="18" t="s">
        <v>753</v>
      </c>
      <c r="D39" s="19">
        <v>21828.0</v>
      </c>
      <c r="E39" s="20" t="s">
        <v>104</v>
      </c>
      <c r="F39" s="21"/>
      <c r="G39" s="22"/>
      <c r="H39" s="25"/>
      <c r="I39" s="30"/>
      <c r="J39" s="30"/>
      <c r="K39" s="24"/>
      <c r="L39" s="22"/>
      <c r="M39" s="25">
        <v>2500.0</v>
      </c>
      <c r="N39" s="22"/>
      <c r="O39" s="22"/>
      <c r="P39" s="26">
        <v>2500.0</v>
      </c>
      <c r="Q39" s="118">
        <f t="shared" si="1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45640.0</v>
      </c>
      <c r="C40" s="18" t="s">
        <v>754</v>
      </c>
      <c r="D40" s="19">
        <v>35227.0</v>
      </c>
      <c r="E40" s="20" t="s">
        <v>237</v>
      </c>
      <c r="F40" s="21"/>
      <c r="G40" s="22"/>
      <c r="H40" s="25"/>
      <c r="I40" s="30"/>
      <c r="J40" s="30"/>
      <c r="K40" s="23">
        <v>101.0</v>
      </c>
      <c r="L40" s="22"/>
      <c r="M40" s="25"/>
      <c r="N40" s="22"/>
      <c r="O40" s="25">
        <v>1099.0</v>
      </c>
      <c r="P40" s="26">
        <v>1200.0</v>
      </c>
      <c r="Q40" s="118">
        <f t="shared" si="1"/>
        <v>0</v>
      </c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83">
        <v>37.0</v>
      </c>
      <c r="B41" s="29">
        <v>45640.0</v>
      </c>
      <c r="C41" s="18" t="s">
        <v>755</v>
      </c>
      <c r="D41" s="19">
        <v>51467.0</v>
      </c>
      <c r="E41" s="20" t="s">
        <v>756</v>
      </c>
      <c r="F41" s="21"/>
      <c r="G41" s="22"/>
      <c r="H41" s="25"/>
      <c r="I41" s="30"/>
      <c r="J41" s="30"/>
      <c r="K41" s="24"/>
      <c r="L41" s="22"/>
      <c r="M41" s="25"/>
      <c r="N41" s="22"/>
      <c r="O41" s="25">
        <v>1200.0</v>
      </c>
      <c r="P41" s="26">
        <v>1200.0</v>
      </c>
      <c r="Q41" s="118">
        <f t="shared" si="1"/>
        <v>0</v>
      </c>
      <c r="R41" s="26"/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83">
        <v>38.0</v>
      </c>
      <c r="B42" s="29">
        <v>45640.0</v>
      </c>
      <c r="C42" s="18" t="s">
        <v>757</v>
      </c>
      <c r="D42" s="19">
        <v>26040.0</v>
      </c>
      <c r="E42" s="20" t="s">
        <v>758</v>
      </c>
      <c r="F42" s="21"/>
      <c r="G42" s="22"/>
      <c r="H42" s="25"/>
      <c r="I42" s="30"/>
      <c r="J42" s="30"/>
      <c r="K42" s="24"/>
      <c r="L42" s="22"/>
      <c r="M42" s="25"/>
      <c r="N42" s="22"/>
      <c r="O42" s="25">
        <v>1200.0</v>
      </c>
      <c r="P42" s="26">
        <v>1200.0</v>
      </c>
      <c r="Q42" s="118">
        <f t="shared" si="1"/>
        <v>0</v>
      </c>
      <c r="R42" s="26"/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7.5" customHeight="1">
      <c r="A43" s="16"/>
      <c r="B43" s="64"/>
      <c r="C43" s="65"/>
      <c r="D43" s="66" t="s">
        <v>135</v>
      </c>
      <c r="E43" s="67"/>
      <c r="F43" s="68">
        <f t="shared" ref="F43:P43" si="2">SUM(F5:F42)</f>
        <v>0</v>
      </c>
      <c r="G43" s="68">
        <f t="shared" si="2"/>
        <v>21350</v>
      </c>
      <c r="H43" s="68">
        <f t="shared" si="2"/>
        <v>11050</v>
      </c>
      <c r="I43" s="68">
        <f t="shared" si="2"/>
        <v>55390</v>
      </c>
      <c r="J43" s="68">
        <f t="shared" si="2"/>
        <v>72900</v>
      </c>
      <c r="K43" s="68">
        <f t="shared" si="2"/>
        <v>259201</v>
      </c>
      <c r="L43" s="68">
        <f t="shared" si="2"/>
        <v>0</v>
      </c>
      <c r="M43" s="68">
        <f t="shared" si="2"/>
        <v>7700</v>
      </c>
      <c r="N43" s="68">
        <f t="shared" si="2"/>
        <v>0</v>
      </c>
      <c r="O43" s="68">
        <f t="shared" si="2"/>
        <v>7099</v>
      </c>
      <c r="P43" s="68">
        <f t="shared" si="2"/>
        <v>434690</v>
      </c>
      <c r="Q43" s="68">
        <f>SUM(Q7:Q42)</f>
        <v>0</v>
      </c>
      <c r="R43" s="69"/>
      <c r="S43" s="28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</row>
    <row r="44" ht="58.5" customHeight="1">
      <c r="A44" s="70"/>
      <c r="B44" s="70"/>
      <c r="C44" s="71"/>
      <c r="D44" s="70"/>
      <c r="E44" s="70"/>
      <c r="F44" s="72">
        <f>F43+G43+H43+I43+J43+K43+L43+M43+N43+O43</f>
        <v>434690</v>
      </c>
      <c r="P44" s="73"/>
      <c r="Q44" s="73"/>
      <c r="R44" s="70"/>
      <c r="S44" s="70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5" t="s">
        <v>135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82" t="s">
        <v>229</v>
      </c>
      <c r="D48" s="4"/>
      <c r="E48" s="76" t="s">
        <v>136</v>
      </c>
      <c r="F48" s="77" t="s">
        <v>137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78" t="s">
        <v>138</v>
      </c>
      <c r="F49" s="77" t="s">
        <v>759</v>
      </c>
      <c r="G49" s="4"/>
      <c r="H49" s="4"/>
      <c r="I49" s="4"/>
      <c r="J49" s="4"/>
      <c r="K49" s="4"/>
      <c r="L49" s="4"/>
      <c r="M49" s="4"/>
      <c r="N49" s="4"/>
      <c r="O49" s="79" t="s">
        <v>135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78" t="s">
        <v>140</v>
      </c>
      <c r="F50" s="77" t="s">
        <v>697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78" t="s">
        <v>141</v>
      </c>
      <c r="F51" s="77" t="s">
        <v>139</v>
      </c>
      <c r="G51" s="4"/>
      <c r="H51" s="4"/>
      <c r="I51" s="4"/>
      <c r="J51" s="4"/>
      <c r="K51" s="4" t="s">
        <v>135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78" t="s">
        <v>142</v>
      </c>
      <c r="F52" s="77" t="s">
        <v>143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78" t="s">
        <v>760</v>
      </c>
      <c r="F53" s="77" t="s">
        <v>139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78" t="s">
        <v>145</v>
      </c>
      <c r="F54" s="77" t="s">
        <v>699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78" t="s">
        <v>147</v>
      </c>
      <c r="F55" s="80" t="s">
        <v>137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79" t="s">
        <v>135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 t="str">
        <f>I72443</f>
        <v/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79" t="s">
        <v>148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>
        <v>7.0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7">
    <mergeCell ref="R2:R4"/>
    <mergeCell ref="S2:S4"/>
    <mergeCell ref="F3:F4"/>
    <mergeCell ref="G3:H3"/>
    <mergeCell ref="I3:J3"/>
    <mergeCell ref="K3:K4"/>
    <mergeCell ref="F44:O4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761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45640.0</v>
      </c>
      <c r="C5" s="18" t="s">
        <v>762</v>
      </c>
      <c r="D5" s="19">
        <v>83056.0</v>
      </c>
      <c r="E5" s="20" t="s">
        <v>456</v>
      </c>
      <c r="F5" s="21"/>
      <c r="G5" s="22"/>
      <c r="H5" s="30"/>
      <c r="I5" s="23"/>
      <c r="J5" s="23"/>
      <c r="K5" s="25"/>
      <c r="L5" s="25"/>
      <c r="M5" s="30">
        <v>2500.0</v>
      </c>
      <c r="N5" s="22"/>
      <c r="O5" s="22"/>
      <c r="P5" s="26">
        <v>2500.0</v>
      </c>
      <c r="Q5" s="118">
        <f t="shared" ref="Q5:Q42" si="1">F5+G5+H5+I5+J5+K5+L5+M5+N5+O5-P5</f>
        <v>0</v>
      </c>
      <c r="R5" s="26" t="s">
        <v>33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45640.0</v>
      </c>
      <c r="C6" s="18" t="s">
        <v>763</v>
      </c>
      <c r="D6" s="19">
        <v>78454.0</v>
      </c>
      <c r="E6" s="20" t="s">
        <v>485</v>
      </c>
      <c r="F6" s="21"/>
      <c r="G6" s="22"/>
      <c r="H6" s="30"/>
      <c r="I6" s="23">
        <v>5100.0</v>
      </c>
      <c r="J6" s="23"/>
      <c r="K6" s="25"/>
      <c r="L6" s="25"/>
      <c r="M6" s="30"/>
      <c r="N6" s="22"/>
      <c r="O6" s="22"/>
      <c r="P6" s="26">
        <v>5100.0</v>
      </c>
      <c r="Q6" s="118">
        <f t="shared" si="1"/>
        <v>0</v>
      </c>
      <c r="R6" s="26" t="s">
        <v>30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45640.0</v>
      </c>
      <c r="C7" s="18" t="s">
        <v>764</v>
      </c>
      <c r="D7" s="19">
        <v>22341.0</v>
      </c>
      <c r="E7" s="20" t="s">
        <v>24</v>
      </c>
      <c r="F7" s="21"/>
      <c r="G7" s="22"/>
      <c r="H7" s="30"/>
      <c r="I7" s="23">
        <v>300.0</v>
      </c>
      <c r="J7" s="23"/>
      <c r="K7" s="22"/>
      <c r="L7" s="25"/>
      <c r="M7" s="30"/>
      <c r="N7" s="22"/>
      <c r="O7" s="22"/>
      <c r="P7" s="26">
        <v>300.0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45640.0</v>
      </c>
      <c r="C8" s="18" t="s">
        <v>765</v>
      </c>
      <c r="D8" s="19">
        <v>84490.0</v>
      </c>
      <c r="E8" s="20" t="s">
        <v>766</v>
      </c>
      <c r="F8" s="30"/>
      <c r="G8" s="25">
        <v>1490.0</v>
      </c>
      <c r="H8" s="30"/>
      <c r="I8" s="23"/>
      <c r="J8" s="23"/>
      <c r="K8" s="22"/>
      <c r="L8" s="25"/>
      <c r="M8" s="30"/>
      <c r="N8" s="22"/>
      <c r="O8" s="22"/>
      <c r="P8" s="26">
        <v>1490.0</v>
      </c>
      <c r="Q8" s="118">
        <f t="shared" si="1"/>
        <v>0</v>
      </c>
      <c r="R8" s="26" t="s">
        <v>33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45640.0</v>
      </c>
      <c r="C9" s="18" t="s">
        <v>767</v>
      </c>
      <c r="D9" s="19">
        <v>21818.0</v>
      </c>
      <c r="E9" s="20" t="s">
        <v>190</v>
      </c>
      <c r="F9" s="21"/>
      <c r="G9" s="25"/>
      <c r="H9" s="25"/>
      <c r="I9" s="30"/>
      <c r="J9" s="25"/>
      <c r="K9" s="25">
        <v>15000.0</v>
      </c>
      <c r="L9" s="22"/>
      <c r="M9" s="21"/>
      <c r="N9" s="22"/>
      <c r="O9" s="22"/>
      <c r="P9" s="26">
        <v>15000.0</v>
      </c>
      <c r="Q9" s="118">
        <f t="shared" si="1"/>
        <v>0</v>
      </c>
      <c r="R9" s="26" t="s">
        <v>33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45641.0</v>
      </c>
      <c r="C10" s="18" t="s">
        <v>768</v>
      </c>
      <c r="D10" s="19">
        <v>10250.0</v>
      </c>
      <c r="E10" s="20" t="s">
        <v>330</v>
      </c>
      <c r="F10" s="22"/>
      <c r="G10" s="25"/>
      <c r="H10" s="30"/>
      <c r="I10" s="30">
        <v>9500.0</v>
      </c>
      <c r="J10" s="23"/>
      <c r="K10" s="25"/>
      <c r="L10" s="22"/>
      <c r="M10" s="25"/>
      <c r="N10" s="22"/>
      <c r="O10" s="22"/>
      <c r="P10" s="26">
        <v>9500.0</v>
      </c>
      <c r="Q10" s="118">
        <f t="shared" si="1"/>
        <v>0</v>
      </c>
      <c r="R10" s="26" t="s">
        <v>48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45641.0</v>
      </c>
      <c r="C11" s="18" t="s">
        <v>769</v>
      </c>
      <c r="D11" s="19">
        <v>36979.0</v>
      </c>
      <c r="E11" s="20" t="s">
        <v>770</v>
      </c>
      <c r="F11" s="22"/>
      <c r="G11" s="22"/>
      <c r="H11" s="25"/>
      <c r="I11" s="30">
        <v>1700.0</v>
      </c>
      <c r="J11" s="30"/>
      <c r="K11" s="22"/>
      <c r="L11" s="22"/>
      <c r="M11" s="30"/>
      <c r="N11" s="22"/>
      <c r="O11" s="22"/>
      <c r="P11" s="26">
        <v>1700.0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45641.0</v>
      </c>
      <c r="C12" s="107" t="s">
        <v>771</v>
      </c>
      <c r="D12" s="108">
        <v>64461.0</v>
      </c>
      <c r="E12" s="109" t="s">
        <v>323</v>
      </c>
      <c r="F12" s="110"/>
      <c r="G12" s="110"/>
      <c r="H12" s="115"/>
      <c r="I12" s="111"/>
      <c r="J12" s="111"/>
      <c r="K12" s="110"/>
      <c r="L12" s="110"/>
      <c r="M12" s="111">
        <v>100.0</v>
      </c>
      <c r="N12" s="110"/>
      <c r="O12" s="110"/>
      <c r="P12" s="113">
        <v>100.0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45641.0</v>
      </c>
      <c r="C13" s="18" t="s">
        <v>772</v>
      </c>
      <c r="D13" s="19">
        <v>55448.0</v>
      </c>
      <c r="E13" s="20" t="s">
        <v>773</v>
      </c>
      <c r="F13" s="22"/>
      <c r="G13" s="25"/>
      <c r="H13" s="25"/>
      <c r="I13" s="30">
        <v>5000.0</v>
      </c>
      <c r="J13" s="30"/>
      <c r="K13" s="25"/>
      <c r="L13" s="22"/>
      <c r="M13" s="30"/>
      <c r="N13" s="22"/>
      <c r="O13" s="22"/>
      <c r="P13" s="26">
        <v>5000.0</v>
      </c>
      <c r="Q13" s="118">
        <f t="shared" si="1"/>
        <v>0</v>
      </c>
      <c r="R13" s="26" t="s">
        <v>30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45641.0</v>
      </c>
      <c r="C14" s="18" t="s">
        <v>774</v>
      </c>
      <c r="D14" s="19">
        <v>66770.0</v>
      </c>
      <c r="E14" s="20" t="s">
        <v>301</v>
      </c>
      <c r="F14" s="22"/>
      <c r="G14" s="22"/>
      <c r="H14" s="25"/>
      <c r="I14" s="30"/>
      <c r="J14" s="30">
        <v>5000.0</v>
      </c>
      <c r="K14" s="22"/>
      <c r="L14" s="22"/>
      <c r="M14" s="21"/>
      <c r="N14" s="22"/>
      <c r="O14" s="22"/>
      <c r="P14" s="26">
        <v>5000.0</v>
      </c>
      <c r="Q14" s="118">
        <f t="shared" si="1"/>
        <v>0</v>
      </c>
      <c r="R14" s="26" t="s">
        <v>25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45641.0</v>
      </c>
      <c r="C15" s="33" t="s">
        <v>775</v>
      </c>
      <c r="D15" s="34">
        <v>67621.0</v>
      </c>
      <c r="E15" s="35" t="s">
        <v>416</v>
      </c>
      <c r="F15" s="22"/>
      <c r="G15" s="22"/>
      <c r="H15" s="25"/>
      <c r="I15" s="30">
        <v>4800.0</v>
      </c>
      <c r="J15" s="30"/>
      <c r="K15" s="25"/>
      <c r="L15" s="22"/>
      <c r="M15" s="30"/>
      <c r="N15" s="22"/>
      <c r="O15" s="22"/>
      <c r="P15" s="36">
        <v>4800.0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45641.0</v>
      </c>
      <c r="C16" s="33" t="s">
        <v>776</v>
      </c>
      <c r="D16" s="34">
        <v>51876.0</v>
      </c>
      <c r="E16" s="35" t="s">
        <v>777</v>
      </c>
      <c r="F16" s="25"/>
      <c r="G16" s="22"/>
      <c r="H16" s="25"/>
      <c r="I16" s="30">
        <v>4500.0</v>
      </c>
      <c r="J16" s="30"/>
      <c r="K16" s="25"/>
      <c r="L16" s="22"/>
      <c r="M16" s="21"/>
      <c r="N16" s="22"/>
      <c r="O16" s="22"/>
      <c r="P16" s="36">
        <v>4500.0</v>
      </c>
      <c r="Q16" s="118">
        <f t="shared" si="1"/>
        <v>0</v>
      </c>
      <c r="R16" s="36" t="s">
        <v>25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45641.0</v>
      </c>
      <c r="C17" s="18" t="s">
        <v>778</v>
      </c>
      <c r="D17" s="19">
        <v>47787.0</v>
      </c>
      <c r="E17" s="20" t="s">
        <v>274</v>
      </c>
      <c r="F17" s="30"/>
      <c r="G17" s="22"/>
      <c r="H17" s="25"/>
      <c r="I17" s="30">
        <v>2500.0</v>
      </c>
      <c r="J17" s="30"/>
      <c r="K17" s="24"/>
      <c r="L17" s="22"/>
      <c r="M17" s="22"/>
      <c r="N17" s="22"/>
      <c r="O17" s="22"/>
      <c r="P17" s="26">
        <v>2500.0</v>
      </c>
      <c r="Q17" s="118">
        <f t="shared" si="1"/>
        <v>0</v>
      </c>
      <c r="R17" s="26" t="s">
        <v>25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45641.0</v>
      </c>
      <c r="C18" s="18" t="s">
        <v>779</v>
      </c>
      <c r="D18" s="19">
        <v>85481.0</v>
      </c>
      <c r="E18" s="20" t="s">
        <v>780</v>
      </c>
      <c r="F18" s="30"/>
      <c r="G18" s="22"/>
      <c r="H18" s="25"/>
      <c r="I18" s="30"/>
      <c r="J18" s="30">
        <v>300.0</v>
      </c>
      <c r="K18" s="24"/>
      <c r="L18" s="22"/>
      <c r="M18" s="22"/>
      <c r="N18" s="22"/>
      <c r="O18" s="22"/>
      <c r="P18" s="26">
        <v>300.0</v>
      </c>
      <c r="Q18" s="118">
        <f t="shared" si="1"/>
        <v>0</v>
      </c>
      <c r="R18" s="26" t="s">
        <v>48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45641.0</v>
      </c>
      <c r="C19" s="18" t="s">
        <v>781</v>
      </c>
      <c r="D19" s="19">
        <v>85482.0</v>
      </c>
      <c r="E19" s="20" t="s">
        <v>782</v>
      </c>
      <c r="F19" s="30"/>
      <c r="G19" s="22"/>
      <c r="H19" s="25"/>
      <c r="I19" s="30"/>
      <c r="J19" s="30">
        <v>300.0</v>
      </c>
      <c r="K19" s="24"/>
      <c r="L19" s="22"/>
      <c r="M19" s="22"/>
      <c r="N19" s="22"/>
      <c r="O19" s="22"/>
      <c r="P19" s="26">
        <v>300.0</v>
      </c>
      <c r="Q19" s="118">
        <f t="shared" si="1"/>
        <v>0</v>
      </c>
      <c r="R19" s="26" t="s">
        <v>48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45641.0</v>
      </c>
      <c r="C20" s="18" t="s">
        <v>783</v>
      </c>
      <c r="D20" s="19">
        <v>50595.0</v>
      </c>
      <c r="E20" s="20" t="s">
        <v>123</v>
      </c>
      <c r="F20" s="30"/>
      <c r="G20" s="25"/>
      <c r="H20" s="25">
        <v>7000.0</v>
      </c>
      <c r="I20" s="30"/>
      <c r="J20" s="21"/>
      <c r="K20" s="23"/>
      <c r="L20" s="22"/>
      <c r="M20" s="22"/>
      <c r="N20" s="22"/>
      <c r="O20" s="22"/>
      <c r="P20" s="26">
        <v>7000.0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45641.0</v>
      </c>
      <c r="C21" s="18" t="s">
        <v>784</v>
      </c>
      <c r="D21" s="19">
        <v>52396.0</v>
      </c>
      <c r="E21" s="20" t="s">
        <v>785</v>
      </c>
      <c r="F21" s="30"/>
      <c r="G21" s="22"/>
      <c r="H21" s="25"/>
      <c r="I21" s="30"/>
      <c r="J21" s="30">
        <v>5000.0</v>
      </c>
      <c r="K21" s="24"/>
      <c r="L21" s="22"/>
      <c r="M21" s="22"/>
      <c r="N21" s="22"/>
      <c r="O21" s="22"/>
      <c r="P21" s="26">
        <v>5000.0</v>
      </c>
      <c r="Q21" s="118">
        <f t="shared" si="1"/>
        <v>0</v>
      </c>
      <c r="R21" s="26" t="s">
        <v>30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45641.0</v>
      </c>
      <c r="C22" s="18" t="s">
        <v>786</v>
      </c>
      <c r="D22" s="19">
        <v>52808.0</v>
      </c>
      <c r="E22" s="20" t="s">
        <v>787</v>
      </c>
      <c r="F22" s="30"/>
      <c r="G22" s="25"/>
      <c r="H22" s="25"/>
      <c r="I22" s="30"/>
      <c r="J22" s="30">
        <v>5000.0</v>
      </c>
      <c r="K22" s="24"/>
      <c r="L22" s="22"/>
      <c r="M22" s="25"/>
      <c r="N22" s="22"/>
      <c r="O22" s="22"/>
      <c r="P22" s="26">
        <v>5000.0</v>
      </c>
      <c r="Q22" s="118">
        <f t="shared" si="1"/>
        <v>0</v>
      </c>
      <c r="R22" s="26" t="s">
        <v>30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45641.0</v>
      </c>
      <c r="C23" s="18" t="s">
        <v>788</v>
      </c>
      <c r="D23" s="19">
        <v>54242.0</v>
      </c>
      <c r="E23" s="20" t="s">
        <v>789</v>
      </c>
      <c r="F23" s="30"/>
      <c r="G23" s="22"/>
      <c r="H23" s="25"/>
      <c r="I23" s="30"/>
      <c r="J23" s="30">
        <v>5000.0</v>
      </c>
      <c r="K23" s="24"/>
      <c r="L23" s="22"/>
      <c r="M23" s="25"/>
      <c r="N23" s="22"/>
      <c r="O23" s="22"/>
      <c r="P23" s="26">
        <v>5000.0</v>
      </c>
      <c r="Q23" s="118">
        <f t="shared" si="1"/>
        <v>0</v>
      </c>
      <c r="R23" s="26" t="s">
        <v>30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45641.0</v>
      </c>
      <c r="C24" s="18" t="s">
        <v>790</v>
      </c>
      <c r="D24" s="19">
        <v>85483.0</v>
      </c>
      <c r="E24" s="20" t="s">
        <v>791</v>
      </c>
      <c r="F24" s="30">
        <v>300.0</v>
      </c>
      <c r="G24" s="22"/>
      <c r="H24" s="25"/>
      <c r="I24" s="30"/>
      <c r="J24" s="30"/>
      <c r="K24" s="23"/>
      <c r="L24" s="22"/>
      <c r="M24" s="25"/>
      <c r="N24" s="22"/>
      <c r="O24" s="22"/>
      <c r="P24" s="26">
        <v>300.0</v>
      </c>
      <c r="Q24" s="118">
        <f t="shared" si="1"/>
        <v>0</v>
      </c>
      <c r="R24" s="26" t="s">
        <v>30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45641.0</v>
      </c>
      <c r="C25" s="18" t="s">
        <v>792</v>
      </c>
      <c r="D25" s="19">
        <v>51309.0</v>
      </c>
      <c r="E25" s="20" t="s">
        <v>793</v>
      </c>
      <c r="F25" s="30"/>
      <c r="G25" s="22"/>
      <c r="H25" s="25"/>
      <c r="I25" s="30">
        <v>3050.0</v>
      </c>
      <c r="J25" s="30"/>
      <c r="K25" s="24"/>
      <c r="L25" s="22"/>
      <c r="M25" s="25"/>
      <c r="N25" s="22"/>
      <c r="O25" s="22"/>
      <c r="P25" s="26">
        <v>3050.0</v>
      </c>
      <c r="Q25" s="118">
        <f t="shared" si="1"/>
        <v>0</v>
      </c>
      <c r="R25" s="26" t="s">
        <v>30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45641.0</v>
      </c>
      <c r="C26" s="18" t="s">
        <v>794</v>
      </c>
      <c r="D26" s="19">
        <v>85484.0</v>
      </c>
      <c r="E26" s="20" t="s">
        <v>795</v>
      </c>
      <c r="F26" s="21"/>
      <c r="G26" s="22"/>
      <c r="H26" s="25"/>
      <c r="I26" s="30"/>
      <c r="J26" s="30"/>
      <c r="K26" s="24"/>
      <c r="L26" s="22"/>
      <c r="M26" s="25">
        <v>300.0</v>
      </c>
      <c r="N26" s="22"/>
      <c r="O26" s="22"/>
      <c r="P26" s="26">
        <v>300.0</v>
      </c>
      <c r="Q26" s="118">
        <f t="shared" si="1"/>
        <v>0</v>
      </c>
      <c r="R26" s="26" t="s">
        <v>48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45641.0</v>
      </c>
      <c r="C27" s="18" t="s">
        <v>796</v>
      </c>
      <c r="D27" s="19">
        <v>66962.0</v>
      </c>
      <c r="E27" s="20" t="s">
        <v>797</v>
      </c>
      <c r="F27" s="21"/>
      <c r="G27" s="22"/>
      <c r="H27" s="25"/>
      <c r="I27" s="30"/>
      <c r="J27" s="30"/>
      <c r="K27" s="23"/>
      <c r="L27" s="22"/>
      <c r="M27" s="25">
        <v>4500.0</v>
      </c>
      <c r="N27" s="22"/>
      <c r="O27" s="22"/>
      <c r="P27" s="26">
        <v>4500.0</v>
      </c>
      <c r="Q27" s="118">
        <f t="shared" si="1"/>
        <v>0</v>
      </c>
      <c r="R27" s="26" t="s">
        <v>48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45641.0</v>
      </c>
      <c r="C28" s="18" t="s">
        <v>798</v>
      </c>
      <c r="D28" s="19">
        <v>85484.0</v>
      </c>
      <c r="E28" s="20" t="s">
        <v>795</v>
      </c>
      <c r="F28" s="21"/>
      <c r="G28" s="22"/>
      <c r="H28" s="25"/>
      <c r="I28" s="30"/>
      <c r="J28" s="30"/>
      <c r="K28" s="23"/>
      <c r="L28" s="22"/>
      <c r="M28" s="25">
        <v>2950.0</v>
      </c>
      <c r="N28" s="22"/>
      <c r="O28" s="22"/>
      <c r="P28" s="26">
        <v>2950.0</v>
      </c>
      <c r="Q28" s="118">
        <f t="shared" si="1"/>
        <v>0</v>
      </c>
      <c r="R28" s="26" t="s">
        <v>48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45641.0</v>
      </c>
      <c r="C29" s="18" t="s">
        <v>799</v>
      </c>
      <c r="D29" s="19">
        <v>80335.0</v>
      </c>
      <c r="E29" s="20" t="s">
        <v>169</v>
      </c>
      <c r="F29" s="21"/>
      <c r="G29" s="22"/>
      <c r="H29" s="25"/>
      <c r="I29" s="30"/>
      <c r="J29" s="21"/>
      <c r="K29" s="23"/>
      <c r="L29" s="22"/>
      <c r="M29" s="25">
        <v>435.0</v>
      </c>
      <c r="N29" s="22"/>
      <c r="O29" s="25"/>
      <c r="P29" s="26">
        <v>435.0</v>
      </c>
      <c r="Q29" s="118">
        <f t="shared" si="1"/>
        <v>0</v>
      </c>
      <c r="R29" s="26" t="s">
        <v>48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45641.0</v>
      </c>
      <c r="C30" s="18" t="s">
        <v>800</v>
      </c>
      <c r="D30" s="19">
        <v>85485.0</v>
      </c>
      <c r="E30" s="20" t="s">
        <v>801</v>
      </c>
      <c r="F30" s="21"/>
      <c r="G30" s="22"/>
      <c r="H30" s="25"/>
      <c r="I30" s="30">
        <v>7300.0</v>
      </c>
      <c r="J30" s="30"/>
      <c r="K30" s="23"/>
      <c r="L30" s="22"/>
      <c r="M30" s="22"/>
      <c r="N30" s="22"/>
      <c r="O30" s="22"/>
      <c r="P30" s="26">
        <v>7300.0</v>
      </c>
      <c r="Q30" s="118">
        <f t="shared" si="1"/>
        <v>0</v>
      </c>
      <c r="R30" s="26" t="s">
        <v>25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45641.0</v>
      </c>
      <c r="C31" s="18" t="s">
        <v>802</v>
      </c>
      <c r="D31" s="19">
        <v>55446.0</v>
      </c>
      <c r="E31" s="20" t="s">
        <v>213</v>
      </c>
      <c r="F31" s="21"/>
      <c r="G31" s="25">
        <v>2950.0</v>
      </c>
      <c r="H31" s="25"/>
      <c r="I31" s="30"/>
      <c r="J31" s="30"/>
      <c r="K31" s="24"/>
      <c r="L31" s="22"/>
      <c r="M31" s="25"/>
      <c r="N31" s="22"/>
      <c r="O31" s="22"/>
      <c r="P31" s="26">
        <v>2950.0</v>
      </c>
      <c r="Q31" s="118">
        <f t="shared" si="1"/>
        <v>0</v>
      </c>
      <c r="R31" s="26" t="s">
        <v>48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51">
        <v>45641.0</v>
      </c>
      <c r="C32" s="52" t="s">
        <v>803</v>
      </c>
      <c r="D32" s="53">
        <v>59244.0</v>
      </c>
      <c r="E32" s="54" t="s">
        <v>50</v>
      </c>
      <c r="F32" s="55"/>
      <c r="G32" s="57"/>
      <c r="H32" s="56"/>
      <c r="I32" s="49">
        <v>2600.0</v>
      </c>
      <c r="J32" s="55"/>
      <c r="K32" s="119"/>
      <c r="L32" s="57"/>
      <c r="M32" s="56"/>
      <c r="N32" s="57"/>
      <c r="O32" s="57"/>
      <c r="P32" s="59">
        <v>2600.0</v>
      </c>
      <c r="Q32" s="118">
        <f t="shared" si="1"/>
        <v>0</v>
      </c>
      <c r="R32" s="26" t="s">
        <v>30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32">
        <v>45641.0</v>
      </c>
      <c r="C33" s="33" t="s">
        <v>804</v>
      </c>
      <c r="D33" s="34">
        <v>85486.0</v>
      </c>
      <c r="E33" s="35" t="s">
        <v>805</v>
      </c>
      <c r="F33" s="21"/>
      <c r="G33" s="25"/>
      <c r="H33" s="25"/>
      <c r="I33" s="30">
        <v>300.0</v>
      </c>
      <c r="J33" s="30"/>
      <c r="K33" s="24"/>
      <c r="L33" s="22"/>
      <c r="M33" s="25"/>
      <c r="N33" s="22"/>
      <c r="O33" s="22"/>
      <c r="P33" s="36">
        <v>300.0</v>
      </c>
      <c r="Q33" s="118">
        <f t="shared" si="1"/>
        <v>0</v>
      </c>
      <c r="R33" s="26" t="s">
        <v>25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45641.0</v>
      </c>
      <c r="C34" s="18" t="s">
        <v>806</v>
      </c>
      <c r="D34" s="19">
        <v>85487.0</v>
      </c>
      <c r="E34" s="20" t="s">
        <v>807</v>
      </c>
      <c r="F34" s="30"/>
      <c r="G34" s="22"/>
      <c r="H34" s="25"/>
      <c r="I34" s="30"/>
      <c r="J34" s="30">
        <v>300.0</v>
      </c>
      <c r="K34" s="24"/>
      <c r="L34" s="22"/>
      <c r="M34" s="25"/>
      <c r="N34" s="22"/>
      <c r="O34" s="22"/>
      <c r="P34" s="26">
        <v>300.0</v>
      </c>
      <c r="Q34" s="118">
        <f t="shared" si="1"/>
        <v>0</v>
      </c>
      <c r="R34" s="26" t="s">
        <v>48</v>
      </c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45641.0</v>
      </c>
      <c r="C35" s="18" t="s">
        <v>808</v>
      </c>
      <c r="D35" s="19">
        <v>51660.0</v>
      </c>
      <c r="E35" s="20" t="s">
        <v>744</v>
      </c>
      <c r="F35" s="21"/>
      <c r="G35" s="25">
        <v>7950.0</v>
      </c>
      <c r="H35" s="25"/>
      <c r="I35" s="30"/>
      <c r="J35" s="30"/>
      <c r="K35" s="23"/>
      <c r="L35" s="22"/>
      <c r="M35" s="25"/>
      <c r="N35" s="22"/>
      <c r="O35" s="22"/>
      <c r="P35" s="26">
        <v>7950.0</v>
      </c>
      <c r="Q35" s="118">
        <f t="shared" si="1"/>
        <v>0</v>
      </c>
      <c r="R35" s="26" t="s">
        <v>48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45642.0</v>
      </c>
      <c r="C36" s="18" t="s">
        <v>809</v>
      </c>
      <c r="D36" s="19">
        <v>55448.0</v>
      </c>
      <c r="E36" s="20" t="s">
        <v>810</v>
      </c>
      <c r="F36" s="21"/>
      <c r="G36" s="22"/>
      <c r="H36" s="25"/>
      <c r="I36" s="30">
        <v>100.0</v>
      </c>
      <c r="J36" s="30"/>
      <c r="K36" s="24"/>
      <c r="L36" s="22"/>
      <c r="M36" s="25"/>
      <c r="N36" s="22"/>
      <c r="O36" s="22"/>
      <c r="P36" s="26">
        <v>100.0</v>
      </c>
      <c r="Q36" s="118">
        <f t="shared" si="1"/>
        <v>0</v>
      </c>
      <c r="R36" s="26" t="s">
        <v>25</v>
      </c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45641.0</v>
      </c>
      <c r="C37" s="18" t="s">
        <v>811</v>
      </c>
      <c r="D37" s="19">
        <v>10250.0</v>
      </c>
      <c r="E37" s="20" t="s">
        <v>330</v>
      </c>
      <c r="F37" s="21"/>
      <c r="G37" s="22"/>
      <c r="H37" s="25">
        <v>21000.0</v>
      </c>
      <c r="I37" s="30"/>
      <c r="J37" s="30"/>
      <c r="K37" s="24"/>
      <c r="L37" s="22"/>
      <c r="M37" s="25"/>
      <c r="N37" s="22"/>
      <c r="O37" s="22"/>
      <c r="P37" s="26">
        <v>21000.0</v>
      </c>
      <c r="Q37" s="118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45641.0</v>
      </c>
      <c r="C38" s="18" t="s">
        <v>812</v>
      </c>
      <c r="D38" s="19">
        <v>54426.0</v>
      </c>
      <c r="E38" s="20" t="s">
        <v>813</v>
      </c>
      <c r="F38" s="21"/>
      <c r="G38" s="22"/>
      <c r="H38" s="25"/>
      <c r="I38" s="30"/>
      <c r="J38" s="30"/>
      <c r="K38" s="24"/>
      <c r="L38" s="22"/>
      <c r="M38" s="25"/>
      <c r="N38" s="22"/>
      <c r="O38" s="25">
        <v>8000.0</v>
      </c>
      <c r="P38" s="26">
        <v>8000.0</v>
      </c>
      <c r="Q38" s="118">
        <f t="shared" si="1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45641.0</v>
      </c>
      <c r="C39" s="18" t="s">
        <v>814</v>
      </c>
      <c r="D39" s="19">
        <v>42278.0</v>
      </c>
      <c r="E39" s="20" t="s">
        <v>364</v>
      </c>
      <c r="F39" s="21"/>
      <c r="G39" s="22"/>
      <c r="H39" s="25"/>
      <c r="I39" s="30"/>
      <c r="J39" s="30"/>
      <c r="K39" s="24"/>
      <c r="L39" s="22"/>
      <c r="M39" s="25"/>
      <c r="N39" s="22"/>
      <c r="O39" s="25">
        <v>800.0</v>
      </c>
      <c r="P39" s="26">
        <v>800.0</v>
      </c>
      <c r="Q39" s="118">
        <f t="shared" si="1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45641.0</v>
      </c>
      <c r="C40" s="18" t="s">
        <v>815</v>
      </c>
      <c r="D40" s="19">
        <v>27880.0</v>
      </c>
      <c r="E40" s="20" t="s">
        <v>816</v>
      </c>
      <c r="F40" s="21"/>
      <c r="G40" s="22"/>
      <c r="H40" s="25"/>
      <c r="I40" s="30"/>
      <c r="J40" s="30"/>
      <c r="K40" s="24"/>
      <c r="L40" s="22"/>
      <c r="M40" s="25"/>
      <c r="N40" s="22"/>
      <c r="O40" s="25">
        <v>1600.0</v>
      </c>
      <c r="P40" s="26">
        <v>1600.0</v>
      </c>
      <c r="Q40" s="118">
        <f t="shared" si="1"/>
        <v>0</v>
      </c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83">
        <v>37.0</v>
      </c>
      <c r="B41" s="29">
        <v>45641.0</v>
      </c>
      <c r="C41" s="18" t="s">
        <v>817</v>
      </c>
      <c r="D41" s="19">
        <v>51309.0</v>
      </c>
      <c r="E41" s="20" t="s">
        <v>793</v>
      </c>
      <c r="F41" s="21"/>
      <c r="G41" s="22"/>
      <c r="H41" s="25"/>
      <c r="I41" s="30"/>
      <c r="J41" s="30"/>
      <c r="K41" s="23"/>
      <c r="L41" s="22"/>
      <c r="M41" s="25"/>
      <c r="N41" s="22"/>
      <c r="O41" s="25">
        <v>1200.0</v>
      </c>
      <c r="P41" s="26">
        <v>1200.0</v>
      </c>
      <c r="Q41" s="118">
        <f t="shared" si="1"/>
        <v>0</v>
      </c>
      <c r="R41" s="26"/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83">
        <v>38.0</v>
      </c>
      <c r="B42" s="29">
        <v>45641.0</v>
      </c>
      <c r="C42" s="18" t="s">
        <v>818</v>
      </c>
      <c r="D42" s="19">
        <v>66962.0</v>
      </c>
      <c r="E42" s="20" t="s">
        <v>797</v>
      </c>
      <c r="F42" s="21"/>
      <c r="G42" s="22"/>
      <c r="H42" s="25"/>
      <c r="I42" s="30"/>
      <c r="J42" s="30"/>
      <c r="K42" s="24"/>
      <c r="L42" s="22"/>
      <c r="M42" s="25"/>
      <c r="N42" s="22"/>
      <c r="O42" s="25">
        <v>3600.0</v>
      </c>
      <c r="P42" s="26">
        <v>3600.0</v>
      </c>
      <c r="Q42" s="118">
        <f t="shared" si="1"/>
        <v>0</v>
      </c>
      <c r="R42" s="26"/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83"/>
      <c r="B43" s="29"/>
      <c r="C43" s="18"/>
      <c r="D43" s="19"/>
      <c r="E43" s="20"/>
      <c r="F43" s="21"/>
      <c r="G43" s="22"/>
      <c r="H43" s="25"/>
      <c r="I43" s="30"/>
      <c r="J43" s="30"/>
      <c r="K43" s="24"/>
      <c r="L43" s="22"/>
      <c r="M43" s="25"/>
      <c r="N43" s="22"/>
      <c r="O43" s="25"/>
      <c r="P43" s="26"/>
      <c r="Q43" s="118"/>
      <c r="R43" s="26"/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83"/>
      <c r="B44" s="29"/>
      <c r="C44" s="18"/>
      <c r="D44" s="19"/>
      <c r="E44" s="20"/>
      <c r="F44" s="21"/>
      <c r="G44" s="22"/>
      <c r="H44" s="25"/>
      <c r="I44" s="30"/>
      <c r="J44" s="30"/>
      <c r="K44" s="24"/>
      <c r="L44" s="22"/>
      <c r="M44" s="25"/>
      <c r="N44" s="22"/>
      <c r="O44" s="25"/>
      <c r="P44" s="26"/>
      <c r="Q44" s="118"/>
      <c r="R44" s="26"/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7.5" customHeight="1">
      <c r="A45" s="16"/>
      <c r="B45" s="64"/>
      <c r="C45" s="65"/>
      <c r="D45" s="66" t="s">
        <v>135</v>
      </c>
      <c r="E45" s="67"/>
      <c r="F45" s="68">
        <f t="shared" ref="F45:P45" si="2">SUM(F5:F44)</f>
        <v>300</v>
      </c>
      <c r="G45" s="68">
        <f t="shared" si="2"/>
        <v>12390</v>
      </c>
      <c r="H45" s="68">
        <f t="shared" si="2"/>
        <v>28000</v>
      </c>
      <c r="I45" s="68">
        <f t="shared" si="2"/>
        <v>46750</v>
      </c>
      <c r="J45" s="68">
        <f t="shared" si="2"/>
        <v>20900</v>
      </c>
      <c r="K45" s="68">
        <f t="shared" si="2"/>
        <v>15000</v>
      </c>
      <c r="L45" s="68">
        <f t="shared" si="2"/>
        <v>0</v>
      </c>
      <c r="M45" s="68">
        <f t="shared" si="2"/>
        <v>10785</v>
      </c>
      <c r="N45" s="68">
        <f t="shared" si="2"/>
        <v>0</v>
      </c>
      <c r="O45" s="68">
        <f t="shared" si="2"/>
        <v>15200</v>
      </c>
      <c r="P45" s="68">
        <f t="shared" si="2"/>
        <v>149325</v>
      </c>
      <c r="Q45" s="68">
        <f>SUM(Q7:Q44)</f>
        <v>0</v>
      </c>
      <c r="R45" s="69"/>
      <c r="S45" s="28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</row>
    <row r="46" ht="58.5" customHeight="1">
      <c r="A46" s="70"/>
      <c r="B46" s="70"/>
      <c r="C46" s="71"/>
      <c r="D46" s="70"/>
      <c r="E46" s="70"/>
      <c r="F46" s="72">
        <f>F45+G45+H45+I45+J45+K45+L45+M45+N45+O45</f>
        <v>149325</v>
      </c>
      <c r="P46" s="73"/>
      <c r="Q46" s="73"/>
      <c r="R46" s="70"/>
      <c r="S46" s="70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5" t="s">
        <v>135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82" t="s">
        <v>229</v>
      </c>
      <c r="D50" s="4"/>
      <c r="E50" s="76" t="s">
        <v>136</v>
      </c>
      <c r="F50" s="77" t="s">
        <v>137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78" t="s">
        <v>138</v>
      </c>
      <c r="F51" s="77" t="s">
        <v>759</v>
      </c>
      <c r="G51" s="4"/>
      <c r="H51" s="4"/>
      <c r="I51" s="4"/>
      <c r="J51" s="4"/>
      <c r="K51" s="4"/>
      <c r="L51" s="4"/>
      <c r="M51" s="4"/>
      <c r="N51" s="4"/>
      <c r="O51" s="79" t="s">
        <v>135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78" t="s">
        <v>140</v>
      </c>
      <c r="F52" s="77" t="s">
        <v>146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78" t="s">
        <v>141</v>
      </c>
      <c r="F53" s="77" t="s">
        <v>230</v>
      </c>
      <c r="G53" s="4"/>
      <c r="H53" s="4"/>
      <c r="I53" s="4"/>
      <c r="J53" s="4"/>
      <c r="K53" s="4" t="s">
        <v>135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78" t="s">
        <v>142</v>
      </c>
      <c r="F54" s="77" t="s">
        <v>230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78" t="s">
        <v>819</v>
      </c>
      <c r="F55" s="77" t="s">
        <v>230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74"/>
      <c r="D56" s="4"/>
      <c r="E56" s="78" t="s">
        <v>145</v>
      </c>
      <c r="F56" s="77" t="s">
        <v>820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74"/>
      <c r="D57" s="4"/>
      <c r="E57" s="78" t="s">
        <v>147</v>
      </c>
      <c r="F57" s="80" t="s">
        <v>137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79" t="s">
        <v>135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79" t="s">
        <v>148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>
        <v>7.0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7">
    <mergeCell ref="R2:R4"/>
    <mergeCell ref="S2:S4"/>
    <mergeCell ref="F3:F4"/>
    <mergeCell ref="G3:H3"/>
    <mergeCell ref="I3:J3"/>
    <mergeCell ref="K3:K4"/>
    <mergeCell ref="F46:O4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821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45641.0</v>
      </c>
      <c r="C5" s="18" t="s">
        <v>822</v>
      </c>
      <c r="D5" s="19">
        <v>85488.0</v>
      </c>
      <c r="E5" s="20" t="s">
        <v>823</v>
      </c>
      <c r="F5" s="21"/>
      <c r="G5" s="22"/>
      <c r="H5" s="30"/>
      <c r="I5" s="23">
        <v>300.0</v>
      </c>
      <c r="J5" s="23"/>
      <c r="K5" s="25"/>
      <c r="L5" s="25"/>
      <c r="M5" s="30"/>
      <c r="N5" s="22"/>
      <c r="O5" s="22"/>
      <c r="P5" s="26">
        <v>300.0</v>
      </c>
      <c r="Q5" s="118">
        <f t="shared" ref="Q5:Q34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45641.0</v>
      </c>
      <c r="C6" s="18" t="s">
        <v>824</v>
      </c>
      <c r="D6" s="19">
        <v>10357.0</v>
      </c>
      <c r="E6" s="20" t="s">
        <v>108</v>
      </c>
      <c r="F6" s="21"/>
      <c r="G6" s="22"/>
      <c r="H6" s="30"/>
      <c r="I6" s="23"/>
      <c r="J6" s="23"/>
      <c r="K6" s="25">
        <v>3700.0</v>
      </c>
      <c r="L6" s="25"/>
      <c r="M6" s="30"/>
      <c r="N6" s="22"/>
      <c r="O6" s="22"/>
      <c r="P6" s="26">
        <v>3700.0</v>
      </c>
      <c r="Q6" s="118">
        <f t="shared" si="1"/>
        <v>0</v>
      </c>
      <c r="R6" s="26" t="s">
        <v>48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45642.0</v>
      </c>
      <c r="C7" s="18" t="s">
        <v>825</v>
      </c>
      <c r="D7" s="19">
        <v>57773.0</v>
      </c>
      <c r="E7" s="20" t="s">
        <v>451</v>
      </c>
      <c r="F7" s="21"/>
      <c r="G7" s="22"/>
      <c r="H7" s="30"/>
      <c r="I7" s="23">
        <v>1290.0</v>
      </c>
      <c r="J7" s="23"/>
      <c r="K7" s="22"/>
      <c r="L7" s="25"/>
      <c r="M7" s="30"/>
      <c r="N7" s="22"/>
      <c r="O7" s="22"/>
      <c r="P7" s="26">
        <v>1290.0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45642.0</v>
      </c>
      <c r="C8" s="18" t="s">
        <v>826</v>
      </c>
      <c r="D8" s="19">
        <v>31927.0</v>
      </c>
      <c r="E8" s="20" t="s">
        <v>116</v>
      </c>
      <c r="F8" s="30"/>
      <c r="G8" s="25"/>
      <c r="H8" s="30"/>
      <c r="I8" s="23">
        <v>2500.0</v>
      </c>
      <c r="J8" s="23"/>
      <c r="K8" s="22"/>
      <c r="L8" s="25"/>
      <c r="M8" s="30"/>
      <c r="N8" s="22"/>
      <c r="O8" s="22"/>
      <c r="P8" s="26">
        <v>2500.0</v>
      </c>
      <c r="Q8" s="118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45642.0</v>
      </c>
      <c r="C9" s="18" t="s">
        <v>827</v>
      </c>
      <c r="D9" s="19">
        <v>48854.0</v>
      </c>
      <c r="E9" s="20" t="s">
        <v>591</v>
      </c>
      <c r="F9" s="21"/>
      <c r="G9" s="25"/>
      <c r="H9" s="25"/>
      <c r="I9" s="30">
        <v>2600.0</v>
      </c>
      <c r="J9" s="25"/>
      <c r="K9" s="25"/>
      <c r="L9" s="22"/>
      <c r="M9" s="21"/>
      <c r="N9" s="22"/>
      <c r="O9" s="22"/>
      <c r="P9" s="26">
        <v>2600.0</v>
      </c>
      <c r="Q9" s="118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45642.0</v>
      </c>
      <c r="C10" s="18" t="s">
        <v>828</v>
      </c>
      <c r="D10" s="19">
        <v>19688.0</v>
      </c>
      <c r="E10" s="20" t="s">
        <v>260</v>
      </c>
      <c r="F10" s="22"/>
      <c r="G10" s="25"/>
      <c r="H10" s="30"/>
      <c r="I10" s="30"/>
      <c r="J10" s="23">
        <v>8800.0</v>
      </c>
      <c r="K10" s="25"/>
      <c r="L10" s="22"/>
      <c r="M10" s="25"/>
      <c r="N10" s="22"/>
      <c r="O10" s="22"/>
      <c r="P10" s="26">
        <v>8800.0</v>
      </c>
      <c r="Q10" s="118">
        <f t="shared" si="1"/>
        <v>0</v>
      </c>
      <c r="R10" s="26" t="s">
        <v>48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45642.0</v>
      </c>
      <c r="C11" s="18" t="s">
        <v>829</v>
      </c>
      <c r="D11" s="19">
        <v>35245.0</v>
      </c>
      <c r="E11" s="20" t="s">
        <v>517</v>
      </c>
      <c r="F11" s="22"/>
      <c r="G11" s="22"/>
      <c r="H11" s="25"/>
      <c r="I11" s="30"/>
      <c r="J11" s="30"/>
      <c r="K11" s="25">
        <v>15000.0</v>
      </c>
      <c r="L11" s="22"/>
      <c r="M11" s="30"/>
      <c r="N11" s="22"/>
      <c r="O11" s="22"/>
      <c r="P11" s="26">
        <v>15000.0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45642.0</v>
      </c>
      <c r="C12" s="107" t="s">
        <v>830</v>
      </c>
      <c r="D12" s="108">
        <v>76610.0</v>
      </c>
      <c r="E12" s="109" t="s">
        <v>831</v>
      </c>
      <c r="F12" s="110"/>
      <c r="G12" s="110"/>
      <c r="H12" s="115"/>
      <c r="I12" s="111"/>
      <c r="J12" s="111">
        <v>4500.0</v>
      </c>
      <c r="K12" s="110"/>
      <c r="L12" s="110"/>
      <c r="M12" s="111"/>
      <c r="N12" s="110"/>
      <c r="O12" s="110"/>
      <c r="P12" s="113">
        <v>4500.0</v>
      </c>
      <c r="Q12" s="118">
        <f t="shared" si="1"/>
        <v>0</v>
      </c>
      <c r="R12" s="113" t="s">
        <v>48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45642.0</v>
      </c>
      <c r="C13" s="18" t="s">
        <v>832</v>
      </c>
      <c r="D13" s="19">
        <v>33616.0</v>
      </c>
      <c r="E13" s="20" t="s">
        <v>833</v>
      </c>
      <c r="F13" s="22"/>
      <c r="G13" s="25"/>
      <c r="H13" s="25"/>
      <c r="I13" s="30"/>
      <c r="J13" s="30">
        <v>1550.0</v>
      </c>
      <c r="K13" s="25"/>
      <c r="L13" s="22"/>
      <c r="M13" s="30"/>
      <c r="N13" s="22"/>
      <c r="O13" s="22"/>
      <c r="P13" s="26">
        <v>1550.0</v>
      </c>
      <c r="Q13" s="118">
        <f t="shared" si="1"/>
        <v>0</v>
      </c>
      <c r="R13" s="26" t="s">
        <v>30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45642.0</v>
      </c>
      <c r="C14" s="18" t="s">
        <v>834</v>
      </c>
      <c r="D14" s="19">
        <v>51512.0</v>
      </c>
      <c r="E14" s="20" t="s">
        <v>835</v>
      </c>
      <c r="F14" s="22"/>
      <c r="G14" s="22"/>
      <c r="H14" s="25"/>
      <c r="I14" s="30"/>
      <c r="J14" s="30">
        <v>17500.0</v>
      </c>
      <c r="K14" s="22"/>
      <c r="L14" s="22"/>
      <c r="M14" s="21"/>
      <c r="N14" s="22"/>
      <c r="O14" s="22"/>
      <c r="P14" s="26">
        <v>17500.0</v>
      </c>
      <c r="Q14" s="118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45642.0</v>
      </c>
      <c r="C15" s="33" t="s">
        <v>836</v>
      </c>
      <c r="D15" s="34">
        <v>54763.0</v>
      </c>
      <c r="E15" s="35" t="s">
        <v>171</v>
      </c>
      <c r="F15" s="22"/>
      <c r="G15" s="22"/>
      <c r="H15" s="25"/>
      <c r="I15" s="30">
        <v>2500.0</v>
      </c>
      <c r="J15" s="30"/>
      <c r="K15" s="25"/>
      <c r="L15" s="22"/>
      <c r="M15" s="30"/>
      <c r="N15" s="22"/>
      <c r="O15" s="22"/>
      <c r="P15" s="36">
        <v>2500.0</v>
      </c>
      <c r="Q15" s="118">
        <f t="shared" si="1"/>
        <v>0</v>
      </c>
      <c r="R15" s="36" t="s">
        <v>33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45642.0</v>
      </c>
      <c r="C16" s="33" t="s">
        <v>837</v>
      </c>
      <c r="D16" s="34">
        <v>44149.0</v>
      </c>
      <c r="E16" s="35" t="s">
        <v>705</v>
      </c>
      <c r="F16" s="25"/>
      <c r="G16" s="22"/>
      <c r="H16" s="25"/>
      <c r="I16" s="30">
        <v>10000.0</v>
      </c>
      <c r="J16" s="30"/>
      <c r="K16" s="25"/>
      <c r="L16" s="22"/>
      <c r="M16" s="21"/>
      <c r="N16" s="22"/>
      <c r="O16" s="22"/>
      <c r="P16" s="36">
        <v>10000.0</v>
      </c>
      <c r="Q16" s="118">
        <f t="shared" si="1"/>
        <v>0</v>
      </c>
      <c r="R16" s="36" t="s">
        <v>33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45642.0</v>
      </c>
      <c r="C17" s="18" t="s">
        <v>838</v>
      </c>
      <c r="D17" s="19">
        <v>22332.0</v>
      </c>
      <c r="E17" s="20" t="s">
        <v>60</v>
      </c>
      <c r="F17" s="30"/>
      <c r="G17" s="22"/>
      <c r="H17" s="25"/>
      <c r="I17" s="30">
        <v>100.0</v>
      </c>
      <c r="J17" s="30"/>
      <c r="K17" s="24"/>
      <c r="L17" s="22"/>
      <c r="M17" s="22"/>
      <c r="N17" s="22"/>
      <c r="O17" s="22"/>
      <c r="P17" s="26">
        <v>100.0</v>
      </c>
      <c r="Q17" s="118">
        <f t="shared" si="1"/>
        <v>0</v>
      </c>
      <c r="R17" s="26" t="s">
        <v>25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45642.0</v>
      </c>
      <c r="C18" s="18" t="s">
        <v>839</v>
      </c>
      <c r="D18" s="19">
        <v>70472.0</v>
      </c>
      <c r="E18" s="20" t="s">
        <v>840</v>
      </c>
      <c r="F18" s="30"/>
      <c r="G18" s="22"/>
      <c r="H18" s="25"/>
      <c r="I18" s="30">
        <v>10000.0</v>
      </c>
      <c r="J18" s="30"/>
      <c r="K18" s="24"/>
      <c r="L18" s="22"/>
      <c r="M18" s="22"/>
      <c r="N18" s="22"/>
      <c r="O18" s="22"/>
      <c r="P18" s="26">
        <v>10000.0</v>
      </c>
      <c r="Q18" s="118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45642.0</v>
      </c>
      <c r="C19" s="18" t="s">
        <v>841</v>
      </c>
      <c r="D19" s="19">
        <v>43955.0</v>
      </c>
      <c r="E19" s="20" t="s">
        <v>683</v>
      </c>
      <c r="F19" s="30"/>
      <c r="G19" s="22"/>
      <c r="H19" s="25"/>
      <c r="I19" s="30"/>
      <c r="J19" s="30">
        <v>400.0</v>
      </c>
      <c r="K19" s="24"/>
      <c r="L19" s="22"/>
      <c r="M19" s="22"/>
      <c r="N19" s="22"/>
      <c r="O19" s="22"/>
      <c r="P19" s="26">
        <v>400.0</v>
      </c>
      <c r="Q19" s="118">
        <f t="shared" si="1"/>
        <v>0</v>
      </c>
      <c r="R19" s="26" t="s">
        <v>33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45642.0</v>
      </c>
      <c r="C20" s="18" t="s">
        <v>842</v>
      </c>
      <c r="D20" s="19">
        <v>58818.0</v>
      </c>
      <c r="E20" s="20" t="s">
        <v>843</v>
      </c>
      <c r="F20" s="30"/>
      <c r="G20" s="25"/>
      <c r="H20" s="25"/>
      <c r="I20" s="30">
        <v>4600.0</v>
      </c>
      <c r="J20" s="21"/>
      <c r="K20" s="23"/>
      <c r="L20" s="22"/>
      <c r="M20" s="22"/>
      <c r="N20" s="22"/>
      <c r="O20" s="22"/>
      <c r="P20" s="26">
        <v>4600.0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45642.0</v>
      </c>
      <c r="C21" s="18" t="s">
        <v>844</v>
      </c>
      <c r="D21" s="19">
        <v>37642.0</v>
      </c>
      <c r="E21" s="20" t="s">
        <v>339</v>
      </c>
      <c r="F21" s="30"/>
      <c r="G21" s="22"/>
      <c r="H21" s="25"/>
      <c r="I21" s="30"/>
      <c r="J21" s="30"/>
      <c r="K21" s="23">
        <v>10000.0</v>
      </c>
      <c r="L21" s="22"/>
      <c r="M21" s="22"/>
      <c r="N21" s="22"/>
      <c r="O21" s="22"/>
      <c r="P21" s="26">
        <v>10000.0</v>
      </c>
      <c r="Q21" s="118">
        <f t="shared" si="1"/>
        <v>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45642.0</v>
      </c>
      <c r="C22" s="18" t="s">
        <v>845</v>
      </c>
      <c r="D22" s="19">
        <v>42046.0</v>
      </c>
      <c r="E22" s="20" t="s">
        <v>407</v>
      </c>
      <c r="F22" s="30"/>
      <c r="G22" s="25"/>
      <c r="H22" s="25"/>
      <c r="I22" s="30"/>
      <c r="J22" s="30"/>
      <c r="K22" s="23">
        <v>62040.0</v>
      </c>
      <c r="L22" s="22"/>
      <c r="M22" s="25"/>
      <c r="N22" s="22"/>
      <c r="O22" s="22"/>
      <c r="P22" s="26">
        <v>62040.0</v>
      </c>
      <c r="Q22" s="118">
        <f t="shared" si="1"/>
        <v>0</v>
      </c>
      <c r="R22" s="26" t="s">
        <v>30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45642.0</v>
      </c>
      <c r="C23" s="18" t="s">
        <v>846</v>
      </c>
      <c r="D23" s="19">
        <v>38098.0</v>
      </c>
      <c r="E23" s="20" t="s">
        <v>76</v>
      </c>
      <c r="F23" s="30"/>
      <c r="G23" s="22"/>
      <c r="H23" s="25"/>
      <c r="I23" s="30"/>
      <c r="J23" s="30">
        <v>4740.0</v>
      </c>
      <c r="K23" s="24"/>
      <c r="L23" s="22"/>
      <c r="M23" s="25"/>
      <c r="N23" s="22"/>
      <c r="O23" s="22"/>
      <c r="P23" s="26">
        <v>4740.0</v>
      </c>
      <c r="Q23" s="118">
        <f t="shared" si="1"/>
        <v>0</v>
      </c>
      <c r="R23" s="26" t="s">
        <v>33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45642.0</v>
      </c>
      <c r="C24" s="18" t="s">
        <v>847</v>
      </c>
      <c r="D24" s="19">
        <v>52240.0</v>
      </c>
      <c r="E24" s="20" t="s">
        <v>848</v>
      </c>
      <c r="F24" s="30"/>
      <c r="G24" s="22"/>
      <c r="H24" s="25"/>
      <c r="I24" s="30"/>
      <c r="J24" s="30">
        <v>10000.0</v>
      </c>
      <c r="K24" s="23"/>
      <c r="L24" s="22"/>
      <c r="M24" s="25"/>
      <c r="N24" s="22"/>
      <c r="O24" s="22"/>
      <c r="P24" s="26">
        <v>10000.0</v>
      </c>
      <c r="Q24" s="118">
        <f t="shared" si="1"/>
        <v>0</v>
      </c>
      <c r="R24" s="26" t="s">
        <v>48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45642.0</v>
      </c>
      <c r="C25" s="18" t="s">
        <v>849</v>
      </c>
      <c r="D25" s="19">
        <v>84112.0</v>
      </c>
      <c r="E25" s="20" t="s">
        <v>850</v>
      </c>
      <c r="F25" s="30"/>
      <c r="G25" s="22"/>
      <c r="H25" s="25"/>
      <c r="I25" s="30"/>
      <c r="J25" s="30">
        <v>5100.0</v>
      </c>
      <c r="K25" s="24"/>
      <c r="L25" s="22"/>
      <c r="M25" s="25"/>
      <c r="N25" s="22"/>
      <c r="O25" s="22"/>
      <c r="P25" s="26">
        <v>5100.0</v>
      </c>
      <c r="Q25" s="118">
        <f t="shared" si="1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45642.0</v>
      </c>
      <c r="C26" s="18" t="s">
        <v>851</v>
      </c>
      <c r="D26" s="19">
        <v>84683.0</v>
      </c>
      <c r="E26" s="20" t="s">
        <v>748</v>
      </c>
      <c r="F26" s="21"/>
      <c r="G26" s="22"/>
      <c r="H26" s="25"/>
      <c r="I26" s="30"/>
      <c r="J26" s="30"/>
      <c r="K26" s="24"/>
      <c r="L26" s="22"/>
      <c r="M26" s="25">
        <v>2500.0</v>
      </c>
      <c r="N26" s="22"/>
      <c r="O26" s="22"/>
      <c r="P26" s="26">
        <v>2500.0</v>
      </c>
      <c r="Q26" s="118">
        <f t="shared" si="1"/>
        <v>0</v>
      </c>
      <c r="R26" s="26" t="s">
        <v>30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45642.0</v>
      </c>
      <c r="C27" s="18" t="s">
        <v>852</v>
      </c>
      <c r="D27" s="19">
        <v>59345.0</v>
      </c>
      <c r="E27" s="20" t="s">
        <v>853</v>
      </c>
      <c r="F27" s="21"/>
      <c r="G27" s="22"/>
      <c r="H27" s="25"/>
      <c r="I27" s="30"/>
      <c r="J27" s="30">
        <v>10000.0</v>
      </c>
      <c r="K27" s="23"/>
      <c r="L27" s="22"/>
      <c r="M27" s="25"/>
      <c r="N27" s="22"/>
      <c r="O27" s="22"/>
      <c r="P27" s="26">
        <v>10000.0</v>
      </c>
      <c r="Q27" s="118">
        <f t="shared" si="1"/>
        <v>0</v>
      </c>
      <c r="R27" s="26" t="s">
        <v>30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45642.0</v>
      </c>
      <c r="C28" s="18" t="s">
        <v>854</v>
      </c>
      <c r="D28" s="19">
        <v>21971.0</v>
      </c>
      <c r="E28" s="20" t="s">
        <v>505</v>
      </c>
      <c r="F28" s="21"/>
      <c r="G28" s="22"/>
      <c r="H28" s="25"/>
      <c r="I28" s="30">
        <v>290.0</v>
      </c>
      <c r="J28" s="30"/>
      <c r="K28" s="23"/>
      <c r="L28" s="22"/>
      <c r="M28" s="25"/>
      <c r="N28" s="22"/>
      <c r="O28" s="22"/>
      <c r="P28" s="26">
        <v>290.0</v>
      </c>
      <c r="Q28" s="118">
        <f t="shared" si="1"/>
        <v>0</v>
      </c>
      <c r="R28" s="26" t="s">
        <v>48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45642.0</v>
      </c>
      <c r="C29" s="18" t="s">
        <v>855</v>
      </c>
      <c r="D29" s="19">
        <v>26005.0</v>
      </c>
      <c r="E29" s="20" t="s">
        <v>596</v>
      </c>
      <c r="F29" s="21"/>
      <c r="G29" s="22"/>
      <c r="H29" s="25"/>
      <c r="I29" s="30">
        <v>1500.0</v>
      </c>
      <c r="J29" s="21"/>
      <c r="K29" s="23"/>
      <c r="L29" s="22"/>
      <c r="M29" s="25"/>
      <c r="N29" s="22"/>
      <c r="O29" s="25"/>
      <c r="P29" s="26">
        <v>1500.0</v>
      </c>
      <c r="Q29" s="118">
        <f t="shared" si="1"/>
        <v>0</v>
      </c>
      <c r="R29" s="26" t="s">
        <v>25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45642.0</v>
      </c>
      <c r="C30" s="18" t="s">
        <v>856</v>
      </c>
      <c r="D30" s="19">
        <v>50596.0</v>
      </c>
      <c r="E30" s="20" t="s">
        <v>293</v>
      </c>
      <c r="F30" s="21"/>
      <c r="G30" s="22"/>
      <c r="H30" s="25"/>
      <c r="I30" s="30">
        <v>5200.0</v>
      </c>
      <c r="J30" s="30"/>
      <c r="K30" s="23"/>
      <c r="L30" s="22"/>
      <c r="M30" s="22"/>
      <c r="N30" s="22"/>
      <c r="O30" s="22"/>
      <c r="P30" s="26">
        <v>5200.0</v>
      </c>
      <c r="Q30" s="118">
        <f t="shared" si="1"/>
        <v>0</v>
      </c>
      <c r="R30" s="26" t="s">
        <v>30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45642.0</v>
      </c>
      <c r="C31" s="18" t="s">
        <v>857</v>
      </c>
      <c r="D31" s="19">
        <v>10357.0</v>
      </c>
      <c r="E31" s="20" t="s">
        <v>108</v>
      </c>
      <c r="F31" s="21"/>
      <c r="G31" s="25"/>
      <c r="H31" s="25"/>
      <c r="I31" s="30">
        <v>100.0</v>
      </c>
      <c r="J31" s="30"/>
      <c r="K31" s="24"/>
      <c r="L31" s="22"/>
      <c r="M31" s="25"/>
      <c r="N31" s="22"/>
      <c r="O31" s="22"/>
      <c r="P31" s="26">
        <v>100.0</v>
      </c>
      <c r="Q31" s="118">
        <f t="shared" si="1"/>
        <v>0</v>
      </c>
      <c r="R31" s="26" t="s">
        <v>48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51">
        <v>45642.0</v>
      </c>
      <c r="C32" s="52" t="s">
        <v>858</v>
      </c>
      <c r="D32" s="53">
        <v>79201.0</v>
      </c>
      <c r="E32" s="54" t="s">
        <v>859</v>
      </c>
      <c r="F32" s="55"/>
      <c r="G32" s="57"/>
      <c r="H32" s="56"/>
      <c r="I32" s="49">
        <v>7000.0</v>
      </c>
      <c r="J32" s="55"/>
      <c r="K32" s="119"/>
      <c r="L32" s="57"/>
      <c r="M32" s="56"/>
      <c r="N32" s="57"/>
      <c r="O32" s="57"/>
      <c r="P32" s="59">
        <v>7000.0</v>
      </c>
      <c r="Q32" s="118">
        <f t="shared" si="1"/>
        <v>0</v>
      </c>
      <c r="R32" s="26" t="s">
        <v>48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32">
        <v>45642.0</v>
      </c>
      <c r="C33" s="33" t="s">
        <v>860</v>
      </c>
      <c r="D33" s="34">
        <v>43380.0</v>
      </c>
      <c r="E33" s="35" t="s">
        <v>345</v>
      </c>
      <c r="F33" s="21"/>
      <c r="G33" s="25"/>
      <c r="H33" s="25">
        <v>10000.0</v>
      </c>
      <c r="I33" s="30"/>
      <c r="J33" s="30"/>
      <c r="K33" s="24"/>
      <c r="L33" s="22"/>
      <c r="M33" s="25"/>
      <c r="N33" s="22"/>
      <c r="O33" s="22"/>
      <c r="P33" s="36">
        <v>10000.0</v>
      </c>
      <c r="Q33" s="118">
        <f t="shared" si="1"/>
        <v>0</v>
      </c>
      <c r="R33" s="26"/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45642.0</v>
      </c>
      <c r="C34" s="18" t="s">
        <v>861</v>
      </c>
      <c r="D34" s="19">
        <v>51040.0</v>
      </c>
      <c r="E34" s="20" t="s">
        <v>420</v>
      </c>
      <c r="F34" s="30"/>
      <c r="G34" s="22"/>
      <c r="H34" s="25">
        <v>15000.0</v>
      </c>
      <c r="I34" s="30"/>
      <c r="J34" s="30"/>
      <c r="K34" s="24"/>
      <c r="L34" s="22"/>
      <c r="M34" s="25"/>
      <c r="N34" s="22"/>
      <c r="O34" s="22"/>
      <c r="P34" s="26">
        <v>15000.0</v>
      </c>
      <c r="Q34" s="118">
        <f t="shared" si="1"/>
        <v>0</v>
      </c>
      <c r="R34" s="26"/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/>
      <c r="B35" s="29"/>
      <c r="C35" s="18"/>
      <c r="D35" s="19"/>
      <c r="E35" s="20"/>
      <c r="F35" s="21"/>
      <c r="G35" s="22"/>
      <c r="H35" s="25"/>
      <c r="I35" s="30"/>
      <c r="J35" s="30"/>
      <c r="K35" s="24"/>
      <c r="L35" s="22"/>
      <c r="M35" s="25"/>
      <c r="N35" s="22"/>
      <c r="O35" s="25"/>
      <c r="P35" s="26"/>
      <c r="Q35" s="118"/>
      <c r="R35" s="26"/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7.5" customHeight="1">
      <c r="A36" s="16"/>
      <c r="B36" s="64"/>
      <c r="C36" s="65"/>
      <c r="D36" s="66" t="s">
        <v>135</v>
      </c>
      <c r="E36" s="67"/>
      <c r="F36" s="68">
        <f t="shared" ref="F36:P36" si="2">SUM(F5:F35)</f>
        <v>0</v>
      </c>
      <c r="G36" s="68">
        <f t="shared" si="2"/>
        <v>0</v>
      </c>
      <c r="H36" s="68">
        <f t="shared" si="2"/>
        <v>25000</v>
      </c>
      <c r="I36" s="68">
        <f t="shared" si="2"/>
        <v>47980</v>
      </c>
      <c r="J36" s="68">
        <f t="shared" si="2"/>
        <v>62590</v>
      </c>
      <c r="K36" s="68">
        <f t="shared" si="2"/>
        <v>90740</v>
      </c>
      <c r="L36" s="68">
        <f t="shared" si="2"/>
        <v>0</v>
      </c>
      <c r="M36" s="68">
        <f t="shared" si="2"/>
        <v>2500</v>
      </c>
      <c r="N36" s="68">
        <f t="shared" si="2"/>
        <v>0</v>
      </c>
      <c r="O36" s="68">
        <f t="shared" si="2"/>
        <v>0</v>
      </c>
      <c r="P36" s="68">
        <f t="shared" si="2"/>
        <v>228810</v>
      </c>
      <c r="Q36" s="68">
        <f>SUM(Q7:Q35)</f>
        <v>0</v>
      </c>
      <c r="R36" s="69"/>
      <c r="S36" s="28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58.5" customHeight="1">
      <c r="A37" s="70"/>
      <c r="B37" s="70"/>
      <c r="C37" s="71"/>
      <c r="D37" s="70"/>
      <c r="E37" s="70"/>
      <c r="F37" s="72">
        <f>F36+G36+H36+I36+J36+K36+L36+M36+N36+O36</f>
        <v>228810</v>
      </c>
      <c r="P37" s="73"/>
      <c r="Q37" s="73"/>
      <c r="R37" s="70"/>
      <c r="S37" s="70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ht="15.75" customHeight="1">
      <c r="A38" s="4"/>
      <c r="B38" s="4"/>
      <c r="C38" s="7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5" t="s">
        <v>135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82" t="s">
        <v>229</v>
      </c>
      <c r="D41" s="4"/>
      <c r="E41" s="76" t="s">
        <v>136</v>
      </c>
      <c r="F41" s="77" t="s">
        <v>137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138</v>
      </c>
      <c r="F42" s="77" t="s">
        <v>230</v>
      </c>
      <c r="G42" s="4"/>
      <c r="H42" s="4"/>
      <c r="I42" s="4"/>
      <c r="J42" s="4"/>
      <c r="K42" s="4"/>
      <c r="L42" s="4"/>
      <c r="M42" s="4"/>
      <c r="N42" s="4"/>
      <c r="O42" s="79" t="s">
        <v>135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78" t="s">
        <v>140</v>
      </c>
      <c r="F43" s="77" t="s">
        <v>139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78" t="s">
        <v>141</v>
      </c>
      <c r="F44" s="77" t="s">
        <v>139</v>
      </c>
      <c r="G44" s="4"/>
      <c r="H44" s="4"/>
      <c r="I44" s="4"/>
      <c r="J44" s="4"/>
      <c r="K44" s="4" t="s">
        <v>135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78" t="s">
        <v>142</v>
      </c>
      <c r="F45" s="77" t="s">
        <v>143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78" t="s">
        <v>862</v>
      </c>
      <c r="F46" s="77" t="s">
        <v>139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145</v>
      </c>
      <c r="F47" s="77" t="s">
        <v>820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147</v>
      </c>
      <c r="F48" s="80" t="s">
        <v>137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79" t="s">
        <v>135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 t="str">
        <f>I72436</f>
        <v/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79" t="s">
        <v>148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>
        <v>7.0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">
    <mergeCell ref="R2:R4"/>
    <mergeCell ref="S2:S4"/>
    <mergeCell ref="F3:F4"/>
    <mergeCell ref="G3:H3"/>
    <mergeCell ref="I3:J3"/>
    <mergeCell ref="K3:K4"/>
    <mergeCell ref="F37:O3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863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45642.0</v>
      </c>
      <c r="C5" s="18" t="s">
        <v>864</v>
      </c>
      <c r="D5" s="19">
        <v>46654.0</v>
      </c>
      <c r="E5" s="20" t="s">
        <v>865</v>
      </c>
      <c r="F5" s="21"/>
      <c r="G5" s="22"/>
      <c r="H5" s="30"/>
      <c r="I5" s="23"/>
      <c r="J5" s="23">
        <v>1300.0</v>
      </c>
      <c r="K5" s="25"/>
      <c r="L5" s="25"/>
      <c r="M5" s="30"/>
      <c r="N5" s="22"/>
      <c r="O5" s="22"/>
      <c r="P5" s="26">
        <v>1300.0</v>
      </c>
      <c r="Q5" s="118">
        <f t="shared" ref="Q5:Q27" si="1">F5+G5+H5+I5+J5+K5+L5+M5+N5+O5-P5</f>
        <v>0</v>
      </c>
      <c r="R5" s="26" t="s">
        <v>30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45642.0</v>
      </c>
      <c r="C6" s="18" t="s">
        <v>866</v>
      </c>
      <c r="D6" s="19">
        <v>45929.0</v>
      </c>
      <c r="E6" s="20" t="s">
        <v>507</v>
      </c>
      <c r="F6" s="21"/>
      <c r="G6" s="22"/>
      <c r="H6" s="30"/>
      <c r="I6" s="23"/>
      <c r="J6" s="23"/>
      <c r="K6" s="25"/>
      <c r="L6" s="25"/>
      <c r="M6" s="30">
        <v>240.0</v>
      </c>
      <c r="N6" s="22"/>
      <c r="O6" s="22"/>
      <c r="P6" s="26">
        <v>240.0</v>
      </c>
      <c r="Q6" s="118">
        <f t="shared" si="1"/>
        <v>0</v>
      </c>
      <c r="R6" s="26" t="s">
        <v>48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45643.0</v>
      </c>
      <c r="C7" s="18" t="s">
        <v>867</v>
      </c>
      <c r="D7" s="19">
        <v>59244.0</v>
      </c>
      <c r="E7" s="20" t="s">
        <v>50</v>
      </c>
      <c r="F7" s="21"/>
      <c r="G7" s="22"/>
      <c r="H7" s="30"/>
      <c r="I7" s="23">
        <v>1000.0</v>
      </c>
      <c r="J7" s="23"/>
      <c r="K7" s="22"/>
      <c r="L7" s="25"/>
      <c r="M7" s="30"/>
      <c r="N7" s="22"/>
      <c r="O7" s="22"/>
      <c r="P7" s="26">
        <v>1000.0</v>
      </c>
      <c r="Q7" s="118">
        <f t="shared" si="1"/>
        <v>0</v>
      </c>
      <c r="R7" s="26" t="s">
        <v>48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45643.0</v>
      </c>
      <c r="C8" s="18" t="s">
        <v>868</v>
      </c>
      <c r="D8" s="19">
        <v>22332.0</v>
      </c>
      <c r="E8" s="20" t="s">
        <v>60</v>
      </c>
      <c r="F8" s="30"/>
      <c r="G8" s="25"/>
      <c r="H8" s="30"/>
      <c r="I8" s="23">
        <v>2500.0</v>
      </c>
      <c r="J8" s="23"/>
      <c r="K8" s="22"/>
      <c r="L8" s="25"/>
      <c r="M8" s="30"/>
      <c r="N8" s="22"/>
      <c r="O8" s="22"/>
      <c r="P8" s="26">
        <v>2500.0</v>
      </c>
      <c r="Q8" s="118">
        <f t="shared" si="1"/>
        <v>0</v>
      </c>
      <c r="R8" s="26" t="s">
        <v>25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45643.0</v>
      </c>
      <c r="C9" s="18" t="s">
        <v>869</v>
      </c>
      <c r="D9" s="19">
        <v>81108.0</v>
      </c>
      <c r="E9" s="20" t="s">
        <v>246</v>
      </c>
      <c r="F9" s="21"/>
      <c r="G9" s="25"/>
      <c r="H9" s="25"/>
      <c r="I9" s="30">
        <v>14100.0</v>
      </c>
      <c r="J9" s="25"/>
      <c r="K9" s="25"/>
      <c r="L9" s="22"/>
      <c r="M9" s="21"/>
      <c r="N9" s="22"/>
      <c r="O9" s="22"/>
      <c r="P9" s="26">
        <v>14100.0</v>
      </c>
      <c r="Q9" s="118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45643.0</v>
      </c>
      <c r="C10" s="18" t="s">
        <v>870</v>
      </c>
      <c r="D10" s="19">
        <v>84036.0</v>
      </c>
      <c r="E10" s="20" t="s">
        <v>871</v>
      </c>
      <c r="F10" s="22"/>
      <c r="G10" s="25"/>
      <c r="H10" s="30"/>
      <c r="I10" s="30">
        <v>2600.0</v>
      </c>
      <c r="J10" s="23"/>
      <c r="K10" s="25"/>
      <c r="L10" s="22"/>
      <c r="M10" s="25"/>
      <c r="N10" s="22"/>
      <c r="O10" s="22"/>
      <c r="P10" s="26">
        <v>2600.0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45643.0</v>
      </c>
      <c r="C11" s="18" t="s">
        <v>872</v>
      </c>
      <c r="D11" s="19">
        <v>13133.0</v>
      </c>
      <c r="E11" s="20" t="s">
        <v>368</v>
      </c>
      <c r="F11" s="22"/>
      <c r="G11" s="22"/>
      <c r="H11" s="25"/>
      <c r="I11" s="30"/>
      <c r="J11" s="30">
        <v>10290.0</v>
      </c>
      <c r="K11" s="25"/>
      <c r="L11" s="22"/>
      <c r="M11" s="30"/>
      <c r="N11" s="22"/>
      <c r="O11" s="22"/>
      <c r="P11" s="26">
        <v>10290.0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45643.0</v>
      </c>
      <c r="C12" s="107" t="s">
        <v>873</v>
      </c>
      <c r="D12" s="108">
        <v>34920.0</v>
      </c>
      <c r="E12" s="109" t="s">
        <v>874</v>
      </c>
      <c r="F12" s="110"/>
      <c r="G12" s="110"/>
      <c r="H12" s="115"/>
      <c r="I12" s="111">
        <v>530.0</v>
      </c>
      <c r="J12" s="111"/>
      <c r="K12" s="110"/>
      <c r="L12" s="110"/>
      <c r="M12" s="111"/>
      <c r="N12" s="110"/>
      <c r="O12" s="110"/>
      <c r="P12" s="113">
        <v>530.0</v>
      </c>
      <c r="Q12" s="118">
        <f t="shared" si="1"/>
        <v>0</v>
      </c>
      <c r="R12" s="113" t="s">
        <v>25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45643.0</v>
      </c>
      <c r="C13" s="18" t="s">
        <v>875</v>
      </c>
      <c r="D13" s="19">
        <v>79705.0</v>
      </c>
      <c r="E13" s="20" t="s">
        <v>405</v>
      </c>
      <c r="F13" s="22"/>
      <c r="G13" s="25"/>
      <c r="H13" s="25"/>
      <c r="I13" s="30">
        <v>5100.0</v>
      </c>
      <c r="J13" s="30"/>
      <c r="K13" s="25"/>
      <c r="L13" s="22"/>
      <c r="M13" s="30"/>
      <c r="N13" s="22"/>
      <c r="O13" s="22"/>
      <c r="P13" s="26">
        <v>5100.0</v>
      </c>
      <c r="Q13" s="118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45643.0</v>
      </c>
      <c r="C14" s="18" t="s">
        <v>876</v>
      </c>
      <c r="D14" s="19">
        <v>54226.0</v>
      </c>
      <c r="E14" s="20" t="s">
        <v>877</v>
      </c>
      <c r="F14" s="22"/>
      <c r="G14" s="22"/>
      <c r="H14" s="25"/>
      <c r="I14" s="30">
        <v>2600.0</v>
      </c>
      <c r="J14" s="30"/>
      <c r="K14" s="22"/>
      <c r="L14" s="22"/>
      <c r="M14" s="21"/>
      <c r="N14" s="22"/>
      <c r="O14" s="22"/>
      <c r="P14" s="26">
        <v>2600.0</v>
      </c>
      <c r="Q14" s="118">
        <f t="shared" si="1"/>
        <v>0</v>
      </c>
      <c r="R14" s="26" t="s">
        <v>33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45643.0</v>
      </c>
      <c r="C15" s="33" t="s">
        <v>878</v>
      </c>
      <c r="D15" s="34">
        <v>75311.0</v>
      </c>
      <c r="E15" s="35" t="s">
        <v>879</v>
      </c>
      <c r="F15" s="22"/>
      <c r="G15" s="22"/>
      <c r="H15" s="25"/>
      <c r="I15" s="30"/>
      <c r="J15" s="30">
        <v>10000.0</v>
      </c>
      <c r="K15" s="25"/>
      <c r="L15" s="22"/>
      <c r="M15" s="30"/>
      <c r="N15" s="22"/>
      <c r="O15" s="22"/>
      <c r="P15" s="36">
        <v>10000.0</v>
      </c>
      <c r="Q15" s="118">
        <f t="shared" si="1"/>
        <v>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45643.0</v>
      </c>
      <c r="C16" s="33" t="s">
        <v>880</v>
      </c>
      <c r="D16" s="34">
        <v>58257.0</v>
      </c>
      <c r="E16" s="35" t="s">
        <v>387</v>
      </c>
      <c r="F16" s="25"/>
      <c r="G16" s="22"/>
      <c r="H16" s="25"/>
      <c r="I16" s="30"/>
      <c r="J16" s="30">
        <v>2400.0</v>
      </c>
      <c r="K16" s="25"/>
      <c r="L16" s="22"/>
      <c r="M16" s="21"/>
      <c r="N16" s="22"/>
      <c r="O16" s="22"/>
      <c r="P16" s="36">
        <v>2400.0</v>
      </c>
      <c r="Q16" s="118">
        <f t="shared" si="1"/>
        <v>0</v>
      </c>
      <c r="R16" s="36" t="s">
        <v>25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45643.0</v>
      </c>
      <c r="C17" s="18" t="s">
        <v>881</v>
      </c>
      <c r="D17" s="19">
        <v>42046.0</v>
      </c>
      <c r="E17" s="20" t="s">
        <v>407</v>
      </c>
      <c r="F17" s="30"/>
      <c r="G17" s="22"/>
      <c r="H17" s="25"/>
      <c r="I17" s="30">
        <v>6100.0</v>
      </c>
      <c r="J17" s="30"/>
      <c r="K17" s="24"/>
      <c r="L17" s="22"/>
      <c r="M17" s="22"/>
      <c r="N17" s="22"/>
      <c r="O17" s="22"/>
      <c r="P17" s="26">
        <v>6100.0</v>
      </c>
      <c r="Q17" s="118">
        <f t="shared" si="1"/>
        <v>0</v>
      </c>
      <c r="R17" s="26" t="s">
        <v>48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45643.0</v>
      </c>
      <c r="C18" s="18" t="s">
        <v>882</v>
      </c>
      <c r="D18" s="19">
        <v>85535.0</v>
      </c>
      <c r="E18" s="20" t="s">
        <v>883</v>
      </c>
      <c r="F18" s="30"/>
      <c r="G18" s="22"/>
      <c r="H18" s="25"/>
      <c r="I18" s="30"/>
      <c r="J18" s="30"/>
      <c r="K18" s="24"/>
      <c r="L18" s="22"/>
      <c r="M18" s="25">
        <v>300.0</v>
      </c>
      <c r="N18" s="22"/>
      <c r="O18" s="22"/>
      <c r="P18" s="26">
        <v>300.0</v>
      </c>
      <c r="Q18" s="118">
        <f t="shared" si="1"/>
        <v>0</v>
      </c>
      <c r="R18" s="26" t="s">
        <v>33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45643.0</v>
      </c>
      <c r="C19" s="18" t="s">
        <v>884</v>
      </c>
      <c r="D19" s="19">
        <v>17429.0</v>
      </c>
      <c r="E19" s="20" t="s">
        <v>885</v>
      </c>
      <c r="F19" s="30"/>
      <c r="G19" s="25">
        <v>1400.0</v>
      </c>
      <c r="H19" s="25"/>
      <c r="I19" s="30"/>
      <c r="J19" s="30"/>
      <c r="K19" s="24"/>
      <c r="L19" s="22"/>
      <c r="M19" s="22"/>
      <c r="N19" s="22"/>
      <c r="O19" s="22"/>
      <c r="P19" s="26">
        <v>1400.0</v>
      </c>
      <c r="Q19" s="118">
        <f t="shared" si="1"/>
        <v>0</v>
      </c>
      <c r="R19" s="26" t="s">
        <v>48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45643.0</v>
      </c>
      <c r="C20" s="18" t="s">
        <v>886</v>
      </c>
      <c r="D20" s="19">
        <v>80400.0</v>
      </c>
      <c r="E20" s="20" t="s">
        <v>887</v>
      </c>
      <c r="F20" s="30"/>
      <c r="G20" s="25"/>
      <c r="H20" s="25"/>
      <c r="I20" s="30">
        <v>2850.0</v>
      </c>
      <c r="J20" s="21"/>
      <c r="K20" s="23"/>
      <c r="L20" s="22"/>
      <c r="M20" s="22"/>
      <c r="N20" s="22"/>
      <c r="O20" s="22"/>
      <c r="P20" s="26">
        <v>2850.0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45643.0</v>
      </c>
      <c r="C21" s="18" t="s">
        <v>888</v>
      </c>
      <c r="D21" s="19">
        <v>10008.0</v>
      </c>
      <c r="E21" s="20" t="s">
        <v>151</v>
      </c>
      <c r="F21" s="30"/>
      <c r="G21" s="22"/>
      <c r="H21" s="25"/>
      <c r="I21" s="30"/>
      <c r="J21" s="30"/>
      <c r="K21" s="23"/>
      <c r="L21" s="22"/>
      <c r="M21" s="25">
        <v>2400.0</v>
      </c>
      <c r="N21" s="22"/>
      <c r="O21" s="22"/>
      <c r="P21" s="26">
        <v>2400.0</v>
      </c>
      <c r="Q21" s="118">
        <f t="shared" si="1"/>
        <v>0</v>
      </c>
      <c r="R21" s="26" t="s">
        <v>30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45643.0</v>
      </c>
      <c r="C22" s="18" t="s">
        <v>889</v>
      </c>
      <c r="D22" s="19">
        <v>43380.0</v>
      </c>
      <c r="E22" s="20" t="s">
        <v>345</v>
      </c>
      <c r="F22" s="30"/>
      <c r="G22" s="25"/>
      <c r="H22" s="25">
        <v>8600.0</v>
      </c>
      <c r="I22" s="30"/>
      <c r="J22" s="30"/>
      <c r="K22" s="23"/>
      <c r="L22" s="22"/>
      <c r="M22" s="25"/>
      <c r="N22" s="22"/>
      <c r="O22" s="22"/>
      <c r="P22" s="26">
        <v>8600.0</v>
      </c>
      <c r="Q22" s="118">
        <f t="shared" si="1"/>
        <v>0</v>
      </c>
      <c r="R22" s="26"/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45643.0</v>
      </c>
      <c r="C23" s="18" t="s">
        <v>890</v>
      </c>
      <c r="D23" s="19">
        <v>37642.0</v>
      </c>
      <c r="E23" s="20" t="s">
        <v>339</v>
      </c>
      <c r="F23" s="30"/>
      <c r="G23" s="22"/>
      <c r="H23" s="25">
        <v>10000.0</v>
      </c>
      <c r="I23" s="30"/>
      <c r="J23" s="30"/>
      <c r="K23" s="24"/>
      <c r="L23" s="22"/>
      <c r="M23" s="25"/>
      <c r="N23" s="22"/>
      <c r="O23" s="22"/>
      <c r="P23" s="26">
        <v>10000.0</v>
      </c>
      <c r="Q23" s="118">
        <f t="shared" si="1"/>
        <v>0</v>
      </c>
      <c r="R23" s="26"/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45643.0</v>
      </c>
      <c r="C24" s="18" t="s">
        <v>891</v>
      </c>
      <c r="D24" s="19">
        <v>85523.0</v>
      </c>
      <c r="E24" s="20" t="s">
        <v>892</v>
      </c>
      <c r="F24" s="30"/>
      <c r="G24" s="22"/>
      <c r="H24" s="25"/>
      <c r="I24" s="30"/>
      <c r="J24" s="30"/>
      <c r="K24" s="23">
        <v>300.0</v>
      </c>
      <c r="L24" s="22"/>
      <c r="M24" s="25"/>
      <c r="N24" s="22"/>
      <c r="O24" s="22"/>
      <c r="P24" s="26">
        <v>300.0</v>
      </c>
      <c r="Q24" s="118">
        <f t="shared" si="1"/>
        <v>0</v>
      </c>
      <c r="R24" s="26"/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45643.0</v>
      </c>
      <c r="C25" s="18" t="s">
        <v>893</v>
      </c>
      <c r="D25" s="19">
        <v>85523.0</v>
      </c>
      <c r="E25" s="20" t="s">
        <v>892</v>
      </c>
      <c r="F25" s="30"/>
      <c r="G25" s="22"/>
      <c r="H25" s="25"/>
      <c r="I25" s="30"/>
      <c r="J25" s="30"/>
      <c r="K25" s="23">
        <v>7000.0</v>
      </c>
      <c r="L25" s="22"/>
      <c r="M25" s="25"/>
      <c r="N25" s="22"/>
      <c r="O25" s="22"/>
      <c r="P25" s="26">
        <v>7000.0</v>
      </c>
      <c r="Q25" s="118">
        <f t="shared" si="1"/>
        <v>0</v>
      </c>
      <c r="R25" s="26"/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45643.0</v>
      </c>
      <c r="C26" s="18" t="s">
        <v>894</v>
      </c>
      <c r="D26" s="19">
        <v>48072.0</v>
      </c>
      <c r="E26" s="20" t="s">
        <v>134</v>
      </c>
      <c r="F26" s="21"/>
      <c r="G26" s="22"/>
      <c r="H26" s="25">
        <v>2500.0</v>
      </c>
      <c r="I26" s="30"/>
      <c r="J26" s="30"/>
      <c r="K26" s="24"/>
      <c r="L26" s="22"/>
      <c r="M26" s="25"/>
      <c r="N26" s="22"/>
      <c r="O26" s="22"/>
      <c r="P26" s="26">
        <v>2500.0</v>
      </c>
      <c r="Q26" s="118">
        <f t="shared" si="1"/>
        <v>0</v>
      </c>
      <c r="R26" s="26"/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/>
      <c r="B27" s="29"/>
      <c r="C27" s="18"/>
      <c r="D27" s="19"/>
      <c r="E27" s="20"/>
      <c r="F27" s="30"/>
      <c r="G27" s="22"/>
      <c r="H27" s="25"/>
      <c r="I27" s="30"/>
      <c r="J27" s="30"/>
      <c r="K27" s="24"/>
      <c r="L27" s="22"/>
      <c r="M27" s="25"/>
      <c r="N27" s="22"/>
      <c r="O27" s="22"/>
      <c r="P27" s="26"/>
      <c r="Q27" s="118">
        <f t="shared" si="1"/>
        <v>0</v>
      </c>
      <c r="R27" s="26"/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/>
      <c r="B28" s="29"/>
      <c r="C28" s="18"/>
      <c r="D28" s="19"/>
      <c r="E28" s="20"/>
      <c r="F28" s="21"/>
      <c r="G28" s="22"/>
      <c r="H28" s="25"/>
      <c r="I28" s="30"/>
      <c r="J28" s="30"/>
      <c r="K28" s="24"/>
      <c r="L28" s="22"/>
      <c r="M28" s="25"/>
      <c r="N28" s="22"/>
      <c r="O28" s="25"/>
      <c r="P28" s="26"/>
      <c r="Q28" s="118"/>
      <c r="R28" s="26"/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7.5" customHeight="1">
      <c r="A29" s="16"/>
      <c r="B29" s="64"/>
      <c r="C29" s="65"/>
      <c r="D29" s="66" t="s">
        <v>135</v>
      </c>
      <c r="E29" s="67"/>
      <c r="F29" s="68">
        <f t="shared" ref="F29:P29" si="2">SUM(F5:F28)</f>
        <v>0</v>
      </c>
      <c r="G29" s="68">
        <f t="shared" si="2"/>
        <v>1400</v>
      </c>
      <c r="H29" s="68">
        <f t="shared" si="2"/>
        <v>21100</v>
      </c>
      <c r="I29" s="68">
        <f t="shared" si="2"/>
        <v>37380</v>
      </c>
      <c r="J29" s="68">
        <f t="shared" si="2"/>
        <v>23990</v>
      </c>
      <c r="K29" s="68">
        <f t="shared" si="2"/>
        <v>7300</v>
      </c>
      <c r="L29" s="68">
        <f t="shared" si="2"/>
        <v>0</v>
      </c>
      <c r="M29" s="68">
        <f t="shared" si="2"/>
        <v>2940</v>
      </c>
      <c r="N29" s="68">
        <f t="shared" si="2"/>
        <v>0</v>
      </c>
      <c r="O29" s="68">
        <f t="shared" si="2"/>
        <v>0</v>
      </c>
      <c r="P29" s="68">
        <f t="shared" si="2"/>
        <v>94110</v>
      </c>
      <c r="Q29" s="68">
        <f>SUM(Q7:Q28)</f>
        <v>0</v>
      </c>
      <c r="R29" s="69"/>
      <c r="S29" s="28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58.5" customHeight="1">
      <c r="A30" s="70"/>
      <c r="B30" s="70"/>
      <c r="C30" s="71"/>
      <c r="D30" s="70"/>
      <c r="E30" s="70"/>
      <c r="F30" s="72">
        <f>F29+G29+H29+I29+J29+K29+L29+M29+N29+O29</f>
        <v>94110</v>
      </c>
      <c r="P30" s="73"/>
      <c r="Q30" s="73"/>
      <c r="R30" s="70"/>
      <c r="S30" s="70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15.75" customHeight="1">
      <c r="A31" s="4"/>
      <c r="B31" s="4"/>
      <c r="C31" s="7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7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75" t="s">
        <v>135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82" t="s">
        <v>229</v>
      </c>
      <c r="D34" s="4"/>
      <c r="E34" s="76" t="s">
        <v>136</v>
      </c>
      <c r="F34" s="77" t="s">
        <v>137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4"/>
      <c r="D35" s="4"/>
      <c r="E35" s="78" t="s">
        <v>138</v>
      </c>
      <c r="F35" s="77" t="s">
        <v>230</v>
      </c>
      <c r="G35" s="4"/>
      <c r="H35" s="4"/>
      <c r="I35" s="4"/>
      <c r="J35" s="4"/>
      <c r="K35" s="4"/>
      <c r="L35" s="4"/>
      <c r="M35" s="4"/>
      <c r="N35" s="4"/>
      <c r="O35" s="79" t="s">
        <v>135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4"/>
      <c r="D36" s="4"/>
      <c r="E36" s="78" t="s">
        <v>140</v>
      </c>
      <c r="F36" s="77" t="s">
        <v>146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141</v>
      </c>
      <c r="F37" s="77" t="s">
        <v>230</v>
      </c>
      <c r="G37" s="4"/>
      <c r="H37" s="4"/>
      <c r="I37" s="4"/>
      <c r="J37" s="4"/>
      <c r="K37" s="4" t="s">
        <v>135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142</v>
      </c>
      <c r="F38" s="77" t="s">
        <v>230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895</v>
      </c>
      <c r="F39" s="77" t="s">
        <v>230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145</v>
      </c>
      <c r="F40" s="77" t="s">
        <v>820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78" t="s">
        <v>147</v>
      </c>
      <c r="F41" s="80" t="s">
        <v>137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79" t="s">
        <v>135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 t="str">
        <f>I72429</f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79" t="s">
        <v>148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>
        <v>7.0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7">
    <mergeCell ref="R2:R4"/>
    <mergeCell ref="S2:S4"/>
    <mergeCell ref="F3:F4"/>
    <mergeCell ref="G3:H3"/>
    <mergeCell ref="I3:J3"/>
    <mergeCell ref="K3:K4"/>
    <mergeCell ref="F30:O3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45644.0</v>
      </c>
      <c r="C5" s="18" t="s">
        <v>897</v>
      </c>
      <c r="D5" s="19">
        <v>44149.0</v>
      </c>
      <c r="E5" s="20" t="s">
        <v>705</v>
      </c>
      <c r="F5" s="21"/>
      <c r="G5" s="22"/>
      <c r="H5" s="30"/>
      <c r="I5" s="23">
        <v>5100.0</v>
      </c>
      <c r="J5" s="23"/>
      <c r="K5" s="25"/>
      <c r="L5" s="25"/>
      <c r="M5" s="30"/>
      <c r="N5" s="22"/>
      <c r="O5" s="22"/>
      <c r="P5" s="26">
        <v>5100.0</v>
      </c>
      <c r="Q5" s="118">
        <f t="shared" ref="Q5:Q19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45644.0</v>
      </c>
      <c r="C6" s="18" t="s">
        <v>898</v>
      </c>
      <c r="D6" s="19">
        <v>85067.0</v>
      </c>
      <c r="E6" s="20" t="s">
        <v>899</v>
      </c>
      <c r="F6" s="21"/>
      <c r="G6" s="22"/>
      <c r="H6" s="30"/>
      <c r="I6" s="23">
        <v>4450.0</v>
      </c>
      <c r="J6" s="23"/>
      <c r="K6" s="25"/>
      <c r="L6" s="25"/>
      <c r="M6" s="30"/>
      <c r="N6" s="22"/>
      <c r="O6" s="22"/>
      <c r="P6" s="26">
        <v>4450.0</v>
      </c>
      <c r="Q6" s="118">
        <f t="shared" si="1"/>
        <v>0</v>
      </c>
      <c r="R6" s="26" t="s">
        <v>25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45644.0</v>
      </c>
      <c r="C7" s="18" t="s">
        <v>900</v>
      </c>
      <c r="D7" s="19">
        <v>62815.0</v>
      </c>
      <c r="E7" s="20" t="s">
        <v>901</v>
      </c>
      <c r="F7" s="21"/>
      <c r="G7" s="22"/>
      <c r="H7" s="30"/>
      <c r="I7" s="23">
        <v>25000.0</v>
      </c>
      <c r="J7" s="23"/>
      <c r="K7" s="22"/>
      <c r="L7" s="25"/>
      <c r="M7" s="30"/>
      <c r="N7" s="22"/>
      <c r="O7" s="22"/>
      <c r="P7" s="26">
        <v>25000.0</v>
      </c>
      <c r="Q7" s="118">
        <f t="shared" si="1"/>
        <v>0</v>
      </c>
      <c r="R7" s="26" t="s">
        <v>25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45644.0</v>
      </c>
      <c r="C8" s="18" t="s">
        <v>902</v>
      </c>
      <c r="D8" s="19">
        <v>21818.0</v>
      </c>
      <c r="E8" s="20" t="s">
        <v>190</v>
      </c>
      <c r="F8" s="30"/>
      <c r="G8" s="25"/>
      <c r="H8" s="30"/>
      <c r="I8" s="23"/>
      <c r="J8" s="23"/>
      <c r="K8" s="25">
        <v>8000.0</v>
      </c>
      <c r="L8" s="25"/>
      <c r="M8" s="30"/>
      <c r="N8" s="22"/>
      <c r="O8" s="22"/>
      <c r="P8" s="26">
        <v>8000.0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45644.0</v>
      </c>
      <c r="C9" s="18" t="s">
        <v>903</v>
      </c>
      <c r="D9" s="19">
        <v>21818.0</v>
      </c>
      <c r="E9" s="20" t="s">
        <v>190</v>
      </c>
      <c r="F9" s="21"/>
      <c r="G9" s="25"/>
      <c r="H9" s="25"/>
      <c r="I9" s="30"/>
      <c r="J9" s="25"/>
      <c r="K9" s="25">
        <v>1500.0</v>
      </c>
      <c r="L9" s="22"/>
      <c r="M9" s="21"/>
      <c r="N9" s="22"/>
      <c r="O9" s="22"/>
      <c r="P9" s="26">
        <v>1500.0</v>
      </c>
      <c r="Q9" s="118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45644.0</v>
      </c>
      <c r="C10" s="18" t="s">
        <v>904</v>
      </c>
      <c r="D10" s="19">
        <v>59244.0</v>
      </c>
      <c r="E10" s="20" t="s">
        <v>50</v>
      </c>
      <c r="F10" s="22"/>
      <c r="G10" s="25"/>
      <c r="H10" s="30"/>
      <c r="I10" s="30">
        <v>22600.0</v>
      </c>
      <c r="J10" s="23"/>
      <c r="K10" s="25"/>
      <c r="L10" s="22"/>
      <c r="M10" s="25"/>
      <c r="N10" s="22"/>
      <c r="O10" s="22"/>
      <c r="P10" s="26">
        <v>22600.0</v>
      </c>
      <c r="Q10" s="118">
        <f t="shared" si="1"/>
        <v>0</v>
      </c>
      <c r="R10" s="26" t="s">
        <v>48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45644.0</v>
      </c>
      <c r="C11" s="18" t="s">
        <v>905</v>
      </c>
      <c r="D11" s="19">
        <v>44149.0</v>
      </c>
      <c r="E11" s="20" t="s">
        <v>705</v>
      </c>
      <c r="F11" s="22"/>
      <c r="G11" s="22"/>
      <c r="H11" s="25"/>
      <c r="I11" s="30">
        <v>2500.0</v>
      </c>
      <c r="J11" s="30"/>
      <c r="K11" s="25"/>
      <c r="L11" s="22"/>
      <c r="M11" s="30"/>
      <c r="N11" s="22"/>
      <c r="O11" s="22"/>
      <c r="P11" s="26">
        <v>2500.0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45644.0</v>
      </c>
      <c r="C12" s="107" t="s">
        <v>906</v>
      </c>
      <c r="D12" s="108">
        <v>85545.0</v>
      </c>
      <c r="E12" s="109" t="s">
        <v>907</v>
      </c>
      <c r="F12" s="110"/>
      <c r="G12" s="110"/>
      <c r="H12" s="115"/>
      <c r="I12" s="111">
        <v>300.0</v>
      </c>
      <c r="J12" s="111"/>
      <c r="K12" s="110"/>
      <c r="L12" s="110"/>
      <c r="M12" s="111"/>
      <c r="N12" s="110"/>
      <c r="O12" s="110"/>
      <c r="P12" s="113">
        <v>300.0</v>
      </c>
      <c r="Q12" s="118">
        <f t="shared" si="1"/>
        <v>0</v>
      </c>
      <c r="R12" s="113" t="s">
        <v>25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45644.0</v>
      </c>
      <c r="C13" s="18" t="s">
        <v>908</v>
      </c>
      <c r="D13" s="19">
        <v>80700.0</v>
      </c>
      <c r="E13" s="20" t="s">
        <v>909</v>
      </c>
      <c r="F13" s="22"/>
      <c r="G13" s="25"/>
      <c r="H13" s="25"/>
      <c r="I13" s="30"/>
      <c r="J13" s="30">
        <v>10000.0</v>
      </c>
      <c r="K13" s="25"/>
      <c r="L13" s="22"/>
      <c r="M13" s="30"/>
      <c r="N13" s="22"/>
      <c r="O13" s="22"/>
      <c r="P13" s="26">
        <v>10000.0</v>
      </c>
      <c r="Q13" s="118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45644.0</v>
      </c>
      <c r="C14" s="18" t="s">
        <v>910</v>
      </c>
      <c r="D14" s="19">
        <v>52083.0</v>
      </c>
      <c r="E14" s="20" t="s">
        <v>93</v>
      </c>
      <c r="F14" s="22"/>
      <c r="G14" s="22"/>
      <c r="H14" s="25"/>
      <c r="I14" s="30">
        <v>5450.0</v>
      </c>
      <c r="J14" s="30"/>
      <c r="K14" s="22"/>
      <c r="L14" s="22"/>
      <c r="M14" s="21"/>
      <c r="N14" s="22"/>
      <c r="O14" s="22"/>
      <c r="P14" s="26">
        <v>5450.0</v>
      </c>
      <c r="Q14" s="118">
        <f t="shared" si="1"/>
        <v>0</v>
      </c>
      <c r="R14" s="26" t="s">
        <v>48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45644.0</v>
      </c>
      <c r="C15" s="33" t="s">
        <v>911</v>
      </c>
      <c r="D15" s="34">
        <v>67252.0</v>
      </c>
      <c r="E15" s="35" t="s">
        <v>912</v>
      </c>
      <c r="F15" s="22"/>
      <c r="G15" s="22"/>
      <c r="H15" s="25"/>
      <c r="I15" s="30">
        <v>4100.0</v>
      </c>
      <c r="J15" s="30"/>
      <c r="K15" s="25"/>
      <c r="L15" s="22"/>
      <c r="M15" s="30"/>
      <c r="N15" s="22"/>
      <c r="O15" s="22"/>
      <c r="P15" s="36">
        <v>4100.0</v>
      </c>
      <c r="Q15" s="118">
        <f t="shared" si="1"/>
        <v>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45644.0</v>
      </c>
      <c r="C16" s="33" t="s">
        <v>913</v>
      </c>
      <c r="D16" s="34">
        <v>21828.0</v>
      </c>
      <c r="E16" s="35" t="s">
        <v>104</v>
      </c>
      <c r="F16" s="25"/>
      <c r="G16" s="22"/>
      <c r="H16" s="25"/>
      <c r="I16" s="30"/>
      <c r="J16" s="30"/>
      <c r="K16" s="25">
        <v>2500.0</v>
      </c>
      <c r="L16" s="22"/>
      <c r="M16" s="21"/>
      <c r="N16" s="22"/>
      <c r="O16" s="22"/>
      <c r="P16" s="36">
        <v>2500.0</v>
      </c>
      <c r="Q16" s="118">
        <f t="shared" si="1"/>
        <v>0</v>
      </c>
      <c r="R16" s="36"/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45644.0</v>
      </c>
      <c r="C17" s="18" t="s">
        <v>914</v>
      </c>
      <c r="D17" s="19">
        <v>51782.0</v>
      </c>
      <c r="E17" s="20" t="s">
        <v>750</v>
      </c>
      <c r="F17" s="30"/>
      <c r="G17" s="22"/>
      <c r="H17" s="25">
        <v>2700.0</v>
      </c>
      <c r="I17" s="30"/>
      <c r="J17" s="30"/>
      <c r="K17" s="24"/>
      <c r="L17" s="22"/>
      <c r="M17" s="22"/>
      <c r="N17" s="22"/>
      <c r="O17" s="22"/>
      <c r="P17" s="26">
        <v>2700.0</v>
      </c>
      <c r="Q17" s="118">
        <f t="shared" si="1"/>
        <v>0</v>
      </c>
      <c r="R17" s="26"/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/>
      <c r="B18" s="29"/>
      <c r="C18" s="18"/>
      <c r="D18" s="19"/>
      <c r="E18" s="20"/>
      <c r="F18" s="30"/>
      <c r="G18" s="22"/>
      <c r="H18" s="25"/>
      <c r="I18" s="30"/>
      <c r="J18" s="30"/>
      <c r="K18" s="24"/>
      <c r="L18" s="22"/>
      <c r="M18" s="25"/>
      <c r="N18" s="22"/>
      <c r="O18" s="22"/>
      <c r="P18" s="26"/>
      <c r="Q18" s="118">
        <f t="shared" si="1"/>
        <v>0</v>
      </c>
      <c r="R18" s="26"/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/>
      <c r="B19" s="29"/>
      <c r="C19" s="18"/>
      <c r="D19" s="19"/>
      <c r="E19" s="20"/>
      <c r="F19" s="30"/>
      <c r="G19" s="22"/>
      <c r="H19" s="25"/>
      <c r="I19" s="30"/>
      <c r="J19" s="30"/>
      <c r="K19" s="24"/>
      <c r="L19" s="22"/>
      <c r="M19" s="25"/>
      <c r="N19" s="22"/>
      <c r="O19" s="22"/>
      <c r="P19" s="26"/>
      <c r="Q19" s="118">
        <f t="shared" si="1"/>
        <v>0</v>
      </c>
      <c r="R19" s="26"/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/>
      <c r="B20" s="29"/>
      <c r="C20" s="18"/>
      <c r="D20" s="19"/>
      <c r="E20" s="20"/>
      <c r="F20" s="21"/>
      <c r="G20" s="22"/>
      <c r="H20" s="25"/>
      <c r="I20" s="30"/>
      <c r="J20" s="30"/>
      <c r="K20" s="24"/>
      <c r="L20" s="22"/>
      <c r="M20" s="25"/>
      <c r="N20" s="22"/>
      <c r="O20" s="25"/>
      <c r="P20" s="26"/>
      <c r="Q20" s="118"/>
      <c r="R20" s="26"/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7.5" customHeight="1">
      <c r="A21" s="16"/>
      <c r="B21" s="64"/>
      <c r="C21" s="65"/>
      <c r="D21" s="66" t="s">
        <v>135</v>
      </c>
      <c r="E21" s="67"/>
      <c r="F21" s="68">
        <f t="shared" ref="F21:P21" si="2">SUM(F5:F20)</f>
        <v>0</v>
      </c>
      <c r="G21" s="68">
        <f t="shared" si="2"/>
        <v>0</v>
      </c>
      <c r="H21" s="68">
        <f t="shared" si="2"/>
        <v>2700</v>
      </c>
      <c r="I21" s="68">
        <f t="shared" si="2"/>
        <v>69500</v>
      </c>
      <c r="J21" s="68">
        <f t="shared" si="2"/>
        <v>10000</v>
      </c>
      <c r="K21" s="68">
        <f t="shared" si="2"/>
        <v>12000</v>
      </c>
      <c r="L21" s="68">
        <f t="shared" si="2"/>
        <v>0</v>
      </c>
      <c r="M21" s="68">
        <f t="shared" si="2"/>
        <v>0</v>
      </c>
      <c r="N21" s="68">
        <f t="shared" si="2"/>
        <v>0</v>
      </c>
      <c r="O21" s="68">
        <f t="shared" si="2"/>
        <v>0</v>
      </c>
      <c r="P21" s="68">
        <f t="shared" si="2"/>
        <v>94200</v>
      </c>
      <c r="Q21" s="68">
        <f>SUM(Q7:Q20)</f>
        <v>0</v>
      </c>
      <c r="R21" s="69"/>
      <c r="S21" s="28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ht="58.5" customHeight="1">
      <c r="A22" s="70"/>
      <c r="B22" s="70"/>
      <c r="C22" s="71"/>
      <c r="D22" s="70"/>
      <c r="E22" s="70"/>
      <c r="F22" s="72">
        <f>F21+G21+H21+I21+J21+K21+L21+M21+N21+O21</f>
        <v>94200</v>
      </c>
      <c r="P22" s="73"/>
      <c r="Q22" s="73"/>
      <c r="R22" s="70"/>
      <c r="S22" s="70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  <row r="23" ht="15.75" customHeight="1">
      <c r="A23" s="4"/>
      <c r="B23" s="4"/>
      <c r="C23" s="7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7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75" t="s">
        <v>135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82" t="s">
        <v>229</v>
      </c>
      <c r="D26" s="4"/>
      <c r="E26" s="76" t="s">
        <v>136</v>
      </c>
      <c r="F26" s="77" t="s">
        <v>137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74"/>
      <c r="D27" s="4"/>
      <c r="E27" s="78" t="s">
        <v>138</v>
      </c>
      <c r="F27" s="77" t="s">
        <v>348</v>
      </c>
      <c r="G27" s="4"/>
      <c r="H27" s="4"/>
      <c r="I27" s="4"/>
      <c r="J27" s="4"/>
      <c r="K27" s="4"/>
      <c r="L27" s="4"/>
      <c r="M27" s="4"/>
      <c r="N27" s="4"/>
      <c r="O27" s="79" t="s">
        <v>135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74"/>
      <c r="D28" s="4"/>
      <c r="E28" s="78" t="s">
        <v>140</v>
      </c>
      <c r="F28" s="77" t="s">
        <v>146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74"/>
      <c r="D29" s="4"/>
      <c r="E29" s="78" t="s">
        <v>141</v>
      </c>
      <c r="F29" s="77" t="s">
        <v>146</v>
      </c>
      <c r="G29" s="4"/>
      <c r="H29" s="4"/>
      <c r="I29" s="4"/>
      <c r="J29" s="4"/>
      <c r="K29" s="4" t="s">
        <v>135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74"/>
      <c r="D30" s="4"/>
      <c r="E30" s="78" t="s">
        <v>142</v>
      </c>
      <c r="F30" s="77" t="s">
        <v>230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74"/>
      <c r="D31" s="4"/>
      <c r="E31" s="78" t="s">
        <v>915</v>
      </c>
      <c r="F31" s="77" t="s">
        <v>146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74"/>
      <c r="D32" s="4"/>
      <c r="E32" s="78" t="s">
        <v>145</v>
      </c>
      <c r="F32" s="77" t="s">
        <v>820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74"/>
      <c r="D33" s="4"/>
      <c r="E33" s="78" t="s">
        <v>147</v>
      </c>
      <c r="F33" s="80" t="s">
        <v>137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79" t="s">
        <v>135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4"/>
      <c r="D34" s="4"/>
      <c r="E34" s="4"/>
      <c r="F34" s="4"/>
      <c r="G34" s="4"/>
      <c r="H34" s="4"/>
      <c r="I34" s="4"/>
      <c r="J34" s="4"/>
      <c r="K34" s="4" t="str">
        <f>I72421</f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7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7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7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7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7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74"/>
      <c r="D41" s="4"/>
      <c r="E41" s="4"/>
      <c r="F41" s="4"/>
      <c r="G41" s="4"/>
      <c r="H41" s="4"/>
      <c r="I41" s="79" t="s">
        <v>148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>
        <v>7.0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17">
    <mergeCell ref="R2:R4"/>
    <mergeCell ref="S2:S4"/>
    <mergeCell ref="F3:F4"/>
    <mergeCell ref="G3:H3"/>
    <mergeCell ref="I3:J3"/>
    <mergeCell ref="K3:K4"/>
    <mergeCell ref="F22:O2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45645.0</v>
      </c>
      <c r="C5" s="18" t="s">
        <v>917</v>
      </c>
      <c r="D5" s="19">
        <v>76556.0</v>
      </c>
      <c r="E5" s="20" t="s">
        <v>473</v>
      </c>
      <c r="F5" s="30">
        <v>12500.0</v>
      </c>
      <c r="G5" s="22"/>
      <c r="H5" s="30"/>
      <c r="I5" s="23"/>
      <c r="J5" s="23"/>
      <c r="K5" s="25"/>
      <c r="L5" s="25"/>
      <c r="M5" s="30"/>
      <c r="N5" s="22"/>
      <c r="O5" s="22"/>
      <c r="P5" s="26">
        <v>12500.0</v>
      </c>
      <c r="Q5" s="118">
        <f t="shared" ref="Q5:Q29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45645.0</v>
      </c>
      <c r="C6" s="18" t="s">
        <v>918</v>
      </c>
      <c r="D6" s="19">
        <v>77460.0</v>
      </c>
      <c r="E6" s="20" t="s">
        <v>919</v>
      </c>
      <c r="F6" s="21"/>
      <c r="G6" s="22"/>
      <c r="H6" s="30"/>
      <c r="I6" s="23">
        <v>5100.0</v>
      </c>
      <c r="J6" s="23"/>
      <c r="K6" s="25"/>
      <c r="L6" s="25"/>
      <c r="M6" s="30"/>
      <c r="N6" s="22"/>
      <c r="O6" s="22"/>
      <c r="P6" s="26">
        <v>5100.0</v>
      </c>
      <c r="Q6" s="118">
        <f t="shared" si="1"/>
        <v>0</v>
      </c>
      <c r="R6" s="26" t="s">
        <v>25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45645.0</v>
      </c>
      <c r="C7" s="18" t="s">
        <v>920</v>
      </c>
      <c r="D7" s="19">
        <v>34756.0</v>
      </c>
      <c r="E7" s="20" t="s">
        <v>921</v>
      </c>
      <c r="F7" s="21"/>
      <c r="G7" s="22"/>
      <c r="H7" s="30"/>
      <c r="I7" s="23"/>
      <c r="J7" s="23">
        <v>5100.0</v>
      </c>
      <c r="K7" s="22"/>
      <c r="L7" s="25"/>
      <c r="M7" s="30"/>
      <c r="N7" s="22"/>
      <c r="O7" s="22"/>
      <c r="P7" s="26">
        <v>5100.0</v>
      </c>
      <c r="Q7" s="118">
        <f t="shared" si="1"/>
        <v>0</v>
      </c>
      <c r="R7" s="26" t="s">
        <v>48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45645.0</v>
      </c>
      <c r="C8" s="18" t="s">
        <v>922</v>
      </c>
      <c r="D8" s="19">
        <v>56747.0</v>
      </c>
      <c r="E8" s="20" t="s">
        <v>52</v>
      </c>
      <c r="F8" s="30"/>
      <c r="G8" s="25"/>
      <c r="H8" s="30"/>
      <c r="I8" s="23"/>
      <c r="J8" s="23">
        <v>2600.0</v>
      </c>
      <c r="K8" s="25"/>
      <c r="L8" s="25"/>
      <c r="M8" s="30"/>
      <c r="N8" s="22"/>
      <c r="O8" s="22"/>
      <c r="P8" s="26">
        <v>2600.0</v>
      </c>
      <c r="Q8" s="118">
        <f t="shared" si="1"/>
        <v>0</v>
      </c>
      <c r="R8" s="26" t="s">
        <v>33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45645.0</v>
      </c>
      <c r="C9" s="18" t="s">
        <v>923</v>
      </c>
      <c r="D9" s="19">
        <v>45193.0</v>
      </c>
      <c r="E9" s="20" t="s">
        <v>244</v>
      </c>
      <c r="F9" s="21"/>
      <c r="G9" s="25"/>
      <c r="H9" s="25"/>
      <c r="I9" s="30"/>
      <c r="J9" s="25">
        <v>15450.0</v>
      </c>
      <c r="K9" s="25"/>
      <c r="L9" s="22"/>
      <c r="M9" s="21"/>
      <c r="N9" s="22"/>
      <c r="O9" s="22"/>
      <c r="P9" s="26">
        <v>15450.0</v>
      </c>
      <c r="Q9" s="118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45645.0</v>
      </c>
      <c r="C10" s="18" t="s">
        <v>924</v>
      </c>
      <c r="D10" s="19">
        <v>35245.0</v>
      </c>
      <c r="E10" s="20" t="s">
        <v>517</v>
      </c>
      <c r="F10" s="22"/>
      <c r="G10" s="25"/>
      <c r="H10" s="30"/>
      <c r="I10" s="30">
        <v>18400.0</v>
      </c>
      <c r="J10" s="23"/>
      <c r="K10" s="25"/>
      <c r="L10" s="22"/>
      <c r="M10" s="25"/>
      <c r="N10" s="22"/>
      <c r="O10" s="22"/>
      <c r="P10" s="26">
        <v>18400.0</v>
      </c>
      <c r="Q10" s="118">
        <f t="shared" si="1"/>
        <v>0</v>
      </c>
      <c r="R10" s="26" t="s">
        <v>25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45645.0</v>
      </c>
      <c r="C11" s="18" t="s">
        <v>925</v>
      </c>
      <c r="D11" s="19">
        <v>78454.0</v>
      </c>
      <c r="E11" s="20" t="s">
        <v>485</v>
      </c>
      <c r="F11" s="22"/>
      <c r="G11" s="22"/>
      <c r="H11" s="25"/>
      <c r="I11" s="30">
        <v>2800.0</v>
      </c>
      <c r="J11" s="30"/>
      <c r="K11" s="25"/>
      <c r="L11" s="22"/>
      <c r="M11" s="30"/>
      <c r="N11" s="22"/>
      <c r="O11" s="22"/>
      <c r="P11" s="26">
        <v>2800.0</v>
      </c>
      <c r="Q11" s="118">
        <f t="shared" si="1"/>
        <v>0</v>
      </c>
      <c r="R11" s="26" t="s">
        <v>25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45645.0</v>
      </c>
      <c r="C12" s="107" t="s">
        <v>926</v>
      </c>
      <c r="D12" s="108">
        <v>72839.0</v>
      </c>
      <c r="E12" s="109" t="s">
        <v>389</v>
      </c>
      <c r="F12" s="110"/>
      <c r="G12" s="110"/>
      <c r="H12" s="115"/>
      <c r="I12" s="111">
        <v>4500.0</v>
      </c>
      <c r="J12" s="111"/>
      <c r="K12" s="110"/>
      <c r="L12" s="110"/>
      <c r="M12" s="111"/>
      <c r="N12" s="110"/>
      <c r="O12" s="110"/>
      <c r="P12" s="113">
        <v>4500.0</v>
      </c>
      <c r="Q12" s="118">
        <f t="shared" si="1"/>
        <v>0</v>
      </c>
      <c r="R12" s="113" t="s">
        <v>48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45645.0</v>
      </c>
      <c r="C13" s="18" t="s">
        <v>927</v>
      </c>
      <c r="D13" s="19">
        <v>78726.0</v>
      </c>
      <c r="E13" s="20" t="s">
        <v>928</v>
      </c>
      <c r="F13" s="22"/>
      <c r="G13" s="25"/>
      <c r="H13" s="25"/>
      <c r="I13" s="30">
        <v>5000.0</v>
      </c>
      <c r="J13" s="30"/>
      <c r="K13" s="25"/>
      <c r="L13" s="22"/>
      <c r="M13" s="30"/>
      <c r="N13" s="22"/>
      <c r="O13" s="22"/>
      <c r="P13" s="26">
        <v>5000.0</v>
      </c>
      <c r="Q13" s="118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45645.0</v>
      </c>
      <c r="C14" s="18" t="s">
        <v>929</v>
      </c>
      <c r="D14" s="19">
        <v>84114.0</v>
      </c>
      <c r="E14" s="20" t="s">
        <v>930</v>
      </c>
      <c r="F14" s="22"/>
      <c r="G14" s="22"/>
      <c r="H14" s="25"/>
      <c r="I14" s="30">
        <v>5100.0</v>
      </c>
      <c r="J14" s="30"/>
      <c r="K14" s="22"/>
      <c r="L14" s="22"/>
      <c r="M14" s="21"/>
      <c r="N14" s="22"/>
      <c r="O14" s="22"/>
      <c r="P14" s="26">
        <v>5100.0</v>
      </c>
      <c r="Q14" s="118">
        <f t="shared" si="1"/>
        <v>0</v>
      </c>
      <c r="R14" s="26" t="s">
        <v>25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45645.0</v>
      </c>
      <c r="C15" s="33" t="s">
        <v>931</v>
      </c>
      <c r="D15" s="34">
        <v>78439.0</v>
      </c>
      <c r="E15" s="35" t="s">
        <v>932</v>
      </c>
      <c r="F15" s="22"/>
      <c r="G15" s="22"/>
      <c r="H15" s="25"/>
      <c r="I15" s="30"/>
      <c r="J15" s="30">
        <v>5000.0</v>
      </c>
      <c r="K15" s="25"/>
      <c r="L15" s="22"/>
      <c r="M15" s="30"/>
      <c r="N15" s="22"/>
      <c r="O15" s="22"/>
      <c r="P15" s="36">
        <v>5000.0</v>
      </c>
      <c r="Q15" s="118">
        <f t="shared" si="1"/>
        <v>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45645.0</v>
      </c>
      <c r="C16" s="33" t="s">
        <v>933</v>
      </c>
      <c r="D16" s="34">
        <v>10288.0</v>
      </c>
      <c r="E16" s="35" t="s">
        <v>934</v>
      </c>
      <c r="F16" s="25"/>
      <c r="G16" s="22"/>
      <c r="H16" s="25"/>
      <c r="I16" s="30">
        <v>3600.0</v>
      </c>
      <c r="J16" s="30"/>
      <c r="K16" s="25"/>
      <c r="L16" s="22"/>
      <c r="M16" s="21"/>
      <c r="N16" s="22"/>
      <c r="O16" s="22"/>
      <c r="P16" s="36">
        <v>3600.0</v>
      </c>
      <c r="Q16" s="118">
        <f t="shared" si="1"/>
        <v>0</v>
      </c>
      <c r="R16" s="36" t="s">
        <v>48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45645.0</v>
      </c>
      <c r="C17" s="18" t="s">
        <v>935</v>
      </c>
      <c r="D17" s="19">
        <v>72839.0</v>
      </c>
      <c r="E17" s="20" t="s">
        <v>389</v>
      </c>
      <c r="F17" s="30"/>
      <c r="G17" s="22"/>
      <c r="H17" s="25"/>
      <c r="I17" s="30">
        <v>4000.0</v>
      </c>
      <c r="J17" s="30"/>
      <c r="K17" s="24"/>
      <c r="L17" s="22"/>
      <c r="M17" s="22"/>
      <c r="N17" s="22"/>
      <c r="O17" s="22"/>
      <c r="P17" s="26">
        <v>4000.0</v>
      </c>
      <c r="Q17" s="118">
        <f t="shared" si="1"/>
        <v>0</v>
      </c>
      <c r="R17" s="26" t="s">
        <v>48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45645.0</v>
      </c>
      <c r="C18" s="18" t="s">
        <v>936</v>
      </c>
      <c r="D18" s="19">
        <v>53842.0</v>
      </c>
      <c r="E18" s="20" t="s">
        <v>937</v>
      </c>
      <c r="F18" s="30"/>
      <c r="G18" s="22"/>
      <c r="H18" s="25"/>
      <c r="I18" s="30">
        <v>5100.0</v>
      </c>
      <c r="J18" s="30"/>
      <c r="K18" s="24"/>
      <c r="L18" s="22"/>
      <c r="M18" s="25"/>
      <c r="N18" s="22"/>
      <c r="O18" s="22"/>
      <c r="P18" s="26">
        <v>5100.0</v>
      </c>
      <c r="Q18" s="118">
        <f t="shared" si="1"/>
        <v>0</v>
      </c>
      <c r="R18" s="26" t="s">
        <v>25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45645.0</v>
      </c>
      <c r="C19" s="18" t="s">
        <v>938</v>
      </c>
      <c r="D19" s="19">
        <v>67797.0</v>
      </c>
      <c r="E19" s="20" t="s">
        <v>939</v>
      </c>
      <c r="F19" s="30"/>
      <c r="G19" s="22"/>
      <c r="H19" s="25"/>
      <c r="I19" s="30"/>
      <c r="J19" s="30">
        <v>22000.0</v>
      </c>
      <c r="K19" s="24"/>
      <c r="L19" s="22"/>
      <c r="M19" s="25"/>
      <c r="N19" s="22"/>
      <c r="O19" s="22"/>
      <c r="P19" s="26">
        <v>22000.0</v>
      </c>
      <c r="Q19" s="118">
        <f t="shared" si="1"/>
        <v>0</v>
      </c>
      <c r="R19" s="26" t="s">
        <v>25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45645.0</v>
      </c>
      <c r="C20" s="18" t="s">
        <v>940</v>
      </c>
      <c r="D20" s="19">
        <v>10744.0</v>
      </c>
      <c r="E20" s="20" t="s">
        <v>488</v>
      </c>
      <c r="F20" s="30"/>
      <c r="G20" s="22"/>
      <c r="H20" s="25"/>
      <c r="I20" s="30">
        <v>10000.0</v>
      </c>
      <c r="J20" s="30"/>
      <c r="K20" s="24"/>
      <c r="L20" s="22"/>
      <c r="M20" s="25"/>
      <c r="N20" s="22"/>
      <c r="O20" s="22"/>
      <c r="P20" s="26">
        <v>10000.0</v>
      </c>
      <c r="Q20" s="118">
        <f t="shared" si="1"/>
        <v>0</v>
      </c>
      <c r="R20" s="26" t="s">
        <v>25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45645.0</v>
      </c>
      <c r="C21" s="18" t="s">
        <v>941</v>
      </c>
      <c r="D21" s="19">
        <v>75384.0</v>
      </c>
      <c r="E21" s="20" t="s">
        <v>942</v>
      </c>
      <c r="F21" s="30"/>
      <c r="G21" s="22"/>
      <c r="H21" s="25"/>
      <c r="I21" s="30"/>
      <c r="J21" s="30">
        <v>5000.0</v>
      </c>
      <c r="K21" s="24"/>
      <c r="L21" s="22"/>
      <c r="M21" s="25"/>
      <c r="N21" s="22"/>
      <c r="O21" s="22"/>
      <c r="P21" s="26">
        <v>5000.0</v>
      </c>
      <c r="Q21" s="118">
        <f t="shared" si="1"/>
        <v>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45645.0</v>
      </c>
      <c r="C22" s="18" t="s">
        <v>943</v>
      </c>
      <c r="D22" s="19">
        <v>85554.0</v>
      </c>
      <c r="E22" s="20" t="s">
        <v>944</v>
      </c>
      <c r="F22" s="30"/>
      <c r="G22" s="22"/>
      <c r="H22" s="25"/>
      <c r="I22" s="30">
        <v>300.0</v>
      </c>
      <c r="J22" s="30"/>
      <c r="K22" s="24"/>
      <c r="L22" s="22"/>
      <c r="M22" s="25"/>
      <c r="N22" s="22"/>
      <c r="O22" s="22"/>
      <c r="P22" s="26">
        <v>300.0</v>
      </c>
      <c r="Q22" s="118">
        <f t="shared" si="1"/>
        <v>0</v>
      </c>
      <c r="R22" s="26" t="s">
        <v>25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45645.0</v>
      </c>
      <c r="C23" s="18" t="s">
        <v>945</v>
      </c>
      <c r="D23" s="19">
        <v>85555.0</v>
      </c>
      <c r="E23" s="20" t="s">
        <v>946</v>
      </c>
      <c r="F23" s="30"/>
      <c r="G23" s="22"/>
      <c r="H23" s="25"/>
      <c r="I23" s="30">
        <v>300.0</v>
      </c>
      <c r="J23" s="30"/>
      <c r="K23" s="24"/>
      <c r="L23" s="22"/>
      <c r="M23" s="25"/>
      <c r="N23" s="22"/>
      <c r="O23" s="22"/>
      <c r="P23" s="26">
        <v>300.0</v>
      </c>
      <c r="Q23" s="118">
        <f t="shared" si="1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45645.0</v>
      </c>
      <c r="C24" s="18" t="s">
        <v>947</v>
      </c>
      <c r="D24" s="19">
        <v>74087.0</v>
      </c>
      <c r="E24" s="20" t="s">
        <v>410</v>
      </c>
      <c r="F24" s="30"/>
      <c r="G24" s="22"/>
      <c r="H24" s="25"/>
      <c r="I24" s="30"/>
      <c r="J24" s="30">
        <v>2600.0</v>
      </c>
      <c r="K24" s="24"/>
      <c r="L24" s="22"/>
      <c r="M24" s="25"/>
      <c r="N24" s="22"/>
      <c r="O24" s="22"/>
      <c r="P24" s="26">
        <v>2600.0</v>
      </c>
      <c r="Q24" s="118">
        <f t="shared" si="1"/>
        <v>0</v>
      </c>
      <c r="R24" s="26" t="s">
        <v>48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45645.0</v>
      </c>
      <c r="C25" s="18" t="s">
        <v>948</v>
      </c>
      <c r="D25" s="19">
        <v>37642.0</v>
      </c>
      <c r="E25" s="20" t="s">
        <v>339</v>
      </c>
      <c r="F25" s="30">
        <v>2500.0</v>
      </c>
      <c r="G25" s="22"/>
      <c r="H25" s="25"/>
      <c r="I25" s="30"/>
      <c r="J25" s="30"/>
      <c r="K25" s="24"/>
      <c r="L25" s="22"/>
      <c r="M25" s="25"/>
      <c r="N25" s="22"/>
      <c r="O25" s="22"/>
      <c r="P25" s="26">
        <v>2500.0</v>
      </c>
      <c r="Q25" s="118">
        <f t="shared" si="1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45645.0</v>
      </c>
      <c r="C26" s="18" t="s">
        <v>949</v>
      </c>
      <c r="D26" s="19">
        <v>84103.0</v>
      </c>
      <c r="E26" s="20" t="s">
        <v>950</v>
      </c>
      <c r="F26" s="30"/>
      <c r="G26" s="22"/>
      <c r="H26" s="25"/>
      <c r="I26" s="30">
        <v>1450.0</v>
      </c>
      <c r="J26" s="30"/>
      <c r="K26" s="24"/>
      <c r="L26" s="22"/>
      <c r="M26" s="25"/>
      <c r="N26" s="22"/>
      <c r="O26" s="22"/>
      <c r="P26" s="26">
        <v>1450.0</v>
      </c>
      <c r="Q26" s="118">
        <f t="shared" si="1"/>
        <v>0</v>
      </c>
      <c r="R26" s="26" t="s">
        <v>25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45645.0</v>
      </c>
      <c r="C27" s="18" t="s">
        <v>951</v>
      </c>
      <c r="D27" s="19">
        <v>45193.0</v>
      </c>
      <c r="E27" s="20" t="s">
        <v>244</v>
      </c>
      <c r="F27" s="30"/>
      <c r="G27" s="22"/>
      <c r="H27" s="25"/>
      <c r="I27" s="30"/>
      <c r="J27" s="30">
        <v>21200.0</v>
      </c>
      <c r="K27" s="24"/>
      <c r="L27" s="22"/>
      <c r="M27" s="25"/>
      <c r="N27" s="22"/>
      <c r="O27" s="22"/>
      <c r="P27" s="26">
        <v>21200.0</v>
      </c>
      <c r="Q27" s="118">
        <f t="shared" si="1"/>
        <v>0</v>
      </c>
      <c r="R27" s="26" t="s">
        <v>48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45644.0</v>
      </c>
      <c r="C28" s="18" t="s">
        <v>952</v>
      </c>
      <c r="D28" s="19">
        <v>51017.0</v>
      </c>
      <c r="E28" s="20" t="s">
        <v>335</v>
      </c>
      <c r="F28" s="30"/>
      <c r="G28" s="22"/>
      <c r="H28" s="25">
        <v>10000.0</v>
      </c>
      <c r="I28" s="30"/>
      <c r="J28" s="30"/>
      <c r="K28" s="24"/>
      <c r="L28" s="22"/>
      <c r="M28" s="25"/>
      <c r="N28" s="22"/>
      <c r="O28" s="22"/>
      <c r="P28" s="26">
        <v>10000.0</v>
      </c>
      <c r="Q28" s="118">
        <f t="shared" si="1"/>
        <v>0</v>
      </c>
      <c r="R28" s="26"/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45645.0</v>
      </c>
      <c r="C29" s="18" t="s">
        <v>953</v>
      </c>
      <c r="D29" s="19">
        <v>43380.0</v>
      </c>
      <c r="E29" s="20" t="s">
        <v>345</v>
      </c>
      <c r="F29" s="30"/>
      <c r="G29" s="22"/>
      <c r="H29" s="25">
        <v>10000.0</v>
      </c>
      <c r="I29" s="30"/>
      <c r="J29" s="30"/>
      <c r="K29" s="24"/>
      <c r="L29" s="22"/>
      <c r="M29" s="25"/>
      <c r="N29" s="22"/>
      <c r="O29" s="22"/>
      <c r="P29" s="26">
        <v>10000.0</v>
      </c>
      <c r="Q29" s="118">
        <f t="shared" si="1"/>
        <v>0</v>
      </c>
      <c r="R29" s="26"/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/>
      <c r="B30" s="29"/>
      <c r="C30" s="18"/>
      <c r="D30" s="19"/>
      <c r="E30" s="20"/>
      <c r="F30" s="21"/>
      <c r="G30" s="22"/>
      <c r="H30" s="25"/>
      <c r="I30" s="30"/>
      <c r="J30" s="30"/>
      <c r="K30" s="24"/>
      <c r="L30" s="22"/>
      <c r="M30" s="25"/>
      <c r="N30" s="22"/>
      <c r="O30" s="25"/>
      <c r="P30" s="26"/>
      <c r="Q30" s="118"/>
      <c r="R30" s="26"/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7.5" customHeight="1">
      <c r="A31" s="16"/>
      <c r="B31" s="64"/>
      <c r="C31" s="65"/>
      <c r="D31" s="66" t="s">
        <v>135</v>
      </c>
      <c r="E31" s="67"/>
      <c r="F31" s="68">
        <f t="shared" ref="F31:P31" si="2">SUM(F5:F30)</f>
        <v>15000</v>
      </c>
      <c r="G31" s="68">
        <f t="shared" si="2"/>
        <v>0</v>
      </c>
      <c r="H31" s="68">
        <f t="shared" si="2"/>
        <v>20000</v>
      </c>
      <c r="I31" s="68">
        <f t="shared" si="2"/>
        <v>65650</v>
      </c>
      <c r="J31" s="68">
        <f t="shared" si="2"/>
        <v>78950</v>
      </c>
      <c r="K31" s="68">
        <f t="shared" si="2"/>
        <v>0</v>
      </c>
      <c r="L31" s="68">
        <f t="shared" si="2"/>
        <v>0</v>
      </c>
      <c r="M31" s="68">
        <f t="shared" si="2"/>
        <v>0</v>
      </c>
      <c r="N31" s="68">
        <f t="shared" si="2"/>
        <v>0</v>
      </c>
      <c r="O31" s="68">
        <f t="shared" si="2"/>
        <v>0</v>
      </c>
      <c r="P31" s="68">
        <f t="shared" si="2"/>
        <v>179600</v>
      </c>
      <c r="Q31" s="68">
        <f>SUM(Q7:Q30)</f>
        <v>0</v>
      </c>
      <c r="R31" s="69"/>
      <c r="S31" s="28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58.5" customHeight="1">
      <c r="A32" s="70"/>
      <c r="B32" s="70"/>
      <c r="C32" s="71"/>
      <c r="D32" s="70"/>
      <c r="E32" s="70"/>
      <c r="F32" s="72">
        <f>F31+G31+H31+I31+J31+K31+L31+M31+N31+O31</f>
        <v>179600</v>
      </c>
      <c r="P32" s="73"/>
      <c r="Q32" s="73"/>
      <c r="R32" s="70"/>
      <c r="S32" s="70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15.75" customHeight="1">
      <c r="A33" s="4"/>
      <c r="B33" s="4"/>
      <c r="C33" s="7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5" t="s">
        <v>135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82" t="s">
        <v>229</v>
      </c>
      <c r="D36" s="4"/>
      <c r="E36" s="76" t="s">
        <v>136</v>
      </c>
      <c r="F36" s="77" t="s">
        <v>137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138</v>
      </c>
      <c r="F37" s="77" t="s">
        <v>348</v>
      </c>
      <c r="G37" s="4"/>
      <c r="H37" s="4"/>
      <c r="I37" s="4"/>
      <c r="J37" s="4"/>
      <c r="K37" s="4"/>
      <c r="L37" s="4"/>
      <c r="M37" s="4"/>
      <c r="N37" s="4"/>
      <c r="O37" s="79" t="s">
        <v>135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140</v>
      </c>
      <c r="F38" s="77" t="s">
        <v>146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141</v>
      </c>
      <c r="F39" s="77" t="s">
        <v>146</v>
      </c>
      <c r="G39" s="4"/>
      <c r="H39" s="4"/>
      <c r="I39" s="4"/>
      <c r="J39" s="4"/>
      <c r="K39" s="4" t="s">
        <v>135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142</v>
      </c>
      <c r="F40" s="77" t="s">
        <v>348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78" t="s">
        <v>954</v>
      </c>
      <c r="F41" s="77" t="s">
        <v>146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145</v>
      </c>
      <c r="F42" s="77" t="s">
        <v>820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78" t="s">
        <v>147</v>
      </c>
      <c r="F43" s="80" t="s">
        <v>137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79" t="s">
        <v>135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 t="str">
        <f>I72431</f>
        <v/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79" t="s">
        <v>148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>
        <v>7.0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7">
    <mergeCell ref="R2:R4"/>
    <mergeCell ref="S2:S4"/>
    <mergeCell ref="F3:F4"/>
    <mergeCell ref="G3:H3"/>
    <mergeCell ref="I3:J3"/>
    <mergeCell ref="K3:K4"/>
    <mergeCell ref="F32:O3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955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45645.0</v>
      </c>
      <c r="C5" s="18" t="s">
        <v>956</v>
      </c>
      <c r="D5" s="19">
        <v>85559.0</v>
      </c>
      <c r="E5" s="20" t="s">
        <v>957</v>
      </c>
      <c r="F5" s="30"/>
      <c r="G5" s="22"/>
      <c r="H5" s="30"/>
      <c r="I5" s="23"/>
      <c r="J5" s="23"/>
      <c r="K5" s="25"/>
      <c r="L5" s="25"/>
      <c r="M5" s="30">
        <v>300.0</v>
      </c>
      <c r="N5" s="22"/>
      <c r="O5" s="22"/>
      <c r="P5" s="26">
        <v>300.0</v>
      </c>
      <c r="Q5" s="118">
        <f t="shared" ref="Q5:Q43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45645.0</v>
      </c>
      <c r="C6" s="18" t="s">
        <v>958</v>
      </c>
      <c r="D6" s="19">
        <v>85559.0</v>
      </c>
      <c r="E6" s="20" t="s">
        <v>957</v>
      </c>
      <c r="F6" s="21"/>
      <c r="G6" s="22"/>
      <c r="H6" s="30"/>
      <c r="I6" s="23"/>
      <c r="J6" s="23"/>
      <c r="K6" s="25"/>
      <c r="L6" s="25"/>
      <c r="M6" s="30">
        <v>5100.0</v>
      </c>
      <c r="N6" s="22"/>
      <c r="O6" s="22"/>
      <c r="P6" s="26">
        <v>5100.0</v>
      </c>
      <c r="Q6" s="118">
        <f t="shared" si="1"/>
        <v>0</v>
      </c>
      <c r="R6" s="26" t="s">
        <v>48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45646.0</v>
      </c>
      <c r="C7" s="18" t="s">
        <v>959</v>
      </c>
      <c r="D7" s="19">
        <v>50474.0</v>
      </c>
      <c r="E7" s="20" t="s">
        <v>960</v>
      </c>
      <c r="F7" s="21"/>
      <c r="G7" s="22"/>
      <c r="H7" s="30"/>
      <c r="I7" s="23">
        <v>25000.0</v>
      </c>
      <c r="J7" s="23"/>
      <c r="K7" s="22"/>
      <c r="L7" s="25"/>
      <c r="M7" s="30"/>
      <c r="N7" s="22"/>
      <c r="O7" s="22"/>
      <c r="P7" s="26">
        <v>25000.0</v>
      </c>
      <c r="Q7" s="118">
        <f t="shared" si="1"/>
        <v>0</v>
      </c>
      <c r="R7" s="26" t="s">
        <v>25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45646.0</v>
      </c>
      <c r="C8" s="18" t="s">
        <v>961</v>
      </c>
      <c r="D8" s="19">
        <v>67621.0</v>
      </c>
      <c r="E8" s="20" t="s">
        <v>416</v>
      </c>
      <c r="F8" s="30"/>
      <c r="G8" s="25"/>
      <c r="H8" s="30"/>
      <c r="I8" s="23">
        <v>4500.0</v>
      </c>
      <c r="J8" s="23"/>
      <c r="K8" s="25"/>
      <c r="L8" s="25"/>
      <c r="M8" s="30"/>
      <c r="N8" s="22"/>
      <c r="O8" s="22"/>
      <c r="P8" s="26">
        <v>4500.0</v>
      </c>
      <c r="Q8" s="118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45646.0</v>
      </c>
      <c r="C9" s="18" t="s">
        <v>962</v>
      </c>
      <c r="D9" s="19">
        <v>80335.0</v>
      </c>
      <c r="E9" s="20" t="s">
        <v>169</v>
      </c>
      <c r="F9" s="21"/>
      <c r="G9" s="25"/>
      <c r="H9" s="25"/>
      <c r="I9" s="30"/>
      <c r="J9" s="25"/>
      <c r="K9" s="25"/>
      <c r="L9" s="22"/>
      <c r="M9" s="30">
        <v>1935.0</v>
      </c>
      <c r="N9" s="22"/>
      <c r="O9" s="22"/>
      <c r="P9" s="26">
        <v>1935.0</v>
      </c>
      <c r="Q9" s="118">
        <f t="shared" si="1"/>
        <v>0</v>
      </c>
      <c r="R9" s="26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45646.0</v>
      </c>
      <c r="C10" s="18" t="s">
        <v>963</v>
      </c>
      <c r="D10" s="19">
        <v>44149.0</v>
      </c>
      <c r="E10" s="20" t="s">
        <v>705</v>
      </c>
      <c r="F10" s="22"/>
      <c r="G10" s="25"/>
      <c r="H10" s="30"/>
      <c r="I10" s="30">
        <v>5100.0</v>
      </c>
      <c r="J10" s="23"/>
      <c r="K10" s="25"/>
      <c r="L10" s="22"/>
      <c r="M10" s="25"/>
      <c r="N10" s="22"/>
      <c r="O10" s="22"/>
      <c r="P10" s="26">
        <v>5100.0</v>
      </c>
      <c r="Q10" s="118">
        <f t="shared" si="1"/>
        <v>0</v>
      </c>
      <c r="R10" s="26" t="s">
        <v>25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45646.0</v>
      </c>
      <c r="C11" s="18" t="s">
        <v>964</v>
      </c>
      <c r="D11" s="19">
        <v>22332.0</v>
      </c>
      <c r="E11" s="20" t="s">
        <v>60</v>
      </c>
      <c r="F11" s="22"/>
      <c r="G11" s="22"/>
      <c r="H11" s="25"/>
      <c r="I11" s="30">
        <v>15000.0</v>
      </c>
      <c r="J11" s="30"/>
      <c r="K11" s="25"/>
      <c r="L11" s="22"/>
      <c r="M11" s="30"/>
      <c r="N11" s="22"/>
      <c r="O11" s="22"/>
      <c r="P11" s="26">
        <v>15000.0</v>
      </c>
      <c r="Q11" s="118">
        <f t="shared" si="1"/>
        <v>0</v>
      </c>
      <c r="R11" s="26" t="s">
        <v>48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45646.0</v>
      </c>
      <c r="C12" s="107" t="s">
        <v>965</v>
      </c>
      <c r="D12" s="108">
        <v>50595.0</v>
      </c>
      <c r="E12" s="109" t="s">
        <v>123</v>
      </c>
      <c r="F12" s="110"/>
      <c r="G12" s="115"/>
      <c r="H12" s="115">
        <v>5500.0</v>
      </c>
      <c r="I12" s="111">
        <v>3056.0</v>
      </c>
      <c r="J12" s="111"/>
      <c r="K12" s="115">
        <v>1444.0</v>
      </c>
      <c r="L12" s="110"/>
      <c r="M12" s="111"/>
      <c r="N12" s="110"/>
      <c r="O12" s="110"/>
      <c r="P12" s="113">
        <v>10000.0</v>
      </c>
      <c r="Q12" s="118">
        <f t="shared" si="1"/>
        <v>0</v>
      </c>
      <c r="R12" s="113" t="s">
        <v>48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45646.0</v>
      </c>
      <c r="C13" s="18" t="s">
        <v>966</v>
      </c>
      <c r="D13" s="19">
        <v>75565.0</v>
      </c>
      <c r="E13" s="20" t="s">
        <v>967</v>
      </c>
      <c r="F13" s="22"/>
      <c r="G13" s="25"/>
      <c r="H13" s="25"/>
      <c r="I13" s="30">
        <v>5100.0</v>
      </c>
      <c r="J13" s="30"/>
      <c r="K13" s="25"/>
      <c r="L13" s="22"/>
      <c r="M13" s="30"/>
      <c r="N13" s="22"/>
      <c r="O13" s="22"/>
      <c r="P13" s="26">
        <v>5100.0</v>
      </c>
      <c r="Q13" s="118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45646.0</v>
      </c>
      <c r="C14" s="18" t="s">
        <v>968</v>
      </c>
      <c r="D14" s="19">
        <v>54226.0</v>
      </c>
      <c r="E14" s="20" t="s">
        <v>877</v>
      </c>
      <c r="F14" s="22"/>
      <c r="G14" s="22"/>
      <c r="H14" s="25"/>
      <c r="I14" s="30">
        <v>5100.0</v>
      </c>
      <c r="J14" s="30"/>
      <c r="K14" s="22"/>
      <c r="L14" s="22"/>
      <c r="M14" s="21"/>
      <c r="N14" s="22"/>
      <c r="O14" s="22"/>
      <c r="P14" s="26">
        <v>5100.0</v>
      </c>
      <c r="Q14" s="118">
        <f t="shared" si="1"/>
        <v>0</v>
      </c>
      <c r="R14" s="26" t="s">
        <v>25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45646.0</v>
      </c>
      <c r="C15" s="33" t="s">
        <v>969</v>
      </c>
      <c r="D15" s="34">
        <v>77275.0</v>
      </c>
      <c r="E15" s="35" t="s">
        <v>970</v>
      </c>
      <c r="F15" s="22"/>
      <c r="G15" s="22"/>
      <c r="H15" s="25"/>
      <c r="I15" s="30">
        <v>5100.0</v>
      </c>
      <c r="J15" s="30"/>
      <c r="K15" s="25"/>
      <c r="L15" s="22"/>
      <c r="M15" s="30"/>
      <c r="N15" s="22"/>
      <c r="O15" s="22"/>
      <c r="P15" s="36">
        <v>5100.0</v>
      </c>
      <c r="Q15" s="118">
        <f t="shared" si="1"/>
        <v>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45646.0</v>
      </c>
      <c r="C16" s="33" t="s">
        <v>971</v>
      </c>
      <c r="D16" s="34">
        <v>61445.0</v>
      </c>
      <c r="E16" s="35" t="s">
        <v>402</v>
      </c>
      <c r="F16" s="25"/>
      <c r="G16" s="22"/>
      <c r="H16" s="25"/>
      <c r="I16" s="30">
        <v>2400.0</v>
      </c>
      <c r="J16" s="30"/>
      <c r="K16" s="25"/>
      <c r="L16" s="22"/>
      <c r="M16" s="21"/>
      <c r="N16" s="22"/>
      <c r="O16" s="22"/>
      <c r="P16" s="36">
        <v>2400.0</v>
      </c>
      <c r="Q16" s="118">
        <f t="shared" si="1"/>
        <v>0</v>
      </c>
      <c r="R16" s="36" t="s">
        <v>48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45646.0</v>
      </c>
      <c r="C17" s="18" t="s">
        <v>972</v>
      </c>
      <c r="D17" s="19">
        <v>59244.0</v>
      </c>
      <c r="E17" s="20" t="s">
        <v>50</v>
      </c>
      <c r="F17" s="30"/>
      <c r="G17" s="22"/>
      <c r="H17" s="25"/>
      <c r="I17" s="30">
        <v>1600.0</v>
      </c>
      <c r="J17" s="30"/>
      <c r="K17" s="24"/>
      <c r="L17" s="22"/>
      <c r="M17" s="22"/>
      <c r="N17" s="22"/>
      <c r="O17" s="22"/>
      <c r="P17" s="26">
        <v>1600.0</v>
      </c>
      <c r="Q17" s="118">
        <f t="shared" si="1"/>
        <v>0</v>
      </c>
      <c r="R17" s="26" t="s">
        <v>25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45646.0</v>
      </c>
      <c r="C18" s="18" t="s">
        <v>973</v>
      </c>
      <c r="D18" s="19">
        <v>55803.0</v>
      </c>
      <c r="E18" s="20" t="s">
        <v>974</v>
      </c>
      <c r="F18" s="30"/>
      <c r="G18" s="22"/>
      <c r="H18" s="25"/>
      <c r="I18" s="30">
        <v>5000.0</v>
      </c>
      <c r="J18" s="30"/>
      <c r="K18" s="24"/>
      <c r="L18" s="22"/>
      <c r="M18" s="25"/>
      <c r="N18" s="22"/>
      <c r="O18" s="22"/>
      <c r="P18" s="26">
        <v>5000.0</v>
      </c>
      <c r="Q18" s="118">
        <f t="shared" si="1"/>
        <v>0</v>
      </c>
      <c r="R18" s="26" t="s">
        <v>25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45646.0</v>
      </c>
      <c r="C19" s="18" t="s">
        <v>975</v>
      </c>
      <c r="D19" s="19">
        <v>55803.0</v>
      </c>
      <c r="E19" s="20" t="s">
        <v>974</v>
      </c>
      <c r="F19" s="30"/>
      <c r="G19" s="22"/>
      <c r="H19" s="25"/>
      <c r="I19" s="30">
        <v>5000.0</v>
      </c>
      <c r="J19" s="30"/>
      <c r="K19" s="24"/>
      <c r="L19" s="22"/>
      <c r="M19" s="25"/>
      <c r="N19" s="22"/>
      <c r="O19" s="22"/>
      <c r="P19" s="26">
        <v>5000.0</v>
      </c>
      <c r="Q19" s="118">
        <f t="shared" si="1"/>
        <v>0</v>
      </c>
      <c r="R19" s="26" t="s">
        <v>25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45646.0</v>
      </c>
      <c r="C20" s="18" t="s">
        <v>976</v>
      </c>
      <c r="D20" s="19">
        <v>49973.0</v>
      </c>
      <c r="E20" s="20" t="s">
        <v>977</v>
      </c>
      <c r="F20" s="30"/>
      <c r="G20" s="22"/>
      <c r="H20" s="25"/>
      <c r="I20" s="30">
        <v>5100.0</v>
      </c>
      <c r="J20" s="30"/>
      <c r="K20" s="24"/>
      <c r="L20" s="22"/>
      <c r="M20" s="25"/>
      <c r="N20" s="22"/>
      <c r="O20" s="22"/>
      <c r="P20" s="26">
        <v>5100.0</v>
      </c>
      <c r="Q20" s="118">
        <f t="shared" si="1"/>
        <v>0</v>
      </c>
      <c r="R20" s="26" t="s">
        <v>25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45646.0</v>
      </c>
      <c r="C21" s="18" t="s">
        <v>978</v>
      </c>
      <c r="D21" s="19">
        <v>51848.0</v>
      </c>
      <c r="E21" s="20" t="s">
        <v>979</v>
      </c>
      <c r="F21" s="30"/>
      <c r="G21" s="22"/>
      <c r="H21" s="25"/>
      <c r="I21" s="30"/>
      <c r="J21" s="30">
        <v>5100.0</v>
      </c>
      <c r="K21" s="24"/>
      <c r="L21" s="22"/>
      <c r="M21" s="25"/>
      <c r="N21" s="22"/>
      <c r="O21" s="22"/>
      <c r="P21" s="26">
        <v>5100.0</v>
      </c>
      <c r="Q21" s="118">
        <f t="shared" si="1"/>
        <v>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45646.0</v>
      </c>
      <c r="C22" s="18" t="s">
        <v>980</v>
      </c>
      <c r="D22" s="19">
        <v>21818.0</v>
      </c>
      <c r="E22" s="20" t="s">
        <v>190</v>
      </c>
      <c r="F22" s="30"/>
      <c r="G22" s="22"/>
      <c r="H22" s="25"/>
      <c r="I22" s="30"/>
      <c r="J22" s="30"/>
      <c r="K22" s="23">
        <v>8000.0</v>
      </c>
      <c r="L22" s="22"/>
      <c r="M22" s="25"/>
      <c r="N22" s="22"/>
      <c r="O22" s="22"/>
      <c r="P22" s="26">
        <v>8000.0</v>
      </c>
      <c r="Q22" s="118">
        <f t="shared" si="1"/>
        <v>0</v>
      </c>
      <c r="R22" s="26" t="s">
        <v>25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45646.0</v>
      </c>
      <c r="C23" s="18" t="s">
        <v>981</v>
      </c>
      <c r="D23" s="19">
        <v>58572.0</v>
      </c>
      <c r="E23" s="20" t="s">
        <v>982</v>
      </c>
      <c r="F23" s="30"/>
      <c r="G23" s="22"/>
      <c r="H23" s="25"/>
      <c r="I23" s="30"/>
      <c r="J23" s="30">
        <v>2600.0</v>
      </c>
      <c r="K23" s="24"/>
      <c r="L23" s="22"/>
      <c r="M23" s="25"/>
      <c r="N23" s="22"/>
      <c r="O23" s="22"/>
      <c r="P23" s="26">
        <v>2600.0</v>
      </c>
      <c r="Q23" s="118">
        <f t="shared" si="1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45646.0</v>
      </c>
      <c r="C24" s="18" t="s">
        <v>983</v>
      </c>
      <c r="D24" s="19">
        <v>59103.0</v>
      </c>
      <c r="E24" s="20" t="s">
        <v>100</v>
      </c>
      <c r="F24" s="30"/>
      <c r="G24" s="22"/>
      <c r="H24" s="25"/>
      <c r="I24" s="30"/>
      <c r="J24" s="30"/>
      <c r="K24" s="23">
        <v>1000.0</v>
      </c>
      <c r="L24" s="22"/>
      <c r="M24" s="25"/>
      <c r="N24" s="22"/>
      <c r="O24" s="22"/>
      <c r="P24" s="26">
        <v>1000.0</v>
      </c>
      <c r="Q24" s="118">
        <f t="shared" si="1"/>
        <v>0</v>
      </c>
      <c r="R24" s="26" t="s">
        <v>48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45646.0</v>
      </c>
      <c r="C25" s="18" t="s">
        <v>984</v>
      </c>
      <c r="D25" s="19">
        <v>80482.0</v>
      </c>
      <c r="E25" s="20" t="s">
        <v>985</v>
      </c>
      <c r="F25" s="30"/>
      <c r="G25" s="22"/>
      <c r="H25" s="25"/>
      <c r="I25" s="30">
        <v>5100.0</v>
      </c>
      <c r="J25" s="30"/>
      <c r="K25" s="24"/>
      <c r="L25" s="22"/>
      <c r="M25" s="25"/>
      <c r="N25" s="22"/>
      <c r="O25" s="22"/>
      <c r="P25" s="26">
        <v>5100.0</v>
      </c>
      <c r="Q25" s="118">
        <f t="shared" si="1"/>
        <v>0</v>
      </c>
      <c r="R25" s="26" t="s">
        <v>48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45646.0</v>
      </c>
      <c r="C26" s="18" t="s">
        <v>986</v>
      </c>
      <c r="D26" s="19">
        <v>52973.0</v>
      </c>
      <c r="E26" s="20" t="s">
        <v>987</v>
      </c>
      <c r="F26" s="30">
        <v>1000.0</v>
      </c>
      <c r="G26" s="22"/>
      <c r="H26" s="25"/>
      <c r="I26" s="30"/>
      <c r="J26" s="30"/>
      <c r="K26" s="24"/>
      <c r="L26" s="22"/>
      <c r="M26" s="25"/>
      <c r="N26" s="22"/>
      <c r="O26" s="22"/>
      <c r="P26" s="26">
        <v>1000.0</v>
      </c>
      <c r="Q26" s="118">
        <f t="shared" si="1"/>
        <v>0</v>
      </c>
      <c r="R26" s="26" t="s">
        <v>25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45646.0</v>
      </c>
      <c r="C27" s="18" t="s">
        <v>988</v>
      </c>
      <c r="D27" s="19">
        <v>35227.0</v>
      </c>
      <c r="E27" s="20" t="s">
        <v>237</v>
      </c>
      <c r="F27" s="30"/>
      <c r="G27" s="22"/>
      <c r="H27" s="25"/>
      <c r="I27" s="30">
        <v>4800.0</v>
      </c>
      <c r="J27" s="30"/>
      <c r="K27" s="24"/>
      <c r="L27" s="22"/>
      <c r="M27" s="25"/>
      <c r="N27" s="22"/>
      <c r="O27" s="22"/>
      <c r="P27" s="26">
        <v>4800.0</v>
      </c>
      <c r="Q27" s="118">
        <f t="shared" si="1"/>
        <v>0</v>
      </c>
      <c r="R27" s="26" t="s">
        <v>48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45646.0</v>
      </c>
      <c r="C28" s="18" t="s">
        <v>989</v>
      </c>
      <c r="D28" s="19">
        <v>35227.0</v>
      </c>
      <c r="E28" s="20" t="s">
        <v>237</v>
      </c>
      <c r="F28" s="30"/>
      <c r="G28" s="22"/>
      <c r="H28" s="25"/>
      <c r="I28" s="30">
        <v>2500.0</v>
      </c>
      <c r="J28" s="30"/>
      <c r="K28" s="24"/>
      <c r="L28" s="22"/>
      <c r="M28" s="25"/>
      <c r="N28" s="22"/>
      <c r="O28" s="22"/>
      <c r="P28" s="26">
        <v>2500.0</v>
      </c>
      <c r="Q28" s="118">
        <f t="shared" si="1"/>
        <v>0</v>
      </c>
      <c r="R28" s="26" t="s">
        <v>48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45646.0</v>
      </c>
      <c r="C29" s="18" t="s">
        <v>990</v>
      </c>
      <c r="D29" s="19">
        <v>85562.0</v>
      </c>
      <c r="E29" s="20" t="s">
        <v>991</v>
      </c>
      <c r="F29" s="30"/>
      <c r="G29" s="22"/>
      <c r="H29" s="25"/>
      <c r="I29" s="30"/>
      <c r="J29" s="30"/>
      <c r="K29" s="24"/>
      <c r="L29" s="22"/>
      <c r="M29" s="25">
        <v>300.0</v>
      </c>
      <c r="N29" s="22"/>
      <c r="O29" s="22"/>
      <c r="P29" s="26">
        <v>300.0</v>
      </c>
      <c r="Q29" s="118">
        <f t="shared" si="1"/>
        <v>0</v>
      </c>
      <c r="R29" s="26" t="s">
        <v>48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45646.0</v>
      </c>
      <c r="C30" s="18" t="s">
        <v>992</v>
      </c>
      <c r="D30" s="19">
        <v>84881.0</v>
      </c>
      <c r="E30" s="20" t="s">
        <v>993</v>
      </c>
      <c r="F30" s="30"/>
      <c r="G30" s="22"/>
      <c r="H30" s="25"/>
      <c r="I30" s="30">
        <v>2600.0</v>
      </c>
      <c r="J30" s="30"/>
      <c r="K30" s="24"/>
      <c r="L30" s="22"/>
      <c r="M30" s="25"/>
      <c r="N30" s="22"/>
      <c r="O30" s="22"/>
      <c r="P30" s="26">
        <v>2600.0</v>
      </c>
      <c r="Q30" s="118">
        <f t="shared" si="1"/>
        <v>0</v>
      </c>
      <c r="R30" s="26" t="s">
        <v>33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45646.0</v>
      </c>
      <c r="C31" s="18" t="s">
        <v>994</v>
      </c>
      <c r="D31" s="19">
        <v>21818.0</v>
      </c>
      <c r="E31" s="20" t="s">
        <v>190</v>
      </c>
      <c r="F31" s="30"/>
      <c r="G31" s="22"/>
      <c r="H31" s="25"/>
      <c r="I31" s="30"/>
      <c r="J31" s="30"/>
      <c r="K31" s="23">
        <v>250.0</v>
      </c>
      <c r="L31" s="22"/>
      <c r="M31" s="25"/>
      <c r="N31" s="22"/>
      <c r="O31" s="22"/>
      <c r="P31" s="26">
        <v>250.0</v>
      </c>
      <c r="Q31" s="118">
        <f t="shared" si="1"/>
        <v>0</v>
      </c>
      <c r="R31" s="26" t="s">
        <v>48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45646.0</v>
      </c>
      <c r="C32" s="18" t="s">
        <v>995</v>
      </c>
      <c r="D32" s="19">
        <v>53249.0</v>
      </c>
      <c r="E32" s="20" t="s">
        <v>54</v>
      </c>
      <c r="F32" s="30"/>
      <c r="G32" s="22"/>
      <c r="H32" s="25"/>
      <c r="I32" s="30">
        <v>15100.0</v>
      </c>
      <c r="J32" s="30"/>
      <c r="K32" s="24"/>
      <c r="L32" s="22"/>
      <c r="M32" s="25"/>
      <c r="N32" s="22"/>
      <c r="O32" s="22"/>
      <c r="P32" s="26">
        <v>15100.0</v>
      </c>
      <c r="Q32" s="118">
        <f t="shared" si="1"/>
        <v>0</v>
      </c>
      <c r="R32" s="26" t="s">
        <v>33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45646.0</v>
      </c>
      <c r="C33" s="18" t="s">
        <v>996</v>
      </c>
      <c r="D33" s="19">
        <v>54211.0</v>
      </c>
      <c r="E33" s="20" t="s">
        <v>656</v>
      </c>
      <c r="F33" s="30"/>
      <c r="G33" s="22"/>
      <c r="H33" s="25">
        <v>12500.0</v>
      </c>
      <c r="I33" s="30"/>
      <c r="J33" s="30"/>
      <c r="K33" s="24"/>
      <c r="L33" s="22"/>
      <c r="M33" s="25"/>
      <c r="N33" s="22"/>
      <c r="O33" s="22"/>
      <c r="P33" s="26">
        <v>12500.0</v>
      </c>
      <c r="Q33" s="118">
        <f t="shared" si="1"/>
        <v>0</v>
      </c>
      <c r="R33" s="26" t="s">
        <v>33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45646.0</v>
      </c>
      <c r="C34" s="18" t="s">
        <v>997</v>
      </c>
      <c r="D34" s="19">
        <v>31927.0</v>
      </c>
      <c r="E34" s="20" t="s">
        <v>116</v>
      </c>
      <c r="F34" s="30"/>
      <c r="G34" s="22"/>
      <c r="H34" s="25"/>
      <c r="I34" s="30">
        <v>100.0</v>
      </c>
      <c r="J34" s="30"/>
      <c r="K34" s="24"/>
      <c r="L34" s="22"/>
      <c r="M34" s="25"/>
      <c r="N34" s="22"/>
      <c r="O34" s="22"/>
      <c r="P34" s="26">
        <v>100.0</v>
      </c>
      <c r="Q34" s="118">
        <f t="shared" si="1"/>
        <v>0</v>
      </c>
      <c r="R34" s="26" t="s">
        <v>48</v>
      </c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45646.0</v>
      </c>
      <c r="C35" s="18" t="s">
        <v>998</v>
      </c>
      <c r="D35" s="19">
        <v>85297.0</v>
      </c>
      <c r="E35" s="20" t="s">
        <v>999</v>
      </c>
      <c r="F35" s="30"/>
      <c r="G35" s="22"/>
      <c r="H35" s="25"/>
      <c r="I35" s="30"/>
      <c r="J35" s="30">
        <v>7600.0</v>
      </c>
      <c r="K35" s="24"/>
      <c r="L35" s="22"/>
      <c r="M35" s="25"/>
      <c r="N35" s="22"/>
      <c r="O35" s="22"/>
      <c r="P35" s="26">
        <v>7600.0</v>
      </c>
      <c r="Q35" s="118">
        <f t="shared" si="1"/>
        <v>0</v>
      </c>
      <c r="R35" s="26" t="s">
        <v>33</v>
      </c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45646.0</v>
      </c>
      <c r="C36" s="18" t="s">
        <v>1000</v>
      </c>
      <c r="D36" s="19">
        <v>85280.0</v>
      </c>
      <c r="E36" s="20" t="s">
        <v>1001</v>
      </c>
      <c r="F36" s="30"/>
      <c r="G36" s="22"/>
      <c r="H36" s="25"/>
      <c r="I36" s="30">
        <v>100.0</v>
      </c>
      <c r="J36" s="30"/>
      <c r="K36" s="24"/>
      <c r="L36" s="22"/>
      <c r="M36" s="25"/>
      <c r="N36" s="22"/>
      <c r="O36" s="22"/>
      <c r="P36" s="26">
        <v>100.0</v>
      </c>
      <c r="Q36" s="118">
        <f t="shared" si="1"/>
        <v>0</v>
      </c>
      <c r="R36" s="26" t="s">
        <v>25</v>
      </c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45645.0</v>
      </c>
      <c r="C37" s="18" t="s">
        <v>1002</v>
      </c>
      <c r="D37" s="19">
        <v>51017.0</v>
      </c>
      <c r="E37" s="20" t="s">
        <v>335</v>
      </c>
      <c r="F37" s="30"/>
      <c r="G37" s="22"/>
      <c r="H37" s="25">
        <v>10000.0</v>
      </c>
      <c r="I37" s="30"/>
      <c r="J37" s="30"/>
      <c r="K37" s="24"/>
      <c r="L37" s="22"/>
      <c r="M37" s="25"/>
      <c r="N37" s="22"/>
      <c r="O37" s="22"/>
      <c r="P37" s="26">
        <v>10000.0</v>
      </c>
      <c r="Q37" s="118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45646.0</v>
      </c>
      <c r="C38" s="18" t="s">
        <v>1003</v>
      </c>
      <c r="D38" s="19">
        <v>21828.0</v>
      </c>
      <c r="E38" s="20" t="s">
        <v>104</v>
      </c>
      <c r="F38" s="30"/>
      <c r="G38" s="22"/>
      <c r="H38" s="25"/>
      <c r="I38" s="30"/>
      <c r="J38" s="30"/>
      <c r="K38" s="23">
        <v>2500.0</v>
      </c>
      <c r="L38" s="22"/>
      <c r="M38" s="25"/>
      <c r="N38" s="22"/>
      <c r="O38" s="22"/>
      <c r="P38" s="26">
        <v>2500.0</v>
      </c>
      <c r="Q38" s="118">
        <f t="shared" si="1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>
        <v>35.0</v>
      </c>
      <c r="B39" s="29">
        <v>45646.0</v>
      </c>
      <c r="C39" s="18" t="s">
        <v>1004</v>
      </c>
      <c r="D39" s="19">
        <v>43380.0</v>
      </c>
      <c r="E39" s="20" t="s">
        <v>345</v>
      </c>
      <c r="F39" s="30"/>
      <c r="G39" s="22"/>
      <c r="H39" s="25">
        <v>28500.0</v>
      </c>
      <c r="I39" s="30"/>
      <c r="J39" s="30"/>
      <c r="K39" s="24"/>
      <c r="L39" s="22"/>
      <c r="M39" s="25"/>
      <c r="N39" s="22"/>
      <c r="O39" s="22"/>
      <c r="P39" s="26">
        <v>28500.0</v>
      </c>
      <c r="Q39" s="118">
        <f t="shared" si="1"/>
        <v>0</v>
      </c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83">
        <v>36.0</v>
      </c>
      <c r="B40" s="29">
        <v>45646.0</v>
      </c>
      <c r="C40" s="18" t="s">
        <v>1005</v>
      </c>
      <c r="D40" s="19">
        <v>30895.0</v>
      </c>
      <c r="E40" s="20" t="s">
        <v>179</v>
      </c>
      <c r="F40" s="30"/>
      <c r="G40" s="22"/>
      <c r="H40" s="25">
        <v>10000.0</v>
      </c>
      <c r="I40" s="30"/>
      <c r="J40" s="30"/>
      <c r="K40" s="24"/>
      <c r="L40" s="22"/>
      <c r="M40" s="25"/>
      <c r="N40" s="22"/>
      <c r="O40" s="22"/>
      <c r="P40" s="26">
        <v>10000.0</v>
      </c>
      <c r="Q40" s="118">
        <f t="shared" si="1"/>
        <v>0</v>
      </c>
      <c r="R40" s="26"/>
      <c r="S40" s="2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83">
        <v>37.0</v>
      </c>
      <c r="B41" s="29">
        <v>45646.0</v>
      </c>
      <c r="C41" s="18" t="s">
        <v>1006</v>
      </c>
      <c r="D41" s="19">
        <v>52215.0</v>
      </c>
      <c r="E41" s="20" t="s">
        <v>1007</v>
      </c>
      <c r="F41" s="21"/>
      <c r="G41" s="22"/>
      <c r="H41" s="25">
        <v>9000.0</v>
      </c>
      <c r="I41" s="30"/>
      <c r="J41" s="30"/>
      <c r="K41" s="24"/>
      <c r="L41" s="22"/>
      <c r="M41" s="25"/>
      <c r="N41" s="22"/>
      <c r="O41" s="25"/>
      <c r="P41" s="26">
        <v>9000.0</v>
      </c>
      <c r="Q41" s="118">
        <f t="shared" si="1"/>
        <v>0</v>
      </c>
      <c r="R41" s="26"/>
      <c r="S41" s="2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83">
        <v>38.0</v>
      </c>
      <c r="B42" s="29">
        <v>45646.0</v>
      </c>
      <c r="C42" s="18" t="s">
        <v>1008</v>
      </c>
      <c r="D42" s="19">
        <v>58468.0</v>
      </c>
      <c r="E42" s="20" t="s">
        <v>1009</v>
      </c>
      <c r="F42" s="21"/>
      <c r="G42" s="22"/>
      <c r="H42" s="25">
        <v>4500.0</v>
      </c>
      <c r="I42" s="30"/>
      <c r="J42" s="30"/>
      <c r="K42" s="24"/>
      <c r="L42" s="22"/>
      <c r="M42" s="25"/>
      <c r="N42" s="22"/>
      <c r="O42" s="25"/>
      <c r="P42" s="26">
        <v>4500.0</v>
      </c>
      <c r="Q42" s="118">
        <f t="shared" si="1"/>
        <v>0</v>
      </c>
      <c r="R42" s="26"/>
      <c r="S42" s="2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83">
        <v>39.0</v>
      </c>
      <c r="B43" s="29">
        <v>45646.0</v>
      </c>
      <c r="C43" s="18" t="s">
        <v>1010</v>
      </c>
      <c r="D43" s="19">
        <v>54695.0</v>
      </c>
      <c r="E43" s="20" t="s">
        <v>1011</v>
      </c>
      <c r="F43" s="21"/>
      <c r="G43" s="22"/>
      <c r="H43" s="25">
        <v>4500.0</v>
      </c>
      <c r="I43" s="30"/>
      <c r="J43" s="30"/>
      <c r="K43" s="24"/>
      <c r="L43" s="22"/>
      <c r="M43" s="25"/>
      <c r="N43" s="22"/>
      <c r="O43" s="25"/>
      <c r="P43" s="26">
        <v>4500.0</v>
      </c>
      <c r="Q43" s="118">
        <f t="shared" si="1"/>
        <v>0</v>
      </c>
      <c r="R43" s="26"/>
      <c r="S43" s="28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83"/>
      <c r="B44" s="29"/>
      <c r="C44" s="18"/>
      <c r="D44" s="19"/>
      <c r="E44" s="20"/>
      <c r="F44" s="21"/>
      <c r="G44" s="22"/>
      <c r="H44" s="25"/>
      <c r="I44" s="30"/>
      <c r="J44" s="30"/>
      <c r="K44" s="24"/>
      <c r="L44" s="22"/>
      <c r="M44" s="25"/>
      <c r="N44" s="22"/>
      <c r="O44" s="25"/>
      <c r="P44" s="26"/>
      <c r="Q44" s="118"/>
      <c r="R44" s="26"/>
      <c r="S44" s="28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83"/>
      <c r="B45" s="29"/>
      <c r="C45" s="18"/>
      <c r="D45" s="19"/>
      <c r="E45" s="20"/>
      <c r="F45" s="21"/>
      <c r="G45" s="22"/>
      <c r="H45" s="25"/>
      <c r="I45" s="30"/>
      <c r="J45" s="30"/>
      <c r="K45" s="24"/>
      <c r="L45" s="22"/>
      <c r="M45" s="25"/>
      <c r="N45" s="22"/>
      <c r="O45" s="25"/>
      <c r="P45" s="26"/>
      <c r="Q45" s="118"/>
      <c r="R45" s="26"/>
      <c r="S45" s="28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7.5" customHeight="1">
      <c r="A46" s="16"/>
      <c r="B46" s="64"/>
      <c r="C46" s="65"/>
      <c r="D46" s="66" t="s">
        <v>135</v>
      </c>
      <c r="E46" s="67"/>
      <c r="F46" s="68">
        <f t="shared" ref="F46:Q46" si="2">SUM(F5:F45)</f>
        <v>1000</v>
      </c>
      <c r="G46" s="68">
        <f t="shared" si="2"/>
        <v>0</v>
      </c>
      <c r="H46" s="68">
        <f t="shared" si="2"/>
        <v>84500</v>
      </c>
      <c r="I46" s="68">
        <f t="shared" si="2"/>
        <v>117356</v>
      </c>
      <c r="J46" s="68">
        <f t="shared" si="2"/>
        <v>15300</v>
      </c>
      <c r="K46" s="68">
        <f t="shared" si="2"/>
        <v>13194</v>
      </c>
      <c r="L46" s="68">
        <f t="shared" si="2"/>
        <v>0</v>
      </c>
      <c r="M46" s="68">
        <f t="shared" si="2"/>
        <v>7635</v>
      </c>
      <c r="N46" s="68">
        <f t="shared" si="2"/>
        <v>0</v>
      </c>
      <c r="O46" s="68">
        <f t="shared" si="2"/>
        <v>0</v>
      </c>
      <c r="P46" s="68">
        <f t="shared" si="2"/>
        <v>238985</v>
      </c>
      <c r="Q46" s="68">
        <f t="shared" si="2"/>
        <v>0</v>
      </c>
      <c r="R46" s="69"/>
      <c r="S46" s="28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ht="58.5" customHeight="1">
      <c r="A47" s="70"/>
      <c r="B47" s="70"/>
      <c r="C47" s="71"/>
      <c r="D47" s="70"/>
      <c r="E47" s="70"/>
      <c r="F47" s="72">
        <f>F46+G46+H46+I46+J46+K46+L46+M46+N46+O46</f>
        <v>238985</v>
      </c>
      <c r="P47" s="73"/>
      <c r="Q47" s="73"/>
      <c r="R47" s="70"/>
      <c r="S47" s="70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5" t="s">
        <v>135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82" t="s">
        <v>229</v>
      </c>
      <c r="D51" s="4"/>
      <c r="E51" s="76" t="s">
        <v>136</v>
      </c>
      <c r="F51" s="77" t="s">
        <v>137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78" t="s">
        <v>138</v>
      </c>
      <c r="F52" s="77" t="s">
        <v>348</v>
      </c>
      <c r="G52" s="4"/>
      <c r="H52" s="4"/>
      <c r="I52" s="4"/>
      <c r="J52" s="4"/>
      <c r="K52" s="4"/>
      <c r="L52" s="4"/>
      <c r="M52" s="4"/>
      <c r="N52" s="4"/>
      <c r="O52" s="79" t="s">
        <v>135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78" t="s">
        <v>140</v>
      </c>
      <c r="F53" s="77" t="s">
        <v>139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78" t="s">
        <v>141</v>
      </c>
      <c r="F54" s="77" t="s">
        <v>139</v>
      </c>
      <c r="G54" s="4"/>
      <c r="H54" s="4"/>
      <c r="I54" s="4"/>
      <c r="J54" s="4"/>
      <c r="K54" s="4" t="s">
        <v>135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74"/>
      <c r="D55" s="4"/>
      <c r="E55" s="78" t="s">
        <v>142</v>
      </c>
      <c r="F55" s="77" t="s">
        <v>139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74"/>
      <c r="D56" s="4"/>
      <c r="E56" s="78" t="s">
        <v>1012</v>
      </c>
      <c r="F56" s="77" t="s">
        <v>139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74"/>
      <c r="D57" s="4"/>
      <c r="E57" s="78" t="s">
        <v>145</v>
      </c>
      <c r="F57" s="77" t="s">
        <v>820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74"/>
      <c r="D58" s="4"/>
      <c r="E58" s="78" t="s">
        <v>147</v>
      </c>
      <c r="F58" s="80" t="s">
        <v>137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79" t="s">
        <v>135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 t="str">
        <f>I72446</f>
        <v/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79" t="s">
        <v>148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>
        <v>7.0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7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7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7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7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7">
    <mergeCell ref="R2:R4"/>
    <mergeCell ref="S2:S4"/>
    <mergeCell ref="F3:F4"/>
    <mergeCell ref="G3:H3"/>
    <mergeCell ref="I3:J3"/>
    <mergeCell ref="K3:K4"/>
    <mergeCell ref="F47:O4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1013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45646.0</v>
      </c>
      <c r="C5" s="18" t="s">
        <v>1014</v>
      </c>
      <c r="D5" s="19">
        <v>85564.0</v>
      </c>
      <c r="E5" s="20" t="s">
        <v>1015</v>
      </c>
      <c r="F5" s="30"/>
      <c r="G5" s="22"/>
      <c r="H5" s="30"/>
      <c r="I5" s="23">
        <v>300.0</v>
      </c>
      <c r="J5" s="23"/>
      <c r="K5" s="25"/>
      <c r="L5" s="25"/>
      <c r="M5" s="30"/>
      <c r="N5" s="22"/>
      <c r="O5" s="22"/>
      <c r="P5" s="26">
        <v>300.0</v>
      </c>
      <c r="Q5" s="118">
        <f t="shared" ref="Q5:Q37" si="1">F5+G5+H5+I5+J5+K5+L5+M5+N5+O5-P5</f>
        <v>0</v>
      </c>
      <c r="R5" s="26" t="s">
        <v>33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45646.0</v>
      </c>
      <c r="C6" s="18" t="s">
        <v>1016</v>
      </c>
      <c r="D6" s="19">
        <v>71126.0</v>
      </c>
      <c r="E6" s="20" t="s">
        <v>114</v>
      </c>
      <c r="F6" s="21"/>
      <c r="G6" s="22"/>
      <c r="H6" s="30"/>
      <c r="I6" s="23"/>
      <c r="J6" s="23"/>
      <c r="K6" s="25">
        <v>3600.0</v>
      </c>
      <c r="L6" s="25"/>
      <c r="M6" s="30"/>
      <c r="N6" s="22"/>
      <c r="O6" s="22"/>
      <c r="P6" s="26">
        <v>3600.0</v>
      </c>
      <c r="Q6" s="118">
        <f t="shared" si="1"/>
        <v>0</v>
      </c>
      <c r="R6" s="26" t="s">
        <v>48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45646.0</v>
      </c>
      <c r="C7" s="18" t="s">
        <v>1017</v>
      </c>
      <c r="D7" s="19">
        <v>31927.0</v>
      </c>
      <c r="E7" s="20" t="s">
        <v>116</v>
      </c>
      <c r="F7" s="21"/>
      <c r="G7" s="22"/>
      <c r="H7" s="30"/>
      <c r="I7" s="23">
        <v>175.0</v>
      </c>
      <c r="J7" s="23"/>
      <c r="K7" s="22"/>
      <c r="L7" s="25"/>
      <c r="M7" s="30"/>
      <c r="N7" s="22"/>
      <c r="O7" s="22"/>
      <c r="P7" s="26">
        <v>175.0</v>
      </c>
      <c r="Q7" s="118">
        <f t="shared" si="1"/>
        <v>0</v>
      </c>
      <c r="R7" s="26" t="s">
        <v>48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45647.0</v>
      </c>
      <c r="C8" s="18" t="s">
        <v>1018</v>
      </c>
      <c r="D8" s="19">
        <v>42046.0</v>
      </c>
      <c r="E8" s="20" t="s">
        <v>407</v>
      </c>
      <c r="F8" s="30"/>
      <c r="G8" s="25"/>
      <c r="H8" s="30"/>
      <c r="I8" s="23">
        <v>2600.0</v>
      </c>
      <c r="J8" s="23"/>
      <c r="K8" s="25"/>
      <c r="L8" s="25"/>
      <c r="M8" s="30"/>
      <c r="N8" s="22"/>
      <c r="O8" s="22"/>
      <c r="P8" s="26">
        <v>2600.0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45647.0</v>
      </c>
      <c r="C9" s="18" t="s">
        <v>1019</v>
      </c>
      <c r="D9" s="19">
        <v>47576.0</v>
      </c>
      <c r="E9" s="20" t="s">
        <v>268</v>
      </c>
      <c r="F9" s="21"/>
      <c r="G9" s="25"/>
      <c r="H9" s="25"/>
      <c r="I9" s="30">
        <v>3950.0</v>
      </c>
      <c r="J9" s="25"/>
      <c r="K9" s="25"/>
      <c r="L9" s="22"/>
      <c r="M9" s="30"/>
      <c r="N9" s="22"/>
      <c r="O9" s="22"/>
      <c r="P9" s="26">
        <v>3950.0</v>
      </c>
      <c r="Q9" s="118">
        <f t="shared" si="1"/>
        <v>0</v>
      </c>
      <c r="R9" s="26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45647.0</v>
      </c>
      <c r="C10" s="18" t="s">
        <v>1020</v>
      </c>
      <c r="D10" s="19">
        <v>31927.0</v>
      </c>
      <c r="E10" s="20" t="s">
        <v>116</v>
      </c>
      <c r="F10" s="22"/>
      <c r="G10" s="25"/>
      <c r="H10" s="30"/>
      <c r="I10" s="30">
        <v>450.0</v>
      </c>
      <c r="J10" s="23"/>
      <c r="K10" s="25"/>
      <c r="L10" s="22"/>
      <c r="M10" s="25"/>
      <c r="N10" s="22"/>
      <c r="O10" s="22"/>
      <c r="P10" s="26">
        <v>450.0</v>
      </c>
      <c r="Q10" s="118">
        <f t="shared" si="1"/>
        <v>0</v>
      </c>
      <c r="R10" s="26" t="s">
        <v>33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45647.0</v>
      </c>
      <c r="C11" s="18" t="s">
        <v>1021</v>
      </c>
      <c r="D11" s="19">
        <v>47281.0</v>
      </c>
      <c r="E11" s="20" t="s">
        <v>1022</v>
      </c>
      <c r="F11" s="22"/>
      <c r="G11" s="22"/>
      <c r="H11" s="25"/>
      <c r="I11" s="30">
        <v>2600.0</v>
      </c>
      <c r="J11" s="30"/>
      <c r="K11" s="25"/>
      <c r="L11" s="22"/>
      <c r="M11" s="30"/>
      <c r="N11" s="22"/>
      <c r="O11" s="22"/>
      <c r="P11" s="26">
        <v>2600.0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45647.0</v>
      </c>
      <c r="C12" s="107" t="s">
        <v>1023</v>
      </c>
      <c r="D12" s="108">
        <v>81569.0</v>
      </c>
      <c r="E12" s="109" t="s">
        <v>1024</v>
      </c>
      <c r="F12" s="110"/>
      <c r="G12" s="115"/>
      <c r="H12" s="115"/>
      <c r="I12" s="111">
        <v>3050.0</v>
      </c>
      <c r="J12" s="111"/>
      <c r="K12" s="115"/>
      <c r="L12" s="110"/>
      <c r="M12" s="111"/>
      <c r="N12" s="110"/>
      <c r="O12" s="110"/>
      <c r="P12" s="113">
        <v>3050.0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45647.0</v>
      </c>
      <c r="C13" s="18" t="s">
        <v>1025</v>
      </c>
      <c r="D13" s="19">
        <v>36555.0</v>
      </c>
      <c r="E13" s="20" t="s">
        <v>196</v>
      </c>
      <c r="F13" s="22"/>
      <c r="G13" s="25"/>
      <c r="H13" s="25"/>
      <c r="I13" s="30">
        <v>282.0</v>
      </c>
      <c r="J13" s="30"/>
      <c r="K13" s="25">
        <v>1218.0</v>
      </c>
      <c r="L13" s="22"/>
      <c r="M13" s="30"/>
      <c r="N13" s="22"/>
      <c r="O13" s="22"/>
      <c r="P13" s="26">
        <v>1500.0</v>
      </c>
      <c r="Q13" s="118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45647.0</v>
      </c>
      <c r="C14" s="18" t="s">
        <v>1026</v>
      </c>
      <c r="D14" s="19">
        <v>64857.0</v>
      </c>
      <c r="E14" s="20" t="s">
        <v>1027</v>
      </c>
      <c r="F14" s="22"/>
      <c r="G14" s="22"/>
      <c r="H14" s="25"/>
      <c r="I14" s="30">
        <v>24500.0</v>
      </c>
      <c r="J14" s="30"/>
      <c r="K14" s="22"/>
      <c r="L14" s="22"/>
      <c r="M14" s="21"/>
      <c r="N14" s="22"/>
      <c r="O14" s="22"/>
      <c r="P14" s="26">
        <v>24500.0</v>
      </c>
      <c r="Q14" s="118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45647.0</v>
      </c>
      <c r="C15" s="33" t="s">
        <v>1028</v>
      </c>
      <c r="D15" s="34">
        <v>64857.0</v>
      </c>
      <c r="E15" s="35" t="s">
        <v>1027</v>
      </c>
      <c r="F15" s="22"/>
      <c r="G15" s="22"/>
      <c r="H15" s="25"/>
      <c r="I15" s="30">
        <v>900.0</v>
      </c>
      <c r="J15" s="30"/>
      <c r="K15" s="25"/>
      <c r="L15" s="22"/>
      <c r="M15" s="30"/>
      <c r="N15" s="22"/>
      <c r="O15" s="22"/>
      <c r="P15" s="36">
        <v>900.0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45647.0</v>
      </c>
      <c r="C16" s="33" t="s">
        <v>1029</v>
      </c>
      <c r="D16" s="34">
        <v>46778.0</v>
      </c>
      <c r="E16" s="35" t="s">
        <v>712</v>
      </c>
      <c r="F16" s="25"/>
      <c r="G16" s="22"/>
      <c r="H16" s="25"/>
      <c r="I16" s="30"/>
      <c r="J16" s="30">
        <v>1000.0</v>
      </c>
      <c r="K16" s="25"/>
      <c r="L16" s="22"/>
      <c r="M16" s="21"/>
      <c r="N16" s="22"/>
      <c r="O16" s="22"/>
      <c r="P16" s="36">
        <v>1000.0</v>
      </c>
      <c r="Q16" s="118">
        <f t="shared" si="1"/>
        <v>0</v>
      </c>
      <c r="R16" s="36" t="s">
        <v>33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45647.0</v>
      </c>
      <c r="C17" s="18" t="s">
        <v>1030</v>
      </c>
      <c r="D17" s="19">
        <v>59244.0</v>
      </c>
      <c r="E17" s="20" t="s">
        <v>50</v>
      </c>
      <c r="F17" s="30"/>
      <c r="G17" s="22"/>
      <c r="H17" s="25"/>
      <c r="I17" s="30">
        <v>7000.0</v>
      </c>
      <c r="J17" s="30"/>
      <c r="K17" s="24"/>
      <c r="L17" s="22"/>
      <c r="M17" s="22"/>
      <c r="N17" s="22"/>
      <c r="O17" s="22"/>
      <c r="P17" s="26">
        <v>7000.0</v>
      </c>
      <c r="Q17" s="118">
        <f t="shared" si="1"/>
        <v>0</v>
      </c>
      <c r="R17" s="26" t="s">
        <v>30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45647.0</v>
      </c>
      <c r="C18" s="18" t="s">
        <v>1031</v>
      </c>
      <c r="D18" s="19">
        <v>50461.0</v>
      </c>
      <c r="E18" s="20" t="s">
        <v>1032</v>
      </c>
      <c r="F18" s="30"/>
      <c r="G18" s="22"/>
      <c r="H18" s="25"/>
      <c r="I18" s="30">
        <v>2500.0</v>
      </c>
      <c r="J18" s="30"/>
      <c r="K18" s="24"/>
      <c r="L18" s="22"/>
      <c r="M18" s="25"/>
      <c r="N18" s="22"/>
      <c r="O18" s="22"/>
      <c r="P18" s="26">
        <v>2500.0</v>
      </c>
      <c r="Q18" s="118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45647.0</v>
      </c>
      <c r="C19" s="18" t="s">
        <v>1033</v>
      </c>
      <c r="D19" s="19">
        <v>85582.0</v>
      </c>
      <c r="E19" s="20" t="s">
        <v>1034</v>
      </c>
      <c r="F19" s="30"/>
      <c r="G19" s="22"/>
      <c r="H19" s="25"/>
      <c r="I19" s="30"/>
      <c r="J19" s="30">
        <v>300.0</v>
      </c>
      <c r="K19" s="24"/>
      <c r="L19" s="22"/>
      <c r="M19" s="25"/>
      <c r="N19" s="22"/>
      <c r="O19" s="22"/>
      <c r="P19" s="26">
        <v>300.0</v>
      </c>
      <c r="Q19" s="118">
        <f t="shared" si="1"/>
        <v>0</v>
      </c>
      <c r="R19" s="26" t="s">
        <v>33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45647.0</v>
      </c>
      <c r="C20" s="18" t="s">
        <v>1035</v>
      </c>
      <c r="D20" s="19">
        <v>59244.0</v>
      </c>
      <c r="E20" s="20" t="s">
        <v>50</v>
      </c>
      <c r="F20" s="30"/>
      <c r="G20" s="22"/>
      <c r="H20" s="25"/>
      <c r="I20" s="30">
        <v>150.0</v>
      </c>
      <c r="J20" s="30"/>
      <c r="K20" s="24"/>
      <c r="L20" s="22"/>
      <c r="M20" s="25"/>
      <c r="N20" s="22"/>
      <c r="O20" s="22"/>
      <c r="P20" s="26">
        <v>150.0</v>
      </c>
      <c r="Q20" s="118">
        <f t="shared" si="1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45647.0</v>
      </c>
      <c r="C21" s="18" t="s">
        <v>1036</v>
      </c>
      <c r="D21" s="19">
        <v>42339.0</v>
      </c>
      <c r="E21" s="20" t="s">
        <v>528</v>
      </c>
      <c r="F21" s="30"/>
      <c r="G21" s="22"/>
      <c r="H21" s="25"/>
      <c r="I21" s="30"/>
      <c r="J21" s="30">
        <v>2600.0</v>
      </c>
      <c r="K21" s="24"/>
      <c r="L21" s="22"/>
      <c r="M21" s="25"/>
      <c r="N21" s="22"/>
      <c r="O21" s="22"/>
      <c r="P21" s="26">
        <v>2600.0</v>
      </c>
      <c r="Q21" s="118">
        <f t="shared" si="1"/>
        <v>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45647.0</v>
      </c>
      <c r="C22" s="18" t="s">
        <v>1037</v>
      </c>
      <c r="D22" s="19">
        <v>62146.0</v>
      </c>
      <c r="E22" s="20" t="s">
        <v>606</v>
      </c>
      <c r="F22" s="30"/>
      <c r="G22" s="22"/>
      <c r="H22" s="25"/>
      <c r="I22" s="30"/>
      <c r="J22" s="30"/>
      <c r="K22" s="23">
        <v>5700.0</v>
      </c>
      <c r="L22" s="22"/>
      <c r="M22" s="25"/>
      <c r="N22" s="22"/>
      <c r="O22" s="22"/>
      <c r="P22" s="26">
        <v>5700.0</v>
      </c>
      <c r="Q22" s="118">
        <f t="shared" si="1"/>
        <v>0</v>
      </c>
      <c r="R22" s="26" t="s">
        <v>25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45647.0</v>
      </c>
      <c r="C23" s="18" t="s">
        <v>1038</v>
      </c>
      <c r="D23" s="19">
        <v>29621.0</v>
      </c>
      <c r="E23" s="20" t="s">
        <v>1039</v>
      </c>
      <c r="F23" s="30"/>
      <c r="G23" s="25">
        <v>2500.0</v>
      </c>
      <c r="H23" s="25"/>
      <c r="I23" s="30"/>
      <c r="J23" s="30"/>
      <c r="K23" s="24"/>
      <c r="L23" s="22"/>
      <c r="M23" s="25"/>
      <c r="N23" s="22"/>
      <c r="O23" s="22"/>
      <c r="P23" s="26">
        <v>2500.0</v>
      </c>
      <c r="Q23" s="118">
        <f t="shared" si="1"/>
        <v>0</v>
      </c>
      <c r="R23" s="26" t="s">
        <v>30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45647.0</v>
      </c>
      <c r="C24" s="18" t="s">
        <v>1040</v>
      </c>
      <c r="D24" s="19">
        <v>52083.0</v>
      </c>
      <c r="E24" s="20" t="s">
        <v>93</v>
      </c>
      <c r="F24" s="30"/>
      <c r="G24" s="22"/>
      <c r="H24" s="25"/>
      <c r="I24" s="30">
        <v>7150.0</v>
      </c>
      <c r="J24" s="30"/>
      <c r="K24" s="24"/>
      <c r="L24" s="22"/>
      <c r="M24" s="25"/>
      <c r="N24" s="22"/>
      <c r="O24" s="22"/>
      <c r="P24" s="26">
        <v>7150.0</v>
      </c>
      <c r="Q24" s="118">
        <f t="shared" si="1"/>
        <v>0</v>
      </c>
      <c r="R24" s="26" t="s">
        <v>25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45647.0</v>
      </c>
      <c r="C25" s="18" t="s">
        <v>1041</v>
      </c>
      <c r="D25" s="19">
        <v>24368.0</v>
      </c>
      <c r="E25" s="20" t="s">
        <v>127</v>
      </c>
      <c r="F25" s="30"/>
      <c r="G25" s="22"/>
      <c r="H25" s="25"/>
      <c r="I25" s="30"/>
      <c r="J25" s="30"/>
      <c r="K25" s="23">
        <v>6050.0</v>
      </c>
      <c r="L25" s="22"/>
      <c r="M25" s="25"/>
      <c r="N25" s="22"/>
      <c r="O25" s="22"/>
      <c r="P25" s="26">
        <v>6050.0</v>
      </c>
      <c r="Q25" s="118">
        <f t="shared" si="1"/>
        <v>0</v>
      </c>
      <c r="R25" s="26" t="s">
        <v>25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45647.0</v>
      </c>
      <c r="C26" s="18" t="s">
        <v>1042</v>
      </c>
      <c r="D26" s="19">
        <v>25376.0</v>
      </c>
      <c r="E26" s="20" t="s">
        <v>1043</v>
      </c>
      <c r="F26" s="30"/>
      <c r="G26" s="22"/>
      <c r="H26" s="25"/>
      <c r="I26" s="30"/>
      <c r="J26" s="30">
        <v>4500.0</v>
      </c>
      <c r="K26" s="23"/>
      <c r="L26" s="22"/>
      <c r="M26" s="25"/>
      <c r="N26" s="22"/>
      <c r="O26" s="22"/>
      <c r="P26" s="26">
        <v>4500.0</v>
      </c>
      <c r="Q26" s="118">
        <f t="shared" si="1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45647.0</v>
      </c>
      <c r="C27" s="18" t="s">
        <v>1044</v>
      </c>
      <c r="D27" s="19">
        <v>85584.0</v>
      </c>
      <c r="E27" s="20" t="s">
        <v>1045</v>
      </c>
      <c r="F27" s="30"/>
      <c r="G27" s="22"/>
      <c r="H27" s="25"/>
      <c r="I27" s="30">
        <v>300.0</v>
      </c>
      <c r="J27" s="30"/>
      <c r="K27" s="24"/>
      <c r="L27" s="22"/>
      <c r="M27" s="25"/>
      <c r="N27" s="22"/>
      <c r="O27" s="22"/>
      <c r="P27" s="26">
        <v>300.0</v>
      </c>
      <c r="Q27" s="118">
        <f t="shared" si="1"/>
        <v>0</v>
      </c>
      <c r="R27" s="26" t="s">
        <v>30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45647.0</v>
      </c>
      <c r="C28" s="18" t="s">
        <v>1046</v>
      </c>
      <c r="D28" s="19">
        <v>20541.0</v>
      </c>
      <c r="E28" s="20" t="s">
        <v>1047</v>
      </c>
      <c r="F28" s="30"/>
      <c r="G28" s="22"/>
      <c r="H28" s="25"/>
      <c r="I28" s="30">
        <v>4600.0</v>
      </c>
      <c r="J28" s="30"/>
      <c r="K28" s="24"/>
      <c r="L28" s="22"/>
      <c r="M28" s="25"/>
      <c r="N28" s="22"/>
      <c r="O28" s="22"/>
      <c r="P28" s="26">
        <v>4600.0</v>
      </c>
      <c r="Q28" s="118">
        <f t="shared" si="1"/>
        <v>0</v>
      </c>
      <c r="R28" s="26" t="s">
        <v>30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45646.0</v>
      </c>
      <c r="C29" s="18" t="s">
        <v>1048</v>
      </c>
      <c r="D29" s="19">
        <v>85567.0</v>
      </c>
      <c r="E29" s="20" t="s">
        <v>1049</v>
      </c>
      <c r="F29" s="30"/>
      <c r="G29" s="22"/>
      <c r="H29" s="25"/>
      <c r="I29" s="30"/>
      <c r="J29" s="30"/>
      <c r="K29" s="23">
        <v>7300.0</v>
      </c>
      <c r="L29" s="22"/>
      <c r="M29" s="25"/>
      <c r="N29" s="22"/>
      <c r="O29" s="22"/>
      <c r="P29" s="26">
        <v>7300.0</v>
      </c>
      <c r="Q29" s="118">
        <f t="shared" si="1"/>
        <v>0</v>
      </c>
      <c r="R29" s="26"/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45646.0</v>
      </c>
      <c r="C30" s="18" t="s">
        <v>1050</v>
      </c>
      <c r="D30" s="19">
        <v>85568.0</v>
      </c>
      <c r="E30" s="20" t="s">
        <v>1051</v>
      </c>
      <c r="F30" s="30"/>
      <c r="G30" s="22"/>
      <c r="H30" s="25"/>
      <c r="I30" s="30"/>
      <c r="J30" s="30"/>
      <c r="K30" s="23">
        <v>7300.0</v>
      </c>
      <c r="L30" s="22"/>
      <c r="M30" s="25"/>
      <c r="N30" s="22"/>
      <c r="O30" s="22"/>
      <c r="P30" s="26">
        <v>7300.0</v>
      </c>
      <c r="Q30" s="118">
        <f t="shared" si="1"/>
        <v>0</v>
      </c>
      <c r="R30" s="26"/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45646.0</v>
      </c>
      <c r="C31" s="18" t="s">
        <v>1052</v>
      </c>
      <c r="D31" s="19">
        <v>85569.0</v>
      </c>
      <c r="E31" s="20" t="s">
        <v>1053</v>
      </c>
      <c r="F31" s="30"/>
      <c r="G31" s="22"/>
      <c r="H31" s="25"/>
      <c r="I31" s="30"/>
      <c r="J31" s="30"/>
      <c r="K31" s="23">
        <v>7300.0</v>
      </c>
      <c r="L31" s="22"/>
      <c r="M31" s="25"/>
      <c r="N31" s="22"/>
      <c r="O31" s="22"/>
      <c r="P31" s="26">
        <v>7300.0</v>
      </c>
      <c r="Q31" s="118">
        <f t="shared" si="1"/>
        <v>0</v>
      </c>
      <c r="R31" s="26"/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45646.0</v>
      </c>
      <c r="C32" s="18" t="s">
        <v>1054</v>
      </c>
      <c r="D32" s="19">
        <v>85570.0</v>
      </c>
      <c r="E32" s="20" t="s">
        <v>1055</v>
      </c>
      <c r="F32" s="30"/>
      <c r="G32" s="22"/>
      <c r="H32" s="25"/>
      <c r="I32" s="30"/>
      <c r="J32" s="30"/>
      <c r="K32" s="23">
        <v>7300.0</v>
      </c>
      <c r="L32" s="22"/>
      <c r="M32" s="25"/>
      <c r="N32" s="22"/>
      <c r="O32" s="22"/>
      <c r="P32" s="26">
        <v>7300.0</v>
      </c>
      <c r="Q32" s="118">
        <f t="shared" si="1"/>
        <v>0</v>
      </c>
      <c r="R32" s="26"/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45646.0</v>
      </c>
      <c r="C33" s="18" t="s">
        <v>1056</v>
      </c>
      <c r="D33" s="19">
        <v>85571.0</v>
      </c>
      <c r="E33" s="20" t="s">
        <v>1057</v>
      </c>
      <c r="F33" s="30"/>
      <c r="G33" s="22"/>
      <c r="H33" s="25"/>
      <c r="I33" s="30"/>
      <c r="J33" s="30"/>
      <c r="K33" s="23">
        <v>7300.0</v>
      </c>
      <c r="L33" s="22"/>
      <c r="M33" s="25"/>
      <c r="N33" s="22"/>
      <c r="O33" s="22"/>
      <c r="P33" s="26">
        <v>7300.0</v>
      </c>
      <c r="Q33" s="118">
        <f t="shared" si="1"/>
        <v>0</v>
      </c>
      <c r="R33" s="26"/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45646.0</v>
      </c>
      <c r="C34" s="18" t="s">
        <v>1058</v>
      </c>
      <c r="D34" s="19">
        <v>85573.0</v>
      </c>
      <c r="E34" s="20" t="s">
        <v>1059</v>
      </c>
      <c r="F34" s="30"/>
      <c r="G34" s="22"/>
      <c r="H34" s="25"/>
      <c r="I34" s="30"/>
      <c r="J34" s="30"/>
      <c r="K34" s="23">
        <v>7300.0</v>
      </c>
      <c r="L34" s="22"/>
      <c r="M34" s="25"/>
      <c r="N34" s="22"/>
      <c r="O34" s="22"/>
      <c r="P34" s="26">
        <v>7300.0</v>
      </c>
      <c r="Q34" s="118">
        <f t="shared" si="1"/>
        <v>0</v>
      </c>
      <c r="R34" s="26"/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45647.0</v>
      </c>
      <c r="C35" s="18" t="s">
        <v>1060</v>
      </c>
      <c r="D35" s="19">
        <v>52669.0</v>
      </c>
      <c r="E35" s="20" t="s">
        <v>211</v>
      </c>
      <c r="F35" s="30"/>
      <c r="G35" s="22"/>
      <c r="H35" s="25">
        <v>15000.0</v>
      </c>
      <c r="I35" s="30"/>
      <c r="J35" s="30"/>
      <c r="K35" s="24"/>
      <c r="L35" s="22"/>
      <c r="M35" s="25"/>
      <c r="N35" s="22"/>
      <c r="O35" s="22"/>
      <c r="P35" s="26">
        <v>15000.0</v>
      </c>
      <c r="Q35" s="118">
        <f t="shared" si="1"/>
        <v>0</v>
      </c>
      <c r="R35" s="26"/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45647.0</v>
      </c>
      <c r="C36" s="18" t="s">
        <v>1061</v>
      </c>
      <c r="D36" s="19">
        <v>21828.0</v>
      </c>
      <c r="E36" s="20" t="s">
        <v>104</v>
      </c>
      <c r="F36" s="30"/>
      <c r="G36" s="22"/>
      <c r="H36" s="25"/>
      <c r="I36" s="30"/>
      <c r="J36" s="30"/>
      <c r="K36" s="24"/>
      <c r="L36" s="22"/>
      <c r="M36" s="25">
        <v>2500.0</v>
      </c>
      <c r="N36" s="22"/>
      <c r="O36" s="22"/>
      <c r="P36" s="26">
        <v>2500.0</v>
      </c>
      <c r="Q36" s="118">
        <f t="shared" si="1"/>
        <v>0</v>
      </c>
      <c r="R36" s="26"/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/>
      <c r="B37" s="29"/>
      <c r="C37" s="18"/>
      <c r="D37" s="19"/>
      <c r="E37" s="20"/>
      <c r="F37" s="21"/>
      <c r="G37" s="22"/>
      <c r="H37" s="25"/>
      <c r="I37" s="30"/>
      <c r="J37" s="30"/>
      <c r="K37" s="24"/>
      <c r="L37" s="22"/>
      <c r="M37" s="25"/>
      <c r="N37" s="22"/>
      <c r="O37" s="25"/>
      <c r="P37" s="26"/>
      <c r="Q37" s="118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7.5" customHeight="1">
      <c r="A38" s="16"/>
      <c r="B38" s="64"/>
      <c r="C38" s="65"/>
      <c r="D38" s="66" t="s">
        <v>135</v>
      </c>
      <c r="E38" s="67"/>
      <c r="F38" s="68">
        <f t="shared" ref="F38:Q38" si="2">SUM(F5:F37)</f>
        <v>0</v>
      </c>
      <c r="G38" s="68">
        <f t="shared" si="2"/>
        <v>2500</v>
      </c>
      <c r="H38" s="68">
        <f t="shared" si="2"/>
        <v>15000</v>
      </c>
      <c r="I38" s="68">
        <f t="shared" si="2"/>
        <v>60507</v>
      </c>
      <c r="J38" s="68">
        <f t="shared" si="2"/>
        <v>8400</v>
      </c>
      <c r="K38" s="68">
        <f t="shared" si="2"/>
        <v>60368</v>
      </c>
      <c r="L38" s="68">
        <f t="shared" si="2"/>
        <v>0</v>
      </c>
      <c r="M38" s="68">
        <f t="shared" si="2"/>
        <v>2500</v>
      </c>
      <c r="N38" s="68">
        <f t="shared" si="2"/>
        <v>0</v>
      </c>
      <c r="O38" s="68">
        <f t="shared" si="2"/>
        <v>0</v>
      </c>
      <c r="P38" s="68">
        <f t="shared" si="2"/>
        <v>149275</v>
      </c>
      <c r="Q38" s="68">
        <f t="shared" si="2"/>
        <v>0</v>
      </c>
      <c r="R38" s="69"/>
      <c r="S38" s="28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</row>
    <row r="39" ht="58.5" customHeight="1">
      <c r="A39" s="70"/>
      <c r="B39" s="70"/>
      <c r="C39" s="71"/>
      <c r="D39" s="70"/>
      <c r="E39" s="70"/>
      <c r="F39" s="72">
        <f>F38+G38+H38+I38+J38+K38+L38+M38+N38+O38</f>
        <v>149275</v>
      </c>
      <c r="P39" s="73"/>
      <c r="Q39" s="73"/>
      <c r="R39" s="70"/>
      <c r="S39" s="70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ht="15.75" customHeight="1">
      <c r="A40" s="4"/>
      <c r="B40" s="4"/>
      <c r="C40" s="7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5" t="s">
        <v>135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82" t="s">
        <v>229</v>
      </c>
      <c r="D43" s="4"/>
      <c r="E43" s="76" t="s">
        <v>136</v>
      </c>
      <c r="F43" s="77" t="s">
        <v>137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78" t="s">
        <v>138</v>
      </c>
      <c r="F44" s="77" t="s">
        <v>348</v>
      </c>
      <c r="G44" s="4"/>
      <c r="H44" s="4"/>
      <c r="I44" s="4"/>
      <c r="J44" s="4"/>
      <c r="K44" s="4"/>
      <c r="L44" s="4"/>
      <c r="M44" s="4"/>
      <c r="N44" s="4"/>
      <c r="O44" s="79" t="s">
        <v>135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78" t="s">
        <v>140</v>
      </c>
      <c r="F45" s="77" t="s">
        <v>139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78" t="s">
        <v>141</v>
      </c>
      <c r="F46" s="77" t="s">
        <v>139</v>
      </c>
      <c r="G46" s="4"/>
      <c r="H46" s="4"/>
      <c r="I46" s="4"/>
      <c r="J46" s="4"/>
      <c r="K46" s="4" t="s">
        <v>135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142</v>
      </c>
      <c r="F47" s="77" t="s">
        <v>230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1062</v>
      </c>
      <c r="F48" s="77" t="s">
        <v>139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78" t="s">
        <v>145</v>
      </c>
      <c r="F49" s="77" t="s">
        <v>820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78" t="s">
        <v>147</v>
      </c>
      <c r="F50" s="80" t="s">
        <v>137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79" t="s">
        <v>135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 t="str">
        <f>I72438</f>
        <v/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79" t="s">
        <v>148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>
        <v>7.0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7">
    <mergeCell ref="R2:R4"/>
    <mergeCell ref="S2:S4"/>
    <mergeCell ref="F3:F4"/>
    <mergeCell ref="G3:H3"/>
    <mergeCell ref="I3:J3"/>
    <mergeCell ref="K3:K4"/>
    <mergeCell ref="F39:O3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1063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45648.0</v>
      </c>
      <c r="C5" s="18" t="s">
        <v>1064</v>
      </c>
      <c r="D5" s="19">
        <v>76189.0</v>
      </c>
      <c r="E5" s="20" t="s">
        <v>326</v>
      </c>
      <c r="F5" s="30"/>
      <c r="G5" s="22"/>
      <c r="H5" s="30"/>
      <c r="I5" s="23">
        <v>5100.0</v>
      </c>
      <c r="J5" s="23"/>
      <c r="K5" s="25"/>
      <c r="L5" s="25"/>
      <c r="M5" s="30"/>
      <c r="N5" s="22"/>
      <c r="O5" s="22"/>
      <c r="P5" s="26">
        <v>5100.0</v>
      </c>
      <c r="Q5" s="118">
        <f t="shared" ref="Q5:Q30" si="1">F5+G5+H5+I5+J5+K5+L5+M5+N5+O5-P5</f>
        <v>0</v>
      </c>
      <c r="R5" s="26" t="s">
        <v>30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45648.0</v>
      </c>
      <c r="C6" s="18" t="s">
        <v>1065</v>
      </c>
      <c r="D6" s="19">
        <v>53842.0</v>
      </c>
      <c r="E6" s="20" t="s">
        <v>937</v>
      </c>
      <c r="F6" s="21"/>
      <c r="G6" s="22"/>
      <c r="H6" s="30"/>
      <c r="I6" s="23">
        <v>5100.0</v>
      </c>
      <c r="J6" s="23"/>
      <c r="K6" s="25"/>
      <c r="L6" s="25"/>
      <c r="M6" s="30"/>
      <c r="N6" s="22"/>
      <c r="O6" s="22"/>
      <c r="P6" s="26">
        <v>5100.0</v>
      </c>
      <c r="Q6" s="118">
        <f t="shared" si="1"/>
        <v>0</v>
      </c>
      <c r="R6" s="26" t="s">
        <v>30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45648.0</v>
      </c>
      <c r="C7" s="18" t="s">
        <v>1066</v>
      </c>
      <c r="D7" s="19">
        <v>63830.0</v>
      </c>
      <c r="E7" s="20" t="s">
        <v>297</v>
      </c>
      <c r="F7" s="21"/>
      <c r="G7" s="22"/>
      <c r="H7" s="30"/>
      <c r="I7" s="23"/>
      <c r="J7" s="23">
        <v>7600.0</v>
      </c>
      <c r="K7" s="22"/>
      <c r="L7" s="25"/>
      <c r="M7" s="30"/>
      <c r="N7" s="22"/>
      <c r="O7" s="22"/>
      <c r="P7" s="26">
        <v>7600.0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45648.0</v>
      </c>
      <c r="C8" s="18" t="s">
        <v>1067</v>
      </c>
      <c r="D8" s="19">
        <v>85127.0</v>
      </c>
      <c r="E8" s="20" t="s">
        <v>1068</v>
      </c>
      <c r="F8" s="30"/>
      <c r="G8" s="25"/>
      <c r="H8" s="30"/>
      <c r="I8" s="23"/>
      <c r="J8" s="23">
        <v>550.0</v>
      </c>
      <c r="K8" s="25"/>
      <c r="L8" s="25"/>
      <c r="M8" s="30"/>
      <c r="N8" s="22"/>
      <c r="O8" s="22"/>
      <c r="P8" s="26">
        <v>550.0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45648.0</v>
      </c>
      <c r="C9" s="18" t="s">
        <v>1069</v>
      </c>
      <c r="D9" s="19">
        <v>51017.0</v>
      </c>
      <c r="E9" s="20" t="s">
        <v>335</v>
      </c>
      <c r="F9" s="21"/>
      <c r="G9" s="25"/>
      <c r="H9" s="25">
        <v>14500.0</v>
      </c>
      <c r="I9" s="30"/>
      <c r="J9" s="25"/>
      <c r="K9" s="25"/>
      <c r="L9" s="22"/>
      <c r="M9" s="30"/>
      <c r="N9" s="22"/>
      <c r="O9" s="22"/>
      <c r="P9" s="26">
        <v>14500.0</v>
      </c>
      <c r="Q9" s="118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45648.0</v>
      </c>
      <c r="C10" s="18" t="s">
        <v>1070</v>
      </c>
      <c r="D10" s="19">
        <v>36555.0</v>
      </c>
      <c r="E10" s="20" t="s">
        <v>196</v>
      </c>
      <c r="F10" s="22"/>
      <c r="G10" s="25"/>
      <c r="H10" s="30">
        <v>2500.0</v>
      </c>
      <c r="I10" s="30"/>
      <c r="J10" s="23"/>
      <c r="K10" s="25"/>
      <c r="L10" s="22"/>
      <c r="M10" s="25"/>
      <c r="N10" s="22"/>
      <c r="O10" s="22"/>
      <c r="P10" s="26">
        <v>2500.0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45648.0</v>
      </c>
      <c r="C11" s="18" t="s">
        <v>1071</v>
      </c>
      <c r="D11" s="19">
        <v>36555.0</v>
      </c>
      <c r="E11" s="20" t="s">
        <v>196</v>
      </c>
      <c r="F11" s="22"/>
      <c r="G11" s="22"/>
      <c r="H11" s="25"/>
      <c r="I11" s="30">
        <v>100.0</v>
      </c>
      <c r="J11" s="30"/>
      <c r="K11" s="25"/>
      <c r="L11" s="22"/>
      <c r="M11" s="30"/>
      <c r="N11" s="22"/>
      <c r="O11" s="22"/>
      <c r="P11" s="26">
        <v>100.0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45648.0</v>
      </c>
      <c r="C12" s="107" t="s">
        <v>1072</v>
      </c>
      <c r="D12" s="108">
        <v>66932.0</v>
      </c>
      <c r="E12" s="109" t="s">
        <v>492</v>
      </c>
      <c r="F12" s="110"/>
      <c r="G12" s="115"/>
      <c r="H12" s="115"/>
      <c r="I12" s="111">
        <v>4350.0</v>
      </c>
      <c r="J12" s="111"/>
      <c r="K12" s="115"/>
      <c r="L12" s="110"/>
      <c r="M12" s="111"/>
      <c r="N12" s="110"/>
      <c r="O12" s="110"/>
      <c r="P12" s="113">
        <v>4350.0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45648.0</v>
      </c>
      <c r="C13" s="18" t="s">
        <v>1073</v>
      </c>
      <c r="D13" s="19">
        <v>25541.0</v>
      </c>
      <c r="E13" s="20" t="s">
        <v>375</v>
      </c>
      <c r="F13" s="22"/>
      <c r="G13" s="25">
        <v>600.0</v>
      </c>
      <c r="H13" s="25"/>
      <c r="I13" s="30"/>
      <c r="J13" s="30"/>
      <c r="K13" s="25"/>
      <c r="L13" s="22"/>
      <c r="M13" s="30"/>
      <c r="N13" s="22"/>
      <c r="O13" s="22"/>
      <c r="P13" s="26">
        <v>600.0</v>
      </c>
      <c r="Q13" s="118">
        <f t="shared" si="1"/>
        <v>0</v>
      </c>
      <c r="R13" s="26" t="s">
        <v>30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45648.0</v>
      </c>
      <c r="C14" s="18" t="s">
        <v>1074</v>
      </c>
      <c r="D14" s="19">
        <v>48631.0</v>
      </c>
      <c r="E14" s="20" t="s">
        <v>166</v>
      </c>
      <c r="F14" s="22"/>
      <c r="G14" s="22"/>
      <c r="H14" s="25"/>
      <c r="I14" s="30"/>
      <c r="J14" s="30">
        <v>5000.0</v>
      </c>
      <c r="K14" s="22"/>
      <c r="L14" s="22"/>
      <c r="M14" s="21"/>
      <c r="N14" s="22"/>
      <c r="O14" s="22"/>
      <c r="P14" s="26">
        <v>5000.0</v>
      </c>
      <c r="Q14" s="118">
        <f t="shared" si="1"/>
        <v>0</v>
      </c>
      <c r="R14" s="26" t="s">
        <v>25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45648.0</v>
      </c>
      <c r="C15" s="33" t="s">
        <v>1075</v>
      </c>
      <c r="D15" s="34">
        <v>48631.0</v>
      </c>
      <c r="E15" s="35" t="s">
        <v>166</v>
      </c>
      <c r="F15" s="22"/>
      <c r="G15" s="22"/>
      <c r="H15" s="25"/>
      <c r="I15" s="30"/>
      <c r="J15" s="30">
        <v>5000.0</v>
      </c>
      <c r="K15" s="25"/>
      <c r="L15" s="22"/>
      <c r="M15" s="30"/>
      <c r="N15" s="22"/>
      <c r="O15" s="22"/>
      <c r="P15" s="36">
        <v>5000.0</v>
      </c>
      <c r="Q15" s="118">
        <f t="shared" si="1"/>
        <v>0</v>
      </c>
      <c r="R15" s="36" t="s">
        <v>25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45648.0</v>
      </c>
      <c r="C16" s="33" t="s">
        <v>1076</v>
      </c>
      <c r="D16" s="34">
        <v>75045.0</v>
      </c>
      <c r="E16" s="35" t="s">
        <v>45</v>
      </c>
      <c r="F16" s="25">
        <v>4500.0</v>
      </c>
      <c r="G16" s="22"/>
      <c r="H16" s="25"/>
      <c r="I16" s="30"/>
      <c r="J16" s="30"/>
      <c r="K16" s="25"/>
      <c r="L16" s="22"/>
      <c r="M16" s="21"/>
      <c r="N16" s="22"/>
      <c r="O16" s="22"/>
      <c r="P16" s="36">
        <v>4500.0</v>
      </c>
      <c r="Q16" s="118">
        <f t="shared" si="1"/>
        <v>0</v>
      </c>
      <c r="R16" s="36" t="s">
        <v>30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45648.0</v>
      </c>
      <c r="C17" s="18" t="s">
        <v>1077</v>
      </c>
      <c r="D17" s="19">
        <v>75045.0</v>
      </c>
      <c r="E17" s="20" t="s">
        <v>45</v>
      </c>
      <c r="F17" s="30"/>
      <c r="G17" s="22"/>
      <c r="H17" s="25"/>
      <c r="I17" s="30"/>
      <c r="J17" s="30"/>
      <c r="K17" s="24"/>
      <c r="L17" s="22"/>
      <c r="M17" s="25">
        <v>2900.0</v>
      </c>
      <c r="N17" s="22"/>
      <c r="O17" s="22"/>
      <c r="P17" s="26">
        <v>2900.0</v>
      </c>
      <c r="Q17" s="118">
        <f t="shared" si="1"/>
        <v>0</v>
      </c>
      <c r="R17" s="26" t="s">
        <v>30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45648.0</v>
      </c>
      <c r="C18" s="18" t="s">
        <v>1078</v>
      </c>
      <c r="D18" s="19">
        <v>84490.0</v>
      </c>
      <c r="E18" s="20" t="s">
        <v>766</v>
      </c>
      <c r="F18" s="30"/>
      <c r="G18" s="22"/>
      <c r="H18" s="25"/>
      <c r="I18" s="30"/>
      <c r="J18" s="30"/>
      <c r="K18" s="24"/>
      <c r="L18" s="22"/>
      <c r="M18" s="25">
        <v>290.0</v>
      </c>
      <c r="N18" s="22"/>
      <c r="O18" s="22"/>
      <c r="P18" s="26">
        <v>290.0</v>
      </c>
      <c r="Q18" s="118">
        <f t="shared" si="1"/>
        <v>0</v>
      </c>
      <c r="R18" s="26" t="s">
        <v>25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45648.0</v>
      </c>
      <c r="C19" s="18" t="s">
        <v>1079</v>
      </c>
      <c r="D19" s="19">
        <v>80636.0</v>
      </c>
      <c r="E19" s="20" t="s">
        <v>689</v>
      </c>
      <c r="F19" s="30"/>
      <c r="G19" s="25">
        <v>600.0</v>
      </c>
      <c r="H19" s="25"/>
      <c r="I19" s="30"/>
      <c r="J19" s="30"/>
      <c r="K19" s="24"/>
      <c r="L19" s="22"/>
      <c r="M19" s="25"/>
      <c r="N19" s="22"/>
      <c r="O19" s="22"/>
      <c r="P19" s="26">
        <v>600.0</v>
      </c>
      <c r="Q19" s="118">
        <f t="shared" si="1"/>
        <v>0</v>
      </c>
      <c r="R19" s="26" t="s">
        <v>48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45648.0</v>
      </c>
      <c r="C20" s="18" t="s">
        <v>1080</v>
      </c>
      <c r="D20" s="19">
        <v>40649.0</v>
      </c>
      <c r="E20" s="20" t="s">
        <v>1081</v>
      </c>
      <c r="F20" s="30"/>
      <c r="G20" s="22"/>
      <c r="H20" s="25"/>
      <c r="I20" s="30">
        <v>1200.0</v>
      </c>
      <c r="J20" s="30"/>
      <c r="K20" s="24"/>
      <c r="L20" s="22"/>
      <c r="M20" s="25"/>
      <c r="N20" s="22"/>
      <c r="O20" s="22"/>
      <c r="P20" s="26">
        <v>1200.0</v>
      </c>
      <c r="Q20" s="118">
        <f t="shared" si="1"/>
        <v>0</v>
      </c>
      <c r="R20" s="26" t="s">
        <v>48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45648.0</v>
      </c>
      <c r="C21" s="18" t="s">
        <v>1082</v>
      </c>
      <c r="D21" s="19">
        <v>84490.0</v>
      </c>
      <c r="E21" s="20" t="s">
        <v>766</v>
      </c>
      <c r="F21" s="30">
        <v>100.0</v>
      </c>
      <c r="G21" s="22"/>
      <c r="H21" s="25"/>
      <c r="I21" s="30"/>
      <c r="J21" s="30"/>
      <c r="K21" s="24"/>
      <c r="L21" s="22"/>
      <c r="M21" s="25"/>
      <c r="N21" s="22"/>
      <c r="O21" s="22"/>
      <c r="P21" s="26">
        <v>100.0</v>
      </c>
      <c r="Q21" s="118">
        <f t="shared" si="1"/>
        <v>0</v>
      </c>
      <c r="R21" s="26" t="s">
        <v>48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45648.0</v>
      </c>
      <c r="C22" s="18" t="s">
        <v>1083</v>
      </c>
      <c r="D22" s="19">
        <v>84683.0</v>
      </c>
      <c r="E22" s="20" t="s">
        <v>748</v>
      </c>
      <c r="F22" s="30"/>
      <c r="G22" s="22"/>
      <c r="H22" s="25"/>
      <c r="I22" s="30"/>
      <c r="J22" s="30"/>
      <c r="K22" s="23"/>
      <c r="L22" s="22"/>
      <c r="M22" s="25">
        <v>50.0</v>
      </c>
      <c r="N22" s="22"/>
      <c r="O22" s="22"/>
      <c r="P22" s="26">
        <v>50.0</v>
      </c>
      <c r="Q22" s="118">
        <f t="shared" si="1"/>
        <v>0</v>
      </c>
      <c r="R22" s="26" t="s">
        <v>48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45648.0</v>
      </c>
      <c r="C23" s="18" t="s">
        <v>1084</v>
      </c>
      <c r="D23" s="19">
        <v>48631.0</v>
      </c>
      <c r="E23" s="20" t="s">
        <v>166</v>
      </c>
      <c r="F23" s="30"/>
      <c r="G23" s="25"/>
      <c r="H23" s="25"/>
      <c r="I23" s="30"/>
      <c r="J23" s="30">
        <v>5000.0</v>
      </c>
      <c r="K23" s="24"/>
      <c r="L23" s="22"/>
      <c r="M23" s="25"/>
      <c r="N23" s="22"/>
      <c r="O23" s="22"/>
      <c r="P23" s="26">
        <v>5000.0</v>
      </c>
      <c r="Q23" s="118">
        <f t="shared" si="1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45648.0</v>
      </c>
      <c r="C24" s="18" t="s">
        <v>1085</v>
      </c>
      <c r="D24" s="19">
        <v>53249.0</v>
      </c>
      <c r="E24" s="20" t="s">
        <v>54</v>
      </c>
      <c r="F24" s="30"/>
      <c r="G24" s="22"/>
      <c r="H24" s="25"/>
      <c r="I24" s="30"/>
      <c r="J24" s="30">
        <v>16300.0</v>
      </c>
      <c r="K24" s="24"/>
      <c r="L24" s="22"/>
      <c r="M24" s="25"/>
      <c r="N24" s="22"/>
      <c r="O24" s="22"/>
      <c r="P24" s="26">
        <v>16300.0</v>
      </c>
      <c r="Q24" s="118">
        <f t="shared" si="1"/>
        <v>0</v>
      </c>
      <c r="R24" s="26" t="s">
        <v>25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45648.0</v>
      </c>
      <c r="C25" s="18" t="s">
        <v>1086</v>
      </c>
      <c r="D25" s="19">
        <v>10250.0</v>
      </c>
      <c r="E25" s="20" t="s">
        <v>330</v>
      </c>
      <c r="F25" s="30"/>
      <c r="G25" s="22"/>
      <c r="H25" s="25"/>
      <c r="I25" s="30">
        <v>19000.0</v>
      </c>
      <c r="J25" s="30"/>
      <c r="K25" s="23"/>
      <c r="L25" s="22"/>
      <c r="M25" s="25"/>
      <c r="N25" s="22"/>
      <c r="O25" s="22"/>
      <c r="P25" s="26">
        <v>19000.0</v>
      </c>
      <c r="Q25" s="118">
        <f t="shared" si="1"/>
        <v>0</v>
      </c>
      <c r="R25" s="26" t="s">
        <v>25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45648.0</v>
      </c>
      <c r="C26" s="18" t="s">
        <v>1087</v>
      </c>
      <c r="D26" s="19">
        <v>85594.0</v>
      </c>
      <c r="E26" s="20" t="s">
        <v>1088</v>
      </c>
      <c r="F26" s="30"/>
      <c r="G26" s="22"/>
      <c r="H26" s="25"/>
      <c r="I26" s="30"/>
      <c r="J26" s="30">
        <v>300.0</v>
      </c>
      <c r="K26" s="23"/>
      <c r="L26" s="22"/>
      <c r="M26" s="25"/>
      <c r="N26" s="22"/>
      <c r="O26" s="22"/>
      <c r="P26" s="26">
        <v>300.0</v>
      </c>
      <c r="Q26" s="118">
        <f t="shared" si="1"/>
        <v>0</v>
      </c>
      <c r="R26" s="26" t="s">
        <v>48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45648.0</v>
      </c>
      <c r="C27" s="18" t="s">
        <v>1089</v>
      </c>
      <c r="D27" s="19">
        <v>84774.0</v>
      </c>
      <c r="E27" s="20" t="s">
        <v>1090</v>
      </c>
      <c r="F27" s="30"/>
      <c r="G27" s="22"/>
      <c r="H27" s="25"/>
      <c r="I27" s="30"/>
      <c r="J27" s="30"/>
      <c r="K27" s="24"/>
      <c r="L27" s="22"/>
      <c r="M27" s="25">
        <v>250.0</v>
      </c>
      <c r="N27" s="22"/>
      <c r="O27" s="22"/>
      <c r="P27" s="26">
        <v>250.0</v>
      </c>
      <c r="Q27" s="118">
        <f t="shared" si="1"/>
        <v>0</v>
      </c>
      <c r="R27" s="26" t="s">
        <v>30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45648.0</v>
      </c>
      <c r="C28" s="18" t="s">
        <v>1091</v>
      </c>
      <c r="D28" s="19">
        <v>85590.0</v>
      </c>
      <c r="E28" s="20" t="s">
        <v>1092</v>
      </c>
      <c r="F28" s="30"/>
      <c r="G28" s="22"/>
      <c r="H28" s="25"/>
      <c r="I28" s="30"/>
      <c r="J28" s="30"/>
      <c r="K28" s="24"/>
      <c r="L28" s="22"/>
      <c r="M28" s="25">
        <v>50.0</v>
      </c>
      <c r="N28" s="22"/>
      <c r="O28" s="22"/>
      <c r="P28" s="26">
        <v>50.0</v>
      </c>
      <c r="Q28" s="118">
        <f t="shared" si="1"/>
        <v>0</v>
      </c>
      <c r="R28" s="26" t="s">
        <v>48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45648.0</v>
      </c>
      <c r="C29" s="18" t="s">
        <v>1093</v>
      </c>
      <c r="D29" s="19">
        <v>50148.0</v>
      </c>
      <c r="E29" s="20" t="s">
        <v>284</v>
      </c>
      <c r="F29" s="30"/>
      <c r="G29" s="22"/>
      <c r="H29" s="25"/>
      <c r="I29" s="30"/>
      <c r="J29" s="30"/>
      <c r="K29" s="23"/>
      <c r="L29" s="116">
        <v>2500.0</v>
      </c>
      <c r="M29" s="25"/>
      <c r="N29" s="22"/>
      <c r="O29" s="22"/>
      <c r="P29" s="26">
        <v>2500.0</v>
      </c>
      <c r="Q29" s="118">
        <f t="shared" si="1"/>
        <v>0</v>
      </c>
      <c r="R29" s="26"/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/>
      <c r="B30" s="29"/>
      <c r="C30" s="18"/>
      <c r="D30" s="19"/>
      <c r="E30" s="20"/>
      <c r="F30" s="21"/>
      <c r="G30" s="22"/>
      <c r="H30" s="25"/>
      <c r="I30" s="30"/>
      <c r="J30" s="30"/>
      <c r="K30" s="24"/>
      <c r="L30" s="22"/>
      <c r="M30" s="25"/>
      <c r="N30" s="22"/>
      <c r="O30" s="25"/>
      <c r="P30" s="26"/>
      <c r="Q30" s="118">
        <f t="shared" si="1"/>
        <v>0</v>
      </c>
      <c r="R30" s="26"/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7.5" customHeight="1">
      <c r="A31" s="16"/>
      <c r="B31" s="64"/>
      <c r="C31" s="65"/>
      <c r="D31" s="66" t="s">
        <v>135</v>
      </c>
      <c r="E31" s="67"/>
      <c r="F31" s="68">
        <f t="shared" ref="F31:Q31" si="2">SUM(F5:F30)</f>
        <v>4600</v>
      </c>
      <c r="G31" s="68">
        <f t="shared" si="2"/>
        <v>1200</v>
      </c>
      <c r="H31" s="68">
        <f t="shared" si="2"/>
        <v>17000</v>
      </c>
      <c r="I31" s="68">
        <f t="shared" si="2"/>
        <v>34850</v>
      </c>
      <c r="J31" s="68">
        <f t="shared" si="2"/>
        <v>39750</v>
      </c>
      <c r="K31" s="68">
        <f t="shared" si="2"/>
        <v>0</v>
      </c>
      <c r="L31" s="68">
        <f t="shared" si="2"/>
        <v>2500</v>
      </c>
      <c r="M31" s="68">
        <f t="shared" si="2"/>
        <v>3540</v>
      </c>
      <c r="N31" s="68">
        <f t="shared" si="2"/>
        <v>0</v>
      </c>
      <c r="O31" s="68">
        <f t="shared" si="2"/>
        <v>0</v>
      </c>
      <c r="P31" s="68">
        <f t="shared" si="2"/>
        <v>103440</v>
      </c>
      <c r="Q31" s="68">
        <f t="shared" si="2"/>
        <v>0</v>
      </c>
      <c r="R31" s="69"/>
      <c r="S31" s="28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58.5" customHeight="1">
      <c r="A32" s="70"/>
      <c r="B32" s="70"/>
      <c r="C32" s="71"/>
      <c r="D32" s="70"/>
      <c r="E32" s="70"/>
      <c r="F32" s="72">
        <f>F31+G31+H31+I31+J31+K31+L31+M31+N31+O31</f>
        <v>103440</v>
      </c>
      <c r="P32" s="73"/>
      <c r="Q32" s="73"/>
      <c r="R32" s="70"/>
      <c r="S32" s="70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15.75" customHeight="1">
      <c r="A33" s="4"/>
      <c r="B33" s="4"/>
      <c r="C33" s="7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5" t="s">
        <v>135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82" t="s">
        <v>229</v>
      </c>
      <c r="D36" s="4"/>
      <c r="E36" s="76" t="s">
        <v>136</v>
      </c>
      <c r="F36" s="77" t="s">
        <v>137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138</v>
      </c>
      <c r="F37" s="77" t="s">
        <v>230</v>
      </c>
      <c r="G37" s="4"/>
      <c r="H37" s="4"/>
      <c r="I37" s="4"/>
      <c r="J37" s="4"/>
      <c r="K37" s="4"/>
      <c r="L37" s="4"/>
      <c r="M37" s="4"/>
      <c r="N37" s="4"/>
      <c r="O37" s="79" t="s">
        <v>135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140</v>
      </c>
      <c r="F38" s="77" t="s">
        <v>146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141</v>
      </c>
      <c r="F39" s="77" t="s">
        <v>230</v>
      </c>
      <c r="G39" s="4"/>
      <c r="H39" s="4"/>
      <c r="I39" s="4"/>
      <c r="J39" s="4"/>
      <c r="K39" s="4" t="s">
        <v>135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142</v>
      </c>
      <c r="F40" s="77" t="s">
        <v>230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78" t="s">
        <v>1094</v>
      </c>
      <c r="F41" s="77" t="s">
        <v>230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145</v>
      </c>
      <c r="F42" s="77" t="s">
        <v>820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78" t="s">
        <v>147</v>
      </c>
      <c r="F43" s="80" t="s">
        <v>137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79" t="s">
        <v>135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 t="str">
        <f>I72431</f>
        <v/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79" t="s">
        <v>148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>
        <v>7.0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7">
    <mergeCell ref="R2:R4"/>
    <mergeCell ref="S2:S4"/>
    <mergeCell ref="F3:F4"/>
    <mergeCell ref="G3:H3"/>
    <mergeCell ref="I3:J3"/>
    <mergeCell ref="K3:K4"/>
    <mergeCell ref="F32:O3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6.0"/>
    <col customWidth="1" min="19" max="19" width="24.63"/>
  </cols>
  <sheetData>
    <row r="1" ht="69.0" customHeight="1">
      <c r="A1" s="1" t="s">
        <v>1095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45648.0</v>
      </c>
      <c r="C5" s="18" t="s">
        <v>1096</v>
      </c>
      <c r="D5" s="19">
        <v>85598.0</v>
      </c>
      <c r="E5" s="20" t="s">
        <v>1097</v>
      </c>
      <c r="F5" s="30"/>
      <c r="G5" s="22"/>
      <c r="H5" s="30"/>
      <c r="I5" s="23"/>
      <c r="J5" s="23">
        <v>300.0</v>
      </c>
      <c r="K5" s="25"/>
      <c r="L5" s="25"/>
      <c r="M5" s="30"/>
      <c r="N5" s="22"/>
      <c r="O5" s="22"/>
      <c r="P5" s="26">
        <v>300.0</v>
      </c>
      <c r="Q5" s="118">
        <f t="shared" ref="Q5:Q31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45649.0</v>
      </c>
      <c r="C6" s="18" t="s">
        <v>1098</v>
      </c>
      <c r="D6" s="19">
        <v>62815.0</v>
      </c>
      <c r="E6" s="20" t="s">
        <v>901</v>
      </c>
      <c r="F6" s="21"/>
      <c r="G6" s="22"/>
      <c r="H6" s="30"/>
      <c r="I6" s="23"/>
      <c r="J6" s="23"/>
      <c r="K6" s="25">
        <v>100.0</v>
      </c>
      <c r="L6" s="25"/>
      <c r="M6" s="30"/>
      <c r="N6" s="22"/>
      <c r="O6" s="22"/>
      <c r="P6" s="26">
        <v>100.0</v>
      </c>
      <c r="Q6" s="118">
        <f t="shared" si="1"/>
        <v>0</v>
      </c>
      <c r="R6" s="26" t="s">
        <v>30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45649.0</v>
      </c>
      <c r="C7" s="18" t="s">
        <v>1099</v>
      </c>
      <c r="D7" s="19">
        <v>57499.0</v>
      </c>
      <c r="E7" s="20" t="s">
        <v>47</v>
      </c>
      <c r="F7" s="21"/>
      <c r="G7" s="22"/>
      <c r="H7" s="30"/>
      <c r="I7" s="23">
        <v>2500.0</v>
      </c>
      <c r="J7" s="23"/>
      <c r="K7" s="22"/>
      <c r="L7" s="25"/>
      <c r="M7" s="30"/>
      <c r="N7" s="22"/>
      <c r="O7" s="22"/>
      <c r="P7" s="26">
        <v>2500.0</v>
      </c>
      <c r="Q7" s="118">
        <f t="shared" si="1"/>
        <v>0</v>
      </c>
      <c r="R7" s="26" t="s">
        <v>25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45649.0</v>
      </c>
      <c r="C8" s="18" t="s">
        <v>1100</v>
      </c>
      <c r="D8" s="19">
        <v>85600.0</v>
      </c>
      <c r="E8" s="20" t="s">
        <v>1101</v>
      </c>
      <c r="F8" s="30"/>
      <c r="G8" s="25"/>
      <c r="H8" s="30"/>
      <c r="I8" s="23">
        <v>7300.0</v>
      </c>
      <c r="J8" s="23"/>
      <c r="K8" s="25"/>
      <c r="L8" s="25"/>
      <c r="M8" s="30"/>
      <c r="N8" s="22"/>
      <c r="O8" s="22"/>
      <c r="P8" s="26">
        <v>7300.0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45649.0</v>
      </c>
      <c r="C9" s="18" t="s">
        <v>1102</v>
      </c>
      <c r="D9" s="19">
        <v>10744.0</v>
      </c>
      <c r="E9" s="20" t="s">
        <v>488</v>
      </c>
      <c r="F9" s="21"/>
      <c r="G9" s="25"/>
      <c r="H9" s="25"/>
      <c r="I9" s="30">
        <v>10000.0</v>
      </c>
      <c r="J9" s="25"/>
      <c r="K9" s="25"/>
      <c r="L9" s="22"/>
      <c r="M9" s="30"/>
      <c r="N9" s="22"/>
      <c r="O9" s="22"/>
      <c r="P9" s="26">
        <v>10000.0</v>
      </c>
      <c r="Q9" s="118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45649.0</v>
      </c>
      <c r="C10" s="18" t="s">
        <v>1103</v>
      </c>
      <c r="D10" s="19">
        <v>81108.0</v>
      </c>
      <c r="E10" s="20" t="s">
        <v>246</v>
      </c>
      <c r="F10" s="22"/>
      <c r="G10" s="25"/>
      <c r="H10" s="30"/>
      <c r="I10" s="30">
        <v>13975.0</v>
      </c>
      <c r="J10" s="23"/>
      <c r="K10" s="25">
        <v>25.0</v>
      </c>
      <c r="L10" s="22"/>
      <c r="M10" s="25"/>
      <c r="N10" s="22"/>
      <c r="O10" s="22"/>
      <c r="P10" s="26">
        <v>14000.0</v>
      </c>
      <c r="Q10" s="118">
        <f t="shared" si="1"/>
        <v>0</v>
      </c>
      <c r="R10" s="26" t="s">
        <v>25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45649.0</v>
      </c>
      <c r="C11" s="18" t="s">
        <v>1104</v>
      </c>
      <c r="D11" s="19">
        <v>76815.0</v>
      </c>
      <c r="E11" s="20" t="s">
        <v>1105</v>
      </c>
      <c r="F11" s="22"/>
      <c r="G11" s="22"/>
      <c r="H11" s="25"/>
      <c r="I11" s="30">
        <v>29700.0</v>
      </c>
      <c r="J11" s="30"/>
      <c r="K11" s="25">
        <v>4300.0</v>
      </c>
      <c r="L11" s="22"/>
      <c r="M11" s="30"/>
      <c r="N11" s="22"/>
      <c r="O11" s="22"/>
      <c r="P11" s="26">
        <v>34000.0</v>
      </c>
      <c r="Q11" s="118">
        <f t="shared" si="1"/>
        <v>0</v>
      </c>
      <c r="R11" s="26" t="s">
        <v>48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45649.0</v>
      </c>
      <c r="C12" s="107" t="s">
        <v>1106</v>
      </c>
      <c r="D12" s="108">
        <v>57114.0</v>
      </c>
      <c r="E12" s="109" t="s">
        <v>1107</v>
      </c>
      <c r="F12" s="110"/>
      <c r="G12" s="115"/>
      <c r="H12" s="115"/>
      <c r="I12" s="111">
        <v>5100.0</v>
      </c>
      <c r="J12" s="111"/>
      <c r="K12" s="115"/>
      <c r="L12" s="110"/>
      <c r="M12" s="111"/>
      <c r="N12" s="110"/>
      <c r="O12" s="110"/>
      <c r="P12" s="113">
        <v>5100.0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45649.0</v>
      </c>
      <c r="C13" s="18" t="s">
        <v>1108</v>
      </c>
      <c r="D13" s="19">
        <v>69620.0</v>
      </c>
      <c r="E13" s="20" t="s">
        <v>1109</v>
      </c>
      <c r="F13" s="22"/>
      <c r="G13" s="25"/>
      <c r="H13" s="25"/>
      <c r="I13" s="30"/>
      <c r="J13" s="30">
        <v>1172.0</v>
      </c>
      <c r="K13" s="25">
        <v>1428.0</v>
      </c>
      <c r="L13" s="22"/>
      <c r="M13" s="30"/>
      <c r="N13" s="22"/>
      <c r="O13" s="22"/>
      <c r="P13" s="26">
        <v>2600.0</v>
      </c>
      <c r="Q13" s="118">
        <f t="shared" si="1"/>
        <v>0</v>
      </c>
      <c r="R13" s="26" t="s">
        <v>25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45649.0</v>
      </c>
      <c r="C14" s="18" t="s">
        <v>1110</v>
      </c>
      <c r="D14" s="19">
        <v>26831.0</v>
      </c>
      <c r="E14" s="20" t="s">
        <v>1111</v>
      </c>
      <c r="F14" s="22"/>
      <c r="G14" s="22"/>
      <c r="H14" s="25"/>
      <c r="I14" s="30"/>
      <c r="J14" s="30">
        <v>14000.0</v>
      </c>
      <c r="K14" s="22"/>
      <c r="L14" s="22"/>
      <c r="M14" s="21"/>
      <c r="N14" s="22"/>
      <c r="O14" s="22"/>
      <c r="P14" s="26">
        <v>14000.0</v>
      </c>
      <c r="Q14" s="118">
        <f t="shared" si="1"/>
        <v>0</v>
      </c>
      <c r="R14" s="26" t="s">
        <v>33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45649.0</v>
      </c>
      <c r="C15" s="33" t="s">
        <v>1112</v>
      </c>
      <c r="D15" s="34">
        <v>51939.0</v>
      </c>
      <c r="E15" s="35" t="s">
        <v>1113</v>
      </c>
      <c r="F15" s="22"/>
      <c r="G15" s="22"/>
      <c r="H15" s="25"/>
      <c r="I15" s="30">
        <v>5650.0</v>
      </c>
      <c r="J15" s="30"/>
      <c r="K15" s="25"/>
      <c r="L15" s="22"/>
      <c r="M15" s="30"/>
      <c r="N15" s="22"/>
      <c r="O15" s="22"/>
      <c r="P15" s="36">
        <v>5650.0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45649.0</v>
      </c>
      <c r="C16" s="33" t="s">
        <v>1114</v>
      </c>
      <c r="D16" s="34">
        <v>22341.0</v>
      </c>
      <c r="E16" s="35" t="s">
        <v>24</v>
      </c>
      <c r="F16" s="25"/>
      <c r="G16" s="22"/>
      <c r="H16" s="25"/>
      <c r="I16" s="30">
        <v>4600.0</v>
      </c>
      <c r="J16" s="30"/>
      <c r="K16" s="25"/>
      <c r="L16" s="22"/>
      <c r="M16" s="21"/>
      <c r="N16" s="22"/>
      <c r="O16" s="22"/>
      <c r="P16" s="36">
        <v>4600.0</v>
      </c>
      <c r="Q16" s="118">
        <f t="shared" si="1"/>
        <v>0</v>
      </c>
      <c r="R16" s="36" t="s">
        <v>25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45649.0</v>
      </c>
      <c r="C17" s="18" t="s">
        <v>1115</v>
      </c>
      <c r="D17" s="19">
        <v>47576.0</v>
      </c>
      <c r="E17" s="20" t="s">
        <v>268</v>
      </c>
      <c r="F17" s="30"/>
      <c r="G17" s="22"/>
      <c r="H17" s="25"/>
      <c r="I17" s="30">
        <v>2600.0</v>
      </c>
      <c r="J17" s="30"/>
      <c r="K17" s="24"/>
      <c r="L17" s="22"/>
      <c r="M17" s="25"/>
      <c r="N17" s="22"/>
      <c r="O17" s="22"/>
      <c r="P17" s="26">
        <v>2600.0</v>
      </c>
      <c r="Q17" s="118">
        <f t="shared" si="1"/>
        <v>0</v>
      </c>
      <c r="R17" s="26" t="s">
        <v>25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45649.0</v>
      </c>
      <c r="C18" s="18" t="s">
        <v>1116</v>
      </c>
      <c r="D18" s="19">
        <v>43955.0</v>
      </c>
      <c r="E18" s="20" t="s">
        <v>683</v>
      </c>
      <c r="F18" s="30"/>
      <c r="G18" s="22"/>
      <c r="H18" s="25"/>
      <c r="I18" s="30">
        <v>970.0</v>
      </c>
      <c r="J18" s="30"/>
      <c r="K18" s="24"/>
      <c r="L18" s="22"/>
      <c r="M18" s="25"/>
      <c r="N18" s="22"/>
      <c r="O18" s="22"/>
      <c r="P18" s="26">
        <v>970.0</v>
      </c>
      <c r="Q18" s="118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45649.0</v>
      </c>
      <c r="C19" s="18" t="s">
        <v>1117</v>
      </c>
      <c r="D19" s="19">
        <v>83673.0</v>
      </c>
      <c r="E19" s="20" t="s">
        <v>1118</v>
      </c>
      <c r="F19" s="30"/>
      <c r="G19" s="25"/>
      <c r="H19" s="25"/>
      <c r="I19" s="30">
        <v>2600.0</v>
      </c>
      <c r="J19" s="30"/>
      <c r="K19" s="24"/>
      <c r="L19" s="22"/>
      <c r="M19" s="25"/>
      <c r="N19" s="22"/>
      <c r="O19" s="22"/>
      <c r="P19" s="26">
        <v>2600.0</v>
      </c>
      <c r="Q19" s="118">
        <f t="shared" si="1"/>
        <v>0</v>
      </c>
      <c r="R19" s="26" t="s">
        <v>30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45649.0</v>
      </c>
      <c r="C20" s="18" t="s">
        <v>1119</v>
      </c>
      <c r="D20" s="19">
        <v>56862.0</v>
      </c>
      <c r="E20" s="20" t="s">
        <v>1120</v>
      </c>
      <c r="F20" s="30"/>
      <c r="G20" s="22"/>
      <c r="H20" s="25"/>
      <c r="I20" s="30">
        <v>2600.0</v>
      </c>
      <c r="J20" s="30"/>
      <c r="K20" s="24"/>
      <c r="L20" s="22"/>
      <c r="M20" s="25"/>
      <c r="N20" s="22"/>
      <c r="O20" s="22"/>
      <c r="P20" s="26">
        <v>2600.0</v>
      </c>
      <c r="Q20" s="118">
        <f t="shared" si="1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45649.0</v>
      </c>
      <c r="C21" s="18" t="s">
        <v>1121</v>
      </c>
      <c r="D21" s="19">
        <v>74765.0</v>
      </c>
      <c r="E21" s="20" t="s">
        <v>1122</v>
      </c>
      <c r="F21" s="30"/>
      <c r="G21" s="22"/>
      <c r="H21" s="25"/>
      <c r="I21" s="30">
        <v>5100.0</v>
      </c>
      <c r="J21" s="30"/>
      <c r="K21" s="24"/>
      <c r="L21" s="22"/>
      <c r="M21" s="25"/>
      <c r="N21" s="22"/>
      <c r="O21" s="22"/>
      <c r="P21" s="26">
        <v>5100.0</v>
      </c>
      <c r="Q21" s="118">
        <f t="shared" si="1"/>
        <v>0</v>
      </c>
      <c r="R21" s="26" t="s">
        <v>48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45649.0</v>
      </c>
      <c r="C22" s="18" t="s">
        <v>1123</v>
      </c>
      <c r="D22" s="19">
        <v>28860.0</v>
      </c>
      <c r="E22" s="20" t="s">
        <v>1124</v>
      </c>
      <c r="F22" s="30"/>
      <c r="G22" s="22"/>
      <c r="H22" s="25"/>
      <c r="I22" s="30"/>
      <c r="J22" s="30">
        <v>5100.0</v>
      </c>
      <c r="K22" s="23"/>
      <c r="L22" s="22"/>
      <c r="M22" s="25"/>
      <c r="N22" s="22"/>
      <c r="O22" s="22"/>
      <c r="P22" s="26">
        <v>5100.0</v>
      </c>
      <c r="Q22" s="118">
        <f t="shared" si="1"/>
        <v>0</v>
      </c>
      <c r="R22" s="26" t="s">
        <v>25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45649.0</v>
      </c>
      <c r="C23" s="18" t="s">
        <v>1125</v>
      </c>
      <c r="D23" s="19">
        <v>28860.0</v>
      </c>
      <c r="E23" s="20" t="s">
        <v>1124</v>
      </c>
      <c r="F23" s="30"/>
      <c r="G23" s="25"/>
      <c r="H23" s="25"/>
      <c r="I23" s="30"/>
      <c r="J23" s="30">
        <v>2500.0</v>
      </c>
      <c r="K23" s="24"/>
      <c r="L23" s="22"/>
      <c r="M23" s="25"/>
      <c r="N23" s="22"/>
      <c r="O23" s="22"/>
      <c r="P23" s="26">
        <v>2500.0</v>
      </c>
      <c r="Q23" s="118">
        <f t="shared" si="1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45649.0</v>
      </c>
      <c r="C24" s="18" t="s">
        <v>1126</v>
      </c>
      <c r="D24" s="19">
        <v>85601.0</v>
      </c>
      <c r="E24" s="20" t="s">
        <v>1127</v>
      </c>
      <c r="F24" s="30"/>
      <c r="G24" s="22"/>
      <c r="H24" s="25"/>
      <c r="I24" s="30">
        <v>7000.0</v>
      </c>
      <c r="J24" s="30"/>
      <c r="K24" s="24"/>
      <c r="L24" s="22"/>
      <c r="M24" s="25"/>
      <c r="N24" s="22"/>
      <c r="O24" s="22"/>
      <c r="P24" s="26">
        <v>7000.0</v>
      </c>
      <c r="Q24" s="118">
        <f t="shared" si="1"/>
        <v>0</v>
      </c>
      <c r="R24" s="26" t="s">
        <v>48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45649.0</v>
      </c>
      <c r="C25" s="18" t="s">
        <v>1128</v>
      </c>
      <c r="D25" s="19">
        <v>85559.0</v>
      </c>
      <c r="E25" s="20" t="s">
        <v>957</v>
      </c>
      <c r="F25" s="30"/>
      <c r="G25" s="22"/>
      <c r="H25" s="25"/>
      <c r="I25" s="30">
        <v>580.0</v>
      </c>
      <c r="J25" s="30"/>
      <c r="K25" s="24"/>
      <c r="L25" s="22"/>
      <c r="M25" s="25"/>
      <c r="N25" s="22"/>
      <c r="O25" s="22"/>
      <c r="P25" s="26">
        <v>580.0</v>
      </c>
      <c r="Q25" s="118">
        <f t="shared" si="1"/>
        <v>0</v>
      </c>
      <c r="R25" s="26" t="s">
        <v>30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45649.0</v>
      </c>
      <c r="C26" s="18" t="s">
        <v>1129</v>
      </c>
      <c r="D26" s="19">
        <v>59137.0</v>
      </c>
      <c r="E26" s="20" t="s">
        <v>1130</v>
      </c>
      <c r="F26" s="30"/>
      <c r="G26" s="22"/>
      <c r="H26" s="25"/>
      <c r="I26" s="30"/>
      <c r="J26" s="30"/>
      <c r="K26" s="23"/>
      <c r="L26" s="22"/>
      <c r="M26" s="25">
        <v>1450.0</v>
      </c>
      <c r="N26" s="22"/>
      <c r="O26" s="22"/>
      <c r="P26" s="26">
        <v>1450.0</v>
      </c>
      <c r="Q26" s="118">
        <f t="shared" si="1"/>
        <v>0</v>
      </c>
      <c r="R26" s="26"/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45649.0</v>
      </c>
      <c r="C27" s="18" t="s">
        <v>1131</v>
      </c>
      <c r="D27" s="19">
        <v>51017.0</v>
      </c>
      <c r="E27" s="20" t="s">
        <v>335</v>
      </c>
      <c r="F27" s="30"/>
      <c r="G27" s="22"/>
      <c r="H27" s="25">
        <v>10000.0</v>
      </c>
      <c r="I27" s="30"/>
      <c r="J27" s="30"/>
      <c r="K27" s="23"/>
      <c r="L27" s="22"/>
      <c r="M27" s="25"/>
      <c r="N27" s="22"/>
      <c r="O27" s="22"/>
      <c r="P27" s="26">
        <v>10000.0</v>
      </c>
      <c r="Q27" s="118">
        <f t="shared" si="1"/>
        <v>0</v>
      </c>
      <c r="R27" s="26"/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45649.0</v>
      </c>
      <c r="C28" s="18" t="s">
        <v>1132</v>
      </c>
      <c r="D28" s="19">
        <v>51017.0</v>
      </c>
      <c r="E28" s="20" t="s">
        <v>335</v>
      </c>
      <c r="F28" s="30"/>
      <c r="G28" s="22"/>
      <c r="H28" s="25">
        <v>4500.0</v>
      </c>
      <c r="I28" s="30"/>
      <c r="J28" s="30"/>
      <c r="K28" s="24"/>
      <c r="L28" s="22"/>
      <c r="M28" s="25"/>
      <c r="N28" s="22"/>
      <c r="O28" s="22"/>
      <c r="P28" s="26">
        <v>4500.0</v>
      </c>
      <c r="Q28" s="118">
        <f t="shared" si="1"/>
        <v>0</v>
      </c>
      <c r="R28" s="26"/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45649.0</v>
      </c>
      <c r="C29" s="18" t="s">
        <v>1133</v>
      </c>
      <c r="D29" s="19">
        <v>30909.0</v>
      </c>
      <c r="E29" s="20" t="s">
        <v>1134</v>
      </c>
      <c r="F29" s="30"/>
      <c r="G29" s="22"/>
      <c r="H29" s="25">
        <v>4600.0</v>
      </c>
      <c r="I29" s="30"/>
      <c r="J29" s="30"/>
      <c r="K29" s="24"/>
      <c r="L29" s="22"/>
      <c r="M29" s="25"/>
      <c r="N29" s="22"/>
      <c r="O29" s="22"/>
      <c r="P29" s="26">
        <v>4600.0</v>
      </c>
      <c r="Q29" s="118">
        <f t="shared" si="1"/>
        <v>0</v>
      </c>
      <c r="R29" s="26"/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45649.0</v>
      </c>
      <c r="C30" s="18" t="s">
        <v>1135</v>
      </c>
      <c r="D30" s="19">
        <v>48072.0</v>
      </c>
      <c r="E30" s="20" t="s">
        <v>134</v>
      </c>
      <c r="F30" s="30"/>
      <c r="G30" s="22"/>
      <c r="H30" s="25">
        <v>10000.0</v>
      </c>
      <c r="I30" s="30"/>
      <c r="J30" s="30"/>
      <c r="K30" s="23"/>
      <c r="L30" s="22"/>
      <c r="M30" s="25"/>
      <c r="N30" s="22"/>
      <c r="O30" s="22"/>
      <c r="P30" s="26">
        <v>10000.0</v>
      </c>
      <c r="Q30" s="118">
        <f t="shared" si="1"/>
        <v>0</v>
      </c>
      <c r="R30" s="26"/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/>
      <c r="B31" s="29"/>
      <c r="C31" s="18"/>
      <c r="D31" s="19"/>
      <c r="E31" s="20"/>
      <c r="F31" s="21"/>
      <c r="G31" s="22"/>
      <c r="H31" s="25"/>
      <c r="I31" s="30"/>
      <c r="J31" s="30"/>
      <c r="K31" s="24"/>
      <c r="L31" s="22"/>
      <c r="M31" s="25"/>
      <c r="N31" s="22"/>
      <c r="O31" s="25"/>
      <c r="P31" s="26"/>
      <c r="Q31" s="118">
        <f t="shared" si="1"/>
        <v>0</v>
      </c>
      <c r="R31" s="26"/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7.5" customHeight="1">
      <c r="A32" s="16"/>
      <c r="B32" s="64"/>
      <c r="C32" s="65"/>
      <c r="D32" s="66" t="s">
        <v>135</v>
      </c>
      <c r="E32" s="67"/>
      <c r="F32" s="68">
        <f t="shared" ref="F32:O32" si="2">SUM(F5:F31)</f>
        <v>0</v>
      </c>
      <c r="G32" s="68">
        <f t="shared" si="2"/>
        <v>0</v>
      </c>
      <c r="H32" s="68">
        <f t="shared" si="2"/>
        <v>29100</v>
      </c>
      <c r="I32" s="68">
        <f t="shared" si="2"/>
        <v>100275</v>
      </c>
      <c r="J32" s="68">
        <f t="shared" si="2"/>
        <v>23072</v>
      </c>
      <c r="K32" s="68">
        <f t="shared" si="2"/>
        <v>5853</v>
      </c>
      <c r="L32" s="68">
        <f t="shared" si="2"/>
        <v>0</v>
      </c>
      <c r="M32" s="68">
        <f t="shared" si="2"/>
        <v>1450</v>
      </c>
      <c r="N32" s="68">
        <f t="shared" si="2"/>
        <v>0</v>
      </c>
      <c r="O32" s="68">
        <f t="shared" si="2"/>
        <v>0</v>
      </c>
      <c r="P32" s="68">
        <f>SUM(P5:P30)</f>
        <v>159750</v>
      </c>
      <c r="Q32" s="68">
        <f>SUM(Q5:Q31)</f>
        <v>0</v>
      </c>
      <c r="R32" s="69"/>
      <c r="S32" s="28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58.5" customHeight="1">
      <c r="A33" s="70"/>
      <c r="B33" s="70"/>
      <c r="C33" s="71"/>
      <c r="D33" s="70"/>
      <c r="E33" s="70"/>
      <c r="F33" s="72">
        <f>F32+G32+H32+I32+J32+K32+L32+M32+N32+O32</f>
        <v>159750</v>
      </c>
      <c r="P33" s="73"/>
      <c r="Q33" s="73"/>
      <c r="R33" s="70"/>
      <c r="S33" s="70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ht="15.75" customHeight="1">
      <c r="A34" s="4"/>
      <c r="B34" s="4"/>
      <c r="C34" s="7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5" t="s">
        <v>135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82" t="s">
        <v>229</v>
      </c>
      <c r="D37" s="4"/>
      <c r="E37" s="76" t="s">
        <v>136</v>
      </c>
      <c r="F37" s="77" t="s">
        <v>137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138</v>
      </c>
      <c r="F38" s="77" t="s">
        <v>230</v>
      </c>
      <c r="G38" s="4"/>
      <c r="H38" s="4"/>
      <c r="I38" s="4"/>
      <c r="J38" s="4"/>
      <c r="K38" s="4"/>
      <c r="L38" s="4"/>
      <c r="M38" s="4"/>
      <c r="N38" s="4"/>
      <c r="O38" s="79" t="s">
        <v>135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140</v>
      </c>
      <c r="F39" s="77" t="s">
        <v>139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141</v>
      </c>
      <c r="F40" s="77" t="s">
        <v>139</v>
      </c>
      <c r="G40" s="4"/>
      <c r="H40" s="4"/>
      <c r="I40" s="4"/>
      <c r="J40" s="4"/>
      <c r="K40" s="4" t="s">
        <v>135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78" t="s">
        <v>142</v>
      </c>
      <c r="F41" s="77" t="s">
        <v>230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1136</v>
      </c>
      <c r="F42" s="77" t="s">
        <v>139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78" t="s">
        <v>145</v>
      </c>
      <c r="F43" s="77" t="s">
        <v>820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78" t="s">
        <v>147</v>
      </c>
      <c r="F44" s="80" t="s">
        <v>137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79" t="s">
        <v>135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79" t="s">
        <v>148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45649.0</v>
      </c>
      <c r="C5" s="18" t="s">
        <v>1138</v>
      </c>
      <c r="D5" s="19">
        <v>52083.0</v>
      </c>
      <c r="E5" s="20" t="s">
        <v>93</v>
      </c>
      <c r="F5" s="30"/>
      <c r="G5" s="22"/>
      <c r="H5" s="30"/>
      <c r="I5" s="23">
        <v>350.0</v>
      </c>
      <c r="J5" s="23"/>
      <c r="K5" s="25"/>
      <c r="L5" s="25"/>
      <c r="M5" s="30"/>
      <c r="N5" s="22"/>
      <c r="O5" s="22"/>
      <c r="P5" s="26">
        <v>350.0</v>
      </c>
      <c r="Q5" s="118">
        <f t="shared" ref="Q5:Q26" si="1">F5+G5+H5+I5+J5+K5+L5+M5+N5+O5-P5</f>
        <v>0</v>
      </c>
      <c r="R5" s="26" t="s">
        <v>25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45649.0</v>
      </c>
      <c r="C6" s="18" t="s">
        <v>1139</v>
      </c>
      <c r="D6" s="19">
        <v>25650.0</v>
      </c>
      <c r="E6" s="20" t="s">
        <v>86</v>
      </c>
      <c r="F6" s="30">
        <v>140.0</v>
      </c>
      <c r="G6" s="22"/>
      <c r="H6" s="30"/>
      <c r="I6" s="23"/>
      <c r="J6" s="23"/>
      <c r="K6" s="25"/>
      <c r="L6" s="25"/>
      <c r="M6" s="30"/>
      <c r="N6" s="22"/>
      <c r="O6" s="22"/>
      <c r="P6" s="26">
        <v>140.0</v>
      </c>
      <c r="Q6" s="118">
        <f t="shared" si="1"/>
        <v>0</v>
      </c>
      <c r="R6" s="26" t="s">
        <v>48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45650.0</v>
      </c>
      <c r="C7" s="18" t="s">
        <v>1140</v>
      </c>
      <c r="D7" s="19">
        <v>55448.0</v>
      </c>
      <c r="E7" s="20" t="s">
        <v>773</v>
      </c>
      <c r="F7" s="21"/>
      <c r="G7" s="22"/>
      <c r="H7" s="30"/>
      <c r="I7" s="23">
        <v>10000.0</v>
      </c>
      <c r="J7" s="23"/>
      <c r="K7" s="22"/>
      <c r="L7" s="25"/>
      <c r="M7" s="30"/>
      <c r="N7" s="22"/>
      <c r="O7" s="22"/>
      <c r="P7" s="26">
        <v>10000.0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45650.0</v>
      </c>
      <c r="C8" s="18" t="s">
        <v>1141</v>
      </c>
      <c r="D8" s="19">
        <v>41079.0</v>
      </c>
      <c r="E8" s="20" t="s">
        <v>1142</v>
      </c>
      <c r="F8" s="30"/>
      <c r="G8" s="25"/>
      <c r="H8" s="30"/>
      <c r="I8" s="23">
        <v>10000.0</v>
      </c>
      <c r="J8" s="23"/>
      <c r="K8" s="25"/>
      <c r="L8" s="25"/>
      <c r="M8" s="30"/>
      <c r="N8" s="22"/>
      <c r="O8" s="22"/>
      <c r="P8" s="26">
        <v>10000.0</v>
      </c>
      <c r="Q8" s="118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45650.0</v>
      </c>
      <c r="C9" s="18" t="s">
        <v>1143</v>
      </c>
      <c r="D9" s="19">
        <v>76101.0</v>
      </c>
      <c r="E9" s="20" t="s">
        <v>1144</v>
      </c>
      <c r="F9" s="21"/>
      <c r="G9" s="25"/>
      <c r="H9" s="25"/>
      <c r="I9" s="30">
        <v>2250.0</v>
      </c>
      <c r="J9" s="25"/>
      <c r="K9" s="25"/>
      <c r="L9" s="22"/>
      <c r="M9" s="30"/>
      <c r="N9" s="22"/>
      <c r="O9" s="22"/>
      <c r="P9" s="26">
        <v>2250.0</v>
      </c>
      <c r="Q9" s="118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45650.0</v>
      </c>
      <c r="C10" s="18" t="s">
        <v>1145</v>
      </c>
      <c r="D10" s="19">
        <v>52373.0</v>
      </c>
      <c r="E10" s="20" t="s">
        <v>370</v>
      </c>
      <c r="F10" s="22"/>
      <c r="G10" s="25"/>
      <c r="H10" s="30"/>
      <c r="I10" s="30"/>
      <c r="J10" s="23">
        <v>10000.0</v>
      </c>
      <c r="K10" s="25"/>
      <c r="L10" s="22"/>
      <c r="M10" s="25"/>
      <c r="N10" s="22"/>
      <c r="O10" s="22"/>
      <c r="P10" s="26">
        <v>10000.0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45650.0</v>
      </c>
      <c r="C11" s="18" t="s">
        <v>1146</v>
      </c>
      <c r="D11" s="19">
        <v>50436.0</v>
      </c>
      <c r="E11" s="20" t="s">
        <v>78</v>
      </c>
      <c r="F11" s="22"/>
      <c r="G11" s="22"/>
      <c r="H11" s="25"/>
      <c r="I11" s="30">
        <v>12700.0</v>
      </c>
      <c r="J11" s="30"/>
      <c r="K11" s="25"/>
      <c r="L11" s="22"/>
      <c r="M11" s="30"/>
      <c r="N11" s="22"/>
      <c r="O11" s="22"/>
      <c r="P11" s="26">
        <v>12700.0</v>
      </c>
      <c r="Q11" s="118">
        <f t="shared" si="1"/>
        <v>0</v>
      </c>
      <c r="R11" s="26" t="s">
        <v>33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45650.0</v>
      </c>
      <c r="C12" s="107" t="s">
        <v>1147</v>
      </c>
      <c r="D12" s="108">
        <v>46927.0</v>
      </c>
      <c r="E12" s="109" t="s">
        <v>1148</v>
      </c>
      <c r="F12" s="110"/>
      <c r="G12" s="115"/>
      <c r="H12" s="115"/>
      <c r="I12" s="111">
        <v>4850.0</v>
      </c>
      <c r="J12" s="111"/>
      <c r="K12" s="115"/>
      <c r="L12" s="110"/>
      <c r="M12" s="111"/>
      <c r="N12" s="110"/>
      <c r="O12" s="110"/>
      <c r="P12" s="113">
        <v>4850.0</v>
      </c>
      <c r="Q12" s="118">
        <f t="shared" si="1"/>
        <v>0</v>
      </c>
      <c r="R12" s="113" t="s">
        <v>33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45650.0</v>
      </c>
      <c r="C13" s="18" t="s">
        <v>1149</v>
      </c>
      <c r="D13" s="19">
        <v>85613.0</v>
      </c>
      <c r="E13" s="20" t="s">
        <v>1150</v>
      </c>
      <c r="F13" s="22"/>
      <c r="G13" s="25"/>
      <c r="H13" s="25"/>
      <c r="I13" s="30">
        <v>300.0</v>
      </c>
      <c r="J13" s="30"/>
      <c r="K13" s="25"/>
      <c r="L13" s="22"/>
      <c r="M13" s="30"/>
      <c r="N13" s="22"/>
      <c r="O13" s="22"/>
      <c r="P13" s="26">
        <v>300.0</v>
      </c>
      <c r="Q13" s="118">
        <f t="shared" si="1"/>
        <v>0</v>
      </c>
      <c r="R13" s="26" t="s">
        <v>30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45650.0</v>
      </c>
      <c r="C14" s="18" t="s">
        <v>1151</v>
      </c>
      <c r="D14" s="19">
        <v>29620.0</v>
      </c>
      <c r="E14" s="20" t="s">
        <v>1152</v>
      </c>
      <c r="F14" s="22"/>
      <c r="G14" s="22"/>
      <c r="H14" s="25"/>
      <c r="I14" s="30">
        <v>8000.0</v>
      </c>
      <c r="J14" s="30"/>
      <c r="K14" s="22"/>
      <c r="L14" s="22"/>
      <c r="M14" s="21"/>
      <c r="N14" s="22"/>
      <c r="O14" s="22"/>
      <c r="P14" s="26">
        <v>8000.0</v>
      </c>
      <c r="Q14" s="118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45650.0</v>
      </c>
      <c r="C15" s="33" t="s">
        <v>1153</v>
      </c>
      <c r="D15" s="34">
        <v>36253.0</v>
      </c>
      <c r="E15" s="35" t="s">
        <v>1154</v>
      </c>
      <c r="F15" s="22"/>
      <c r="G15" s="22"/>
      <c r="H15" s="25"/>
      <c r="I15" s="30">
        <v>1200.0</v>
      </c>
      <c r="J15" s="30"/>
      <c r="K15" s="25"/>
      <c r="L15" s="22"/>
      <c r="M15" s="30"/>
      <c r="N15" s="22"/>
      <c r="O15" s="22"/>
      <c r="P15" s="36">
        <v>1200.0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45650.0</v>
      </c>
      <c r="C16" s="33" t="s">
        <v>1155</v>
      </c>
      <c r="D16" s="34">
        <v>78614.0</v>
      </c>
      <c r="E16" s="35" t="s">
        <v>1156</v>
      </c>
      <c r="F16" s="25"/>
      <c r="G16" s="22"/>
      <c r="H16" s="25"/>
      <c r="I16" s="30"/>
      <c r="J16" s="30">
        <v>2650.0</v>
      </c>
      <c r="K16" s="25"/>
      <c r="L16" s="22"/>
      <c r="M16" s="21"/>
      <c r="N16" s="22"/>
      <c r="O16" s="22"/>
      <c r="P16" s="36">
        <v>2650.0</v>
      </c>
      <c r="Q16" s="118">
        <f t="shared" si="1"/>
        <v>0</v>
      </c>
      <c r="R16" s="36" t="s">
        <v>30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45650.0</v>
      </c>
      <c r="C17" s="18" t="s">
        <v>1157</v>
      </c>
      <c r="D17" s="19">
        <v>48631.0</v>
      </c>
      <c r="E17" s="20" t="s">
        <v>166</v>
      </c>
      <c r="F17" s="30"/>
      <c r="G17" s="22"/>
      <c r="H17" s="25"/>
      <c r="I17" s="30">
        <v>2500.0</v>
      </c>
      <c r="J17" s="30"/>
      <c r="K17" s="24"/>
      <c r="L17" s="22"/>
      <c r="M17" s="25"/>
      <c r="N17" s="22"/>
      <c r="O17" s="22"/>
      <c r="P17" s="26">
        <v>2500.0</v>
      </c>
      <c r="Q17" s="118">
        <f t="shared" si="1"/>
        <v>0</v>
      </c>
      <c r="R17" s="26" t="s">
        <v>33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45650.0</v>
      </c>
      <c r="C18" s="18" t="s">
        <v>1158</v>
      </c>
      <c r="D18" s="19">
        <v>81665.0</v>
      </c>
      <c r="E18" s="20" t="s">
        <v>1159</v>
      </c>
      <c r="F18" s="30"/>
      <c r="G18" s="22"/>
      <c r="H18" s="25"/>
      <c r="I18" s="30">
        <v>11500.0</v>
      </c>
      <c r="J18" s="30"/>
      <c r="K18" s="24"/>
      <c r="L18" s="22"/>
      <c r="M18" s="25"/>
      <c r="N18" s="22"/>
      <c r="O18" s="22"/>
      <c r="P18" s="26">
        <v>11500.0</v>
      </c>
      <c r="Q18" s="118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45650.0</v>
      </c>
      <c r="C19" s="18" t="s">
        <v>1160</v>
      </c>
      <c r="D19" s="19">
        <v>66770.0</v>
      </c>
      <c r="E19" s="20" t="s">
        <v>301</v>
      </c>
      <c r="F19" s="30"/>
      <c r="G19" s="25"/>
      <c r="H19" s="25"/>
      <c r="I19" s="30">
        <v>2500.0</v>
      </c>
      <c r="J19" s="30"/>
      <c r="K19" s="24"/>
      <c r="L19" s="22"/>
      <c r="M19" s="25"/>
      <c r="N19" s="22"/>
      <c r="O19" s="22"/>
      <c r="P19" s="26">
        <v>2500.0</v>
      </c>
      <c r="Q19" s="118">
        <f t="shared" si="1"/>
        <v>0</v>
      </c>
      <c r="R19" s="26" t="s">
        <v>30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45650.0</v>
      </c>
      <c r="C20" s="18" t="s">
        <v>1161</v>
      </c>
      <c r="D20" s="19">
        <v>39286.0</v>
      </c>
      <c r="E20" s="20" t="s">
        <v>1162</v>
      </c>
      <c r="F20" s="30"/>
      <c r="G20" s="22"/>
      <c r="H20" s="25"/>
      <c r="I20" s="30"/>
      <c r="J20" s="30"/>
      <c r="K20" s="24"/>
      <c r="L20" s="22"/>
      <c r="M20" s="25">
        <v>2500.0</v>
      </c>
      <c r="N20" s="22"/>
      <c r="O20" s="22"/>
      <c r="P20" s="26">
        <v>2500.0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45649.0</v>
      </c>
      <c r="C21" s="18" t="s">
        <v>1163</v>
      </c>
      <c r="D21" s="19">
        <v>85460.0</v>
      </c>
      <c r="E21" s="20" t="s">
        <v>1164</v>
      </c>
      <c r="F21" s="30"/>
      <c r="G21" s="22"/>
      <c r="H21" s="25"/>
      <c r="I21" s="30"/>
      <c r="J21" s="30"/>
      <c r="K21" s="23">
        <v>1800.0</v>
      </c>
      <c r="L21" s="22"/>
      <c r="M21" s="25"/>
      <c r="N21" s="22"/>
      <c r="O21" s="22"/>
      <c r="P21" s="26">
        <v>1800.0</v>
      </c>
      <c r="Q21" s="118">
        <f t="shared" si="1"/>
        <v>0</v>
      </c>
      <c r="R21" s="26"/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45650.0</v>
      </c>
      <c r="C22" s="18" t="s">
        <v>1165</v>
      </c>
      <c r="D22" s="19">
        <v>43380.0</v>
      </c>
      <c r="E22" s="20" t="s">
        <v>345</v>
      </c>
      <c r="F22" s="30"/>
      <c r="G22" s="22"/>
      <c r="H22" s="25">
        <v>14500.0</v>
      </c>
      <c r="I22" s="30"/>
      <c r="J22" s="30"/>
      <c r="K22" s="23"/>
      <c r="L22" s="22"/>
      <c r="M22" s="25"/>
      <c r="N22" s="22"/>
      <c r="O22" s="22"/>
      <c r="P22" s="26">
        <v>14500.0</v>
      </c>
      <c r="Q22" s="118">
        <f t="shared" si="1"/>
        <v>0</v>
      </c>
      <c r="R22" s="26"/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45650.0</v>
      </c>
      <c r="C23" s="18" t="s">
        <v>1166</v>
      </c>
      <c r="D23" s="19">
        <v>21828.0</v>
      </c>
      <c r="E23" s="20" t="s">
        <v>104</v>
      </c>
      <c r="F23" s="30"/>
      <c r="G23" s="25"/>
      <c r="H23" s="25"/>
      <c r="I23" s="30"/>
      <c r="J23" s="30"/>
      <c r="K23" s="23">
        <v>2500.0</v>
      </c>
      <c r="L23" s="22"/>
      <c r="M23" s="25"/>
      <c r="N23" s="22"/>
      <c r="O23" s="22"/>
      <c r="P23" s="26">
        <v>2500.0</v>
      </c>
      <c r="Q23" s="118">
        <f t="shared" si="1"/>
        <v>0</v>
      </c>
      <c r="R23" s="26"/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45650.0</v>
      </c>
      <c r="C24" s="18" t="s">
        <v>1167</v>
      </c>
      <c r="D24" s="19">
        <v>68284.0</v>
      </c>
      <c r="E24" s="20" t="s">
        <v>1168</v>
      </c>
      <c r="F24" s="30"/>
      <c r="G24" s="22"/>
      <c r="H24" s="25">
        <v>10200.0</v>
      </c>
      <c r="I24" s="30"/>
      <c r="J24" s="30"/>
      <c r="K24" s="24"/>
      <c r="L24" s="22"/>
      <c r="M24" s="25"/>
      <c r="N24" s="22"/>
      <c r="O24" s="22"/>
      <c r="P24" s="26">
        <v>10200.0</v>
      </c>
      <c r="Q24" s="118">
        <f t="shared" si="1"/>
        <v>0</v>
      </c>
      <c r="R24" s="26"/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/>
      <c r="B25" s="29"/>
      <c r="C25" s="18"/>
      <c r="D25" s="19"/>
      <c r="E25" s="20"/>
      <c r="F25" s="30"/>
      <c r="G25" s="22"/>
      <c r="H25" s="25"/>
      <c r="I25" s="30"/>
      <c r="J25" s="30"/>
      <c r="K25" s="23"/>
      <c r="L25" s="22"/>
      <c r="M25" s="25"/>
      <c r="N25" s="22"/>
      <c r="O25" s="22"/>
      <c r="P25" s="26"/>
      <c r="Q25" s="118">
        <f t="shared" si="1"/>
        <v>0</v>
      </c>
      <c r="R25" s="26"/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/>
      <c r="B26" s="29"/>
      <c r="C26" s="18"/>
      <c r="D26" s="19"/>
      <c r="E26" s="20"/>
      <c r="F26" s="21"/>
      <c r="G26" s="22"/>
      <c r="H26" s="25"/>
      <c r="I26" s="30"/>
      <c r="J26" s="30"/>
      <c r="K26" s="24"/>
      <c r="L26" s="22"/>
      <c r="M26" s="25"/>
      <c r="N26" s="22"/>
      <c r="O26" s="25"/>
      <c r="P26" s="26"/>
      <c r="Q26" s="118">
        <f t="shared" si="1"/>
        <v>0</v>
      </c>
      <c r="R26" s="26"/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7.5" customHeight="1">
      <c r="A27" s="16"/>
      <c r="B27" s="64"/>
      <c r="C27" s="65"/>
      <c r="D27" s="66" t="s">
        <v>135</v>
      </c>
      <c r="E27" s="67"/>
      <c r="F27" s="68">
        <f t="shared" ref="F27:Q27" si="2">SUM(F5:F26)</f>
        <v>140</v>
      </c>
      <c r="G27" s="68">
        <f t="shared" si="2"/>
        <v>0</v>
      </c>
      <c r="H27" s="68">
        <f t="shared" si="2"/>
        <v>24700</v>
      </c>
      <c r="I27" s="68">
        <f t="shared" si="2"/>
        <v>66150</v>
      </c>
      <c r="J27" s="68">
        <f t="shared" si="2"/>
        <v>12650</v>
      </c>
      <c r="K27" s="68">
        <f t="shared" si="2"/>
        <v>4300</v>
      </c>
      <c r="L27" s="68">
        <f t="shared" si="2"/>
        <v>0</v>
      </c>
      <c r="M27" s="68">
        <f t="shared" si="2"/>
        <v>2500</v>
      </c>
      <c r="N27" s="68">
        <f t="shared" si="2"/>
        <v>0</v>
      </c>
      <c r="O27" s="68">
        <f t="shared" si="2"/>
        <v>0</v>
      </c>
      <c r="P27" s="68">
        <f t="shared" si="2"/>
        <v>110440</v>
      </c>
      <c r="Q27" s="68">
        <f t="shared" si="2"/>
        <v>0</v>
      </c>
      <c r="R27" s="69"/>
      <c r="S27" s="28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ht="58.5" customHeight="1">
      <c r="A28" s="70"/>
      <c r="B28" s="70"/>
      <c r="C28" s="71"/>
      <c r="D28" s="70"/>
      <c r="E28" s="70"/>
      <c r="F28" s="72">
        <f>F27+G27+H27+I27+J27+K27+L27+M27+N27+O27</f>
        <v>110440</v>
      </c>
      <c r="P28" s="73"/>
      <c r="Q28" s="73"/>
      <c r="R28" s="70"/>
      <c r="S28" s="70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15.75" customHeight="1">
      <c r="A29" s="4"/>
      <c r="B29" s="4"/>
      <c r="C29" s="7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7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75" t="s">
        <v>135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82" t="s">
        <v>229</v>
      </c>
      <c r="D32" s="4"/>
      <c r="E32" s="76" t="s">
        <v>136</v>
      </c>
      <c r="F32" s="77" t="s">
        <v>137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74"/>
      <c r="D33" s="4"/>
      <c r="E33" s="78" t="s">
        <v>138</v>
      </c>
      <c r="F33" s="77" t="s">
        <v>230</v>
      </c>
      <c r="G33" s="4"/>
      <c r="H33" s="4"/>
      <c r="I33" s="4"/>
      <c r="J33" s="4"/>
      <c r="K33" s="4"/>
      <c r="L33" s="4"/>
      <c r="M33" s="4"/>
      <c r="N33" s="4"/>
      <c r="O33" s="79" t="s">
        <v>135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4"/>
      <c r="D34" s="4"/>
      <c r="E34" s="78" t="s">
        <v>140</v>
      </c>
      <c r="F34" s="77" t="s">
        <v>146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4"/>
      <c r="D35" s="4"/>
      <c r="E35" s="78" t="s">
        <v>141</v>
      </c>
      <c r="F35" s="77" t="s">
        <v>146</v>
      </c>
      <c r="G35" s="4"/>
      <c r="H35" s="4"/>
      <c r="I35" s="4"/>
      <c r="J35" s="4"/>
      <c r="K35" s="4" t="s">
        <v>135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4"/>
      <c r="D36" s="4"/>
      <c r="E36" s="78" t="s">
        <v>142</v>
      </c>
      <c r="F36" s="77" t="s">
        <v>230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1169</v>
      </c>
      <c r="F37" s="77" t="s">
        <v>230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145</v>
      </c>
      <c r="F38" s="77" t="s">
        <v>146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147</v>
      </c>
      <c r="F39" s="80" t="s">
        <v>137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79" t="s">
        <v>135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4"/>
      <c r="F40" s="4"/>
      <c r="G40" s="4"/>
      <c r="H40" s="4"/>
      <c r="I40" s="4"/>
      <c r="J40" s="4"/>
      <c r="K40" s="4" t="str">
        <f>I72427</f>
        <v/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79" t="s">
        <v>148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>
        <v>7.0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7">
    <mergeCell ref="R2:R4"/>
    <mergeCell ref="S2:S4"/>
    <mergeCell ref="F3:F4"/>
    <mergeCell ref="G3:H3"/>
    <mergeCell ref="I3:J3"/>
    <mergeCell ref="K3:K4"/>
    <mergeCell ref="F28:O2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45650.0</v>
      </c>
      <c r="C5" s="18" t="s">
        <v>1171</v>
      </c>
      <c r="D5" s="19">
        <v>69659.0</v>
      </c>
      <c r="E5" s="20" t="s">
        <v>119</v>
      </c>
      <c r="F5" s="30"/>
      <c r="G5" s="22"/>
      <c r="H5" s="30"/>
      <c r="I5" s="23">
        <v>2500.0</v>
      </c>
      <c r="J5" s="23"/>
      <c r="K5" s="25"/>
      <c r="L5" s="25"/>
      <c r="M5" s="30"/>
      <c r="N5" s="22"/>
      <c r="O5" s="22"/>
      <c r="P5" s="26">
        <v>2500.0</v>
      </c>
      <c r="Q5" s="118">
        <f t="shared" ref="Q5:Q38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45650.0</v>
      </c>
      <c r="C6" s="18" t="s">
        <v>1172</v>
      </c>
      <c r="D6" s="19">
        <v>25650.0</v>
      </c>
      <c r="E6" s="20" t="s">
        <v>86</v>
      </c>
      <c r="F6" s="30"/>
      <c r="G6" s="25">
        <v>2250.0</v>
      </c>
      <c r="H6" s="30"/>
      <c r="I6" s="23"/>
      <c r="J6" s="23"/>
      <c r="K6" s="25"/>
      <c r="L6" s="25"/>
      <c r="M6" s="30"/>
      <c r="N6" s="22"/>
      <c r="O6" s="22"/>
      <c r="P6" s="26">
        <v>2250.0</v>
      </c>
      <c r="Q6" s="118">
        <f t="shared" si="1"/>
        <v>0</v>
      </c>
      <c r="R6" s="26" t="s">
        <v>33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45650.0</v>
      </c>
      <c r="C7" s="18" t="s">
        <v>1173</v>
      </c>
      <c r="D7" s="19">
        <v>43955.0</v>
      </c>
      <c r="E7" s="20" t="s">
        <v>683</v>
      </c>
      <c r="F7" s="21"/>
      <c r="G7" s="22"/>
      <c r="H7" s="30"/>
      <c r="I7" s="23">
        <v>5850.0</v>
      </c>
      <c r="J7" s="23"/>
      <c r="K7" s="22"/>
      <c r="L7" s="25"/>
      <c r="M7" s="30"/>
      <c r="N7" s="22"/>
      <c r="O7" s="22"/>
      <c r="P7" s="26">
        <v>5850.0</v>
      </c>
      <c r="Q7" s="118">
        <f t="shared" si="1"/>
        <v>0</v>
      </c>
      <c r="R7" s="26" t="s">
        <v>48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45650.0</v>
      </c>
      <c r="C8" s="18" t="s">
        <v>1174</v>
      </c>
      <c r="D8" s="19">
        <v>13781.0</v>
      </c>
      <c r="E8" s="20" t="s">
        <v>181</v>
      </c>
      <c r="F8" s="30"/>
      <c r="G8" s="25">
        <v>5500.0</v>
      </c>
      <c r="H8" s="30"/>
      <c r="I8" s="23"/>
      <c r="J8" s="23"/>
      <c r="K8" s="25"/>
      <c r="L8" s="25"/>
      <c r="M8" s="30"/>
      <c r="N8" s="22"/>
      <c r="O8" s="22"/>
      <c r="P8" s="26">
        <v>5500.0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45651.0</v>
      </c>
      <c r="C9" s="18" t="s">
        <v>1175</v>
      </c>
      <c r="D9" s="19">
        <v>59244.0</v>
      </c>
      <c r="E9" s="20" t="s">
        <v>50</v>
      </c>
      <c r="F9" s="21"/>
      <c r="G9" s="25"/>
      <c r="H9" s="25"/>
      <c r="I9" s="30">
        <v>1450.0</v>
      </c>
      <c r="J9" s="25"/>
      <c r="K9" s="25"/>
      <c r="L9" s="22"/>
      <c r="M9" s="30"/>
      <c r="N9" s="22"/>
      <c r="O9" s="22"/>
      <c r="P9" s="26">
        <v>1450.0</v>
      </c>
      <c r="Q9" s="118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45651.0</v>
      </c>
      <c r="C10" s="18" t="s">
        <v>1176</v>
      </c>
      <c r="D10" s="19">
        <v>13209.0</v>
      </c>
      <c r="E10" s="20" t="s">
        <v>1177</v>
      </c>
      <c r="F10" s="22"/>
      <c r="G10" s="25"/>
      <c r="H10" s="30"/>
      <c r="I10" s="30">
        <v>4600.0</v>
      </c>
      <c r="J10" s="23"/>
      <c r="K10" s="25"/>
      <c r="L10" s="22"/>
      <c r="M10" s="25"/>
      <c r="N10" s="22"/>
      <c r="O10" s="22"/>
      <c r="P10" s="26">
        <v>4600.0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45651.0</v>
      </c>
      <c r="C11" s="18" t="s">
        <v>1178</v>
      </c>
      <c r="D11" s="19">
        <v>49131.0</v>
      </c>
      <c r="E11" s="20" t="s">
        <v>1179</v>
      </c>
      <c r="F11" s="22"/>
      <c r="G11" s="22"/>
      <c r="H11" s="25"/>
      <c r="I11" s="30">
        <v>1500.0</v>
      </c>
      <c r="J11" s="30"/>
      <c r="K11" s="25"/>
      <c r="L11" s="22"/>
      <c r="M11" s="30"/>
      <c r="N11" s="22"/>
      <c r="O11" s="22"/>
      <c r="P11" s="26">
        <v>1500.0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45651.0</v>
      </c>
      <c r="C12" s="107" t="s">
        <v>1180</v>
      </c>
      <c r="D12" s="108">
        <v>21818.0</v>
      </c>
      <c r="E12" s="109" t="s">
        <v>190</v>
      </c>
      <c r="F12" s="110"/>
      <c r="G12" s="115"/>
      <c r="H12" s="115"/>
      <c r="I12" s="111"/>
      <c r="J12" s="111"/>
      <c r="K12" s="115">
        <v>12500.0</v>
      </c>
      <c r="L12" s="110"/>
      <c r="M12" s="111"/>
      <c r="N12" s="110"/>
      <c r="O12" s="110"/>
      <c r="P12" s="113">
        <v>12500.0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45651.0</v>
      </c>
      <c r="C13" s="18" t="s">
        <v>1181</v>
      </c>
      <c r="D13" s="19">
        <v>66712.0</v>
      </c>
      <c r="E13" s="20" t="s">
        <v>1182</v>
      </c>
      <c r="F13" s="22"/>
      <c r="G13" s="25"/>
      <c r="H13" s="25"/>
      <c r="I13" s="30">
        <v>4500.0</v>
      </c>
      <c r="J13" s="30"/>
      <c r="K13" s="25"/>
      <c r="L13" s="22"/>
      <c r="M13" s="30"/>
      <c r="N13" s="22"/>
      <c r="O13" s="22"/>
      <c r="P13" s="26">
        <v>4500.0</v>
      </c>
      <c r="Q13" s="118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45651.0</v>
      </c>
      <c r="C14" s="18" t="s">
        <v>1183</v>
      </c>
      <c r="D14" s="19">
        <v>66712.0</v>
      </c>
      <c r="E14" s="20" t="s">
        <v>1182</v>
      </c>
      <c r="F14" s="22"/>
      <c r="G14" s="22"/>
      <c r="H14" s="25"/>
      <c r="I14" s="30">
        <v>5000.0</v>
      </c>
      <c r="J14" s="30"/>
      <c r="K14" s="22"/>
      <c r="L14" s="22"/>
      <c r="M14" s="21"/>
      <c r="N14" s="22"/>
      <c r="O14" s="22"/>
      <c r="P14" s="26">
        <v>5000.0</v>
      </c>
      <c r="Q14" s="118">
        <f t="shared" si="1"/>
        <v>0</v>
      </c>
      <c r="R14" s="26" t="s">
        <v>33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45651.0</v>
      </c>
      <c r="C15" s="33" t="s">
        <v>1184</v>
      </c>
      <c r="D15" s="34">
        <v>31927.0</v>
      </c>
      <c r="E15" s="35" t="s">
        <v>116</v>
      </c>
      <c r="F15" s="22"/>
      <c r="G15" s="22"/>
      <c r="H15" s="25"/>
      <c r="I15" s="30">
        <v>3950.0</v>
      </c>
      <c r="J15" s="30"/>
      <c r="K15" s="25"/>
      <c r="L15" s="22"/>
      <c r="M15" s="30"/>
      <c r="N15" s="22"/>
      <c r="O15" s="22"/>
      <c r="P15" s="36">
        <v>3950.0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45651.0</v>
      </c>
      <c r="C16" s="33" t="s">
        <v>1185</v>
      </c>
      <c r="D16" s="34">
        <v>36983.0</v>
      </c>
      <c r="E16" s="35" t="s">
        <v>1186</v>
      </c>
      <c r="F16" s="25"/>
      <c r="G16" s="22"/>
      <c r="H16" s="25"/>
      <c r="I16" s="30">
        <v>5100.0</v>
      </c>
      <c r="J16" s="30"/>
      <c r="K16" s="25"/>
      <c r="L16" s="22"/>
      <c r="M16" s="21"/>
      <c r="N16" s="22"/>
      <c r="O16" s="22"/>
      <c r="P16" s="36">
        <v>5100.0</v>
      </c>
      <c r="Q16" s="118">
        <f t="shared" si="1"/>
        <v>0</v>
      </c>
      <c r="R16" s="36" t="s">
        <v>30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45651.0</v>
      </c>
      <c r="C17" s="18" t="s">
        <v>1187</v>
      </c>
      <c r="D17" s="19">
        <v>76801.0</v>
      </c>
      <c r="E17" s="20" t="s">
        <v>1188</v>
      </c>
      <c r="F17" s="30"/>
      <c r="G17" s="22"/>
      <c r="H17" s="25"/>
      <c r="I17" s="30"/>
      <c r="J17" s="30">
        <v>4400.0</v>
      </c>
      <c r="K17" s="24"/>
      <c r="L17" s="22"/>
      <c r="M17" s="25"/>
      <c r="N17" s="22"/>
      <c r="O17" s="22"/>
      <c r="P17" s="26">
        <v>4400.0</v>
      </c>
      <c r="Q17" s="118">
        <f t="shared" si="1"/>
        <v>0</v>
      </c>
      <c r="R17" s="26" t="s">
        <v>33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45651.0</v>
      </c>
      <c r="C18" s="18" t="s">
        <v>1189</v>
      </c>
      <c r="D18" s="19">
        <v>61420.0</v>
      </c>
      <c r="E18" s="20" t="s">
        <v>1190</v>
      </c>
      <c r="F18" s="30"/>
      <c r="G18" s="22"/>
      <c r="H18" s="25"/>
      <c r="I18" s="30">
        <v>600.0</v>
      </c>
      <c r="J18" s="30"/>
      <c r="K18" s="24"/>
      <c r="L18" s="22"/>
      <c r="M18" s="25"/>
      <c r="N18" s="22"/>
      <c r="O18" s="22"/>
      <c r="P18" s="26">
        <v>600.0</v>
      </c>
      <c r="Q18" s="118">
        <f t="shared" si="1"/>
        <v>0</v>
      </c>
      <c r="R18" s="26" t="s">
        <v>30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45651.0</v>
      </c>
      <c r="C19" s="18" t="s">
        <v>1191</v>
      </c>
      <c r="D19" s="19">
        <v>50436.0</v>
      </c>
      <c r="E19" s="20" t="s">
        <v>78</v>
      </c>
      <c r="F19" s="30"/>
      <c r="G19" s="25"/>
      <c r="H19" s="25"/>
      <c r="I19" s="30">
        <v>600.0</v>
      </c>
      <c r="J19" s="30"/>
      <c r="K19" s="24"/>
      <c r="L19" s="22"/>
      <c r="M19" s="25"/>
      <c r="N19" s="22"/>
      <c r="O19" s="22"/>
      <c r="P19" s="26">
        <v>600.0</v>
      </c>
      <c r="Q19" s="118">
        <f t="shared" si="1"/>
        <v>0</v>
      </c>
      <c r="R19" s="26" t="s">
        <v>30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45651.0</v>
      </c>
      <c r="C20" s="18" t="s">
        <v>1192</v>
      </c>
      <c r="D20" s="19">
        <v>77501.0</v>
      </c>
      <c r="E20" s="20" t="s">
        <v>321</v>
      </c>
      <c r="F20" s="30"/>
      <c r="G20" s="22"/>
      <c r="H20" s="25"/>
      <c r="I20" s="30"/>
      <c r="J20" s="30">
        <v>1100.0</v>
      </c>
      <c r="K20" s="24"/>
      <c r="L20" s="22"/>
      <c r="M20" s="25"/>
      <c r="N20" s="22"/>
      <c r="O20" s="22"/>
      <c r="P20" s="26">
        <v>1100.0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45651.0</v>
      </c>
      <c r="C21" s="18" t="s">
        <v>1193</v>
      </c>
      <c r="D21" s="19">
        <v>47787.0</v>
      </c>
      <c r="E21" s="20" t="s">
        <v>274</v>
      </c>
      <c r="F21" s="30"/>
      <c r="G21" s="22"/>
      <c r="H21" s="25"/>
      <c r="I21" s="30">
        <v>5200.0</v>
      </c>
      <c r="J21" s="30"/>
      <c r="K21" s="23"/>
      <c r="L21" s="22"/>
      <c r="M21" s="25"/>
      <c r="N21" s="22"/>
      <c r="O21" s="22"/>
      <c r="P21" s="26">
        <v>5200.0</v>
      </c>
      <c r="Q21" s="118">
        <f t="shared" si="1"/>
        <v>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45651.0</v>
      </c>
      <c r="C22" s="18" t="s">
        <v>1194</v>
      </c>
      <c r="D22" s="19">
        <v>19688.0</v>
      </c>
      <c r="E22" s="20" t="s">
        <v>260</v>
      </c>
      <c r="F22" s="30"/>
      <c r="G22" s="22"/>
      <c r="H22" s="25"/>
      <c r="I22" s="30"/>
      <c r="J22" s="30">
        <v>9000.0</v>
      </c>
      <c r="K22" s="23"/>
      <c r="L22" s="22"/>
      <c r="M22" s="25"/>
      <c r="N22" s="22"/>
      <c r="O22" s="22"/>
      <c r="P22" s="26">
        <v>9000.0</v>
      </c>
      <c r="Q22" s="118">
        <f t="shared" si="1"/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45651.0</v>
      </c>
      <c r="C23" s="18" t="s">
        <v>1195</v>
      </c>
      <c r="D23" s="19">
        <v>53249.0</v>
      </c>
      <c r="E23" s="20" t="s">
        <v>54</v>
      </c>
      <c r="F23" s="30"/>
      <c r="G23" s="25"/>
      <c r="H23" s="25"/>
      <c r="I23" s="30">
        <v>30300.0</v>
      </c>
      <c r="J23" s="30"/>
      <c r="K23" s="23"/>
      <c r="L23" s="22"/>
      <c r="M23" s="25"/>
      <c r="N23" s="22"/>
      <c r="O23" s="22"/>
      <c r="P23" s="26">
        <v>30300.0</v>
      </c>
      <c r="Q23" s="118">
        <f t="shared" si="1"/>
        <v>0</v>
      </c>
      <c r="R23" s="26" t="s">
        <v>33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45651.0</v>
      </c>
      <c r="C24" s="18" t="s">
        <v>1196</v>
      </c>
      <c r="D24" s="19">
        <v>42095.0</v>
      </c>
      <c r="E24" s="20" t="s">
        <v>1197</v>
      </c>
      <c r="F24" s="30"/>
      <c r="G24" s="22"/>
      <c r="H24" s="25"/>
      <c r="I24" s="30">
        <v>6090.0</v>
      </c>
      <c r="J24" s="30"/>
      <c r="K24" s="24"/>
      <c r="L24" s="22"/>
      <c r="M24" s="25"/>
      <c r="N24" s="22"/>
      <c r="O24" s="22"/>
      <c r="P24" s="26">
        <v>6090.0</v>
      </c>
      <c r="Q24" s="118">
        <f t="shared" si="1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45651.0</v>
      </c>
      <c r="C25" s="18" t="s">
        <v>1198</v>
      </c>
      <c r="D25" s="19">
        <v>48192.0</v>
      </c>
      <c r="E25" s="20" t="s">
        <v>1199</v>
      </c>
      <c r="F25" s="30"/>
      <c r="G25" s="22"/>
      <c r="H25" s="25"/>
      <c r="I25" s="30">
        <v>840.0</v>
      </c>
      <c r="J25" s="30"/>
      <c r="K25" s="23"/>
      <c r="L25" s="22"/>
      <c r="M25" s="25"/>
      <c r="N25" s="22"/>
      <c r="O25" s="22"/>
      <c r="P25" s="26">
        <v>840.0</v>
      </c>
      <c r="Q25" s="118">
        <f t="shared" si="1"/>
        <v>0</v>
      </c>
      <c r="R25" s="26" t="s">
        <v>33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45651.0</v>
      </c>
      <c r="C26" s="18" t="s">
        <v>1200</v>
      </c>
      <c r="D26" s="19">
        <v>48192.0</v>
      </c>
      <c r="E26" s="20" t="s">
        <v>1199</v>
      </c>
      <c r="F26" s="30"/>
      <c r="G26" s="22"/>
      <c r="H26" s="25"/>
      <c r="I26" s="30">
        <v>4500.0</v>
      </c>
      <c r="J26" s="30"/>
      <c r="K26" s="23"/>
      <c r="L26" s="22"/>
      <c r="M26" s="25"/>
      <c r="N26" s="22"/>
      <c r="O26" s="22"/>
      <c r="P26" s="26">
        <v>4500.0</v>
      </c>
      <c r="Q26" s="118">
        <f t="shared" si="1"/>
        <v>0</v>
      </c>
      <c r="R26" s="26" t="s">
        <v>33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45651.0</v>
      </c>
      <c r="C27" s="18" t="s">
        <v>1201</v>
      </c>
      <c r="D27" s="19">
        <v>85127.0</v>
      </c>
      <c r="E27" s="20" t="s">
        <v>1068</v>
      </c>
      <c r="F27" s="30"/>
      <c r="G27" s="22"/>
      <c r="H27" s="25"/>
      <c r="I27" s="30">
        <v>550.0</v>
      </c>
      <c r="J27" s="30"/>
      <c r="K27" s="23"/>
      <c r="L27" s="22"/>
      <c r="M27" s="25"/>
      <c r="N27" s="22"/>
      <c r="O27" s="22"/>
      <c r="P27" s="26">
        <v>550.0</v>
      </c>
      <c r="Q27" s="118">
        <f t="shared" si="1"/>
        <v>0</v>
      </c>
      <c r="R27" s="26" t="s">
        <v>30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45651.0</v>
      </c>
      <c r="C28" s="18" t="s">
        <v>1202</v>
      </c>
      <c r="D28" s="19">
        <v>51876.0</v>
      </c>
      <c r="E28" s="20" t="s">
        <v>777</v>
      </c>
      <c r="F28" s="30"/>
      <c r="G28" s="22"/>
      <c r="H28" s="25"/>
      <c r="I28" s="30">
        <v>6650.0</v>
      </c>
      <c r="J28" s="30"/>
      <c r="K28" s="23"/>
      <c r="L28" s="22"/>
      <c r="M28" s="25"/>
      <c r="N28" s="22"/>
      <c r="O28" s="22"/>
      <c r="P28" s="26">
        <v>6650.0</v>
      </c>
      <c r="Q28" s="118">
        <f t="shared" si="1"/>
        <v>0</v>
      </c>
      <c r="R28" s="26" t="s">
        <v>30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45651.0</v>
      </c>
      <c r="C29" s="18" t="s">
        <v>1203</v>
      </c>
      <c r="D29" s="19">
        <v>55992.0</v>
      </c>
      <c r="E29" s="20" t="s">
        <v>1204</v>
      </c>
      <c r="F29" s="30"/>
      <c r="G29" s="22"/>
      <c r="H29" s="25"/>
      <c r="I29" s="30">
        <v>2000.0</v>
      </c>
      <c r="J29" s="30"/>
      <c r="K29" s="23"/>
      <c r="L29" s="22"/>
      <c r="M29" s="25"/>
      <c r="N29" s="22"/>
      <c r="O29" s="22"/>
      <c r="P29" s="26">
        <v>2000.0</v>
      </c>
      <c r="Q29" s="118">
        <f t="shared" si="1"/>
        <v>0</v>
      </c>
      <c r="R29" s="26" t="s">
        <v>30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45651.0</v>
      </c>
      <c r="C30" s="18" t="s">
        <v>1205</v>
      </c>
      <c r="D30" s="19">
        <v>19688.0</v>
      </c>
      <c r="E30" s="20" t="s">
        <v>260</v>
      </c>
      <c r="F30" s="30"/>
      <c r="G30" s="22"/>
      <c r="H30" s="25"/>
      <c r="I30" s="30"/>
      <c r="J30" s="30">
        <v>2500.0</v>
      </c>
      <c r="K30" s="23"/>
      <c r="L30" s="22"/>
      <c r="M30" s="25"/>
      <c r="N30" s="22"/>
      <c r="O30" s="22"/>
      <c r="P30" s="26">
        <v>2500.0</v>
      </c>
      <c r="Q30" s="118">
        <f t="shared" si="1"/>
        <v>0</v>
      </c>
      <c r="R30" s="26" t="s">
        <v>30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45651.0</v>
      </c>
      <c r="C31" s="18" t="s">
        <v>1206</v>
      </c>
      <c r="D31" s="19">
        <v>19688.0</v>
      </c>
      <c r="E31" s="20" t="s">
        <v>260</v>
      </c>
      <c r="F31" s="30"/>
      <c r="G31" s="22"/>
      <c r="H31" s="25"/>
      <c r="I31" s="30"/>
      <c r="J31" s="30">
        <v>2500.0</v>
      </c>
      <c r="K31" s="23"/>
      <c r="L31" s="22"/>
      <c r="M31" s="25"/>
      <c r="N31" s="22"/>
      <c r="O31" s="22"/>
      <c r="P31" s="26">
        <v>2500.0</v>
      </c>
      <c r="Q31" s="118">
        <f t="shared" si="1"/>
        <v>0</v>
      </c>
      <c r="R31" s="26" t="s">
        <v>30</v>
      </c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45651.0</v>
      </c>
      <c r="C32" s="18" t="s">
        <v>1207</v>
      </c>
      <c r="D32" s="19">
        <v>30895.0</v>
      </c>
      <c r="E32" s="20" t="s">
        <v>179</v>
      </c>
      <c r="F32" s="30"/>
      <c r="G32" s="25">
        <v>5000.0</v>
      </c>
      <c r="H32" s="25"/>
      <c r="I32" s="30"/>
      <c r="J32" s="30"/>
      <c r="K32" s="23"/>
      <c r="L32" s="22"/>
      <c r="M32" s="25"/>
      <c r="N32" s="22"/>
      <c r="O32" s="22"/>
      <c r="P32" s="26">
        <v>5000.0</v>
      </c>
      <c r="Q32" s="118">
        <f t="shared" si="1"/>
        <v>0</v>
      </c>
      <c r="R32" s="26" t="s">
        <v>33</v>
      </c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45651.0</v>
      </c>
      <c r="C33" s="18" t="s">
        <v>1208</v>
      </c>
      <c r="D33" s="19">
        <v>85535.0</v>
      </c>
      <c r="E33" s="20" t="s">
        <v>883</v>
      </c>
      <c r="F33" s="30"/>
      <c r="G33" s="22"/>
      <c r="H33" s="25"/>
      <c r="I33" s="30">
        <v>900.0</v>
      </c>
      <c r="J33" s="30"/>
      <c r="K33" s="23"/>
      <c r="L33" s="22"/>
      <c r="M33" s="25"/>
      <c r="N33" s="22"/>
      <c r="O33" s="22"/>
      <c r="P33" s="26">
        <v>900.0</v>
      </c>
      <c r="Q33" s="118">
        <f t="shared" si="1"/>
        <v>0</v>
      </c>
      <c r="R33" s="26" t="s">
        <v>33</v>
      </c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45651.0</v>
      </c>
      <c r="C34" s="18" t="s">
        <v>1209</v>
      </c>
      <c r="D34" s="19">
        <v>51660.0</v>
      </c>
      <c r="E34" s="20" t="s">
        <v>744</v>
      </c>
      <c r="F34" s="30"/>
      <c r="G34" s="22"/>
      <c r="H34" s="25">
        <v>5150.0</v>
      </c>
      <c r="I34" s="30"/>
      <c r="J34" s="30"/>
      <c r="K34" s="23"/>
      <c r="L34" s="22"/>
      <c r="M34" s="25"/>
      <c r="N34" s="22"/>
      <c r="O34" s="22"/>
      <c r="P34" s="26">
        <v>5150.0</v>
      </c>
      <c r="Q34" s="118">
        <f t="shared" si="1"/>
        <v>0</v>
      </c>
      <c r="R34" s="26"/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>
        <v>31.0</v>
      </c>
      <c r="B35" s="29">
        <v>45651.0</v>
      </c>
      <c r="C35" s="18" t="s">
        <v>1210</v>
      </c>
      <c r="D35" s="19">
        <v>80778.0</v>
      </c>
      <c r="E35" s="20" t="s">
        <v>1211</v>
      </c>
      <c r="F35" s="30"/>
      <c r="G35" s="22"/>
      <c r="H35" s="25"/>
      <c r="I35" s="30"/>
      <c r="J35" s="30"/>
      <c r="K35" s="23"/>
      <c r="L35" s="22"/>
      <c r="M35" s="25">
        <v>2600.0</v>
      </c>
      <c r="N35" s="22"/>
      <c r="O35" s="22"/>
      <c r="P35" s="26">
        <v>2600.0</v>
      </c>
      <c r="Q35" s="118">
        <f t="shared" si="1"/>
        <v>0</v>
      </c>
      <c r="R35" s="26"/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83">
        <v>32.0</v>
      </c>
      <c r="B36" s="29">
        <v>45651.0</v>
      </c>
      <c r="C36" s="18" t="s">
        <v>1212</v>
      </c>
      <c r="D36" s="19">
        <v>51017.0</v>
      </c>
      <c r="E36" s="20" t="s">
        <v>335</v>
      </c>
      <c r="F36" s="30"/>
      <c r="G36" s="22"/>
      <c r="H36" s="25">
        <v>10000.0</v>
      </c>
      <c r="I36" s="30"/>
      <c r="J36" s="30"/>
      <c r="K36" s="23"/>
      <c r="L36" s="22"/>
      <c r="M36" s="25"/>
      <c r="N36" s="22"/>
      <c r="O36" s="22"/>
      <c r="P36" s="26">
        <v>10000.0</v>
      </c>
      <c r="Q36" s="118">
        <f t="shared" si="1"/>
        <v>0</v>
      </c>
      <c r="R36" s="26"/>
      <c r="S36" s="2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83">
        <v>33.0</v>
      </c>
      <c r="B37" s="29">
        <v>45651.0</v>
      </c>
      <c r="C37" s="18" t="s">
        <v>1213</v>
      </c>
      <c r="D37" s="19">
        <v>85535.0</v>
      </c>
      <c r="E37" s="20" t="s">
        <v>883</v>
      </c>
      <c r="F37" s="30"/>
      <c r="G37" s="22"/>
      <c r="H37" s="25"/>
      <c r="I37" s="30"/>
      <c r="J37" s="30"/>
      <c r="K37" s="23">
        <v>4200.0</v>
      </c>
      <c r="L37" s="22"/>
      <c r="M37" s="25"/>
      <c r="N37" s="22"/>
      <c r="O37" s="22"/>
      <c r="P37" s="26">
        <v>4200.0</v>
      </c>
      <c r="Q37" s="118">
        <f t="shared" si="1"/>
        <v>0</v>
      </c>
      <c r="R37" s="26"/>
      <c r="S37" s="2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83">
        <v>34.0</v>
      </c>
      <c r="B38" s="29">
        <v>45651.0</v>
      </c>
      <c r="C38" s="18" t="s">
        <v>1214</v>
      </c>
      <c r="D38" s="19">
        <v>85646.0</v>
      </c>
      <c r="E38" s="20" t="s">
        <v>1215</v>
      </c>
      <c r="F38" s="30"/>
      <c r="G38" s="22"/>
      <c r="H38" s="25"/>
      <c r="I38" s="30"/>
      <c r="J38" s="30"/>
      <c r="K38" s="23">
        <v>2600.0</v>
      </c>
      <c r="L38" s="22"/>
      <c r="M38" s="25"/>
      <c r="N38" s="22"/>
      <c r="O38" s="22"/>
      <c r="P38" s="26">
        <v>2600.0</v>
      </c>
      <c r="Q38" s="118">
        <f t="shared" si="1"/>
        <v>0</v>
      </c>
      <c r="R38" s="26"/>
      <c r="S38" s="2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83"/>
      <c r="B39" s="29"/>
      <c r="C39" s="18"/>
      <c r="D39" s="19"/>
      <c r="E39" s="20"/>
      <c r="F39" s="21"/>
      <c r="G39" s="22"/>
      <c r="H39" s="25"/>
      <c r="I39" s="30"/>
      <c r="J39" s="30"/>
      <c r="K39" s="24"/>
      <c r="L39" s="22"/>
      <c r="M39" s="25"/>
      <c r="N39" s="22"/>
      <c r="O39" s="25"/>
      <c r="P39" s="26"/>
      <c r="Q39" s="118"/>
      <c r="R39" s="26"/>
      <c r="S39" s="2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7.5" customHeight="1">
      <c r="A40" s="16"/>
      <c r="B40" s="64"/>
      <c r="C40" s="65"/>
      <c r="D40" s="66" t="s">
        <v>135</v>
      </c>
      <c r="E40" s="67"/>
      <c r="F40" s="68">
        <f t="shared" ref="F40:Q40" si="2">SUM(F5:F39)</f>
        <v>0</v>
      </c>
      <c r="G40" s="68">
        <f t="shared" si="2"/>
        <v>12750</v>
      </c>
      <c r="H40" s="68">
        <f t="shared" si="2"/>
        <v>15150</v>
      </c>
      <c r="I40" s="68">
        <f t="shared" si="2"/>
        <v>92680</v>
      </c>
      <c r="J40" s="68">
        <f t="shared" si="2"/>
        <v>19500</v>
      </c>
      <c r="K40" s="68">
        <f t="shared" si="2"/>
        <v>19300</v>
      </c>
      <c r="L40" s="68">
        <f t="shared" si="2"/>
        <v>0</v>
      </c>
      <c r="M40" s="68">
        <f t="shared" si="2"/>
        <v>2600</v>
      </c>
      <c r="N40" s="68">
        <f t="shared" si="2"/>
        <v>0</v>
      </c>
      <c r="O40" s="68">
        <f t="shared" si="2"/>
        <v>0</v>
      </c>
      <c r="P40" s="68">
        <f t="shared" si="2"/>
        <v>161980</v>
      </c>
      <c r="Q40" s="68">
        <f t="shared" si="2"/>
        <v>0</v>
      </c>
      <c r="R40" s="69"/>
      <c r="S40" s="28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ht="58.5" customHeight="1">
      <c r="A41" s="70"/>
      <c r="B41" s="70"/>
      <c r="C41" s="71"/>
      <c r="D41" s="70"/>
      <c r="E41" s="70"/>
      <c r="F41" s="72">
        <f>F40+G40+H40+I40+J40+K40+L40+M40+N40+O40</f>
        <v>161980</v>
      </c>
      <c r="P41" s="73"/>
      <c r="Q41" s="73"/>
      <c r="R41" s="70"/>
      <c r="S41" s="70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ht="15.7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5" t="s">
        <v>135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82" t="s">
        <v>229</v>
      </c>
      <c r="D45" s="4"/>
      <c r="E45" s="76" t="s">
        <v>136</v>
      </c>
      <c r="F45" s="77" t="s">
        <v>137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78" t="s">
        <v>138</v>
      </c>
      <c r="F46" s="77" t="s">
        <v>230</v>
      </c>
      <c r="G46" s="4"/>
      <c r="H46" s="4"/>
      <c r="I46" s="4"/>
      <c r="J46" s="4"/>
      <c r="K46" s="4"/>
      <c r="L46" s="4"/>
      <c r="M46" s="4"/>
      <c r="N46" s="4"/>
      <c r="O46" s="79" t="s">
        <v>135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140</v>
      </c>
      <c r="F47" s="77" t="s">
        <v>1216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141</v>
      </c>
      <c r="F48" s="77" t="s">
        <v>230</v>
      </c>
      <c r="G48" s="4"/>
      <c r="H48" s="4"/>
      <c r="I48" s="4"/>
      <c r="J48" s="4"/>
      <c r="K48" s="4" t="s">
        <v>135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78" t="s">
        <v>142</v>
      </c>
      <c r="F49" s="77" t="s">
        <v>230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78" t="s">
        <v>1217</v>
      </c>
      <c r="F50" s="77" t="s">
        <v>230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74"/>
      <c r="D51" s="4"/>
      <c r="E51" s="78" t="s">
        <v>145</v>
      </c>
      <c r="F51" s="77" t="s">
        <v>146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74"/>
      <c r="D52" s="4"/>
      <c r="E52" s="78" t="s">
        <v>147</v>
      </c>
      <c r="F52" s="80" t="s">
        <v>137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79" t="s">
        <v>135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 t="str">
        <f>I72440</f>
        <v/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79" t="s">
        <v>148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>
        <v>7.0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7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7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7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7">
    <mergeCell ref="R2:R4"/>
    <mergeCell ref="S2:S4"/>
    <mergeCell ref="F3:F4"/>
    <mergeCell ref="G3:H3"/>
    <mergeCell ref="I3:J3"/>
    <mergeCell ref="K3:K4"/>
    <mergeCell ref="F41:O4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45652.0</v>
      </c>
      <c r="C5" s="18" t="s">
        <v>1219</v>
      </c>
      <c r="D5" s="19">
        <v>59904.0</v>
      </c>
      <c r="E5" s="20" t="s">
        <v>1220</v>
      </c>
      <c r="F5" s="30"/>
      <c r="G5" s="22"/>
      <c r="H5" s="30"/>
      <c r="I5" s="23">
        <v>2500.0</v>
      </c>
      <c r="J5" s="23"/>
      <c r="K5" s="25"/>
      <c r="L5" s="25"/>
      <c r="M5" s="30"/>
      <c r="N5" s="22"/>
      <c r="O5" s="22"/>
      <c r="P5" s="26">
        <v>2500.0</v>
      </c>
      <c r="Q5" s="118">
        <f t="shared" ref="Q5:Q34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45652.0</v>
      </c>
      <c r="C6" s="18" t="s">
        <v>1221</v>
      </c>
      <c r="D6" s="19">
        <v>61641.0</v>
      </c>
      <c r="E6" s="20" t="s">
        <v>1222</v>
      </c>
      <c r="F6" s="30"/>
      <c r="G6" s="25"/>
      <c r="H6" s="30"/>
      <c r="I6" s="23"/>
      <c r="J6" s="23">
        <v>4600.0</v>
      </c>
      <c r="K6" s="25"/>
      <c r="L6" s="25"/>
      <c r="M6" s="30"/>
      <c r="N6" s="22"/>
      <c r="O6" s="22"/>
      <c r="P6" s="26">
        <v>4600.0</v>
      </c>
      <c r="Q6" s="118">
        <f t="shared" si="1"/>
        <v>0</v>
      </c>
      <c r="R6" s="26" t="s">
        <v>48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45652.0</v>
      </c>
      <c r="C7" s="18" t="s">
        <v>1223</v>
      </c>
      <c r="D7" s="19">
        <v>58763.0</v>
      </c>
      <c r="E7" s="20" t="s">
        <v>1224</v>
      </c>
      <c r="F7" s="21"/>
      <c r="G7" s="22"/>
      <c r="H7" s="30"/>
      <c r="I7" s="23">
        <v>5100.0</v>
      </c>
      <c r="J7" s="23"/>
      <c r="K7" s="22"/>
      <c r="L7" s="25"/>
      <c r="M7" s="30"/>
      <c r="N7" s="22"/>
      <c r="O7" s="22"/>
      <c r="P7" s="26">
        <v>5100.0</v>
      </c>
      <c r="Q7" s="118">
        <f t="shared" si="1"/>
        <v>0</v>
      </c>
      <c r="R7" s="26" t="s">
        <v>33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45652.0</v>
      </c>
      <c r="C8" s="18" t="s">
        <v>1225</v>
      </c>
      <c r="D8" s="19">
        <v>56995.0</v>
      </c>
      <c r="E8" s="20" t="s">
        <v>1226</v>
      </c>
      <c r="F8" s="30"/>
      <c r="G8" s="25"/>
      <c r="H8" s="30"/>
      <c r="I8" s="23">
        <v>4600.0</v>
      </c>
      <c r="J8" s="23"/>
      <c r="K8" s="25"/>
      <c r="L8" s="25"/>
      <c r="M8" s="30"/>
      <c r="N8" s="22"/>
      <c r="O8" s="22"/>
      <c r="P8" s="26">
        <v>4600.0</v>
      </c>
      <c r="Q8" s="118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45652.0</v>
      </c>
      <c r="C9" s="18" t="s">
        <v>1227</v>
      </c>
      <c r="D9" s="19">
        <v>85674.0</v>
      </c>
      <c r="E9" s="20" t="s">
        <v>1228</v>
      </c>
      <c r="F9" s="21"/>
      <c r="G9" s="25"/>
      <c r="H9" s="25"/>
      <c r="I9" s="30"/>
      <c r="J9" s="25">
        <v>300.0</v>
      </c>
      <c r="K9" s="25"/>
      <c r="L9" s="22"/>
      <c r="M9" s="30"/>
      <c r="N9" s="22"/>
      <c r="O9" s="22"/>
      <c r="P9" s="26">
        <v>300.0</v>
      </c>
      <c r="Q9" s="118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45652.0</v>
      </c>
      <c r="C10" s="18" t="s">
        <v>1229</v>
      </c>
      <c r="D10" s="19">
        <v>13133.0</v>
      </c>
      <c r="E10" s="20" t="s">
        <v>368</v>
      </c>
      <c r="F10" s="22"/>
      <c r="G10" s="25"/>
      <c r="H10" s="30"/>
      <c r="I10" s="30"/>
      <c r="J10" s="23">
        <v>12500.0</v>
      </c>
      <c r="K10" s="25"/>
      <c r="L10" s="22"/>
      <c r="M10" s="25"/>
      <c r="N10" s="22"/>
      <c r="O10" s="22"/>
      <c r="P10" s="26">
        <v>12500.0</v>
      </c>
      <c r="Q10" s="118">
        <f t="shared" si="1"/>
        <v>0</v>
      </c>
      <c r="R10" s="26" t="s">
        <v>48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45652.0</v>
      </c>
      <c r="C11" s="18" t="s">
        <v>1230</v>
      </c>
      <c r="D11" s="19">
        <v>80315.0</v>
      </c>
      <c r="E11" s="20" t="s">
        <v>1231</v>
      </c>
      <c r="F11" s="22"/>
      <c r="G11" s="22"/>
      <c r="H11" s="25"/>
      <c r="I11" s="30"/>
      <c r="J11" s="30">
        <v>1550.0</v>
      </c>
      <c r="K11" s="25"/>
      <c r="L11" s="22"/>
      <c r="M11" s="30"/>
      <c r="N11" s="22"/>
      <c r="O11" s="22"/>
      <c r="P11" s="26">
        <v>1550.0</v>
      </c>
      <c r="Q11" s="118">
        <f t="shared" si="1"/>
        <v>0</v>
      </c>
      <c r="R11" s="26" t="s">
        <v>33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45652.0</v>
      </c>
      <c r="C12" s="107" t="s">
        <v>1232</v>
      </c>
      <c r="D12" s="108">
        <v>52083.0</v>
      </c>
      <c r="E12" s="109" t="s">
        <v>93</v>
      </c>
      <c r="F12" s="110"/>
      <c r="G12" s="115"/>
      <c r="H12" s="115"/>
      <c r="I12" s="111">
        <v>2500.0</v>
      </c>
      <c r="J12" s="111"/>
      <c r="K12" s="115"/>
      <c r="L12" s="110"/>
      <c r="M12" s="111"/>
      <c r="N12" s="110"/>
      <c r="O12" s="110"/>
      <c r="P12" s="113">
        <v>2500.0</v>
      </c>
      <c r="Q12" s="118">
        <f t="shared" si="1"/>
        <v>0</v>
      </c>
      <c r="R12" s="113" t="s">
        <v>33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45652.0</v>
      </c>
      <c r="C13" s="18" t="s">
        <v>1233</v>
      </c>
      <c r="D13" s="19">
        <v>81665.0</v>
      </c>
      <c r="E13" s="20" t="s">
        <v>1159</v>
      </c>
      <c r="F13" s="22"/>
      <c r="G13" s="25"/>
      <c r="H13" s="25"/>
      <c r="I13" s="30">
        <v>50000.0</v>
      </c>
      <c r="J13" s="30"/>
      <c r="K13" s="25"/>
      <c r="L13" s="22"/>
      <c r="M13" s="30"/>
      <c r="N13" s="22"/>
      <c r="O13" s="22"/>
      <c r="P13" s="26">
        <v>50000.0</v>
      </c>
      <c r="Q13" s="118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45652.0</v>
      </c>
      <c r="C14" s="18" t="s">
        <v>1234</v>
      </c>
      <c r="D14" s="19">
        <v>78063.0</v>
      </c>
      <c r="E14" s="20" t="s">
        <v>328</v>
      </c>
      <c r="F14" s="22"/>
      <c r="G14" s="22"/>
      <c r="H14" s="25"/>
      <c r="I14" s="30">
        <v>9500.0</v>
      </c>
      <c r="J14" s="30"/>
      <c r="K14" s="22"/>
      <c r="L14" s="22"/>
      <c r="M14" s="21"/>
      <c r="N14" s="22"/>
      <c r="O14" s="22"/>
      <c r="P14" s="26">
        <v>9500.0</v>
      </c>
      <c r="Q14" s="118">
        <f t="shared" si="1"/>
        <v>0</v>
      </c>
      <c r="R14" s="26" t="s">
        <v>33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45652.0</v>
      </c>
      <c r="C15" s="33" t="s">
        <v>1235</v>
      </c>
      <c r="D15" s="34">
        <v>48482.0</v>
      </c>
      <c r="E15" s="35" t="s">
        <v>1236</v>
      </c>
      <c r="F15" s="22"/>
      <c r="G15" s="22"/>
      <c r="H15" s="25"/>
      <c r="I15" s="30"/>
      <c r="J15" s="30">
        <v>4500.0</v>
      </c>
      <c r="K15" s="25"/>
      <c r="L15" s="22"/>
      <c r="M15" s="30"/>
      <c r="N15" s="22"/>
      <c r="O15" s="22"/>
      <c r="P15" s="36">
        <v>4500.0</v>
      </c>
      <c r="Q15" s="118">
        <f t="shared" si="1"/>
        <v>0</v>
      </c>
      <c r="R15" s="36" t="s">
        <v>48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45652.0</v>
      </c>
      <c r="C16" s="33" t="s">
        <v>1237</v>
      </c>
      <c r="D16" s="34">
        <v>48482.0</v>
      </c>
      <c r="E16" s="35" t="s">
        <v>1236</v>
      </c>
      <c r="F16" s="25"/>
      <c r="G16" s="22"/>
      <c r="H16" s="25"/>
      <c r="I16" s="30"/>
      <c r="J16" s="30">
        <v>4500.0</v>
      </c>
      <c r="K16" s="25"/>
      <c r="L16" s="22"/>
      <c r="M16" s="21"/>
      <c r="N16" s="22"/>
      <c r="O16" s="22"/>
      <c r="P16" s="36">
        <v>4500.0</v>
      </c>
      <c r="Q16" s="118">
        <f t="shared" si="1"/>
        <v>0</v>
      </c>
      <c r="R16" s="36" t="s">
        <v>48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45652.0</v>
      </c>
      <c r="C17" s="18" t="s">
        <v>1238</v>
      </c>
      <c r="D17" s="19">
        <v>50436.0</v>
      </c>
      <c r="E17" s="20" t="s">
        <v>78</v>
      </c>
      <c r="F17" s="30"/>
      <c r="G17" s="22"/>
      <c r="H17" s="25"/>
      <c r="I17" s="30">
        <v>8400.0</v>
      </c>
      <c r="J17" s="30"/>
      <c r="K17" s="24"/>
      <c r="L17" s="22"/>
      <c r="M17" s="25"/>
      <c r="N17" s="22"/>
      <c r="O17" s="22"/>
      <c r="P17" s="26">
        <v>8400.0</v>
      </c>
      <c r="Q17" s="118">
        <f t="shared" si="1"/>
        <v>0</v>
      </c>
      <c r="R17" s="26" t="s">
        <v>33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45652.0</v>
      </c>
      <c r="C18" s="18" t="s">
        <v>1239</v>
      </c>
      <c r="D18" s="19">
        <v>46778.0</v>
      </c>
      <c r="E18" s="20" t="s">
        <v>712</v>
      </c>
      <c r="F18" s="30"/>
      <c r="G18" s="22"/>
      <c r="H18" s="25"/>
      <c r="I18" s="30"/>
      <c r="J18" s="30">
        <v>600.0</v>
      </c>
      <c r="K18" s="24"/>
      <c r="L18" s="22"/>
      <c r="M18" s="25"/>
      <c r="N18" s="22"/>
      <c r="O18" s="22"/>
      <c r="P18" s="26">
        <v>600.0</v>
      </c>
      <c r="Q18" s="118">
        <f t="shared" si="1"/>
        <v>0</v>
      </c>
      <c r="R18" s="26" t="s">
        <v>33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45652.0</v>
      </c>
      <c r="C19" s="18" t="s">
        <v>1240</v>
      </c>
      <c r="D19" s="19">
        <v>78984.0</v>
      </c>
      <c r="E19" s="20" t="s">
        <v>1241</v>
      </c>
      <c r="F19" s="30"/>
      <c r="G19" s="25"/>
      <c r="H19" s="25"/>
      <c r="I19" s="30">
        <v>1450.0</v>
      </c>
      <c r="J19" s="30"/>
      <c r="K19" s="24"/>
      <c r="L19" s="22"/>
      <c r="M19" s="25"/>
      <c r="N19" s="22"/>
      <c r="O19" s="22"/>
      <c r="P19" s="26">
        <v>1450.0</v>
      </c>
      <c r="Q19" s="118">
        <f t="shared" si="1"/>
        <v>0</v>
      </c>
      <c r="R19" s="26" t="s">
        <v>33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45652.0</v>
      </c>
      <c r="C20" s="18" t="s">
        <v>1242</v>
      </c>
      <c r="D20" s="19">
        <v>66838.0</v>
      </c>
      <c r="E20" s="20" t="s">
        <v>501</v>
      </c>
      <c r="F20" s="30"/>
      <c r="G20" s="22"/>
      <c r="H20" s="25"/>
      <c r="I20" s="30">
        <v>4500.0</v>
      </c>
      <c r="J20" s="30"/>
      <c r="K20" s="24"/>
      <c r="L20" s="22"/>
      <c r="M20" s="25"/>
      <c r="N20" s="22"/>
      <c r="O20" s="22"/>
      <c r="P20" s="26">
        <v>4500.0</v>
      </c>
      <c r="Q20" s="118">
        <f t="shared" si="1"/>
        <v>0</v>
      </c>
      <c r="R20" s="26" t="s">
        <v>33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45652.0</v>
      </c>
      <c r="C21" s="18" t="s">
        <v>1243</v>
      </c>
      <c r="D21" s="19">
        <v>55409.0</v>
      </c>
      <c r="E21" s="20" t="s">
        <v>37</v>
      </c>
      <c r="F21" s="30"/>
      <c r="G21" s="22"/>
      <c r="H21" s="25"/>
      <c r="I21" s="30">
        <v>5100.0</v>
      </c>
      <c r="J21" s="30"/>
      <c r="K21" s="23"/>
      <c r="L21" s="22"/>
      <c r="M21" s="25"/>
      <c r="N21" s="22"/>
      <c r="O21" s="22"/>
      <c r="P21" s="26">
        <v>5100.0</v>
      </c>
      <c r="Q21" s="118">
        <f t="shared" si="1"/>
        <v>0</v>
      </c>
      <c r="R21" s="26" t="s">
        <v>33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45652.0</v>
      </c>
      <c r="C22" s="18" t="s">
        <v>1244</v>
      </c>
      <c r="D22" s="19">
        <v>54166.0</v>
      </c>
      <c r="E22" s="20" t="s">
        <v>1245</v>
      </c>
      <c r="F22" s="30"/>
      <c r="G22" s="22"/>
      <c r="H22" s="25"/>
      <c r="I22" s="30">
        <v>2600.0</v>
      </c>
      <c r="J22" s="30"/>
      <c r="K22" s="23"/>
      <c r="L22" s="22"/>
      <c r="M22" s="25"/>
      <c r="N22" s="22"/>
      <c r="O22" s="22"/>
      <c r="P22" s="26">
        <v>2600.0</v>
      </c>
      <c r="Q22" s="118">
        <f t="shared" si="1"/>
        <v>0</v>
      </c>
      <c r="R22" s="26" t="s">
        <v>33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45652.0</v>
      </c>
      <c r="C23" s="18" t="s">
        <v>1246</v>
      </c>
      <c r="D23" s="19">
        <v>26831.0</v>
      </c>
      <c r="E23" s="20" t="s">
        <v>1111</v>
      </c>
      <c r="F23" s="30"/>
      <c r="G23" s="25"/>
      <c r="H23" s="25"/>
      <c r="I23" s="30"/>
      <c r="J23" s="30">
        <v>4600.0</v>
      </c>
      <c r="K23" s="23"/>
      <c r="L23" s="22"/>
      <c r="M23" s="25"/>
      <c r="N23" s="22"/>
      <c r="O23" s="22"/>
      <c r="P23" s="26">
        <v>4600.0</v>
      </c>
      <c r="Q23" s="118">
        <f t="shared" si="1"/>
        <v>0</v>
      </c>
      <c r="R23" s="26" t="s">
        <v>33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45652.0</v>
      </c>
      <c r="C24" s="18" t="s">
        <v>1247</v>
      </c>
      <c r="D24" s="19">
        <v>58068.0</v>
      </c>
      <c r="E24" s="20" t="s">
        <v>1248</v>
      </c>
      <c r="F24" s="30"/>
      <c r="G24" s="22"/>
      <c r="H24" s="25"/>
      <c r="I24" s="30">
        <v>5100.0</v>
      </c>
      <c r="J24" s="30"/>
      <c r="K24" s="24"/>
      <c r="L24" s="22"/>
      <c r="M24" s="25"/>
      <c r="N24" s="22"/>
      <c r="O24" s="22"/>
      <c r="P24" s="26">
        <v>5100.0</v>
      </c>
      <c r="Q24" s="118">
        <f t="shared" si="1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45652.0</v>
      </c>
      <c r="C25" s="18" t="s">
        <v>1249</v>
      </c>
      <c r="D25" s="19">
        <v>84114.0</v>
      </c>
      <c r="E25" s="20" t="s">
        <v>930</v>
      </c>
      <c r="F25" s="30"/>
      <c r="G25" s="22"/>
      <c r="H25" s="25"/>
      <c r="I25" s="30">
        <v>5100.0</v>
      </c>
      <c r="J25" s="30"/>
      <c r="K25" s="23"/>
      <c r="L25" s="22"/>
      <c r="M25" s="25"/>
      <c r="N25" s="22"/>
      <c r="O25" s="22"/>
      <c r="P25" s="26">
        <v>5100.0</v>
      </c>
      <c r="Q25" s="118">
        <f t="shared" si="1"/>
        <v>0</v>
      </c>
      <c r="R25" s="26" t="s">
        <v>33</v>
      </c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45652.0</v>
      </c>
      <c r="C26" s="18" t="s">
        <v>1250</v>
      </c>
      <c r="D26" s="19">
        <v>42046.0</v>
      </c>
      <c r="E26" s="20" t="s">
        <v>407</v>
      </c>
      <c r="F26" s="30"/>
      <c r="G26" s="22"/>
      <c r="H26" s="25"/>
      <c r="I26" s="30"/>
      <c r="J26" s="30"/>
      <c r="K26" s="23">
        <v>10000.0</v>
      </c>
      <c r="L26" s="22"/>
      <c r="M26" s="25"/>
      <c r="N26" s="22"/>
      <c r="O26" s="22"/>
      <c r="P26" s="26">
        <v>10000.0</v>
      </c>
      <c r="Q26" s="118">
        <f t="shared" si="1"/>
        <v>0</v>
      </c>
      <c r="R26" s="26" t="s">
        <v>48</v>
      </c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45652.0</v>
      </c>
      <c r="C27" s="18" t="s">
        <v>1251</v>
      </c>
      <c r="D27" s="19">
        <v>52775.0</v>
      </c>
      <c r="E27" s="20" t="s">
        <v>1252</v>
      </c>
      <c r="F27" s="30"/>
      <c r="G27" s="22"/>
      <c r="H27" s="25"/>
      <c r="I27" s="30">
        <v>12500.0</v>
      </c>
      <c r="J27" s="30"/>
      <c r="K27" s="23"/>
      <c r="L27" s="22"/>
      <c r="M27" s="25"/>
      <c r="N27" s="22"/>
      <c r="O27" s="22"/>
      <c r="P27" s="26">
        <v>12500.0</v>
      </c>
      <c r="Q27" s="118">
        <f t="shared" si="1"/>
        <v>0</v>
      </c>
      <c r="R27" s="26" t="s">
        <v>48</v>
      </c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45652.0</v>
      </c>
      <c r="C28" s="18" t="s">
        <v>1253</v>
      </c>
      <c r="D28" s="19">
        <v>77864.0</v>
      </c>
      <c r="E28" s="20" t="s">
        <v>1254</v>
      </c>
      <c r="F28" s="30"/>
      <c r="G28" s="22"/>
      <c r="H28" s="25"/>
      <c r="I28" s="30"/>
      <c r="J28" s="30">
        <v>27500.0</v>
      </c>
      <c r="K28" s="23"/>
      <c r="L28" s="22"/>
      <c r="M28" s="25"/>
      <c r="N28" s="22"/>
      <c r="O28" s="22"/>
      <c r="P28" s="26">
        <v>27500.0</v>
      </c>
      <c r="Q28" s="118">
        <f t="shared" si="1"/>
        <v>0</v>
      </c>
      <c r="R28" s="26" t="s">
        <v>33</v>
      </c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45652.0</v>
      </c>
      <c r="C29" s="18" t="s">
        <v>1255</v>
      </c>
      <c r="D29" s="19">
        <v>59244.0</v>
      </c>
      <c r="E29" s="20" t="s">
        <v>50</v>
      </c>
      <c r="F29" s="30"/>
      <c r="G29" s="22"/>
      <c r="H29" s="25"/>
      <c r="I29" s="30"/>
      <c r="J29" s="30">
        <v>2400.0</v>
      </c>
      <c r="K29" s="23"/>
      <c r="L29" s="22"/>
      <c r="M29" s="25"/>
      <c r="N29" s="22"/>
      <c r="O29" s="22"/>
      <c r="P29" s="26">
        <v>2400.0</v>
      </c>
      <c r="Q29" s="118">
        <f t="shared" si="1"/>
        <v>0</v>
      </c>
      <c r="R29" s="26" t="s">
        <v>33</v>
      </c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83">
        <v>26.0</v>
      </c>
      <c r="B30" s="29">
        <v>45652.0</v>
      </c>
      <c r="C30" s="18" t="s">
        <v>1256</v>
      </c>
      <c r="D30" s="19">
        <v>59244.0</v>
      </c>
      <c r="E30" s="20" t="s">
        <v>50</v>
      </c>
      <c r="F30" s="30"/>
      <c r="G30" s="22"/>
      <c r="H30" s="25"/>
      <c r="I30" s="30">
        <v>1450.0</v>
      </c>
      <c r="J30" s="30"/>
      <c r="K30" s="23"/>
      <c r="L30" s="22"/>
      <c r="M30" s="25"/>
      <c r="N30" s="22"/>
      <c r="O30" s="22"/>
      <c r="P30" s="26">
        <v>1450.0</v>
      </c>
      <c r="Q30" s="118">
        <f t="shared" si="1"/>
        <v>0</v>
      </c>
      <c r="R30" s="26" t="s">
        <v>33</v>
      </c>
      <c r="S30" s="2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83">
        <v>27.0</v>
      </c>
      <c r="B31" s="29">
        <v>45651.0</v>
      </c>
      <c r="C31" s="18" t="s">
        <v>1257</v>
      </c>
      <c r="D31" s="19">
        <v>50595.0</v>
      </c>
      <c r="E31" s="20" t="s">
        <v>123</v>
      </c>
      <c r="F31" s="30"/>
      <c r="G31" s="22"/>
      <c r="H31" s="25">
        <v>10000.0</v>
      </c>
      <c r="I31" s="30"/>
      <c r="J31" s="30"/>
      <c r="K31" s="23"/>
      <c r="L31" s="22"/>
      <c r="M31" s="25"/>
      <c r="N31" s="22"/>
      <c r="O31" s="22"/>
      <c r="P31" s="26">
        <v>10000.0</v>
      </c>
      <c r="Q31" s="118">
        <f t="shared" si="1"/>
        <v>0</v>
      </c>
      <c r="R31" s="26"/>
      <c r="S31" s="2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83">
        <v>28.0</v>
      </c>
      <c r="B32" s="29">
        <v>45652.0</v>
      </c>
      <c r="C32" s="18" t="s">
        <v>1258</v>
      </c>
      <c r="D32" s="19">
        <v>21828.0</v>
      </c>
      <c r="E32" s="20" t="s">
        <v>104</v>
      </c>
      <c r="F32" s="30"/>
      <c r="G32" s="25"/>
      <c r="H32" s="25">
        <v>9150.0</v>
      </c>
      <c r="I32" s="30"/>
      <c r="J32" s="30"/>
      <c r="K32" s="23"/>
      <c r="L32" s="22"/>
      <c r="M32" s="25"/>
      <c r="N32" s="22"/>
      <c r="O32" s="22"/>
      <c r="P32" s="26">
        <v>9150.0</v>
      </c>
      <c r="Q32" s="118">
        <f t="shared" si="1"/>
        <v>0</v>
      </c>
      <c r="R32" s="26"/>
      <c r="S32" s="2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83">
        <v>29.0</v>
      </c>
      <c r="B33" s="29">
        <v>45652.0</v>
      </c>
      <c r="C33" s="18" t="s">
        <v>1259</v>
      </c>
      <c r="D33" s="19">
        <v>50148.0</v>
      </c>
      <c r="E33" s="20" t="s">
        <v>284</v>
      </c>
      <c r="F33" s="30"/>
      <c r="G33" s="22"/>
      <c r="H33" s="25"/>
      <c r="I33" s="30"/>
      <c r="J33" s="30"/>
      <c r="K33" s="23">
        <v>10000.0</v>
      </c>
      <c r="L33" s="22"/>
      <c r="M33" s="25"/>
      <c r="N33" s="22"/>
      <c r="O33" s="22"/>
      <c r="P33" s="26">
        <v>10000.0</v>
      </c>
      <c r="Q33" s="118">
        <f t="shared" si="1"/>
        <v>0</v>
      </c>
      <c r="R33" s="26"/>
      <c r="S33" s="2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83">
        <v>30.0</v>
      </c>
      <c r="B34" s="29">
        <v>45652.0</v>
      </c>
      <c r="C34" s="18" t="s">
        <v>1260</v>
      </c>
      <c r="D34" s="19">
        <v>85172.0</v>
      </c>
      <c r="E34" s="20" t="s">
        <v>1261</v>
      </c>
      <c r="F34" s="30"/>
      <c r="G34" s="22"/>
      <c r="H34" s="25"/>
      <c r="I34" s="30"/>
      <c r="J34" s="30"/>
      <c r="K34" s="23"/>
      <c r="L34" s="22"/>
      <c r="M34" s="25">
        <v>4500.0</v>
      </c>
      <c r="N34" s="22"/>
      <c r="O34" s="22"/>
      <c r="P34" s="26">
        <v>4500.0</v>
      </c>
      <c r="Q34" s="118">
        <f t="shared" si="1"/>
        <v>0</v>
      </c>
      <c r="R34" s="26"/>
      <c r="S34" s="2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83"/>
      <c r="B35" s="29"/>
      <c r="C35" s="18"/>
      <c r="D35" s="19"/>
      <c r="E35" s="20"/>
      <c r="F35" s="21"/>
      <c r="G35" s="22"/>
      <c r="H35" s="25"/>
      <c r="I35" s="30"/>
      <c r="J35" s="30"/>
      <c r="K35" s="24"/>
      <c r="L35" s="22"/>
      <c r="M35" s="25"/>
      <c r="N35" s="22"/>
      <c r="O35" s="25"/>
      <c r="P35" s="26"/>
      <c r="Q35" s="118"/>
      <c r="R35" s="26"/>
      <c r="S35" s="2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7.5" customHeight="1">
      <c r="A36" s="16"/>
      <c r="B36" s="64"/>
      <c r="C36" s="65"/>
      <c r="D36" s="66" t="s">
        <v>135</v>
      </c>
      <c r="E36" s="67"/>
      <c r="F36" s="68">
        <f t="shared" ref="F36:Q36" si="2">SUM(F5:F35)</f>
        <v>0</v>
      </c>
      <c r="G36" s="68">
        <f t="shared" si="2"/>
        <v>0</v>
      </c>
      <c r="H36" s="68">
        <f t="shared" si="2"/>
        <v>19150</v>
      </c>
      <c r="I36" s="68">
        <f t="shared" si="2"/>
        <v>120400</v>
      </c>
      <c r="J36" s="68">
        <f t="shared" si="2"/>
        <v>63050</v>
      </c>
      <c r="K36" s="68">
        <f t="shared" si="2"/>
        <v>20000</v>
      </c>
      <c r="L36" s="68">
        <f t="shared" si="2"/>
        <v>0</v>
      </c>
      <c r="M36" s="68">
        <f t="shared" si="2"/>
        <v>4500</v>
      </c>
      <c r="N36" s="68">
        <f t="shared" si="2"/>
        <v>0</v>
      </c>
      <c r="O36" s="68">
        <f t="shared" si="2"/>
        <v>0</v>
      </c>
      <c r="P36" s="68">
        <f t="shared" si="2"/>
        <v>227100</v>
      </c>
      <c r="Q36" s="68">
        <f t="shared" si="2"/>
        <v>0</v>
      </c>
      <c r="R36" s="69"/>
      <c r="S36" s="28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58.5" customHeight="1">
      <c r="A37" s="70"/>
      <c r="B37" s="70"/>
      <c r="C37" s="71"/>
      <c r="D37" s="70"/>
      <c r="E37" s="70"/>
      <c r="F37" s="72">
        <f>F36+G36+H36+I36+J36+K36+L36+M36+N36+O36</f>
        <v>227100</v>
      </c>
      <c r="P37" s="73"/>
      <c r="Q37" s="73"/>
      <c r="R37" s="70"/>
      <c r="S37" s="70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ht="15.75" customHeight="1">
      <c r="A38" s="4"/>
      <c r="B38" s="4"/>
      <c r="C38" s="7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5" t="s">
        <v>135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82" t="s">
        <v>229</v>
      </c>
      <c r="D41" s="4"/>
      <c r="E41" s="76" t="s">
        <v>136</v>
      </c>
      <c r="F41" s="77" t="s">
        <v>137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138</v>
      </c>
      <c r="F42" s="77" t="s">
        <v>139</v>
      </c>
      <c r="G42" s="4"/>
      <c r="H42" s="4"/>
      <c r="I42" s="4"/>
      <c r="J42" s="4"/>
      <c r="K42" s="4"/>
      <c r="L42" s="4"/>
      <c r="M42" s="4"/>
      <c r="N42" s="4"/>
      <c r="O42" s="79" t="s">
        <v>135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78" t="s">
        <v>140</v>
      </c>
      <c r="F43" s="77" t="s">
        <v>139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78" t="s">
        <v>141</v>
      </c>
      <c r="F44" s="77" t="s">
        <v>139</v>
      </c>
      <c r="G44" s="4"/>
      <c r="H44" s="4"/>
      <c r="I44" s="4"/>
      <c r="J44" s="4"/>
      <c r="K44" s="4" t="s">
        <v>135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74"/>
      <c r="D45" s="4"/>
      <c r="E45" s="78" t="s">
        <v>142</v>
      </c>
      <c r="F45" s="77" t="s">
        <v>139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74"/>
      <c r="D46" s="4"/>
      <c r="E46" s="78" t="s">
        <v>1262</v>
      </c>
      <c r="F46" s="77" t="s">
        <v>139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74"/>
      <c r="D47" s="4"/>
      <c r="E47" s="78" t="s">
        <v>145</v>
      </c>
      <c r="F47" s="77" t="s">
        <v>146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74"/>
      <c r="D48" s="4"/>
      <c r="E48" s="78" t="s">
        <v>147</v>
      </c>
      <c r="F48" s="80" t="s">
        <v>137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79" t="s">
        <v>135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 t="str">
        <f>I72436</f>
        <v/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79" t="s">
        <v>148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>
        <v>7.0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7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7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7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7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7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">
    <mergeCell ref="R2:R4"/>
    <mergeCell ref="S2:S4"/>
    <mergeCell ref="F3:F4"/>
    <mergeCell ref="G3:H3"/>
    <mergeCell ref="I3:J3"/>
    <mergeCell ref="K3:K4"/>
    <mergeCell ref="F37:O3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45653.0</v>
      </c>
      <c r="C5" s="18" t="s">
        <v>1264</v>
      </c>
      <c r="D5" s="19">
        <v>80700.0</v>
      </c>
      <c r="E5" s="20" t="s">
        <v>909</v>
      </c>
      <c r="F5" s="30"/>
      <c r="G5" s="22"/>
      <c r="H5" s="30"/>
      <c r="I5" s="23"/>
      <c r="J5" s="23">
        <v>10000.0</v>
      </c>
      <c r="K5" s="25"/>
      <c r="L5" s="25"/>
      <c r="M5" s="30"/>
      <c r="N5" s="22"/>
      <c r="O5" s="22"/>
      <c r="P5" s="26">
        <v>10000.0</v>
      </c>
      <c r="Q5" s="118">
        <f t="shared" ref="Q5:Q29" si="1">F5+G5+H5+I5+J5+K5+L5+M5+N5+O5-P5</f>
        <v>0</v>
      </c>
      <c r="R5" s="26" t="s">
        <v>30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45653.0</v>
      </c>
      <c r="C6" s="18" t="s">
        <v>1265</v>
      </c>
      <c r="D6" s="19">
        <v>59531.0</v>
      </c>
      <c r="E6" s="20" t="s">
        <v>1266</v>
      </c>
      <c r="F6" s="30"/>
      <c r="G6" s="25"/>
      <c r="H6" s="30"/>
      <c r="I6" s="23">
        <v>10000.0</v>
      </c>
      <c r="J6" s="23"/>
      <c r="K6" s="25"/>
      <c r="L6" s="25"/>
      <c r="M6" s="30"/>
      <c r="N6" s="22"/>
      <c r="O6" s="22"/>
      <c r="P6" s="26">
        <v>10000.0</v>
      </c>
      <c r="Q6" s="118">
        <f t="shared" si="1"/>
        <v>0</v>
      </c>
      <c r="R6" s="26" t="s">
        <v>30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45653.0</v>
      </c>
      <c r="C7" s="18" t="s">
        <v>1267</v>
      </c>
      <c r="D7" s="19">
        <v>68268.0</v>
      </c>
      <c r="E7" s="20" t="s">
        <v>1268</v>
      </c>
      <c r="F7" s="21"/>
      <c r="G7" s="22"/>
      <c r="H7" s="30"/>
      <c r="I7" s="23">
        <v>4642.0</v>
      </c>
      <c r="J7" s="23"/>
      <c r="K7" s="25">
        <v>458.0</v>
      </c>
      <c r="L7" s="25"/>
      <c r="M7" s="30"/>
      <c r="N7" s="22"/>
      <c r="O7" s="22"/>
      <c r="P7" s="26">
        <v>5100.0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45653.0</v>
      </c>
      <c r="C8" s="18" t="s">
        <v>1269</v>
      </c>
      <c r="D8" s="19">
        <v>27880.0</v>
      </c>
      <c r="E8" s="20" t="s">
        <v>816</v>
      </c>
      <c r="F8" s="30"/>
      <c r="G8" s="25"/>
      <c r="H8" s="30">
        <v>6250.0</v>
      </c>
      <c r="I8" s="23"/>
      <c r="J8" s="23"/>
      <c r="K8" s="25"/>
      <c r="L8" s="25"/>
      <c r="M8" s="30"/>
      <c r="N8" s="22"/>
      <c r="O8" s="22"/>
      <c r="P8" s="26">
        <v>6250.0</v>
      </c>
      <c r="Q8" s="118">
        <f t="shared" si="1"/>
        <v>0</v>
      </c>
      <c r="R8" s="26" t="s">
        <v>48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45653.0</v>
      </c>
      <c r="C9" s="18" t="s">
        <v>1270</v>
      </c>
      <c r="D9" s="19">
        <v>84036.0</v>
      </c>
      <c r="E9" s="20" t="s">
        <v>871</v>
      </c>
      <c r="F9" s="21"/>
      <c r="G9" s="25"/>
      <c r="H9" s="25"/>
      <c r="I9" s="30">
        <v>5100.0</v>
      </c>
      <c r="J9" s="25"/>
      <c r="K9" s="25"/>
      <c r="L9" s="22"/>
      <c r="M9" s="30"/>
      <c r="N9" s="22"/>
      <c r="O9" s="22"/>
      <c r="P9" s="26">
        <v>5100.0</v>
      </c>
      <c r="Q9" s="118">
        <f t="shared" si="1"/>
        <v>0</v>
      </c>
      <c r="R9" s="26" t="s">
        <v>30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45653.0</v>
      </c>
      <c r="C10" s="18" t="s">
        <v>1271</v>
      </c>
      <c r="D10" s="19">
        <v>44149.0</v>
      </c>
      <c r="E10" s="20" t="s">
        <v>705</v>
      </c>
      <c r="F10" s="22"/>
      <c r="G10" s="25"/>
      <c r="H10" s="30"/>
      <c r="I10" s="30">
        <v>2600.0</v>
      </c>
      <c r="J10" s="23"/>
      <c r="K10" s="25"/>
      <c r="L10" s="22"/>
      <c r="M10" s="25"/>
      <c r="N10" s="22"/>
      <c r="O10" s="22"/>
      <c r="P10" s="26">
        <v>2600.0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45653.0</v>
      </c>
      <c r="C11" s="18" t="s">
        <v>1272</v>
      </c>
      <c r="D11" s="19">
        <v>84859.0</v>
      </c>
      <c r="E11" s="20" t="s">
        <v>702</v>
      </c>
      <c r="F11" s="22"/>
      <c r="G11" s="22"/>
      <c r="H11" s="25"/>
      <c r="I11" s="30"/>
      <c r="J11" s="30"/>
      <c r="K11" s="25"/>
      <c r="L11" s="22"/>
      <c r="M11" s="30">
        <v>3150.0</v>
      </c>
      <c r="N11" s="22"/>
      <c r="O11" s="22"/>
      <c r="P11" s="26">
        <v>3150.0</v>
      </c>
      <c r="Q11" s="118">
        <f t="shared" si="1"/>
        <v>0</v>
      </c>
      <c r="R11" s="26" t="s">
        <v>33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45653.0</v>
      </c>
      <c r="C12" s="107" t="s">
        <v>1273</v>
      </c>
      <c r="D12" s="108">
        <v>85016.0</v>
      </c>
      <c r="E12" s="109" t="s">
        <v>1274</v>
      </c>
      <c r="F12" s="110"/>
      <c r="G12" s="115"/>
      <c r="H12" s="115"/>
      <c r="I12" s="111"/>
      <c r="J12" s="111"/>
      <c r="K12" s="115"/>
      <c r="L12" s="110"/>
      <c r="M12" s="111">
        <v>1200.0</v>
      </c>
      <c r="N12" s="110"/>
      <c r="O12" s="110"/>
      <c r="P12" s="113">
        <v>1200.0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45653.0</v>
      </c>
      <c r="C13" s="18" t="s">
        <v>1275</v>
      </c>
      <c r="D13" s="19">
        <v>45227.0</v>
      </c>
      <c r="E13" s="20" t="s">
        <v>188</v>
      </c>
      <c r="F13" s="22"/>
      <c r="G13" s="25"/>
      <c r="H13" s="25"/>
      <c r="I13" s="30">
        <v>2850.0</v>
      </c>
      <c r="J13" s="30"/>
      <c r="K13" s="25"/>
      <c r="L13" s="22"/>
      <c r="M13" s="30"/>
      <c r="N13" s="22"/>
      <c r="O13" s="22"/>
      <c r="P13" s="26">
        <v>2850.0</v>
      </c>
      <c r="Q13" s="118">
        <f t="shared" si="1"/>
        <v>0</v>
      </c>
      <c r="R13" s="26" t="s">
        <v>48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45653.0</v>
      </c>
      <c r="C14" s="18" t="s">
        <v>1276</v>
      </c>
      <c r="D14" s="19">
        <v>77107.0</v>
      </c>
      <c r="E14" s="20" t="s">
        <v>1277</v>
      </c>
      <c r="F14" s="22"/>
      <c r="G14" s="22"/>
      <c r="H14" s="25"/>
      <c r="I14" s="30"/>
      <c r="J14" s="30">
        <v>5100.0</v>
      </c>
      <c r="K14" s="22"/>
      <c r="L14" s="22"/>
      <c r="M14" s="21"/>
      <c r="N14" s="22"/>
      <c r="O14" s="22"/>
      <c r="P14" s="26">
        <v>5100.0</v>
      </c>
      <c r="Q14" s="118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45653.0</v>
      </c>
      <c r="C15" s="33" t="s">
        <v>1278</v>
      </c>
      <c r="D15" s="34">
        <v>47787.0</v>
      </c>
      <c r="E15" s="35" t="s">
        <v>274</v>
      </c>
      <c r="F15" s="22"/>
      <c r="G15" s="22"/>
      <c r="H15" s="25"/>
      <c r="I15" s="30">
        <v>2500.0</v>
      </c>
      <c r="J15" s="30"/>
      <c r="K15" s="25"/>
      <c r="L15" s="22"/>
      <c r="M15" s="30"/>
      <c r="N15" s="22"/>
      <c r="O15" s="22"/>
      <c r="P15" s="36">
        <v>2500.0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45653.0</v>
      </c>
      <c r="C16" s="33" t="s">
        <v>1279</v>
      </c>
      <c r="D16" s="34">
        <v>52374.0</v>
      </c>
      <c r="E16" s="35" t="s">
        <v>1280</v>
      </c>
      <c r="F16" s="25"/>
      <c r="G16" s="22"/>
      <c r="H16" s="25"/>
      <c r="I16" s="30">
        <v>2600.0</v>
      </c>
      <c r="J16" s="30"/>
      <c r="K16" s="25"/>
      <c r="L16" s="22"/>
      <c r="M16" s="21"/>
      <c r="N16" s="22"/>
      <c r="O16" s="22"/>
      <c r="P16" s="36">
        <v>2600.0</v>
      </c>
      <c r="Q16" s="118">
        <f t="shared" si="1"/>
        <v>0</v>
      </c>
      <c r="R16" s="36" t="s">
        <v>30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45653.0</v>
      </c>
      <c r="C17" s="18" t="s">
        <v>1281</v>
      </c>
      <c r="D17" s="19">
        <v>24114.0</v>
      </c>
      <c r="E17" s="20" t="s">
        <v>1282</v>
      </c>
      <c r="F17" s="30">
        <v>3600.0</v>
      </c>
      <c r="G17" s="22"/>
      <c r="H17" s="25"/>
      <c r="I17" s="30"/>
      <c r="J17" s="30"/>
      <c r="K17" s="24"/>
      <c r="L17" s="22"/>
      <c r="M17" s="25"/>
      <c r="N17" s="22"/>
      <c r="O17" s="22"/>
      <c r="P17" s="26">
        <v>3600.0</v>
      </c>
      <c r="Q17" s="118">
        <f t="shared" si="1"/>
        <v>0</v>
      </c>
      <c r="R17" s="26" t="s">
        <v>33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45653.0</v>
      </c>
      <c r="C18" s="18" t="s">
        <v>1283</v>
      </c>
      <c r="D18" s="19">
        <v>85714.0</v>
      </c>
      <c r="E18" s="20" t="s">
        <v>1284</v>
      </c>
      <c r="F18" s="30">
        <v>300.0</v>
      </c>
      <c r="G18" s="22"/>
      <c r="H18" s="25"/>
      <c r="I18" s="30"/>
      <c r="J18" s="30"/>
      <c r="K18" s="24"/>
      <c r="L18" s="22"/>
      <c r="M18" s="25"/>
      <c r="N18" s="22"/>
      <c r="O18" s="22"/>
      <c r="P18" s="26">
        <v>300.0</v>
      </c>
      <c r="Q18" s="118">
        <f t="shared" si="1"/>
        <v>0</v>
      </c>
      <c r="R18" s="26" t="s">
        <v>48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45653.0</v>
      </c>
      <c r="C19" s="18" t="s">
        <v>1285</v>
      </c>
      <c r="D19" s="19">
        <v>55106.0</v>
      </c>
      <c r="E19" s="20" t="s">
        <v>1286</v>
      </c>
      <c r="F19" s="30"/>
      <c r="G19" s="25"/>
      <c r="H19" s="25"/>
      <c r="I19" s="30">
        <v>5100.0</v>
      </c>
      <c r="J19" s="30"/>
      <c r="K19" s="24"/>
      <c r="L19" s="22"/>
      <c r="M19" s="25"/>
      <c r="N19" s="22"/>
      <c r="O19" s="22"/>
      <c r="P19" s="26">
        <v>5100.0</v>
      </c>
      <c r="Q19" s="118">
        <f t="shared" si="1"/>
        <v>0</v>
      </c>
      <c r="R19" s="26" t="s">
        <v>48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45653.0</v>
      </c>
      <c r="C20" s="18" t="s">
        <v>1287</v>
      </c>
      <c r="D20" s="19">
        <v>85719.0</v>
      </c>
      <c r="E20" s="20" t="s">
        <v>1288</v>
      </c>
      <c r="F20" s="30">
        <v>300.0</v>
      </c>
      <c r="G20" s="22"/>
      <c r="H20" s="25"/>
      <c r="I20" s="30"/>
      <c r="J20" s="30"/>
      <c r="K20" s="24"/>
      <c r="L20" s="22"/>
      <c r="M20" s="25"/>
      <c r="N20" s="22"/>
      <c r="O20" s="22"/>
      <c r="P20" s="26">
        <v>300.0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45653.0</v>
      </c>
      <c r="C21" s="18" t="s">
        <v>1289</v>
      </c>
      <c r="D21" s="19">
        <v>85717.0</v>
      </c>
      <c r="E21" s="20" t="s">
        <v>1290</v>
      </c>
      <c r="F21" s="30">
        <v>300.0</v>
      </c>
      <c r="G21" s="22"/>
      <c r="H21" s="25"/>
      <c r="I21" s="30"/>
      <c r="J21" s="30"/>
      <c r="K21" s="23"/>
      <c r="L21" s="22"/>
      <c r="M21" s="25"/>
      <c r="N21" s="22"/>
      <c r="O21" s="22"/>
      <c r="P21" s="26">
        <v>300.0</v>
      </c>
      <c r="Q21" s="118">
        <f t="shared" si="1"/>
        <v>0</v>
      </c>
      <c r="R21" s="26" t="s">
        <v>30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45653.0</v>
      </c>
      <c r="C22" s="18" t="s">
        <v>1291</v>
      </c>
      <c r="D22" s="19">
        <v>85726.0</v>
      </c>
      <c r="E22" s="20" t="s">
        <v>1292</v>
      </c>
      <c r="F22" s="30"/>
      <c r="G22" s="22"/>
      <c r="H22" s="25"/>
      <c r="I22" s="30"/>
      <c r="J22" s="30">
        <v>300.0</v>
      </c>
      <c r="K22" s="23"/>
      <c r="L22" s="22"/>
      <c r="M22" s="25"/>
      <c r="N22" s="22"/>
      <c r="O22" s="22"/>
      <c r="P22" s="26">
        <v>300.0</v>
      </c>
      <c r="Q22" s="118">
        <f t="shared" si="1"/>
        <v>0</v>
      </c>
      <c r="R22" s="26" t="s">
        <v>30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45653.0</v>
      </c>
      <c r="C23" s="18" t="s">
        <v>1293</v>
      </c>
      <c r="D23" s="19">
        <v>85727.0</v>
      </c>
      <c r="E23" s="20" t="s">
        <v>1294</v>
      </c>
      <c r="F23" s="30"/>
      <c r="G23" s="25"/>
      <c r="H23" s="25"/>
      <c r="I23" s="30"/>
      <c r="J23" s="30">
        <v>300.0</v>
      </c>
      <c r="K23" s="23"/>
      <c r="L23" s="22"/>
      <c r="M23" s="25"/>
      <c r="N23" s="22"/>
      <c r="O23" s="22"/>
      <c r="P23" s="26">
        <v>300.0</v>
      </c>
      <c r="Q23" s="118">
        <f t="shared" si="1"/>
        <v>0</v>
      </c>
      <c r="R23" s="26" t="s">
        <v>30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45653.0</v>
      </c>
      <c r="C24" s="18" t="s">
        <v>1295</v>
      </c>
      <c r="D24" s="19">
        <v>50436.0</v>
      </c>
      <c r="E24" s="20" t="s">
        <v>78</v>
      </c>
      <c r="F24" s="30"/>
      <c r="G24" s="22"/>
      <c r="H24" s="25"/>
      <c r="I24" s="30">
        <v>10000.0</v>
      </c>
      <c r="J24" s="30"/>
      <c r="K24" s="24"/>
      <c r="L24" s="22"/>
      <c r="M24" s="25"/>
      <c r="N24" s="22"/>
      <c r="O24" s="22"/>
      <c r="P24" s="26">
        <v>10000.0</v>
      </c>
      <c r="Q24" s="118">
        <f t="shared" si="1"/>
        <v>0</v>
      </c>
      <c r="R24" s="26" t="s">
        <v>33</v>
      </c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45653.0</v>
      </c>
      <c r="C25" s="18" t="s">
        <v>1296</v>
      </c>
      <c r="D25" s="19">
        <v>25541.0</v>
      </c>
      <c r="E25" s="20" t="s">
        <v>375</v>
      </c>
      <c r="F25" s="30"/>
      <c r="G25" s="22"/>
      <c r="H25" s="25">
        <v>4500.0</v>
      </c>
      <c r="I25" s="30"/>
      <c r="J25" s="30"/>
      <c r="K25" s="23"/>
      <c r="L25" s="22"/>
      <c r="M25" s="25"/>
      <c r="N25" s="22"/>
      <c r="O25" s="22"/>
      <c r="P25" s="26">
        <v>4500.0</v>
      </c>
      <c r="Q25" s="118">
        <f t="shared" si="1"/>
        <v>0</v>
      </c>
      <c r="R25" s="26"/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45653.0</v>
      </c>
      <c r="C26" s="18" t="s">
        <v>1297</v>
      </c>
      <c r="D26" s="19">
        <v>10006.0</v>
      </c>
      <c r="E26" s="20" t="s">
        <v>332</v>
      </c>
      <c r="F26" s="30"/>
      <c r="G26" s="22"/>
      <c r="H26" s="25">
        <v>7500.0</v>
      </c>
      <c r="I26" s="30"/>
      <c r="J26" s="30"/>
      <c r="K26" s="23"/>
      <c r="L26" s="22"/>
      <c r="M26" s="25"/>
      <c r="N26" s="22"/>
      <c r="O26" s="22"/>
      <c r="P26" s="26">
        <v>7500.0</v>
      </c>
      <c r="Q26" s="118">
        <f t="shared" si="1"/>
        <v>0</v>
      </c>
      <c r="R26" s="26"/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45653.0</v>
      </c>
      <c r="C27" s="18" t="s">
        <v>1298</v>
      </c>
      <c r="D27" s="19">
        <v>85711.0</v>
      </c>
      <c r="E27" s="20" t="s">
        <v>1299</v>
      </c>
      <c r="F27" s="30"/>
      <c r="G27" s="22"/>
      <c r="H27" s="25"/>
      <c r="I27" s="30"/>
      <c r="J27" s="30"/>
      <c r="K27" s="23">
        <v>2600.0</v>
      </c>
      <c r="L27" s="22"/>
      <c r="M27" s="25"/>
      <c r="N27" s="22"/>
      <c r="O27" s="22"/>
      <c r="P27" s="26">
        <v>2600.0</v>
      </c>
      <c r="Q27" s="118">
        <f t="shared" si="1"/>
        <v>0</v>
      </c>
      <c r="R27" s="26"/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45653.0</v>
      </c>
      <c r="C28" s="18" t="s">
        <v>1300</v>
      </c>
      <c r="D28" s="19">
        <v>85711.0</v>
      </c>
      <c r="E28" s="20" t="s">
        <v>1299</v>
      </c>
      <c r="F28" s="30"/>
      <c r="G28" s="22"/>
      <c r="H28" s="25"/>
      <c r="I28" s="30"/>
      <c r="J28" s="30"/>
      <c r="K28" s="23">
        <v>4400.0</v>
      </c>
      <c r="L28" s="22"/>
      <c r="M28" s="25"/>
      <c r="N28" s="22"/>
      <c r="O28" s="22"/>
      <c r="P28" s="26">
        <v>4400.0</v>
      </c>
      <c r="Q28" s="118">
        <f t="shared" si="1"/>
        <v>0</v>
      </c>
      <c r="R28" s="26"/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>
        <v>25.0</v>
      </c>
      <c r="B29" s="29">
        <v>45653.0</v>
      </c>
      <c r="C29" s="18" t="s">
        <v>1301</v>
      </c>
      <c r="D29" s="19">
        <v>49953.0</v>
      </c>
      <c r="E29" s="20" t="s">
        <v>1302</v>
      </c>
      <c r="F29" s="30"/>
      <c r="G29" s="22"/>
      <c r="H29" s="25">
        <v>5000.0</v>
      </c>
      <c r="I29" s="30"/>
      <c r="J29" s="30"/>
      <c r="K29" s="23"/>
      <c r="L29" s="22"/>
      <c r="M29" s="25"/>
      <c r="N29" s="22"/>
      <c r="O29" s="22"/>
      <c r="P29" s="26">
        <v>5000.0</v>
      </c>
      <c r="Q29" s="118">
        <f t="shared" si="1"/>
        <v>0</v>
      </c>
      <c r="R29" s="26"/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7.5" customHeight="1">
      <c r="A30" s="16"/>
      <c r="B30" s="64"/>
      <c r="C30" s="65"/>
      <c r="D30" s="66" t="s">
        <v>135</v>
      </c>
      <c r="E30" s="67"/>
      <c r="F30" s="68">
        <f t="shared" ref="F30:Q30" si="2">SUM(F5:F29)</f>
        <v>4500</v>
      </c>
      <c r="G30" s="68">
        <f t="shared" si="2"/>
        <v>0</v>
      </c>
      <c r="H30" s="68">
        <f t="shared" si="2"/>
        <v>23250</v>
      </c>
      <c r="I30" s="68">
        <f t="shared" si="2"/>
        <v>45392</v>
      </c>
      <c r="J30" s="68">
        <f t="shared" si="2"/>
        <v>15700</v>
      </c>
      <c r="K30" s="68">
        <f t="shared" si="2"/>
        <v>7458</v>
      </c>
      <c r="L30" s="68">
        <f t="shared" si="2"/>
        <v>0</v>
      </c>
      <c r="M30" s="68">
        <f t="shared" si="2"/>
        <v>4350</v>
      </c>
      <c r="N30" s="68">
        <f t="shared" si="2"/>
        <v>0</v>
      </c>
      <c r="O30" s="68">
        <f t="shared" si="2"/>
        <v>0</v>
      </c>
      <c r="P30" s="68">
        <f t="shared" si="2"/>
        <v>100650</v>
      </c>
      <c r="Q30" s="68">
        <f t="shared" si="2"/>
        <v>0</v>
      </c>
      <c r="R30" s="69"/>
      <c r="S30" s="28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58.5" customHeight="1">
      <c r="A31" s="70"/>
      <c r="B31" s="70"/>
      <c r="C31" s="71"/>
      <c r="D31" s="70"/>
      <c r="E31" s="70"/>
      <c r="F31" s="72">
        <f>F30+G30+H30+I30+J30+K30+L30+M30+N30+O30</f>
        <v>100650</v>
      </c>
      <c r="P31" s="73"/>
      <c r="Q31" s="73"/>
      <c r="R31" s="70"/>
      <c r="S31" s="70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15.75" customHeight="1">
      <c r="A32" s="4"/>
      <c r="B32" s="4"/>
      <c r="C32" s="7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7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5" t="s">
        <v>135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82" t="s">
        <v>229</v>
      </c>
      <c r="D35" s="4"/>
      <c r="E35" s="76" t="s">
        <v>136</v>
      </c>
      <c r="F35" s="77" t="s">
        <v>137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4"/>
      <c r="D36" s="4"/>
      <c r="E36" s="78" t="s">
        <v>138</v>
      </c>
      <c r="F36" s="77" t="s">
        <v>230</v>
      </c>
      <c r="G36" s="4"/>
      <c r="H36" s="4"/>
      <c r="I36" s="4"/>
      <c r="J36" s="4"/>
      <c r="K36" s="4"/>
      <c r="L36" s="4"/>
      <c r="M36" s="4"/>
      <c r="N36" s="4"/>
      <c r="O36" s="79" t="s">
        <v>135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140</v>
      </c>
      <c r="F37" s="77" t="s">
        <v>139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141</v>
      </c>
      <c r="F38" s="77" t="s">
        <v>139</v>
      </c>
      <c r="G38" s="4"/>
      <c r="H38" s="4"/>
      <c r="I38" s="4"/>
      <c r="J38" s="4"/>
      <c r="K38" s="4" t="s">
        <v>135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142</v>
      </c>
      <c r="F39" s="77" t="s">
        <v>230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1303</v>
      </c>
      <c r="F40" s="77" t="s">
        <v>139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78" t="s">
        <v>145</v>
      </c>
      <c r="F41" s="77" t="s">
        <v>146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147</v>
      </c>
      <c r="F42" s="80" t="s">
        <v>137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79" t="s">
        <v>135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 t="str">
        <f>I72430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79" t="s">
        <v>148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7">
    <mergeCell ref="R2:R4"/>
    <mergeCell ref="S2:S4"/>
    <mergeCell ref="F3:F4"/>
    <mergeCell ref="G3:H3"/>
    <mergeCell ref="I3:J3"/>
    <mergeCell ref="K3:K4"/>
    <mergeCell ref="F31:O3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45654.0</v>
      </c>
      <c r="C5" s="18" t="s">
        <v>1304</v>
      </c>
      <c r="D5" s="19">
        <v>30509.0</v>
      </c>
      <c r="E5" s="20" t="s">
        <v>1305</v>
      </c>
      <c r="F5" s="30">
        <v>570.0</v>
      </c>
      <c r="G5" s="22"/>
      <c r="H5" s="30"/>
      <c r="I5" s="23"/>
      <c r="J5" s="23"/>
      <c r="K5" s="25"/>
      <c r="L5" s="25"/>
      <c r="M5" s="30"/>
      <c r="N5" s="22"/>
      <c r="O5" s="22"/>
      <c r="P5" s="26">
        <v>570.0</v>
      </c>
      <c r="Q5" s="118">
        <f t="shared" ref="Q5:Q29" si="1">F5+G5+H5+I5+J5+K5+L5+M5+N5+O5-P5</f>
        <v>0</v>
      </c>
      <c r="R5" s="26" t="s">
        <v>48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45654.0</v>
      </c>
      <c r="C6" s="18" t="s">
        <v>1306</v>
      </c>
      <c r="D6" s="19">
        <v>77621.0</v>
      </c>
      <c r="E6" s="20" t="s">
        <v>1307</v>
      </c>
      <c r="F6" s="30"/>
      <c r="G6" s="25"/>
      <c r="H6" s="30"/>
      <c r="I6" s="23"/>
      <c r="J6" s="23">
        <v>5100.0</v>
      </c>
      <c r="K6" s="25"/>
      <c r="L6" s="25"/>
      <c r="M6" s="30"/>
      <c r="N6" s="22"/>
      <c r="O6" s="22"/>
      <c r="P6" s="26">
        <v>5100.0</v>
      </c>
      <c r="Q6" s="118">
        <f t="shared" si="1"/>
        <v>0</v>
      </c>
      <c r="R6" s="26" t="s">
        <v>25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45654.0</v>
      </c>
      <c r="C7" s="18" t="s">
        <v>1308</v>
      </c>
      <c r="D7" s="19">
        <v>78295.0</v>
      </c>
      <c r="E7" s="20" t="s">
        <v>1309</v>
      </c>
      <c r="F7" s="21"/>
      <c r="G7" s="22"/>
      <c r="H7" s="30"/>
      <c r="I7" s="23">
        <v>5100.0</v>
      </c>
      <c r="J7" s="23"/>
      <c r="K7" s="25"/>
      <c r="L7" s="25"/>
      <c r="M7" s="30"/>
      <c r="N7" s="22"/>
      <c r="O7" s="22"/>
      <c r="P7" s="26">
        <v>5100.0</v>
      </c>
      <c r="Q7" s="118">
        <f t="shared" si="1"/>
        <v>0</v>
      </c>
      <c r="R7" s="26" t="s">
        <v>30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45654.0</v>
      </c>
      <c r="C8" s="18" t="s">
        <v>1310</v>
      </c>
      <c r="D8" s="19">
        <v>50596.0</v>
      </c>
      <c r="E8" s="20" t="s">
        <v>293</v>
      </c>
      <c r="F8" s="30"/>
      <c r="G8" s="25"/>
      <c r="H8" s="30"/>
      <c r="I8" s="23">
        <v>2950.0</v>
      </c>
      <c r="J8" s="23"/>
      <c r="K8" s="25"/>
      <c r="L8" s="25"/>
      <c r="M8" s="30"/>
      <c r="N8" s="22"/>
      <c r="O8" s="22"/>
      <c r="P8" s="26">
        <v>2950.0</v>
      </c>
      <c r="Q8" s="118">
        <f t="shared" si="1"/>
        <v>0</v>
      </c>
      <c r="R8" s="26" t="s">
        <v>30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45654.0</v>
      </c>
      <c r="C9" s="18" t="s">
        <v>1311</v>
      </c>
      <c r="D9" s="19">
        <v>30894.0</v>
      </c>
      <c r="E9" s="20" t="s">
        <v>98</v>
      </c>
      <c r="F9" s="21"/>
      <c r="G9" s="25"/>
      <c r="H9" s="25"/>
      <c r="I9" s="30">
        <v>4500.0</v>
      </c>
      <c r="J9" s="25"/>
      <c r="K9" s="25"/>
      <c r="L9" s="22"/>
      <c r="M9" s="30"/>
      <c r="N9" s="22"/>
      <c r="O9" s="22"/>
      <c r="P9" s="26">
        <v>4500.0</v>
      </c>
      <c r="Q9" s="118">
        <f t="shared" si="1"/>
        <v>0</v>
      </c>
      <c r="R9" s="26" t="s">
        <v>48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45654.0</v>
      </c>
      <c r="C10" s="18" t="s">
        <v>1312</v>
      </c>
      <c r="D10" s="19">
        <v>43112.0</v>
      </c>
      <c r="E10" s="20" t="s">
        <v>242</v>
      </c>
      <c r="F10" s="22"/>
      <c r="G10" s="25"/>
      <c r="H10" s="30"/>
      <c r="I10" s="30"/>
      <c r="J10" s="23">
        <v>2600.0</v>
      </c>
      <c r="K10" s="25"/>
      <c r="L10" s="22"/>
      <c r="M10" s="25"/>
      <c r="N10" s="22"/>
      <c r="O10" s="22"/>
      <c r="P10" s="26">
        <v>2600.0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45654.0</v>
      </c>
      <c r="C11" s="18" t="s">
        <v>1313</v>
      </c>
      <c r="D11" s="19">
        <v>81108.0</v>
      </c>
      <c r="E11" s="20" t="s">
        <v>246</v>
      </c>
      <c r="F11" s="22"/>
      <c r="G11" s="22"/>
      <c r="H11" s="25"/>
      <c r="I11" s="30">
        <v>9500.0</v>
      </c>
      <c r="J11" s="30"/>
      <c r="K11" s="25"/>
      <c r="L11" s="22"/>
      <c r="M11" s="30"/>
      <c r="N11" s="22"/>
      <c r="O11" s="22"/>
      <c r="P11" s="26">
        <v>9500.0</v>
      </c>
      <c r="Q11" s="118">
        <f t="shared" si="1"/>
        <v>0</v>
      </c>
      <c r="R11" s="26" t="s">
        <v>30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45654.0</v>
      </c>
      <c r="C12" s="107" t="s">
        <v>1314</v>
      </c>
      <c r="D12" s="108">
        <v>52373.0</v>
      </c>
      <c r="E12" s="109" t="s">
        <v>370</v>
      </c>
      <c r="F12" s="110"/>
      <c r="G12" s="115"/>
      <c r="H12" s="115"/>
      <c r="I12" s="111"/>
      <c r="J12" s="111">
        <v>10000.0</v>
      </c>
      <c r="K12" s="115"/>
      <c r="L12" s="110"/>
      <c r="M12" s="111"/>
      <c r="N12" s="110"/>
      <c r="O12" s="110"/>
      <c r="P12" s="113">
        <v>10000.0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45654.0</v>
      </c>
      <c r="C13" s="18" t="s">
        <v>1315</v>
      </c>
      <c r="D13" s="19">
        <v>51970.0</v>
      </c>
      <c r="E13" s="20" t="s">
        <v>66</v>
      </c>
      <c r="F13" s="22"/>
      <c r="G13" s="25"/>
      <c r="H13" s="25"/>
      <c r="I13" s="30">
        <v>2600.0</v>
      </c>
      <c r="J13" s="30"/>
      <c r="K13" s="25"/>
      <c r="L13" s="22"/>
      <c r="M13" s="30"/>
      <c r="N13" s="22"/>
      <c r="O13" s="22"/>
      <c r="P13" s="26">
        <v>2600.0</v>
      </c>
      <c r="Q13" s="118">
        <f t="shared" si="1"/>
        <v>0</v>
      </c>
      <c r="R13" s="26" t="s">
        <v>25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45654.0</v>
      </c>
      <c r="C14" s="18" t="s">
        <v>1316</v>
      </c>
      <c r="D14" s="19">
        <v>19688.0</v>
      </c>
      <c r="E14" s="20" t="s">
        <v>260</v>
      </c>
      <c r="F14" s="22"/>
      <c r="G14" s="22"/>
      <c r="H14" s="25"/>
      <c r="I14" s="30"/>
      <c r="J14" s="30">
        <v>3900.0</v>
      </c>
      <c r="K14" s="22"/>
      <c r="L14" s="22"/>
      <c r="M14" s="21"/>
      <c r="N14" s="22"/>
      <c r="O14" s="22"/>
      <c r="P14" s="26">
        <v>3900.0</v>
      </c>
      <c r="Q14" s="118">
        <f t="shared" si="1"/>
        <v>0</v>
      </c>
      <c r="R14" s="26" t="s">
        <v>25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45654.0</v>
      </c>
      <c r="C15" s="33" t="s">
        <v>1317</v>
      </c>
      <c r="D15" s="34">
        <v>22332.0</v>
      </c>
      <c r="E15" s="35" t="s">
        <v>60</v>
      </c>
      <c r="F15" s="22"/>
      <c r="G15" s="25"/>
      <c r="H15" s="25"/>
      <c r="I15" s="30">
        <v>5100.0</v>
      </c>
      <c r="J15" s="30"/>
      <c r="K15" s="25"/>
      <c r="L15" s="22"/>
      <c r="M15" s="30"/>
      <c r="N15" s="22"/>
      <c r="O15" s="22"/>
      <c r="P15" s="36">
        <v>5100.0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45654.0</v>
      </c>
      <c r="C16" s="33" t="s">
        <v>1318</v>
      </c>
      <c r="D16" s="34">
        <v>23257.0</v>
      </c>
      <c r="E16" s="35" t="s">
        <v>1319</v>
      </c>
      <c r="F16" s="25"/>
      <c r="G16" s="25">
        <v>18000.0</v>
      </c>
      <c r="H16" s="25"/>
      <c r="I16" s="30"/>
      <c r="J16" s="30"/>
      <c r="K16" s="25"/>
      <c r="L16" s="22"/>
      <c r="M16" s="21"/>
      <c r="N16" s="22"/>
      <c r="O16" s="22"/>
      <c r="P16" s="36">
        <v>18000.0</v>
      </c>
      <c r="Q16" s="118">
        <f t="shared" si="1"/>
        <v>0</v>
      </c>
      <c r="R16" s="36" t="s">
        <v>48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45654.0</v>
      </c>
      <c r="C17" s="18" t="s">
        <v>1320</v>
      </c>
      <c r="D17" s="19">
        <v>69620.0</v>
      </c>
      <c r="E17" s="20" t="s">
        <v>1109</v>
      </c>
      <c r="F17" s="30"/>
      <c r="G17" s="22"/>
      <c r="H17" s="25"/>
      <c r="I17" s="30"/>
      <c r="J17" s="30">
        <v>5011.0</v>
      </c>
      <c r="K17" s="23">
        <v>989.0</v>
      </c>
      <c r="L17" s="22"/>
      <c r="M17" s="25"/>
      <c r="N17" s="22"/>
      <c r="O17" s="22"/>
      <c r="P17" s="26">
        <v>6000.0</v>
      </c>
      <c r="Q17" s="118">
        <f t="shared" si="1"/>
        <v>0</v>
      </c>
      <c r="R17" s="26" t="s">
        <v>48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45654.0</v>
      </c>
      <c r="C18" s="18" t="s">
        <v>1321</v>
      </c>
      <c r="D18" s="19">
        <v>35245.0</v>
      </c>
      <c r="E18" s="20" t="s">
        <v>517</v>
      </c>
      <c r="F18" s="30"/>
      <c r="G18" s="25"/>
      <c r="H18" s="25">
        <v>24500.0</v>
      </c>
      <c r="I18" s="30">
        <v>500.0</v>
      </c>
      <c r="J18" s="30"/>
      <c r="K18" s="24"/>
      <c r="L18" s="22"/>
      <c r="M18" s="25"/>
      <c r="N18" s="22"/>
      <c r="O18" s="22"/>
      <c r="P18" s="26">
        <v>25000.0</v>
      </c>
      <c r="Q18" s="118">
        <f t="shared" si="1"/>
        <v>0</v>
      </c>
      <c r="R18" s="26" t="s">
        <v>48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45654.0</v>
      </c>
      <c r="C19" s="18" t="s">
        <v>1322</v>
      </c>
      <c r="D19" s="19">
        <v>42046.0</v>
      </c>
      <c r="E19" s="20" t="s">
        <v>407</v>
      </c>
      <c r="F19" s="30"/>
      <c r="G19" s="25"/>
      <c r="H19" s="25"/>
      <c r="I19" s="30">
        <v>1000.0</v>
      </c>
      <c r="J19" s="30"/>
      <c r="K19" s="24"/>
      <c r="L19" s="22"/>
      <c r="M19" s="25"/>
      <c r="N19" s="22"/>
      <c r="O19" s="22"/>
      <c r="P19" s="26">
        <v>1000.0</v>
      </c>
      <c r="Q19" s="118">
        <f t="shared" si="1"/>
        <v>0</v>
      </c>
      <c r="R19" s="26" t="s">
        <v>48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45654.0</v>
      </c>
      <c r="C20" s="18" t="s">
        <v>1323</v>
      </c>
      <c r="D20" s="19">
        <v>67621.0</v>
      </c>
      <c r="E20" s="20" t="s">
        <v>416</v>
      </c>
      <c r="F20" s="30"/>
      <c r="G20" s="22"/>
      <c r="H20" s="25"/>
      <c r="I20" s="30">
        <v>5000.0</v>
      </c>
      <c r="J20" s="30"/>
      <c r="K20" s="24"/>
      <c r="L20" s="22"/>
      <c r="M20" s="25"/>
      <c r="N20" s="22"/>
      <c r="O20" s="22"/>
      <c r="P20" s="26">
        <v>5000.0</v>
      </c>
      <c r="Q20" s="118">
        <f t="shared" si="1"/>
        <v>0</v>
      </c>
      <c r="R20" s="26" t="s">
        <v>48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45654.0</v>
      </c>
      <c r="C21" s="18" t="s">
        <v>1324</v>
      </c>
      <c r="D21" s="19">
        <v>47787.0</v>
      </c>
      <c r="E21" s="20" t="s">
        <v>274</v>
      </c>
      <c r="F21" s="30"/>
      <c r="G21" s="22"/>
      <c r="H21" s="25"/>
      <c r="I21" s="30">
        <v>200.0</v>
      </c>
      <c r="J21" s="30"/>
      <c r="K21" s="23"/>
      <c r="L21" s="22"/>
      <c r="M21" s="25"/>
      <c r="N21" s="22"/>
      <c r="O21" s="22"/>
      <c r="P21" s="26">
        <v>200.0</v>
      </c>
      <c r="Q21" s="118">
        <f t="shared" si="1"/>
        <v>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45654.0</v>
      </c>
      <c r="C22" s="18" t="s">
        <v>1325</v>
      </c>
      <c r="D22" s="19">
        <v>52083.0</v>
      </c>
      <c r="E22" s="20" t="s">
        <v>93</v>
      </c>
      <c r="F22" s="30"/>
      <c r="G22" s="22"/>
      <c r="H22" s="25"/>
      <c r="I22" s="30">
        <v>2500.0</v>
      </c>
      <c r="J22" s="30"/>
      <c r="K22" s="23"/>
      <c r="L22" s="22"/>
      <c r="M22" s="25"/>
      <c r="N22" s="22"/>
      <c r="O22" s="22"/>
      <c r="P22" s="26">
        <v>2500.0</v>
      </c>
      <c r="Q22" s="118">
        <f t="shared" si="1"/>
        <v>0</v>
      </c>
      <c r="R22" s="26" t="s">
        <v>25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45653.0</v>
      </c>
      <c r="C23" s="18" t="s">
        <v>1326</v>
      </c>
      <c r="D23" s="19">
        <v>51017.0</v>
      </c>
      <c r="E23" s="20" t="s">
        <v>335</v>
      </c>
      <c r="F23" s="30"/>
      <c r="G23" s="25"/>
      <c r="H23" s="25">
        <v>10000.0</v>
      </c>
      <c r="I23" s="30"/>
      <c r="J23" s="30"/>
      <c r="K23" s="23"/>
      <c r="L23" s="22"/>
      <c r="M23" s="25"/>
      <c r="N23" s="22"/>
      <c r="O23" s="22"/>
      <c r="P23" s="26">
        <v>10000.0</v>
      </c>
      <c r="Q23" s="118">
        <f t="shared" si="1"/>
        <v>0</v>
      </c>
      <c r="R23" s="26"/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45654.0</v>
      </c>
      <c r="C24" s="18" t="s">
        <v>1327</v>
      </c>
      <c r="D24" s="19">
        <v>72839.0</v>
      </c>
      <c r="E24" s="20" t="s">
        <v>389</v>
      </c>
      <c r="F24" s="30"/>
      <c r="G24" s="22"/>
      <c r="H24" s="25">
        <v>600.0</v>
      </c>
      <c r="I24" s="30"/>
      <c r="J24" s="30"/>
      <c r="K24" s="24"/>
      <c r="L24" s="22"/>
      <c r="M24" s="25"/>
      <c r="N24" s="22"/>
      <c r="O24" s="22"/>
      <c r="P24" s="26">
        <v>600.0</v>
      </c>
      <c r="Q24" s="118">
        <f t="shared" si="1"/>
        <v>0</v>
      </c>
      <c r="R24" s="26"/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45654.0</v>
      </c>
      <c r="C25" s="18" t="s">
        <v>1328</v>
      </c>
      <c r="D25" s="19">
        <v>72839.0</v>
      </c>
      <c r="E25" s="20" t="s">
        <v>389</v>
      </c>
      <c r="F25" s="30"/>
      <c r="G25" s="22"/>
      <c r="H25" s="25">
        <v>5000.0</v>
      </c>
      <c r="I25" s="30"/>
      <c r="J25" s="30"/>
      <c r="K25" s="23"/>
      <c r="L25" s="22"/>
      <c r="M25" s="25"/>
      <c r="N25" s="22"/>
      <c r="O25" s="22"/>
      <c r="P25" s="26">
        <v>5000.0</v>
      </c>
      <c r="Q25" s="118">
        <f t="shared" si="1"/>
        <v>0</v>
      </c>
      <c r="R25" s="26"/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45654.0</v>
      </c>
      <c r="C26" s="18" t="s">
        <v>1329</v>
      </c>
      <c r="D26" s="19">
        <v>72839.0</v>
      </c>
      <c r="E26" s="20" t="s">
        <v>389</v>
      </c>
      <c r="F26" s="30"/>
      <c r="G26" s="22"/>
      <c r="H26" s="25">
        <v>20000.0</v>
      </c>
      <c r="I26" s="30"/>
      <c r="J26" s="30"/>
      <c r="K26" s="23"/>
      <c r="L26" s="22"/>
      <c r="M26" s="25"/>
      <c r="N26" s="22"/>
      <c r="O26" s="22"/>
      <c r="P26" s="26">
        <v>20000.0</v>
      </c>
      <c r="Q26" s="118">
        <f t="shared" si="1"/>
        <v>0</v>
      </c>
      <c r="R26" s="26"/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29">
        <v>45654.0</v>
      </c>
      <c r="C27" s="18" t="s">
        <v>1330</v>
      </c>
      <c r="D27" s="19">
        <v>85738.0</v>
      </c>
      <c r="E27" s="20" t="s">
        <v>1331</v>
      </c>
      <c r="F27" s="30"/>
      <c r="G27" s="22"/>
      <c r="H27" s="25"/>
      <c r="I27" s="30"/>
      <c r="J27" s="30"/>
      <c r="K27" s="23">
        <v>7300.0</v>
      </c>
      <c r="L27" s="22"/>
      <c r="M27" s="25"/>
      <c r="N27" s="22"/>
      <c r="O27" s="22"/>
      <c r="P27" s="26">
        <v>7300.0</v>
      </c>
      <c r="Q27" s="118">
        <f t="shared" si="1"/>
        <v>0</v>
      </c>
      <c r="R27" s="26"/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29">
        <v>45654.0</v>
      </c>
      <c r="C28" s="18" t="s">
        <v>1332</v>
      </c>
      <c r="D28" s="19">
        <v>57328.0</v>
      </c>
      <c r="E28" s="20" t="s">
        <v>577</v>
      </c>
      <c r="F28" s="30"/>
      <c r="G28" s="22"/>
      <c r="H28" s="25">
        <v>2950.0</v>
      </c>
      <c r="I28" s="30"/>
      <c r="J28" s="30"/>
      <c r="K28" s="23"/>
      <c r="L28" s="22"/>
      <c r="M28" s="25"/>
      <c r="N28" s="22"/>
      <c r="O28" s="22"/>
      <c r="P28" s="26">
        <v>2950.0</v>
      </c>
      <c r="Q28" s="118">
        <f t="shared" si="1"/>
        <v>0</v>
      </c>
      <c r="R28" s="26"/>
      <c r="S28" s="2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83"/>
      <c r="B29" s="29"/>
      <c r="C29" s="18"/>
      <c r="D29" s="19"/>
      <c r="E29" s="20"/>
      <c r="F29" s="30"/>
      <c r="G29" s="22"/>
      <c r="H29" s="25"/>
      <c r="I29" s="30"/>
      <c r="J29" s="30"/>
      <c r="K29" s="23"/>
      <c r="L29" s="22"/>
      <c r="M29" s="25"/>
      <c r="N29" s="22"/>
      <c r="O29" s="22"/>
      <c r="P29" s="26"/>
      <c r="Q29" s="118">
        <f t="shared" si="1"/>
        <v>0</v>
      </c>
      <c r="R29" s="26"/>
      <c r="S29" s="2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7.5" customHeight="1">
      <c r="A30" s="16"/>
      <c r="B30" s="64"/>
      <c r="C30" s="65"/>
      <c r="D30" s="66" t="s">
        <v>135</v>
      </c>
      <c r="E30" s="67"/>
      <c r="F30" s="68">
        <f t="shared" ref="F30:Q30" si="2">SUM(F5:F29)</f>
        <v>570</v>
      </c>
      <c r="G30" s="68">
        <f t="shared" si="2"/>
        <v>18000</v>
      </c>
      <c r="H30" s="68">
        <f t="shared" si="2"/>
        <v>63050</v>
      </c>
      <c r="I30" s="68">
        <f t="shared" si="2"/>
        <v>38950</v>
      </c>
      <c r="J30" s="68">
        <f t="shared" si="2"/>
        <v>26611</v>
      </c>
      <c r="K30" s="68">
        <f t="shared" si="2"/>
        <v>8289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155470</v>
      </c>
      <c r="Q30" s="68">
        <f t="shared" si="2"/>
        <v>0</v>
      </c>
      <c r="R30" s="69"/>
      <c r="S30" s="28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58.5" customHeight="1">
      <c r="A31" s="70"/>
      <c r="B31" s="70"/>
      <c r="C31" s="71"/>
      <c r="D31" s="70"/>
      <c r="E31" s="70"/>
      <c r="F31" s="72">
        <f>F30+G30+H30+I30+J30+K30+L30+M30+N30+O30</f>
        <v>155470</v>
      </c>
      <c r="P31" s="73"/>
      <c r="Q31" s="73"/>
      <c r="R31" s="70"/>
      <c r="S31" s="70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15.75" customHeight="1">
      <c r="A32" s="4"/>
      <c r="B32" s="4"/>
      <c r="C32" s="7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7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5" t="s">
        <v>135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82" t="s">
        <v>229</v>
      </c>
      <c r="D35" s="4"/>
      <c r="E35" s="76" t="s">
        <v>136</v>
      </c>
      <c r="F35" s="77" t="s">
        <v>137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4"/>
      <c r="D36" s="4"/>
      <c r="E36" s="78" t="s">
        <v>138</v>
      </c>
      <c r="F36" s="77" t="s">
        <v>230</v>
      </c>
      <c r="G36" s="4"/>
      <c r="H36" s="4"/>
      <c r="I36" s="4"/>
      <c r="J36" s="4"/>
      <c r="K36" s="4"/>
      <c r="L36" s="4"/>
      <c r="M36" s="4"/>
      <c r="N36" s="4"/>
      <c r="O36" s="79" t="s">
        <v>135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140</v>
      </c>
      <c r="F37" s="77" t="s">
        <v>146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141</v>
      </c>
      <c r="F38" s="77" t="s">
        <v>230</v>
      </c>
      <c r="G38" s="4"/>
      <c r="H38" s="4"/>
      <c r="I38" s="4"/>
      <c r="J38" s="4"/>
      <c r="K38" s="4" t="s">
        <v>135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142</v>
      </c>
      <c r="F39" s="77" t="s">
        <v>230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1333</v>
      </c>
      <c r="F40" s="77" t="s">
        <v>230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78" t="s">
        <v>145</v>
      </c>
      <c r="F41" s="77" t="s">
        <v>1334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78" t="s">
        <v>147</v>
      </c>
      <c r="F42" s="80" t="s">
        <v>137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79" t="s">
        <v>135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 t="str">
        <f>I72430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79" t="s">
        <v>148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7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7">
    <mergeCell ref="R2:R4"/>
    <mergeCell ref="S2:S4"/>
    <mergeCell ref="F3:F4"/>
    <mergeCell ref="G3:H3"/>
    <mergeCell ref="I3:J3"/>
    <mergeCell ref="K3:K4"/>
    <mergeCell ref="F31:O3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7.1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9.88"/>
    <col customWidth="1" min="19" max="19" width="24.63"/>
  </cols>
  <sheetData>
    <row r="1" ht="69.0" customHeight="1">
      <c r="A1" s="1" t="s">
        <v>1335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20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17">
        <v>45654.0</v>
      </c>
      <c r="C5" s="18" t="s">
        <v>1336</v>
      </c>
      <c r="D5" s="19">
        <v>10008.0</v>
      </c>
      <c r="E5" s="20" t="s">
        <v>151</v>
      </c>
      <c r="F5" s="30"/>
      <c r="G5" s="25">
        <v>5150.0</v>
      </c>
      <c r="H5" s="30"/>
      <c r="I5" s="23"/>
      <c r="J5" s="23"/>
      <c r="K5" s="25"/>
      <c r="L5" s="25"/>
      <c r="M5" s="30"/>
      <c r="N5" s="22"/>
      <c r="O5" s="22"/>
      <c r="P5" s="26">
        <v>5150.0</v>
      </c>
      <c r="Q5" s="118">
        <f t="shared" ref="Q5:Q27" si="1">F5+G5+H5+I5+J5+K5+L5+M5+N5+O5-P5</f>
        <v>0</v>
      </c>
      <c r="R5" s="26" t="s">
        <v>25</v>
      </c>
      <c r="S5" s="6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83">
        <v>2.0</v>
      </c>
      <c r="B6" s="17">
        <v>45654.0</v>
      </c>
      <c r="C6" s="18" t="s">
        <v>1337</v>
      </c>
      <c r="D6" s="19">
        <v>85562.0</v>
      </c>
      <c r="E6" s="20" t="s">
        <v>991</v>
      </c>
      <c r="F6" s="30"/>
      <c r="G6" s="25"/>
      <c r="H6" s="30"/>
      <c r="I6" s="23"/>
      <c r="J6" s="23"/>
      <c r="K6" s="25"/>
      <c r="L6" s="25"/>
      <c r="M6" s="30">
        <v>1000.0</v>
      </c>
      <c r="N6" s="22"/>
      <c r="O6" s="22"/>
      <c r="P6" s="26">
        <v>1000.0</v>
      </c>
      <c r="Q6" s="118">
        <f t="shared" si="1"/>
        <v>0</v>
      </c>
      <c r="R6" s="26" t="s">
        <v>25</v>
      </c>
      <c r="S6" s="6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83">
        <v>3.0</v>
      </c>
      <c r="B7" s="17">
        <v>45655.0</v>
      </c>
      <c r="C7" s="18" t="s">
        <v>1338</v>
      </c>
      <c r="D7" s="19">
        <v>51040.0</v>
      </c>
      <c r="E7" s="20" t="s">
        <v>420</v>
      </c>
      <c r="F7" s="21"/>
      <c r="G7" s="22"/>
      <c r="H7" s="30"/>
      <c r="I7" s="23"/>
      <c r="J7" s="23"/>
      <c r="K7" s="25">
        <v>2600.0</v>
      </c>
      <c r="L7" s="25"/>
      <c r="M7" s="30"/>
      <c r="N7" s="22"/>
      <c r="O7" s="22"/>
      <c r="P7" s="26">
        <v>2600.0</v>
      </c>
      <c r="Q7" s="118">
        <f t="shared" si="1"/>
        <v>0</v>
      </c>
      <c r="R7" s="26" t="s">
        <v>48</v>
      </c>
      <c r="S7" s="6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83">
        <v>4.0</v>
      </c>
      <c r="B8" s="17">
        <v>45655.0</v>
      </c>
      <c r="C8" s="18" t="s">
        <v>1339</v>
      </c>
      <c r="D8" s="19">
        <v>85762.0</v>
      </c>
      <c r="E8" s="20" t="s">
        <v>1340</v>
      </c>
      <c r="F8" s="30"/>
      <c r="G8" s="25"/>
      <c r="H8" s="30"/>
      <c r="I8" s="23"/>
      <c r="J8" s="23">
        <v>300.0</v>
      </c>
      <c r="K8" s="25"/>
      <c r="L8" s="25"/>
      <c r="M8" s="30"/>
      <c r="N8" s="22"/>
      <c r="O8" s="22"/>
      <c r="P8" s="26">
        <v>300.0</v>
      </c>
      <c r="Q8" s="118">
        <f t="shared" si="1"/>
        <v>0</v>
      </c>
      <c r="R8" s="26" t="s">
        <v>25</v>
      </c>
      <c r="S8" s="2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83">
        <v>5.0</v>
      </c>
      <c r="B9" s="29">
        <v>45655.0</v>
      </c>
      <c r="C9" s="18" t="s">
        <v>1341</v>
      </c>
      <c r="D9" s="19">
        <v>22341.0</v>
      </c>
      <c r="E9" s="20" t="s">
        <v>24</v>
      </c>
      <c r="F9" s="21"/>
      <c r="G9" s="25"/>
      <c r="H9" s="25"/>
      <c r="I9" s="30">
        <v>5100.0</v>
      </c>
      <c r="J9" s="25"/>
      <c r="K9" s="25"/>
      <c r="L9" s="22"/>
      <c r="M9" s="30"/>
      <c r="N9" s="22"/>
      <c r="O9" s="22"/>
      <c r="P9" s="26">
        <v>5100.0</v>
      </c>
      <c r="Q9" s="118">
        <f t="shared" si="1"/>
        <v>0</v>
      </c>
      <c r="R9" s="26" t="s">
        <v>25</v>
      </c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83">
        <v>6.0</v>
      </c>
      <c r="B10" s="29">
        <v>45655.0</v>
      </c>
      <c r="C10" s="18" t="s">
        <v>1342</v>
      </c>
      <c r="D10" s="19">
        <v>13133.0</v>
      </c>
      <c r="E10" s="20" t="s">
        <v>368</v>
      </c>
      <c r="F10" s="22"/>
      <c r="G10" s="25"/>
      <c r="H10" s="30"/>
      <c r="I10" s="30"/>
      <c r="J10" s="23">
        <v>10000.0</v>
      </c>
      <c r="K10" s="25"/>
      <c r="L10" s="22"/>
      <c r="M10" s="25"/>
      <c r="N10" s="22"/>
      <c r="O10" s="22"/>
      <c r="P10" s="26">
        <v>10000.0</v>
      </c>
      <c r="Q10" s="118">
        <f t="shared" si="1"/>
        <v>0</v>
      </c>
      <c r="R10" s="26" t="s">
        <v>30</v>
      </c>
      <c r="S10" s="28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83">
        <v>7.0</v>
      </c>
      <c r="B11" s="29">
        <v>45655.0</v>
      </c>
      <c r="C11" s="18" t="s">
        <v>1343</v>
      </c>
      <c r="D11" s="19">
        <v>10249.0</v>
      </c>
      <c r="E11" s="20" t="s">
        <v>251</v>
      </c>
      <c r="F11" s="22"/>
      <c r="G11" s="22"/>
      <c r="H11" s="25"/>
      <c r="I11" s="30"/>
      <c r="J11" s="30">
        <v>7350.0</v>
      </c>
      <c r="K11" s="25"/>
      <c r="L11" s="22"/>
      <c r="M11" s="30"/>
      <c r="N11" s="22"/>
      <c r="O11" s="22"/>
      <c r="P11" s="26">
        <v>7350.0</v>
      </c>
      <c r="Q11" s="118">
        <f t="shared" si="1"/>
        <v>0</v>
      </c>
      <c r="R11" s="26" t="s">
        <v>33</v>
      </c>
      <c r="S11" s="28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83">
        <v>8.0</v>
      </c>
      <c r="B12" s="106">
        <v>45655.0</v>
      </c>
      <c r="C12" s="107" t="s">
        <v>1344</v>
      </c>
      <c r="D12" s="108">
        <v>53249.0</v>
      </c>
      <c r="E12" s="109" t="s">
        <v>54</v>
      </c>
      <c r="F12" s="110"/>
      <c r="G12" s="115"/>
      <c r="H12" s="115"/>
      <c r="I12" s="111"/>
      <c r="J12" s="111">
        <v>15000.0</v>
      </c>
      <c r="K12" s="115"/>
      <c r="L12" s="110"/>
      <c r="M12" s="111"/>
      <c r="N12" s="110"/>
      <c r="O12" s="110"/>
      <c r="P12" s="113">
        <v>15000.0</v>
      </c>
      <c r="Q12" s="118">
        <f t="shared" si="1"/>
        <v>0</v>
      </c>
      <c r="R12" s="113" t="s">
        <v>30</v>
      </c>
      <c r="S12" s="31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29">
        <v>45655.0</v>
      </c>
      <c r="C13" s="18" t="s">
        <v>1345</v>
      </c>
      <c r="D13" s="19">
        <v>37642.0</v>
      </c>
      <c r="E13" s="20" t="s">
        <v>339</v>
      </c>
      <c r="F13" s="22"/>
      <c r="G13" s="25"/>
      <c r="H13" s="25"/>
      <c r="I13" s="30"/>
      <c r="J13" s="30"/>
      <c r="K13" s="25">
        <v>10000.0</v>
      </c>
      <c r="L13" s="22"/>
      <c r="M13" s="30"/>
      <c r="N13" s="22"/>
      <c r="O13" s="22"/>
      <c r="P13" s="26">
        <v>10000.0</v>
      </c>
      <c r="Q13" s="118">
        <f t="shared" si="1"/>
        <v>0</v>
      </c>
      <c r="R13" s="26" t="s">
        <v>33</v>
      </c>
      <c r="S13" s="28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29">
        <v>45655.0</v>
      </c>
      <c r="C14" s="18" t="s">
        <v>1346</v>
      </c>
      <c r="D14" s="19">
        <v>10701.0</v>
      </c>
      <c r="E14" s="20" t="s">
        <v>1347</v>
      </c>
      <c r="F14" s="22"/>
      <c r="G14" s="22"/>
      <c r="H14" s="25"/>
      <c r="I14" s="30">
        <v>3700.0</v>
      </c>
      <c r="J14" s="30"/>
      <c r="K14" s="22"/>
      <c r="L14" s="22"/>
      <c r="M14" s="21"/>
      <c r="N14" s="22"/>
      <c r="O14" s="22"/>
      <c r="P14" s="26">
        <v>3700.0</v>
      </c>
      <c r="Q14" s="118">
        <f t="shared" si="1"/>
        <v>0</v>
      </c>
      <c r="R14" s="26" t="s">
        <v>30</v>
      </c>
      <c r="S14" s="28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32">
        <v>45655.0</v>
      </c>
      <c r="C15" s="33" t="s">
        <v>1348</v>
      </c>
      <c r="D15" s="34">
        <v>50871.0</v>
      </c>
      <c r="E15" s="35" t="s">
        <v>1349</v>
      </c>
      <c r="F15" s="22"/>
      <c r="G15" s="25"/>
      <c r="H15" s="25"/>
      <c r="I15" s="30">
        <v>5000.0</v>
      </c>
      <c r="J15" s="30"/>
      <c r="K15" s="25"/>
      <c r="L15" s="22"/>
      <c r="M15" s="30"/>
      <c r="N15" s="22"/>
      <c r="O15" s="22"/>
      <c r="P15" s="36">
        <v>5000.0</v>
      </c>
      <c r="Q15" s="118">
        <f t="shared" si="1"/>
        <v>0</v>
      </c>
      <c r="R15" s="36" t="s">
        <v>30</v>
      </c>
      <c r="S15" s="81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34.5" customHeight="1">
      <c r="A16" s="83">
        <v>12.0</v>
      </c>
      <c r="B16" s="32">
        <v>45655.0</v>
      </c>
      <c r="C16" s="33" t="s">
        <v>1350</v>
      </c>
      <c r="D16" s="34">
        <v>70567.0</v>
      </c>
      <c r="E16" s="35" t="s">
        <v>1351</v>
      </c>
      <c r="F16" s="25"/>
      <c r="G16" s="25"/>
      <c r="H16" s="25"/>
      <c r="I16" s="30">
        <v>5100.0</v>
      </c>
      <c r="J16" s="30"/>
      <c r="K16" s="25"/>
      <c r="L16" s="22"/>
      <c r="M16" s="21"/>
      <c r="N16" s="22"/>
      <c r="O16" s="22"/>
      <c r="P16" s="36">
        <v>5100.0</v>
      </c>
      <c r="Q16" s="118">
        <f t="shared" si="1"/>
        <v>0</v>
      </c>
      <c r="R16" s="36" t="s">
        <v>25</v>
      </c>
      <c r="S16" s="81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34.5" customHeight="1">
      <c r="A17" s="83">
        <v>13.0</v>
      </c>
      <c r="B17" s="29">
        <v>45655.0</v>
      </c>
      <c r="C17" s="18" t="s">
        <v>1352</v>
      </c>
      <c r="D17" s="19">
        <v>50568.0</v>
      </c>
      <c r="E17" s="20" t="s">
        <v>1353</v>
      </c>
      <c r="F17" s="30"/>
      <c r="G17" s="22"/>
      <c r="H17" s="25"/>
      <c r="I17" s="30"/>
      <c r="J17" s="30"/>
      <c r="K17" s="23">
        <v>5000.0</v>
      </c>
      <c r="L17" s="22"/>
      <c r="M17" s="25"/>
      <c r="N17" s="22"/>
      <c r="O17" s="22"/>
      <c r="P17" s="26">
        <v>5000.0</v>
      </c>
      <c r="Q17" s="118">
        <f t="shared" si="1"/>
        <v>0</v>
      </c>
      <c r="R17" s="26" t="s">
        <v>48</v>
      </c>
      <c r="S17" s="28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29">
        <v>45655.0</v>
      </c>
      <c r="C18" s="18" t="s">
        <v>1354</v>
      </c>
      <c r="D18" s="19">
        <v>82767.0</v>
      </c>
      <c r="E18" s="20" t="s">
        <v>1355</v>
      </c>
      <c r="F18" s="30"/>
      <c r="G18" s="25"/>
      <c r="H18" s="25"/>
      <c r="I18" s="30">
        <v>4600.0</v>
      </c>
      <c r="J18" s="30"/>
      <c r="K18" s="24"/>
      <c r="L18" s="22"/>
      <c r="M18" s="25"/>
      <c r="N18" s="22"/>
      <c r="O18" s="22"/>
      <c r="P18" s="26">
        <v>4600.0</v>
      </c>
      <c r="Q18" s="118">
        <f t="shared" si="1"/>
        <v>0</v>
      </c>
      <c r="R18" s="26" t="s">
        <v>25</v>
      </c>
      <c r="S18" s="2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83">
        <v>15.0</v>
      </c>
      <c r="B19" s="29">
        <v>45655.0</v>
      </c>
      <c r="C19" s="18" t="s">
        <v>1356</v>
      </c>
      <c r="D19" s="19">
        <v>19688.0</v>
      </c>
      <c r="E19" s="20" t="s">
        <v>260</v>
      </c>
      <c r="F19" s="30"/>
      <c r="G19" s="25"/>
      <c r="H19" s="25"/>
      <c r="I19" s="30"/>
      <c r="J19" s="30">
        <v>2600.0</v>
      </c>
      <c r="K19" s="24"/>
      <c r="L19" s="22"/>
      <c r="M19" s="25"/>
      <c r="N19" s="22"/>
      <c r="O19" s="22"/>
      <c r="P19" s="26">
        <v>2600.0</v>
      </c>
      <c r="Q19" s="118">
        <f t="shared" si="1"/>
        <v>0</v>
      </c>
      <c r="R19" s="26" t="s">
        <v>25</v>
      </c>
      <c r="S19" s="28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29">
        <v>45655.0</v>
      </c>
      <c r="C20" s="18" t="s">
        <v>1357</v>
      </c>
      <c r="D20" s="19">
        <v>15837.0</v>
      </c>
      <c r="E20" s="20" t="s">
        <v>183</v>
      </c>
      <c r="F20" s="30"/>
      <c r="G20" s="25">
        <v>4500.0</v>
      </c>
      <c r="H20" s="25"/>
      <c r="I20" s="30"/>
      <c r="J20" s="30"/>
      <c r="K20" s="24"/>
      <c r="L20" s="22"/>
      <c r="M20" s="25"/>
      <c r="N20" s="22"/>
      <c r="O20" s="22"/>
      <c r="P20" s="26">
        <v>4500.0</v>
      </c>
      <c r="Q20" s="118">
        <f t="shared" si="1"/>
        <v>0</v>
      </c>
      <c r="R20" s="26" t="s">
        <v>30</v>
      </c>
      <c r="S20" s="2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29">
        <v>45655.0</v>
      </c>
      <c r="C21" s="18" t="s">
        <v>1358</v>
      </c>
      <c r="D21" s="19">
        <v>22727.0</v>
      </c>
      <c r="E21" s="20" t="s">
        <v>1359</v>
      </c>
      <c r="F21" s="30"/>
      <c r="G21" s="22"/>
      <c r="H21" s="25"/>
      <c r="I21" s="30">
        <v>1200.0</v>
      </c>
      <c r="J21" s="30"/>
      <c r="K21" s="23"/>
      <c r="L21" s="22"/>
      <c r="M21" s="25"/>
      <c r="N21" s="22"/>
      <c r="O21" s="22"/>
      <c r="P21" s="26">
        <v>1200.0</v>
      </c>
      <c r="Q21" s="118">
        <f t="shared" si="1"/>
        <v>0</v>
      </c>
      <c r="R21" s="26" t="s">
        <v>25</v>
      </c>
      <c r="S21" s="2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29">
        <v>45655.0</v>
      </c>
      <c r="C22" s="18" t="s">
        <v>1360</v>
      </c>
      <c r="D22" s="19">
        <v>59103.0</v>
      </c>
      <c r="E22" s="20" t="s">
        <v>100</v>
      </c>
      <c r="F22" s="30"/>
      <c r="G22" s="22"/>
      <c r="H22" s="25"/>
      <c r="I22" s="30"/>
      <c r="J22" s="30"/>
      <c r="K22" s="23">
        <v>4500.0</v>
      </c>
      <c r="L22" s="22"/>
      <c r="M22" s="25"/>
      <c r="N22" s="22"/>
      <c r="O22" s="22"/>
      <c r="P22" s="26">
        <v>4500.0</v>
      </c>
      <c r="Q22" s="118">
        <f t="shared" si="1"/>
        <v>0</v>
      </c>
      <c r="R22" s="26" t="s">
        <v>48</v>
      </c>
      <c r="S22" s="2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29">
        <v>45655.0</v>
      </c>
      <c r="C23" s="18" t="s">
        <v>1361</v>
      </c>
      <c r="D23" s="19">
        <v>19688.0</v>
      </c>
      <c r="E23" s="20" t="s">
        <v>260</v>
      </c>
      <c r="F23" s="30"/>
      <c r="G23" s="25"/>
      <c r="H23" s="25"/>
      <c r="I23" s="30"/>
      <c r="J23" s="30">
        <v>2500.0</v>
      </c>
      <c r="K23" s="23"/>
      <c r="L23" s="22"/>
      <c r="M23" s="25"/>
      <c r="N23" s="22"/>
      <c r="O23" s="22"/>
      <c r="P23" s="26">
        <v>2500.0</v>
      </c>
      <c r="Q23" s="118">
        <f t="shared" si="1"/>
        <v>0</v>
      </c>
      <c r="R23" s="26" t="s">
        <v>25</v>
      </c>
      <c r="S23" s="2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83">
        <v>20.0</v>
      </c>
      <c r="B24" s="29">
        <v>45654.0</v>
      </c>
      <c r="C24" s="18" t="s">
        <v>1362</v>
      </c>
      <c r="D24" s="19">
        <v>14329.0</v>
      </c>
      <c r="E24" s="20" t="s">
        <v>1363</v>
      </c>
      <c r="F24" s="30"/>
      <c r="G24" s="22"/>
      <c r="H24" s="25"/>
      <c r="I24" s="30"/>
      <c r="J24" s="30"/>
      <c r="K24" s="24"/>
      <c r="L24" s="22"/>
      <c r="M24" s="25">
        <v>2500.0</v>
      </c>
      <c r="N24" s="22"/>
      <c r="O24" s="22"/>
      <c r="P24" s="26">
        <v>2500.0</v>
      </c>
      <c r="Q24" s="118">
        <f t="shared" si="1"/>
        <v>0</v>
      </c>
      <c r="R24" s="26"/>
      <c r="S24" s="2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29">
        <v>45654.0</v>
      </c>
      <c r="C25" s="18" t="s">
        <v>1364</v>
      </c>
      <c r="D25" s="19">
        <v>51017.0</v>
      </c>
      <c r="E25" s="20" t="s">
        <v>335</v>
      </c>
      <c r="F25" s="30"/>
      <c r="G25" s="22"/>
      <c r="H25" s="25">
        <v>20000.0</v>
      </c>
      <c r="I25" s="30"/>
      <c r="J25" s="30"/>
      <c r="K25" s="23"/>
      <c r="L25" s="22"/>
      <c r="M25" s="25"/>
      <c r="N25" s="22"/>
      <c r="O25" s="22"/>
      <c r="P25" s="26">
        <v>20000.0</v>
      </c>
      <c r="Q25" s="118">
        <f t="shared" si="1"/>
        <v>0</v>
      </c>
      <c r="R25" s="26"/>
      <c r="S25" s="2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83">
        <v>22.0</v>
      </c>
      <c r="B26" s="29">
        <v>45655.0</v>
      </c>
      <c r="C26" s="18" t="s">
        <v>1365</v>
      </c>
      <c r="D26" s="19">
        <v>50148.0</v>
      </c>
      <c r="E26" s="20" t="s">
        <v>284</v>
      </c>
      <c r="F26" s="30"/>
      <c r="G26" s="22"/>
      <c r="H26" s="25">
        <v>2500.0</v>
      </c>
      <c r="I26" s="30"/>
      <c r="J26" s="30"/>
      <c r="K26" s="23"/>
      <c r="L26" s="22"/>
      <c r="M26" s="25"/>
      <c r="N26" s="22"/>
      <c r="O26" s="22"/>
      <c r="P26" s="26">
        <v>2500.0</v>
      </c>
      <c r="Q26" s="118">
        <f t="shared" si="1"/>
        <v>0</v>
      </c>
      <c r="R26" s="26"/>
      <c r="S26" s="2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/>
      <c r="B27" s="29"/>
      <c r="C27" s="18"/>
      <c r="D27" s="19"/>
      <c r="E27" s="20"/>
      <c r="F27" s="30"/>
      <c r="G27" s="22"/>
      <c r="H27" s="25"/>
      <c r="I27" s="30"/>
      <c r="J27" s="30"/>
      <c r="K27" s="23"/>
      <c r="L27" s="22"/>
      <c r="M27" s="25"/>
      <c r="N27" s="22"/>
      <c r="O27" s="22"/>
      <c r="P27" s="26"/>
      <c r="Q27" s="118">
        <f t="shared" si="1"/>
        <v>0</v>
      </c>
      <c r="R27" s="26"/>
      <c r="S27" s="2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7.5" customHeight="1">
      <c r="A28" s="16"/>
      <c r="B28" s="64"/>
      <c r="C28" s="65"/>
      <c r="D28" s="66" t="s">
        <v>135</v>
      </c>
      <c r="E28" s="67"/>
      <c r="F28" s="68">
        <f t="shared" ref="F28:O28" si="2">SUM(F5:F27)</f>
        <v>0</v>
      </c>
      <c r="G28" s="68">
        <f t="shared" si="2"/>
        <v>9650</v>
      </c>
      <c r="H28" s="68">
        <f t="shared" si="2"/>
        <v>22500</v>
      </c>
      <c r="I28" s="68">
        <f t="shared" si="2"/>
        <v>24700</v>
      </c>
      <c r="J28" s="68">
        <f t="shared" si="2"/>
        <v>37750</v>
      </c>
      <c r="K28" s="68">
        <f t="shared" si="2"/>
        <v>22100</v>
      </c>
      <c r="L28" s="68">
        <f t="shared" si="2"/>
        <v>0</v>
      </c>
      <c r="M28" s="68">
        <f t="shared" si="2"/>
        <v>3500</v>
      </c>
      <c r="N28" s="68">
        <f t="shared" si="2"/>
        <v>0</v>
      </c>
      <c r="O28" s="68">
        <f t="shared" si="2"/>
        <v>0</v>
      </c>
      <c r="P28" s="68">
        <f>SUM(P5:P26)</f>
        <v>120200</v>
      </c>
      <c r="Q28" s="68">
        <f>SUM(Q5:Q27)</f>
        <v>0</v>
      </c>
      <c r="R28" s="69"/>
      <c r="S28" s="28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58.5" customHeight="1">
      <c r="A29" s="70"/>
      <c r="B29" s="70"/>
      <c r="C29" s="71"/>
      <c r="D29" s="70"/>
      <c r="E29" s="70"/>
      <c r="F29" s="72">
        <f>F28+G28+H28+I28+J28+K28+L28+M28+N28+O28</f>
        <v>120200</v>
      </c>
      <c r="P29" s="73"/>
      <c r="Q29" s="73"/>
      <c r="R29" s="70"/>
      <c r="S29" s="70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15.75" customHeight="1">
      <c r="A30" s="4"/>
      <c r="B30" s="4"/>
      <c r="C30" s="7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7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75" t="s">
        <v>135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82" t="s">
        <v>229</v>
      </c>
      <c r="D33" s="4"/>
      <c r="E33" s="76" t="s">
        <v>136</v>
      </c>
      <c r="F33" s="77" t="s">
        <v>137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74"/>
      <c r="D34" s="4"/>
      <c r="E34" s="78" t="s">
        <v>138</v>
      </c>
      <c r="F34" s="77" t="s">
        <v>348</v>
      </c>
      <c r="G34" s="4"/>
      <c r="H34" s="4"/>
      <c r="I34" s="4"/>
      <c r="J34" s="4"/>
      <c r="K34" s="4"/>
      <c r="L34" s="4"/>
      <c r="M34" s="4"/>
      <c r="N34" s="4"/>
      <c r="O34" s="79" t="s">
        <v>135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74"/>
      <c r="D35" s="4"/>
      <c r="E35" s="78" t="s">
        <v>140</v>
      </c>
      <c r="F35" s="77" t="s">
        <v>146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74"/>
      <c r="D36" s="4"/>
      <c r="E36" s="78" t="s">
        <v>141</v>
      </c>
      <c r="F36" s="77" t="s">
        <v>139</v>
      </c>
      <c r="G36" s="4"/>
      <c r="H36" s="4"/>
      <c r="I36" s="4"/>
      <c r="J36" s="4"/>
      <c r="K36" s="4" t="s">
        <v>135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74"/>
      <c r="D37" s="4"/>
      <c r="E37" s="78" t="s">
        <v>142</v>
      </c>
      <c r="F37" s="77" t="s">
        <v>230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74"/>
      <c r="D38" s="4"/>
      <c r="E38" s="78" t="s">
        <v>1366</v>
      </c>
      <c r="F38" s="77" t="s">
        <v>139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74"/>
      <c r="D39" s="4"/>
      <c r="E39" s="78" t="s">
        <v>145</v>
      </c>
      <c r="F39" s="77" t="s">
        <v>1334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74"/>
      <c r="D40" s="4"/>
      <c r="E40" s="78" t="s">
        <v>147</v>
      </c>
      <c r="F40" s="80" t="s">
        <v>137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79" t="s">
        <v>135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74"/>
      <c r="D41" s="4"/>
      <c r="E41" s="4"/>
      <c r="F41" s="4"/>
      <c r="G41" s="4"/>
      <c r="H41" s="4"/>
      <c r="I41" s="4"/>
      <c r="J41" s="4"/>
      <c r="K41" s="4" t="str">
        <f>I72428</f>
        <v/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7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7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7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7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7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74"/>
      <c r="D48" s="4"/>
      <c r="E48" s="4"/>
      <c r="F48" s="4"/>
      <c r="G48" s="4"/>
      <c r="H48" s="4"/>
      <c r="I48" s="79" t="s">
        <v>148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7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7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7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7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7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7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7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7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7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7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7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74"/>
      <c r="D63" s="4"/>
      <c r="E63" s="4"/>
      <c r="F63" s="4"/>
      <c r="G63" s="4"/>
      <c r="H63" s="4"/>
      <c r="I63" s="4"/>
      <c r="J63" s="4"/>
      <c r="K63" s="4"/>
      <c r="L63" s="4"/>
      <c r="M63" s="4">
        <v>7.0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7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7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7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7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7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7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7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7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7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7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7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7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7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7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7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7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7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7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7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7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7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7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7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7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7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7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7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7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7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7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7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7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7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7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7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7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7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7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7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7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7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7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7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7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7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7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7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7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7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7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7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7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7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7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7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7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7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7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7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7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7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7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7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7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7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7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7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7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7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7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7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7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7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7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7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7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7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7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7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7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7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7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7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7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7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7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7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7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7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7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7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7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7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7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7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7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7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7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7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7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7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7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7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7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7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7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7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7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7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7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7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7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7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7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7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7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7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7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7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7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7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7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7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7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7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7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7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7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7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7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7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7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7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7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7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7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7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7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7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7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7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7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7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7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7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7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7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7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7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7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7">
    <mergeCell ref="R2:R4"/>
    <mergeCell ref="S2:S4"/>
    <mergeCell ref="F3:F4"/>
    <mergeCell ref="G3:H3"/>
    <mergeCell ref="I3:J3"/>
    <mergeCell ref="K3:K4"/>
    <mergeCell ref="F29:O2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
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.ก.ค 67-2 ส.ค.67" sheetId="1" r:id="rId4"/>
    <sheet state="visible" name="3 ส.ค.67" sheetId="2" r:id="rId5"/>
    <sheet state="visible" name="4 ส.ค.67" sheetId="3" r:id="rId6"/>
    <sheet state="visible" name="5 ส.ค.67" sheetId="4" r:id="rId7"/>
    <sheet state="visible" name="6 ส.ค.67" sheetId="5" r:id="rId8"/>
    <sheet state="visible" name="7 ส.ค.67" sheetId="6" r:id="rId9"/>
    <sheet state="visible" name="8  ส.ค.67" sheetId="7" r:id="rId10"/>
    <sheet state="visible" name="9  ส.ค.67" sheetId="8" r:id="rId11"/>
    <sheet state="visible" name="10  ส.ค.67" sheetId="9" r:id="rId12"/>
    <sheet state="visible" name="11  ส.ค.67" sheetId="10" r:id="rId13"/>
    <sheet state="visible" name="13  ส.ค.67" sheetId="11" r:id="rId14"/>
    <sheet state="visible" name="14  ส.ค.67" sheetId="12" r:id="rId15"/>
    <sheet state="visible" name="15  ส.ค.67" sheetId="13" r:id="rId16"/>
    <sheet state="visible" name="16 ส.ค.67" sheetId="14" r:id="rId17"/>
    <sheet state="visible" name="17 ส.ค.67" sheetId="15" r:id="rId18"/>
    <sheet state="visible" name="18 ส.ค.67" sheetId="16" r:id="rId19"/>
    <sheet state="visible" name="19 ส.ค.67" sheetId="17" r:id="rId20"/>
    <sheet state="visible" name="20 ส.ค.67" sheetId="18" r:id="rId21"/>
    <sheet state="visible" name="21 ส.ค.67" sheetId="19" r:id="rId22"/>
    <sheet state="visible" name="22 ส.ค.67" sheetId="20" r:id="rId23"/>
    <sheet state="visible" name=" 23  ส.ค.67" sheetId="21" r:id="rId24"/>
    <sheet state="visible" name="24  ส.ค.67" sheetId="22" r:id="rId25"/>
    <sheet state="visible" name="25  ส.ค.67" sheetId="23" r:id="rId26"/>
    <sheet state="visible" name="26 ส.ค.67" sheetId="24" r:id="rId27"/>
    <sheet state="visible" name="27  ส.ค.67" sheetId="25" r:id="rId28"/>
    <sheet state="visible" name="28 ส.ค.67" sheetId="26" r:id="rId29"/>
    <sheet state="visible" name="29 ส.ค.67" sheetId="27" r:id="rId30"/>
    <sheet state="visible" name="30 ส.ค.67" sheetId="28" r:id="rId31"/>
    <sheet state="visible" name=" 31  ส.ค.67" sheetId="29" r:id="rId32"/>
  </sheets>
  <definedNames/>
  <calcPr/>
  <extLst>
    <ext uri="GoogleSheetsCustomDataVersion2">
      <go:sheetsCustomData xmlns:go="http://customooxmlschemas.google.com/" r:id="rId33" roundtripDataChecksum="nlE3PmbglsZXtOceeWslmiWilM4znzVs00IUbb/bNKA="/>
    </ext>
  </extLst>
</workbook>
</file>

<file path=xl/sharedStrings.xml><?xml version="1.0" encoding="utf-8"?>
<sst xmlns="http://schemas.openxmlformats.org/spreadsheetml/2006/main" count="4805" uniqueCount="1916">
  <si>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31.ก.ค 67-2 ส.ค.67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</si>
  <si>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</si>
  <si>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</si>
  <si>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</si>
  <si>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</si>
  <si>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</si>
  <si>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</si>
  <si>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ผู้บันทึก</t>
  </si>
  <si>
    <t>หมายเหตุเพิ่มเติม</t>
  </si>
  <si>
    <t>Cash</t>
  </si>
  <si>
    <t>Credit Card</t>
  </si>
  <si>
    <t>Tranfer Money</t>
  </si>
  <si>
    <t>E-WALLET</t>
  </si>
  <si>
    <t>ARP</t>
  </si>
  <si>
    <t>ยอดในระบบ</t>
  </si>
  <si>
    <t>ผลต่าง</t>
  </si>
  <si>
    <t>Front Office</t>
  </si>
  <si>
    <t>Online</t>
  </si>
  <si>
    <t>KBANK</t>
  </si>
  <si>
    <t>KTB</t>
  </si>
  <si>
    <t>gift voucher</t>
  </si>
  <si>
    <t>qr paymet</t>
  </si>
  <si>
    <t>หักค่าคอม</t>
  </si>
  <si>
    <t>STHBKK012407001209</t>
  </si>
  <si>
    <t>นางสาว ธนัญญา  หวังเทวีวรกุล</t>
  </si>
  <si>
    <t>Ketbkk</t>
  </si>
  <si>
    <t>STHBKK012407001210</t>
  </si>
  <si>
    <t>นางสาว ธิดารัตน์ สมทรัพย์</t>
  </si>
  <si>
    <t>STHBKK012407001211</t>
  </si>
  <si>
    <t>นาง กนกกร แก้วสระแสน</t>
  </si>
  <si>
    <t>TOYBKK</t>
  </si>
  <si>
    <t>STHBKK012407001212</t>
  </si>
  <si>
    <t>ห้างหุ้นส่วน ไดม่อนอันดามัน เน็ตเวิร์ค  (สำนักงานใหญ่)</t>
  </si>
  <si>
    <t>STHBKK012407001213</t>
  </si>
  <si>
    <t>นาย สิปปภาส  โรจนวสุธร</t>
  </si>
  <si>
    <t>STHBKK012407001215</t>
  </si>
  <si>
    <t>บริษัท สยามทวีทิพย์ จำกัด(สำนักงานใหญ่)</t>
  </si>
  <si>
    <t>STHBKK012407001227</t>
  </si>
  <si>
    <t>นาย ธีระศักดิ์ สังฆะภูมิ</t>
  </si>
  <si>
    <t>ple bkk</t>
  </si>
  <si>
    <t>STHBKK012407001228</t>
  </si>
  <si>
    <t>นาง ไขนภา สุทธิอาคาร</t>
  </si>
  <si>
    <t>STHBKK012407001229</t>
  </si>
  <si>
    <t>นาย สงขลา กายพันธุ์</t>
  </si>
  <si>
    <t>STHBKK012408000001</t>
  </si>
  <si>
    <t>นาง พรทิพย์ ฤทธิรณ</t>
  </si>
  <si>
    <t>STHBKK012408000002</t>
  </si>
  <si>
    <t>นาย ธนบูลย์ แสงฐิตาพันธุ์</t>
  </si>
  <si>
    <t>STHBKK012408000003</t>
  </si>
  <si>
    <t>STHBKK012408000004</t>
  </si>
  <si>
    <t>นางสาว ยศวีร์ โคตรดี</t>
  </si>
  <si>
    <t>Meiy</t>
  </si>
  <si>
    <t>STHBKK012408000005</t>
  </si>
  <si>
    <t>นาย ชลธี จันทโคตร</t>
  </si>
  <si>
    <t>STHBKK012408000007</t>
  </si>
  <si>
    <t>นาย สมพงษ์ ผูกจิตต์</t>
  </si>
  <si>
    <t>STHBKK012408000008</t>
  </si>
  <si>
    <t>นาย สามารถ ถมเถื่อน</t>
  </si>
  <si>
    <t>STHBKK012408000009</t>
  </si>
  <si>
    <t>นาง วรวีร์ สุขประเสริฐ</t>
  </si>
  <si>
    <t>STHBKK012408000013</t>
  </si>
  <si>
    <t>นาย ชุติเมธ ดียิ่ง</t>
  </si>
  <si>
    <t>STHBKK012408000014</t>
  </si>
  <si>
    <t>นางสาว พิมพ์ชญา  สุริยปรีชาพงษ์</t>
  </si>
  <si>
    <t>STHBKK012408000015</t>
  </si>
  <si>
    <t>นาย ธนภัทร  อยู่คำ</t>
  </si>
  <si>
    <t>STHBKK012408000016</t>
  </si>
  <si>
    <t>นาย สุวชัช  อมตวงษ์</t>
  </si>
  <si>
    <t>bkk-aoeng</t>
  </si>
  <si>
    <t>STHBKK012408000018</t>
  </si>
  <si>
    <t>STHBKK012408000020</t>
  </si>
  <si>
    <t>นาง ฐานมญ ชลคีรี</t>
  </si>
  <si>
    <t>STHBKK012408000021</t>
  </si>
  <si>
    <t>STHBKK012408000022</t>
  </si>
  <si>
    <t>นาย สุวรรณ อ่อนคำวงค์</t>
  </si>
  <si>
    <t>STHBKK012408000023</t>
  </si>
  <si>
    <t>STHBKK012408000025</t>
  </si>
  <si>
    <t>นาย ธนกร อภัยพงศ์</t>
  </si>
  <si>
    <t>STHBKK012408000026</t>
  </si>
  <si>
    <t>นางสาว สุพัตรา กันเฉย</t>
  </si>
  <si>
    <t>STHBKK012408000027</t>
  </si>
  <si>
    <t>นาย จักรพรรณ เทียนเจริญ</t>
  </si>
  <si>
    <t>STHBKK012408000028</t>
  </si>
  <si>
    <t>STHBKK012408000029</t>
  </si>
  <si>
    <t>นางสาว  Nan​ Than Than​ Moe</t>
  </si>
  <si>
    <t>STHBKK012408000030</t>
  </si>
  <si>
    <t>ธนวรรธน์ สุขจิตร</t>
  </si>
  <si>
    <t>STHBKK012408000031</t>
  </si>
  <si>
    <t>นางสาว ธนัญชนก อยู่ยงค์</t>
  </si>
  <si>
    <t>STHBKK012408000032</t>
  </si>
  <si>
    <t>นาย ทรงทรัพย์ ตั้งทำนุ</t>
  </si>
  <si>
    <t>STHBKK012408000033</t>
  </si>
  <si>
    <t>นาย พิชิต ผิวสุข</t>
  </si>
  <si>
    <t>STHBKK012408000034</t>
  </si>
  <si>
    <t>บริษัท ผักคะน้ากรอบ จำกัด(สำนักงานใหญ่)</t>
  </si>
  <si>
    <t>STHBKK012408000035</t>
  </si>
  <si>
    <t>นาย ธนภณ ทวียศหิรัญ</t>
  </si>
  <si>
    <t>STHBKK012408000036</t>
  </si>
  <si>
    <t>นาง รัตนกร ไม้แดง</t>
  </si>
  <si>
    <t>STHBKK012408000037</t>
  </si>
  <si>
    <t>นาย ณัฐพล ไม้แดง</t>
  </si>
  <si>
    <t>STHBKK012408000038</t>
  </si>
  <si>
    <t>นางสาว กำไร รุ่งกิจกุลภัค</t>
  </si>
  <si>
    <t>STHBKK012408000040</t>
  </si>
  <si>
    <t>นาย จตุรเทพ ไม้แดง</t>
  </si>
  <si>
    <t>STHBKK012408000041</t>
  </si>
  <si>
    <t>นาย ยืนยง ชินมิตโต</t>
  </si>
  <si>
    <t>STHBKK012408000042</t>
  </si>
  <si>
    <t>นาย อนุศิษฎ์  อนันตะ</t>
  </si>
  <si>
    <t>STHBKK012408000043</t>
  </si>
  <si>
    <t>นาง นวลจันทร์  กลิ่นฟุ้ง</t>
  </si>
  <si>
    <t>STHBKK012408000044</t>
  </si>
  <si>
    <t>นางสาว รักษ์ฐิรดา&amp;#8203; รักเชิด -ยอดเยี่ยม วิเลขวิไล</t>
  </si>
  <si>
    <t>STHBKK012408000045</t>
  </si>
  <si>
    <t>นางสาว โสภา  นายสุข</t>
  </si>
  <si>
    <t>STHBKK012408000046</t>
  </si>
  <si>
    <t>นาย พินัน แตงพรม</t>
  </si>
  <si>
    <t>STHBKK012408000047</t>
  </si>
  <si>
    <t>นางสาว จิราภรณ์ เขาทอง</t>
  </si>
  <si>
    <t>STHBKK012408000049</t>
  </si>
  <si>
    <t>มธุรา ชาติสุทธิ์</t>
  </si>
  <si>
    <t>STHBKK012408000050</t>
  </si>
  <si>
    <t>นาย ธนาศุภเดช ภุชพัชราธาดาณัช</t>
  </si>
  <si>
    <t>STHBKK012408000051</t>
  </si>
  <si>
    <t>STHBKK012408000052</t>
  </si>
  <si>
    <t>นาง กานดา วงศ์เทพนิวัติ</t>
  </si>
  <si>
    <t>STHBKK012408000053</t>
  </si>
  <si>
    <t>วาสนา ดิษปัญญา</t>
  </si>
  <si>
    <t>STHBKK012408000054</t>
  </si>
  <si>
    <t>นาย ทวีศักดิ์ ชำนาญ</t>
  </si>
  <si>
    <t>STHBKK012408000055</t>
  </si>
  <si>
    <t>นางสาว จิดาภา ทองเบ้า</t>
  </si>
  <si>
    <t>STHBKK012408000056</t>
  </si>
  <si>
    <t>นางสาว สุดาวรรณ์  จันทร์แดง</t>
  </si>
  <si>
    <t>STHBKK012408000057</t>
  </si>
  <si>
    <t>นาย พีรพงศ์ ภรประเสริฐศรี</t>
  </si>
  <si>
    <t>STHBKK012408000058</t>
  </si>
  <si>
    <t>STHBKK012408000059</t>
  </si>
  <si>
    <t>STHBKK012408000060</t>
  </si>
  <si>
    <t>นาย มงคล เพ็งเคียน</t>
  </si>
  <si>
    <t>STHBKK012408000062</t>
  </si>
  <si>
    <t>นางสาว นัฏกร อุ่นกุศลภักดี</t>
  </si>
  <si>
    <t>STHBKK012408000063</t>
  </si>
  <si>
    <t>STHBKK012408000065</t>
  </si>
  <si>
    <t>นางสาว สวิง  ชัยรัตน์</t>
  </si>
  <si>
    <t>STHONLIN2407000769</t>
  </si>
  <si>
    <t>STHONLIN2407000781</t>
  </si>
  <si>
    <t>นางสาว วรรณวนัช แก้วดี</t>
  </si>
  <si>
    <t>STHONLIN2407000783</t>
  </si>
  <si>
    <t>นาย ดำรงค์ ปฏิสังข์</t>
  </si>
  <si>
    <t>STHONLIN2407000787</t>
  </si>
  <si>
    <t>บริษัท ดีเวย์ ริชคอร์ป จำกัด(สำนักงานใหญ่)</t>
  </si>
  <si>
    <t>STHONLIN2407000795</t>
  </si>
  <si>
    <t>นาย สุเมธ จันทร์งาม</t>
  </si>
  <si>
    <t>STHONLIN2408000001</t>
  </si>
  <si>
    <t>นาย โสภณ ผาสุข</t>
  </si>
  <si>
    <t>STHONLIN2408000006</t>
  </si>
  <si>
    <t>นางสาว ฤทัยรัตน์ พรมสุวรรณ์</t>
  </si>
  <si>
    <t>STHONLIN2408000018</t>
  </si>
  <si>
    <t>STHONLIN2408000019</t>
  </si>
  <si>
    <t>STHONLIN2408000020</t>
  </si>
  <si>
    <t>นางสาว พัชรมณฑ์ พรมทา</t>
  </si>
  <si>
    <t>STHONLIN2408000021</t>
  </si>
  <si>
    <t>บริษัท แก้วแกมทอง เทรดดิ้ง จำกัด (สำนักงานใหญ่)</t>
  </si>
  <si>
    <t>STHONLIN2408000022</t>
  </si>
  <si>
    <t>นาย เสฎฐวุฒิ พนาอภิชน</t>
  </si>
  <si>
    <t>STHONLIN2408000023</t>
  </si>
  <si>
    <t>STHONLIN2408000025</t>
  </si>
  <si>
    <t>นาง ทิพยาภรณ์ ฆ้องวงษ์</t>
  </si>
  <si>
    <t>STHONLIN2408000026</t>
  </si>
  <si>
    <t>STHONLIN2408000027</t>
  </si>
  <si>
    <t>STHONLIN2408000029</t>
  </si>
  <si>
    <t>นาย มนัฐศิวัช กูลศิริวัฒน์</t>
  </si>
  <si>
    <t>STHONLIN2408000030</t>
  </si>
  <si>
    <t>STHONLIN2408000031</t>
  </si>
  <si>
    <t>บริษัท เอ็น.พี มาร์เก็ตติ้ง แบรนด์ จำกัด(สำนักงานใหญ่)</t>
  </si>
  <si>
    <t>STHONLIN2408000032</t>
  </si>
  <si>
    <t>นางสาว รวีวรรณ ชินนวงษ์</t>
  </si>
  <si>
    <t>STHONLIN2408000033</t>
  </si>
  <si>
    <t>นางสาว วัชภา จงวนิชย์</t>
  </si>
  <si>
    <t>STHONLIN2408000035</t>
  </si>
  <si>
    <t>STHONLIN2408000037</t>
  </si>
  <si>
    <t>นางสาว นงนุช กมลรัตนาชัย</t>
  </si>
  <si>
    <t xml:space="preserve"> </t>
  </si>
  <si>
    <t xml:space="preserve">ผู้ดึงบิลทางบ้าน (บิล เหม่ย )    </t>
  </si>
  <si>
    <t>เอิง</t>
  </si>
  <si>
    <t xml:space="preserve">ผู้เรียงบิล     </t>
  </si>
  <si>
    <t>กะตอย</t>
  </si>
  <si>
    <t xml:space="preserve">ผู้สรุปยอด บิลออนไลน์    </t>
  </si>
  <si>
    <t xml:space="preserve">ผู้ดึงยอด      </t>
  </si>
  <si>
    <t xml:space="preserve">ผู้หยอดบิลลงเดลี่         </t>
  </si>
  <si>
    <t>นิว1209-024 เอิง024-059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</si>
  <si>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</si>
  <si>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ผู้ตรวจสอบความเรียบร้อยก่อนส่งบัญชี    </t>
  </si>
  <si>
    <t>เกษ</t>
  </si>
  <si>
    <t xml:space="preserve">ผู้สรุปยอด E-WALLET    </t>
  </si>
  <si>
    <t>-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</si>
  <si>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</si>
  <si>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3 ส.ค.67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</si>
  <si>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STHBKK012408000067</t>
  </si>
  <si>
    <t>นาย พิสิฐ โฉ่พลกรัง</t>
  </si>
  <si>
    <t>STHBKK012408000068</t>
  </si>
  <si>
    <t>STHBKK012408000070</t>
  </si>
  <si>
    <t>STHBKK012408000072</t>
  </si>
  <si>
    <t>นางสาว สุพิชญา เจริญพร</t>
  </si>
  <si>
    <t>STHBKK012408000073</t>
  </si>
  <si>
    <t>นางสาว ธัญวลัย ชัยวัชรเศรษฐี</t>
  </si>
  <si>
    <t>STHBKK012408000076</t>
  </si>
  <si>
    <t>นาย อนันต์กฤช เต็มศิริพันธุ์</t>
  </si>
  <si>
    <t xml:space="preserve">ส่วนต่าง 20,000 ฿ เป็นบิลยกเลิกของวันที่ 2/8/67  STHONLIN2408000040 /STHBKK012408000066 เปิดบิลใหม่วันนี้เรียบร้อยค่ะ </t>
  </si>
  <si>
    <t>STHBKK012408000077</t>
  </si>
  <si>
    <t>นางสาว เกศร วงษ์วิภาค</t>
  </si>
  <si>
    <t>STHBKK012408000078</t>
  </si>
  <si>
    <t>นาย ยิ่งเจริญ บุตรทอง</t>
  </si>
  <si>
    <t>STHBKK012408000079</t>
  </si>
  <si>
    <t>บริษัท ดาโร่ บิ้วตี้ จำกัด ( สำนักงานใหญ่ )</t>
  </si>
  <si>
    <t>STHBKK012408000080</t>
  </si>
  <si>
    <t>STHBKK012408000081</t>
  </si>
  <si>
    <t>นางสาว นฤมล พุ่มแสง</t>
  </si>
  <si>
    <t>STHBKK012408000082</t>
  </si>
  <si>
    <t>นางสาว สมคิด ยิ้มสาระ</t>
  </si>
  <si>
    <t>STHBKK012408000083</t>
  </si>
  <si>
    <t>นางสาว ดาณี หมัดหมัน</t>
  </si>
  <si>
    <t>STHBKK012408000084</t>
  </si>
  <si>
    <t>STHBKK012408000085</t>
  </si>
  <si>
    <t>นาย พิสิฐพงษ์  ยอดจันทร์</t>
  </si>
  <si>
    <t>STHBKK012408000086</t>
  </si>
  <si>
    <t>นาง ณัฎยา ชาประชุม</t>
  </si>
  <si>
    <t>STHBKK012408000087</t>
  </si>
  <si>
    <t>นาง ปรียานุช ประสาทศิลป์</t>
  </si>
  <si>
    <t>STHBKK012408000089</t>
  </si>
  <si>
    <t>นางสาว วณัฐกมล  วิไลลักษณ์</t>
  </si>
  <si>
    <t>STHBKK012408000090</t>
  </si>
  <si>
    <t>นางสาว จิดาภา สายธนู</t>
  </si>
  <si>
    <t>STHBKK012408000092</t>
  </si>
  <si>
    <t>STHBKK012408000093</t>
  </si>
  <si>
    <t>STHBKK012408000094</t>
  </si>
  <si>
    <t>นาย สนั่นศักดิ์  สมทอง</t>
  </si>
  <si>
    <t>STHBKK012408000101</t>
  </si>
  <si>
    <t>นาย เลิศ กันนิล</t>
  </si>
  <si>
    <t>STHBKK012408000103</t>
  </si>
  <si>
    <t>STHBKK012408000104</t>
  </si>
  <si>
    <t>นาง บุปผา  ประเสริฐศักดิ์</t>
  </si>
  <si>
    <t>STHBKK012408000105</t>
  </si>
  <si>
    <t>นางสาว สุชานันท์ สะตะ</t>
  </si>
  <si>
    <t>STHBKK012408000106</t>
  </si>
  <si>
    <t>นาง ภิชญาภัค หล้านาม</t>
  </si>
  <si>
    <t>STHBKK012408000107</t>
  </si>
  <si>
    <t>STHBKK012408000108</t>
  </si>
  <si>
    <t>นางสาว แก้วภัค ทวีรุ่งเรือง</t>
  </si>
  <si>
    <t>STHBKK012408000109</t>
  </si>
  <si>
    <t>นาง  เต็มลักษณ์ ยวงลำใย</t>
  </si>
  <si>
    <t>STHBKK012408000110</t>
  </si>
  <si>
    <t>STHBKK012408000111</t>
  </si>
  <si>
    <t>นาย ปริญพัชร์ ศรีศุภณัฐธนากุล + นางสาว วาสนา โสมศรี</t>
  </si>
  <si>
    <t>STHBKK012408000112</t>
  </si>
  <si>
    <t>STHBKK012408000113</t>
  </si>
  <si>
    <t>นาง สยามล โชติมูล</t>
  </si>
  <si>
    <t>STHBKK012408000114</t>
  </si>
  <si>
    <t>STHBKK012408000115</t>
  </si>
  <si>
    <t>นางสาว สุพรรณษา ไพศาล</t>
  </si>
  <si>
    <t>STHBKK012408000116</t>
  </si>
  <si>
    <t>นาย สุเมธ กลิ่นเย็น</t>
  </si>
  <si>
    <t>STHBKK012408000117</t>
  </si>
  <si>
    <t>STHBKK012408000118</t>
  </si>
  <si>
    <t>STHBKK012408000119</t>
  </si>
  <si>
    <t>นาย สุชีพ พูลศรี</t>
  </si>
  <si>
    <t>STHONLIN2408000044</t>
  </si>
  <si>
    <t>นางสาว สุภาพร สรนิกร</t>
  </si>
  <si>
    <t>STHONLIN2408000045</t>
  </si>
  <si>
    <t>บริษัท  ต.ศรีโสภณ จำกัด (สำนักงานใหญ่)</t>
  </si>
  <si>
    <t>STHONLIN2408000046</t>
  </si>
  <si>
    <t>นางสาว ชวัลรัตน์ ปัสสาพันธุ์</t>
  </si>
  <si>
    <t>STHONLIN2408000047</t>
  </si>
  <si>
    <t>นาย ศุภศิษฎ์ ภูชฎาภิรมย์</t>
  </si>
  <si>
    <t>STHONLIN2408000048</t>
  </si>
  <si>
    <t>STHONLIN2408000049</t>
  </si>
  <si>
    <t>STHONLIN2408000051</t>
  </si>
  <si>
    <t>นาง รัตนา  วงศ์ลีลากรณ์</t>
  </si>
  <si>
    <t>STHONLIN2408000052</t>
  </si>
  <si>
    <t>STHONLIN2408000053</t>
  </si>
  <si>
    <t>บริษัท สวนสุข จำกัด(สำนักงานใหญ่)</t>
  </si>
  <si>
    <t>STHONLIN2408000056</t>
  </si>
  <si>
    <t>นาง นฤมล สิงห์คำ</t>
  </si>
  <si>
    <t>STHONLIN2408000059</t>
  </si>
  <si>
    <t>บริษัท เอ.ซี.พี.เค จำกัด (สำนักงานใหญ่)</t>
  </si>
  <si>
    <t>STHONLIN2408000063</t>
  </si>
  <si>
    <t>STHONLIN2408000064</t>
  </si>
  <si>
    <t>นาย ยงยุทธ แก้วสม</t>
  </si>
  <si>
    <t>------------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</si>
  <si>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</si>
  <si>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4 ส.ค.67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</si>
  <si>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STHBKK012408000120</t>
  </si>
  <si>
    <t>นาง ศริยา  รักษาราษฎร์</t>
  </si>
  <si>
    <t>STHBKK012408000121</t>
  </si>
  <si>
    <t>นาย เสกสันติ เวียกไธสง</t>
  </si>
  <si>
    <t>STHBKK012408000122</t>
  </si>
  <si>
    <t>นาย บุญยัง ชัยชนะ</t>
  </si>
  <si>
    <t>STHBKK012408000123</t>
  </si>
  <si>
    <t>STHBKK012408000124</t>
  </si>
  <si>
    <t>STHBKK012408000125</t>
  </si>
  <si>
    <t>นาย อดิศักดิ์ พิสิฐบุญนันท์</t>
  </si>
  <si>
    <t>STHBKK012408000126</t>
  </si>
  <si>
    <t>นางสาว ภัทรพิดา อุ่นโสดา</t>
  </si>
  <si>
    <t>STHBKK012408000127</t>
  </si>
  <si>
    <t>นางสาว พิชาวีร์ บวรธีราเศรษฐ์</t>
  </si>
  <si>
    <t>STHBKK012408000129</t>
  </si>
  <si>
    <t>นาง เจี่ยม สมัครสมาน</t>
  </si>
  <si>
    <t>STHBKK012408000130</t>
  </si>
  <si>
    <t>STHBKK012408000131</t>
  </si>
  <si>
    <t>บริษัท โคบาราเอฟโวลูชั่น (ประเทศไทย)จำกัด ( สำนักงานใหญ่ )</t>
  </si>
  <si>
    <t>STHBKK012408000133</t>
  </si>
  <si>
    <t>นางสาว อาทิตยา  โพธิมาศ</t>
  </si>
  <si>
    <t>STHBKK012408000134</t>
  </si>
  <si>
    <t>STHBKK012408000135</t>
  </si>
  <si>
    <t>STHBKK012408000136</t>
  </si>
  <si>
    <t>STHBKK012408000137</t>
  </si>
  <si>
    <t>STHBKK012408000138</t>
  </si>
  <si>
    <t>นางสาว อรอุมา ชื่นสุวรรณ</t>
  </si>
  <si>
    <t>STHBKK012408000139</t>
  </si>
  <si>
    <t>นาง วิรัญต์ ขยันวงษ์</t>
  </si>
  <si>
    <t>STHBKK012408000140</t>
  </si>
  <si>
    <t>นาย พุฒิพัฒน์ รัตนพิริยสกุล</t>
  </si>
  <si>
    <t>STHBKK012408000141</t>
  </si>
  <si>
    <t>นางสาว ธมลกันย์ โกเมศกัลยรัตน์</t>
  </si>
  <si>
    <t>STHBKK012408000143</t>
  </si>
  <si>
    <t>โสภิต เกลี้ยงประไพ</t>
  </si>
  <si>
    <t>STHBKK012408000144</t>
  </si>
  <si>
    <t>นางสาว ชุติกาญจน์  สอนกลาง</t>
  </si>
  <si>
    <t>STHBKK012408000145</t>
  </si>
  <si>
    <t>STHBKK012408000146</t>
  </si>
  <si>
    <t>นาย จักรกฤษณ์ ผิวเขียว</t>
  </si>
  <si>
    <t>STHBKK012408000147</t>
  </si>
  <si>
    <t>STHBKK012408000148</t>
  </si>
  <si>
    <t>STHBKK012408000149</t>
  </si>
  <si>
    <t>STHBKK012408000150</t>
  </si>
  <si>
    <t>STHBKK012408000151</t>
  </si>
  <si>
    <t>นางสาว นภาไพลิน  กาละวันต์</t>
  </si>
  <si>
    <t>STHBKK012408000152</t>
  </si>
  <si>
    <t>บริษัท สว่างทรัพย์ จำกัด (สำนักงานใหญ่)</t>
  </si>
  <si>
    <t>STHBKK012408000153</t>
  </si>
  <si>
    <t>นางสาว สมพร สุพงศ์พาณิช</t>
  </si>
  <si>
    <t>STHBKK012408000155</t>
  </si>
  <si>
    <t>นางสาว มัลลิกา พลรัตน์</t>
  </si>
  <si>
    <t>STHBKK012408000156</t>
  </si>
  <si>
    <t>นาย ณรงค์ ตะสันเทียะ</t>
  </si>
  <si>
    <t>STHBKK012408000157</t>
  </si>
  <si>
    <t>STHBKK012408000158</t>
  </si>
  <si>
    <t>นาย สันติ   วิทยาประสงค์</t>
  </si>
  <si>
    <t>STHONLIN2408000065</t>
  </si>
  <si>
    <t>STHONLIN2408000075</t>
  </si>
  <si>
    <t>STHONLIN2408000076</t>
  </si>
  <si>
    <t>นางสาว สุภารัตน์  ปลัดครบุรี</t>
  </si>
  <si>
    <t>STHONLIN2408000077</t>
  </si>
  <si>
    <t>STHONLIN2408000078</t>
  </si>
  <si>
    <t>นางสาว ธนิชชนันท์ สิริภาคยะประภา</t>
  </si>
  <si>
    <t>STHONLIN2408000081</t>
  </si>
  <si>
    <t>นิ้ว</t>
  </si>
  <si>
    <t>กระตอย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</si>
  <si>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</si>
  <si>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5 ส.ค.67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</si>
  <si>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STHBKK012408000159</t>
  </si>
  <si>
    <t>นาง กมลวรรณ  จันทรศร</t>
  </si>
  <si>
    <t>STHBKK012408000160</t>
  </si>
  <si>
    <t>นางสาว ลำใย  เจริญศิริ</t>
  </si>
  <si>
    <t>STHBKK012408000161</t>
  </si>
  <si>
    <t>STHBKK012408000163</t>
  </si>
  <si>
    <t>นาย ภวินท์สุข ตั้งพงษ์ศิรประภา</t>
  </si>
  <si>
    <t>STHBKK012408000165</t>
  </si>
  <si>
    <t>นางสาว วรารัตน์ นึกแจ้ง</t>
  </si>
  <si>
    <t>STHBKK012408000166</t>
  </si>
  <si>
    <t>STHBKK012408000167</t>
  </si>
  <si>
    <t>STHBKK012408000168</t>
  </si>
  <si>
    <t>นางสาว พิกุล กลิ่นฟุ้ง</t>
  </si>
  <si>
    <t>STHBKK012408000170</t>
  </si>
  <si>
    <t>นาย กัตติเชษฐ์  โพธิ์สะอาด</t>
  </si>
  <si>
    <t>STHBKK012408000171</t>
  </si>
  <si>
    <t>STHBKK012408000172</t>
  </si>
  <si>
    <t>นาย นพพร โสวรรณะ</t>
  </si>
  <si>
    <t>STHBKK012408000173</t>
  </si>
  <si>
    <t>นางสาว ไพรินทร์ อินทร์ลับ</t>
  </si>
  <si>
    <t>STHBKK012408000174</t>
  </si>
  <si>
    <t>นางสาว นพรัตน์  ศุจิภานันท์</t>
  </si>
  <si>
    <t>STHBKK012408000175</t>
  </si>
  <si>
    <t>นาย บังอร ศิริทรัพย์</t>
  </si>
  <si>
    <t>STHBKK012408000176</t>
  </si>
  <si>
    <t>STHBKK012408000177</t>
  </si>
  <si>
    <t>นางสาว พรทิพย์  นาสวน</t>
  </si>
  <si>
    <t>STHBKK012408000178</t>
  </si>
  <si>
    <t>STHBKK012408000179</t>
  </si>
  <si>
    <t>STHBKK012408000180</t>
  </si>
  <si>
    <t>STHBKK012408000181</t>
  </si>
  <si>
    <t>นาง ปรานอม ผิวอ่อนดี</t>
  </si>
  <si>
    <t>STHBKK012408000183</t>
  </si>
  <si>
    <t>STHBKK012408000184</t>
  </si>
  <si>
    <t>STHBKK012408000185</t>
  </si>
  <si>
    <t>นางสาว คณาง ไพรบึง</t>
  </si>
  <si>
    <t>STHBKK012408000186</t>
  </si>
  <si>
    <t>STHBKK012408000187</t>
  </si>
  <si>
    <t>นางสาว ลัดดา ภู่นวล</t>
  </si>
  <si>
    <t>STHBKK012408000188</t>
  </si>
  <si>
    <t>ห้างหุ้นส่วน ปูแดงพารวย ( สำนักงานใหญ่)</t>
  </si>
  <si>
    <t>STHBKK012408000189</t>
  </si>
  <si>
    <t>บริษัท เค24 โกลบอล จำกัด (สำนักงานใหญ่)</t>
  </si>
  <si>
    <t>STHBKK012408000190</t>
  </si>
  <si>
    <t>STHBKK012408000191</t>
  </si>
  <si>
    <t>STHBKK012408000192</t>
  </si>
  <si>
    <t>STHBKK012408000193</t>
  </si>
  <si>
    <t>นาง จเร  ยอดดี</t>
  </si>
  <si>
    <t>STHONLIN2408000086</t>
  </si>
  <si>
    <t>STHONLIN2408000090</t>
  </si>
  <si>
    <t>STHONLIN2408000091</t>
  </si>
  <si>
    <t>STHONLIN2408000092</t>
  </si>
  <si>
    <t>นาง ณัจรี บูรณะพงค์</t>
  </si>
  <si>
    <t>STHONLIN2408000093</t>
  </si>
  <si>
    <t>STHONLIN2408000099</t>
  </si>
  <si>
    <t>STHONLIN2408000102</t>
  </si>
  <si>
    <t>นาง บุญญานุช ยอดดี</t>
  </si>
  <si>
    <t>นิ้ว-เอิง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</si>
  <si>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</si>
  <si>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6 ส.ค.67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</si>
  <si>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STHBKK012408000194</t>
  </si>
  <si>
    <t>STHBKK012408000195</t>
  </si>
  <si>
    <t>STHBKK012408000196</t>
  </si>
  <si>
    <t>นางสาว ฉัตรสุดา สวนบ่อแร่</t>
  </si>
  <si>
    <t>STHBKK012408000198</t>
  </si>
  <si>
    <t>นางสาว กรองแก้ว บัวหลวง</t>
  </si>
  <si>
    <t>STHBKK012408000199</t>
  </si>
  <si>
    <t>นางสาว ฤทัยทิพย์ นาโพธิ์</t>
  </si>
  <si>
    <t>STHBKK012408000200</t>
  </si>
  <si>
    <t>นาย อำนวย พุทธสกุล</t>
  </si>
  <si>
    <t>STHBKK012408000201</t>
  </si>
  <si>
    <t>นางสาว วรรณา ต๊ะแก้ว</t>
  </si>
  <si>
    <t>STHBKK012408000202</t>
  </si>
  <si>
    <t xml:space="preserve">นางสาว ภัทราณิษฐ์ พืชพันธ์วรเดชา	</t>
  </si>
  <si>
    <t>STHBKK012408000203</t>
  </si>
  <si>
    <t>นาง อัมพร  กุลศัตยาภิรมย์</t>
  </si>
  <si>
    <t>STHBKK012408000204</t>
  </si>
  <si>
    <t>นาย สมพล คุ้มสา</t>
  </si>
  <si>
    <t>STHBKK012408000205</t>
  </si>
  <si>
    <t>Mr. MAI DUC MANH</t>
  </si>
  <si>
    <t>STHBKK012408000206</t>
  </si>
  <si>
    <t>นางสาว กัญพัชร์  ชูธีรยงพันธ์</t>
  </si>
  <si>
    <t>STHBKK012408000207</t>
  </si>
  <si>
    <t>นาง ภีรดา  เดชะนามเมือง</t>
  </si>
  <si>
    <t>STHBKK012408000208</t>
  </si>
  <si>
    <t>นาย ดิลก แผ่ทอง</t>
  </si>
  <si>
    <t>STHBKK012408000209</t>
  </si>
  <si>
    <t>นาย สนอง ดำรงเชื้อ</t>
  </si>
  <si>
    <t>STHBKK012408000210</t>
  </si>
  <si>
    <t>STHBKK012408000211</t>
  </si>
  <si>
    <t>STHBKK012408000213</t>
  </si>
  <si>
    <t>นาง ญาณนันท์ ทิวคู่</t>
  </si>
  <si>
    <t>STHBKK012408000214</t>
  </si>
  <si>
    <t>นาย สิทธิชัย มานุจำ</t>
  </si>
  <si>
    <t>STHBKK012408000215</t>
  </si>
  <si>
    <t>STHBKK012408000218</t>
  </si>
  <si>
    <t>นาง วันดี สุฤทธิ์</t>
  </si>
  <si>
    <t>STHBKK012408000219</t>
  </si>
  <si>
    <t>STHBKK012408000220</t>
  </si>
  <si>
    <t>STHBKK012408000221</t>
  </si>
  <si>
    <t>นาย บูชาติ หาดสร้อย</t>
  </si>
  <si>
    <t>STHBKK012408000222</t>
  </si>
  <si>
    <t>นาง ประภาพร  ถือดียิ่ง</t>
  </si>
  <si>
    <t>STHBKK012408000223</t>
  </si>
  <si>
    <t>นาย สมพร ละเอียด</t>
  </si>
  <si>
    <t>STHBKK012408000225</t>
  </si>
  <si>
    <t>นางสาว จินแก้ว เริ่มหาสุข</t>
  </si>
  <si>
    <t>STHBKK012408000227</t>
  </si>
  <si>
    <t>นางสาว สิริวิมล แม้นพ่วง</t>
  </si>
  <si>
    <t>STHBKK012408000229</t>
  </si>
  <si>
    <t>บริษัท ฟองใหญ่ จำกัด (สำนักงานใหญ่)</t>
  </si>
  <si>
    <t>STHBKK012408000230</t>
  </si>
  <si>
    <t>นาย ประวิต หล้าสุดตา</t>
  </si>
  <si>
    <t>STHBKK012408000231</t>
  </si>
  <si>
    <t>บริษัท หลานหยิน จำกัด ( สำนักงานใหญ่ )</t>
  </si>
  <si>
    <t>STHBKK012408000232</t>
  </si>
  <si>
    <t>STHBKK012408000233</t>
  </si>
  <si>
    <t>นาย บุญรอด</t>
  </si>
  <si>
    <t>NEWBKK</t>
  </si>
  <si>
    <t>STHBKK012408000234</t>
  </si>
  <si>
    <t>นาย กิตติพงษ์ หงษา</t>
  </si>
  <si>
    <t>STHBKK012408000235</t>
  </si>
  <si>
    <t>นางสาว ประภัสสร  ดีดวงพันธ์</t>
  </si>
  <si>
    <t>STHBKK012408000236</t>
  </si>
  <si>
    <t>ธนวรรณ  สุขเกษม</t>
  </si>
  <si>
    <t>STHBKK012408000237</t>
  </si>
  <si>
    <t>STHBKK012408000239</t>
  </si>
  <si>
    <t>นาง รัถยา  รัตนทิพย์</t>
  </si>
  <si>
    <t>STHBKK012408000240</t>
  </si>
  <si>
    <t>STHBKK012408000242</t>
  </si>
  <si>
    <t>นาย ธเนศ จันทร์เจริญ</t>
  </si>
  <si>
    <t>STHBKK012408000243</t>
  </si>
  <si>
    <t>STHONLIN2408000107</t>
  </si>
  <si>
    <t>STHONLIN2408000108</t>
  </si>
  <si>
    <t>STHONLIN2408000109</t>
  </si>
  <si>
    <t>STHONLIN2408000110</t>
  </si>
  <si>
    <t>สนั่น ปริมาณ</t>
  </si>
  <si>
    <t>STHONLIN2408000111</t>
  </si>
  <si>
    <t>กระตอย 194-232 / นิ้ว 233-111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</si>
  <si>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</si>
  <si>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7 ส.ค.67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</si>
  <si>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STHBKK012408000245</t>
  </si>
  <si>
    <t>นางสาว หนึ่งฤทัย หอมละออ</t>
  </si>
  <si>
    <t>STHBKK012408000246</t>
  </si>
  <si>
    <t>นางสาว ภัณฑิรา โพธิ์ทัย</t>
  </si>
  <si>
    <t>STHBKK012408000247</t>
  </si>
  <si>
    <t>นาย ปรีชา  แก้วโกถม</t>
  </si>
  <si>
    <t>STHBKK012408000248</t>
  </si>
  <si>
    <t>นาง ศศิธร เม่นตะเภา</t>
  </si>
  <si>
    <t>STHBKK012408000249</t>
  </si>
  <si>
    <t>นาง อัญชลี​ ท้าวนอก</t>
  </si>
  <si>
    <t>STHBKK012408000250</t>
  </si>
  <si>
    <t>นาง วีณา สนทอง</t>
  </si>
  <si>
    <t>STHBKK012408000251</t>
  </si>
  <si>
    <t>นาง ลอย เคร่งกระโทก</t>
  </si>
  <si>
    <t>STHBKK012408000252</t>
  </si>
  <si>
    <t>นาย ภัทรพล ชัยมโนภิรมย์</t>
  </si>
  <si>
    <t>STHBKK012408000253</t>
  </si>
  <si>
    <t>นาย ธนวรรธน์  ปราชญ์เรืองนนท์</t>
  </si>
  <si>
    <t>STHBKK012408000254</t>
  </si>
  <si>
    <t>STHBKK012408000256</t>
  </si>
  <si>
    <t>นางสาว ประศมา</t>
  </si>
  <si>
    <t>STHBKK012408000257</t>
  </si>
  <si>
    <t>นาย วัชรวุทธิ์ หิรัญกิจอนันต์</t>
  </si>
  <si>
    <t>STHBKK012408000258</t>
  </si>
  <si>
    <t>นาย สามภพ คงเมือง</t>
  </si>
  <si>
    <t>STHBKK012408000259</t>
  </si>
  <si>
    <t>STHBKK012408000260</t>
  </si>
  <si>
    <t>นาย คุณคำพุฒ วิถี</t>
  </si>
  <si>
    <t>STHBKK012408000261</t>
  </si>
  <si>
    <t>STHBKK012408000262</t>
  </si>
  <si>
    <t>STHBKK012408000263</t>
  </si>
  <si>
    <t>STHBKK012408000264</t>
  </si>
  <si>
    <t>นางสาว ฐิติกัญญ์ จันทร์เพ็ชร์</t>
  </si>
  <si>
    <t>STHBKK012408000265</t>
  </si>
  <si>
    <t>นางสาว กนกวรรณ โต๊ะดี</t>
  </si>
  <si>
    <t>STHBKK012408000267</t>
  </si>
  <si>
    <t>นาย อำนาจ นนทะพา</t>
  </si>
  <si>
    <t>STHBKK012408000268</t>
  </si>
  <si>
    <t>STHBKK012408000269</t>
  </si>
  <si>
    <t>นางสาว ธนาวดี  เพียรจัด</t>
  </si>
  <si>
    <t>STHBKK012408000270</t>
  </si>
  <si>
    <t>นางสาว นิชธาวัลย์ กันชนะ</t>
  </si>
  <si>
    <t>STHBKK012408000271</t>
  </si>
  <si>
    <t>STHONLIN2408000116</t>
  </si>
  <si>
    <t>STHONLIN2408000118</t>
  </si>
  <si>
    <t>นาย ยศพัทธิ์ ศรีอุทิศ</t>
  </si>
  <si>
    <t>STHONLIN2408000119</t>
  </si>
  <si>
    <t>นางสาว ปาลิตา เสน่ห์เมือง</t>
  </si>
  <si>
    <t>STHONLIN2408000120</t>
  </si>
  <si>
    <t>นางสาว ภาวิณี พวงมาลัยทอง</t>
  </si>
  <si>
    <t>STHONLIN2408000122</t>
  </si>
  <si>
    <t>นางสาว ปรียานุช  กรัดเฟื่อง</t>
  </si>
  <si>
    <t>STHONLIN2408000126</t>
  </si>
  <si>
    <t>นาย ธงชัย เดชอินทร์</t>
  </si>
  <si>
    <t>STHONLIN2408000127</t>
  </si>
  <si>
    <t>บริษัท เศรษฐกวี จำกัด ( สำนักงานใหญ่ )</t>
  </si>
  <si>
    <t xml:space="preserve">กระตอย  / นิ้ว  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</si>
  <si>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</si>
  <si>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8 ส.ค.67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</si>
  <si>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STHBKK012408000272</t>
  </si>
  <si>
    <t>STHBKK012408000273</t>
  </si>
  <si>
    <t>STHBKK012408000274</t>
  </si>
  <si>
    <t>STHBKK012408000275</t>
  </si>
  <si>
    <t>นางสาว กัญญ์ชญามาศ สารกิจ</t>
  </si>
  <si>
    <t>STHBKK012408000276</t>
  </si>
  <si>
    <t>นาย  จักรพงศ์ เพชรเหลี่ยม</t>
  </si>
  <si>
    <t>STHBKK012408000277</t>
  </si>
  <si>
    <t>นางสาว อโณทัย อุดมผล</t>
  </si>
  <si>
    <t>STHBKK012408000278</t>
  </si>
  <si>
    <t>นาย ดำรงชัย สาระบัว</t>
  </si>
  <si>
    <t>STHBKK012408000279</t>
  </si>
  <si>
    <t>นางสาว พนิดา  ยิ่งยง</t>
  </si>
  <si>
    <t>STHBKK012408000280</t>
  </si>
  <si>
    <t>นางสาว ปฐมา จำเนียรศรี</t>
  </si>
  <si>
    <t>STHBKK012408000282</t>
  </si>
  <si>
    <t>นาย บำรุง  คูณเขตนคร</t>
  </si>
  <si>
    <t>STHBKK012408000283</t>
  </si>
  <si>
    <t>STHBKK012408000284</t>
  </si>
  <si>
    <t>STHBKK012408000285</t>
  </si>
  <si>
    <t>นางสาว ณัฐรภา   นิลสนธิ</t>
  </si>
  <si>
    <t>STHBKK012408000286</t>
  </si>
  <si>
    <t>STHBKK012408000288</t>
  </si>
  <si>
    <t>STHBKK012408000289</t>
  </si>
  <si>
    <t>นาย สุพจน์ ท้าวเคหะ</t>
  </si>
  <si>
    <t>STHBKK012408000291</t>
  </si>
  <si>
    <t>นาง พจนีย์  มุ้ยแก้ว</t>
  </si>
  <si>
    <t>STHBKK012408000292</t>
  </si>
  <si>
    <t>นาย วัชรากร เข็มนาค</t>
  </si>
  <si>
    <t>STHBKK012408000293</t>
  </si>
  <si>
    <t>นาง พัชรี   ธรรมรักษ์กุล</t>
  </si>
  <si>
    <t>STHBKK012408000294</t>
  </si>
  <si>
    <t>STHBKK012408000295</t>
  </si>
  <si>
    <t>นางสาว กัลยรัตน์ ฤทธิ์น้อย</t>
  </si>
  <si>
    <t>STHBKK012408000296</t>
  </si>
  <si>
    <t>นาง สมหมาย อ่อนและมัย</t>
  </si>
  <si>
    <t>STHBKK012408000297</t>
  </si>
  <si>
    <t>STHBKK012408000298</t>
  </si>
  <si>
    <t>บริษัท  รินทร์รฐา กรุ๊ป จำกัด(สำนักงานใหญ่)</t>
  </si>
  <si>
    <t>STHBKK012408000299</t>
  </si>
  <si>
    <t>STHBKK012408000300</t>
  </si>
  <si>
    <t>STHBKK012408000301</t>
  </si>
  <si>
    <t>นาย สุรวัฒน์ ตั้งพงศ์ศิรประภา</t>
  </si>
  <si>
    <t>STHBKK012408000302</t>
  </si>
  <si>
    <t>STHBKK012408000303</t>
  </si>
  <si>
    <t>STHBKK012408000304</t>
  </si>
  <si>
    <t>STHBKK012408000306</t>
  </si>
  <si>
    <t>STHBKK012408000308</t>
  </si>
  <si>
    <t>นาย ยงยุทธ ครุธจร</t>
  </si>
  <si>
    <t>STHBKK012408000309</t>
  </si>
  <si>
    <t>STHBKK012408000310</t>
  </si>
  <si>
    <t>นาย สุรทัศน์ เกไธสง</t>
  </si>
  <si>
    <t>STHBKK012408000311</t>
  </si>
  <si>
    <t>นาง จิดาภา  เรืองสังข์</t>
  </si>
  <si>
    <t>STHBKK012408000312</t>
  </si>
  <si>
    <t>STHBKK012408000313</t>
  </si>
  <si>
    <t>นาย ปริญพัชร์ ศรีศุภณัฐธนากุล</t>
  </si>
  <si>
    <t>STHONLIN2408000144</t>
  </si>
  <si>
    <t>นาย ดัสกรณ์ แสงฐิตาพันธุ์</t>
  </si>
  <si>
    <t>STHONLIN2408000145</t>
  </si>
  <si>
    <t>นาย สุวิทย์  รองชูเพ็ง</t>
  </si>
  <si>
    <t>นิ้ว272-292 เอิง 293-145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</si>
  <si>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</si>
  <si>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9 ส.ค.67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</si>
  <si>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STHBKK012408000314</t>
  </si>
  <si>
    <t>นาย เดชา พวงทอง</t>
  </si>
  <si>
    <t>STHBKK012408000316</t>
  </si>
  <si>
    <t>STHBKK012408000318</t>
  </si>
  <si>
    <t>STHBKK012408000319</t>
  </si>
  <si>
    <t>STHBKK012408000321</t>
  </si>
  <si>
    <t>STHBKK012408000322</t>
  </si>
  <si>
    <t>STHBKK012408000323</t>
  </si>
  <si>
    <t>STHBKK012408000324</t>
  </si>
  <si>
    <t>STHBKK012408000325</t>
  </si>
  <si>
    <t>STHBKK012408000326</t>
  </si>
  <si>
    <t>STHBKK012408000327</t>
  </si>
  <si>
    <t>STHBKK012408000329</t>
  </si>
  <si>
    <t>STHBKK012408000330</t>
  </si>
  <si>
    <t>นาย ปาณชัย คงกอ</t>
  </si>
  <si>
    <t>STHBKK012408000331</t>
  </si>
  <si>
    <t>ห้างหุ้นส่วน เครือข่ายปิยธนา ( สำนักงานใหญ่ )</t>
  </si>
  <si>
    <t>STHBKK012408000332</t>
  </si>
  <si>
    <t>STHBKK012408000333</t>
  </si>
  <si>
    <t>STHBKK012408000334</t>
  </si>
  <si>
    <t>STHBKK012408000335</t>
  </si>
  <si>
    <t>นาย ไทคูณ ไพรบึง</t>
  </si>
  <si>
    <t>STHBKK012408000336</t>
  </si>
  <si>
    <t>STHBKK012408000337</t>
  </si>
  <si>
    <t>STHBKK012408000338</t>
  </si>
  <si>
    <t>STHBKK012408000339</t>
  </si>
  <si>
    <t>STHBKK012408000340</t>
  </si>
  <si>
    <t>นาย วรเชษฐ์ ทองหล่อ</t>
  </si>
  <si>
    <t>STHBKK012408000341</t>
  </si>
  <si>
    <t>นางสาว ศิริรัตน์ แก้วม่วง</t>
  </si>
  <si>
    <t>STHBKK012408000342</t>
  </si>
  <si>
    <t>STHBKK012408000343</t>
  </si>
  <si>
    <t>ห้างหุ้นส่วนจำกัด บี ฮัมเบิล แอนด์ เมอร์ซี กรุ๊ป  (สำนักงานใหญ่)</t>
  </si>
  <si>
    <t>STHBKK012408000344</t>
  </si>
  <si>
    <t>STHBKK012408000346</t>
  </si>
  <si>
    <t>STHBKK012408000347</t>
  </si>
  <si>
    <t>นาง พิสมัย เอี่ยมศรีวงศา</t>
  </si>
  <si>
    <t>STHONLIN2408000147</t>
  </si>
  <si>
    <t>STHONLIN2408000152</t>
  </si>
  <si>
    <t>STHONLIN2408000155</t>
  </si>
  <si>
    <t>STHONLIN2408000157</t>
  </si>
  <si>
    <t>นาย วีระ ชูศิลป์</t>
  </si>
  <si>
    <t>เอิง 317-334 เกษ 335-157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</si>
  <si>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</si>
  <si>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10 ส.ค.67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</si>
  <si>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STHBKK012408000348</t>
  </si>
  <si>
    <t>นาง อรุณี ทับคำ</t>
  </si>
  <si>
    <t>STHBKK012408000349</t>
  </si>
  <si>
    <t>นางสาว สุภาภรณ์ เพ็งพานิช</t>
  </si>
  <si>
    <t>STHBKK012408000350</t>
  </si>
  <si>
    <t>STHBKK012408000351</t>
  </si>
  <si>
    <t>นาง สุไพรรัตน์ ใยโฉม</t>
  </si>
  <si>
    <t>STHBKK012408000352</t>
  </si>
  <si>
    <t>นาย นิรัญ บุราคร</t>
  </si>
  <si>
    <t>STHBKK012408000353</t>
  </si>
  <si>
    <t>STHBKK012408000354</t>
  </si>
  <si>
    <t>นาง สิริรักษ์ ผิวอ่อน</t>
  </si>
  <si>
    <t>STHBKK012408000355</t>
  </si>
  <si>
    <t>STHBKK012408000356</t>
  </si>
  <si>
    <t>นาง จันทร์ศิริ ศรศรี</t>
  </si>
  <si>
    <t>STHBKK012408000357</t>
  </si>
  <si>
    <t>นางสาว กุลนาถ ไตรทัตธนากร</t>
  </si>
  <si>
    <t>STHBKK012408000358</t>
  </si>
  <si>
    <t>STHBKK012408000359</t>
  </si>
  <si>
    <t>STHBKK012408000361</t>
  </si>
  <si>
    <t>นาง พยงค์  ทศพร</t>
  </si>
  <si>
    <t>STHBKK012408000362</t>
  </si>
  <si>
    <t>STHBKK012408000363</t>
  </si>
  <si>
    <t>STHBKK012408000364</t>
  </si>
  <si>
    <t>STHBKK012408000365</t>
  </si>
  <si>
    <t>STHBKK012408000366</t>
  </si>
  <si>
    <t>นางสาว ธันย์ณิชา ชำนาญป่า</t>
  </si>
  <si>
    <t>STHBKK012408000367</t>
  </si>
  <si>
    <t>STHBKK012408000368</t>
  </si>
  <si>
    <t>STHBKK012408000370</t>
  </si>
  <si>
    <t>นาง ณัฐวดี ชิณวงษ์</t>
  </si>
  <si>
    <t>STHBKK012408000371</t>
  </si>
  <si>
    <t>STHBKK012408000372</t>
  </si>
  <si>
    <t>STHBKK012408000374</t>
  </si>
  <si>
    <t>นาง ชนิดา สามารถ</t>
  </si>
  <si>
    <t>STHBKK012408000375</t>
  </si>
  <si>
    <t>STHBKK012408000376</t>
  </si>
  <si>
    <t>STHBKK012408000377</t>
  </si>
  <si>
    <t>นาย สุรัตน์  สุขเพ็ง</t>
  </si>
  <si>
    <t>STHBKK012408000378</t>
  </si>
  <si>
    <t>นาง ภาวินี มีแสง</t>
  </si>
  <si>
    <t>STHBKK012408000379</t>
  </si>
  <si>
    <t>STHBKK012408000380</t>
  </si>
  <si>
    <t>STHBKK012408000381</t>
  </si>
  <si>
    <t>นาง ทัศนา เลื่อมสำราญ</t>
  </si>
  <si>
    <t>STHBKK012408000382</t>
  </si>
  <si>
    <t>STHBKK012408000384</t>
  </si>
  <si>
    <t>นาง สรัลชนา ก้อกระโทก</t>
  </si>
  <si>
    <t>STHBKK012408000385</t>
  </si>
  <si>
    <t>นาง นิตยา  งามยิ่งยง</t>
  </si>
  <si>
    <t>STHBKK012408000386</t>
  </si>
  <si>
    <t>นางสาว สุพัตรา  มินแสง</t>
  </si>
  <si>
    <t>STHONLIN2408000159</t>
  </si>
  <si>
    <t>บริษัท เอส ซี โกรท โกลบอล จำกัด (สำนักงานใหญ่)</t>
  </si>
  <si>
    <t>STHONLIN2408000165</t>
  </si>
  <si>
    <t>STHONLIN2408000166</t>
  </si>
  <si>
    <t>STHONLIN2408000168</t>
  </si>
  <si>
    <t>นางสาว ธนพรรษ​ ยี่ภู</t>
  </si>
  <si>
    <t>STHONLIN2408000170</t>
  </si>
  <si>
    <t>STHONLIN2408000171</t>
  </si>
  <si>
    <t>STHONLIN2408000172</t>
  </si>
  <si>
    <t>นาย ไชยพงศ์ รุ่งอำพินธ์</t>
  </si>
  <si>
    <t>STHONLIN2408000173</t>
  </si>
  <si>
    <t>นิ้ิ้ว/กะตอย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</si>
  <si>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</si>
  <si>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11 ส.ค.67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</si>
  <si>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STHBKK012408000387</t>
  </si>
  <si>
    <t>นาย จามร เล็กสุขศรี</t>
  </si>
  <si>
    <t>STHBKK012408000388</t>
  </si>
  <si>
    <t>นาง กัญจนา ศุภศิษฏ์</t>
  </si>
  <si>
    <t>STHBKK012408000389</t>
  </si>
  <si>
    <t>STHBKK012408000390</t>
  </si>
  <si>
    <t>STHBKK012408000391</t>
  </si>
  <si>
    <t>STHBKK012408000392</t>
  </si>
  <si>
    <t>นางสาว จีรวรรณ ละว้า</t>
  </si>
  <si>
    <t>STHBKK012408000393</t>
  </si>
  <si>
    <t>นาย พนธกร ทิพยโสภากุล</t>
  </si>
  <si>
    <t>STHBKK012408000395</t>
  </si>
  <si>
    <t>STHBKK012408000396</t>
  </si>
  <si>
    <t>STHBKK012408000397</t>
  </si>
  <si>
    <t>STHBKK012408000398</t>
  </si>
  <si>
    <t>นางสาว พิมลพัตร พยัคเวชวิกรณ์</t>
  </si>
  <si>
    <t>STHBKK012408000399</t>
  </si>
  <si>
    <t>นาง สุพรรษา เชื้อเถาว์</t>
  </si>
  <si>
    <t>STHBKK012408000400</t>
  </si>
  <si>
    <t>นาย อุทัย   สมบัติ</t>
  </si>
  <si>
    <t>STHBKK012408000401</t>
  </si>
  <si>
    <t>นางสาว จินตนา วงค์ทอง</t>
  </si>
  <si>
    <t>STHBKK012408000402</t>
  </si>
  <si>
    <t>STHBKK012408000403</t>
  </si>
  <si>
    <t>นาง วาสนา สมน้อย</t>
  </si>
  <si>
    <t>STHBKK012408000404</t>
  </si>
  <si>
    <t>STHBKK012408000406</t>
  </si>
  <si>
    <t>นางสาว ชรินรัตน์  น้อยคำ</t>
  </si>
  <si>
    <t>STHBKK012408000408</t>
  </si>
  <si>
    <t>นางสาว นงพงา ตั้งฤทัยเยี่ยม</t>
  </si>
  <si>
    <t>STHBKK012408000409</t>
  </si>
  <si>
    <t>นางสาว ยุพิน กรลำ</t>
  </si>
  <si>
    <t>STHBKK012408000410</t>
  </si>
  <si>
    <t>นาง ทองมาด วงษ์ไทย</t>
  </si>
  <si>
    <t>STHBKK012408000411</t>
  </si>
  <si>
    <t>ห้างหุ้นส่วน รีลิกธีน  (สำนักงานใหญ่)</t>
  </si>
  <si>
    <t>STHBKK012408000412</t>
  </si>
  <si>
    <t>STHBKK012408000413</t>
  </si>
  <si>
    <t>STHBKK012408000414</t>
  </si>
  <si>
    <t>นางสาว ดัสนีย์ เจะเลาะ</t>
  </si>
  <si>
    <t>STHBKK012408000415</t>
  </si>
  <si>
    <t>STHBKK012408000416</t>
  </si>
  <si>
    <t>STHBKK012408000417</t>
  </si>
  <si>
    <t>นาง จิณห์จุฑา  ทับศรี</t>
  </si>
  <si>
    <t>STHBKK012408000418</t>
  </si>
  <si>
    <t>STHBKK012408000419</t>
  </si>
  <si>
    <t>STHBKK012408000420</t>
  </si>
  <si>
    <t>คัชรินทร์ ผาอินทร์</t>
  </si>
  <si>
    <t>STHBKK012408000422</t>
  </si>
  <si>
    <t>STHBKK012408000423</t>
  </si>
  <si>
    <t>นาย พงศธร ทันเต</t>
  </si>
  <si>
    <t>STHBKK012408000424</t>
  </si>
  <si>
    <t>STHONLIN2408000182</t>
  </si>
  <si>
    <t>STHONLIN2408000185</t>
  </si>
  <si>
    <t>STHONLIN2408000187</t>
  </si>
  <si>
    <t>STHONLIN2408000188</t>
  </si>
  <si>
    <t>STHONLIN2408000189</t>
  </si>
  <si>
    <t>นาง ศิราณีย์ ทิพยโสภากุล</t>
  </si>
  <si>
    <t>STHONLIN2408000190</t>
  </si>
  <si>
    <t>STHONLIN2408000192</t>
  </si>
  <si>
    <t>นางสาว กาญจนา บุญเกษม</t>
  </si>
  <si>
    <t>STHONLIN2408000195</t>
  </si>
  <si>
    <t>นิ้ิ้ว 387-410 / กะตอย 411-195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</si>
  <si>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</si>
  <si>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13 ส.ค.67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</si>
  <si>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STHBKK012408000425</t>
  </si>
  <si>
    <t>นาย วุฒิชัย คุ้มวงศ์</t>
  </si>
  <si>
    <t>STHBKK012408000426</t>
  </si>
  <si>
    <t>STHBKK012408000427</t>
  </si>
  <si>
    <t>STHBKK012408000428</t>
  </si>
  <si>
    <t>นางสาว จันธิมา ท้วมอยู่</t>
  </si>
  <si>
    <t>STHBKK012408000429</t>
  </si>
  <si>
    <t>STHBKK012408000430</t>
  </si>
  <si>
    <t>STHBKK012408000431</t>
  </si>
  <si>
    <t>STHBKK012408000432</t>
  </si>
  <si>
    <t>นางสาว กาญจนา จันทรมณี</t>
  </si>
  <si>
    <t>STHBKK012408000433</t>
  </si>
  <si>
    <t>STHBKK012408000434</t>
  </si>
  <si>
    <t>STHBKK012408000435</t>
  </si>
  <si>
    <t>STHBKK012408000436</t>
  </si>
  <si>
    <t>STHBKK012408000437</t>
  </si>
  <si>
    <t>นาง จิราพร โพธิ์ไกร</t>
  </si>
  <si>
    <t>STHBKK012408000438</t>
  </si>
  <si>
    <t>นาย วิสุทธิ์ จันทร์ประเสริฐ</t>
  </si>
  <si>
    <t>STHBKK012408000439</t>
  </si>
  <si>
    <t>นาย ท้วน ขยันกิจ</t>
  </si>
  <si>
    <t>STHBKK012408000440</t>
  </si>
  <si>
    <t>STHBKK012408000441</t>
  </si>
  <si>
    <t>STHBKK012408000442</t>
  </si>
  <si>
    <t>STHBKK012408000443</t>
  </si>
  <si>
    <t>STHBKK012408000444</t>
  </si>
  <si>
    <t>STHBKK012408000445</t>
  </si>
  <si>
    <t>นาย เกรียงไกร ไต่ถาม</t>
  </si>
  <si>
    <t>STHBKK012408000446</t>
  </si>
  <si>
    <t>STHBKK012408000447</t>
  </si>
  <si>
    <t>นาย สุทัศน์  พิมพ์สิงห์</t>
  </si>
  <si>
    <t>STHBKK012408000448</t>
  </si>
  <si>
    <t>นาย นิตินาฎ หมิ่นขัด</t>
  </si>
  <si>
    <t>STHBKK012408000449</t>
  </si>
  <si>
    <t>STHBKK012408000450</t>
  </si>
  <si>
    <t>นาย ว่าที่ ร.ต.ประสิทธิ์ รูปขำดี</t>
  </si>
  <si>
    <t>STHBKK012408000451</t>
  </si>
  <si>
    <t>STHBKK012408000452</t>
  </si>
  <si>
    <t>นางสาว ชุติมา เนตรโสภา</t>
  </si>
  <si>
    <t>STHBKK012408000453</t>
  </si>
  <si>
    <t>STHBKK012408000454</t>
  </si>
  <si>
    <t>นาย วุฒิชัย พันชี</t>
  </si>
  <si>
    <t>STHBKK012408000455</t>
  </si>
  <si>
    <t>นาง ศรีประภา  มณีวงษ์</t>
  </si>
  <si>
    <t>STHBKK012408000456</t>
  </si>
  <si>
    <t>STHBKK012408000457</t>
  </si>
  <si>
    <t>นาย ธีรศักดิ์ สุขาบูลย์</t>
  </si>
  <si>
    <t>STHBKK012408000458</t>
  </si>
  <si>
    <t>นาย อนุพันธ์ จำปา</t>
  </si>
  <si>
    <t>STHBKK012408000459</t>
  </si>
  <si>
    <t>นาย สถิตย์พงษ์ ศรีแก้ว</t>
  </si>
  <si>
    <t>STHBKK012408000460</t>
  </si>
  <si>
    <t>นาย กฤติเดช ประชานุกูล</t>
  </si>
  <si>
    <t>STHBKK012408000462</t>
  </si>
  <si>
    <t>นาง ปัณยสิตา  วโรตมะกุล</t>
  </si>
  <si>
    <t>STHBKK012408000463</t>
  </si>
  <si>
    <t>STHBKK012408000464</t>
  </si>
  <si>
    <t>นางสาว เจนจิรา เหลาทองคำ</t>
  </si>
  <si>
    <t>STHBKK012408000465</t>
  </si>
  <si>
    <t>นาย สมชาย โสภา</t>
  </si>
  <si>
    <t>STHBKK012408000466</t>
  </si>
  <si>
    <t>นาย สุพจน์ สัตตบุษ</t>
  </si>
  <si>
    <t>STHBKK012408000467</t>
  </si>
  <si>
    <t xml:space="preserve">นาย ทนงศักดิ์ รัตนบุรี		</t>
  </si>
  <si>
    <t>STHBKK012408000468</t>
  </si>
  <si>
    <t>STHBKK012408000469</t>
  </si>
  <si>
    <t>STHBKK012408000470</t>
  </si>
  <si>
    <t>STHBKK012408000472</t>
  </si>
  <si>
    <t>STHBKK012408000473</t>
  </si>
  <si>
    <t>นาย เก่งภพ ศุภาภพปภาส</t>
  </si>
  <si>
    <t>STHBKK012408000474</t>
  </si>
  <si>
    <t>STHONLIN2408000197</t>
  </si>
  <si>
    <t>นางสาว เสาวภาคย์ อ้นแก้ว</t>
  </si>
  <si>
    <t>STHONLIN2408000200</t>
  </si>
  <si>
    <t>STHONLIN2408000201</t>
  </si>
  <si>
    <t>STHONLIN2408000202</t>
  </si>
  <si>
    <t>STHONLIN2408000206</t>
  </si>
  <si>
    <t>STHONLIN2408000208</t>
  </si>
  <si>
    <t>นาย จิระวัฒน์  ใจอารีย์</t>
  </si>
  <si>
    <t>นิ้ิ้ว 425-445/ กะตอย 446-208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</si>
  <si>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</si>
  <si>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14 ส.ค.67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</si>
  <si>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STHBKK012408000475</t>
  </si>
  <si>
    <t>นางสาว จิตรานุช อินทโมรา</t>
  </si>
  <si>
    <t>STHBKK012408000476</t>
  </si>
  <si>
    <t>Mr. BROU   N  GUESSAN JULES</t>
  </si>
  <si>
    <t>STHBKK012408000477</t>
  </si>
  <si>
    <t>STHBKK012408000478</t>
  </si>
  <si>
    <t>นางสาว วิภาวดี​ แพรดำ</t>
  </si>
  <si>
    <t>STHBKK012408000479</t>
  </si>
  <si>
    <t>นาย คำรณ ภู่ลา</t>
  </si>
  <si>
    <t>STHBKK012408000480</t>
  </si>
  <si>
    <t>STHBKK012408000483</t>
  </si>
  <si>
    <t>STHBKK012408000485</t>
  </si>
  <si>
    <t>นางสาว ลัดดา แก้วแหวน</t>
  </si>
  <si>
    <t>STHBKK012408000486</t>
  </si>
  <si>
    <t>STHBKK012408000488</t>
  </si>
  <si>
    <t>STHBKK012408000489</t>
  </si>
  <si>
    <t>STHBKK012408000490</t>
  </si>
  <si>
    <t>นางสาว วรารัตน์ ฤกษ์ศรี</t>
  </si>
  <si>
    <t>STHBKK012408000491</t>
  </si>
  <si>
    <t>STHBKK012408000492</t>
  </si>
  <si>
    <t>นางสาว ธิติมา รอดภัย</t>
  </si>
  <si>
    <t>STHBKK012408000493</t>
  </si>
  <si>
    <t>นาย พินิจ  ภูผา</t>
  </si>
  <si>
    <t>STHBKK012408000494</t>
  </si>
  <si>
    <t>STHBKK012408000496</t>
  </si>
  <si>
    <t>STHBKK012408000497</t>
  </si>
  <si>
    <t>นางสาว ขวัญจิตร สมพร</t>
  </si>
  <si>
    <t>STHBKK012408000498</t>
  </si>
  <si>
    <t>นางสาว วิจิตรา คดีเวียง</t>
  </si>
  <si>
    <t>STHBKK012408000499</t>
  </si>
  <si>
    <t>STHBKK012408000500</t>
  </si>
  <si>
    <t>นาย ชารินทร์ ชมภูวิเศษ</t>
  </si>
  <si>
    <t>STHBKK012408000501</t>
  </si>
  <si>
    <t>STHBKK012408000502</t>
  </si>
  <si>
    <t>STHBKK012408000503</t>
  </si>
  <si>
    <t>นาง วิรัตน์ เสาวรส</t>
  </si>
  <si>
    <t>STHBKK012408000504</t>
  </si>
  <si>
    <t>นาย ประกาศิต เขียนเอี่ยม</t>
  </si>
  <si>
    <t>STHBKK012408000505</t>
  </si>
  <si>
    <t>STHBKK012408000506</t>
  </si>
  <si>
    <t>STHBKK012408000507</t>
  </si>
  <si>
    <t>นาง หทัยณัฐ สินธุวรโรจน์</t>
  </si>
  <si>
    <t>STHBKK012408000508</t>
  </si>
  <si>
    <t>STHBKK012408000510</t>
  </si>
  <si>
    <t>STHBKK012408000511</t>
  </si>
  <si>
    <t>STHBKK012408000512</t>
  </si>
  <si>
    <t>นาง ธันยพร  ไตรสูงเนิน</t>
  </si>
  <si>
    <t>STHBKK012408000513</t>
  </si>
  <si>
    <t>นาง นัฏฐนันธ์  เผือกกล่อม</t>
  </si>
  <si>
    <t>STHBKK012408000514</t>
  </si>
  <si>
    <t>STHBKK012408000515</t>
  </si>
  <si>
    <t>STHBKK012408000516</t>
  </si>
  <si>
    <t>STHBKK012408000517</t>
  </si>
  <si>
    <t>นาง ปวีณา   ปาทา</t>
  </si>
  <si>
    <t>STHBKK012408000518</t>
  </si>
  <si>
    <t>นางสาว ภัทรอาภา  ทวีธนาพร</t>
  </si>
  <si>
    <t>STHBKK012408000519</t>
  </si>
  <si>
    <t>STHBKK012408000520</t>
  </si>
  <si>
    <t>STHBKK012408000521</t>
  </si>
  <si>
    <t>STHONLIN2408000220</t>
  </si>
  <si>
    <t>STHONLIN2408000226</t>
  </si>
  <si>
    <t>STHONLIN2408000235</t>
  </si>
  <si>
    <t>STHONLIN2408000243</t>
  </si>
  <si>
    <t>STHONLIN2408000244</t>
  </si>
  <si>
    <t>STHONLIN2408000245</t>
  </si>
  <si>
    <t>นาย สมศักดิ์  แสงรัตนเจริญ</t>
  </si>
  <si>
    <t>STHONLIN2408000247</t>
  </si>
  <si>
    <t>STHONLIN2408000248</t>
  </si>
  <si>
    <t>STHONLIN2408000249</t>
  </si>
  <si>
    <t>นิ้ิ้ว 475-497/ กะตอย 498-249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</si>
  <si>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</si>
  <si>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15 ส.ค.67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</si>
  <si>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STHBKK012408000522</t>
  </si>
  <si>
    <t>นาย สำอางค์ พลอยดีเลิศ</t>
  </si>
  <si>
    <t>STHBKK012408000523</t>
  </si>
  <si>
    <t>นาย ภิสิทธิ์ แสนสุภา</t>
  </si>
  <si>
    <t>STHBKK012408000524</t>
  </si>
  <si>
    <t>STHBKK012408000525</t>
  </si>
  <si>
    <t>นาย สมชาย พิศมัย</t>
  </si>
  <si>
    <t>STHBKK012408000526</t>
  </si>
  <si>
    <t>STHBKK012408000527</t>
  </si>
  <si>
    <t>STHBKK012408000528</t>
  </si>
  <si>
    <t>STHBKK012408000529</t>
  </si>
  <si>
    <t>STHBKK012408000530</t>
  </si>
  <si>
    <t>นาย เชาวลิตร์ เหล่าเขตกิจ</t>
  </si>
  <si>
    <t>STHBKK012408000531</t>
  </si>
  <si>
    <t>นางสาว วรินทร บุตรทอง</t>
  </si>
  <si>
    <t>STHBKK012408000533</t>
  </si>
  <si>
    <t>นาย วิทยา  โพนพันธุ์</t>
  </si>
  <si>
    <t>STHBKK012408000534</t>
  </si>
  <si>
    <t>STHBKK012408000536</t>
  </si>
  <si>
    <t>STHBKK012408000537</t>
  </si>
  <si>
    <t>นาง ปรีชา สีวงกลาง</t>
  </si>
  <si>
    <t>STHBKK012408000538</t>
  </si>
  <si>
    <t>STHBKK012408000539</t>
  </si>
  <si>
    <t>STHBKK012408000540</t>
  </si>
  <si>
    <t>นางสาว อภัสนันท์  เจริญศิริวิชญกุล</t>
  </si>
  <si>
    <t>STHBKK012408000541</t>
  </si>
  <si>
    <t>นาง อัญชรีย์ ต่ายทรัพย์</t>
  </si>
  <si>
    <t>STHBKK012408000543</t>
  </si>
  <si>
    <t>นางสาว อาภรณ์ วงษ์คำจันทร์</t>
  </si>
  <si>
    <t>STHBKK012408000544</t>
  </si>
  <si>
    <t>STHBKK012408000545</t>
  </si>
  <si>
    <t>นางสาว ละอองดาว  กองแก้ว</t>
  </si>
  <si>
    <t>STHBKK012408000546</t>
  </si>
  <si>
    <t>STHBKK012408000548</t>
  </si>
  <si>
    <t>STHBKK012408000549</t>
  </si>
  <si>
    <t>นาง วรนุช มาดวง</t>
  </si>
  <si>
    <t>STHBKK012408000550</t>
  </si>
  <si>
    <t>STHBKK012408000551</t>
  </si>
  <si>
    <t>นางสาว น้ำค้าง แก้วลา</t>
  </si>
  <si>
    <t>STHBKK012408000552</t>
  </si>
  <si>
    <t>นางสาว เพิ่มศรี บุญมี</t>
  </si>
  <si>
    <t>STHBKK012408000553</t>
  </si>
  <si>
    <t>STHBKK012408000554</t>
  </si>
  <si>
    <t>นาย ประสงค์ ผลเจริญ</t>
  </si>
  <si>
    <t>STHBKK012408000555</t>
  </si>
  <si>
    <t>STHONLIN2408000254</t>
  </si>
  <si>
    <t>นาย อนุสรณ์ ศรีสุวรรณ</t>
  </si>
  <si>
    <t>STHONLIN2408000256</t>
  </si>
  <si>
    <t>STHONLIN2408000257</t>
  </si>
  <si>
    <t>นาย สุรพล จันทรานุรักษ์</t>
  </si>
  <si>
    <t>STHONLIN2408000259</t>
  </si>
  <si>
    <t>STHONLIN2408000260</t>
  </si>
  <si>
    <t>STHONLIN2408000261</t>
  </si>
  <si>
    <t>นาย ปณิธาน ไพรบึง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</si>
  <si>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</si>
  <si>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16 ส.ค.67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</si>
  <si>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STHBKK012408000556</t>
  </si>
  <si>
    <t>STHBKK012408000557</t>
  </si>
  <si>
    <t>STHBKK012408000558</t>
  </si>
  <si>
    <t>นางสาว วรรณา  แย้มวงษ์</t>
  </si>
  <si>
    <t>STHBKK012408000560</t>
  </si>
  <si>
    <t>STHBKK012408000561</t>
  </si>
  <si>
    <t>นางสาว สุปราณี เรืองพานิช</t>
  </si>
  <si>
    <t>STHBKK012408000563</t>
  </si>
  <si>
    <t>นาย จำเนียร เขาอั้น</t>
  </si>
  <si>
    <t>STHBKK012408000564</t>
  </si>
  <si>
    <t>นาง สุขใจ วงศ์วิเศษ</t>
  </si>
  <si>
    <t>STHBKK012408000565</t>
  </si>
  <si>
    <t>STHBKK012408000566</t>
  </si>
  <si>
    <t>นางสาว รัชษิรินทร์ แก้ววิจิตร</t>
  </si>
  <si>
    <t>STHBKK012408000567</t>
  </si>
  <si>
    <t>STHBKK012408000569</t>
  </si>
  <si>
    <t>STHBKK012408000570</t>
  </si>
  <si>
    <t>นาย สิริศักดิ์ นมพุก</t>
  </si>
  <si>
    <t>STHBKK012408000571</t>
  </si>
  <si>
    <t>STHBKK012408000572</t>
  </si>
  <si>
    <t>STHBKK012408000573</t>
  </si>
  <si>
    <t>STHBKK012408000575</t>
  </si>
  <si>
    <t>นาง ทัศวรรณ ประมัย</t>
  </si>
  <si>
    <t>STHBKK012408000576</t>
  </si>
  <si>
    <t>นาง สมควร  มโหรา</t>
  </si>
  <si>
    <t>STHBKK012408000577</t>
  </si>
  <si>
    <t>STHBKK012408000578</t>
  </si>
  <si>
    <t>STHBKK012408000579</t>
  </si>
  <si>
    <t>STHBKK012408000580</t>
  </si>
  <si>
    <t>นาย รุ่งโรจน์  วชิรไชยนันท์</t>
  </si>
  <si>
    <t>STHBKK012408000581</t>
  </si>
  <si>
    <t>STHBKK012408000583</t>
  </si>
  <si>
    <t>STHBKK012408000585</t>
  </si>
  <si>
    <t>STHBKK012408000587</t>
  </si>
  <si>
    <t>STHBKK012408000589</t>
  </si>
  <si>
    <t>STHBKK012408000590</t>
  </si>
  <si>
    <t>STHBKK012408000591</t>
  </si>
  <si>
    <t>STHBKK012408000592</t>
  </si>
  <si>
    <t>นาย นิรันดร์ สันอัด</t>
  </si>
  <si>
    <t>STHBKK012408000593</t>
  </si>
  <si>
    <t>STHBKK012408000594</t>
  </si>
  <si>
    <t>สมใจ สุวรรณรัตน์</t>
  </si>
  <si>
    <t>STHBKK012408000595</t>
  </si>
  <si>
    <t>STHBKK012408000596</t>
  </si>
  <si>
    <t>STHBKK012408000597</t>
  </si>
  <si>
    <t>STHBKK012408000598</t>
  </si>
  <si>
    <t>นางสาว อัญชลี พรมคล้าย</t>
  </si>
  <si>
    <t>STHBKK012408000599</t>
  </si>
  <si>
    <t>นางสาว โนนประภัสสร  พูนนะปันโน</t>
  </si>
  <si>
    <t>STHBKK012408000600</t>
  </si>
  <si>
    <t>STHBKK012408000602</t>
  </si>
  <si>
    <t>นาง เบญญารัศม์​ วาณิชย์โรจนากุล</t>
  </si>
  <si>
    <t>STHBKK012408000603</t>
  </si>
  <si>
    <t>นาย วิเชียร บุตรสอน</t>
  </si>
  <si>
    <t>STHONLIN2408000265</t>
  </si>
  <si>
    <t>STHONLIN2408000269</t>
  </si>
  <si>
    <t>นาง ประไพ สกุลช่วย</t>
  </si>
  <si>
    <t>STHONLIN2408000270</t>
  </si>
  <si>
    <t>STHONLIN2408000272</t>
  </si>
  <si>
    <t>นางสาว จิณัฐตา ทองถาวรวงศ์</t>
  </si>
  <si>
    <t>STHONLIN2408000274</t>
  </si>
  <si>
    <t>นาย นพดล ศรีสมบัติ</t>
  </si>
  <si>
    <t>STHONLIN2408000276</t>
  </si>
  <si>
    <t>นาย สาคร กลางหาบุตร</t>
  </si>
  <si>
    <t>STHONLIN2408000283</t>
  </si>
  <si>
    <t>นาย ยุทธนา ภู่ภักดี</t>
  </si>
  <si>
    <t>STHONLIN2408000284</t>
  </si>
  <si>
    <t>นาง วันเเพ็น สุ่มประเสริฐ</t>
  </si>
  <si>
    <t>STHONLIN2408000285</t>
  </si>
  <si>
    <t>STHONLIN2408000286</t>
  </si>
  <si>
    <t>นาย เกียรติศักดิ์ อาดมะเร๊ะ</t>
  </si>
  <si>
    <t>STHONLIN2408000288</t>
  </si>
  <si>
    <t>นาง สุวิมล คันทะมาลา</t>
  </si>
  <si>
    <t>STHONLIN2408000289</t>
  </si>
  <si>
    <t>นาง สมจิตร รุ่งเรือง</t>
  </si>
  <si>
    <t>STHONLIN2408000290</t>
  </si>
  <si>
    <t>STHONLIN2408000291</t>
  </si>
  <si>
    <t>นาง มัลลิกา พรมมา</t>
  </si>
  <si>
    <t>เอิง556-589/กะตอย590-291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</si>
  <si>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</si>
  <si>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17 ส.ค.67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</si>
  <si>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STHBKK012408000604</t>
  </si>
  <si>
    <t>STHBKK012408000605</t>
  </si>
  <si>
    <t>STHBKK012408000606</t>
  </si>
  <si>
    <t>STHBKK012408000607</t>
  </si>
  <si>
    <t>STHBKK012408000608</t>
  </si>
  <si>
    <t>STHBKK012408000609</t>
  </si>
  <si>
    <t>STHBKK012408000610</t>
  </si>
  <si>
    <t>STHBKK012408000611</t>
  </si>
  <si>
    <t>นาย บุญเชิด ปิ่นมณี</t>
  </si>
  <si>
    <t>STHBKK012408000613</t>
  </si>
  <si>
    <t>STHBKK012408000615</t>
  </si>
  <si>
    <t>นาง จู ค้ำชู</t>
  </si>
  <si>
    <t>STHBKK012408000616</t>
  </si>
  <si>
    <t>นางสาว รวีวรรณ จินต์สวัสดิ์</t>
  </si>
  <si>
    <t>STHBKK012408000618</t>
  </si>
  <si>
    <t>นาย สัญญา เจิมเจนการ</t>
  </si>
  <si>
    <t>STHBKK012408000619</t>
  </si>
  <si>
    <t>นาง สิริรัตน์ อินทร์ศักดิ์</t>
  </si>
  <si>
    <t>STHBKK012408000620</t>
  </si>
  <si>
    <t>นางสาว ทิพวัลย์ วงษ์ธัญกรณ์</t>
  </si>
  <si>
    <t>STHBKK012408000621</t>
  </si>
  <si>
    <t>STHBKK012408000623</t>
  </si>
  <si>
    <t>STHBKK012408000624</t>
  </si>
  <si>
    <t>บริษัท ซีเวียร์ 289 จำกัด ( สำนักงานใหญ่ )</t>
  </si>
  <si>
    <t>STHBKK012408000625</t>
  </si>
  <si>
    <t>นาย สุรัช สุดโต</t>
  </si>
  <si>
    <t>STHBKK012408000626</t>
  </si>
  <si>
    <t>STHBKK012408000628</t>
  </si>
  <si>
    <t>STHBKK012408000629</t>
  </si>
  <si>
    <t>STHBKK012408000631</t>
  </si>
  <si>
    <t>STHBKK012408000632</t>
  </si>
  <si>
    <t>STHBKK012408000634</t>
  </si>
  <si>
    <t>STHBKK012408000635</t>
  </si>
  <si>
    <t>STHBKK012408000637</t>
  </si>
  <si>
    <t>STHBKK012408000638</t>
  </si>
  <si>
    <t>STHBKK012408000639</t>
  </si>
  <si>
    <t>STHBKK012408000640</t>
  </si>
  <si>
    <t>นางสาว จำเรียง อินทปัตย์</t>
  </si>
  <si>
    <t>STHBKK012408000641</t>
  </si>
  <si>
    <t>นางสาว พรพรรณ แก้วเพชร</t>
  </si>
  <si>
    <t>STHBKK012408000642</t>
  </si>
  <si>
    <t>STHBKK012408000643</t>
  </si>
  <si>
    <t>STHONLIN2408000295</t>
  </si>
  <si>
    <t>นางสาว ณัฐติกานต์ สอนบุญชู</t>
  </si>
  <si>
    <t>STHONLIN2408000306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</si>
  <si>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</si>
  <si>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18 ส.ค.67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</si>
  <si>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STHBKK012408000644</t>
  </si>
  <si>
    <t>STHBKK012408000645</t>
  </si>
  <si>
    <t>STHBKK012408000646</t>
  </si>
  <si>
    <t>นาง เพชรา พิพัฒน์สันติกุล</t>
  </si>
  <si>
    <t>STHBKK012408000647</t>
  </si>
  <si>
    <t>STHBKK012408000648</t>
  </si>
  <si>
    <t>นาง อุษณีย์ สุนทโรทก</t>
  </si>
  <si>
    <t>STHBKK012408000649</t>
  </si>
  <si>
    <t>STHBKK012408000650</t>
  </si>
  <si>
    <t>STHBKK012408000651</t>
  </si>
  <si>
    <t>STHBKK012408000652</t>
  </si>
  <si>
    <t>นาย อำนาจ ดุ่ยดา</t>
  </si>
  <si>
    <t>STHBKK012408000653</t>
  </si>
  <si>
    <t>STHBKK012408000654</t>
  </si>
  <si>
    <t>STHBKK012408000655</t>
  </si>
  <si>
    <t>นางสาว สุภาวดี บุญเพ็ชร</t>
  </si>
  <si>
    <t>STHBKK012408000656</t>
  </si>
  <si>
    <t>STHBKK012408000657</t>
  </si>
  <si>
    <t>STHBKK012408000658</t>
  </si>
  <si>
    <t>STHBKK012408000660</t>
  </si>
  <si>
    <t>นางสาว นภาพร  สงสายออ</t>
  </si>
  <si>
    <t>STHBKK012408000661</t>
  </si>
  <si>
    <t>STHBKK012408000662</t>
  </si>
  <si>
    <t>STHBKK012408000663</t>
  </si>
  <si>
    <t>STHBKK012408000664</t>
  </si>
  <si>
    <t>นาย เฉลิมพล ผาอินทร์</t>
  </si>
  <si>
    <t>STHBKK012408000665</t>
  </si>
  <si>
    <t>นางสาว ดารดี ญาณกวี</t>
  </si>
  <si>
    <t>STHONLIN2408000316</t>
  </si>
  <si>
    <t>STHONLIN2408000317</t>
  </si>
  <si>
    <t>STHONLIN2408000318</t>
  </si>
  <si>
    <t>STHONLIN2408000320</t>
  </si>
  <si>
    <t>ห้างหุ้นส่วน โกรท โกลเบิล เน็ตเวิร์ก (สำนักงานใหญ่)</t>
  </si>
  <si>
    <t>STHONLIN2408000321</t>
  </si>
  <si>
    <t>STHONLIN2408000322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</si>
  <si>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</si>
  <si>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19 ส.ค.67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</si>
  <si>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STHBKK012408000666</t>
  </si>
  <si>
    <t>STHBKK012408000667</t>
  </si>
  <si>
    <t>STHBKK012408000668</t>
  </si>
  <si>
    <t>STHBKK012408000669</t>
  </si>
  <si>
    <t>นาย เพชร ภูมี</t>
  </si>
  <si>
    <t>STHBKK012408000670</t>
  </si>
  <si>
    <t>นาย ธิติวัฒน์  รัตนภูมิ</t>
  </si>
  <si>
    <t>STHBKK012408000671</t>
  </si>
  <si>
    <t>STHBKK012408000673</t>
  </si>
  <si>
    <t>นาย สมศักดิ์    กลิ่นจันทร์</t>
  </si>
  <si>
    <t>STHBKK012408000674</t>
  </si>
  <si>
    <t>นางสาว มาริษา  วงศ์สวัสดิ์</t>
  </si>
  <si>
    <t>STHBKK012408000675</t>
  </si>
  <si>
    <t>STHBKK012408000676</t>
  </si>
  <si>
    <t>STHBKK012408000677</t>
  </si>
  <si>
    <t>STHBKK012408000678</t>
  </si>
  <si>
    <t>นาย พิทยา บุญกล้า</t>
  </si>
  <si>
    <t>STHBKK012408000679</t>
  </si>
  <si>
    <t>STHBKK012408000681</t>
  </si>
  <si>
    <t>นาง พเยาว์ พุ่มแจ้ง</t>
  </si>
  <si>
    <t>STHBKK012408000682</t>
  </si>
  <si>
    <t>STHBKK012408000683</t>
  </si>
  <si>
    <t>STHBKK012408000684</t>
  </si>
  <si>
    <t>STHBKK012408000685</t>
  </si>
  <si>
    <t>STHBKK012408000686</t>
  </si>
  <si>
    <t>STHBKK012408000687</t>
  </si>
  <si>
    <t>STHBKK012408000689</t>
  </si>
  <si>
    <t>นาย ธำรงค์ศักดิ์ มะลิซ้อน</t>
  </si>
  <si>
    <t>STHBKK012408000690</t>
  </si>
  <si>
    <t>STHBKK012408000691</t>
  </si>
  <si>
    <t>STHBKK012408000692</t>
  </si>
  <si>
    <t>STHBKK012408000694</t>
  </si>
  <si>
    <t>นาย อภิเดช ไตรสุงเนิน</t>
  </si>
  <si>
    <t>STHBKK012408000695</t>
  </si>
  <si>
    <t>STHBKK012408000696</t>
  </si>
  <si>
    <t>STHBKK012408000697</t>
  </si>
  <si>
    <t>นาง นารินี กมลสุวรรณ</t>
  </si>
  <si>
    <t>STHBKK012408000698</t>
  </si>
  <si>
    <t>STHBKK012408000699</t>
  </si>
  <si>
    <t>STHBKK012408000700</t>
  </si>
  <si>
    <t>STHBKK012408000701</t>
  </si>
  <si>
    <t>STHBKK012408000702</t>
  </si>
  <si>
    <t>STHBKK012408000703</t>
  </si>
  <si>
    <t>STHBKK012408000704</t>
  </si>
  <si>
    <t>STHONLIN2408000327</t>
  </si>
  <si>
    <t>STHONLIN2408000328</t>
  </si>
  <si>
    <t>STHONLIN2408000329</t>
  </si>
  <si>
    <t>STHONLIN2408000333</t>
  </si>
  <si>
    <t>นาย พิเชษฐ์ เดชแพง</t>
  </si>
  <si>
    <t>STHONLIN2408000334</t>
  </si>
  <si>
    <t>นาย จอมภพ สัมมัตถะ</t>
  </si>
  <si>
    <t>STHONLIN2408000335</t>
  </si>
  <si>
    <t>นาย วัฒนา สุขล้อม</t>
  </si>
  <si>
    <t>STHONLIN2408000337</t>
  </si>
  <si>
    <t>STHONLIN2408000342</t>
  </si>
  <si>
    <t>กะตอย/เอิง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</si>
  <si>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</si>
  <si>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เกษ / นิ้ว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</si>
  <si>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20 ส.ค.67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</si>
  <si>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STHBKK012408000705</t>
  </si>
  <si>
    <t>STHBKK012408000706</t>
  </si>
  <si>
    <t>นาง พรสุดา แก้วแดง</t>
  </si>
  <si>
    <t>STHBKK012408000707</t>
  </si>
  <si>
    <t>STHBKK012408000708</t>
  </si>
  <si>
    <t>STHBKK012408000709</t>
  </si>
  <si>
    <t>นางสาว สจี บุญเถื่อน</t>
  </si>
  <si>
    <t>STHBKK012408000710</t>
  </si>
  <si>
    <t>STHBKK012408000711</t>
  </si>
  <si>
    <t>นาย สุรศักดิ์  ไชยจักร</t>
  </si>
  <si>
    <t>STHBKK012408000712</t>
  </si>
  <si>
    <t>STHBKK012408000713</t>
  </si>
  <si>
    <t>นาย อพิรุณ  คชสิทธิ์</t>
  </si>
  <si>
    <t>STHBKK012408000714</t>
  </si>
  <si>
    <t>STHBKK012408000715</t>
  </si>
  <si>
    <t>นาง รุ่งทิพย์  จตุพรรังสรรค์</t>
  </si>
  <si>
    <t>STHBKK012408000717</t>
  </si>
  <si>
    <t>STHBKK012408000718</t>
  </si>
  <si>
    <t>STHBKK012408000719</t>
  </si>
  <si>
    <t>STHBKK012408000721</t>
  </si>
  <si>
    <t>STHBKK012408000722</t>
  </si>
  <si>
    <t>นาย บัณฑิต อินทะสิงห์</t>
  </si>
  <si>
    <t>STHBKK012408000725</t>
  </si>
  <si>
    <t>นางสาว จิรภาส คำมงคล</t>
  </si>
  <si>
    <t>STHBKK012408000726</t>
  </si>
  <si>
    <t>STHBKK012408000727</t>
  </si>
  <si>
    <t>STHBKK012408000728</t>
  </si>
  <si>
    <t>นางสาว สุธรรมา กุสันเทียะ</t>
  </si>
  <si>
    <t>STHBKK012408000729</t>
  </si>
  <si>
    <t>STHBKK012408000730</t>
  </si>
  <si>
    <t>STHBKK012408000732</t>
  </si>
  <si>
    <t>STHBKK012408000733</t>
  </si>
  <si>
    <t>STHBKK012408000734</t>
  </si>
  <si>
    <t>STHBKK012408000735</t>
  </si>
  <si>
    <t>STHBKK012408000737</t>
  </si>
  <si>
    <t>STHBKK012408000738</t>
  </si>
  <si>
    <t>นางสาว ศันสนีย์ นินสนธิ์</t>
  </si>
  <si>
    <t>STHBKK012408000739</t>
  </si>
  <si>
    <t>STHBKK012408000740</t>
  </si>
  <si>
    <t>STHBKK012408000742</t>
  </si>
  <si>
    <t>STHBKK012408000744</t>
  </si>
  <si>
    <t>นาย ศักดา ตำนาญ</t>
  </si>
  <si>
    <t>STHBKK012408000745</t>
  </si>
  <si>
    <t>นาง ลำเพลิน  พุ่มไสว</t>
  </si>
  <si>
    <t>STHBKK012408000746</t>
  </si>
  <si>
    <t>พิชชาพร พุ่มไสว</t>
  </si>
  <si>
    <t>STHBKK012408000747</t>
  </si>
  <si>
    <t>STHBKK012408000748</t>
  </si>
  <si>
    <t>นาย จิรวัฒน์ ทิววัฒน์ปกรณ์</t>
  </si>
  <si>
    <t>STHBKK012408000749</t>
  </si>
  <si>
    <t>STHBKK012408000750</t>
  </si>
  <si>
    <t>95 ดร.สิปปภาส  โรจนวสุธร</t>
  </si>
  <si>
    <t>STHBKK012408000751</t>
  </si>
  <si>
    <t>STHBKK012408000752</t>
  </si>
  <si>
    <t>STHBKK012408000753</t>
  </si>
  <si>
    <t>STHBKK012408000754</t>
  </si>
  <si>
    <t>นางสาว ศิริพร อินทวงษ์</t>
  </si>
  <si>
    <t>STHBKK012408000755</t>
  </si>
  <si>
    <t>นางสาว ณัฐยา บริบูรณ์บันเทิง</t>
  </si>
  <si>
    <t>STHONLIN2408000344</t>
  </si>
  <si>
    <t>STHONLIN2408000347</t>
  </si>
  <si>
    <t>STHONLIN2408000352</t>
  </si>
  <si>
    <t>นาย ติณณวิชญ์ อนันต์พิชัยเดช</t>
  </si>
  <si>
    <t>STHONLIN2408000355</t>
  </si>
  <si>
    <t>นางสาว กาญตนา ตรีศักดิ์</t>
  </si>
  <si>
    <t>STHONLIN2408000357</t>
  </si>
  <si>
    <t>STHONLIN2408000359</t>
  </si>
  <si>
    <t>STHONLIN2408000360</t>
  </si>
  <si>
    <t>STHONLIN2408000361</t>
  </si>
  <si>
    <t>STHONLIN2408000362</t>
  </si>
  <si>
    <t>ตอย705/734-นิ้ว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</si>
  <si>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</si>
  <si>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21 ส.ค.67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</si>
  <si>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STHBKK012408000756</t>
  </si>
  <si>
    <t>STHBKK012408000757</t>
  </si>
  <si>
    <t>STHBKK012408000758</t>
  </si>
  <si>
    <t>STHBKK012408000759</t>
  </si>
  <si>
    <t>STHBKK012408000760</t>
  </si>
  <si>
    <t>STHBKK012408000763</t>
  </si>
  <si>
    <t>STHBKK012408000765</t>
  </si>
  <si>
    <t>บริษัท  บริษัท สิริ โพรเฟสชั่นนอล จำกัด</t>
  </si>
  <si>
    <t>STHBKK012408000766</t>
  </si>
  <si>
    <t>STHBKK012408000767</t>
  </si>
  <si>
    <t>นาง ขวัญใจ ร่มโพธิ์ชี + ดำรงค์ศักดิ์ ร่มโพธิ์ชี</t>
  </si>
  <si>
    <t>STHBKK012408000768</t>
  </si>
  <si>
    <t>STHBKK012408000769</t>
  </si>
  <si>
    <t>STHBKK012408000770</t>
  </si>
  <si>
    <t>STHBKK012408000771</t>
  </si>
  <si>
    <t>STHBKK012408000772</t>
  </si>
  <si>
    <t>STHBKK012408000773</t>
  </si>
  <si>
    <t>นาย สกลสักก์ สาครเรืองสิรี</t>
  </si>
  <si>
    <t>STHBKK012408000774</t>
  </si>
  <si>
    <t>STHBKK012408000775</t>
  </si>
  <si>
    <t>นาย เทิดศักดิ์  จันทวงษ์</t>
  </si>
  <si>
    <t>STHBKK012408000776</t>
  </si>
  <si>
    <t>นาง เจริญภรณ์ สุขลำใย</t>
  </si>
  <si>
    <t>STHBKK012408000777</t>
  </si>
  <si>
    <t>STHBKK012408000778</t>
  </si>
  <si>
    <t>STHBKK012408000779</t>
  </si>
  <si>
    <t>STHBKK012408000780</t>
  </si>
  <si>
    <t>STHBKK012408000781</t>
  </si>
  <si>
    <t>STHBKK012408000782</t>
  </si>
  <si>
    <t>lFrAmEl</t>
  </si>
  <si>
    <t>STHBKK012408000785</t>
  </si>
  <si>
    <t>นาย สมชาย พุฒสร</t>
  </si>
  <si>
    <t>STHBKK012408000786</t>
  </si>
  <si>
    <t>นาง คืน เส็งเอี่ยม</t>
  </si>
  <si>
    <t>STHBKK012408000787</t>
  </si>
  <si>
    <t>นางสาว วัชรวรรณ  นิลสุ</t>
  </si>
  <si>
    <t>STHBKK012408000788</t>
  </si>
  <si>
    <t>STHBKK012408000789</t>
  </si>
  <si>
    <t>นาง พรหมพร จินดา</t>
  </si>
  <si>
    <t>STHBKK012408000790</t>
  </si>
  <si>
    <t>STHBKK012408000791</t>
  </si>
  <si>
    <t>STHBKK012408000792</t>
  </si>
  <si>
    <t>STHBKK012408000793</t>
  </si>
  <si>
    <t>STHBKK012408000794</t>
  </si>
  <si>
    <t>นาง อัญชัน ใคร้คง</t>
  </si>
  <si>
    <t>STHBKK012408000795</t>
  </si>
  <si>
    <t>STHBKK012408000797</t>
  </si>
  <si>
    <t>STHBKK012408000799</t>
  </si>
  <si>
    <t>STHBKK012408000801</t>
  </si>
  <si>
    <t>STHONLIN2408000386</t>
  </si>
  <si>
    <t>STHONLIN2408000387</t>
  </si>
  <si>
    <t>STHONLIN2408000389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</si>
  <si>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</si>
  <si>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22 ส.ค.67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</si>
  <si>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STHBKK012408000804</t>
  </si>
  <si>
    <t>STHBKK012408000805</t>
  </si>
  <si>
    <t>STHBKK012408000806</t>
  </si>
  <si>
    <t>STHBKK012408000808</t>
  </si>
  <si>
    <t>STHBKK012408000809</t>
  </si>
  <si>
    <t>STHBKK012408000810</t>
  </si>
  <si>
    <t>STHBKK012408000811</t>
  </si>
  <si>
    <t>STHBKK012408000812</t>
  </si>
  <si>
    <t>นางสาว ประภัสสร เหมือนวงษ์ญาติ</t>
  </si>
  <si>
    <t>STHBKK012408000813</t>
  </si>
  <si>
    <t>นาย อำนาจ   สุกสะเดาะ</t>
  </si>
  <si>
    <t>STHBKK012408000814</t>
  </si>
  <si>
    <t>นางสาว ประกายดาว มูสิกัณฑ์</t>
  </si>
  <si>
    <t>STHBKK012408000815</t>
  </si>
  <si>
    <t>STHBKK012408000816</t>
  </si>
  <si>
    <t>STHBKK012408000817</t>
  </si>
  <si>
    <t>STHBKK012408000818</t>
  </si>
  <si>
    <t>นาย อำพล ทรายทอง</t>
  </si>
  <si>
    <t>STHBKK012408000819</t>
  </si>
  <si>
    <t>STHBKK012408000820</t>
  </si>
  <si>
    <t>นาง สีแพร มังกรแก้ว</t>
  </si>
  <si>
    <t>STHBKK012408000821</t>
  </si>
  <si>
    <t>นางสาว อรณิกร บุญเกษม</t>
  </si>
  <si>
    <t>STHBKK012408000823</t>
  </si>
  <si>
    <t>STHBKK012408000824</t>
  </si>
  <si>
    <t>นาง ธนิสร สุวรรณแทน</t>
  </si>
  <si>
    <t>STHBKK012408000825</t>
  </si>
  <si>
    <t>STHBKK012408000826</t>
  </si>
  <si>
    <t>STHBKK012408000827</t>
  </si>
  <si>
    <t>STHBKK012408000828</t>
  </si>
  <si>
    <t>STHBKK012408000830</t>
  </si>
  <si>
    <t>STHBKK012408000831</t>
  </si>
  <si>
    <t>STHBKK012408000833</t>
  </si>
  <si>
    <t>นางสาว พนพิมล กลิ่นจันทร์</t>
  </si>
  <si>
    <t>STHBKK012408000834</t>
  </si>
  <si>
    <t>STHBKK012408000835</t>
  </si>
  <si>
    <t>STHBKK012408000836</t>
  </si>
  <si>
    <t>นางสาว ธิภารัตน์ อินฉ่ำ</t>
  </si>
  <si>
    <t>STHBKK012408000837</t>
  </si>
  <si>
    <t>อรุณรุ่ง บุญบุษกร</t>
  </si>
  <si>
    <t>STHBKK012408000838</t>
  </si>
  <si>
    <t>STHBKK012408000840</t>
  </si>
  <si>
    <t>STHBKK012408000841</t>
  </si>
  <si>
    <t>STHBKK012408000843</t>
  </si>
  <si>
    <t>STHBKK012408000844</t>
  </si>
  <si>
    <t>นางสาว พิณภาพร มะโนน้อม</t>
  </si>
  <si>
    <t>STHBKK012408000845</t>
  </si>
  <si>
    <t>นาย ธีระชัย  จันทร์นวล</t>
  </si>
  <si>
    <t>STHONLIN2408000394</t>
  </si>
  <si>
    <t>นาย วุฒิชัย ขวัญอ่อน</t>
  </si>
  <si>
    <t>STHONLIN2408000398</t>
  </si>
  <si>
    <t>STHONLIN2408000399</t>
  </si>
  <si>
    <t>STHONLIN2408000403</t>
  </si>
  <si>
    <t>นางสาว ดุษฎีพร  แซงภูเขียว</t>
  </si>
  <si>
    <t>STHONLIN2408000404</t>
  </si>
  <si>
    <t>STHONLIN2408000405</t>
  </si>
  <si>
    <t>นาง ยุทธิพร   เกษสุวรรณ</t>
  </si>
  <si>
    <t>STHONLIN2408000407</t>
  </si>
  <si>
    <t>STHONLIN2408000408</t>
  </si>
  <si>
    <t>STHONLIN2408000413</t>
  </si>
  <si>
    <t>เอิง/กะตอย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</si>
  <si>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</si>
  <si>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23 ส.ค.67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</si>
  <si>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STHBKK012408000848</t>
  </si>
  <si>
    <t>นางสาว หนึ่งฤทัย  สันทัด</t>
  </si>
  <si>
    <t>STHBKK012408000849</t>
  </si>
  <si>
    <t>STHBKK012408000850</t>
  </si>
  <si>
    <t>นาง  นันทินี ไพจิตร</t>
  </si>
  <si>
    <t>STHBKK012408000851</t>
  </si>
  <si>
    <t>นางสาว อนิสสรา ยวงลำใย</t>
  </si>
  <si>
    <t>STHBKK012408000852</t>
  </si>
  <si>
    <t>STHBKK012408000853</t>
  </si>
  <si>
    <t>Ms. TAI THI XUAN HUE</t>
  </si>
  <si>
    <t>STHBKK012408000854</t>
  </si>
  <si>
    <t>STHBKK012408000855</t>
  </si>
  <si>
    <t>นางสาว ฤทัยวรรณ จันทร์ไพจิตร</t>
  </si>
  <si>
    <t>STHBKK012408000856</t>
  </si>
  <si>
    <t>STHBKK012408000857</t>
  </si>
  <si>
    <t>นาย ทองคำ เอมอาบ</t>
  </si>
  <si>
    <t>STHBKK012408000859</t>
  </si>
  <si>
    <t>STHBKK012408000860</t>
  </si>
  <si>
    <t>STHBKK012408000861</t>
  </si>
  <si>
    <t>STHBKK012408000863</t>
  </si>
  <si>
    <t>นาย กิตติพงษ์ ทิพย์สูงเนิน</t>
  </si>
  <si>
    <t>STHBKK012408000864</t>
  </si>
  <si>
    <t>STHBKK012408000865</t>
  </si>
  <si>
    <t>นาย สหชัย ม่วงกล่ำ</t>
  </si>
  <si>
    <t>STHBKK012408000866</t>
  </si>
  <si>
    <t>STHBKK012408000867</t>
  </si>
  <si>
    <t>นาย อิศรา ใจผูก</t>
  </si>
  <si>
    <t>STHBKK012408000868</t>
  </si>
  <si>
    <t>STHBKK012408000869</t>
  </si>
  <si>
    <t>STHBKK012408000870</t>
  </si>
  <si>
    <t>STHBKK012408000871</t>
  </si>
  <si>
    <t>STHBKK012408000873</t>
  </si>
  <si>
    <t>STHBKK012408000874</t>
  </si>
  <si>
    <t>นาย ธีระ ศรีบรรเทา</t>
  </si>
  <si>
    <t>STHBKK012408000875</t>
  </si>
  <si>
    <t>STHBKK012408000876</t>
  </si>
  <si>
    <t>STHONLIN2408000420</t>
  </si>
  <si>
    <t>STHONLIN2408000421</t>
  </si>
  <si>
    <t>STHONLIN2408000422</t>
  </si>
  <si>
    <t>STHONLIN2408000424</t>
  </si>
  <si>
    <t>นาย วสันต์ สมสว่าง</t>
  </si>
  <si>
    <t>STHONLIN2408000425</t>
  </si>
  <si>
    <t>STHONLIN2408000426</t>
  </si>
  <si>
    <t>STHONLIN2408000428</t>
  </si>
  <si>
    <t>STHONLIN2408000429</t>
  </si>
  <si>
    <t>STHONLIN2408000430</t>
  </si>
  <si>
    <t>STHONLIN2408000431</t>
  </si>
  <si>
    <t>นาย สรรณ สินธุรัตน์</t>
  </si>
  <si>
    <t xml:space="preserve">        </t>
  </si>
  <si>
    <t>STHONLIN2408000432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</si>
  <si>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</si>
  <si>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เอิิง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</si>
  <si>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24 ส.ค.67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</si>
  <si>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STHBKK012408000877</t>
  </si>
  <si>
    <t>STHBKK012408000878</t>
  </si>
  <si>
    <t>นางสาว เอื้อมพร ก้าวธรรม</t>
  </si>
  <si>
    <t>STHBKK012408000879</t>
  </si>
  <si>
    <t>นางสาว กิริยา  อยู่มะเริง</t>
  </si>
  <si>
    <t>STHBKK012408000880</t>
  </si>
  <si>
    <t>STHBKK012408000881</t>
  </si>
  <si>
    <t>STHBKK012408000882</t>
  </si>
  <si>
    <t>STHBKK012408000884</t>
  </si>
  <si>
    <t>STHBKK012408000885</t>
  </si>
  <si>
    <t>STHBKK012408000886</t>
  </si>
  <si>
    <t>STHBKK012408000887</t>
  </si>
  <si>
    <t>นางสาว ปรางค์วลิน  ม่วงนิ่ม</t>
  </si>
  <si>
    <t>STHBKK012408000888</t>
  </si>
  <si>
    <t>STHBKK012408000889</t>
  </si>
  <si>
    <t>STHBKK012408000890</t>
  </si>
  <si>
    <t>STHBKK012408000892</t>
  </si>
  <si>
    <t>นาย กำเหนิด  มรกต</t>
  </si>
  <si>
    <t>STHBKK012408000893</t>
  </si>
  <si>
    <t>STHBKK012408000895</t>
  </si>
  <si>
    <t>STHBKK012408000896</t>
  </si>
  <si>
    <t>STHBKK012408000898</t>
  </si>
  <si>
    <t>STHBKK012408000900</t>
  </si>
  <si>
    <t>นาย สมบูรณ์ สินจังหรีด</t>
  </si>
  <si>
    <t>STHBKK012408000901</t>
  </si>
  <si>
    <t>STHBKK012408000902</t>
  </si>
  <si>
    <t>STHBKK012408000903</t>
  </si>
  <si>
    <t>STHBKK012408000905</t>
  </si>
  <si>
    <t>STHBKK012408000906</t>
  </si>
  <si>
    <t>STHBKK012408000907</t>
  </si>
  <si>
    <t>นาย พีรพัฒน์ รักษ์บำรุง</t>
  </si>
  <si>
    <t>STHBKK012408000908</t>
  </si>
  <si>
    <t>นาย เอกชลิต ธวัชกฤตยา</t>
  </si>
  <si>
    <t>STHBKK012408000910</t>
  </si>
  <si>
    <t>STHBKK012408000912</t>
  </si>
  <si>
    <t>STHBKK012408000915</t>
  </si>
  <si>
    <t>STHBKK012408000916</t>
  </si>
  <si>
    <t>STHBKK012408000917</t>
  </si>
  <si>
    <t>STHBKK012408000918</t>
  </si>
  <si>
    <t>STHBKK012408000919</t>
  </si>
  <si>
    <t>STHBKK012408000920</t>
  </si>
  <si>
    <t>STHBKK012408000923</t>
  </si>
  <si>
    <t>STHBKK012408000924</t>
  </si>
  <si>
    <t>นาง ประสงค์ เราะหะนะ</t>
  </si>
  <si>
    <t>STHBKK012408000925</t>
  </si>
  <si>
    <t>นาง วันเพ็ญ  โขมพัด</t>
  </si>
  <si>
    <t>STHBKK012408000926</t>
  </si>
  <si>
    <t>STHBKK012408000927</t>
  </si>
  <si>
    <t>STHBKK012408000928</t>
  </si>
  <si>
    <t>นาย ณฐพนธ์ ศรีศักดา</t>
  </si>
  <si>
    <t>STHBKK012408000929</t>
  </si>
  <si>
    <t>STHBKK012408000930</t>
  </si>
  <si>
    <t>STHONLIN2408000435</t>
  </si>
  <si>
    <t>STHONLIN2408000436</t>
  </si>
  <si>
    <t>STHONLIN2408000438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</si>
  <si>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</si>
  <si>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25 ส.ค.67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</si>
  <si>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STHBKK012408000931</t>
  </si>
  <si>
    <t>STHBKK012408000932</t>
  </si>
  <si>
    <t>นางสาว ศิวนาถ วรรณรังษี</t>
  </si>
  <si>
    <t>STHBKK012408000933</t>
  </si>
  <si>
    <t>STHBKK012408000934</t>
  </si>
  <si>
    <t>STHBKK012408000935</t>
  </si>
  <si>
    <t>STHBKK012408000937</t>
  </si>
  <si>
    <t>STHBKK012408000938</t>
  </si>
  <si>
    <t>STHBKK012408000939</t>
  </si>
  <si>
    <t>นาย กิจปณัฎฐ์ ศิราเศรณี</t>
  </si>
  <si>
    <t>STHBKK012408000940</t>
  </si>
  <si>
    <t>STHBKK012408000943</t>
  </si>
  <si>
    <t>STHBKK012408000944</t>
  </si>
  <si>
    <t>นาย ทวีชัย รัตนะธรรม</t>
  </si>
  <si>
    <t>STHBKK012408000945</t>
  </si>
  <si>
    <t>STHBKK012408000946</t>
  </si>
  <si>
    <t>นางสาว เสาวนีย์ ราชเขียว</t>
  </si>
  <si>
    <t>STHBKK012408000947</t>
  </si>
  <si>
    <t>STHBKK012408000949</t>
  </si>
  <si>
    <t>STHBKK012408000950</t>
  </si>
  <si>
    <t>นาย ประเสริฐ  พูลสวัสดิ์</t>
  </si>
  <si>
    <t>STHBKK012408000951</t>
  </si>
  <si>
    <t>นางสาว พจณีย์ ชาญตะบะ</t>
  </si>
  <si>
    <t>STHBKK012408000952</t>
  </si>
  <si>
    <t>STHBKK012408000953</t>
  </si>
  <si>
    <t>STHBKK012408000955</t>
  </si>
  <si>
    <t>STHBKK012408000956</t>
  </si>
  <si>
    <t>นางสาว วาสนา บุญเกษม</t>
  </si>
  <si>
    <t>STHBKK012408000958</t>
  </si>
  <si>
    <t>STHBKK012408000960</t>
  </si>
  <si>
    <t>STHBKK012408000962</t>
  </si>
  <si>
    <t>STHBKK012408000963</t>
  </si>
  <si>
    <t>STHBKK012408000965</t>
  </si>
  <si>
    <t>STHBKK012408000966</t>
  </si>
  <si>
    <t>STHBKK012408000967</t>
  </si>
  <si>
    <t>STHBKK012408000969</t>
  </si>
  <si>
    <t>STHBKK012408000970</t>
  </si>
  <si>
    <t>นาย ธนกร ด้วงมี</t>
  </si>
  <si>
    <t>STHBKK012408000971</t>
  </si>
  <si>
    <t>STHBKK012408000972</t>
  </si>
  <si>
    <t>STHONLIN2408000439</t>
  </si>
  <si>
    <t>STHONLIN2408000440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</si>
  <si>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</si>
  <si>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26 ส.ค.67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</si>
  <si>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STHBKK012408000973</t>
  </si>
  <si>
    <t>STHBKK012408000974</t>
  </si>
  <si>
    <t>STHBKK012408000975</t>
  </si>
  <si>
    <t>นาย สุทธิ คำบุญ</t>
  </si>
  <si>
    <t>STHBKK012408000976</t>
  </si>
  <si>
    <t>STHBKK012408000978</t>
  </si>
  <si>
    <t>นาย อิทธิพล วิทยาเรืองศรี</t>
  </si>
  <si>
    <t>STHBKK012408000980</t>
  </si>
  <si>
    <t>นาย พงศฺณุวัฒน์ ผะดาสีณิกุล</t>
  </si>
  <si>
    <t>STHBKK012408000981</t>
  </si>
  <si>
    <t>STHBKK012408000982</t>
  </si>
  <si>
    <t>นาย อภิสิทธิ์  ผึ้งสุข</t>
  </si>
  <si>
    <t>STHBKK012408000984</t>
  </si>
  <si>
    <t>STHBKK012408000985</t>
  </si>
  <si>
    <t>STHBKK012408000986</t>
  </si>
  <si>
    <t>STHBKK012408000987</t>
  </si>
  <si>
    <t>STHBKK012408000989</t>
  </si>
  <si>
    <t>STHBKK012408000990</t>
  </si>
  <si>
    <t>STHBKK012408000991</t>
  </si>
  <si>
    <t>STHBKK012408000992</t>
  </si>
  <si>
    <t>STHBKK012408000993</t>
  </si>
  <si>
    <t>นางสาว นภัทร อินทราพงษ์</t>
  </si>
  <si>
    <t>STHBKK012408000994</t>
  </si>
  <si>
    <t>นาย อุเทน ฉวีวรรณ์</t>
  </si>
  <si>
    <t>STHBKK012408000995</t>
  </si>
  <si>
    <t>STHBKK012408000996</t>
  </si>
  <si>
    <t>Mr. NGUYEN TAN TAI</t>
  </si>
  <si>
    <t>STHBKK012408000997</t>
  </si>
  <si>
    <t>STHBKK012408000998</t>
  </si>
  <si>
    <t>นางสาว ฐิติรัตน์ พัชรวรพันธุ์</t>
  </si>
  <si>
    <t>STHBKK012408000999</t>
  </si>
  <si>
    <t>นาย ภูวกร บวรฉัตรชาตรี</t>
  </si>
  <si>
    <t>STHBKK012408001000</t>
  </si>
  <si>
    <t>นางสาว วงเดือน บุญพารา</t>
  </si>
  <si>
    <t>STHBKK012408001001</t>
  </si>
  <si>
    <t>STHBKK012408001002</t>
  </si>
  <si>
    <t>นาย โอภาส จันโท</t>
  </si>
  <si>
    <t>STHBKK012408001003</t>
  </si>
  <si>
    <t>STHBKK012408001004</t>
  </si>
  <si>
    <t>STHBKK012408001005</t>
  </si>
  <si>
    <t>นาง ชลนิกาญจน์ สุวรรณประเสริฐ</t>
  </si>
  <si>
    <t>STHBKK012408001007</t>
  </si>
  <si>
    <t>STHBKK012408001009</t>
  </si>
  <si>
    <t>STHBKK012408001010</t>
  </si>
  <si>
    <t>STHBKK012408001011</t>
  </si>
  <si>
    <t>STHBKK012408001012</t>
  </si>
  <si>
    <t>STHBKK012408001013</t>
  </si>
  <si>
    <t>STHBKK012408001014</t>
  </si>
  <si>
    <t>STHBKK012408001015</t>
  </si>
  <si>
    <t>นาย รวมพล บุญยัง</t>
  </si>
  <si>
    <t>STHBKK012408001016</t>
  </si>
  <si>
    <t>STHBKK012408001017</t>
  </si>
  <si>
    <t>STHBKK012408001018</t>
  </si>
  <si>
    <t>STHBKK012408001019</t>
  </si>
  <si>
    <t>STHBKK012408001020</t>
  </si>
  <si>
    <t>STHBKK012408001022</t>
  </si>
  <si>
    <t>นาย ระเบียบ  จันคำ</t>
  </si>
  <si>
    <t>STHBKK012408001023</t>
  </si>
  <si>
    <t>STHONLIN2408000450</t>
  </si>
  <si>
    <t>STHONLIN2408000454</t>
  </si>
  <si>
    <t>นาย ประชุม มูลศาสตร์</t>
  </si>
  <si>
    <t>STHONLIN2408000456</t>
  </si>
  <si>
    <t>STHONLIN2408000458</t>
  </si>
  <si>
    <t xml:space="preserve">ผู้ดึงบิลทางบ้าน (บิล เหมย )    </t>
  </si>
  <si>
    <t>973-1004กะตอย/เอิง1005-458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</si>
  <si>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</si>
  <si>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27  ส.ค.67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</si>
  <si>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STHBKK012408001024</t>
  </si>
  <si>
    <t>นางสาว กิริยากรณ์</t>
  </si>
  <si>
    <t>STHBKK012408001025</t>
  </si>
  <si>
    <t>นาง ภัคภร ทองประสม</t>
  </si>
  <si>
    <t>STHBKK012408001026</t>
  </si>
  <si>
    <t>นาย วิเชียร พูลบ่อโพธิ์</t>
  </si>
  <si>
    <t>STHBKK012408001027</t>
  </si>
  <si>
    <t>STHBKK012408001028</t>
  </si>
  <si>
    <t>STHBKK012408001030</t>
  </si>
  <si>
    <t>นาย เล็ก เหลืองอุดมศิลป</t>
  </si>
  <si>
    <t>STHBKK012408001032</t>
  </si>
  <si>
    <t>นาย พิษณุ  ทรัพย์เมือง</t>
  </si>
  <si>
    <t>STHBKK012408001033</t>
  </si>
  <si>
    <t>STHBKK012408001034</t>
  </si>
  <si>
    <t>STHBKK012408001035</t>
  </si>
  <si>
    <t>STHBKK012408001036</t>
  </si>
  <si>
    <t>STHBKK012408001037</t>
  </si>
  <si>
    <t>STHBKK012408001038</t>
  </si>
  <si>
    <t>STHBKK012408001039</t>
  </si>
  <si>
    <t>STHBKK012408001040</t>
  </si>
  <si>
    <t>STHBKK012408001041</t>
  </si>
  <si>
    <t>STHBKK012408001042</t>
  </si>
  <si>
    <t>นาง สนอง ฮวดศรี</t>
  </si>
  <si>
    <t>STHBKK012408001043</t>
  </si>
  <si>
    <t>STHBKK012408001044</t>
  </si>
  <si>
    <t>STHBKK012408001045</t>
  </si>
  <si>
    <t>STHBKK012408001046</t>
  </si>
  <si>
    <t>นางสาว กาญจนา  จองเกียรติ์</t>
  </si>
  <si>
    <t>STHBKK012408001047</t>
  </si>
  <si>
    <t>STHBKK012408001048</t>
  </si>
  <si>
    <t>STHBKK012408001049</t>
  </si>
  <si>
    <t>นาย พิชัย  อาษาสุข</t>
  </si>
  <si>
    <t>STHBKK012408001050</t>
  </si>
  <si>
    <t>STHBKK012408001051</t>
  </si>
  <si>
    <t>STHBKK012408001052</t>
  </si>
  <si>
    <t>STHBKK012408001053</t>
  </si>
  <si>
    <t>STHONLIN2408000466</t>
  </si>
  <si>
    <t>STHONLIN2408000471</t>
  </si>
  <si>
    <t>นาย สมยศ อภิรัชนากุล</t>
  </si>
  <si>
    <t>STHONLIN2408000472</t>
  </si>
  <si>
    <t>STHONLIN2408000473</t>
  </si>
  <si>
    <t>STHONLIN2408000478</t>
  </si>
  <si>
    <t>STHONLIN2408000482</t>
  </si>
  <si>
    <t>STHONLIN2408000489</t>
  </si>
  <si>
    <t>STHONLIN2408000491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</si>
  <si>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</si>
  <si>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28  ส.ค.67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</si>
  <si>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STHBKK012408001054</t>
  </si>
  <si>
    <t>นาง ทิฆัมพร  ทองแจ้ง</t>
  </si>
  <si>
    <t>STHBKK012408001055</t>
  </si>
  <si>
    <t>นางสาว กัลยาณี ภูนบทอง</t>
  </si>
  <si>
    <t>STHBKK012408001056</t>
  </si>
  <si>
    <t>STHBKK012408001057</t>
  </si>
  <si>
    <t>STHBKK012408001058</t>
  </si>
  <si>
    <t>STHBKK012408001059</t>
  </si>
  <si>
    <t>นาย ยงยุทธ  อรธรรมรัตน์</t>
  </si>
  <si>
    <t>STHBKK012408001060</t>
  </si>
  <si>
    <t>นาย ชาตรี ปกสุข</t>
  </si>
  <si>
    <t>STHBKK012408001061</t>
  </si>
  <si>
    <t>STHBKK012408001062</t>
  </si>
  <si>
    <t>STHBKK012408001063</t>
  </si>
  <si>
    <t>STHBKK012408001064</t>
  </si>
  <si>
    <t>นาย ธนิต พยัคภาพ</t>
  </si>
  <si>
    <t>STHBKK012408001065</t>
  </si>
  <si>
    <t>STHBKK012408001066</t>
  </si>
  <si>
    <t>STHBKK012408001068</t>
  </si>
  <si>
    <t>STHBKK012408001070</t>
  </si>
  <si>
    <t>STHBKK012408001071</t>
  </si>
  <si>
    <t>STHBKK012408001072</t>
  </si>
  <si>
    <t>STHBKK012408001073</t>
  </si>
  <si>
    <t>STHBKK012408001074</t>
  </si>
  <si>
    <t>STHBKK012408001075</t>
  </si>
  <si>
    <t>STHBKK012408001076</t>
  </si>
  <si>
    <t>นางสาว ศิริกัญญา แหวนเงิน</t>
  </si>
  <si>
    <t>STHBKK012408001077</t>
  </si>
  <si>
    <t>STHBKK012408001078</t>
  </si>
  <si>
    <t>นาง จิณณบัณณ์ พอนา</t>
  </si>
  <si>
    <t>STHBKK012408001079</t>
  </si>
  <si>
    <t>STHBKK012408001080</t>
  </si>
  <si>
    <t>STHBKK012408001081</t>
  </si>
  <si>
    <t>STHONLIN2408000493</t>
  </si>
  <si>
    <t>STHONLIN2408000503</t>
  </si>
  <si>
    <t>STHONLIN2408000504</t>
  </si>
  <si>
    <t>กะตอย1054-1070/เอิง 1071-1080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</si>
  <si>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</si>
  <si>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29  ส.ค.67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</si>
  <si>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STHBKK012408001082</t>
  </si>
  <si>
    <t>STHBKK012408001084</t>
  </si>
  <si>
    <t>STHBKK012408001085</t>
  </si>
  <si>
    <t>STHBKK012408001086</t>
  </si>
  <si>
    <t>นางสาว มาเรียม ยิ้มสาระ</t>
  </si>
  <si>
    <t>STHBKK012408001087</t>
  </si>
  <si>
    <t>นาย โกมล  ธรรมภักดี</t>
  </si>
  <si>
    <t>STHBKK012408001088</t>
  </si>
  <si>
    <t>นาง รังสิยา กลึงกลางดอน</t>
  </si>
  <si>
    <t>STHBKK012408001089</t>
  </si>
  <si>
    <t>นาง ชัยศิริ ปราชญานุกุล</t>
  </si>
  <si>
    <t>STHBKK012408001090</t>
  </si>
  <si>
    <t>STHBKK012408001091</t>
  </si>
  <si>
    <t>STHBKK012408001092</t>
  </si>
  <si>
    <t>นาย คำรพ ศรีบรรเทา</t>
  </si>
  <si>
    <t>STHBKK012408001093</t>
  </si>
  <si>
    <t>นาย สมยศ คงเสือ</t>
  </si>
  <si>
    <t>STHBKK012408001095</t>
  </si>
  <si>
    <t>นางสาว ไปรยา ไชยรา</t>
  </si>
  <si>
    <t>STHBKK012408001096</t>
  </si>
  <si>
    <t>นาง สายใจ   เชื้อนิล</t>
  </si>
  <si>
    <t>STHBKK012408001097</t>
  </si>
  <si>
    <t>STHBKK012408001098</t>
  </si>
  <si>
    <t>STHBKK012408001099</t>
  </si>
  <si>
    <t>STHBKK012408001100</t>
  </si>
  <si>
    <t>STHBKK012408001101</t>
  </si>
  <si>
    <t>STHBKK012408001102</t>
  </si>
  <si>
    <t>STHBKK012408001103</t>
  </si>
  <si>
    <t>STHBKK012408001104</t>
  </si>
  <si>
    <t>STHBKK012408001105</t>
  </si>
  <si>
    <t>นาย คำรณ ศรีนวล</t>
  </si>
  <si>
    <t>STHBKK012408001106</t>
  </si>
  <si>
    <t>STHBKK012408001107</t>
  </si>
  <si>
    <t>STHBKK012408001108</t>
  </si>
  <si>
    <t>นาย วิโรจน์ กันทาสุข</t>
  </si>
  <si>
    <t>STHBKK012408001109</t>
  </si>
  <si>
    <t>STHBKK012408001110</t>
  </si>
  <si>
    <t>นาง ศิลา  สงอาจินต์</t>
  </si>
  <si>
    <t>STHBKK012408001111</t>
  </si>
  <si>
    <t>นาง เกษศิรินทร์ สุรศร</t>
  </si>
  <si>
    <t>STHBKK012408001113</t>
  </si>
  <si>
    <t>STHBKK012408001114</t>
  </si>
  <si>
    <t>นาง อัญชลี นาคแท้</t>
  </si>
  <si>
    <t>STHBKK012408001115</t>
  </si>
  <si>
    <t>STHBKK012408001116</t>
  </si>
  <si>
    <t>นาง ทัศนา แสนสบาย</t>
  </si>
  <si>
    <t>STHONLIN2408000524</t>
  </si>
  <si>
    <t>STHONLIN2408000525</t>
  </si>
  <si>
    <t>STHONLIN2408000526</t>
  </si>
  <si>
    <t>STHONLIN2408000527</t>
  </si>
  <si>
    <t>STHONLIN2408000531</t>
  </si>
  <si>
    <t>นาย เลิศพนธ์  ยิ่งคุณานันท์</t>
  </si>
  <si>
    <t>STHONLIN2408000532</t>
  </si>
  <si>
    <t>STHONLIN2408000536</t>
  </si>
  <si>
    <t>นาย ธงชัย กล่อมสมร</t>
  </si>
  <si>
    <t>นิ้ิ้ว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</si>
  <si>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</si>
  <si>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30  ส.ค.67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</si>
  <si>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STHBKK012408001117</t>
  </si>
  <si>
    <t>STHBKK012408001118</t>
  </si>
  <si>
    <t>STHBKK012408001119</t>
  </si>
  <si>
    <t>STHBKK012408001120</t>
  </si>
  <si>
    <t>STHBKK012408001121</t>
  </si>
  <si>
    <t>นาย ธนูวิทย์ คงคะสินธุ์</t>
  </si>
  <si>
    <t>STHBKK012408001122</t>
  </si>
  <si>
    <t>STHBKK012408001123</t>
  </si>
  <si>
    <t>STHBKK012408001124</t>
  </si>
  <si>
    <t>นางสาว แสงมณี บุญทวี</t>
  </si>
  <si>
    <t>STHBKK012408001125</t>
  </si>
  <si>
    <t>STHBKK012408001126</t>
  </si>
  <si>
    <t>STHBKK012408001128</t>
  </si>
  <si>
    <t>STHBKK012408001129</t>
  </si>
  <si>
    <t>นาง สมนึก คำบรรลือ</t>
  </si>
  <si>
    <t>STHBKK012408001130</t>
  </si>
  <si>
    <t>STHBKK012408001131</t>
  </si>
  <si>
    <t>STHBKK012408001132</t>
  </si>
  <si>
    <t>STHBKK012408001133</t>
  </si>
  <si>
    <t>นาย สมชาย ทองสว่าง</t>
  </si>
  <si>
    <t>STHBKK012408001134</t>
  </si>
  <si>
    <t>นาง ทวีวรรณ กองประยุทธ</t>
  </si>
  <si>
    <t>STHBKK012408001135</t>
  </si>
  <si>
    <t>STHBKK012408001136</t>
  </si>
  <si>
    <t>นางสาว พศิจาธิกาณ ธนัฐศิณีญา</t>
  </si>
  <si>
    <t>STHBKK012408001137</t>
  </si>
  <si>
    <t>STHBKK012408001138</t>
  </si>
  <si>
    <t>STHBKK012408001139</t>
  </si>
  <si>
    <t>STHBKK012408001140</t>
  </si>
  <si>
    <t>STHBKK012408001141</t>
  </si>
  <si>
    <t>นาง แก่นจันทร์  บูรณ์เจริญ</t>
  </si>
  <si>
    <t>STHBKK012408001142</t>
  </si>
  <si>
    <t>นางสาว จิรภาทิชา โคดมการภัทรารัช</t>
  </si>
  <si>
    <t>STHBKK012408001143</t>
  </si>
  <si>
    <t>นาย จักรพงศ์ สินธุรักษ์</t>
  </si>
  <si>
    <t>STHONLIN2408000537</t>
  </si>
  <si>
    <t>STHONLIN2408000540</t>
  </si>
  <si>
    <t>STHONLIN2408000565</t>
  </si>
  <si>
    <t>STHONLIN2408000566</t>
  </si>
  <si>
    <t>STHONLIN2408000567</t>
  </si>
  <si>
    <t>STHONLIN2408000568</t>
  </si>
  <si>
    <t>STHONLIN2408000572</t>
  </si>
  <si>
    <t>STHONLIN2408000573</t>
  </si>
  <si>
    <t>STHONLIN2408000574</t>
  </si>
  <si>
    <t>นาง ภัชษนัญฑ์ ชิเดนทรีย์</t>
  </si>
  <si>
    <t>STHONLIN2408000579</t>
  </si>
  <si>
    <t>STHONLIN2408000581</t>
  </si>
  <si>
    <t>เอิง1117/1132-กะตอย1133/581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</si>
  <si>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</si>
  <si>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31  ส.ค.67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</si>
  <si>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STHBKK012408001144</t>
  </si>
  <si>
    <t>นาย บุญสม อุดมรักษ์</t>
  </si>
  <si>
    <t>STHBKK012408001145</t>
  </si>
  <si>
    <t>นางสาว ภัทร์ปรียา โชคชัย</t>
  </si>
  <si>
    <t>STHBKK012408001146</t>
  </si>
  <si>
    <t>STHBKK012408001147</t>
  </si>
  <si>
    <t>นาย ฑีปังกร  รักษาพงศ์</t>
  </si>
  <si>
    <t>STHBKK012408001148</t>
  </si>
  <si>
    <t>STHBKK012408001150</t>
  </si>
  <si>
    <t>STHBKK012408001151</t>
  </si>
  <si>
    <t>STHBKK012408001152</t>
  </si>
  <si>
    <t>STHBKK012408001153</t>
  </si>
  <si>
    <t>นาย พันธ์ณุ คำคล้าย</t>
  </si>
  <si>
    <t>STHBKK012408001154</t>
  </si>
  <si>
    <t>นาย ณัฐพงศ์ สุขจิตร</t>
  </si>
  <si>
    <t>STHBKK012408001155</t>
  </si>
  <si>
    <t>STHBKK012408001156</t>
  </si>
  <si>
    <t>STHBKK012408001157</t>
  </si>
  <si>
    <t>นาย ธนภัทร กันเฉย</t>
  </si>
  <si>
    <t>STHBKK012408001158</t>
  </si>
  <si>
    <t>STHBKK012408001159</t>
  </si>
  <si>
    <t>นาง ขนิษฐา นันทะ</t>
  </si>
  <si>
    <t>STHBKK012408001160</t>
  </si>
  <si>
    <t>นางสาว ภกุชา  อติพรวณิชย์</t>
  </si>
  <si>
    <t>STHBKK012408001161</t>
  </si>
  <si>
    <t>นาง อรวรรณ พ่อค้า</t>
  </si>
  <si>
    <t>STHBKK012408001162</t>
  </si>
  <si>
    <t>STHBKK012408001163</t>
  </si>
  <si>
    <t>STHBKK012408001164</t>
  </si>
  <si>
    <t>STHBKK012408001165</t>
  </si>
  <si>
    <t>นาย สมศักดิ์ พิมพ์หนู</t>
  </si>
  <si>
    <t>STHBKK012408001166</t>
  </si>
  <si>
    <t>นางสาว มุกดา พวงสง่า</t>
  </si>
  <si>
    <t>STHBKK012408001167</t>
  </si>
  <si>
    <t>STHBKK012408001168</t>
  </si>
  <si>
    <t>STHBKK012408001169</t>
  </si>
  <si>
    <t>นาย ญาณวุฒิ  ตลุยปรีชาชาญ</t>
  </si>
  <si>
    <t>STHBKK012408001170</t>
  </si>
  <si>
    <t>นาง วรัทยา จันทร์ชื่น</t>
  </si>
  <si>
    <t>STHBKK012408001171</t>
  </si>
  <si>
    <t>STHBKK012408001172</t>
  </si>
  <si>
    <t>STHBKK012408001173</t>
  </si>
  <si>
    <t>นางสาว สุคนธา ขุนศรี</t>
  </si>
  <si>
    <t>STHBKK012408001174</t>
  </si>
  <si>
    <t>นางสาว กัญจน์ณัฏฐ์ บุญเชียงมา</t>
  </si>
  <si>
    <t>STHBKK012408001175</t>
  </si>
  <si>
    <t>STHBKK012408001176</t>
  </si>
  <si>
    <t>STHBKK012408001177</t>
  </si>
  <si>
    <t>นาย กิจจสุพัฒน์ สร้อยผล</t>
  </si>
  <si>
    <t>STHBKK012408001178</t>
  </si>
  <si>
    <t>STHBKK012408001179</t>
  </si>
  <si>
    <t>STHBKK012408001180</t>
  </si>
  <si>
    <t>นางสาว ณัฐนันท์ เจริญศิริวิชญกุล</t>
  </si>
  <si>
    <t>STHBKK012408001181</t>
  </si>
  <si>
    <t>STHBKK012408001182</t>
  </si>
  <si>
    <t>STHBKK012408001183</t>
  </si>
  <si>
    <t>จันทร์เพ็ญ วิลัยกุล</t>
  </si>
  <si>
    <t>STHBKK012408001185</t>
  </si>
  <si>
    <t>STHBKK012408001186</t>
  </si>
  <si>
    <t>STHBKK012408001187</t>
  </si>
  <si>
    <t>STHBKK012408001188</t>
  </si>
  <si>
    <t>STHBKK012408001189</t>
  </si>
  <si>
    <t>STHONLIN2408000599</t>
  </si>
  <si>
    <t>STHONLIN2408000613</t>
  </si>
  <si>
    <t>STHONLIN2408000614</t>
  </si>
  <si>
    <t>นาง จุฑามาศ ปัทมานนท์</t>
  </si>
  <si>
    <t>STHONLIN2408000617</t>
  </si>
  <si>
    <t>STHONLIN2408000619</t>
  </si>
  <si>
    <t>นาย วุฒิชัย เชาว์ดี</t>
  </si>
  <si>
    <t>STHONLIN2408000630</t>
  </si>
  <si>
    <t>STHONLIN2408000632</t>
  </si>
  <si>
    <t>STHONLIN2408000635</t>
  </si>
  <si>
    <t>STHONLIN2408000658</t>
  </si>
  <si>
    <t>นางสาว ภาพิมล  ฉัตรเฉลิมวิทย์</t>
  </si>
  <si>
    <t>1145/1172กะตอย-1173-658 นิ้ว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</si>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</sst>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฿-41E]#,##0.00"/>
    <numFmt numFmtId="165" formatCode="yyyy-mm-dd"/>
    <numFmt numFmtId="166" formatCode="m/d/yyyy"/>
    <numFmt numFmtId="167" formatCode="#,###_);\(#,###\)"/>
  </numFmts>
  <fonts count="23">
    <font>
      <sz val="10.0"/>
      <color rgb="FF000000"/>
      <name val="Arial"/>
      <scheme val="minor"/>
    </font>
    <font>
      <b/>
      <sz val="27.0"/>
      <color theme="1"/>
      <name val="Arial"/>
    </font>
    <font/>
    <font>
      <color theme="1"/>
      <name val="Arial"/>
    </font>
    <font>
      <b/>
      <sz val="18.0"/>
      <color theme="1"/>
      <name val="Arial"/>
    </font>
    <font>
      <b/>
      <sz val="18.0"/>
      <color rgb="FFFF0000"/>
      <name val="Arial"/>
    </font>
    <font>
      <b/>
      <sz val="20.0"/>
      <color theme="1"/>
      <name val="Arial"/>
    </font>
    <font>
      <b/>
      <sz val="19.0"/>
      <color theme="1"/>
      <name val="Arial"/>
    </font>
    <font>
      <b/>
      <sz val="20.0"/>
      <color rgb="FF000000"/>
      <name val="Arial"/>
    </font>
    <font>
      <b/>
      <sz val="18.0"/>
      <color rgb="FF000000"/>
      <name val="Arial"/>
    </font>
    <font>
      <b/>
      <sz val="19.0"/>
      <color rgb="FF000000"/>
      <name val="Arial"/>
    </font>
    <font>
      <color rgb="FF000000"/>
      <name val="Arial"/>
    </font>
    <font>
      <b/>
      <sz val="32.0"/>
      <color theme="1"/>
      <name val="Arial"/>
    </font>
    <font>
      <b/>
      <sz val="31.0"/>
      <color theme="1"/>
      <name val="Arial"/>
    </font>
    <font>
      <sz val="18.0"/>
      <color theme="1"/>
      <name val="Arial"/>
    </font>
    <font>
      <b/>
      <sz val="18.0"/>
      <color rgb="FF0000FF"/>
      <name val="Arial"/>
    </font>
    <font>
      <b/>
      <sz val="16.0"/>
      <color rgb="FF0000FF"/>
      <name val="Arial"/>
    </font>
    <font>
      <b/>
      <sz val="11.0"/>
      <color rgb="FFFF0000"/>
      <name val="Arial"/>
    </font>
    <font>
      <b/>
      <sz val="13.0"/>
      <color rgb="FF0000FF"/>
      <name val="Arial"/>
    </font>
    <font>
      <b/>
      <sz val="33.0"/>
      <color theme="1"/>
      <name val="Arial"/>
    </font>
    <font>
      <b/>
      <sz val="17.0"/>
      <color rgb="FF0000FF"/>
      <name val="Arial"/>
    </font>
    <font>
      <sz val="16.0"/>
      <color theme="1"/>
      <name val="Arial"/>
    </font>
    <font>
      <b/>
      <sz val="11.0"/>
      <color rgb="FF0000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6" fillId="3" fontId="4" numFmtId="0" xfId="0" applyAlignment="1" applyBorder="1" applyFont="1">
      <alignment horizontal="center" vertical="bottom"/>
    </xf>
    <xf borderId="6" fillId="0" fontId="2" numFmtId="0" xfId="0" applyBorder="1" applyFont="1"/>
    <xf borderId="7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5" fillId="3" fontId="5" numFmtId="0" xfId="0" applyAlignment="1" applyBorder="1" applyFont="1">
      <alignment horizontal="center" vertical="bottom"/>
    </xf>
    <xf borderId="7" fillId="3" fontId="3" numFmtId="0" xfId="0" applyAlignment="1" applyBorder="1" applyFont="1">
      <alignment vertical="bottom"/>
    </xf>
    <xf borderId="8" fillId="0" fontId="2" numFmtId="0" xfId="0" applyBorder="1" applyFont="1"/>
    <xf borderId="7" fillId="3" fontId="4" numFmtId="0" xfId="0" applyAlignment="1" applyBorder="1" applyFont="1">
      <alignment horizontal="center" vertical="bottom"/>
    </xf>
    <xf borderId="8" fillId="4" fontId="4" numFmtId="0" xfId="0" applyAlignment="1" applyBorder="1" applyFill="1" applyFont="1">
      <alignment horizontal="center" vertical="bottom"/>
    </xf>
    <xf borderId="7" fillId="0" fontId="4" numFmtId="165" xfId="0" applyAlignment="1" applyBorder="1" applyFont="1" applyNumberFormat="1">
      <alignment horizontal="center" vertical="bottom"/>
    </xf>
    <xf borderId="7" fillId="0" fontId="4" numFmtId="4" xfId="0" applyAlignment="1" applyBorder="1" applyFont="1" applyNumberFormat="1">
      <alignment horizontal="left" vertical="bottom"/>
    </xf>
    <xf borderId="7" fillId="0" fontId="4" numFmtId="0" xfId="0" applyAlignment="1" applyBorder="1" applyFont="1">
      <alignment horizontal="center" vertical="bottom"/>
    </xf>
    <xf borderId="7" fillId="0" fontId="4" numFmtId="0" xfId="0" applyAlignment="1" applyBorder="1" applyFont="1">
      <alignment vertical="bottom"/>
    </xf>
    <xf borderId="7" fillId="4" fontId="6" numFmtId="38" xfId="0" applyAlignment="1" applyBorder="1" applyFont="1" applyNumberFormat="1">
      <alignment vertical="bottom"/>
    </xf>
    <xf borderId="7" fillId="4" fontId="7" numFmtId="38" xfId="0" applyAlignment="1" applyBorder="1" applyFont="1" applyNumberFormat="1">
      <alignment vertical="bottom"/>
    </xf>
    <xf borderId="7" fillId="4" fontId="6" numFmtId="38" xfId="0" applyAlignment="1" applyBorder="1" applyFont="1" applyNumberFormat="1">
      <alignment horizontal="right" vertical="bottom"/>
    </xf>
    <xf borderId="7" fillId="0" fontId="4" numFmtId="38" xfId="0" applyAlignment="1" applyBorder="1" applyFont="1" applyNumberFormat="1">
      <alignment horizontal="center" vertical="bottom"/>
    </xf>
    <xf borderId="7" fillId="4" fontId="5" numFmtId="38" xfId="0" applyAlignment="1" applyBorder="1" applyFont="1" applyNumberFormat="1">
      <alignment horizontal="center" vertical="bottom"/>
    </xf>
    <xf borderId="9" fillId="0" fontId="4" numFmtId="38" xfId="0" applyAlignment="1" applyBorder="1" applyFont="1" applyNumberFormat="1">
      <alignment horizontal="center" vertical="bottom"/>
    </xf>
    <xf borderId="7" fillId="0" fontId="4" numFmtId="166" xfId="0" applyAlignment="1" applyBorder="1" applyFont="1" applyNumberFormat="1">
      <alignment horizontal="center" vertical="bottom"/>
    </xf>
    <xf borderId="7" fillId="4" fontId="4" numFmtId="166" xfId="0" applyAlignment="1" applyBorder="1" applyFont="1" applyNumberFormat="1">
      <alignment horizontal="center" vertical="bottom"/>
    </xf>
    <xf borderId="7" fillId="4" fontId="4" numFmtId="4" xfId="0" applyAlignment="1" applyBorder="1" applyFont="1" applyNumberFormat="1">
      <alignment horizontal="left" vertical="bottom"/>
    </xf>
    <xf borderId="7" fillId="4" fontId="4" numFmtId="0" xfId="0" applyAlignment="1" applyBorder="1" applyFont="1">
      <alignment horizontal="center" vertical="bottom"/>
    </xf>
    <xf borderId="7" fillId="4" fontId="4" numFmtId="0" xfId="0" applyAlignment="1" applyBorder="1" applyFont="1">
      <alignment vertical="bottom"/>
    </xf>
    <xf borderId="7" fillId="4" fontId="4" numFmtId="38" xfId="0" applyAlignment="1" applyBorder="1" applyFont="1" applyNumberFormat="1">
      <alignment horizontal="center" vertical="bottom"/>
    </xf>
    <xf borderId="0" fillId="4" fontId="3" numFmtId="0" xfId="0" applyAlignment="1" applyFont="1">
      <alignment vertical="bottom"/>
    </xf>
    <xf borderId="7" fillId="4" fontId="8" numFmtId="38" xfId="0" applyAlignment="1" applyBorder="1" applyFont="1" applyNumberFormat="1">
      <alignment vertical="bottom"/>
    </xf>
    <xf borderId="7" fillId="4" fontId="7" numFmtId="38" xfId="0" applyAlignment="1" applyBorder="1" applyFont="1" applyNumberFormat="1">
      <alignment horizontal="right" vertical="bottom"/>
    </xf>
    <xf borderId="7" fillId="4" fontId="9" numFmtId="166" xfId="0" applyAlignment="1" applyBorder="1" applyFont="1" applyNumberFormat="1">
      <alignment horizontal="center" vertical="bottom"/>
    </xf>
    <xf borderId="7" fillId="4" fontId="9" numFmtId="4" xfId="0" applyAlignment="1" applyBorder="1" applyFont="1" applyNumberFormat="1">
      <alignment horizontal="left" vertical="bottom"/>
    </xf>
    <xf borderId="7" fillId="4" fontId="9" numFmtId="0" xfId="0" applyAlignment="1" applyBorder="1" applyFont="1">
      <alignment horizontal="center" vertical="bottom"/>
    </xf>
    <xf borderId="7" fillId="4" fontId="9" numFmtId="0" xfId="0" applyAlignment="1" applyBorder="1" applyFont="1">
      <alignment vertical="bottom"/>
    </xf>
    <xf borderId="7" fillId="4" fontId="10" numFmtId="38" xfId="0" applyAlignment="1" applyBorder="1" applyFont="1" applyNumberFormat="1">
      <alignment vertical="bottom"/>
    </xf>
    <xf borderId="7" fillId="4" fontId="10" numFmtId="38" xfId="0" applyAlignment="1" applyBorder="1" applyFont="1" applyNumberFormat="1">
      <alignment horizontal="right" vertical="bottom"/>
    </xf>
    <xf borderId="7" fillId="4" fontId="9" numFmtId="38" xfId="0" applyAlignment="1" applyBorder="1" applyFont="1" applyNumberFormat="1">
      <alignment horizontal="center" vertical="bottom"/>
    </xf>
    <xf borderId="0" fillId="4" fontId="11" numFmtId="0" xfId="0" applyAlignment="1" applyFont="1">
      <alignment vertical="bottom"/>
    </xf>
    <xf borderId="7" fillId="4" fontId="12" numFmtId="38" xfId="0" applyAlignment="1" applyBorder="1" applyFont="1" applyNumberFormat="1">
      <alignment vertical="bottom"/>
    </xf>
    <xf borderId="7" fillId="5" fontId="4" numFmtId="167" xfId="0" applyAlignment="1" applyBorder="1" applyFill="1" applyFont="1" applyNumberFormat="1">
      <alignment horizontal="center"/>
    </xf>
    <xf borderId="7" fillId="5" fontId="5" numFmtId="167" xfId="0" applyAlignment="1" applyBorder="1" applyFont="1" applyNumberFormat="1">
      <alignment horizontal="center"/>
    </xf>
    <xf borderId="7" fillId="5" fontId="3" numFmtId="0" xfId="0" applyAlignment="1" applyBorder="1" applyFont="1">
      <alignment vertical="bottom"/>
    </xf>
    <xf borderId="0" fillId="6" fontId="3" numFmtId="0" xfId="0" applyAlignment="1" applyFill="1" applyFont="1">
      <alignment vertical="bottom"/>
    </xf>
    <xf borderId="0" fillId="6" fontId="3" numFmtId="0" xfId="0" applyAlignment="1" applyFont="1">
      <alignment horizontal="left" vertical="bottom"/>
    </xf>
    <xf borderId="0" fillId="6" fontId="13" numFmtId="167" xfId="0" applyAlignment="1" applyFont="1" applyNumberFormat="1">
      <alignment horizontal="center"/>
    </xf>
    <xf borderId="0" fillId="6" fontId="3" numFmtId="167" xfId="0" applyFont="1" applyNumberFormat="1"/>
    <xf borderId="0" fillId="0" fontId="3" numFmtId="0" xfId="0" applyAlignment="1" applyFont="1">
      <alignment horizontal="left" vertical="bottom"/>
    </xf>
    <xf borderId="0" fillId="0" fontId="14" numFmtId="0" xfId="0" applyAlignment="1" applyFont="1">
      <alignment horizontal="left" vertical="bottom"/>
    </xf>
    <xf borderId="0" fillId="7" fontId="4" numFmtId="0" xfId="0" applyAlignment="1" applyFill="1" applyFont="1">
      <alignment horizontal="right" vertical="bottom"/>
    </xf>
    <xf borderId="0" fillId="7" fontId="15" numFmtId="0" xfId="0" applyAlignment="1" applyFont="1">
      <alignment horizontal="center" vertical="bottom"/>
    </xf>
    <xf borderId="0" fillId="8" fontId="4" numFmtId="0" xfId="0" applyAlignment="1" applyFill="1" applyFont="1">
      <alignment horizontal="right" vertical="bottom"/>
    </xf>
    <xf borderId="0" fillId="0" fontId="14" numFmtId="0" xfId="0" applyAlignment="1" applyFont="1">
      <alignment vertical="bottom"/>
    </xf>
    <xf borderId="0" fillId="7" fontId="16" numFmtId="0" xfId="0" applyAlignment="1" applyFont="1">
      <alignment horizontal="center" vertical="bottom"/>
    </xf>
    <xf borderId="0" fillId="8" fontId="15" numFmtId="0" xfId="0" applyAlignment="1" applyFont="1">
      <alignment horizontal="center" vertical="bottom"/>
    </xf>
    <xf borderId="9" fillId="9" fontId="17" numFmtId="38" xfId="0" applyAlignment="1" applyBorder="1" applyFill="1" applyFont="1" applyNumberFormat="1">
      <alignment horizontal="center" vertical="center"/>
    </xf>
    <xf borderId="0" fillId="7" fontId="18" numFmtId="0" xfId="0" applyAlignment="1" applyFont="1">
      <alignment horizontal="center" vertical="bottom"/>
    </xf>
    <xf borderId="1" fillId="2" fontId="19" numFmtId="164" xfId="0" applyAlignment="1" applyBorder="1" applyFont="1" applyNumberFormat="1">
      <alignment horizontal="center" vertical="center"/>
    </xf>
    <xf borderId="0" fillId="7" fontId="20" numFmtId="0" xfId="0" applyAlignment="1" applyFont="1">
      <alignment horizontal="center" vertical="bottom"/>
    </xf>
    <xf borderId="0" fillId="0" fontId="21" numFmtId="0" xfId="0" applyAlignment="1" applyFont="1">
      <alignment vertical="bottom"/>
    </xf>
    <xf borderId="0" fillId="7" fontId="2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customschemas.google.com/relationships/workbookmetadata" Target="metadata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4.88"/>
    <col customWidth="1" min="6" max="6" width="37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30.63"/>
  </cols>
  <sheetData>
    <row r="1" ht="4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15.75" customHeight="1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5.75" customHeight="1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45504.0</v>
      </c>
      <c r="C5" s="18" t="s">
        <v>23</v>
      </c>
      <c r="D5" s="19">
        <v>10929.0</v>
      </c>
      <c r="E5" s="20" t="s">
        <v>24</v>
      </c>
      <c r="F5" s="21"/>
      <c r="G5" s="22"/>
      <c r="H5" s="21"/>
      <c r="I5" s="23"/>
      <c r="J5" s="23">
        <v>2900.0</v>
      </c>
      <c r="K5" s="22"/>
      <c r="L5" s="22"/>
      <c r="M5" s="21"/>
      <c r="N5" s="22"/>
      <c r="O5" s="22"/>
      <c r="P5" s="24">
        <v>2900.0</v>
      </c>
      <c r="Q5" s="25">
        <f t="shared" ref="Q5:Q86" si="1">F5+G5+H5+I5+J5+K5+L5+M5+N5+O5-P5</f>
        <v>0</v>
      </c>
      <c r="R5" s="24" t="s">
        <v>25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45504.0</v>
      </c>
      <c r="C6" s="18" t="s">
        <v>26</v>
      </c>
      <c r="D6" s="19">
        <v>51467.0</v>
      </c>
      <c r="E6" s="20" t="s">
        <v>27</v>
      </c>
      <c r="F6" s="21"/>
      <c r="G6" s="22"/>
      <c r="H6" s="22"/>
      <c r="I6" s="21"/>
      <c r="J6" s="22"/>
      <c r="K6" s="22">
        <v>2350.0</v>
      </c>
      <c r="L6" s="22"/>
      <c r="M6" s="21"/>
      <c r="N6" s="22"/>
      <c r="O6" s="22"/>
      <c r="P6" s="24">
        <v>2350.0</v>
      </c>
      <c r="Q6" s="25">
        <f t="shared" si="1"/>
        <v>0</v>
      </c>
      <c r="R6" s="24" t="s">
        <v>25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45504.0</v>
      </c>
      <c r="C7" s="18" t="s">
        <v>28</v>
      </c>
      <c r="D7" s="19">
        <v>81711.0</v>
      </c>
      <c r="E7" s="20" t="s">
        <v>29</v>
      </c>
      <c r="F7" s="22"/>
      <c r="G7" s="22"/>
      <c r="H7" s="21"/>
      <c r="I7" s="21">
        <v>4900.0</v>
      </c>
      <c r="J7" s="23"/>
      <c r="K7" s="22"/>
      <c r="L7" s="22"/>
      <c r="M7" s="22"/>
      <c r="N7" s="22"/>
      <c r="O7" s="22"/>
      <c r="P7" s="24">
        <v>4900.0</v>
      </c>
      <c r="Q7" s="25">
        <f t="shared" si="1"/>
        <v>0</v>
      </c>
      <c r="R7" s="24" t="s">
        <v>30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45504.0</v>
      </c>
      <c r="C8" s="18" t="s">
        <v>31</v>
      </c>
      <c r="D8" s="19">
        <v>21818.0</v>
      </c>
      <c r="E8" s="20" t="s">
        <v>32</v>
      </c>
      <c r="F8" s="22"/>
      <c r="G8" s="22"/>
      <c r="H8" s="22"/>
      <c r="I8" s="21">
        <v>2500.0</v>
      </c>
      <c r="J8" s="21"/>
      <c r="K8" s="22"/>
      <c r="L8" s="22"/>
      <c r="M8" s="22"/>
      <c r="N8" s="22"/>
      <c r="O8" s="22"/>
      <c r="P8" s="24">
        <v>2500.0</v>
      </c>
      <c r="Q8" s="25">
        <f t="shared" si="1"/>
        <v>0</v>
      </c>
      <c r="R8" s="24" t="s">
        <v>30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45504.0</v>
      </c>
      <c r="C9" s="18" t="s">
        <v>33</v>
      </c>
      <c r="D9" s="19">
        <v>30895.0</v>
      </c>
      <c r="E9" s="20" t="s">
        <v>34</v>
      </c>
      <c r="F9" s="22"/>
      <c r="G9" s="22"/>
      <c r="H9" s="22"/>
      <c r="I9" s="21"/>
      <c r="J9" s="21">
        <f>1400+43000</f>
        <v>44400</v>
      </c>
      <c r="K9" s="22"/>
      <c r="L9" s="22"/>
      <c r="M9" s="21"/>
      <c r="N9" s="22"/>
      <c r="O9" s="22"/>
      <c r="P9" s="24">
        <v>44400.0</v>
      </c>
      <c r="Q9" s="25">
        <f t="shared" si="1"/>
        <v>0</v>
      </c>
      <c r="R9" s="24" t="s">
        <v>25</v>
      </c>
      <c r="S9" s="26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45504.0</v>
      </c>
      <c r="C10" s="18" t="s">
        <v>35</v>
      </c>
      <c r="D10" s="19">
        <v>10250.0</v>
      </c>
      <c r="E10" s="20" t="s">
        <v>36</v>
      </c>
      <c r="F10" s="22"/>
      <c r="G10" s="22"/>
      <c r="H10" s="22">
        <v>19500.0</v>
      </c>
      <c r="I10" s="21"/>
      <c r="J10" s="21"/>
      <c r="K10" s="22"/>
      <c r="L10" s="22"/>
      <c r="M10" s="21"/>
      <c r="N10" s="22"/>
      <c r="O10" s="22"/>
      <c r="P10" s="24">
        <v>19500.0</v>
      </c>
      <c r="Q10" s="25">
        <f t="shared" si="1"/>
        <v>0</v>
      </c>
      <c r="R10" s="24" t="s">
        <v>25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45504.0</v>
      </c>
      <c r="C11" s="18" t="s">
        <v>37</v>
      </c>
      <c r="D11" s="19">
        <v>82268.0</v>
      </c>
      <c r="E11" s="20" t="s">
        <v>38</v>
      </c>
      <c r="F11" s="22"/>
      <c r="G11" s="22">
        <v>4500.0</v>
      </c>
      <c r="H11" s="22"/>
      <c r="I11" s="21"/>
      <c r="J11" s="21"/>
      <c r="K11" s="22"/>
      <c r="L11" s="22"/>
      <c r="M11" s="21"/>
      <c r="N11" s="22"/>
      <c r="O11" s="22"/>
      <c r="P11" s="24">
        <v>4500.0</v>
      </c>
      <c r="Q11" s="25">
        <f t="shared" si="1"/>
        <v>0</v>
      </c>
      <c r="R11" s="24" t="s">
        <v>39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7">
        <v>45504.0</v>
      </c>
      <c r="C12" s="18" t="s">
        <v>40</v>
      </c>
      <c r="D12" s="19">
        <v>76972.0</v>
      </c>
      <c r="E12" s="20" t="s">
        <v>41</v>
      </c>
      <c r="F12" s="22"/>
      <c r="G12" s="22">
        <v>4500.0</v>
      </c>
      <c r="H12" s="22"/>
      <c r="I12" s="21"/>
      <c r="J12" s="21"/>
      <c r="K12" s="22"/>
      <c r="L12" s="22"/>
      <c r="M12" s="21"/>
      <c r="N12" s="22"/>
      <c r="O12" s="22"/>
      <c r="P12" s="24">
        <v>4500.0</v>
      </c>
      <c r="Q12" s="25">
        <f t="shared" si="1"/>
        <v>0</v>
      </c>
      <c r="R12" s="24" t="s">
        <v>39</v>
      </c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8">
        <v>45504.0</v>
      </c>
      <c r="C13" s="29" t="s">
        <v>42</v>
      </c>
      <c r="D13" s="30">
        <v>19122.0</v>
      </c>
      <c r="E13" s="31" t="s">
        <v>43</v>
      </c>
      <c r="F13" s="22"/>
      <c r="G13" s="22">
        <v>2500.0</v>
      </c>
      <c r="H13" s="22"/>
      <c r="I13" s="21"/>
      <c r="J13" s="21"/>
      <c r="K13" s="22"/>
      <c r="L13" s="22"/>
      <c r="M13" s="21"/>
      <c r="N13" s="22"/>
      <c r="O13" s="22"/>
      <c r="P13" s="32">
        <v>2500.0</v>
      </c>
      <c r="Q13" s="25">
        <f t="shared" si="1"/>
        <v>0</v>
      </c>
      <c r="R13" s="32" t="s">
        <v>39</v>
      </c>
      <c r="S13" s="26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 ht="34.5" customHeight="1">
      <c r="A14" s="16">
        <v>10.0</v>
      </c>
      <c r="B14" s="27">
        <v>45505.0</v>
      </c>
      <c r="C14" s="18" t="s">
        <v>44</v>
      </c>
      <c r="D14" s="19">
        <v>83066.0</v>
      </c>
      <c r="E14" s="20" t="s">
        <v>45</v>
      </c>
      <c r="F14" s="22"/>
      <c r="G14" s="22">
        <v>294500.0</v>
      </c>
      <c r="H14" s="22"/>
      <c r="I14" s="21"/>
      <c r="J14" s="21"/>
      <c r="K14" s="22"/>
      <c r="L14" s="22"/>
      <c r="M14" s="21"/>
      <c r="N14" s="22"/>
      <c r="O14" s="22"/>
      <c r="P14" s="24">
        <v>294500.0</v>
      </c>
      <c r="Q14" s="25">
        <f t="shared" si="1"/>
        <v>0</v>
      </c>
      <c r="R14" s="24" t="s">
        <v>25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45505.0</v>
      </c>
      <c r="C15" s="18" t="s">
        <v>46</v>
      </c>
      <c r="D15" s="19">
        <v>21828.0</v>
      </c>
      <c r="E15" s="20" t="s">
        <v>47</v>
      </c>
      <c r="F15" s="22">
        <v>2100.0</v>
      </c>
      <c r="G15" s="22"/>
      <c r="H15" s="22"/>
      <c r="I15" s="21"/>
      <c r="J15" s="21"/>
      <c r="K15" s="22"/>
      <c r="L15" s="22"/>
      <c r="M15" s="21"/>
      <c r="N15" s="22"/>
      <c r="O15" s="22"/>
      <c r="P15" s="24">
        <v>2100.0</v>
      </c>
      <c r="Q15" s="25">
        <f t="shared" si="1"/>
        <v>0</v>
      </c>
      <c r="R15" s="24" t="s">
        <v>30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45505.0</v>
      </c>
      <c r="C16" s="18" t="s">
        <v>48</v>
      </c>
      <c r="D16" s="19">
        <v>21828.0</v>
      </c>
      <c r="E16" s="20" t="s">
        <v>47</v>
      </c>
      <c r="F16" s="22"/>
      <c r="G16" s="22"/>
      <c r="H16" s="22"/>
      <c r="I16" s="21"/>
      <c r="J16" s="21"/>
      <c r="K16" s="22"/>
      <c r="L16" s="22"/>
      <c r="M16" s="21">
        <v>290.0</v>
      </c>
      <c r="N16" s="22"/>
      <c r="O16" s="22"/>
      <c r="P16" s="24">
        <v>290.0</v>
      </c>
      <c r="Q16" s="25">
        <f t="shared" si="1"/>
        <v>0</v>
      </c>
      <c r="R16" s="24" t="s">
        <v>30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45506.0</v>
      </c>
      <c r="C17" s="18" t="s">
        <v>49</v>
      </c>
      <c r="D17" s="19">
        <v>50739.0</v>
      </c>
      <c r="E17" s="20" t="s">
        <v>50</v>
      </c>
      <c r="F17" s="22"/>
      <c r="G17" s="22"/>
      <c r="H17" s="22"/>
      <c r="I17" s="21">
        <v>7500.0</v>
      </c>
      <c r="J17" s="21"/>
      <c r="K17" s="22"/>
      <c r="L17" s="22"/>
      <c r="M17" s="21"/>
      <c r="N17" s="22"/>
      <c r="O17" s="22"/>
      <c r="P17" s="24">
        <v>7500.0</v>
      </c>
      <c r="Q17" s="25">
        <f t="shared" si="1"/>
        <v>0</v>
      </c>
      <c r="R17" s="24" t="s">
        <v>51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7">
        <v>45506.0</v>
      </c>
      <c r="C18" s="18" t="s">
        <v>52</v>
      </c>
      <c r="D18" s="19">
        <v>27066.0</v>
      </c>
      <c r="E18" s="20" t="s">
        <v>53</v>
      </c>
      <c r="F18" s="22"/>
      <c r="G18" s="22"/>
      <c r="H18" s="22"/>
      <c r="I18" s="21">
        <v>8400.0</v>
      </c>
      <c r="J18" s="21"/>
      <c r="K18" s="22"/>
      <c r="L18" s="22"/>
      <c r="M18" s="22"/>
      <c r="N18" s="22"/>
      <c r="O18" s="22"/>
      <c r="P18" s="24">
        <v>8400.0</v>
      </c>
      <c r="Q18" s="25">
        <f t="shared" si="1"/>
        <v>0</v>
      </c>
      <c r="R18" s="24" t="s">
        <v>51</v>
      </c>
      <c r="S18" s="26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28">
        <v>45506.0</v>
      </c>
      <c r="C19" s="29" t="s">
        <v>54</v>
      </c>
      <c r="D19" s="30">
        <v>63027.0</v>
      </c>
      <c r="E19" s="31" t="s">
        <v>55</v>
      </c>
      <c r="F19" s="22"/>
      <c r="G19" s="22"/>
      <c r="H19" s="22"/>
      <c r="I19" s="21"/>
      <c r="J19" s="21">
        <v>1550.0</v>
      </c>
      <c r="K19" s="22"/>
      <c r="L19" s="22"/>
      <c r="M19" s="21"/>
      <c r="N19" s="22"/>
      <c r="O19" s="22"/>
      <c r="P19" s="32">
        <v>1550.0</v>
      </c>
      <c r="Q19" s="25">
        <f t="shared" si="1"/>
        <v>0</v>
      </c>
      <c r="R19" s="32" t="s">
        <v>51</v>
      </c>
      <c r="S19" s="26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ht="34.5" customHeight="1">
      <c r="A20" s="16">
        <v>16.0</v>
      </c>
      <c r="B20" s="27">
        <v>45506.0</v>
      </c>
      <c r="C20" s="18" t="s">
        <v>56</v>
      </c>
      <c r="D20" s="19">
        <v>52418.0</v>
      </c>
      <c r="E20" s="20" t="s">
        <v>57</v>
      </c>
      <c r="F20" s="22"/>
      <c r="G20" s="22"/>
      <c r="H20" s="22"/>
      <c r="I20" s="23"/>
      <c r="J20" s="23">
        <v>7650.0</v>
      </c>
      <c r="K20" s="22"/>
      <c r="L20" s="22"/>
      <c r="M20" s="22"/>
      <c r="N20" s="22"/>
      <c r="O20" s="22"/>
      <c r="P20" s="24">
        <v>7650.0</v>
      </c>
      <c r="Q20" s="25">
        <f t="shared" si="1"/>
        <v>0</v>
      </c>
      <c r="R20" s="24" t="s">
        <v>51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45506.0</v>
      </c>
      <c r="C21" s="18" t="s">
        <v>58</v>
      </c>
      <c r="D21" s="19">
        <v>40901.0</v>
      </c>
      <c r="E21" s="20" t="s">
        <v>59</v>
      </c>
      <c r="F21" s="21"/>
      <c r="G21" s="22"/>
      <c r="H21" s="22"/>
      <c r="I21" s="34">
        <v>4500.0</v>
      </c>
      <c r="J21" s="22"/>
      <c r="K21" s="35"/>
      <c r="L21" s="22"/>
      <c r="M21" s="22"/>
      <c r="N21" s="22"/>
      <c r="O21" s="22"/>
      <c r="P21" s="24">
        <v>4500.0</v>
      </c>
      <c r="Q21" s="25">
        <f t="shared" si="1"/>
        <v>0</v>
      </c>
      <c r="R21" s="24" t="s">
        <v>25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7">
        <v>45506.0</v>
      </c>
      <c r="C22" s="18" t="s">
        <v>60</v>
      </c>
      <c r="D22" s="19">
        <v>76101.0</v>
      </c>
      <c r="E22" s="20" t="s">
        <v>61</v>
      </c>
      <c r="F22" s="21"/>
      <c r="G22" s="22"/>
      <c r="H22" s="22"/>
      <c r="I22" s="21">
        <v>5150.0</v>
      </c>
      <c r="J22" s="22"/>
      <c r="K22" s="21"/>
      <c r="L22" s="22"/>
      <c r="M22" s="22"/>
      <c r="N22" s="22"/>
      <c r="O22" s="22"/>
      <c r="P22" s="24">
        <v>5150.0</v>
      </c>
      <c r="Q22" s="25">
        <f t="shared" si="1"/>
        <v>0</v>
      </c>
      <c r="R22" s="24" t="s">
        <v>30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36">
        <v>45506.0</v>
      </c>
      <c r="C23" s="37" t="s">
        <v>62</v>
      </c>
      <c r="D23" s="38">
        <v>36555.0</v>
      </c>
      <c r="E23" s="39" t="s">
        <v>63</v>
      </c>
      <c r="F23" s="34"/>
      <c r="G23" s="40"/>
      <c r="H23" s="40"/>
      <c r="I23" s="34">
        <v>3634.0</v>
      </c>
      <c r="J23" s="34"/>
      <c r="K23" s="41">
        <v>866.0</v>
      </c>
      <c r="L23" s="40"/>
      <c r="M23" s="40"/>
      <c r="N23" s="40"/>
      <c r="O23" s="40"/>
      <c r="P23" s="42">
        <v>4500.0</v>
      </c>
      <c r="Q23" s="25">
        <f t="shared" si="1"/>
        <v>0</v>
      </c>
      <c r="R23" s="42" t="s">
        <v>51</v>
      </c>
      <c r="S23" s="26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</row>
    <row r="24" ht="34.5" customHeight="1">
      <c r="A24" s="16">
        <v>20.0</v>
      </c>
      <c r="B24" s="27">
        <v>45506.0</v>
      </c>
      <c r="C24" s="18" t="s">
        <v>64</v>
      </c>
      <c r="D24" s="19">
        <v>50173.0</v>
      </c>
      <c r="E24" s="20" t="s">
        <v>65</v>
      </c>
      <c r="F24" s="21"/>
      <c r="G24" s="22"/>
      <c r="H24" s="22"/>
      <c r="I24" s="21">
        <v>1350.0</v>
      </c>
      <c r="J24" s="22"/>
      <c r="K24" s="35"/>
      <c r="L24" s="22"/>
      <c r="M24" s="22"/>
      <c r="N24" s="22"/>
      <c r="O24" s="22"/>
      <c r="P24" s="24">
        <v>1350.0</v>
      </c>
      <c r="Q24" s="25">
        <f t="shared" si="1"/>
        <v>0</v>
      </c>
      <c r="R24" s="24" t="s">
        <v>51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45506.0</v>
      </c>
      <c r="C25" s="18" t="s">
        <v>66</v>
      </c>
      <c r="D25" s="19">
        <v>25650.0</v>
      </c>
      <c r="E25" s="20" t="s">
        <v>67</v>
      </c>
      <c r="F25" s="21"/>
      <c r="G25" s="22"/>
      <c r="H25" s="22"/>
      <c r="I25" s="21"/>
      <c r="J25" s="22"/>
      <c r="K25" s="35">
        <v>5000.0</v>
      </c>
      <c r="L25" s="22"/>
      <c r="M25" s="22"/>
      <c r="N25" s="22"/>
      <c r="O25" s="22"/>
      <c r="P25" s="24">
        <v>5000.0</v>
      </c>
      <c r="Q25" s="25">
        <f t="shared" si="1"/>
        <v>0</v>
      </c>
      <c r="R25" s="24" t="s">
        <v>68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45506.0</v>
      </c>
      <c r="C26" s="18" t="s">
        <v>69</v>
      </c>
      <c r="D26" s="19">
        <v>25650.0</v>
      </c>
      <c r="E26" s="20" t="s">
        <v>67</v>
      </c>
      <c r="F26" s="21"/>
      <c r="G26" s="22"/>
      <c r="H26" s="22"/>
      <c r="I26" s="21"/>
      <c r="J26" s="21"/>
      <c r="K26" s="35">
        <v>5000.0</v>
      </c>
      <c r="L26" s="22"/>
      <c r="M26" s="22"/>
      <c r="N26" s="22"/>
      <c r="O26" s="22"/>
      <c r="P26" s="24">
        <v>5000.0</v>
      </c>
      <c r="Q26" s="25">
        <f t="shared" si="1"/>
        <v>0</v>
      </c>
      <c r="R26" s="24" t="s">
        <v>68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45506.0</v>
      </c>
      <c r="C27" s="18" t="s">
        <v>70</v>
      </c>
      <c r="D27" s="19">
        <v>36928.0</v>
      </c>
      <c r="E27" s="20" t="s">
        <v>71</v>
      </c>
      <c r="F27" s="21"/>
      <c r="G27" s="22"/>
      <c r="H27" s="22"/>
      <c r="I27" s="35">
        <v>4500.0</v>
      </c>
      <c r="J27" s="21"/>
      <c r="K27" s="35"/>
      <c r="L27" s="22"/>
      <c r="M27" s="22"/>
      <c r="N27" s="22"/>
      <c r="O27" s="22"/>
      <c r="P27" s="24">
        <v>4500.0</v>
      </c>
      <c r="Q27" s="25">
        <f t="shared" si="1"/>
        <v>0</v>
      </c>
      <c r="R27" s="24" t="s">
        <v>25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45506.0</v>
      </c>
      <c r="C28" s="18" t="s">
        <v>72</v>
      </c>
      <c r="D28" s="19">
        <v>76101.0</v>
      </c>
      <c r="E28" s="20" t="s">
        <v>61</v>
      </c>
      <c r="F28" s="21"/>
      <c r="G28" s="22"/>
      <c r="H28" s="22"/>
      <c r="I28" s="21"/>
      <c r="J28" s="21"/>
      <c r="K28" s="23">
        <v>420.0</v>
      </c>
      <c r="L28" s="22"/>
      <c r="M28" s="22"/>
      <c r="N28" s="22"/>
      <c r="O28" s="22"/>
      <c r="P28" s="24">
        <v>420.0</v>
      </c>
      <c r="Q28" s="25">
        <f t="shared" si="1"/>
        <v>0</v>
      </c>
      <c r="R28" s="24" t="s">
        <v>30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45506.0</v>
      </c>
      <c r="C29" s="18" t="s">
        <v>73</v>
      </c>
      <c r="D29" s="19">
        <v>75037.0</v>
      </c>
      <c r="E29" s="20" t="s">
        <v>74</v>
      </c>
      <c r="F29" s="44"/>
      <c r="G29" s="22"/>
      <c r="H29" s="22"/>
      <c r="I29" s="21">
        <v>15000.0</v>
      </c>
      <c r="J29" s="21"/>
      <c r="K29" s="23"/>
      <c r="L29" s="22"/>
      <c r="M29" s="22"/>
      <c r="N29" s="22"/>
      <c r="O29" s="22"/>
      <c r="P29" s="24">
        <v>15000.0</v>
      </c>
      <c r="Q29" s="25">
        <f t="shared" si="1"/>
        <v>0</v>
      </c>
      <c r="R29" s="24" t="s">
        <v>51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45506.0</v>
      </c>
      <c r="C30" s="18" t="s">
        <v>75</v>
      </c>
      <c r="D30" s="19">
        <v>36928.0</v>
      </c>
      <c r="E30" s="20" t="s">
        <v>71</v>
      </c>
      <c r="F30" s="21"/>
      <c r="G30" s="22"/>
      <c r="H30" s="22"/>
      <c r="I30" s="21">
        <v>1050.0</v>
      </c>
      <c r="J30" s="21"/>
      <c r="K30" s="23"/>
      <c r="L30" s="22"/>
      <c r="M30" s="22"/>
      <c r="N30" s="22"/>
      <c r="O30" s="22"/>
      <c r="P30" s="24">
        <v>1050.0</v>
      </c>
      <c r="Q30" s="25">
        <f t="shared" si="1"/>
        <v>0</v>
      </c>
      <c r="R30" s="24" t="s">
        <v>25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45506.0</v>
      </c>
      <c r="C31" s="18" t="s">
        <v>76</v>
      </c>
      <c r="D31" s="19">
        <v>42046.0</v>
      </c>
      <c r="E31" s="20" t="s">
        <v>77</v>
      </c>
      <c r="F31" s="21"/>
      <c r="G31" s="22"/>
      <c r="H31" s="22"/>
      <c r="I31" s="21">
        <v>2650.0</v>
      </c>
      <c r="J31" s="21"/>
      <c r="K31" s="23"/>
      <c r="L31" s="22"/>
      <c r="M31" s="22"/>
      <c r="N31" s="22"/>
      <c r="O31" s="22"/>
      <c r="P31" s="24">
        <v>2650.0</v>
      </c>
      <c r="Q31" s="25">
        <f t="shared" si="1"/>
        <v>0</v>
      </c>
      <c r="R31" s="24" t="s">
        <v>51</v>
      </c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45506.0</v>
      </c>
      <c r="C32" s="18" t="s">
        <v>78</v>
      </c>
      <c r="D32" s="19">
        <v>55162.0</v>
      </c>
      <c r="E32" s="20" t="s">
        <v>79</v>
      </c>
      <c r="F32" s="21"/>
      <c r="G32" s="22"/>
      <c r="H32" s="22"/>
      <c r="I32" s="21"/>
      <c r="J32" s="21">
        <v>50000.0</v>
      </c>
      <c r="K32" s="23"/>
      <c r="L32" s="22"/>
      <c r="M32" s="22"/>
      <c r="N32" s="22"/>
      <c r="O32" s="22"/>
      <c r="P32" s="24">
        <v>50000.0</v>
      </c>
      <c r="Q32" s="25">
        <f t="shared" si="1"/>
        <v>0</v>
      </c>
      <c r="R32" s="24" t="s">
        <v>30</v>
      </c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45506.0</v>
      </c>
      <c r="C33" s="18" t="s">
        <v>80</v>
      </c>
      <c r="D33" s="19">
        <v>79230.0</v>
      </c>
      <c r="E33" s="20" t="s">
        <v>81</v>
      </c>
      <c r="F33" s="21"/>
      <c r="G33" s="22"/>
      <c r="H33" s="22"/>
      <c r="I33" s="21"/>
      <c r="J33" s="21">
        <v>1950.0</v>
      </c>
      <c r="K33" s="23"/>
      <c r="L33" s="22"/>
      <c r="M33" s="22"/>
      <c r="N33" s="22"/>
      <c r="O33" s="22"/>
      <c r="P33" s="24">
        <v>1950.0</v>
      </c>
      <c r="Q33" s="25">
        <f t="shared" si="1"/>
        <v>0</v>
      </c>
      <c r="R33" s="24" t="s">
        <v>51</v>
      </c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7">
        <v>45506.0</v>
      </c>
      <c r="C34" s="18" t="s">
        <v>82</v>
      </c>
      <c r="D34" s="19">
        <v>42046.0</v>
      </c>
      <c r="E34" s="20" t="s">
        <v>77</v>
      </c>
      <c r="F34" s="21"/>
      <c r="G34" s="22"/>
      <c r="H34" s="22"/>
      <c r="I34" s="21">
        <v>52950.0</v>
      </c>
      <c r="J34" s="21"/>
      <c r="K34" s="23"/>
      <c r="L34" s="22"/>
      <c r="M34" s="22"/>
      <c r="N34" s="22"/>
      <c r="O34" s="22"/>
      <c r="P34" s="24">
        <v>52950.0</v>
      </c>
      <c r="Q34" s="25">
        <f t="shared" si="1"/>
        <v>0</v>
      </c>
      <c r="R34" s="24" t="s">
        <v>25</v>
      </c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7">
        <v>45506.0</v>
      </c>
      <c r="C35" s="18" t="s">
        <v>83</v>
      </c>
      <c r="D35" s="19">
        <v>72432.0</v>
      </c>
      <c r="E35" s="20" t="s">
        <v>84</v>
      </c>
      <c r="F35" s="21"/>
      <c r="G35" s="22"/>
      <c r="H35" s="22"/>
      <c r="I35" s="21"/>
      <c r="J35" s="21">
        <v>565.0</v>
      </c>
      <c r="K35" s="23">
        <v>835.0</v>
      </c>
      <c r="L35" s="22"/>
      <c r="M35" s="22"/>
      <c r="N35" s="22"/>
      <c r="O35" s="22"/>
      <c r="P35" s="24">
        <v>1400.0</v>
      </c>
      <c r="Q35" s="25">
        <f t="shared" si="1"/>
        <v>0</v>
      </c>
      <c r="R35" s="24" t="s">
        <v>68</v>
      </c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7">
        <v>45506.0</v>
      </c>
      <c r="C36" s="18" t="s">
        <v>85</v>
      </c>
      <c r="D36" s="19">
        <v>48854.0</v>
      </c>
      <c r="E36" s="20" t="s">
        <v>86</v>
      </c>
      <c r="F36" s="21"/>
      <c r="G36" s="22"/>
      <c r="H36" s="22"/>
      <c r="I36" s="21"/>
      <c r="J36" s="21">
        <v>8100.0</v>
      </c>
      <c r="K36" s="23"/>
      <c r="L36" s="22"/>
      <c r="M36" s="22"/>
      <c r="N36" s="22"/>
      <c r="O36" s="22"/>
      <c r="P36" s="24">
        <v>8100.0</v>
      </c>
      <c r="Q36" s="25">
        <f t="shared" si="1"/>
        <v>0</v>
      </c>
      <c r="R36" s="24" t="s">
        <v>30</v>
      </c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7">
        <v>45506.0</v>
      </c>
      <c r="C37" s="18" t="s">
        <v>87</v>
      </c>
      <c r="D37" s="19">
        <v>53495.0</v>
      </c>
      <c r="E37" s="20" t="s">
        <v>88</v>
      </c>
      <c r="F37" s="21"/>
      <c r="G37" s="22"/>
      <c r="H37" s="22"/>
      <c r="I37" s="21">
        <v>10000.0</v>
      </c>
      <c r="J37" s="21"/>
      <c r="K37" s="23"/>
      <c r="L37" s="22"/>
      <c r="M37" s="22"/>
      <c r="N37" s="22"/>
      <c r="O37" s="22"/>
      <c r="P37" s="24">
        <v>10000.0</v>
      </c>
      <c r="Q37" s="25">
        <f t="shared" si="1"/>
        <v>0</v>
      </c>
      <c r="R37" s="24" t="s">
        <v>30</v>
      </c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7">
        <v>45506.0</v>
      </c>
      <c r="C38" s="18" t="s">
        <v>89</v>
      </c>
      <c r="D38" s="19">
        <v>84213.0</v>
      </c>
      <c r="E38" s="20" t="s">
        <v>90</v>
      </c>
      <c r="F38" s="21"/>
      <c r="G38" s="22"/>
      <c r="H38" s="22"/>
      <c r="I38" s="21">
        <v>5800.0</v>
      </c>
      <c r="J38" s="21"/>
      <c r="K38" s="23"/>
      <c r="L38" s="22"/>
      <c r="M38" s="22"/>
      <c r="N38" s="22"/>
      <c r="O38" s="22"/>
      <c r="P38" s="24">
        <v>5800.0</v>
      </c>
      <c r="Q38" s="25">
        <f t="shared" si="1"/>
        <v>0</v>
      </c>
      <c r="R38" s="24" t="s">
        <v>25</v>
      </c>
      <c r="S38" s="26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7">
        <v>45506.0</v>
      </c>
      <c r="C39" s="18" t="s">
        <v>91</v>
      </c>
      <c r="D39" s="19">
        <v>67621.0</v>
      </c>
      <c r="E39" s="20" t="s">
        <v>92</v>
      </c>
      <c r="F39" s="21"/>
      <c r="G39" s="22"/>
      <c r="H39" s="22"/>
      <c r="I39" s="21">
        <v>12500.0</v>
      </c>
      <c r="J39" s="21"/>
      <c r="K39" s="23"/>
      <c r="L39" s="22"/>
      <c r="M39" s="22"/>
      <c r="N39" s="22"/>
      <c r="O39" s="22"/>
      <c r="P39" s="24">
        <v>12500.0</v>
      </c>
      <c r="Q39" s="25">
        <f t="shared" si="1"/>
        <v>0</v>
      </c>
      <c r="R39" s="24" t="s">
        <v>25</v>
      </c>
      <c r="S39" s="26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7">
        <v>45506.0</v>
      </c>
      <c r="C40" s="18" t="s">
        <v>93</v>
      </c>
      <c r="D40" s="19">
        <v>81108.0</v>
      </c>
      <c r="E40" s="20" t="s">
        <v>94</v>
      </c>
      <c r="F40" s="21"/>
      <c r="G40" s="22"/>
      <c r="H40" s="22"/>
      <c r="I40" s="21">
        <v>9000.0</v>
      </c>
      <c r="J40" s="21"/>
      <c r="K40" s="23"/>
      <c r="L40" s="22"/>
      <c r="M40" s="22"/>
      <c r="N40" s="22"/>
      <c r="O40" s="22"/>
      <c r="P40" s="24">
        <v>9000.0</v>
      </c>
      <c r="Q40" s="25">
        <f t="shared" si="1"/>
        <v>0</v>
      </c>
      <c r="R40" s="24" t="s">
        <v>30</v>
      </c>
      <c r="S40" s="26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7">
        <v>45506.0</v>
      </c>
      <c r="C41" s="18" t="s">
        <v>95</v>
      </c>
      <c r="D41" s="19">
        <v>21743.0</v>
      </c>
      <c r="E41" s="20" t="s">
        <v>96</v>
      </c>
      <c r="F41" s="21"/>
      <c r="G41" s="22"/>
      <c r="H41" s="22"/>
      <c r="I41" s="21"/>
      <c r="J41" s="21"/>
      <c r="K41" s="23"/>
      <c r="L41" s="22"/>
      <c r="M41" s="22">
        <v>1450.0</v>
      </c>
      <c r="N41" s="22"/>
      <c r="O41" s="22"/>
      <c r="P41" s="24">
        <v>1450.0</v>
      </c>
      <c r="Q41" s="25">
        <f t="shared" si="1"/>
        <v>0</v>
      </c>
      <c r="R41" s="24" t="s">
        <v>30</v>
      </c>
      <c r="S41" s="26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27">
        <v>45506.0</v>
      </c>
      <c r="C42" s="18" t="s">
        <v>97</v>
      </c>
      <c r="D42" s="19">
        <v>52396.0</v>
      </c>
      <c r="E42" s="20" t="s">
        <v>98</v>
      </c>
      <c r="F42" s="21"/>
      <c r="G42" s="22"/>
      <c r="H42" s="22"/>
      <c r="I42" s="21"/>
      <c r="J42" s="21">
        <v>5000.0</v>
      </c>
      <c r="K42" s="23"/>
      <c r="L42" s="22"/>
      <c r="M42" s="22"/>
      <c r="N42" s="22"/>
      <c r="O42" s="22"/>
      <c r="P42" s="24">
        <v>5000.0</v>
      </c>
      <c r="Q42" s="25">
        <f t="shared" si="1"/>
        <v>0</v>
      </c>
      <c r="R42" s="24" t="s">
        <v>30</v>
      </c>
      <c r="S42" s="26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>
        <v>39.0</v>
      </c>
      <c r="B43" s="27">
        <v>45506.0</v>
      </c>
      <c r="C43" s="18" t="s">
        <v>99</v>
      </c>
      <c r="D43" s="19">
        <v>54242.0</v>
      </c>
      <c r="E43" s="20" t="s">
        <v>100</v>
      </c>
      <c r="F43" s="21"/>
      <c r="G43" s="22"/>
      <c r="H43" s="22"/>
      <c r="I43" s="21"/>
      <c r="J43" s="21">
        <v>5000.0</v>
      </c>
      <c r="K43" s="23"/>
      <c r="L43" s="22"/>
      <c r="M43" s="22"/>
      <c r="N43" s="22"/>
      <c r="O43" s="22"/>
      <c r="P43" s="24">
        <v>5000.0</v>
      </c>
      <c r="Q43" s="25">
        <f t="shared" si="1"/>
        <v>0</v>
      </c>
      <c r="R43" s="24" t="s">
        <v>30</v>
      </c>
      <c r="S43" s="26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16">
        <v>40.0</v>
      </c>
      <c r="B44" s="27">
        <v>45506.0</v>
      </c>
      <c r="C44" s="18" t="s">
        <v>101</v>
      </c>
      <c r="D44" s="19">
        <v>26005.0</v>
      </c>
      <c r="E44" s="20" t="s">
        <v>102</v>
      </c>
      <c r="F44" s="21"/>
      <c r="G44" s="22"/>
      <c r="H44" s="22"/>
      <c r="I44" s="21">
        <v>4500.0</v>
      </c>
      <c r="J44" s="21"/>
      <c r="K44" s="23"/>
      <c r="L44" s="22"/>
      <c r="M44" s="22"/>
      <c r="N44" s="22"/>
      <c r="O44" s="22"/>
      <c r="P44" s="24">
        <v>4500.0</v>
      </c>
      <c r="Q44" s="25">
        <f t="shared" si="1"/>
        <v>0</v>
      </c>
      <c r="R44" s="24" t="s">
        <v>51</v>
      </c>
      <c r="S44" s="26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16">
        <v>41.0</v>
      </c>
      <c r="B45" s="27">
        <v>45506.0</v>
      </c>
      <c r="C45" s="18" t="s">
        <v>103</v>
      </c>
      <c r="D45" s="19">
        <v>52808.0</v>
      </c>
      <c r="E45" s="20" t="s">
        <v>104</v>
      </c>
      <c r="F45" s="21"/>
      <c r="G45" s="22"/>
      <c r="H45" s="22"/>
      <c r="I45" s="21"/>
      <c r="J45" s="21">
        <v>5000.0</v>
      </c>
      <c r="K45" s="23"/>
      <c r="L45" s="22"/>
      <c r="M45" s="22"/>
      <c r="N45" s="22"/>
      <c r="O45" s="22"/>
      <c r="P45" s="24">
        <v>5000.0</v>
      </c>
      <c r="Q45" s="25">
        <f t="shared" si="1"/>
        <v>0</v>
      </c>
      <c r="R45" s="24" t="s">
        <v>30</v>
      </c>
      <c r="S45" s="26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4.5" customHeight="1">
      <c r="A46" s="16">
        <v>42.0</v>
      </c>
      <c r="B46" s="27">
        <v>45506.0</v>
      </c>
      <c r="C46" s="18" t="s">
        <v>105</v>
      </c>
      <c r="D46" s="19">
        <v>42339.0</v>
      </c>
      <c r="E46" s="20" t="s">
        <v>106</v>
      </c>
      <c r="F46" s="21"/>
      <c r="G46" s="22"/>
      <c r="H46" s="22"/>
      <c r="I46" s="21"/>
      <c r="J46" s="21">
        <v>6500.0</v>
      </c>
      <c r="K46" s="23"/>
      <c r="L46" s="22"/>
      <c r="M46" s="22"/>
      <c r="N46" s="22"/>
      <c r="O46" s="22"/>
      <c r="P46" s="24">
        <v>6500.0</v>
      </c>
      <c r="Q46" s="25">
        <f t="shared" si="1"/>
        <v>0</v>
      </c>
      <c r="R46" s="24" t="s">
        <v>68</v>
      </c>
      <c r="S46" s="26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34.5" customHeight="1">
      <c r="A47" s="16">
        <v>43.0</v>
      </c>
      <c r="B47" s="27">
        <v>45506.0</v>
      </c>
      <c r="C47" s="18" t="s">
        <v>107</v>
      </c>
      <c r="D47" s="19">
        <v>66770.0</v>
      </c>
      <c r="E47" s="20" t="s">
        <v>108</v>
      </c>
      <c r="F47" s="21"/>
      <c r="G47" s="22"/>
      <c r="H47" s="22"/>
      <c r="I47" s="21"/>
      <c r="J47" s="21">
        <v>6050.0</v>
      </c>
      <c r="K47" s="23"/>
      <c r="L47" s="22"/>
      <c r="M47" s="22"/>
      <c r="N47" s="22"/>
      <c r="O47" s="22"/>
      <c r="P47" s="24">
        <v>6050.0</v>
      </c>
      <c r="Q47" s="25">
        <f t="shared" si="1"/>
        <v>0</v>
      </c>
      <c r="R47" s="24" t="s">
        <v>51</v>
      </c>
      <c r="S47" s="26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34.5" customHeight="1">
      <c r="A48" s="16">
        <v>44.0</v>
      </c>
      <c r="B48" s="27">
        <v>45506.0</v>
      </c>
      <c r="C48" s="18" t="s">
        <v>109</v>
      </c>
      <c r="D48" s="19">
        <v>77886.0</v>
      </c>
      <c r="E48" s="20" t="s">
        <v>110</v>
      </c>
      <c r="F48" s="21"/>
      <c r="G48" s="22"/>
      <c r="H48" s="22"/>
      <c r="I48" s="21">
        <v>5000.0</v>
      </c>
      <c r="J48" s="21"/>
      <c r="K48" s="23"/>
      <c r="L48" s="22"/>
      <c r="M48" s="22"/>
      <c r="N48" s="22"/>
      <c r="O48" s="22"/>
      <c r="P48" s="24">
        <v>5000.0</v>
      </c>
      <c r="Q48" s="25">
        <f t="shared" si="1"/>
        <v>0</v>
      </c>
      <c r="R48" s="24" t="s">
        <v>51</v>
      </c>
      <c r="S48" s="26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34.5" customHeight="1">
      <c r="A49" s="16">
        <v>45.0</v>
      </c>
      <c r="B49" s="27">
        <v>45506.0</v>
      </c>
      <c r="C49" s="18" t="s">
        <v>111</v>
      </c>
      <c r="D49" s="19">
        <v>60011.0</v>
      </c>
      <c r="E49" s="20" t="s">
        <v>112</v>
      </c>
      <c r="F49" s="21"/>
      <c r="G49" s="22"/>
      <c r="H49" s="22"/>
      <c r="I49" s="21"/>
      <c r="J49" s="21"/>
      <c r="K49" s="23">
        <v>50000.0</v>
      </c>
      <c r="L49" s="22"/>
      <c r="M49" s="22"/>
      <c r="N49" s="22"/>
      <c r="O49" s="22"/>
      <c r="P49" s="24">
        <v>50000.0</v>
      </c>
      <c r="Q49" s="25">
        <f t="shared" si="1"/>
        <v>0</v>
      </c>
      <c r="R49" s="24" t="s">
        <v>68</v>
      </c>
      <c r="S49" s="26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34.5" customHeight="1">
      <c r="A50" s="16">
        <v>46.0</v>
      </c>
      <c r="B50" s="27">
        <v>45506.0</v>
      </c>
      <c r="C50" s="18" t="s">
        <v>113</v>
      </c>
      <c r="D50" s="19">
        <v>44035.0</v>
      </c>
      <c r="E50" s="20" t="s">
        <v>114</v>
      </c>
      <c r="F50" s="21"/>
      <c r="G50" s="22"/>
      <c r="H50" s="22"/>
      <c r="I50" s="21"/>
      <c r="J50" s="21"/>
      <c r="K50" s="23">
        <v>22500.0</v>
      </c>
      <c r="L50" s="22"/>
      <c r="M50" s="22"/>
      <c r="N50" s="22"/>
      <c r="O50" s="22"/>
      <c r="P50" s="24">
        <v>22500.0</v>
      </c>
      <c r="Q50" s="25">
        <f t="shared" si="1"/>
        <v>0</v>
      </c>
      <c r="R50" s="24" t="s">
        <v>68</v>
      </c>
      <c r="S50" s="26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34.5" customHeight="1">
      <c r="A51" s="16">
        <v>47.0</v>
      </c>
      <c r="B51" s="27">
        <v>45506.0</v>
      </c>
      <c r="C51" s="18" t="s">
        <v>115</v>
      </c>
      <c r="D51" s="19">
        <v>84042.0</v>
      </c>
      <c r="E51" s="20" t="s">
        <v>116</v>
      </c>
      <c r="F51" s="21"/>
      <c r="G51" s="22"/>
      <c r="H51" s="22"/>
      <c r="I51" s="21"/>
      <c r="J51" s="21">
        <v>5750.0</v>
      </c>
      <c r="K51" s="23"/>
      <c r="L51" s="22"/>
      <c r="M51" s="22"/>
      <c r="N51" s="22"/>
      <c r="O51" s="22"/>
      <c r="P51" s="24">
        <v>5750.0</v>
      </c>
      <c r="Q51" s="25">
        <f t="shared" si="1"/>
        <v>0</v>
      </c>
      <c r="R51" s="24" t="s">
        <v>51</v>
      </c>
      <c r="S51" s="26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34.5" customHeight="1">
      <c r="A52" s="16">
        <v>48.0</v>
      </c>
      <c r="B52" s="27">
        <v>45506.0</v>
      </c>
      <c r="C52" s="18" t="s">
        <v>117</v>
      </c>
      <c r="D52" s="19">
        <v>51876.0</v>
      </c>
      <c r="E52" s="20" t="s">
        <v>118</v>
      </c>
      <c r="F52" s="21"/>
      <c r="G52" s="22"/>
      <c r="H52" s="22"/>
      <c r="I52" s="21"/>
      <c r="J52" s="21">
        <v>5250.0</v>
      </c>
      <c r="K52" s="23"/>
      <c r="L52" s="22"/>
      <c r="M52" s="22"/>
      <c r="N52" s="22"/>
      <c r="O52" s="22"/>
      <c r="P52" s="24">
        <v>5250.0</v>
      </c>
      <c r="Q52" s="25">
        <f t="shared" si="1"/>
        <v>0</v>
      </c>
      <c r="R52" s="24" t="s">
        <v>68</v>
      </c>
      <c r="S52" s="26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34.5" customHeight="1">
      <c r="A53" s="16">
        <v>49.0</v>
      </c>
      <c r="B53" s="27">
        <v>45506.0</v>
      </c>
      <c r="C53" s="18" t="s">
        <v>119</v>
      </c>
      <c r="D53" s="19">
        <v>38098.0</v>
      </c>
      <c r="E53" s="20" t="s">
        <v>120</v>
      </c>
      <c r="F53" s="21"/>
      <c r="G53" s="22"/>
      <c r="H53" s="22"/>
      <c r="I53" s="21"/>
      <c r="J53" s="21"/>
      <c r="K53" s="23">
        <v>1450.0</v>
      </c>
      <c r="L53" s="22"/>
      <c r="M53" s="22"/>
      <c r="N53" s="22"/>
      <c r="O53" s="22"/>
      <c r="P53" s="24">
        <v>1450.0</v>
      </c>
      <c r="Q53" s="25">
        <f t="shared" si="1"/>
        <v>0</v>
      </c>
      <c r="R53" s="24" t="s">
        <v>68</v>
      </c>
      <c r="S53" s="26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34.5" customHeight="1">
      <c r="A54" s="16">
        <v>50.0</v>
      </c>
      <c r="B54" s="27">
        <v>45506.0</v>
      </c>
      <c r="C54" s="18" t="s">
        <v>121</v>
      </c>
      <c r="D54" s="19">
        <v>52083.0</v>
      </c>
      <c r="E54" s="20" t="s">
        <v>122</v>
      </c>
      <c r="F54" s="21"/>
      <c r="G54" s="22"/>
      <c r="H54" s="22"/>
      <c r="I54" s="21"/>
      <c r="J54" s="21">
        <v>5000.0</v>
      </c>
      <c r="K54" s="23"/>
      <c r="L54" s="22"/>
      <c r="M54" s="22"/>
      <c r="N54" s="22"/>
      <c r="O54" s="22"/>
      <c r="P54" s="24">
        <v>5000.0</v>
      </c>
      <c r="Q54" s="25">
        <f t="shared" si="1"/>
        <v>0</v>
      </c>
      <c r="R54" s="24" t="s">
        <v>30</v>
      </c>
      <c r="S54" s="26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34.5" customHeight="1">
      <c r="A55" s="16">
        <v>51.0</v>
      </c>
      <c r="B55" s="27">
        <v>45506.0</v>
      </c>
      <c r="C55" s="18" t="s">
        <v>123</v>
      </c>
      <c r="D55" s="19">
        <v>38098.0</v>
      </c>
      <c r="E55" s="20" t="s">
        <v>120</v>
      </c>
      <c r="F55" s="21"/>
      <c r="G55" s="22"/>
      <c r="H55" s="22"/>
      <c r="I55" s="21"/>
      <c r="J55" s="21"/>
      <c r="K55" s="23">
        <v>150.0</v>
      </c>
      <c r="L55" s="22"/>
      <c r="M55" s="22"/>
      <c r="N55" s="22"/>
      <c r="O55" s="22"/>
      <c r="P55" s="24">
        <v>150.0</v>
      </c>
      <c r="Q55" s="25">
        <f t="shared" si="1"/>
        <v>0</v>
      </c>
      <c r="R55" s="24" t="s">
        <v>68</v>
      </c>
      <c r="S55" s="26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34.5" customHeight="1">
      <c r="A56" s="16">
        <v>52.0</v>
      </c>
      <c r="B56" s="27">
        <v>45506.0</v>
      </c>
      <c r="C56" s="18" t="s">
        <v>124</v>
      </c>
      <c r="D56" s="19">
        <v>62815.0</v>
      </c>
      <c r="E56" s="20" t="s">
        <v>125</v>
      </c>
      <c r="F56" s="21"/>
      <c r="G56" s="22"/>
      <c r="H56" s="22"/>
      <c r="I56" s="21"/>
      <c r="J56" s="21">
        <v>26400.0</v>
      </c>
      <c r="K56" s="23"/>
      <c r="L56" s="22"/>
      <c r="M56" s="22"/>
      <c r="N56" s="22"/>
      <c r="O56" s="22"/>
      <c r="P56" s="24">
        <v>26400.0</v>
      </c>
      <c r="Q56" s="25">
        <f t="shared" si="1"/>
        <v>0</v>
      </c>
      <c r="R56" s="24" t="s">
        <v>30</v>
      </c>
      <c r="S56" s="26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34.5" customHeight="1">
      <c r="A57" s="16">
        <v>53.0</v>
      </c>
      <c r="B57" s="27">
        <v>45506.0</v>
      </c>
      <c r="C57" s="18" t="s">
        <v>126</v>
      </c>
      <c r="D57" s="19">
        <v>48910.0</v>
      </c>
      <c r="E57" s="20" t="s">
        <v>127</v>
      </c>
      <c r="F57" s="21"/>
      <c r="G57" s="22"/>
      <c r="H57" s="22"/>
      <c r="I57" s="21"/>
      <c r="J57" s="21">
        <v>10000.0</v>
      </c>
      <c r="K57" s="23"/>
      <c r="L57" s="22"/>
      <c r="M57" s="22"/>
      <c r="N57" s="22"/>
      <c r="O57" s="22"/>
      <c r="P57" s="24">
        <v>10000.0</v>
      </c>
      <c r="Q57" s="25">
        <f t="shared" si="1"/>
        <v>0</v>
      </c>
      <c r="R57" s="24" t="s">
        <v>25</v>
      </c>
      <c r="S57" s="26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34.5" customHeight="1">
      <c r="A58" s="16">
        <v>54.0</v>
      </c>
      <c r="B58" s="27">
        <v>45506.0</v>
      </c>
      <c r="C58" s="18" t="s">
        <v>128</v>
      </c>
      <c r="D58" s="19">
        <v>61606.0</v>
      </c>
      <c r="E58" s="20" t="s">
        <v>129</v>
      </c>
      <c r="F58" s="21"/>
      <c r="G58" s="22"/>
      <c r="H58" s="22"/>
      <c r="I58" s="21"/>
      <c r="J58" s="21">
        <v>2650.0</v>
      </c>
      <c r="K58" s="23"/>
      <c r="L58" s="22"/>
      <c r="M58" s="22"/>
      <c r="N58" s="22"/>
      <c r="O58" s="22"/>
      <c r="P58" s="24">
        <v>2650.0</v>
      </c>
      <c r="Q58" s="25">
        <f t="shared" si="1"/>
        <v>0</v>
      </c>
      <c r="R58" s="24" t="s">
        <v>25</v>
      </c>
      <c r="S58" s="26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34.5" customHeight="1">
      <c r="A59" s="16">
        <v>55.0</v>
      </c>
      <c r="B59" s="27">
        <v>45506.0</v>
      </c>
      <c r="C59" s="18" t="s">
        <v>130</v>
      </c>
      <c r="D59" s="19">
        <v>78454.0</v>
      </c>
      <c r="E59" s="20" t="s">
        <v>131</v>
      </c>
      <c r="F59" s="21"/>
      <c r="G59" s="22"/>
      <c r="H59" s="22"/>
      <c r="I59" s="21"/>
      <c r="J59" s="21">
        <v>2650.0</v>
      </c>
      <c r="K59" s="23"/>
      <c r="L59" s="22"/>
      <c r="M59" s="22"/>
      <c r="N59" s="22"/>
      <c r="O59" s="22"/>
      <c r="P59" s="24">
        <v>2650.0</v>
      </c>
      <c r="Q59" s="25">
        <f t="shared" si="1"/>
        <v>0</v>
      </c>
      <c r="R59" s="24" t="s">
        <v>25</v>
      </c>
      <c r="S59" s="26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34.5" customHeight="1">
      <c r="A60" s="16">
        <v>56.0</v>
      </c>
      <c r="B60" s="27">
        <v>45506.0</v>
      </c>
      <c r="C60" s="18" t="s">
        <v>132</v>
      </c>
      <c r="D60" s="19">
        <v>29621.0</v>
      </c>
      <c r="E60" s="20" t="s">
        <v>133</v>
      </c>
      <c r="F60" s="21"/>
      <c r="G60" s="22"/>
      <c r="H60" s="22"/>
      <c r="I60" s="21"/>
      <c r="J60" s="21">
        <v>2550.0</v>
      </c>
      <c r="K60" s="23"/>
      <c r="L60" s="22"/>
      <c r="M60" s="22"/>
      <c r="N60" s="22"/>
      <c r="O60" s="22"/>
      <c r="P60" s="24">
        <v>2550.0</v>
      </c>
      <c r="Q60" s="25">
        <f t="shared" si="1"/>
        <v>0</v>
      </c>
      <c r="R60" s="24" t="s">
        <v>25</v>
      </c>
      <c r="S60" s="26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34.5" customHeight="1">
      <c r="A61" s="16">
        <v>57.0</v>
      </c>
      <c r="B61" s="27">
        <v>45506.0</v>
      </c>
      <c r="C61" s="18" t="s">
        <v>134</v>
      </c>
      <c r="D61" s="19">
        <v>35227.0</v>
      </c>
      <c r="E61" s="20" t="s">
        <v>135</v>
      </c>
      <c r="F61" s="21"/>
      <c r="G61" s="22">
        <v>5000.0</v>
      </c>
      <c r="H61" s="22"/>
      <c r="I61" s="21"/>
      <c r="J61" s="21"/>
      <c r="K61" s="23"/>
      <c r="L61" s="22"/>
      <c r="M61" s="22"/>
      <c r="N61" s="22"/>
      <c r="O61" s="22"/>
      <c r="P61" s="24">
        <v>5000.0</v>
      </c>
      <c r="Q61" s="25">
        <f t="shared" si="1"/>
        <v>0</v>
      </c>
      <c r="R61" s="24" t="s">
        <v>25</v>
      </c>
      <c r="S61" s="26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34.5" customHeight="1">
      <c r="A62" s="16">
        <v>58.0</v>
      </c>
      <c r="B62" s="27">
        <v>45506.0</v>
      </c>
      <c r="C62" s="18" t="s">
        <v>136</v>
      </c>
      <c r="D62" s="19">
        <v>35227.0</v>
      </c>
      <c r="E62" s="20" t="s">
        <v>135</v>
      </c>
      <c r="F62" s="21"/>
      <c r="G62" s="22">
        <v>1200.0</v>
      </c>
      <c r="H62" s="22"/>
      <c r="I62" s="21"/>
      <c r="J62" s="21"/>
      <c r="K62" s="23"/>
      <c r="L62" s="22"/>
      <c r="M62" s="22"/>
      <c r="N62" s="22"/>
      <c r="O62" s="22"/>
      <c r="P62" s="24">
        <v>1200.0</v>
      </c>
      <c r="Q62" s="25">
        <f t="shared" si="1"/>
        <v>0</v>
      </c>
      <c r="R62" s="24" t="s">
        <v>25</v>
      </c>
      <c r="S62" s="26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34.5" customHeight="1">
      <c r="A63" s="16">
        <v>59.0</v>
      </c>
      <c r="B63" s="27">
        <v>45506.0</v>
      </c>
      <c r="C63" s="18" t="s">
        <v>137</v>
      </c>
      <c r="D63" s="19">
        <v>50739.0</v>
      </c>
      <c r="E63" s="20" t="s">
        <v>50</v>
      </c>
      <c r="F63" s="21"/>
      <c r="G63" s="22"/>
      <c r="H63" s="22"/>
      <c r="I63" s="21">
        <v>2500.0</v>
      </c>
      <c r="J63" s="21"/>
      <c r="K63" s="23"/>
      <c r="L63" s="22"/>
      <c r="M63" s="22"/>
      <c r="N63" s="22"/>
      <c r="O63" s="22"/>
      <c r="P63" s="24">
        <v>2500.0</v>
      </c>
      <c r="Q63" s="25">
        <f t="shared" si="1"/>
        <v>0</v>
      </c>
      <c r="R63" s="24" t="s">
        <v>25</v>
      </c>
      <c r="S63" s="26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34.5" customHeight="1">
      <c r="A64" s="16">
        <v>60.0</v>
      </c>
      <c r="B64" s="27">
        <v>45506.0</v>
      </c>
      <c r="C64" s="18" t="s">
        <v>138</v>
      </c>
      <c r="D64" s="19">
        <v>14329.0</v>
      </c>
      <c r="E64" s="20" t="s">
        <v>139</v>
      </c>
      <c r="F64" s="21"/>
      <c r="G64" s="22"/>
      <c r="H64" s="22"/>
      <c r="I64" s="21">
        <v>1250.0</v>
      </c>
      <c r="J64" s="21"/>
      <c r="K64" s="23"/>
      <c r="L64" s="22"/>
      <c r="M64" s="22"/>
      <c r="N64" s="22"/>
      <c r="O64" s="22"/>
      <c r="P64" s="24">
        <v>1250.0</v>
      </c>
      <c r="Q64" s="25">
        <f t="shared" si="1"/>
        <v>0</v>
      </c>
      <c r="R64" s="24" t="s">
        <v>51</v>
      </c>
      <c r="S64" s="26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34.5" customHeight="1">
      <c r="A65" s="16">
        <v>61.0</v>
      </c>
      <c r="B65" s="27">
        <v>45506.0</v>
      </c>
      <c r="C65" s="18" t="s">
        <v>140</v>
      </c>
      <c r="D65" s="19">
        <v>65117.0</v>
      </c>
      <c r="E65" s="20" t="s">
        <v>141</v>
      </c>
      <c r="F65" s="21"/>
      <c r="G65" s="22"/>
      <c r="H65" s="22"/>
      <c r="I65" s="21"/>
      <c r="J65" s="21">
        <v>10000.0</v>
      </c>
      <c r="K65" s="23"/>
      <c r="L65" s="22"/>
      <c r="M65" s="22"/>
      <c r="N65" s="22"/>
      <c r="O65" s="22"/>
      <c r="P65" s="24">
        <v>10000.0</v>
      </c>
      <c r="Q65" s="25">
        <f t="shared" si="1"/>
        <v>0</v>
      </c>
      <c r="R65" s="24" t="s">
        <v>25</v>
      </c>
      <c r="S65" s="26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34.5" customHeight="1">
      <c r="A66" s="16">
        <v>62.0</v>
      </c>
      <c r="B66" s="27">
        <v>45506.0</v>
      </c>
      <c r="C66" s="18" t="s">
        <v>142</v>
      </c>
      <c r="D66" s="19">
        <v>52083.0</v>
      </c>
      <c r="E66" s="20" t="s">
        <v>122</v>
      </c>
      <c r="F66" s="21"/>
      <c r="G66" s="22"/>
      <c r="H66" s="22"/>
      <c r="I66" s="21">
        <v>7500.0</v>
      </c>
      <c r="J66" s="21"/>
      <c r="K66" s="23"/>
      <c r="L66" s="22"/>
      <c r="M66" s="22"/>
      <c r="N66" s="22"/>
      <c r="O66" s="22"/>
      <c r="P66" s="24">
        <v>7500.0</v>
      </c>
      <c r="Q66" s="25">
        <f t="shared" si="1"/>
        <v>0</v>
      </c>
      <c r="R66" s="24" t="s">
        <v>68</v>
      </c>
      <c r="S66" s="26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34.5" customHeight="1">
      <c r="A67" s="16">
        <v>63.0</v>
      </c>
      <c r="B67" s="27">
        <v>45506.0</v>
      </c>
      <c r="C67" s="18" t="s">
        <v>143</v>
      </c>
      <c r="D67" s="19">
        <v>84296.0</v>
      </c>
      <c r="E67" s="20" t="s">
        <v>144</v>
      </c>
      <c r="F67" s="21"/>
      <c r="G67" s="22"/>
      <c r="H67" s="22"/>
      <c r="I67" s="21"/>
      <c r="J67" s="21">
        <v>300.0</v>
      </c>
      <c r="K67" s="23"/>
      <c r="L67" s="22"/>
      <c r="M67" s="22"/>
      <c r="N67" s="22"/>
      <c r="O67" s="22"/>
      <c r="P67" s="24">
        <v>300.0</v>
      </c>
      <c r="Q67" s="25">
        <f t="shared" si="1"/>
        <v>0</v>
      </c>
      <c r="R67" s="24" t="s">
        <v>25</v>
      </c>
      <c r="S67" s="26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34.5" customHeight="1">
      <c r="A68" s="16">
        <v>64.0</v>
      </c>
      <c r="B68" s="27">
        <v>45504.0</v>
      </c>
      <c r="C68" s="18" t="s">
        <v>145</v>
      </c>
      <c r="D68" s="19">
        <v>83066.0</v>
      </c>
      <c r="E68" s="20" t="s">
        <v>45</v>
      </c>
      <c r="F68" s="21"/>
      <c r="G68" s="22"/>
      <c r="H68" s="22">
        <v>900.0</v>
      </c>
      <c r="I68" s="21"/>
      <c r="J68" s="21"/>
      <c r="K68" s="23"/>
      <c r="L68" s="22"/>
      <c r="M68" s="22"/>
      <c r="N68" s="22"/>
      <c r="O68" s="22"/>
      <c r="P68" s="24">
        <v>900.0</v>
      </c>
      <c r="Q68" s="25">
        <f t="shared" si="1"/>
        <v>0</v>
      </c>
      <c r="R68" s="24"/>
      <c r="S68" s="26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34.5" customHeight="1">
      <c r="A69" s="16">
        <v>65.0</v>
      </c>
      <c r="B69" s="27">
        <v>45504.0</v>
      </c>
      <c r="C69" s="18" t="s">
        <v>146</v>
      </c>
      <c r="D69" s="19">
        <v>56408.0</v>
      </c>
      <c r="E69" s="20" t="s">
        <v>147</v>
      </c>
      <c r="F69" s="21"/>
      <c r="G69" s="22"/>
      <c r="H69" s="21">
        <v>1200.0</v>
      </c>
      <c r="I69" s="21"/>
      <c r="J69" s="21"/>
      <c r="K69" s="23"/>
      <c r="L69" s="22"/>
      <c r="M69" s="22"/>
      <c r="N69" s="22"/>
      <c r="O69" s="22"/>
      <c r="P69" s="24">
        <v>1200.0</v>
      </c>
      <c r="Q69" s="25">
        <f t="shared" si="1"/>
        <v>0</v>
      </c>
      <c r="R69" s="24"/>
      <c r="S69" s="26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34.5" customHeight="1">
      <c r="A70" s="16">
        <v>66.0</v>
      </c>
      <c r="B70" s="27">
        <v>45504.0</v>
      </c>
      <c r="C70" s="18" t="s">
        <v>148</v>
      </c>
      <c r="D70" s="19">
        <v>10357.0</v>
      </c>
      <c r="E70" s="20" t="s">
        <v>149</v>
      </c>
      <c r="F70" s="21"/>
      <c r="G70" s="22"/>
      <c r="H70" s="21">
        <v>4150.0</v>
      </c>
      <c r="I70" s="21"/>
      <c r="J70" s="21"/>
      <c r="K70" s="23"/>
      <c r="L70" s="22"/>
      <c r="M70" s="22"/>
      <c r="N70" s="22"/>
      <c r="O70" s="22"/>
      <c r="P70" s="24">
        <v>4150.0</v>
      </c>
      <c r="Q70" s="25">
        <f t="shared" si="1"/>
        <v>0</v>
      </c>
      <c r="R70" s="24"/>
      <c r="S70" s="26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34.5" customHeight="1">
      <c r="A71" s="16">
        <v>67.0</v>
      </c>
      <c r="B71" s="27">
        <v>45504.0</v>
      </c>
      <c r="C71" s="18" t="s">
        <v>150</v>
      </c>
      <c r="D71" s="19">
        <v>10006.0</v>
      </c>
      <c r="E71" s="20" t="s">
        <v>151</v>
      </c>
      <c r="F71" s="21"/>
      <c r="G71" s="22"/>
      <c r="H71" s="21">
        <v>3600.0</v>
      </c>
      <c r="I71" s="21"/>
      <c r="J71" s="21"/>
      <c r="K71" s="23"/>
      <c r="L71" s="22"/>
      <c r="M71" s="22"/>
      <c r="N71" s="22"/>
      <c r="O71" s="22"/>
      <c r="P71" s="24">
        <v>3600.0</v>
      </c>
      <c r="Q71" s="25">
        <f t="shared" si="1"/>
        <v>0</v>
      </c>
      <c r="R71" s="24"/>
      <c r="S71" s="26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34.5" customHeight="1">
      <c r="A72" s="16">
        <v>68.0</v>
      </c>
      <c r="B72" s="27">
        <v>45504.0</v>
      </c>
      <c r="C72" s="18" t="s">
        <v>152</v>
      </c>
      <c r="D72" s="19">
        <v>52686.0</v>
      </c>
      <c r="E72" s="20" t="s">
        <v>153</v>
      </c>
      <c r="F72" s="21"/>
      <c r="G72" s="22"/>
      <c r="H72" s="21">
        <v>30950.0</v>
      </c>
      <c r="I72" s="21"/>
      <c r="J72" s="21"/>
      <c r="K72" s="23"/>
      <c r="L72" s="22"/>
      <c r="M72" s="22"/>
      <c r="N72" s="22"/>
      <c r="O72" s="22"/>
      <c r="P72" s="24">
        <v>30950.0</v>
      </c>
      <c r="Q72" s="25">
        <f t="shared" si="1"/>
        <v>0</v>
      </c>
      <c r="R72" s="24"/>
      <c r="S72" s="26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34.5" customHeight="1">
      <c r="A73" s="16">
        <v>69.0</v>
      </c>
      <c r="B73" s="27">
        <v>45504.0</v>
      </c>
      <c r="C73" s="18" t="s">
        <v>154</v>
      </c>
      <c r="D73" s="19">
        <v>84279.0</v>
      </c>
      <c r="E73" s="20" t="s">
        <v>155</v>
      </c>
      <c r="F73" s="21"/>
      <c r="G73" s="22"/>
      <c r="H73" s="21">
        <v>10000.0</v>
      </c>
      <c r="I73" s="21"/>
      <c r="J73" s="21"/>
      <c r="K73" s="23"/>
      <c r="L73" s="22"/>
      <c r="M73" s="22"/>
      <c r="N73" s="22"/>
      <c r="O73" s="22"/>
      <c r="P73" s="24">
        <v>10000.0</v>
      </c>
      <c r="Q73" s="25">
        <f t="shared" si="1"/>
        <v>0</v>
      </c>
      <c r="R73" s="24"/>
      <c r="S73" s="26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34.5" customHeight="1">
      <c r="A74" s="16">
        <v>70.0</v>
      </c>
      <c r="B74" s="27">
        <v>45505.0</v>
      </c>
      <c r="C74" s="18" t="s">
        <v>156</v>
      </c>
      <c r="D74" s="19">
        <v>60890.0</v>
      </c>
      <c r="E74" s="20" t="s">
        <v>157</v>
      </c>
      <c r="F74" s="21"/>
      <c r="G74" s="22"/>
      <c r="H74" s="21"/>
      <c r="I74" s="21"/>
      <c r="J74" s="21"/>
      <c r="K74" s="23"/>
      <c r="L74" s="22"/>
      <c r="M74" s="22"/>
      <c r="N74" s="22"/>
      <c r="O74" s="22">
        <v>64000.0</v>
      </c>
      <c r="P74" s="24">
        <v>64000.0</v>
      </c>
      <c r="Q74" s="25">
        <f t="shared" si="1"/>
        <v>0</v>
      </c>
      <c r="R74" s="24"/>
      <c r="S74" s="26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34.5" customHeight="1">
      <c r="A75" s="16">
        <v>71.0</v>
      </c>
      <c r="B75" s="27">
        <v>45506.0</v>
      </c>
      <c r="C75" s="18" t="s">
        <v>158</v>
      </c>
      <c r="D75" s="19">
        <v>21828.0</v>
      </c>
      <c r="E75" s="20" t="s">
        <v>47</v>
      </c>
      <c r="F75" s="21"/>
      <c r="G75" s="22"/>
      <c r="H75" s="21"/>
      <c r="I75" s="21"/>
      <c r="J75" s="21"/>
      <c r="K75" s="23"/>
      <c r="L75" s="22"/>
      <c r="M75" s="22">
        <v>450.0</v>
      </c>
      <c r="N75" s="22"/>
      <c r="O75" s="22"/>
      <c r="P75" s="24">
        <v>450.0</v>
      </c>
      <c r="Q75" s="25">
        <f t="shared" si="1"/>
        <v>0</v>
      </c>
      <c r="R75" s="24"/>
      <c r="S75" s="26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34.5" customHeight="1">
      <c r="A76" s="16">
        <v>72.0</v>
      </c>
      <c r="B76" s="27">
        <v>45506.0</v>
      </c>
      <c r="C76" s="18" t="s">
        <v>159</v>
      </c>
      <c r="D76" s="19">
        <v>76101.0</v>
      </c>
      <c r="E76" s="20" t="s">
        <v>61</v>
      </c>
      <c r="F76" s="21"/>
      <c r="G76" s="22"/>
      <c r="H76" s="21"/>
      <c r="I76" s="21"/>
      <c r="J76" s="21"/>
      <c r="K76" s="23"/>
      <c r="L76" s="22"/>
      <c r="M76" s="22"/>
      <c r="N76" s="22"/>
      <c r="O76" s="22">
        <v>700.0</v>
      </c>
      <c r="P76" s="24">
        <v>700.0</v>
      </c>
      <c r="Q76" s="25">
        <f t="shared" si="1"/>
        <v>0</v>
      </c>
      <c r="R76" s="24"/>
      <c r="S76" s="26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34.5" customHeight="1">
      <c r="A77" s="16">
        <v>73.0</v>
      </c>
      <c r="B77" s="27">
        <v>45506.0</v>
      </c>
      <c r="C77" s="18" t="s">
        <v>160</v>
      </c>
      <c r="D77" s="19">
        <v>43380.0</v>
      </c>
      <c r="E77" s="20" t="s">
        <v>161</v>
      </c>
      <c r="F77" s="21"/>
      <c r="G77" s="22"/>
      <c r="H77" s="21">
        <v>10000.0</v>
      </c>
      <c r="I77" s="21"/>
      <c r="J77" s="21"/>
      <c r="K77" s="23"/>
      <c r="L77" s="22"/>
      <c r="M77" s="22"/>
      <c r="N77" s="22"/>
      <c r="O77" s="22"/>
      <c r="P77" s="24">
        <v>10000.0</v>
      </c>
      <c r="Q77" s="25">
        <f t="shared" si="1"/>
        <v>0</v>
      </c>
      <c r="R77" s="24"/>
      <c r="S77" s="26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34.5" customHeight="1">
      <c r="A78" s="16">
        <v>74.0</v>
      </c>
      <c r="B78" s="27">
        <v>45506.0</v>
      </c>
      <c r="C78" s="18" t="s">
        <v>162</v>
      </c>
      <c r="D78" s="19">
        <v>50595.0</v>
      </c>
      <c r="E78" s="20" t="s">
        <v>163</v>
      </c>
      <c r="F78" s="21"/>
      <c r="G78" s="22"/>
      <c r="H78" s="21">
        <v>22500.0</v>
      </c>
      <c r="I78" s="21"/>
      <c r="J78" s="21"/>
      <c r="K78" s="23"/>
      <c r="L78" s="22"/>
      <c r="M78" s="22"/>
      <c r="N78" s="22"/>
      <c r="O78" s="22"/>
      <c r="P78" s="24">
        <v>22500.0</v>
      </c>
      <c r="Q78" s="25">
        <f t="shared" si="1"/>
        <v>0</v>
      </c>
      <c r="R78" s="24"/>
      <c r="S78" s="26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34.5" customHeight="1">
      <c r="A79" s="16">
        <v>75.0</v>
      </c>
      <c r="B79" s="27">
        <v>45506.0</v>
      </c>
      <c r="C79" s="18" t="s">
        <v>164</v>
      </c>
      <c r="D79" s="19">
        <v>66838.0</v>
      </c>
      <c r="E79" s="20" t="s">
        <v>165</v>
      </c>
      <c r="F79" s="21"/>
      <c r="G79" s="22"/>
      <c r="H79" s="21">
        <v>50000.0</v>
      </c>
      <c r="I79" s="21"/>
      <c r="J79" s="21"/>
      <c r="K79" s="23"/>
      <c r="L79" s="22"/>
      <c r="M79" s="22"/>
      <c r="N79" s="22"/>
      <c r="O79" s="22"/>
      <c r="P79" s="24">
        <v>50000.0</v>
      </c>
      <c r="Q79" s="25">
        <f t="shared" si="1"/>
        <v>0</v>
      </c>
      <c r="R79" s="24"/>
      <c r="S79" s="26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34.5" customHeight="1">
      <c r="A80" s="16">
        <v>76.0</v>
      </c>
      <c r="B80" s="27">
        <v>45506.0</v>
      </c>
      <c r="C80" s="18" t="s">
        <v>166</v>
      </c>
      <c r="D80" s="19">
        <v>26005.0</v>
      </c>
      <c r="E80" s="20" t="s">
        <v>102</v>
      </c>
      <c r="F80" s="21"/>
      <c r="G80" s="22"/>
      <c r="H80" s="22"/>
      <c r="I80" s="21"/>
      <c r="J80" s="21"/>
      <c r="K80" s="23"/>
      <c r="L80" s="22"/>
      <c r="M80" s="22"/>
      <c r="N80" s="22"/>
      <c r="O80" s="22">
        <v>1200.0</v>
      </c>
      <c r="P80" s="24">
        <v>1200.0</v>
      </c>
      <c r="Q80" s="25">
        <f t="shared" si="1"/>
        <v>0</v>
      </c>
      <c r="R80" s="24"/>
      <c r="S80" s="26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34.5" customHeight="1">
      <c r="A81" s="16">
        <v>77.0</v>
      </c>
      <c r="B81" s="27">
        <v>45506.0</v>
      </c>
      <c r="C81" s="18" t="s">
        <v>167</v>
      </c>
      <c r="D81" s="19">
        <v>31927.0</v>
      </c>
      <c r="E81" s="20" t="s">
        <v>168</v>
      </c>
      <c r="F81" s="21"/>
      <c r="G81" s="22"/>
      <c r="H81" s="22"/>
      <c r="I81" s="21"/>
      <c r="J81" s="21"/>
      <c r="K81" s="23"/>
      <c r="L81" s="22"/>
      <c r="M81" s="22">
        <v>280.0</v>
      </c>
      <c r="N81" s="22"/>
      <c r="O81" s="22"/>
      <c r="P81" s="24">
        <v>280.0</v>
      </c>
      <c r="Q81" s="25">
        <f t="shared" si="1"/>
        <v>0</v>
      </c>
      <c r="R81" s="24"/>
      <c r="S81" s="26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34.5" customHeight="1">
      <c r="A82" s="16">
        <v>78.0</v>
      </c>
      <c r="B82" s="27">
        <v>45506.0</v>
      </c>
      <c r="C82" s="18" t="s">
        <v>169</v>
      </c>
      <c r="D82" s="19">
        <v>56408.0</v>
      </c>
      <c r="E82" s="20" t="s">
        <v>147</v>
      </c>
      <c r="F82" s="21"/>
      <c r="G82" s="22"/>
      <c r="H82" s="22">
        <v>32500.0</v>
      </c>
      <c r="I82" s="21"/>
      <c r="J82" s="21"/>
      <c r="K82" s="23"/>
      <c r="L82" s="22"/>
      <c r="M82" s="22"/>
      <c r="N82" s="22"/>
      <c r="O82" s="22"/>
      <c r="P82" s="24">
        <v>32500.0</v>
      </c>
      <c r="Q82" s="25">
        <f t="shared" si="1"/>
        <v>0</v>
      </c>
      <c r="R82" s="24"/>
      <c r="S82" s="26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34.5" customHeight="1">
      <c r="A83" s="16">
        <v>79.0</v>
      </c>
      <c r="B83" s="27">
        <v>45506.0</v>
      </c>
      <c r="C83" s="18" t="s">
        <v>170</v>
      </c>
      <c r="D83" s="19">
        <v>31927.0</v>
      </c>
      <c r="E83" s="20" t="s">
        <v>168</v>
      </c>
      <c r="F83" s="21"/>
      <c r="G83" s="22"/>
      <c r="H83" s="22"/>
      <c r="I83" s="21"/>
      <c r="J83" s="21"/>
      <c r="K83" s="23"/>
      <c r="L83" s="22"/>
      <c r="M83" s="22"/>
      <c r="N83" s="22"/>
      <c r="O83" s="22">
        <v>525.0</v>
      </c>
      <c r="P83" s="24">
        <v>525.0</v>
      </c>
      <c r="Q83" s="25">
        <f t="shared" si="1"/>
        <v>0</v>
      </c>
      <c r="R83" s="24"/>
      <c r="S83" s="26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34.5" customHeight="1">
      <c r="A84" s="16">
        <v>80.0</v>
      </c>
      <c r="B84" s="27">
        <v>45506.0</v>
      </c>
      <c r="C84" s="18" t="s">
        <v>171</v>
      </c>
      <c r="D84" s="19">
        <v>50501.0</v>
      </c>
      <c r="E84" s="20" t="s">
        <v>172</v>
      </c>
      <c r="F84" s="21"/>
      <c r="G84" s="22"/>
      <c r="H84" s="22"/>
      <c r="I84" s="21"/>
      <c r="J84" s="21"/>
      <c r="K84" s="23"/>
      <c r="L84" s="22"/>
      <c r="M84" s="22"/>
      <c r="N84" s="22"/>
      <c r="O84" s="22">
        <v>1200.0</v>
      </c>
      <c r="P84" s="24">
        <v>1200.0</v>
      </c>
      <c r="Q84" s="25">
        <f t="shared" si="1"/>
        <v>0</v>
      </c>
      <c r="R84" s="24"/>
      <c r="S84" s="26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34.5" customHeight="1">
      <c r="A85" s="16">
        <v>81.0</v>
      </c>
      <c r="B85" s="27">
        <v>45506.0</v>
      </c>
      <c r="C85" s="18" t="s">
        <v>173</v>
      </c>
      <c r="D85" s="19">
        <v>38098.0</v>
      </c>
      <c r="E85" s="20" t="s">
        <v>120</v>
      </c>
      <c r="F85" s="21"/>
      <c r="G85" s="22"/>
      <c r="H85" s="22"/>
      <c r="I85" s="21"/>
      <c r="J85" s="21"/>
      <c r="K85" s="23">
        <v>41.5</v>
      </c>
      <c r="L85" s="22"/>
      <c r="M85" s="22"/>
      <c r="N85" s="22"/>
      <c r="O85" s="22">
        <v>1158.5</v>
      </c>
      <c r="P85" s="24">
        <v>1200.0</v>
      </c>
      <c r="Q85" s="25">
        <f t="shared" si="1"/>
        <v>0</v>
      </c>
      <c r="R85" s="24"/>
      <c r="S85" s="26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34.5" customHeight="1">
      <c r="A86" s="16">
        <v>82.0</v>
      </c>
      <c r="B86" s="27">
        <v>45506.0</v>
      </c>
      <c r="C86" s="18" t="s">
        <v>174</v>
      </c>
      <c r="D86" s="19">
        <v>21384.0</v>
      </c>
      <c r="E86" s="20" t="s">
        <v>175</v>
      </c>
      <c r="F86" s="21"/>
      <c r="G86" s="22"/>
      <c r="H86" s="22">
        <v>2500.0</v>
      </c>
      <c r="I86" s="21"/>
      <c r="J86" s="21"/>
      <c r="K86" s="23"/>
      <c r="L86" s="22"/>
      <c r="M86" s="22"/>
      <c r="N86" s="22"/>
      <c r="O86" s="22"/>
      <c r="P86" s="24">
        <v>2500.0</v>
      </c>
      <c r="Q86" s="25">
        <f t="shared" si="1"/>
        <v>0</v>
      </c>
      <c r="R86" s="24"/>
      <c r="S86" s="26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34.5" customHeight="1">
      <c r="A87" s="16">
        <v>83.0</v>
      </c>
      <c r="B87" s="27">
        <v>45506.0</v>
      </c>
      <c r="C87" s="18" t="s">
        <v>176</v>
      </c>
      <c r="D87" s="19">
        <v>57973.0</v>
      </c>
      <c r="E87" s="20" t="s">
        <v>177</v>
      </c>
      <c r="F87" s="21"/>
      <c r="G87" s="22"/>
      <c r="H87" s="22"/>
      <c r="I87" s="21"/>
      <c r="J87" s="21"/>
      <c r="K87" s="23"/>
      <c r="L87" s="22"/>
      <c r="M87" s="22"/>
      <c r="N87" s="22"/>
      <c r="O87" s="22">
        <v>1200.0</v>
      </c>
      <c r="P87" s="24">
        <v>1200.0</v>
      </c>
      <c r="Q87" s="25">
        <v>0.0</v>
      </c>
      <c r="R87" s="24"/>
      <c r="S87" s="26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34.5" customHeight="1">
      <c r="A88" s="16">
        <v>84.0</v>
      </c>
      <c r="B88" s="27">
        <v>45506.0</v>
      </c>
      <c r="C88" s="18" t="s">
        <v>178</v>
      </c>
      <c r="D88" s="19">
        <v>29723.0</v>
      </c>
      <c r="E88" s="20" t="s">
        <v>179</v>
      </c>
      <c r="F88" s="21"/>
      <c r="G88" s="22"/>
      <c r="H88" s="22"/>
      <c r="I88" s="21"/>
      <c r="J88" s="21"/>
      <c r="K88" s="23"/>
      <c r="L88" s="22"/>
      <c r="M88" s="22"/>
      <c r="N88" s="22"/>
      <c r="O88" s="22">
        <v>5600.0</v>
      </c>
      <c r="P88" s="24">
        <v>5600.0</v>
      </c>
      <c r="Q88" s="25">
        <f t="shared" ref="Q88:Q90" si="2">F88+G88+H88+I88+J88+K88+L88+M88+N88+O88-P88</f>
        <v>0</v>
      </c>
      <c r="R88" s="24"/>
      <c r="S88" s="26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34.5" customHeight="1">
      <c r="A89" s="16">
        <v>85.0</v>
      </c>
      <c r="B89" s="27">
        <v>45506.0</v>
      </c>
      <c r="C89" s="18" t="s">
        <v>180</v>
      </c>
      <c r="D89" s="19">
        <v>35227.0</v>
      </c>
      <c r="E89" s="20" t="s">
        <v>135</v>
      </c>
      <c r="F89" s="21"/>
      <c r="G89" s="22"/>
      <c r="H89" s="22"/>
      <c r="I89" s="21"/>
      <c r="J89" s="21"/>
      <c r="K89" s="23">
        <v>500.0</v>
      </c>
      <c r="L89" s="22"/>
      <c r="M89" s="22"/>
      <c r="N89" s="22"/>
      <c r="O89" s="22">
        <v>700.0</v>
      </c>
      <c r="P89" s="24">
        <v>1200.0</v>
      </c>
      <c r="Q89" s="25">
        <f t="shared" si="2"/>
        <v>0</v>
      </c>
      <c r="R89" s="24"/>
      <c r="S89" s="26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34.5" customHeight="1">
      <c r="A90" s="16">
        <v>86.0</v>
      </c>
      <c r="B90" s="27">
        <v>45506.0</v>
      </c>
      <c r="C90" s="18" t="s">
        <v>181</v>
      </c>
      <c r="D90" s="19">
        <v>50336.0</v>
      </c>
      <c r="E90" s="20" t="s">
        <v>182</v>
      </c>
      <c r="F90" s="21"/>
      <c r="G90" s="22"/>
      <c r="H90" s="22">
        <v>2500.0</v>
      </c>
      <c r="I90" s="21"/>
      <c r="J90" s="21"/>
      <c r="K90" s="23"/>
      <c r="L90" s="22"/>
      <c r="M90" s="22"/>
      <c r="N90" s="22"/>
      <c r="O90" s="22"/>
      <c r="P90" s="24">
        <v>2500.0</v>
      </c>
      <c r="Q90" s="25">
        <f t="shared" si="2"/>
        <v>0</v>
      </c>
      <c r="R90" s="24"/>
      <c r="S90" s="26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37.5" customHeight="1">
      <c r="A91" s="16"/>
      <c r="B91" s="27"/>
      <c r="C91" s="18"/>
      <c r="D91" s="19" t="s">
        <v>183</v>
      </c>
      <c r="E91" s="20"/>
      <c r="F91" s="45">
        <f t="shared" ref="F91:P91" si="3">SUM(F5:F90)</f>
        <v>2100</v>
      </c>
      <c r="G91" s="45">
        <f t="shared" si="3"/>
        <v>312200</v>
      </c>
      <c r="H91" s="45">
        <f t="shared" si="3"/>
        <v>190300</v>
      </c>
      <c r="I91" s="45">
        <f t="shared" si="3"/>
        <v>172134</v>
      </c>
      <c r="J91" s="45">
        <f t="shared" si="3"/>
        <v>215215</v>
      </c>
      <c r="K91" s="45">
        <f t="shared" si="3"/>
        <v>89112.5</v>
      </c>
      <c r="L91" s="45">
        <f t="shared" si="3"/>
        <v>0</v>
      </c>
      <c r="M91" s="45">
        <f t="shared" si="3"/>
        <v>2470</v>
      </c>
      <c r="N91" s="45">
        <f t="shared" si="3"/>
        <v>0</v>
      </c>
      <c r="O91" s="45">
        <f t="shared" si="3"/>
        <v>76283.5</v>
      </c>
      <c r="P91" s="45">
        <f t="shared" si="3"/>
        <v>1059815</v>
      </c>
      <c r="Q91" s="46">
        <v>0.0</v>
      </c>
      <c r="R91" s="47"/>
      <c r="S91" s="26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</row>
    <row r="92" ht="15.75" customHeight="1">
      <c r="A92" s="48"/>
      <c r="B92" s="48"/>
      <c r="C92" s="49"/>
      <c r="D92" s="48"/>
      <c r="E92" s="48"/>
      <c r="F92" s="50">
        <f>F91+G91+H91+I91+J91+K91+L91+M91+N91+O91</f>
        <v>1059815</v>
      </c>
      <c r="P92" s="51"/>
      <c r="Q92" s="51"/>
      <c r="R92" s="48"/>
      <c r="S92" s="48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3" t="s">
        <v>183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54" t="s">
        <v>184</v>
      </c>
      <c r="F96" s="55" t="s">
        <v>185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56" t="s">
        <v>186</v>
      </c>
      <c r="F97" s="55" t="s">
        <v>187</v>
      </c>
      <c r="G97" s="4"/>
      <c r="H97" s="4"/>
      <c r="I97" s="4"/>
      <c r="J97" s="4"/>
      <c r="K97" s="4"/>
      <c r="L97" s="4"/>
      <c r="M97" s="4"/>
      <c r="N97" s="4"/>
      <c r="O97" s="57" t="s">
        <v>183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56" t="s">
        <v>188</v>
      </c>
      <c r="F98" s="55" t="s">
        <v>185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56" t="s">
        <v>189</v>
      </c>
      <c r="F99" s="55" t="s">
        <v>185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56" t="s">
        <v>190</v>
      </c>
      <c r="F100" s="58" t="s">
        <v>191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56" t="s">
        <v>192</v>
      </c>
      <c r="F101" s="55" t="s">
        <v>185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56" t="s">
        <v>193</v>
      </c>
      <c r="F102" s="55" t="s">
        <v>194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56" t="s">
        <v>195</v>
      </c>
      <c r="F103" s="59" t="s">
        <v>196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57" t="s">
        <v>183</v>
      </c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 t="str">
        <f>I72491</f>
        <v/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57" t="s">
        <v>197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>
        <v>7.0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5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5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5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5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5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5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5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5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5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>
      <c r="A283" s="4"/>
      <c r="B283" s="4"/>
      <c r="C283" s="5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5.75" customHeight="1">
      <c r="A284" s="4"/>
      <c r="B284" s="4"/>
      <c r="C284" s="5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5.75" customHeight="1">
      <c r="A285" s="4"/>
      <c r="B285" s="4"/>
      <c r="C285" s="5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5.75" customHeight="1">
      <c r="A286" s="4"/>
      <c r="B286" s="4"/>
      <c r="C286" s="5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5.75" customHeight="1">
      <c r="A287" s="4"/>
      <c r="B287" s="4"/>
      <c r="C287" s="5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5.75" customHeight="1">
      <c r="A288" s="4"/>
      <c r="B288" s="4"/>
      <c r="C288" s="5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5.75" customHeight="1">
      <c r="A289" s="4"/>
      <c r="B289" s="4"/>
      <c r="C289" s="5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ht="15.75" customHeight="1">
      <c r="A290" s="4"/>
      <c r="B290" s="4"/>
      <c r="C290" s="5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ht="15.75" customHeight="1">
      <c r="A291" s="4"/>
      <c r="B291" s="4"/>
      <c r="C291" s="5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ht="15.75" customHeight="1">
      <c r="A292" s="4"/>
      <c r="B292" s="4"/>
      <c r="C292" s="5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 ht="15.75" customHeight="1">
      <c r="A293" s="4"/>
      <c r="B293" s="4"/>
      <c r="C293" s="5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 ht="15.75" customHeight="1">
      <c r="A294" s="4"/>
      <c r="B294" s="4"/>
      <c r="C294" s="5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 ht="15.75" customHeight="1">
      <c r="A295" s="4"/>
      <c r="B295" s="4"/>
      <c r="C295" s="5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 ht="15.75" customHeight="1">
      <c r="A296" s="4"/>
      <c r="B296" s="4"/>
      <c r="C296" s="52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 ht="15.75" customHeight="1">
      <c r="A297" s="4"/>
      <c r="B297" s="4"/>
      <c r="C297" s="52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 ht="15.75" customHeight="1">
      <c r="A298" s="4"/>
      <c r="B298" s="4"/>
      <c r="C298" s="52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 ht="15.75" customHeight="1">
      <c r="A299" s="4"/>
      <c r="B299" s="4"/>
      <c r="C299" s="52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 ht="15.75" customHeight="1">
      <c r="A300" s="4"/>
      <c r="B300" s="4"/>
      <c r="C300" s="52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 ht="15.75" customHeight="1">
      <c r="A301" s="4"/>
      <c r="B301" s="4"/>
      <c r="C301" s="52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 ht="15.75" customHeight="1">
      <c r="A302" s="4"/>
      <c r="B302" s="4"/>
      <c r="C302" s="52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 ht="15.75" customHeight="1">
      <c r="A303" s="4"/>
      <c r="B303" s="4"/>
      <c r="C303" s="52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 ht="15.75" customHeight="1">
      <c r="A304" s="4"/>
      <c r="B304" s="4"/>
      <c r="C304" s="52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 ht="15.75" customHeight="1">
      <c r="A305" s="4"/>
      <c r="B305" s="4"/>
      <c r="C305" s="52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 ht="15.75" customHeight="1">
      <c r="A306" s="4"/>
      <c r="B306" s="4"/>
      <c r="C306" s="52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 ht="15.75" customHeight="1">
      <c r="A307" s="4"/>
      <c r="B307" s="4"/>
      <c r="C307" s="52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 ht="15.75" customHeight="1">
      <c r="A308" s="4"/>
      <c r="B308" s="4"/>
      <c r="C308" s="52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 ht="15.75" customHeight="1">
      <c r="A309" s="4"/>
      <c r="B309" s="4"/>
      <c r="C309" s="52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 ht="15.75" customHeight="1">
      <c r="A310" s="4"/>
      <c r="B310" s="4"/>
      <c r="C310" s="52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 ht="15.75" customHeight="1">
      <c r="A311" s="4"/>
      <c r="B311" s="4"/>
      <c r="C311" s="52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 ht="15.75" customHeight="1">
      <c r="A312" s="4"/>
      <c r="B312" s="4"/>
      <c r="C312" s="52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 ht="15.75" customHeight="1">
      <c r="A313" s="4"/>
      <c r="B313" s="4"/>
      <c r="C313" s="52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 ht="15.75" customHeight="1">
      <c r="A314" s="4"/>
      <c r="B314" s="4"/>
      <c r="C314" s="52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 ht="15.75" customHeight="1">
      <c r="A315" s="4"/>
      <c r="B315" s="4"/>
      <c r="C315" s="52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 ht="15.75" customHeight="1">
      <c r="A316" s="4"/>
      <c r="B316" s="4"/>
      <c r="C316" s="52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 ht="15.75" customHeight="1">
      <c r="A317" s="4"/>
      <c r="B317" s="4"/>
      <c r="C317" s="52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 ht="15.75" customHeight="1">
      <c r="A318" s="4"/>
      <c r="B318" s="4"/>
      <c r="C318" s="52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 ht="15.75" customHeight="1">
      <c r="A319" s="4"/>
      <c r="B319" s="4"/>
      <c r="C319" s="52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 ht="15.75" customHeight="1">
      <c r="A320" s="4"/>
      <c r="B320" s="4"/>
      <c r="C320" s="52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 ht="15.75" customHeight="1">
      <c r="A321" s="4"/>
      <c r="B321" s="4"/>
      <c r="C321" s="52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 ht="15.75" customHeight="1">
      <c r="A322" s="4"/>
      <c r="B322" s="4"/>
      <c r="C322" s="52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 ht="15.75" customHeight="1">
      <c r="A323" s="4"/>
      <c r="B323" s="4"/>
      <c r="C323" s="52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 ht="15.75" customHeight="1">
      <c r="A324" s="4"/>
      <c r="B324" s="4"/>
      <c r="C324" s="52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 ht="15.75" customHeight="1">
      <c r="A325" s="4"/>
      <c r="B325" s="4"/>
      <c r="C325" s="52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 ht="15.75" customHeight="1">
      <c r="A326" s="4"/>
      <c r="B326" s="4"/>
      <c r="C326" s="52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R2:R4"/>
    <mergeCell ref="S2:S4"/>
    <mergeCell ref="F3:F4"/>
    <mergeCell ref="G3:H3"/>
    <mergeCell ref="I3:J3"/>
    <mergeCell ref="K3:K4"/>
    <mergeCell ref="F92:O92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76.63"/>
    <col customWidth="1" min="6" max="6" width="37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104.13"/>
  </cols>
  <sheetData>
    <row r="1" ht="45.0" customHeight="1">
      <c r="A1" s="1" t="s">
        <v>198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15.75" customHeight="1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5.75" customHeight="1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45506.0</v>
      </c>
      <c r="C5" s="18" t="s">
        <v>199</v>
      </c>
      <c r="D5" s="19">
        <v>49272.0</v>
      </c>
      <c r="E5" s="20" t="s">
        <v>200</v>
      </c>
      <c r="F5" s="21"/>
      <c r="G5" s="22"/>
      <c r="H5" s="21"/>
      <c r="I5" s="23">
        <v>5000.0</v>
      </c>
      <c r="J5" s="23"/>
      <c r="K5" s="22"/>
      <c r="L5" s="22"/>
      <c r="M5" s="21"/>
      <c r="N5" s="22"/>
      <c r="O5" s="22"/>
      <c r="P5" s="24">
        <v>5000.0</v>
      </c>
      <c r="Q5" s="25">
        <f t="shared" ref="Q5:Q57" si="1">F5+G5+H5+I5+J5+K5+L5+M5+N5+O5-P5</f>
        <v>0</v>
      </c>
      <c r="R5" s="24" t="s">
        <v>30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45506.0</v>
      </c>
      <c r="C6" s="18" t="s">
        <v>201</v>
      </c>
      <c r="D6" s="19">
        <v>49272.0</v>
      </c>
      <c r="E6" s="20" t="s">
        <v>200</v>
      </c>
      <c r="F6" s="21"/>
      <c r="G6" s="22"/>
      <c r="H6" s="22"/>
      <c r="I6" s="21">
        <v>5000.0</v>
      </c>
      <c r="J6" s="22"/>
      <c r="K6" s="22"/>
      <c r="L6" s="22"/>
      <c r="M6" s="21"/>
      <c r="N6" s="22"/>
      <c r="O6" s="22"/>
      <c r="P6" s="24">
        <v>5000.0</v>
      </c>
      <c r="Q6" s="25">
        <f t="shared" si="1"/>
        <v>0</v>
      </c>
      <c r="R6" s="24" t="s">
        <v>30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45506.0</v>
      </c>
      <c r="C7" s="18" t="s">
        <v>202</v>
      </c>
      <c r="D7" s="19">
        <v>49272.0</v>
      </c>
      <c r="E7" s="20" t="s">
        <v>200</v>
      </c>
      <c r="F7" s="22"/>
      <c r="G7" s="22"/>
      <c r="H7" s="21"/>
      <c r="I7" s="21">
        <v>5000.0</v>
      </c>
      <c r="J7" s="23"/>
      <c r="K7" s="22"/>
      <c r="L7" s="22"/>
      <c r="M7" s="22"/>
      <c r="N7" s="22"/>
      <c r="O7" s="22"/>
      <c r="P7" s="24">
        <v>5000.0</v>
      </c>
      <c r="Q7" s="25">
        <f t="shared" si="1"/>
        <v>0</v>
      </c>
      <c r="R7" s="24" t="s">
        <v>30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45506.0</v>
      </c>
      <c r="C8" s="18" t="s">
        <v>203</v>
      </c>
      <c r="D8" s="19">
        <v>71801.0</v>
      </c>
      <c r="E8" s="20" t="s">
        <v>204</v>
      </c>
      <c r="F8" s="22"/>
      <c r="G8" s="22"/>
      <c r="H8" s="22"/>
      <c r="I8" s="21">
        <v>5000.0</v>
      </c>
      <c r="J8" s="21"/>
      <c r="K8" s="22"/>
      <c r="L8" s="22"/>
      <c r="M8" s="22"/>
      <c r="N8" s="22"/>
      <c r="O8" s="22"/>
      <c r="P8" s="24">
        <v>5000.0</v>
      </c>
      <c r="Q8" s="25">
        <f t="shared" si="1"/>
        <v>0</v>
      </c>
      <c r="R8" s="24" t="s">
        <v>25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45507.0</v>
      </c>
      <c r="C9" s="18" t="s">
        <v>205</v>
      </c>
      <c r="D9" s="19">
        <v>37078.0</v>
      </c>
      <c r="E9" s="20" t="s">
        <v>206</v>
      </c>
      <c r="F9" s="22"/>
      <c r="G9" s="22"/>
      <c r="H9" s="22"/>
      <c r="I9" s="21">
        <v>1350.0</v>
      </c>
      <c r="J9" s="21"/>
      <c r="K9" s="22"/>
      <c r="L9" s="22"/>
      <c r="M9" s="21"/>
      <c r="N9" s="22"/>
      <c r="O9" s="22"/>
      <c r="P9" s="24">
        <v>1350.0</v>
      </c>
      <c r="Q9" s="25">
        <f t="shared" si="1"/>
        <v>0</v>
      </c>
      <c r="R9" s="24" t="s">
        <v>30</v>
      </c>
      <c r="S9" s="26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45507.0</v>
      </c>
      <c r="C10" s="18" t="s">
        <v>207</v>
      </c>
      <c r="D10" s="19">
        <v>10288.0</v>
      </c>
      <c r="E10" s="20" t="s">
        <v>208</v>
      </c>
      <c r="F10" s="22"/>
      <c r="G10" s="22"/>
      <c r="H10" s="22">
        <v>20000.0</v>
      </c>
      <c r="I10" s="21"/>
      <c r="J10" s="21"/>
      <c r="K10" s="22"/>
      <c r="L10" s="22"/>
      <c r="M10" s="21"/>
      <c r="N10" s="22"/>
      <c r="O10" s="22"/>
      <c r="P10" s="24">
        <v>20000.0</v>
      </c>
      <c r="Q10" s="25">
        <f t="shared" si="1"/>
        <v>0</v>
      </c>
      <c r="R10" s="24" t="s">
        <v>68</v>
      </c>
      <c r="S10" s="60" t="s">
        <v>209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45507.0</v>
      </c>
      <c r="C11" s="18" t="s">
        <v>210</v>
      </c>
      <c r="D11" s="19">
        <v>26831.0</v>
      </c>
      <c r="E11" s="20" t="s">
        <v>211</v>
      </c>
      <c r="F11" s="22"/>
      <c r="G11" s="22"/>
      <c r="H11" s="22"/>
      <c r="I11" s="21"/>
      <c r="J11" s="21">
        <v>3550.0</v>
      </c>
      <c r="K11" s="22"/>
      <c r="L11" s="22"/>
      <c r="M11" s="21"/>
      <c r="N11" s="22"/>
      <c r="O11" s="22"/>
      <c r="P11" s="24">
        <v>3550.0</v>
      </c>
      <c r="Q11" s="25">
        <f t="shared" si="1"/>
        <v>0</v>
      </c>
      <c r="R11" s="24" t="s">
        <v>51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7">
        <v>45507.0</v>
      </c>
      <c r="C12" s="18" t="s">
        <v>212</v>
      </c>
      <c r="D12" s="19">
        <v>77831.0</v>
      </c>
      <c r="E12" s="20" t="s">
        <v>213</v>
      </c>
      <c r="F12" s="22"/>
      <c r="G12" s="22"/>
      <c r="H12" s="22"/>
      <c r="I12" s="21"/>
      <c r="J12" s="21">
        <v>1950.0</v>
      </c>
      <c r="K12" s="22"/>
      <c r="L12" s="22"/>
      <c r="M12" s="21"/>
      <c r="N12" s="22"/>
      <c r="O12" s="22"/>
      <c r="P12" s="24">
        <v>1950.0</v>
      </c>
      <c r="Q12" s="25">
        <f t="shared" si="1"/>
        <v>0</v>
      </c>
      <c r="R12" s="24" t="s">
        <v>51</v>
      </c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8">
        <v>45507.0</v>
      </c>
      <c r="C13" s="29" t="s">
        <v>214</v>
      </c>
      <c r="D13" s="30">
        <v>50871.0</v>
      </c>
      <c r="E13" s="31" t="s">
        <v>215</v>
      </c>
      <c r="F13" s="22"/>
      <c r="G13" s="22"/>
      <c r="H13" s="22"/>
      <c r="I13" s="21"/>
      <c r="J13" s="21">
        <v>5000.0</v>
      </c>
      <c r="K13" s="22"/>
      <c r="L13" s="22"/>
      <c r="M13" s="21"/>
      <c r="N13" s="22"/>
      <c r="O13" s="22"/>
      <c r="P13" s="32">
        <v>5000.0</v>
      </c>
      <c r="Q13" s="25">
        <f t="shared" si="1"/>
        <v>0</v>
      </c>
      <c r="R13" s="32" t="s">
        <v>30</v>
      </c>
      <c r="S13" s="26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 ht="34.5" customHeight="1">
      <c r="A14" s="16">
        <v>10.0</v>
      </c>
      <c r="B14" s="27">
        <v>45507.0</v>
      </c>
      <c r="C14" s="18" t="s">
        <v>216</v>
      </c>
      <c r="D14" s="19">
        <v>43380.0</v>
      </c>
      <c r="E14" s="20" t="s">
        <v>161</v>
      </c>
      <c r="F14" s="22"/>
      <c r="G14" s="22"/>
      <c r="H14" s="22"/>
      <c r="I14" s="21"/>
      <c r="J14" s="21">
        <v>5150.0</v>
      </c>
      <c r="K14" s="22">
        <v>4850.0</v>
      </c>
      <c r="L14" s="22"/>
      <c r="M14" s="21"/>
      <c r="N14" s="22"/>
      <c r="O14" s="22"/>
      <c r="P14" s="24">
        <v>10000.0</v>
      </c>
      <c r="Q14" s="25">
        <f t="shared" si="1"/>
        <v>0</v>
      </c>
      <c r="R14" s="24" t="s">
        <v>51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45507.0</v>
      </c>
      <c r="C15" s="18" t="s">
        <v>217</v>
      </c>
      <c r="D15" s="19">
        <v>50613.0</v>
      </c>
      <c r="E15" s="20" t="s">
        <v>218</v>
      </c>
      <c r="F15" s="22"/>
      <c r="G15" s="22"/>
      <c r="H15" s="22"/>
      <c r="I15" s="21">
        <v>1950.0</v>
      </c>
      <c r="J15" s="21"/>
      <c r="K15" s="22"/>
      <c r="L15" s="22"/>
      <c r="M15" s="21"/>
      <c r="N15" s="22"/>
      <c r="O15" s="22"/>
      <c r="P15" s="24">
        <v>1950.0</v>
      </c>
      <c r="Q15" s="25">
        <f t="shared" si="1"/>
        <v>0</v>
      </c>
      <c r="R15" s="24" t="s">
        <v>30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45507.0</v>
      </c>
      <c r="C16" s="18" t="s">
        <v>219</v>
      </c>
      <c r="D16" s="19">
        <v>19688.0</v>
      </c>
      <c r="E16" s="20" t="s">
        <v>220</v>
      </c>
      <c r="F16" s="22"/>
      <c r="G16" s="22"/>
      <c r="H16" s="22"/>
      <c r="I16" s="21"/>
      <c r="J16" s="21">
        <v>150.0</v>
      </c>
      <c r="K16" s="22"/>
      <c r="L16" s="22"/>
      <c r="M16" s="21"/>
      <c r="N16" s="22"/>
      <c r="O16" s="22"/>
      <c r="P16" s="24">
        <v>150.0</v>
      </c>
      <c r="Q16" s="25">
        <f t="shared" si="1"/>
        <v>0</v>
      </c>
      <c r="R16" s="24" t="s">
        <v>68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45507.0</v>
      </c>
      <c r="C17" s="18" t="s">
        <v>221</v>
      </c>
      <c r="D17" s="19">
        <v>50557.0</v>
      </c>
      <c r="E17" s="20" t="s">
        <v>222</v>
      </c>
      <c r="F17" s="22"/>
      <c r="G17" s="22"/>
      <c r="H17" s="22"/>
      <c r="I17" s="21">
        <v>2500.0</v>
      </c>
      <c r="J17" s="21"/>
      <c r="K17" s="22"/>
      <c r="L17" s="22"/>
      <c r="M17" s="21"/>
      <c r="N17" s="22"/>
      <c r="O17" s="22"/>
      <c r="P17" s="24">
        <v>2500.0</v>
      </c>
      <c r="Q17" s="25">
        <f t="shared" si="1"/>
        <v>0</v>
      </c>
      <c r="R17" s="24" t="s">
        <v>30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7">
        <v>45507.0</v>
      </c>
      <c r="C18" s="18" t="s">
        <v>223</v>
      </c>
      <c r="D18" s="19">
        <v>36555.0</v>
      </c>
      <c r="E18" s="20" t="s">
        <v>63</v>
      </c>
      <c r="F18" s="22"/>
      <c r="G18" s="22"/>
      <c r="H18" s="22"/>
      <c r="I18" s="21">
        <v>4500.0</v>
      </c>
      <c r="J18" s="21"/>
      <c r="K18" s="22"/>
      <c r="L18" s="22"/>
      <c r="M18" s="22"/>
      <c r="N18" s="22"/>
      <c r="O18" s="22"/>
      <c r="P18" s="24">
        <v>4500.0</v>
      </c>
      <c r="Q18" s="25">
        <f t="shared" si="1"/>
        <v>0</v>
      </c>
      <c r="R18" s="24" t="s">
        <v>30</v>
      </c>
      <c r="S18" s="26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28">
        <v>45507.0</v>
      </c>
      <c r="C19" s="29" t="s">
        <v>224</v>
      </c>
      <c r="D19" s="30">
        <v>46927.0</v>
      </c>
      <c r="E19" s="31" t="s">
        <v>225</v>
      </c>
      <c r="F19" s="22"/>
      <c r="G19" s="22"/>
      <c r="H19" s="22"/>
      <c r="I19" s="21">
        <v>8400.0</v>
      </c>
      <c r="J19" s="21"/>
      <c r="K19" s="22"/>
      <c r="L19" s="22"/>
      <c r="M19" s="21"/>
      <c r="N19" s="22"/>
      <c r="O19" s="22"/>
      <c r="P19" s="32">
        <v>8400.0</v>
      </c>
      <c r="Q19" s="25">
        <f t="shared" si="1"/>
        <v>0</v>
      </c>
      <c r="R19" s="32" t="s">
        <v>51</v>
      </c>
      <c r="S19" s="26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ht="34.5" customHeight="1">
      <c r="A20" s="16">
        <v>16.0</v>
      </c>
      <c r="B20" s="27">
        <v>45507.0</v>
      </c>
      <c r="C20" s="18" t="s">
        <v>226</v>
      </c>
      <c r="D20" s="19">
        <v>69918.0</v>
      </c>
      <c r="E20" s="20" t="s">
        <v>227</v>
      </c>
      <c r="F20" s="22"/>
      <c r="G20" s="22"/>
      <c r="H20" s="22"/>
      <c r="I20" s="23">
        <v>16400.0</v>
      </c>
      <c r="J20" s="23"/>
      <c r="K20" s="22"/>
      <c r="L20" s="22"/>
      <c r="M20" s="22"/>
      <c r="N20" s="22"/>
      <c r="O20" s="22"/>
      <c r="P20" s="24">
        <v>16400.0</v>
      </c>
      <c r="Q20" s="25">
        <f t="shared" si="1"/>
        <v>0</v>
      </c>
      <c r="R20" s="24" t="s">
        <v>51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45507.0</v>
      </c>
      <c r="C21" s="18" t="s">
        <v>228</v>
      </c>
      <c r="D21" s="19">
        <v>84033.0</v>
      </c>
      <c r="E21" s="20" t="s">
        <v>229</v>
      </c>
      <c r="F21" s="21"/>
      <c r="G21" s="22"/>
      <c r="H21" s="22"/>
      <c r="I21" s="34">
        <v>848.0</v>
      </c>
      <c r="J21" s="22"/>
      <c r="K21" s="35"/>
      <c r="L21" s="22"/>
      <c r="M21" s="22"/>
      <c r="N21" s="22"/>
      <c r="O21" s="22"/>
      <c r="P21" s="24">
        <v>848.0</v>
      </c>
      <c r="Q21" s="25">
        <f t="shared" si="1"/>
        <v>0</v>
      </c>
      <c r="R21" s="24" t="s">
        <v>30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7">
        <v>45507.0</v>
      </c>
      <c r="C22" s="18" t="s">
        <v>230</v>
      </c>
      <c r="D22" s="19">
        <v>44149.0</v>
      </c>
      <c r="E22" s="20" t="s">
        <v>231</v>
      </c>
      <c r="F22" s="21"/>
      <c r="G22" s="22"/>
      <c r="H22" s="22"/>
      <c r="I22" s="21">
        <v>10000.0</v>
      </c>
      <c r="J22" s="22"/>
      <c r="K22" s="21"/>
      <c r="L22" s="22"/>
      <c r="M22" s="22"/>
      <c r="N22" s="22"/>
      <c r="O22" s="22"/>
      <c r="P22" s="24">
        <v>10000.0</v>
      </c>
      <c r="Q22" s="25">
        <f t="shared" si="1"/>
        <v>0</v>
      </c>
      <c r="R22" s="24" t="s">
        <v>51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36">
        <v>45507.0</v>
      </c>
      <c r="C23" s="37" t="s">
        <v>232</v>
      </c>
      <c r="D23" s="38">
        <v>83846.0</v>
      </c>
      <c r="E23" s="39" t="s">
        <v>233</v>
      </c>
      <c r="F23" s="34"/>
      <c r="G23" s="40"/>
      <c r="H23" s="40"/>
      <c r="I23" s="34"/>
      <c r="J23" s="34">
        <v>7000.0</v>
      </c>
      <c r="K23" s="41"/>
      <c r="L23" s="40"/>
      <c r="M23" s="40"/>
      <c r="N23" s="40"/>
      <c r="O23" s="40"/>
      <c r="P23" s="42">
        <v>7000.0</v>
      </c>
      <c r="Q23" s="25">
        <f t="shared" si="1"/>
        <v>0</v>
      </c>
      <c r="R23" s="42" t="s">
        <v>68</v>
      </c>
      <c r="S23" s="26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</row>
    <row r="24" ht="34.5" customHeight="1">
      <c r="A24" s="16">
        <v>20.0</v>
      </c>
      <c r="B24" s="27">
        <v>45507.0</v>
      </c>
      <c r="C24" s="18" t="s">
        <v>234</v>
      </c>
      <c r="D24" s="19">
        <v>42046.0</v>
      </c>
      <c r="E24" s="20" t="s">
        <v>77</v>
      </c>
      <c r="F24" s="21"/>
      <c r="G24" s="22"/>
      <c r="H24" s="22"/>
      <c r="I24" s="21"/>
      <c r="J24" s="22"/>
      <c r="K24" s="35">
        <v>300.0</v>
      </c>
      <c r="L24" s="22"/>
      <c r="M24" s="22"/>
      <c r="N24" s="22"/>
      <c r="O24" s="22"/>
      <c r="P24" s="24">
        <v>300.0</v>
      </c>
      <c r="Q24" s="25">
        <f t="shared" si="1"/>
        <v>0</v>
      </c>
      <c r="R24" s="24" t="s">
        <v>68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45507.0</v>
      </c>
      <c r="C25" s="18" t="s">
        <v>235</v>
      </c>
      <c r="D25" s="19">
        <v>81108.0</v>
      </c>
      <c r="E25" s="20" t="s">
        <v>94</v>
      </c>
      <c r="F25" s="21"/>
      <c r="G25" s="22"/>
      <c r="H25" s="22"/>
      <c r="I25" s="21">
        <v>10000.0</v>
      </c>
      <c r="J25" s="21"/>
      <c r="K25" s="35"/>
      <c r="L25" s="22"/>
      <c r="M25" s="22"/>
      <c r="N25" s="22"/>
      <c r="O25" s="22"/>
      <c r="P25" s="24">
        <v>10000.0</v>
      </c>
      <c r="Q25" s="25">
        <f t="shared" si="1"/>
        <v>0</v>
      </c>
      <c r="R25" s="24" t="s">
        <v>30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45507.0</v>
      </c>
      <c r="C26" s="18" t="s">
        <v>236</v>
      </c>
      <c r="D26" s="19">
        <v>59244.0</v>
      </c>
      <c r="E26" s="20" t="s">
        <v>237</v>
      </c>
      <c r="F26" s="21"/>
      <c r="G26" s="22"/>
      <c r="H26" s="22"/>
      <c r="I26" s="35">
        <v>27000.0</v>
      </c>
      <c r="J26" s="21"/>
      <c r="K26" s="35"/>
      <c r="L26" s="22"/>
      <c r="M26" s="22"/>
      <c r="N26" s="22"/>
      <c r="O26" s="22"/>
      <c r="P26" s="24">
        <v>27000.0</v>
      </c>
      <c r="Q26" s="25">
        <f t="shared" si="1"/>
        <v>0</v>
      </c>
      <c r="R26" s="24" t="s">
        <v>68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45507.0</v>
      </c>
      <c r="C27" s="18" t="s">
        <v>238</v>
      </c>
      <c r="D27" s="19">
        <v>60862.0</v>
      </c>
      <c r="E27" s="20" t="s">
        <v>239</v>
      </c>
      <c r="F27" s="21"/>
      <c r="G27" s="22"/>
      <c r="H27" s="22"/>
      <c r="I27" s="21">
        <v>5150.0</v>
      </c>
      <c r="J27" s="21"/>
      <c r="K27" s="23"/>
      <c r="L27" s="22"/>
      <c r="M27" s="22"/>
      <c r="N27" s="22"/>
      <c r="O27" s="22"/>
      <c r="P27" s="24">
        <v>5150.0</v>
      </c>
      <c r="Q27" s="25">
        <f t="shared" si="1"/>
        <v>0</v>
      </c>
      <c r="R27" s="24" t="s">
        <v>30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45507.0</v>
      </c>
      <c r="C28" s="18" t="s">
        <v>240</v>
      </c>
      <c r="D28" s="19">
        <v>26831.0</v>
      </c>
      <c r="E28" s="20" t="s">
        <v>211</v>
      </c>
      <c r="F28" s="21"/>
      <c r="G28" s="22"/>
      <c r="H28" s="22"/>
      <c r="I28" s="21"/>
      <c r="J28" s="21">
        <v>2790.0</v>
      </c>
      <c r="K28" s="23"/>
      <c r="L28" s="22"/>
      <c r="M28" s="22"/>
      <c r="N28" s="22"/>
      <c r="O28" s="22"/>
      <c r="P28" s="24">
        <v>2790.0</v>
      </c>
      <c r="Q28" s="25">
        <f t="shared" si="1"/>
        <v>0</v>
      </c>
      <c r="R28" s="24" t="s">
        <v>68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45507.0</v>
      </c>
      <c r="C29" s="18" t="s">
        <v>241</v>
      </c>
      <c r="D29" s="19">
        <v>84305.0</v>
      </c>
      <c r="E29" s="20" t="s">
        <v>242</v>
      </c>
      <c r="F29" s="21">
        <v>870.0</v>
      </c>
      <c r="G29" s="22"/>
      <c r="H29" s="22"/>
      <c r="I29" s="21"/>
      <c r="J29" s="21"/>
      <c r="K29" s="23"/>
      <c r="L29" s="22"/>
      <c r="M29" s="22"/>
      <c r="N29" s="22"/>
      <c r="O29" s="22"/>
      <c r="P29" s="24">
        <v>870.0</v>
      </c>
      <c r="Q29" s="25">
        <f t="shared" si="1"/>
        <v>0</v>
      </c>
      <c r="R29" s="24" t="s">
        <v>68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45507.0</v>
      </c>
      <c r="C30" s="18" t="s">
        <v>243</v>
      </c>
      <c r="D30" s="19">
        <v>13762.0</v>
      </c>
      <c r="E30" s="20" t="s">
        <v>244</v>
      </c>
      <c r="F30" s="21">
        <v>400.0</v>
      </c>
      <c r="G30" s="22"/>
      <c r="H30" s="22"/>
      <c r="I30" s="21"/>
      <c r="J30" s="21">
        <v>3400.0</v>
      </c>
      <c r="K30" s="23"/>
      <c r="L30" s="22"/>
      <c r="M30" s="22"/>
      <c r="N30" s="22"/>
      <c r="O30" s="22"/>
      <c r="P30" s="24">
        <v>3800.0</v>
      </c>
      <c r="Q30" s="25">
        <f t="shared" si="1"/>
        <v>0</v>
      </c>
      <c r="R30" s="24" t="s">
        <v>68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45507.0</v>
      </c>
      <c r="C31" s="18" t="s">
        <v>245</v>
      </c>
      <c r="D31" s="19">
        <v>62508.0</v>
      </c>
      <c r="E31" s="20" t="s">
        <v>246</v>
      </c>
      <c r="F31" s="21"/>
      <c r="G31" s="22"/>
      <c r="H31" s="22"/>
      <c r="I31" s="21">
        <v>300.0</v>
      </c>
      <c r="J31" s="21"/>
      <c r="K31" s="23"/>
      <c r="L31" s="22"/>
      <c r="M31" s="22"/>
      <c r="N31" s="22"/>
      <c r="O31" s="22"/>
      <c r="P31" s="24">
        <v>300.0</v>
      </c>
      <c r="Q31" s="25">
        <f t="shared" si="1"/>
        <v>0</v>
      </c>
      <c r="R31" s="24" t="s">
        <v>51</v>
      </c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45507.0</v>
      </c>
      <c r="C32" s="18" t="s">
        <v>247</v>
      </c>
      <c r="D32" s="19">
        <v>36555.0</v>
      </c>
      <c r="E32" s="20" t="s">
        <v>63</v>
      </c>
      <c r="F32" s="21"/>
      <c r="G32" s="22"/>
      <c r="H32" s="22"/>
      <c r="I32" s="21">
        <v>5000.0</v>
      </c>
      <c r="J32" s="21"/>
      <c r="K32" s="23"/>
      <c r="L32" s="22"/>
      <c r="M32" s="22"/>
      <c r="N32" s="22"/>
      <c r="O32" s="22"/>
      <c r="P32" s="24">
        <v>5000.0</v>
      </c>
      <c r="Q32" s="25">
        <f t="shared" si="1"/>
        <v>0</v>
      </c>
      <c r="R32" s="24" t="s">
        <v>51</v>
      </c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45507.0</v>
      </c>
      <c r="C33" s="18" t="s">
        <v>248</v>
      </c>
      <c r="D33" s="19">
        <v>72885.0</v>
      </c>
      <c r="E33" s="20" t="s">
        <v>249</v>
      </c>
      <c r="F33" s="21">
        <v>140.0</v>
      </c>
      <c r="G33" s="22"/>
      <c r="H33" s="22"/>
      <c r="I33" s="21"/>
      <c r="J33" s="21"/>
      <c r="K33" s="23"/>
      <c r="L33" s="22"/>
      <c r="M33" s="22"/>
      <c r="N33" s="22"/>
      <c r="O33" s="22"/>
      <c r="P33" s="24">
        <v>140.0</v>
      </c>
      <c r="Q33" s="25">
        <f t="shared" si="1"/>
        <v>0</v>
      </c>
      <c r="R33" s="24" t="s">
        <v>51</v>
      </c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7">
        <v>45507.0</v>
      </c>
      <c r="C34" s="18" t="s">
        <v>250</v>
      </c>
      <c r="D34" s="19">
        <v>39317.0</v>
      </c>
      <c r="E34" s="20" t="s">
        <v>251</v>
      </c>
      <c r="F34" s="21"/>
      <c r="G34" s="22"/>
      <c r="H34" s="22"/>
      <c r="I34" s="21"/>
      <c r="J34" s="21">
        <v>5150.0</v>
      </c>
      <c r="K34" s="23"/>
      <c r="L34" s="22"/>
      <c r="M34" s="22"/>
      <c r="N34" s="22"/>
      <c r="O34" s="22"/>
      <c r="P34" s="24">
        <v>5150.0</v>
      </c>
      <c r="Q34" s="25">
        <f t="shared" si="1"/>
        <v>0</v>
      </c>
      <c r="R34" s="24" t="s">
        <v>30</v>
      </c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7">
        <v>45507.0</v>
      </c>
      <c r="C35" s="18" t="s">
        <v>252</v>
      </c>
      <c r="D35" s="19">
        <v>67621.0</v>
      </c>
      <c r="E35" s="20" t="s">
        <v>92</v>
      </c>
      <c r="F35" s="21"/>
      <c r="G35" s="22"/>
      <c r="H35" s="22"/>
      <c r="I35" s="21">
        <v>10000.0</v>
      </c>
      <c r="J35" s="21"/>
      <c r="K35" s="23"/>
      <c r="L35" s="22"/>
      <c r="M35" s="22"/>
      <c r="N35" s="22"/>
      <c r="O35" s="22"/>
      <c r="P35" s="24">
        <v>10000.0</v>
      </c>
      <c r="Q35" s="25">
        <f t="shared" si="1"/>
        <v>0</v>
      </c>
      <c r="R35" s="24" t="s">
        <v>30</v>
      </c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7">
        <v>45507.0</v>
      </c>
      <c r="C36" s="18" t="s">
        <v>253</v>
      </c>
      <c r="D36" s="19">
        <v>10249.0</v>
      </c>
      <c r="E36" s="20" t="s">
        <v>254</v>
      </c>
      <c r="F36" s="21"/>
      <c r="G36" s="22"/>
      <c r="H36" s="22"/>
      <c r="I36" s="21"/>
      <c r="J36" s="21">
        <v>5000.0</v>
      </c>
      <c r="K36" s="23"/>
      <c r="L36" s="22"/>
      <c r="M36" s="22"/>
      <c r="N36" s="22"/>
      <c r="O36" s="22"/>
      <c r="P36" s="24">
        <v>5000.0</v>
      </c>
      <c r="Q36" s="25">
        <f t="shared" si="1"/>
        <v>0</v>
      </c>
      <c r="R36" s="24" t="s">
        <v>68</v>
      </c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7">
        <v>45507.0</v>
      </c>
      <c r="C37" s="18" t="s">
        <v>255</v>
      </c>
      <c r="D37" s="19">
        <v>10249.0</v>
      </c>
      <c r="E37" s="20" t="s">
        <v>254</v>
      </c>
      <c r="F37" s="21"/>
      <c r="G37" s="22"/>
      <c r="H37" s="22"/>
      <c r="I37" s="21"/>
      <c r="J37" s="21">
        <v>3080.0</v>
      </c>
      <c r="K37" s="23"/>
      <c r="L37" s="22"/>
      <c r="M37" s="22"/>
      <c r="N37" s="22"/>
      <c r="O37" s="22"/>
      <c r="P37" s="24">
        <v>3080.0</v>
      </c>
      <c r="Q37" s="25">
        <f t="shared" si="1"/>
        <v>0</v>
      </c>
      <c r="R37" s="24" t="s">
        <v>68</v>
      </c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7">
        <v>45507.0</v>
      </c>
      <c r="C38" s="18" t="s">
        <v>256</v>
      </c>
      <c r="D38" s="19">
        <v>80078.0</v>
      </c>
      <c r="E38" s="20" t="s">
        <v>257</v>
      </c>
      <c r="F38" s="21"/>
      <c r="G38" s="22"/>
      <c r="H38" s="22"/>
      <c r="I38" s="21"/>
      <c r="J38" s="21"/>
      <c r="K38" s="23">
        <v>150.0</v>
      </c>
      <c r="L38" s="22"/>
      <c r="M38" s="22"/>
      <c r="N38" s="22"/>
      <c r="O38" s="22"/>
      <c r="P38" s="24">
        <v>150.0</v>
      </c>
      <c r="Q38" s="25">
        <f t="shared" si="1"/>
        <v>0</v>
      </c>
      <c r="R38" s="24" t="s">
        <v>51</v>
      </c>
      <c r="S38" s="26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7">
        <v>45507.0</v>
      </c>
      <c r="C39" s="18" t="s">
        <v>258</v>
      </c>
      <c r="D39" s="19">
        <v>52083.0</v>
      </c>
      <c r="E39" s="20" t="s">
        <v>122</v>
      </c>
      <c r="F39" s="21"/>
      <c r="G39" s="22"/>
      <c r="H39" s="22"/>
      <c r="I39" s="21">
        <v>2500.0</v>
      </c>
      <c r="J39" s="21"/>
      <c r="K39" s="23"/>
      <c r="L39" s="22"/>
      <c r="M39" s="22"/>
      <c r="N39" s="22"/>
      <c r="O39" s="22"/>
      <c r="P39" s="24">
        <v>2500.0</v>
      </c>
      <c r="Q39" s="25">
        <f t="shared" si="1"/>
        <v>0</v>
      </c>
      <c r="R39" s="24" t="s">
        <v>30</v>
      </c>
      <c r="S39" s="26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7">
        <v>45507.0</v>
      </c>
      <c r="C40" s="18" t="s">
        <v>259</v>
      </c>
      <c r="D40" s="19">
        <v>59103.0</v>
      </c>
      <c r="E40" s="20" t="s">
        <v>260</v>
      </c>
      <c r="F40" s="21"/>
      <c r="G40" s="22"/>
      <c r="H40" s="22"/>
      <c r="I40" s="21"/>
      <c r="J40" s="21"/>
      <c r="K40" s="23">
        <v>200.0</v>
      </c>
      <c r="L40" s="22"/>
      <c r="M40" s="22"/>
      <c r="N40" s="22"/>
      <c r="O40" s="22"/>
      <c r="P40" s="24">
        <v>200.0</v>
      </c>
      <c r="Q40" s="25">
        <f t="shared" si="1"/>
        <v>0</v>
      </c>
      <c r="R40" s="24" t="s">
        <v>51</v>
      </c>
      <c r="S40" s="26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7">
        <v>45507.0</v>
      </c>
      <c r="C41" s="18" t="s">
        <v>261</v>
      </c>
      <c r="D41" s="19">
        <v>56980.0</v>
      </c>
      <c r="E41" s="20" t="s">
        <v>262</v>
      </c>
      <c r="F41" s="21"/>
      <c r="G41" s="22">
        <v>5000.0</v>
      </c>
      <c r="H41" s="22"/>
      <c r="I41" s="21"/>
      <c r="J41" s="21"/>
      <c r="K41" s="23"/>
      <c r="L41" s="22"/>
      <c r="M41" s="22"/>
      <c r="N41" s="22"/>
      <c r="O41" s="22"/>
      <c r="P41" s="24">
        <v>5000.0</v>
      </c>
      <c r="Q41" s="25">
        <f t="shared" si="1"/>
        <v>0</v>
      </c>
      <c r="R41" s="24" t="s">
        <v>68</v>
      </c>
      <c r="S41" s="26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27">
        <v>45507.0</v>
      </c>
      <c r="C42" s="18" t="s">
        <v>263</v>
      </c>
      <c r="D42" s="19">
        <v>56980.0</v>
      </c>
      <c r="E42" s="20" t="s">
        <v>262</v>
      </c>
      <c r="F42" s="21"/>
      <c r="G42" s="22">
        <v>2500.0</v>
      </c>
      <c r="H42" s="22"/>
      <c r="I42" s="21"/>
      <c r="J42" s="21"/>
      <c r="K42" s="23"/>
      <c r="L42" s="22"/>
      <c r="M42" s="22"/>
      <c r="N42" s="22"/>
      <c r="O42" s="22"/>
      <c r="P42" s="24">
        <v>2500.0</v>
      </c>
      <c r="Q42" s="25">
        <f t="shared" si="1"/>
        <v>0</v>
      </c>
      <c r="R42" s="24" t="s">
        <v>68</v>
      </c>
      <c r="S42" s="26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>
        <v>39.0</v>
      </c>
      <c r="B43" s="27">
        <v>45507.0</v>
      </c>
      <c r="C43" s="18" t="s">
        <v>264</v>
      </c>
      <c r="D43" s="19">
        <v>56980.0</v>
      </c>
      <c r="E43" s="20" t="s">
        <v>262</v>
      </c>
      <c r="F43" s="21"/>
      <c r="G43" s="22"/>
      <c r="H43" s="22"/>
      <c r="I43" s="21">
        <v>15000.0</v>
      </c>
      <c r="J43" s="21"/>
      <c r="K43" s="23"/>
      <c r="L43" s="22"/>
      <c r="M43" s="22"/>
      <c r="N43" s="22"/>
      <c r="O43" s="22"/>
      <c r="P43" s="24">
        <v>15000.0</v>
      </c>
      <c r="Q43" s="25">
        <f t="shared" si="1"/>
        <v>0</v>
      </c>
      <c r="R43" s="24" t="s">
        <v>68</v>
      </c>
      <c r="S43" s="26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16">
        <v>40.0</v>
      </c>
      <c r="B44" s="27">
        <v>45507.0</v>
      </c>
      <c r="C44" s="18" t="s">
        <v>265</v>
      </c>
      <c r="D44" s="19">
        <v>78998.0</v>
      </c>
      <c r="E44" s="20" t="s">
        <v>266</v>
      </c>
      <c r="F44" s="21"/>
      <c r="G44" s="22"/>
      <c r="H44" s="22"/>
      <c r="I44" s="21">
        <v>2650.0</v>
      </c>
      <c r="J44" s="21"/>
      <c r="K44" s="23"/>
      <c r="L44" s="22"/>
      <c r="M44" s="22"/>
      <c r="N44" s="22"/>
      <c r="O44" s="22"/>
      <c r="P44" s="24">
        <v>2650.0</v>
      </c>
      <c r="Q44" s="25">
        <f t="shared" si="1"/>
        <v>0</v>
      </c>
      <c r="R44" s="24" t="s">
        <v>30</v>
      </c>
      <c r="S44" s="26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16">
        <v>41.0</v>
      </c>
      <c r="B45" s="27">
        <v>45507.0</v>
      </c>
      <c r="C45" s="18" t="s">
        <v>267</v>
      </c>
      <c r="D45" s="19">
        <v>77283.0</v>
      </c>
      <c r="E45" s="20" t="s">
        <v>268</v>
      </c>
      <c r="F45" s="21"/>
      <c r="G45" s="22"/>
      <c r="H45" s="22"/>
      <c r="I45" s="21"/>
      <c r="J45" s="21"/>
      <c r="K45" s="23"/>
      <c r="L45" s="22"/>
      <c r="M45" s="22">
        <v>3000.0</v>
      </c>
      <c r="N45" s="22"/>
      <c r="O45" s="22"/>
      <c r="P45" s="24">
        <v>3000.0</v>
      </c>
      <c r="Q45" s="25">
        <f t="shared" si="1"/>
        <v>0</v>
      </c>
      <c r="R45" s="24"/>
      <c r="S45" s="26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4.5" customHeight="1">
      <c r="A46" s="16">
        <v>42.0</v>
      </c>
      <c r="B46" s="27">
        <v>45507.0</v>
      </c>
      <c r="C46" s="18" t="s">
        <v>269</v>
      </c>
      <c r="D46" s="19">
        <v>51017.0</v>
      </c>
      <c r="E46" s="20" t="s">
        <v>270</v>
      </c>
      <c r="F46" s="21"/>
      <c r="G46" s="22"/>
      <c r="H46" s="22">
        <v>23750.0</v>
      </c>
      <c r="I46" s="21"/>
      <c r="J46" s="21"/>
      <c r="K46" s="23"/>
      <c r="L46" s="22"/>
      <c r="M46" s="22"/>
      <c r="N46" s="22"/>
      <c r="O46" s="22"/>
      <c r="P46" s="24">
        <v>23750.0</v>
      </c>
      <c r="Q46" s="25">
        <f t="shared" si="1"/>
        <v>0</v>
      </c>
      <c r="R46" s="24"/>
      <c r="S46" s="26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34.5" customHeight="1">
      <c r="A47" s="16">
        <v>43.0</v>
      </c>
      <c r="B47" s="27">
        <v>45507.0</v>
      </c>
      <c r="C47" s="18" t="s">
        <v>271</v>
      </c>
      <c r="D47" s="19">
        <v>78256.0</v>
      </c>
      <c r="E47" s="20" t="s">
        <v>272</v>
      </c>
      <c r="F47" s="21"/>
      <c r="G47" s="22"/>
      <c r="H47" s="22"/>
      <c r="I47" s="21"/>
      <c r="J47" s="21"/>
      <c r="K47" s="23"/>
      <c r="L47" s="22"/>
      <c r="M47" s="22"/>
      <c r="N47" s="22"/>
      <c r="O47" s="22">
        <v>900.0</v>
      </c>
      <c r="P47" s="24">
        <v>900.0</v>
      </c>
      <c r="Q47" s="25">
        <f t="shared" si="1"/>
        <v>0</v>
      </c>
      <c r="R47" s="24"/>
      <c r="S47" s="26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34.5" customHeight="1">
      <c r="A48" s="16">
        <v>44.0</v>
      </c>
      <c r="B48" s="27">
        <v>45507.0</v>
      </c>
      <c r="C48" s="18" t="s">
        <v>273</v>
      </c>
      <c r="D48" s="19">
        <v>69371.0</v>
      </c>
      <c r="E48" s="20" t="s">
        <v>274</v>
      </c>
      <c r="F48" s="21"/>
      <c r="G48" s="22"/>
      <c r="H48" s="22"/>
      <c r="I48" s="21"/>
      <c r="J48" s="21"/>
      <c r="K48" s="23"/>
      <c r="L48" s="22"/>
      <c r="M48" s="22"/>
      <c r="N48" s="22"/>
      <c r="O48" s="22">
        <v>1350.0</v>
      </c>
      <c r="P48" s="24">
        <v>1350.0</v>
      </c>
      <c r="Q48" s="25">
        <f t="shared" si="1"/>
        <v>0</v>
      </c>
      <c r="R48" s="24"/>
      <c r="S48" s="26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34.5" customHeight="1">
      <c r="A49" s="16">
        <v>45.0</v>
      </c>
      <c r="B49" s="27">
        <v>45507.0</v>
      </c>
      <c r="C49" s="18" t="s">
        <v>275</v>
      </c>
      <c r="D49" s="19">
        <v>21828.0</v>
      </c>
      <c r="E49" s="20" t="s">
        <v>47</v>
      </c>
      <c r="F49" s="21"/>
      <c r="G49" s="22"/>
      <c r="H49" s="22"/>
      <c r="I49" s="21"/>
      <c r="J49" s="21"/>
      <c r="K49" s="23"/>
      <c r="L49" s="22"/>
      <c r="M49" s="22">
        <v>2500.0</v>
      </c>
      <c r="N49" s="22"/>
      <c r="O49" s="22"/>
      <c r="P49" s="24">
        <v>2500.0</v>
      </c>
      <c r="Q49" s="25">
        <f t="shared" si="1"/>
        <v>0</v>
      </c>
      <c r="R49" s="24"/>
      <c r="S49" s="26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34.5" customHeight="1">
      <c r="A50" s="16">
        <v>46.0</v>
      </c>
      <c r="B50" s="27">
        <v>45507.0</v>
      </c>
      <c r="C50" s="18" t="s">
        <v>276</v>
      </c>
      <c r="D50" s="19">
        <v>19688.0</v>
      </c>
      <c r="E50" s="20" t="s">
        <v>220</v>
      </c>
      <c r="F50" s="21"/>
      <c r="G50" s="22"/>
      <c r="H50" s="22"/>
      <c r="I50" s="21"/>
      <c r="J50" s="21"/>
      <c r="K50" s="23"/>
      <c r="L50" s="22"/>
      <c r="M50" s="22"/>
      <c r="N50" s="22"/>
      <c r="O50" s="22">
        <v>2400.0</v>
      </c>
      <c r="P50" s="24">
        <v>2400.0</v>
      </c>
      <c r="Q50" s="25">
        <f t="shared" si="1"/>
        <v>0</v>
      </c>
      <c r="R50" s="24"/>
      <c r="S50" s="26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34.5" customHeight="1">
      <c r="A51" s="16">
        <v>47.0</v>
      </c>
      <c r="B51" s="27">
        <v>45507.0</v>
      </c>
      <c r="C51" s="18" t="s">
        <v>277</v>
      </c>
      <c r="D51" s="19">
        <v>84304.0</v>
      </c>
      <c r="E51" s="20" t="s">
        <v>278</v>
      </c>
      <c r="F51" s="21"/>
      <c r="G51" s="22"/>
      <c r="H51" s="22"/>
      <c r="I51" s="21"/>
      <c r="J51" s="21"/>
      <c r="K51" s="23">
        <v>5150.0</v>
      </c>
      <c r="L51" s="22"/>
      <c r="M51" s="22"/>
      <c r="N51" s="22"/>
      <c r="O51" s="22"/>
      <c r="P51" s="24">
        <v>5150.0</v>
      </c>
      <c r="Q51" s="25">
        <f t="shared" si="1"/>
        <v>0</v>
      </c>
      <c r="R51" s="24"/>
      <c r="S51" s="26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34.5" customHeight="1">
      <c r="A52" s="16">
        <v>48.0</v>
      </c>
      <c r="B52" s="27">
        <v>45507.0</v>
      </c>
      <c r="C52" s="18" t="s">
        <v>279</v>
      </c>
      <c r="D52" s="19">
        <v>10249.0</v>
      </c>
      <c r="E52" s="20" t="s">
        <v>254</v>
      </c>
      <c r="F52" s="21"/>
      <c r="G52" s="22"/>
      <c r="H52" s="22"/>
      <c r="I52" s="21"/>
      <c r="J52" s="21"/>
      <c r="K52" s="23"/>
      <c r="L52" s="22"/>
      <c r="M52" s="22"/>
      <c r="N52" s="22"/>
      <c r="O52" s="22">
        <v>2400.0</v>
      </c>
      <c r="P52" s="24">
        <v>2400.0</v>
      </c>
      <c r="Q52" s="25">
        <f t="shared" si="1"/>
        <v>0</v>
      </c>
      <c r="R52" s="24"/>
      <c r="S52" s="26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34.5" customHeight="1">
      <c r="A53" s="16">
        <v>49.0</v>
      </c>
      <c r="B53" s="27">
        <v>45507.0</v>
      </c>
      <c r="C53" s="18" t="s">
        <v>280</v>
      </c>
      <c r="D53" s="19">
        <v>51406.0</v>
      </c>
      <c r="E53" s="20" t="s">
        <v>281</v>
      </c>
      <c r="F53" s="21"/>
      <c r="G53" s="22"/>
      <c r="H53" s="22">
        <v>5000.0</v>
      </c>
      <c r="I53" s="21"/>
      <c r="J53" s="21"/>
      <c r="K53" s="23"/>
      <c r="L53" s="22"/>
      <c r="M53" s="22"/>
      <c r="N53" s="22"/>
      <c r="O53" s="22"/>
      <c r="P53" s="24">
        <v>5000.0</v>
      </c>
      <c r="Q53" s="25">
        <f t="shared" si="1"/>
        <v>0</v>
      </c>
      <c r="R53" s="24"/>
      <c r="S53" s="26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34.5" customHeight="1">
      <c r="A54" s="16">
        <v>50.0</v>
      </c>
      <c r="B54" s="27">
        <v>45507.0</v>
      </c>
      <c r="C54" s="18" t="s">
        <v>282</v>
      </c>
      <c r="D54" s="19">
        <v>53114.0</v>
      </c>
      <c r="E54" s="20" t="s">
        <v>283</v>
      </c>
      <c r="F54" s="21"/>
      <c r="G54" s="22"/>
      <c r="H54" s="22"/>
      <c r="I54" s="21"/>
      <c r="J54" s="21"/>
      <c r="K54" s="23"/>
      <c r="L54" s="22"/>
      <c r="M54" s="22"/>
      <c r="N54" s="22"/>
      <c r="O54" s="22">
        <v>80000.0</v>
      </c>
      <c r="P54" s="24">
        <v>80000.0</v>
      </c>
      <c r="Q54" s="25">
        <f t="shared" si="1"/>
        <v>0</v>
      </c>
      <c r="R54" s="24"/>
      <c r="S54" s="26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34.5" customHeight="1">
      <c r="A55" s="16">
        <v>51.0</v>
      </c>
      <c r="B55" s="27">
        <v>45507.0</v>
      </c>
      <c r="C55" s="18" t="s">
        <v>284</v>
      </c>
      <c r="D55" s="19">
        <v>50148.0</v>
      </c>
      <c r="E55" s="20" t="s">
        <v>285</v>
      </c>
      <c r="F55" s="21"/>
      <c r="G55" s="22"/>
      <c r="H55" s="22">
        <v>5000.0</v>
      </c>
      <c r="I55" s="21"/>
      <c r="J55" s="21"/>
      <c r="K55" s="23"/>
      <c r="L55" s="22"/>
      <c r="M55" s="22"/>
      <c r="N55" s="22"/>
      <c r="O55" s="22"/>
      <c r="P55" s="24">
        <v>5000.0</v>
      </c>
      <c r="Q55" s="25">
        <f t="shared" si="1"/>
        <v>0</v>
      </c>
      <c r="R55" s="24"/>
      <c r="S55" s="26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34.5" customHeight="1">
      <c r="A56" s="16">
        <v>52.0</v>
      </c>
      <c r="B56" s="27">
        <v>45507.0</v>
      </c>
      <c r="C56" s="18" t="s">
        <v>286</v>
      </c>
      <c r="D56" s="19">
        <v>80078.0</v>
      </c>
      <c r="E56" s="20" t="s">
        <v>257</v>
      </c>
      <c r="F56" s="21"/>
      <c r="G56" s="22"/>
      <c r="H56" s="22"/>
      <c r="I56" s="21"/>
      <c r="J56" s="21"/>
      <c r="K56" s="23"/>
      <c r="L56" s="22"/>
      <c r="M56" s="22"/>
      <c r="N56" s="22"/>
      <c r="O56" s="22">
        <v>1200.0</v>
      </c>
      <c r="P56" s="24">
        <v>1200.0</v>
      </c>
      <c r="Q56" s="25">
        <f t="shared" si="1"/>
        <v>0</v>
      </c>
      <c r="R56" s="24"/>
      <c r="S56" s="26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34.5" customHeight="1">
      <c r="A57" s="16">
        <v>53.0</v>
      </c>
      <c r="B57" s="27">
        <v>45507.0</v>
      </c>
      <c r="C57" s="18" t="s">
        <v>287</v>
      </c>
      <c r="D57" s="19">
        <v>52611.0</v>
      </c>
      <c r="E57" s="20" t="s">
        <v>288</v>
      </c>
      <c r="F57" s="21"/>
      <c r="G57" s="22"/>
      <c r="H57" s="22"/>
      <c r="I57" s="21"/>
      <c r="J57" s="21"/>
      <c r="K57" s="23">
        <v>26.5</v>
      </c>
      <c r="L57" s="22"/>
      <c r="M57" s="22"/>
      <c r="N57" s="22"/>
      <c r="O57" s="22">
        <v>1173.5</v>
      </c>
      <c r="P57" s="24">
        <v>1200.0</v>
      </c>
      <c r="Q57" s="25">
        <f t="shared" si="1"/>
        <v>0</v>
      </c>
      <c r="R57" s="24"/>
      <c r="S57" s="26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37.5" customHeight="1">
      <c r="A58" s="16"/>
      <c r="B58" s="27"/>
      <c r="C58" s="18"/>
      <c r="D58" s="19" t="s">
        <v>183</v>
      </c>
      <c r="E58" s="20"/>
      <c r="F58" s="45">
        <f t="shared" ref="F58:P58" si="2">SUM(F5:F57)</f>
        <v>1410</v>
      </c>
      <c r="G58" s="45">
        <f t="shared" si="2"/>
        <v>7500</v>
      </c>
      <c r="H58" s="45">
        <f t="shared" si="2"/>
        <v>53750</v>
      </c>
      <c r="I58" s="45">
        <f t="shared" si="2"/>
        <v>143548</v>
      </c>
      <c r="J58" s="45">
        <f t="shared" si="2"/>
        <v>42220</v>
      </c>
      <c r="K58" s="45">
        <f t="shared" si="2"/>
        <v>10676.5</v>
      </c>
      <c r="L58" s="45">
        <f t="shared" si="2"/>
        <v>0</v>
      </c>
      <c r="M58" s="45">
        <f t="shared" si="2"/>
        <v>5500</v>
      </c>
      <c r="N58" s="45">
        <f t="shared" si="2"/>
        <v>0</v>
      </c>
      <c r="O58" s="45">
        <f t="shared" si="2"/>
        <v>89423.5</v>
      </c>
      <c r="P58" s="45">
        <f t="shared" si="2"/>
        <v>354028</v>
      </c>
      <c r="Q58" s="46">
        <v>0.0</v>
      </c>
      <c r="R58" s="47"/>
      <c r="S58" s="26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</row>
    <row r="59" ht="15.75" customHeight="1">
      <c r="A59" s="48"/>
      <c r="B59" s="48"/>
      <c r="C59" s="49"/>
      <c r="D59" s="48"/>
      <c r="E59" s="48"/>
      <c r="F59" s="50">
        <f>F58+G58+H58+I58+J58+K58+L58+M58+N58+O58</f>
        <v>354028</v>
      </c>
      <c r="P59" s="51"/>
      <c r="Q59" s="51"/>
      <c r="R59" s="48"/>
      <c r="S59" s="48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3" t="s">
        <v>183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54" t="s">
        <v>184</v>
      </c>
      <c r="F63" s="55" t="s">
        <v>289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56" t="s">
        <v>186</v>
      </c>
      <c r="F64" s="55" t="s">
        <v>187</v>
      </c>
      <c r="G64" s="4"/>
      <c r="H64" s="4"/>
      <c r="I64" s="4"/>
      <c r="J64" s="4"/>
      <c r="K64" s="4"/>
      <c r="L64" s="4"/>
      <c r="M64" s="4"/>
      <c r="N64" s="4"/>
      <c r="O64" s="57" t="s">
        <v>183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56" t="s">
        <v>188</v>
      </c>
      <c r="F65" s="55" t="s">
        <v>185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56" t="s">
        <v>189</v>
      </c>
      <c r="F66" s="55" t="s">
        <v>185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56" t="s">
        <v>190</v>
      </c>
      <c r="F67" s="55" t="s">
        <v>185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56" t="s">
        <v>290</v>
      </c>
      <c r="F68" s="55" t="s">
        <v>185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56" t="s">
        <v>193</v>
      </c>
      <c r="F69" s="55" t="s">
        <v>185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56" t="s">
        <v>195</v>
      </c>
      <c r="F70" s="59" t="s">
        <v>196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57" t="s">
        <v>183</v>
      </c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 t="str">
        <f>I72458</f>
        <v/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57" t="s">
        <v>197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>
        <v>7.0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5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5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5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5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5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5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5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5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5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>
      <c r="A283" s="4"/>
      <c r="B283" s="4"/>
      <c r="C283" s="5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5.75" customHeight="1">
      <c r="A284" s="4"/>
      <c r="B284" s="4"/>
      <c r="C284" s="5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5.75" customHeight="1">
      <c r="A285" s="4"/>
      <c r="B285" s="4"/>
      <c r="C285" s="5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5.75" customHeight="1">
      <c r="A286" s="4"/>
      <c r="B286" s="4"/>
      <c r="C286" s="5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5.75" customHeight="1">
      <c r="A287" s="4"/>
      <c r="B287" s="4"/>
      <c r="C287" s="5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5.75" customHeight="1">
      <c r="A288" s="4"/>
      <c r="B288" s="4"/>
      <c r="C288" s="5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5.75" customHeight="1">
      <c r="A289" s="4"/>
      <c r="B289" s="4"/>
      <c r="C289" s="5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ht="15.75" customHeight="1">
      <c r="A290" s="4"/>
      <c r="B290" s="4"/>
      <c r="C290" s="5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ht="15.75" customHeight="1">
      <c r="A291" s="4"/>
      <c r="B291" s="4"/>
      <c r="C291" s="5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ht="15.75" customHeight="1">
      <c r="A292" s="4"/>
      <c r="B292" s="4"/>
      <c r="C292" s="5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 ht="15.75" customHeight="1">
      <c r="A293" s="4"/>
      <c r="B293" s="4"/>
      <c r="C293" s="5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R2:R4"/>
    <mergeCell ref="S2:S4"/>
    <mergeCell ref="F3:F4"/>
    <mergeCell ref="G3:H3"/>
    <mergeCell ref="I3:J3"/>
    <mergeCell ref="K3:K4"/>
    <mergeCell ref="F59:O59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6.88"/>
    <col customWidth="1" min="6" max="6" width="37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45.0" customHeight="1">
      <c r="A1" s="1" t="s">
        <v>291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15.75" customHeight="1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5.75" customHeight="1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45507.0</v>
      </c>
      <c r="C5" s="18" t="s">
        <v>292</v>
      </c>
      <c r="D5" s="19">
        <v>43955.0</v>
      </c>
      <c r="E5" s="20" t="s">
        <v>293</v>
      </c>
      <c r="F5" s="21" t="s">
        <v>183</v>
      </c>
      <c r="G5" s="22"/>
      <c r="H5" s="21"/>
      <c r="I5" s="23">
        <v>5450.0</v>
      </c>
      <c r="J5" s="23"/>
      <c r="K5" s="22"/>
      <c r="L5" s="22"/>
      <c r="M5" s="21"/>
      <c r="N5" s="22"/>
      <c r="O5" s="22"/>
      <c r="P5" s="24">
        <v>5450.0</v>
      </c>
      <c r="Q5" s="25">
        <v>0.0</v>
      </c>
      <c r="R5" s="24" t="s">
        <v>30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45507.0</v>
      </c>
      <c r="C6" s="18" t="s">
        <v>294</v>
      </c>
      <c r="D6" s="19">
        <v>70632.0</v>
      </c>
      <c r="E6" s="20" t="s">
        <v>295</v>
      </c>
      <c r="F6" s="21"/>
      <c r="G6" s="22"/>
      <c r="H6" s="22"/>
      <c r="I6" s="21">
        <v>0.0</v>
      </c>
      <c r="J6" s="22"/>
      <c r="K6" s="22"/>
      <c r="L6" s="22"/>
      <c r="M6" s="21"/>
      <c r="N6" s="22"/>
      <c r="O6" s="22"/>
      <c r="P6" s="24">
        <v>5000.0</v>
      </c>
      <c r="Q6" s="25">
        <f t="shared" ref="Q6:Q47" si="1">F6+G6+H6+I6+J6+K6+L6+M6+N6+O6-P6</f>
        <v>-5000</v>
      </c>
      <c r="R6" s="24" t="s">
        <v>30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45507.0</v>
      </c>
      <c r="C7" s="18" t="s">
        <v>296</v>
      </c>
      <c r="D7" s="19">
        <v>47463.0</v>
      </c>
      <c r="E7" s="20" t="s">
        <v>297</v>
      </c>
      <c r="F7" s="22"/>
      <c r="G7" s="22"/>
      <c r="H7" s="21"/>
      <c r="I7" s="21">
        <v>5150.0</v>
      </c>
      <c r="J7" s="23"/>
      <c r="K7" s="22"/>
      <c r="L7" s="22"/>
      <c r="M7" s="22"/>
      <c r="N7" s="22"/>
      <c r="O7" s="22"/>
      <c r="P7" s="24">
        <v>5150.0</v>
      </c>
      <c r="Q7" s="25">
        <f t="shared" si="1"/>
        <v>0</v>
      </c>
      <c r="R7" s="24" t="s">
        <v>30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45507.0</v>
      </c>
      <c r="C8" s="18" t="s">
        <v>298</v>
      </c>
      <c r="D8" s="19">
        <v>59244.0</v>
      </c>
      <c r="E8" s="20" t="s">
        <v>237</v>
      </c>
      <c r="F8" s="22"/>
      <c r="G8" s="22"/>
      <c r="H8" s="22"/>
      <c r="I8" s="21">
        <v>600.0</v>
      </c>
      <c r="J8" s="21"/>
      <c r="K8" s="22"/>
      <c r="L8" s="22"/>
      <c r="M8" s="22"/>
      <c r="N8" s="22"/>
      <c r="O8" s="22"/>
      <c r="P8" s="24">
        <v>600.0</v>
      </c>
      <c r="Q8" s="25">
        <f t="shared" si="1"/>
        <v>0</v>
      </c>
      <c r="R8" s="24" t="s">
        <v>68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45508.0</v>
      </c>
      <c r="C9" s="18" t="s">
        <v>299</v>
      </c>
      <c r="D9" s="19">
        <v>66770.0</v>
      </c>
      <c r="E9" s="20" t="s">
        <v>108</v>
      </c>
      <c r="F9" s="22"/>
      <c r="G9" s="22"/>
      <c r="H9" s="22"/>
      <c r="I9" s="21"/>
      <c r="J9" s="21">
        <v>1250.0</v>
      </c>
      <c r="K9" s="22"/>
      <c r="L9" s="22"/>
      <c r="M9" s="21"/>
      <c r="N9" s="22"/>
      <c r="O9" s="22"/>
      <c r="P9" s="24">
        <v>1250.0</v>
      </c>
      <c r="Q9" s="25">
        <f t="shared" si="1"/>
        <v>0</v>
      </c>
      <c r="R9" s="24" t="s">
        <v>30</v>
      </c>
      <c r="S9" s="26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45508.0</v>
      </c>
      <c r="C10" s="18" t="s">
        <v>300</v>
      </c>
      <c r="D10" s="19">
        <v>55768.0</v>
      </c>
      <c r="E10" s="20" t="s">
        <v>301</v>
      </c>
      <c r="F10" s="22"/>
      <c r="G10" s="22"/>
      <c r="H10" s="22"/>
      <c r="I10" s="21">
        <v>3550.0</v>
      </c>
      <c r="J10" s="21"/>
      <c r="K10" s="22"/>
      <c r="L10" s="22"/>
      <c r="M10" s="21"/>
      <c r="N10" s="22"/>
      <c r="O10" s="22"/>
      <c r="P10" s="24">
        <v>3550.0</v>
      </c>
      <c r="Q10" s="25">
        <f t="shared" si="1"/>
        <v>0</v>
      </c>
      <c r="R10" s="24" t="s">
        <v>30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45508.0</v>
      </c>
      <c r="C11" s="18" t="s">
        <v>302</v>
      </c>
      <c r="D11" s="19">
        <v>51697.0</v>
      </c>
      <c r="E11" s="20" t="s">
        <v>303</v>
      </c>
      <c r="F11" s="22"/>
      <c r="G11" s="22"/>
      <c r="H11" s="22"/>
      <c r="I11" s="21"/>
      <c r="J11" s="21">
        <v>1239.0</v>
      </c>
      <c r="K11" s="22">
        <v>1411.0</v>
      </c>
      <c r="L11" s="22"/>
      <c r="M11" s="21"/>
      <c r="N11" s="22"/>
      <c r="O11" s="22"/>
      <c r="P11" s="24">
        <v>2650.0</v>
      </c>
      <c r="Q11" s="25">
        <f t="shared" si="1"/>
        <v>0</v>
      </c>
      <c r="R11" s="24" t="s">
        <v>25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7">
        <v>45508.0</v>
      </c>
      <c r="C12" s="18" t="s">
        <v>304</v>
      </c>
      <c r="D12" s="19">
        <v>50436.0</v>
      </c>
      <c r="E12" s="20" t="s">
        <v>305</v>
      </c>
      <c r="F12" s="22"/>
      <c r="G12" s="22"/>
      <c r="H12" s="22"/>
      <c r="I12" s="21">
        <v>4500.0</v>
      </c>
      <c r="J12" s="21"/>
      <c r="K12" s="22"/>
      <c r="L12" s="22"/>
      <c r="M12" s="21"/>
      <c r="N12" s="22"/>
      <c r="O12" s="22"/>
      <c r="P12" s="24">
        <v>4500.0</v>
      </c>
      <c r="Q12" s="25">
        <f t="shared" si="1"/>
        <v>0</v>
      </c>
      <c r="R12" s="24" t="s">
        <v>25</v>
      </c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8">
        <v>45508.0</v>
      </c>
      <c r="C13" s="29" t="s">
        <v>306</v>
      </c>
      <c r="D13" s="30">
        <v>84319.0</v>
      </c>
      <c r="E13" s="31" t="s">
        <v>307</v>
      </c>
      <c r="F13" s="22"/>
      <c r="G13" s="22"/>
      <c r="H13" s="22"/>
      <c r="I13" s="21">
        <v>300.0</v>
      </c>
      <c r="J13" s="21"/>
      <c r="K13" s="22"/>
      <c r="L13" s="22"/>
      <c r="M13" s="21"/>
      <c r="N13" s="22"/>
      <c r="O13" s="22"/>
      <c r="P13" s="32">
        <v>300.0</v>
      </c>
      <c r="Q13" s="25">
        <f t="shared" si="1"/>
        <v>0</v>
      </c>
      <c r="R13" s="32" t="s">
        <v>30</v>
      </c>
      <c r="S13" s="26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 ht="34.5" customHeight="1">
      <c r="A14" s="16">
        <v>10.0</v>
      </c>
      <c r="B14" s="27">
        <v>45508.0</v>
      </c>
      <c r="C14" s="18" t="s">
        <v>308</v>
      </c>
      <c r="D14" s="19">
        <v>84319.0</v>
      </c>
      <c r="E14" s="20" t="s">
        <v>307</v>
      </c>
      <c r="F14" s="22"/>
      <c r="G14" s="22"/>
      <c r="H14" s="22"/>
      <c r="I14" s="21">
        <v>5750.0</v>
      </c>
      <c r="J14" s="21"/>
      <c r="K14" s="22"/>
      <c r="L14" s="22"/>
      <c r="M14" s="21"/>
      <c r="N14" s="22"/>
      <c r="O14" s="22"/>
      <c r="P14" s="24">
        <v>5750.0</v>
      </c>
      <c r="Q14" s="25">
        <f t="shared" si="1"/>
        <v>0</v>
      </c>
      <c r="R14" s="24" t="s">
        <v>30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45508.0</v>
      </c>
      <c r="C15" s="18" t="s">
        <v>309</v>
      </c>
      <c r="D15" s="19">
        <v>52669.0</v>
      </c>
      <c r="E15" s="20" t="s">
        <v>310</v>
      </c>
      <c r="F15" s="22"/>
      <c r="G15" s="22"/>
      <c r="H15" s="22">
        <v>31700.0</v>
      </c>
      <c r="I15" s="21"/>
      <c r="J15" s="21"/>
      <c r="K15" s="22"/>
      <c r="L15" s="22"/>
      <c r="M15" s="21"/>
      <c r="N15" s="22"/>
      <c r="O15" s="22"/>
      <c r="P15" s="24">
        <v>31700.0</v>
      </c>
      <c r="Q15" s="25">
        <f t="shared" si="1"/>
        <v>0</v>
      </c>
      <c r="R15" s="24" t="s">
        <v>30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45508.0</v>
      </c>
      <c r="C16" s="18" t="s">
        <v>311</v>
      </c>
      <c r="D16" s="19">
        <v>84320.0</v>
      </c>
      <c r="E16" s="20" t="s">
        <v>312</v>
      </c>
      <c r="F16" s="22"/>
      <c r="G16" s="22"/>
      <c r="H16" s="22"/>
      <c r="I16" s="21"/>
      <c r="J16" s="21">
        <v>300.0</v>
      </c>
      <c r="K16" s="22"/>
      <c r="L16" s="22"/>
      <c r="M16" s="21"/>
      <c r="N16" s="22"/>
      <c r="O16" s="22"/>
      <c r="P16" s="24">
        <v>300.0</v>
      </c>
      <c r="Q16" s="25">
        <f t="shared" si="1"/>
        <v>0</v>
      </c>
      <c r="R16" s="24" t="s">
        <v>25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45508.0</v>
      </c>
      <c r="C17" s="18" t="s">
        <v>313</v>
      </c>
      <c r="D17" s="19">
        <v>84320.0</v>
      </c>
      <c r="E17" s="20" t="s">
        <v>312</v>
      </c>
      <c r="F17" s="22"/>
      <c r="G17" s="22"/>
      <c r="H17" s="22"/>
      <c r="I17" s="21"/>
      <c r="J17" s="21">
        <v>5750.0</v>
      </c>
      <c r="K17" s="22"/>
      <c r="L17" s="22"/>
      <c r="M17" s="21"/>
      <c r="N17" s="22"/>
      <c r="O17" s="22"/>
      <c r="P17" s="24">
        <v>5750.0</v>
      </c>
      <c r="Q17" s="25">
        <f t="shared" si="1"/>
        <v>0</v>
      </c>
      <c r="R17" s="24" t="s">
        <v>25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7">
        <v>45508.0</v>
      </c>
      <c r="C18" s="18" t="s">
        <v>314</v>
      </c>
      <c r="D18" s="19">
        <v>52669.0</v>
      </c>
      <c r="E18" s="20" t="s">
        <v>310</v>
      </c>
      <c r="F18" s="22"/>
      <c r="G18" s="22"/>
      <c r="H18" s="22"/>
      <c r="I18" s="21">
        <v>420.0</v>
      </c>
      <c r="J18" s="21"/>
      <c r="K18" s="22"/>
      <c r="L18" s="22"/>
      <c r="M18" s="22"/>
      <c r="N18" s="22"/>
      <c r="O18" s="22"/>
      <c r="P18" s="24">
        <v>420.0</v>
      </c>
      <c r="Q18" s="25">
        <f t="shared" si="1"/>
        <v>0</v>
      </c>
      <c r="R18" s="24" t="s">
        <v>30</v>
      </c>
      <c r="S18" s="26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28">
        <v>45508.0</v>
      </c>
      <c r="C19" s="29" t="s">
        <v>315</v>
      </c>
      <c r="D19" s="30">
        <v>84320.0</v>
      </c>
      <c r="E19" s="31" t="s">
        <v>312</v>
      </c>
      <c r="F19" s="22"/>
      <c r="G19" s="22"/>
      <c r="H19" s="22"/>
      <c r="I19" s="21"/>
      <c r="J19" s="21">
        <v>265.0</v>
      </c>
      <c r="K19" s="22"/>
      <c r="L19" s="22"/>
      <c r="M19" s="21"/>
      <c r="N19" s="22"/>
      <c r="O19" s="22"/>
      <c r="P19" s="32">
        <v>265.0</v>
      </c>
      <c r="Q19" s="25">
        <f t="shared" si="1"/>
        <v>0</v>
      </c>
      <c r="R19" s="32" t="s">
        <v>25</v>
      </c>
      <c r="S19" s="26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ht="34.5" customHeight="1">
      <c r="A20" s="16">
        <v>16.0</v>
      </c>
      <c r="B20" s="27">
        <v>45508.0</v>
      </c>
      <c r="C20" s="18" t="s">
        <v>316</v>
      </c>
      <c r="D20" s="19">
        <v>29621.0</v>
      </c>
      <c r="E20" s="20" t="s">
        <v>133</v>
      </c>
      <c r="F20" s="22"/>
      <c r="G20" s="22"/>
      <c r="H20" s="22"/>
      <c r="I20" s="23"/>
      <c r="J20" s="23">
        <v>2500.0</v>
      </c>
      <c r="K20" s="22"/>
      <c r="L20" s="22"/>
      <c r="M20" s="22"/>
      <c r="N20" s="22"/>
      <c r="O20" s="22"/>
      <c r="P20" s="24">
        <v>2500.0</v>
      </c>
      <c r="Q20" s="25">
        <f t="shared" si="1"/>
        <v>0</v>
      </c>
      <c r="R20" s="24" t="s">
        <v>30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45508.0</v>
      </c>
      <c r="C21" s="18" t="s">
        <v>317</v>
      </c>
      <c r="D21" s="19">
        <v>48241.0</v>
      </c>
      <c r="E21" s="20" t="s">
        <v>318</v>
      </c>
      <c r="F21" s="21"/>
      <c r="G21" s="22">
        <v>4044.0</v>
      </c>
      <c r="H21" s="22"/>
      <c r="I21" s="34"/>
      <c r="J21" s="22"/>
      <c r="K21" s="35"/>
      <c r="L21" s="22"/>
      <c r="M21" s="22"/>
      <c r="N21" s="22"/>
      <c r="O21" s="22"/>
      <c r="P21" s="24">
        <v>4044.0</v>
      </c>
      <c r="Q21" s="25">
        <f t="shared" si="1"/>
        <v>0</v>
      </c>
      <c r="R21" s="24" t="s">
        <v>25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7">
        <v>45508.0</v>
      </c>
      <c r="C22" s="18" t="s">
        <v>319</v>
      </c>
      <c r="D22" s="19">
        <v>78073.0</v>
      </c>
      <c r="E22" s="20" t="s">
        <v>320</v>
      </c>
      <c r="F22" s="21"/>
      <c r="G22" s="22"/>
      <c r="H22" s="22"/>
      <c r="I22" s="21"/>
      <c r="J22" s="22">
        <v>3900.0</v>
      </c>
      <c r="K22" s="21"/>
      <c r="L22" s="22"/>
      <c r="M22" s="22"/>
      <c r="N22" s="22"/>
      <c r="O22" s="22"/>
      <c r="P22" s="24">
        <v>3900.0</v>
      </c>
      <c r="Q22" s="25">
        <f t="shared" si="1"/>
        <v>0</v>
      </c>
      <c r="R22" s="24" t="s">
        <v>30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36">
        <v>45508.0</v>
      </c>
      <c r="C23" s="37" t="s">
        <v>321</v>
      </c>
      <c r="D23" s="38">
        <v>20541.0</v>
      </c>
      <c r="E23" s="39" t="s">
        <v>322</v>
      </c>
      <c r="F23" s="34"/>
      <c r="G23" s="40"/>
      <c r="H23" s="40"/>
      <c r="I23" s="34">
        <v>12880.0</v>
      </c>
      <c r="J23" s="34"/>
      <c r="K23" s="41"/>
      <c r="L23" s="40"/>
      <c r="M23" s="40"/>
      <c r="N23" s="40"/>
      <c r="O23" s="40"/>
      <c r="P23" s="42">
        <v>12880.0</v>
      </c>
      <c r="Q23" s="25">
        <f t="shared" si="1"/>
        <v>0</v>
      </c>
      <c r="R23" s="42" t="s">
        <v>30</v>
      </c>
      <c r="S23" s="26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</row>
    <row r="24" ht="34.5" customHeight="1">
      <c r="A24" s="16">
        <v>20.0</v>
      </c>
      <c r="B24" s="27">
        <v>45508.0</v>
      </c>
      <c r="C24" s="18" t="s">
        <v>323</v>
      </c>
      <c r="D24" s="19">
        <v>50306.0</v>
      </c>
      <c r="E24" s="20" t="s">
        <v>324</v>
      </c>
      <c r="F24" s="21"/>
      <c r="G24" s="22"/>
      <c r="H24" s="22"/>
      <c r="I24" s="21">
        <v>2600.0</v>
      </c>
      <c r="J24" s="22"/>
      <c r="K24" s="35"/>
      <c r="L24" s="22"/>
      <c r="M24" s="22"/>
      <c r="N24" s="22"/>
      <c r="O24" s="22"/>
      <c r="P24" s="24">
        <v>2600.0</v>
      </c>
      <c r="Q24" s="25">
        <f t="shared" si="1"/>
        <v>0</v>
      </c>
      <c r="R24" s="24" t="s">
        <v>30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45508.0</v>
      </c>
      <c r="C25" s="18" t="s">
        <v>325</v>
      </c>
      <c r="D25" s="19">
        <v>42071.0</v>
      </c>
      <c r="E25" s="20" t="s">
        <v>326</v>
      </c>
      <c r="F25" s="21"/>
      <c r="G25" s="22"/>
      <c r="H25" s="22"/>
      <c r="I25" s="21"/>
      <c r="J25" s="21">
        <v>8600.0</v>
      </c>
      <c r="K25" s="35"/>
      <c r="L25" s="22"/>
      <c r="M25" s="22"/>
      <c r="N25" s="22"/>
      <c r="O25" s="22"/>
      <c r="P25" s="24">
        <v>8600.0</v>
      </c>
      <c r="Q25" s="25">
        <f t="shared" si="1"/>
        <v>0</v>
      </c>
      <c r="R25" s="24" t="s">
        <v>30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45508.0</v>
      </c>
      <c r="C26" s="18" t="s">
        <v>327</v>
      </c>
      <c r="D26" s="19">
        <v>43510.0</v>
      </c>
      <c r="E26" s="20" t="s">
        <v>328</v>
      </c>
      <c r="F26" s="21"/>
      <c r="G26" s="22"/>
      <c r="H26" s="22"/>
      <c r="I26" s="35"/>
      <c r="J26" s="21"/>
      <c r="K26" s="35"/>
      <c r="L26" s="22"/>
      <c r="M26" s="22">
        <v>280.0</v>
      </c>
      <c r="N26" s="22"/>
      <c r="O26" s="22"/>
      <c r="P26" s="24">
        <v>280.0</v>
      </c>
      <c r="Q26" s="25">
        <f t="shared" si="1"/>
        <v>0</v>
      </c>
      <c r="R26" s="24" t="s">
        <v>30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45508.0</v>
      </c>
      <c r="C27" s="18" t="s">
        <v>329</v>
      </c>
      <c r="D27" s="19">
        <v>21818.0</v>
      </c>
      <c r="E27" s="20" t="s">
        <v>32</v>
      </c>
      <c r="F27" s="21"/>
      <c r="G27" s="22"/>
      <c r="H27" s="22"/>
      <c r="I27" s="21"/>
      <c r="J27" s="21"/>
      <c r="K27" s="23">
        <v>950.0</v>
      </c>
      <c r="L27" s="22"/>
      <c r="M27" s="22"/>
      <c r="N27" s="22"/>
      <c r="O27" s="22"/>
      <c r="P27" s="24">
        <v>950.0</v>
      </c>
      <c r="Q27" s="25">
        <f t="shared" si="1"/>
        <v>0</v>
      </c>
      <c r="R27" s="24" t="s">
        <v>25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45508.0</v>
      </c>
      <c r="C28" s="18" t="s">
        <v>330</v>
      </c>
      <c r="D28" s="19">
        <v>69620.0</v>
      </c>
      <c r="E28" s="20" t="s">
        <v>331</v>
      </c>
      <c r="F28" s="21"/>
      <c r="G28" s="22"/>
      <c r="H28" s="22"/>
      <c r="I28" s="21"/>
      <c r="J28" s="21">
        <v>1900.0</v>
      </c>
      <c r="K28" s="23">
        <v>3100.0</v>
      </c>
      <c r="L28" s="22"/>
      <c r="M28" s="22"/>
      <c r="N28" s="22"/>
      <c r="O28" s="22"/>
      <c r="P28" s="24">
        <v>5000.0</v>
      </c>
      <c r="Q28" s="25">
        <f t="shared" si="1"/>
        <v>0</v>
      </c>
      <c r="R28" s="24" t="s">
        <v>25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45508.0</v>
      </c>
      <c r="C29" s="18" t="s">
        <v>332</v>
      </c>
      <c r="D29" s="19">
        <v>14329.0</v>
      </c>
      <c r="E29" s="20" t="s">
        <v>139</v>
      </c>
      <c r="F29" s="21"/>
      <c r="G29" s="22"/>
      <c r="H29" s="22"/>
      <c r="I29" s="21">
        <v>450.0</v>
      </c>
      <c r="J29" s="21"/>
      <c r="K29" s="23"/>
      <c r="L29" s="22"/>
      <c r="M29" s="22"/>
      <c r="N29" s="22"/>
      <c r="O29" s="22"/>
      <c r="P29" s="24">
        <v>450.0</v>
      </c>
      <c r="Q29" s="25">
        <f t="shared" si="1"/>
        <v>0</v>
      </c>
      <c r="R29" s="24" t="s">
        <v>25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45508.0</v>
      </c>
      <c r="C30" s="18" t="s">
        <v>333</v>
      </c>
      <c r="D30" s="19">
        <v>31927.0</v>
      </c>
      <c r="E30" s="20" t="s">
        <v>168</v>
      </c>
      <c r="F30" s="21"/>
      <c r="G30" s="22"/>
      <c r="H30" s="22"/>
      <c r="I30" s="21"/>
      <c r="J30" s="21"/>
      <c r="K30" s="23"/>
      <c r="L30" s="22"/>
      <c r="M30" s="22">
        <v>3600.0</v>
      </c>
      <c r="N30" s="22"/>
      <c r="O30" s="22"/>
      <c r="P30" s="24">
        <v>3600.0</v>
      </c>
      <c r="Q30" s="25">
        <f t="shared" si="1"/>
        <v>0</v>
      </c>
      <c r="R30" s="24" t="s">
        <v>30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45508.0</v>
      </c>
      <c r="C31" s="18" t="s">
        <v>334</v>
      </c>
      <c r="D31" s="19">
        <v>31927.0</v>
      </c>
      <c r="E31" s="20" t="s">
        <v>168</v>
      </c>
      <c r="F31" s="21"/>
      <c r="G31" s="22"/>
      <c r="H31" s="22"/>
      <c r="I31" s="21"/>
      <c r="J31" s="21"/>
      <c r="K31" s="23"/>
      <c r="L31" s="22"/>
      <c r="M31" s="22">
        <v>2600.0</v>
      </c>
      <c r="N31" s="22"/>
      <c r="O31" s="22"/>
      <c r="P31" s="24">
        <v>2600.0</v>
      </c>
      <c r="Q31" s="25">
        <f t="shared" si="1"/>
        <v>0</v>
      </c>
      <c r="R31" s="24" t="s">
        <v>30</v>
      </c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45508.0</v>
      </c>
      <c r="C32" s="18" t="s">
        <v>335</v>
      </c>
      <c r="D32" s="19">
        <v>31927.0</v>
      </c>
      <c r="E32" s="20" t="s">
        <v>168</v>
      </c>
      <c r="F32" s="21">
        <v>250.0</v>
      </c>
      <c r="G32" s="22"/>
      <c r="H32" s="22"/>
      <c r="I32" s="21"/>
      <c r="J32" s="21"/>
      <c r="K32" s="23"/>
      <c r="L32" s="22"/>
      <c r="M32" s="22">
        <v>1200.0</v>
      </c>
      <c r="N32" s="22"/>
      <c r="O32" s="22"/>
      <c r="P32" s="24">
        <v>1450.0</v>
      </c>
      <c r="Q32" s="25">
        <f t="shared" si="1"/>
        <v>0</v>
      </c>
      <c r="R32" s="24" t="s">
        <v>30</v>
      </c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45508.0</v>
      </c>
      <c r="C33" s="18" t="s">
        <v>336</v>
      </c>
      <c r="D33" s="19">
        <v>48052.0</v>
      </c>
      <c r="E33" s="20" t="s">
        <v>337</v>
      </c>
      <c r="F33" s="21"/>
      <c r="G33" s="22"/>
      <c r="H33" s="22"/>
      <c r="I33" s="21">
        <v>2550.0</v>
      </c>
      <c r="J33" s="21"/>
      <c r="K33" s="23"/>
      <c r="L33" s="22"/>
      <c r="M33" s="22"/>
      <c r="N33" s="22"/>
      <c r="O33" s="22"/>
      <c r="P33" s="24">
        <v>2550.0</v>
      </c>
      <c r="Q33" s="25">
        <f t="shared" si="1"/>
        <v>0</v>
      </c>
      <c r="R33" s="24" t="s">
        <v>30</v>
      </c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7">
        <v>45508.0</v>
      </c>
      <c r="C34" s="18" t="s">
        <v>338</v>
      </c>
      <c r="D34" s="19">
        <v>10001.0</v>
      </c>
      <c r="E34" s="20" t="s">
        <v>339</v>
      </c>
      <c r="F34" s="21"/>
      <c r="G34" s="22"/>
      <c r="H34" s="22"/>
      <c r="I34" s="21"/>
      <c r="J34" s="21"/>
      <c r="K34" s="23"/>
      <c r="L34" s="22"/>
      <c r="M34" s="22">
        <v>750.0</v>
      </c>
      <c r="N34" s="22"/>
      <c r="O34" s="22"/>
      <c r="P34" s="24">
        <v>750.0</v>
      </c>
      <c r="Q34" s="25">
        <f t="shared" si="1"/>
        <v>0</v>
      </c>
      <c r="R34" s="24" t="s">
        <v>25</v>
      </c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7">
        <v>45508.0</v>
      </c>
      <c r="C35" s="18" t="s">
        <v>340</v>
      </c>
      <c r="D35" s="19">
        <v>64461.0</v>
      </c>
      <c r="E35" s="20" t="s">
        <v>341</v>
      </c>
      <c r="F35" s="21">
        <v>5100.0</v>
      </c>
      <c r="G35" s="22"/>
      <c r="H35" s="22"/>
      <c r="I35" s="21"/>
      <c r="J35" s="21"/>
      <c r="K35" s="23"/>
      <c r="L35" s="22"/>
      <c r="M35" s="22"/>
      <c r="N35" s="22"/>
      <c r="O35" s="22"/>
      <c r="P35" s="24">
        <v>5100.0</v>
      </c>
      <c r="Q35" s="25">
        <f t="shared" si="1"/>
        <v>0</v>
      </c>
      <c r="R35" s="24" t="s">
        <v>25</v>
      </c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7">
        <v>45508.0</v>
      </c>
      <c r="C36" s="18" t="s">
        <v>342</v>
      </c>
      <c r="D36" s="19">
        <v>22341.0</v>
      </c>
      <c r="E36" s="20" t="s">
        <v>343</v>
      </c>
      <c r="F36" s="21"/>
      <c r="G36" s="22"/>
      <c r="H36" s="22"/>
      <c r="I36" s="21">
        <v>4500.0</v>
      </c>
      <c r="J36" s="21"/>
      <c r="K36" s="23"/>
      <c r="L36" s="22"/>
      <c r="M36" s="22"/>
      <c r="N36" s="22"/>
      <c r="O36" s="22"/>
      <c r="P36" s="24">
        <v>4500.0</v>
      </c>
      <c r="Q36" s="25">
        <f t="shared" si="1"/>
        <v>0</v>
      </c>
      <c r="R36" s="24" t="s">
        <v>25</v>
      </c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7">
        <v>45508.0</v>
      </c>
      <c r="C37" s="18" t="s">
        <v>344</v>
      </c>
      <c r="D37" s="19">
        <v>77486.0</v>
      </c>
      <c r="E37" s="20" t="s">
        <v>345</v>
      </c>
      <c r="F37" s="21"/>
      <c r="G37" s="22"/>
      <c r="H37" s="22"/>
      <c r="I37" s="21">
        <v>3100.0</v>
      </c>
      <c r="J37" s="21"/>
      <c r="K37" s="23"/>
      <c r="L37" s="22"/>
      <c r="M37" s="22"/>
      <c r="N37" s="22"/>
      <c r="O37" s="22"/>
      <c r="P37" s="24">
        <v>3100.0</v>
      </c>
      <c r="Q37" s="25">
        <f t="shared" si="1"/>
        <v>0</v>
      </c>
      <c r="R37" s="24" t="s">
        <v>30</v>
      </c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7">
        <v>45508.0</v>
      </c>
      <c r="C38" s="18" t="s">
        <v>346</v>
      </c>
      <c r="D38" s="19">
        <v>21818.0</v>
      </c>
      <c r="E38" s="20" t="s">
        <v>32</v>
      </c>
      <c r="F38" s="21"/>
      <c r="G38" s="22"/>
      <c r="H38" s="22"/>
      <c r="I38" s="21"/>
      <c r="J38" s="21"/>
      <c r="K38" s="23">
        <v>17500.0</v>
      </c>
      <c r="L38" s="22"/>
      <c r="M38" s="22"/>
      <c r="N38" s="22"/>
      <c r="O38" s="22"/>
      <c r="P38" s="24">
        <v>17500.0</v>
      </c>
      <c r="Q38" s="25">
        <f t="shared" si="1"/>
        <v>0</v>
      </c>
      <c r="R38" s="24" t="s">
        <v>25</v>
      </c>
      <c r="S38" s="26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7">
        <v>45508.0</v>
      </c>
      <c r="C39" s="18" t="s">
        <v>347</v>
      </c>
      <c r="D39" s="19">
        <v>84312.0</v>
      </c>
      <c r="E39" s="20" t="s">
        <v>348</v>
      </c>
      <c r="F39" s="21"/>
      <c r="G39" s="22"/>
      <c r="H39" s="22"/>
      <c r="I39" s="21">
        <v>300.0</v>
      </c>
      <c r="J39" s="21"/>
      <c r="K39" s="23"/>
      <c r="L39" s="22"/>
      <c r="M39" s="22"/>
      <c r="N39" s="22"/>
      <c r="O39" s="22"/>
      <c r="P39" s="24">
        <v>300.0</v>
      </c>
      <c r="Q39" s="25">
        <f t="shared" si="1"/>
        <v>0</v>
      </c>
      <c r="R39" s="24" t="s">
        <v>25</v>
      </c>
      <c r="S39" s="26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7">
        <v>45507.0</v>
      </c>
      <c r="C40" s="18" t="s">
        <v>349</v>
      </c>
      <c r="D40" s="19">
        <v>21828.0</v>
      </c>
      <c r="E40" s="20" t="s">
        <v>47</v>
      </c>
      <c r="F40" s="21"/>
      <c r="G40" s="22"/>
      <c r="H40" s="22"/>
      <c r="I40" s="21"/>
      <c r="J40" s="21"/>
      <c r="K40" s="23"/>
      <c r="L40" s="22"/>
      <c r="M40" s="22">
        <v>350.0</v>
      </c>
      <c r="N40" s="22"/>
      <c r="O40" s="22"/>
      <c r="P40" s="24">
        <v>350.0</v>
      </c>
      <c r="Q40" s="25">
        <f t="shared" si="1"/>
        <v>0</v>
      </c>
      <c r="R40" s="24"/>
      <c r="S40" s="26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7">
        <v>45508.0</v>
      </c>
      <c r="C41" s="18" t="s">
        <v>350</v>
      </c>
      <c r="D41" s="19">
        <v>51017.0</v>
      </c>
      <c r="E41" s="20" t="s">
        <v>270</v>
      </c>
      <c r="F41" s="21"/>
      <c r="G41" s="22"/>
      <c r="H41" s="22">
        <v>43500.0</v>
      </c>
      <c r="I41" s="21"/>
      <c r="J41" s="21"/>
      <c r="K41" s="23"/>
      <c r="L41" s="22"/>
      <c r="M41" s="22"/>
      <c r="N41" s="22"/>
      <c r="O41" s="22"/>
      <c r="P41" s="24">
        <v>43500.0</v>
      </c>
      <c r="Q41" s="25">
        <f t="shared" si="1"/>
        <v>0</v>
      </c>
      <c r="R41" s="24"/>
      <c r="S41" s="26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27">
        <v>45508.0</v>
      </c>
      <c r="C42" s="18" t="s">
        <v>351</v>
      </c>
      <c r="D42" s="19">
        <v>84321.0</v>
      </c>
      <c r="E42" s="20" t="s">
        <v>352</v>
      </c>
      <c r="F42" s="21"/>
      <c r="G42" s="22"/>
      <c r="H42" s="22"/>
      <c r="I42" s="21"/>
      <c r="J42" s="21"/>
      <c r="K42" s="23">
        <v>6050.0</v>
      </c>
      <c r="L42" s="22"/>
      <c r="M42" s="22"/>
      <c r="N42" s="22"/>
      <c r="O42" s="22"/>
      <c r="P42" s="24">
        <v>6050.0</v>
      </c>
      <c r="Q42" s="25">
        <f t="shared" si="1"/>
        <v>0</v>
      </c>
      <c r="R42" s="24"/>
      <c r="S42" s="26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>
        <v>39.0</v>
      </c>
      <c r="B43" s="27">
        <v>45508.0</v>
      </c>
      <c r="C43" s="18" t="s">
        <v>353</v>
      </c>
      <c r="D43" s="19">
        <v>21828.0</v>
      </c>
      <c r="E43" s="20" t="s">
        <v>47</v>
      </c>
      <c r="F43" s="21"/>
      <c r="G43" s="22"/>
      <c r="H43" s="22"/>
      <c r="I43" s="21"/>
      <c r="J43" s="21"/>
      <c r="K43" s="23"/>
      <c r="L43" s="22"/>
      <c r="M43" s="22">
        <v>2500.0</v>
      </c>
      <c r="N43" s="22"/>
      <c r="O43" s="22"/>
      <c r="P43" s="24">
        <v>2500.0</v>
      </c>
      <c r="Q43" s="25">
        <f t="shared" si="1"/>
        <v>0</v>
      </c>
      <c r="R43" s="24"/>
      <c r="S43" s="26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16">
        <v>40.0</v>
      </c>
      <c r="B44" s="27">
        <v>45508.0</v>
      </c>
      <c r="C44" s="18" t="s">
        <v>354</v>
      </c>
      <c r="D44" s="19">
        <v>59137.0</v>
      </c>
      <c r="E44" s="20" t="s">
        <v>355</v>
      </c>
      <c r="F44" s="21"/>
      <c r="G44" s="22"/>
      <c r="H44" s="22">
        <v>2850.0</v>
      </c>
      <c r="I44" s="21"/>
      <c r="J44" s="21"/>
      <c r="K44" s="23"/>
      <c r="L44" s="22"/>
      <c r="M44" s="22"/>
      <c r="N44" s="22"/>
      <c r="O44" s="22"/>
      <c r="P44" s="24">
        <v>2850.0</v>
      </c>
      <c r="Q44" s="25">
        <f t="shared" si="1"/>
        <v>0</v>
      </c>
      <c r="R44" s="24"/>
      <c r="S44" s="26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16">
        <v>41.0</v>
      </c>
      <c r="B45" s="27">
        <v>45508.0</v>
      </c>
      <c r="C45" s="18" t="s">
        <v>356</v>
      </c>
      <c r="D45" s="19">
        <v>64461.0</v>
      </c>
      <c r="E45" s="20" t="s">
        <v>341</v>
      </c>
      <c r="F45" s="21"/>
      <c r="G45" s="22"/>
      <c r="H45" s="22"/>
      <c r="I45" s="21"/>
      <c r="J45" s="21"/>
      <c r="K45" s="23"/>
      <c r="L45" s="22"/>
      <c r="M45" s="22"/>
      <c r="N45" s="22"/>
      <c r="O45" s="22">
        <v>525.0</v>
      </c>
      <c r="P45" s="24">
        <v>525.0</v>
      </c>
      <c r="Q45" s="25">
        <f t="shared" si="1"/>
        <v>0</v>
      </c>
      <c r="R45" s="24"/>
      <c r="S45" s="26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4.5" customHeight="1">
      <c r="A46" s="16"/>
      <c r="B46" s="27"/>
      <c r="C46" s="18"/>
      <c r="D46" s="19"/>
      <c r="E46" s="20"/>
      <c r="F46" s="21"/>
      <c r="G46" s="22"/>
      <c r="H46" s="22"/>
      <c r="I46" s="21"/>
      <c r="J46" s="21"/>
      <c r="K46" s="23"/>
      <c r="L46" s="22"/>
      <c r="M46" s="22"/>
      <c r="N46" s="22"/>
      <c r="O46" s="22"/>
      <c r="P46" s="24"/>
      <c r="Q46" s="25">
        <f t="shared" si="1"/>
        <v>0</v>
      </c>
      <c r="R46" s="24"/>
      <c r="S46" s="26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34.5" customHeight="1">
      <c r="A47" s="16"/>
      <c r="B47" s="27"/>
      <c r="C47" s="18"/>
      <c r="D47" s="19"/>
      <c r="E47" s="20"/>
      <c r="F47" s="21"/>
      <c r="G47" s="22"/>
      <c r="H47" s="22"/>
      <c r="I47" s="21"/>
      <c r="J47" s="21"/>
      <c r="K47" s="23"/>
      <c r="L47" s="22"/>
      <c r="M47" s="22"/>
      <c r="N47" s="22"/>
      <c r="O47" s="22"/>
      <c r="P47" s="24"/>
      <c r="Q47" s="25">
        <f t="shared" si="1"/>
        <v>0</v>
      </c>
      <c r="R47" s="24"/>
      <c r="S47" s="26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37.5" customHeight="1">
      <c r="A48" s="16"/>
      <c r="B48" s="27"/>
      <c r="C48" s="18"/>
      <c r="D48" s="19" t="s">
        <v>183</v>
      </c>
      <c r="E48" s="20"/>
      <c r="F48" s="45">
        <f t="shared" ref="F48:P48" si="2">SUM(F5:F47)</f>
        <v>5350</v>
      </c>
      <c r="G48" s="45">
        <f t="shared" si="2"/>
        <v>4044</v>
      </c>
      <c r="H48" s="45">
        <f t="shared" si="2"/>
        <v>78050</v>
      </c>
      <c r="I48" s="45">
        <f t="shared" si="2"/>
        <v>52100</v>
      </c>
      <c r="J48" s="45">
        <f t="shared" si="2"/>
        <v>25704</v>
      </c>
      <c r="K48" s="45">
        <f t="shared" si="2"/>
        <v>29011</v>
      </c>
      <c r="L48" s="45">
        <f t="shared" si="2"/>
        <v>0</v>
      </c>
      <c r="M48" s="45">
        <f t="shared" si="2"/>
        <v>11280</v>
      </c>
      <c r="N48" s="45">
        <f t="shared" si="2"/>
        <v>0</v>
      </c>
      <c r="O48" s="45">
        <f t="shared" si="2"/>
        <v>525</v>
      </c>
      <c r="P48" s="45">
        <f t="shared" si="2"/>
        <v>211064</v>
      </c>
      <c r="Q48" s="46">
        <v>0.0</v>
      </c>
      <c r="R48" s="47"/>
      <c r="S48" s="26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</row>
    <row r="49" ht="15.75" customHeight="1">
      <c r="A49" s="48"/>
      <c r="B49" s="48"/>
      <c r="C49" s="49"/>
      <c r="D49" s="48"/>
      <c r="E49" s="48"/>
      <c r="F49" s="50">
        <f>F48+G48+H48+I48+J48+K48+L48+M48+N48+O48</f>
        <v>206064</v>
      </c>
      <c r="P49" s="51"/>
      <c r="Q49" s="51"/>
      <c r="R49" s="48"/>
      <c r="S49" s="48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</row>
    <row r="50" ht="15.75" customHeight="1">
      <c r="A50" s="4"/>
      <c r="B50" s="4"/>
      <c r="C50" s="5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3" t="s">
        <v>183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54" t="s">
        <v>184</v>
      </c>
      <c r="F53" s="55" t="s">
        <v>289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2"/>
      <c r="D54" s="4"/>
      <c r="E54" s="56" t="s">
        <v>186</v>
      </c>
      <c r="F54" s="55" t="s">
        <v>357</v>
      </c>
      <c r="G54" s="4"/>
      <c r="H54" s="4"/>
      <c r="I54" s="4"/>
      <c r="J54" s="4"/>
      <c r="K54" s="4"/>
      <c r="L54" s="4"/>
      <c r="M54" s="4"/>
      <c r="N54" s="4"/>
      <c r="O54" s="57" t="s">
        <v>183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56" t="s">
        <v>188</v>
      </c>
      <c r="F55" s="55" t="s">
        <v>194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56" t="s">
        <v>189</v>
      </c>
      <c r="F56" s="55" t="s">
        <v>194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56" t="s">
        <v>190</v>
      </c>
      <c r="F57" s="55" t="s">
        <v>358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56" t="s">
        <v>359</v>
      </c>
      <c r="F58" s="55" t="s">
        <v>194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56" t="s">
        <v>193</v>
      </c>
      <c r="F59" s="55" t="s">
        <v>194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56" t="s">
        <v>195</v>
      </c>
      <c r="F60" s="59" t="s">
        <v>196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57" t="s">
        <v>183</v>
      </c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 t="str">
        <f>I72448</f>
        <v/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57" t="s">
        <v>197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>
        <v>7.0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5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5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5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5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5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5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5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5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5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>
      <c r="A283" s="4"/>
      <c r="B283" s="4"/>
      <c r="C283" s="5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R2:R4"/>
    <mergeCell ref="S2:S4"/>
    <mergeCell ref="F3:F4"/>
    <mergeCell ref="G3:H3"/>
    <mergeCell ref="I3:J3"/>
    <mergeCell ref="K3:K4"/>
    <mergeCell ref="F49:O49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6.88"/>
    <col customWidth="1" min="6" max="6" width="37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45.0" customHeight="1">
      <c r="A1" s="1" t="s">
        <v>360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15.75" customHeight="1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5.75" customHeight="1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45508.0</v>
      </c>
      <c r="C5" s="18" t="s">
        <v>361</v>
      </c>
      <c r="D5" s="19">
        <v>80636.0</v>
      </c>
      <c r="E5" s="20" t="s">
        <v>362</v>
      </c>
      <c r="F5" s="21"/>
      <c r="G5" s="22">
        <v>750.0</v>
      </c>
      <c r="H5" s="21"/>
      <c r="I5" s="23"/>
      <c r="J5" s="23"/>
      <c r="K5" s="22"/>
      <c r="L5" s="22"/>
      <c r="M5" s="21"/>
      <c r="N5" s="22"/>
      <c r="O5" s="22"/>
      <c r="P5" s="24">
        <v>750.0</v>
      </c>
      <c r="Q5" s="25">
        <f t="shared" ref="Q5:Q42" si="1">F5+G5+H5+I5+J5+K5+L5+M5+N5+O5-P5</f>
        <v>0</v>
      </c>
      <c r="R5" s="24" t="s">
        <v>25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45508.0</v>
      </c>
      <c r="C6" s="18" t="s">
        <v>363</v>
      </c>
      <c r="D6" s="19">
        <v>10271.0</v>
      </c>
      <c r="E6" s="20" t="s">
        <v>364</v>
      </c>
      <c r="F6" s="21"/>
      <c r="G6" s="22">
        <v>4500.0</v>
      </c>
      <c r="H6" s="22"/>
      <c r="I6" s="21"/>
      <c r="J6" s="22"/>
      <c r="K6" s="22"/>
      <c r="L6" s="22"/>
      <c r="M6" s="21"/>
      <c r="N6" s="22"/>
      <c r="O6" s="22"/>
      <c r="P6" s="24">
        <v>4500.0</v>
      </c>
      <c r="Q6" s="25">
        <f t="shared" si="1"/>
        <v>0</v>
      </c>
      <c r="R6" s="24" t="s">
        <v>25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45508.0</v>
      </c>
      <c r="C7" s="18" t="s">
        <v>365</v>
      </c>
      <c r="D7" s="19">
        <v>10929.0</v>
      </c>
      <c r="E7" s="20" t="s">
        <v>24</v>
      </c>
      <c r="F7" s="22"/>
      <c r="G7" s="22">
        <v>4500.0</v>
      </c>
      <c r="H7" s="21"/>
      <c r="I7" s="21"/>
      <c r="J7" s="23"/>
      <c r="K7" s="22"/>
      <c r="L7" s="22"/>
      <c r="M7" s="22"/>
      <c r="N7" s="22"/>
      <c r="O7" s="22"/>
      <c r="P7" s="24">
        <v>4500.0</v>
      </c>
      <c r="Q7" s="25">
        <f t="shared" si="1"/>
        <v>0</v>
      </c>
      <c r="R7" s="24" t="s">
        <v>25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45508.0</v>
      </c>
      <c r="C8" s="18" t="s">
        <v>366</v>
      </c>
      <c r="D8" s="19">
        <v>15837.0</v>
      </c>
      <c r="E8" s="20" t="s">
        <v>367</v>
      </c>
      <c r="F8" s="22"/>
      <c r="G8" s="22">
        <v>4500.0</v>
      </c>
      <c r="H8" s="22"/>
      <c r="I8" s="21"/>
      <c r="J8" s="21"/>
      <c r="K8" s="22"/>
      <c r="L8" s="22"/>
      <c r="M8" s="22"/>
      <c r="N8" s="22"/>
      <c r="O8" s="22"/>
      <c r="P8" s="24">
        <v>4500.0</v>
      </c>
      <c r="Q8" s="25">
        <f t="shared" si="1"/>
        <v>0</v>
      </c>
      <c r="R8" s="24" t="s">
        <v>25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45509.0</v>
      </c>
      <c r="C9" s="18" t="s">
        <v>368</v>
      </c>
      <c r="D9" s="19">
        <v>76360.0</v>
      </c>
      <c r="E9" s="20" t="s">
        <v>369</v>
      </c>
      <c r="F9" s="22"/>
      <c r="G9" s="22"/>
      <c r="H9" s="22"/>
      <c r="I9" s="21">
        <v>2500.0</v>
      </c>
      <c r="J9" s="21"/>
      <c r="K9" s="22"/>
      <c r="L9" s="22"/>
      <c r="M9" s="21"/>
      <c r="N9" s="22"/>
      <c r="O9" s="22"/>
      <c r="P9" s="24">
        <v>2500.0</v>
      </c>
      <c r="Q9" s="25">
        <f t="shared" si="1"/>
        <v>0</v>
      </c>
      <c r="R9" s="24" t="s">
        <v>51</v>
      </c>
      <c r="S9" s="26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45509.0</v>
      </c>
      <c r="C10" s="18" t="s">
        <v>370</v>
      </c>
      <c r="D10" s="19">
        <v>48052.0</v>
      </c>
      <c r="E10" s="20" t="s">
        <v>337</v>
      </c>
      <c r="F10" s="22"/>
      <c r="G10" s="22"/>
      <c r="H10" s="22"/>
      <c r="I10" s="21">
        <v>1900.0</v>
      </c>
      <c r="J10" s="21"/>
      <c r="K10" s="22"/>
      <c r="L10" s="22"/>
      <c r="M10" s="21"/>
      <c r="N10" s="22"/>
      <c r="O10" s="22"/>
      <c r="P10" s="24">
        <v>1900.0</v>
      </c>
      <c r="Q10" s="25">
        <f t="shared" si="1"/>
        <v>0</v>
      </c>
      <c r="R10" s="24" t="s">
        <v>51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45509.0</v>
      </c>
      <c r="C11" s="18" t="s">
        <v>371</v>
      </c>
      <c r="D11" s="19">
        <v>52669.0</v>
      </c>
      <c r="E11" s="20" t="s">
        <v>310</v>
      </c>
      <c r="F11" s="22"/>
      <c r="G11" s="22"/>
      <c r="H11" s="22"/>
      <c r="I11" s="21">
        <v>700.0</v>
      </c>
      <c r="J11" s="21"/>
      <c r="K11" s="22"/>
      <c r="L11" s="22"/>
      <c r="M11" s="21"/>
      <c r="N11" s="22"/>
      <c r="O11" s="22"/>
      <c r="P11" s="24">
        <v>700.0</v>
      </c>
      <c r="Q11" s="25">
        <f t="shared" si="1"/>
        <v>0</v>
      </c>
      <c r="R11" s="24" t="s">
        <v>51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7">
        <v>45509.0</v>
      </c>
      <c r="C12" s="18" t="s">
        <v>372</v>
      </c>
      <c r="D12" s="19">
        <v>62146.0</v>
      </c>
      <c r="E12" s="20" t="s">
        <v>373</v>
      </c>
      <c r="F12" s="22"/>
      <c r="G12" s="22"/>
      <c r="H12" s="22"/>
      <c r="I12" s="21">
        <v>4500.0</v>
      </c>
      <c r="J12" s="21"/>
      <c r="K12" s="22"/>
      <c r="L12" s="22"/>
      <c r="M12" s="21"/>
      <c r="N12" s="22"/>
      <c r="O12" s="22"/>
      <c r="P12" s="24">
        <v>4500.0</v>
      </c>
      <c r="Q12" s="25">
        <f t="shared" si="1"/>
        <v>0</v>
      </c>
      <c r="R12" s="24" t="s">
        <v>51</v>
      </c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8">
        <v>45509.0</v>
      </c>
      <c r="C13" s="29" t="s">
        <v>374</v>
      </c>
      <c r="D13" s="30">
        <v>55039.0</v>
      </c>
      <c r="E13" s="31" t="s">
        <v>375</v>
      </c>
      <c r="F13" s="22"/>
      <c r="G13" s="22"/>
      <c r="H13" s="22"/>
      <c r="I13" s="21"/>
      <c r="J13" s="21">
        <v>2650.0</v>
      </c>
      <c r="K13" s="22"/>
      <c r="L13" s="22"/>
      <c r="M13" s="21"/>
      <c r="N13" s="22"/>
      <c r="O13" s="22"/>
      <c r="P13" s="32">
        <v>2650.0</v>
      </c>
      <c r="Q13" s="25">
        <f t="shared" si="1"/>
        <v>0</v>
      </c>
      <c r="R13" s="32" t="s">
        <v>51</v>
      </c>
      <c r="S13" s="26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 ht="34.5" customHeight="1">
      <c r="A14" s="16">
        <v>10.0</v>
      </c>
      <c r="B14" s="27">
        <v>45509.0</v>
      </c>
      <c r="C14" s="18" t="s">
        <v>376</v>
      </c>
      <c r="D14" s="19">
        <v>13762.0</v>
      </c>
      <c r="E14" s="20" t="s">
        <v>244</v>
      </c>
      <c r="F14" s="22"/>
      <c r="G14" s="22"/>
      <c r="H14" s="22"/>
      <c r="I14" s="21"/>
      <c r="J14" s="21">
        <v>1250.0</v>
      </c>
      <c r="K14" s="22"/>
      <c r="L14" s="22"/>
      <c r="M14" s="21"/>
      <c r="N14" s="22"/>
      <c r="O14" s="22"/>
      <c r="P14" s="24">
        <v>1250.0</v>
      </c>
      <c r="Q14" s="25">
        <f t="shared" si="1"/>
        <v>0</v>
      </c>
      <c r="R14" s="24" t="s">
        <v>25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45509.0</v>
      </c>
      <c r="C15" s="18" t="s">
        <v>377</v>
      </c>
      <c r="D15" s="19">
        <v>60306.0</v>
      </c>
      <c r="E15" s="20" t="s">
        <v>378</v>
      </c>
      <c r="F15" s="22"/>
      <c r="G15" s="22"/>
      <c r="H15" s="22"/>
      <c r="I15" s="21">
        <v>3600.0</v>
      </c>
      <c r="J15" s="21"/>
      <c r="K15" s="22"/>
      <c r="L15" s="22"/>
      <c r="M15" s="21"/>
      <c r="N15" s="22"/>
      <c r="O15" s="22"/>
      <c r="P15" s="24">
        <v>3600.0</v>
      </c>
      <c r="Q15" s="25">
        <f t="shared" si="1"/>
        <v>0</v>
      </c>
      <c r="R15" s="24" t="s">
        <v>68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45509.0</v>
      </c>
      <c r="C16" s="18" t="s">
        <v>379</v>
      </c>
      <c r="D16" s="19">
        <v>71456.0</v>
      </c>
      <c r="E16" s="20" t="s">
        <v>380</v>
      </c>
      <c r="F16" s="22"/>
      <c r="G16" s="22"/>
      <c r="H16" s="22"/>
      <c r="I16" s="21">
        <v>5150.0</v>
      </c>
      <c r="J16" s="21"/>
      <c r="K16" s="22"/>
      <c r="L16" s="22"/>
      <c r="M16" s="21"/>
      <c r="N16" s="22"/>
      <c r="O16" s="22"/>
      <c r="P16" s="24">
        <v>5150.0</v>
      </c>
      <c r="Q16" s="25">
        <f t="shared" si="1"/>
        <v>0</v>
      </c>
      <c r="R16" s="24" t="s">
        <v>51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45509.0</v>
      </c>
      <c r="C17" s="18" t="s">
        <v>381</v>
      </c>
      <c r="D17" s="19">
        <v>74087.0</v>
      </c>
      <c r="E17" s="20" t="s">
        <v>382</v>
      </c>
      <c r="F17" s="22"/>
      <c r="G17" s="22"/>
      <c r="H17" s="22"/>
      <c r="I17" s="21"/>
      <c r="J17" s="21">
        <v>3050.0</v>
      </c>
      <c r="K17" s="22"/>
      <c r="L17" s="22"/>
      <c r="M17" s="21"/>
      <c r="N17" s="22"/>
      <c r="O17" s="22"/>
      <c r="P17" s="24">
        <v>3050.0</v>
      </c>
      <c r="Q17" s="25">
        <f t="shared" si="1"/>
        <v>0</v>
      </c>
      <c r="R17" s="24" t="s">
        <v>68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7">
        <v>45509.0</v>
      </c>
      <c r="C18" s="18" t="s">
        <v>383</v>
      </c>
      <c r="D18" s="19">
        <v>80857.0</v>
      </c>
      <c r="E18" s="20" t="s">
        <v>384</v>
      </c>
      <c r="F18" s="22"/>
      <c r="G18" s="22"/>
      <c r="H18" s="22"/>
      <c r="I18" s="21">
        <v>5350.0</v>
      </c>
      <c r="J18" s="21"/>
      <c r="K18" s="22"/>
      <c r="L18" s="22"/>
      <c r="M18" s="22"/>
      <c r="N18" s="22"/>
      <c r="O18" s="22"/>
      <c r="P18" s="24">
        <v>5350.0</v>
      </c>
      <c r="Q18" s="25">
        <f t="shared" si="1"/>
        <v>0</v>
      </c>
      <c r="R18" s="24" t="s">
        <v>68</v>
      </c>
      <c r="S18" s="26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28">
        <v>45509.0</v>
      </c>
      <c r="C19" s="29" t="s">
        <v>385</v>
      </c>
      <c r="D19" s="30">
        <v>81108.0</v>
      </c>
      <c r="E19" s="31" t="s">
        <v>94</v>
      </c>
      <c r="F19" s="22"/>
      <c r="G19" s="22"/>
      <c r="H19" s="22"/>
      <c r="I19" s="21">
        <v>18800.0</v>
      </c>
      <c r="J19" s="21"/>
      <c r="K19" s="22"/>
      <c r="L19" s="22"/>
      <c r="M19" s="21"/>
      <c r="N19" s="22"/>
      <c r="O19" s="22"/>
      <c r="P19" s="32">
        <v>18800.0</v>
      </c>
      <c r="Q19" s="25">
        <f t="shared" si="1"/>
        <v>0</v>
      </c>
      <c r="R19" s="32" t="s">
        <v>68</v>
      </c>
      <c r="S19" s="26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ht="34.5" customHeight="1">
      <c r="A20" s="16">
        <v>16.0</v>
      </c>
      <c r="B20" s="27">
        <v>45509.0</v>
      </c>
      <c r="C20" s="18" t="s">
        <v>386</v>
      </c>
      <c r="D20" s="19">
        <v>61420.0</v>
      </c>
      <c r="E20" s="20" t="s">
        <v>387</v>
      </c>
      <c r="F20" s="22"/>
      <c r="G20" s="22"/>
      <c r="H20" s="22"/>
      <c r="I20" s="23">
        <v>4500.0</v>
      </c>
      <c r="J20" s="23"/>
      <c r="K20" s="22"/>
      <c r="L20" s="22"/>
      <c r="M20" s="22"/>
      <c r="N20" s="22"/>
      <c r="O20" s="22"/>
      <c r="P20" s="24">
        <v>4500.0</v>
      </c>
      <c r="Q20" s="25">
        <f t="shared" si="1"/>
        <v>0</v>
      </c>
      <c r="R20" s="24" t="s">
        <v>68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45509.0</v>
      </c>
      <c r="C21" s="18" t="s">
        <v>388</v>
      </c>
      <c r="D21" s="19">
        <v>61420.0</v>
      </c>
      <c r="E21" s="20" t="s">
        <v>387</v>
      </c>
      <c r="F21" s="21"/>
      <c r="G21" s="22"/>
      <c r="H21" s="22"/>
      <c r="I21" s="34">
        <v>7500.0</v>
      </c>
      <c r="J21" s="22"/>
      <c r="K21" s="35"/>
      <c r="L21" s="22"/>
      <c r="M21" s="22"/>
      <c r="N21" s="22"/>
      <c r="O21" s="22"/>
      <c r="P21" s="24">
        <v>7500.0</v>
      </c>
      <c r="Q21" s="25">
        <f t="shared" si="1"/>
        <v>0</v>
      </c>
      <c r="R21" s="24" t="s">
        <v>68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7">
        <v>45509.0</v>
      </c>
      <c r="C22" s="18" t="s">
        <v>389</v>
      </c>
      <c r="D22" s="19">
        <v>61420.0</v>
      </c>
      <c r="E22" s="20" t="s">
        <v>387</v>
      </c>
      <c r="F22" s="21"/>
      <c r="G22" s="22"/>
      <c r="H22" s="22"/>
      <c r="I22" s="21">
        <v>400.0</v>
      </c>
      <c r="J22" s="22"/>
      <c r="K22" s="21"/>
      <c r="L22" s="22"/>
      <c r="M22" s="22"/>
      <c r="N22" s="22"/>
      <c r="O22" s="22"/>
      <c r="P22" s="24">
        <v>400.0</v>
      </c>
      <c r="Q22" s="25">
        <f t="shared" si="1"/>
        <v>0</v>
      </c>
      <c r="R22" s="24" t="s">
        <v>68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36">
        <v>45509.0</v>
      </c>
      <c r="C23" s="37" t="s">
        <v>390</v>
      </c>
      <c r="D23" s="38">
        <v>61420.0</v>
      </c>
      <c r="E23" s="39" t="s">
        <v>387</v>
      </c>
      <c r="F23" s="34"/>
      <c r="G23" s="40"/>
      <c r="H23" s="40"/>
      <c r="I23" s="34">
        <v>300.0</v>
      </c>
      <c r="J23" s="34"/>
      <c r="K23" s="41"/>
      <c r="L23" s="40"/>
      <c r="M23" s="40"/>
      <c r="N23" s="40"/>
      <c r="O23" s="40"/>
      <c r="P23" s="42">
        <v>300.0</v>
      </c>
      <c r="Q23" s="25">
        <f t="shared" si="1"/>
        <v>0</v>
      </c>
      <c r="R23" s="42" t="s">
        <v>68</v>
      </c>
      <c r="S23" s="26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</row>
    <row r="24" ht="34.5" customHeight="1">
      <c r="A24" s="16">
        <v>20.0</v>
      </c>
      <c r="B24" s="27">
        <v>45509.0</v>
      </c>
      <c r="C24" s="18" t="s">
        <v>391</v>
      </c>
      <c r="D24" s="19">
        <v>77052.0</v>
      </c>
      <c r="E24" s="20" t="s">
        <v>392</v>
      </c>
      <c r="F24" s="21"/>
      <c r="G24" s="22"/>
      <c r="H24" s="22"/>
      <c r="I24" s="21">
        <v>300.0</v>
      </c>
      <c r="J24" s="22"/>
      <c r="K24" s="35"/>
      <c r="L24" s="22"/>
      <c r="M24" s="22"/>
      <c r="N24" s="22"/>
      <c r="O24" s="22"/>
      <c r="P24" s="24">
        <v>300.0</v>
      </c>
      <c r="Q24" s="25">
        <f t="shared" si="1"/>
        <v>0</v>
      </c>
      <c r="R24" s="24" t="s">
        <v>68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45509.0</v>
      </c>
      <c r="C25" s="18" t="s">
        <v>393</v>
      </c>
      <c r="D25" s="19">
        <v>46927.0</v>
      </c>
      <c r="E25" s="20" t="s">
        <v>225</v>
      </c>
      <c r="F25" s="21"/>
      <c r="G25" s="22"/>
      <c r="H25" s="22"/>
      <c r="I25" s="21">
        <v>5025.0</v>
      </c>
      <c r="J25" s="21"/>
      <c r="K25" s="35">
        <v>125.0</v>
      </c>
      <c r="L25" s="22"/>
      <c r="M25" s="22"/>
      <c r="N25" s="22"/>
      <c r="O25" s="22"/>
      <c r="P25" s="24">
        <v>5150.0</v>
      </c>
      <c r="Q25" s="25">
        <f t="shared" si="1"/>
        <v>0</v>
      </c>
      <c r="R25" s="24" t="s">
        <v>51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45509.0</v>
      </c>
      <c r="C26" s="18" t="s">
        <v>394</v>
      </c>
      <c r="D26" s="19">
        <v>52083.0</v>
      </c>
      <c r="E26" s="20" t="s">
        <v>122</v>
      </c>
      <c r="F26" s="21"/>
      <c r="G26" s="22"/>
      <c r="H26" s="22"/>
      <c r="I26" s="35">
        <v>11850.0</v>
      </c>
      <c r="J26" s="21"/>
      <c r="K26" s="35"/>
      <c r="L26" s="22"/>
      <c r="M26" s="22"/>
      <c r="N26" s="22"/>
      <c r="O26" s="22"/>
      <c r="P26" s="24">
        <v>11850.0</v>
      </c>
      <c r="Q26" s="25">
        <f t="shared" si="1"/>
        <v>0</v>
      </c>
      <c r="R26" s="24" t="s">
        <v>68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45509.0</v>
      </c>
      <c r="C27" s="18" t="s">
        <v>395</v>
      </c>
      <c r="D27" s="19">
        <v>22332.0</v>
      </c>
      <c r="E27" s="20" t="s">
        <v>396</v>
      </c>
      <c r="F27" s="21"/>
      <c r="G27" s="22"/>
      <c r="H27" s="22"/>
      <c r="I27" s="21">
        <v>14650.0</v>
      </c>
      <c r="J27" s="21"/>
      <c r="K27" s="23"/>
      <c r="L27" s="22"/>
      <c r="M27" s="22"/>
      <c r="N27" s="22"/>
      <c r="O27" s="22"/>
      <c r="P27" s="24">
        <v>14650.0</v>
      </c>
      <c r="Q27" s="25">
        <f t="shared" si="1"/>
        <v>0</v>
      </c>
      <c r="R27" s="24" t="s">
        <v>68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45509.0</v>
      </c>
      <c r="C28" s="18" t="s">
        <v>397</v>
      </c>
      <c r="D28" s="19">
        <v>78454.0</v>
      </c>
      <c r="E28" s="20" t="s">
        <v>131</v>
      </c>
      <c r="F28" s="21"/>
      <c r="G28" s="22"/>
      <c r="H28" s="22"/>
      <c r="I28" s="21">
        <v>2650.0</v>
      </c>
      <c r="J28" s="21"/>
      <c r="K28" s="23"/>
      <c r="L28" s="22"/>
      <c r="M28" s="22"/>
      <c r="N28" s="22"/>
      <c r="O28" s="22"/>
      <c r="P28" s="24">
        <v>2650.0</v>
      </c>
      <c r="Q28" s="25">
        <f t="shared" si="1"/>
        <v>0</v>
      </c>
      <c r="R28" s="24" t="s">
        <v>51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45509.0</v>
      </c>
      <c r="C29" s="18" t="s">
        <v>398</v>
      </c>
      <c r="D29" s="19">
        <v>59666.0</v>
      </c>
      <c r="E29" s="20" t="s">
        <v>399</v>
      </c>
      <c r="F29" s="21"/>
      <c r="G29" s="22"/>
      <c r="H29" s="22"/>
      <c r="I29" s="21"/>
      <c r="J29" s="21">
        <v>4650.0</v>
      </c>
      <c r="K29" s="23"/>
      <c r="L29" s="22"/>
      <c r="M29" s="22"/>
      <c r="N29" s="22"/>
      <c r="O29" s="22"/>
      <c r="P29" s="24">
        <v>4650.0</v>
      </c>
      <c r="Q29" s="25">
        <f t="shared" si="1"/>
        <v>0</v>
      </c>
      <c r="R29" s="24" t="s">
        <v>68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45509.0</v>
      </c>
      <c r="C30" s="18" t="s">
        <v>400</v>
      </c>
      <c r="D30" s="19">
        <v>53249.0</v>
      </c>
      <c r="E30" s="20" t="s">
        <v>401</v>
      </c>
      <c r="F30" s="21"/>
      <c r="G30" s="22"/>
      <c r="H30" s="22"/>
      <c r="I30" s="21"/>
      <c r="J30" s="21">
        <v>17900.0</v>
      </c>
      <c r="K30" s="23"/>
      <c r="L30" s="22"/>
      <c r="M30" s="22"/>
      <c r="N30" s="22"/>
      <c r="O30" s="22"/>
      <c r="P30" s="24">
        <v>17900.0</v>
      </c>
      <c r="Q30" s="25">
        <f t="shared" si="1"/>
        <v>0</v>
      </c>
      <c r="R30" s="24" t="s">
        <v>25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45509.0</v>
      </c>
      <c r="C31" s="18" t="s">
        <v>402</v>
      </c>
      <c r="D31" s="19">
        <v>10008.0</v>
      </c>
      <c r="E31" s="20" t="s">
        <v>403</v>
      </c>
      <c r="F31" s="21"/>
      <c r="G31" s="22"/>
      <c r="H31" s="22"/>
      <c r="I31" s="21"/>
      <c r="J31" s="21"/>
      <c r="K31" s="23"/>
      <c r="L31" s="22"/>
      <c r="M31" s="22">
        <v>900.0</v>
      </c>
      <c r="N31" s="22"/>
      <c r="O31" s="22"/>
      <c r="P31" s="24">
        <v>900.0</v>
      </c>
      <c r="Q31" s="25">
        <f t="shared" si="1"/>
        <v>0</v>
      </c>
      <c r="R31" s="24" t="s">
        <v>68</v>
      </c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45509.0</v>
      </c>
      <c r="C32" s="18" t="s">
        <v>404</v>
      </c>
      <c r="D32" s="19">
        <v>39317.0</v>
      </c>
      <c r="E32" s="20" t="s">
        <v>251</v>
      </c>
      <c r="F32" s="21"/>
      <c r="G32" s="22"/>
      <c r="H32" s="22"/>
      <c r="I32" s="21"/>
      <c r="J32" s="21">
        <v>3550.0</v>
      </c>
      <c r="K32" s="23"/>
      <c r="L32" s="22"/>
      <c r="M32" s="22"/>
      <c r="N32" s="22"/>
      <c r="O32" s="22"/>
      <c r="P32" s="24">
        <v>3550.0</v>
      </c>
      <c r="Q32" s="25">
        <f t="shared" si="1"/>
        <v>0</v>
      </c>
      <c r="R32" s="24" t="s">
        <v>25</v>
      </c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45509.0</v>
      </c>
      <c r="C33" s="18" t="s">
        <v>405</v>
      </c>
      <c r="D33" s="19">
        <v>10006.0</v>
      </c>
      <c r="E33" s="20" t="s">
        <v>151</v>
      </c>
      <c r="F33" s="21"/>
      <c r="G33" s="22">
        <v>12200.0</v>
      </c>
      <c r="H33" s="22"/>
      <c r="I33" s="21"/>
      <c r="J33" s="21"/>
      <c r="K33" s="23"/>
      <c r="L33" s="22"/>
      <c r="M33" s="22"/>
      <c r="N33" s="22"/>
      <c r="O33" s="22"/>
      <c r="P33" s="24">
        <v>12200.0</v>
      </c>
      <c r="Q33" s="25">
        <f t="shared" si="1"/>
        <v>0</v>
      </c>
      <c r="R33" s="24" t="s">
        <v>68</v>
      </c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7">
        <v>45509.0</v>
      </c>
      <c r="C34" s="18" t="s">
        <v>406</v>
      </c>
      <c r="D34" s="19">
        <v>30895.0</v>
      </c>
      <c r="E34" s="20" t="s">
        <v>34</v>
      </c>
      <c r="F34" s="21"/>
      <c r="G34" s="22">
        <v>750.0</v>
      </c>
      <c r="H34" s="22"/>
      <c r="I34" s="21"/>
      <c r="J34" s="21"/>
      <c r="K34" s="23"/>
      <c r="L34" s="22"/>
      <c r="M34" s="22"/>
      <c r="N34" s="22"/>
      <c r="O34" s="22"/>
      <c r="P34" s="24">
        <v>750.0</v>
      </c>
      <c r="Q34" s="25">
        <f t="shared" si="1"/>
        <v>0</v>
      </c>
      <c r="R34" s="24" t="s">
        <v>25</v>
      </c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7">
        <v>45509.0</v>
      </c>
      <c r="C35" s="18" t="s">
        <v>407</v>
      </c>
      <c r="D35" s="19">
        <v>58763.0</v>
      </c>
      <c r="E35" s="20" t="s">
        <v>408</v>
      </c>
      <c r="F35" s="21"/>
      <c r="G35" s="22"/>
      <c r="H35" s="22"/>
      <c r="I35" s="21">
        <v>8400.0</v>
      </c>
      <c r="J35" s="21"/>
      <c r="K35" s="23"/>
      <c r="L35" s="22"/>
      <c r="M35" s="22"/>
      <c r="N35" s="22"/>
      <c r="O35" s="22"/>
      <c r="P35" s="24">
        <v>8400.0</v>
      </c>
      <c r="Q35" s="25">
        <f t="shared" si="1"/>
        <v>0</v>
      </c>
      <c r="R35" s="24" t="s">
        <v>25</v>
      </c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7">
        <v>45508.0</v>
      </c>
      <c r="C36" s="18" t="s">
        <v>409</v>
      </c>
      <c r="D36" s="19">
        <v>21828.0</v>
      </c>
      <c r="E36" s="20" t="s">
        <v>47</v>
      </c>
      <c r="F36" s="21"/>
      <c r="G36" s="22"/>
      <c r="H36" s="22"/>
      <c r="I36" s="21"/>
      <c r="J36" s="21"/>
      <c r="K36" s="23">
        <v>2500.0</v>
      </c>
      <c r="L36" s="22"/>
      <c r="M36" s="22"/>
      <c r="N36" s="22"/>
      <c r="O36" s="22"/>
      <c r="P36" s="24">
        <v>2500.0</v>
      </c>
      <c r="Q36" s="25">
        <f t="shared" si="1"/>
        <v>0</v>
      </c>
      <c r="R36" s="24"/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7">
        <v>45509.0</v>
      </c>
      <c r="C37" s="18" t="s">
        <v>410</v>
      </c>
      <c r="D37" s="19">
        <v>61420.0</v>
      </c>
      <c r="E37" s="20" t="s">
        <v>387</v>
      </c>
      <c r="F37" s="21"/>
      <c r="G37" s="22"/>
      <c r="H37" s="22"/>
      <c r="I37" s="21"/>
      <c r="J37" s="21"/>
      <c r="K37" s="23"/>
      <c r="L37" s="22"/>
      <c r="M37" s="22"/>
      <c r="N37" s="22"/>
      <c r="O37" s="22">
        <v>1200.0</v>
      </c>
      <c r="P37" s="24">
        <v>1200.0</v>
      </c>
      <c r="Q37" s="25">
        <f t="shared" si="1"/>
        <v>0</v>
      </c>
      <c r="R37" s="24"/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7">
        <v>45509.0</v>
      </c>
      <c r="C38" s="18" t="s">
        <v>411</v>
      </c>
      <c r="D38" s="19">
        <v>21828.0</v>
      </c>
      <c r="E38" s="20" t="s">
        <v>47</v>
      </c>
      <c r="F38" s="21"/>
      <c r="G38" s="22"/>
      <c r="H38" s="22"/>
      <c r="I38" s="21"/>
      <c r="J38" s="21"/>
      <c r="K38" s="23"/>
      <c r="L38" s="22"/>
      <c r="M38" s="22">
        <v>2500.0</v>
      </c>
      <c r="N38" s="22"/>
      <c r="O38" s="22"/>
      <c r="P38" s="24">
        <v>2500.0</v>
      </c>
      <c r="Q38" s="25">
        <f t="shared" si="1"/>
        <v>0</v>
      </c>
      <c r="R38" s="24"/>
      <c r="S38" s="26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7">
        <v>45509.0</v>
      </c>
      <c r="C39" s="18" t="s">
        <v>412</v>
      </c>
      <c r="D39" s="19">
        <v>20701.0</v>
      </c>
      <c r="E39" s="20" t="s">
        <v>413</v>
      </c>
      <c r="F39" s="21"/>
      <c r="G39" s="22"/>
      <c r="H39" s="22"/>
      <c r="I39" s="21"/>
      <c r="J39" s="21"/>
      <c r="K39" s="23"/>
      <c r="L39" s="22"/>
      <c r="M39" s="22">
        <v>2550.0</v>
      </c>
      <c r="N39" s="22"/>
      <c r="O39" s="22"/>
      <c r="P39" s="24">
        <v>2550.0</v>
      </c>
      <c r="Q39" s="25">
        <f t="shared" si="1"/>
        <v>0</v>
      </c>
      <c r="R39" s="24"/>
      <c r="S39" s="26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7">
        <v>45509.0</v>
      </c>
      <c r="C40" s="18" t="s">
        <v>414</v>
      </c>
      <c r="D40" s="19">
        <v>50148.0</v>
      </c>
      <c r="E40" s="20" t="s">
        <v>285</v>
      </c>
      <c r="F40" s="21"/>
      <c r="G40" s="22"/>
      <c r="H40" s="22"/>
      <c r="I40" s="21"/>
      <c r="J40" s="21"/>
      <c r="K40" s="23">
        <v>10200.0</v>
      </c>
      <c r="L40" s="22"/>
      <c r="M40" s="22"/>
      <c r="N40" s="22"/>
      <c r="O40" s="22"/>
      <c r="P40" s="24">
        <v>10200.0</v>
      </c>
      <c r="Q40" s="25">
        <f t="shared" si="1"/>
        <v>0</v>
      </c>
      <c r="R40" s="24"/>
      <c r="S40" s="26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7">
        <v>45509.0</v>
      </c>
      <c r="C41" s="18" t="s">
        <v>415</v>
      </c>
      <c r="D41" s="19">
        <v>58763.0</v>
      </c>
      <c r="E41" s="20" t="s">
        <v>408</v>
      </c>
      <c r="F41" s="21"/>
      <c r="G41" s="22"/>
      <c r="H41" s="22"/>
      <c r="I41" s="21"/>
      <c r="J41" s="21"/>
      <c r="K41" s="23"/>
      <c r="L41" s="22"/>
      <c r="M41" s="22"/>
      <c r="N41" s="22"/>
      <c r="O41" s="22">
        <v>2550.0</v>
      </c>
      <c r="P41" s="24">
        <v>2550.0</v>
      </c>
      <c r="Q41" s="25">
        <f t="shared" si="1"/>
        <v>0</v>
      </c>
      <c r="R41" s="24"/>
      <c r="S41" s="26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27">
        <v>45509.0</v>
      </c>
      <c r="C42" s="18" t="s">
        <v>416</v>
      </c>
      <c r="D42" s="19">
        <v>61496.0</v>
      </c>
      <c r="E42" s="20" t="s">
        <v>417</v>
      </c>
      <c r="F42" s="21"/>
      <c r="G42" s="22"/>
      <c r="H42" s="22"/>
      <c r="I42" s="21"/>
      <c r="J42" s="21"/>
      <c r="K42" s="23"/>
      <c r="L42" s="22"/>
      <c r="M42" s="22"/>
      <c r="N42" s="22"/>
      <c r="O42" s="22">
        <v>700.0</v>
      </c>
      <c r="P42" s="24">
        <v>700.0</v>
      </c>
      <c r="Q42" s="25">
        <f t="shared" si="1"/>
        <v>0</v>
      </c>
      <c r="R42" s="24"/>
      <c r="S42" s="26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7.5" customHeight="1">
      <c r="A43" s="16"/>
      <c r="B43" s="27"/>
      <c r="C43" s="18"/>
      <c r="D43" s="19" t="s">
        <v>183</v>
      </c>
      <c r="E43" s="20"/>
      <c r="F43" s="45">
        <f t="shared" ref="F43:P43" si="2">SUM(F5:F42)</f>
        <v>0</v>
      </c>
      <c r="G43" s="45">
        <f t="shared" si="2"/>
        <v>27200</v>
      </c>
      <c r="H43" s="45">
        <f t="shared" si="2"/>
        <v>0</v>
      </c>
      <c r="I43" s="45">
        <f t="shared" si="2"/>
        <v>98075</v>
      </c>
      <c r="J43" s="45">
        <f t="shared" si="2"/>
        <v>33050</v>
      </c>
      <c r="K43" s="45">
        <f t="shared" si="2"/>
        <v>12825</v>
      </c>
      <c r="L43" s="45">
        <f t="shared" si="2"/>
        <v>0</v>
      </c>
      <c r="M43" s="45">
        <f t="shared" si="2"/>
        <v>5950</v>
      </c>
      <c r="N43" s="45">
        <f t="shared" si="2"/>
        <v>0</v>
      </c>
      <c r="O43" s="45">
        <f t="shared" si="2"/>
        <v>4450</v>
      </c>
      <c r="P43" s="45">
        <f t="shared" si="2"/>
        <v>181550</v>
      </c>
      <c r="Q43" s="46">
        <v>0.0</v>
      </c>
      <c r="R43" s="47"/>
      <c r="S43" s="26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</row>
    <row r="44" ht="15.75" customHeight="1">
      <c r="A44" s="48"/>
      <c r="B44" s="48"/>
      <c r="C44" s="49"/>
      <c r="D44" s="48"/>
      <c r="E44" s="48"/>
      <c r="F44" s="50">
        <f>F43+G43+H43+I43+J43+K43+L43+M43+N43+O43</f>
        <v>181550</v>
      </c>
      <c r="P44" s="51"/>
      <c r="Q44" s="51"/>
      <c r="R44" s="48"/>
      <c r="S44" s="48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</row>
    <row r="45" ht="15.75" customHeight="1">
      <c r="A45" s="4"/>
      <c r="B45" s="4"/>
      <c r="C45" s="52"/>
      <c r="D45" s="4"/>
      <c r="E45" s="54" t="s">
        <v>184</v>
      </c>
      <c r="F45" s="55" t="s">
        <v>357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52"/>
      <c r="D46" s="4"/>
      <c r="E46" s="56" t="s">
        <v>186</v>
      </c>
      <c r="F46" s="55" t="s">
        <v>185</v>
      </c>
      <c r="G46" s="4"/>
      <c r="H46" s="4"/>
      <c r="I46" s="4"/>
      <c r="J46" s="4"/>
      <c r="K46" s="4"/>
      <c r="L46" s="4"/>
      <c r="M46" s="4"/>
      <c r="N46" s="4"/>
      <c r="O46" s="57" t="s">
        <v>183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52"/>
      <c r="D47" s="4"/>
      <c r="E47" s="56" t="s">
        <v>188</v>
      </c>
      <c r="F47" s="55" t="s">
        <v>194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2"/>
      <c r="D48" s="4"/>
      <c r="E48" s="56" t="s">
        <v>189</v>
      </c>
      <c r="F48" s="55" t="s">
        <v>185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2"/>
      <c r="D49" s="4"/>
      <c r="E49" s="56" t="s">
        <v>190</v>
      </c>
      <c r="F49" s="55" t="s">
        <v>418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2"/>
      <c r="D50" s="4"/>
      <c r="E50" s="56" t="s">
        <v>419</v>
      </c>
      <c r="F50" s="55" t="s">
        <v>185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2"/>
      <c r="D51" s="4"/>
      <c r="E51" s="56" t="s">
        <v>193</v>
      </c>
      <c r="F51" s="55" t="s">
        <v>194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2"/>
      <c r="D52" s="4"/>
      <c r="E52" s="56" t="s">
        <v>195</v>
      </c>
      <c r="F52" s="59" t="s">
        <v>196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57" t="s">
        <v>183</v>
      </c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4"/>
      <c r="F53" s="4"/>
      <c r="G53" s="4"/>
      <c r="H53" s="4"/>
      <c r="I53" s="4"/>
      <c r="J53" s="4"/>
      <c r="K53" s="4" t="str">
        <f>I72440</f>
        <v/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57" t="s">
        <v>197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>
        <v>7.0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5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5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R2:R4"/>
    <mergeCell ref="S2:S4"/>
    <mergeCell ref="F3:F4"/>
    <mergeCell ref="G3:H3"/>
    <mergeCell ref="I3:J3"/>
    <mergeCell ref="K3:K4"/>
    <mergeCell ref="F44:O44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6.88"/>
    <col customWidth="1" min="6" max="6" width="42.88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30.63"/>
  </cols>
  <sheetData>
    <row r="1" ht="45.0" customHeight="1">
      <c r="A1" s="1" t="s">
        <v>420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15.75" customHeight="1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5.75" customHeight="1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45509.0</v>
      </c>
      <c r="C5" s="18" t="s">
        <v>421</v>
      </c>
      <c r="D5" s="19">
        <v>30895.0</v>
      </c>
      <c r="E5" s="20" t="s">
        <v>34</v>
      </c>
      <c r="F5" s="21"/>
      <c r="G5" s="22">
        <v>8250.0</v>
      </c>
      <c r="H5" s="21"/>
      <c r="I5" s="23"/>
      <c r="J5" s="23"/>
      <c r="K5" s="22"/>
      <c r="L5" s="22"/>
      <c r="M5" s="21"/>
      <c r="N5" s="22"/>
      <c r="O5" s="22"/>
      <c r="P5" s="24">
        <v>8250.0</v>
      </c>
      <c r="Q5" s="25">
        <v>0.0</v>
      </c>
      <c r="R5" s="24" t="s">
        <v>68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45509.0</v>
      </c>
      <c r="C6" s="18" t="s">
        <v>422</v>
      </c>
      <c r="D6" s="19">
        <v>66770.0</v>
      </c>
      <c r="E6" s="20" t="s">
        <v>108</v>
      </c>
      <c r="F6" s="21"/>
      <c r="G6" s="22"/>
      <c r="H6" s="22"/>
      <c r="I6" s="21"/>
      <c r="J6" s="22">
        <v>350.0</v>
      </c>
      <c r="K6" s="22"/>
      <c r="L6" s="22"/>
      <c r="M6" s="21"/>
      <c r="N6" s="22"/>
      <c r="O6" s="22"/>
      <c r="P6" s="24">
        <v>350.0</v>
      </c>
      <c r="Q6" s="25">
        <f t="shared" ref="Q6:Q51" si="1">F6+G6+H6+I6+J6+K6+L6+M6+N6+O6-P6</f>
        <v>0</v>
      </c>
      <c r="R6" s="24" t="s">
        <v>68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45510.0</v>
      </c>
      <c r="C7" s="18" t="s">
        <v>423</v>
      </c>
      <c r="D7" s="19">
        <v>46210.0</v>
      </c>
      <c r="E7" s="20" t="s">
        <v>424</v>
      </c>
      <c r="F7" s="22"/>
      <c r="G7" s="22"/>
      <c r="H7" s="21"/>
      <c r="I7" s="21">
        <v>2650.0</v>
      </c>
      <c r="J7" s="23"/>
      <c r="K7" s="22"/>
      <c r="L7" s="22"/>
      <c r="M7" s="22"/>
      <c r="N7" s="22"/>
      <c r="O7" s="22"/>
      <c r="P7" s="24">
        <v>2650.0</v>
      </c>
      <c r="Q7" s="25">
        <f t="shared" si="1"/>
        <v>0</v>
      </c>
      <c r="R7" s="24" t="s">
        <v>68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45510.0</v>
      </c>
      <c r="C8" s="18" t="s">
        <v>425</v>
      </c>
      <c r="D8" s="19">
        <v>61796.0</v>
      </c>
      <c r="E8" s="20" t="s">
        <v>426</v>
      </c>
      <c r="F8" s="22"/>
      <c r="G8" s="22"/>
      <c r="H8" s="22"/>
      <c r="I8" s="21">
        <v>150.0</v>
      </c>
      <c r="J8" s="21"/>
      <c r="K8" s="22"/>
      <c r="L8" s="22"/>
      <c r="M8" s="22"/>
      <c r="N8" s="22"/>
      <c r="O8" s="22"/>
      <c r="P8" s="24">
        <v>150.0</v>
      </c>
      <c r="Q8" s="25">
        <f t="shared" si="1"/>
        <v>0</v>
      </c>
      <c r="R8" s="24" t="s">
        <v>68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45510.0</v>
      </c>
      <c r="C9" s="18" t="s">
        <v>427</v>
      </c>
      <c r="D9" s="19">
        <v>58050.0</v>
      </c>
      <c r="E9" s="20" t="s">
        <v>428</v>
      </c>
      <c r="F9" s="22"/>
      <c r="G9" s="22"/>
      <c r="H9" s="22"/>
      <c r="I9" s="21"/>
      <c r="J9" s="21">
        <v>6950.0</v>
      </c>
      <c r="K9" s="22"/>
      <c r="L9" s="22"/>
      <c r="M9" s="21"/>
      <c r="N9" s="22"/>
      <c r="O9" s="22"/>
      <c r="P9" s="24">
        <v>6950.0</v>
      </c>
      <c r="Q9" s="25">
        <f t="shared" si="1"/>
        <v>0</v>
      </c>
      <c r="R9" s="24" t="s">
        <v>51</v>
      </c>
      <c r="S9" s="26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45510.0</v>
      </c>
      <c r="C10" s="18" t="s">
        <v>429</v>
      </c>
      <c r="D10" s="19">
        <v>80375.0</v>
      </c>
      <c r="E10" s="20" t="s">
        <v>430</v>
      </c>
      <c r="F10" s="22"/>
      <c r="G10" s="22"/>
      <c r="H10" s="22"/>
      <c r="I10" s="21"/>
      <c r="J10" s="21">
        <v>4650.0</v>
      </c>
      <c r="K10" s="22"/>
      <c r="L10" s="22"/>
      <c r="M10" s="21"/>
      <c r="N10" s="22"/>
      <c r="O10" s="22"/>
      <c r="P10" s="24">
        <v>4650.0</v>
      </c>
      <c r="Q10" s="25">
        <f t="shared" si="1"/>
        <v>0</v>
      </c>
      <c r="R10" s="24" t="s">
        <v>25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45510.0</v>
      </c>
      <c r="C11" s="18" t="s">
        <v>431</v>
      </c>
      <c r="D11" s="19">
        <v>57230.0</v>
      </c>
      <c r="E11" s="20" t="s">
        <v>432</v>
      </c>
      <c r="F11" s="22"/>
      <c r="G11" s="22"/>
      <c r="H11" s="22"/>
      <c r="I11" s="21"/>
      <c r="J11" s="21">
        <v>2650.0</v>
      </c>
      <c r="K11" s="22"/>
      <c r="L11" s="22"/>
      <c r="M11" s="21"/>
      <c r="N11" s="22"/>
      <c r="O11" s="22"/>
      <c r="P11" s="24">
        <v>2650.0</v>
      </c>
      <c r="Q11" s="25">
        <f t="shared" si="1"/>
        <v>0</v>
      </c>
      <c r="R11" s="24" t="s">
        <v>30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7">
        <v>45510.0</v>
      </c>
      <c r="C12" s="18" t="s">
        <v>433</v>
      </c>
      <c r="D12" s="19">
        <v>51309.0</v>
      </c>
      <c r="E12" s="20" t="s">
        <v>434</v>
      </c>
      <c r="F12" s="22"/>
      <c r="G12" s="22"/>
      <c r="H12" s="22"/>
      <c r="I12" s="21">
        <v>3100.0</v>
      </c>
      <c r="J12" s="21"/>
      <c r="K12" s="22"/>
      <c r="L12" s="22"/>
      <c r="M12" s="21"/>
      <c r="N12" s="22"/>
      <c r="O12" s="22"/>
      <c r="P12" s="24">
        <v>3100.0</v>
      </c>
      <c r="Q12" s="25">
        <f t="shared" si="1"/>
        <v>0</v>
      </c>
      <c r="R12" s="24" t="s">
        <v>68</v>
      </c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8">
        <v>45510.0</v>
      </c>
      <c r="C13" s="29" t="s">
        <v>435</v>
      </c>
      <c r="D13" s="30">
        <v>33054.0</v>
      </c>
      <c r="E13" s="31" t="s">
        <v>436</v>
      </c>
      <c r="F13" s="22"/>
      <c r="G13" s="22"/>
      <c r="H13" s="22"/>
      <c r="I13" s="21"/>
      <c r="J13" s="21">
        <v>150.0</v>
      </c>
      <c r="K13" s="22"/>
      <c r="L13" s="22"/>
      <c r="M13" s="21"/>
      <c r="N13" s="22"/>
      <c r="O13" s="22"/>
      <c r="P13" s="32">
        <v>150.0</v>
      </c>
      <c r="Q13" s="25">
        <f t="shared" si="1"/>
        <v>0</v>
      </c>
      <c r="R13" s="32" t="s">
        <v>68</v>
      </c>
      <c r="S13" s="26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 ht="34.5" customHeight="1">
      <c r="A14" s="16">
        <v>10.0</v>
      </c>
      <c r="B14" s="27">
        <v>45510.0</v>
      </c>
      <c r="C14" s="18" t="s">
        <v>437</v>
      </c>
      <c r="D14" s="19">
        <v>54459.0</v>
      </c>
      <c r="E14" s="20" t="s">
        <v>438</v>
      </c>
      <c r="F14" s="22"/>
      <c r="G14" s="22"/>
      <c r="H14" s="22"/>
      <c r="I14" s="21">
        <v>10000.0</v>
      </c>
      <c r="J14" s="21"/>
      <c r="K14" s="22"/>
      <c r="L14" s="22"/>
      <c r="M14" s="21"/>
      <c r="N14" s="22"/>
      <c r="O14" s="22"/>
      <c r="P14" s="24">
        <v>10000.0</v>
      </c>
      <c r="Q14" s="25">
        <f t="shared" si="1"/>
        <v>0</v>
      </c>
      <c r="R14" s="24" t="s">
        <v>30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45510.0</v>
      </c>
      <c r="C15" s="18" t="s">
        <v>439</v>
      </c>
      <c r="D15" s="19">
        <v>81665.0</v>
      </c>
      <c r="E15" s="20" t="s">
        <v>440</v>
      </c>
      <c r="F15" s="22"/>
      <c r="G15" s="22"/>
      <c r="H15" s="22"/>
      <c r="I15" s="21">
        <v>65000.0</v>
      </c>
      <c r="J15" s="21"/>
      <c r="K15" s="22"/>
      <c r="L15" s="22"/>
      <c r="M15" s="21"/>
      <c r="N15" s="22"/>
      <c r="O15" s="22"/>
      <c r="P15" s="24">
        <v>65000.0</v>
      </c>
      <c r="Q15" s="25">
        <f t="shared" si="1"/>
        <v>0</v>
      </c>
      <c r="R15" s="24" t="s">
        <v>68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45510.0</v>
      </c>
      <c r="C16" s="18" t="s">
        <v>441</v>
      </c>
      <c r="D16" s="19">
        <v>57991.0</v>
      </c>
      <c r="E16" s="20" t="s">
        <v>442</v>
      </c>
      <c r="F16" s="22"/>
      <c r="G16" s="22"/>
      <c r="H16" s="22"/>
      <c r="I16" s="21">
        <v>2650.0</v>
      </c>
      <c r="J16" s="21"/>
      <c r="K16" s="22"/>
      <c r="L16" s="22"/>
      <c r="M16" s="21"/>
      <c r="N16" s="22"/>
      <c r="O16" s="22"/>
      <c r="P16" s="24">
        <v>2650.0</v>
      </c>
      <c r="Q16" s="25">
        <f t="shared" si="1"/>
        <v>0</v>
      </c>
      <c r="R16" s="24" t="s">
        <v>51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45510.0</v>
      </c>
      <c r="C17" s="18" t="s">
        <v>443</v>
      </c>
      <c r="D17" s="19">
        <v>39803.0</v>
      </c>
      <c r="E17" s="20" t="s">
        <v>444</v>
      </c>
      <c r="F17" s="22"/>
      <c r="G17" s="22"/>
      <c r="H17" s="22"/>
      <c r="I17" s="21">
        <v>2650.0</v>
      </c>
      <c r="J17" s="21"/>
      <c r="K17" s="22"/>
      <c r="L17" s="22"/>
      <c r="M17" s="21"/>
      <c r="N17" s="22"/>
      <c r="O17" s="22"/>
      <c r="P17" s="24">
        <v>2650.0</v>
      </c>
      <c r="Q17" s="25">
        <f t="shared" si="1"/>
        <v>0</v>
      </c>
      <c r="R17" s="24" t="s">
        <v>51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7">
        <v>45510.0</v>
      </c>
      <c r="C18" s="18" t="s">
        <v>445</v>
      </c>
      <c r="D18" s="19">
        <v>51512.0</v>
      </c>
      <c r="E18" s="20" t="s">
        <v>446</v>
      </c>
      <c r="F18" s="22"/>
      <c r="G18" s="22"/>
      <c r="H18" s="22"/>
      <c r="I18" s="21"/>
      <c r="J18" s="21">
        <v>10000.0</v>
      </c>
      <c r="K18" s="22"/>
      <c r="L18" s="22"/>
      <c r="M18" s="22"/>
      <c r="N18" s="22"/>
      <c r="O18" s="22"/>
      <c r="P18" s="24">
        <v>10000.0</v>
      </c>
      <c r="Q18" s="25">
        <f t="shared" si="1"/>
        <v>0</v>
      </c>
      <c r="R18" s="24" t="s">
        <v>51</v>
      </c>
      <c r="S18" s="26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28">
        <v>45510.0</v>
      </c>
      <c r="C19" s="29" t="s">
        <v>447</v>
      </c>
      <c r="D19" s="30">
        <v>69263.0</v>
      </c>
      <c r="E19" s="31" t="s">
        <v>448</v>
      </c>
      <c r="F19" s="22"/>
      <c r="G19" s="22"/>
      <c r="H19" s="22"/>
      <c r="I19" s="21">
        <v>7400.0</v>
      </c>
      <c r="J19" s="21"/>
      <c r="K19" s="22"/>
      <c r="L19" s="22"/>
      <c r="M19" s="21"/>
      <c r="N19" s="22"/>
      <c r="O19" s="22"/>
      <c r="P19" s="32">
        <v>7400.0</v>
      </c>
      <c r="Q19" s="25">
        <f t="shared" si="1"/>
        <v>0</v>
      </c>
      <c r="R19" s="32" t="s">
        <v>51</v>
      </c>
      <c r="S19" s="26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ht="34.5" customHeight="1">
      <c r="A20" s="16">
        <v>16.0</v>
      </c>
      <c r="B20" s="27">
        <v>45510.0</v>
      </c>
      <c r="C20" s="18" t="s">
        <v>449</v>
      </c>
      <c r="D20" s="19">
        <v>19122.0</v>
      </c>
      <c r="E20" s="20" t="s">
        <v>43</v>
      </c>
      <c r="F20" s="22"/>
      <c r="G20" s="22"/>
      <c r="H20" s="22"/>
      <c r="I20" s="23">
        <v>2700.0</v>
      </c>
      <c r="J20" s="23"/>
      <c r="K20" s="22"/>
      <c r="L20" s="22"/>
      <c r="M20" s="22"/>
      <c r="N20" s="22"/>
      <c r="O20" s="22"/>
      <c r="P20" s="24">
        <v>2700.0</v>
      </c>
      <c r="Q20" s="25">
        <f t="shared" si="1"/>
        <v>0</v>
      </c>
      <c r="R20" s="24" t="s">
        <v>25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45510.0</v>
      </c>
      <c r="C21" s="18" t="s">
        <v>450</v>
      </c>
      <c r="D21" s="19">
        <v>66770.0</v>
      </c>
      <c r="E21" s="20" t="s">
        <v>108</v>
      </c>
      <c r="F21" s="21"/>
      <c r="G21" s="22"/>
      <c r="H21" s="22"/>
      <c r="I21" s="34"/>
      <c r="J21" s="22">
        <v>10750.0</v>
      </c>
      <c r="K21" s="35"/>
      <c r="L21" s="22"/>
      <c r="M21" s="22"/>
      <c r="N21" s="22"/>
      <c r="O21" s="22"/>
      <c r="P21" s="24">
        <v>10750.0</v>
      </c>
      <c r="Q21" s="25">
        <f t="shared" si="1"/>
        <v>0</v>
      </c>
      <c r="R21" s="24" t="s">
        <v>51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7">
        <v>45510.0</v>
      </c>
      <c r="C22" s="18" t="s">
        <v>451</v>
      </c>
      <c r="D22" s="19">
        <v>84334.0</v>
      </c>
      <c r="E22" s="20" t="s">
        <v>452</v>
      </c>
      <c r="F22" s="21"/>
      <c r="G22" s="22"/>
      <c r="H22" s="22"/>
      <c r="I22" s="21"/>
      <c r="J22" s="22">
        <v>300.0</v>
      </c>
      <c r="K22" s="21"/>
      <c r="L22" s="22"/>
      <c r="M22" s="22"/>
      <c r="N22" s="22"/>
      <c r="O22" s="22"/>
      <c r="P22" s="24">
        <v>300.0</v>
      </c>
      <c r="Q22" s="25">
        <f t="shared" si="1"/>
        <v>0</v>
      </c>
      <c r="R22" s="24" t="s">
        <v>30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36">
        <v>45510.0</v>
      </c>
      <c r="C23" s="37" t="s">
        <v>453</v>
      </c>
      <c r="D23" s="38">
        <v>76711.0</v>
      </c>
      <c r="E23" s="39" t="s">
        <v>454</v>
      </c>
      <c r="F23" s="34"/>
      <c r="G23" s="40"/>
      <c r="H23" s="40"/>
      <c r="I23" s="34">
        <v>14100.0</v>
      </c>
      <c r="J23" s="34"/>
      <c r="K23" s="41">
        <v>3600.0</v>
      </c>
      <c r="L23" s="40"/>
      <c r="M23" s="40"/>
      <c r="N23" s="40"/>
      <c r="O23" s="40"/>
      <c r="P23" s="42">
        <v>17700.0</v>
      </c>
      <c r="Q23" s="25">
        <f t="shared" si="1"/>
        <v>0</v>
      </c>
      <c r="R23" s="42" t="s">
        <v>51</v>
      </c>
      <c r="S23" s="26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</row>
    <row r="24" ht="34.5" customHeight="1">
      <c r="A24" s="16">
        <v>20.0</v>
      </c>
      <c r="B24" s="27">
        <v>45510.0</v>
      </c>
      <c r="C24" s="18" t="s">
        <v>455</v>
      </c>
      <c r="D24" s="19">
        <v>48052.0</v>
      </c>
      <c r="E24" s="20" t="s">
        <v>337</v>
      </c>
      <c r="F24" s="21"/>
      <c r="G24" s="22"/>
      <c r="H24" s="22"/>
      <c r="I24" s="21">
        <v>450.0</v>
      </c>
      <c r="J24" s="22"/>
      <c r="K24" s="35"/>
      <c r="L24" s="22"/>
      <c r="M24" s="22"/>
      <c r="N24" s="22"/>
      <c r="O24" s="22"/>
      <c r="P24" s="24">
        <v>450.0</v>
      </c>
      <c r="Q24" s="25">
        <f t="shared" si="1"/>
        <v>0</v>
      </c>
      <c r="R24" s="24" t="s">
        <v>51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45510.0</v>
      </c>
      <c r="C25" s="18" t="s">
        <v>456</v>
      </c>
      <c r="D25" s="19">
        <v>84336.0</v>
      </c>
      <c r="E25" s="20" t="s">
        <v>457</v>
      </c>
      <c r="F25" s="21"/>
      <c r="G25" s="22"/>
      <c r="H25" s="22"/>
      <c r="I25" s="21">
        <v>300.0</v>
      </c>
      <c r="J25" s="21"/>
      <c r="K25" s="35"/>
      <c r="L25" s="22"/>
      <c r="M25" s="22"/>
      <c r="N25" s="22"/>
      <c r="O25" s="22"/>
      <c r="P25" s="24">
        <v>300.0</v>
      </c>
      <c r="Q25" s="25">
        <f t="shared" si="1"/>
        <v>0</v>
      </c>
      <c r="R25" s="24" t="s">
        <v>68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45510.0</v>
      </c>
      <c r="C26" s="18" t="s">
        <v>458</v>
      </c>
      <c r="D26" s="19">
        <v>81108.0</v>
      </c>
      <c r="E26" s="20" t="s">
        <v>94</v>
      </c>
      <c r="F26" s="21"/>
      <c r="G26" s="22"/>
      <c r="H26" s="22"/>
      <c r="I26" s="35">
        <v>42300.0</v>
      </c>
      <c r="J26" s="21"/>
      <c r="K26" s="35"/>
      <c r="L26" s="22"/>
      <c r="M26" s="22"/>
      <c r="N26" s="22"/>
      <c r="O26" s="22"/>
      <c r="P26" s="24">
        <v>42300.0</v>
      </c>
      <c r="Q26" s="25">
        <f t="shared" si="1"/>
        <v>0</v>
      </c>
      <c r="R26" s="24" t="s">
        <v>25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45510.0</v>
      </c>
      <c r="C27" s="18" t="s">
        <v>459</v>
      </c>
      <c r="D27" s="19">
        <v>42046.0</v>
      </c>
      <c r="E27" s="20" t="s">
        <v>77</v>
      </c>
      <c r="F27" s="21"/>
      <c r="G27" s="22"/>
      <c r="H27" s="22"/>
      <c r="I27" s="21"/>
      <c r="J27" s="21"/>
      <c r="K27" s="23">
        <v>8600.0</v>
      </c>
      <c r="L27" s="22"/>
      <c r="M27" s="22"/>
      <c r="N27" s="22"/>
      <c r="O27" s="22"/>
      <c r="P27" s="24">
        <v>8600.0</v>
      </c>
      <c r="Q27" s="25">
        <f t="shared" si="1"/>
        <v>0</v>
      </c>
      <c r="R27" s="24" t="s">
        <v>68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45510.0</v>
      </c>
      <c r="C28" s="18" t="s">
        <v>460</v>
      </c>
      <c r="D28" s="19">
        <v>54763.0</v>
      </c>
      <c r="E28" s="20" t="s">
        <v>461</v>
      </c>
      <c r="F28" s="21"/>
      <c r="G28" s="22"/>
      <c r="H28" s="22"/>
      <c r="I28" s="21">
        <v>10350.0</v>
      </c>
      <c r="J28" s="21"/>
      <c r="K28" s="23"/>
      <c r="L28" s="22"/>
      <c r="M28" s="22"/>
      <c r="N28" s="22"/>
      <c r="O28" s="22"/>
      <c r="P28" s="24">
        <v>10350.0</v>
      </c>
      <c r="Q28" s="25">
        <f t="shared" si="1"/>
        <v>0</v>
      </c>
      <c r="R28" s="24" t="s">
        <v>25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45510.0</v>
      </c>
      <c r="C29" s="18" t="s">
        <v>462</v>
      </c>
      <c r="D29" s="19">
        <v>77609.0</v>
      </c>
      <c r="E29" s="20" t="s">
        <v>463</v>
      </c>
      <c r="F29" s="21"/>
      <c r="G29" s="22"/>
      <c r="H29" s="22"/>
      <c r="I29" s="21">
        <v>600.0</v>
      </c>
      <c r="J29" s="21"/>
      <c r="K29" s="23"/>
      <c r="L29" s="22"/>
      <c r="M29" s="22"/>
      <c r="N29" s="22"/>
      <c r="O29" s="22"/>
      <c r="P29" s="24">
        <v>600.0</v>
      </c>
      <c r="Q29" s="25">
        <f t="shared" si="1"/>
        <v>0</v>
      </c>
      <c r="R29" s="24" t="s">
        <v>30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45510.0</v>
      </c>
      <c r="C30" s="18" t="s">
        <v>464</v>
      </c>
      <c r="D30" s="19">
        <v>70184.0</v>
      </c>
      <c r="E30" s="20" t="s">
        <v>465</v>
      </c>
      <c r="F30" s="21"/>
      <c r="G30" s="22"/>
      <c r="H30" s="22"/>
      <c r="I30" s="21">
        <v>5000.0</v>
      </c>
      <c r="J30" s="21"/>
      <c r="K30" s="23"/>
      <c r="L30" s="22"/>
      <c r="M30" s="22"/>
      <c r="N30" s="22"/>
      <c r="O30" s="22"/>
      <c r="P30" s="24">
        <v>5000.0</v>
      </c>
      <c r="Q30" s="25">
        <f t="shared" si="1"/>
        <v>0</v>
      </c>
      <c r="R30" s="24" t="s">
        <v>68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45510.0</v>
      </c>
      <c r="C31" s="18" t="s">
        <v>466</v>
      </c>
      <c r="D31" s="19">
        <v>66213.0</v>
      </c>
      <c r="E31" s="20" t="s">
        <v>467</v>
      </c>
      <c r="F31" s="21"/>
      <c r="G31" s="22"/>
      <c r="H31" s="22"/>
      <c r="I31" s="21">
        <v>5000.0</v>
      </c>
      <c r="J31" s="21"/>
      <c r="K31" s="23"/>
      <c r="L31" s="22"/>
      <c r="M31" s="22"/>
      <c r="N31" s="22"/>
      <c r="O31" s="22"/>
      <c r="P31" s="24">
        <v>5000.0</v>
      </c>
      <c r="Q31" s="25">
        <f t="shared" si="1"/>
        <v>0</v>
      </c>
      <c r="R31" s="24" t="s">
        <v>68</v>
      </c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45510.0</v>
      </c>
      <c r="C32" s="18" t="s">
        <v>468</v>
      </c>
      <c r="D32" s="19">
        <v>53144.0</v>
      </c>
      <c r="E32" s="20" t="s">
        <v>469</v>
      </c>
      <c r="F32" s="21"/>
      <c r="G32" s="22"/>
      <c r="H32" s="22"/>
      <c r="I32" s="21">
        <v>2650.0</v>
      </c>
      <c r="J32" s="21"/>
      <c r="K32" s="23"/>
      <c r="L32" s="22"/>
      <c r="M32" s="22"/>
      <c r="N32" s="22"/>
      <c r="O32" s="22"/>
      <c r="P32" s="24">
        <v>2650.0</v>
      </c>
      <c r="Q32" s="25">
        <f t="shared" si="1"/>
        <v>0</v>
      </c>
      <c r="R32" s="24" t="s">
        <v>51</v>
      </c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45510.0</v>
      </c>
      <c r="C33" s="18" t="s">
        <v>470</v>
      </c>
      <c r="D33" s="19">
        <v>49953.0</v>
      </c>
      <c r="E33" s="20" t="s">
        <v>471</v>
      </c>
      <c r="F33" s="21"/>
      <c r="G33" s="22"/>
      <c r="H33" s="22">
        <v>5000.0</v>
      </c>
      <c r="I33" s="21"/>
      <c r="J33" s="21"/>
      <c r="K33" s="23"/>
      <c r="L33" s="22"/>
      <c r="M33" s="22"/>
      <c r="N33" s="22"/>
      <c r="O33" s="22"/>
      <c r="P33" s="24">
        <v>5000.0</v>
      </c>
      <c r="Q33" s="25">
        <f t="shared" si="1"/>
        <v>0</v>
      </c>
      <c r="R33" s="24" t="s">
        <v>68</v>
      </c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7">
        <v>45510.0</v>
      </c>
      <c r="C34" s="18" t="s">
        <v>472</v>
      </c>
      <c r="D34" s="19">
        <v>65868.0</v>
      </c>
      <c r="E34" s="20" t="s">
        <v>473</v>
      </c>
      <c r="F34" s="21"/>
      <c r="G34" s="22"/>
      <c r="H34" s="22"/>
      <c r="I34" s="21">
        <v>300.0</v>
      </c>
      <c r="J34" s="21"/>
      <c r="K34" s="23"/>
      <c r="L34" s="22"/>
      <c r="M34" s="22"/>
      <c r="N34" s="22"/>
      <c r="O34" s="22"/>
      <c r="P34" s="24">
        <v>300.0</v>
      </c>
      <c r="Q34" s="25">
        <f t="shared" si="1"/>
        <v>0</v>
      </c>
      <c r="R34" s="24" t="s">
        <v>68</v>
      </c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7">
        <v>45510.0</v>
      </c>
      <c r="C35" s="18" t="s">
        <v>474</v>
      </c>
      <c r="D35" s="19">
        <v>50222.0</v>
      </c>
      <c r="E35" s="20" t="s">
        <v>475</v>
      </c>
      <c r="F35" s="21"/>
      <c r="G35" s="22"/>
      <c r="H35" s="22"/>
      <c r="I35" s="21">
        <v>200.0</v>
      </c>
      <c r="J35" s="21"/>
      <c r="K35" s="23"/>
      <c r="L35" s="22"/>
      <c r="M35" s="22"/>
      <c r="N35" s="22"/>
      <c r="O35" s="22"/>
      <c r="P35" s="24">
        <v>200.0</v>
      </c>
      <c r="Q35" s="25">
        <f t="shared" si="1"/>
        <v>0</v>
      </c>
      <c r="R35" s="24" t="s">
        <v>68</v>
      </c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7">
        <v>45510.0</v>
      </c>
      <c r="C36" s="18" t="s">
        <v>476</v>
      </c>
      <c r="D36" s="19">
        <v>52083.0</v>
      </c>
      <c r="E36" s="20" t="s">
        <v>122</v>
      </c>
      <c r="F36" s="21"/>
      <c r="G36" s="22"/>
      <c r="H36" s="22"/>
      <c r="I36" s="21">
        <v>5800.0</v>
      </c>
      <c r="J36" s="21"/>
      <c r="K36" s="23"/>
      <c r="L36" s="22"/>
      <c r="M36" s="22"/>
      <c r="N36" s="22"/>
      <c r="O36" s="22"/>
      <c r="P36" s="24">
        <v>5800.0</v>
      </c>
      <c r="Q36" s="25">
        <f t="shared" si="1"/>
        <v>0</v>
      </c>
      <c r="R36" s="24" t="s">
        <v>68</v>
      </c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7">
        <v>45510.0</v>
      </c>
      <c r="C37" s="18" t="s">
        <v>477</v>
      </c>
      <c r="D37" s="19">
        <v>84335.0</v>
      </c>
      <c r="E37" s="20" t="s">
        <v>478</v>
      </c>
      <c r="F37" s="21"/>
      <c r="G37" s="22"/>
      <c r="H37" s="22"/>
      <c r="I37" s="21">
        <v>300.0</v>
      </c>
      <c r="J37" s="21"/>
      <c r="K37" s="23"/>
      <c r="L37" s="22"/>
      <c r="M37" s="22"/>
      <c r="N37" s="22"/>
      <c r="O37" s="22"/>
      <c r="P37" s="24">
        <v>300.0</v>
      </c>
      <c r="Q37" s="25">
        <f t="shared" si="1"/>
        <v>0</v>
      </c>
      <c r="R37" s="24" t="s">
        <v>479</v>
      </c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7">
        <v>45510.0</v>
      </c>
      <c r="C38" s="18" t="s">
        <v>480</v>
      </c>
      <c r="D38" s="19">
        <v>58715.0</v>
      </c>
      <c r="E38" s="20" t="s">
        <v>481</v>
      </c>
      <c r="F38" s="21"/>
      <c r="G38" s="22"/>
      <c r="H38" s="22"/>
      <c r="I38" s="21">
        <v>2650.0</v>
      </c>
      <c r="J38" s="21"/>
      <c r="K38" s="23"/>
      <c r="L38" s="22"/>
      <c r="M38" s="22"/>
      <c r="N38" s="22"/>
      <c r="O38" s="22"/>
      <c r="P38" s="24">
        <v>2650.0</v>
      </c>
      <c r="Q38" s="25">
        <f t="shared" si="1"/>
        <v>0</v>
      </c>
      <c r="R38" s="24" t="s">
        <v>51</v>
      </c>
      <c r="S38" s="26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7">
        <v>45510.0</v>
      </c>
      <c r="C39" s="18" t="s">
        <v>482</v>
      </c>
      <c r="D39" s="19">
        <v>45227.0</v>
      </c>
      <c r="E39" s="20" t="s">
        <v>483</v>
      </c>
      <c r="F39" s="21"/>
      <c r="G39" s="22"/>
      <c r="H39" s="22"/>
      <c r="I39" s="21">
        <v>400.0</v>
      </c>
      <c r="J39" s="21"/>
      <c r="K39" s="23"/>
      <c r="L39" s="22"/>
      <c r="M39" s="22"/>
      <c r="N39" s="22"/>
      <c r="O39" s="22"/>
      <c r="P39" s="24">
        <v>400.0</v>
      </c>
      <c r="Q39" s="25">
        <f t="shared" si="1"/>
        <v>0</v>
      </c>
      <c r="R39" s="24" t="s">
        <v>479</v>
      </c>
      <c r="S39" s="26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7">
        <v>45510.0</v>
      </c>
      <c r="C40" s="18" t="s">
        <v>484</v>
      </c>
      <c r="D40" s="19">
        <v>13311.0</v>
      </c>
      <c r="E40" s="20" t="s">
        <v>485</v>
      </c>
      <c r="F40" s="21"/>
      <c r="G40" s="22"/>
      <c r="H40" s="22"/>
      <c r="I40" s="21"/>
      <c r="J40" s="21">
        <v>3150.0</v>
      </c>
      <c r="K40" s="23"/>
      <c r="L40" s="22"/>
      <c r="M40" s="22"/>
      <c r="N40" s="22"/>
      <c r="O40" s="22"/>
      <c r="P40" s="24">
        <v>3150.0</v>
      </c>
      <c r="Q40" s="25">
        <f t="shared" si="1"/>
        <v>0</v>
      </c>
      <c r="R40" s="24" t="s">
        <v>30</v>
      </c>
      <c r="S40" s="26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7">
        <v>45510.0</v>
      </c>
      <c r="C41" s="18" t="s">
        <v>486</v>
      </c>
      <c r="D41" s="19">
        <v>51309.0</v>
      </c>
      <c r="E41" s="20" t="s">
        <v>434</v>
      </c>
      <c r="F41" s="21"/>
      <c r="G41" s="22"/>
      <c r="H41" s="22"/>
      <c r="I41" s="21">
        <v>2650.0</v>
      </c>
      <c r="J41" s="21"/>
      <c r="K41" s="23"/>
      <c r="L41" s="22"/>
      <c r="M41" s="22"/>
      <c r="N41" s="22"/>
      <c r="O41" s="22"/>
      <c r="P41" s="24">
        <v>2650.0</v>
      </c>
      <c r="Q41" s="25">
        <f t="shared" si="1"/>
        <v>0</v>
      </c>
      <c r="R41" s="24" t="s">
        <v>30</v>
      </c>
      <c r="S41" s="26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27">
        <v>45510.0</v>
      </c>
      <c r="C42" s="18" t="s">
        <v>487</v>
      </c>
      <c r="D42" s="19">
        <v>84341.0</v>
      </c>
      <c r="E42" s="20" t="s">
        <v>488</v>
      </c>
      <c r="F42" s="21"/>
      <c r="G42" s="22"/>
      <c r="H42" s="22"/>
      <c r="I42" s="21"/>
      <c r="J42" s="21">
        <v>7300.0</v>
      </c>
      <c r="K42" s="23"/>
      <c r="L42" s="22"/>
      <c r="M42" s="22"/>
      <c r="N42" s="22"/>
      <c r="O42" s="22"/>
      <c r="P42" s="24">
        <v>7300.0</v>
      </c>
      <c r="Q42" s="25">
        <f t="shared" si="1"/>
        <v>0</v>
      </c>
      <c r="R42" s="24" t="s">
        <v>25</v>
      </c>
      <c r="S42" s="26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>
        <v>39.0</v>
      </c>
      <c r="B43" s="27">
        <v>45510.0</v>
      </c>
      <c r="C43" s="18" t="s">
        <v>489</v>
      </c>
      <c r="D43" s="19">
        <v>84341.0</v>
      </c>
      <c r="E43" s="20" t="s">
        <v>488</v>
      </c>
      <c r="F43" s="21"/>
      <c r="G43" s="22"/>
      <c r="H43" s="22"/>
      <c r="I43" s="21"/>
      <c r="J43" s="21">
        <v>1350.0</v>
      </c>
      <c r="K43" s="23"/>
      <c r="L43" s="22"/>
      <c r="M43" s="22"/>
      <c r="N43" s="22"/>
      <c r="O43" s="22"/>
      <c r="P43" s="24">
        <v>1350.0</v>
      </c>
      <c r="Q43" s="25">
        <f t="shared" si="1"/>
        <v>0</v>
      </c>
      <c r="R43" s="24" t="s">
        <v>25</v>
      </c>
      <c r="S43" s="26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16">
        <v>40.0</v>
      </c>
      <c r="B44" s="27">
        <v>45510.0</v>
      </c>
      <c r="C44" s="18" t="s">
        <v>490</v>
      </c>
      <c r="D44" s="19">
        <v>62877.0</v>
      </c>
      <c r="E44" s="20" t="s">
        <v>491</v>
      </c>
      <c r="F44" s="21"/>
      <c r="G44" s="22"/>
      <c r="H44" s="22"/>
      <c r="I44" s="21">
        <v>2550.0</v>
      </c>
      <c r="J44" s="21"/>
      <c r="K44" s="23"/>
      <c r="L44" s="22"/>
      <c r="M44" s="22"/>
      <c r="N44" s="22"/>
      <c r="O44" s="22"/>
      <c r="P44" s="24">
        <v>2550.0</v>
      </c>
      <c r="Q44" s="25">
        <f t="shared" si="1"/>
        <v>0</v>
      </c>
      <c r="R44" s="24" t="s">
        <v>68</v>
      </c>
      <c r="S44" s="26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16">
        <v>41.0</v>
      </c>
      <c r="B45" s="27">
        <v>45510.0</v>
      </c>
      <c r="C45" s="18" t="s">
        <v>492</v>
      </c>
      <c r="D45" s="19">
        <v>31927.0</v>
      </c>
      <c r="E45" s="20" t="s">
        <v>168</v>
      </c>
      <c r="F45" s="21"/>
      <c r="G45" s="22"/>
      <c r="H45" s="22"/>
      <c r="I45" s="21">
        <v>4500.0</v>
      </c>
      <c r="J45" s="21"/>
      <c r="K45" s="23"/>
      <c r="L45" s="22"/>
      <c r="M45" s="22"/>
      <c r="N45" s="22"/>
      <c r="O45" s="22"/>
      <c r="P45" s="24">
        <v>4500.0</v>
      </c>
      <c r="Q45" s="25">
        <f t="shared" si="1"/>
        <v>0</v>
      </c>
      <c r="R45" s="24" t="s">
        <v>25</v>
      </c>
      <c r="S45" s="26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4.5" customHeight="1">
      <c r="A46" s="16">
        <v>42.0</v>
      </c>
      <c r="B46" s="27">
        <v>45510.0</v>
      </c>
      <c r="C46" s="18" t="s">
        <v>493</v>
      </c>
      <c r="D46" s="19">
        <v>21828.0</v>
      </c>
      <c r="E46" s="20" t="s">
        <v>47</v>
      </c>
      <c r="F46" s="21"/>
      <c r="G46" s="22"/>
      <c r="H46" s="22"/>
      <c r="I46" s="21"/>
      <c r="J46" s="21"/>
      <c r="K46" s="23"/>
      <c r="L46" s="22"/>
      <c r="M46" s="22">
        <v>2500.0</v>
      </c>
      <c r="N46" s="22"/>
      <c r="O46" s="22"/>
      <c r="P46" s="24">
        <v>2500.0</v>
      </c>
      <c r="Q46" s="25">
        <f t="shared" si="1"/>
        <v>0</v>
      </c>
      <c r="R46" s="24"/>
      <c r="S46" s="26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34.5" customHeight="1">
      <c r="A47" s="16">
        <v>43.0</v>
      </c>
      <c r="B47" s="27">
        <v>45510.0</v>
      </c>
      <c r="C47" s="18" t="s">
        <v>494</v>
      </c>
      <c r="D47" s="19">
        <v>61796.0</v>
      </c>
      <c r="E47" s="20" t="s">
        <v>426</v>
      </c>
      <c r="F47" s="21"/>
      <c r="G47" s="22"/>
      <c r="H47" s="22"/>
      <c r="I47" s="21"/>
      <c r="J47" s="21"/>
      <c r="K47" s="23"/>
      <c r="L47" s="22"/>
      <c r="M47" s="22"/>
      <c r="N47" s="22"/>
      <c r="O47" s="22">
        <v>3650.0</v>
      </c>
      <c r="P47" s="24">
        <v>3650.0</v>
      </c>
      <c r="Q47" s="25">
        <f t="shared" si="1"/>
        <v>0</v>
      </c>
      <c r="R47" s="24"/>
      <c r="S47" s="26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34.5" customHeight="1">
      <c r="A48" s="16">
        <v>44.0</v>
      </c>
      <c r="B48" s="27">
        <v>45510.0</v>
      </c>
      <c r="C48" s="18" t="s">
        <v>495</v>
      </c>
      <c r="D48" s="19">
        <v>33054.0</v>
      </c>
      <c r="E48" s="20" t="s">
        <v>436</v>
      </c>
      <c r="F48" s="21"/>
      <c r="G48" s="22"/>
      <c r="H48" s="22"/>
      <c r="I48" s="21"/>
      <c r="J48" s="21"/>
      <c r="K48" s="23"/>
      <c r="L48" s="22"/>
      <c r="M48" s="22"/>
      <c r="N48" s="22"/>
      <c r="O48" s="22">
        <v>2200.0</v>
      </c>
      <c r="P48" s="24">
        <v>2200.0</v>
      </c>
      <c r="Q48" s="25">
        <f t="shared" si="1"/>
        <v>0</v>
      </c>
      <c r="R48" s="24"/>
      <c r="S48" s="26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34.5" customHeight="1">
      <c r="A49" s="16">
        <v>45.0</v>
      </c>
      <c r="B49" s="27">
        <v>45510.0</v>
      </c>
      <c r="C49" s="18" t="s">
        <v>496</v>
      </c>
      <c r="D49" s="19">
        <v>37642.0</v>
      </c>
      <c r="E49" s="20" t="s">
        <v>497</v>
      </c>
      <c r="F49" s="21"/>
      <c r="G49" s="22"/>
      <c r="H49" s="22">
        <v>10200.0</v>
      </c>
      <c r="I49" s="21"/>
      <c r="J49" s="21"/>
      <c r="K49" s="23"/>
      <c r="L49" s="22"/>
      <c r="M49" s="22"/>
      <c r="N49" s="22"/>
      <c r="O49" s="22"/>
      <c r="P49" s="24">
        <v>10200.0</v>
      </c>
      <c r="Q49" s="25">
        <f t="shared" si="1"/>
        <v>0</v>
      </c>
      <c r="R49" s="24"/>
      <c r="S49" s="26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34.5" customHeight="1">
      <c r="A50" s="16">
        <v>46.0</v>
      </c>
      <c r="B50" s="27">
        <v>45510.0</v>
      </c>
      <c r="C50" s="18" t="s">
        <v>498</v>
      </c>
      <c r="D50" s="19">
        <v>43380.0</v>
      </c>
      <c r="E50" s="20" t="s">
        <v>161</v>
      </c>
      <c r="F50" s="21"/>
      <c r="G50" s="22"/>
      <c r="H50" s="22">
        <v>34000.0</v>
      </c>
      <c r="I50" s="21"/>
      <c r="J50" s="21"/>
      <c r="K50" s="23"/>
      <c r="L50" s="22"/>
      <c r="M50" s="22"/>
      <c r="N50" s="22"/>
      <c r="O50" s="22"/>
      <c r="P50" s="24">
        <v>34000.0</v>
      </c>
      <c r="Q50" s="25">
        <f t="shared" si="1"/>
        <v>0</v>
      </c>
      <c r="R50" s="24"/>
      <c r="S50" s="26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34.5" customHeight="1">
      <c r="A51" s="16"/>
      <c r="B51" s="27"/>
      <c r="C51" s="18"/>
      <c r="D51" s="19"/>
      <c r="E51" s="20"/>
      <c r="F51" s="21"/>
      <c r="G51" s="22"/>
      <c r="H51" s="22"/>
      <c r="I51" s="21"/>
      <c r="J51" s="21"/>
      <c r="K51" s="23"/>
      <c r="L51" s="22"/>
      <c r="M51" s="22"/>
      <c r="N51" s="22"/>
      <c r="O51" s="22"/>
      <c r="P51" s="24"/>
      <c r="Q51" s="25">
        <f t="shared" si="1"/>
        <v>0</v>
      </c>
      <c r="R51" s="24"/>
      <c r="S51" s="26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37.5" customHeight="1">
      <c r="A52" s="16"/>
      <c r="B52" s="27"/>
      <c r="C52" s="18"/>
      <c r="D52" s="19" t="s">
        <v>183</v>
      </c>
      <c r="E52" s="20"/>
      <c r="F52" s="45">
        <f t="shared" ref="F52:P52" si="2">SUM(F5:F51)</f>
        <v>0</v>
      </c>
      <c r="G52" s="45">
        <f t="shared" si="2"/>
        <v>8250</v>
      </c>
      <c r="H52" s="45">
        <f t="shared" si="2"/>
        <v>49200</v>
      </c>
      <c r="I52" s="45">
        <f t="shared" si="2"/>
        <v>196400</v>
      </c>
      <c r="J52" s="45">
        <f t="shared" si="2"/>
        <v>47600</v>
      </c>
      <c r="K52" s="45">
        <f t="shared" si="2"/>
        <v>12200</v>
      </c>
      <c r="L52" s="45">
        <f t="shared" si="2"/>
        <v>0</v>
      </c>
      <c r="M52" s="45">
        <f t="shared" si="2"/>
        <v>2500</v>
      </c>
      <c r="N52" s="45">
        <f t="shared" si="2"/>
        <v>0</v>
      </c>
      <c r="O52" s="45">
        <f t="shared" si="2"/>
        <v>5850</v>
      </c>
      <c r="P52" s="45">
        <f t="shared" si="2"/>
        <v>322000</v>
      </c>
      <c r="Q52" s="46">
        <v>0.0</v>
      </c>
      <c r="R52" s="47"/>
      <c r="S52" s="26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</row>
    <row r="53" ht="15.75" customHeight="1">
      <c r="A53" s="48"/>
      <c r="B53" s="48"/>
      <c r="C53" s="49"/>
      <c r="D53" s="48"/>
      <c r="E53" s="48"/>
      <c r="F53" s="50">
        <f>F52+G52+H52+I52+J52+K52+L52+M52+N52+O52</f>
        <v>322000</v>
      </c>
      <c r="P53" s="51"/>
      <c r="Q53" s="51"/>
      <c r="R53" s="48"/>
      <c r="S53" s="48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</row>
    <row r="54" ht="15.75" customHeight="1">
      <c r="A54" s="4"/>
      <c r="B54" s="4"/>
      <c r="C54" s="5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3" t="s">
        <v>183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54" t="s">
        <v>184</v>
      </c>
      <c r="F57" s="55" t="s">
        <v>357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56" t="s">
        <v>186</v>
      </c>
      <c r="F58" s="55" t="s">
        <v>358</v>
      </c>
      <c r="G58" s="4"/>
      <c r="H58" s="4"/>
      <c r="I58" s="4"/>
      <c r="J58" s="4"/>
      <c r="K58" s="4"/>
      <c r="L58" s="4"/>
      <c r="M58" s="4"/>
      <c r="N58" s="4"/>
      <c r="O58" s="57" t="s">
        <v>183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56" t="s">
        <v>188</v>
      </c>
      <c r="F59" s="55" t="s">
        <v>194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56" t="s">
        <v>189</v>
      </c>
      <c r="F60" s="55" t="s">
        <v>194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56" t="s">
        <v>190</v>
      </c>
      <c r="F61" s="55" t="s">
        <v>499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56" t="s">
        <v>500</v>
      </c>
      <c r="F62" s="55" t="s">
        <v>194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56" t="s">
        <v>193</v>
      </c>
      <c r="F63" s="55" t="s">
        <v>194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56" t="s">
        <v>195</v>
      </c>
      <c r="F64" s="59" t="s">
        <v>196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57" t="s">
        <v>183</v>
      </c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 t="str">
        <f>I72452</f>
        <v/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57" t="s">
        <v>197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>
        <v>7.0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5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5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5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5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5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5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5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5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5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>
      <c r="A283" s="4"/>
      <c r="B283" s="4"/>
      <c r="C283" s="5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5.75" customHeight="1">
      <c r="A284" s="4"/>
      <c r="B284" s="4"/>
      <c r="C284" s="5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5.75" customHeight="1">
      <c r="A285" s="4"/>
      <c r="B285" s="4"/>
      <c r="C285" s="5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5.75" customHeight="1">
      <c r="A286" s="4"/>
      <c r="B286" s="4"/>
      <c r="C286" s="5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5.75" customHeight="1">
      <c r="A287" s="4"/>
      <c r="B287" s="4"/>
      <c r="C287" s="5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R2:R4"/>
    <mergeCell ref="S2:S4"/>
    <mergeCell ref="F3:F4"/>
    <mergeCell ref="G3:H3"/>
    <mergeCell ref="I3:J3"/>
    <mergeCell ref="K3:K4"/>
    <mergeCell ref="F53:O53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6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45.0" customHeight="1">
      <c r="A1" s="1" t="s">
        <v>501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15.75" customHeight="1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5.75" customHeight="1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45511.0</v>
      </c>
      <c r="C5" s="18" t="s">
        <v>502</v>
      </c>
      <c r="D5" s="19">
        <v>60149.0</v>
      </c>
      <c r="E5" s="20" t="s">
        <v>503</v>
      </c>
      <c r="F5" s="21"/>
      <c r="G5" s="22"/>
      <c r="H5" s="21" t="s">
        <v>183</v>
      </c>
      <c r="I5" s="23">
        <v>2650.0</v>
      </c>
      <c r="J5" s="23"/>
      <c r="K5" s="22"/>
      <c r="L5" s="22"/>
      <c r="M5" s="21"/>
      <c r="N5" s="22"/>
      <c r="O5" s="22"/>
      <c r="P5" s="24">
        <v>2650.0</v>
      </c>
      <c r="Q5" s="25">
        <v>0.0</v>
      </c>
      <c r="R5" s="24" t="s">
        <v>30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45511.0</v>
      </c>
      <c r="C6" s="18" t="s">
        <v>504</v>
      </c>
      <c r="D6" s="19">
        <v>49557.0</v>
      </c>
      <c r="E6" s="20" t="s">
        <v>505</v>
      </c>
      <c r="F6" s="21"/>
      <c r="G6" s="22"/>
      <c r="H6" s="22"/>
      <c r="I6" s="21">
        <v>5000.0</v>
      </c>
      <c r="J6" s="22"/>
      <c r="K6" s="22"/>
      <c r="L6" s="22"/>
      <c r="M6" s="21"/>
      <c r="N6" s="22"/>
      <c r="O6" s="22"/>
      <c r="P6" s="24">
        <v>5000.0</v>
      </c>
      <c r="Q6" s="25">
        <f t="shared" ref="Q6:Q37" si="1">F6+G6+H6+I6+J6+K6+L6+M6+N6+O6-P6</f>
        <v>0</v>
      </c>
      <c r="R6" s="24" t="s">
        <v>51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45511.0</v>
      </c>
      <c r="C7" s="18" t="s">
        <v>506</v>
      </c>
      <c r="D7" s="19">
        <v>46778.0</v>
      </c>
      <c r="E7" s="20" t="s">
        <v>507</v>
      </c>
      <c r="F7" s="22"/>
      <c r="G7" s="22"/>
      <c r="H7" s="21"/>
      <c r="I7" s="21"/>
      <c r="J7" s="23">
        <v>6450.0</v>
      </c>
      <c r="K7" s="22"/>
      <c r="L7" s="22"/>
      <c r="M7" s="22"/>
      <c r="N7" s="22"/>
      <c r="O7" s="22"/>
      <c r="P7" s="24">
        <v>6450.0</v>
      </c>
      <c r="Q7" s="25">
        <f t="shared" si="1"/>
        <v>0</v>
      </c>
      <c r="R7" s="24" t="s">
        <v>51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45511.0</v>
      </c>
      <c r="C8" s="18" t="s">
        <v>508</v>
      </c>
      <c r="D8" s="19">
        <v>74492.0</v>
      </c>
      <c r="E8" s="20" t="s">
        <v>509</v>
      </c>
      <c r="F8" s="22"/>
      <c r="G8" s="22"/>
      <c r="H8" s="22"/>
      <c r="I8" s="21">
        <v>5150.0</v>
      </c>
      <c r="J8" s="21"/>
      <c r="K8" s="22"/>
      <c r="L8" s="22"/>
      <c r="M8" s="22"/>
      <c r="N8" s="22"/>
      <c r="O8" s="22"/>
      <c r="P8" s="24">
        <v>5150.0</v>
      </c>
      <c r="Q8" s="25">
        <f t="shared" si="1"/>
        <v>0</v>
      </c>
      <c r="R8" s="24" t="s">
        <v>30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45511.0</v>
      </c>
      <c r="C9" s="18" t="s">
        <v>510</v>
      </c>
      <c r="D9" s="19">
        <v>73864.0</v>
      </c>
      <c r="E9" s="20" t="s">
        <v>511</v>
      </c>
      <c r="F9" s="22"/>
      <c r="G9" s="22"/>
      <c r="H9" s="22"/>
      <c r="I9" s="21">
        <v>12500.0</v>
      </c>
      <c r="J9" s="21"/>
      <c r="K9" s="22"/>
      <c r="L9" s="22"/>
      <c r="M9" s="21"/>
      <c r="N9" s="22"/>
      <c r="O9" s="22"/>
      <c r="P9" s="24">
        <v>12500.0</v>
      </c>
      <c r="Q9" s="25">
        <f t="shared" si="1"/>
        <v>0</v>
      </c>
      <c r="R9" s="24" t="s">
        <v>68</v>
      </c>
      <c r="S9" s="26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45511.0</v>
      </c>
      <c r="C10" s="18" t="s">
        <v>512</v>
      </c>
      <c r="D10" s="19">
        <v>24052.0</v>
      </c>
      <c r="E10" s="20" t="s">
        <v>513</v>
      </c>
      <c r="F10" s="22"/>
      <c r="G10" s="22"/>
      <c r="H10" s="22"/>
      <c r="I10" s="21"/>
      <c r="J10" s="21">
        <v>2650.0</v>
      </c>
      <c r="K10" s="22"/>
      <c r="L10" s="22"/>
      <c r="M10" s="21"/>
      <c r="N10" s="22"/>
      <c r="O10" s="22"/>
      <c r="P10" s="24">
        <v>2650.0</v>
      </c>
      <c r="Q10" s="25">
        <f t="shared" si="1"/>
        <v>0</v>
      </c>
      <c r="R10" s="24" t="s">
        <v>479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45511.0</v>
      </c>
      <c r="C11" s="18" t="s">
        <v>514</v>
      </c>
      <c r="D11" s="19">
        <v>77897.0</v>
      </c>
      <c r="E11" s="20" t="s">
        <v>515</v>
      </c>
      <c r="F11" s="22"/>
      <c r="G11" s="22"/>
      <c r="H11" s="22"/>
      <c r="I11" s="21">
        <v>17500.0</v>
      </c>
      <c r="J11" s="21"/>
      <c r="K11" s="22"/>
      <c r="L11" s="22"/>
      <c r="M11" s="21"/>
      <c r="N11" s="22"/>
      <c r="O11" s="22"/>
      <c r="P11" s="24">
        <v>17500.0</v>
      </c>
      <c r="Q11" s="25">
        <f t="shared" si="1"/>
        <v>0</v>
      </c>
      <c r="R11" s="24" t="s">
        <v>68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7">
        <v>45511.0</v>
      </c>
      <c r="C12" s="18" t="s">
        <v>516</v>
      </c>
      <c r="D12" s="19">
        <v>74778.0</v>
      </c>
      <c r="E12" s="20" t="s">
        <v>517</v>
      </c>
      <c r="F12" s="22"/>
      <c r="G12" s="22"/>
      <c r="H12" s="22"/>
      <c r="I12" s="21">
        <v>5080.0</v>
      </c>
      <c r="J12" s="21"/>
      <c r="K12" s="22"/>
      <c r="L12" s="22"/>
      <c r="M12" s="21"/>
      <c r="N12" s="22"/>
      <c r="O12" s="22"/>
      <c r="P12" s="24">
        <v>5080.0</v>
      </c>
      <c r="Q12" s="25">
        <f t="shared" si="1"/>
        <v>0</v>
      </c>
      <c r="R12" s="24" t="s">
        <v>479</v>
      </c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8">
        <v>45511.0</v>
      </c>
      <c r="C13" s="29" t="s">
        <v>518</v>
      </c>
      <c r="D13" s="30">
        <v>55446.0</v>
      </c>
      <c r="E13" s="31" t="s">
        <v>519</v>
      </c>
      <c r="F13" s="22"/>
      <c r="G13" s="22">
        <v>5400.0</v>
      </c>
      <c r="H13" s="22"/>
      <c r="I13" s="21"/>
      <c r="J13" s="21"/>
      <c r="K13" s="22"/>
      <c r="L13" s="22"/>
      <c r="M13" s="21"/>
      <c r="N13" s="22"/>
      <c r="O13" s="22"/>
      <c r="P13" s="32">
        <v>5400.0</v>
      </c>
      <c r="Q13" s="25">
        <f t="shared" si="1"/>
        <v>0</v>
      </c>
      <c r="R13" s="32" t="s">
        <v>68</v>
      </c>
      <c r="S13" s="26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 ht="34.5" customHeight="1">
      <c r="A14" s="16">
        <v>10.0</v>
      </c>
      <c r="B14" s="27">
        <v>45511.0</v>
      </c>
      <c r="C14" s="18" t="s">
        <v>520</v>
      </c>
      <c r="D14" s="19">
        <v>66770.0</v>
      </c>
      <c r="E14" s="20" t="s">
        <v>108</v>
      </c>
      <c r="F14" s="22"/>
      <c r="G14" s="22"/>
      <c r="H14" s="22"/>
      <c r="I14" s="21"/>
      <c r="J14" s="21">
        <v>8750.0</v>
      </c>
      <c r="K14" s="22"/>
      <c r="L14" s="22"/>
      <c r="M14" s="21"/>
      <c r="N14" s="22"/>
      <c r="O14" s="22"/>
      <c r="P14" s="24">
        <v>8750.0</v>
      </c>
      <c r="Q14" s="25">
        <f t="shared" si="1"/>
        <v>0</v>
      </c>
      <c r="R14" s="24" t="s">
        <v>479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45511.0</v>
      </c>
      <c r="C15" s="18" t="s">
        <v>521</v>
      </c>
      <c r="D15" s="19">
        <v>84345.0</v>
      </c>
      <c r="E15" s="20" t="s">
        <v>522</v>
      </c>
      <c r="F15" s="22"/>
      <c r="G15" s="22"/>
      <c r="H15" s="22"/>
      <c r="I15" s="21"/>
      <c r="J15" s="21">
        <v>6050.0</v>
      </c>
      <c r="K15" s="22"/>
      <c r="L15" s="22"/>
      <c r="M15" s="21"/>
      <c r="N15" s="22"/>
      <c r="O15" s="22"/>
      <c r="P15" s="24">
        <v>6050.0</v>
      </c>
      <c r="Q15" s="25">
        <f t="shared" si="1"/>
        <v>0</v>
      </c>
      <c r="R15" s="24" t="s">
        <v>68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45511.0</v>
      </c>
      <c r="C16" s="18" t="s">
        <v>523</v>
      </c>
      <c r="D16" s="19">
        <v>84114.0</v>
      </c>
      <c r="E16" s="20" t="s">
        <v>524</v>
      </c>
      <c r="F16" s="22"/>
      <c r="G16" s="22"/>
      <c r="H16" s="22"/>
      <c r="I16" s="21">
        <v>5150.0</v>
      </c>
      <c r="J16" s="21"/>
      <c r="K16" s="22"/>
      <c r="L16" s="22"/>
      <c r="M16" s="21"/>
      <c r="N16" s="22"/>
      <c r="O16" s="22"/>
      <c r="P16" s="24">
        <v>5150.0</v>
      </c>
      <c r="Q16" s="25">
        <f t="shared" si="1"/>
        <v>0</v>
      </c>
      <c r="R16" s="24" t="s">
        <v>30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45511.0</v>
      </c>
      <c r="C17" s="18" t="s">
        <v>525</v>
      </c>
      <c r="D17" s="19">
        <v>52240.0</v>
      </c>
      <c r="E17" s="20" t="s">
        <v>526</v>
      </c>
      <c r="F17" s="22"/>
      <c r="G17" s="22"/>
      <c r="H17" s="22"/>
      <c r="I17" s="21"/>
      <c r="J17" s="21">
        <v>10000.0</v>
      </c>
      <c r="K17" s="22"/>
      <c r="L17" s="22"/>
      <c r="M17" s="21"/>
      <c r="N17" s="22"/>
      <c r="O17" s="22"/>
      <c r="P17" s="24">
        <v>10000.0</v>
      </c>
      <c r="Q17" s="25">
        <f t="shared" si="1"/>
        <v>0</v>
      </c>
      <c r="R17" s="24" t="s">
        <v>30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7">
        <v>45511.0</v>
      </c>
      <c r="C18" s="18" t="s">
        <v>527</v>
      </c>
      <c r="D18" s="19">
        <v>37642.0</v>
      </c>
      <c r="E18" s="20" t="s">
        <v>497</v>
      </c>
      <c r="F18" s="22"/>
      <c r="G18" s="22"/>
      <c r="H18" s="22">
        <v>25000.0</v>
      </c>
      <c r="I18" s="21"/>
      <c r="J18" s="21"/>
      <c r="K18" s="22"/>
      <c r="L18" s="22"/>
      <c r="M18" s="22"/>
      <c r="N18" s="22"/>
      <c r="O18" s="22"/>
      <c r="P18" s="24">
        <v>25000.0</v>
      </c>
      <c r="Q18" s="25">
        <f t="shared" si="1"/>
        <v>0</v>
      </c>
      <c r="R18" s="24" t="s">
        <v>68</v>
      </c>
      <c r="S18" s="26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28">
        <v>45511.0</v>
      </c>
      <c r="C19" s="29" t="s">
        <v>528</v>
      </c>
      <c r="D19" s="30">
        <v>76990.0</v>
      </c>
      <c r="E19" s="31" t="s">
        <v>529</v>
      </c>
      <c r="F19" s="22"/>
      <c r="G19" s="22"/>
      <c r="H19" s="22"/>
      <c r="I19" s="21"/>
      <c r="J19" s="21">
        <v>2650.0</v>
      </c>
      <c r="K19" s="22"/>
      <c r="L19" s="22"/>
      <c r="M19" s="21"/>
      <c r="N19" s="22"/>
      <c r="O19" s="22"/>
      <c r="P19" s="32">
        <v>2650.0</v>
      </c>
      <c r="Q19" s="25">
        <f t="shared" si="1"/>
        <v>0</v>
      </c>
      <c r="R19" s="32" t="s">
        <v>30</v>
      </c>
      <c r="S19" s="26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ht="34.5" customHeight="1">
      <c r="A20" s="16">
        <v>16.0</v>
      </c>
      <c r="B20" s="27">
        <v>45511.0</v>
      </c>
      <c r="C20" s="18" t="s">
        <v>530</v>
      </c>
      <c r="D20" s="19">
        <v>31927.0</v>
      </c>
      <c r="E20" s="20" t="s">
        <v>168</v>
      </c>
      <c r="F20" s="22"/>
      <c r="G20" s="22"/>
      <c r="H20" s="22"/>
      <c r="I20" s="23">
        <v>1450.0</v>
      </c>
      <c r="J20" s="23"/>
      <c r="K20" s="22"/>
      <c r="L20" s="22"/>
      <c r="M20" s="22"/>
      <c r="N20" s="22"/>
      <c r="O20" s="22"/>
      <c r="P20" s="24">
        <v>1450.0</v>
      </c>
      <c r="Q20" s="25">
        <f t="shared" si="1"/>
        <v>0</v>
      </c>
      <c r="R20" s="24" t="s">
        <v>30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45511.0</v>
      </c>
      <c r="C21" s="18" t="s">
        <v>531</v>
      </c>
      <c r="D21" s="19">
        <v>52240.0</v>
      </c>
      <c r="E21" s="20" t="s">
        <v>526</v>
      </c>
      <c r="F21" s="21"/>
      <c r="G21" s="22"/>
      <c r="H21" s="22"/>
      <c r="I21" s="34"/>
      <c r="J21" s="22">
        <v>1250.0</v>
      </c>
      <c r="K21" s="35"/>
      <c r="L21" s="22"/>
      <c r="M21" s="22"/>
      <c r="N21" s="22"/>
      <c r="O21" s="22"/>
      <c r="P21" s="24">
        <v>1250.0</v>
      </c>
      <c r="Q21" s="25">
        <f t="shared" si="1"/>
        <v>0</v>
      </c>
      <c r="R21" s="24" t="s">
        <v>51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7">
        <v>45511.0</v>
      </c>
      <c r="C22" s="18" t="s">
        <v>532</v>
      </c>
      <c r="D22" s="19">
        <v>36555.0</v>
      </c>
      <c r="E22" s="20" t="s">
        <v>63</v>
      </c>
      <c r="F22" s="21"/>
      <c r="G22" s="22"/>
      <c r="H22" s="22"/>
      <c r="I22" s="21">
        <v>3176.0</v>
      </c>
      <c r="J22" s="22"/>
      <c r="K22" s="21">
        <v>1824.0</v>
      </c>
      <c r="L22" s="22"/>
      <c r="M22" s="22"/>
      <c r="N22" s="22"/>
      <c r="O22" s="22"/>
      <c r="P22" s="24">
        <v>5000.0</v>
      </c>
      <c r="Q22" s="25">
        <f t="shared" si="1"/>
        <v>0</v>
      </c>
      <c r="R22" s="24" t="s">
        <v>51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36">
        <v>45511.0</v>
      </c>
      <c r="C23" s="37" t="s">
        <v>533</v>
      </c>
      <c r="D23" s="38">
        <v>61124.0</v>
      </c>
      <c r="E23" s="39" t="s">
        <v>534</v>
      </c>
      <c r="F23" s="34"/>
      <c r="G23" s="40"/>
      <c r="H23" s="40"/>
      <c r="I23" s="34">
        <v>3100.0</v>
      </c>
      <c r="J23" s="34"/>
      <c r="K23" s="41"/>
      <c r="L23" s="40"/>
      <c r="M23" s="40"/>
      <c r="N23" s="40"/>
      <c r="O23" s="40"/>
      <c r="P23" s="42">
        <v>3100.0</v>
      </c>
      <c r="Q23" s="25">
        <f t="shared" si="1"/>
        <v>0</v>
      </c>
      <c r="R23" s="42" t="s">
        <v>68</v>
      </c>
      <c r="S23" s="26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</row>
    <row r="24" ht="34.5" customHeight="1">
      <c r="A24" s="16">
        <v>20.0</v>
      </c>
      <c r="B24" s="27">
        <v>45511.0</v>
      </c>
      <c r="C24" s="18" t="s">
        <v>535</v>
      </c>
      <c r="D24" s="19">
        <v>53283.0</v>
      </c>
      <c r="E24" s="20" t="s">
        <v>536</v>
      </c>
      <c r="F24" s="21"/>
      <c r="G24" s="22"/>
      <c r="H24" s="22"/>
      <c r="I24" s="21">
        <v>5000.0</v>
      </c>
      <c r="J24" s="22"/>
      <c r="K24" s="35"/>
      <c r="L24" s="22"/>
      <c r="M24" s="22"/>
      <c r="N24" s="22"/>
      <c r="O24" s="22"/>
      <c r="P24" s="24">
        <v>5000.0</v>
      </c>
      <c r="Q24" s="25">
        <f t="shared" si="1"/>
        <v>0</v>
      </c>
      <c r="R24" s="24" t="s">
        <v>51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45511.0</v>
      </c>
      <c r="C25" s="18" t="s">
        <v>537</v>
      </c>
      <c r="D25" s="19">
        <v>84348.0</v>
      </c>
      <c r="E25" s="20" t="s">
        <v>538</v>
      </c>
      <c r="F25" s="21"/>
      <c r="G25" s="22"/>
      <c r="H25" s="22"/>
      <c r="I25" s="21"/>
      <c r="J25" s="21">
        <v>300.0</v>
      </c>
      <c r="K25" s="35"/>
      <c r="L25" s="22"/>
      <c r="M25" s="22"/>
      <c r="N25" s="22"/>
      <c r="O25" s="22"/>
      <c r="P25" s="24">
        <v>300.0</v>
      </c>
      <c r="Q25" s="25">
        <f t="shared" si="1"/>
        <v>0</v>
      </c>
      <c r="R25" s="24" t="s">
        <v>51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45511.0</v>
      </c>
      <c r="C26" s="18" t="s">
        <v>539</v>
      </c>
      <c r="D26" s="19">
        <v>74087.0</v>
      </c>
      <c r="E26" s="20" t="s">
        <v>382</v>
      </c>
      <c r="F26" s="21"/>
      <c r="G26" s="22"/>
      <c r="H26" s="22"/>
      <c r="I26" s="35"/>
      <c r="J26" s="21">
        <v>8500.0</v>
      </c>
      <c r="K26" s="35"/>
      <c r="L26" s="22"/>
      <c r="M26" s="22"/>
      <c r="N26" s="22"/>
      <c r="O26" s="22"/>
      <c r="P26" s="24">
        <v>8500.0</v>
      </c>
      <c r="Q26" s="25">
        <f t="shared" si="1"/>
        <v>0</v>
      </c>
      <c r="R26" s="24" t="s">
        <v>51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45511.0</v>
      </c>
      <c r="C27" s="18" t="s">
        <v>540</v>
      </c>
      <c r="D27" s="19">
        <v>28461.0</v>
      </c>
      <c r="E27" s="20" t="s">
        <v>541</v>
      </c>
      <c r="F27" s="21"/>
      <c r="G27" s="22"/>
      <c r="H27" s="22"/>
      <c r="I27" s="21">
        <v>4650.0</v>
      </c>
      <c r="J27" s="21"/>
      <c r="K27" s="23"/>
      <c r="L27" s="22"/>
      <c r="M27" s="22"/>
      <c r="N27" s="22"/>
      <c r="O27" s="22"/>
      <c r="P27" s="24">
        <v>4650.0</v>
      </c>
      <c r="Q27" s="25">
        <f t="shared" si="1"/>
        <v>0</v>
      </c>
      <c r="R27" s="24" t="s">
        <v>68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45511.0</v>
      </c>
      <c r="C28" s="18" t="s">
        <v>542</v>
      </c>
      <c r="D28" s="19">
        <v>64781.0</v>
      </c>
      <c r="E28" s="20" t="s">
        <v>543</v>
      </c>
      <c r="F28" s="21"/>
      <c r="G28" s="22"/>
      <c r="H28" s="22"/>
      <c r="I28" s="21">
        <v>2500.0</v>
      </c>
      <c r="J28" s="21"/>
      <c r="K28" s="23"/>
      <c r="L28" s="22"/>
      <c r="M28" s="22"/>
      <c r="N28" s="22"/>
      <c r="O28" s="22"/>
      <c r="P28" s="24">
        <v>2500.0</v>
      </c>
      <c r="Q28" s="25">
        <f t="shared" si="1"/>
        <v>0</v>
      </c>
      <c r="R28" s="24" t="s">
        <v>479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45511.0</v>
      </c>
      <c r="C29" s="18" t="s">
        <v>544</v>
      </c>
      <c r="D29" s="19">
        <v>50739.0</v>
      </c>
      <c r="E29" s="20" t="s">
        <v>50</v>
      </c>
      <c r="F29" s="21"/>
      <c r="G29" s="22"/>
      <c r="H29" s="22"/>
      <c r="I29" s="21">
        <v>900.0</v>
      </c>
      <c r="J29" s="21"/>
      <c r="K29" s="23"/>
      <c r="L29" s="22"/>
      <c r="M29" s="22"/>
      <c r="N29" s="22"/>
      <c r="O29" s="22"/>
      <c r="P29" s="24">
        <v>900.0</v>
      </c>
      <c r="Q29" s="25">
        <f t="shared" si="1"/>
        <v>0</v>
      </c>
      <c r="R29" s="24" t="s">
        <v>479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45510.0</v>
      </c>
      <c r="C30" s="18" t="s">
        <v>545</v>
      </c>
      <c r="D30" s="19">
        <v>51017.0</v>
      </c>
      <c r="E30" s="20" t="s">
        <v>270</v>
      </c>
      <c r="F30" s="21"/>
      <c r="G30" s="22"/>
      <c r="H30" s="22">
        <v>52000.0</v>
      </c>
      <c r="I30" s="21"/>
      <c r="J30" s="21"/>
      <c r="K30" s="23"/>
      <c r="L30" s="22"/>
      <c r="M30" s="22"/>
      <c r="N30" s="22"/>
      <c r="O30" s="22"/>
      <c r="P30" s="24">
        <v>52000.0</v>
      </c>
      <c r="Q30" s="25">
        <f t="shared" si="1"/>
        <v>0</v>
      </c>
      <c r="R30" s="24"/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45511.0</v>
      </c>
      <c r="C31" s="18" t="s">
        <v>546</v>
      </c>
      <c r="D31" s="19">
        <v>36769.0</v>
      </c>
      <c r="E31" s="20" t="s">
        <v>547</v>
      </c>
      <c r="F31" s="21"/>
      <c r="G31" s="22"/>
      <c r="H31" s="22">
        <v>10000.0</v>
      </c>
      <c r="I31" s="21"/>
      <c r="J31" s="21"/>
      <c r="K31" s="23"/>
      <c r="L31" s="22"/>
      <c r="M31" s="22"/>
      <c r="N31" s="22"/>
      <c r="O31" s="22"/>
      <c r="P31" s="24">
        <v>10000.0</v>
      </c>
      <c r="Q31" s="25">
        <f t="shared" si="1"/>
        <v>0</v>
      </c>
      <c r="R31" s="24"/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45511.0</v>
      </c>
      <c r="C32" s="18" t="s">
        <v>548</v>
      </c>
      <c r="D32" s="19">
        <v>60887.0</v>
      </c>
      <c r="E32" s="20" t="s">
        <v>549</v>
      </c>
      <c r="F32" s="21"/>
      <c r="G32" s="22"/>
      <c r="H32" s="22"/>
      <c r="I32" s="21"/>
      <c r="J32" s="21"/>
      <c r="K32" s="23"/>
      <c r="L32" s="22"/>
      <c r="M32" s="22"/>
      <c r="N32" s="22"/>
      <c r="O32" s="22">
        <v>48000.0</v>
      </c>
      <c r="P32" s="24">
        <v>48000.0</v>
      </c>
      <c r="Q32" s="25">
        <f t="shared" si="1"/>
        <v>0</v>
      </c>
      <c r="R32" s="24"/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45511.0</v>
      </c>
      <c r="C33" s="18" t="s">
        <v>550</v>
      </c>
      <c r="D33" s="19">
        <v>80132.0</v>
      </c>
      <c r="E33" s="20" t="s">
        <v>551</v>
      </c>
      <c r="F33" s="21"/>
      <c r="G33" s="22"/>
      <c r="H33" s="22"/>
      <c r="I33" s="21"/>
      <c r="J33" s="21"/>
      <c r="K33" s="23">
        <v>10400.0</v>
      </c>
      <c r="L33" s="22"/>
      <c r="M33" s="22"/>
      <c r="N33" s="22"/>
      <c r="O33" s="22"/>
      <c r="P33" s="24">
        <v>10400.0</v>
      </c>
      <c r="Q33" s="25">
        <f t="shared" si="1"/>
        <v>0</v>
      </c>
      <c r="R33" s="24"/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7">
        <v>45511.0</v>
      </c>
      <c r="C34" s="18" t="s">
        <v>552</v>
      </c>
      <c r="D34" s="19">
        <v>55562.0</v>
      </c>
      <c r="E34" s="20" t="s">
        <v>553</v>
      </c>
      <c r="F34" s="21"/>
      <c r="G34" s="22"/>
      <c r="H34" s="22"/>
      <c r="I34" s="21"/>
      <c r="J34" s="21"/>
      <c r="K34" s="23"/>
      <c r="L34" s="22"/>
      <c r="M34" s="22"/>
      <c r="N34" s="22"/>
      <c r="O34" s="22">
        <v>65200.0</v>
      </c>
      <c r="P34" s="24">
        <v>65200.0</v>
      </c>
      <c r="Q34" s="25">
        <f t="shared" si="1"/>
        <v>0</v>
      </c>
      <c r="R34" s="24"/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7">
        <v>45511.0</v>
      </c>
      <c r="C35" s="18" t="s">
        <v>554</v>
      </c>
      <c r="D35" s="19">
        <v>48883.0</v>
      </c>
      <c r="E35" s="20" t="s">
        <v>555</v>
      </c>
      <c r="F35" s="21"/>
      <c r="G35" s="22"/>
      <c r="H35" s="22"/>
      <c r="I35" s="21"/>
      <c r="J35" s="21"/>
      <c r="K35" s="23"/>
      <c r="L35" s="22"/>
      <c r="M35" s="22"/>
      <c r="N35" s="22"/>
      <c r="O35" s="22">
        <v>38725.0</v>
      </c>
      <c r="P35" s="24">
        <v>38725.0</v>
      </c>
      <c r="Q35" s="25">
        <f t="shared" si="1"/>
        <v>0</v>
      </c>
      <c r="R35" s="24"/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7">
        <v>45511.0</v>
      </c>
      <c r="C36" s="18" t="s">
        <v>556</v>
      </c>
      <c r="D36" s="19">
        <v>35245.0</v>
      </c>
      <c r="E36" s="20" t="s">
        <v>557</v>
      </c>
      <c r="F36" s="21"/>
      <c r="G36" s="22"/>
      <c r="H36" s="22">
        <v>11350.0</v>
      </c>
      <c r="I36" s="21"/>
      <c r="J36" s="21"/>
      <c r="K36" s="23"/>
      <c r="L36" s="22"/>
      <c r="M36" s="22"/>
      <c r="N36" s="22"/>
      <c r="O36" s="22"/>
      <c r="P36" s="24">
        <v>11350.0</v>
      </c>
      <c r="Q36" s="25">
        <f t="shared" si="1"/>
        <v>0</v>
      </c>
      <c r="R36" s="24"/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/>
      <c r="B37" s="27"/>
      <c r="C37" s="18"/>
      <c r="D37" s="19"/>
      <c r="E37" s="20"/>
      <c r="F37" s="21"/>
      <c r="G37" s="22"/>
      <c r="H37" s="22"/>
      <c r="I37" s="21"/>
      <c r="J37" s="21"/>
      <c r="K37" s="23"/>
      <c r="L37" s="22"/>
      <c r="M37" s="22"/>
      <c r="N37" s="22"/>
      <c r="O37" s="22"/>
      <c r="P37" s="24"/>
      <c r="Q37" s="25">
        <f t="shared" si="1"/>
        <v>0</v>
      </c>
      <c r="R37" s="24"/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7.5" customHeight="1">
      <c r="A38" s="16"/>
      <c r="B38" s="27"/>
      <c r="C38" s="18"/>
      <c r="D38" s="19" t="s">
        <v>183</v>
      </c>
      <c r="E38" s="20"/>
      <c r="F38" s="45">
        <f t="shared" ref="F38:P38" si="2">SUM(F5:F37)</f>
        <v>0</v>
      </c>
      <c r="G38" s="45">
        <f t="shared" si="2"/>
        <v>5400</v>
      </c>
      <c r="H38" s="45">
        <f t="shared" si="2"/>
        <v>98350</v>
      </c>
      <c r="I38" s="45">
        <f t="shared" si="2"/>
        <v>73806</v>
      </c>
      <c r="J38" s="45">
        <f t="shared" si="2"/>
        <v>46600</v>
      </c>
      <c r="K38" s="45">
        <f t="shared" si="2"/>
        <v>12224</v>
      </c>
      <c r="L38" s="45">
        <f t="shared" si="2"/>
        <v>0</v>
      </c>
      <c r="M38" s="45">
        <f t="shared" si="2"/>
        <v>0</v>
      </c>
      <c r="N38" s="45">
        <f t="shared" si="2"/>
        <v>0</v>
      </c>
      <c r="O38" s="45">
        <f t="shared" si="2"/>
        <v>151925</v>
      </c>
      <c r="P38" s="45">
        <f t="shared" si="2"/>
        <v>388305</v>
      </c>
      <c r="Q38" s="46">
        <v>0.0</v>
      </c>
      <c r="R38" s="47"/>
      <c r="S38" s="26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</row>
    <row r="39" ht="15.75" customHeight="1">
      <c r="A39" s="48"/>
      <c r="B39" s="48"/>
      <c r="C39" s="49"/>
      <c r="D39" s="48"/>
      <c r="E39" s="48"/>
      <c r="F39" s="50">
        <f>F38+G38+H38+I38+J38+K38+L38+M38+N38+O38</f>
        <v>388305</v>
      </c>
      <c r="P39" s="51"/>
      <c r="Q39" s="51"/>
      <c r="R39" s="48"/>
      <c r="S39" s="48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</row>
    <row r="40" ht="15.75" customHeight="1">
      <c r="A40" s="4"/>
      <c r="B40" s="4"/>
      <c r="C40" s="52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5.75" customHeight="1">
      <c r="A41" s="4"/>
      <c r="B41" s="4"/>
      <c r="C41" s="52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53" t="s">
        <v>183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52"/>
      <c r="D43" s="4"/>
      <c r="E43" s="54" t="s">
        <v>184</v>
      </c>
      <c r="F43" s="55" t="s">
        <v>185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52"/>
      <c r="D44" s="4"/>
      <c r="E44" s="56" t="s">
        <v>186</v>
      </c>
      <c r="F44" s="55" t="s">
        <v>358</v>
      </c>
      <c r="G44" s="4"/>
      <c r="H44" s="4"/>
      <c r="I44" s="4"/>
      <c r="J44" s="4"/>
      <c r="K44" s="4"/>
      <c r="L44" s="4"/>
      <c r="M44" s="4"/>
      <c r="N44" s="4"/>
      <c r="O44" s="57" t="s">
        <v>183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52"/>
      <c r="D45" s="4"/>
      <c r="E45" s="56" t="s">
        <v>188</v>
      </c>
      <c r="F45" s="55" t="s">
        <v>185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52"/>
      <c r="D46" s="4"/>
      <c r="E46" s="56" t="s">
        <v>189</v>
      </c>
      <c r="F46" s="55" t="s">
        <v>185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52"/>
      <c r="D47" s="4"/>
      <c r="E47" s="56" t="s">
        <v>190</v>
      </c>
      <c r="F47" s="55" t="s">
        <v>558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2"/>
      <c r="D48" s="4"/>
      <c r="E48" s="56" t="s">
        <v>559</v>
      </c>
      <c r="F48" s="55" t="s">
        <v>185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2"/>
      <c r="D49" s="4"/>
      <c r="E49" s="56" t="s">
        <v>193</v>
      </c>
      <c r="F49" s="55" t="s">
        <v>185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2"/>
      <c r="D50" s="4"/>
      <c r="E50" s="56" t="s">
        <v>195</v>
      </c>
      <c r="F50" s="59" t="s">
        <v>196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57" t="s">
        <v>183</v>
      </c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2"/>
      <c r="D51" s="4"/>
      <c r="E51" s="4"/>
      <c r="F51" s="4"/>
      <c r="G51" s="4"/>
      <c r="H51" s="4"/>
      <c r="I51" s="4"/>
      <c r="J51" s="4"/>
      <c r="K51" s="4" t="str">
        <f>I72438</f>
        <v/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4"/>
      <c r="F58" s="4"/>
      <c r="G58" s="4"/>
      <c r="H58" s="4"/>
      <c r="I58" s="57" t="s">
        <v>197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>
        <v>7.0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R2:R4"/>
    <mergeCell ref="S2:S4"/>
    <mergeCell ref="F3:F4"/>
    <mergeCell ref="G3:H3"/>
    <mergeCell ref="I3:J3"/>
    <mergeCell ref="K3:K4"/>
    <mergeCell ref="F39:O39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6.88"/>
    <col customWidth="1" min="6" max="6" width="25.88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45.0" customHeight="1">
      <c r="A1" s="1" t="s">
        <v>560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15.75" customHeight="1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5.75" customHeight="1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45511.0</v>
      </c>
      <c r="C5" s="18" t="s">
        <v>561</v>
      </c>
      <c r="D5" s="19">
        <v>10006.0</v>
      </c>
      <c r="E5" s="20" t="s">
        <v>151</v>
      </c>
      <c r="F5" s="21"/>
      <c r="G5" s="22">
        <v>400.0</v>
      </c>
      <c r="H5" s="21"/>
      <c r="I5" s="23"/>
      <c r="J5" s="23"/>
      <c r="K5" s="22"/>
      <c r="L5" s="22"/>
      <c r="M5" s="21"/>
      <c r="N5" s="22"/>
      <c r="O5" s="22"/>
      <c r="P5" s="24">
        <v>400.0</v>
      </c>
      <c r="Q5" s="25">
        <f t="shared" ref="Q5:Q44" si="1">F5+G5+H5+I5+J5+K5+L5+M5+N5+O5-P5</f>
        <v>0</v>
      </c>
      <c r="R5" s="24" t="s">
        <v>30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45511.0</v>
      </c>
      <c r="C6" s="18" t="s">
        <v>562</v>
      </c>
      <c r="D6" s="19">
        <v>10006.0</v>
      </c>
      <c r="E6" s="20" t="s">
        <v>151</v>
      </c>
      <c r="F6" s="21">
        <v>50.0</v>
      </c>
      <c r="G6" s="22"/>
      <c r="H6" s="22"/>
      <c r="I6" s="21"/>
      <c r="J6" s="22"/>
      <c r="K6" s="22"/>
      <c r="L6" s="22"/>
      <c r="M6" s="21"/>
      <c r="N6" s="22"/>
      <c r="O6" s="22"/>
      <c r="P6" s="24">
        <v>50.0</v>
      </c>
      <c r="Q6" s="25">
        <f t="shared" si="1"/>
        <v>0</v>
      </c>
      <c r="R6" s="24" t="s">
        <v>30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45512.0</v>
      </c>
      <c r="C7" s="18" t="s">
        <v>563</v>
      </c>
      <c r="D7" s="19">
        <v>69371.0</v>
      </c>
      <c r="E7" s="20" t="s">
        <v>274</v>
      </c>
      <c r="F7" s="22"/>
      <c r="G7" s="22"/>
      <c r="H7" s="21"/>
      <c r="I7" s="21">
        <v>5000.0</v>
      </c>
      <c r="J7" s="23"/>
      <c r="K7" s="22"/>
      <c r="L7" s="22"/>
      <c r="M7" s="22"/>
      <c r="N7" s="22"/>
      <c r="O7" s="22"/>
      <c r="P7" s="24">
        <v>5000.0</v>
      </c>
      <c r="Q7" s="25">
        <f t="shared" si="1"/>
        <v>0</v>
      </c>
      <c r="R7" s="24" t="s">
        <v>51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45512.0</v>
      </c>
      <c r="C8" s="18" t="s">
        <v>564</v>
      </c>
      <c r="D8" s="19">
        <v>58758.0</v>
      </c>
      <c r="E8" s="20" t="s">
        <v>565</v>
      </c>
      <c r="F8" s="22"/>
      <c r="G8" s="22"/>
      <c r="H8" s="22"/>
      <c r="I8" s="21">
        <v>25000.0</v>
      </c>
      <c r="J8" s="21"/>
      <c r="K8" s="22"/>
      <c r="L8" s="22"/>
      <c r="M8" s="22"/>
      <c r="N8" s="22"/>
      <c r="O8" s="22"/>
      <c r="P8" s="24">
        <v>25000.0</v>
      </c>
      <c r="Q8" s="25">
        <f t="shared" si="1"/>
        <v>0</v>
      </c>
      <c r="R8" s="24" t="s">
        <v>51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45512.0</v>
      </c>
      <c r="C9" s="18" t="s">
        <v>566</v>
      </c>
      <c r="D9" s="19">
        <v>55992.0</v>
      </c>
      <c r="E9" s="20" t="s">
        <v>567</v>
      </c>
      <c r="F9" s="22"/>
      <c r="G9" s="22"/>
      <c r="H9" s="22"/>
      <c r="I9" s="21">
        <v>7500.0</v>
      </c>
      <c r="J9" s="21"/>
      <c r="K9" s="22"/>
      <c r="L9" s="22"/>
      <c r="M9" s="21"/>
      <c r="N9" s="22"/>
      <c r="O9" s="22"/>
      <c r="P9" s="24">
        <v>7500.0</v>
      </c>
      <c r="Q9" s="25">
        <f t="shared" si="1"/>
        <v>0</v>
      </c>
      <c r="R9" s="24" t="s">
        <v>51</v>
      </c>
      <c r="S9" s="26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45512.0</v>
      </c>
      <c r="C10" s="18" t="s">
        <v>568</v>
      </c>
      <c r="D10" s="19">
        <v>54368.0</v>
      </c>
      <c r="E10" s="20" t="s">
        <v>569</v>
      </c>
      <c r="F10" s="22"/>
      <c r="G10" s="22"/>
      <c r="H10" s="22"/>
      <c r="I10" s="21">
        <v>5150.0</v>
      </c>
      <c r="J10" s="21"/>
      <c r="K10" s="22"/>
      <c r="L10" s="22"/>
      <c r="M10" s="21"/>
      <c r="N10" s="22"/>
      <c r="O10" s="22"/>
      <c r="P10" s="24">
        <v>5150.0</v>
      </c>
      <c r="Q10" s="25">
        <f t="shared" si="1"/>
        <v>0</v>
      </c>
      <c r="R10" s="24" t="s">
        <v>51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45512.0</v>
      </c>
      <c r="C11" s="18" t="s">
        <v>570</v>
      </c>
      <c r="D11" s="19">
        <v>82382.0</v>
      </c>
      <c r="E11" s="20" t="s">
        <v>571</v>
      </c>
      <c r="F11" s="22"/>
      <c r="G11" s="22"/>
      <c r="H11" s="22"/>
      <c r="I11" s="21">
        <v>4900.0</v>
      </c>
      <c r="J11" s="21"/>
      <c r="K11" s="22"/>
      <c r="L11" s="22"/>
      <c r="M11" s="21"/>
      <c r="N11" s="22"/>
      <c r="O11" s="22"/>
      <c r="P11" s="24">
        <v>4900.0</v>
      </c>
      <c r="Q11" s="25">
        <f t="shared" si="1"/>
        <v>0</v>
      </c>
      <c r="R11" s="24" t="s">
        <v>51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7">
        <v>45512.0</v>
      </c>
      <c r="C12" s="18" t="s">
        <v>572</v>
      </c>
      <c r="D12" s="19">
        <v>78931.0</v>
      </c>
      <c r="E12" s="20" t="s">
        <v>573</v>
      </c>
      <c r="F12" s="22"/>
      <c r="G12" s="22"/>
      <c r="H12" s="22"/>
      <c r="I12" s="21">
        <v>2650.0</v>
      </c>
      <c r="J12" s="21"/>
      <c r="K12" s="22"/>
      <c r="L12" s="22"/>
      <c r="M12" s="21"/>
      <c r="N12" s="22"/>
      <c r="O12" s="22"/>
      <c r="P12" s="24">
        <v>2650.0</v>
      </c>
      <c r="Q12" s="25">
        <f t="shared" si="1"/>
        <v>0</v>
      </c>
      <c r="R12" s="24" t="s">
        <v>51</v>
      </c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8">
        <v>45512.0</v>
      </c>
      <c r="C13" s="29" t="s">
        <v>574</v>
      </c>
      <c r="D13" s="30">
        <v>57804.0</v>
      </c>
      <c r="E13" s="31" t="s">
        <v>575</v>
      </c>
      <c r="F13" s="22"/>
      <c r="G13" s="22"/>
      <c r="H13" s="22"/>
      <c r="I13" s="21">
        <v>5150.0</v>
      </c>
      <c r="J13" s="21"/>
      <c r="K13" s="22"/>
      <c r="L13" s="22"/>
      <c r="M13" s="21"/>
      <c r="N13" s="22"/>
      <c r="O13" s="22"/>
      <c r="P13" s="32">
        <v>5150.0</v>
      </c>
      <c r="Q13" s="25">
        <f t="shared" si="1"/>
        <v>0</v>
      </c>
      <c r="R13" s="32" t="s">
        <v>25</v>
      </c>
      <c r="S13" s="26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 ht="34.5" customHeight="1">
      <c r="A14" s="16">
        <v>10.0</v>
      </c>
      <c r="B14" s="27">
        <v>45512.0</v>
      </c>
      <c r="C14" s="18" t="s">
        <v>576</v>
      </c>
      <c r="D14" s="19">
        <v>30270.0</v>
      </c>
      <c r="E14" s="20" t="s">
        <v>577</v>
      </c>
      <c r="F14" s="22"/>
      <c r="G14" s="22"/>
      <c r="H14" s="22"/>
      <c r="I14" s="21">
        <v>2650.0</v>
      </c>
      <c r="J14" s="21"/>
      <c r="K14" s="22"/>
      <c r="L14" s="22"/>
      <c r="M14" s="21"/>
      <c r="N14" s="22"/>
      <c r="O14" s="22"/>
      <c r="P14" s="24">
        <v>2650.0</v>
      </c>
      <c r="Q14" s="25">
        <f t="shared" si="1"/>
        <v>0</v>
      </c>
      <c r="R14" s="24" t="s">
        <v>51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45512.0</v>
      </c>
      <c r="C15" s="18" t="s">
        <v>578</v>
      </c>
      <c r="D15" s="19">
        <v>51017.0</v>
      </c>
      <c r="E15" s="20" t="s">
        <v>270</v>
      </c>
      <c r="F15" s="22"/>
      <c r="G15" s="22"/>
      <c r="H15" s="22">
        <v>30000.0</v>
      </c>
      <c r="I15" s="21"/>
      <c r="J15" s="21"/>
      <c r="K15" s="22"/>
      <c r="L15" s="22"/>
      <c r="M15" s="21"/>
      <c r="N15" s="22"/>
      <c r="O15" s="22"/>
      <c r="P15" s="24">
        <v>30000.0</v>
      </c>
      <c r="Q15" s="25">
        <f t="shared" si="1"/>
        <v>0</v>
      </c>
      <c r="R15" s="24" t="s">
        <v>68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45512.0</v>
      </c>
      <c r="C16" s="18" t="s">
        <v>579</v>
      </c>
      <c r="D16" s="19">
        <v>51697.0</v>
      </c>
      <c r="E16" s="20" t="s">
        <v>303</v>
      </c>
      <c r="F16" s="22"/>
      <c r="G16" s="22"/>
      <c r="H16" s="22"/>
      <c r="I16" s="21"/>
      <c r="J16" s="21">
        <v>657.0</v>
      </c>
      <c r="K16" s="22">
        <v>4493.0</v>
      </c>
      <c r="L16" s="22"/>
      <c r="M16" s="21"/>
      <c r="N16" s="22"/>
      <c r="O16" s="22"/>
      <c r="P16" s="24">
        <v>5150.0</v>
      </c>
      <c r="Q16" s="25">
        <f t="shared" si="1"/>
        <v>0</v>
      </c>
      <c r="R16" s="24" t="s">
        <v>51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45512.0</v>
      </c>
      <c r="C17" s="18" t="s">
        <v>580</v>
      </c>
      <c r="D17" s="19">
        <v>84357.0</v>
      </c>
      <c r="E17" s="20" t="s">
        <v>581</v>
      </c>
      <c r="F17" s="22"/>
      <c r="G17" s="22"/>
      <c r="H17" s="22"/>
      <c r="I17" s="21">
        <v>300.0</v>
      </c>
      <c r="J17" s="21"/>
      <c r="K17" s="22"/>
      <c r="L17" s="22"/>
      <c r="M17" s="21"/>
      <c r="N17" s="22"/>
      <c r="O17" s="22"/>
      <c r="P17" s="24">
        <v>300.0</v>
      </c>
      <c r="Q17" s="25">
        <f t="shared" si="1"/>
        <v>0</v>
      </c>
      <c r="R17" s="24" t="s">
        <v>479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7">
        <v>45512.0</v>
      </c>
      <c r="C18" s="18" t="s">
        <v>582</v>
      </c>
      <c r="D18" s="19">
        <v>42046.0</v>
      </c>
      <c r="E18" s="20" t="s">
        <v>77</v>
      </c>
      <c r="F18" s="22"/>
      <c r="G18" s="22"/>
      <c r="H18" s="22"/>
      <c r="I18" s="21">
        <v>2500.0</v>
      </c>
      <c r="J18" s="21"/>
      <c r="K18" s="22"/>
      <c r="L18" s="22"/>
      <c r="M18" s="22"/>
      <c r="N18" s="22"/>
      <c r="O18" s="22"/>
      <c r="P18" s="24">
        <v>2500.0</v>
      </c>
      <c r="Q18" s="25">
        <f t="shared" si="1"/>
        <v>0</v>
      </c>
      <c r="R18" s="24" t="s">
        <v>25</v>
      </c>
      <c r="S18" s="26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28">
        <v>45512.0</v>
      </c>
      <c r="C19" s="29" t="s">
        <v>583</v>
      </c>
      <c r="D19" s="30">
        <v>50595.0</v>
      </c>
      <c r="E19" s="31" t="s">
        <v>163</v>
      </c>
      <c r="F19" s="22"/>
      <c r="G19" s="22"/>
      <c r="H19" s="22">
        <v>19500.0</v>
      </c>
      <c r="I19" s="21">
        <v>100.0</v>
      </c>
      <c r="J19" s="21"/>
      <c r="K19" s="22"/>
      <c r="L19" s="22"/>
      <c r="M19" s="21"/>
      <c r="N19" s="22"/>
      <c r="O19" s="22"/>
      <c r="P19" s="32">
        <v>19600.0</v>
      </c>
      <c r="Q19" s="25">
        <f t="shared" si="1"/>
        <v>0</v>
      </c>
      <c r="R19" s="32" t="s">
        <v>68</v>
      </c>
      <c r="S19" s="26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ht="34.5" customHeight="1">
      <c r="A20" s="16">
        <v>16.0</v>
      </c>
      <c r="B20" s="27">
        <v>45512.0</v>
      </c>
      <c r="C20" s="18" t="s">
        <v>584</v>
      </c>
      <c r="D20" s="19">
        <v>83598.0</v>
      </c>
      <c r="E20" s="20" t="s">
        <v>585</v>
      </c>
      <c r="F20" s="22"/>
      <c r="G20" s="22"/>
      <c r="H20" s="22"/>
      <c r="I20" s="23">
        <v>5000.0</v>
      </c>
      <c r="J20" s="23"/>
      <c r="K20" s="22"/>
      <c r="L20" s="22"/>
      <c r="M20" s="22"/>
      <c r="N20" s="22"/>
      <c r="O20" s="22"/>
      <c r="P20" s="24">
        <v>5000.0</v>
      </c>
      <c r="Q20" s="25">
        <f t="shared" si="1"/>
        <v>0</v>
      </c>
      <c r="R20" s="24" t="s">
        <v>479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45512.0</v>
      </c>
      <c r="C21" s="18" t="s">
        <v>586</v>
      </c>
      <c r="D21" s="19">
        <v>56862.0</v>
      </c>
      <c r="E21" s="20" t="s">
        <v>587</v>
      </c>
      <c r="F21" s="21"/>
      <c r="G21" s="22"/>
      <c r="H21" s="22"/>
      <c r="I21" s="34">
        <v>12000.0</v>
      </c>
      <c r="J21" s="22"/>
      <c r="K21" s="35"/>
      <c r="L21" s="22"/>
      <c r="M21" s="22"/>
      <c r="N21" s="22"/>
      <c r="O21" s="22"/>
      <c r="P21" s="24">
        <v>12000.0</v>
      </c>
      <c r="Q21" s="25">
        <f t="shared" si="1"/>
        <v>0</v>
      </c>
      <c r="R21" s="24" t="s">
        <v>68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7">
        <v>45512.0</v>
      </c>
      <c r="C22" s="18" t="s">
        <v>588</v>
      </c>
      <c r="D22" s="19">
        <v>34912.0</v>
      </c>
      <c r="E22" s="20" t="s">
        <v>589</v>
      </c>
      <c r="F22" s="21"/>
      <c r="G22" s="22"/>
      <c r="H22" s="22"/>
      <c r="I22" s="21">
        <v>10450.0</v>
      </c>
      <c r="J22" s="22"/>
      <c r="K22" s="21"/>
      <c r="L22" s="22"/>
      <c r="M22" s="22"/>
      <c r="N22" s="22"/>
      <c r="O22" s="22"/>
      <c r="P22" s="24">
        <v>10450.0</v>
      </c>
      <c r="Q22" s="25">
        <f t="shared" si="1"/>
        <v>0</v>
      </c>
      <c r="R22" s="24" t="s">
        <v>25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36">
        <v>45512.0</v>
      </c>
      <c r="C23" s="37" t="s">
        <v>590</v>
      </c>
      <c r="D23" s="38">
        <v>52776.0</v>
      </c>
      <c r="E23" s="39" t="s">
        <v>591</v>
      </c>
      <c r="F23" s="34"/>
      <c r="G23" s="40"/>
      <c r="H23" s="40"/>
      <c r="I23" s="34"/>
      <c r="J23" s="34">
        <v>10000.0</v>
      </c>
      <c r="K23" s="41"/>
      <c r="L23" s="40"/>
      <c r="M23" s="40"/>
      <c r="N23" s="40"/>
      <c r="O23" s="40"/>
      <c r="P23" s="42">
        <v>10000.0</v>
      </c>
      <c r="Q23" s="25">
        <f t="shared" si="1"/>
        <v>0</v>
      </c>
      <c r="R23" s="42" t="s">
        <v>51</v>
      </c>
      <c r="S23" s="26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</row>
    <row r="24" ht="34.5" customHeight="1">
      <c r="A24" s="16">
        <v>20.0</v>
      </c>
      <c r="B24" s="27">
        <v>45512.0</v>
      </c>
      <c r="C24" s="18" t="s">
        <v>592</v>
      </c>
      <c r="D24" s="19">
        <v>31927.0</v>
      </c>
      <c r="E24" s="20" t="s">
        <v>168</v>
      </c>
      <c r="F24" s="21"/>
      <c r="G24" s="22"/>
      <c r="H24" s="22"/>
      <c r="I24" s="21">
        <v>450.0</v>
      </c>
      <c r="J24" s="22"/>
      <c r="K24" s="35"/>
      <c r="L24" s="22"/>
      <c r="M24" s="22"/>
      <c r="N24" s="22"/>
      <c r="O24" s="22"/>
      <c r="P24" s="24">
        <v>450.0</v>
      </c>
      <c r="Q24" s="25">
        <f t="shared" si="1"/>
        <v>0</v>
      </c>
      <c r="R24" s="24" t="s">
        <v>479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45512.0</v>
      </c>
      <c r="C25" s="18" t="s">
        <v>593</v>
      </c>
      <c r="D25" s="19">
        <v>66932.0</v>
      </c>
      <c r="E25" s="20" t="s">
        <v>594</v>
      </c>
      <c r="F25" s="21"/>
      <c r="G25" s="22"/>
      <c r="H25" s="22"/>
      <c r="I25" s="21">
        <v>3600.0</v>
      </c>
      <c r="J25" s="21"/>
      <c r="K25" s="35"/>
      <c r="L25" s="22"/>
      <c r="M25" s="22"/>
      <c r="N25" s="22"/>
      <c r="O25" s="22"/>
      <c r="P25" s="24">
        <v>3600.0</v>
      </c>
      <c r="Q25" s="25">
        <f t="shared" si="1"/>
        <v>0</v>
      </c>
      <c r="R25" s="24" t="s">
        <v>25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45512.0</v>
      </c>
      <c r="C26" s="18" t="s">
        <v>595</v>
      </c>
      <c r="D26" s="19">
        <v>71269.0</v>
      </c>
      <c r="E26" s="20" t="s">
        <v>596</v>
      </c>
      <c r="F26" s="21"/>
      <c r="G26" s="22"/>
      <c r="H26" s="22"/>
      <c r="I26" s="35">
        <v>4500.0</v>
      </c>
      <c r="J26" s="21"/>
      <c r="K26" s="35"/>
      <c r="L26" s="22"/>
      <c r="M26" s="22"/>
      <c r="N26" s="22"/>
      <c r="O26" s="22"/>
      <c r="P26" s="24">
        <v>4500.0</v>
      </c>
      <c r="Q26" s="25">
        <f t="shared" si="1"/>
        <v>0</v>
      </c>
      <c r="R26" s="24" t="s">
        <v>25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45512.0</v>
      </c>
      <c r="C27" s="18" t="s">
        <v>597</v>
      </c>
      <c r="D27" s="19">
        <v>22332.0</v>
      </c>
      <c r="E27" s="20" t="s">
        <v>396</v>
      </c>
      <c r="F27" s="21"/>
      <c r="G27" s="22"/>
      <c r="H27" s="22"/>
      <c r="I27" s="21">
        <v>3750.0</v>
      </c>
      <c r="J27" s="21"/>
      <c r="K27" s="23"/>
      <c r="L27" s="22"/>
      <c r="M27" s="22"/>
      <c r="N27" s="22"/>
      <c r="O27" s="22"/>
      <c r="P27" s="24">
        <v>3750.0</v>
      </c>
      <c r="Q27" s="25">
        <f t="shared" si="1"/>
        <v>0</v>
      </c>
      <c r="R27" s="24" t="s">
        <v>51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45512.0</v>
      </c>
      <c r="C28" s="18" t="s">
        <v>598</v>
      </c>
      <c r="D28" s="19">
        <v>51939.0</v>
      </c>
      <c r="E28" s="20" t="s">
        <v>599</v>
      </c>
      <c r="F28" s="21"/>
      <c r="G28" s="22"/>
      <c r="H28" s="22"/>
      <c r="I28" s="21">
        <v>5600.0</v>
      </c>
      <c r="J28" s="21"/>
      <c r="K28" s="23"/>
      <c r="L28" s="22"/>
      <c r="M28" s="22"/>
      <c r="N28" s="22"/>
      <c r="O28" s="22"/>
      <c r="P28" s="24">
        <v>5600.0</v>
      </c>
      <c r="Q28" s="25">
        <f t="shared" si="1"/>
        <v>0</v>
      </c>
      <c r="R28" s="24" t="s">
        <v>68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45512.0</v>
      </c>
      <c r="C29" s="18" t="s">
        <v>600</v>
      </c>
      <c r="D29" s="19">
        <v>52669.0</v>
      </c>
      <c r="E29" s="20" t="s">
        <v>310</v>
      </c>
      <c r="F29" s="21"/>
      <c r="G29" s="22"/>
      <c r="H29" s="22">
        <v>34600.0</v>
      </c>
      <c r="I29" s="21"/>
      <c r="J29" s="21"/>
      <c r="K29" s="23"/>
      <c r="L29" s="22"/>
      <c r="M29" s="22"/>
      <c r="N29" s="22"/>
      <c r="O29" s="22"/>
      <c r="P29" s="24">
        <v>34600.0</v>
      </c>
      <c r="Q29" s="25">
        <f t="shared" si="1"/>
        <v>0</v>
      </c>
      <c r="R29" s="24" t="s">
        <v>68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45512.0</v>
      </c>
      <c r="C30" s="18" t="s">
        <v>601</v>
      </c>
      <c r="D30" s="19">
        <v>53249.0</v>
      </c>
      <c r="E30" s="20" t="s">
        <v>401</v>
      </c>
      <c r="F30" s="21"/>
      <c r="G30" s="22"/>
      <c r="H30" s="22"/>
      <c r="I30" s="21"/>
      <c r="J30" s="21">
        <v>30250.0</v>
      </c>
      <c r="K30" s="23"/>
      <c r="L30" s="22"/>
      <c r="M30" s="22"/>
      <c r="N30" s="22"/>
      <c r="O30" s="22"/>
      <c r="P30" s="24">
        <v>30250.0</v>
      </c>
      <c r="Q30" s="25">
        <f t="shared" si="1"/>
        <v>0</v>
      </c>
      <c r="R30" s="24" t="s">
        <v>68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45512.0</v>
      </c>
      <c r="C31" s="18" t="s">
        <v>602</v>
      </c>
      <c r="D31" s="19">
        <v>13781.0</v>
      </c>
      <c r="E31" s="20" t="s">
        <v>603</v>
      </c>
      <c r="F31" s="21"/>
      <c r="G31" s="22"/>
      <c r="H31" s="22"/>
      <c r="I31" s="21">
        <v>10000.0</v>
      </c>
      <c r="J31" s="21"/>
      <c r="K31" s="23"/>
      <c r="L31" s="22"/>
      <c r="M31" s="22"/>
      <c r="N31" s="22"/>
      <c r="O31" s="22"/>
      <c r="P31" s="24">
        <v>10000.0</v>
      </c>
      <c r="Q31" s="25">
        <f t="shared" si="1"/>
        <v>0</v>
      </c>
      <c r="R31" s="24" t="s">
        <v>68</v>
      </c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45512.0</v>
      </c>
      <c r="C32" s="18" t="s">
        <v>604</v>
      </c>
      <c r="D32" s="19">
        <v>13781.0</v>
      </c>
      <c r="E32" s="20" t="s">
        <v>603</v>
      </c>
      <c r="F32" s="21"/>
      <c r="G32" s="22"/>
      <c r="H32" s="22"/>
      <c r="I32" s="21">
        <v>1450.0</v>
      </c>
      <c r="J32" s="21"/>
      <c r="K32" s="23"/>
      <c r="L32" s="22"/>
      <c r="M32" s="22"/>
      <c r="N32" s="22"/>
      <c r="O32" s="22"/>
      <c r="P32" s="24">
        <v>1450.0</v>
      </c>
      <c r="Q32" s="25">
        <f t="shared" si="1"/>
        <v>0</v>
      </c>
      <c r="R32" s="24" t="s">
        <v>68</v>
      </c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45512.0</v>
      </c>
      <c r="C33" s="18" t="s">
        <v>605</v>
      </c>
      <c r="D33" s="19">
        <v>62815.0</v>
      </c>
      <c r="E33" s="20" t="s">
        <v>125</v>
      </c>
      <c r="F33" s="21"/>
      <c r="G33" s="22"/>
      <c r="H33" s="22"/>
      <c r="I33" s="21">
        <v>25000.0</v>
      </c>
      <c r="J33" s="21"/>
      <c r="K33" s="23"/>
      <c r="L33" s="22"/>
      <c r="M33" s="22"/>
      <c r="N33" s="22"/>
      <c r="O33" s="22"/>
      <c r="P33" s="24">
        <v>25000.0</v>
      </c>
      <c r="Q33" s="25">
        <f t="shared" si="1"/>
        <v>0</v>
      </c>
      <c r="R33" s="24" t="s">
        <v>68</v>
      </c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7">
        <v>45512.0</v>
      </c>
      <c r="C34" s="18" t="s">
        <v>606</v>
      </c>
      <c r="D34" s="19">
        <v>26831.0</v>
      </c>
      <c r="E34" s="20" t="s">
        <v>211</v>
      </c>
      <c r="F34" s="21"/>
      <c r="G34" s="22"/>
      <c r="H34" s="22"/>
      <c r="I34" s="21"/>
      <c r="J34" s="21">
        <v>6050.0</v>
      </c>
      <c r="K34" s="23"/>
      <c r="L34" s="22"/>
      <c r="M34" s="22"/>
      <c r="N34" s="22"/>
      <c r="O34" s="22"/>
      <c r="P34" s="24">
        <v>6050.0</v>
      </c>
      <c r="Q34" s="25">
        <f t="shared" si="1"/>
        <v>0</v>
      </c>
      <c r="R34" s="24" t="s">
        <v>68</v>
      </c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7">
        <v>45512.0</v>
      </c>
      <c r="C35" s="18" t="s">
        <v>607</v>
      </c>
      <c r="D35" s="19">
        <v>21828.0</v>
      </c>
      <c r="E35" s="20" t="s">
        <v>47</v>
      </c>
      <c r="F35" s="21"/>
      <c r="G35" s="22"/>
      <c r="H35" s="22">
        <v>5450.0</v>
      </c>
      <c r="I35" s="21"/>
      <c r="J35" s="21"/>
      <c r="K35" s="23"/>
      <c r="L35" s="22"/>
      <c r="M35" s="22"/>
      <c r="N35" s="22"/>
      <c r="O35" s="22"/>
      <c r="P35" s="24">
        <v>5450.0</v>
      </c>
      <c r="Q35" s="25">
        <f t="shared" si="1"/>
        <v>0</v>
      </c>
      <c r="R35" s="24" t="s">
        <v>25</v>
      </c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7">
        <v>45512.0</v>
      </c>
      <c r="C36" s="18" t="s">
        <v>608</v>
      </c>
      <c r="D36" s="19">
        <v>10839.0</v>
      </c>
      <c r="E36" s="20" t="s">
        <v>609</v>
      </c>
      <c r="F36" s="21"/>
      <c r="G36" s="22"/>
      <c r="H36" s="22"/>
      <c r="I36" s="21">
        <v>2550.0</v>
      </c>
      <c r="J36" s="21"/>
      <c r="K36" s="23"/>
      <c r="L36" s="22"/>
      <c r="M36" s="22"/>
      <c r="N36" s="22"/>
      <c r="O36" s="22"/>
      <c r="P36" s="24">
        <v>2550.0</v>
      </c>
      <c r="Q36" s="25">
        <f t="shared" si="1"/>
        <v>0</v>
      </c>
      <c r="R36" s="24" t="s">
        <v>479</v>
      </c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7">
        <v>45512.0</v>
      </c>
      <c r="C37" s="18" t="s">
        <v>610</v>
      </c>
      <c r="D37" s="19">
        <v>21828.0</v>
      </c>
      <c r="E37" s="20" t="s">
        <v>47</v>
      </c>
      <c r="F37" s="21"/>
      <c r="G37" s="22"/>
      <c r="H37" s="22"/>
      <c r="I37" s="21"/>
      <c r="J37" s="21"/>
      <c r="K37" s="23"/>
      <c r="L37" s="22"/>
      <c r="M37" s="22">
        <v>1000.0</v>
      </c>
      <c r="N37" s="22"/>
      <c r="O37" s="22"/>
      <c r="P37" s="24">
        <v>1000.0</v>
      </c>
      <c r="Q37" s="25">
        <f t="shared" si="1"/>
        <v>0</v>
      </c>
      <c r="R37" s="24" t="s">
        <v>25</v>
      </c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7">
        <v>45512.0</v>
      </c>
      <c r="C38" s="18" t="s">
        <v>611</v>
      </c>
      <c r="D38" s="19">
        <v>59904.0</v>
      </c>
      <c r="E38" s="20" t="s">
        <v>612</v>
      </c>
      <c r="F38" s="21"/>
      <c r="G38" s="22"/>
      <c r="H38" s="22"/>
      <c r="I38" s="21">
        <v>2700.0</v>
      </c>
      <c r="J38" s="21"/>
      <c r="K38" s="23"/>
      <c r="L38" s="22"/>
      <c r="M38" s="22"/>
      <c r="N38" s="22"/>
      <c r="O38" s="22"/>
      <c r="P38" s="24">
        <v>2700.0</v>
      </c>
      <c r="Q38" s="25">
        <f t="shared" si="1"/>
        <v>0</v>
      </c>
      <c r="R38" s="24" t="s">
        <v>51</v>
      </c>
      <c r="S38" s="26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7">
        <v>45512.0</v>
      </c>
      <c r="C39" s="18" t="s">
        <v>613</v>
      </c>
      <c r="D39" s="19">
        <v>80963.0</v>
      </c>
      <c r="E39" s="20" t="s">
        <v>614</v>
      </c>
      <c r="F39" s="21"/>
      <c r="G39" s="22"/>
      <c r="H39" s="22"/>
      <c r="I39" s="21">
        <v>1400.0</v>
      </c>
      <c r="J39" s="21"/>
      <c r="K39" s="23"/>
      <c r="L39" s="22"/>
      <c r="M39" s="22"/>
      <c r="N39" s="22"/>
      <c r="O39" s="22"/>
      <c r="P39" s="24">
        <v>1400.0</v>
      </c>
      <c r="Q39" s="25">
        <f t="shared" si="1"/>
        <v>0</v>
      </c>
      <c r="R39" s="24" t="s">
        <v>68</v>
      </c>
      <c r="S39" s="26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7">
        <v>45512.0</v>
      </c>
      <c r="C40" s="18" t="s">
        <v>615</v>
      </c>
      <c r="D40" s="19">
        <v>83066.0</v>
      </c>
      <c r="E40" s="20" t="s">
        <v>45</v>
      </c>
      <c r="F40" s="21"/>
      <c r="G40" s="22"/>
      <c r="H40" s="22"/>
      <c r="I40" s="21"/>
      <c r="J40" s="21">
        <v>5000.0</v>
      </c>
      <c r="K40" s="23"/>
      <c r="L40" s="22"/>
      <c r="M40" s="22"/>
      <c r="N40" s="22"/>
      <c r="O40" s="22"/>
      <c r="P40" s="24">
        <v>5000.0</v>
      </c>
      <c r="Q40" s="25">
        <f t="shared" si="1"/>
        <v>0</v>
      </c>
      <c r="R40" s="24" t="s">
        <v>68</v>
      </c>
      <c r="S40" s="26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7">
        <v>45512.0</v>
      </c>
      <c r="C41" s="18" t="s">
        <v>616</v>
      </c>
      <c r="D41" s="19">
        <v>10249.0</v>
      </c>
      <c r="E41" s="20" t="s">
        <v>617</v>
      </c>
      <c r="F41" s="21"/>
      <c r="G41" s="22"/>
      <c r="H41" s="22"/>
      <c r="I41" s="21"/>
      <c r="J41" s="21">
        <v>6450.0</v>
      </c>
      <c r="K41" s="23"/>
      <c r="L41" s="22"/>
      <c r="M41" s="22"/>
      <c r="N41" s="22"/>
      <c r="O41" s="22"/>
      <c r="P41" s="24">
        <v>6450.0</v>
      </c>
      <c r="Q41" s="25">
        <f t="shared" si="1"/>
        <v>0</v>
      </c>
      <c r="R41" s="24" t="s">
        <v>68</v>
      </c>
      <c r="S41" s="26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27">
        <v>45512.0</v>
      </c>
      <c r="C42" s="18" t="s">
        <v>618</v>
      </c>
      <c r="D42" s="19">
        <v>52597.0</v>
      </c>
      <c r="E42" s="20" t="s">
        <v>619</v>
      </c>
      <c r="F42" s="21"/>
      <c r="G42" s="22"/>
      <c r="H42" s="22"/>
      <c r="I42" s="21"/>
      <c r="J42" s="21"/>
      <c r="K42" s="23">
        <v>177.5</v>
      </c>
      <c r="L42" s="22"/>
      <c r="M42" s="22"/>
      <c r="N42" s="22"/>
      <c r="O42" s="22">
        <v>1022.5</v>
      </c>
      <c r="P42" s="24">
        <v>1200.0</v>
      </c>
      <c r="Q42" s="25">
        <f t="shared" si="1"/>
        <v>0</v>
      </c>
      <c r="R42" s="24"/>
      <c r="S42" s="26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>
        <v>39.0</v>
      </c>
      <c r="B43" s="27">
        <v>45512.0</v>
      </c>
      <c r="C43" s="18" t="s">
        <v>620</v>
      </c>
      <c r="D43" s="19">
        <v>51782.0</v>
      </c>
      <c r="E43" s="20" t="s">
        <v>621</v>
      </c>
      <c r="F43" s="21"/>
      <c r="G43" s="22"/>
      <c r="H43" s="22">
        <v>2500.0</v>
      </c>
      <c r="I43" s="21"/>
      <c r="J43" s="21"/>
      <c r="K43" s="23"/>
      <c r="L43" s="22"/>
      <c r="M43" s="22"/>
      <c r="N43" s="22"/>
      <c r="O43" s="22"/>
      <c r="P43" s="24">
        <v>2500.0</v>
      </c>
      <c r="Q43" s="25">
        <f t="shared" si="1"/>
        <v>0</v>
      </c>
      <c r="R43" s="24"/>
      <c r="S43" s="26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16"/>
      <c r="B44" s="27"/>
      <c r="C44" s="18"/>
      <c r="D44" s="19"/>
      <c r="E44" s="20"/>
      <c r="F44" s="21"/>
      <c r="G44" s="22"/>
      <c r="H44" s="22"/>
      <c r="I44" s="21"/>
      <c r="J44" s="21"/>
      <c r="K44" s="23"/>
      <c r="L44" s="22"/>
      <c r="M44" s="22"/>
      <c r="N44" s="22"/>
      <c r="O44" s="22"/>
      <c r="P44" s="24"/>
      <c r="Q44" s="25">
        <f t="shared" si="1"/>
        <v>0</v>
      </c>
      <c r="R44" s="24"/>
      <c r="S44" s="26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7.5" customHeight="1">
      <c r="A45" s="16"/>
      <c r="B45" s="27"/>
      <c r="C45" s="18"/>
      <c r="D45" s="19" t="s">
        <v>183</v>
      </c>
      <c r="E45" s="20"/>
      <c r="F45" s="45">
        <f>SUM(F3:F44)</f>
        <v>50</v>
      </c>
      <c r="G45" s="45">
        <f t="shared" ref="G45:O45" si="2">SUM(G5:G44)</f>
        <v>400</v>
      </c>
      <c r="H45" s="45">
        <f t="shared" si="2"/>
        <v>92050</v>
      </c>
      <c r="I45" s="45">
        <f t="shared" si="2"/>
        <v>149350</v>
      </c>
      <c r="J45" s="45">
        <f t="shared" si="2"/>
        <v>58407</v>
      </c>
      <c r="K45" s="45">
        <f t="shared" si="2"/>
        <v>4670.5</v>
      </c>
      <c r="L45" s="45">
        <f t="shared" si="2"/>
        <v>0</v>
      </c>
      <c r="M45" s="45">
        <f t="shared" si="2"/>
        <v>1000</v>
      </c>
      <c r="N45" s="45">
        <f t="shared" si="2"/>
        <v>0</v>
      </c>
      <c r="O45" s="45">
        <f t="shared" si="2"/>
        <v>1022.5</v>
      </c>
      <c r="P45" s="45">
        <f>SUM(P5:P43)</f>
        <v>306950</v>
      </c>
      <c r="Q45" s="46">
        <v>0.0</v>
      </c>
      <c r="R45" s="47"/>
      <c r="S45" s="26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</row>
    <row r="46" ht="15.75" customHeight="1">
      <c r="A46" s="48"/>
      <c r="B46" s="48"/>
      <c r="C46" s="49"/>
      <c r="D46" s="48"/>
      <c r="E46" s="48"/>
      <c r="F46" s="50">
        <f>F45+G45+H45+I45+J45+K45+L45+M45+N45+O45</f>
        <v>306950</v>
      </c>
      <c r="P46" s="51"/>
      <c r="Q46" s="51"/>
      <c r="R46" s="48"/>
      <c r="S46" s="48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</row>
    <row r="47" ht="15.75" customHeight="1">
      <c r="A47" s="4"/>
      <c r="B47" s="4"/>
      <c r="C47" s="5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3" t="s">
        <v>183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2"/>
      <c r="D50" s="4"/>
      <c r="E50" s="54" t="s">
        <v>184</v>
      </c>
      <c r="F50" s="55" t="s">
        <v>185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2"/>
      <c r="D51" s="4"/>
      <c r="E51" s="56" t="s">
        <v>186</v>
      </c>
      <c r="F51" s="55" t="s">
        <v>357</v>
      </c>
      <c r="G51" s="4"/>
      <c r="H51" s="4"/>
      <c r="I51" s="4"/>
      <c r="J51" s="4"/>
      <c r="K51" s="4"/>
      <c r="L51" s="4"/>
      <c r="M51" s="4"/>
      <c r="N51" s="4"/>
      <c r="O51" s="57" t="s">
        <v>183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2"/>
      <c r="D52" s="4"/>
      <c r="E52" s="56" t="s">
        <v>188</v>
      </c>
      <c r="F52" s="55" t="s">
        <v>194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56" t="s">
        <v>189</v>
      </c>
      <c r="F53" s="55" t="s">
        <v>194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2"/>
      <c r="D54" s="4"/>
      <c r="E54" s="56" t="s">
        <v>190</v>
      </c>
      <c r="F54" s="61" t="s">
        <v>622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56" t="s">
        <v>623</v>
      </c>
      <c r="F55" s="55" t="s">
        <v>185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56" t="s">
        <v>193</v>
      </c>
      <c r="F56" s="55" t="s">
        <v>185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56" t="s">
        <v>195</v>
      </c>
      <c r="F57" s="59" t="s">
        <v>196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57" t="s">
        <v>183</v>
      </c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4"/>
      <c r="F58" s="4"/>
      <c r="G58" s="4"/>
      <c r="H58" s="4"/>
      <c r="I58" s="4"/>
      <c r="J58" s="4"/>
      <c r="K58" s="4" t="str">
        <f>I72445</f>
        <v/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57" t="s">
        <v>197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>
        <v>7.0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5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5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5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5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5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5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5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R2:R4"/>
    <mergeCell ref="S2:S4"/>
    <mergeCell ref="F3:F4"/>
    <mergeCell ref="G3:H3"/>
    <mergeCell ref="I3:J3"/>
    <mergeCell ref="K3:K4"/>
    <mergeCell ref="F46:O46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6.88"/>
    <col customWidth="1" min="6" max="6" width="25.88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45.0" customHeight="1">
      <c r="A1" s="1" t="s">
        <v>624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15.75" customHeight="1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5.75" customHeight="1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45512.0</v>
      </c>
      <c r="C5" s="18" t="s">
        <v>625</v>
      </c>
      <c r="D5" s="19">
        <v>53664.0</v>
      </c>
      <c r="E5" s="20" t="s">
        <v>626</v>
      </c>
      <c r="F5" s="21"/>
      <c r="G5" s="22"/>
      <c r="H5" s="21"/>
      <c r="I5" s="23"/>
      <c r="J5" s="23">
        <v>5000.0</v>
      </c>
      <c r="K5" s="22"/>
      <c r="L5" s="22"/>
      <c r="M5" s="21"/>
      <c r="N5" s="22"/>
      <c r="O5" s="22"/>
      <c r="P5" s="24">
        <v>5000.0</v>
      </c>
      <c r="Q5" s="25">
        <f t="shared" ref="Q5:Q38" si="1">F5+G5+H5+I5+J5+K5+L5+M5+N5+O5-P5</f>
        <v>0</v>
      </c>
      <c r="R5" s="24" t="s">
        <v>25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45512.0</v>
      </c>
      <c r="C6" s="18" t="s">
        <v>627</v>
      </c>
      <c r="D6" s="19">
        <v>53664.0</v>
      </c>
      <c r="E6" s="20" t="s">
        <v>626</v>
      </c>
      <c r="F6" s="21"/>
      <c r="G6" s="22"/>
      <c r="H6" s="22"/>
      <c r="I6" s="21"/>
      <c r="J6" s="22">
        <v>5000.0</v>
      </c>
      <c r="K6" s="22"/>
      <c r="L6" s="22"/>
      <c r="M6" s="21"/>
      <c r="N6" s="22"/>
      <c r="O6" s="22"/>
      <c r="P6" s="24">
        <v>5000.0</v>
      </c>
      <c r="Q6" s="25">
        <f t="shared" si="1"/>
        <v>0</v>
      </c>
      <c r="R6" s="24" t="s">
        <v>25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45512.0</v>
      </c>
      <c r="C7" s="18" t="s">
        <v>628</v>
      </c>
      <c r="D7" s="19">
        <v>30895.0</v>
      </c>
      <c r="E7" s="20" t="s">
        <v>34</v>
      </c>
      <c r="F7" s="22"/>
      <c r="G7" s="22">
        <v>4500.0</v>
      </c>
      <c r="H7" s="21"/>
      <c r="I7" s="21"/>
      <c r="J7" s="23"/>
      <c r="K7" s="22"/>
      <c r="L7" s="22"/>
      <c r="M7" s="22"/>
      <c r="N7" s="22"/>
      <c r="O7" s="22"/>
      <c r="P7" s="24">
        <v>4500.0</v>
      </c>
      <c r="Q7" s="25">
        <f t="shared" si="1"/>
        <v>0</v>
      </c>
      <c r="R7" s="24" t="s">
        <v>25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45512.0</v>
      </c>
      <c r="C8" s="18" t="s">
        <v>629</v>
      </c>
      <c r="D8" s="19">
        <v>10001.0</v>
      </c>
      <c r="E8" s="20" t="s">
        <v>339</v>
      </c>
      <c r="F8" s="22"/>
      <c r="G8" s="22"/>
      <c r="H8" s="22"/>
      <c r="I8" s="21">
        <v>8900.0</v>
      </c>
      <c r="J8" s="21"/>
      <c r="K8" s="22"/>
      <c r="L8" s="22"/>
      <c r="M8" s="22"/>
      <c r="N8" s="22"/>
      <c r="O8" s="22"/>
      <c r="P8" s="24">
        <v>8900.0</v>
      </c>
      <c r="Q8" s="25">
        <f t="shared" si="1"/>
        <v>0</v>
      </c>
      <c r="R8" s="24" t="s">
        <v>68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45513.0</v>
      </c>
      <c r="C9" s="18" t="s">
        <v>630</v>
      </c>
      <c r="D9" s="19">
        <v>14329.0</v>
      </c>
      <c r="E9" s="20" t="s">
        <v>139</v>
      </c>
      <c r="F9" s="22"/>
      <c r="G9" s="22"/>
      <c r="H9" s="22"/>
      <c r="I9" s="21">
        <v>450.0</v>
      </c>
      <c r="J9" s="21"/>
      <c r="K9" s="22"/>
      <c r="L9" s="22"/>
      <c r="M9" s="21"/>
      <c r="N9" s="22"/>
      <c r="O9" s="22"/>
      <c r="P9" s="24">
        <v>450.0</v>
      </c>
      <c r="Q9" s="25">
        <f t="shared" si="1"/>
        <v>0</v>
      </c>
      <c r="R9" s="24" t="s">
        <v>30</v>
      </c>
      <c r="S9" s="26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45513.0</v>
      </c>
      <c r="C10" s="18" t="s">
        <v>631</v>
      </c>
      <c r="D10" s="19">
        <v>37642.0</v>
      </c>
      <c r="E10" s="20" t="s">
        <v>497</v>
      </c>
      <c r="F10" s="22"/>
      <c r="G10" s="22"/>
      <c r="H10" s="22"/>
      <c r="I10" s="21">
        <v>0.0</v>
      </c>
      <c r="J10" s="21"/>
      <c r="K10" s="22"/>
      <c r="L10" s="22"/>
      <c r="M10" s="21"/>
      <c r="N10" s="22"/>
      <c r="O10" s="22"/>
      <c r="P10" s="24">
        <v>10200.0</v>
      </c>
      <c r="Q10" s="25">
        <f t="shared" si="1"/>
        <v>-10200</v>
      </c>
      <c r="R10" s="24" t="s">
        <v>68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45513.0</v>
      </c>
      <c r="C11" s="18" t="s">
        <v>632</v>
      </c>
      <c r="D11" s="19">
        <v>44149.0</v>
      </c>
      <c r="E11" s="20" t="s">
        <v>231</v>
      </c>
      <c r="F11" s="22"/>
      <c r="G11" s="22"/>
      <c r="H11" s="22"/>
      <c r="I11" s="21">
        <v>10000.0</v>
      </c>
      <c r="J11" s="21"/>
      <c r="K11" s="22"/>
      <c r="L11" s="22"/>
      <c r="M11" s="21"/>
      <c r="N11" s="22"/>
      <c r="O11" s="22"/>
      <c r="P11" s="24">
        <v>10000.0</v>
      </c>
      <c r="Q11" s="25">
        <f t="shared" si="1"/>
        <v>0</v>
      </c>
      <c r="R11" s="24" t="s">
        <v>25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7">
        <v>45513.0</v>
      </c>
      <c r="C12" s="18" t="s">
        <v>633</v>
      </c>
      <c r="D12" s="19">
        <v>46927.0</v>
      </c>
      <c r="E12" s="20" t="s">
        <v>225</v>
      </c>
      <c r="F12" s="22"/>
      <c r="G12" s="22"/>
      <c r="H12" s="22"/>
      <c r="I12" s="21">
        <v>2500.0</v>
      </c>
      <c r="J12" s="21"/>
      <c r="K12" s="22"/>
      <c r="L12" s="22"/>
      <c r="M12" s="21"/>
      <c r="N12" s="22"/>
      <c r="O12" s="22"/>
      <c r="P12" s="24">
        <v>2500.0</v>
      </c>
      <c r="Q12" s="25">
        <f t="shared" si="1"/>
        <v>0</v>
      </c>
      <c r="R12" s="24" t="s">
        <v>51</v>
      </c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8">
        <v>45513.0</v>
      </c>
      <c r="C13" s="29" t="s">
        <v>634</v>
      </c>
      <c r="D13" s="30">
        <v>50436.0</v>
      </c>
      <c r="E13" s="31" t="s">
        <v>305</v>
      </c>
      <c r="F13" s="22"/>
      <c r="G13" s="22"/>
      <c r="H13" s="22"/>
      <c r="I13" s="21">
        <v>8400.0</v>
      </c>
      <c r="J13" s="21"/>
      <c r="K13" s="22"/>
      <c r="L13" s="22"/>
      <c r="M13" s="21"/>
      <c r="N13" s="22"/>
      <c r="O13" s="22"/>
      <c r="P13" s="32">
        <v>8400.0</v>
      </c>
      <c r="Q13" s="25">
        <f t="shared" si="1"/>
        <v>0</v>
      </c>
      <c r="R13" s="32" t="s">
        <v>25</v>
      </c>
      <c r="S13" s="26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 ht="34.5" customHeight="1">
      <c r="A14" s="16">
        <v>10.0</v>
      </c>
      <c r="B14" s="27">
        <v>45513.0</v>
      </c>
      <c r="C14" s="18" t="s">
        <v>635</v>
      </c>
      <c r="D14" s="19">
        <v>59244.0</v>
      </c>
      <c r="E14" s="20" t="s">
        <v>237</v>
      </c>
      <c r="F14" s="22"/>
      <c r="G14" s="22"/>
      <c r="H14" s="22"/>
      <c r="I14" s="21">
        <v>17000.0</v>
      </c>
      <c r="J14" s="21"/>
      <c r="K14" s="22"/>
      <c r="L14" s="22"/>
      <c r="M14" s="21"/>
      <c r="N14" s="22"/>
      <c r="O14" s="22"/>
      <c r="P14" s="24">
        <v>17000.0</v>
      </c>
      <c r="Q14" s="25">
        <f t="shared" si="1"/>
        <v>0</v>
      </c>
      <c r="R14" s="24" t="s">
        <v>30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45513.0</v>
      </c>
      <c r="C15" s="18" t="s">
        <v>636</v>
      </c>
      <c r="D15" s="19">
        <v>51406.0</v>
      </c>
      <c r="E15" s="20" t="s">
        <v>281</v>
      </c>
      <c r="F15" s="22"/>
      <c r="G15" s="22"/>
      <c r="H15" s="22"/>
      <c r="I15" s="21">
        <v>450.0</v>
      </c>
      <c r="J15" s="21"/>
      <c r="K15" s="22"/>
      <c r="L15" s="22"/>
      <c r="M15" s="21"/>
      <c r="N15" s="22"/>
      <c r="O15" s="22"/>
      <c r="P15" s="24">
        <v>450.0</v>
      </c>
      <c r="Q15" s="25">
        <f t="shared" si="1"/>
        <v>0</v>
      </c>
      <c r="R15" s="24" t="s">
        <v>30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45513.0</v>
      </c>
      <c r="C16" s="18" t="s">
        <v>637</v>
      </c>
      <c r="D16" s="19">
        <v>81108.0</v>
      </c>
      <c r="E16" s="20" t="s">
        <v>94</v>
      </c>
      <c r="F16" s="22"/>
      <c r="G16" s="22"/>
      <c r="H16" s="22"/>
      <c r="I16" s="21">
        <v>28500.0</v>
      </c>
      <c r="J16" s="21"/>
      <c r="K16" s="22"/>
      <c r="L16" s="22"/>
      <c r="M16" s="21"/>
      <c r="N16" s="22"/>
      <c r="O16" s="22"/>
      <c r="P16" s="24">
        <v>28500.0</v>
      </c>
      <c r="Q16" s="25">
        <f t="shared" si="1"/>
        <v>0</v>
      </c>
      <c r="R16" s="24" t="s">
        <v>30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45513.0</v>
      </c>
      <c r="C17" s="18" t="s">
        <v>638</v>
      </c>
      <c r="D17" s="19">
        <v>79725.0</v>
      </c>
      <c r="E17" s="20" t="s">
        <v>639</v>
      </c>
      <c r="F17" s="22"/>
      <c r="G17" s="22"/>
      <c r="H17" s="22"/>
      <c r="I17" s="21"/>
      <c r="J17" s="21"/>
      <c r="K17" s="22">
        <v>3000.0</v>
      </c>
      <c r="L17" s="22"/>
      <c r="M17" s="21"/>
      <c r="N17" s="22"/>
      <c r="O17" s="22"/>
      <c r="P17" s="24">
        <v>3000.0</v>
      </c>
      <c r="Q17" s="25">
        <f t="shared" si="1"/>
        <v>0</v>
      </c>
      <c r="R17" s="24" t="s">
        <v>25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7">
        <v>45513.0</v>
      </c>
      <c r="C18" s="18" t="s">
        <v>640</v>
      </c>
      <c r="D18" s="19">
        <v>21821.0</v>
      </c>
      <c r="E18" s="20" t="s">
        <v>641</v>
      </c>
      <c r="F18" s="22"/>
      <c r="G18" s="22"/>
      <c r="H18" s="22"/>
      <c r="I18" s="21"/>
      <c r="J18" s="21"/>
      <c r="K18" s="22">
        <v>137500.0</v>
      </c>
      <c r="L18" s="22"/>
      <c r="M18" s="22"/>
      <c r="N18" s="22"/>
      <c r="O18" s="22"/>
      <c r="P18" s="24">
        <v>137500.0</v>
      </c>
      <c r="Q18" s="25">
        <f t="shared" si="1"/>
        <v>0</v>
      </c>
      <c r="R18" s="24" t="s">
        <v>25</v>
      </c>
      <c r="S18" s="26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28">
        <v>45513.0</v>
      </c>
      <c r="C19" s="29" t="s">
        <v>642</v>
      </c>
      <c r="D19" s="30">
        <v>26831.0</v>
      </c>
      <c r="E19" s="31" t="s">
        <v>211</v>
      </c>
      <c r="F19" s="22"/>
      <c r="G19" s="22"/>
      <c r="H19" s="22"/>
      <c r="I19" s="21"/>
      <c r="J19" s="21">
        <v>25250.0</v>
      </c>
      <c r="K19" s="22"/>
      <c r="L19" s="22"/>
      <c r="M19" s="21"/>
      <c r="N19" s="22"/>
      <c r="O19" s="22"/>
      <c r="P19" s="32">
        <v>25250.0</v>
      </c>
      <c r="Q19" s="25">
        <f t="shared" si="1"/>
        <v>0</v>
      </c>
      <c r="R19" s="32" t="s">
        <v>30</v>
      </c>
      <c r="S19" s="26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ht="34.5" customHeight="1">
      <c r="A20" s="16">
        <v>16.0</v>
      </c>
      <c r="B20" s="27">
        <v>45513.0</v>
      </c>
      <c r="C20" s="18" t="s">
        <v>643</v>
      </c>
      <c r="D20" s="19">
        <v>55992.0</v>
      </c>
      <c r="E20" s="20" t="s">
        <v>567</v>
      </c>
      <c r="F20" s="22"/>
      <c r="G20" s="22"/>
      <c r="H20" s="22"/>
      <c r="I20" s="23">
        <v>2500.0</v>
      </c>
      <c r="J20" s="23"/>
      <c r="K20" s="22"/>
      <c r="L20" s="22"/>
      <c r="M20" s="22"/>
      <c r="N20" s="22"/>
      <c r="O20" s="22"/>
      <c r="P20" s="24">
        <v>2500.0</v>
      </c>
      <c r="Q20" s="25">
        <f t="shared" si="1"/>
        <v>0</v>
      </c>
      <c r="R20" s="24" t="s">
        <v>30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45513.0</v>
      </c>
      <c r="C21" s="18" t="s">
        <v>644</v>
      </c>
      <c r="D21" s="19">
        <v>79725.0</v>
      </c>
      <c r="E21" s="20" t="s">
        <v>639</v>
      </c>
      <c r="F21" s="21"/>
      <c r="G21" s="22"/>
      <c r="H21" s="22"/>
      <c r="I21" s="34"/>
      <c r="J21" s="22"/>
      <c r="K21" s="35">
        <v>6000.0</v>
      </c>
      <c r="L21" s="22"/>
      <c r="M21" s="22"/>
      <c r="N21" s="22"/>
      <c r="O21" s="22"/>
      <c r="P21" s="24">
        <v>6000.0</v>
      </c>
      <c r="Q21" s="25">
        <f t="shared" si="1"/>
        <v>0</v>
      </c>
      <c r="R21" s="24" t="s">
        <v>25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7">
        <v>45513.0</v>
      </c>
      <c r="C22" s="18" t="s">
        <v>645</v>
      </c>
      <c r="D22" s="19">
        <v>24368.0</v>
      </c>
      <c r="E22" s="20" t="s">
        <v>646</v>
      </c>
      <c r="F22" s="21"/>
      <c r="G22" s="22"/>
      <c r="H22" s="22"/>
      <c r="I22" s="21">
        <v>2489.0</v>
      </c>
      <c r="J22" s="22"/>
      <c r="K22" s="21">
        <v>2011.0</v>
      </c>
      <c r="L22" s="22"/>
      <c r="M22" s="22"/>
      <c r="N22" s="22"/>
      <c r="O22" s="22"/>
      <c r="P22" s="24">
        <v>4500.0</v>
      </c>
      <c r="Q22" s="25">
        <f t="shared" si="1"/>
        <v>0</v>
      </c>
      <c r="R22" s="24" t="s">
        <v>68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36">
        <v>45513.0</v>
      </c>
      <c r="C23" s="37" t="s">
        <v>647</v>
      </c>
      <c r="D23" s="38">
        <v>22332.0</v>
      </c>
      <c r="E23" s="39" t="s">
        <v>396</v>
      </c>
      <c r="F23" s="34"/>
      <c r="G23" s="40"/>
      <c r="H23" s="40"/>
      <c r="I23" s="34">
        <v>15000.0</v>
      </c>
      <c r="J23" s="34"/>
      <c r="K23" s="41"/>
      <c r="L23" s="40"/>
      <c r="M23" s="40"/>
      <c r="N23" s="40"/>
      <c r="O23" s="40"/>
      <c r="P23" s="42">
        <v>15000.0</v>
      </c>
      <c r="Q23" s="25">
        <f t="shared" si="1"/>
        <v>0</v>
      </c>
      <c r="R23" s="42" t="s">
        <v>68</v>
      </c>
      <c r="S23" s="26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</row>
    <row r="24" ht="34.5" customHeight="1">
      <c r="A24" s="16">
        <v>20.0</v>
      </c>
      <c r="B24" s="27">
        <v>45513.0</v>
      </c>
      <c r="C24" s="18" t="s">
        <v>648</v>
      </c>
      <c r="D24" s="19">
        <v>21818.0</v>
      </c>
      <c r="E24" s="20" t="s">
        <v>32</v>
      </c>
      <c r="F24" s="21"/>
      <c r="G24" s="22"/>
      <c r="H24" s="22"/>
      <c r="I24" s="21"/>
      <c r="J24" s="22"/>
      <c r="K24" s="35">
        <v>16200.0</v>
      </c>
      <c r="L24" s="22"/>
      <c r="M24" s="22"/>
      <c r="N24" s="22"/>
      <c r="O24" s="22"/>
      <c r="P24" s="24">
        <v>16200.0</v>
      </c>
      <c r="Q24" s="25">
        <f t="shared" si="1"/>
        <v>0</v>
      </c>
      <c r="R24" s="24" t="s">
        <v>68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45513.0</v>
      </c>
      <c r="C25" s="18" t="s">
        <v>649</v>
      </c>
      <c r="D25" s="19">
        <v>36555.0</v>
      </c>
      <c r="E25" s="20" t="s">
        <v>63</v>
      </c>
      <c r="F25" s="21"/>
      <c r="G25" s="22"/>
      <c r="H25" s="22"/>
      <c r="I25" s="21">
        <v>7000.0</v>
      </c>
      <c r="J25" s="21"/>
      <c r="K25" s="35"/>
      <c r="L25" s="22"/>
      <c r="M25" s="22"/>
      <c r="N25" s="22"/>
      <c r="O25" s="22"/>
      <c r="P25" s="24">
        <v>7000.0</v>
      </c>
      <c r="Q25" s="25">
        <f t="shared" si="1"/>
        <v>0</v>
      </c>
      <c r="R25" s="24" t="s">
        <v>68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45513.0</v>
      </c>
      <c r="C26" s="18" t="s">
        <v>650</v>
      </c>
      <c r="D26" s="19">
        <v>48052.0</v>
      </c>
      <c r="E26" s="20" t="s">
        <v>337</v>
      </c>
      <c r="F26" s="21"/>
      <c r="G26" s="22"/>
      <c r="H26" s="22"/>
      <c r="I26" s="35">
        <v>8400.0</v>
      </c>
      <c r="J26" s="21"/>
      <c r="K26" s="35"/>
      <c r="L26" s="22"/>
      <c r="M26" s="22"/>
      <c r="N26" s="22"/>
      <c r="O26" s="22"/>
      <c r="P26" s="24">
        <v>8400.0</v>
      </c>
      <c r="Q26" s="25">
        <f t="shared" si="1"/>
        <v>0</v>
      </c>
      <c r="R26" s="24" t="s">
        <v>51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45513.0</v>
      </c>
      <c r="C27" s="18" t="s">
        <v>651</v>
      </c>
      <c r="D27" s="19">
        <v>58074.0</v>
      </c>
      <c r="E27" s="20" t="s">
        <v>652</v>
      </c>
      <c r="F27" s="21"/>
      <c r="G27" s="22"/>
      <c r="H27" s="22"/>
      <c r="I27" s="21">
        <v>2550.0</v>
      </c>
      <c r="J27" s="21"/>
      <c r="K27" s="23"/>
      <c r="L27" s="22"/>
      <c r="M27" s="22"/>
      <c r="N27" s="22"/>
      <c r="O27" s="22"/>
      <c r="P27" s="24">
        <v>2550.0</v>
      </c>
      <c r="Q27" s="25">
        <f t="shared" si="1"/>
        <v>0</v>
      </c>
      <c r="R27" s="24" t="s">
        <v>51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45513.0</v>
      </c>
      <c r="C28" s="18" t="s">
        <v>653</v>
      </c>
      <c r="D28" s="19">
        <v>46558.0</v>
      </c>
      <c r="E28" s="20" t="s">
        <v>654</v>
      </c>
      <c r="F28" s="21"/>
      <c r="G28" s="22"/>
      <c r="H28" s="22"/>
      <c r="I28" s="21"/>
      <c r="J28" s="21">
        <v>4650.0</v>
      </c>
      <c r="K28" s="23"/>
      <c r="L28" s="22"/>
      <c r="M28" s="22"/>
      <c r="N28" s="22"/>
      <c r="O28" s="22"/>
      <c r="P28" s="24">
        <v>4650.0</v>
      </c>
      <c r="Q28" s="25">
        <f t="shared" si="1"/>
        <v>0</v>
      </c>
      <c r="R28" s="24" t="s">
        <v>51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45513.0</v>
      </c>
      <c r="C29" s="18" t="s">
        <v>655</v>
      </c>
      <c r="D29" s="19">
        <v>39317.0</v>
      </c>
      <c r="E29" s="20" t="s">
        <v>251</v>
      </c>
      <c r="F29" s="21"/>
      <c r="G29" s="22"/>
      <c r="H29" s="22"/>
      <c r="I29" s="21"/>
      <c r="J29" s="21">
        <v>3750.0</v>
      </c>
      <c r="K29" s="23"/>
      <c r="L29" s="22"/>
      <c r="M29" s="22"/>
      <c r="N29" s="22"/>
      <c r="O29" s="22"/>
      <c r="P29" s="24">
        <v>3750.0</v>
      </c>
      <c r="Q29" s="25">
        <f t="shared" si="1"/>
        <v>0</v>
      </c>
      <c r="R29" s="24" t="s">
        <v>25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45513.0</v>
      </c>
      <c r="C30" s="18" t="s">
        <v>656</v>
      </c>
      <c r="D30" s="19">
        <v>49655.0</v>
      </c>
      <c r="E30" s="20" t="s">
        <v>657</v>
      </c>
      <c r="F30" s="21"/>
      <c r="G30" s="22"/>
      <c r="H30" s="22"/>
      <c r="I30" s="21"/>
      <c r="J30" s="21"/>
      <c r="K30" s="23">
        <v>12500.0</v>
      </c>
      <c r="L30" s="22"/>
      <c r="M30" s="22"/>
      <c r="N30" s="22"/>
      <c r="O30" s="22"/>
      <c r="P30" s="24">
        <v>12500.0</v>
      </c>
      <c r="Q30" s="25">
        <f t="shared" si="1"/>
        <v>0</v>
      </c>
      <c r="R30" s="24" t="s">
        <v>51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45513.0</v>
      </c>
      <c r="C31" s="18" t="s">
        <v>658</v>
      </c>
      <c r="D31" s="19">
        <v>83598.0</v>
      </c>
      <c r="E31" s="20" t="s">
        <v>585</v>
      </c>
      <c r="F31" s="21"/>
      <c r="G31" s="22"/>
      <c r="H31" s="22"/>
      <c r="I31" s="21">
        <v>4600.0</v>
      </c>
      <c r="J31" s="21"/>
      <c r="K31" s="23"/>
      <c r="L31" s="22"/>
      <c r="M31" s="22"/>
      <c r="N31" s="22"/>
      <c r="O31" s="22"/>
      <c r="P31" s="24">
        <v>4600.0</v>
      </c>
      <c r="Q31" s="25">
        <f t="shared" si="1"/>
        <v>0</v>
      </c>
      <c r="R31" s="24" t="s">
        <v>25</v>
      </c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45513.0</v>
      </c>
      <c r="C32" s="18" t="s">
        <v>659</v>
      </c>
      <c r="D32" s="19">
        <v>21818.0</v>
      </c>
      <c r="E32" s="20" t="s">
        <v>32</v>
      </c>
      <c r="F32" s="21"/>
      <c r="G32" s="22"/>
      <c r="H32" s="22"/>
      <c r="I32" s="21"/>
      <c r="J32" s="21"/>
      <c r="K32" s="23">
        <v>1450.0</v>
      </c>
      <c r="L32" s="22"/>
      <c r="M32" s="22"/>
      <c r="N32" s="22"/>
      <c r="O32" s="22"/>
      <c r="P32" s="24">
        <v>1450.0</v>
      </c>
      <c r="Q32" s="25">
        <f t="shared" si="1"/>
        <v>0</v>
      </c>
      <c r="R32" s="24" t="s">
        <v>25</v>
      </c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45513.0</v>
      </c>
      <c r="C33" s="18" t="s">
        <v>660</v>
      </c>
      <c r="D33" s="19">
        <v>70337.0</v>
      </c>
      <c r="E33" s="20" t="s">
        <v>661</v>
      </c>
      <c r="F33" s="21"/>
      <c r="G33" s="22"/>
      <c r="H33" s="22"/>
      <c r="I33" s="21">
        <v>8400.0</v>
      </c>
      <c r="J33" s="21"/>
      <c r="K33" s="23"/>
      <c r="L33" s="22"/>
      <c r="M33" s="22"/>
      <c r="N33" s="22"/>
      <c r="O33" s="22"/>
      <c r="P33" s="24">
        <v>8400.0</v>
      </c>
      <c r="Q33" s="25">
        <f t="shared" si="1"/>
        <v>0</v>
      </c>
      <c r="R33" s="24" t="s">
        <v>51</v>
      </c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7">
        <v>45512.0</v>
      </c>
      <c r="C34" s="18" t="s">
        <v>662</v>
      </c>
      <c r="D34" s="19">
        <v>51017.0</v>
      </c>
      <c r="E34" s="20" t="s">
        <v>270</v>
      </c>
      <c r="F34" s="21"/>
      <c r="G34" s="22"/>
      <c r="H34" s="22">
        <v>12500.0</v>
      </c>
      <c r="I34" s="21"/>
      <c r="J34" s="21"/>
      <c r="K34" s="23"/>
      <c r="L34" s="22"/>
      <c r="M34" s="22"/>
      <c r="N34" s="22"/>
      <c r="O34" s="22"/>
      <c r="P34" s="24">
        <v>12500.0</v>
      </c>
      <c r="Q34" s="25">
        <f t="shared" si="1"/>
        <v>0</v>
      </c>
      <c r="R34" s="24"/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7">
        <v>45513.0</v>
      </c>
      <c r="C35" s="18" t="s">
        <v>663</v>
      </c>
      <c r="D35" s="19">
        <v>50436.0</v>
      </c>
      <c r="E35" s="20" t="s">
        <v>305</v>
      </c>
      <c r="F35" s="21"/>
      <c r="G35" s="22"/>
      <c r="H35" s="22"/>
      <c r="I35" s="21"/>
      <c r="J35" s="21"/>
      <c r="K35" s="23"/>
      <c r="L35" s="22"/>
      <c r="M35" s="22"/>
      <c r="N35" s="22"/>
      <c r="O35" s="22">
        <v>450.0</v>
      </c>
      <c r="P35" s="24">
        <v>450.0</v>
      </c>
      <c r="Q35" s="25">
        <f t="shared" si="1"/>
        <v>0</v>
      </c>
      <c r="R35" s="24"/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7">
        <v>45513.0</v>
      </c>
      <c r="C36" s="18" t="s">
        <v>664</v>
      </c>
      <c r="D36" s="19">
        <v>70337.0</v>
      </c>
      <c r="E36" s="20" t="s">
        <v>661</v>
      </c>
      <c r="F36" s="21"/>
      <c r="G36" s="22"/>
      <c r="H36" s="22"/>
      <c r="I36" s="21"/>
      <c r="J36" s="21"/>
      <c r="K36" s="23"/>
      <c r="L36" s="22"/>
      <c r="M36" s="22"/>
      <c r="N36" s="22"/>
      <c r="O36" s="22">
        <v>900.0</v>
      </c>
      <c r="P36" s="24">
        <v>900.0</v>
      </c>
      <c r="Q36" s="25">
        <f t="shared" si="1"/>
        <v>0</v>
      </c>
      <c r="R36" s="24"/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7">
        <v>45513.0</v>
      </c>
      <c r="C37" s="18" t="s">
        <v>665</v>
      </c>
      <c r="D37" s="19">
        <v>50136.0</v>
      </c>
      <c r="E37" s="20" t="s">
        <v>666</v>
      </c>
      <c r="F37" s="21"/>
      <c r="G37" s="22"/>
      <c r="H37" s="22"/>
      <c r="I37" s="21"/>
      <c r="J37" s="21"/>
      <c r="K37" s="23"/>
      <c r="L37" s="22"/>
      <c r="M37" s="22"/>
      <c r="N37" s="22"/>
      <c r="O37" s="22">
        <v>22000.0</v>
      </c>
      <c r="P37" s="24">
        <v>22000.0</v>
      </c>
      <c r="Q37" s="25">
        <f t="shared" si="1"/>
        <v>0</v>
      </c>
      <c r="R37" s="24"/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/>
      <c r="B38" s="27"/>
      <c r="C38" s="18"/>
      <c r="D38" s="19"/>
      <c r="E38" s="20"/>
      <c r="F38" s="21"/>
      <c r="G38" s="22"/>
      <c r="H38" s="22"/>
      <c r="I38" s="21"/>
      <c r="J38" s="21"/>
      <c r="K38" s="23"/>
      <c r="L38" s="22"/>
      <c r="M38" s="22"/>
      <c r="N38" s="22"/>
      <c r="O38" s="22"/>
      <c r="P38" s="24"/>
      <c r="Q38" s="25">
        <f t="shared" si="1"/>
        <v>0</v>
      </c>
      <c r="R38" s="24"/>
      <c r="S38" s="26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7.5" customHeight="1">
      <c r="A39" s="16"/>
      <c r="B39" s="27"/>
      <c r="C39" s="18"/>
      <c r="D39" s="19" t="s">
        <v>183</v>
      </c>
      <c r="E39" s="20"/>
      <c r="F39" s="45">
        <f>SUM(F3:F38)</f>
        <v>0</v>
      </c>
      <c r="G39" s="45">
        <f t="shared" ref="G39:P39" si="2">SUM(G5:G38)</f>
        <v>4500</v>
      </c>
      <c r="H39" s="45">
        <f t="shared" si="2"/>
        <v>12500</v>
      </c>
      <c r="I39" s="45">
        <f t="shared" si="2"/>
        <v>127139</v>
      </c>
      <c r="J39" s="45">
        <f t="shared" si="2"/>
        <v>43650</v>
      </c>
      <c r="K39" s="45">
        <f t="shared" si="2"/>
        <v>178661</v>
      </c>
      <c r="L39" s="45">
        <f t="shared" si="2"/>
        <v>0</v>
      </c>
      <c r="M39" s="45">
        <f t="shared" si="2"/>
        <v>0</v>
      </c>
      <c r="N39" s="45">
        <f t="shared" si="2"/>
        <v>0</v>
      </c>
      <c r="O39" s="45">
        <f t="shared" si="2"/>
        <v>23350</v>
      </c>
      <c r="P39" s="45">
        <f t="shared" si="2"/>
        <v>400000</v>
      </c>
      <c r="Q39" s="46">
        <v>0.0</v>
      </c>
      <c r="R39" s="47"/>
      <c r="S39" s="26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</row>
    <row r="40" ht="15.75" customHeight="1">
      <c r="A40" s="48"/>
      <c r="B40" s="48"/>
      <c r="C40" s="49"/>
      <c r="D40" s="48"/>
      <c r="E40" s="48"/>
      <c r="F40" s="50">
        <f>F39+G39+H39+I39+J39+K39+L39+M39+N39+O39</f>
        <v>389800</v>
      </c>
      <c r="P40" s="51"/>
      <c r="Q40" s="51"/>
      <c r="R40" s="48"/>
      <c r="S40" s="48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</row>
    <row r="41" ht="15.75" customHeight="1">
      <c r="A41" s="4"/>
      <c r="B41" s="4"/>
      <c r="C41" s="52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5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53" t="s">
        <v>183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52"/>
      <c r="D44" s="4"/>
      <c r="E44" s="54" t="s">
        <v>184</v>
      </c>
      <c r="F44" s="55" t="s">
        <v>194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52"/>
      <c r="D45" s="4"/>
      <c r="E45" s="56" t="s">
        <v>186</v>
      </c>
      <c r="F45" s="55" t="s">
        <v>187</v>
      </c>
      <c r="G45" s="4"/>
      <c r="H45" s="4"/>
      <c r="I45" s="4"/>
      <c r="J45" s="4"/>
      <c r="K45" s="4"/>
      <c r="L45" s="4"/>
      <c r="M45" s="4"/>
      <c r="N45" s="4"/>
      <c r="O45" s="57" t="s">
        <v>183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52"/>
      <c r="D46" s="4"/>
      <c r="E46" s="56" t="s">
        <v>188</v>
      </c>
      <c r="F46" s="55" t="s">
        <v>194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52"/>
      <c r="D47" s="4"/>
      <c r="E47" s="56" t="s">
        <v>189</v>
      </c>
      <c r="F47" s="55" t="s">
        <v>194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2"/>
      <c r="D48" s="4"/>
      <c r="E48" s="56" t="s">
        <v>190</v>
      </c>
      <c r="F48" s="61" t="s">
        <v>667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2"/>
      <c r="D49" s="4"/>
      <c r="E49" s="56" t="s">
        <v>668</v>
      </c>
      <c r="F49" s="55" t="s">
        <v>185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2"/>
      <c r="D50" s="4"/>
      <c r="E50" s="56" t="s">
        <v>193</v>
      </c>
      <c r="F50" s="55" t="s">
        <v>194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2"/>
      <c r="D51" s="4"/>
      <c r="E51" s="56" t="s">
        <v>195</v>
      </c>
      <c r="F51" s="59" t="s">
        <v>196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57" t="s">
        <v>183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2"/>
      <c r="D52" s="4"/>
      <c r="E52" s="4"/>
      <c r="F52" s="4"/>
      <c r="G52" s="4"/>
      <c r="H52" s="4"/>
      <c r="I52" s="4"/>
      <c r="J52" s="4"/>
      <c r="K52" s="4" t="str">
        <f>I72439</f>
        <v/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57" t="s">
        <v>197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>
        <v>7.0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5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R2:R4"/>
    <mergeCell ref="S2:S4"/>
    <mergeCell ref="F3:F4"/>
    <mergeCell ref="G3:H3"/>
    <mergeCell ref="I3:J3"/>
    <mergeCell ref="K3:K4"/>
    <mergeCell ref="F40:O40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6.88"/>
    <col customWidth="1" min="6" max="6" width="25.88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45.0" customHeight="1">
      <c r="A1" s="1" t="s">
        <v>669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15.75" customHeight="1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5.75" customHeight="1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45513.0</v>
      </c>
      <c r="C5" s="18" t="s">
        <v>670</v>
      </c>
      <c r="D5" s="19">
        <v>62810.0</v>
      </c>
      <c r="E5" s="20" t="s">
        <v>671</v>
      </c>
      <c r="F5" s="21"/>
      <c r="G5" s="22"/>
      <c r="H5" s="21"/>
      <c r="I5" s="23">
        <v>5150.0</v>
      </c>
      <c r="J5" s="23"/>
      <c r="K5" s="22"/>
      <c r="L5" s="22"/>
      <c r="M5" s="21"/>
      <c r="N5" s="22"/>
      <c r="O5" s="22"/>
      <c r="P5" s="24">
        <v>5150.0</v>
      </c>
      <c r="Q5" s="25">
        <f t="shared" ref="Q5:Q47" si="1">F5+G5+H5+I5+J5+K5+L5+M5+N5+O5-P5</f>
        <v>0</v>
      </c>
      <c r="R5" s="24" t="s">
        <v>30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45513.0</v>
      </c>
      <c r="C6" s="18" t="s">
        <v>672</v>
      </c>
      <c r="D6" s="19">
        <v>74490.0</v>
      </c>
      <c r="E6" s="20" t="s">
        <v>673</v>
      </c>
      <c r="F6" s="21"/>
      <c r="G6" s="22"/>
      <c r="H6" s="22"/>
      <c r="I6" s="21">
        <v>12500.0</v>
      </c>
      <c r="J6" s="22"/>
      <c r="K6" s="22"/>
      <c r="L6" s="22"/>
      <c r="M6" s="21"/>
      <c r="N6" s="22"/>
      <c r="O6" s="22"/>
      <c r="P6" s="24">
        <v>12500.0</v>
      </c>
      <c r="Q6" s="25">
        <f t="shared" si="1"/>
        <v>0</v>
      </c>
      <c r="R6" s="24" t="s">
        <v>30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45513.0</v>
      </c>
      <c r="C7" s="18" t="s">
        <v>674</v>
      </c>
      <c r="D7" s="19">
        <v>56980.0</v>
      </c>
      <c r="E7" s="20" t="s">
        <v>262</v>
      </c>
      <c r="F7" s="22"/>
      <c r="G7" s="22">
        <v>5000.0</v>
      </c>
      <c r="H7" s="21"/>
      <c r="I7" s="21"/>
      <c r="J7" s="23"/>
      <c r="K7" s="22"/>
      <c r="L7" s="22"/>
      <c r="M7" s="22"/>
      <c r="N7" s="22"/>
      <c r="O7" s="22"/>
      <c r="P7" s="24">
        <v>5000.0</v>
      </c>
      <c r="Q7" s="25">
        <f t="shared" si="1"/>
        <v>0</v>
      </c>
      <c r="R7" s="24" t="s">
        <v>68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45514.0</v>
      </c>
      <c r="C8" s="18" t="s">
        <v>675</v>
      </c>
      <c r="D8" s="19">
        <v>80455.0</v>
      </c>
      <c r="E8" s="20" t="s">
        <v>676</v>
      </c>
      <c r="F8" s="22"/>
      <c r="G8" s="22"/>
      <c r="H8" s="22"/>
      <c r="I8" s="21">
        <v>9500.0</v>
      </c>
      <c r="J8" s="21"/>
      <c r="K8" s="22"/>
      <c r="L8" s="22"/>
      <c r="M8" s="22"/>
      <c r="N8" s="22"/>
      <c r="O8" s="22"/>
      <c r="P8" s="24">
        <v>9500.0</v>
      </c>
      <c r="Q8" s="25">
        <f t="shared" si="1"/>
        <v>0</v>
      </c>
      <c r="R8" s="24" t="s">
        <v>30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45514.0</v>
      </c>
      <c r="C9" s="18" t="s">
        <v>677</v>
      </c>
      <c r="D9" s="19">
        <v>50020.0</v>
      </c>
      <c r="E9" s="20" t="s">
        <v>678</v>
      </c>
      <c r="F9" s="22"/>
      <c r="G9" s="22"/>
      <c r="H9" s="22"/>
      <c r="I9" s="21"/>
      <c r="J9" s="21">
        <v>2650.0</v>
      </c>
      <c r="K9" s="22"/>
      <c r="L9" s="22"/>
      <c r="M9" s="21"/>
      <c r="N9" s="22"/>
      <c r="O9" s="22"/>
      <c r="P9" s="24">
        <v>2650.0</v>
      </c>
      <c r="Q9" s="25">
        <f t="shared" si="1"/>
        <v>0</v>
      </c>
      <c r="R9" s="24" t="s">
        <v>30</v>
      </c>
      <c r="S9" s="26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45514.0</v>
      </c>
      <c r="C10" s="18" t="s">
        <v>679</v>
      </c>
      <c r="D10" s="19">
        <v>76360.0</v>
      </c>
      <c r="E10" s="20" t="s">
        <v>369</v>
      </c>
      <c r="F10" s="22"/>
      <c r="G10" s="22"/>
      <c r="H10" s="22"/>
      <c r="I10" s="21">
        <v>5000.0</v>
      </c>
      <c r="J10" s="21"/>
      <c r="K10" s="22"/>
      <c r="L10" s="22"/>
      <c r="M10" s="21"/>
      <c r="N10" s="22"/>
      <c r="O10" s="22"/>
      <c r="P10" s="24">
        <v>5000.0</v>
      </c>
      <c r="Q10" s="25">
        <f t="shared" si="1"/>
        <v>0</v>
      </c>
      <c r="R10" s="24" t="s">
        <v>30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45514.0</v>
      </c>
      <c r="C11" s="18" t="s">
        <v>680</v>
      </c>
      <c r="D11" s="19">
        <v>59812.0</v>
      </c>
      <c r="E11" s="20" t="s">
        <v>681</v>
      </c>
      <c r="F11" s="22"/>
      <c r="G11" s="22"/>
      <c r="H11" s="22"/>
      <c r="I11" s="21">
        <v>6400.0</v>
      </c>
      <c r="J11" s="21"/>
      <c r="K11" s="22"/>
      <c r="L11" s="22"/>
      <c r="M11" s="21"/>
      <c r="N11" s="22"/>
      <c r="O11" s="22"/>
      <c r="P11" s="24">
        <v>6400.0</v>
      </c>
      <c r="Q11" s="25">
        <f t="shared" si="1"/>
        <v>0</v>
      </c>
      <c r="R11" s="24" t="s">
        <v>51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7">
        <v>45514.0</v>
      </c>
      <c r="C12" s="18" t="s">
        <v>682</v>
      </c>
      <c r="D12" s="19">
        <v>45227.0</v>
      </c>
      <c r="E12" s="20" t="s">
        <v>483</v>
      </c>
      <c r="F12" s="22"/>
      <c r="G12" s="22"/>
      <c r="H12" s="22"/>
      <c r="I12" s="21">
        <v>1250.0</v>
      </c>
      <c r="J12" s="21"/>
      <c r="K12" s="22"/>
      <c r="L12" s="22"/>
      <c r="M12" s="21"/>
      <c r="N12" s="22"/>
      <c r="O12" s="22"/>
      <c r="P12" s="24">
        <v>1250.0</v>
      </c>
      <c r="Q12" s="25">
        <f t="shared" si="1"/>
        <v>0</v>
      </c>
      <c r="R12" s="24" t="s">
        <v>479</v>
      </c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8">
        <v>45514.0</v>
      </c>
      <c r="C13" s="29" t="s">
        <v>683</v>
      </c>
      <c r="D13" s="30">
        <v>54280.0</v>
      </c>
      <c r="E13" s="31" t="s">
        <v>684</v>
      </c>
      <c r="F13" s="22"/>
      <c r="G13" s="22"/>
      <c r="H13" s="22"/>
      <c r="I13" s="21">
        <v>1600.0</v>
      </c>
      <c r="J13" s="21"/>
      <c r="K13" s="22"/>
      <c r="L13" s="22"/>
      <c r="M13" s="21"/>
      <c r="N13" s="22"/>
      <c r="O13" s="22"/>
      <c r="P13" s="32">
        <v>1600.0</v>
      </c>
      <c r="Q13" s="25">
        <f t="shared" si="1"/>
        <v>0</v>
      </c>
      <c r="R13" s="32" t="s">
        <v>51</v>
      </c>
      <c r="S13" s="26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 ht="34.5" customHeight="1">
      <c r="A14" s="16">
        <v>10.0</v>
      </c>
      <c r="B14" s="27">
        <v>45514.0</v>
      </c>
      <c r="C14" s="18" t="s">
        <v>685</v>
      </c>
      <c r="D14" s="19">
        <v>31738.0</v>
      </c>
      <c r="E14" s="20" t="s">
        <v>686</v>
      </c>
      <c r="F14" s="22"/>
      <c r="G14" s="22"/>
      <c r="H14" s="22"/>
      <c r="I14" s="21">
        <v>5000.0</v>
      </c>
      <c r="J14" s="21"/>
      <c r="K14" s="22"/>
      <c r="L14" s="22"/>
      <c r="M14" s="21"/>
      <c r="N14" s="22"/>
      <c r="O14" s="22"/>
      <c r="P14" s="24">
        <v>5000.0</v>
      </c>
      <c r="Q14" s="25">
        <f t="shared" si="1"/>
        <v>0</v>
      </c>
      <c r="R14" s="24" t="s">
        <v>479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45514.0</v>
      </c>
      <c r="C15" s="18" t="s">
        <v>687</v>
      </c>
      <c r="D15" s="19">
        <v>52083.0</v>
      </c>
      <c r="E15" s="20" t="s">
        <v>122</v>
      </c>
      <c r="F15" s="22"/>
      <c r="G15" s="22"/>
      <c r="H15" s="22"/>
      <c r="I15" s="21">
        <v>10100.0</v>
      </c>
      <c r="J15" s="21"/>
      <c r="K15" s="22"/>
      <c r="L15" s="22"/>
      <c r="M15" s="21"/>
      <c r="N15" s="22"/>
      <c r="O15" s="22"/>
      <c r="P15" s="24">
        <v>10100.0</v>
      </c>
      <c r="Q15" s="25">
        <f t="shared" si="1"/>
        <v>0</v>
      </c>
      <c r="R15" s="24" t="s">
        <v>30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45514.0</v>
      </c>
      <c r="C16" s="18" t="s">
        <v>688</v>
      </c>
      <c r="D16" s="19">
        <v>36555.0</v>
      </c>
      <c r="E16" s="20" t="s">
        <v>63</v>
      </c>
      <c r="F16" s="22"/>
      <c r="G16" s="22"/>
      <c r="H16" s="22"/>
      <c r="I16" s="21">
        <v>10000.0</v>
      </c>
      <c r="J16" s="21"/>
      <c r="K16" s="22"/>
      <c r="L16" s="22"/>
      <c r="M16" s="21"/>
      <c r="N16" s="22"/>
      <c r="O16" s="22"/>
      <c r="P16" s="24">
        <v>10000.0</v>
      </c>
      <c r="Q16" s="25">
        <f t="shared" si="1"/>
        <v>0</v>
      </c>
      <c r="R16" s="24" t="s">
        <v>51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45514.0</v>
      </c>
      <c r="C17" s="18" t="s">
        <v>689</v>
      </c>
      <c r="D17" s="19">
        <v>84370.0</v>
      </c>
      <c r="E17" s="20" t="s">
        <v>690</v>
      </c>
      <c r="F17" s="22"/>
      <c r="G17" s="22"/>
      <c r="H17" s="22"/>
      <c r="I17" s="21"/>
      <c r="J17" s="21">
        <v>300.0</v>
      </c>
      <c r="K17" s="22"/>
      <c r="L17" s="22"/>
      <c r="M17" s="21"/>
      <c r="N17" s="22"/>
      <c r="O17" s="22"/>
      <c r="P17" s="24">
        <v>300.0</v>
      </c>
      <c r="Q17" s="25">
        <f t="shared" si="1"/>
        <v>0</v>
      </c>
      <c r="R17" s="24" t="s">
        <v>479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7">
        <v>45514.0</v>
      </c>
      <c r="C18" s="18" t="s">
        <v>691</v>
      </c>
      <c r="D18" s="19">
        <v>50436.0</v>
      </c>
      <c r="E18" s="20" t="s">
        <v>305</v>
      </c>
      <c r="F18" s="22"/>
      <c r="G18" s="22"/>
      <c r="H18" s="22"/>
      <c r="I18" s="21">
        <v>2500.0</v>
      </c>
      <c r="J18" s="21"/>
      <c r="K18" s="22"/>
      <c r="L18" s="22"/>
      <c r="M18" s="22"/>
      <c r="N18" s="22"/>
      <c r="O18" s="22"/>
      <c r="P18" s="24">
        <v>2500.0</v>
      </c>
      <c r="Q18" s="25">
        <f t="shared" si="1"/>
        <v>0</v>
      </c>
      <c r="R18" s="24" t="s">
        <v>68</v>
      </c>
      <c r="S18" s="26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28">
        <v>45514.0</v>
      </c>
      <c r="C19" s="29" t="s">
        <v>692</v>
      </c>
      <c r="D19" s="30">
        <v>53249.0</v>
      </c>
      <c r="E19" s="31" t="s">
        <v>401</v>
      </c>
      <c r="F19" s="22"/>
      <c r="G19" s="22"/>
      <c r="H19" s="22"/>
      <c r="I19" s="21">
        <v>31000.0</v>
      </c>
      <c r="J19" s="21">
        <v>15000.0</v>
      </c>
      <c r="K19" s="22"/>
      <c r="L19" s="22"/>
      <c r="M19" s="21"/>
      <c r="N19" s="22"/>
      <c r="O19" s="22"/>
      <c r="P19" s="32">
        <v>46000.0</v>
      </c>
      <c r="Q19" s="25">
        <f t="shared" si="1"/>
        <v>0</v>
      </c>
      <c r="R19" s="32" t="s">
        <v>68</v>
      </c>
      <c r="S19" s="26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ht="34.5" customHeight="1">
      <c r="A20" s="16">
        <v>16.0</v>
      </c>
      <c r="B20" s="27">
        <v>45514.0</v>
      </c>
      <c r="C20" s="18" t="s">
        <v>693</v>
      </c>
      <c r="D20" s="19">
        <v>53249.0</v>
      </c>
      <c r="E20" s="20" t="s">
        <v>401</v>
      </c>
      <c r="F20" s="22"/>
      <c r="G20" s="22"/>
      <c r="H20" s="22"/>
      <c r="I20" s="23"/>
      <c r="J20" s="23">
        <v>300.0</v>
      </c>
      <c r="K20" s="22"/>
      <c r="L20" s="22"/>
      <c r="M20" s="22"/>
      <c r="N20" s="22"/>
      <c r="O20" s="22"/>
      <c r="P20" s="24">
        <v>300.0</v>
      </c>
      <c r="Q20" s="25">
        <f t="shared" si="1"/>
        <v>0</v>
      </c>
      <c r="R20" s="24" t="s">
        <v>68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45514.0</v>
      </c>
      <c r="C21" s="18" t="s">
        <v>694</v>
      </c>
      <c r="D21" s="19">
        <v>73864.0</v>
      </c>
      <c r="E21" s="20" t="s">
        <v>511</v>
      </c>
      <c r="F21" s="21"/>
      <c r="G21" s="22"/>
      <c r="H21" s="22"/>
      <c r="I21" s="34">
        <v>10000.0</v>
      </c>
      <c r="J21" s="22"/>
      <c r="K21" s="35"/>
      <c r="L21" s="22"/>
      <c r="M21" s="22"/>
      <c r="N21" s="22"/>
      <c r="O21" s="22"/>
      <c r="P21" s="24">
        <v>10000.0</v>
      </c>
      <c r="Q21" s="25">
        <f t="shared" si="1"/>
        <v>0</v>
      </c>
      <c r="R21" s="24" t="s">
        <v>30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7">
        <v>45514.0</v>
      </c>
      <c r="C22" s="18" t="s">
        <v>695</v>
      </c>
      <c r="D22" s="19">
        <v>52247.0</v>
      </c>
      <c r="E22" s="20" t="s">
        <v>696</v>
      </c>
      <c r="F22" s="21"/>
      <c r="G22" s="22"/>
      <c r="H22" s="22"/>
      <c r="I22" s="21">
        <v>59500.0</v>
      </c>
      <c r="J22" s="22"/>
      <c r="K22" s="21"/>
      <c r="L22" s="22"/>
      <c r="M22" s="22"/>
      <c r="N22" s="22"/>
      <c r="O22" s="22"/>
      <c r="P22" s="24">
        <v>59500.0</v>
      </c>
      <c r="Q22" s="25">
        <f t="shared" si="1"/>
        <v>0</v>
      </c>
      <c r="R22" s="24" t="s">
        <v>479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36">
        <v>45514.0</v>
      </c>
      <c r="C23" s="37" t="s">
        <v>697</v>
      </c>
      <c r="D23" s="38">
        <v>78454.0</v>
      </c>
      <c r="E23" s="39" t="s">
        <v>131</v>
      </c>
      <c r="F23" s="34"/>
      <c r="G23" s="40"/>
      <c r="H23" s="40"/>
      <c r="I23" s="34">
        <v>2650.0</v>
      </c>
      <c r="J23" s="34"/>
      <c r="K23" s="41"/>
      <c r="L23" s="40"/>
      <c r="M23" s="40"/>
      <c r="N23" s="40"/>
      <c r="O23" s="40"/>
      <c r="P23" s="42">
        <v>2650.0</v>
      </c>
      <c r="Q23" s="25">
        <f t="shared" si="1"/>
        <v>0</v>
      </c>
      <c r="R23" s="42" t="s">
        <v>30</v>
      </c>
      <c r="S23" s="26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</row>
    <row r="24" ht="34.5" customHeight="1">
      <c r="A24" s="16">
        <v>20.0</v>
      </c>
      <c r="B24" s="27">
        <v>45514.0</v>
      </c>
      <c r="C24" s="18" t="s">
        <v>698</v>
      </c>
      <c r="D24" s="19">
        <v>36555.0</v>
      </c>
      <c r="E24" s="20" t="s">
        <v>63</v>
      </c>
      <c r="F24" s="21">
        <v>300.0</v>
      </c>
      <c r="G24" s="22"/>
      <c r="H24" s="22"/>
      <c r="I24" s="21"/>
      <c r="J24" s="22"/>
      <c r="K24" s="35"/>
      <c r="L24" s="22"/>
      <c r="M24" s="22"/>
      <c r="N24" s="22"/>
      <c r="O24" s="22"/>
      <c r="P24" s="24">
        <v>300.0</v>
      </c>
      <c r="Q24" s="25">
        <f t="shared" si="1"/>
        <v>0</v>
      </c>
      <c r="R24" s="24" t="s">
        <v>30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45514.0</v>
      </c>
      <c r="C25" s="18" t="s">
        <v>699</v>
      </c>
      <c r="D25" s="19">
        <v>84372.0</v>
      </c>
      <c r="E25" s="20" t="s">
        <v>700</v>
      </c>
      <c r="F25" s="21"/>
      <c r="G25" s="22">
        <v>7300.0</v>
      </c>
      <c r="H25" s="22"/>
      <c r="I25" s="21"/>
      <c r="J25" s="21"/>
      <c r="K25" s="35"/>
      <c r="L25" s="22"/>
      <c r="M25" s="22"/>
      <c r="N25" s="22"/>
      <c r="O25" s="22"/>
      <c r="P25" s="24">
        <v>7300.0</v>
      </c>
      <c r="Q25" s="25">
        <f t="shared" si="1"/>
        <v>0</v>
      </c>
      <c r="R25" s="24" t="s">
        <v>68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45514.0</v>
      </c>
      <c r="C26" s="18" t="s">
        <v>701</v>
      </c>
      <c r="D26" s="19">
        <v>84372.0</v>
      </c>
      <c r="E26" s="20" t="s">
        <v>700</v>
      </c>
      <c r="F26" s="21"/>
      <c r="G26" s="22">
        <v>2450.0</v>
      </c>
      <c r="H26" s="22"/>
      <c r="I26" s="35"/>
      <c r="J26" s="21"/>
      <c r="K26" s="35"/>
      <c r="L26" s="22"/>
      <c r="M26" s="22"/>
      <c r="N26" s="22"/>
      <c r="O26" s="22"/>
      <c r="P26" s="24">
        <v>2450.0</v>
      </c>
      <c r="Q26" s="25">
        <f t="shared" si="1"/>
        <v>0</v>
      </c>
      <c r="R26" s="24" t="s">
        <v>68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45514.0</v>
      </c>
      <c r="C27" s="18" t="s">
        <v>702</v>
      </c>
      <c r="D27" s="19">
        <v>36555.0</v>
      </c>
      <c r="E27" s="20" t="s">
        <v>63</v>
      </c>
      <c r="F27" s="21">
        <v>200.0</v>
      </c>
      <c r="G27" s="22"/>
      <c r="H27" s="22"/>
      <c r="I27" s="21"/>
      <c r="J27" s="21"/>
      <c r="K27" s="23"/>
      <c r="L27" s="22"/>
      <c r="M27" s="22"/>
      <c r="N27" s="22"/>
      <c r="O27" s="22"/>
      <c r="P27" s="24">
        <v>200.0</v>
      </c>
      <c r="Q27" s="25">
        <f t="shared" si="1"/>
        <v>0</v>
      </c>
      <c r="R27" s="24" t="s">
        <v>68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45514.0</v>
      </c>
      <c r="C28" s="18" t="s">
        <v>703</v>
      </c>
      <c r="D28" s="19">
        <v>32700.0</v>
      </c>
      <c r="E28" s="20" t="s">
        <v>704</v>
      </c>
      <c r="F28" s="21"/>
      <c r="G28" s="22"/>
      <c r="H28" s="22"/>
      <c r="I28" s="21"/>
      <c r="J28" s="21">
        <v>5150.0</v>
      </c>
      <c r="K28" s="23"/>
      <c r="L28" s="22"/>
      <c r="M28" s="22"/>
      <c r="N28" s="22"/>
      <c r="O28" s="22"/>
      <c r="P28" s="24">
        <v>5150.0</v>
      </c>
      <c r="Q28" s="25">
        <f t="shared" si="1"/>
        <v>0</v>
      </c>
      <c r="R28" s="24" t="s">
        <v>30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45514.0</v>
      </c>
      <c r="C29" s="18" t="s">
        <v>705</v>
      </c>
      <c r="D29" s="19">
        <v>67621.0</v>
      </c>
      <c r="E29" s="20" t="s">
        <v>92</v>
      </c>
      <c r="F29" s="21"/>
      <c r="G29" s="22"/>
      <c r="H29" s="22"/>
      <c r="I29" s="21">
        <v>8000.0</v>
      </c>
      <c r="J29" s="21"/>
      <c r="K29" s="23"/>
      <c r="L29" s="22"/>
      <c r="M29" s="22"/>
      <c r="N29" s="22"/>
      <c r="O29" s="22"/>
      <c r="P29" s="24">
        <v>8000.0</v>
      </c>
      <c r="Q29" s="25">
        <f t="shared" si="1"/>
        <v>0</v>
      </c>
      <c r="R29" s="24" t="s">
        <v>479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45514.0</v>
      </c>
      <c r="C30" s="18" t="s">
        <v>706</v>
      </c>
      <c r="D30" s="19">
        <v>10001.0</v>
      </c>
      <c r="E30" s="20" t="s">
        <v>339</v>
      </c>
      <c r="F30" s="21"/>
      <c r="G30" s="22"/>
      <c r="H30" s="22"/>
      <c r="I30" s="21">
        <v>6150.0</v>
      </c>
      <c r="J30" s="21"/>
      <c r="K30" s="23"/>
      <c r="L30" s="22"/>
      <c r="M30" s="22"/>
      <c r="N30" s="22"/>
      <c r="O30" s="22"/>
      <c r="P30" s="24">
        <v>6150.0</v>
      </c>
      <c r="Q30" s="25">
        <f t="shared" si="1"/>
        <v>0</v>
      </c>
      <c r="R30" s="24" t="s">
        <v>68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45514.0</v>
      </c>
      <c r="C31" s="18" t="s">
        <v>707</v>
      </c>
      <c r="D31" s="19">
        <v>61445.0</v>
      </c>
      <c r="E31" s="20" t="s">
        <v>708</v>
      </c>
      <c r="F31" s="21"/>
      <c r="G31" s="22"/>
      <c r="H31" s="22">
        <v>1600.0</v>
      </c>
      <c r="I31" s="21"/>
      <c r="J31" s="21"/>
      <c r="K31" s="23"/>
      <c r="L31" s="22"/>
      <c r="M31" s="22">
        <v>800.0</v>
      </c>
      <c r="N31" s="22"/>
      <c r="O31" s="22"/>
      <c r="P31" s="24">
        <v>2400.0</v>
      </c>
      <c r="Q31" s="25">
        <f t="shared" si="1"/>
        <v>0</v>
      </c>
      <c r="R31" s="24" t="s">
        <v>51</v>
      </c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45514.0</v>
      </c>
      <c r="C32" s="18" t="s">
        <v>709</v>
      </c>
      <c r="D32" s="19">
        <v>72299.0</v>
      </c>
      <c r="E32" s="20" t="s">
        <v>710</v>
      </c>
      <c r="F32" s="21"/>
      <c r="G32" s="22"/>
      <c r="H32" s="22"/>
      <c r="I32" s="21"/>
      <c r="J32" s="21">
        <v>6000.0</v>
      </c>
      <c r="K32" s="23"/>
      <c r="L32" s="22"/>
      <c r="M32" s="22"/>
      <c r="N32" s="22"/>
      <c r="O32" s="22"/>
      <c r="P32" s="24">
        <v>6000.0</v>
      </c>
      <c r="Q32" s="25">
        <f t="shared" si="1"/>
        <v>0</v>
      </c>
      <c r="R32" s="24" t="s">
        <v>30</v>
      </c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45514.0</v>
      </c>
      <c r="C33" s="18" t="s">
        <v>711</v>
      </c>
      <c r="D33" s="19">
        <v>36555.0</v>
      </c>
      <c r="E33" s="20" t="s">
        <v>63</v>
      </c>
      <c r="F33" s="21"/>
      <c r="G33" s="22">
        <v>1000.0</v>
      </c>
      <c r="H33" s="22"/>
      <c r="I33" s="21"/>
      <c r="J33" s="21"/>
      <c r="K33" s="23"/>
      <c r="L33" s="22"/>
      <c r="M33" s="22"/>
      <c r="N33" s="22"/>
      <c r="O33" s="22"/>
      <c r="P33" s="24">
        <v>1000.0</v>
      </c>
      <c r="Q33" s="25">
        <f t="shared" si="1"/>
        <v>0</v>
      </c>
      <c r="R33" s="24" t="s">
        <v>30</v>
      </c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7">
        <v>45514.0</v>
      </c>
      <c r="C34" s="18" t="s">
        <v>712</v>
      </c>
      <c r="D34" s="19">
        <v>10008.0</v>
      </c>
      <c r="E34" s="20" t="s">
        <v>403</v>
      </c>
      <c r="F34" s="21"/>
      <c r="G34" s="22">
        <v>14500.0</v>
      </c>
      <c r="H34" s="22"/>
      <c r="I34" s="21"/>
      <c r="J34" s="21"/>
      <c r="K34" s="23"/>
      <c r="L34" s="22"/>
      <c r="M34" s="22"/>
      <c r="N34" s="22"/>
      <c r="O34" s="22"/>
      <c r="P34" s="24">
        <v>14500.0</v>
      </c>
      <c r="Q34" s="25">
        <f t="shared" si="1"/>
        <v>0</v>
      </c>
      <c r="R34" s="24" t="s">
        <v>51</v>
      </c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7">
        <v>45514.0</v>
      </c>
      <c r="C35" s="18" t="s">
        <v>713</v>
      </c>
      <c r="D35" s="19">
        <v>72839.0</v>
      </c>
      <c r="E35" s="20" t="s">
        <v>714</v>
      </c>
      <c r="F35" s="21"/>
      <c r="G35" s="22">
        <v>50000.0</v>
      </c>
      <c r="H35" s="22"/>
      <c r="I35" s="21"/>
      <c r="J35" s="21"/>
      <c r="K35" s="23"/>
      <c r="L35" s="22"/>
      <c r="M35" s="22"/>
      <c r="N35" s="22"/>
      <c r="O35" s="22"/>
      <c r="P35" s="24">
        <v>50000.0</v>
      </c>
      <c r="Q35" s="25">
        <f t="shared" si="1"/>
        <v>0</v>
      </c>
      <c r="R35" s="24" t="s">
        <v>68</v>
      </c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7">
        <v>45514.0</v>
      </c>
      <c r="C36" s="18" t="s">
        <v>715</v>
      </c>
      <c r="D36" s="19">
        <v>31927.0</v>
      </c>
      <c r="E36" s="20" t="s">
        <v>168</v>
      </c>
      <c r="F36" s="21"/>
      <c r="G36" s="22"/>
      <c r="H36" s="22"/>
      <c r="I36" s="21">
        <v>3900.0</v>
      </c>
      <c r="J36" s="21"/>
      <c r="K36" s="23"/>
      <c r="L36" s="22"/>
      <c r="M36" s="22"/>
      <c r="N36" s="22"/>
      <c r="O36" s="22"/>
      <c r="P36" s="24">
        <v>3900.0</v>
      </c>
      <c r="Q36" s="25">
        <f t="shared" si="1"/>
        <v>0</v>
      </c>
      <c r="R36" s="24" t="s">
        <v>479</v>
      </c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7">
        <v>45514.0</v>
      </c>
      <c r="C37" s="18" t="s">
        <v>716</v>
      </c>
      <c r="D37" s="19">
        <v>84381.0</v>
      </c>
      <c r="E37" s="20" t="s">
        <v>717</v>
      </c>
      <c r="F37" s="21"/>
      <c r="G37" s="22"/>
      <c r="H37" s="22"/>
      <c r="I37" s="21"/>
      <c r="J37" s="21">
        <v>300.0</v>
      </c>
      <c r="K37" s="23"/>
      <c r="L37" s="22"/>
      <c r="M37" s="22"/>
      <c r="N37" s="22"/>
      <c r="O37" s="22"/>
      <c r="P37" s="24">
        <v>300.0</v>
      </c>
      <c r="Q37" s="25">
        <f t="shared" si="1"/>
        <v>0</v>
      </c>
      <c r="R37" s="24" t="s">
        <v>68</v>
      </c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7">
        <v>45514.0</v>
      </c>
      <c r="C38" s="18" t="s">
        <v>718</v>
      </c>
      <c r="D38" s="19">
        <v>82205.0</v>
      </c>
      <c r="E38" s="20" t="s">
        <v>719</v>
      </c>
      <c r="F38" s="21"/>
      <c r="G38" s="22"/>
      <c r="H38" s="22"/>
      <c r="I38" s="21">
        <v>1000.0</v>
      </c>
      <c r="J38" s="21"/>
      <c r="K38" s="23"/>
      <c r="L38" s="22"/>
      <c r="M38" s="22"/>
      <c r="N38" s="22"/>
      <c r="O38" s="22"/>
      <c r="P38" s="24">
        <v>1000.0</v>
      </c>
      <c r="Q38" s="25">
        <f t="shared" si="1"/>
        <v>0</v>
      </c>
      <c r="R38" s="24" t="s">
        <v>30</v>
      </c>
      <c r="S38" s="26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7">
        <v>45514.0</v>
      </c>
      <c r="C39" s="18" t="s">
        <v>720</v>
      </c>
      <c r="D39" s="19">
        <v>82213.0</v>
      </c>
      <c r="E39" s="20" t="s">
        <v>721</v>
      </c>
      <c r="F39" s="21"/>
      <c r="G39" s="22"/>
      <c r="H39" s="22"/>
      <c r="I39" s="21">
        <v>2000.0</v>
      </c>
      <c r="J39" s="21"/>
      <c r="K39" s="23"/>
      <c r="L39" s="22"/>
      <c r="M39" s="22"/>
      <c r="N39" s="22"/>
      <c r="O39" s="22"/>
      <c r="P39" s="24">
        <v>2000.0</v>
      </c>
      <c r="Q39" s="25">
        <f t="shared" si="1"/>
        <v>0</v>
      </c>
      <c r="R39" s="24" t="s">
        <v>30</v>
      </c>
      <c r="S39" s="26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7">
        <v>45513.0</v>
      </c>
      <c r="C40" s="18" t="s">
        <v>722</v>
      </c>
      <c r="D40" s="19">
        <v>69659.0</v>
      </c>
      <c r="E40" s="20" t="s">
        <v>723</v>
      </c>
      <c r="F40" s="21"/>
      <c r="G40" s="22"/>
      <c r="H40" s="22"/>
      <c r="I40" s="21"/>
      <c r="J40" s="21"/>
      <c r="K40" s="23"/>
      <c r="L40" s="22"/>
      <c r="M40" s="22">
        <v>1200.0</v>
      </c>
      <c r="N40" s="22"/>
      <c r="O40" s="22"/>
      <c r="P40" s="24">
        <v>1200.0</v>
      </c>
      <c r="Q40" s="25">
        <f t="shared" si="1"/>
        <v>0</v>
      </c>
      <c r="R40" s="24"/>
      <c r="S40" s="26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7">
        <v>45514.0</v>
      </c>
      <c r="C41" s="18" t="s">
        <v>724</v>
      </c>
      <c r="D41" s="19">
        <v>51017.0</v>
      </c>
      <c r="E41" s="20" t="s">
        <v>270</v>
      </c>
      <c r="F41" s="21"/>
      <c r="G41" s="22"/>
      <c r="H41" s="22">
        <v>15000.0</v>
      </c>
      <c r="I41" s="21"/>
      <c r="J41" s="21"/>
      <c r="K41" s="23"/>
      <c r="L41" s="22"/>
      <c r="M41" s="22"/>
      <c r="N41" s="22"/>
      <c r="O41" s="22"/>
      <c r="P41" s="24">
        <v>15000.0</v>
      </c>
      <c r="Q41" s="25">
        <f t="shared" si="1"/>
        <v>0</v>
      </c>
      <c r="R41" s="24"/>
      <c r="S41" s="26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27">
        <v>45514.0</v>
      </c>
      <c r="C42" s="18" t="s">
        <v>725</v>
      </c>
      <c r="D42" s="19">
        <v>21828.0</v>
      </c>
      <c r="E42" s="20" t="s">
        <v>47</v>
      </c>
      <c r="F42" s="21"/>
      <c r="G42" s="22"/>
      <c r="H42" s="22"/>
      <c r="I42" s="21"/>
      <c r="J42" s="21"/>
      <c r="K42" s="23">
        <v>2950.0</v>
      </c>
      <c r="L42" s="22"/>
      <c r="M42" s="22"/>
      <c r="N42" s="22"/>
      <c r="O42" s="22"/>
      <c r="P42" s="24">
        <v>2950.0</v>
      </c>
      <c r="Q42" s="25">
        <f t="shared" si="1"/>
        <v>0</v>
      </c>
      <c r="R42" s="24"/>
      <c r="S42" s="26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>
        <v>39.0</v>
      </c>
      <c r="B43" s="27">
        <v>45514.0</v>
      </c>
      <c r="C43" s="18" t="s">
        <v>726</v>
      </c>
      <c r="D43" s="19">
        <v>68284.0</v>
      </c>
      <c r="E43" s="20" t="s">
        <v>727</v>
      </c>
      <c r="F43" s="21"/>
      <c r="G43" s="22"/>
      <c r="H43" s="22">
        <v>11700.0</v>
      </c>
      <c r="I43" s="21"/>
      <c r="J43" s="21"/>
      <c r="K43" s="23"/>
      <c r="L43" s="22"/>
      <c r="M43" s="22"/>
      <c r="N43" s="22"/>
      <c r="O43" s="22"/>
      <c r="P43" s="24">
        <v>11700.0</v>
      </c>
      <c r="Q43" s="25">
        <f t="shared" si="1"/>
        <v>0</v>
      </c>
      <c r="R43" s="24"/>
      <c r="S43" s="26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16">
        <v>40.0</v>
      </c>
      <c r="B44" s="27">
        <v>45514.0</v>
      </c>
      <c r="C44" s="18" t="s">
        <v>728</v>
      </c>
      <c r="D44" s="19">
        <v>36555.0</v>
      </c>
      <c r="E44" s="20" t="s">
        <v>63</v>
      </c>
      <c r="F44" s="21"/>
      <c r="G44" s="22"/>
      <c r="H44" s="22"/>
      <c r="I44" s="21"/>
      <c r="J44" s="21"/>
      <c r="K44" s="23"/>
      <c r="L44" s="22"/>
      <c r="M44" s="22"/>
      <c r="N44" s="22"/>
      <c r="O44" s="22">
        <v>1200.0</v>
      </c>
      <c r="P44" s="24">
        <v>1200.0</v>
      </c>
      <c r="Q44" s="25">
        <f t="shared" si="1"/>
        <v>0</v>
      </c>
      <c r="R44" s="24"/>
      <c r="S44" s="26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16">
        <v>41.0</v>
      </c>
      <c r="B45" s="27">
        <v>45514.0</v>
      </c>
      <c r="C45" s="18" t="s">
        <v>729</v>
      </c>
      <c r="D45" s="19">
        <v>36555.0</v>
      </c>
      <c r="E45" s="20" t="s">
        <v>63</v>
      </c>
      <c r="F45" s="21"/>
      <c r="G45" s="22"/>
      <c r="H45" s="22"/>
      <c r="I45" s="21"/>
      <c r="J45" s="21"/>
      <c r="K45" s="23"/>
      <c r="L45" s="22"/>
      <c r="M45" s="22"/>
      <c r="N45" s="22"/>
      <c r="O45" s="22">
        <v>1200.0</v>
      </c>
      <c r="P45" s="24">
        <v>1200.0</v>
      </c>
      <c r="Q45" s="25">
        <f t="shared" si="1"/>
        <v>0</v>
      </c>
      <c r="R45" s="24"/>
      <c r="S45" s="26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4.5" customHeight="1">
      <c r="A46" s="16">
        <v>42.0</v>
      </c>
      <c r="B46" s="27">
        <v>45514.0</v>
      </c>
      <c r="C46" s="18" t="s">
        <v>730</v>
      </c>
      <c r="D46" s="19">
        <v>52214.0</v>
      </c>
      <c r="E46" s="20" t="s">
        <v>731</v>
      </c>
      <c r="F46" s="21"/>
      <c r="G46" s="22"/>
      <c r="H46" s="22">
        <v>5200.0</v>
      </c>
      <c r="I46" s="21"/>
      <c r="J46" s="21"/>
      <c r="K46" s="23"/>
      <c r="L46" s="22"/>
      <c r="M46" s="22"/>
      <c r="N46" s="22"/>
      <c r="O46" s="22"/>
      <c r="P46" s="24">
        <v>5200.0</v>
      </c>
      <c r="Q46" s="25">
        <f t="shared" si="1"/>
        <v>0</v>
      </c>
      <c r="R46" s="24"/>
      <c r="S46" s="26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34.5" customHeight="1">
      <c r="A47" s="16">
        <v>43.0</v>
      </c>
      <c r="B47" s="27">
        <v>45514.0</v>
      </c>
      <c r="C47" s="18" t="s">
        <v>732</v>
      </c>
      <c r="D47" s="19">
        <v>10006.0</v>
      </c>
      <c r="E47" s="20" t="s">
        <v>151</v>
      </c>
      <c r="F47" s="21"/>
      <c r="G47" s="22"/>
      <c r="H47" s="22"/>
      <c r="I47" s="21"/>
      <c r="J47" s="21"/>
      <c r="K47" s="23"/>
      <c r="L47" s="22"/>
      <c r="M47" s="22"/>
      <c r="N47" s="22"/>
      <c r="O47" s="22">
        <v>1800.0</v>
      </c>
      <c r="P47" s="24">
        <v>1800.0</v>
      </c>
      <c r="Q47" s="25">
        <f t="shared" si="1"/>
        <v>0</v>
      </c>
      <c r="R47" s="24"/>
      <c r="S47" s="26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37.5" customHeight="1">
      <c r="A48" s="16"/>
      <c r="B48" s="27"/>
      <c r="C48" s="18"/>
      <c r="D48" s="19" t="s">
        <v>183</v>
      </c>
      <c r="E48" s="20"/>
      <c r="F48" s="45">
        <f t="shared" ref="F48:P48" si="2">SUM(F5:F47)</f>
        <v>500</v>
      </c>
      <c r="G48" s="45">
        <f t="shared" si="2"/>
        <v>80250</v>
      </c>
      <c r="H48" s="45">
        <f t="shared" si="2"/>
        <v>33500</v>
      </c>
      <c r="I48" s="45">
        <f t="shared" si="2"/>
        <v>193200</v>
      </c>
      <c r="J48" s="45">
        <f t="shared" si="2"/>
        <v>29700</v>
      </c>
      <c r="K48" s="45">
        <f t="shared" si="2"/>
        <v>2950</v>
      </c>
      <c r="L48" s="45">
        <f t="shared" si="2"/>
        <v>0</v>
      </c>
      <c r="M48" s="45">
        <f t="shared" si="2"/>
        <v>2000</v>
      </c>
      <c r="N48" s="45">
        <f t="shared" si="2"/>
        <v>0</v>
      </c>
      <c r="O48" s="45">
        <f t="shared" si="2"/>
        <v>4200</v>
      </c>
      <c r="P48" s="45">
        <f t="shared" si="2"/>
        <v>346300</v>
      </c>
      <c r="Q48" s="46">
        <v>0.0</v>
      </c>
      <c r="R48" s="47"/>
      <c r="S48" s="26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</row>
    <row r="49" ht="15.75" customHeight="1">
      <c r="A49" s="48"/>
      <c r="B49" s="48"/>
      <c r="C49" s="49"/>
      <c r="D49" s="48"/>
      <c r="E49" s="48"/>
      <c r="F49" s="50">
        <f>F48+G48+H48+I48+J48+K48+L48+M48+N48+O48</f>
        <v>346300</v>
      </c>
      <c r="P49" s="51"/>
      <c r="Q49" s="51"/>
      <c r="R49" s="48"/>
      <c r="S49" s="48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</row>
    <row r="50" ht="15.75" customHeight="1">
      <c r="A50" s="4"/>
      <c r="B50" s="4"/>
      <c r="C50" s="5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3" t="s">
        <v>183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54" t="s">
        <v>184</v>
      </c>
      <c r="F53" s="55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2"/>
      <c r="D54" s="4"/>
      <c r="E54" s="56" t="s">
        <v>186</v>
      </c>
      <c r="F54" s="55" t="s">
        <v>357</v>
      </c>
      <c r="G54" s="4"/>
      <c r="H54" s="4"/>
      <c r="I54" s="4"/>
      <c r="J54" s="4"/>
      <c r="K54" s="4"/>
      <c r="L54" s="4"/>
      <c r="M54" s="4"/>
      <c r="N54" s="4"/>
      <c r="O54" s="57" t="s">
        <v>183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56" t="s">
        <v>188</v>
      </c>
      <c r="F55" s="55" t="s">
        <v>185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56" t="s">
        <v>189</v>
      </c>
      <c r="F56" s="55" t="s">
        <v>185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56" t="s">
        <v>190</v>
      </c>
      <c r="F57" s="61" t="s">
        <v>733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56" t="s">
        <v>734</v>
      </c>
      <c r="F58" s="55" t="s">
        <v>185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56" t="s">
        <v>193</v>
      </c>
      <c r="F59" s="55" t="s">
        <v>185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56" t="s">
        <v>195</v>
      </c>
      <c r="F60" s="59" t="s">
        <v>196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57" t="s">
        <v>183</v>
      </c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 t="str">
        <f>I72448</f>
        <v/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57" t="s">
        <v>197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>
        <v>7.0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5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5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5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5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5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5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5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5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5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>
      <c r="A283" s="4"/>
      <c r="B283" s="4"/>
      <c r="C283" s="5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R2:R4"/>
    <mergeCell ref="S2:S4"/>
    <mergeCell ref="F3:F4"/>
    <mergeCell ref="G3:H3"/>
    <mergeCell ref="I3:J3"/>
    <mergeCell ref="K3:K4"/>
    <mergeCell ref="F49:O49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6.88"/>
    <col customWidth="1" min="6" max="6" width="29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45.0" customHeight="1">
      <c r="A1" s="1" t="s">
        <v>735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15.75" customHeight="1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5.75" customHeight="1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45514.0</v>
      </c>
      <c r="C5" s="18" t="s">
        <v>736</v>
      </c>
      <c r="D5" s="19">
        <v>70056.0</v>
      </c>
      <c r="E5" s="20" t="s">
        <v>737</v>
      </c>
      <c r="F5" s="21"/>
      <c r="G5" s="22"/>
      <c r="H5" s="21"/>
      <c r="I5" s="23">
        <v>10000.0</v>
      </c>
      <c r="J5" s="23"/>
      <c r="K5" s="22"/>
      <c r="L5" s="22"/>
      <c r="M5" s="21"/>
      <c r="N5" s="22"/>
      <c r="O5" s="22"/>
      <c r="P5" s="24">
        <v>10000.0</v>
      </c>
      <c r="Q5" s="25">
        <f t="shared" ref="Q5:Q47" si="1">F5+G5+H5+I5+J5+K5+L5+M5+N5+O5-P5</f>
        <v>0</v>
      </c>
      <c r="R5" s="24" t="s">
        <v>30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45514.0</v>
      </c>
      <c r="C6" s="18" t="s">
        <v>738</v>
      </c>
      <c r="D6" s="19">
        <v>39832.0</v>
      </c>
      <c r="E6" s="20" t="s">
        <v>739</v>
      </c>
      <c r="F6" s="21">
        <v>1250.0</v>
      </c>
      <c r="G6" s="22"/>
      <c r="H6" s="22"/>
      <c r="I6" s="21"/>
      <c r="J6" s="22"/>
      <c r="K6" s="22"/>
      <c r="L6" s="22"/>
      <c r="M6" s="21"/>
      <c r="N6" s="22"/>
      <c r="O6" s="22"/>
      <c r="P6" s="24">
        <v>1250.0</v>
      </c>
      <c r="Q6" s="25">
        <f t="shared" si="1"/>
        <v>0</v>
      </c>
      <c r="R6" s="24" t="s">
        <v>68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45514.0</v>
      </c>
      <c r="C7" s="18" t="s">
        <v>740</v>
      </c>
      <c r="D7" s="19">
        <v>30895.0</v>
      </c>
      <c r="E7" s="20" t="s">
        <v>34</v>
      </c>
      <c r="F7" s="22"/>
      <c r="G7" s="22">
        <v>25000.0</v>
      </c>
      <c r="H7" s="21"/>
      <c r="I7" s="21"/>
      <c r="J7" s="23"/>
      <c r="K7" s="22"/>
      <c r="L7" s="22"/>
      <c r="M7" s="22"/>
      <c r="N7" s="22"/>
      <c r="O7" s="22"/>
      <c r="P7" s="24">
        <v>25000.0</v>
      </c>
      <c r="Q7" s="25">
        <f t="shared" si="1"/>
        <v>0</v>
      </c>
      <c r="R7" s="24" t="s">
        <v>68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45514.0</v>
      </c>
      <c r="C8" s="18" t="s">
        <v>741</v>
      </c>
      <c r="D8" s="19">
        <v>30895.0</v>
      </c>
      <c r="E8" s="20" t="s">
        <v>34</v>
      </c>
      <c r="F8" s="22"/>
      <c r="G8" s="22">
        <v>4500.0</v>
      </c>
      <c r="H8" s="22"/>
      <c r="I8" s="21"/>
      <c r="J8" s="21"/>
      <c r="K8" s="22"/>
      <c r="L8" s="22"/>
      <c r="M8" s="22"/>
      <c r="N8" s="22"/>
      <c r="O8" s="22"/>
      <c r="P8" s="24">
        <v>4500.0</v>
      </c>
      <c r="Q8" s="25">
        <f t="shared" si="1"/>
        <v>0</v>
      </c>
      <c r="R8" s="24" t="s">
        <v>68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45515.0</v>
      </c>
      <c r="C9" s="18" t="s">
        <v>742</v>
      </c>
      <c r="D9" s="19">
        <v>52083.0</v>
      </c>
      <c r="E9" s="20" t="s">
        <v>122</v>
      </c>
      <c r="F9" s="22"/>
      <c r="G9" s="22"/>
      <c r="H9" s="22"/>
      <c r="I9" s="21">
        <v>2500.0</v>
      </c>
      <c r="J9" s="21"/>
      <c r="K9" s="22"/>
      <c r="L9" s="22"/>
      <c r="M9" s="21"/>
      <c r="N9" s="22"/>
      <c r="O9" s="22"/>
      <c r="P9" s="24">
        <v>2500.0</v>
      </c>
      <c r="Q9" s="25">
        <f t="shared" si="1"/>
        <v>0</v>
      </c>
      <c r="R9" s="24" t="s">
        <v>30</v>
      </c>
      <c r="S9" s="26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45515.0</v>
      </c>
      <c r="C10" s="18" t="s">
        <v>743</v>
      </c>
      <c r="D10" s="19">
        <v>69334.0</v>
      </c>
      <c r="E10" s="20" t="s">
        <v>744</v>
      </c>
      <c r="F10" s="22"/>
      <c r="G10" s="22"/>
      <c r="H10" s="22"/>
      <c r="I10" s="21"/>
      <c r="J10" s="21">
        <v>3100.0</v>
      </c>
      <c r="K10" s="22"/>
      <c r="L10" s="22"/>
      <c r="M10" s="21"/>
      <c r="N10" s="22"/>
      <c r="O10" s="22"/>
      <c r="P10" s="24">
        <v>3100.0</v>
      </c>
      <c r="Q10" s="25">
        <f t="shared" si="1"/>
        <v>0</v>
      </c>
      <c r="R10" s="24" t="s">
        <v>30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45515.0</v>
      </c>
      <c r="C11" s="18" t="s">
        <v>745</v>
      </c>
      <c r="D11" s="19">
        <v>10837.0</v>
      </c>
      <c r="E11" s="20" t="s">
        <v>746</v>
      </c>
      <c r="F11" s="22"/>
      <c r="G11" s="22"/>
      <c r="H11" s="22"/>
      <c r="I11" s="21">
        <v>4500.0</v>
      </c>
      <c r="J11" s="21"/>
      <c r="K11" s="22"/>
      <c r="L11" s="22"/>
      <c r="M11" s="21"/>
      <c r="N11" s="22"/>
      <c r="O11" s="22"/>
      <c r="P11" s="24">
        <v>4500.0</v>
      </c>
      <c r="Q11" s="25">
        <f t="shared" si="1"/>
        <v>0</v>
      </c>
      <c r="R11" s="24" t="s">
        <v>25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7">
        <v>45515.0</v>
      </c>
      <c r="C12" s="18" t="s">
        <v>747</v>
      </c>
      <c r="D12" s="19">
        <v>51309.0</v>
      </c>
      <c r="E12" s="20" t="s">
        <v>434</v>
      </c>
      <c r="F12" s="22"/>
      <c r="G12" s="22"/>
      <c r="H12" s="22"/>
      <c r="I12" s="21">
        <v>4350.0</v>
      </c>
      <c r="J12" s="21"/>
      <c r="K12" s="22"/>
      <c r="L12" s="22"/>
      <c r="M12" s="21"/>
      <c r="N12" s="22"/>
      <c r="O12" s="22"/>
      <c r="P12" s="24">
        <v>4350.0</v>
      </c>
      <c r="Q12" s="25">
        <f t="shared" si="1"/>
        <v>0</v>
      </c>
      <c r="R12" s="24" t="s">
        <v>30</v>
      </c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8">
        <v>45515.0</v>
      </c>
      <c r="C13" s="29" t="s">
        <v>748</v>
      </c>
      <c r="D13" s="30">
        <v>52669.0</v>
      </c>
      <c r="E13" s="31" t="s">
        <v>310</v>
      </c>
      <c r="F13" s="22"/>
      <c r="G13" s="22"/>
      <c r="H13" s="22"/>
      <c r="I13" s="21">
        <v>1000.0</v>
      </c>
      <c r="J13" s="21"/>
      <c r="K13" s="22"/>
      <c r="L13" s="22"/>
      <c r="M13" s="21"/>
      <c r="N13" s="22"/>
      <c r="O13" s="22"/>
      <c r="P13" s="32">
        <v>1000.0</v>
      </c>
      <c r="Q13" s="25">
        <f t="shared" si="1"/>
        <v>0</v>
      </c>
      <c r="R13" s="32" t="s">
        <v>30</v>
      </c>
      <c r="S13" s="26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 ht="34.5" customHeight="1">
      <c r="A14" s="16">
        <v>10.0</v>
      </c>
      <c r="B14" s="27">
        <v>45515.0</v>
      </c>
      <c r="C14" s="18" t="s">
        <v>749</v>
      </c>
      <c r="D14" s="19">
        <v>10250.0</v>
      </c>
      <c r="E14" s="20" t="s">
        <v>36</v>
      </c>
      <c r="F14" s="22"/>
      <c r="G14" s="22"/>
      <c r="H14" s="22"/>
      <c r="I14" s="21">
        <v>1250.0</v>
      </c>
      <c r="J14" s="21"/>
      <c r="K14" s="22"/>
      <c r="L14" s="22"/>
      <c r="M14" s="21"/>
      <c r="N14" s="22"/>
      <c r="O14" s="22"/>
      <c r="P14" s="24">
        <v>1250.0</v>
      </c>
      <c r="Q14" s="25">
        <f t="shared" si="1"/>
        <v>0</v>
      </c>
      <c r="R14" s="24" t="s">
        <v>25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45515.0</v>
      </c>
      <c r="C15" s="18" t="s">
        <v>750</v>
      </c>
      <c r="D15" s="19">
        <v>22978.0</v>
      </c>
      <c r="E15" s="20" t="s">
        <v>751</v>
      </c>
      <c r="F15" s="22"/>
      <c r="G15" s="22"/>
      <c r="H15" s="22"/>
      <c r="I15" s="21">
        <v>4650.0</v>
      </c>
      <c r="J15" s="21"/>
      <c r="K15" s="22"/>
      <c r="L15" s="22"/>
      <c r="M15" s="21"/>
      <c r="N15" s="22"/>
      <c r="O15" s="22"/>
      <c r="P15" s="24">
        <v>4650.0</v>
      </c>
      <c r="Q15" s="25">
        <f t="shared" si="1"/>
        <v>0</v>
      </c>
      <c r="R15" s="24" t="s">
        <v>30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45515.0</v>
      </c>
      <c r="C16" s="18" t="s">
        <v>752</v>
      </c>
      <c r="D16" s="19">
        <v>66219.0</v>
      </c>
      <c r="E16" s="20" t="s">
        <v>753</v>
      </c>
      <c r="F16" s="22"/>
      <c r="G16" s="22"/>
      <c r="H16" s="22"/>
      <c r="I16" s="21">
        <v>10000.0</v>
      </c>
      <c r="J16" s="21"/>
      <c r="K16" s="22"/>
      <c r="L16" s="22"/>
      <c r="M16" s="21"/>
      <c r="N16" s="22"/>
      <c r="O16" s="22"/>
      <c r="P16" s="24">
        <v>10000.0</v>
      </c>
      <c r="Q16" s="25">
        <f t="shared" si="1"/>
        <v>0</v>
      </c>
      <c r="R16" s="24" t="s">
        <v>30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45515.0</v>
      </c>
      <c r="C17" s="18" t="s">
        <v>754</v>
      </c>
      <c r="D17" s="19">
        <v>84388.0</v>
      </c>
      <c r="E17" s="20" t="s">
        <v>755</v>
      </c>
      <c r="F17" s="22"/>
      <c r="G17" s="22"/>
      <c r="H17" s="22"/>
      <c r="I17" s="21">
        <v>300.0</v>
      </c>
      <c r="J17" s="21"/>
      <c r="K17" s="22"/>
      <c r="L17" s="22"/>
      <c r="M17" s="21"/>
      <c r="N17" s="22"/>
      <c r="O17" s="22"/>
      <c r="P17" s="24">
        <v>300.0</v>
      </c>
      <c r="Q17" s="25">
        <f t="shared" si="1"/>
        <v>0</v>
      </c>
      <c r="R17" s="24" t="s">
        <v>479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7">
        <v>45515.0</v>
      </c>
      <c r="C18" s="18" t="s">
        <v>756</v>
      </c>
      <c r="D18" s="19">
        <v>76208.0</v>
      </c>
      <c r="E18" s="20" t="s">
        <v>757</v>
      </c>
      <c r="F18" s="22"/>
      <c r="G18" s="22"/>
      <c r="H18" s="22"/>
      <c r="I18" s="21">
        <v>25000.0</v>
      </c>
      <c r="J18" s="21"/>
      <c r="K18" s="22"/>
      <c r="L18" s="22"/>
      <c r="M18" s="22"/>
      <c r="N18" s="22"/>
      <c r="O18" s="22"/>
      <c r="P18" s="24">
        <v>25000.0</v>
      </c>
      <c r="Q18" s="25">
        <f t="shared" si="1"/>
        <v>0</v>
      </c>
      <c r="R18" s="24" t="s">
        <v>30</v>
      </c>
      <c r="S18" s="26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28">
        <v>45515.0</v>
      </c>
      <c r="C19" s="29" t="s">
        <v>758</v>
      </c>
      <c r="D19" s="30">
        <v>10249.0</v>
      </c>
      <c r="E19" s="31" t="s">
        <v>617</v>
      </c>
      <c r="F19" s="22"/>
      <c r="G19" s="22"/>
      <c r="H19" s="22">
        <v>9500.0</v>
      </c>
      <c r="I19" s="21"/>
      <c r="J19" s="21"/>
      <c r="K19" s="22"/>
      <c r="L19" s="22"/>
      <c r="M19" s="21"/>
      <c r="N19" s="22"/>
      <c r="O19" s="22"/>
      <c r="P19" s="32">
        <v>9500.0</v>
      </c>
      <c r="Q19" s="25">
        <f t="shared" si="1"/>
        <v>0</v>
      </c>
      <c r="R19" s="32" t="s">
        <v>25</v>
      </c>
      <c r="S19" s="26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ht="34.5" customHeight="1">
      <c r="A20" s="16">
        <v>16.0</v>
      </c>
      <c r="B20" s="27">
        <v>45515.0</v>
      </c>
      <c r="C20" s="18" t="s">
        <v>759</v>
      </c>
      <c r="D20" s="19">
        <v>80324.0</v>
      </c>
      <c r="E20" s="20" t="s">
        <v>760</v>
      </c>
      <c r="F20" s="22"/>
      <c r="G20" s="22"/>
      <c r="H20" s="22"/>
      <c r="I20" s="23">
        <v>5150.0</v>
      </c>
      <c r="J20" s="23"/>
      <c r="K20" s="22"/>
      <c r="L20" s="22"/>
      <c r="M20" s="22"/>
      <c r="N20" s="22"/>
      <c r="O20" s="22"/>
      <c r="P20" s="24">
        <v>5150.0</v>
      </c>
      <c r="Q20" s="25">
        <f t="shared" si="1"/>
        <v>0</v>
      </c>
      <c r="R20" s="24" t="s">
        <v>479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45515.0</v>
      </c>
      <c r="C21" s="18" t="s">
        <v>761</v>
      </c>
      <c r="D21" s="19">
        <v>50436.0</v>
      </c>
      <c r="E21" s="20" t="s">
        <v>305</v>
      </c>
      <c r="F21" s="21"/>
      <c r="G21" s="22"/>
      <c r="H21" s="22"/>
      <c r="I21" s="34">
        <v>13500.0</v>
      </c>
      <c r="J21" s="22"/>
      <c r="K21" s="35"/>
      <c r="L21" s="22"/>
      <c r="M21" s="22"/>
      <c r="N21" s="22"/>
      <c r="O21" s="22"/>
      <c r="P21" s="24">
        <v>13500.0</v>
      </c>
      <c r="Q21" s="25">
        <f t="shared" si="1"/>
        <v>0</v>
      </c>
      <c r="R21" s="24" t="s">
        <v>25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7">
        <v>45515.0</v>
      </c>
      <c r="C22" s="18" t="s">
        <v>762</v>
      </c>
      <c r="D22" s="19">
        <v>72414.0</v>
      </c>
      <c r="E22" s="20" t="s">
        <v>763</v>
      </c>
      <c r="F22" s="21"/>
      <c r="G22" s="22"/>
      <c r="H22" s="22"/>
      <c r="I22" s="21"/>
      <c r="J22" s="22">
        <v>5000.0</v>
      </c>
      <c r="K22" s="21"/>
      <c r="L22" s="22"/>
      <c r="M22" s="22"/>
      <c r="N22" s="22"/>
      <c r="O22" s="22"/>
      <c r="P22" s="24">
        <v>5000.0</v>
      </c>
      <c r="Q22" s="25">
        <f t="shared" si="1"/>
        <v>0</v>
      </c>
      <c r="R22" s="24" t="s">
        <v>30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36">
        <v>45515.0</v>
      </c>
      <c r="C23" s="37" t="s">
        <v>764</v>
      </c>
      <c r="D23" s="38">
        <v>69346.0</v>
      </c>
      <c r="E23" s="39" t="s">
        <v>765</v>
      </c>
      <c r="F23" s="34"/>
      <c r="G23" s="40"/>
      <c r="H23" s="40"/>
      <c r="I23" s="34">
        <v>5000.0</v>
      </c>
      <c r="J23" s="34"/>
      <c r="K23" s="41"/>
      <c r="L23" s="40"/>
      <c r="M23" s="40"/>
      <c r="N23" s="40"/>
      <c r="O23" s="40"/>
      <c r="P23" s="42">
        <v>5000.0</v>
      </c>
      <c r="Q23" s="25">
        <f t="shared" si="1"/>
        <v>0</v>
      </c>
      <c r="R23" s="42" t="s">
        <v>30</v>
      </c>
      <c r="S23" s="26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</row>
    <row r="24" ht="34.5" customHeight="1">
      <c r="A24" s="16">
        <v>20.0</v>
      </c>
      <c r="B24" s="27">
        <v>45515.0</v>
      </c>
      <c r="C24" s="18" t="s">
        <v>766</v>
      </c>
      <c r="D24" s="19">
        <v>30248.0</v>
      </c>
      <c r="E24" s="20" t="s">
        <v>767</v>
      </c>
      <c r="F24" s="21"/>
      <c r="G24" s="22"/>
      <c r="H24" s="22"/>
      <c r="I24" s="21">
        <v>2650.0</v>
      </c>
      <c r="J24" s="22"/>
      <c r="K24" s="35"/>
      <c r="L24" s="22"/>
      <c r="M24" s="22"/>
      <c r="N24" s="22"/>
      <c r="O24" s="22"/>
      <c r="P24" s="24">
        <v>2650.0</v>
      </c>
      <c r="Q24" s="25">
        <f t="shared" si="1"/>
        <v>0</v>
      </c>
      <c r="R24" s="24" t="s">
        <v>479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45515.0</v>
      </c>
      <c r="C25" s="18" t="s">
        <v>768</v>
      </c>
      <c r="D25" s="19">
        <v>71057.0</v>
      </c>
      <c r="E25" s="20" t="s">
        <v>769</v>
      </c>
      <c r="F25" s="21"/>
      <c r="G25" s="22"/>
      <c r="H25" s="22"/>
      <c r="I25" s="21"/>
      <c r="J25" s="21">
        <v>8000.0</v>
      </c>
      <c r="K25" s="35"/>
      <c r="L25" s="22"/>
      <c r="M25" s="22"/>
      <c r="N25" s="22"/>
      <c r="O25" s="22"/>
      <c r="P25" s="24">
        <v>8000.0</v>
      </c>
      <c r="Q25" s="25">
        <f t="shared" si="1"/>
        <v>0</v>
      </c>
      <c r="R25" s="24" t="s">
        <v>30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45515.0</v>
      </c>
      <c r="C26" s="18" t="s">
        <v>770</v>
      </c>
      <c r="D26" s="19">
        <v>48631.0</v>
      </c>
      <c r="E26" s="20" t="s">
        <v>771</v>
      </c>
      <c r="F26" s="21"/>
      <c r="G26" s="22"/>
      <c r="H26" s="22"/>
      <c r="I26" s="35"/>
      <c r="J26" s="21">
        <v>1150.0</v>
      </c>
      <c r="K26" s="35"/>
      <c r="L26" s="22"/>
      <c r="M26" s="22"/>
      <c r="N26" s="22"/>
      <c r="O26" s="22"/>
      <c r="P26" s="24">
        <v>1150.0</v>
      </c>
      <c r="Q26" s="25">
        <f t="shared" si="1"/>
        <v>0</v>
      </c>
      <c r="R26" s="24" t="s">
        <v>479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45515.0</v>
      </c>
      <c r="C27" s="18" t="s">
        <v>772</v>
      </c>
      <c r="D27" s="19">
        <v>81108.0</v>
      </c>
      <c r="E27" s="20" t="s">
        <v>94</v>
      </c>
      <c r="F27" s="21"/>
      <c r="G27" s="22"/>
      <c r="H27" s="22"/>
      <c r="I27" s="21">
        <v>38950.0</v>
      </c>
      <c r="J27" s="21"/>
      <c r="K27" s="23"/>
      <c r="L27" s="22"/>
      <c r="M27" s="22"/>
      <c r="N27" s="22"/>
      <c r="O27" s="22"/>
      <c r="P27" s="24">
        <v>38950.0</v>
      </c>
      <c r="Q27" s="25">
        <f t="shared" si="1"/>
        <v>0</v>
      </c>
      <c r="R27" s="24" t="s">
        <v>25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45515.0</v>
      </c>
      <c r="C28" s="18" t="s">
        <v>773</v>
      </c>
      <c r="D28" s="19">
        <v>10001.0</v>
      </c>
      <c r="E28" s="20" t="s">
        <v>339</v>
      </c>
      <c r="F28" s="21"/>
      <c r="G28" s="22"/>
      <c r="H28" s="22"/>
      <c r="I28" s="21">
        <v>1400.0</v>
      </c>
      <c r="J28" s="21"/>
      <c r="K28" s="23"/>
      <c r="L28" s="22"/>
      <c r="M28" s="22"/>
      <c r="N28" s="22"/>
      <c r="O28" s="22"/>
      <c r="P28" s="24">
        <v>1400.0</v>
      </c>
      <c r="Q28" s="25">
        <f t="shared" si="1"/>
        <v>0</v>
      </c>
      <c r="R28" s="24" t="s">
        <v>25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45515.0</v>
      </c>
      <c r="C29" s="18" t="s">
        <v>774</v>
      </c>
      <c r="D29" s="19">
        <v>35220.0</v>
      </c>
      <c r="E29" s="20" t="s">
        <v>775</v>
      </c>
      <c r="F29" s="21"/>
      <c r="G29" s="22"/>
      <c r="H29" s="22"/>
      <c r="I29" s="21">
        <v>1000.0</v>
      </c>
      <c r="J29" s="21"/>
      <c r="K29" s="23"/>
      <c r="L29" s="22"/>
      <c r="M29" s="22"/>
      <c r="N29" s="22"/>
      <c r="O29" s="22"/>
      <c r="P29" s="24">
        <v>1000.0</v>
      </c>
      <c r="Q29" s="25">
        <f t="shared" si="1"/>
        <v>0</v>
      </c>
      <c r="R29" s="24" t="s">
        <v>25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45515.0</v>
      </c>
      <c r="C30" s="18" t="s">
        <v>776</v>
      </c>
      <c r="D30" s="19">
        <v>42339.0</v>
      </c>
      <c r="E30" s="20" t="s">
        <v>106</v>
      </c>
      <c r="F30" s="21"/>
      <c r="G30" s="22"/>
      <c r="H30" s="22"/>
      <c r="I30" s="21">
        <v>150.0</v>
      </c>
      <c r="J30" s="21"/>
      <c r="K30" s="23"/>
      <c r="L30" s="22"/>
      <c r="M30" s="22"/>
      <c r="N30" s="22"/>
      <c r="O30" s="22"/>
      <c r="P30" s="24">
        <v>150.0</v>
      </c>
      <c r="Q30" s="25">
        <f t="shared" si="1"/>
        <v>0</v>
      </c>
      <c r="R30" s="24" t="s">
        <v>25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45515.0</v>
      </c>
      <c r="C31" s="18" t="s">
        <v>777</v>
      </c>
      <c r="D31" s="19">
        <v>48883.0</v>
      </c>
      <c r="E31" s="20" t="s">
        <v>555</v>
      </c>
      <c r="F31" s="21"/>
      <c r="G31" s="22"/>
      <c r="H31" s="22"/>
      <c r="I31" s="21">
        <v>150.0</v>
      </c>
      <c r="J31" s="21"/>
      <c r="K31" s="23"/>
      <c r="L31" s="22"/>
      <c r="M31" s="22"/>
      <c r="N31" s="22"/>
      <c r="O31" s="22"/>
      <c r="P31" s="24">
        <v>150.0</v>
      </c>
      <c r="Q31" s="25">
        <f t="shared" si="1"/>
        <v>0</v>
      </c>
      <c r="R31" s="24" t="s">
        <v>25</v>
      </c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45515.0</v>
      </c>
      <c r="C32" s="18" t="s">
        <v>778</v>
      </c>
      <c r="D32" s="19">
        <v>76388.0</v>
      </c>
      <c r="E32" s="20" t="s">
        <v>779</v>
      </c>
      <c r="F32" s="21"/>
      <c r="G32" s="22"/>
      <c r="H32" s="22"/>
      <c r="I32" s="21">
        <v>5150.0</v>
      </c>
      <c r="J32" s="21"/>
      <c r="K32" s="23"/>
      <c r="L32" s="22"/>
      <c r="M32" s="22"/>
      <c r="N32" s="22"/>
      <c r="O32" s="22"/>
      <c r="P32" s="24">
        <v>5150.0</v>
      </c>
      <c r="Q32" s="25">
        <f t="shared" si="1"/>
        <v>0</v>
      </c>
      <c r="R32" s="24" t="s">
        <v>479</v>
      </c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45515.0</v>
      </c>
      <c r="C33" s="18" t="s">
        <v>780</v>
      </c>
      <c r="D33" s="19">
        <v>10008.0</v>
      </c>
      <c r="E33" s="20" t="s">
        <v>403</v>
      </c>
      <c r="F33" s="21"/>
      <c r="G33" s="22">
        <v>0.0</v>
      </c>
      <c r="H33" s="21"/>
      <c r="I33" s="21"/>
      <c r="J33" s="21"/>
      <c r="K33" s="23"/>
      <c r="L33" s="22"/>
      <c r="M33" s="22"/>
      <c r="N33" s="22"/>
      <c r="O33" s="22"/>
      <c r="P33" s="24">
        <v>5000.0</v>
      </c>
      <c r="Q33" s="25">
        <f t="shared" si="1"/>
        <v>-5000</v>
      </c>
      <c r="R33" s="24" t="s">
        <v>25</v>
      </c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7">
        <v>45515.0</v>
      </c>
      <c r="C34" s="18" t="s">
        <v>781</v>
      </c>
      <c r="D34" s="19">
        <v>10008.0</v>
      </c>
      <c r="E34" s="20" t="s">
        <v>403</v>
      </c>
      <c r="F34" s="21"/>
      <c r="G34" s="22">
        <v>0.0</v>
      </c>
      <c r="H34" s="21"/>
      <c r="I34" s="21"/>
      <c r="J34" s="21"/>
      <c r="K34" s="23"/>
      <c r="L34" s="22"/>
      <c r="M34" s="22"/>
      <c r="N34" s="22"/>
      <c r="O34" s="22"/>
      <c r="P34" s="24">
        <v>9500.0</v>
      </c>
      <c r="Q34" s="25">
        <f t="shared" si="1"/>
        <v>-9500</v>
      </c>
      <c r="R34" s="24" t="s">
        <v>25</v>
      </c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7">
        <v>45515.0</v>
      </c>
      <c r="C35" s="18" t="s">
        <v>782</v>
      </c>
      <c r="D35" s="19">
        <v>51301.0</v>
      </c>
      <c r="E35" s="20" t="s">
        <v>783</v>
      </c>
      <c r="F35" s="21"/>
      <c r="G35" s="22"/>
      <c r="H35" s="22"/>
      <c r="I35" s="21">
        <v>300.0</v>
      </c>
      <c r="J35" s="21"/>
      <c r="K35" s="23"/>
      <c r="L35" s="22"/>
      <c r="M35" s="22"/>
      <c r="N35" s="22"/>
      <c r="O35" s="22"/>
      <c r="P35" s="24">
        <v>300.0</v>
      </c>
      <c r="Q35" s="25">
        <f t="shared" si="1"/>
        <v>0</v>
      </c>
      <c r="R35" s="24" t="s">
        <v>30</v>
      </c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7">
        <v>45515.0</v>
      </c>
      <c r="C36" s="18" t="s">
        <v>784</v>
      </c>
      <c r="D36" s="19">
        <v>22332.0</v>
      </c>
      <c r="E36" s="20" t="s">
        <v>396</v>
      </c>
      <c r="F36" s="21"/>
      <c r="G36" s="22"/>
      <c r="H36" s="22"/>
      <c r="I36" s="21">
        <v>1150.0</v>
      </c>
      <c r="J36" s="21"/>
      <c r="K36" s="23"/>
      <c r="L36" s="22"/>
      <c r="M36" s="22"/>
      <c r="N36" s="22"/>
      <c r="O36" s="22"/>
      <c r="P36" s="24">
        <v>1150.0</v>
      </c>
      <c r="Q36" s="25">
        <f t="shared" si="1"/>
        <v>0</v>
      </c>
      <c r="R36" s="24" t="s">
        <v>479</v>
      </c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7">
        <v>45515.0</v>
      </c>
      <c r="C37" s="18" t="s">
        <v>785</v>
      </c>
      <c r="D37" s="19">
        <v>84389.0</v>
      </c>
      <c r="E37" s="20" t="s">
        <v>786</v>
      </c>
      <c r="F37" s="21"/>
      <c r="G37" s="22"/>
      <c r="H37" s="22"/>
      <c r="I37" s="21"/>
      <c r="J37" s="21">
        <v>7300.0</v>
      </c>
      <c r="K37" s="23"/>
      <c r="L37" s="22"/>
      <c r="M37" s="22"/>
      <c r="N37" s="22"/>
      <c r="O37" s="22"/>
      <c r="P37" s="24">
        <v>7300.0</v>
      </c>
      <c r="Q37" s="25">
        <f t="shared" si="1"/>
        <v>0</v>
      </c>
      <c r="R37" s="24" t="s">
        <v>30</v>
      </c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7">
        <v>45515.0</v>
      </c>
      <c r="C38" s="18" t="s">
        <v>787</v>
      </c>
      <c r="D38" s="19">
        <v>21818.0</v>
      </c>
      <c r="E38" s="20" t="s">
        <v>32</v>
      </c>
      <c r="F38" s="21"/>
      <c r="G38" s="22"/>
      <c r="H38" s="22"/>
      <c r="I38" s="21"/>
      <c r="J38" s="21"/>
      <c r="K38" s="23">
        <v>76500.0</v>
      </c>
      <c r="L38" s="22"/>
      <c r="M38" s="22"/>
      <c r="N38" s="22"/>
      <c r="O38" s="22"/>
      <c r="P38" s="24">
        <v>76500.0</v>
      </c>
      <c r="Q38" s="25">
        <f t="shared" si="1"/>
        <v>0</v>
      </c>
      <c r="R38" s="24" t="s">
        <v>25</v>
      </c>
      <c r="S38" s="26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7">
        <v>45514.0</v>
      </c>
      <c r="C39" s="18" t="s">
        <v>788</v>
      </c>
      <c r="D39" s="19">
        <v>14329.0</v>
      </c>
      <c r="E39" s="20" t="s">
        <v>139</v>
      </c>
      <c r="F39" s="21"/>
      <c r="G39" s="22"/>
      <c r="H39" s="22"/>
      <c r="I39" s="21"/>
      <c r="J39" s="21"/>
      <c r="K39" s="23"/>
      <c r="L39" s="22"/>
      <c r="M39" s="22"/>
      <c r="N39" s="22"/>
      <c r="O39" s="22">
        <v>1700.0</v>
      </c>
      <c r="P39" s="24">
        <v>1700.0</v>
      </c>
      <c r="Q39" s="25">
        <f t="shared" si="1"/>
        <v>0</v>
      </c>
      <c r="R39" s="24"/>
      <c r="S39" s="26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7">
        <v>45514.0</v>
      </c>
      <c r="C40" s="18" t="s">
        <v>789</v>
      </c>
      <c r="D40" s="19">
        <v>72839.0</v>
      </c>
      <c r="E40" s="20" t="s">
        <v>714</v>
      </c>
      <c r="F40" s="21"/>
      <c r="G40" s="22"/>
      <c r="H40" s="22"/>
      <c r="I40" s="21"/>
      <c r="J40" s="21"/>
      <c r="K40" s="23">
        <v>300.0</v>
      </c>
      <c r="L40" s="22"/>
      <c r="M40" s="22"/>
      <c r="N40" s="22"/>
      <c r="O40" s="22"/>
      <c r="P40" s="24">
        <v>300.0</v>
      </c>
      <c r="Q40" s="25">
        <f t="shared" si="1"/>
        <v>0</v>
      </c>
      <c r="R40" s="24"/>
      <c r="S40" s="26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7">
        <v>45515.0</v>
      </c>
      <c r="C41" s="18" t="s">
        <v>790</v>
      </c>
      <c r="D41" s="19">
        <v>51017.0</v>
      </c>
      <c r="E41" s="20" t="s">
        <v>270</v>
      </c>
      <c r="F41" s="21"/>
      <c r="G41" s="22"/>
      <c r="H41" s="22">
        <v>25000.0</v>
      </c>
      <c r="I41" s="21"/>
      <c r="J41" s="21"/>
      <c r="K41" s="23"/>
      <c r="L41" s="22"/>
      <c r="M41" s="22"/>
      <c r="N41" s="22"/>
      <c r="O41" s="22"/>
      <c r="P41" s="24">
        <v>25000.0</v>
      </c>
      <c r="Q41" s="25">
        <f t="shared" si="1"/>
        <v>0</v>
      </c>
      <c r="R41" s="24"/>
      <c r="S41" s="26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27">
        <v>45515.0</v>
      </c>
      <c r="C42" s="18" t="s">
        <v>791</v>
      </c>
      <c r="D42" s="19">
        <v>10250.0</v>
      </c>
      <c r="E42" s="20" t="s">
        <v>36</v>
      </c>
      <c r="F42" s="21"/>
      <c r="G42" s="22"/>
      <c r="H42" s="22">
        <v>18000.0</v>
      </c>
      <c r="I42" s="21"/>
      <c r="J42" s="21"/>
      <c r="K42" s="23"/>
      <c r="L42" s="22"/>
      <c r="M42" s="22"/>
      <c r="N42" s="22"/>
      <c r="O42" s="22"/>
      <c r="P42" s="24">
        <v>18000.0</v>
      </c>
      <c r="Q42" s="25">
        <f t="shared" si="1"/>
        <v>0</v>
      </c>
      <c r="R42" s="24"/>
      <c r="S42" s="26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>
        <v>39.0</v>
      </c>
      <c r="B43" s="27">
        <v>45515.0</v>
      </c>
      <c r="C43" s="18" t="s">
        <v>792</v>
      </c>
      <c r="D43" s="19">
        <v>26350.0</v>
      </c>
      <c r="E43" s="20" t="s">
        <v>793</v>
      </c>
      <c r="F43" s="21"/>
      <c r="G43" s="22"/>
      <c r="H43" s="22">
        <v>4500.0</v>
      </c>
      <c r="I43" s="21"/>
      <c r="J43" s="21"/>
      <c r="K43" s="23"/>
      <c r="L43" s="22"/>
      <c r="M43" s="22"/>
      <c r="N43" s="22"/>
      <c r="O43" s="22"/>
      <c r="P43" s="24">
        <v>4500.0</v>
      </c>
      <c r="Q43" s="25">
        <f t="shared" si="1"/>
        <v>0</v>
      </c>
      <c r="R43" s="24"/>
      <c r="S43" s="26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16">
        <v>40.0</v>
      </c>
      <c r="B44" s="27">
        <v>45515.0</v>
      </c>
      <c r="C44" s="18" t="s">
        <v>794</v>
      </c>
      <c r="D44" s="19">
        <v>43380.0</v>
      </c>
      <c r="E44" s="20" t="s">
        <v>161</v>
      </c>
      <c r="F44" s="21"/>
      <c r="G44" s="22"/>
      <c r="H44" s="22">
        <v>17000.0</v>
      </c>
      <c r="I44" s="21"/>
      <c r="J44" s="21"/>
      <c r="K44" s="23"/>
      <c r="L44" s="22"/>
      <c r="M44" s="22"/>
      <c r="N44" s="22"/>
      <c r="O44" s="22"/>
      <c r="P44" s="24">
        <v>17000.0</v>
      </c>
      <c r="Q44" s="25">
        <f t="shared" si="1"/>
        <v>0</v>
      </c>
      <c r="R44" s="24"/>
      <c r="S44" s="26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16">
        <v>41.0</v>
      </c>
      <c r="B45" s="27">
        <v>45515.0</v>
      </c>
      <c r="C45" s="18" t="s">
        <v>795</v>
      </c>
      <c r="D45" s="19">
        <v>25541.0</v>
      </c>
      <c r="E45" s="20" t="s">
        <v>796</v>
      </c>
      <c r="F45" s="21"/>
      <c r="G45" s="22"/>
      <c r="H45" s="22">
        <v>4500.0</v>
      </c>
      <c r="I45" s="21"/>
      <c r="J45" s="21"/>
      <c r="K45" s="23"/>
      <c r="L45" s="22"/>
      <c r="M45" s="22"/>
      <c r="N45" s="22"/>
      <c r="O45" s="22"/>
      <c r="P45" s="24">
        <v>4500.0</v>
      </c>
      <c r="Q45" s="25">
        <f t="shared" si="1"/>
        <v>0</v>
      </c>
      <c r="R45" s="24"/>
      <c r="S45" s="26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4.5" customHeight="1">
      <c r="A46" s="16">
        <v>42.0</v>
      </c>
      <c r="B46" s="27">
        <v>45515.0</v>
      </c>
      <c r="C46" s="18" t="s">
        <v>797</v>
      </c>
      <c r="D46" s="19">
        <v>51017.0</v>
      </c>
      <c r="E46" s="20" t="s">
        <v>270</v>
      </c>
      <c r="F46" s="21"/>
      <c r="G46" s="22"/>
      <c r="H46" s="22">
        <v>19500.0</v>
      </c>
      <c r="I46" s="21"/>
      <c r="J46" s="21"/>
      <c r="K46" s="23"/>
      <c r="L46" s="22"/>
      <c r="M46" s="22"/>
      <c r="N46" s="22"/>
      <c r="O46" s="22"/>
      <c r="P46" s="24">
        <v>19500.0</v>
      </c>
      <c r="Q46" s="25">
        <f t="shared" si="1"/>
        <v>0</v>
      </c>
      <c r="R46" s="24"/>
      <c r="S46" s="26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34.5" customHeight="1">
      <c r="A47" s="16"/>
      <c r="B47" s="27"/>
      <c r="C47" s="18"/>
      <c r="D47" s="19"/>
      <c r="E47" s="20"/>
      <c r="F47" s="21"/>
      <c r="G47" s="22"/>
      <c r="H47" s="22"/>
      <c r="I47" s="21"/>
      <c r="J47" s="21"/>
      <c r="K47" s="23"/>
      <c r="L47" s="22"/>
      <c r="M47" s="22"/>
      <c r="N47" s="22"/>
      <c r="O47" s="22"/>
      <c r="P47" s="24"/>
      <c r="Q47" s="25">
        <f t="shared" si="1"/>
        <v>0</v>
      </c>
      <c r="R47" s="24"/>
      <c r="S47" s="26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37.5" customHeight="1">
      <c r="A48" s="16"/>
      <c r="B48" s="27"/>
      <c r="C48" s="18"/>
      <c r="D48" s="19" t="s">
        <v>183</v>
      </c>
      <c r="E48" s="20"/>
      <c r="F48" s="45">
        <f t="shared" ref="F48:P48" si="2">SUM(F5:F47)</f>
        <v>1250</v>
      </c>
      <c r="G48" s="45">
        <f t="shared" si="2"/>
        <v>29500</v>
      </c>
      <c r="H48" s="45">
        <f t="shared" si="2"/>
        <v>98000</v>
      </c>
      <c r="I48" s="45">
        <f t="shared" si="2"/>
        <v>138100</v>
      </c>
      <c r="J48" s="45">
        <f t="shared" si="2"/>
        <v>24550</v>
      </c>
      <c r="K48" s="45">
        <f t="shared" si="2"/>
        <v>76800</v>
      </c>
      <c r="L48" s="45">
        <f t="shared" si="2"/>
        <v>0</v>
      </c>
      <c r="M48" s="45">
        <f t="shared" si="2"/>
        <v>0</v>
      </c>
      <c r="N48" s="45">
        <f t="shared" si="2"/>
        <v>0</v>
      </c>
      <c r="O48" s="45">
        <f t="shared" si="2"/>
        <v>1700</v>
      </c>
      <c r="P48" s="45">
        <f t="shared" si="2"/>
        <v>384400</v>
      </c>
      <c r="Q48" s="46">
        <v>0.0</v>
      </c>
      <c r="R48" s="47"/>
      <c r="S48" s="26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</row>
    <row r="49" ht="15.75" customHeight="1">
      <c r="A49" s="48"/>
      <c r="B49" s="48"/>
      <c r="C49" s="49"/>
      <c r="D49" s="48"/>
      <c r="E49" s="48"/>
      <c r="F49" s="50">
        <f>F48+G48+H48+I48+J48+K48+L48+M48+N48+O48</f>
        <v>369900</v>
      </c>
      <c r="P49" s="51"/>
      <c r="Q49" s="51"/>
      <c r="R49" s="48"/>
      <c r="S49" s="48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</row>
    <row r="50" ht="15.75" customHeight="1">
      <c r="A50" s="4"/>
      <c r="B50" s="4"/>
      <c r="C50" s="5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3" t="s">
        <v>183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54" t="s">
        <v>184</v>
      </c>
      <c r="F53" s="55" t="s">
        <v>196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2"/>
      <c r="D54" s="4"/>
      <c r="E54" s="56" t="s">
        <v>186</v>
      </c>
      <c r="F54" s="55" t="s">
        <v>357</v>
      </c>
      <c r="G54" s="4"/>
      <c r="H54" s="4"/>
      <c r="I54" s="4"/>
      <c r="J54" s="4"/>
      <c r="K54" s="4"/>
      <c r="L54" s="4"/>
      <c r="M54" s="4"/>
      <c r="N54" s="4"/>
      <c r="O54" s="57" t="s">
        <v>183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56" t="s">
        <v>188</v>
      </c>
      <c r="F55" s="55" t="s">
        <v>194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56" t="s">
        <v>189</v>
      </c>
      <c r="F56" s="55" t="s">
        <v>194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56" t="s">
        <v>190</v>
      </c>
      <c r="F57" s="61" t="s">
        <v>798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56" t="s">
        <v>799</v>
      </c>
      <c r="F58" s="55" t="s">
        <v>194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56" t="s">
        <v>193</v>
      </c>
      <c r="F59" s="55" t="s">
        <v>194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56" t="s">
        <v>195</v>
      </c>
      <c r="F60" s="59" t="s">
        <v>196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57" t="s">
        <v>183</v>
      </c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 t="str">
        <f>I72448</f>
        <v/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57" t="s">
        <v>197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>
        <v>7.0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5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5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5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5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5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5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5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5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5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>
      <c r="A283" s="4"/>
      <c r="B283" s="4"/>
      <c r="C283" s="5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R2:R4"/>
    <mergeCell ref="S2:S4"/>
    <mergeCell ref="F3:F4"/>
    <mergeCell ref="G3:H3"/>
    <mergeCell ref="I3:J3"/>
    <mergeCell ref="K3:K4"/>
    <mergeCell ref="F49:O49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6.88"/>
    <col customWidth="1" min="6" max="6" width="29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45.0" customHeight="1">
      <c r="A1" s="1" t="s">
        <v>800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15.75" customHeight="1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5.75" customHeight="1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45515.0</v>
      </c>
      <c r="C5" s="18" t="s">
        <v>801</v>
      </c>
      <c r="D5" s="19">
        <v>81859.0</v>
      </c>
      <c r="E5" s="20" t="s">
        <v>802</v>
      </c>
      <c r="F5" s="21"/>
      <c r="G5" s="22"/>
      <c r="H5" s="21"/>
      <c r="I5" s="23"/>
      <c r="J5" s="23">
        <v>5150.0</v>
      </c>
      <c r="K5" s="22"/>
      <c r="L5" s="22"/>
      <c r="M5" s="21"/>
      <c r="N5" s="22"/>
      <c r="O5" s="22"/>
      <c r="P5" s="24">
        <v>5150.0</v>
      </c>
      <c r="Q5" s="25">
        <f t="shared" ref="Q5:Q59" si="1">F5+G5+H5+I5+J5+K5+L5+M5+N5+O5-P5</f>
        <v>0</v>
      </c>
      <c r="R5" s="24" t="s">
        <v>30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45515.0</v>
      </c>
      <c r="C6" s="18" t="s">
        <v>803</v>
      </c>
      <c r="D6" s="19">
        <v>80636.0</v>
      </c>
      <c r="E6" s="20" t="s">
        <v>362</v>
      </c>
      <c r="F6" s="21">
        <v>100.0</v>
      </c>
      <c r="G6" s="22"/>
      <c r="H6" s="22"/>
      <c r="I6" s="21"/>
      <c r="J6" s="22"/>
      <c r="K6" s="22"/>
      <c r="L6" s="22"/>
      <c r="M6" s="21"/>
      <c r="N6" s="22"/>
      <c r="O6" s="22"/>
      <c r="P6" s="24">
        <v>100.0</v>
      </c>
      <c r="Q6" s="25">
        <f t="shared" si="1"/>
        <v>0</v>
      </c>
      <c r="R6" s="24" t="s">
        <v>479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45515.0</v>
      </c>
      <c r="C7" s="18" t="s">
        <v>804</v>
      </c>
      <c r="D7" s="19">
        <v>10001.0</v>
      </c>
      <c r="E7" s="20" t="s">
        <v>339</v>
      </c>
      <c r="F7" s="22"/>
      <c r="G7" s="22"/>
      <c r="H7" s="21"/>
      <c r="I7" s="21">
        <v>5550.0</v>
      </c>
      <c r="J7" s="23"/>
      <c r="K7" s="22"/>
      <c r="L7" s="22"/>
      <c r="M7" s="22"/>
      <c r="N7" s="22"/>
      <c r="O7" s="22"/>
      <c r="P7" s="24">
        <v>5550.0</v>
      </c>
      <c r="Q7" s="25">
        <f t="shared" si="1"/>
        <v>0</v>
      </c>
      <c r="R7" s="24" t="s">
        <v>479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45517.0</v>
      </c>
      <c r="C8" s="18" t="s">
        <v>805</v>
      </c>
      <c r="D8" s="19">
        <v>75034.0</v>
      </c>
      <c r="E8" s="20" t="s">
        <v>806</v>
      </c>
      <c r="F8" s="22"/>
      <c r="G8" s="22"/>
      <c r="H8" s="22"/>
      <c r="I8" s="21">
        <v>7650.0</v>
      </c>
      <c r="J8" s="21"/>
      <c r="K8" s="22"/>
      <c r="L8" s="22"/>
      <c r="M8" s="22"/>
      <c r="N8" s="22"/>
      <c r="O8" s="22"/>
      <c r="P8" s="24">
        <v>7650.0</v>
      </c>
      <c r="Q8" s="25">
        <f t="shared" si="1"/>
        <v>0</v>
      </c>
      <c r="R8" s="24" t="s">
        <v>51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45517.0</v>
      </c>
      <c r="C9" s="18" t="s">
        <v>807</v>
      </c>
      <c r="D9" s="19">
        <v>26005.0</v>
      </c>
      <c r="E9" s="20" t="s">
        <v>102</v>
      </c>
      <c r="F9" s="22"/>
      <c r="G9" s="22"/>
      <c r="H9" s="22"/>
      <c r="I9" s="21">
        <v>2500.0</v>
      </c>
      <c r="J9" s="21"/>
      <c r="K9" s="22"/>
      <c r="L9" s="22"/>
      <c r="M9" s="21"/>
      <c r="N9" s="22"/>
      <c r="O9" s="22"/>
      <c r="P9" s="24">
        <v>2500.0</v>
      </c>
      <c r="Q9" s="25">
        <f t="shared" si="1"/>
        <v>0</v>
      </c>
      <c r="R9" s="24" t="s">
        <v>51</v>
      </c>
      <c r="S9" s="26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45517.0</v>
      </c>
      <c r="C10" s="18" t="s">
        <v>808</v>
      </c>
      <c r="D10" s="19">
        <v>52083.0</v>
      </c>
      <c r="E10" s="20" t="s">
        <v>122</v>
      </c>
      <c r="F10" s="22"/>
      <c r="G10" s="22"/>
      <c r="H10" s="22"/>
      <c r="I10" s="21">
        <v>2500.0</v>
      </c>
      <c r="J10" s="21"/>
      <c r="K10" s="22"/>
      <c r="L10" s="22"/>
      <c r="M10" s="21"/>
      <c r="N10" s="22"/>
      <c r="O10" s="22"/>
      <c r="P10" s="24">
        <v>2500.0</v>
      </c>
      <c r="Q10" s="25">
        <f t="shared" si="1"/>
        <v>0</v>
      </c>
      <c r="R10" s="24" t="s">
        <v>30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45517.0</v>
      </c>
      <c r="C11" s="18" t="s">
        <v>809</v>
      </c>
      <c r="D11" s="19">
        <v>52083.0</v>
      </c>
      <c r="E11" s="20" t="s">
        <v>122</v>
      </c>
      <c r="F11" s="22"/>
      <c r="G11" s="22"/>
      <c r="H11" s="22"/>
      <c r="I11" s="21">
        <v>2500.0</v>
      </c>
      <c r="J11" s="21"/>
      <c r="K11" s="22"/>
      <c r="L11" s="22"/>
      <c r="M11" s="21"/>
      <c r="N11" s="22"/>
      <c r="O11" s="22"/>
      <c r="P11" s="24">
        <v>2500.0</v>
      </c>
      <c r="Q11" s="25">
        <f t="shared" si="1"/>
        <v>0</v>
      </c>
      <c r="R11" s="24" t="s">
        <v>30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7">
        <v>45517.0</v>
      </c>
      <c r="C12" s="18" t="s">
        <v>810</v>
      </c>
      <c r="D12" s="19">
        <v>54226.0</v>
      </c>
      <c r="E12" s="20" t="s">
        <v>811</v>
      </c>
      <c r="F12" s="22"/>
      <c r="G12" s="22"/>
      <c r="H12" s="22"/>
      <c r="I12" s="21">
        <v>3650.0</v>
      </c>
      <c r="J12" s="21"/>
      <c r="K12" s="22"/>
      <c r="L12" s="22"/>
      <c r="M12" s="21"/>
      <c r="N12" s="22"/>
      <c r="O12" s="22"/>
      <c r="P12" s="24">
        <v>3650.0</v>
      </c>
      <c r="Q12" s="25">
        <f t="shared" si="1"/>
        <v>0</v>
      </c>
      <c r="R12" s="24" t="s">
        <v>30</v>
      </c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8">
        <v>45517.0</v>
      </c>
      <c r="C13" s="29" t="s">
        <v>812</v>
      </c>
      <c r="D13" s="30">
        <v>36555.0</v>
      </c>
      <c r="E13" s="31" t="s">
        <v>63</v>
      </c>
      <c r="F13" s="22"/>
      <c r="G13" s="22"/>
      <c r="H13" s="22"/>
      <c r="I13" s="21">
        <v>9500.0</v>
      </c>
      <c r="J13" s="21"/>
      <c r="K13" s="22"/>
      <c r="L13" s="22"/>
      <c r="M13" s="21"/>
      <c r="N13" s="22"/>
      <c r="O13" s="22"/>
      <c r="P13" s="32">
        <v>9500.0</v>
      </c>
      <c r="Q13" s="25">
        <f t="shared" si="1"/>
        <v>0</v>
      </c>
      <c r="R13" s="32" t="s">
        <v>479</v>
      </c>
      <c r="S13" s="26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 ht="34.5" customHeight="1">
      <c r="A14" s="16">
        <v>10.0</v>
      </c>
      <c r="B14" s="27">
        <v>45517.0</v>
      </c>
      <c r="C14" s="18" t="s">
        <v>813</v>
      </c>
      <c r="D14" s="19">
        <v>62508.0</v>
      </c>
      <c r="E14" s="20" t="s">
        <v>246</v>
      </c>
      <c r="F14" s="22"/>
      <c r="G14" s="22"/>
      <c r="H14" s="22"/>
      <c r="I14" s="21">
        <v>2650.0</v>
      </c>
      <c r="J14" s="21"/>
      <c r="K14" s="22"/>
      <c r="L14" s="22"/>
      <c r="M14" s="21"/>
      <c r="N14" s="22"/>
      <c r="O14" s="22"/>
      <c r="P14" s="24">
        <v>2650.0</v>
      </c>
      <c r="Q14" s="25">
        <f t="shared" si="1"/>
        <v>0</v>
      </c>
      <c r="R14" s="24" t="s">
        <v>51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45517.0</v>
      </c>
      <c r="C15" s="18" t="s">
        <v>814</v>
      </c>
      <c r="D15" s="19">
        <v>72414.0</v>
      </c>
      <c r="E15" s="20" t="s">
        <v>763</v>
      </c>
      <c r="F15" s="22"/>
      <c r="G15" s="22"/>
      <c r="H15" s="22"/>
      <c r="I15" s="21"/>
      <c r="J15" s="21">
        <v>2500.0</v>
      </c>
      <c r="K15" s="22"/>
      <c r="L15" s="22"/>
      <c r="M15" s="21"/>
      <c r="N15" s="22"/>
      <c r="O15" s="22"/>
      <c r="P15" s="24">
        <v>2500.0</v>
      </c>
      <c r="Q15" s="25">
        <f t="shared" si="1"/>
        <v>0</v>
      </c>
      <c r="R15" s="24" t="s">
        <v>51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45517.0</v>
      </c>
      <c r="C16" s="18" t="s">
        <v>815</v>
      </c>
      <c r="D16" s="19">
        <v>59812.0</v>
      </c>
      <c r="E16" s="20" t="s">
        <v>681</v>
      </c>
      <c r="F16" s="22"/>
      <c r="G16" s="22"/>
      <c r="H16" s="22"/>
      <c r="I16" s="21">
        <v>10000.0</v>
      </c>
      <c r="J16" s="21"/>
      <c r="K16" s="22"/>
      <c r="L16" s="22"/>
      <c r="M16" s="21"/>
      <c r="N16" s="22"/>
      <c r="O16" s="22"/>
      <c r="P16" s="24">
        <v>10000.0</v>
      </c>
      <c r="Q16" s="25">
        <f t="shared" si="1"/>
        <v>0</v>
      </c>
      <c r="R16" s="24" t="s">
        <v>51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45517.0</v>
      </c>
      <c r="C17" s="18" t="s">
        <v>816</v>
      </c>
      <c r="D17" s="19">
        <v>52373.0</v>
      </c>
      <c r="E17" s="20" t="s">
        <v>817</v>
      </c>
      <c r="F17" s="22"/>
      <c r="G17" s="22"/>
      <c r="H17" s="22"/>
      <c r="I17" s="21"/>
      <c r="J17" s="21">
        <v>16250.0</v>
      </c>
      <c r="K17" s="22"/>
      <c r="L17" s="22"/>
      <c r="M17" s="21"/>
      <c r="N17" s="22"/>
      <c r="O17" s="22"/>
      <c r="P17" s="24">
        <v>16250.0</v>
      </c>
      <c r="Q17" s="25">
        <f t="shared" si="1"/>
        <v>0</v>
      </c>
      <c r="R17" s="24" t="s">
        <v>51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7">
        <v>45517.0</v>
      </c>
      <c r="C18" s="18" t="s">
        <v>818</v>
      </c>
      <c r="D18" s="19">
        <v>14343.0</v>
      </c>
      <c r="E18" s="20" t="s">
        <v>819</v>
      </c>
      <c r="F18" s="22"/>
      <c r="G18" s="22"/>
      <c r="H18" s="22"/>
      <c r="I18" s="21">
        <v>2650.0</v>
      </c>
      <c r="J18" s="21"/>
      <c r="K18" s="22"/>
      <c r="L18" s="22"/>
      <c r="M18" s="22"/>
      <c r="N18" s="22"/>
      <c r="O18" s="22"/>
      <c r="P18" s="24">
        <v>2650.0</v>
      </c>
      <c r="Q18" s="25">
        <f t="shared" si="1"/>
        <v>0</v>
      </c>
      <c r="R18" s="24" t="s">
        <v>51</v>
      </c>
      <c r="S18" s="26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28">
        <v>45517.0</v>
      </c>
      <c r="C19" s="29" t="s">
        <v>820</v>
      </c>
      <c r="D19" s="30">
        <v>54039.0</v>
      </c>
      <c r="E19" s="31" t="s">
        <v>821</v>
      </c>
      <c r="F19" s="22"/>
      <c r="G19" s="22"/>
      <c r="H19" s="22"/>
      <c r="I19" s="21">
        <v>5150.0</v>
      </c>
      <c r="J19" s="21"/>
      <c r="K19" s="22"/>
      <c r="L19" s="22"/>
      <c r="M19" s="21"/>
      <c r="N19" s="22"/>
      <c r="O19" s="22"/>
      <c r="P19" s="32">
        <v>5150.0</v>
      </c>
      <c r="Q19" s="25">
        <f t="shared" si="1"/>
        <v>0</v>
      </c>
      <c r="R19" s="32" t="s">
        <v>51</v>
      </c>
      <c r="S19" s="26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ht="34.5" customHeight="1">
      <c r="A20" s="16">
        <v>16.0</v>
      </c>
      <c r="B20" s="27">
        <v>45517.0</v>
      </c>
      <c r="C20" s="18" t="s">
        <v>822</v>
      </c>
      <c r="D20" s="19">
        <v>84389.0</v>
      </c>
      <c r="E20" s="20" t="s">
        <v>786</v>
      </c>
      <c r="F20" s="22"/>
      <c r="G20" s="22"/>
      <c r="H20" s="22"/>
      <c r="I20" s="23"/>
      <c r="J20" s="23">
        <v>2400.0</v>
      </c>
      <c r="K20" s="22"/>
      <c r="L20" s="22"/>
      <c r="M20" s="22"/>
      <c r="N20" s="22"/>
      <c r="O20" s="22"/>
      <c r="P20" s="24">
        <v>2400.0</v>
      </c>
      <c r="Q20" s="25">
        <f t="shared" si="1"/>
        <v>0</v>
      </c>
      <c r="R20" s="24" t="s">
        <v>479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45517.0</v>
      </c>
      <c r="C21" s="18" t="s">
        <v>823</v>
      </c>
      <c r="D21" s="19">
        <v>76101.0</v>
      </c>
      <c r="E21" s="20" t="s">
        <v>61</v>
      </c>
      <c r="F21" s="21"/>
      <c r="G21" s="22"/>
      <c r="H21" s="22"/>
      <c r="I21" s="34">
        <v>2650.0</v>
      </c>
      <c r="J21" s="22"/>
      <c r="K21" s="35"/>
      <c r="L21" s="22"/>
      <c r="M21" s="22"/>
      <c r="N21" s="22"/>
      <c r="O21" s="22"/>
      <c r="P21" s="24">
        <v>2650.0</v>
      </c>
      <c r="Q21" s="25">
        <f t="shared" si="1"/>
        <v>0</v>
      </c>
      <c r="R21" s="24" t="s">
        <v>30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7">
        <v>45517.0</v>
      </c>
      <c r="C22" s="18" t="s">
        <v>824</v>
      </c>
      <c r="D22" s="19">
        <v>29621.0</v>
      </c>
      <c r="E22" s="20" t="s">
        <v>133</v>
      </c>
      <c r="F22" s="21"/>
      <c r="G22" s="22"/>
      <c r="H22" s="22"/>
      <c r="I22" s="21"/>
      <c r="J22" s="22">
        <v>2950.0</v>
      </c>
      <c r="K22" s="21"/>
      <c r="L22" s="22"/>
      <c r="M22" s="22"/>
      <c r="N22" s="22"/>
      <c r="O22" s="22"/>
      <c r="P22" s="24">
        <v>2950.0</v>
      </c>
      <c r="Q22" s="25">
        <f t="shared" si="1"/>
        <v>0</v>
      </c>
      <c r="R22" s="24" t="s">
        <v>479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36">
        <v>45517.0</v>
      </c>
      <c r="C23" s="37" t="s">
        <v>825</v>
      </c>
      <c r="D23" s="38">
        <v>43380.0</v>
      </c>
      <c r="E23" s="39" t="s">
        <v>161</v>
      </c>
      <c r="F23" s="34"/>
      <c r="G23" s="40"/>
      <c r="H23" s="40"/>
      <c r="I23" s="34">
        <v>100.0</v>
      </c>
      <c r="J23" s="34"/>
      <c r="K23" s="41"/>
      <c r="L23" s="40"/>
      <c r="M23" s="40"/>
      <c r="N23" s="40"/>
      <c r="O23" s="40"/>
      <c r="P23" s="42">
        <v>100.0</v>
      </c>
      <c r="Q23" s="25">
        <f t="shared" si="1"/>
        <v>0</v>
      </c>
      <c r="R23" s="42" t="s">
        <v>30</v>
      </c>
      <c r="S23" s="26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</row>
    <row r="24" ht="34.5" customHeight="1">
      <c r="A24" s="16">
        <v>20.0</v>
      </c>
      <c r="B24" s="27">
        <v>45517.0</v>
      </c>
      <c r="C24" s="18" t="s">
        <v>826</v>
      </c>
      <c r="D24" s="19">
        <v>44035.0</v>
      </c>
      <c r="E24" s="20" t="s">
        <v>114</v>
      </c>
      <c r="F24" s="21"/>
      <c r="G24" s="22"/>
      <c r="H24" s="22"/>
      <c r="I24" s="21">
        <v>1000.0</v>
      </c>
      <c r="J24" s="22"/>
      <c r="K24" s="35"/>
      <c r="L24" s="22"/>
      <c r="M24" s="22"/>
      <c r="N24" s="22"/>
      <c r="O24" s="22"/>
      <c r="P24" s="24">
        <v>1000.0</v>
      </c>
      <c r="Q24" s="25">
        <f t="shared" si="1"/>
        <v>0</v>
      </c>
      <c r="R24" s="24" t="s">
        <v>479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45517.0</v>
      </c>
      <c r="C25" s="18" t="s">
        <v>827</v>
      </c>
      <c r="D25" s="19">
        <v>50697.0</v>
      </c>
      <c r="E25" s="20" t="s">
        <v>828</v>
      </c>
      <c r="F25" s="21"/>
      <c r="G25" s="22"/>
      <c r="H25" s="22"/>
      <c r="I25" s="21">
        <v>5150.0</v>
      </c>
      <c r="J25" s="21"/>
      <c r="K25" s="35"/>
      <c r="L25" s="22"/>
      <c r="M25" s="22"/>
      <c r="N25" s="22"/>
      <c r="O25" s="22"/>
      <c r="P25" s="24">
        <v>5150.0</v>
      </c>
      <c r="Q25" s="25">
        <f t="shared" si="1"/>
        <v>0</v>
      </c>
      <c r="R25" s="24" t="s">
        <v>30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45517.0</v>
      </c>
      <c r="C26" s="18" t="s">
        <v>829</v>
      </c>
      <c r="D26" s="19">
        <v>53249.0</v>
      </c>
      <c r="E26" s="20" t="s">
        <v>401</v>
      </c>
      <c r="F26" s="21"/>
      <c r="G26" s="22"/>
      <c r="H26" s="22"/>
      <c r="I26" s="35"/>
      <c r="J26" s="21">
        <v>36400.0</v>
      </c>
      <c r="K26" s="35"/>
      <c r="L26" s="22"/>
      <c r="M26" s="22"/>
      <c r="N26" s="22"/>
      <c r="O26" s="22"/>
      <c r="P26" s="24">
        <v>36400.0</v>
      </c>
      <c r="Q26" s="25">
        <f t="shared" si="1"/>
        <v>0</v>
      </c>
      <c r="R26" s="24" t="s">
        <v>25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45517.0</v>
      </c>
      <c r="C27" s="18" t="s">
        <v>830</v>
      </c>
      <c r="D27" s="19">
        <v>35441.0</v>
      </c>
      <c r="E27" s="20" t="s">
        <v>831</v>
      </c>
      <c r="F27" s="21"/>
      <c r="G27" s="22"/>
      <c r="H27" s="22"/>
      <c r="I27" s="21"/>
      <c r="J27" s="21">
        <v>5150.0</v>
      </c>
      <c r="K27" s="23"/>
      <c r="L27" s="22"/>
      <c r="M27" s="22"/>
      <c r="N27" s="22"/>
      <c r="O27" s="22"/>
      <c r="P27" s="24">
        <v>5150.0</v>
      </c>
      <c r="Q27" s="25">
        <f t="shared" si="1"/>
        <v>0</v>
      </c>
      <c r="R27" s="24" t="s">
        <v>51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45517.0</v>
      </c>
      <c r="C28" s="18" t="s">
        <v>832</v>
      </c>
      <c r="D28" s="19">
        <v>58818.0</v>
      </c>
      <c r="E28" s="20" t="s">
        <v>833</v>
      </c>
      <c r="F28" s="21"/>
      <c r="G28" s="22"/>
      <c r="H28" s="22"/>
      <c r="I28" s="21">
        <v>12500.0</v>
      </c>
      <c r="J28" s="21"/>
      <c r="K28" s="23"/>
      <c r="L28" s="22"/>
      <c r="M28" s="22"/>
      <c r="N28" s="22"/>
      <c r="O28" s="22"/>
      <c r="P28" s="24">
        <v>12500.0</v>
      </c>
      <c r="Q28" s="25">
        <f t="shared" si="1"/>
        <v>0</v>
      </c>
      <c r="R28" s="24" t="s">
        <v>30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45517.0</v>
      </c>
      <c r="C29" s="18" t="s">
        <v>834</v>
      </c>
      <c r="D29" s="19">
        <v>44149.0</v>
      </c>
      <c r="E29" s="20" t="s">
        <v>231</v>
      </c>
      <c r="F29" s="21"/>
      <c r="G29" s="22"/>
      <c r="H29" s="22"/>
      <c r="I29" s="21">
        <v>10000.0</v>
      </c>
      <c r="J29" s="21"/>
      <c r="K29" s="23"/>
      <c r="L29" s="22"/>
      <c r="M29" s="22"/>
      <c r="N29" s="22"/>
      <c r="O29" s="22"/>
      <c r="P29" s="24">
        <v>10000.0</v>
      </c>
      <c r="Q29" s="25">
        <f t="shared" si="1"/>
        <v>0</v>
      </c>
      <c r="R29" s="24" t="s">
        <v>51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45517.0</v>
      </c>
      <c r="C30" s="18" t="s">
        <v>835</v>
      </c>
      <c r="D30" s="19">
        <v>42137.0</v>
      </c>
      <c r="E30" s="20" t="s">
        <v>836</v>
      </c>
      <c r="F30" s="21"/>
      <c r="G30" s="22"/>
      <c r="H30" s="22"/>
      <c r="I30" s="21">
        <v>5150.0</v>
      </c>
      <c r="J30" s="21"/>
      <c r="K30" s="23"/>
      <c r="L30" s="22"/>
      <c r="M30" s="22"/>
      <c r="N30" s="22"/>
      <c r="O30" s="22"/>
      <c r="P30" s="24">
        <v>5150.0</v>
      </c>
      <c r="Q30" s="25">
        <f t="shared" si="1"/>
        <v>0</v>
      </c>
      <c r="R30" s="24" t="s">
        <v>30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45517.0</v>
      </c>
      <c r="C31" s="18" t="s">
        <v>837</v>
      </c>
      <c r="D31" s="19">
        <v>72839.0</v>
      </c>
      <c r="E31" s="20" t="s">
        <v>714</v>
      </c>
      <c r="F31" s="21"/>
      <c r="G31" s="22"/>
      <c r="H31" s="22">
        <v>35000.0</v>
      </c>
      <c r="I31" s="21"/>
      <c r="J31" s="21"/>
      <c r="K31" s="23"/>
      <c r="L31" s="22"/>
      <c r="M31" s="22"/>
      <c r="N31" s="22"/>
      <c r="O31" s="22"/>
      <c r="P31" s="24">
        <v>35000.0</v>
      </c>
      <c r="Q31" s="25">
        <f t="shared" si="1"/>
        <v>0</v>
      </c>
      <c r="R31" s="24" t="s">
        <v>25</v>
      </c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45517.0</v>
      </c>
      <c r="C32" s="18" t="s">
        <v>838</v>
      </c>
      <c r="D32" s="19">
        <v>82277.0</v>
      </c>
      <c r="E32" s="20" t="s">
        <v>839</v>
      </c>
      <c r="F32" s="21"/>
      <c r="G32" s="22"/>
      <c r="H32" s="22"/>
      <c r="I32" s="21">
        <v>7000.0</v>
      </c>
      <c r="J32" s="21"/>
      <c r="K32" s="23"/>
      <c r="L32" s="22"/>
      <c r="M32" s="22"/>
      <c r="N32" s="22"/>
      <c r="O32" s="22"/>
      <c r="P32" s="24">
        <v>7000.0</v>
      </c>
      <c r="Q32" s="25">
        <f t="shared" si="1"/>
        <v>0</v>
      </c>
      <c r="R32" s="24" t="s">
        <v>30</v>
      </c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45517.0</v>
      </c>
      <c r="C33" s="18" t="s">
        <v>840</v>
      </c>
      <c r="D33" s="19">
        <v>50222.0</v>
      </c>
      <c r="E33" s="20" t="s">
        <v>475</v>
      </c>
      <c r="F33" s="21"/>
      <c r="G33" s="22"/>
      <c r="H33" s="21"/>
      <c r="I33" s="21">
        <v>13750.0</v>
      </c>
      <c r="J33" s="21"/>
      <c r="K33" s="23"/>
      <c r="L33" s="22"/>
      <c r="M33" s="22"/>
      <c r="N33" s="22"/>
      <c r="O33" s="22"/>
      <c r="P33" s="24">
        <v>13750.0</v>
      </c>
      <c r="Q33" s="25">
        <f t="shared" si="1"/>
        <v>0</v>
      </c>
      <c r="R33" s="24" t="s">
        <v>30</v>
      </c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7">
        <v>45517.0</v>
      </c>
      <c r="C34" s="18" t="s">
        <v>841</v>
      </c>
      <c r="D34" s="19">
        <v>52512.0</v>
      </c>
      <c r="E34" s="20" t="s">
        <v>842</v>
      </c>
      <c r="F34" s="21"/>
      <c r="G34" s="22"/>
      <c r="H34" s="21"/>
      <c r="I34" s="21"/>
      <c r="J34" s="21">
        <v>2650.0</v>
      </c>
      <c r="K34" s="23"/>
      <c r="L34" s="22"/>
      <c r="M34" s="22"/>
      <c r="N34" s="22"/>
      <c r="O34" s="22"/>
      <c r="P34" s="24">
        <v>2650.0</v>
      </c>
      <c r="Q34" s="25">
        <f t="shared" si="1"/>
        <v>0</v>
      </c>
      <c r="R34" s="24" t="s">
        <v>479</v>
      </c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7">
        <v>45517.0</v>
      </c>
      <c r="C35" s="18" t="s">
        <v>843</v>
      </c>
      <c r="D35" s="19">
        <v>80339.0</v>
      </c>
      <c r="E35" s="20" t="s">
        <v>844</v>
      </c>
      <c r="F35" s="21"/>
      <c r="G35" s="22"/>
      <c r="H35" s="22"/>
      <c r="I35" s="21">
        <v>1000.0</v>
      </c>
      <c r="J35" s="21"/>
      <c r="K35" s="23"/>
      <c r="L35" s="22"/>
      <c r="M35" s="22"/>
      <c r="N35" s="22"/>
      <c r="O35" s="22"/>
      <c r="P35" s="24">
        <v>1000.0</v>
      </c>
      <c r="Q35" s="25">
        <f t="shared" si="1"/>
        <v>0</v>
      </c>
      <c r="R35" s="24" t="s">
        <v>30</v>
      </c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7">
        <v>45517.0</v>
      </c>
      <c r="C36" s="18" t="s">
        <v>845</v>
      </c>
      <c r="D36" s="19">
        <v>80339.0</v>
      </c>
      <c r="E36" s="20" t="s">
        <v>844</v>
      </c>
      <c r="F36" s="21"/>
      <c r="G36" s="22"/>
      <c r="H36" s="22"/>
      <c r="I36" s="21">
        <v>1000.0</v>
      </c>
      <c r="J36" s="21"/>
      <c r="K36" s="23"/>
      <c r="L36" s="22"/>
      <c r="M36" s="22"/>
      <c r="N36" s="22"/>
      <c r="O36" s="22"/>
      <c r="P36" s="24">
        <v>1000.0</v>
      </c>
      <c r="Q36" s="25">
        <f t="shared" si="1"/>
        <v>0</v>
      </c>
      <c r="R36" s="24" t="s">
        <v>30</v>
      </c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7">
        <v>45517.0</v>
      </c>
      <c r="C37" s="18" t="s">
        <v>846</v>
      </c>
      <c r="D37" s="19">
        <v>80335.0</v>
      </c>
      <c r="E37" s="20" t="s">
        <v>847</v>
      </c>
      <c r="F37" s="21"/>
      <c r="G37" s="22"/>
      <c r="H37" s="22"/>
      <c r="I37" s="21">
        <v>1000.0</v>
      </c>
      <c r="J37" s="21"/>
      <c r="K37" s="23"/>
      <c r="L37" s="22"/>
      <c r="M37" s="22"/>
      <c r="N37" s="22"/>
      <c r="O37" s="22"/>
      <c r="P37" s="24">
        <v>1000.0</v>
      </c>
      <c r="Q37" s="25">
        <f t="shared" si="1"/>
        <v>0</v>
      </c>
      <c r="R37" s="24" t="s">
        <v>30</v>
      </c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7">
        <v>45517.0</v>
      </c>
      <c r="C38" s="18" t="s">
        <v>848</v>
      </c>
      <c r="D38" s="19">
        <v>80336.0</v>
      </c>
      <c r="E38" s="20" t="s">
        <v>849</v>
      </c>
      <c r="F38" s="21"/>
      <c r="G38" s="22"/>
      <c r="H38" s="22"/>
      <c r="I38" s="21">
        <v>1000.0</v>
      </c>
      <c r="J38" s="21"/>
      <c r="K38" s="23"/>
      <c r="L38" s="22"/>
      <c r="M38" s="22"/>
      <c r="N38" s="22"/>
      <c r="O38" s="22"/>
      <c r="P38" s="24">
        <v>1000.0</v>
      </c>
      <c r="Q38" s="25">
        <f t="shared" si="1"/>
        <v>0</v>
      </c>
      <c r="R38" s="24" t="s">
        <v>30</v>
      </c>
      <c r="S38" s="26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7">
        <v>45517.0</v>
      </c>
      <c r="C39" s="18" t="s">
        <v>850</v>
      </c>
      <c r="D39" s="19">
        <v>80337.0</v>
      </c>
      <c r="E39" s="20" t="s">
        <v>851</v>
      </c>
      <c r="F39" s="21"/>
      <c r="G39" s="22"/>
      <c r="H39" s="22"/>
      <c r="I39" s="21">
        <v>1000.0</v>
      </c>
      <c r="J39" s="21"/>
      <c r="K39" s="23"/>
      <c r="L39" s="22"/>
      <c r="M39" s="22"/>
      <c r="N39" s="22"/>
      <c r="O39" s="22"/>
      <c r="P39" s="24">
        <v>1000.0</v>
      </c>
      <c r="Q39" s="25">
        <f t="shared" si="1"/>
        <v>0</v>
      </c>
      <c r="R39" s="24" t="s">
        <v>30</v>
      </c>
      <c r="S39" s="26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7">
        <v>45517.0</v>
      </c>
      <c r="C40" s="18" t="s">
        <v>852</v>
      </c>
      <c r="D40" s="19">
        <v>80302.0</v>
      </c>
      <c r="E40" s="20" t="s">
        <v>853</v>
      </c>
      <c r="F40" s="21"/>
      <c r="G40" s="22"/>
      <c r="H40" s="22"/>
      <c r="I40" s="21">
        <v>1000.0</v>
      </c>
      <c r="J40" s="21"/>
      <c r="K40" s="23"/>
      <c r="L40" s="22"/>
      <c r="M40" s="22"/>
      <c r="N40" s="22"/>
      <c r="O40" s="22"/>
      <c r="P40" s="24">
        <v>1000.0</v>
      </c>
      <c r="Q40" s="25">
        <f t="shared" si="1"/>
        <v>0</v>
      </c>
      <c r="R40" s="24" t="s">
        <v>30</v>
      </c>
      <c r="S40" s="26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7">
        <v>45517.0</v>
      </c>
      <c r="C41" s="18" t="s">
        <v>854</v>
      </c>
      <c r="D41" s="19">
        <v>82323.0</v>
      </c>
      <c r="E41" s="20" t="s">
        <v>855</v>
      </c>
      <c r="F41" s="21"/>
      <c r="G41" s="22"/>
      <c r="H41" s="22"/>
      <c r="I41" s="21">
        <v>1000.0</v>
      </c>
      <c r="J41" s="21"/>
      <c r="K41" s="23"/>
      <c r="L41" s="22"/>
      <c r="M41" s="22"/>
      <c r="N41" s="22"/>
      <c r="O41" s="22"/>
      <c r="P41" s="24">
        <v>1000.0</v>
      </c>
      <c r="Q41" s="25">
        <f t="shared" si="1"/>
        <v>0</v>
      </c>
      <c r="R41" s="24" t="s">
        <v>30</v>
      </c>
      <c r="S41" s="26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27">
        <v>45517.0</v>
      </c>
      <c r="C42" s="18" t="s">
        <v>856</v>
      </c>
      <c r="D42" s="19">
        <v>31738.0</v>
      </c>
      <c r="E42" s="20" t="s">
        <v>686</v>
      </c>
      <c r="F42" s="21"/>
      <c r="G42" s="22"/>
      <c r="H42" s="22"/>
      <c r="I42" s="21">
        <v>2500.0</v>
      </c>
      <c r="J42" s="21"/>
      <c r="K42" s="23"/>
      <c r="L42" s="22"/>
      <c r="M42" s="22"/>
      <c r="N42" s="22"/>
      <c r="O42" s="22"/>
      <c r="P42" s="24">
        <v>2500.0</v>
      </c>
      <c r="Q42" s="25">
        <f t="shared" si="1"/>
        <v>0</v>
      </c>
      <c r="R42" s="24" t="s">
        <v>51</v>
      </c>
      <c r="S42" s="26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>
        <v>39.0</v>
      </c>
      <c r="B43" s="27">
        <v>45517.0</v>
      </c>
      <c r="C43" s="18" t="s">
        <v>857</v>
      </c>
      <c r="D43" s="19">
        <v>72590.0</v>
      </c>
      <c r="E43" s="20" t="s">
        <v>858</v>
      </c>
      <c r="F43" s="21"/>
      <c r="G43" s="22"/>
      <c r="H43" s="22"/>
      <c r="I43" s="21">
        <v>2650.0</v>
      </c>
      <c r="J43" s="21"/>
      <c r="K43" s="23"/>
      <c r="L43" s="22"/>
      <c r="M43" s="22"/>
      <c r="N43" s="22"/>
      <c r="O43" s="22"/>
      <c r="P43" s="24">
        <v>2650.0</v>
      </c>
      <c r="Q43" s="25">
        <f t="shared" si="1"/>
        <v>0</v>
      </c>
      <c r="R43" s="24" t="s">
        <v>479</v>
      </c>
      <c r="S43" s="26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16">
        <v>40.0</v>
      </c>
      <c r="B44" s="27">
        <v>45517.0</v>
      </c>
      <c r="C44" s="18" t="s">
        <v>859</v>
      </c>
      <c r="D44" s="19">
        <v>58257.0</v>
      </c>
      <c r="E44" s="20" t="s">
        <v>860</v>
      </c>
      <c r="F44" s="21"/>
      <c r="G44" s="22"/>
      <c r="H44" s="22"/>
      <c r="I44" s="21">
        <v>5000.0</v>
      </c>
      <c r="J44" s="21"/>
      <c r="K44" s="23"/>
      <c r="L44" s="22"/>
      <c r="M44" s="22"/>
      <c r="N44" s="22"/>
      <c r="O44" s="22"/>
      <c r="P44" s="24">
        <v>5000.0</v>
      </c>
      <c r="Q44" s="25">
        <f t="shared" si="1"/>
        <v>0</v>
      </c>
      <c r="R44" s="24" t="s">
        <v>30</v>
      </c>
      <c r="S44" s="26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16">
        <v>41.0</v>
      </c>
      <c r="B45" s="27">
        <v>45517.0</v>
      </c>
      <c r="C45" s="18" t="s">
        <v>861</v>
      </c>
      <c r="D45" s="19">
        <v>62582.0</v>
      </c>
      <c r="E45" s="20" t="s">
        <v>862</v>
      </c>
      <c r="F45" s="21"/>
      <c r="G45" s="22"/>
      <c r="H45" s="22"/>
      <c r="I45" s="21">
        <v>5000.0</v>
      </c>
      <c r="J45" s="21"/>
      <c r="K45" s="23"/>
      <c r="L45" s="22"/>
      <c r="M45" s="22"/>
      <c r="N45" s="22"/>
      <c r="O45" s="22"/>
      <c r="P45" s="24">
        <v>5000.0</v>
      </c>
      <c r="Q45" s="25">
        <f t="shared" si="1"/>
        <v>0</v>
      </c>
      <c r="R45" s="24" t="s">
        <v>30</v>
      </c>
      <c r="S45" s="26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4.5" customHeight="1">
      <c r="A46" s="16">
        <v>42.0</v>
      </c>
      <c r="B46" s="27">
        <v>45517.0</v>
      </c>
      <c r="C46" s="18" t="s">
        <v>863</v>
      </c>
      <c r="D46" s="19">
        <v>57499.0</v>
      </c>
      <c r="E46" s="20" t="s">
        <v>864</v>
      </c>
      <c r="F46" s="21"/>
      <c r="G46" s="22"/>
      <c r="H46" s="22"/>
      <c r="I46" s="21">
        <v>2500.0</v>
      </c>
      <c r="J46" s="21"/>
      <c r="K46" s="23"/>
      <c r="L46" s="22"/>
      <c r="M46" s="22"/>
      <c r="N46" s="22"/>
      <c r="O46" s="22"/>
      <c r="P46" s="24">
        <v>2500.0</v>
      </c>
      <c r="Q46" s="25">
        <f t="shared" si="1"/>
        <v>0</v>
      </c>
      <c r="R46" s="24" t="s">
        <v>51</v>
      </c>
      <c r="S46" s="26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34.5" customHeight="1">
      <c r="A47" s="16">
        <v>43.0</v>
      </c>
      <c r="B47" s="27">
        <v>45517.0</v>
      </c>
      <c r="C47" s="18" t="s">
        <v>865</v>
      </c>
      <c r="D47" s="19">
        <v>66838.0</v>
      </c>
      <c r="E47" s="20" t="s">
        <v>165</v>
      </c>
      <c r="F47" s="21"/>
      <c r="G47" s="22"/>
      <c r="H47" s="22">
        <v>25000.0</v>
      </c>
      <c r="I47" s="21"/>
      <c r="J47" s="21"/>
      <c r="K47" s="23"/>
      <c r="L47" s="22"/>
      <c r="M47" s="22"/>
      <c r="N47" s="22"/>
      <c r="O47" s="22"/>
      <c r="P47" s="24">
        <v>25000.0</v>
      </c>
      <c r="Q47" s="25">
        <f t="shared" si="1"/>
        <v>0</v>
      </c>
      <c r="R47" s="24" t="s">
        <v>25</v>
      </c>
      <c r="S47" s="26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34.5" customHeight="1">
      <c r="A48" s="16">
        <v>44.0</v>
      </c>
      <c r="B48" s="27">
        <v>45517.0</v>
      </c>
      <c r="C48" s="18" t="s">
        <v>866</v>
      </c>
      <c r="D48" s="19">
        <v>61420.0</v>
      </c>
      <c r="E48" s="20" t="s">
        <v>387</v>
      </c>
      <c r="F48" s="21"/>
      <c r="G48" s="22"/>
      <c r="H48" s="22"/>
      <c r="I48" s="21">
        <v>8080.0</v>
      </c>
      <c r="J48" s="21"/>
      <c r="K48" s="23"/>
      <c r="L48" s="22"/>
      <c r="M48" s="22"/>
      <c r="N48" s="22"/>
      <c r="O48" s="22"/>
      <c r="P48" s="24">
        <v>8080.0</v>
      </c>
      <c r="Q48" s="25">
        <f t="shared" si="1"/>
        <v>0</v>
      </c>
      <c r="R48" s="24" t="s">
        <v>479</v>
      </c>
      <c r="S48" s="26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34.5" customHeight="1">
      <c r="A49" s="16">
        <v>45.0</v>
      </c>
      <c r="B49" s="27">
        <v>45517.0</v>
      </c>
      <c r="C49" s="18" t="s">
        <v>867</v>
      </c>
      <c r="D49" s="19">
        <v>51697.0</v>
      </c>
      <c r="E49" s="20" t="s">
        <v>303</v>
      </c>
      <c r="F49" s="21"/>
      <c r="G49" s="22"/>
      <c r="H49" s="22"/>
      <c r="I49" s="21"/>
      <c r="J49" s="21">
        <v>3900.0</v>
      </c>
      <c r="K49" s="23"/>
      <c r="L49" s="22"/>
      <c r="M49" s="22"/>
      <c r="N49" s="22"/>
      <c r="O49" s="22"/>
      <c r="P49" s="24">
        <v>3900.0</v>
      </c>
      <c r="Q49" s="25">
        <f t="shared" si="1"/>
        <v>0</v>
      </c>
      <c r="R49" s="24" t="s">
        <v>479</v>
      </c>
      <c r="S49" s="26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34.5" customHeight="1">
      <c r="A50" s="16">
        <v>46.0</v>
      </c>
      <c r="B50" s="27">
        <v>45517.0</v>
      </c>
      <c r="C50" s="18" t="s">
        <v>868</v>
      </c>
      <c r="D50" s="19">
        <v>57499.0</v>
      </c>
      <c r="E50" s="20" t="s">
        <v>864</v>
      </c>
      <c r="F50" s="21"/>
      <c r="G50" s="22"/>
      <c r="H50" s="22"/>
      <c r="I50" s="21">
        <v>350.0</v>
      </c>
      <c r="J50" s="21"/>
      <c r="K50" s="23"/>
      <c r="L50" s="22"/>
      <c r="M50" s="22"/>
      <c r="N50" s="22"/>
      <c r="O50" s="22"/>
      <c r="P50" s="24">
        <v>350.0</v>
      </c>
      <c r="Q50" s="25">
        <f t="shared" si="1"/>
        <v>0</v>
      </c>
      <c r="R50" s="24" t="s">
        <v>25</v>
      </c>
      <c r="S50" s="26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34.5" customHeight="1">
      <c r="A51" s="16">
        <v>47.0</v>
      </c>
      <c r="B51" s="27">
        <v>45517.0</v>
      </c>
      <c r="C51" s="18" t="s">
        <v>869</v>
      </c>
      <c r="D51" s="19">
        <v>51660.0</v>
      </c>
      <c r="E51" s="20" t="s">
        <v>870</v>
      </c>
      <c r="F51" s="21"/>
      <c r="G51" s="22"/>
      <c r="H51" s="22"/>
      <c r="I51" s="21">
        <v>200.0</v>
      </c>
      <c r="J51" s="21"/>
      <c r="K51" s="23"/>
      <c r="L51" s="22"/>
      <c r="M51" s="22"/>
      <c r="N51" s="22"/>
      <c r="O51" s="22"/>
      <c r="P51" s="24">
        <v>200.0</v>
      </c>
      <c r="Q51" s="25">
        <f t="shared" si="1"/>
        <v>0</v>
      </c>
      <c r="R51" s="24" t="s">
        <v>25</v>
      </c>
      <c r="S51" s="26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34.5" customHeight="1">
      <c r="A52" s="16">
        <v>48.0</v>
      </c>
      <c r="B52" s="27">
        <v>45517.0</v>
      </c>
      <c r="C52" s="18" t="s">
        <v>871</v>
      </c>
      <c r="D52" s="19">
        <v>10249.0</v>
      </c>
      <c r="E52" s="20" t="s">
        <v>617</v>
      </c>
      <c r="F52" s="21"/>
      <c r="G52" s="22">
        <v>6000.0</v>
      </c>
      <c r="H52" s="22"/>
      <c r="I52" s="21"/>
      <c r="J52" s="21"/>
      <c r="K52" s="23"/>
      <c r="L52" s="22"/>
      <c r="M52" s="22"/>
      <c r="N52" s="22"/>
      <c r="O52" s="22"/>
      <c r="P52" s="24">
        <v>6000.0</v>
      </c>
      <c r="Q52" s="25">
        <f t="shared" si="1"/>
        <v>0</v>
      </c>
      <c r="R52" s="24" t="s">
        <v>25</v>
      </c>
      <c r="S52" s="26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34.5" customHeight="1">
      <c r="A53" s="16">
        <v>49.0</v>
      </c>
      <c r="B53" s="27">
        <v>45516.0</v>
      </c>
      <c r="C53" s="18" t="s">
        <v>872</v>
      </c>
      <c r="D53" s="19">
        <v>74514.0</v>
      </c>
      <c r="E53" s="20" t="s">
        <v>873</v>
      </c>
      <c r="F53" s="21"/>
      <c r="G53" s="22"/>
      <c r="H53" s="22"/>
      <c r="I53" s="21"/>
      <c r="J53" s="21"/>
      <c r="K53" s="23"/>
      <c r="L53" s="22"/>
      <c r="M53" s="22"/>
      <c r="N53" s="22"/>
      <c r="O53" s="22">
        <v>1200.0</v>
      </c>
      <c r="P53" s="24">
        <v>1200.0</v>
      </c>
      <c r="Q53" s="25">
        <f t="shared" si="1"/>
        <v>0</v>
      </c>
      <c r="R53" s="24"/>
      <c r="S53" s="26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34.5" customHeight="1">
      <c r="A54" s="16">
        <v>50.0</v>
      </c>
      <c r="B54" s="27">
        <v>45517.0</v>
      </c>
      <c r="C54" s="18" t="s">
        <v>874</v>
      </c>
      <c r="D54" s="19">
        <v>43380.0</v>
      </c>
      <c r="E54" s="20" t="s">
        <v>161</v>
      </c>
      <c r="F54" s="21"/>
      <c r="G54" s="22"/>
      <c r="H54" s="22">
        <v>10000.0</v>
      </c>
      <c r="I54" s="21"/>
      <c r="J54" s="21"/>
      <c r="K54" s="23"/>
      <c r="L54" s="22"/>
      <c r="M54" s="22"/>
      <c r="N54" s="22"/>
      <c r="O54" s="22"/>
      <c r="P54" s="24">
        <v>10000.0</v>
      </c>
      <c r="Q54" s="25">
        <f t="shared" si="1"/>
        <v>0</v>
      </c>
      <c r="R54" s="24"/>
      <c r="S54" s="26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34.5" customHeight="1">
      <c r="A55" s="16">
        <v>51.0</v>
      </c>
      <c r="B55" s="27">
        <v>45517.0</v>
      </c>
      <c r="C55" s="18" t="s">
        <v>875</v>
      </c>
      <c r="D55" s="19">
        <v>43380.0</v>
      </c>
      <c r="E55" s="20" t="s">
        <v>161</v>
      </c>
      <c r="F55" s="21"/>
      <c r="G55" s="22"/>
      <c r="H55" s="22">
        <v>17000.0</v>
      </c>
      <c r="I55" s="21"/>
      <c r="J55" s="21"/>
      <c r="K55" s="23"/>
      <c r="L55" s="22"/>
      <c r="M55" s="22"/>
      <c r="N55" s="22"/>
      <c r="O55" s="22"/>
      <c r="P55" s="24">
        <v>17000.0</v>
      </c>
      <c r="Q55" s="25">
        <f t="shared" si="1"/>
        <v>0</v>
      </c>
      <c r="R55" s="24"/>
      <c r="S55" s="26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34.5" customHeight="1">
      <c r="A56" s="16">
        <v>52.0</v>
      </c>
      <c r="B56" s="27">
        <v>45517.0</v>
      </c>
      <c r="C56" s="18" t="s">
        <v>876</v>
      </c>
      <c r="D56" s="19">
        <v>77283.0</v>
      </c>
      <c r="E56" s="20" t="s">
        <v>268</v>
      </c>
      <c r="F56" s="21"/>
      <c r="G56" s="22"/>
      <c r="H56" s="22">
        <v>7650.0</v>
      </c>
      <c r="I56" s="21"/>
      <c r="J56" s="21"/>
      <c r="K56" s="23"/>
      <c r="L56" s="22"/>
      <c r="M56" s="22"/>
      <c r="N56" s="22"/>
      <c r="O56" s="22"/>
      <c r="P56" s="24">
        <v>7650.0</v>
      </c>
      <c r="Q56" s="25">
        <f t="shared" si="1"/>
        <v>0</v>
      </c>
      <c r="R56" s="24"/>
      <c r="S56" s="26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34.5" customHeight="1">
      <c r="A57" s="16">
        <v>53.0</v>
      </c>
      <c r="B57" s="27">
        <v>45517.0</v>
      </c>
      <c r="C57" s="18" t="s">
        <v>877</v>
      </c>
      <c r="D57" s="19">
        <v>51406.0</v>
      </c>
      <c r="E57" s="20" t="s">
        <v>281</v>
      </c>
      <c r="F57" s="21"/>
      <c r="G57" s="22"/>
      <c r="H57" s="22">
        <v>5000.0</v>
      </c>
      <c r="I57" s="21"/>
      <c r="J57" s="21"/>
      <c r="K57" s="23"/>
      <c r="L57" s="22"/>
      <c r="M57" s="22"/>
      <c r="N57" s="22"/>
      <c r="O57" s="22"/>
      <c r="P57" s="24">
        <v>5000.0</v>
      </c>
      <c r="Q57" s="25">
        <f t="shared" si="1"/>
        <v>0</v>
      </c>
      <c r="R57" s="24"/>
      <c r="S57" s="26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34.5" customHeight="1">
      <c r="A58" s="16">
        <v>54.0</v>
      </c>
      <c r="B58" s="27">
        <v>45517.0</v>
      </c>
      <c r="C58" s="18" t="s">
        <v>878</v>
      </c>
      <c r="D58" s="19">
        <v>12102.0</v>
      </c>
      <c r="E58" s="20" t="s">
        <v>879</v>
      </c>
      <c r="F58" s="21"/>
      <c r="G58" s="22"/>
      <c r="H58" s="22">
        <v>900.0</v>
      </c>
      <c r="I58" s="21"/>
      <c r="J58" s="21"/>
      <c r="K58" s="23"/>
      <c r="L58" s="22"/>
      <c r="M58" s="22"/>
      <c r="N58" s="22"/>
      <c r="O58" s="22"/>
      <c r="P58" s="24">
        <v>900.0</v>
      </c>
      <c r="Q58" s="25">
        <f t="shared" si="1"/>
        <v>0</v>
      </c>
      <c r="R58" s="24"/>
      <c r="S58" s="26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34.5" customHeight="1">
      <c r="A59" s="16"/>
      <c r="B59" s="27"/>
      <c r="C59" s="18"/>
      <c r="D59" s="19"/>
      <c r="E59" s="20"/>
      <c r="F59" s="21"/>
      <c r="G59" s="22"/>
      <c r="H59" s="22"/>
      <c r="I59" s="21"/>
      <c r="J59" s="21"/>
      <c r="K59" s="23"/>
      <c r="L59" s="22"/>
      <c r="M59" s="22"/>
      <c r="N59" s="22"/>
      <c r="O59" s="22"/>
      <c r="P59" s="24"/>
      <c r="Q59" s="25">
        <f t="shared" si="1"/>
        <v>0</v>
      </c>
      <c r="R59" s="24"/>
      <c r="S59" s="26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37.5" customHeight="1">
      <c r="A60" s="16"/>
      <c r="B60" s="27"/>
      <c r="C60" s="18"/>
      <c r="D60" s="19" t="s">
        <v>183</v>
      </c>
      <c r="E60" s="20"/>
      <c r="F60" s="45">
        <f t="shared" ref="F60:P60" si="2">SUM(F5:F59)</f>
        <v>100</v>
      </c>
      <c r="G60" s="45">
        <f t="shared" si="2"/>
        <v>6000</v>
      </c>
      <c r="H60" s="45">
        <f t="shared" si="2"/>
        <v>100550</v>
      </c>
      <c r="I60" s="45">
        <f t="shared" si="2"/>
        <v>144880</v>
      </c>
      <c r="J60" s="45">
        <f t="shared" si="2"/>
        <v>77350</v>
      </c>
      <c r="K60" s="45">
        <f t="shared" si="2"/>
        <v>0</v>
      </c>
      <c r="L60" s="45">
        <f t="shared" si="2"/>
        <v>0</v>
      </c>
      <c r="M60" s="45">
        <f t="shared" si="2"/>
        <v>0</v>
      </c>
      <c r="N60" s="45">
        <f t="shared" si="2"/>
        <v>0</v>
      </c>
      <c r="O60" s="45">
        <f t="shared" si="2"/>
        <v>1200</v>
      </c>
      <c r="P60" s="45">
        <f t="shared" si="2"/>
        <v>330080</v>
      </c>
      <c r="Q60" s="46">
        <v>0.0</v>
      </c>
      <c r="R60" s="47"/>
      <c r="S60" s="26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</row>
    <row r="61" ht="15.75" customHeight="1">
      <c r="A61" s="48"/>
      <c r="B61" s="48"/>
      <c r="C61" s="49"/>
      <c r="D61" s="48"/>
      <c r="E61" s="48"/>
      <c r="F61" s="50">
        <f>F60+G60+H60+I60+J60+K60+L60+M60+N60+O60</f>
        <v>330080</v>
      </c>
      <c r="P61" s="51"/>
      <c r="Q61" s="51"/>
      <c r="R61" s="48"/>
      <c r="S61" s="48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3" t="s">
        <v>183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54" t="s">
        <v>184</v>
      </c>
      <c r="F65" s="55" t="s">
        <v>194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56" t="s">
        <v>186</v>
      </c>
      <c r="F66" s="55" t="s">
        <v>357</v>
      </c>
      <c r="G66" s="4"/>
      <c r="H66" s="4"/>
      <c r="I66" s="4"/>
      <c r="J66" s="4"/>
      <c r="K66" s="4"/>
      <c r="L66" s="4"/>
      <c r="M66" s="4"/>
      <c r="N66" s="4"/>
      <c r="O66" s="57" t="s">
        <v>183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56" t="s">
        <v>188</v>
      </c>
      <c r="F67" s="55" t="s">
        <v>194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56" t="s">
        <v>189</v>
      </c>
      <c r="F68" s="55" t="s">
        <v>194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56" t="s">
        <v>190</v>
      </c>
      <c r="F69" s="61" t="s">
        <v>880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56" t="s">
        <v>881</v>
      </c>
      <c r="F70" s="55" t="s">
        <v>194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56" t="s">
        <v>193</v>
      </c>
      <c r="F71" s="55" t="s">
        <v>194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56" t="s">
        <v>195</v>
      </c>
      <c r="F72" s="59" t="s">
        <v>196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7" t="s">
        <v>183</v>
      </c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 t="str">
        <f>I72460</f>
        <v/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57" t="s">
        <v>197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>
        <v>7.0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5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5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5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5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5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5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5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5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5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>
      <c r="A283" s="4"/>
      <c r="B283" s="4"/>
      <c r="C283" s="5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5.75" customHeight="1">
      <c r="A284" s="4"/>
      <c r="B284" s="4"/>
      <c r="C284" s="5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5.75" customHeight="1">
      <c r="A285" s="4"/>
      <c r="B285" s="4"/>
      <c r="C285" s="5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5.75" customHeight="1">
      <c r="A286" s="4"/>
      <c r="B286" s="4"/>
      <c r="C286" s="5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5.75" customHeight="1">
      <c r="A287" s="4"/>
      <c r="B287" s="4"/>
      <c r="C287" s="5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5.75" customHeight="1">
      <c r="A288" s="4"/>
      <c r="B288" s="4"/>
      <c r="C288" s="5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5.75" customHeight="1">
      <c r="A289" s="4"/>
      <c r="B289" s="4"/>
      <c r="C289" s="5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ht="15.75" customHeight="1">
      <c r="A290" s="4"/>
      <c r="B290" s="4"/>
      <c r="C290" s="5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ht="15.75" customHeight="1">
      <c r="A291" s="4"/>
      <c r="B291" s="4"/>
      <c r="C291" s="5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ht="15.75" customHeight="1">
      <c r="A292" s="4"/>
      <c r="B292" s="4"/>
      <c r="C292" s="5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 ht="15.75" customHeight="1">
      <c r="A293" s="4"/>
      <c r="B293" s="4"/>
      <c r="C293" s="5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 ht="15.75" customHeight="1">
      <c r="A294" s="4"/>
      <c r="B294" s="4"/>
      <c r="C294" s="5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 ht="15.75" customHeight="1">
      <c r="A295" s="4"/>
      <c r="B295" s="4"/>
      <c r="C295" s="5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R2:R4"/>
    <mergeCell ref="S2:S4"/>
    <mergeCell ref="F3:F4"/>
    <mergeCell ref="G3:H3"/>
    <mergeCell ref="I3:J3"/>
    <mergeCell ref="K3:K4"/>
    <mergeCell ref="F61:O61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6.88"/>
    <col customWidth="1" min="6" max="6" width="29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45.0" customHeight="1">
      <c r="A1" s="1" t="s">
        <v>882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15.75" customHeight="1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5.75" customHeight="1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45517.0</v>
      </c>
      <c r="C5" s="18" t="s">
        <v>883</v>
      </c>
      <c r="D5" s="19">
        <v>59531.0</v>
      </c>
      <c r="E5" s="20" t="s">
        <v>884</v>
      </c>
      <c r="F5" s="21"/>
      <c r="G5" s="22"/>
      <c r="H5" s="21"/>
      <c r="I5" s="23">
        <v>10000.0</v>
      </c>
      <c r="J5" s="23"/>
      <c r="K5" s="22"/>
      <c r="L5" s="22"/>
      <c r="M5" s="21"/>
      <c r="N5" s="22"/>
      <c r="O5" s="22"/>
      <c r="P5" s="24">
        <v>10000.0</v>
      </c>
      <c r="Q5" s="25">
        <f t="shared" ref="Q5:Q55" si="1">F5+G5+H5+I5+J5+K5+L5+M5+N5+O5-P5</f>
        <v>0</v>
      </c>
      <c r="R5" s="24" t="s">
        <v>30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45517.0</v>
      </c>
      <c r="C6" s="18" t="s">
        <v>885</v>
      </c>
      <c r="D6" s="19">
        <v>80952.0</v>
      </c>
      <c r="E6" s="20" t="s">
        <v>886</v>
      </c>
      <c r="F6" s="21"/>
      <c r="G6" s="22"/>
      <c r="H6" s="22"/>
      <c r="I6" s="21"/>
      <c r="J6" s="22"/>
      <c r="K6" s="22">
        <v>3600.0</v>
      </c>
      <c r="L6" s="22"/>
      <c r="M6" s="21"/>
      <c r="N6" s="22"/>
      <c r="O6" s="22"/>
      <c r="P6" s="24">
        <v>3600.0</v>
      </c>
      <c r="Q6" s="25">
        <f t="shared" si="1"/>
        <v>0</v>
      </c>
      <c r="R6" s="24" t="s">
        <v>39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45518.0</v>
      </c>
      <c r="C7" s="18" t="s">
        <v>887</v>
      </c>
      <c r="D7" s="19">
        <v>48052.0</v>
      </c>
      <c r="E7" s="20" t="s">
        <v>337</v>
      </c>
      <c r="F7" s="22"/>
      <c r="G7" s="22"/>
      <c r="H7" s="21"/>
      <c r="I7" s="21">
        <v>3850.0</v>
      </c>
      <c r="J7" s="23"/>
      <c r="K7" s="22"/>
      <c r="L7" s="22"/>
      <c r="M7" s="22"/>
      <c r="N7" s="22"/>
      <c r="O7" s="22"/>
      <c r="P7" s="24">
        <v>3850.0</v>
      </c>
      <c r="Q7" s="25">
        <f t="shared" si="1"/>
        <v>0</v>
      </c>
      <c r="R7" s="24" t="s">
        <v>51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45518.0</v>
      </c>
      <c r="C8" s="18" t="s">
        <v>888</v>
      </c>
      <c r="D8" s="19">
        <v>67439.0</v>
      </c>
      <c r="E8" s="20" t="s">
        <v>889</v>
      </c>
      <c r="F8" s="22"/>
      <c r="G8" s="22"/>
      <c r="H8" s="22"/>
      <c r="I8" s="21"/>
      <c r="J8" s="21">
        <v>5150.0</v>
      </c>
      <c r="K8" s="22"/>
      <c r="L8" s="22"/>
      <c r="M8" s="22"/>
      <c r="N8" s="22"/>
      <c r="O8" s="22"/>
      <c r="P8" s="24">
        <v>5150.0</v>
      </c>
      <c r="Q8" s="25">
        <f t="shared" si="1"/>
        <v>0</v>
      </c>
      <c r="R8" s="24" t="s">
        <v>30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45518.0</v>
      </c>
      <c r="C9" s="18" t="s">
        <v>890</v>
      </c>
      <c r="D9" s="19">
        <v>60849.0</v>
      </c>
      <c r="E9" s="20" t="s">
        <v>891</v>
      </c>
      <c r="F9" s="22"/>
      <c r="G9" s="22"/>
      <c r="H9" s="22"/>
      <c r="I9" s="21">
        <v>5150.0</v>
      </c>
      <c r="J9" s="21"/>
      <c r="K9" s="22"/>
      <c r="L9" s="22"/>
      <c r="M9" s="21"/>
      <c r="N9" s="22"/>
      <c r="O9" s="22"/>
      <c r="P9" s="24">
        <v>5150.0</v>
      </c>
      <c r="Q9" s="25">
        <f t="shared" si="1"/>
        <v>0</v>
      </c>
      <c r="R9" s="24" t="s">
        <v>25</v>
      </c>
      <c r="S9" s="26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45518.0</v>
      </c>
      <c r="C10" s="18" t="s">
        <v>892</v>
      </c>
      <c r="D10" s="19">
        <v>83598.0</v>
      </c>
      <c r="E10" s="20" t="s">
        <v>585</v>
      </c>
      <c r="F10" s="22"/>
      <c r="G10" s="22"/>
      <c r="H10" s="22"/>
      <c r="I10" s="21">
        <v>4500.0</v>
      </c>
      <c r="J10" s="21"/>
      <c r="K10" s="22"/>
      <c r="L10" s="22"/>
      <c r="M10" s="21"/>
      <c r="N10" s="22"/>
      <c r="O10" s="22"/>
      <c r="P10" s="24">
        <v>4500.0</v>
      </c>
      <c r="Q10" s="25">
        <f t="shared" si="1"/>
        <v>0</v>
      </c>
      <c r="R10" s="24" t="s">
        <v>479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45518.0</v>
      </c>
      <c r="C11" s="18" t="s">
        <v>893</v>
      </c>
      <c r="D11" s="19">
        <v>40901.0</v>
      </c>
      <c r="E11" s="20" t="s">
        <v>59</v>
      </c>
      <c r="F11" s="22"/>
      <c r="G11" s="22"/>
      <c r="H11" s="22"/>
      <c r="I11" s="21">
        <v>4500.0</v>
      </c>
      <c r="J11" s="21"/>
      <c r="K11" s="22"/>
      <c r="L11" s="22"/>
      <c r="M11" s="21"/>
      <c r="N11" s="22"/>
      <c r="O11" s="22"/>
      <c r="P11" s="24">
        <v>4500.0</v>
      </c>
      <c r="Q11" s="25">
        <f t="shared" si="1"/>
        <v>0</v>
      </c>
      <c r="R11" s="24" t="s">
        <v>30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7">
        <v>45518.0</v>
      </c>
      <c r="C12" s="18" t="s">
        <v>894</v>
      </c>
      <c r="D12" s="19">
        <v>80978.0</v>
      </c>
      <c r="E12" s="20" t="s">
        <v>895</v>
      </c>
      <c r="F12" s="22"/>
      <c r="G12" s="22"/>
      <c r="H12" s="22"/>
      <c r="I12" s="21">
        <v>5150.0</v>
      </c>
      <c r="J12" s="21"/>
      <c r="K12" s="22"/>
      <c r="L12" s="22"/>
      <c r="M12" s="21"/>
      <c r="N12" s="22"/>
      <c r="O12" s="22"/>
      <c r="P12" s="24">
        <v>5150.0</v>
      </c>
      <c r="Q12" s="25">
        <f t="shared" si="1"/>
        <v>0</v>
      </c>
      <c r="R12" s="24" t="s">
        <v>25</v>
      </c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8">
        <v>45518.0</v>
      </c>
      <c r="C13" s="29" t="s">
        <v>896</v>
      </c>
      <c r="D13" s="30">
        <v>10839.0</v>
      </c>
      <c r="E13" s="31" t="s">
        <v>609</v>
      </c>
      <c r="F13" s="22"/>
      <c r="G13" s="22"/>
      <c r="H13" s="22"/>
      <c r="I13" s="21">
        <v>4500.0</v>
      </c>
      <c r="J13" s="21"/>
      <c r="K13" s="22"/>
      <c r="L13" s="22"/>
      <c r="M13" s="21"/>
      <c r="N13" s="22"/>
      <c r="O13" s="22"/>
      <c r="P13" s="32">
        <v>4500.0</v>
      </c>
      <c r="Q13" s="25">
        <f t="shared" si="1"/>
        <v>0</v>
      </c>
      <c r="R13" s="32" t="s">
        <v>68</v>
      </c>
      <c r="S13" s="26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 ht="34.5" customHeight="1">
      <c r="A14" s="16">
        <v>10.0</v>
      </c>
      <c r="B14" s="27">
        <v>45518.0</v>
      </c>
      <c r="C14" s="18" t="s">
        <v>897</v>
      </c>
      <c r="D14" s="19">
        <v>10839.0</v>
      </c>
      <c r="E14" s="20" t="s">
        <v>609</v>
      </c>
      <c r="F14" s="22"/>
      <c r="G14" s="22"/>
      <c r="H14" s="22"/>
      <c r="I14" s="21">
        <v>2400.0</v>
      </c>
      <c r="J14" s="21"/>
      <c r="K14" s="22"/>
      <c r="L14" s="22"/>
      <c r="M14" s="21"/>
      <c r="N14" s="22"/>
      <c r="O14" s="22"/>
      <c r="P14" s="24">
        <v>2400.0</v>
      </c>
      <c r="Q14" s="25">
        <f t="shared" si="1"/>
        <v>0</v>
      </c>
      <c r="R14" s="24" t="s">
        <v>68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45518.0</v>
      </c>
      <c r="C15" s="18" t="s">
        <v>898</v>
      </c>
      <c r="D15" s="19">
        <v>10839.0</v>
      </c>
      <c r="E15" s="20" t="s">
        <v>609</v>
      </c>
      <c r="F15" s="22"/>
      <c r="G15" s="22"/>
      <c r="H15" s="22"/>
      <c r="I15" s="21">
        <v>150.0</v>
      </c>
      <c r="J15" s="21"/>
      <c r="K15" s="22"/>
      <c r="L15" s="22"/>
      <c r="M15" s="21"/>
      <c r="N15" s="22"/>
      <c r="O15" s="22"/>
      <c r="P15" s="24">
        <v>150.0</v>
      </c>
      <c r="Q15" s="25">
        <f t="shared" si="1"/>
        <v>0</v>
      </c>
      <c r="R15" s="24" t="s">
        <v>68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45518.0</v>
      </c>
      <c r="C16" s="18" t="s">
        <v>899</v>
      </c>
      <c r="D16" s="19">
        <v>62809.0</v>
      </c>
      <c r="E16" s="20" t="s">
        <v>900</v>
      </c>
      <c r="F16" s="22"/>
      <c r="G16" s="22"/>
      <c r="H16" s="22"/>
      <c r="I16" s="21">
        <v>2550.0</v>
      </c>
      <c r="J16" s="21"/>
      <c r="K16" s="22"/>
      <c r="L16" s="22"/>
      <c r="M16" s="21"/>
      <c r="N16" s="22"/>
      <c r="O16" s="22"/>
      <c r="P16" s="24">
        <v>2550.0</v>
      </c>
      <c r="Q16" s="25">
        <f t="shared" si="1"/>
        <v>0</v>
      </c>
      <c r="R16" s="24" t="s">
        <v>25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45518.0</v>
      </c>
      <c r="C17" s="18" t="s">
        <v>901</v>
      </c>
      <c r="D17" s="19">
        <v>62508.0</v>
      </c>
      <c r="E17" s="20" t="s">
        <v>246</v>
      </c>
      <c r="F17" s="22"/>
      <c r="G17" s="22"/>
      <c r="H17" s="22"/>
      <c r="I17" s="21">
        <v>300.0</v>
      </c>
      <c r="J17" s="21"/>
      <c r="K17" s="22"/>
      <c r="L17" s="22"/>
      <c r="M17" s="21"/>
      <c r="N17" s="22"/>
      <c r="O17" s="22"/>
      <c r="P17" s="24">
        <v>300.0</v>
      </c>
      <c r="Q17" s="25">
        <f t="shared" si="1"/>
        <v>0</v>
      </c>
      <c r="R17" s="24" t="s">
        <v>68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7">
        <v>45518.0</v>
      </c>
      <c r="C18" s="18" t="s">
        <v>902</v>
      </c>
      <c r="D18" s="19">
        <v>69400.0</v>
      </c>
      <c r="E18" s="20" t="s">
        <v>903</v>
      </c>
      <c r="F18" s="22"/>
      <c r="G18" s="22"/>
      <c r="H18" s="22"/>
      <c r="I18" s="21">
        <v>2650.0</v>
      </c>
      <c r="J18" s="21"/>
      <c r="K18" s="22"/>
      <c r="L18" s="22"/>
      <c r="M18" s="22"/>
      <c r="N18" s="22"/>
      <c r="O18" s="22"/>
      <c r="P18" s="24">
        <v>2650.0</v>
      </c>
      <c r="Q18" s="25">
        <f t="shared" si="1"/>
        <v>0</v>
      </c>
      <c r="R18" s="24" t="s">
        <v>51</v>
      </c>
      <c r="S18" s="26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28">
        <v>45518.0</v>
      </c>
      <c r="C19" s="29" t="s">
        <v>904</v>
      </c>
      <c r="D19" s="30">
        <v>79011.0</v>
      </c>
      <c r="E19" s="31" t="s">
        <v>905</v>
      </c>
      <c r="F19" s="22"/>
      <c r="G19" s="22"/>
      <c r="H19" s="22"/>
      <c r="I19" s="21">
        <v>4650.0</v>
      </c>
      <c r="J19" s="21"/>
      <c r="K19" s="22"/>
      <c r="L19" s="22"/>
      <c r="M19" s="21"/>
      <c r="N19" s="22"/>
      <c r="O19" s="22"/>
      <c r="P19" s="32">
        <v>4650.0</v>
      </c>
      <c r="Q19" s="25">
        <f t="shared" si="1"/>
        <v>0</v>
      </c>
      <c r="R19" s="32" t="s">
        <v>68</v>
      </c>
      <c r="S19" s="26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ht="34.5" customHeight="1">
      <c r="A20" s="16">
        <v>16.0</v>
      </c>
      <c r="B20" s="27">
        <v>45518.0</v>
      </c>
      <c r="C20" s="18" t="s">
        <v>906</v>
      </c>
      <c r="D20" s="19">
        <v>51939.0</v>
      </c>
      <c r="E20" s="20" t="s">
        <v>599</v>
      </c>
      <c r="F20" s="22"/>
      <c r="G20" s="22"/>
      <c r="H20" s="22"/>
      <c r="I20" s="23">
        <v>5350.0</v>
      </c>
      <c r="J20" s="23"/>
      <c r="K20" s="22"/>
      <c r="L20" s="22"/>
      <c r="M20" s="22"/>
      <c r="N20" s="22"/>
      <c r="O20" s="22"/>
      <c r="P20" s="24">
        <v>5350.0</v>
      </c>
      <c r="Q20" s="25">
        <f t="shared" si="1"/>
        <v>0</v>
      </c>
      <c r="R20" s="24" t="s">
        <v>30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45518.0</v>
      </c>
      <c r="C21" s="18" t="s">
        <v>907</v>
      </c>
      <c r="D21" s="19">
        <v>62508.0</v>
      </c>
      <c r="E21" s="20" t="s">
        <v>246</v>
      </c>
      <c r="F21" s="21"/>
      <c r="G21" s="22"/>
      <c r="H21" s="22"/>
      <c r="I21" s="34">
        <v>4500.0</v>
      </c>
      <c r="J21" s="22"/>
      <c r="K21" s="35"/>
      <c r="L21" s="22"/>
      <c r="M21" s="22"/>
      <c r="N21" s="22"/>
      <c r="O21" s="22"/>
      <c r="P21" s="24">
        <v>4500.0</v>
      </c>
      <c r="Q21" s="25">
        <f t="shared" si="1"/>
        <v>0</v>
      </c>
      <c r="R21" s="24" t="s">
        <v>479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7">
        <v>45518.0</v>
      </c>
      <c r="C22" s="18" t="s">
        <v>908</v>
      </c>
      <c r="D22" s="19">
        <v>69405.0</v>
      </c>
      <c r="E22" s="20" t="s">
        <v>909</v>
      </c>
      <c r="F22" s="21"/>
      <c r="G22" s="22"/>
      <c r="H22" s="22"/>
      <c r="I22" s="21"/>
      <c r="J22" s="22">
        <v>12500.0</v>
      </c>
      <c r="K22" s="21"/>
      <c r="L22" s="22"/>
      <c r="M22" s="22"/>
      <c r="N22" s="22"/>
      <c r="O22" s="22"/>
      <c r="P22" s="24">
        <v>12500.0</v>
      </c>
      <c r="Q22" s="25">
        <f t="shared" si="1"/>
        <v>0</v>
      </c>
      <c r="R22" s="24" t="s">
        <v>51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36">
        <v>45518.0</v>
      </c>
      <c r="C23" s="37" t="s">
        <v>910</v>
      </c>
      <c r="D23" s="38">
        <v>55898.0</v>
      </c>
      <c r="E23" s="39" t="s">
        <v>911</v>
      </c>
      <c r="F23" s="34"/>
      <c r="G23" s="40"/>
      <c r="H23" s="40"/>
      <c r="I23" s="34">
        <v>15000.0</v>
      </c>
      <c r="J23" s="34"/>
      <c r="K23" s="41"/>
      <c r="L23" s="40"/>
      <c r="M23" s="40"/>
      <c r="N23" s="40"/>
      <c r="O23" s="40"/>
      <c r="P23" s="42">
        <v>15000.0</v>
      </c>
      <c r="Q23" s="25">
        <f t="shared" si="1"/>
        <v>0</v>
      </c>
      <c r="R23" s="42" t="s">
        <v>25</v>
      </c>
      <c r="S23" s="26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</row>
    <row r="24" ht="34.5" customHeight="1">
      <c r="A24" s="16">
        <v>20.0</v>
      </c>
      <c r="B24" s="27">
        <v>45518.0</v>
      </c>
      <c r="C24" s="18" t="s">
        <v>912</v>
      </c>
      <c r="D24" s="19">
        <v>57991.0</v>
      </c>
      <c r="E24" s="20" t="s">
        <v>442</v>
      </c>
      <c r="F24" s="21"/>
      <c r="G24" s="22"/>
      <c r="H24" s="22"/>
      <c r="I24" s="21">
        <v>4650.0</v>
      </c>
      <c r="J24" s="22"/>
      <c r="K24" s="35"/>
      <c r="L24" s="22"/>
      <c r="M24" s="22"/>
      <c r="N24" s="22"/>
      <c r="O24" s="22"/>
      <c r="P24" s="24">
        <v>4650.0</v>
      </c>
      <c r="Q24" s="25">
        <f t="shared" si="1"/>
        <v>0</v>
      </c>
      <c r="R24" s="24" t="s">
        <v>51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45518.0</v>
      </c>
      <c r="C25" s="18" t="s">
        <v>913</v>
      </c>
      <c r="D25" s="19">
        <v>83522.0</v>
      </c>
      <c r="E25" s="20" t="s">
        <v>914</v>
      </c>
      <c r="F25" s="21"/>
      <c r="G25" s="22"/>
      <c r="H25" s="22"/>
      <c r="I25" s="21">
        <v>5150.0</v>
      </c>
      <c r="J25" s="21"/>
      <c r="K25" s="35"/>
      <c r="L25" s="22"/>
      <c r="M25" s="22"/>
      <c r="N25" s="22"/>
      <c r="O25" s="22"/>
      <c r="P25" s="24">
        <v>5150.0</v>
      </c>
      <c r="Q25" s="25">
        <f t="shared" si="1"/>
        <v>0</v>
      </c>
      <c r="R25" s="24" t="s">
        <v>30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45518.0</v>
      </c>
      <c r="C26" s="18" t="s">
        <v>915</v>
      </c>
      <c r="D26" s="19">
        <v>13762.0</v>
      </c>
      <c r="E26" s="20" t="s">
        <v>244</v>
      </c>
      <c r="F26" s="21"/>
      <c r="G26" s="22"/>
      <c r="H26" s="22"/>
      <c r="I26" s="35"/>
      <c r="J26" s="21">
        <v>15000.0</v>
      </c>
      <c r="K26" s="35"/>
      <c r="L26" s="22"/>
      <c r="M26" s="22"/>
      <c r="N26" s="22"/>
      <c r="O26" s="22"/>
      <c r="P26" s="24">
        <v>15000.0</v>
      </c>
      <c r="Q26" s="25">
        <f t="shared" si="1"/>
        <v>0</v>
      </c>
      <c r="R26" s="24" t="s">
        <v>68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45518.0</v>
      </c>
      <c r="C27" s="18" t="s">
        <v>916</v>
      </c>
      <c r="D27" s="19">
        <v>52083.0</v>
      </c>
      <c r="E27" s="20" t="s">
        <v>122</v>
      </c>
      <c r="F27" s="21"/>
      <c r="G27" s="22"/>
      <c r="H27" s="22"/>
      <c r="I27" s="21">
        <v>2500.0</v>
      </c>
      <c r="J27" s="21"/>
      <c r="K27" s="23"/>
      <c r="L27" s="22"/>
      <c r="M27" s="22"/>
      <c r="N27" s="22"/>
      <c r="O27" s="22"/>
      <c r="P27" s="24">
        <v>2500.0</v>
      </c>
      <c r="Q27" s="25">
        <f t="shared" si="1"/>
        <v>0</v>
      </c>
      <c r="R27" s="24" t="s">
        <v>68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45518.0</v>
      </c>
      <c r="C28" s="18" t="s">
        <v>917</v>
      </c>
      <c r="D28" s="19">
        <v>84422.0</v>
      </c>
      <c r="E28" s="20" t="s">
        <v>918</v>
      </c>
      <c r="F28" s="21"/>
      <c r="G28" s="22"/>
      <c r="H28" s="22"/>
      <c r="I28" s="21">
        <v>7000.0</v>
      </c>
      <c r="J28" s="21"/>
      <c r="K28" s="23"/>
      <c r="L28" s="22"/>
      <c r="M28" s="22"/>
      <c r="N28" s="22"/>
      <c r="O28" s="22"/>
      <c r="P28" s="24">
        <v>7000.0</v>
      </c>
      <c r="Q28" s="25">
        <f t="shared" si="1"/>
        <v>0</v>
      </c>
      <c r="R28" s="24" t="s">
        <v>479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45518.0</v>
      </c>
      <c r="C29" s="18" t="s">
        <v>919</v>
      </c>
      <c r="D29" s="19">
        <v>69336.0</v>
      </c>
      <c r="E29" s="20" t="s">
        <v>920</v>
      </c>
      <c r="F29" s="21">
        <v>900.0</v>
      </c>
      <c r="G29" s="22"/>
      <c r="H29" s="22"/>
      <c r="I29" s="21"/>
      <c r="J29" s="21"/>
      <c r="K29" s="23"/>
      <c r="L29" s="22"/>
      <c r="M29" s="22"/>
      <c r="N29" s="22"/>
      <c r="O29" s="22"/>
      <c r="P29" s="24">
        <v>900.0</v>
      </c>
      <c r="Q29" s="25">
        <f t="shared" si="1"/>
        <v>0</v>
      </c>
      <c r="R29" s="24" t="s">
        <v>68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45518.0</v>
      </c>
      <c r="C30" s="18" t="s">
        <v>921</v>
      </c>
      <c r="D30" s="19">
        <v>39832.0</v>
      </c>
      <c r="E30" s="20" t="s">
        <v>739</v>
      </c>
      <c r="F30" s="21">
        <v>1250.0</v>
      </c>
      <c r="G30" s="22"/>
      <c r="H30" s="22"/>
      <c r="I30" s="21"/>
      <c r="J30" s="21"/>
      <c r="K30" s="23"/>
      <c r="L30" s="22"/>
      <c r="M30" s="22"/>
      <c r="N30" s="22"/>
      <c r="O30" s="22"/>
      <c r="P30" s="24">
        <v>1250.0</v>
      </c>
      <c r="Q30" s="25">
        <f t="shared" si="1"/>
        <v>0</v>
      </c>
      <c r="R30" s="24" t="s">
        <v>68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45518.0</v>
      </c>
      <c r="C31" s="18" t="s">
        <v>922</v>
      </c>
      <c r="D31" s="19">
        <v>58050.0</v>
      </c>
      <c r="E31" s="20" t="s">
        <v>428</v>
      </c>
      <c r="F31" s="21"/>
      <c r="G31" s="22"/>
      <c r="H31" s="22"/>
      <c r="I31" s="21"/>
      <c r="J31" s="21">
        <v>5650.0</v>
      </c>
      <c r="K31" s="23"/>
      <c r="L31" s="22"/>
      <c r="M31" s="22"/>
      <c r="N31" s="22"/>
      <c r="O31" s="22"/>
      <c r="P31" s="24">
        <v>5650.0</v>
      </c>
      <c r="Q31" s="25">
        <f t="shared" si="1"/>
        <v>0</v>
      </c>
      <c r="R31" s="24" t="s">
        <v>51</v>
      </c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45518.0</v>
      </c>
      <c r="C32" s="18" t="s">
        <v>923</v>
      </c>
      <c r="D32" s="19">
        <v>83201.0</v>
      </c>
      <c r="E32" s="20" t="s">
        <v>924</v>
      </c>
      <c r="F32" s="21"/>
      <c r="G32" s="22"/>
      <c r="H32" s="22"/>
      <c r="I32" s="21">
        <v>2150.0</v>
      </c>
      <c r="J32" s="21"/>
      <c r="K32" s="23"/>
      <c r="L32" s="22"/>
      <c r="M32" s="22"/>
      <c r="N32" s="22"/>
      <c r="O32" s="22"/>
      <c r="P32" s="24">
        <v>2150.0</v>
      </c>
      <c r="Q32" s="25">
        <f t="shared" si="1"/>
        <v>0</v>
      </c>
      <c r="R32" s="24" t="s">
        <v>68</v>
      </c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45518.0</v>
      </c>
      <c r="C33" s="18" t="s">
        <v>925</v>
      </c>
      <c r="D33" s="19">
        <v>42046.0</v>
      </c>
      <c r="E33" s="20" t="s">
        <v>77</v>
      </c>
      <c r="F33" s="21"/>
      <c r="G33" s="22"/>
      <c r="H33" s="21"/>
      <c r="I33" s="21"/>
      <c r="J33" s="21"/>
      <c r="K33" s="23">
        <v>5000.0</v>
      </c>
      <c r="L33" s="22"/>
      <c r="M33" s="22"/>
      <c r="N33" s="22"/>
      <c r="O33" s="22"/>
      <c r="P33" s="24">
        <v>5000.0</v>
      </c>
      <c r="Q33" s="25">
        <f t="shared" si="1"/>
        <v>0</v>
      </c>
      <c r="R33" s="24" t="s">
        <v>68</v>
      </c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7">
        <v>45518.0</v>
      </c>
      <c r="C34" s="18" t="s">
        <v>926</v>
      </c>
      <c r="D34" s="19">
        <v>50557.0</v>
      </c>
      <c r="E34" s="20" t="s">
        <v>222</v>
      </c>
      <c r="F34" s="21"/>
      <c r="G34" s="22"/>
      <c r="H34" s="21"/>
      <c r="I34" s="21">
        <v>7500.0</v>
      </c>
      <c r="J34" s="21"/>
      <c r="K34" s="23"/>
      <c r="L34" s="22"/>
      <c r="M34" s="22"/>
      <c r="N34" s="22"/>
      <c r="O34" s="22"/>
      <c r="P34" s="24">
        <v>7500.0</v>
      </c>
      <c r="Q34" s="25">
        <f t="shared" si="1"/>
        <v>0</v>
      </c>
      <c r="R34" s="24" t="s">
        <v>51</v>
      </c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7">
        <v>45518.0</v>
      </c>
      <c r="C35" s="18" t="s">
        <v>927</v>
      </c>
      <c r="D35" s="19">
        <v>59103.0</v>
      </c>
      <c r="E35" s="20" t="s">
        <v>260</v>
      </c>
      <c r="F35" s="21"/>
      <c r="G35" s="22"/>
      <c r="H35" s="22"/>
      <c r="I35" s="21"/>
      <c r="J35" s="21"/>
      <c r="K35" s="23">
        <v>5000.0</v>
      </c>
      <c r="L35" s="22"/>
      <c r="M35" s="22"/>
      <c r="N35" s="22"/>
      <c r="O35" s="22"/>
      <c r="P35" s="24">
        <v>5000.0</v>
      </c>
      <c r="Q35" s="25">
        <f t="shared" si="1"/>
        <v>0</v>
      </c>
      <c r="R35" s="24" t="s">
        <v>25</v>
      </c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7">
        <v>45518.0</v>
      </c>
      <c r="C36" s="18" t="s">
        <v>928</v>
      </c>
      <c r="D36" s="19">
        <v>67248.0</v>
      </c>
      <c r="E36" s="20" t="s">
        <v>929</v>
      </c>
      <c r="F36" s="21"/>
      <c r="G36" s="22"/>
      <c r="H36" s="22"/>
      <c r="I36" s="21">
        <v>6050.0</v>
      </c>
      <c r="J36" s="21"/>
      <c r="K36" s="23"/>
      <c r="L36" s="22"/>
      <c r="M36" s="22"/>
      <c r="N36" s="22"/>
      <c r="O36" s="22"/>
      <c r="P36" s="24">
        <v>6050.0</v>
      </c>
      <c r="Q36" s="25">
        <f t="shared" si="1"/>
        <v>0</v>
      </c>
      <c r="R36" s="24" t="s">
        <v>51</v>
      </c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7">
        <v>45518.0</v>
      </c>
      <c r="C37" s="18" t="s">
        <v>930</v>
      </c>
      <c r="D37" s="19">
        <v>76594.0</v>
      </c>
      <c r="E37" s="20" t="s">
        <v>931</v>
      </c>
      <c r="F37" s="21"/>
      <c r="G37" s="22"/>
      <c r="H37" s="22"/>
      <c r="I37" s="21"/>
      <c r="J37" s="21">
        <v>1500.0</v>
      </c>
      <c r="K37" s="23"/>
      <c r="L37" s="22"/>
      <c r="M37" s="22"/>
      <c r="N37" s="22"/>
      <c r="O37" s="22"/>
      <c r="P37" s="24">
        <v>1500.0</v>
      </c>
      <c r="Q37" s="25">
        <f t="shared" si="1"/>
        <v>0</v>
      </c>
      <c r="R37" s="24" t="s">
        <v>51</v>
      </c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7">
        <v>45518.0</v>
      </c>
      <c r="C38" s="18" t="s">
        <v>932</v>
      </c>
      <c r="D38" s="19">
        <v>48854.0</v>
      </c>
      <c r="E38" s="20" t="s">
        <v>86</v>
      </c>
      <c r="F38" s="21"/>
      <c r="G38" s="22"/>
      <c r="H38" s="22"/>
      <c r="I38" s="21"/>
      <c r="J38" s="21">
        <v>25550.0</v>
      </c>
      <c r="K38" s="23"/>
      <c r="L38" s="22"/>
      <c r="M38" s="22"/>
      <c r="N38" s="22"/>
      <c r="O38" s="22"/>
      <c r="P38" s="24">
        <v>25550.0</v>
      </c>
      <c r="Q38" s="25">
        <f t="shared" si="1"/>
        <v>0</v>
      </c>
      <c r="R38" s="24" t="s">
        <v>25</v>
      </c>
      <c r="S38" s="26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7">
        <v>45518.0</v>
      </c>
      <c r="C39" s="18" t="s">
        <v>933</v>
      </c>
      <c r="D39" s="19">
        <v>51939.0</v>
      </c>
      <c r="E39" s="20" t="s">
        <v>599</v>
      </c>
      <c r="F39" s="21"/>
      <c r="G39" s="22"/>
      <c r="H39" s="22"/>
      <c r="I39" s="21">
        <v>450.0</v>
      </c>
      <c r="J39" s="21"/>
      <c r="K39" s="23"/>
      <c r="L39" s="22"/>
      <c r="M39" s="22"/>
      <c r="N39" s="22"/>
      <c r="O39" s="22"/>
      <c r="P39" s="24">
        <v>450.0</v>
      </c>
      <c r="Q39" s="25">
        <f t="shared" si="1"/>
        <v>0</v>
      </c>
      <c r="R39" s="24" t="s">
        <v>30</v>
      </c>
      <c r="S39" s="26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7">
        <v>45518.0</v>
      </c>
      <c r="C40" s="18" t="s">
        <v>934</v>
      </c>
      <c r="D40" s="19">
        <v>21828.0</v>
      </c>
      <c r="E40" s="20" t="s">
        <v>47</v>
      </c>
      <c r="F40" s="21">
        <v>15000.0</v>
      </c>
      <c r="G40" s="22"/>
      <c r="H40" s="22"/>
      <c r="I40" s="21"/>
      <c r="J40" s="21"/>
      <c r="K40" s="23">
        <v>1800.0</v>
      </c>
      <c r="L40" s="22"/>
      <c r="M40" s="22"/>
      <c r="N40" s="22"/>
      <c r="O40" s="22"/>
      <c r="P40" s="24">
        <v>16800.0</v>
      </c>
      <c r="Q40" s="25">
        <f t="shared" si="1"/>
        <v>0</v>
      </c>
      <c r="R40" s="24" t="s">
        <v>25</v>
      </c>
      <c r="S40" s="26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7">
        <v>45518.0</v>
      </c>
      <c r="C41" s="18" t="s">
        <v>935</v>
      </c>
      <c r="D41" s="19">
        <v>73660.0</v>
      </c>
      <c r="E41" s="20" t="s">
        <v>936</v>
      </c>
      <c r="F41" s="21"/>
      <c r="G41" s="22"/>
      <c r="H41" s="22"/>
      <c r="I41" s="21"/>
      <c r="J41" s="21">
        <v>2990.0</v>
      </c>
      <c r="K41" s="23"/>
      <c r="L41" s="22"/>
      <c r="M41" s="22"/>
      <c r="N41" s="22"/>
      <c r="O41" s="22"/>
      <c r="P41" s="24">
        <v>2990.0</v>
      </c>
      <c r="Q41" s="25">
        <f t="shared" si="1"/>
        <v>0</v>
      </c>
      <c r="R41" s="24" t="s">
        <v>479</v>
      </c>
      <c r="S41" s="26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27">
        <v>45518.0</v>
      </c>
      <c r="C42" s="18" t="s">
        <v>937</v>
      </c>
      <c r="D42" s="19">
        <v>49540.0</v>
      </c>
      <c r="E42" s="20" t="s">
        <v>938</v>
      </c>
      <c r="F42" s="21"/>
      <c r="G42" s="22"/>
      <c r="H42" s="22"/>
      <c r="I42" s="21">
        <v>2500.0</v>
      </c>
      <c r="J42" s="21"/>
      <c r="K42" s="23"/>
      <c r="L42" s="22"/>
      <c r="M42" s="22"/>
      <c r="N42" s="22"/>
      <c r="O42" s="22"/>
      <c r="P42" s="24">
        <v>2500.0</v>
      </c>
      <c r="Q42" s="25">
        <f t="shared" si="1"/>
        <v>0</v>
      </c>
      <c r="R42" s="24" t="s">
        <v>479</v>
      </c>
      <c r="S42" s="26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>
        <v>39.0</v>
      </c>
      <c r="B43" s="27">
        <v>45518.0</v>
      </c>
      <c r="C43" s="18" t="s">
        <v>939</v>
      </c>
      <c r="D43" s="19">
        <v>43955.0</v>
      </c>
      <c r="E43" s="20" t="s">
        <v>293</v>
      </c>
      <c r="F43" s="21"/>
      <c r="G43" s="22"/>
      <c r="H43" s="22"/>
      <c r="I43" s="21">
        <v>1000.0</v>
      </c>
      <c r="J43" s="21"/>
      <c r="K43" s="23"/>
      <c r="L43" s="22"/>
      <c r="M43" s="22"/>
      <c r="N43" s="22"/>
      <c r="O43" s="22"/>
      <c r="P43" s="24">
        <v>1000.0</v>
      </c>
      <c r="Q43" s="25">
        <f t="shared" si="1"/>
        <v>0</v>
      </c>
      <c r="R43" s="24" t="s">
        <v>25</v>
      </c>
      <c r="S43" s="26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16">
        <v>40.0</v>
      </c>
      <c r="B44" s="27">
        <v>45518.0</v>
      </c>
      <c r="C44" s="18" t="s">
        <v>940</v>
      </c>
      <c r="D44" s="19">
        <v>31927.0</v>
      </c>
      <c r="E44" s="20" t="s">
        <v>168</v>
      </c>
      <c r="F44" s="21"/>
      <c r="G44" s="22"/>
      <c r="H44" s="22"/>
      <c r="I44" s="21">
        <v>1400.0</v>
      </c>
      <c r="J44" s="21"/>
      <c r="K44" s="23"/>
      <c r="L44" s="22"/>
      <c r="M44" s="22"/>
      <c r="N44" s="22"/>
      <c r="O44" s="22"/>
      <c r="P44" s="24">
        <v>1400.0</v>
      </c>
      <c r="Q44" s="25">
        <f t="shared" si="1"/>
        <v>0</v>
      </c>
      <c r="R44" s="24" t="s">
        <v>479</v>
      </c>
      <c r="S44" s="26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16">
        <v>41.0</v>
      </c>
      <c r="B45" s="27">
        <v>45518.0</v>
      </c>
      <c r="C45" s="18" t="s">
        <v>941</v>
      </c>
      <c r="D45" s="19">
        <v>59244.0</v>
      </c>
      <c r="E45" s="20" t="s">
        <v>237</v>
      </c>
      <c r="F45" s="21"/>
      <c r="G45" s="22"/>
      <c r="H45" s="22"/>
      <c r="I45" s="21">
        <v>17400.0</v>
      </c>
      <c r="J45" s="21"/>
      <c r="K45" s="23"/>
      <c r="L45" s="22"/>
      <c r="M45" s="22"/>
      <c r="N45" s="22"/>
      <c r="O45" s="22"/>
      <c r="P45" s="24">
        <v>17400.0</v>
      </c>
      <c r="Q45" s="25">
        <f t="shared" si="1"/>
        <v>0</v>
      </c>
      <c r="R45" s="24" t="s">
        <v>479</v>
      </c>
      <c r="S45" s="26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4.5" customHeight="1">
      <c r="A46" s="16">
        <v>42.0</v>
      </c>
      <c r="B46" s="27">
        <v>45517.0</v>
      </c>
      <c r="C46" s="18" t="s">
        <v>942</v>
      </c>
      <c r="D46" s="19">
        <v>74514.0</v>
      </c>
      <c r="E46" s="20" t="s">
        <v>873</v>
      </c>
      <c r="F46" s="21"/>
      <c r="G46" s="22"/>
      <c r="H46" s="22"/>
      <c r="I46" s="21"/>
      <c r="J46" s="21"/>
      <c r="K46" s="23"/>
      <c r="L46" s="22"/>
      <c r="M46" s="22"/>
      <c r="N46" s="22"/>
      <c r="O46" s="22">
        <v>0.0</v>
      </c>
      <c r="P46" s="24">
        <v>1200.0</v>
      </c>
      <c r="Q46" s="25">
        <f t="shared" si="1"/>
        <v>-1200</v>
      </c>
      <c r="R46" s="24"/>
      <c r="S46" s="26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34.5" customHeight="1">
      <c r="A47" s="16">
        <v>43.0</v>
      </c>
      <c r="B47" s="27">
        <v>45517.0</v>
      </c>
      <c r="C47" s="18" t="s">
        <v>943</v>
      </c>
      <c r="D47" s="19">
        <v>51017.0</v>
      </c>
      <c r="E47" s="20" t="s">
        <v>270</v>
      </c>
      <c r="F47" s="21"/>
      <c r="G47" s="22"/>
      <c r="H47" s="22">
        <v>14500.0</v>
      </c>
      <c r="I47" s="21"/>
      <c r="J47" s="21"/>
      <c r="K47" s="23"/>
      <c r="L47" s="22"/>
      <c r="M47" s="22"/>
      <c r="N47" s="22"/>
      <c r="O47" s="22"/>
      <c r="P47" s="24">
        <v>14500.0</v>
      </c>
      <c r="Q47" s="25">
        <f t="shared" si="1"/>
        <v>0</v>
      </c>
      <c r="R47" s="24"/>
      <c r="S47" s="26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34.5" customHeight="1">
      <c r="A48" s="16">
        <v>44.0</v>
      </c>
      <c r="B48" s="27">
        <v>45517.0</v>
      </c>
      <c r="C48" s="18" t="s">
        <v>944</v>
      </c>
      <c r="D48" s="19">
        <v>49953.0</v>
      </c>
      <c r="E48" s="20" t="s">
        <v>471</v>
      </c>
      <c r="F48" s="21"/>
      <c r="G48" s="22"/>
      <c r="H48" s="22">
        <v>2500.0</v>
      </c>
      <c r="I48" s="21"/>
      <c r="J48" s="21"/>
      <c r="K48" s="23"/>
      <c r="L48" s="22"/>
      <c r="M48" s="22"/>
      <c r="N48" s="22"/>
      <c r="O48" s="22"/>
      <c r="P48" s="24">
        <v>2500.0</v>
      </c>
      <c r="Q48" s="25">
        <f t="shared" si="1"/>
        <v>0</v>
      </c>
      <c r="R48" s="24"/>
      <c r="S48" s="26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34.5" customHeight="1">
      <c r="A49" s="16">
        <v>45.0</v>
      </c>
      <c r="B49" s="27">
        <v>45518.0</v>
      </c>
      <c r="C49" s="18" t="s">
        <v>945</v>
      </c>
      <c r="D49" s="19">
        <v>43380.0</v>
      </c>
      <c r="E49" s="20" t="s">
        <v>161</v>
      </c>
      <c r="F49" s="21"/>
      <c r="G49" s="22"/>
      <c r="H49" s="22">
        <v>9000.0</v>
      </c>
      <c r="I49" s="21"/>
      <c r="J49" s="21"/>
      <c r="K49" s="23"/>
      <c r="L49" s="22"/>
      <c r="M49" s="22"/>
      <c r="N49" s="22"/>
      <c r="O49" s="22"/>
      <c r="P49" s="24">
        <v>9000.0</v>
      </c>
      <c r="Q49" s="25">
        <f t="shared" si="1"/>
        <v>0</v>
      </c>
      <c r="R49" s="24"/>
      <c r="S49" s="26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34.5" customHeight="1">
      <c r="A50" s="16">
        <v>46.0</v>
      </c>
      <c r="B50" s="27">
        <v>45518.0</v>
      </c>
      <c r="C50" s="18" t="s">
        <v>946</v>
      </c>
      <c r="D50" s="19">
        <v>52214.0</v>
      </c>
      <c r="E50" s="20" t="s">
        <v>731</v>
      </c>
      <c r="F50" s="21"/>
      <c r="G50" s="22"/>
      <c r="H50" s="22"/>
      <c r="I50" s="21"/>
      <c r="J50" s="21"/>
      <c r="K50" s="23"/>
      <c r="L50" s="22"/>
      <c r="M50" s="22"/>
      <c r="N50" s="22"/>
      <c r="O50" s="22">
        <v>1225.0</v>
      </c>
      <c r="P50" s="24">
        <v>1225.0</v>
      </c>
      <c r="Q50" s="25">
        <f t="shared" si="1"/>
        <v>0</v>
      </c>
      <c r="R50" s="24"/>
      <c r="S50" s="26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34.5" customHeight="1">
      <c r="A51" s="16">
        <v>47.0</v>
      </c>
      <c r="B51" s="27">
        <v>45518.0</v>
      </c>
      <c r="C51" s="18" t="s">
        <v>947</v>
      </c>
      <c r="D51" s="19">
        <v>83404.0</v>
      </c>
      <c r="E51" s="20" t="s">
        <v>948</v>
      </c>
      <c r="F51" s="21"/>
      <c r="G51" s="22"/>
      <c r="H51" s="22">
        <v>10000.0</v>
      </c>
      <c r="I51" s="21"/>
      <c r="J51" s="21"/>
      <c r="K51" s="23"/>
      <c r="L51" s="22"/>
      <c r="M51" s="22"/>
      <c r="N51" s="22"/>
      <c r="O51" s="22"/>
      <c r="P51" s="24">
        <v>10000.0</v>
      </c>
      <c r="Q51" s="25">
        <f t="shared" si="1"/>
        <v>0</v>
      </c>
      <c r="R51" s="24"/>
      <c r="S51" s="26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34.5" customHeight="1">
      <c r="A52" s="16">
        <v>48.0</v>
      </c>
      <c r="B52" s="27">
        <v>45518.0</v>
      </c>
      <c r="C52" s="18" t="s">
        <v>949</v>
      </c>
      <c r="D52" s="19">
        <v>48854.0</v>
      </c>
      <c r="E52" s="20" t="s">
        <v>86</v>
      </c>
      <c r="F52" s="21"/>
      <c r="G52" s="22"/>
      <c r="H52" s="22"/>
      <c r="I52" s="21"/>
      <c r="J52" s="21"/>
      <c r="K52" s="23"/>
      <c r="L52" s="22"/>
      <c r="M52" s="22"/>
      <c r="N52" s="22"/>
      <c r="O52" s="22">
        <v>1200.0</v>
      </c>
      <c r="P52" s="24">
        <v>1200.0</v>
      </c>
      <c r="Q52" s="25">
        <f t="shared" si="1"/>
        <v>0</v>
      </c>
      <c r="R52" s="24"/>
      <c r="S52" s="26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34.5" customHeight="1">
      <c r="A53" s="16">
        <v>49.0</v>
      </c>
      <c r="B53" s="27">
        <v>45518.0</v>
      </c>
      <c r="C53" s="18" t="s">
        <v>950</v>
      </c>
      <c r="D53" s="19">
        <v>50595.0</v>
      </c>
      <c r="E53" s="20" t="s">
        <v>163</v>
      </c>
      <c r="F53" s="21"/>
      <c r="G53" s="22"/>
      <c r="H53" s="22">
        <v>30000.0</v>
      </c>
      <c r="I53" s="21"/>
      <c r="J53" s="21"/>
      <c r="K53" s="23"/>
      <c r="L53" s="22"/>
      <c r="M53" s="22"/>
      <c r="N53" s="22"/>
      <c r="O53" s="22"/>
      <c r="P53" s="24">
        <v>30000.0</v>
      </c>
      <c r="Q53" s="25">
        <f t="shared" si="1"/>
        <v>0</v>
      </c>
      <c r="R53" s="24"/>
      <c r="S53" s="26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34.5" customHeight="1">
      <c r="A54" s="16">
        <v>50.0</v>
      </c>
      <c r="B54" s="27">
        <v>45518.0</v>
      </c>
      <c r="C54" s="18" t="s">
        <v>951</v>
      </c>
      <c r="D54" s="19">
        <v>73660.0</v>
      </c>
      <c r="E54" s="20" t="s">
        <v>936</v>
      </c>
      <c r="F54" s="21"/>
      <c r="G54" s="22"/>
      <c r="H54" s="22"/>
      <c r="I54" s="21"/>
      <c r="J54" s="21"/>
      <c r="K54" s="23"/>
      <c r="L54" s="22"/>
      <c r="M54" s="22"/>
      <c r="N54" s="22"/>
      <c r="O54" s="22">
        <v>1900.0</v>
      </c>
      <c r="P54" s="24">
        <v>1900.0</v>
      </c>
      <c r="Q54" s="25">
        <f t="shared" si="1"/>
        <v>0</v>
      </c>
      <c r="R54" s="24"/>
      <c r="S54" s="26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34.5" customHeight="1">
      <c r="A55" s="16"/>
      <c r="B55" s="27"/>
      <c r="C55" s="18"/>
      <c r="D55" s="19"/>
      <c r="E55" s="20"/>
      <c r="F55" s="21"/>
      <c r="G55" s="22"/>
      <c r="H55" s="22"/>
      <c r="I55" s="21"/>
      <c r="J55" s="21"/>
      <c r="K55" s="23"/>
      <c r="L55" s="22"/>
      <c r="M55" s="22"/>
      <c r="N55" s="22"/>
      <c r="O55" s="22"/>
      <c r="P55" s="24"/>
      <c r="Q55" s="25">
        <f t="shared" si="1"/>
        <v>0</v>
      </c>
      <c r="R55" s="24"/>
      <c r="S55" s="26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37.5" customHeight="1">
      <c r="A56" s="16"/>
      <c r="B56" s="27"/>
      <c r="C56" s="18"/>
      <c r="D56" s="19" t="s">
        <v>183</v>
      </c>
      <c r="E56" s="20"/>
      <c r="F56" s="45">
        <f t="shared" ref="F56:P56" si="2">SUM(F5:F55)</f>
        <v>17150</v>
      </c>
      <c r="G56" s="45">
        <f t="shared" si="2"/>
        <v>0</v>
      </c>
      <c r="H56" s="45">
        <f t="shared" si="2"/>
        <v>66000</v>
      </c>
      <c r="I56" s="45">
        <f t="shared" si="2"/>
        <v>132950</v>
      </c>
      <c r="J56" s="45">
        <f t="shared" si="2"/>
        <v>68340</v>
      </c>
      <c r="K56" s="45">
        <f t="shared" si="2"/>
        <v>15400</v>
      </c>
      <c r="L56" s="45">
        <f t="shared" si="2"/>
        <v>0</v>
      </c>
      <c r="M56" s="45">
        <f t="shared" si="2"/>
        <v>0</v>
      </c>
      <c r="N56" s="45">
        <f t="shared" si="2"/>
        <v>0</v>
      </c>
      <c r="O56" s="45">
        <f t="shared" si="2"/>
        <v>4325</v>
      </c>
      <c r="P56" s="45">
        <f t="shared" si="2"/>
        <v>305365</v>
      </c>
      <c r="Q56" s="46">
        <v>0.0</v>
      </c>
      <c r="R56" s="47"/>
      <c r="S56" s="26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</row>
    <row r="57" ht="15.75" customHeight="1">
      <c r="A57" s="48"/>
      <c r="B57" s="48"/>
      <c r="C57" s="49"/>
      <c r="D57" s="48"/>
      <c r="E57" s="48"/>
      <c r="F57" s="50">
        <f>F56+G56+H56+I56+J56+K56+L56+M56+N56+O56</f>
        <v>304165</v>
      </c>
      <c r="P57" s="51"/>
      <c r="Q57" s="51"/>
      <c r="R57" s="48"/>
      <c r="S57" s="48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</row>
    <row r="58" ht="15.75" customHeight="1">
      <c r="A58" s="4"/>
      <c r="B58" s="4"/>
      <c r="C58" s="5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3" t="s">
        <v>183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54" t="s">
        <v>184</v>
      </c>
      <c r="F61" s="55" t="s">
        <v>187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56" t="s">
        <v>186</v>
      </c>
      <c r="F62" s="55" t="s">
        <v>187</v>
      </c>
      <c r="G62" s="4"/>
      <c r="H62" s="4"/>
      <c r="I62" s="4"/>
      <c r="J62" s="4"/>
      <c r="K62" s="4"/>
      <c r="L62" s="4"/>
      <c r="M62" s="4"/>
      <c r="N62" s="4"/>
      <c r="O62" s="57" t="s">
        <v>183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56" t="s">
        <v>188</v>
      </c>
      <c r="F63" s="55" t="s">
        <v>194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56" t="s">
        <v>189</v>
      </c>
      <c r="F64" s="55" t="s">
        <v>194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56" t="s">
        <v>190</v>
      </c>
      <c r="F65" s="61" t="s">
        <v>952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56" t="s">
        <v>953</v>
      </c>
      <c r="F66" s="55" t="s">
        <v>194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56" t="s">
        <v>193</v>
      </c>
      <c r="F67" s="55" t="s">
        <v>194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56" t="s">
        <v>195</v>
      </c>
      <c r="F68" s="59" t="s">
        <v>196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57" t="s">
        <v>183</v>
      </c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 t="str">
        <f>I72456</f>
        <v/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57" t="s">
        <v>197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>
        <v>7.0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5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5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5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5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5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5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5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5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5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>
      <c r="A283" s="4"/>
      <c r="B283" s="4"/>
      <c r="C283" s="5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5.75" customHeight="1">
      <c r="A284" s="4"/>
      <c r="B284" s="4"/>
      <c r="C284" s="5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5.75" customHeight="1">
      <c r="A285" s="4"/>
      <c r="B285" s="4"/>
      <c r="C285" s="5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5.75" customHeight="1">
      <c r="A286" s="4"/>
      <c r="B286" s="4"/>
      <c r="C286" s="5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5.75" customHeight="1">
      <c r="A287" s="4"/>
      <c r="B287" s="4"/>
      <c r="C287" s="5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5.75" customHeight="1">
      <c r="A288" s="4"/>
      <c r="B288" s="4"/>
      <c r="C288" s="5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5.75" customHeight="1">
      <c r="A289" s="4"/>
      <c r="B289" s="4"/>
      <c r="C289" s="5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ht="15.75" customHeight="1">
      <c r="A290" s="4"/>
      <c r="B290" s="4"/>
      <c r="C290" s="5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ht="15.75" customHeight="1">
      <c r="A291" s="4"/>
      <c r="B291" s="4"/>
      <c r="C291" s="5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R2:R4"/>
    <mergeCell ref="S2:S4"/>
    <mergeCell ref="F3:F4"/>
    <mergeCell ref="G3:H3"/>
    <mergeCell ref="I3:J3"/>
    <mergeCell ref="K3:K4"/>
    <mergeCell ref="F57:O57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6.88"/>
    <col customWidth="1" min="6" max="6" width="29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45.0" customHeight="1">
      <c r="A1" s="1" t="s">
        <v>954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15.75" customHeight="1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5.75" customHeight="1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45518.0</v>
      </c>
      <c r="C5" s="18" t="s">
        <v>955</v>
      </c>
      <c r="D5" s="19">
        <v>55041.0</v>
      </c>
      <c r="E5" s="20" t="s">
        <v>956</v>
      </c>
      <c r="F5" s="21"/>
      <c r="G5" s="22"/>
      <c r="H5" s="21"/>
      <c r="I5" s="23">
        <v>5150.0</v>
      </c>
      <c r="J5" s="23"/>
      <c r="K5" s="22"/>
      <c r="L5" s="22"/>
      <c r="M5" s="21"/>
      <c r="N5" s="22"/>
      <c r="O5" s="22"/>
      <c r="P5" s="24">
        <v>5150.0</v>
      </c>
      <c r="Q5" s="25">
        <f t="shared" ref="Q5:Q41" si="1">F5+G5+H5+I5+J5+K5+L5+M5+N5+O5-P5</f>
        <v>0</v>
      </c>
      <c r="R5" s="24" t="s">
        <v>30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45518.0</v>
      </c>
      <c r="C6" s="18" t="s">
        <v>957</v>
      </c>
      <c r="D6" s="19">
        <v>82810.0</v>
      </c>
      <c r="E6" s="20" t="s">
        <v>958</v>
      </c>
      <c r="F6" s="21"/>
      <c r="G6" s="22"/>
      <c r="H6" s="22"/>
      <c r="I6" s="21">
        <v>2150.0</v>
      </c>
      <c r="J6" s="22"/>
      <c r="K6" s="22"/>
      <c r="L6" s="22"/>
      <c r="M6" s="21"/>
      <c r="N6" s="22"/>
      <c r="O6" s="22"/>
      <c r="P6" s="24">
        <v>2150.0</v>
      </c>
      <c r="Q6" s="25">
        <f t="shared" si="1"/>
        <v>0</v>
      </c>
      <c r="R6" s="24" t="s">
        <v>51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45519.0</v>
      </c>
      <c r="C7" s="18" t="s">
        <v>959</v>
      </c>
      <c r="D7" s="19">
        <v>67248.0</v>
      </c>
      <c r="E7" s="20" t="s">
        <v>929</v>
      </c>
      <c r="F7" s="22"/>
      <c r="G7" s="22"/>
      <c r="H7" s="21"/>
      <c r="I7" s="21"/>
      <c r="J7" s="23">
        <v>5150.0</v>
      </c>
      <c r="K7" s="22"/>
      <c r="L7" s="22"/>
      <c r="M7" s="22"/>
      <c r="N7" s="22"/>
      <c r="O7" s="22"/>
      <c r="P7" s="24">
        <v>5150.0</v>
      </c>
      <c r="Q7" s="25">
        <f t="shared" si="1"/>
        <v>0</v>
      </c>
      <c r="R7" s="24" t="s">
        <v>51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45519.0</v>
      </c>
      <c r="C8" s="18" t="s">
        <v>960</v>
      </c>
      <c r="D8" s="19">
        <v>58234.0</v>
      </c>
      <c r="E8" s="20" t="s">
        <v>961</v>
      </c>
      <c r="F8" s="22"/>
      <c r="G8" s="22"/>
      <c r="H8" s="22"/>
      <c r="I8" s="21">
        <v>2650.0</v>
      </c>
      <c r="J8" s="21"/>
      <c r="K8" s="22"/>
      <c r="L8" s="22"/>
      <c r="M8" s="22"/>
      <c r="N8" s="22"/>
      <c r="O8" s="22"/>
      <c r="P8" s="24">
        <v>2650.0</v>
      </c>
      <c r="Q8" s="25">
        <f t="shared" si="1"/>
        <v>0</v>
      </c>
      <c r="R8" s="24" t="s">
        <v>51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45519.0</v>
      </c>
      <c r="C9" s="18" t="s">
        <v>962</v>
      </c>
      <c r="D9" s="19">
        <v>55992.0</v>
      </c>
      <c r="E9" s="20" t="s">
        <v>567</v>
      </c>
      <c r="F9" s="22"/>
      <c r="G9" s="22"/>
      <c r="H9" s="22"/>
      <c r="I9" s="21">
        <v>200.0</v>
      </c>
      <c r="J9" s="21"/>
      <c r="K9" s="22"/>
      <c r="L9" s="22"/>
      <c r="M9" s="21"/>
      <c r="N9" s="22"/>
      <c r="O9" s="22"/>
      <c r="P9" s="24">
        <v>200.0</v>
      </c>
      <c r="Q9" s="25">
        <f t="shared" si="1"/>
        <v>0</v>
      </c>
      <c r="R9" s="24" t="s">
        <v>51</v>
      </c>
      <c r="S9" s="26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45519.0</v>
      </c>
      <c r="C10" s="18" t="s">
        <v>963</v>
      </c>
      <c r="D10" s="19">
        <v>52669.0</v>
      </c>
      <c r="E10" s="20" t="s">
        <v>310</v>
      </c>
      <c r="F10" s="22"/>
      <c r="G10" s="22"/>
      <c r="H10" s="22">
        <v>30750.0</v>
      </c>
      <c r="I10" s="21"/>
      <c r="J10" s="21"/>
      <c r="K10" s="22"/>
      <c r="L10" s="22"/>
      <c r="M10" s="21"/>
      <c r="N10" s="22"/>
      <c r="O10" s="22"/>
      <c r="P10" s="24">
        <v>30750.0</v>
      </c>
      <c r="Q10" s="25">
        <f t="shared" si="1"/>
        <v>0</v>
      </c>
      <c r="R10" s="24" t="s">
        <v>25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45519.0</v>
      </c>
      <c r="C11" s="18" t="s">
        <v>964</v>
      </c>
      <c r="D11" s="19">
        <v>52669.0</v>
      </c>
      <c r="E11" s="20" t="s">
        <v>310</v>
      </c>
      <c r="F11" s="22"/>
      <c r="G11" s="22"/>
      <c r="H11" s="22"/>
      <c r="I11" s="21">
        <v>1000.0</v>
      </c>
      <c r="J11" s="21"/>
      <c r="K11" s="22"/>
      <c r="L11" s="22"/>
      <c r="M11" s="21"/>
      <c r="N11" s="22"/>
      <c r="O11" s="22"/>
      <c r="P11" s="24">
        <v>1000.0</v>
      </c>
      <c r="Q11" s="25">
        <f t="shared" si="1"/>
        <v>0</v>
      </c>
      <c r="R11" s="24" t="s">
        <v>25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7">
        <v>45519.0</v>
      </c>
      <c r="C12" s="18" t="s">
        <v>965</v>
      </c>
      <c r="D12" s="19">
        <v>52083.0</v>
      </c>
      <c r="E12" s="20" t="s">
        <v>122</v>
      </c>
      <c r="F12" s="22"/>
      <c r="G12" s="22"/>
      <c r="H12" s="22"/>
      <c r="I12" s="21">
        <v>8400.0</v>
      </c>
      <c r="J12" s="21"/>
      <c r="K12" s="22"/>
      <c r="L12" s="22"/>
      <c r="M12" s="21"/>
      <c r="N12" s="22"/>
      <c r="O12" s="22"/>
      <c r="P12" s="24">
        <v>8400.0</v>
      </c>
      <c r="Q12" s="25">
        <f t="shared" si="1"/>
        <v>0</v>
      </c>
      <c r="R12" s="24" t="s">
        <v>68</v>
      </c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8">
        <v>45519.0</v>
      </c>
      <c r="C13" s="29" t="s">
        <v>966</v>
      </c>
      <c r="D13" s="30">
        <v>58572.0</v>
      </c>
      <c r="E13" s="31" t="s">
        <v>967</v>
      </c>
      <c r="F13" s="22"/>
      <c r="G13" s="22"/>
      <c r="H13" s="22"/>
      <c r="I13" s="21"/>
      <c r="J13" s="21">
        <v>2650.0</v>
      </c>
      <c r="K13" s="22"/>
      <c r="L13" s="22"/>
      <c r="M13" s="21"/>
      <c r="N13" s="22"/>
      <c r="O13" s="22"/>
      <c r="P13" s="32">
        <v>2650.0</v>
      </c>
      <c r="Q13" s="25">
        <f t="shared" si="1"/>
        <v>0</v>
      </c>
      <c r="R13" s="32" t="s">
        <v>51</v>
      </c>
      <c r="S13" s="26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 ht="34.5" customHeight="1">
      <c r="A14" s="16">
        <v>10.0</v>
      </c>
      <c r="B14" s="27">
        <v>45519.0</v>
      </c>
      <c r="C14" s="18" t="s">
        <v>968</v>
      </c>
      <c r="D14" s="19">
        <v>80789.0</v>
      </c>
      <c r="E14" s="20" t="s">
        <v>969</v>
      </c>
      <c r="F14" s="22"/>
      <c r="G14" s="22"/>
      <c r="H14" s="22"/>
      <c r="I14" s="21">
        <v>3400.0</v>
      </c>
      <c r="J14" s="21"/>
      <c r="K14" s="22"/>
      <c r="L14" s="22"/>
      <c r="M14" s="21"/>
      <c r="N14" s="22"/>
      <c r="O14" s="22"/>
      <c r="P14" s="24">
        <v>3400.0</v>
      </c>
      <c r="Q14" s="25">
        <f t="shared" si="1"/>
        <v>0</v>
      </c>
      <c r="R14" s="24" t="s">
        <v>68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45519.0</v>
      </c>
      <c r="C15" s="18" t="s">
        <v>970</v>
      </c>
      <c r="D15" s="19">
        <v>84433.0</v>
      </c>
      <c r="E15" s="20" t="s">
        <v>971</v>
      </c>
      <c r="F15" s="22"/>
      <c r="G15" s="22"/>
      <c r="H15" s="22"/>
      <c r="I15" s="21">
        <v>300.0</v>
      </c>
      <c r="J15" s="21"/>
      <c r="K15" s="22"/>
      <c r="L15" s="22"/>
      <c r="M15" s="21"/>
      <c r="N15" s="22"/>
      <c r="O15" s="22"/>
      <c r="P15" s="24">
        <v>300.0</v>
      </c>
      <c r="Q15" s="25">
        <f t="shared" si="1"/>
        <v>0</v>
      </c>
      <c r="R15" s="24" t="s">
        <v>68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45519.0</v>
      </c>
      <c r="C16" s="18" t="s">
        <v>972</v>
      </c>
      <c r="D16" s="19">
        <v>36928.0</v>
      </c>
      <c r="E16" s="20" t="s">
        <v>71</v>
      </c>
      <c r="F16" s="22"/>
      <c r="G16" s="22"/>
      <c r="H16" s="22"/>
      <c r="I16" s="21">
        <v>4597.0</v>
      </c>
      <c r="J16" s="21"/>
      <c r="K16" s="22"/>
      <c r="L16" s="22"/>
      <c r="M16" s="21"/>
      <c r="N16" s="22"/>
      <c r="O16" s="22"/>
      <c r="P16" s="24">
        <v>4597.0</v>
      </c>
      <c r="Q16" s="25">
        <f t="shared" si="1"/>
        <v>0</v>
      </c>
      <c r="R16" s="24" t="s">
        <v>479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45519.0</v>
      </c>
      <c r="C17" s="18" t="s">
        <v>973</v>
      </c>
      <c r="D17" s="19">
        <v>52373.0</v>
      </c>
      <c r="E17" s="20" t="s">
        <v>817</v>
      </c>
      <c r="F17" s="22"/>
      <c r="G17" s="22"/>
      <c r="H17" s="22"/>
      <c r="I17" s="21"/>
      <c r="J17" s="21">
        <v>10000.0</v>
      </c>
      <c r="K17" s="22"/>
      <c r="L17" s="22"/>
      <c r="M17" s="21"/>
      <c r="N17" s="22"/>
      <c r="O17" s="22"/>
      <c r="P17" s="24">
        <v>10000.0</v>
      </c>
      <c r="Q17" s="25">
        <f t="shared" si="1"/>
        <v>0</v>
      </c>
      <c r="R17" s="24" t="s">
        <v>51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7">
        <v>45519.0</v>
      </c>
      <c r="C18" s="18" t="s">
        <v>974</v>
      </c>
      <c r="D18" s="19">
        <v>82083.0</v>
      </c>
      <c r="E18" s="20" t="s">
        <v>975</v>
      </c>
      <c r="F18" s="22"/>
      <c r="G18" s="22"/>
      <c r="H18" s="22"/>
      <c r="I18" s="21"/>
      <c r="J18" s="21">
        <v>1600.0</v>
      </c>
      <c r="K18" s="22"/>
      <c r="L18" s="22"/>
      <c r="M18" s="22"/>
      <c r="N18" s="22"/>
      <c r="O18" s="22"/>
      <c r="P18" s="24">
        <v>1600.0</v>
      </c>
      <c r="Q18" s="25">
        <f t="shared" si="1"/>
        <v>0</v>
      </c>
      <c r="R18" s="24" t="s">
        <v>25</v>
      </c>
      <c r="S18" s="26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28">
        <v>45519.0</v>
      </c>
      <c r="C19" s="29" t="s">
        <v>976</v>
      </c>
      <c r="D19" s="30">
        <v>73864.0</v>
      </c>
      <c r="E19" s="31" t="s">
        <v>511</v>
      </c>
      <c r="F19" s="22"/>
      <c r="G19" s="22"/>
      <c r="H19" s="22"/>
      <c r="I19" s="21">
        <v>7150.0</v>
      </c>
      <c r="J19" s="21"/>
      <c r="K19" s="22"/>
      <c r="L19" s="22"/>
      <c r="M19" s="21"/>
      <c r="N19" s="22"/>
      <c r="O19" s="22"/>
      <c r="P19" s="32">
        <v>7150.0</v>
      </c>
      <c r="Q19" s="25">
        <f t="shared" si="1"/>
        <v>0</v>
      </c>
      <c r="R19" s="32" t="s">
        <v>68</v>
      </c>
      <c r="S19" s="26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ht="34.5" customHeight="1">
      <c r="A20" s="16">
        <v>16.0</v>
      </c>
      <c r="B20" s="27">
        <v>45519.0</v>
      </c>
      <c r="C20" s="18" t="s">
        <v>977</v>
      </c>
      <c r="D20" s="19">
        <v>51512.0</v>
      </c>
      <c r="E20" s="20" t="s">
        <v>446</v>
      </c>
      <c r="F20" s="22"/>
      <c r="G20" s="22"/>
      <c r="H20" s="22"/>
      <c r="I20" s="23">
        <v>9300.0</v>
      </c>
      <c r="J20" s="23"/>
      <c r="K20" s="22"/>
      <c r="L20" s="22"/>
      <c r="M20" s="22"/>
      <c r="N20" s="22"/>
      <c r="O20" s="22"/>
      <c r="P20" s="24">
        <v>9300.0</v>
      </c>
      <c r="Q20" s="25">
        <f t="shared" si="1"/>
        <v>0</v>
      </c>
      <c r="R20" s="24" t="s">
        <v>51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45519.0</v>
      </c>
      <c r="C21" s="18" t="s">
        <v>978</v>
      </c>
      <c r="D21" s="19">
        <v>10255.0</v>
      </c>
      <c r="E21" s="20" t="s">
        <v>979</v>
      </c>
      <c r="F21" s="21"/>
      <c r="G21" s="22"/>
      <c r="H21" s="22"/>
      <c r="I21" s="34">
        <v>5782.1</v>
      </c>
      <c r="J21" s="22">
        <v>4000.0</v>
      </c>
      <c r="K21" s="35">
        <v>167.9</v>
      </c>
      <c r="L21" s="22"/>
      <c r="M21" s="22"/>
      <c r="N21" s="22"/>
      <c r="O21" s="22"/>
      <c r="P21" s="24">
        <v>9950.0</v>
      </c>
      <c r="Q21" s="25">
        <f t="shared" si="1"/>
        <v>0</v>
      </c>
      <c r="R21" s="24" t="s">
        <v>25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7">
        <v>45519.0</v>
      </c>
      <c r="C22" s="18" t="s">
        <v>980</v>
      </c>
      <c r="D22" s="19">
        <v>76396.0</v>
      </c>
      <c r="E22" s="20" t="s">
        <v>981</v>
      </c>
      <c r="F22" s="21"/>
      <c r="G22" s="22"/>
      <c r="H22" s="22"/>
      <c r="I22" s="21"/>
      <c r="J22" s="22">
        <v>2500.0</v>
      </c>
      <c r="K22" s="21"/>
      <c r="L22" s="22"/>
      <c r="M22" s="22"/>
      <c r="N22" s="22"/>
      <c r="O22" s="22"/>
      <c r="P22" s="24">
        <v>2500.0</v>
      </c>
      <c r="Q22" s="25">
        <f t="shared" si="1"/>
        <v>0</v>
      </c>
      <c r="R22" s="24" t="s">
        <v>68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36">
        <v>45519.0</v>
      </c>
      <c r="C23" s="37" t="s">
        <v>982</v>
      </c>
      <c r="D23" s="38">
        <v>32283.0</v>
      </c>
      <c r="E23" s="39" t="s">
        <v>983</v>
      </c>
      <c r="F23" s="34"/>
      <c r="G23" s="40"/>
      <c r="H23" s="40"/>
      <c r="I23" s="34"/>
      <c r="J23" s="34">
        <v>25000.0</v>
      </c>
      <c r="K23" s="41"/>
      <c r="L23" s="40"/>
      <c r="M23" s="40"/>
      <c r="N23" s="40"/>
      <c r="O23" s="40"/>
      <c r="P23" s="42">
        <v>25000.0</v>
      </c>
      <c r="Q23" s="25">
        <f t="shared" si="1"/>
        <v>0</v>
      </c>
      <c r="R23" s="42" t="s">
        <v>68</v>
      </c>
      <c r="S23" s="26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</row>
    <row r="24" ht="34.5" customHeight="1">
      <c r="A24" s="16">
        <v>20.0</v>
      </c>
      <c r="B24" s="27">
        <v>45519.0</v>
      </c>
      <c r="C24" s="18" t="s">
        <v>984</v>
      </c>
      <c r="D24" s="19">
        <v>42046.0</v>
      </c>
      <c r="E24" s="20" t="s">
        <v>77</v>
      </c>
      <c r="F24" s="21"/>
      <c r="G24" s="22"/>
      <c r="H24" s="22"/>
      <c r="I24" s="21"/>
      <c r="J24" s="22"/>
      <c r="K24" s="35">
        <v>1450.0</v>
      </c>
      <c r="L24" s="22"/>
      <c r="M24" s="22"/>
      <c r="N24" s="22"/>
      <c r="O24" s="22"/>
      <c r="P24" s="24">
        <v>1450.0</v>
      </c>
      <c r="Q24" s="25">
        <f t="shared" si="1"/>
        <v>0</v>
      </c>
      <c r="R24" s="24" t="s">
        <v>68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45519.0</v>
      </c>
      <c r="C25" s="18" t="s">
        <v>985</v>
      </c>
      <c r="D25" s="19">
        <v>79860.0</v>
      </c>
      <c r="E25" s="20" t="s">
        <v>986</v>
      </c>
      <c r="F25" s="21"/>
      <c r="G25" s="22"/>
      <c r="H25" s="22"/>
      <c r="I25" s="21"/>
      <c r="J25" s="21">
        <v>600.0</v>
      </c>
      <c r="K25" s="35"/>
      <c r="L25" s="22"/>
      <c r="M25" s="22"/>
      <c r="N25" s="22"/>
      <c r="O25" s="22"/>
      <c r="P25" s="24">
        <v>600.0</v>
      </c>
      <c r="Q25" s="25">
        <f t="shared" si="1"/>
        <v>0</v>
      </c>
      <c r="R25" s="24" t="s">
        <v>51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45519.0</v>
      </c>
      <c r="C26" s="18" t="s">
        <v>987</v>
      </c>
      <c r="D26" s="19">
        <v>36555.0</v>
      </c>
      <c r="E26" s="20" t="s">
        <v>63</v>
      </c>
      <c r="F26" s="21"/>
      <c r="G26" s="22"/>
      <c r="H26" s="22"/>
      <c r="I26" s="35"/>
      <c r="J26" s="21"/>
      <c r="K26" s="35">
        <v>300.0</v>
      </c>
      <c r="L26" s="22"/>
      <c r="M26" s="22"/>
      <c r="N26" s="22"/>
      <c r="O26" s="22"/>
      <c r="P26" s="24">
        <v>300.0</v>
      </c>
      <c r="Q26" s="25">
        <f t="shared" si="1"/>
        <v>0</v>
      </c>
      <c r="R26" s="24" t="s">
        <v>68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45519.0</v>
      </c>
      <c r="C27" s="18" t="s">
        <v>988</v>
      </c>
      <c r="D27" s="19">
        <v>59904.0</v>
      </c>
      <c r="E27" s="20" t="s">
        <v>612</v>
      </c>
      <c r="F27" s="21"/>
      <c r="G27" s="22"/>
      <c r="H27" s="22"/>
      <c r="I27" s="21">
        <v>2500.0</v>
      </c>
      <c r="J27" s="21"/>
      <c r="K27" s="23"/>
      <c r="L27" s="22"/>
      <c r="M27" s="22"/>
      <c r="N27" s="22"/>
      <c r="O27" s="22"/>
      <c r="P27" s="24">
        <v>2500.0</v>
      </c>
      <c r="Q27" s="25">
        <f t="shared" si="1"/>
        <v>0</v>
      </c>
      <c r="R27" s="24" t="s">
        <v>479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45519.0</v>
      </c>
      <c r="C28" s="18" t="s">
        <v>989</v>
      </c>
      <c r="D28" s="19">
        <v>61729.0</v>
      </c>
      <c r="E28" s="20" t="s">
        <v>990</v>
      </c>
      <c r="F28" s="21"/>
      <c r="G28" s="22"/>
      <c r="H28" s="22"/>
      <c r="I28" s="21">
        <v>10000.0</v>
      </c>
      <c r="J28" s="21"/>
      <c r="K28" s="23"/>
      <c r="L28" s="22"/>
      <c r="M28" s="22"/>
      <c r="N28" s="22"/>
      <c r="O28" s="22"/>
      <c r="P28" s="24">
        <v>10000.0</v>
      </c>
      <c r="Q28" s="25">
        <f t="shared" si="1"/>
        <v>0</v>
      </c>
      <c r="R28" s="24" t="s">
        <v>51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45519.0</v>
      </c>
      <c r="C29" s="18" t="s">
        <v>991</v>
      </c>
      <c r="D29" s="19">
        <v>51660.0</v>
      </c>
      <c r="E29" s="20" t="s">
        <v>870</v>
      </c>
      <c r="F29" s="21"/>
      <c r="G29" s="22"/>
      <c r="H29" s="22">
        <v>5850.0</v>
      </c>
      <c r="I29" s="21"/>
      <c r="J29" s="21"/>
      <c r="K29" s="23"/>
      <c r="L29" s="22"/>
      <c r="M29" s="22"/>
      <c r="N29" s="22"/>
      <c r="O29" s="22"/>
      <c r="P29" s="24">
        <v>5850.0</v>
      </c>
      <c r="Q29" s="25">
        <f t="shared" si="1"/>
        <v>0</v>
      </c>
      <c r="R29" s="24" t="s">
        <v>25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45519.0</v>
      </c>
      <c r="C30" s="18" t="s">
        <v>992</v>
      </c>
      <c r="D30" s="19">
        <v>55486.0</v>
      </c>
      <c r="E30" s="20" t="s">
        <v>993</v>
      </c>
      <c r="F30" s="21"/>
      <c r="G30" s="22"/>
      <c r="H30" s="22"/>
      <c r="I30" s="21">
        <v>5000.0</v>
      </c>
      <c r="J30" s="21"/>
      <c r="K30" s="23"/>
      <c r="L30" s="22"/>
      <c r="M30" s="22"/>
      <c r="N30" s="22"/>
      <c r="O30" s="22"/>
      <c r="P30" s="24">
        <v>5000.0</v>
      </c>
      <c r="Q30" s="25">
        <f t="shared" si="1"/>
        <v>0</v>
      </c>
      <c r="R30" s="24" t="s">
        <v>479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45519.0</v>
      </c>
      <c r="C31" s="18" t="s">
        <v>994</v>
      </c>
      <c r="D31" s="19">
        <v>77368.0</v>
      </c>
      <c r="E31" s="20" t="s">
        <v>995</v>
      </c>
      <c r="F31" s="21"/>
      <c r="G31" s="22"/>
      <c r="H31" s="22"/>
      <c r="I31" s="21">
        <v>1850.0</v>
      </c>
      <c r="J31" s="21"/>
      <c r="K31" s="23"/>
      <c r="L31" s="22"/>
      <c r="M31" s="22"/>
      <c r="N31" s="22"/>
      <c r="O31" s="22"/>
      <c r="P31" s="24">
        <v>1850.0</v>
      </c>
      <c r="Q31" s="25">
        <f t="shared" si="1"/>
        <v>0</v>
      </c>
      <c r="R31" s="24" t="s">
        <v>51</v>
      </c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45519.0</v>
      </c>
      <c r="C32" s="18" t="s">
        <v>996</v>
      </c>
      <c r="D32" s="19">
        <v>48631.0</v>
      </c>
      <c r="E32" s="20" t="s">
        <v>771</v>
      </c>
      <c r="F32" s="21"/>
      <c r="G32" s="22"/>
      <c r="H32" s="22"/>
      <c r="I32" s="21"/>
      <c r="J32" s="21"/>
      <c r="K32" s="23">
        <v>1250.0</v>
      </c>
      <c r="L32" s="22"/>
      <c r="M32" s="22"/>
      <c r="N32" s="22"/>
      <c r="O32" s="22"/>
      <c r="P32" s="24">
        <v>1250.0</v>
      </c>
      <c r="Q32" s="25">
        <f t="shared" si="1"/>
        <v>0</v>
      </c>
      <c r="R32" s="24" t="s">
        <v>25</v>
      </c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45519.0</v>
      </c>
      <c r="C33" s="18" t="s">
        <v>997</v>
      </c>
      <c r="D33" s="19">
        <v>81034.0</v>
      </c>
      <c r="E33" s="20" t="s">
        <v>998</v>
      </c>
      <c r="F33" s="21"/>
      <c r="G33" s="22"/>
      <c r="H33" s="21"/>
      <c r="I33" s="21">
        <v>4800.0</v>
      </c>
      <c r="J33" s="21"/>
      <c r="K33" s="23"/>
      <c r="L33" s="22"/>
      <c r="M33" s="22"/>
      <c r="N33" s="22"/>
      <c r="O33" s="22"/>
      <c r="P33" s="24">
        <v>4800.0</v>
      </c>
      <c r="Q33" s="25">
        <f t="shared" si="1"/>
        <v>0</v>
      </c>
      <c r="R33" s="24" t="s">
        <v>51</v>
      </c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7">
        <v>45519.0</v>
      </c>
      <c r="C34" s="18" t="s">
        <v>999</v>
      </c>
      <c r="D34" s="19">
        <v>22332.0</v>
      </c>
      <c r="E34" s="20" t="s">
        <v>396</v>
      </c>
      <c r="F34" s="21"/>
      <c r="G34" s="22"/>
      <c r="H34" s="21"/>
      <c r="I34" s="21">
        <v>150.0</v>
      </c>
      <c r="J34" s="21"/>
      <c r="K34" s="23"/>
      <c r="L34" s="22"/>
      <c r="M34" s="22"/>
      <c r="N34" s="22"/>
      <c r="O34" s="22"/>
      <c r="P34" s="24">
        <v>150.0</v>
      </c>
      <c r="Q34" s="25">
        <f t="shared" si="1"/>
        <v>0</v>
      </c>
      <c r="R34" s="24" t="s">
        <v>68</v>
      </c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7">
        <v>45518.0</v>
      </c>
      <c r="C35" s="18" t="s">
        <v>1000</v>
      </c>
      <c r="D35" s="19">
        <v>79382.0</v>
      </c>
      <c r="E35" s="20" t="s">
        <v>1001</v>
      </c>
      <c r="F35" s="21"/>
      <c r="G35" s="22"/>
      <c r="H35" s="22"/>
      <c r="I35" s="21"/>
      <c r="J35" s="21"/>
      <c r="K35" s="23"/>
      <c r="L35" s="22"/>
      <c r="M35" s="22">
        <v>3550.0</v>
      </c>
      <c r="N35" s="22"/>
      <c r="O35" s="22"/>
      <c r="P35" s="24">
        <v>3550.0</v>
      </c>
      <c r="Q35" s="25">
        <f t="shared" si="1"/>
        <v>0</v>
      </c>
      <c r="R35" s="24"/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7">
        <v>45519.0</v>
      </c>
      <c r="C36" s="18" t="s">
        <v>1002</v>
      </c>
      <c r="D36" s="19">
        <v>51017.0</v>
      </c>
      <c r="E36" s="20" t="s">
        <v>270</v>
      </c>
      <c r="F36" s="21"/>
      <c r="G36" s="22"/>
      <c r="H36" s="22">
        <v>25000.0</v>
      </c>
      <c r="I36" s="21"/>
      <c r="J36" s="21"/>
      <c r="K36" s="23"/>
      <c r="L36" s="22"/>
      <c r="M36" s="22"/>
      <c r="N36" s="22"/>
      <c r="O36" s="22"/>
      <c r="P36" s="24">
        <v>25000.0</v>
      </c>
      <c r="Q36" s="25">
        <f t="shared" si="1"/>
        <v>0</v>
      </c>
      <c r="R36" s="24"/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7">
        <v>45519.0</v>
      </c>
      <c r="C37" s="18" t="s">
        <v>1003</v>
      </c>
      <c r="D37" s="19">
        <v>30909.0</v>
      </c>
      <c r="E37" s="20" t="s">
        <v>1004</v>
      </c>
      <c r="F37" s="21"/>
      <c r="G37" s="22"/>
      <c r="H37" s="22">
        <v>9600.0</v>
      </c>
      <c r="I37" s="21"/>
      <c r="J37" s="21"/>
      <c r="K37" s="23"/>
      <c r="L37" s="22"/>
      <c r="M37" s="22"/>
      <c r="N37" s="22"/>
      <c r="O37" s="22"/>
      <c r="P37" s="24">
        <v>9600.0</v>
      </c>
      <c r="Q37" s="25">
        <f t="shared" si="1"/>
        <v>0</v>
      </c>
      <c r="R37" s="24"/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7">
        <v>45519.0</v>
      </c>
      <c r="C38" s="18" t="s">
        <v>1005</v>
      </c>
      <c r="D38" s="19">
        <v>22332.0</v>
      </c>
      <c r="E38" s="20" t="s">
        <v>396</v>
      </c>
      <c r="F38" s="21"/>
      <c r="G38" s="22"/>
      <c r="H38" s="22"/>
      <c r="I38" s="21"/>
      <c r="J38" s="21"/>
      <c r="K38" s="23">
        <v>40.0</v>
      </c>
      <c r="L38" s="22"/>
      <c r="M38" s="22"/>
      <c r="N38" s="22"/>
      <c r="O38" s="22">
        <v>2660.0</v>
      </c>
      <c r="P38" s="24">
        <v>2700.0</v>
      </c>
      <c r="Q38" s="25">
        <f t="shared" si="1"/>
        <v>0</v>
      </c>
      <c r="R38" s="24"/>
      <c r="S38" s="26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7">
        <v>45519.0</v>
      </c>
      <c r="C39" s="18" t="s">
        <v>1006</v>
      </c>
      <c r="D39" s="19">
        <v>24368.0</v>
      </c>
      <c r="E39" s="20" t="s">
        <v>646</v>
      </c>
      <c r="F39" s="21"/>
      <c r="G39" s="22"/>
      <c r="H39" s="22"/>
      <c r="I39" s="21"/>
      <c r="J39" s="21"/>
      <c r="K39" s="23">
        <v>50.0</v>
      </c>
      <c r="L39" s="22"/>
      <c r="M39" s="22"/>
      <c r="N39" s="22"/>
      <c r="O39" s="22">
        <v>1300.0</v>
      </c>
      <c r="P39" s="24">
        <v>1350.0</v>
      </c>
      <c r="Q39" s="25">
        <f t="shared" si="1"/>
        <v>0</v>
      </c>
      <c r="R39" s="24"/>
      <c r="S39" s="26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7">
        <v>45519.0</v>
      </c>
      <c r="C40" s="18" t="s">
        <v>1007</v>
      </c>
      <c r="D40" s="19">
        <v>33725.0</v>
      </c>
      <c r="E40" s="20" t="s">
        <v>1008</v>
      </c>
      <c r="F40" s="21"/>
      <c r="G40" s="22"/>
      <c r="H40" s="22"/>
      <c r="I40" s="21"/>
      <c r="J40" s="21"/>
      <c r="K40" s="23">
        <v>60.0</v>
      </c>
      <c r="L40" s="22"/>
      <c r="M40" s="22"/>
      <c r="N40" s="22"/>
      <c r="O40" s="22">
        <v>840.0</v>
      </c>
      <c r="P40" s="24">
        <v>900.0</v>
      </c>
      <c r="Q40" s="25">
        <f t="shared" si="1"/>
        <v>0</v>
      </c>
      <c r="R40" s="24"/>
      <c r="S40" s="26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/>
      <c r="B41" s="27"/>
      <c r="C41" s="18"/>
      <c r="D41" s="19"/>
      <c r="E41" s="20"/>
      <c r="F41" s="21"/>
      <c r="G41" s="22"/>
      <c r="H41" s="22"/>
      <c r="I41" s="21"/>
      <c r="J41" s="21"/>
      <c r="K41" s="23"/>
      <c r="L41" s="22"/>
      <c r="M41" s="22"/>
      <c r="N41" s="22"/>
      <c r="O41" s="22"/>
      <c r="P41" s="24"/>
      <c r="Q41" s="25">
        <f t="shared" si="1"/>
        <v>0</v>
      </c>
      <c r="R41" s="24"/>
      <c r="S41" s="26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7.5" customHeight="1">
      <c r="A42" s="16"/>
      <c r="B42" s="27"/>
      <c r="C42" s="18"/>
      <c r="D42" s="19" t="s">
        <v>183</v>
      </c>
      <c r="E42" s="20"/>
      <c r="F42" s="45">
        <f t="shared" ref="F42:P42" si="2">SUM(F5:F41)</f>
        <v>0</v>
      </c>
      <c r="G42" s="45">
        <f t="shared" si="2"/>
        <v>0</v>
      </c>
      <c r="H42" s="45">
        <f t="shared" si="2"/>
        <v>71200</v>
      </c>
      <c r="I42" s="45">
        <f t="shared" si="2"/>
        <v>74379.1</v>
      </c>
      <c r="J42" s="45">
        <f t="shared" si="2"/>
        <v>51500</v>
      </c>
      <c r="K42" s="45">
        <f t="shared" si="2"/>
        <v>3317.9</v>
      </c>
      <c r="L42" s="45">
        <f t="shared" si="2"/>
        <v>0</v>
      </c>
      <c r="M42" s="45">
        <f t="shared" si="2"/>
        <v>3550</v>
      </c>
      <c r="N42" s="45">
        <f t="shared" si="2"/>
        <v>0</v>
      </c>
      <c r="O42" s="45">
        <f t="shared" si="2"/>
        <v>4800</v>
      </c>
      <c r="P42" s="45">
        <f t="shared" si="2"/>
        <v>208747</v>
      </c>
      <c r="Q42" s="46">
        <v>0.0</v>
      </c>
      <c r="R42" s="47"/>
      <c r="S42" s="26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</row>
    <row r="43" ht="15.75" customHeight="1">
      <c r="A43" s="48"/>
      <c r="B43" s="48"/>
      <c r="C43" s="49"/>
      <c r="D43" s="48"/>
      <c r="E43" s="48"/>
      <c r="F43" s="50">
        <f>F42+G42+H42+I42+J42+K42+L42+M42+N42+O42</f>
        <v>208747</v>
      </c>
      <c r="P43" s="51"/>
      <c r="Q43" s="51"/>
      <c r="R43" s="48"/>
      <c r="S43" s="48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</row>
    <row r="44" ht="15.75" customHeight="1">
      <c r="A44" s="4"/>
      <c r="B44" s="4"/>
      <c r="C44" s="5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5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53" t="s">
        <v>183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52"/>
      <c r="D47" s="4"/>
      <c r="E47" s="54" t="s">
        <v>184</v>
      </c>
      <c r="F47" s="55" t="s">
        <v>185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2"/>
      <c r="D48" s="4"/>
      <c r="E48" s="56" t="s">
        <v>186</v>
      </c>
      <c r="F48" s="55" t="s">
        <v>357</v>
      </c>
      <c r="G48" s="4"/>
      <c r="H48" s="4"/>
      <c r="I48" s="4"/>
      <c r="J48" s="4"/>
      <c r="K48" s="4"/>
      <c r="L48" s="4"/>
      <c r="M48" s="4"/>
      <c r="N48" s="4"/>
      <c r="O48" s="57" t="s">
        <v>183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2"/>
      <c r="D49" s="4"/>
      <c r="E49" s="56" t="s">
        <v>188</v>
      </c>
      <c r="F49" s="55" t="s">
        <v>194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2"/>
      <c r="D50" s="4"/>
      <c r="E50" s="56" t="s">
        <v>189</v>
      </c>
      <c r="F50" s="55" t="s">
        <v>185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2"/>
      <c r="D51" s="4"/>
      <c r="E51" s="56" t="s">
        <v>190</v>
      </c>
      <c r="F51" s="55" t="s">
        <v>185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2"/>
      <c r="D52" s="4"/>
      <c r="E52" s="56" t="s">
        <v>1009</v>
      </c>
      <c r="F52" s="55" t="s">
        <v>185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56" t="s">
        <v>193</v>
      </c>
      <c r="F53" s="55" t="s">
        <v>194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2"/>
      <c r="D54" s="4"/>
      <c r="E54" s="56" t="s">
        <v>195</v>
      </c>
      <c r="F54" s="59" t="s">
        <v>196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57" t="s">
        <v>183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4"/>
      <c r="F55" s="4"/>
      <c r="G55" s="4"/>
      <c r="H55" s="4"/>
      <c r="I55" s="4"/>
      <c r="J55" s="4"/>
      <c r="K55" s="4" t="str">
        <f>I72442</f>
        <v/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57" t="s">
        <v>197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>
        <v>7.0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5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5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5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5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R2:R4"/>
    <mergeCell ref="S2:S4"/>
    <mergeCell ref="F3:F4"/>
    <mergeCell ref="G3:H3"/>
    <mergeCell ref="I3:J3"/>
    <mergeCell ref="K3:K4"/>
    <mergeCell ref="F43:O43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6.88"/>
    <col customWidth="1" min="6" max="6" width="29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45.0" customHeight="1">
      <c r="A1" s="1" t="s">
        <v>1010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15.75" customHeight="1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5.75" customHeight="1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45519.0</v>
      </c>
      <c r="C5" s="18" t="s">
        <v>1011</v>
      </c>
      <c r="D5" s="19">
        <v>20541.0</v>
      </c>
      <c r="E5" s="20" t="s">
        <v>322</v>
      </c>
      <c r="F5" s="21"/>
      <c r="G5" s="22"/>
      <c r="H5" s="21"/>
      <c r="I5" s="23">
        <v>5000.0</v>
      </c>
      <c r="J5" s="23"/>
      <c r="K5" s="22"/>
      <c r="L5" s="22"/>
      <c r="M5" s="21"/>
      <c r="N5" s="22"/>
      <c r="O5" s="22"/>
      <c r="P5" s="24">
        <v>5000.0</v>
      </c>
      <c r="Q5" s="25">
        <f t="shared" ref="Q5:Q57" si="1">F5+G5+H5+I5+J5+K5+L5+M5+N5+O5-P5</f>
        <v>0</v>
      </c>
      <c r="R5" s="24" t="s">
        <v>25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45519.0</v>
      </c>
      <c r="C6" s="18" t="s">
        <v>1012</v>
      </c>
      <c r="D6" s="19">
        <v>20541.0</v>
      </c>
      <c r="E6" s="20" t="s">
        <v>322</v>
      </c>
      <c r="F6" s="21"/>
      <c r="G6" s="22"/>
      <c r="H6" s="22"/>
      <c r="I6" s="21">
        <v>2500.0</v>
      </c>
      <c r="J6" s="22"/>
      <c r="K6" s="22"/>
      <c r="L6" s="22"/>
      <c r="M6" s="21"/>
      <c r="N6" s="22"/>
      <c r="O6" s="22"/>
      <c r="P6" s="24">
        <v>2500.0</v>
      </c>
      <c r="Q6" s="25">
        <f t="shared" si="1"/>
        <v>0</v>
      </c>
      <c r="R6" s="24" t="s">
        <v>25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45519.0</v>
      </c>
      <c r="C7" s="18" t="s">
        <v>1013</v>
      </c>
      <c r="D7" s="19">
        <v>83970.0</v>
      </c>
      <c r="E7" s="20" t="s">
        <v>1014</v>
      </c>
      <c r="F7" s="22"/>
      <c r="G7" s="22"/>
      <c r="H7" s="21"/>
      <c r="I7" s="21">
        <v>2600.0</v>
      </c>
      <c r="J7" s="23"/>
      <c r="K7" s="22"/>
      <c r="L7" s="22"/>
      <c r="M7" s="22"/>
      <c r="N7" s="22"/>
      <c r="O7" s="22"/>
      <c r="P7" s="24">
        <v>2600.0</v>
      </c>
      <c r="Q7" s="25">
        <f t="shared" si="1"/>
        <v>0</v>
      </c>
      <c r="R7" s="24" t="s">
        <v>479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45520.0</v>
      </c>
      <c r="C8" s="18" t="s">
        <v>1015</v>
      </c>
      <c r="D8" s="19">
        <v>46210.0</v>
      </c>
      <c r="E8" s="20" t="s">
        <v>424</v>
      </c>
      <c r="F8" s="22"/>
      <c r="G8" s="22"/>
      <c r="H8" s="22"/>
      <c r="I8" s="21">
        <v>2650.0</v>
      </c>
      <c r="J8" s="21"/>
      <c r="K8" s="22"/>
      <c r="L8" s="22"/>
      <c r="M8" s="22"/>
      <c r="N8" s="22"/>
      <c r="O8" s="22"/>
      <c r="P8" s="24">
        <v>2650.0</v>
      </c>
      <c r="Q8" s="25">
        <f t="shared" si="1"/>
        <v>0</v>
      </c>
      <c r="R8" s="24" t="s">
        <v>51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45520.0</v>
      </c>
      <c r="C9" s="18" t="s">
        <v>1016</v>
      </c>
      <c r="D9" s="19">
        <v>54440.0</v>
      </c>
      <c r="E9" s="20" t="s">
        <v>1017</v>
      </c>
      <c r="F9" s="22"/>
      <c r="G9" s="22"/>
      <c r="H9" s="22"/>
      <c r="I9" s="21">
        <v>600.0</v>
      </c>
      <c r="J9" s="21"/>
      <c r="K9" s="22"/>
      <c r="L9" s="22"/>
      <c r="M9" s="21"/>
      <c r="N9" s="22"/>
      <c r="O9" s="22"/>
      <c r="P9" s="24">
        <v>600.0</v>
      </c>
      <c r="Q9" s="25">
        <f t="shared" si="1"/>
        <v>0</v>
      </c>
      <c r="R9" s="24" t="s">
        <v>51</v>
      </c>
      <c r="S9" s="26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45520.0</v>
      </c>
      <c r="C10" s="18" t="s">
        <v>1018</v>
      </c>
      <c r="D10" s="19">
        <v>84451.0</v>
      </c>
      <c r="E10" s="20" t="s">
        <v>1019</v>
      </c>
      <c r="F10" s="22"/>
      <c r="G10" s="22"/>
      <c r="H10" s="22"/>
      <c r="I10" s="21"/>
      <c r="J10" s="21">
        <v>7300.0</v>
      </c>
      <c r="K10" s="22"/>
      <c r="L10" s="22"/>
      <c r="M10" s="21"/>
      <c r="N10" s="22"/>
      <c r="O10" s="22"/>
      <c r="P10" s="24">
        <v>7300.0</v>
      </c>
      <c r="Q10" s="25">
        <f t="shared" si="1"/>
        <v>0</v>
      </c>
      <c r="R10" s="24" t="s">
        <v>30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45520.0</v>
      </c>
      <c r="C11" s="18" t="s">
        <v>1020</v>
      </c>
      <c r="D11" s="19">
        <v>55379.0</v>
      </c>
      <c r="E11" s="20" t="s">
        <v>1021</v>
      </c>
      <c r="F11" s="22"/>
      <c r="G11" s="22"/>
      <c r="H11" s="22"/>
      <c r="I11" s="21"/>
      <c r="J11" s="21">
        <v>3350.0</v>
      </c>
      <c r="K11" s="22"/>
      <c r="L11" s="22"/>
      <c r="M11" s="21"/>
      <c r="N11" s="22"/>
      <c r="O11" s="22"/>
      <c r="P11" s="24">
        <v>3350.0</v>
      </c>
      <c r="Q11" s="25">
        <f t="shared" si="1"/>
        <v>0</v>
      </c>
      <c r="R11" s="24" t="s">
        <v>51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7">
        <v>45520.0</v>
      </c>
      <c r="C12" s="18" t="s">
        <v>1022</v>
      </c>
      <c r="D12" s="19">
        <v>45227.0</v>
      </c>
      <c r="E12" s="20" t="s">
        <v>483</v>
      </c>
      <c r="F12" s="22"/>
      <c r="G12" s="22"/>
      <c r="H12" s="22"/>
      <c r="I12" s="21">
        <v>1250.0</v>
      </c>
      <c r="J12" s="21"/>
      <c r="K12" s="22"/>
      <c r="L12" s="22"/>
      <c r="M12" s="21"/>
      <c r="N12" s="22"/>
      <c r="O12" s="22"/>
      <c r="P12" s="24">
        <v>1250.0</v>
      </c>
      <c r="Q12" s="25">
        <f t="shared" si="1"/>
        <v>0</v>
      </c>
      <c r="R12" s="24" t="s">
        <v>51</v>
      </c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8">
        <v>45520.0</v>
      </c>
      <c r="C13" s="29" t="s">
        <v>1023</v>
      </c>
      <c r="D13" s="30">
        <v>53491.0</v>
      </c>
      <c r="E13" s="31" t="s">
        <v>1024</v>
      </c>
      <c r="F13" s="22"/>
      <c r="G13" s="22"/>
      <c r="H13" s="22"/>
      <c r="I13" s="21"/>
      <c r="J13" s="21">
        <v>2650.0</v>
      </c>
      <c r="K13" s="22"/>
      <c r="L13" s="22"/>
      <c r="M13" s="21"/>
      <c r="N13" s="22"/>
      <c r="O13" s="22"/>
      <c r="P13" s="32">
        <v>2650.0</v>
      </c>
      <c r="Q13" s="25">
        <f t="shared" si="1"/>
        <v>0</v>
      </c>
      <c r="R13" s="32" t="s">
        <v>30</v>
      </c>
      <c r="S13" s="26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 ht="34.5" customHeight="1">
      <c r="A14" s="16">
        <v>10.0</v>
      </c>
      <c r="B14" s="27">
        <v>45520.0</v>
      </c>
      <c r="C14" s="18" t="s">
        <v>1025</v>
      </c>
      <c r="D14" s="19">
        <v>69620.0</v>
      </c>
      <c r="E14" s="20" t="s">
        <v>331</v>
      </c>
      <c r="F14" s="22"/>
      <c r="G14" s="22"/>
      <c r="H14" s="22"/>
      <c r="I14" s="21"/>
      <c r="J14" s="21">
        <v>5000.0</v>
      </c>
      <c r="K14" s="22"/>
      <c r="L14" s="22"/>
      <c r="M14" s="21"/>
      <c r="N14" s="22"/>
      <c r="O14" s="22"/>
      <c r="P14" s="24">
        <v>5000.0</v>
      </c>
      <c r="Q14" s="25">
        <f t="shared" si="1"/>
        <v>0</v>
      </c>
      <c r="R14" s="24" t="s">
        <v>30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45520.0</v>
      </c>
      <c r="C15" s="18" t="s">
        <v>1026</v>
      </c>
      <c r="D15" s="19">
        <v>55992.0</v>
      </c>
      <c r="E15" s="20" t="s">
        <v>567</v>
      </c>
      <c r="F15" s="22"/>
      <c r="G15" s="22"/>
      <c r="H15" s="22"/>
      <c r="I15" s="21"/>
      <c r="J15" s="21">
        <v>900.0</v>
      </c>
      <c r="K15" s="22"/>
      <c r="L15" s="22"/>
      <c r="M15" s="21"/>
      <c r="N15" s="22"/>
      <c r="O15" s="22"/>
      <c r="P15" s="24">
        <v>900.0</v>
      </c>
      <c r="Q15" s="25">
        <f t="shared" si="1"/>
        <v>0</v>
      </c>
      <c r="R15" s="24" t="s">
        <v>51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45520.0</v>
      </c>
      <c r="C16" s="18" t="s">
        <v>1027</v>
      </c>
      <c r="D16" s="19">
        <v>48973.0</v>
      </c>
      <c r="E16" s="20" t="s">
        <v>1028</v>
      </c>
      <c r="F16" s="22"/>
      <c r="G16" s="22"/>
      <c r="H16" s="22"/>
      <c r="I16" s="21">
        <v>1050.0</v>
      </c>
      <c r="J16" s="21"/>
      <c r="K16" s="22"/>
      <c r="L16" s="22"/>
      <c r="M16" s="21"/>
      <c r="N16" s="22"/>
      <c r="O16" s="22"/>
      <c r="P16" s="24">
        <v>1050.0</v>
      </c>
      <c r="Q16" s="25">
        <f t="shared" si="1"/>
        <v>0</v>
      </c>
      <c r="R16" s="24" t="s">
        <v>51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45520.0</v>
      </c>
      <c r="C17" s="18" t="s">
        <v>1029</v>
      </c>
      <c r="D17" s="19">
        <v>30270.0</v>
      </c>
      <c r="E17" s="20" t="s">
        <v>577</v>
      </c>
      <c r="F17" s="22"/>
      <c r="G17" s="22"/>
      <c r="H17" s="22"/>
      <c r="I17" s="21"/>
      <c r="J17" s="21">
        <v>2650.0</v>
      </c>
      <c r="K17" s="22"/>
      <c r="L17" s="22"/>
      <c r="M17" s="21"/>
      <c r="N17" s="22"/>
      <c r="O17" s="22"/>
      <c r="P17" s="24">
        <v>2650.0</v>
      </c>
      <c r="Q17" s="25">
        <f t="shared" si="1"/>
        <v>0</v>
      </c>
      <c r="R17" s="24" t="s">
        <v>51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7">
        <v>45520.0</v>
      </c>
      <c r="C18" s="18" t="s">
        <v>1030</v>
      </c>
      <c r="D18" s="19">
        <v>29621.0</v>
      </c>
      <c r="E18" s="20" t="s">
        <v>133</v>
      </c>
      <c r="F18" s="22"/>
      <c r="G18" s="22"/>
      <c r="H18" s="22"/>
      <c r="I18" s="21"/>
      <c r="J18" s="21">
        <v>2500.0</v>
      </c>
      <c r="K18" s="22"/>
      <c r="L18" s="22"/>
      <c r="M18" s="22"/>
      <c r="N18" s="22"/>
      <c r="O18" s="22"/>
      <c r="P18" s="24">
        <v>2500.0</v>
      </c>
      <c r="Q18" s="25">
        <f t="shared" si="1"/>
        <v>0</v>
      </c>
      <c r="R18" s="24" t="s">
        <v>25</v>
      </c>
      <c r="S18" s="26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28">
        <v>45520.0</v>
      </c>
      <c r="C19" s="29" t="s">
        <v>1031</v>
      </c>
      <c r="D19" s="30">
        <v>51876.0</v>
      </c>
      <c r="E19" s="31" t="s">
        <v>118</v>
      </c>
      <c r="F19" s="22"/>
      <c r="G19" s="22"/>
      <c r="H19" s="22"/>
      <c r="I19" s="21">
        <v>5200.0</v>
      </c>
      <c r="J19" s="21"/>
      <c r="K19" s="22"/>
      <c r="L19" s="22"/>
      <c r="M19" s="21"/>
      <c r="N19" s="22"/>
      <c r="O19" s="22"/>
      <c r="P19" s="32">
        <v>5200.0</v>
      </c>
      <c r="Q19" s="25">
        <f t="shared" si="1"/>
        <v>0</v>
      </c>
      <c r="R19" s="32" t="s">
        <v>68</v>
      </c>
      <c r="S19" s="26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ht="34.5" customHeight="1">
      <c r="A20" s="16">
        <v>16.0</v>
      </c>
      <c r="B20" s="27">
        <v>45520.0</v>
      </c>
      <c r="C20" s="18" t="s">
        <v>1032</v>
      </c>
      <c r="D20" s="19">
        <v>80388.0</v>
      </c>
      <c r="E20" s="20" t="s">
        <v>1033</v>
      </c>
      <c r="F20" s="22"/>
      <c r="G20" s="22"/>
      <c r="H20" s="22"/>
      <c r="I20" s="23"/>
      <c r="J20" s="23">
        <v>9500.0</v>
      </c>
      <c r="K20" s="22"/>
      <c r="L20" s="22"/>
      <c r="M20" s="22"/>
      <c r="N20" s="22"/>
      <c r="O20" s="22"/>
      <c r="P20" s="24">
        <v>9500.0</v>
      </c>
      <c r="Q20" s="25">
        <f t="shared" si="1"/>
        <v>0</v>
      </c>
      <c r="R20" s="24" t="s">
        <v>30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45520.0</v>
      </c>
      <c r="C21" s="18" t="s">
        <v>1034</v>
      </c>
      <c r="D21" s="19">
        <v>84453.0</v>
      </c>
      <c r="E21" s="20" t="s">
        <v>1035</v>
      </c>
      <c r="F21" s="21"/>
      <c r="G21" s="22"/>
      <c r="H21" s="22"/>
      <c r="I21" s="34"/>
      <c r="J21" s="22">
        <v>7300.0</v>
      </c>
      <c r="K21" s="35"/>
      <c r="L21" s="22"/>
      <c r="M21" s="22"/>
      <c r="N21" s="22"/>
      <c r="O21" s="22"/>
      <c r="P21" s="24">
        <v>7300.0</v>
      </c>
      <c r="Q21" s="25">
        <f t="shared" si="1"/>
        <v>0</v>
      </c>
      <c r="R21" s="24" t="s">
        <v>25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7">
        <v>45520.0</v>
      </c>
      <c r="C22" s="18" t="s">
        <v>1036</v>
      </c>
      <c r="D22" s="19">
        <v>13781.0</v>
      </c>
      <c r="E22" s="20" t="s">
        <v>603</v>
      </c>
      <c r="F22" s="21"/>
      <c r="G22" s="22"/>
      <c r="H22" s="22"/>
      <c r="I22" s="21">
        <v>15000.0</v>
      </c>
      <c r="J22" s="22"/>
      <c r="K22" s="21"/>
      <c r="L22" s="22"/>
      <c r="M22" s="22"/>
      <c r="N22" s="22"/>
      <c r="O22" s="22"/>
      <c r="P22" s="24">
        <v>15000.0</v>
      </c>
      <c r="Q22" s="25">
        <f t="shared" si="1"/>
        <v>0</v>
      </c>
      <c r="R22" s="24" t="s">
        <v>25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36">
        <v>45520.0</v>
      </c>
      <c r="C23" s="37" t="s">
        <v>1037</v>
      </c>
      <c r="D23" s="38">
        <v>50020.0</v>
      </c>
      <c r="E23" s="39" t="s">
        <v>678</v>
      </c>
      <c r="F23" s="34"/>
      <c r="G23" s="40"/>
      <c r="H23" s="40"/>
      <c r="I23" s="34"/>
      <c r="J23" s="34">
        <v>2650.0</v>
      </c>
      <c r="K23" s="41"/>
      <c r="L23" s="40"/>
      <c r="M23" s="40"/>
      <c r="N23" s="40"/>
      <c r="O23" s="40"/>
      <c r="P23" s="42">
        <v>2650.0</v>
      </c>
      <c r="Q23" s="25">
        <f t="shared" si="1"/>
        <v>0</v>
      </c>
      <c r="R23" s="42" t="s">
        <v>30</v>
      </c>
      <c r="S23" s="26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</row>
    <row r="24" ht="34.5" customHeight="1">
      <c r="A24" s="16">
        <v>20.0</v>
      </c>
      <c r="B24" s="27">
        <v>45520.0</v>
      </c>
      <c r="C24" s="18" t="s">
        <v>1038</v>
      </c>
      <c r="D24" s="19">
        <v>59812.0</v>
      </c>
      <c r="E24" s="20" t="s">
        <v>681</v>
      </c>
      <c r="F24" s="21"/>
      <c r="G24" s="22"/>
      <c r="H24" s="22"/>
      <c r="I24" s="21">
        <v>10000.0</v>
      </c>
      <c r="J24" s="22"/>
      <c r="K24" s="35"/>
      <c r="L24" s="22"/>
      <c r="M24" s="22"/>
      <c r="N24" s="22"/>
      <c r="O24" s="22"/>
      <c r="P24" s="24">
        <v>10000.0</v>
      </c>
      <c r="Q24" s="25">
        <f t="shared" si="1"/>
        <v>0</v>
      </c>
      <c r="R24" s="24" t="s">
        <v>51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45520.0</v>
      </c>
      <c r="C25" s="18" t="s">
        <v>1039</v>
      </c>
      <c r="D25" s="19">
        <v>79462.0</v>
      </c>
      <c r="E25" s="20" t="s">
        <v>1040</v>
      </c>
      <c r="F25" s="21"/>
      <c r="G25" s="22"/>
      <c r="H25" s="22"/>
      <c r="I25" s="21">
        <v>5150.0</v>
      </c>
      <c r="J25" s="21"/>
      <c r="K25" s="35"/>
      <c r="L25" s="22"/>
      <c r="M25" s="22"/>
      <c r="N25" s="22"/>
      <c r="O25" s="22"/>
      <c r="P25" s="24">
        <v>5150.0</v>
      </c>
      <c r="Q25" s="25">
        <f t="shared" si="1"/>
        <v>0</v>
      </c>
      <c r="R25" s="24" t="s">
        <v>25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45520.0</v>
      </c>
      <c r="C26" s="18" t="s">
        <v>1041</v>
      </c>
      <c r="D26" s="19">
        <v>70184.0</v>
      </c>
      <c r="E26" s="20" t="s">
        <v>465</v>
      </c>
      <c r="F26" s="21"/>
      <c r="G26" s="22"/>
      <c r="H26" s="22"/>
      <c r="I26" s="35">
        <v>5000.0</v>
      </c>
      <c r="J26" s="21"/>
      <c r="K26" s="35"/>
      <c r="L26" s="22"/>
      <c r="M26" s="22"/>
      <c r="N26" s="22"/>
      <c r="O26" s="22"/>
      <c r="P26" s="24">
        <v>5000.0</v>
      </c>
      <c r="Q26" s="25">
        <f t="shared" si="1"/>
        <v>0</v>
      </c>
      <c r="R26" s="24" t="s">
        <v>68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45520.0</v>
      </c>
      <c r="C27" s="18" t="s">
        <v>1042</v>
      </c>
      <c r="D27" s="19">
        <v>70184.0</v>
      </c>
      <c r="E27" s="20" t="s">
        <v>465</v>
      </c>
      <c r="F27" s="21"/>
      <c r="G27" s="22"/>
      <c r="H27" s="22"/>
      <c r="I27" s="21">
        <v>5000.0</v>
      </c>
      <c r="J27" s="21"/>
      <c r="K27" s="23"/>
      <c r="L27" s="22"/>
      <c r="M27" s="22"/>
      <c r="N27" s="22"/>
      <c r="O27" s="22"/>
      <c r="P27" s="24">
        <v>5000.0</v>
      </c>
      <c r="Q27" s="25">
        <f t="shared" si="1"/>
        <v>0</v>
      </c>
      <c r="R27" s="24" t="s">
        <v>68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45520.0</v>
      </c>
      <c r="C28" s="18" t="s">
        <v>1043</v>
      </c>
      <c r="D28" s="19">
        <v>66213.0</v>
      </c>
      <c r="E28" s="20" t="s">
        <v>467</v>
      </c>
      <c r="F28" s="21"/>
      <c r="G28" s="22"/>
      <c r="H28" s="22"/>
      <c r="I28" s="21">
        <v>5000.0</v>
      </c>
      <c r="J28" s="21"/>
      <c r="K28" s="23"/>
      <c r="L28" s="22"/>
      <c r="M28" s="22"/>
      <c r="N28" s="22"/>
      <c r="O28" s="22"/>
      <c r="P28" s="24">
        <v>5000.0</v>
      </c>
      <c r="Q28" s="25">
        <f t="shared" si="1"/>
        <v>0</v>
      </c>
      <c r="R28" s="24" t="s">
        <v>68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45520.0</v>
      </c>
      <c r="C29" s="18" t="s">
        <v>1044</v>
      </c>
      <c r="D29" s="19">
        <v>66213.0</v>
      </c>
      <c r="E29" s="20" t="s">
        <v>467</v>
      </c>
      <c r="F29" s="21"/>
      <c r="G29" s="22"/>
      <c r="H29" s="22"/>
      <c r="I29" s="21">
        <v>5000.0</v>
      </c>
      <c r="J29" s="21"/>
      <c r="K29" s="23"/>
      <c r="L29" s="22"/>
      <c r="M29" s="22"/>
      <c r="N29" s="22"/>
      <c r="O29" s="22"/>
      <c r="P29" s="24">
        <v>5000.0</v>
      </c>
      <c r="Q29" s="25">
        <f t="shared" si="1"/>
        <v>0</v>
      </c>
      <c r="R29" s="24" t="s">
        <v>68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45520.0</v>
      </c>
      <c r="C30" s="18" t="s">
        <v>1045</v>
      </c>
      <c r="D30" s="19">
        <v>39317.0</v>
      </c>
      <c r="E30" s="20" t="s">
        <v>251</v>
      </c>
      <c r="F30" s="21"/>
      <c r="G30" s="22"/>
      <c r="H30" s="22"/>
      <c r="I30" s="21"/>
      <c r="J30" s="21">
        <v>3900.0</v>
      </c>
      <c r="K30" s="23"/>
      <c r="L30" s="22"/>
      <c r="M30" s="22"/>
      <c r="N30" s="22"/>
      <c r="O30" s="22"/>
      <c r="P30" s="24">
        <v>3900.0</v>
      </c>
      <c r="Q30" s="25">
        <f t="shared" si="1"/>
        <v>0</v>
      </c>
      <c r="R30" s="24" t="s">
        <v>68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45520.0</v>
      </c>
      <c r="C31" s="18" t="s">
        <v>1046</v>
      </c>
      <c r="D31" s="19">
        <v>26831.0</v>
      </c>
      <c r="E31" s="20" t="s">
        <v>211</v>
      </c>
      <c r="F31" s="21"/>
      <c r="G31" s="22"/>
      <c r="H31" s="22"/>
      <c r="I31" s="21"/>
      <c r="J31" s="21">
        <v>9500.0</v>
      </c>
      <c r="K31" s="23"/>
      <c r="L31" s="22"/>
      <c r="M31" s="22"/>
      <c r="N31" s="22"/>
      <c r="O31" s="22"/>
      <c r="P31" s="24">
        <v>9500.0</v>
      </c>
      <c r="Q31" s="25">
        <f t="shared" si="1"/>
        <v>0</v>
      </c>
      <c r="R31" s="24" t="s">
        <v>68</v>
      </c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45520.0</v>
      </c>
      <c r="C32" s="18" t="s">
        <v>1047</v>
      </c>
      <c r="D32" s="19">
        <v>48854.0</v>
      </c>
      <c r="E32" s="20" t="s">
        <v>86</v>
      </c>
      <c r="F32" s="21"/>
      <c r="G32" s="22"/>
      <c r="H32" s="22"/>
      <c r="I32" s="21"/>
      <c r="J32" s="21">
        <v>2850.0</v>
      </c>
      <c r="K32" s="23"/>
      <c r="L32" s="22"/>
      <c r="M32" s="22"/>
      <c r="N32" s="22"/>
      <c r="O32" s="22"/>
      <c r="P32" s="24">
        <v>2850.0</v>
      </c>
      <c r="Q32" s="25">
        <f t="shared" si="1"/>
        <v>0</v>
      </c>
      <c r="R32" s="24" t="s">
        <v>51</v>
      </c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45520.0</v>
      </c>
      <c r="C33" s="18" t="s">
        <v>1048</v>
      </c>
      <c r="D33" s="19">
        <v>22727.0</v>
      </c>
      <c r="E33" s="20" t="s">
        <v>1049</v>
      </c>
      <c r="F33" s="21"/>
      <c r="G33" s="22"/>
      <c r="H33" s="22"/>
      <c r="I33" s="21"/>
      <c r="J33" s="21">
        <v>5450.0</v>
      </c>
      <c r="K33" s="23"/>
      <c r="L33" s="22"/>
      <c r="M33" s="22"/>
      <c r="N33" s="22"/>
      <c r="O33" s="22"/>
      <c r="P33" s="24">
        <v>5450.0</v>
      </c>
      <c r="Q33" s="25">
        <f t="shared" si="1"/>
        <v>0</v>
      </c>
      <c r="R33" s="24" t="s">
        <v>68</v>
      </c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7">
        <v>45520.0</v>
      </c>
      <c r="C34" s="18" t="s">
        <v>1050</v>
      </c>
      <c r="D34" s="19">
        <v>10249.0</v>
      </c>
      <c r="E34" s="20" t="s">
        <v>617</v>
      </c>
      <c r="F34" s="21"/>
      <c r="G34" s="22"/>
      <c r="H34" s="22"/>
      <c r="I34" s="21"/>
      <c r="J34" s="21">
        <v>9500.0</v>
      </c>
      <c r="K34" s="23"/>
      <c r="L34" s="22"/>
      <c r="M34" s="22"/>
      <c r="N34" s="22"/>
      <c r="O34" s="22"/>
      <c r="P34" s="24">
        <v>9500.0</v>
      </c>
      <c r="Q34" s="25">
        <f t="shared" si="1"/>
        <v>0</v>
      </c>
      <c r="R34" s="24" t="s">
        <v>25</v>
      </c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7">
        <v>45520.0</v>
      </c>
      <c r="C35" s="18" t="s">
        <v>1051</v>
      </c>
      <c r="D35" s="19">
        <v>43112.0</v>
      </c>
      <c r="E35" s="20" t="s">
        <v>1052</v>
      </c>
      <c r="F35" s="21"/>
      <c r="G35" s="22"/>
      <c r="H35" s="22"/>
      <c r="I35" s="21"/>
      <c r="J35" s="21">
        <v>5350.0</v>
      </c>
      <c r="K35" s="23"/>
      <c r="L35" s="22"/>
      <c r="M35" s="22"/>
      <c r="N35" s="22"/>
      <c r="O35" s="22"/>
      <c r="P35" s="24">
        <v>5350.0</v>
      </c>
      <c r="Q35" s="25">
        <f t="shared" si="1"/>
        <v>0</v>
      </c>
      <c r="R35" s="24" t="s">
        <v>25</v>
      </c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7">
        <v>45520.0</v>
      </c>
      <c r="C36" s="18" t="s">
        <v>1053</v>
      </c>
      <c r="D36" s="19">
        <v>10249.0</v>
      </c>
      <c r="E36" s="20" t="s">
        <v>617</v>
      </c>
      <c r="F36" s="21"/>
      <c r="G36" s="22"/>
      <c r="H36" s="22"/>
      <c r="I36" s="21"/>
      <c r="J36" s="21"/>
      <c r="K36" s="23"/>
      <c r="L36" s="22"/>
      <c r="M36" s="22">
        <v>1420.0</v>
      </c>
      <c r="N36" s="22"/>
      <c r="O36" s="22"/>
      <c r="P36" s="24">
        <v>1420.0</v>
      </c>
      <c r="Q36" s="25">
        <f t="shared" si="1"/>
        <v>0</v>
      </c>
      <c r="R36" s="24" t="s">
        <v>25</v>
      </c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7">
        <v>45520.0</v>
      </c>
      <c r="C37" s="18" t="s">
        <v>1054</v>
      </c>
      <c r="D37" s="19">
        <v>51309.0</v>
      </c>
      <c r="E37" s="20" t="s">
        <v>434</v>
      </c>
      <c r="F37" s="21"/>
      <c r="G37" s="22"/>
      <c r="H37" s="22"/>
      <c r="I37" s="21">
        <v>2400.0</v>
      </c>
      <c r="J37" s="21"/>
      <c r="K37" s="23"/>
      <c r="L37" s="22"/>
      <c r="M37" s="22"/>
      <c r="N37" s="22"/>
      <c r="O37" s="22"/>
      <c r="P37" s="24">
        <v>2400.0</v>
      </c>
      <c r="Q37" s="25">
        <f t="shared" si="1"/>
        <v>0</v>
      </c>
      <c r="R37" s="24" t="s">
        <v>25</v>
      </c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7">
        <v>45520.0</v>
      </c>
      <c r="C38" s="18" t="s">
        <v>1055</v>
      </c>
      <c r="D38" s="19">
        <v>48052.0</v>
      </c>
      <c r="E38" s="20" t="s">
        <v>337</v>
      </c>
      <c r="F38" s="21"/>
      <c r="G38" s="22"/>
      <c r="H38" s="22"/>
      <c r="I38" s="21">
        <v>2700.0</v>
      </c>
      <c r="J38" s="21"/>
      <c r="K38" s="23"/>
      <c r="L38" s="22"/>
      <c r="M38" s="22"/>
      <c r="N38" s="22"/>
      <c r="O38" s="22"/>
      <c r="P38" s="24">
        <v>2700.0</v>
      </c>
      <c r="Q38" s="25">
        <f t="shared" si="1"/>
        <v>0</v>
      </c>
      <c r="R38" s="24" t="s">
        <v>51</v>
      </c>
      <c r="S38" s="26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7">
        <v>45520.0</v>
      </c>
      <c r="C39" s="18" t="s">
        <v>1056</v>
      </c>
      <c r="D39" s="19">
        <v>60978.0</v>
      </c>
      <c r="E39" s="20" t="s">
        <v>1057</v>
      </c>
      <c r="F39" s="21"/>
      <c r="G39" s="22"/>
      <c r="H39" s="22"/>
      <c r="I39" s="21">
        <v>10000.0</v>
      </c>
      <c r="J39" s="21"/>
      <c r="K39" s="23"/>
      <c r="L39" s="22"/>
      <c r="M39" s="22"/>
      <c r="N39" s="22"/>
      <c r="O39" s="22"/>
      <c r="P39" s="24">
        <v>10000.0</v>
      </c>
      <c r="Q39" s="25">
        <f t="shared" si="1"/>
        <v>0</v>
      </c>
      <c r="R39" s="24" t="s">
        <v>68</v>
      </c>
      <c r="S39" s="26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7">
        <v>45519.0</v>
      </c>
      <c r="C40" s="18" t="s">
        <v>1058</v>
      </c>
      <c r="D40" s="19">
        <v>44406.0</v>
      </c>
      <c r="E40" s="20" t="s">
        <v>1059</v>
      </c>
      <c r="F40" s="21"/>
      <c r="G40" s="22"/>
      <c r="H40" s="22"/>
      <c r="I40" s="21">
        <v>1200.0</v>
      </c>
      <c r="J40" s="21"/>
      <c r="K40" s="23"/>
      <c r="L40" s="22"/>
      <c r="M40" s="22"/>
      <c r="N40" s="22"/>
      <c r="O40" s="22"/>
      <c r="P40" s="24">
        <v>1200.0</v>
      </c>
      <c r="Q40" s="25">
        <f t="shared" si="1"/>
        <v>0</v>
      </c>
      <c r="R40" s="24" t="s">
        <v>25</v>
      </c>
      <c r="S40" s="26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7">
        <v>45520.0</v>
      </c>
      <c r="C41" s="18" t="s">
        <v>1060</v>
      </c>
      <c r="D41" s="19">
        <v>52083.0</v>
      </c>
      <c r="E41" s="20" t="s">
        <v>122</v>
      </c>
      <c r="F41" s="21"/>
      <c r="G41" s="22"/>
      <c r="H41" s="22"/>
      <c r="I41" s="21">
        <v>5000.0</v>
      </c>
      <c r="J41" s="21"/>
      <c r="K41" s="23"/>
      <c r="L41" s="22"/>
      <c r="M41" s="22"/>
      <c r="N41" s="22"/>
      <c r="O41" s="22"/>
      <c r="P41" s="24">
        <v>5000.0</v>
      </c>
      <c r="Q41" s="25">
        <f t="shared" si="1"/>
        <v>0</v>
      </c>
      <c r="R41" s="24" t="s">
        <v>30</v>
      </c>
      <c r="S41" s="26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27">
        <v>45520.0</v>
      </c>
      <c r="C42" s="18" t="s">
        <v>1061</v>
      </c>
      <c r="D42" s="19">
        <v>76602.0</v>
      </c>
      <c r="E42" s="20" t="s">
        <v>1062</v>
      </c>
      <c r="F42" s="21"/>
      <c r="G42" s="22"/>
      <c r="H42" s="22"/>
      <c r="I42" s="21"/>
      <c r="J42" s="21">
        <v>4500.0</v>
      </c>
      <c r="K42" s="23"/>
      <c r="L42" s="22"/>
      <c r="M42" s="22"/>
      <c r="N42" s="22"/>
      <c r="O42" s="22"/>
      <c r="P42" s="24">
        <v>4500.0</v>
      </c>
      <c r="Q42" s="25">
        <f t="shared" si="1"/>
        <v>0</v>
      </c>
      <c r="R42" s="24" t="s">
        <v>25</v>
      </c>
      <c r="S42" s="26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>
        <v>39.0</v>
      </c>
      <c r="B43" s="27">
        <v>45520.0</v>
      </c>
      <c r="C43" s="18" t="s">
        <v>1063</v>
      </c>
      <c r="D43" s="19">
        <v>81107.0</v>
      </c>
      <c r="E43" s="20" t="s">
        <v>1064</v>
      </c>
      <c r="F43" s="21"/>
      <c r="G43" s="22"/>
      <c r="H43" s="22"/>
      <c r="I43" s="21">
        <v>9550.0</v>
      </c>
      <c r="J43" s="21"/>
      <c r="K43" s="23"/>
      <c r="L43" s="22"/>
      <c r="M43" s="22"/>
      <c r="N43" s="22"/>
      <c r="O43" s="22"/>
      <c r="P43" s="24">
        <v>9550.0</v>
      </c>
      <c r="Q43" s="25">
        <f t="shared" si="1"/>
        <v>0</v>
      </c>
      <c r="R43" s="24" t="s">
        <v>68</v>
      </c>
      <c r="S43" s="26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16">
        <v>40.0</v>
      </c>
      <c r="B44" s="27">
        <v>45519.0</v>
      </c>
      <c r="C44" s="18" t="s">
        <v>1065</v>
      </c>
      <c r="D44" s="19">
        <v>20541.0</v>
      </c>
      <c r="E44" s="20" t="s">
        <v>322</v>
      </c>
      <c r="F44" s="21"/>
      <c r="G44" s="22"/>
      <c r="H44" s="21">
        <v>22800.0</v>
      </c>
      <c r="I44" s="21"/>
      <c r="J44" s="21"/>
      <c r="K44" s="23"/>
      <c r="L44" s="22"/>
      <c r="M44" s="22"/>
      <c r="N44" s="22"/>
      <c r="O44" s="22"/>
      <c r="P44" s="24">
        <v>22800.0</v>
      </c>
      <c r="Q44" s="25">
        <f t="shared" si="1"/>
        <v>0</v>
      </c>
      <c r="R44" s="24"/>
      <c r="S44" s="26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16">
        <v>41.0</v>
      </c>
      <c r="B45" s="27">
        <v>45519.0</v>
      </c>
      <c r="C45" s="18" t="s">
        <v>1066</v>
      </c>
      <c r="D45" s="19">
        <v>79159.0</v>
      </c>
      <c r="E45" s="20" t="s">
        <v>1067</v>
      </c>
      <c r="F45" s="21"/>
      <c r="G45" s="22"/>
      <c r="H45" s="21"/>
      <c r="I45" s="21"/>
      <c r="J45" s="21"/>
      <c r="K45" s="23"/>
      <c r="L45" s="22"/>
      <c r="M45" s="22">
        <v>10000.0</v>
      </c>
      <c r="N45" s="22"/>
      <c r="O45" s="22"/>
      <c r="P45" s="24">
        <v>10000.0</v>
      </c>
      <c r="Q45" s="25">
        <f t="shared" si="1"/>
        <v>0</v>
      </c>
      <c r="R45" s="24"/>
      <c r="S45" s="26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4.5" customHeight="1">
      <c r="A46" s="16">
        <v>42.0</v>
      </c>
      <c r="B46" s="27">
        <v>45519.0</v>
      </c>
      <c r="C46" s="18" t="s">
        <v>1068</v>
      </c>
      <c r="D46" s="19">
        <v>10008.0</v>
      </c>
      <c r="E46" s="20" t="s">
        <v>403</v>
      </c>
      <c r="F46" s="21"/>
      <c r="G46" s="22"/>
      <c r="H46" s="22">
        <v>3000.0</v>
      </c>
      <c r="I46" s="21"/>
      <c r="J46" s="21"/>
      <c r="K46" s="23"/>
      <c r="L46" s="22"/>
      <c r="M46" s="22"/>
      <c r="N46" s="22"/>
      <c r="O46" s="22"/>
      <c r="P46" s="24">
        <v>3000.0</v>
      </c>
      <c r="Q46" s="25">
        <f t="shared" si="1"/>
        <v>0</v>
      </c>
      <c r="R46" s="24"/>
      <c r="S46" s="26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34.5" customHeight="1">
      <c r="A47" s="16">
        <v>43.0</v>
      </c>
      <c r="B47" s="27">
        <v>45520.0</v>
      </c>
      <c r="C47" s="18" t="s">
        <v>1069</v>
      </c>
      <c r="D47" s="19">
        <v>84443.0</v>
      </c>
      <c r="E47" s="20" t="s">
        <v>1070</v>
      </c>
      <c r="F47" s="21"/>
      <c r="G47" s="22"/>
      <c r="H47" s="22">
        <v>7000.0</v>
      </c>
      <c r="I47" s="21"/>
      <c r="J47" s="21"/>
      <c r="K47" s="23"/>
      <c r="L47" s="22"/>
      <c r="M47" s="22"/>
      <c r="N47" s="22"/>
      <c r="O47" s="22"/>
      <c r="P47" s="24">
        <v>7000.0</v>
      </c>
      <c r="Q47" s="25">
        <f t="shared" si="1"/>
        <v>0</v>
      </c>
      <c r="R47" s="24"/>
      <c r="S47" s="26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34.5" customHeight="1">
      <c r="A48" s="16">
        <v>44.0</v>
      </c>
      <c r="B48" s="27">
        <v>45520.0</v>
      </c>
      <c r="C48" s="18" t="s">
        <v>1071</v>
      </c>
      <c r="D48" s="19">
        <v>84444.0</v>
      </c>
      <c r="E48" s="20" t="s">
        <v>1072</v>
      </c>
      <c r="F48" s="21"/>
      <c r="G48" s="22"/>
      <c r="H48" s="22">
        <v>7000.0</v>
      </c>
      <c r="I48" s="21"/>
      <c r="J48" s="21"/>
      <c r="K48" s="23"/>
      <c r="L48" s="22"/>
      <c r="M48" s="22"/>
      <c r="N48" s="22"/>
      <c r="O48" s="22"/>
      <c r="P48" s="24">
        <v>7000.0</v>
      </c>
      <c r="Q48" s="25">
        <f t="shared" si="1"/>
        <v>0</v>
      </c>
      <c r="R48" s="24"/>
      <c r="S48" s="26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34.5" customHeight="1">
      <c r="A49" s="16">
        <v>45.0</v>
      </c>
      <c r="B49" s="27">
        <v>45520.0</v>
      </c>
      <c r="C49" s="18" t="s">
        <v>1073</v>
      </c>
      <c r="D49" s="19">
        <v>84445.0</v>
      </c>
      <c r="E49" s="20" t="s">
        <v>1074</v>
      </c>
      <c r="F49" s="21"/>
      <c r="G49" s="22"/>
      <c r="H49" s="22">
        <v>7000.0</v>
      </c>
      <c r="I49" s="21"/>
      <c r="J49" s="21"/>
      <c r="K49" s="23"/>
      <c r="L49" s="22"/>
      <c r="M49" s="22"/>
      <c r="N49" s="22"/>
      <c r="O49" s="22"/>
      <c r="P49" s="24">
        <v>7000.0</v>
      </c>
      <c r="Q49" s="25">
        <f t="shared" si="1"/>
        <v>0</v>
      </c>
      <c r="R49" s="24"/>
      <c r="S49" s="26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34.5" customHeight="1">
      <c r="A50" s="16">
        <v>46.0</v>
      </c>
      <c r="B50" s="27">
        <v>45520.0</v>
      </c>
      <c r="C50" s="18" t="s">
        <v>1075</v>
      </c>
      <c r="D50" s="19">
        <v>84449.0</v>
      </c>
      <c r="E50" s="20" t="s">
        <v>1076</v>
      </c>
      <c r="F50" s="21"/>
      <c r="G50" s="22"/>
      <c r="H50" s="22">
        <v>7000.0</v>
      </c>
      <c r="I50" s="21"/>
      <c r="J50" s="21"/>
      <c r="K50" s="23"/>
      <c r="L50" s="22"/>
      <c r="M50" s="22"/>
      <c r="N50" s="22"/>
      <c r="O50" s="22"/>
      <c r="P50" s="24">
        <v>7000.0</v>
      </c>
      <c r="Q50" s="25">
        <f t="shared" si="1"/>
        <v>0</v>
      </c>
      <c r="R50" s="24"/>
      <c r="S50" s="26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34.5" customHeight="1">
      <c r="A51" s="16">
        <v>47.0</v>
      </c>
      <c r="B51" s="27">
        <v>45520.0</v>
      </c>
      <c r="C51" s="18" t="s">
        <v>1077</v>
      </c>
      <c r="D51" s="19">
        <v>84448.0</v>
      </c>
      <c r="E51" s="20" t="s">
        <v>1078</v>
      </c>
      <c r="F51" s="21"/>
      <c r="G51" s="22"/>
      <c r="H51" s="22">
        <v>7000.0</v>
      </c>
      <c r="I51" s="21"/>
      <c r="J51" s="21"/>
      <c r="K51" s="23"/>
      <c r="L51" s="22"/>
      <c r="M51" s="22"/>
      <c r="N51" s="22"/>
      <c r="O51" s="22"/>
      <c r="P51" s="24">
        <v>7000.0</v>
      </c>
      <c r="Q51" s="25">
        <f t="shared" si="1"/>
        <v>0</v>
      </c>
      <c r="R51" s="24"/>
      <c r="S51" s="26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34.5" customHeight="1">
      <c r="A52" s="16">
        <v>48.0</v>
      </c>
      <c r="B52" s="27">
        <v>45520.0</v>
      </c>
      <c r="C52" s="18" t="s">
        <v>1079</v>
      </c>
      <c r="D52" s="19">
        <v>10006.0</v>
      </c>
      <c r="E52" s="20" t="s">
        <v>151</v>
      </c>
      <c r="F52" s="21"/>
      <c r="G52" s="22"/>
      <c r="H52" s="22">
        <v>8400.0</v>
      </c>
      <c r="I52" s="21"/>
      <c r="J52" s="21"/>
      <c r="K52" s="23"/>
      <c r="L52" s="22"/>
      <c r="M52" s="22"/>
      <c r="N52" s="22"/>
      <c r="O52" s="22"/>
      <c r="P52" s="24">
        <v>8400.0</v>
      </c>
      <c r="Q52" s="25">
        <f t="shared" si="1"/>
        <v>0</v>
      </c>
      <c r="R52" s="24"/>
      <c r="S52" s="26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34.5" customHeight="1">
      <c r="A53" s="16">
        <v>49.0</v>
      </c>
      <c r="B53" s="27">
        <v>45520.0</v>
      </c>
      <c r="C53" s="18" t="s">
        <v>1080</v>
      </c>
      <c r="D53" s="19">
        <v>49918.0</v>
      </c>
      <c r="E53" s="20" t="s">
        <v>1081</v>
      </c>
      <c r="F53" s="21"/>
      <c r="G53" s="22"/>
      <c r="H53" s="22">
        <v>3750.0</v>
      </c>
      <c r="I53" s="21"/>
      <c r="J53" s="21"/>
      <c r="K53" s="23"/>
      <c r="L53" s="22"/>
      <c r="M53" s="22"/>
      <c r="N53" s="22"/>
      <c r="O53" s="22"/>
      <c r="P53" s="24">
        <v>3750.0</v>
      </c>
      <c r="Q53" s="25">
        <f t="shared" si="1"/>
        <v>0</v>
      </c>
      <c r="R53" s="24"/>
      <c r="S53" s="26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34.5" customHeight="1">
      <c r="A54" s="16">
        <v>50.0</v>
      </c>
      <c r="B54" s="27">
        <v>45520.0</v>
      </c>
      <c r="C54" s="18" t="s">
        <v>1082</v>
      </c>
      <c r="D54" s="19">
        <v>84452.0</v>
      </c>
      <c r="E54" s="20" t="s">
        <v>1083</v>
      </c>
      <c r="F54" s="21"/>
      <c r="G54" s="22"/>
      <c r="H54" s="22">
        <v>7000.0</v>
      </c>
      <c r="I54" s="21"/>
      <c r="J54" s="21"/>
      <c r="K54" s="23"/>
      <c r="L54" s="22"/>
      <c r="M54" s="22"/>
      <c r="N54" s="22"/>
      <c r="O54" s="22"/>
      <c r="P54" s="24">
        <v>7000.0</v>
      </c>
      <c r="Q54" s="25">
        <f t="shared" si="1"/>
        <v>0</v>
      </c>
      <c r="R54" s="24"/>
      <c r="S54" s="26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34.5" customHeight="1">
      <c r="A55" s="16">
        <v>51.0</v>
      </c>
      <c r="B55" s="27">
        <v>45520.0</v>
      </c>
      <c r="C55" s="18" t="s">
        <v>1084</v>
      </c>
      <c r="D55" s="19">
        <v>84450.0</v>
      </c>
      <c r="E55" s="20" t="s">
        <v>1085</v>
      </c>
      <c r="F55" s="21"/>
      <c r="G55" s="22"/>
      <c r="H55" s="22">
        <v>7000.0</v>
      </c>
      <c r="I55" s="21"/>
      <c r="J55" s="21"/>
      <c r="K55" s="23"/>
      <c r="L55" s="22"/>
      <c r="M55" s="22"/>
      <c r="N55" s="22"/>
      <c r="O55" s="22"/>
      <c r="P55" s="24">
        <v>7000.0</v>
      </c>
      <c r="Q55" s="25">
        <f t="shared" si="1"/>
        <v>0</v>
      </c>
      <c r="R55" s="24"/>
      <c r="S55" s="26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34.5" customHeight="1">
      <c r="A56" s="16">
        <v>52.0</v>
      </c>
      <c r="B56" s="27">
        <v>45520.0</v>
      </c>
      <c r="C56" s="18" t="s">
        <v>1086</v>
      </c>
      <c r="D56" s="19">
        <v>50148.0</v>
      </c>
      <c r="E56" s="20" t="s">
        <v>285</v>
      </c>
      <c r="F56" s="21"/>
      <c r="G56" s="22"/>
      <c r="H56" s="22">
        <v>5700.0</v>
      </c>
      <c r="I56" s="21"/>
      <c r="J56" s="21"/>
      <c r="K56" s="23"/>
      <c r="L56" s="22"/>
      <c r="M56" s="22"/>
      <c r="N56" s="22"/>
      <c r="O56" s="22"/>
      <c r="P56" s="24">
        <v>5700.0</v>
      </c>
      <c r="Q56" s="25">
        <f t="shared" si="1"/>
        <v>0</v>
      </c>
      <c r="R56" s="24"/>
      <c r="S56" s="26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34.5" customHeight="1">
      <c r="A57" s="16">
        <v>53.0</v>
      </c>
      <c r="B57" s="27">
        <v>45520.0</v>
      </c>
      <c r="C57" s="18" t="s">
        <v>1087</v>
      </c>
      <c r="D57" s="19">
        <v>54178.0</v>
      </c>
      <c r="E57" s="20" t="s">
        <v>1088</v>
      </c>
      <c r="F57" s="21"/>
      <c r="G57" s="22"/>
      <c r="H57" s="22">
        <v>4500.0</v>
      </c>
      <c r="I57" s="21"/>
      <c r="J57" s="21"/>
      <c r="K57" s="23"/>
      <c r="L57" s="22"/>
      <c r="M57" s="22"/>
      <c r="N57" s="22"/>
      <c r="O57" s="22"/>
      <c r="P57" s="24">
        <v>4500.0</v>
      </c>
      <c r="Q57" s="25">
        <f t="shared" si="1"/>
        <v>0</v>
      </c>
      <c r="R57" s="24"/>
      <c r="S57" s="26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37.5" customHeight="1">
      <c r="A58" s="16"/>
      <c r="B58" s="27"/>
      <c r="C58" s="18"/>
      <c r="D58" s="19" t="s">
        <v>183</v>
      </c>
      <c r="E58" s="20"/>
      <c r="F58" s="45">
        <f t="shared" ref="F58:P58" si="2">SUM(F5:F57)</f>
        <v>0</v>
      </c>
      <c r="G58" s="45">
        <f t="shared" si="2"/>
        <v>0</v>
      </c>
      <c r="H58" s="45">
        <f t="shared" si="2"/>
        <v>97150</v>
      </c>
      <c r="I58" s="45">
        <f t="shared" si="2"/>
        <v>101850</v>
      </c>
      <c r="J58" s="45">
        <f t="shared" si="2"/>
        <v>84850</v>
      </c>
      <c r="K58" s="45">
        <f t="shared" si="2"/>
        <v>0</v>
      </c>
      <c r="L58" s="45">
        <f t="shared" si="2"/>
        <v>0</v>
      </c>
      <c r="M58" s="45">
        <f t="shared" si="2"/>
        <v>11420</v>
      </c>
      <c r="N58" s="45">
        <f t="shared" si="2"/>
        <v>0</v>
      </c>
      <c r="O58" s="45">
        <f t="shared" si="2"/>
        <v>0</v>
      </c>
      <c r="P58" s="45">
        <f t="shared" si="2"/>
        <v>295270</v>
      </c>
      <c r="Q58" s="46">
        <v>0.0</v>
      </c>
      <c r="R58" s="47"/>
      <c r="S58" s="26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</row>
    <row r="59" ht="15.75" customHeight="1">
      <c r="A59" s="48"/>
      <c r="B59" s="48"/>
      <c r="C59" s="49"/>
      <c r="D59" s="48"/>
      <c r="E59" s="48"/>
      <c r="F59" s="50">
        <f>F58+G58+H58+I58+J58+K58+L58+M58+N58+O58</f>
        <v>295270</v>
      </c>
      <c r="P59" s="51"/>
      <c r="Q59" s="51"/>
      <c r="R59" s="48"/>
      <c r="S59" s="48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3" t="s">
        <v>183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54" t="s">
        <v>184</v>
      </c>
      <c r="F63" s="55" t="s">
        <v>185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56" t="s">
        <v>186</v>
      </c>
      <c r="F64" s="55" t="s">
        <v>187</v>
      </c>
      <c r="G64" s="4"/>
      <c r="H64" s="4"/>
      <c r="I64" s="4"/>
      <c r="J64" s="4"/>
      <c r="K64" s="4"/>
      <c r="L64" s="4"/>
      <c r="M64" s="4"/>
      <c r="N64" s="4"/>
      <c r="O64" s="57" t="s">
        <v>183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56" t="s">
        <v>188</v>
      </c>
      <c r="F65" s="55" t="s">
        <v>185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56" t="s">
        <v>189</v>
      </c>
      <c r="F66" s="55" t="s">
        <v>185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56" t="s">
        <v>190</v>
      </c>
      <c r="F67" s="61" t="s">
        <v>1089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56" t="s">
        <v>1090</v>
      </c>
      <c r="F68" s="55" t="s">
        <v>185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56" t="s">
        <v>193</v>
      </c>
      <c r="F69" s="55" t="s">
        <v>194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56" t="s">
        <v>195</v>
      </c>
      <c r="F70" s="59" t="s">
        <v>196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57" t="s">
        <v>183</v>
      </c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 t="str">
        <f>I72458</f>
        <v/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57" t="s">
        <v>197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>
        <v>7.0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5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5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5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5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5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5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5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5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5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>
      <c r="A283" s="4"/>
      <c r="B283" s="4"/>
      <c r="C283" s="5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5.75" customHeight="1">
      <c r="A284" s="4"/>
      <c r="B284" s="4"/>
      <c r="C284" s="5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5.75" customHeight="1">
      <c r="A285" s="4"/>
      <c r="B285" s="4"/>
      <c r="C285" s="5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5.75" customHeight="1">
      <c r="A286" s="4"/>
      <c r="B286" s="4"/>
      <c r="C286" s="5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5.75" customHeight="1">
      <c r="A287" s="4"/>
      <c r="B287" s="4"/>
      <c r="C287" s="5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5.75" customHeight="1">
      <c r="A288" s="4"/>
      <c r="B288" s="4"/>
      <c r="C288" s="5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5.75" customHeight="1">
      <c r="A289" s="4"/>
      <c r="B289" s="4"/>
      <c r="C289" s="5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ht="15.75" customHeight="1">
      <c r="A290" s="4"/>
      <c r="B290" s="4"/>
      <c r="C290" s="5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ht="15.75" customHeight="1">
      <c r="A291" s="4"/>
      <c r="B291" s="4"/>
      <c r="C291" s="5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ht="15.75" customHeight="1">
      <c r="A292" s="4"/>
      <c r="B292" s="4"/>
      <c r="C292" s="5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 ht="15.75" customHeight="1">
      <c r="A293" s="4"/>
      <c r="B293" s="4"/>
      <c r="C293" s="5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R2:R4"/>
    <mergeCell ref="S2:S4"/>
    <mergeCell ref="F3:F4"/>
    <mergeCell ref="G3:H3"/>
    <mergeCell ref="I3:J3"/>
    <mergeCell ref="K3:K4"/>
    <mergeCell ref="F59:O59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6.88"/>
    <col customWidth="1" min="6" max="6" width="29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45.0" customHeight="1">
      <c r="A1" s="1" t="s">
        <v>1091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15.75" customHeight="1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5.75" customHeight="1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45520.0</v>
      </c>
      <c r="C5" s="18" t="s">
        <v>1092</v>
      </c>
      <c r="D5" s="19">
        <v>62508.0</v>
      </c>
      <c r="E5" s="20" t="s">
        <v>246</v>
      </c>
      <c r="F5" s="21"/>
      <c r="G5" s="22"/>
      <c r="H5" s="21"/>
      <c r="I5" s="23">
        <v>300.0</v>
      </c>
      <c r="J5" s="23"/>
      <c r="K5" s="22"/>
      <c r="L5" s="22"/>
      <c r="M5" s="21"/>
      <c r="N5" s="22"/>
      <c r="O5" s="22"/>
      <c r="P5" s="24">
        <v>300.0</v>
      </c>
      <c r="Q5" s="25">
        <f t="shared" ref="Q5:Q38" si="1">F5+G5+H5+I5+J5+K5+L5+M5+N5+O5-P5</f>
        <v>0</v>
      </c>
      <c r="R5" s="24" t="s">
        <v>30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45521.0</v>
      </c>
      <c r="C6" s="18" t="s">
        <v>1093</v>
      </c>
      <c r="D6" s="19">
        <v>48052.0</v>
      </c>
      <c r="E6" s="20" t="s">
        <v>337</v>
      </c>
      <c r="F6" s="21"/>
      <c r="G6" s="22"/>
      <c r="H6" s="22"/>
      <c r="I6" s="21">
        <v>450.0</v>
      </c>
      <c r="J6" s="22"/>
      <c r="K6" s="22"/>
      <c r="L6" s="22"/>
      <c r="M6" s="21"/>
      <c r="N6" s="22"/>
      <c r="O6" s="22"/>
      <c r="P6" s="24">
        <v>450.0</v>
      </c>
      <c r="Q6" s="25">
        <f t="shared" si="1"/>
        <v>0</v>
      </c>
      <c r="R6" s="24" t="s">
        <v>30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45521.0</v>
      </c>
      <c r="C7" s="18" t="s">
        <v>1094</v>
      </c>
      <c r="D7" s="19">
        <v>46927.0</v>
      </c>
      <c r="E7" s="20" t="s">
        <v>225</v>
      </c>
      <c r="F7" s="22"/>
      <c r="G7" s="22"/>
      <c r="H7" s="21"/>
      <c r="I7" s="21">
        <v>5150.0</v>
      </c>
      <c r="J7" s="23"/>
      <c r="K7" s="22"/>
      <c r="L7" s="22"/>
      <c r="M7" s="22"/>
      <c r="N7" s="22"/>
      <c r="O7" s="22"/>
      <c r="P7" s="24">
        <v>5150.0</v>
      </c>
      <c r="Q7" s="25">
        <f t="shared" si="1"/>
        <v>0</v>
      </c>
      <c r="R7" s="24" t="s">
        <v>30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45521.0</v>
      </c>
      <c r="C8" s="18" t="s">
        <v>1095</v>
      </c>
      <c r="D8" s="19">
        <v>46778.0</v>
      </c>
      <c r="E8" s="20" t="s">
        <v>507</v>
      </c>
      <c r="F8" s="22"/>
      <c r="G8" s="22"/>
      <c r="H8" s="22"/>
      <c r="I8" s="21"/>
      <c r="J8" s="21">
        <v>6950.0</v>
      </c>
      <c r="K8" s="22"/>
      <c r="L8" s="22"/>
      <c r="M8" s="22"/>
      <c r="N8" s="22"/>
      <c r="O8" s="22"/>
      <c r="P8" s="24">
        <v>6950.0</v>
      </c>
      <c r="Q8" s="25">
        <f t="shared" si="1"/>
        <v>0</v>
      </c>
      <c r="R8" s="24" t="s">
        <v>479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45521.0</v>
      </c>
      <c r="C9" s="18" t="s">
        <v>1096</v>
      </c>
      <c r="D9" s="19">
        <v>53491.0</v>
      </c>
      <c r="E9" s="20" t="s">
        <v>1024</v>
      </c>
      <c r="F9" s="22"/>
      <c r="G9" s="22"/>
      <c r="H9" s="22"/>
      <c r="I9" s="21"/>
      <c r="J9" s="21">
        <v>2650.0</v>
      </c>
      <c r="K9" s="22"/>
      <c r="L9" s="22"/>
      <c r="M9" s="21"/>
      <c r="N9" s="22"/>
      <c r="O9" s="22"/>
      <c r="P9" s="24">
        <v>2650.0</v>
      </c>
      <c r="Q9" s="25">
        <f t="shared" si="1"/>
        <v>0</v>
      </c>
      <c r="R9" s="24" t="s">
        <v>30</v>
      </c>
      <c r="S9" s="26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45521.0</v>
      </c>
      <c r="C10" s="18" t="s">
        <v>1097</v>
      </c>
      <c r="D10" s="19">
        <v>83201.0</v>
      </c>
      <c r="E10" s="20" t="s">
        <v>924</v>
      </c>
      <c r="F10" s="22"/>
      <c r="G10" s="22"/>
      <c r="H10" s="22"/>
      <c r="I10" s="21">
        <v>300.0</v>
      </c>
      <c r="J10" s="21"/>
      <c r="K10" s="22"/>
      <c r="L10" s="22"/>
      <c r="M10" s="21"/>
      <c r="N10" s="22"/>
      <c r="O10" s="22"/>
      <c r="P10" s="24">
        <v>300.0</v>
      </c>
      <c r="Q10" s="25">
        <f t="shared" si="1"/>
        <v>0</v>
      </c>
      <c r="R10" s="24" t="s">
        <v>479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45521.0</v>
      </c>
      <c r="C11" s="18" t="s">
        <v>1098</v>
      </c>
      <c r="D11" s="19">
        <v>83201.0</v>
      </c>
      <c r="E11" s="20" t="s">
        <v>924</v>
      </c>
      <c r="F11" s="22"/>
      <c r="G11" s="22"/>
      <c r="H11" s="22"/>
      <c r="I11" s="21">
        <v>2290.0</v>
      </c>
      <c r="J11" s="21"/>
      <c r="K11" s="22"/>
      <c r="L11" s="22"/>
      <c r="M11" s="21"/>
      <c r="N11" s="22"/>
      <c r="O11" s="22"/>
      <c r="P11" s="24">
        <v>2290.0</v>
      </c>
      <c r="Q11" s="25">
        <f t="shared" si="1"/>
        <v>0</v>
      </c>
      <c r="R11" s="24" t="s">
        <v>479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7">
        <v>45521.0</v>
      </c>
      <c r="C12" s="18" t="s">
        <v>1099</v>
      </c>
      <c r="D12" s="19">
        <v>76556.0</v>
      </c>
      <c r="E12" s="20" t="s">
        <v>1100</v>
      </c>
      <c r="F12" s="22">
        <v>3750.0</v>
      </c>
      <c r="G12" s="22"/>
      <c r="H12" s="22"/>
      <c r="I12" s="21"/>
      <c r="J12" s="21"/>
      <c r="K12" s="22"/>
      <c r="L12" s="22"/>
      <c r="M12" s="21"/>
      <c r="N12" s="22"/>
      <c r="O12" s="22"/>
      <c r="P12" s="24">
        <v>3750.0</v>
      </c>
      <c r="Q12" s="25">
        <f t="shared" si="1"/>
        <v>0</v>
      </c>
      <c r="R12" s="24" t="s">
        <v>68</v>
      </c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8">
        <v>45521.0</v>
      </c>
      <c r="C13" s="29" t="s">
        <v>1101</v>
      </c>
      <c r="D13" s="30">
        <v>44149.0</v>
      </c>
      <c r="E13" s="31" t="s">
        <v>231</v>
      </c>
      <c r="F13" s="22"/>
      <c r="G13" s="22"/>
      <c r="H13" s="22"/>
      <c r="I13" s="21">
        <v>5150.0</v>
      </c>
      <c r="J13" s="21"/>
      <c r="K13" s="22"/>
      <c r="L13" s="22"/>
      <c r="M13" s="21"/>
      <c r="N13" s="22"/>
      <c r="O13" s="22"/>
      <c r="P13" s="32">
        <v>5150.0</v>
      </c>
      <c r="Q13" s="25">
        <f t="shared" si="1"/>
        <v>0</v>
      </c>
      <c r="R13" s="32" t="s">
        <v>51</v>
      </c>
      <c r="S13" s="26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 ht="34.5" customHeight="1">
      <c r="A14" s="16">
        <v>10.0</v>
      </c>
      <c r="B14" s="27">
        <v>45521.0</v>
      </c>
      <c r="C14" s="18" t="s">
        <v>1102</v>
      </c>
      <c r="D14" s="19">
        <v>84472.0</v>
      </c>
      <c r="E14" s="20" t="s">
        <v>1103</v>
      </c>
      <c r="F14" s="22"/>
      <c r="G14" s="22"/>
      <c r="H14" s="22">
        <v>7000.0</v>
      </c>
      <c r="I14" s="21"/>
      <c r="J14" s="21"/>
      <c r="K14" s="22"/>
      <c r="L14" s="22"/>
      <c r="M14" s="21"/>
      <c r="N14" s="22"/>
      <c r="O14" s="22"/>
      <c r="P14" s="24">
        <v>7000.0</v>
      </c>
      <c r="Q14" s="25">
        <f t="shared" si="1"/>
        <v>0</v>
      </c>
      <c r="R14" s="24" t="s">
        <v>68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45521.0</v>
      </c>
      <c r="C15" s="18" t="s">
        <v>1104</v>
      </c>
      <c r="D15" s="19">
        <v>71126.0</v>
      </c>
      <c r="E15" s="20" t="s">
        <v>1105</v>
      </c>
      <c r="F15" s="22"/>
      <c r="G15" s="22"/>
      <c r="H15" s="22">
        <v>6900.0</v>
      </c>
      <c r="I15" s="21"/>
      <c r="J15" s="21"/>
      <c r="K15" s="22">
        <v>300.0</v>
      </c>
      <c r="L15" s="22"/>
      <c r="M15" s="21"/>
      <c r="N15" s="22"/>
      <c r="O15" s="22"/>
      <c r="P15" s="24">
        <v>7200.0</v>
      </c>
      <c r="Q15" s="25">
        <f t="shared" si="1"/>
        <v>0</v>
      </c>
      <c r="R15" s="24" t="s">
        <v>68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45521.0</v>
      </c>
      <c r="C16" s="18" t="s">
        <v>1106</v>
      </c>
      <c r="D16" s="19">
        <v>84116.0</v>
      </c>
      <c r="E16" s="20" t="s">
        <v>1107</v>
      </c>
      <c r="F16" s="22"/>
      <c r="G16" s="22"/>
      <c r="H16" s="22"/>
      <c r="I16" s="21"/>
      <c r="J16" s="21">
        <v>2650.0</v>
      </c>
      <c r="K16" s="22"/>
      <c r="L16" s="22"/>
      <c r="M16" s="21"/>
      <c r="N16" s="22"/>
      <c r="O16" s="22"/>
      <c r="P16" s="24">
        <v>2650.0</v>
      </c>
      <c r="Q16" s="25">
        <f t="shared" si="1"/>
        <v>0</v>
      </c>
      <c r="R16" s="24" t="s">
        <v>479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45521.0</v>
      </c>
      <c r="C17" s="18" t="s">
        <v>1108</v>
      </c>
      <c r="D17" s="19">
        <v>48482.0</v>
      </c>
      <c r="E17" s="20" t="s">
        <v>1109</v>
      </c>
      <c r="F17" s="22"/>
      <c r="G17" s="22"/>
      <c r="H17" s="22"/>
      <c r="I17" s="21"/>
      <c r="J17" s="21">
        <v>10000.0</v>
      </c>
      <c r="K17" s="22"/>
      <c r="L17" s="22"/>
      <c r="M17" s="21"/>
      <c r="N17" s="22"/>
      <c r="O17" s="22"/>
      <c r="P17" s="24">
        <v>10000.0</v>
      </c>
      <c r="Q17" s="25">
        <f t="shared" si="1"/>
        <v>0</v>
      </c>
      <c r="R17" s="24" t="s">
        <v>30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7">
        <v>45521.0</v>
      </c>
      <c r="C18" s="18" t="s">
        <v>1110</v>
      </c>
      <c r="D18" s="19">
        <v>53089.0</v>
      </c>
      <c r="E18" s="20" t="s">
        <v>1111</v>
      </c>
      <c r="F18" s="22"/>
      <c r="G18" s="22"/>
      <c r="H18" s="22"/>
      <c r="I18" s="21">
        <v>5150.0</v>
      </c>
      <c r="J18" s="21"/>
      <c r="K18" s="22"/>
      <c r="L18" s="22"/>
      <c r="M18" s="22"/>
      <c r="N18" s="22"/>
      <c r="O18" s="22"/>
      <c r="P18" s="24">
        <v>5150.0</v>
      </c>
      <c r="Q18" s="25">
        <f t="shared" si="1"/>
        <v>0</v>
      </c>
      <c r="R18" s="24" t="s">
        <v>51</v>
      </c>
      <c r="S18" s="26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28">
        <v>45521.0</v>
      </c>
      <c r="C19" s="29" t="s">
        <v>1112</v>
      </c>
      <c r="D19" s="30">
        <v>22332.0</v>
      </c>
      <c r="E19" s="31" t="s">
        <v>396</v>
      </c>
      <c r="F19" s="22"/>
      <c r="G19" s="22"/>
      <c r="H19" s="22"/>
      <c r="I19" s="21">
        <v>10000.0</v>
      </c>
      <c r="J19" s="21"/>
      <c r="K19" s="22"/>
      <c r="L19" s="22"/>
      <c r="M19" s="21"/>
      <c r="N19" s="22"/>
      <c r="O19" s="22"/>
      <c r="P19" s="32">
        <v>10000.0</v>
      </c>
      <c r="Q19" s="25">
        <f t="shared" si="1"/>
        <v>0</v>
      </c>
      <c r="R19" s="32" t="s">
        <v>30</v>
      </c>
      <c r="S19" s="26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ht="34.5" customHeight="1">
      <c r="A20" s="16">
        <v>16.0</v>
      </c>
      <c r="B20" s="27">
        <v>45521.0</v>
      </c>
      <c r="C20" s="18" t="s">
        <v>1113</v>
      </c>
      <c r="D20" s="19">
        <v>22332.0</v>
      </c>
      <c r="E20" s="20" t="s">
        <v>396</v>
      </c>
      <c r="F20" s="22"/>
      <c r="G20" s="22"/>
      <c r="H20" s="22"/>
      <c r="I20" s="23">
        <v>3500.0</v>
      </c>
      <c r="J20" s="23"/>
      <c r="K20" s="22"/>
      <c r="L20" s="22"/>
      <c r="M20" s="22"/>
      <c r="N20" s="22"/>
      <c r="O20" s="22"/>
      <c r="P20" s="24">
        <v>3500.0</v>
      </c>
      <c r="Q20" s="25">
        <f t="shared" si="1"/>
        <v>0</v>
      </c>
      <c r="R20" s="24" t="s">
        <v>68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45521.0</v>
      </c>
      <c r="C21" s="18" t="s">
        <v>1114</v>
      </c>
      <c r="D21" s="19">
        <v>53095.0</v>
      </c>
      <c r="E21" s="20" t="s">
        <v>1115</v>
      </c>
      <c r="F21" s="21"/>
      <c r="G21" s="22"/>
      <c r="H21" s="22"/>
      <c r="I21" s="34">
        <v>5150.0</v>
      </c>
      <c r="J21" s="22"/>
      <c r="K21" s="35"/>
      <c r="L21" s="22"/>
      <c r="M21" s="22"/>
      <c r="N21" s="22"/>
      <c r="O21" s="22"/>
      <c r="P21" s="24">
        <v>5150.0</v>
      </c>
      <c r="Q21" s="25">
        <f t="shared" si="1"/>
        <v>0</v>
      </c>
      <c r="R21" s="24" t="s">
        <v>68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7">
        <v>45521.0</v>
      </c>
      <c r="C22" s="18" t="s">
        <v>1116</v>
      </c>
      <c r="D22" s="19">
        <v>84024.0</v>
      </c>
      <c r="E22" s="20" t="s">
        <v>1117</v>
      </c>
      <c r="F22" s="21"/>
      <c r="G22" s="22"/>
      <c r="H22" s="22"/>
      <c r="I22" s="21"/>
      <c r="J22" s="22"/>
      <c r="K22" s="21"/>
      <c r="L22" s="22"/>
      <c r="M22" s="22">
        <v>3700.0</v>
      </c>
      <c r="N22" s="22"/>
      <c r="O22" s="22"/>
      <c r="P22" s="24">
        <v>3700.0</v>
      </c>
      <c r="Q22" s="25">
        <f t="shared" si="1"/>
        <v>0</v>
      </c>
      <c r="R22" s="24" t="s">
        <v>68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36">
        <v>45521.0</v>
      </c>
      <c r="C23" s="37" t="s">
        <v>1118</v>
      </c>
      <c r="D23" s="38">
        <v>21818.0</v>
      </c>
      <c r="E23" s="39" t="s">
        <v>32</v>
      </c>
      <c r="F23" s="34"/>
      <c r="G23" s="40"/>
      <c r="H23" s="40"/>
      <c r="I23" s="34"/>
      <c r="J23" s="34"/>
      <c r="K23" s="41">
        <v>5000.0</v>
      </c>
      <c r="L23" s="40"/>
      <c r="M23" s="40"/>
      <c r="N23" s="40"/>
      <c r="O23" s="40"/>
      <c r="P23" s="42">
        <v>5000.0</v>
      </c>
      <c r="Q23" s="25">
        <f t="shared" si="1"/>
        <v>0</v>
      </c>
      <c r="R23" s="42" t="s">
        <v>68</v>
      </c>
      <c r="S23" s="26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</row>
    <row r="24" ht="34.5" customHeight="1">
      <c r="A24" s="16">
        <v>20.0</v>
      </c>
      <c r="B24" s="27">
        <v>45521.0</v>
      </c>
      <c r="C24" s="18" t="s">
        <v>1119</v>
      </c>
      <c r="D24" s="19">
        <v>48854.0</v>
      </c>
      <c r="E24" s="20" t="s">
        <v>86</v>
      </c>
      <c r="F24" s="21"/>
      <c r="G24" s="22"/>
      <c r="H24" s="22"/>
      <c r="I24" s="21">
        <v>5700.0</v>
      </c>
      <c r="J24" s="22"/>
      <c r="K24" s="35"/>
      <c r="L24" s="22"/>
      <c r="M24" s="22"/>
      <c r="N24" s="22"/>
      <c r="O24" s="22"/>
      <c r="P24" s="24">
        <v>5700.0</v>
      </c>
      <c r="Q24" s="25">
        <f t="shared" si="1"/>
        <v>0</v>
      </c>
      <c r="R24" s="24" t="s">
        <v>30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45521.0</v>
      </c>
      <c r="C25" s="18" t="s">
        <v>1120</v>
      </c>
      <c r="D25" s="19">
        <v>78454.0</v>
      </c>
      <c r="E25" s="20" t="s">
        <v>131</v>
      </c>
      <c r="F25" s="21"/>
      <c r="G25" s="22"/>
      <c r="H25" s="22"/>
      <c r="I25" s="21">
        <v>6250.0</v>
      </c>
      <c r="J25" s="21"/>
      <c r="K25" s="35"/>
      <c r="L25" s="22"/>
      <c r="M25" s="22"/>
      <c r="N25" s="22"/>
      <c r="O25" s="22"/>
      <c r="P25" s="24">
        <v>6250.0</v>
      </c>
      <c r="Q25" s="25">
        <f t="shared" si="1"/>
        <v>0</v>
      </c>
      <c r="R25" s="24" t="s">
        <v>51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45521.0</v>
      </c>
      <c r="C26" s="18" t="s">
        <v>1121</v>
      </c>
      <c r="D26" s="19">
        <v>78454.0</v>
      </c>
      <c r="E26" s="20" t="s">
        <v>131</v>
      </c>
      <c r="F26" s="21"/>
      <c r="G26" s="22"/>
      <c r="H26" s="22"/>
      <c r="I26" s="35">
        <v>300.0</v>
      </c>
      <c r="J26" s="21"/>
      <c r="K26" s="35"/>
      <c r="L26" s="22"/>
      <c r="M26" s="22"/>
      <c r="N26" s="22"/>
      <c r="O26" s="22"/>
      <c r="P26" s="24">
        <v>300.0</v>
      </c>
      <c r="Q26" s="25">
        <f t="shared" si="1"/>
        <v>0</v>
      </c>
      <c r="R26" s="24" t="s">
        <v>68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45521.0</v>
      </c>
      <c r="C27" s="18" t="s">
        <v>1122</v>
      </c>
      <c r="D27" s="19">
        <v>77886.0</v>
      </c>
      <c r="E27" s="20" t="s">
        <v>110</v>
      </c>
      <c r="F27" s="21"/>
      <c r="G27" s="22"/>
      <c r="H27" s="22"/>
      <c r="I27" s="21">
        <v>4500.0</v>
      </c>
      <c r="J27" s="21"/>
      <c r="K27" s="23"/>
      <c r="L27" s="22"/>
      <c r="M27" s="22"/>
      <c r="N27" s="22"/>
      <c r="O27" s="22"/>
      <c r="P27" s="24">
        <v>4500.0</v>
      </c>
      <c r="Q27" s="25">
        <f t="shared" si="1"/>
        <v>0</v>
      </c>
      <c r="R27" s="24" t="s">
        <v>30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45521.0</v>
      </c>
      <c r="C28" s="18" t="s">
        <v>1123</v>
      </c>
      <c r="D28" s="19">
        <v>81108.0</v>
      </c>
      <c r="E28" s="20" t="s">
        <v>94</v>
      </c>
      <c r="F28" s="21"/>
      <c r="G28" s="22"/>
      <c r="H28" s="22"/>
      <c r="I28" s="21">
        <v>28800.0</v>
      </c>
      <c r="J28" s="21"/>
      <c r="K28" s="23"/>
      <c r="L28" s="22"/>
      <c r="M28" s="22"/>
      <c r="N28" s="22"/>
      <c r="O28" s="22"/>
      <c r="P28" s="24">
        <v>28800.0</v>
      </c>
      <c r="Q28" s="25">
        <f t="shared" si="1"/>
        <v>0</v>
      </c>
      <c r="R28" s="24" t="s">
        <v>68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45521.0</v>
      </c>
      <c r="C29" s="18" t="s">
        <v>1124</v>
      </c>
      <c r="D29" s="19">
        <v>10249.0</v>
      </c>
      <c r="E29" s="20" t="s">
        <v>617</v>
      </c>
      <c r="F29" s="21"/>
      <c r="G29" s="22"/>
      <c r="H29" s="22"/>
      <c r="I29" s="21"/>
      <c r="J29" s="21">
        <v>4500.0</v>
      </c>
      <c r="K29" s="23"/>
      <c r="L29" s="22"/>
      <c r="M29" s="22"/>
      <c r="N29" s="22"/>
      <c r="O29" s="22"/>
      <c r="P29" s="24">
        <v>4500.0</v>
      </c>
      <c r="Q29" s="25">
        <f t="shared" si="1"/>
        <v>0</v>
      </c>
      <c r="R29" s="24" t="s">
        <v>51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45521.0</v>
      </c>
      <c r="C30" s="18" t="s">
        <v>1125</v>
      </c>
      <c r="D30" s="19">
        <v>76556.0</v>
      </c>
      <c r="E30" s="20" t="s">
        <v>1100</v>
      </c>
      <c r="F30" s="21">
        <v>450.0</v>
      </c>
      <c r="G30" s="22"/>
      <c r="H30" s="22"/>
      <c r="I30" s="21"/>
      <c r="J30" s="21"/>
      <c r="K30" s="23"/>
      <c r="L30" s="22"/>
      <c r="M30" s="22"/>
      <c r="N30" s="22"/>
      <c r="O30" s="22"/>
      <c r="P30" s="24">
        <v>450.0</v>
      </c>
      <c r="Q30" s="25">
        <f t="shared" si="1"/>
        <v>0</v>
      </c>
      <c r="R30" s="24" t="s">
        <v>68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45521.0</v>
      </c>
      <c r="C31" s="18" t="s">
        <v>1126</v>
      </c>
      <c r="D31" s="19">
        <v>10249.0</v>
      </c>
      <c r="E31" s="20" t="s">
        <v>617</v>
      </c>
      <c r="F31" s="21"/>
      <c r="G31" s="22"/>
      <c r="H31" s="22"/>
      <c r="I31" s="21"/>
      <c r="J31" s="21">
        <v>2800.0</v>
      </c>
      <c r="K31" s="23"/>
      <c r="L31" s="22"/>
      <c r="M31" s="22"/>
      <c r="N31" s="22"/>
      <c r="O31" s="22"/>
      <c r="P31" s="24">
        <v>2800.0</v>
      </c>
      <c r="Q31" s="25">
        <f t="shared" si="1"/>
        <v>0</v>
      </c>
      <c r="R31" s="24" t="s">
        <v>51</v>
      </c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45521.0</v>
      </c>
      <c r="C32" s="18" t="s">
        <v>1127</v>
      </c>
      <c r="D32" s="19">
        <v>59244.0</v>
      </c>
      <c r="E32" s="20" t="s">
        <v>237</v>
      </c>
      <c r="F32" s="21"/>
      <c r="G32" s="22"/>
      <c r="H32" s="22"/>
      <c r="I32" s="21">
        <v>15000.0</v>
      </c>
      <c r="J32" s="21"/>
      <c r="K32" s="23"/>
      <c r="L32" s="22"/>
      <c r="M32" s="22"/>
      <c r="N32" s="22"/>
      <c r="O32" s="22"/>
      <c r="P32" s="24">
        <v>15000.0</v>
      </c>
      <c r="Q32" s="25">
        <f t="shared" si="1"/>
        <v>0</v>
      </c>
      <c r="R32" s="24" t="s">
        <v>68</v>
      </c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45521.0</v>
      </c>
      <c r="C33" s="18" t="s">
        <v>1128</v>
      </c>
      <c r="D33" s="19">
        <v>54211.0</v>
      </c>
      <c r="E33" s="20" t="s">
        <v>1129</v>
      </c>
      <c r="F33" s="21"/>
      <c r="G33" s="22"/>
      <c r="H33" s="22"/>
      <c r="I33" s="21">
        <v>4500.0</v>
      </c>
      <c r="J33" s="21"/>
      <c r="K33" s="23"/>
      <c r="L33" s="22"/>
      <c r="M33" s="22"/>
      <c r="N33" s="22"/>
      <c r="O33" s="22"/>
      <c r="P33" s="24">
        <v>4500.0</v>
      </c>
      <c r="Q33" s="25">
        <f t="shared" si="1"/>
        <v>0</v>
      </c>
      <c r="R33" s="24" t="s">
        <v>51</v>
      </c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7">
        <v>45521.0</v>
      </c>
      <c r="C34" s="18" t="s">
        <v>1130</v>
      </c>
      <c r="D34" s="19">
        <v>54695.0</v>
      </c>
      <c r="E34" s="20" t="s">
        <v>1131</v>
      </c>
      <c r="F34" s="21"/>
      <c r="G34" s="22"/>
      <c r="H34" s="22"/>
      <c r="I34" s="21">
        <v>4500.0</v>
      </c>
      <c r="J34" s="21"/>
      <c r="K34" s="23"/>
      <c r="L34" s="22"/>
      <c r="M34" s="22"/>
      <c r="N34" s="22"/>
      <c r="O34" s="22"/>
      <c r="P34" s="24">
        <v>4500.0</v>
      </c>
      <c r="Q34" s="25">
        <f t="shared" si="1"/>
        <v>0</v>
      </c>
      <c r="R34" s="24" t="s">
        <v>51</v>
      </c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7">
        <v>45521.0</v>
      </c>
      <c r="C35" s="18" t="s">
        <v>1132</v>
      </c>
      <c r="D35" s="19">
        <v>14343.0</v>
      </c>
      <c r="E35" s="20" t="s">
        <v>819</v>
      </c>
      <c r="F35" s="21"/>
      <c r="G35" s="22"/>
      <c r="H35" s="22"/>
      <c r="I35" s="21">
        <v>5150.0</v>
      </c>
      <c r="J35" s="21"/>
      <c r="K35" s="23"/>
      <c r="L35" s="22"/>
      <c r="M35" s="22"/>
      <c r="N35" s="22"/>
      <c r="O35" s="22"/>
      <c r="P35" s="24">
        <v>5150.0</v>
      </c>
      <c r="Q35" s="25">
        <f t="shared" si="1"/>
        <v>0</v>
      </c>
      <c r="R35" s="24" t="s">
        <v>51</v>
      </c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7">
        <v>45521.0</v>
      </c>
      <c r="C36" s="18" t="s">
        <v>1133</v>
      </c>
      <c r="D36" s="19">
        <v>36555.0</v>
      </c>
      <c r="E36" s="20" t="s">
        <v>63</v>
      </c>
      <c r="F36" s="21"/>
      <c r="G36" s="22"/>
      <c r="H36" s="22"/>
      <c r="I36" s="21">
        <v>400.0</v>
      </c>
      <c r="J36" s="21"/>
      <c r="K36" s="23"/>
      <c r="L36" s="22"/>
      <c r="M36" s="22"/>
      <c r="N36" s="22"/>
      <c r="O36" s="22"/>
      <c r="P36" s="24">
        <v>400.0</v>
      </c>
      <c r="Q36" s="25">
        <f t="shared" si="1"/>
        <v>0</v>
      </c>
      <c r="R36" s="24" t="s">
        <v>68</v>
      </c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7">
        <v>45520.0</v>
      </c>
      <c r="C37" s="18" t="s">
        <v>1134</v>
      </c>
      <c r="D37" s="19">
        <v>84461.0</v>
      </c>
      <c r="E37" s="20" t="s">
        <v>1135</v>
      </c>
      <c r="F37" s="21"/>
      <c r="G37" s="22"/>
      <c r="H37" s="22">
        <v>4500.0</v>
      </c>
      <c r="I37" s="21"/>
      <c r="J37" s="21"/>
      <c r="K37" s="23"/>
      <c r="L37" s="22"/>
      <c r="M37" s="22"/>
      <c r="N37" s="22"/>
      <c r="O37" s="22"/>
      <c r="P37" s="24">
        <v>4500.0</v>
      </c>
      <c r="Q37" s="25">
        <f t="shared" si="1"/>
        <v>0</v>
      </c>
      <c r="R37" s="24"/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7">
        <v>45521.0</v>
      </c>
      <c r="C38" s="18" t="s">
        <v>1136</v>
      </c>
      <c r="D38" s="19">
        <v>69659.0</v>
      </c>
      <c r="E38" s="20" t="s">
        <v>723</v>
      </c>
      <c r="F38" s="21"/>
      <c r="G38" s="22"/>
      <c r="H38" s="22"/>
      <c r="I38" s="21"/>
      <c r="J38" s="21"/>
      <c r="K38" s="23"/>
      <c r="L38" s="22"/>
      <c r="M38" s="22">
        <v>4500.0</v>
      </c>
      <c r="N38" s="22"/>
      <c r="O38" s="22"/>
      <c r="P38" s="24">
        <v>4500.0</v>
      </c>
      <c r="Q38" s="25">
        <f t="shared" si="1"/>
        <v>0</v>
      </c>
      <c r="R38" s="24"/>
      <c r="S38" s="26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7.5" customHeight="1">
      <c r="A39" s="16"/>
      <c r="B39" s="27"/>
      <c r="C39" s="18"/>
      <c r="D39" s="19" t="s">
        <v>183</v>
      </c>
      <c r="E39" s="20"/>
      <c r="F39" s="45">
        <f t="shared" ref="F39:P39" si="2">SUM(F5:F38)</f>
        <v>4200</v>
      </c>
      <c r="G39" s="45">
        <f t="shared" si="2"/>
        <v>0</v>
      </c>
      <c r="H39" s="45">
        <f t="shared" si="2"/>
        <v>18400</v>
      </c>
      <c r="I39" s="45">
        <f t="shared" si="2"/>
        <v>112540</v>
      </c>
      <c r="J39" s="45">
        <f t="shared" si="2"/>
        <v>29550</v>
      </c>
      <c r="K39" s="45">
        <f t="shared" si="2"/>
        <v>5300</v>
      </c>
      <c r="L39" s="45">
        <f t="shared" si="2"/>
        <v>0</v>
      </c>
      <c r="M39" s="45">
        <f t="shared" si="2"/>
        <v>8200</v>
      </c>
      <c r="N39" s="45">
        <f t="shared" si="2"/>
        <v>0</v>
      </c>
      <c r="O39" s="45">
        <f t="shared" si="2"/>
        <v>0</v>
      </c>
      <c r="P39" s="45">
        <f t="shared" si="2"/>
        <v>178190</v>
      </c>
      <c r="Q39" s="46">
        <v>0.0</v>
      </c>
      <c r="R39" s="47"/>
      <c r="S39" s="26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</row>
    <row r="40" ht="15.75" customHeight="1">
      <c r="A40" s="48"/>
      <c r="B40" s="48"/>
      <c r="C40" s="49"/>
      <c r="D40" s="48"/>
      <c r="E40" s="48"/>
      <c r="F40" s="50">
        <f>F39+G39+H39+I39+J39+K39+L39+M39+N39+O39</f>
        <v>178190</v>
      </c>
      <c r="P40" s="51"/>
      <c r="Q40" s="51"/>
      <c r="R40" s="48"/>
      <c r="S40" s="48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</row>
    <row r="41" ht="15.75" customHeight="1">
      <c r="A41" s="4"/>
      <c r="B41" s="4"/>
      <c r="C41" s="52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5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53" t="s">
        <v>183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52"/>
      <c r="D44" s="4"/>
      <c r="E44" s="54" t="s">
        <v>184</v>
      </c>
      <c r="F44" s="55" t="s">
        <v>185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52"/>
      <c r="D45" s="4"/>
      <c r="E45" s="56" t="s">
        <v>186</v>
      </c>
      <c r="F45" s="55" t="s">
        <v>357</v>
      </c>
      <c r="G45" s="4"/>
      <c r="H45" s="4"/>
      <c r="I45" s="4"/>
      <c r="J45" s="4"/>
      <c r="K45" s="4"/>
      <c r="L45" s="4"/>
      <c r="M45" s="4"/>
      <c r="N45" s="4"/>
      <c r="O45" s="57" t="s">
        <v>183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52"/>
      <c r="D46" s="4"/>
      <c r="E46" s="56" t="s">
        <v>188</v>
      </c>
      <c r="F46" s="55" t="s">
        <v>185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52"/>
      <c r="D47" s="4"/>
      <c r="E47" s="56" t="s">
        <v>189</v>
      </c>
      <c r="F47" s="55" t="s">
        <v>185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2"/>
      <c r="D48" s="4"/>
      <c r="E48" s="56" t="s">
        <v>190</v>
      </c>
      <c r="F48" s="55" t="s">
        <v>185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2"/>
      <c r="D49" s="4"/>
      <c r="E49" s="56" t="s">
        <v>1137</v>
      </c>
      <c r="F49" s="55" t="s">
        <v>185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2"/>
      <c r="D50" s="4"/>
      <c r="E50" s="56" t="s">
        <v>193</v>
      </c>
      <c r="F50" s="55" t="s">
        <v>194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2"/>
      <c r="D51" s="4"/>
      <c r="E51" s="56" t="s">
        <v>195</v>
      </c>
      <c r="F51" s="59" t="s">
        <v>196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57" t="s">
        <v>183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2"/>
      <c r="D52" s="4"/>
      <c r="E52" s="4"/>
      <c r="F52" s="4"/>
      <c r="G52" s="4"/>
      <c r="H52" s="4"/>
      <c r="I52" s="4"/>
      <c r="J52" s="4"/>
      <c r="K52" s="4" t="str">
        <f>I72439</f>
        <v/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57" t="s">
        <v>197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>
        <v>7.0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5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R2:R4"/>
    <mergeCell ref="S2:S4"/>
    <mergeCell ref="F3:F4"/>
    <mergeCell ref="G3:H3"/>
    <mergeCell ref="I3:J3"/>
    <mergeCell ref="K3:K4"/>
    <mergeCell ref="F40:O40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6.88"/>
    <col customWidth="1" min="6" max="6" width="29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45.0" customHeight="1">
      <c r="A1" s="1" t="s">
        <v>1138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15.75" customHeight="1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5.75" customHeight="1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45521.0</v>
      </c>
      <c r="C5" s="18" t="s">
        <v>1139</v>
      </c>
      <c r="D5" s="19">
        <v>21818.0</v>
      </c>
      <c r="E5" s="20" t="s">
        <v>32</v>
      </c>
      <c r="F5" s="21"/>
      <c r="G5" s="22"/>
      <c r="H5" s="21"/>
      <c r="I5" s="23"/>
      <c r="J5" s="23"/>
      <c r="K5" s="22">
        <v>1000.0</v>
      </c>
      <c r="L5" s="22"/>
      <c r="M5" s="21"/>
      <c r="N5" s="22"/>
      <c r="O5" s="22"/>
      <c r="P5" s="24">
        <v>1000.0</v>
      </c>
      <c r="Q5" s="25">
        <v>0.0</v>
      </c>
      <c r="R5" s="24" t="s">
        <v>30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45521.0</v>
      </c>
      <c r="C6" s="18" t="s">
        <v>1140</v>
      </c>
      <c r="D6" s="19">
        <v>21818.0</v>
      </c>
      <c r="E6" s="20" t="s">
        <v>32</v>
      </c>
      <c r="F6" s="21"/>
      <c r="G6" s="22"/>
      <c r="H6" s="22"/>
      <c r="I6" s="21"/>
      <c r="J6" s="22"/>
      <c r="K6" s="22">
        <v>750.0</v>
      </c>
      <c r="L6" s="22"/>
      <c r="M6" s="21"/>
      <c r="N6" s="22"/>
      <c r="O6" s="22"/>
      <c r="P6" s="24">
        <v>750.0</v>
      </c>
      <c r="Q6" s="25">
        <v>0.0</v>
      </c>
      <c r="R6" s="24" t="s">
        <v>30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45521.0</v>
      </c>
      <c r="C7" s="18" t="s">
        <v>1141</v>
      </c>
      <c r="D7" s="19">
        <v>83058.0</v>
      </c>
      <c r="E7" s="20" t="s">
        <v>1142</v>
      </c>
      <c r="F7" s="22"/>
      <c r="G7" s="22"/>
      <c r="H7" s="21"/>
      <c r="I7" s="21"/>
      <c r="J7" s="23"/>
      <c r="K7" s="22"/>
      <c r="L7" s="22"/>
      <c r="M7" s="22">
        <v>3600.0</v>
      </c>
      <c r="N7" s="22"/>
      <c r="O7" s="22"/>
      <c r="P7" s="24">
        <v>3600.0</v>
      </c>
      <c r="Q7" s="25">
        <v>0.0</v>
      </c>
      <c r="R7" s="24" t="s">
        <v>68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45521.0</v>
      </c>
      <c r="C8" s="18" t="s">
        <v>1143</v>
      </c>
      <c r="D8" s="19">
        <v>83058.0</v>
      </c>
      <c r="E8" s="20" t="s">
        <v>1142</v>
      </c>
      <c r="F8" s="22"/>
      <c r="G8" s="22"/>
      <c r="H8" s="22"/>
      <c r="I8" s="21"/>
      <c r="J8" s="21"/>
      <c r="K8" s="22"/>
      <c r="L8" s="22"/>
      <c r="M8" s="22">
        <v>1290.0</v>
      </c>
      <c r="N8" s="22"/>
      <c r="O8" s="22"/>
      <c r="P8" s="24">
        <v>1290.0</v>
      </c>
      <c r="Q8" s="25">
        <v>0.0</v>
      </c>
      <c r="R8" s="24" t="s">
        <v>68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45521.0</v>
      </c>
      <c r="C9" s="18" t="s">
        <v>1144</v>
      </c>
      <c r="D9" s="19">
        <v>83495.0</v>
      </c>
      <c r="E9" s="20" t="s">
        <v>1145</v>
      </c>
      <c r="F9" s="22"/>
      <c r="G9" s="22">
        <v>4400.0</v>
      </c>
      <c r="H9" s="22"/>
      <c r="I9" s="21"/>
      <c r="J9" s="21"/>
      <c r="K9" s="22"/>
      <c r="L9" s="22"/>
      <c r="M9" s="21"/>
      <c r="N9" s="22"/>
      <c r="O9" s="22"/>
      <c r="P9" s="24">
        <v>4400.0</v>
      </c>
      <c r="Q9" s="25">
        <v>0.0</v>
      </c>
      <c r="R9" s="24" t="s">
        <v>68</v>
      </c>
      <c r="S9" s="26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45521.0</v>
      </c>
      <c r="C10" s="18" t="s">
        <v>1146</v>
      </c>
      <c r="D10" s="19">
        <v>21818.0</v>
      </c>
      <c r="E10" s="20" t="s">
        <v>32</v>
      </c>
      <c r="F10" s="22"/>
      <c r="G10" s="22"/>
      <c r="H10" s="22"/>
      <c r="I10" s="21"/>
      <c r="J10" s="21"/>
      <c r="K10" s="22">
        <v>2250.0</v>
      </c>
      <c r="L10" s="22"/>
      <c r="M10" s="21"/>
      <c r="N10" s="22"/>
      <c r="O10" s="22"/>
      <c r="P10" s="24">
        <v>2250.0</v>
      </c>
      <c r="Q10" s="25">
        <v>0.0</v>
      </c>
      <c r="R10" s="24" t="s">
        <v>68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45521.0</v>
      </c>
      <c r="C11" s="18" t="s">
        <v>1147</v>
      </c>
      <c r="D11" s="19">
        <v>21818.0</v>
      </c>
      <c r="E11" s="20" t="s">
        <v>32</v>
      </c>
      <c r="F11" s="22"/>
      <c r="G11" s="22"/>
      <c r="H11" s="22"/>
      <c r="I11" s="21"/>
      <c r="J11" s="21"/>
      <c r="K11" s="22">
        <v>900.0</v>
      </c>
      <c r="L11" s="22"/>
      <c r="M11" s="21"/>
      <c r="N11" s="22"/>
      <c r="O11" s="22"/>
      <c r="P11" s="24">
        <v>900.0</v>
      </c>
      <c r="Q11" s="25">
        <v>0.0</v>
      </c>
      <c r="R11" s="24" t="s">
        <v>68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7">
        <v>45522.0</v>
      </c>
      <c r="C12" s="18" t="s">
        <v>1148</v>
      </c>
      <c r="D12" s="19">
        <v>83970.0</v>
      </c>
      <c r="E12" s="20" t="s">
        <v>1014</v>
      </c>
      <c r="F12" s="22"/>
      <c r="G12" s="22"/>
      <c r="H12" s="22"/>
      <c r="I12" s="21">
        <v>1600.0</v>
      </c>
      <c r="J12" s="21"/>
      <c r="K12" s="22"/>
      <c r="L12" s="22"/>
      <c r="M12" s="21"/>
      <c r="N12" s="22"/>
      <c r="O12" s="22"/>
      <c r="P12" s="24">
        <v>1600.0</v>
      </c>
      <c r="Q12" s="25">
        <v>0.0</v>
      </c>
      <c r="R12" s="24" t="s">
        <v>30</v>
      </c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8">
        <v>45522.0</v>
      </c>
      <c r="C13" s="29" t="s">
        <v>1149</v>
      </c>
      <c r="D13" s="30">
        <v>78159.0</v>
      </c>
      <c r="E13" s="31" t="s">
        <v>1150</v>
      </c>
      <c r="F13" s="22"/>
      <c r="G13" s="22"/>
      <c r="H13" s="22"/>
      <c r="I13" s="21"/>
      <c r="J13" s="21">
        <v>5000.0</v>
      </c>
      <c r="K13" s="22"/>
      <c r="L13" s="22"/>
      <c r="M13" s="21"/>
      <c r="N13" s="22"/>
      <c r="O13" s="22"/>
      <c r="P13" s="32">
        <v>5000.0</v>
      </c>
      <c r="Q13" s="25">
        <v>0.0</v>
      </c>
      <c r="R13" s="32" t="s">
        <v>479</v>
      </c>
      <c r="S13" s="26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 ht="34.5" customHeight="1">
      <c r="A14" s="16">
        <v>10.0</v>
      </c>
      <c r="B14" s="27">
        <v>45522.0</v>
      </c>
      <c r="C14" s="18" t="s">
        <v>1151</v>
      </c>
      <c r="D14" s="19">
        <v>21818.0</v>
      </c>
      <c r="E14" s="20" t="s">
        <v>32</v>
      </c>
      <c r="F14" s="22"/>
      <c r="G14" s="22"/>
      <c r="H14" s="22"/>
      <c r="I14" s="21"/>
      <c r="J14" s="21"/>
      <c r="K14" s="22">
        <v>5000.0</v>
      </c>
      <c r="L14" s="22"/>
      <c r="M14" s="21"/>
      <c r="N14" s="22"/>
      <c r="O14" s="22"/>
      <c r="P14" s="24">
        <v>5000.0</v>
      </c>
      <c r="Q14" s="25">
        <v>0.0</v>
      </c>
      <c r="R14" s="24" t="s">
        <v>479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45522.0</v>
      </c>
      <c r="C15" s="18" t="s">
        <v>1152</v>
      </c>
      <c r="D15" s="19">
        <v>51697.0</v>
      </c>
      <c r="E15" s="20" t="s">
        <v>303</v>
      </c>
      <c r="F15" s="22"/>
      <c r="G15" s="22"/>
      <c r="H15" s="22"/>
      <c r="I15" s="21"/>
      <c r="J15" s="21">
        <v>12500.0</v>
      </c>
      <c r="K15" s="22"/>
      <c r="L15" s="22"/>
      <c r="M15" s="21"/>
      <c r="N15" s="22"/>
      <c r="O15" s="22"/>
      <c r="P15" s="24">
        <v>12500.0</v>
      </c>
      <c r="Q15" s="25">
        <v>0.0</v>
      </c>
      <c r="R15" s="24" t="s">
        <v>25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45522.0</v>
      </c>
      <c r="C16" s="18" t="s">
        <v>1153</v>
      </c>
      <c r="D16" s="19">
        <v>33065.0</v>
      </c>
      <c r="E16" s="20" t="s">
        <v>1154</v>
      </c>
      <c r="F16" s="22"/>
      <c r="G16" s="22"/>
      <c r="H16" s="22"/>
      <c r="I16" s="21">
        <v>5150.0</v>
      </c>
      <c r="J16" s="21"/>
      <c r="K16" s="21"/>
      <c r="L16" s="22"/>
      <c r="M16" s="21"/>
      <c r="N16" s="22"/>
      <c r="O16" s="22"/>
      <c r="P16" s="24">
        <v>5150.0</v>
      </c>
      <c r="Q16" s="25">
        <v>0.0</v>
      </c>
      <c r="R16" s="24" t="s">
        <v>30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45522.0</v>
      </c>
      <c r="C17" s="18" t="s">
        <v>1155</v>
      </c>
      <c r="D17" s="19">
        <v>52083.0</v>
      </c>
      <c r="E17" s="20" t="s">
        <v>122</v>
      </c>
      <c r="F17" s="22"/>
      <c r="G17" s="22"/>
      <c r="H17" s="22"/>
      <c r="I17" s="21">
        <v>2850.0</v>
      </c>
      <c r="J17" s="21"/>
      <c r="K17" s="21"/>
      <c r="L17" s="22"/>
      <c r="M17" s="21"/>
      <c r="N17" s="22"/>
      <c r="O17" s="22"/>
      <c r="P17" s="24">
        <v>2850.0</v>
      </c>
      <c r="Q17" s="25">
        <v>0.0</v>
      </c>
      <c r="R17" s="24" t="s">
        <v>479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7">
        <v>45522.0</v>
      </c>
      <c r="C18" s="18" t="s">
        <v>1156</v>
      </c>
      <c r="D18" s="19">
        <v>19122.0</v>
      </c>
      <c r="E18" s="20" t="s">
        <v>43</v>
      </c>
      <c r="F18" s="22"/>
      <c r="G18" s="22">
        <v>0.0</v>
      </c>
      <c r="H18" s="22"/>
      <c r="I18" s="21"/>
      <c r="J18" s="21"/>
      <c r="K18" s="21"/>
      <c r="L18" s="22"/>
      <c r="M18" s="22"/>
      <c r="N18" s="22"/>
      <c r="O18" s="22"/>
      <c r="P18" s="24">
        <v>12200.0</v>
      </c>
      <c r="Q18" s="25">
        <v>12200.0</v>
      </c>
      <c r="R18" s="24" t="s">
        <v>25</v>
      </c>
      <c r="S18" s="26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28">
        <v>45522.0</v>
      </c>
      <c r="C19" s="29" t="s">
        <v>1157</v>
      </c>
      <c r="D19" s="30">
        <v>84304.0</v>
      </c>
      <c r="E19" s="31" t="s">
        <v>278</v>
      </c>
      <c r="F19" s="22"/>
      <c r="G19" s="22"/>
      <c r="H19" s="22"/>
      <c r="I19" s="21"/>
      <c r="J19" s="21">
        <v>1900.0</v>
      </c>
      <c r="K19" s="21"/>
      <c r="L19" s="22"/>
      <c r="M19" s="21"/>
      <c r="N19" s="22"/>
      <c r="O19" s="22"/>
      <c r="P19" s="32">
        <v>1900.0</v>
      </c>
      <c r="Q19" s="25">
        <v>0.0</v>
      </c>
      <c r="R19" s="32" t="s">
        <v>30</v>
      </c>
      <c r="S19" s="26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ht="34.5" customHeight="1">
      <c r="A20" s="16">
        <v>16.0</v>
      </c>
      <c r="B20" s="27">
        <v>45522.0</v>
      </c>
      <c r="C20" s="18" t="s">
        <v>1158</v>
      </c>
      <c r="D20" s="19">
        <v>84477.0</v>
      </c>
      <c r="E20" s="20" t="s">
        <v>1159</v>
      </c>
      <c r="F20" s="22"/>
      <c r="G20" s="22"/>
      <c r="H20" s="22"/>
      <c r="I20" s="21">
        <v>300.0</v>
      </c>
      <c r="J20" s="21"/>
      <c r="K20" s="21"/>
      <c r="L20" s="22"/>
      <c r="M20" s="22"/>
      <c r="N20" s="22"/>
      <c r="O20" s="22"/>
      <c r="P20" s="24">
        <v>300.0</v>
      </c>
      <c r="Q20" s="25">
        <v>0.0</v>
      </c>
      <c r="R20" s="24" t="s">
        <v>479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45522.0</v>
      </c>
      <c r="C21" s="18" t="s">
        <v>1160</v>
      </c>
      <c r="D21" s="19">
        <v>22727.0</v>
      </c>
      <c r="E21" s="20" t="s">
        <v>1049</v>
      </c>
      <c r="F21" s="21"/>
      <c r="G21" s="22"/>
      <c r="H21" s="22"/>
      <c r="I21" s="21"/>
      <c r="J21" s="21">
        <v>5000.0</v>
      </c>
      <c r="K21" s="21"/>
      <c r="L21" s="22"/>
      <c r="M21" s="22"/>
      <c r="N21" s="22"/>
      <c r="O21" s="22"/>
      <c r="P21" s="24">
        <v>5000.0</v>
      </c>
      <c r="Q21" s="25">
        <v>0.0</v>
      </c>
      <c r="R21" s="24" t="s">
        <v>30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7">
        <v>45522.0</v>
      </c>
      <c r="C22" s="18" t="s">
        <v>1161</v>
      </c>
      <c r="D22" s="19">
        <v>52083.0</v>
      </c>
      <c r="E22" s="20" t="s">
        <v>122</v>
      </c>
      <c r="F22" s="21"/>
      <c r="G22" s="22"/>
      <c r="H22" s="22"/>
      <c r="I22" s="21">
        <v>8750.0</v>
      </c>
      <c r="J22" s="21"/>
      <c r="K22" s="21"/>
      <c r="L22" s="22"/>
      <c r="M22" s="22"/>
      <c r="N22" s="22"/>
      <c r="O22" s="22"/>
      <c r="P22" s="24">
        <v>8750.0</v>
      </c>
      <c r="Q22" s="25">
        <v>0.0</v>
      </c>
      <c r="R22" s="24" t="s">
        <v>25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36">
        <v>45522.0</v>
      </c>
      <c r="C23" s="37" t="s">
        <v>1162</v>
      </c>
      <c r="D23" s="38">
        <v>46927.0</v>
      </c>
      <c r="E23" s="39" t="s">
        <v>225</v>
      </c>
      <c r="F23" s="34"/>
      <c r="G23" s="40"/>
      <c r="H23" s="40"/>
      <c r="I23" s="21"/>
      <c r="J23" s="21"/>
      <c r="K23" s="21">
        <v>300.0</v>
      </c>
      <c r="L23" s="40"/>
      <c r="M23" s="40"/>
      <c r="N23" s="40"/>
      <c r="O23" s="40"/>
      <c r="P23" s="42">
        <v>300.0</v>
      </c>
      <c r="Q23" s="25">
        <v>0.0</v>
      </c>
      <c r="R23" s="42" t="s">
        <v>30</v>
      </c>
      <c r="S23" s="26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</row>
    <row r="24" ht="34.5" customHeight="1">
      <c r="A24" s="16">
        <v>20.0</v>
      </c>
      <c r="B24" s="27">
        <v>45522.0</v>
      </c>
      <c r="C24" s="18" t="s">
        <v>1163</v>
      </c>
      <c r="D24" s="19">
        <v>62267.0</v>
      </c>
      <c r="E24" s="20" t="s">
        <v>1164</v>
      </c>
      <c r="F24" s="21"/>
      <c r="G24" s="22"/>
      <c r="H24" s="22"/>
      <c r="I24" s="21">
        <v>1450.0</v>
      </c>
      <c r="J24" s="22"/>
      <c r="K24" s="35"/>
      <c r="L24" s="22"/>
      <c r="M24" s="22"/>
      <c r="N24" s="22"/>
      <c r="O24" s="22"/>
      <c r="P24" s="24">
        <v>1450.0</v>
      </c>
      <c r="Q24" s="25">
        <v>0.0</v>
      </c>
      <c r="R24" s="24" t="s">
        <v>30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45522.0</v>
      </c>
      <c r="C25" s="18" t="s">
        <v>1165</v>
      </c>
      <c r="D25" s="19">
        <v>42095.0</v>
      </c>
      <c r="E25" s="20" t="s">
        <v>1166</v>
      </c>
      <c r="F25" s="21">
        <v>167.0</v>
      </c>
      <c r="G25" s="22"/>
      <c r="H25" s="22"/>
      <c r="I25" s="21">
        <v>833.0</v>
      </c>
      <c r="J25" s="21"/>
      <c r="K25" s="35"/>
      <c r="L25" s="22"/>
      <c r="M25" s="22"/>
      <c r="N25" s="22"/>
      <c r="O25" s="22"/>
      <c r="P25" s="24">
        <v>1000.0</v>
      </c>
      <c r="Q25" s="25">
        <v>0.0</v>
      </c>
      <c r="R25" s="24" t="s">
        <v>30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45521.0</v>
      </c>
      <c r="C26" s="18" t="s">
        <v>1167</v>
      </c>
      <c r="D26" s="19">
        <v>43380.0</v>
      </c>
      <c r="E26" s="20" t="s">
        <v>161</v>
      </c>
      <c r="F26" s="21"/>
      <c r="G26" s="22"/>
      <c r="H26" s="22">
        <v>2000.0</v>
      </c>
      <c r="I26" s="35"/>
      <c r="J26" s="21"/>
      <c r="K26" s="35"/>
      <c r="L26" s="22"/>
      <c r="M26" s="22"/>
      <c r="N26" s="22"/>
      <c r="O26" s="22"/>
      <c r="P26" s="24">
        <v>2000.0</v>
      </c>
      <c r="Q26" s="25">
        <v>0.0</v>
      </c>
      <c r="R26" s="24"/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45522.0</v>
      </c>
      <c r="C27" s="18" t="s">
        <v>1168</v>
      </c>
      <c r="D27" s="19">
        <v>25650.0</v>
      </c>
      <c r="E27" s="20" t="s">
        <v>67</v>
      </c>
      <c r="F27" s="21"/>
      <c r="G27" s="22"/>
      <c r="H27" s="22"/>
      <c r="I27" s="21"/>
      <c r="J27" s="21"/>
      <c r="K27" s="23">
        <v>4800.0</v>
      </c>
      <c r="L27" s="22"/>
      <c r="M27" s="22"/>
      <c r="N27" s="22"/>
      <c r="O27" s="22"/>
      <c r="P27" s="24">
        <v>4800.0</v>
      </c>
      <c r="Q27" s="25">
        <v>0.0</v>
      </c>
      <c r="R27" s="24"/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45522.0</v>
      </c>
      <c r="C28" s="18" t="s">
        <v>1169</v>
      </c>
      <c r="D28" s="19">
        <v>51017.0</v>
      </c>
      <c r="E28" s="20" t="s">
        <v>270</v>
      </c>
      <c r="F28" s="21"/>
      <c r="G28" s="22"/>
      <c r="H28" s="22">
        <v>20000.0</v>
      </c>
      <c r="I28" s="21"/>
      <c r="J28" s="21"/>
      <c r="K28" s="23"/>
      <c r="L28" s="22"/>
      <c r="M28" s="22"/>
      <c r="N28" s="22"/>
      <c r="O28" s="22"/>
      <c r="P28" s="24">
        <v>20000.0</v>
      </c>
      <c r="Q28" s="25">
        <v>0.0</v>
      </c>
      <c r="R28" s="24"/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45522.0</v>
      </c>
      <c r="C29" s="18" t="s">
        <v>1170</v>
      </c>
      <c r="D29" s="19">
        <v>47787.0</v>
      </c>
      <c r="E29" s="20" t="s">
        <v>1171</v>
      </c>
      <c r="F29" s="21"/>
      <c r="G29" s="22"/>
      <c r="H29" s="22">
        <v>28000.0</v>
      </c>
      <c r="I29" s="21"/>
      <c r="J29" s="21"/>
      <c r="K29" s="23"/>
      <c r="L29" s="22"/>
      <c r="M29" s="22"/>
      <c r="N29" s="22"/>
      <c r="O29" s="22"/>
      <c r="P29" s="24">
        <v>28000.0</v>
      </c>
      <c r="Q29" s="25">
        <v>0.0</v>
      </c>
      <c r="R29" s="24"/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45522.0</v>
      </c>
      <c r="C30" s="18" t="s">
        <v>1172</v>
      </c>
      <c r="D30" s="19">
        <v>51660.0</v>
      </c>
      <c r="E30" s="20" t="s">
        <v>870</v>
      </c>
      <c r="F30" s="21"/>
      <c r="G30" s="22"/>
      <c r="H30" s="22">
        <v>4500.0</v>
      </c>
      <c r="I30" s="21"/>
      <c r="J30" s="21"/>
      <c r="K30" s="23"/>
      <c r="L30" s="22"/>
      <c r="M30" s="22"/>
      <c r="N30" s="22"/>
      <c r="O30" s="22"/>
      <c r="P30" s="24">
        <v>4500.0</v>
      </c>
      <c r="Q30" s="25">
        <v>0.0</v>
      </c>
      <c r="R30" s="24"/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45522.0</v>
      </c>
      <c r="C31" s="18" t="s">
        <v>1173</v>
      </c>
      <c r="D31" s="19">
        <v>51782.0</v>
      </c>
      <c r="E31" s="20" t="s">
        <v>621</v>
      </c>
      <c r="F31" s="21"/>
      <c r="G31" s="22"/>
      <c r="H31" s="22">
        <v>800.0</v>
      </c>
      <c r="I31" s="21"/>
      <c r="J31" s="21"/>
      <c r="K31" s="23"/>
      <c r="L31" s="22"/>
      <c r="M31" s="22"/>
      <c r="N31" s="22"/>
      <c r="O31" s="22"/>
      <c r="P31" s="24">
        <v>800.0</v>
      </c>
      <c r="Q31" s="25">
        <v>0.0</v>
      </c>
      <c r="R31" s="24"/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/>
      <c r="B32" s="27"/>
      <c r="C32" s="18"/>
      <c r="D32" s="19"/>
      <c r="E32" s="20"/>
      <c r="F32" s="21"/>
      <c r="G32" s="22"/>
      <c r="H32" s="22"/>
      <c r="I32" s="21"/>
      <c r="J32" s="21"/>
      <c r="K32" s="23"/>
      <c r="L32" s="22"/>
      <c r="M32" s="22"/>
      <c r="N32" s="22"/>
      <c r="O32" s="22"/>
      <c r="P32" s="24"/>
      <c r="Q32" s="25"/>
      <c r="R32" s="24"/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/>
      <c r="B33" s="27"/>
      <c r="C33" s="18"/>
      <c r="D33" s="19"/>
      <c r="E33" s="20"/>
      <c r="F33" s="21"/>
      <c r="G33" s="22"/>
      <c r="H33" s="22"/>
      <c r="I33" s="21"/>
      <c r="J33" s="21"/>
      <c r="K33" s="23"/>
      <c r="L33" s="22"/>
      <c r="M33" s="22"/>
      <c r="N33" s="22"/>
      <c r="O33" s="22"/>
      <c r="P33" s="24"/>
      <c r="Q33" s="25"/>
      <c r="R33" s="24"/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/>
      <c r="B34" s="27"/>
      <c r="C34" s="18"/>
      <c r="D34" s="19"/>
      <c r="E34" s="20"/>
      <c r="F34" s="21"/>
      <c r="G34" s="22"/>
      <c r="H34" s="22"/>
      <c r="I34" s="21"/>
      <c r="J34" s="21"/>
      <c r="K34" s="23"/>
      <c r="L34" s="22"/>
      <c r="M34" s="22"/>
      <c r="N34" s="22"/>
      <c r="O34" s="22"/>
      <c r="P34" s="24"/>
      <c r="Q34" s="25"/>
      <c r="R34" s="24"/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7.5" customHeight="1">
      <c r="A35" s="16"/>
      <c r="B35" s="27"/>
      <c r="C35" s="18"/>
      <c r="D35" s="19" t="s">
        <v>183</v>
      </c>
      <c r="E35" s="20"/>
      <c r="F35" s="45">
        <f t="shared" ref="F35:P35" si="1">SUM(F5:F34)</f>
        <v>167</v>
      </c>
      <c r="G35" s="45">
        <f t="shared" si="1"/>
        <v>4400</v>
      </c>
      <c r="H35" s="45">
        <f t="shared" si="1"/>
        <v>55300</v>
      </c>
      <c r="I35" s="45">
        <f t="shared" si="1"/>
        <v>20933</v>
      </c>
      <c r="J35" s="45">
        <f t="shared" si="1"/>
        <v>24400</v>
      </c>
      <c r="K35" s="45">
        <f t="shared" si="1"/>
        <v>15000</v>
      </c>
      <c r="L35" s="45">
        <f t="shared" si="1"/>
        <v>0</v>
      </c>
      <c r="M35" s="45">
        <f t="shared" si="1"/>
        <v>4890</v>
      </c>
      <c r="N35" s="45">
        <f t="shared" si="1"/>
        <v>0</v>
      </c>
      <c r="O35" s="45">
        <f t="shared" si="1"/>
        <v>0</v>
      </c>
      <c r="P35" s="45">
        <f t="shared" si="1"/>
        <v>137290</v>
      </c>
      <c r="Q35" s="46">
        <v>0.0</v>
      </c>
      <c r="R35" s="47"/>
      <c r="S35" s="26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</row>
    <row r="36" ht="15.75" customHeight="1">
      <c r="A36" s="48"/>
      <c r="B36" s="48"/>
      <c r="C36" s="49"/>
      <c r="D36" s="48"/>
      <c r="E36" s="48"/>
      <c r="F36" s="50">
        <f>F35+G35+H35+I35+J35+K35+L35+M35+N35+O35</f>
        <v>125090</v>
      </c>
      <c r="P36" s="51"/>
      <c r="Q36" s="51"/>
      <c r="R36" s="48"/>
      <c r="S36" s="48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</row>
    <row r="37" ht="15.75" customHeight="1">
      <c r="A37" s="4"/>
      <c r="B37" s="4"/>
      <c r="C37" s="52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15.75" customHeight="1">
      <c r="A38" s="4"/>
      <c r="B38" s="4"/>
      <c r="C38" s="52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15.75" customHeight="1">
      <c r="A39" s="4"/>
      <c r="B39" s="4"/>
      <c r="C39" s="53" t="s">
        <v>183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15.75" customHeight="1">
      <c r="A40" s="4"/>
      <c r="B40" s="4"/>
      <c r="C40" s="52"/>
      <c r="D40" s="4"/>
      <c r="E40" s="54" t="s">
        <v>184</v>
      </c>
      <c r="F40" s="55" t="s">
        <v>196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5.75" customHeight="1">
      <c r="A41" s="4"/>
      <c r="B41" s="4"/>
      <c r="C41" s="52"/>
      <c r="D41" s="4"/>
      <c r="E41" s="56" t="s">
        <v>186</v>
      </c>
      <c r="F41" s="55" t="s">
        <v>187</v>
      </c>
      <c r="G41" s="4"/>
      <c r="H41" s="4"/>
      <c r="I41" s="4"/>
      <c r="J41" s="4"/>
      <c r="K41" s="4"/>
      <c r="L41" s="4"/>
      <c r="M41" s="4"/>
      <c r="N41" s="4"/>
      <c r="O41" s="57" t="s">
        <v>183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52"/>
      <c r="D42" s="4"/>
      <c r="E42" s="56" t="s">
        <v>188</v>
      </c>
      <c r="F42" s="55" t="s">
        <v>194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52"/>
      <c r="D43" s="4"/>
      <c r="E43" s="56" t="s">
        <v>189</v>
      </c>
      <c r="F43" s="55" t="s">
        <v>187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52"/>
      <c r="D44" s="4"/>
      <c r="E44" s="56" t="s">
        <v>190</v>
      </c>
      <c r="F44" s="55" t="s">
        <v>187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52"/>
      <c r="D45" s="4"/>
      <c r="E45" s="56" t="s">
        <v>1174</v>
      </c>
      <c r="F45" s="55" t="s">
        <v>194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52"/>
      <c r="D46" s="4"/>
      <c r="E46" s="56" t="s">
        <v>193</v>
      </c>
      <c r="F46" s="55" t="s">
        <v>194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52"/>
      <c r="D47" s="4"/>
      <c r="E47" s="56" t="s">
        <v>195</v>
      </c>
      <c r="F47" s="59" t="s">
        <v>196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57" t="s">
        <v>183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2"/>
      <c r="D48" s="4"/>
      <c r="E48" s="4"/>
      <c r="F48" s="4"/>
      <c r="G48" s="4"/>
      <c r="H48" s="4"/>
      <c r="I48" s="4"/>
      <c r="J48" s="4"/>
      <c r="K48" s="4" t="str">
        <f>I72435</f>
        <v/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4"/>
      <c r="F55" s="4"/>
      <c r="G55" s="4"/>
      <c r="H55" s="4"/>
      <c r="I55" s="57" t="s">
        <v>197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>
        <v>7.0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R2:R4"/>
    <mergeCell ref="S2:S4"/>
    <mergeCell ref="F3:F4"/>
    <mergeCell ref="G3:H3"/>
    <mergeCell ref="I3:J3"/>
    <mergeCell ref="K3:K4"/>
    <mergeCell ref="F36:O36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6.88"/>
    <col customWidth="1" min="6" max="6" width="29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45.0" customHeight="1">
      <c r="A1" s="1" t="s">
        <v>1175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15.75" customHeight="1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5.75" customHeight="1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45522.0</v>
      </c>
      <c r="C5" s="18" t="s">
        <v>1176</v>
      </c>
      <c r="D5" s="19">
        <v>76556.0</v>
      </c>
      <c r="E5" s="20" t="s">
        <v>1100</v>
      </c>
      <c r="F5" s="21">
        <v>12500.0</v>
      </c>
      <c r="G5" s="22"/>
      <c r="H5" s="21"/>
      <c r="I5" s="23"/>
      <c r="J5" s="23"/>
      <c r="K5" s="22"/>
      <c r="L5" s="22"/>
      <c r="M5" s="21"/>
      <c r="N5" s="22"/>
      <c r="O5" s="22"/>
      <c r="P5" s="24">
        <v>12500.0</v>
      </c>
      <c r="Q5" s="25">
        <f t="shared" ref="Q5:Q49" si="1">F5+G5+H5+I5+J5+K5+L5+M5+N5+O5-P5</f>
        <v>0</v>
      </c>
      <c r="R5" s="24" t="s">
        <v>479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45522.0</v>
      </c>
      <c r="C6" s="18" t="s">
        <v>1177</v>
      </c>
      <c r="D6" s="19">
        <v>58074.0</v>
      </c>
      <c r="E6" s="20" t="s">
        <v>652</v>
      </c>
      <c r="F6" s="21"/>
      <c r="G6" s="22"/>
      <c r="H6" s="22"/>
      <c r="I6" s="21">
        <v>1350.0</v>
      </c>
      <c r="J6" s="22"/>
      <c r="K6" s="22"/>
      <c r="L6" s="22"/>
      <c r="M6" s="21"/>
      <c r="N6" s="22"/>
      <c r="O6" s="22"/>
      <c r="P6" s="24">
        <v>1350.0</v>
      </c>
      <c r="Q6" s="25">
        <f t="shared" si="1"/>
        <v>0</v>
      </c>
      <c r="R6" s="24" t="s">
        <v>30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45523.0</v>
      </c>
      <c r="C7" s="18" t="s">
        <v>1178</v>
      </c>
      <c r="D7" s="19">
        <v>52669.0</v>
      </c>
      <c r="E7" s="20" t="s">
        <v>310</v>
      </c>
      <c r="F7" s="22"/>
      <c r="G7" s="22"/>
      <c r="H7" s="21"/>
      <c r="I7" s="21">
        <v>1000.0</v>
      </c>
      <c r="J7" s="23"/>
      <c r="K7" s="22"/>
      <c r="L7" s="22"/>
      <c r="M7" s="22"/>
      <c r="N7" s="22"/>
      <c r="O7" s="22"/>
      <c r="P7" s="24">
        <v>1000.0</v>
      </c>
      <c r="Q7" s="25">
        <f t="shared" si="1"/>
        <v>0</v>
      </c>
      <c r="R7" s="24" t="s">
        <v>25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45523.0</v>
      </c>
      <c r="C8" s="18" t="s">
        <v>1179</v>
      </c>
      <c r="D8" s="19">
        <v>43134.0</v>
      </c>
      <c r="E8" s="20" t="s">
        <v>1180</v>
      </c>
      <c r="F8" s="22"/>
      <c r="G8" s="22"/>
      <c r="H8" s="22"/>
      <c r="I8" s="21">
        <v>10000.0</v>
      </c>
      <c r="J8" s="21"/>
      <c r="K8" s="22"/>
      <c r="L8" s="22"/>
      <c r="M8" s="22"/>
      <c r="N8" s="22"/>
      <c r="O8" s="22"/>
      <c r="P8" s="24">
        <v>10000.0</v>
      </c>
      <c r="Q8" s="25">
        <f t="shared" si="1"/>
        <v>0</v>
      </c>
      <c r="R8" s="24" t="s">
        <v>25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45523.0</v>
      </c>
      <c r="C9" s="18" t="s">
        <v>1181</v>
      </c>
      <c r="D9" s="19">
        <v>36826.0</v>
      </c>
      <c r="E9" s="20" t="s">
        <v>1182</v>
      </c>
      <c r="F9" s="22"/>
      <c r="G9" s="22"/>
      <c r="H9" s="22"/>
      <c r="I9" s="21"/>
      <c r="J9" s="21">
        <v>10000.0</v>
      </c>
      <c r="K9" s="22"/>
      <c r="L9" s="22"/>
      <c r="M9" s="21"/>
      <c r="N9" s="22"/>
      <c r="O9" s="22"/>
      <c r="P9" s="24">
        <v>10000.0</v>
      </c>
      <c r="Q9" s="25">
        <f t="shared" si="1"/>
        <v>0</v>
      </c>
      <c r="R9" s="24" t="s">
        <v>25</v>
      </c>
      <c r="S9" s="26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45523.0</v>
      </c>
      <c r="C10" s="18" t="s">
        <v>1183</v>
      </c>
      <c r="D10" s="19">
        <v>67621.0</v>
      </c>
      <c r="E10" s="20" t="s">
        <v>92</v>
      </c>
      <c r="F10" s="22"/>
      <c r="G10" s="22"/>
      <c r="H10" s="22"/>
      <c r="I10" s="21">
        <v>1000.0</v>
      </c>
      <c r="J10" s="21"/>
      <c r="K10" s="22"/>
      <c r="L10" s="22"/>
      <c r="M10" s="21"/>
      <c r="N10" s="22"/>
      <c r="O10" s="22"/>
      <c r="P10" s="24">
        <v>1000.0</v>
      </c>
      <c r="Q10" s="25">
        <f t="shared" si="1"/>
        <v>0</v>
      </c>
      <c r="R10" s="24" t="s">
        <v>30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45523.0</v>
      </c>
      <c r="C11" s="18" t="s">
        <v>1184</v>
      </c>
      <c r="D11" s="19">
        <v>84482.0</v>
      </c>
      <c r="E11" s="20" t="s">
        <v>1185</v>
      </c>
      <c r="F11" s="22"/>
      <c r="G11" s="22"/>
      <c r="H11" s="22"/>
      <c r="I11" s="21"/>
      <c r="J11" s="21">
        <v>7300.0</v>
      </c>
      <c r="K11" s="22"/>
      <c r="L11" s="22"/>
      <c r="M11" s="21"/>
      <c r="N11" s="22"/>
      <c r="O11" s="22"/>
      <c r="P11" s="24">
        <v>7300.0</v>
      </c>
      <c r="Q11" s="25">
        <f t="shared" si="1"/>
        <v>0</v>
      </c>
      <c r="R11" s="24" t="s">
        <v>25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7">
        <v>45523.0</v>
      </c>
      <c r="C12" s="18" t="s">
        <v>1186</v>
      </c>
      <c r="D12" s="19">
        <v>70020.0</v>
      </c>
      <c r="E12" s="20" t="s">
        <v>1187</v>
      </c>
      <c r="F12" s="22"/>
      <c r="G12" s="22"/>
      <c r="H12" s="22"/>
      <c r="I12" s="21"/>
      <c r="J12" s="21">
        <v>550.0</v>
      </c>
      <c r="K12" s="22"/>
      <c r="L12" s="22"/>
      <c r="M12" s="21"/>
      <c r="N12" s="22"/>
      <c r="O12" s="22"/>
      <c r="P12" s="24">
        <v>550.0</v>
      </c>
      <c r="Q12" s="25">
        <f t="shared" si="1"/>
        <v>0</v>
      </c>
      <c r="R12" s="24" t="s">
        <v>30</v>
      </c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8">
        <v>45523.0</v>
      </c>
      <c r="C13" s="29" t="s">
        <v>1188</v>
      </c>
      <c r="D13" s="30">
        <v>84372.0</v>
      </c>
      <c r="E13" s="31" t="s">
        <v>700</v>
      </c>
      <c r="F13" s="22"/>
      <c r="G13" s="22"/>
      <c r="H13" s="22"/>
      <c r="I13" s="21">
        <v>7000.0</v>
      </c>
      <c r="J13" s="21"/>
      <c r="K13" s="22"/>
      <c r="L13" s="22"/>
      <c r="M13" s="21"/>
      <c r="N13" s="22"/>
      <c r="O13" s="22"/>
      <c r="P13" s="32">
        <v>7000.0</v>
      </c>
      <c r="Q13" s="25">
        <f t="shared" si="1"/>
        <v>0</v>
      </c>
      <c r="R13" s="32" t="s">
        <v>30</v>
      </c>
      <c r="S13" s="26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 ht="34.5" customHeight="1">
      <c r="A14" s="16">
        <v>10.0</v>
      </c>
      <c r="B14" s="27">
        <v>45523.0</v>
      </c>
      <c r="C14" s="18" t="s">
        <v>1189</v>
      </c>
      <c r="D14" s="19">
        <v>52083.0</v>
      </c>
      <c r="E14" s="20" t="s">
        <v>122</v>
      </c>
      <c r="F14" s="22"/>
      <c r="G14" s="22"/>
      <c r="H14" s="22"/>
      <c r="I14" s="21">
        <v>400.0</v>
      </c>
      <c r="J14" s="21"/>
      <c r="K14" s="22"/>
      <c r="L14" s="22"/>
      <c r="M14" s="21"/>
      <c r="N14" s="22"/>
      <c r="O14" s="22"/>
      <c r="P14" s="24">
        <v>400.0</v>
      </c>
      <c r="Q14" s="25">
        <f t="shared" si="1"/>
        <v>0</v>
      </c>
      <c r="R14" s="24" t="s">
        <v>30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45523.0</v>
      </c>
      <c r="C15" s="18" t="s">
        <v>1190</v>
      </c>
      <c r="D15" s="19">
        <v>76360.0</v>
      </c>
      <c r="E15" s="20" t="s">
        <v>369</v>
      </c>
      <c r="F15" s="22"/>
      <c r="G15" s="22"/>
      <c r="H15" s="22"/>
      <c r="I15" s="21">
        <v>2950.0</v>
      </c>
      <c r="J15" s="21"/>
      <c r="K15" s="22"/>
      <c r="L15" s="22"/>
      <c r="M15" s="21"/>
      <c r="N15" s="22"/>
      <c r="O15" s="22"/>
      <c r="P15" s="24">
        <v>2950.0</v>
      </c>
      <c r="Q15" s="25">
        <f t="shared" si="1"/>
        <v>0</v>
      </c>
      <c r="R15" s="24" t="s">
        <v>68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45523.0</v>
      </c>
      <c r="C16" s="18" t="s">
        <v>1191</v>
      </c>
      <c r="D16" s="19">
        <v>84481.0</v>
      </c>
      <c r="E16" s="20" t="s">
        <v>1192</v>
      </c>
      <c r="F16" s="22"/>
      <c r="G16" s="22"/>
      <c r="H16" s="22"/>
      <c r="I16" s="21">
        <v>6000.0</v>
      </c>
      <c r="J16" s="21"/>
      <c r="K16" s="22"/>
      <c r="L16" s="22"/>
      <c r="M16" s="21"/>
      <c r="N16" s="22"/>
      <c r="O16" s="22"/>
      <c r="P16" s="24">
        <v>6000.0</v>
      </c>
      <c r="Q16" s="25">
        <f t="shared" si="1"/>
        <v>0</v>
      </c>
      <c r="R16" s="24" t="s">
        <v>479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45523.0</v>
      </c>
      <c r="C17" s="18" t="s">
        <v>1193</v>
      </c>
      <c r="D17" s="19">
        <v>71126.0</v>
      </c>
      <c r="E17" s="20" t="s">
        <v>1105</v>
      </c>
      <c r="F17" s="22"/>
      <c r="G17" s="22"/>
      <c r="H17" s="22"/>
      <c r="I17" s="21"/>
      <c r="J17" s="21"/>
      <c r="K17" s="22">
        <v>300.0</v>
      </c>
      <c r="L17" s="22"/>
      <c r="M17" s="21"/>
      <c r="N17" s="22"/>
      <c r="O17" s="22"/>
      <c r="P17" s="24">
        <v>300.0</v>
      </c>
      <c r="Q17" s="25">
        <f t="shared" si="1"/>
        <v>0</v>
      </c>
      <c r="R17" s="24" t="s">
        <v>68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7">
        <v>45523.0</v>
      </c>
      <c r="C18" s="18" t="s">
        <v>1194</v>
      </c>
      <c r="D18" s="19">
        <v>84486.0</v>
      </c>
      <c r="E18" s="20" t="s">
        <v>1195</v>
      </c>
      <c r="F18" s="22"/>
      <c r="G18" s="22"/>
      <c r="H18" s="22"/>
      <c r="I18" s="21"/>
      <c r="J18" s="21">
        <v>300.0</v>
      </c>
      <c r="K18" s="22"/>
      <c r="L18" s="22"/>
      <c r="M18" s="22"/>
      <c r="N18" s="22"/>
      <c r="O18" s="22"/>
      <c r="P18" s="24">
        <v>300.0</v>
      </c>
      <c r="Q18" s="25">
        <f t="shared" si="1"/>
        <v>0</v>
      </c>
      <c r="R18" s="24" t="s">
        <v>30</v>
      </c>
      <c r="S18" s="26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28">
        <v>45523.0</v>
      </c>
      <c r="C19" s="29" t="s">
        <v>1196</v>
      </c>
      <c r="D19" s="30">
        <v>22332.0</v>
      </c>
      <c r="E19" s="31" t="s">
        <v>396</v>
      </c>
      <c r="F19" s="22"/>
      <c r="G19" s="22"/>
      <c r="H19" s="22"/>
      <c r="I19" s="21">
        <v>14500.0</v>
      </c>
      <c r="J19" s="21"/>
      <c r="K19" s="22"/>
      <c r="L19" s="22"/>
      <c r="M19" s="21"/>
      <c r="N19" s="22"/>
      <c r="O19" s="22"/>
      <c r="P19" s="32">
        <v>14500.0</v>
      </c>
      <c r="Q19" s="25">
        <f t="shared" si="1"/>
        <v>0</v>
      </c>
      <c r="R19" s="32" t="s">
        <v>30</v>
      </c>
      <c r="S19" s="26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ht="34.5" customHeight="1">
      <c r="A20" s="16">
        <v>16.0</v>
      </c>
      <c r="B20" s="27">
        <v>45523.0</v>
      </c>
      <c r="C20" s="18" t="s">
        <v>1197</v>
      </c>
      <c r="D20" s="19">
        <v>35227.0</v>
      </c>
      <c r="E20" s="20" t="s">
        <v>135</v>
      </c>
      <c r="F20" s="22"/>
      <c r="G20" s="22"/>
      <c r="H20" s="22"/>
      <c r="I20" s="23">
        <v>4500.0</v>
      </c>
      <c r="J20" s="23"/>
      <c r="K20" s="22"/>
      <c r="L20" s="22"/>
      <c r="M20" s="22"/>
      <c r="N20" s="22"/>
      <c r="O20" s="22"/>
      <c r="P20" s="24">
        <v>4500.0</v>
      </c>
      <c r="Q20" s="25">
        <f t="shared" si="1"/>
        <v>0</v>
      </c>
      <c r="R20" s="24" t="s">
        <v>25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45523.0</v>
      </c>
      <c r="C21" s="18" t="s">
        <v>1198</v>
      </c>
      <c r="D21" s="19">
        <v>84114.0</v>
      </c>
      <c r="E21" s="20" t="s">
        <v>524</v>
      </c>
      <c r="F21" s="21"/>
      <c r="G21" s="22"/>
      <c r="H21" s="22"/>
      <c r="I21" s="34"/>
      <c r="J21" s="22">
        <v>5150.0</v>
      </c>
      <c r="K21" s="35"/>
      <c r="L21" s="22"/>
      <c r="M21" s="22"/>
      <c r="N21" s="22"/>
      <c r="O21" s="22"/>
      <c r="P21" s="24">
        <v>5150.0</v>
      </c>
      <c r="Q21" s="25">
        <f t="shared" si="1"/>
        <v>0</v>
      </c>
      <c r="R21" s="24" t="s">
        <v>30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7">
        <v>45523.0</v>
      </c>
      <c r="C22" s="18" t="s">
        <v>1199</v>
      </c>
      <c r="D22" s="19">
        <v>48973.0</v>
      </c>
      <c r="E22" s="20" t="s">
        <v>1028</v>
      </c>
      <c r="F22" s="21"/>
      <c r="G22" s="22"/>
      <c r="H22" s="22"/>
      <c r="I22" s="21">
        <v>5950.0</v>
      </c>
      <c r="J22" s="22"/>
      <c r="K22" s="21"/>
      <c r="L22" s="22"/>
      <c r="M22" s="22"/>
      <c r="N22" s="22"/>
      <c r="O22" s="22"/>
      <c r="P22" s="24">
        <v>5950.0</v>
      </c>
      <c r="Q22" s="25">
        <f t="shared" si="1"/>
        <v>0</v>
      </c>
      <c r="R22" s="24" t="s">
        <v>68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36">
        <v>45523.0</v>
      </c>
      <c r="C23" s="37" t="s">
        <v>1200</v>
      </c>
      <c r="D23" s="38">
        <v>36555.0</v>
      </c>
      <c r="E23" s="39" t="s">
        <v>63</v>
      </c>
      <c r="F23" s="34"/>
      <c r="G23" s="40"/>
      <c r="H23" s="40"/>
      <c r="I23" s="34">
        <v>1400.0</v>
      </c>
      <c r="J23" s="34"/>
      <c r="K23" s="41"/>
      <c r="L23" s="40"/>
      <c r="M23" s="40"/>
      <c r="N23" s="40"/>
      <c r="O23" s="40"/>
      <c r="P23" s="42">
        <v>1400.0</v>
      </c>
      <c r="Q23" s="25">
        <f t="shared" si="1"/>
        <v>0</v>
      </c>
      <c r="R23" s="42" t="s">
        <v>51</v>
      </c>
      <c r="S23" s="26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</row>
    <row r="24" ht="34.5" customHeight="1">
      <c r="A24" s="16">
        <v>20.0</v>
      </c>
      <c r="B24" s="27">
        <v>45523.0</v>
      </c>
      <c r="C24" s="18" t="s">
        <v>1201</v>
      </c>
      <c r="D24" s="19">
        <v>49272.0</v>
      </c>
      <c r="E24" s="20" t="s">
        <v>200</v>
      </c>
      <c r="F24" s="21"/>
      <c r="G24" s="22"/>
      <c r="H24" s="22"/>
      <c r="I24" s="21">
        <v>5000.0</v>
      </c>
      <c r="J24" s="22"/>
      <c r="K24" s="35"/>
      <c r="L24" s="22"/>
      <c r="M24" s="22"/>
      <c r="N24" s="22"/>
      <c r="O24" s="22"/>
      <c r="P24" s="24">
        <v>5000.0</v>
      </c>
      <c r="Q24" s="25">
        <f t="shared" si="1"/>
        <v>0</v>
      </c>
      <c r="R24" s="24" t="s">
        <v>68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45523.0</v>
      </c>
      <c r="C25" s="18" t="s">
        <v>1202</v>
      </c>
      <c r="D25" s="19">
        <v>56901.0</v>
      </c>
      <c r="E25" s="20" t="s">
        <v>1203</v>
      </c>
      <c r="F25" s="21"/>
      <c r="G25" s="22"/>
      <c r="H25" s="22"/>
      <c r="I25" s="21">
        <v>2650.0</v>
      </c>
      <c r="J25" s="21"/>
      <c r="K25" s="35"/>
      <c r="L25" s="22"/>
      <c r="M25" s="22"/>
      <c r="N25" s="22"/>
      <c r="O25" s="22"/>
      <c r="P25" s="24">
        <v>2650.0</v>
      </c>
      <c r="Q25" s="25">
        <f t="shared" si="1"/>
        <v>0</v>
      </c>
      <c r="R25" s="24" t="s">
        <v>51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45523.0</v>
      </c>
      <c r="C26" s="18" t="s">
        <v>1204</v>
      </c>
      <c r="D26" s="19">
        <v>46927.0</v>
      </c>
      <c r="E26" s="20" t="s">
        <v>225</v>
      </c>
      <c r="F26" s="21"/>
      <c r="G26" s="22"/>
      <c r="H26" s="22"/>
      <c r="I26" s="35">
        <v>8850.0</v>
      </c>
      <c r="J26" s="21"/>
      <c r="K26" s="35"/>
      <c r="L26" s="22"/>
      <c r="M26" s="22"/>
      <c r="N26" s="22"/>
      <c r="O26" s="22"/>
      <c r="P26" s="24">
        <v>8850.0</v>
      </c>
      <c r="Q26" s="25">
        <f t="shared" si="1"/>
        <v>0</v>
      </c>
      <c r="R26" s="24" t="s">
        <v>51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45523.0</v>
      </c>
      <c r="C27" s="18" t="s">
        <v>1205</v>
      </c>
      <c r="D27" s="19">
        <v>44035.0</v>
      </c>
      <c r="E27" s="20" t="s">
        <v>114</v>
      </c>
      <c r="F27" s="21"/>
      <c r="G27" s="22"/>
      <c r="H27" s="22"/>
      <c r="I27" s="21">
        <v>10000.0</v>
      </c>
      <c r="J27" s="21"/>
      <c r="K27" s="23"/>
      <c r="L27" s="22"/>
      <c r="M27" s="22"/>
      <c r="N27" s="22"/>
      <c r="O27" s="22"/>
      <c r="P27" s="24">
        <v>10000.0</v>
      </c>
      <c r="Q27" s="25">
        <f t="shared" si="1"/>
        <v>0</v>
      </c>
      <c r="R27" s="24" t="s">
        <v>51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45523.0</v>
      </c>
      <c r="C28" s="18" t="s">
        <v>1206</v>
      </c>
      <c r="D28" s="19">
        <v>72839.0</v>
      </c>
      <c r="E28" s="20" t="s">
        <v>714</v>
      </c>
      <c r="F28" s="21"/>
      <c r="G28" s="22"/>
      <c r="H28" s="22">
        <v>25000.0</v>
      </c>
      <c r="I28" s="21"/>
      <c r="J28" s="21"/>
      <c r="K28" s="23"/>
      <c r="L28" s="22"/>
      <c r="M28" s="22"/>
      <c r="N28" s="22"/>
      <c r="O28" s="22"/>
      <c r="P28" s="24">
        <v>25000.0</v>
      </c>
      <c r="Q28" s="25">
        <f t="shared" si="1"/>
        <v>0</v>
      </c>
      <c r="R28" s="24" t="s">
        <v>479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45523.0</v>
      </c>
      <c r="C29" s="18" t="s">
        <v>1207</v>
      </c>
      <c r="D29" s="19">
        <v>84489.0</v>
      </c>
      <c r="E29" s="20" t="s">
        <v>1208</v>
      </c>
      <c r="F29" s="21"/>
      <c r="G29" s="22"/>
      <c r="H29" s="22"/>
      <c r="I29" s="21">
        <v>300.0</v>
      </c>
      <c r="J29" s="21"/>
      <c r="K29" s="23"/>
      <c r="L29" s="22"/>
      <c r="M29" s="22"/>
      <c r="N29" s="22"/>
      <c r="O29" s="22"/>
      <c r="P29" s="24">
        <v>300.0</v>
      </c>
      <c r="Q29" s="25">
        <f t="shared" si="1"/>
        <v>0</v>
      </c>
      <c r="R29" s="24" t="s">
        <v>30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45523.0</v>
      </c>
      <c r="C30" s="18" t="s">
        <v>1209</v>
      </c>
      <c r="D30" s="19">
        <v>62815.0</v>
      </c>
      <c r="E30" s="20" t="s">
        <v>125</v>
      </c>
      <c r="F30" s="21"/>
      <c r="G30" s="22"/>
      <c r="H30" s="22"/>
      <c r="I30" s="21">
        <v>10000.0</v>
      </c>
      <c r="J30" s="21"/>
      <c r="K30" s="23"/>
      <c r="L30" s="22"/>
      <c r="M30" s="22"/>
      <c r="N30" s="22"/>
      <c r="O30" s="22"/>
      <c r="P30" s="24">
        <v>10000.0</v>
      </c>
      <c r="Q30" s="25">
        <f t="shared" si="1"/>
        <v>0</v>
      </c>
      <c r="R30" s="24" t="s">
        <v>479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45523.0</v>
      </c>
      <c r="C31" s="18" t="s">
        <v>1210</v>
      </c>
      <c r="D31" s="19">
        <v>81665.0</v>
      </c>
      <c r="E31" s="20" t="s">
        <v>440</v>
      </c>
      <c r="F31" s="21"/>
      <c r="G31" s="22"/>
      <c r="H31" s="22"/>
      <c r="I31" s="21">
        <v>66750.0</v>
      </c>
      <c r="J31" s="21"/>
      <c r="K31" s="23"/>
      <c r="L31" s="22"/>
      <c r="M31" s="22"/>
      <c r="N31" s="22"/>
      <c r="O31" s="22"/>
      <c r="P31" s="24">
        <v>66750.0</v>
      </c>
      <c r="Q31" s="25">
        <f t="shared" si="1"/>
        <v>0</v>
      </c>
      <c r="R31" s="24" t="s">
        <v>25</v>
      </c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45523.0</v>
      </c>
      <c r="C32" s="18" t="s">
        <v>1211</v>
      </c>
      <c r="D32" s="19">
        <v>30894.0</v>
      </c>
      <c r="E32" s="20" t="s">
        <v>1212</v>
      </c>
      <c r="F32" s="21"/>
      <c r="G32" s="22"/>
      <c r="H32" s="22"/>
      <c r="I32" s="21">
        <v>2250.0</v>
      </c>
      <c r="J32" s="21"/>
      <c r="K32" s="23"/>
      <c r="L32" s="22"/>
      <c r="M32" s="22"/>
      <c r="N32" s="22"/>
      <c r="O32" s="22"/>
      <c r="P32" s="24">
        <v>2250.0</v>
      </c>
      <c r="Q32" s="25">
        <f t="shared" si="1"/>
        <v>0</v>
      </c>
      <c r="R32" s="24" t="s">
        <v>479</v>
      </c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45523.0</v>
      </c>
      <c r="C33" s="18" t="s">
        <v>1213</v>
      </c>
      <c r="D33" s="19">
        <v>36769.0</v>
      </c>
      <c r="E33" s="20" t="s">
        <v>547</v>
      </c>
      <c r="F33" s="21"/>
      <c r="G33" s="22"/>
      <c r="H33" s="22"/>
      <c r="I33" s="21">
        <v>1500.0</v>
      </c>
      <c r="J33" s="21"/>
      <c r="K33" s="23"/>
      <c r="L33" s="22"/>
      <c r="M33" s="22"/>
      <c r="N33" s="22"/>
      <c r="O33" s="22"/>
      <c r="P33" s="24">
        <v>1500.0</v>
      </c>
      <c r="Q33" s="25">
        <f t="shared" si="1"/>
        <v>0</v>
      </c>
      <c r="R33" s="24" t="s">
        <v>479</v>
      </c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7">
        <v>45523.0</v>
      </c>
      <c r="C34" s="18" t="s">
        <v>1214</v>
      </c>
      <c r="D34" s="19">
        <v>51660.0</v>
      </c>
      <c r="E34" s="20" t="s">
        <v>870</v>
      </c>
      <c r="F34" s="21"/>
      <c r="G34" s="22"/>
      <c r="H34" s="22">
        <v>1450.0</v>
      </c>
      <c r="I34" s="21"/>
      <c r="J34" s="21"/>
      <c r="K34" s="23"/>
      <c r="L34" s="22"/>
      <c r="M34" s="22"/>
      <c r="N34" s="22"/>
      <c r="O34" s="22"/>
      <c r="P34" s="24">
        <v>1450.0</v>
      </c>
      <c r="Q34" s="25">
        <f t="shared" si="1"/>
        <v>0</v>
      </c>
      <c r="R34" s="24" t="s">
        <v>25</v>
      </c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7">
        <v>45523.0</v>
      </c>
      <c r="C35" s="18" t="s">
        <v>1215</v>
      </c>
      <c r="D35" s="19">
        <v>53249.0</v>
      </c>
      <c r="E35" s="20" t="s">
        <v>401</v>
      </c>
      <c r="F35" s="21"/>
      <c r="G35" s="22"/>
      <c r="H35" s="22"/>
      <c r="I35" s="21">
        <v>16000.0</v>
      </c>
      <c r="J35" s="21"/>
      <c r="K35" s="23"/>
      <c r="L35" s="22"/>
      <c r="M35" s="22"/>
      <c r="N35" s="22"/>
      <c r="O35" s="22"/>
      <c r="P35" s="24">
        <v>16000.0</v>
      </c>
      <c r="Q35" s="25">
        <f t="shared" si="1"/>
        <v>0</v>
      </c>
      <c r="R35" s="24" t="s">
        <v>30</v>
      </c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7">
        <v>45523.0</v>
      </c>
      <c r="C36" s="18" t="s">
        <v>1216</v>
      </c>
      <c r="D36" s="19">
        <v>50136.0</v>
      </c>
      <c r="E36" s="20" t="s">
        <v>666</v>
      </c>
      <c r="F36" s="21"/>
      <c r="G36" s="22"/>
      <c r="H36" s="22"/>
      <c r="I36" s="21">
        <v>4500.0</v>
      </c>
      <c r="J36" s="21"/>
      <c r="K36" s="23"/>
      <c r="L36" s="22"/>
      <c r="M36" s="22"/>
      <c r="N36" s="22"/>
      <c r="O36" s="22"/>
      <c r="P36" s="24">
        <v>4500.0</v>
      </c>
      <c r="Q36" s="25">
        <f t="shared" si="1"/>
        <v>0</v>
      </c>
      <c r="R36" s="24" t="s">
        <v>479</v>
      </c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7">
        <v>45523.0</v>
      </c>
      <c r="C37" s="18" t="s">
        <v>1217</v>
      </c>
      <c r="D37" s="19">
        <v>84461.0</v>
      </c>
      <c r="E37" s="20" t="s">
        <v>1135</v>
      </c>
      <c r="F37" s="21"/>
      <c r="G37" s="22"/>
      <c r="H37" s="22">
        <v>0.0</v>
      </c>
      <c r="I37" s="21">
        <v>1250.0</v>
      </c>
      <c r="J37" s="21"/>
      <c r="K37" s="23"/>
      <c r="L37" s="22"/>
      <c r="M37" s="22"/>
      <c r="N37" s="22"/>
      <c r="O37" s="22"/>
      <c r="P37" s="24">
        <v>5750.0</v>
      </c>
      <c r="Q37" s="25">
        <f t="shared" si="1"/>
        <v>-4500</v>
      </c>
      <c r="R37" s="24" t="s">
        <v>25</v>
      </c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7">
        <v>45523.0</v>
      </c>
      <c r="C38" s="18" t="s">
        <v>1218</v>
      </c>
      <c r="D38" s="19">
        <v>38098.0</v>
      </c>
      <c r="E38" s="20" t="s">
        <v>120</v>
      </c>
      <c r="F38" s="21"/>
      <c r="G38" s="22"/>
      <c r="H38" s="22"/>
      <c r="I38" s="21"/>
      <c r="J38" s="21">
        <v>4650.0</v>
      </c>
      <c r="K38" s="23"/>
      <c r="L38" s="22"/>
      <c r="M38" s="22"/>
      <c r="N38" s="22"/>
      <c r="O38" s="22"/>
      <c r="P38" s="24">
        <v>4650.0</v>
      </c>
      <c r="Q38" s="25">
        <f t="shared" si="1"/>
        <v>0</v>
      </c>
      <c r="R38" s="24" t="s">
        <v>51</v>
      </c>
      <c r="S38" s="26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7">
        <v>45523.0</v>
      </c>
      <c r="C39" s="18" t="s">
        <v>1219</v>
      </c>
      <c r="D39" s="19">
        <v>48854.0</v>
      </c>
      <c r="E39" s="20" t="s">
        <v>86</v>
      </c>
      <c r="F39" s="21"/>
      <c r="G39" s="22"/>
      <c r="H39" s="22"/>
      <c r="I39" s="21"/>
      <c r="J39" s="21">
        <v>8200.0</v>
      </c>
      <c r="K39" s="23"/>
      <c r="L39" s="22"/>
      <c r="M39" s="22"/>
      <c r="N39" s="22"/>
      <c r="O39" s="22"/>
      <c r="P39" s="24">
        <v>8200.0</v>
      </c>
      <c r="Q39" s="25">
        <f t="shared" si="1"/>
        <v>0</v>
      </c>
      <c r="R39" s="24" t="s">
        <v>25</v>
      </c>
      <c r="S39" s="26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7">
        <v>45523.0</v>
      </c>
      <c r="C40" s="18" t="s">
        <v>1220</v>
      </c>
      <c r="D40" s="19">
        <v>45227.0</v>
      </c>
      <c r="E40" s="20" t="s">
        <v>483</v>
      </c>
      <c r="F40" s="21"/>
      <c r="G40" s="22"/>
      <c r="H40" s="22">
        <v>32500.0</v>
      </c>
      <c r="I40" s="21"/>
      <c r="J40" s="21"/>
      <c r="K40" s="23"/>
      <c r="L40" s="22"/>
      <c r="M40" s="22"/>
      <c r="N40" s="22"/>
      <c r="O40" s="22"/>
      <c r="P40" s="24">
        <v>32500.0</v>
      </c>
      <c r="Q40" s="25">
        <f t="shared" si="1"/>
        <v>0</v>
      </c>
      <c r="R40" s="24"/>
      <c r="S40" s="26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7">
        <v>45523.0</v>
      </c>
      <c r="C41" s="18" t="s">
        <v>1221</v>
      </c>
      <c r="D41" s="19">
        <v>51017.0</v>
      </c>
      <c r="E41" s="20" t="s">
        <v>270</v>
      </c>
      <c r="F41" s="21"/>
      <c r="G41" s="22"/>
      <c r="H41" s="22">
        <v>12500.0</v>
      </c>
      <c r="I41" s="21"/>
      <c r="J41" s="21"/>
      <c r="K41" s="23"/>
      <c r="L41" s="22"/>
      <c r="M41" s="22"/>
      <c r="N41" s="22"/>
      <c r="O41" s="22"/>
      <c r="P41" s="24">
        <v>12500.0</v>
      </c>
      <c r="Q41" s="25">
        <f t="shared" si="1"/>
        <v>0</v>
      </c>
      <c r="R41" s="24"/>
      <c r="S41" s="26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27">
        <v>45523.0</v>
      </c>
      <c r="C42" s="18" t="s">
        <v>1222</v>
      </c>
      <c r="D42" s="19">
        <v>50595.0</v>
      </c>
      <c r="E42" s="20" t="s">
        <v>163</v>
      </c>
      <c r="F42" s="21"/>
      <c r="G42" s="22"/>
      <c r="H42" s="22">
        <v>27500.0</v>
      </c>
      <c r="I42" s="21"/>
      <c r="J42" s="21"/>
      <c r="K42" s="23"/>
      <c r="L42" s="22"/>
      <c r="M42" s="22"/>
      <c r="N42" s="22"/>
      <c r="O42" s="22"/>
      <c r="P42" s="24">
        <v>27500.0</v>
      </c>
      <c r="Q42" s="25">
        <f t="shared" si="1"/>
        <v>0</v>
      </c>
      <c r="R42" s="24"/>
      <c r="S42" s="26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>
        <v>39.0</v>
      </c>
      <c r="B43" s="27">
        <v>45523.0</v>
      </c>
      <c r="C43" s="18" t="s">
        <v>1223</v>
      </c>
      <c r="D43" s="19">
        <v>84483.0</v>
      </c>
      <c r="E43" s="20" t="s">
        <v>1224</v>
      </c>
      <c r="F43" s="21"/>
      <c r="G43" s="22"/>
      <c r="H43" s="22"/>
      <c r="I43" s="21"/>
      <c r="J43" s="21"/>
      <c r="K43" s="23">
        <v>7000.0</v>
      </c>
      <c r="L43" s="22"/>
      <c r="M43" s="22"/>
      <c r="N43" s="22"/>
      <c r="O43" s="22"/>
      <c r="P43" s="24">
        <v>7000.0</v>
      </c>
      <c r="Q43" s="25">
        <f t="shared" si="1"/>
        <v>0</v>
      </c>
      <c r="R43" s="24"/>
      <c r="S43" s="26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16">
        <v>40.0</v>
      </c>
      <c r="B44" s="27">
        <v>45523.0</v>
      </c>
      <c r="C44" s="18" t="s">
        <v>1225</v>
      </c>
      <c r="D44" s="19">
        <v>84484.0</v>
      </c>
      <c r="E44" s="20" t="s">
        <v>1226</v>
      </c>
      <c r="F44" s="21"/>
      <c r="G44" s="22"/>
      <c r="H44" s="21"/>
      <c r="I44" s="21"/>
      <c r="J44" s="21"/>
      <c r="K44" s="23">
        <v>7000.0</v>
      </c>
      <c r="L44" s="22"/>
      <c r="M44" s="22"/>
      <c r="N44" s="22"/>
      <c r="O44" s="22"/>
      <c r="P44" s="24">
        <v>7000.0</v>
      </c>
      <c r="Q44" s="25">
        <f t="shared" si="1"/>
        <v>0</v>
      </c>
      <c r="R44" s="24"/>
      <c r="S44" s="26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16">
        <v>41.0</v>
      </c>
      <c r="B45" s="27">
        <v>45523.0</v>
      </c>
      <c r="C45" s="18" t="s">
        <v>1227</v>
      </c>
      <c r="D45" s="19">
        <v>84485.0</v>
      </c>
      <c r="E45" s="20" t="s">
        <v>1228</v>
      </c>
      <c r="F45" s="21"/>
      <c r="G45" s="22"/>
      <c r="H45" s="21"/>
      <c r="I45" s="21"/>
      <c r="J45" s="21"/>
      <c r="K45" s="23">
        <v>7000.0</v>
      </c>
      <c r="L45" s="22"/>
      <c r="M45" s="22"/>
      <c r="N45" s="22"/>
      <c r="O45" s="22"/>
      <c r="P45" s="24">
        <v>7000.0</v>
      </c>
      <c r="Q45" s="25">
        <f t="shared" si="1"/>
        <v>0</v>
      </c>
      <c r="R45" s="24"/>
      <c r="S45" s="26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4.5" customHeight="1">
      <c r="A46" s="16">
        <v>42.0</v>
      </c>
      <c r="B46" s="27">
        <v>45523.0</v>
      </c>
      <c r="C46" s="18" t="s">
        <v>1229</v>
      </c>
      <c r="D46" s="19">
        <v>66838.0</v>
      </c>
      <c r="E46" s="20" t="s">
        <v>165</v>
      </c>
      <c r="F46" s="21"/>
      <c r="G46" s="22"/>
      <c r="H46" s="22">
        <v>27000.0</v>
      </c>
      <c r="I46" s="21"/>
      <c r="J46" s="21"/>
      <c r="K46" s="23"/>
      <c r="L46" s="22"/>
      <c r="M46" s="22"/>
      <c r="N46" s="22"/>
      <c r="O46" s="22"/>
      <c r="P46" s="24">
        <v>27000.0</v>
      </c>
      <c r="Q46" s="25">
        <f t="shared" si="1"/>
        <v>0</v>
      </c>
      <c r="R46" s="24"/>
      <c r="S46" s="26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34.5" customHeight="1">
      <c r="A47" s="16">
        <v>43.0</v>
      </c>
      <c r="B47" s="27">
        <v>45523.0</v>
      </c>
      <c r="C47" s="18" t="s">
        <v>1230</v>
      </c>
      <c r="D47" s="19">
        <v>10250.0</v>
      </c>
      <c r="E47" s="20" t="s">
        <v>36</v>
      </c>
      <c r="F47" s="21"/>
      <c r="G47" s="22"/>
      <c r="H47" s="22">
        <v>19000.0</v>
      </c>
      <c r="I47" s="21"/>
      <c r="J47" s="21"/>
      <c r="K47" s="23"/>
      <c r="L47" s="22"/>
      <c r="M47" s="22"/>
      <c r="N47" s="22"/>
      <c r="O47" s="22"/>
      <c r="P47" s="24">
        <v>19000.0</v>
      </c>
      <c r="Q47" s="25">
        <f t="shared" si="1"/>
        <v>0</v>
      </c>
      <c r="R47" s="24"/>
      <c r="S47" s="26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34.5" customHeight="1">
      <c r="A48" s="16"/>
      <c r="B48" s="27"/>
      <c r="C48" s="18"/>
      <c r="D48" s="19"/>
      <c r="E48" s="20"/>
      <c r="F48" s="21"/>
      <c r="G48" s="22"/>
      <c r="H48" s="22"/>
      <c r="I48" s="21"/>
      <c r="J48" s="21"/>
      <c r="K48" s="23"/>
      <c r="L48" s="22"/>
      <c r="M48" s="22"/>
      <c r="N48" s="22"/>
      <c r="O48" s="22"/>
      <c r="P48" s="24"/>
      <c r="Q48" s="25">
        <f t="shared" si="1"/>
        <v>0</v>
      </c>
      <c r="R48" s="24"/>
      <c r="S48" s="26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34.5" customHeight="1">
      <c r="A49" s="16"/>
      <c r="B49" s="27"/>
      <c r="C49" s="18"/>
      <c r="D49" s="19"/>
      <c r="E49" s="20"/>
      <c r="F49" s="21"/>
      <c r="G49" s="22"/>
      <c r="H49" s="22"/>
      <c r="I49" s="21"/>
      <c r="J49" s="21"/>
      <c r="K49" s="23"/>
      <c r="L49" s="22"/>
      <c r="M49" s="22"/>
      <c r="N49" s="22"/>
      <c r="O49" s="22"/>
      <c r="P49" s="24"/>
      <c r="Q49" s="25">
        <f t="shared" si="1"/>
        <v>0</v>
      </c>
      <c r="R49" s="24"/>
      <c r="S49" s="26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37.5" customHeight="1">
      <c r="A50" s="16"/>
      <c r="B50" s="27"/>
      <c r="C50" s="18"/>
      <c r="D50" s="19" t="s">
        <v>183</v>
      </c>
      <c r="E50" s="20"/>
      <c r="F50" s="45">
        <f t="shared" ref="F50:P50" si="2">SUM(F5:F49)</f>
        <v>12500</v>
      </c>
      <c r="G50" s="45">
        <f t="shared" si="2"/>
        <v>0</v>
      </c>
      <c r="H50" s="45">
        <f t="shared" si="2"/>
        <v>144950</v>
      </c>
      <c r="I50" s="45">
        <f t="shared" si="2"/>
        <v>185100</v>
      </c>
      <c r="J50" s="45">
        <f t="shared" si="2"/>
        <v>36150</v>
      </c>
      <c r="K50" s="45">
        <f t="shared" si="2"/>
        <v>21300</v>
      </c>
      <c r="L50" s="45">
        <f t="shared" si="2"/>
        <v>0</v>
      </c>
      <c r="M50" s="45">
        <f t="shared" si="2"/>
        <v>0</v>
      </c>
      <c r="N50" s="45">
        <f t="shared" si="2"/>
        <v>0</v>
      </c>
      <c r="O50" s="45">
        <f t="shared" si="2"/>
        <v>0</v>
      </c>
      <c r="P50" s="45">
        <f t="shared" si="2"/>
        <v>404500</v>
      </c>
      <c r="Q50" s="46">
        <v>0.0</v>
      </c>
      <c r="R50" s="47"/>
      <c r="S50" s="26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</row>
    <row r="51" ht="15.75" customHeight="1">
      <c r="A51" s="48"/>
      <c r="B51" s="48"/>
      <c r="C51" s="49"/>
      <c r="D51" s="48"/>
      <c r="E51" s="48"/>
      <c r="F51" s="50">
        <f>F50+G50+H50+I50+J50+K50+L50+M50+N50+O50</f>
        <v>400000</v>
      </c>
      <c r="P51" s="51"/>
      <c r="Q51" s="51"/>
      <c r="R51" s="48"/>
      <c r="S51" s="48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</row>
    <row r="52" ht="15.75" customHeight="1">
      <c r="A52" s="4"/>
      <c r="B52" s="4"/>
      <c r="C52" s="5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3" t="s">
        <v>183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54" t="s">
        <v>184</v>
      </c>
      <c r="F55" s="55" t="s">
        <v>187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56" t="s">
        <v>186</v>
      </c>
      <c r="F56" s="55" t="s">
        <v>187</v>
      </c>
      <c r="G56" s="4"/>
      <c r="H56" s="4"/>
      <c r="I56" s="4"/>
      <c r="J56" s="4"/>
      <c r="K56" s="4"/>
      <c r="L56" s="4"/>
      <c r="M56" s="4"/>
      <c r="N56" s="4"/>
      <c r="O56" s="57" t="s">
        <v>183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56" t="s">
        <v>188</v>
      </c>
      <c r="F57" s="55" t="s">
        <v>194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56" t="s">
        <v>189</v>
      </c>
      <c r="F58" s="55" t="s">
        <v>194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56" t="s">
        <v>190</v>
      </c>
      <c r="F59" s="61" t="s">
        <v>1231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56" t="s">
        <v>1232</v>
      </c>
      <c r="F60" s="55" t="s">
        <v>185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56" t="s">
        <v>193</v>
      </c>
      <c r="F61" s="55" t="s">
        <v>1233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56" t="s">
        <v>195</v>
      </c>
      <c r="F62" s="59" t="s">
        <v>196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57" t="s">
        <v>183</v>
      </c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 t="str">
        <f>I72450</f>
        <v/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57" t="s">
        <v>197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>
        <v>7.0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5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5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5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5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5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5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5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5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5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>
      <c r="A283" s="4"/>
      <c r="B283" s="4"/>
      <c r="C283" s="5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5.75" customHeight="1">
      <c r="A284" s="4"/>
      <c r="B284" s="4"/>
      <c r="C284" s="5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5.75" customHeight="1">
      <c r="A285" s="4"/>
      <c r="B285" s="4"/>
      <c r="C285" s="5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R2:R4"/>
    <mergeCell ref="S2:S4"/>
    <mergeCell ref="F3:F4"/>
    <mergeCell ref="G3:H3"/>
    <mergeCell ref="I3:J3"/>
    <mergeCell ref="K3:K4"/>
    <mergeCell ref="F51:O51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6.88"/>
    <col customWidth="1" min="6" max="6" width="29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45.0" customHeight="1">
      <c r="A1" s="1" t="s">
        <v>1234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15.75" customHeight="1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5.75" customHeight="1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45523.0</v>
      </c>
      <c r="C5" s="18" t="s">
        <v>1235</v>
      </c>
      <c r="D5" s="19">
        <v>78454.0</v>
      </c>
      <c r="E5" s="20" t="s">
        <v>131</v>
      </c>
      <c r="F5" s="21"/>
      <c r="G5" s="22"/>
      <c r="H5" s="21"/>
      <c r="I5" s="23">
        <v>0.0</v>
      </c>
      <c r="J5" s="23"/>
      <c r="K5" s="22"/>
      <c r="L5" s="22"/>
      <c r="M5" s="21"/>
      <c r="N5" s="22"/>
      <c r="O5" s="22"/>
      <c r="P5" s="24">
        <v>6250.0</v>
      </c>
      <c r="Q5" s="25">
        <f t="shared" ref="Q5:Q59" si="1">F5+G5+H5+I5+J5+K5+L5+M5+N5+O5-P5</f>
        <v>-6250</v>
      </c>
      <c r="R5" s="24" t="s">
        <v>25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45523.0</v>
      </c>
      <c r="C6" s="18" t="s">
        <v>1236</v>
      </c>
      <c r="D6" s="19">
        <v>62736.0</v>
      </c>
      <c r="E6" s="20" t="s">
        <v>1237</v>
      </c>
      <c r="F6" s="21"/>
      <c r="G6" s="22"/>
      <c r="H6" s="22"/>
      <c r="I6" s="21"/>
      <c r="J6" s="22">
        <v>2650.0</v>
      </c>
      <c r="K6" s="22"/>
      <c r="L6" s="22"/>
      <c r="M6" s="21"/>
      <c r="N6" s="22"/>
      <c r="O6" s="22"/>
      <c r="P6" s="24">
        <v>2650.0</v>
      </c>
      <c r="Q6" s="25">
        <f t="shared" si="1"/>
        <v>0</v>
      </c>
      <c r="R6" s="24" t="s">
        <v>30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45524.0</v>
      </c>
      <c r="C7" s="18" t="s">
        <v>1238</v>
      </c>
      <c r="D7" s="19">
        <v>76396.0</v>
      </c>
      <c r="E7" s="20" t="s">
        <v>981</v>
      </c>
      <c r="F7" s="22"/>
      <c r="G7" s="22"/>
      <c r="H7" s="21"/>
      <c r="I7" s="21"/>
      <c r="J7" s="23">
        <v>2500.0</v>
      </c>
      <c r="K7" s="22"/>
      <c r="L7" s="22"/>
      <c r="M7" s="22"/>
      <c r="N7" s="22"/>
      <c r="O7" s="22"/>
      <c r="P7" s="24">
        <v>2500.0</v>
      </c>
      <c r="Q7" s="25">
        <f t="shared" si="1"/>
        <v>0</v>
      </c>
      <c r="R7" s="24" t="s">
        <v>51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45524.0</v>
      </c>
      <c r="C8" s="18" t="s">
        <v>1239</v>
      </c>
      <c r="D8" s="19">
        <v>10249.0</v>
      </c>
      <c r="E8" s="20" t="s">
        <v>617</v>
      </c>
      <c r="F8" s="22"/>
      <c r="G8" s="22"/>
      <c r="H8" s="22"/>
      <c r="I8" s="21"/>
      <c r="J8" s="21">
        <v>10000.0</v>
      </c>
      <c r="K8" s="22"/>
      <c r="L8" s="22"/>
      <c r="M8" s="22"/>
      <c r="N8" s="22"/>
      <c r="O8" s="22"/>
      <c r="P8" s="24">
        <v>10000.0</v>
      </c>
      <c r="Q8" s="25">
        <f t="shared" si="1"/>
        <v>0</v>
      </c>
      <c r="R8" s="24" t="s">
        <v>51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45524.0</v>
      </c>
      <c r="C9" s="18" t="s">
        <v>1240</v>
      </c>
      <c r="D9" s="19">
        <v>77705.0</v>
      </c>
      <c r="E9" s="20" t="s">
        <v>1241</v>
      </c>
      <c r="F9" s="22"/>
      <c r="G9" s="22"/>
      <c r="H9" s="22"/>
      <c r="I9" s="21">
        <v>5750.0</v>
      </c>
      <c r="J9" s="21"/>
      <c r="K9" s="22"/>
      <c r="L9" s="22"/>
      <c r="M9" s="21"/>
      <c r="N9" s="22"/>
      <c r="O9" s="22"/>
      <c r="P9" s="24">
        <v>5750.0</v>
      </c>
      <c r="Q9" s="25">
        <f t="shared" si="1"/>
        <v>0</v>
      </c>
      <c r="R9" s="24" t="s">
        <v>25</v>
      </c>
      <c r="S9" s="26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45524.0</v>
      </c>
      <c r="C10" s="18" t="s">
        <v>1242</v>
      </c>
      <c r="D10" s="19">
        <v>36555.0</v>
      </c>
      <c r="E10" s="20" t="s">
        <v>63</v>
      </c>
      <c r="F10" s="22"/>
      <c r="G10" s="22"/>
      <c r="H10" s="22"/>
      <c r="I10" s="21">
        <v>1752.0</v>
      </c>
      <c r="J10" s="21"/>
      <c r="K10" s="22">
        <v>3248.0</v>
      </c>
      <c r="L10" s="22"/>
      <c r="M10" s="21"/>
      <c r="N10" s="22"/>
      <c r="O10" s="22"/>
      <c r="P10" s="24">
        <v>5000.0</v>
      </c>
      <c r="Q10" s="25">
        <f t="shared" si="1"/>
        <v>0</v>
      </c>
      <c r="R10" s="24" t="s">
        <v>30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45524.0</v>
      </c>
      <c r="C11" s="18" t="s">
        <v>1243</v>
      </c>
      <c r="D11" s="19">
        <v>50243.0</v>
      </c>
      <c r="E11" s="20" t="s">
        <v>1244</v>
      </c>
      <c r="F11" s="22"/>
      <c r="G11" s="22"/>
      <c r="H11" s="22"/>
      <c r="I11" s="21"/>
      <c r="J11" s="21">
        <v>4500.0</v>
      </c>
      <c r="K11" s="22"/>
      <c r="L11" s="22"/>
      <c r="M11" s="21"/>
      <c r="N11" s="22"/>
      <c r="O11" s="22"/>
      <c r="P11" s="24">
        <v>4500.0</v>
      </c>
      <c r="Q11" s="25">
        <f t="shared" si="1"/>
        <v>0</v>
      </c>
      <c r="R11" s="24" t="s">
        <v>25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7">
        <v>45524.0</v>
      </c>
      <c r="C12" s="18" t="s">
        <v>1245</v>
      </c>
      <c r="D12" s="19">
        <v>50243.0</v>
      </c>
      <c r="E12" s="20" t="s">
        <v>1244</v>
      </c>
      <c r="F12" s="22"/>
      <c r="G12" s="22"/>
      <c r="H12" s="22"/>
      <c r="I12" s="21"/>
      <c r="J12" s="21">
        <v>4250.0</v>
      </c>
      <c r="K12" s="22"/>
      <c r="L12" s="22"/>
      <c r="M12" s="21"/>
      <c r="N12" s="22"/>
      <c r="O12" s="22"/>
      <c r="P12" s="24">
        <v>4250.0</v>
      </c>
      <c r="Q12" s="25">
        <f t="shared" si="1"/>
        <v>0</v>
      </c>
      <c r="R12" s="24" t="s">
        <v>25</v>
      </c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8">
        <v>45524.0</v>
      </c>
      <c r="C13" s="29" t="s">
        <v>1246</v>
      </c>
      <c r="D13" s="30">
        <v>83606.0</v>
      </c>
      <c r="E13" s="31" t="s">
        <v>1247</v>
      </c>
      <c r="F13" s="22"/>
      <c r="G13" s="22"/>
      <c r="H13" s="22"/>
      <c r="I13" s="21">
        <v>5150.0</v>
      </c>
      <c r="J13" s="21"/>
      <c r="K13" s="22"/>
      <c r="L13" s="22"/>
      <c r="M13" s="21"/>
      <c r="N13" s="22"/>
      <c r="O13" s="22"/>
      <c r="P13" s="32">
        <v>5150.0</v>
      </c>
      <c r="Q13" s="25">
        <f t="shared" si="1"/>
        <v>0</v>
      </c>
      <c r="R13" s="32" t="s">
        <v>30</v>
      </c>
      <c r="S13" s="26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 ht="34.5" customHeight="1">
      <c r="A14" s="16">
        <v>10.0</v>
      </c>
      <c r="B14" s="27">
        <v>45524.0</v>
      </c>
      <c r="C14" s="18" t="s">
        <v>1248</v>
      </c>
      <c r="D14" s="19">
        <v>51939.0</v>
      </c>
      <c r="E14" s="20" t="s">
        <v>599</v>
      </c>
      <c r="F14" s="22"/>
      <c r="G14" s="22"/>
      <c r="H14" s="22"/>
      <c r="I14" s="21">
        <v>10350.0</v>
      </c>
      <c r="J14" s="21"/>
      <c r="K14" s="22"/>
      <c r="L14" s="22"/>
      <c r="M14" s="21"/>
      <c r="N14" s="22"/>
      <c r="O14" s="22"/>
      <c r="P14" s="24">
        <v>10350.0</v>
      </c>
      <c r="Q14" s="25">
        <f t="shared" si="1"/>
        <v>0</v>
      </c>
      <c r="R14" s="24" t="s">
        <v>30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45524.0</v>
      </c>
      <c r="C15" s="18" t="s">
        <v>1249</v>
      </c>
      <c r="D15" s="19">
        <v>73071.0</v>
      </c>
      <c r="E15" s="20" t="s">
        <v>1250</v>
      </c>
      <c r="F15" s="22"/>
      <c r="G15" s="22"/>
      <c r="H15" s="22"/>
      <c r="I15" s="21">
        <v>1550.0</v>
      </c>
      <c r="J15" s="21"/>
      <c r="K15" s="22"/>
      <c r="L15" s="22"/>
      <c r="M15" s="21"/>
      <c r="N15" s="22"/>
      <c r="O15" s="22"/>
      <c r="P15" s="24">
        <v>1550.0</v>
      </c>
      <c r="Q15" s="25">
        <f t="shared" si="1"/>
        <v>0</v>
      </c>
      <c r="R15" s="24" t="s">
        <v>51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45524.0</v>
      </c>
      <c r="C16" s="18" t="s">
        <v>1251</v>
      </c>
      <c r="D16" s="19">
        <v>81108.0</v>
      </c>
      <c r="E16" s="20" t="s">
        <v>94</v>
      </c>
      <c r="F16" s="22"/>
      <c r="G16" s="22"/>
      <c r="H16" s="22"/>
      <c r="I16" s="21">
        <v>19050.0</v>
      </c>
      <c r="J16" s="21"/>
      <c r="K16" s="22"/>
      <c r="L16" s="22"/>
      <c r="M16" s="21"/>
      <c r="N16" s="22"/>
      <c r="O16" s="22"/>
      <c r="P16" s="24">
        <v>19050.0</v>
      </c>
      <c r="Q16" s="25">
        <f t="shared" si="1"/>
        <v>0</v>
      </c>
      <c r="R16" s="24" t="s">
        <v>25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45524.0</v>
      </c>
      <c r="C17" s="18" t="s">
        <v>1252</v>
      </c>
      <c r="D17" s="19">
        <v>81108.0</v>
      </c>
      <c r="E17" s="20" t="s">
        <v>94</v>
      </c>
      <c r="F17" s="22"/>
      <c r="G17" s="22"/>
      <c r="H17" s="22"/>
      <c r="I17" s="21">
        <v>200.0</v>
      </c>
      <c r="J17" s="21"/>
      <c r="K17" s="22"/>
      <c r="L17" s="22"/>
      <c r="M17" s="21"/>
      <c r="N17" s="22"/>
      <c r="O17" s="22"/>
      <c r="P17" s="24">
        <v>200.0</v>
      </c>
      <c r="Q17" s="25">
        <f t="shared" si="1"/>
        <v>0</v>
      </c>
      <c r="R17" s="24" t="s">
        <v>25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7">
        <v>45524.0</v>
      </c>
      <c r="C18" s="18" t="s">
        <v>1253</v>
      </c>
      <c r="D18" s="19">
        <v>42071.0</v>
      </c>
      <c r="E18" s="20" t="s">
        <v>326</v>
      </c>
      <c r="F18" s="22"/>
      <c r="G18" s="22"/>
      <c r="H18" s="22"/>
      <c r="I18" s="21">
        <v>1450.0</v>
      </c>
      <c r="J18" s="21"/>
      <c r="K18" s="22"/>
      <c r="L18" s="22"/>
      <c r="M18" s="22"/>
      <c r="N18" s="22"/>
      <c r="O18" s="22"/>
      <c r="P18" s="24">
        <v>1450.0</v>
      </c>
      <c r="Q18" s="25">
        <f t="shared" si="1"/>
        <v>0</v>
      </c>
      <c r="R18" s="24" t="s">
        <v>25</v>
      </c>
      <c r="S18" s="26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28">
        <v>45524.0</v>
      </c>
      <c r="C19" s="29" t="s">
        <v>1254</v>
      </c>
      <c r="D19" s="30">
        <v>54280.0</v>
      </c>
      <c r="E19" s="31" t="s">
        <v>684</v>
      </c>
      <c r="F19" s="22"/>
      <c r="G19" s="22"/>
      <c r="H19" s="22"/>
      <c r="I19" s="21">
        <v>3100.0</v>
      </c>
      <c r="J19" s="21"/>
      <c r="K19" s="22"/>
      <c r="L19" s="22"/>
      <c r="M19" s="21"/>
      <c r="N19" s="22"/>
      <c r="O19" s="22"/>
      <c r="P19" s="32">
        <v>3100.0</v>
      </c>
      <c r="Q19" s="25">
        <f t="shared" si="1"/>
        <v>0</v>
      </c>
      <c r="R19" s="32" t="s">
        <v>51</v>
      </c>
      <c r="S19" s="26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ht="34.5" customHeight="1">
      <c r="A20" s="16">
        <v>16.0</v>
      </c>
      <c r="B20" s="27">
        <v>45524.0</v>
      </c>
      <c r="C20" s="18" t="s">
        <v>1255</v>
      </c>
      <c r="D20" s="19">
        <v>55813.0</v>
      </c>
      <c r="E20" s="20" t="s">
        <v>1256</v>
      </c>
      <c r="F20" s="22"/>
      <c r="G20" s="22"/>
      <c r="H20" s="22"/>
      <c r="I20" s="23"/>
      <c r="J20" s="21">
        <v>6950.0</v>
      </c>
      <c r="K20" s="22"/>
      <c r="L20" s="22"/>
      <c r="M20" s="22"/>
      <c r="N20" s="22"/>
      <c r="O20" s="22"/>
      <c r="P20" s="24">
        <v>6950.0</v>
      </c>
      <c r="Q20" s="25">
        <f t="shared" si="1"/>
        <v>0</v>
      </c>
      <c r="R20" s="24" t="s">
        <v>30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45524.0</v>
      </c>
      <c r="C21" s="18" t="s">
        <v>1257</v>
      </c>
      <c r="D21" s="19">
        <v>77740.0</v>
      </c>
      <c r="E21" s="20" t="s">
        <v>1258</v>
      </c>
      <c r="F21" s="21"/>
      <c r="G21" s="22"/>
      <c r="H21" s="22"/>
      <c r="I21" s="34">
        <v>3900.0</v>
      </c>
      <c r="J21" s="21"/>
      <c r="K21" s="35"/>
      <c r="L21" s="22"/>
      <c r="M21" s="22"/>
      <c r="N21" s="22"/>
      <c r="O21" s="22"/>
      <c r="P21" s="24">
        <v>3900.0</v>
      </c>
      <c r="Q21" s="25">
        <f t="shared" si="1"/>
        <v>0</v>
      </c>
      <c r="R21" s="24" t="s">
        <v>30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7">
        <v>45524.0</v>
      </c>
      <c r="C22" s="18" t="s">
        <v>1259</v>
      </c>
      <c r="D22" s="19">
        <v>22727.0</v>
      </c>
      <c r="E22" s="20" t="s">
        <v>1049</v>
      </c>
      <c r="F22" s="21"/>
      <c r="G22" s="22"/>
      <c r="H22" s="22"/>
      <c r="I22" s="21"/>
      <c r="J22" s="21">
        <v>7250.0</v>
      </c>
      <c r="K22" s="21"/>
      <c r="L22" s="22"/>
      <c r="M22" s="22"/>
      <c r="N22" s="22"/>
      <c r="O22" s="22"/>
      <c r="P22" s="24">
        <v>7250.0</v>
      </c>
      <c r="Q22" s="25">
        <f t="shared" si="1"/>
        <v>0</v>
      </c>
      <c r="R22" s="24" t="s">
        <v>51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36">
        <v>45524.0</v>
      </c>
      <c r="C23" s="37" t="s">
        <v>1260</v>
      </c>
      <c r="D23" s="38">
        <v>50557.0</v>
      </c>
      <c r="E23" s="39" t="s">
        <v>222</v>
      </c>
      <c r="F23" s="34"/>
      <c r="G23" s="40"/>
      <c r="H23" s="40"/>
      <c r="I23" s="34">
        <v>2500.0</v>
      </c>
      <c r="J23" s="21"/>
      <c r="K23" s="41"/>
      <c r="L23" s="40"/>
      <c r="M23" s="40"/>
      <c r="N23" s="40"/>
      <c r="O23" s="40"/>
      <c r="P23" s="42">
        <v>2500.0</v>
      </c>
      <c r="Q23" s="25">
        <f t="shared" si="1"/>
        <v>0</v>
      </c>
      <c r="R23" s="42" t="s">
        <v>51</v>
      </c>
      <c r="S23" s="26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</row>
    <row r="24" ht="34.5" customHeight="1">
      <c r="A24" s="16">
        <v>20.0</v>
      </c>
      <c r="B24" s="27">
        <v>45524.0</v>
      </c>
      <c r="C24" s="18" t="s">
        <v>1261</v>
      </c>
      <c r="D24" s="19">
        <v>67909.0</v>
      </c>
      <c r="E24" s="20" t="s">
        <v>1262</v>
      </c>
      <c r="F24" s="21"/>
      <c r="G24" s="22"/>
      <c r="H24" s="22"/>
      <c r="I24" s="21">
        <v>10000.0</v>
      </c>
      <c r="J24" s="21"/>
      <c r="K24" s="35"/>
      <c r="L24" s="22"/>
      <c r="M24" s="22"/>
      <c r="N24" s="22"/>
      <c r="O24" s="22"/>
      <c r="P24" s="24">
        <v>10000.0</v>
      </c>
      <c r="Q24" s="25">
        <f t="shared" si="1"/>
        <v>0</v>
      </c>
      <c r="R24" s="24" t="s">
        <v>51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45524.0</v>
      </c>
      <c r="C25" s="18" t="s">
        <v>1263</v>
      </c>
      <c r="D25" s="19">
        <v>22341.0</v>
      </c>
      <c r="E25" s="20" t="s">
        <v>343</v>
      </c>
      <c r="F25" s="21"/>
      <c r="G25" s="22"/>
      <c r="H25" s="22"/>
      <c r="I25" s="21">
        <v>1600.0</v>
      </c>
      <c r="J25" s="21"/>
      <c r="K25" s="35"/>
      <c r="L25" s="22"/>
      <c r="M25" s="22"/>
      <c r="N25" s="22"/>
      <c r="O25" s="22"/>
      <c r="P25" s="24">
        <v>1600.0</v>
      </c>
      <c r="Q25" s="25">
        <f t="shared" si="1"/>
        <v>0</v>
      </c>
      <c r="R25" s="24" t="s">
        <v>51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45524.0</v>
      </c>
      <c r="C26" s="18" t="s">
        <v>1264</v>
      </c>
      <c r="D26" s="19">
        <v>20541.0</v>
      </c>
      <c r="E26" s="20" t="s">
        <v>322</v>
      </c>
      <c r="F26" s="21"/>
      <c r="G26" s="22"/>
      <c r="H26" s="22"/>
      <c r="I26" s="35">
        <v>4500.0</v>
      </c>
      <c r="J26" s="21"/>
      <c r="K26" s="35"/>
      <c r="L26" s="22"/>
      <c r="M26" s="22"/>
      <c r="N26" s="22"/>
      <c r="O26" s="22"/>
      <c r="P26" s="24">
        <v>4500.0</v>
      </c>
      <c r="Q26" s="25">
        <f t="shared" si="1"/>
        <v>0</v>
      </c>
      <c r="R26" s="24" t="s">
        <v>51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45524.0</v>
      </c>
      <c r="C27" s="18" t="s">
        <v>1265</v>
      </c>
      <c r="D27" s="19">
        <v>58074.0</v>
      </c>
      <c r="E27" s="20" t="s">
        <v>652</v>
      </c>
      <c r="F27" s="21"/>
      <c r="G27" s="22"/>
      <c r="H27" s="22"/>
      <c r="I27" s="21">
        <v>2550.0</v>
      </c>
      <c r="J27" s="21"/>
      <c r="K27" s="35"/>
      <c r="L27" s="22"/>
      <c r="M27" s="22"/>
      <c r="N27" s="22"/>
      <c r="O27" s="22"/>
      <c r="P27" s="24">
        <v>2550.0</v>
      </c>
      <c r="Q27" s="25">
        <f t="shared" si="1"/>
        <v>0</v>
      </c>
      <c r="R27" s="24" t="s">
        <v>51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45524.0</v>
      </c>
      <c r="C28" s="18" t="s">
        <v>1266</v>
      </c>
      <c r="D28" s="19">
        <v>35227.0</v>
      </c>
      <c r="E28" s="20" t="s">
        <v>135</v>
      </c>
      <c r="F28" s="21"/>
      <c r="G28" s="22">
        <v>9500.0</v>
      </c>
      <c r="H28" s="22"/>
      <c r="I28" s="21">
        <v>1500.0</v>
      </c>
      <c r="J28" s="21"/>
      <c r="K28" s="35"/>
      <c r="L28" s="22"/>
      <c r="M28" s="22"/>
      <c r="N28" s="22"/>
      <c r="O28" s="22"/>
      <c r="P28" s="24">
        <v>11000.0</v>
      </c>
      <c r="Q28" s="25">
        <f t="shared" si="1"/>
        <v>0</v>
      </c>
      <c r="R28" s="24" t="s">
        <v>30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45524.0</v>
      </c>
      <c r="C29" s="18" t="s">
        <v>1267</v>
      </c>
      <c r="D29" s="19">
        <v>43955.0</v>
      </c>
      <c r="E29" s="20" t="s">
        <v>293</v>
      </c>
      <c r="F29" s="21"/>
      <c r="G29" s="22"/>
      <c r="H29" s="22"/>
      <c r="I29" s="21">
        <v>140.0</v>
      </c>
      <c r="J29" s="21"/>
      <c r="K29" s="23"/>
      <c r="L29" s="22"/>
      <c r="M29" s="22"/>
      <c r="N29" s="22"/>
      <c r="O29" s="22"/>
      <c r="P29" s="24">
        <v>140.0</v>
      </c>
      <c r="Q29" s="25">
        <f t="shared" si="1"/>
        <v>0</v>
      </c>
      <c r="R29" s="24" t="s">
        <v>25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45524.0</v>
      </c>
      <c r="C30" s="18" t="s">
        <v>1268</v>
      </c>
      <c r="D30" s="19">
        <v>35227.0</v>
      </c>
      <c r="E30" s="20" t="s">
        <v>135</v>
      </c>
      <c r="F30" s="21"/>
      <c r="G30" s="22"/>
      <c r="H30" s="22"/>
      <c r="I30" s="21">
        <v>1000.0</v>
      </c>
      <c r="J30" s="21"/>
      <c r="K30" s="23"/>
      <c r="L30" s="22"/>
      <c r="M30" s="22"/>
      <c r="N30" s="22"/>
      <c r="O30" s="22"/>
      <c r="P30" s="24">
        <v>1000.0</v>
      </c>
      <c r="Q30" s="25">
        <f t="shared" si="1"/>
        <v>0</v>
      </c>
      <c r="R30" s="24" t="s">
        <v>479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45524.0</v>
      </c>
      <c r="C31" s="18" t="s">
        <v>1269</v>
      </c>
      <c r="D31" s="19">
        <v>51876.0</v>
      </c>
      <c r="E31" s="20" t="s">
        <v>118</v>
      </c>
      <c r="F31" s="21"/>
      <c r="G31" s="22"/>
      <c r="H31" s="22"/>
      <c r="I31" s="21">
        <v>1600.0</v>
      </c>
      <c r="J31" s="21"/>
      <c r="K31" s="23"/>
      <c r="L31" s="22"/>
      <c r="M31" s="22"/>
      <c r="N31" s="22"/>
      <c r="O31" s="22"/>
      <c r="P31" s="24">
        <v>1600.0</v>
      </c>
      <c r="Q31" s="25">
        <f t="shared" si="1"/>
        <v>0</v>
      </c>
      <c r="R31" s="24" t="s">
        <v>25</v>
      </c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45524.0</v>
      </c>
      <c r="C32" s="18" t="s">
        <v>1270</v>
      </c>
      <c r="D32" s="19">
        <v>53785.0</v>
      </c>
      <c r="E32" s="20" t="s">
        <v>1271</v>
      </c>
      <c r="F32" s="21"/>
      <c r="G32" s="22"/>
      <c r="H32" s="22"/>
      <c r="I32" s="21">
        <v>1400.0</v>
      </c>
      <c r="J32" s="21"/>
      <c r="K32" s="23"/>
      <c r="L32" s="22"/>
      <c r="M32" s="22"/>
      <c r="N32" s="22"/>
      <c r="O32" s="22"/>
      <c r="P32" s="24">
        <v>1400.0</v>
      </c>
      <c r="Q32" s="25">
        <f t="shared" si="1"/>
        <v>0</v>
      </c>
      <c r="R32" s="24" t="s">
        <v>30</v>
      </c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45524.0</v>
      </c>
      <c r="C33" s="18" t="s">
        <v>1272</v>
      </c>
      <c r="D33" s="19">
        <v>21818.0</v>
      </c>
      <c r="E33" s="20" t="s">
        <v>32</v>
      </c>
      <c r="F33" s="21"/>
      <c r="G33" s="22"/>
      <c r="H33" s="22"/>
      <c r="I33" s="21"/>
      <c r="J33" s="21"/>
      <c r="K33" s="23">
        <v>3600.0</v>
      </c>
      <c r="L33" s="22"/>
      <c r="M33" s="22"/>
      <c r="N33" s="22"/>
      <c r="O33" s="22"/>
      <c r="P33" s="24">
        <v>3600.0</v>
      </c>
      <c r="Q33" s="25">
        <f t="shared" si="1"/>
        <v>0</v>
      </c>
      <c r="R33" s="24" t="s">
        <v>25</v>
      </c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7">
        <v>45524.0</v>
      </c>
      <c r="C34" s="18" t="s">
        <v>1273</v>
      </c>
      <c r="D34" s="19">
        <v>21818.0</v>
      </c>
      <c r="E34" s="20" t="s">
        <v>32</v>
      </c>
      <c r="F34" s="21"/>
      <c r="G34" s="22"/>
      <c r="H34" s="22"/>
      <c r="I34" s="21"/>
      <c r="J34" s="21"/>
      <c r="K34" s="23">
        <v>3600.0</v>
      </c>
      <c r="L34" s="22"/>
      <c r="M34" s="22"/>
      <c r="N34" s="22"/>
      <c r="O34" s="22"/>
      <c r="P34" s="24">
        <v>3600.0</v>
      </c>
      <c r="Q34" s="25">
        <f t="shared" si="1"/>
        <v>0</v>
      </c>
      <c r="R34" s="24" t="s">
        <v>25</v>
      </c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7">
        <v>45524.0</v>
      </c>
      <c r="C35" s="18" t="s">
        <v>1274</v>
      </c>
      <c r="D35" s="19">
        <v>21818.0</v>
      </c>
      <c r="E35" s="20" t="s">
        <v>32</v>
      </c>
      <c r="F35" s="21"/>
      <c r="G35" s="22"/>
      <c r="H35" s="22"/>
      <c r="I35" s="21"/>
      <c r="J35" s="21"/>
      <c r="K35" s="23">
        <v>3600.0</v>
      </c>
      <c r="L35" s="22"/>
      <c r="M35" s="22"/>
      <c r="N35" s="22"/>
      <c r="O35" s="22"/>
      <c r="P35" s="24">
        <v>3600.0</v>
      </c>
      <c r="Q35" s="25">
        <f t="shared" si="1"/>
        <v>0</v>
      </c>
      <c r="R35" s="24" t="s">
        <v>25</v>
      </c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7">
        <v>45524.0</v>
      </c>
      <c r="C36" s="18" t="s">
        <v>1275</v>
      </c>
      <c r="D36" s="19">
        <v>75045.0</v>
      </c>
      <c r="E36" s="20" t="s">
        <v>1276</v>
      </c>
      <c r="F36" s="21"/>
      <c r="G36" s="22"/>
      <c r="H36" s="22"/>
      <c r="I36" s="21">
        <v>2600.0</v>
      </c>
      <c r="J36" s="21"/>
      <c r="K36" s="23"/>
      <c r="L36" s="22"/>
      <c r="M36" s="22"/>
      <c r="N36" s="22"/>
      <c r="O36" s="22"/>
      <c r="P36" s="24">
        <v>2600.0</v>
      </c>
      <c r="Q36" s="25">
        <f t="shared" si="1"/>
        <v>0</v>
      </c>
      <c r="R36" s="24" t="s">
        <v>25</v>
      </c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7">
        <v>45524.0</v>
      </c>
      <c r="C37" s="18" t="s">
        <v>1277</v>
      </c>
      <c r="D37" s="19">
        <v>29620.0</v>
      </c>
      <c r="E37" s="20" t="s">
        <v>1278</v>
      </c>
      <c r="F37" s="21"/>
      <c r="G37" s="22"/>
      <c r="H37" s="22"/>
      <c r="I37" s="21">
        <v>5000.0</v>
      </c>
      <c r="J37" s="21"/>
      <c r="K37" s="23"/>
      <c r="L37" s="22"/>
      <c r="M37" s="22"/>
      <c r="N37" s="22"/>
      <c r="O37" s="22"/>
      <c r="P37" s="24">
        <v>5000.0</v>
      </c>
      <c r="Q37" s="25">
        <f t="shared" si="1"/>
        <v>0</v>
      </c>
      <c r="R37" s="24" t="s">
        <v>51</v>
      </c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7">
        <v>45524.0</v>
      </c>
      <c r="C38" s="18" t="s">
        <v>1279</v>
      </c>
      <c r="D38" s="19">
        <v>36253.0</v>
      </c>
      <c r="E38" s="20" t="s">
        <v>1280</v>
      </c>
      <c r="F38" s="21"/>
      <c r="G38" s="22"/>
      <c r="H38" s="22"/>
      <c r="I38" s="21">
        <v>8000.0</v>
      </c>
      <c r="J38" s="21"/>
      <c r="K38" s="23"/>
      <c r="L38" s="22"/>
      <c r="M38" s="22"/>
      <c r="N38" s="22"/>
      <c r="O38" s="22"/>
      <c r="P38" s="24">
        <v>8000.0</v>
      </c>
      <c r="Q38" s="25">
        <f t="shared" si="1"/>
        <v>0</v>
      </c>
      <c r="R38" s="24" t="s">
        <v>51</v>
      </c>
      <c r="S38" s="26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7">
        <v>45524.0</v>
      </c>
      <c r="C39" s="18" t="s">
        <v>1281</v>
      </c>
      <c r="D39" s="19">
        <v>52083.0</v>
      </c>
      <c r="E39" s="20" t="s">
        <v>122</v>
      </c>
      <c r="F39" s="21"/>
      <c r="G39" s="22"/>
      <c r="H39" s="22"/>
      <c r="I39" s="21">
        <v>6800.0</v>
      </c>
      <c r="J39" s="21"/>
      <c r="K39" s="23"/>
      <c r="L39" s="22"/>
      <c r="M39" s="22"/>
      <c r="N39" s="22"/>
      <c r="O39" s="22"/>
      <c r="P39" s="24">
        <v>6800.0</v>
      </c>
      <c r="Q39" s="25">
        <f t="shared" si="1"/>
        <v>0</v>
      </c>
      <c r="R39" s="24" t="s">
        <v>25</v>
      </c>
      <c r="S39" s="26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7">
        <v>45524.0</v>
      </c>
      <c r="C40" s="18" t="s">
        <v>1282</v>
      </c>
      <c r="D40" s="19">
        <v>80924.0</v>
      </c>
      <c r="E40" s="20" t="s">
        <v>1283</v>
      </c>
      <c r="F40" s="21"/>
      <c r="G40" s="22"/>
      <c r="H40" s="22"/>
      <c r="I40" s="21"/>
      <c r="J40" s="21">
        <v>1000.0</v>
      </c>
      <c r="K40" s="23"/>
      <c r="L40" s="22"/>
      <c r="M40" s="22"/>
      <c r="N40" s="22"/>
      <c r="O40" s="22"/>
      <c r="P40" s="24">
        <v>1000.0</v>
      </c>
      <c r="Q40" s="25">
        <f t="shared" si="1"/>
        <v>0</v>
      </c>
      <c r="R40" s="24" t="s">
        <v>25</v>
      </c>
      <c r="S40" s="26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7">
        <v>45524.0</v>
      </c>
      <c r="C41" s="18" t="s">
        <v>1284</v>
      </c>
      <c r="D41" s="19">
        <v>21818.0</v>
      </c>
      <c r="E41" s="20" t="s">
        <v>32</v>
      </c>
      <c r="F41" s="21"/>
      <c r="G41" s="22"/>
      <c r="H41" s="22"/>
      <c r="I41" s="21"/>
      <c r="J41" s="21"/>
      <c r="K41" s="23">
        <v>2000.0</v>
      </c>
      <c r="L41" s="22"/>
      <c r="M41" s="22"/>
      <c r="N41" s="22"/>
      <c r="O41" s="22"/>
      <c r="P41" s="24">
        <v>2000.0</v>
      </c>
      <c r="Q41" s="25">
        <f t="shared" si="1"/>
        <v>0</v>
      </c>
      <c r="R41" s="24" t="s">
        <v>25</v>
      </c>
      <c r="S41" s="26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27">
        <v>45524.0</v>
      </c>
      <c r="C42" s="18" t="s">
        <v>1285</v>
      </c>
      <c r="D42" s="19">
        <v>30895.0</v>
      </c>
      <c r="E42" s="20" t="s">
        <v>1286</v>
      </c>
      <c r="F42" s="21"/>
      <c r="G42" s="22"/>
      <c r="H42" s="22"/>
      <c r="I42" s="21">
        <v>1000.0</v>
      </c>
      <c r="J42" s="21"/>
      <c r="K42" s="23"/>
      <c r="L42" s="22"/>
      <c r="M42" s="22"/>
      <c r="N42" s="22"/>
      <c r="O42" s="22"/>
      <c r="P42" s="24">
        <v>1000.0</v>
      </c>
      <c r="Q42" s="25">
        <f t="shared" si="1"/>
        <v>0</v>
      </c>
      <c r="R42" s="24" t="s">
        <v>25</v>
      </c>
      <c r="S42" s="26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>
        <v>39.0</v>
      </c>
      <c r="B43" s="27">
        <v>45524.0</v>
      </c>
      <c r="C43" s="18" t="s">
        <v>1287</v>
      </c>
      <c r="D43" s="19">
        <v>52247.0</v>
      </c>
      <c r="E43" s="20" t="s">
        <v>696</v>
      </c>
      <c r="F43" s="21"/>
      <c r="G43" s="22"/>
      <c r="H43" s="22"/>
      <c r="I43" s="21">
        <v>1000.0</v>
      </c>
      <c r="J43" s="21"/>
      <c r="K43" s="23"/>
      <c r="L43" s="22"/>
      <c r="M43" s="22"/>
      <c r="N43" s="22"/>
      <c r="O43" s="22"/>
      <c r="P43" s="24">
        <v>1000.0</v>
      </c>
      <c r="Q43" s="25">
        <f t="shared" si="1"/>
        <v>0</v>
      </c>
      <c r="R43" s="24" t="s">
        <v>25</v>
      </c>
      <c r="S43" s="26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16">
        <v>40.0</v>
      </c>
      <c r="B44" s="27">
        <v>45524.0</v>
      </c>
      <c r="C44" s="18" t="s">
        <v>1288</v>
      </c>
      <c r="D44" s="19">
        <v>76602.0</v>
      </c>
      <c r="E44" s="20" t="s">
        <v>1062</v>
      </c>
      <c r="F44" s="21"/>
      <c r="G44" s="22"/>
      <c r="H44" s="22"/>
      <c r="I44" s="21"/>
      <c r="J44" s="21">
        <v>6450.0</v>
      </c>
      <c r="K44" s="23"/>
      <c r="L44" s="22"/>
      <c r="M44" s="22"/>
      <c r="N44" s="22"/>
      <c r="O44" s="22"/>
      <c r="P44" s="24">
        <v>6450.0</v>
      </c>
      <c r="Q44" s="25">
        <f t="shared" si="1"/>
        <v>0</v>
      </c>
      <c r="R44" s="24" t="s">
        <v>25</v>
      </c>
      <c r="S44" s="26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16">
        <v>41.0</v>
      </c>
      <c r="B45" s="27">
        <v>45524.0</v>
      </c>
      <c r="C45" s="18" t="s">
        <v>1289</v>
      </c>
      <c r="D45" s="19">
        <v>10001.0</v>
      </c>
      <c r="E45" s="20" t="s">
        <v>339</v>
      </c>
      <c r="F45" s="21"/>
      <c r="G45" s="22"/>
      <c r="H45" s="22"/>
      <c r="I45" s="21">
        <v>2000.0</v>
      </c>
      <c r="J45" s="21"/>
      <c r="K45" s="23"/>
      <c r="L45" s="22"/>
      <c r="M45" s="22"/>
      <c r="N45" s="22"/>
      <c r="O45" s="22"/>
      <c r="P45" s="24">
        <v>2000.0</v>
      </c>
      <c r="Q45" s="25">
        <f t="shared" si="1"/>
        <v>0</v>
      </c>
      <c r="R45" s="24" t="s">
        <v>68</v>
      </c>
      <c r="S45" s="26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4.5" customHeight="1">
      <c r="A46" s="16">
        <v>42.0</v>
      </c>
      <c r="B46" s="27">
        <v>45524.0</v>
      </c>
      <c r="C46" s="18" t="s">
        <v>1290</v>
      </c>
      <c r="D46" s="19">
        <v>68268.0</v>
      </c>
      <c r="E46" s="20" t="s">
        <v>1291</v>
      </c>
      <c r="F46" s="21"/>
      <c r="G46" s="22"/>
      <c r="H46" s="22"/>
      <c r="I46" s="21">
        <v>3307.0</v>
      </c>
      <c r="J46" s="21"/>
      <c r="K46" s="23">
        <v>693.0</v>
      </c>
      <c r="L46" s="22"/>
      <c r="M46" s="22"/>
      <c r="N46" s="22"/>
      <c r="O46" s="22"/>
      <c r="P46" s="24">
        <v>4000.0</v>
      </c>
      <c r="Q46" s="25">
        <f t="shared" si="1"/>
        <v>0</v>
      </c>
      <c r="R46" s="24" t="s">
        <v>25</v>
      </c>
      <c r="S46" s="26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34.5" customHeight="1">
      <c r="A47" s="16">
        <v>43.0</v>
      </c>
      <c r="B47" s="27">
        <v>45524.0</v>
      </c>
      <c r="C47" s="18" t="s">
        <v>1292</v>
      </c>
      <c r="D47" s="19">
        <v>62867.0</v>
      </c>
      <c r="E47" s="20" t="s">
        <v>1293</v>
      </c>
      <c r="F47" s="21"/>
      <c r="G47" s="22"/>
      <c r="H47" s="22"/>
      <c r="I47" s="21">
        <v>97500.0</v>
      </c>
      <c r="J47" s="21"/>
      <c r="K47" s="23"/>
      <c r="L47" s="22"/>
      <c r="M47" s="22"/>
      <c r="N47" s="22"/>
      <c r="O47" s="22"/>
      <c r="P47" s="24">
        <v>97500.0</v>
      </c>
      <c r="Q47" s="25">
        <f t="shared" si="1"/>
        <v>0</v>
      </c>
      <c r="R47" s="24" t="s">
        <v>25</v>
      </c>
      <c r="S47" s="26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34.5" customHeight="1">
      <c r="A48" s="16">
        <v>44.0</v>
      </c>
      <c r="B48" s="27">
        <v>45523.0</v>
      </c>
      <c r="C48" s="18" t="s">
        <v>1294</v>
      </c>
      <c r="D48" s="19">
        <v>25650.0</v>
      </c>
      <c r="E48" s="20" t="s">
        <v>67</v>
      </c>
      <c r="F48" s="21"/>
      <c r="G48" s="22"/>
      <c r="H48" s="22"/>
      <c r="I48" s="21"/>
      <c r="J48" s="21"/>
      <c r="K48" s="23"/>
      <c r="L48" s="22"/>
      <c r="M48" s="22">
        <v>4500.0</v>
      </c>
      <c r="N48" s="22"/>
      <c r="O48" s="22"/>
      <c r="P48" s="24">
        <v>4500.0</v>
      </c>
      <c r="Q48" s="25">
        <f t="shared" si="1"/>
        <v>0</v>
      </c>
      <c r="R48" s="24"/>
      <c r="S48" s="26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34.5" customHeight="1">
      <c r="A49" s="16">
        <v>45.0</v>
      </c>
      <c r="B49" s="27">
        <v>45523.0</v>
      </c>
      <c r="C49" s="18" t="s">
        <v>1295</v>
      </c>
      <c r="D49" s="19">
        <v>43380.0</v>
      </c>
      <c r="E49" s="20" t="s">
        <v>161</v>
      </c>
      <c r="F49" s="21"/>
      <c r="G49" s="22"/>
      <c r="H49" s="22">
        <v>9000.0</v>
      </c>
      <c r="I49" s="21"/>
      <c r="J49" s="21"/>
      <c r="K49" s="23"/>
      <c r="L49" s="22"/>
      <c r="M49" s="22"/>
      <c r="N49" s="22"/>
      <c r="O49" s="22"/>
      <c r="P49" s="24">
        <v>9000.0</v>
      </c>
      <c r="Q49" s="25">
        <f t="shared" si="1"/>
        <v>0</v>
      </c>
      <c r="R49" s="24"/>
      <c r="S49" s="26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34.5" customHeight="1">
      <c r="A50" s="16">
        <v>46.0</v>
      </c>
      <c r="B50" s="27">
        <v>45523.0</v>
      </c>
      <c r="C50" s="18" t="s">
        <v>1296</v>
      </c>
      <c r="D50" s="19">
        <v>57328.0</v>
      </c>
      <c r="E50" s="20" t="s">
        <v>1297</v>
      </c>
      <c r="F50" s="21"/>
      <c r="G50" s="22"/>
      <c r="H50" s="22">
        <v>25000.0</v>
      </c>
      <c r="I50" s="21"/>
      <c r="J50" s="21"/>
      <c r="K50" s="23"/>
      <c r="L50" s="22"/>
      <c r="M50" s="22"/>
      <c r="N50" s="22"/>
      <c r="O50" s="22"/>
      <c r="P50" s="24">
        <v>25000.0</v>
      </c>
      <c r="Q50" s="25">
        <f t="shared" si="1"/>
        <v>0</v>
      </c>
      <c r="R50" s="24"/>
      <c r="S50" s="26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34.5" customHeight="1">
      <c r="A51" s="16">
        <v>47.0</v>
      </c>
      <c r="B51" s="27">
        <v>45524.0</v>
      </c>
      <c r="C51" s="18" t="s">
        <v>1298</v>
      </c>
      <c r="D51" s="19">
        <v>74765.0</v>
      </c>
      <c r="E51" s="20" t="s">
        <v>1299</v>
      </c>
      <c r="F51" s="21"/>
      <c r="G51" s="22"/>
      <c r="H51" s="22"/>
      <c r="I51" s="21"/>
      <c r="J51" s="21"/>
      <c r="K51" s="23"/>
      <c r="L51" s="22"/>
      <c r="M51" s="22">
        <v>6450.0</v>
      </c>
      <c r="N51" s="22"/>
      <c r="O51" s="22"/>
      <c r="P51" s="24">
        <v>6450.0</v>
      </c>
      <c r="Q51" s="25">
        <f t="shared" si="1"/>
        <v>0</v>
      </c>
      <c r="R51" s="24"/>
      <c r="S51" s="26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34.5" customHeight="1">
      <c r="A52" s="16">
        <v>48.0</v>
      </c>
      <c r="B52" s="27">
        <v>45524.0</v>
      </c>
      <c r="C52" s="18" t="s">
        <v>1300</v>
      </c>
      <c r="D52" s="19">
        <v>10006.0</v>
      </c>
      <c r="E52" s="20" t="s">
        <v>151</v>
      </c>
      <c r="F52" s="21"/>
      <c r="G52" s="22"/>
      <c r="H52" s="22">
        <v>6900.0</v>
      </c>
      <c r="I52" s="21"/>
      <c r="J52" s="21"/>
      <c r="K52" s="23"/>
      <c r="L52" s="22"/>
      <c r="M52" s="22"/>
      <c r="N52" s="22"/>
      <c r="O52" s="22"/>
      <c r="P52" s="24">
        <v>6900.0</v>
      </c>
      <c r="Q52" s="25">
        <f t="shared" si="1"/>
        <v>0</v>
      </c>
      <c r="R52" s="24"/>
      <c r="S52" s="26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34.5" customHeight="1">
      <c r="A53" s="16">
        <v>49.0</v>
      </c>
      <c r="B53" s="27">
        <v>45524.0</v>
      </c>
      <c r="C53" s="18" t="s">
        <v>1301</v>
      </c>
      <c r="D53" s="19">
        <v>50148.0</v>
      </c>
      <c r="E53" s="20" t="s">
        <v>285</v>
      </c>
      <c r="F53" s="21"/>
      <c r="G53" s="22"/>
      <c r="H53" s="22">
        <v>450.0</v>
      </c>
      <c r="I53" s="21"/>
      <c r="J53" s="21"/>
      <c r="K53" s="23"/>
      <c r="L53" s="22"/>
      <c r="M53" s="22"/>
      <c r="N53" s="22"/>
      <c r="O53" s="22"/>
      <c r="P53" s="24">
        <v>450.0</v>
      </c>
      <c r="Q53" s="25">
        <f t="shared" si="1"/>
        <v>0</v>
      </c>
      <c r="R53" s="24"/>
      <c r="S53" s="26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34.5" customHeight="1">
      <c r="A54" s="16">
        <v>50.0</v>
      </c>
      <c r="B54" s="27">
        <v>45524.0</v>
      </c>
      <c r="C54" s="18" t="s">
        <v>1302</v>
      </c>
      <c r="D54" s="19">
        <v>10006.0</v>
      </c>
      <c r="E54" s="20" t="s">
        <v>151</v>
      </c>
      <c r="F54" s="21"/>
      <c r="G54" s="22"/>
      <c r="H54" s="22"/>
      <c r="I54" s="21"/>
      <c r="J54" s="21"/>
      <c r="K54" s="23">
        <v>900.0</v>
      </c>
      <c r="L54" s="22"/>
      <c r="M54" s="22"/>
      <c r="N54" s="22"/>
      <c r="O54" s="22"/>
      <c r="P54" s="24">
        <v>900.0</v>
      </c>
      <c r="Q54" s="25">
        <f t="shared" si="1"/>
        <v>0</v>
      </c>
      <c r="R54" s="24"/>
      <c r="S54" s="26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34.5" customHeight="1">
      <c r="A55" s="16">
        <v>51.0</v>
      </c>
      <c r="B55" s="27">
        <v>45524.0</v>
      </c>
      <c r="C55" s="18" t="s">
        <v>1303</v>
      </c>
      <c r="D55" s="19">
        <v>81711.0</v>
      </c>
      <c r="E55" s="20" t="s">
        <v>29</v>
      </c>
      <c r="F55" s="21"/>
      <c r="G55" s="22"/>
      <c r="H55" s="22"/>
      <c r="I55" s="21"/>
      <c r="J55" s="21"/>
      <c r="K55" s="23">
        <v>4390.0</v>
      </c>
      <c r="L55" s="22"/>
      <c r="M55" s="22"/>
      <c r="N55" s="22"/>
      <c r="O55" s="22"/>
      <c r="P55" s="24">
        <v>4390.0</v>
      </c>
      <c r="Q55" s="25">
        <f t="shared" si="1"/>
        <v>0</v>
      </c>
      <c r="R55" s="24"/>
      <c r="S55" s="26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34.5" customHeight="1">
      <c r="A56" s="16">
        <v>52.0</v>
      </c>
      <c r="B56" s="27">
        <v>45524.0</v>
      </c>
      <c r="C56" s="18" t="s">
        <v>1304</v>
      </c>
      <c r="D56" s="19">
        <v>21828.0</v>
      </c>
      <c r="E56" s="20" t="s">
        <v>47</v>
      </c>
      <c r="F56" s="21"/>
      <c r="G56" s="22"/>
      <c r="H56" s="22"/>
      <c r="I56" s="21"/>
      <c r="J56" s="21"/>
      <c r="K56" s="23">
        <v>5000.0</v>
      </c>
      <c r="L56" s="22"/>
      <c r="M56" s="22"/>
      <c r="N56" s="22"/>
      <c r="O56" s="22"/>
      <c r="P56" s="24">
        <v>5000.0</v>
      </c>
      <c r="Q56" s="25">
        <f t="shared" si="1"/>
        <v>0</v>
      </c>
      <c r="R56" s="24"/>
      <c r="S56" s="26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34.5" customHeight="1">
      <c r="A57" s="16"/>
      <c r="B57" s="27"/>
      <c r="C57" s="18"/>
      <c r="D57" s="19"/>
      <c r="E57" s="20"/>
      <c r="F57" s="21"/>
      <c r="G57" s="22"/>
      <c r="H57" s="22"/>
      <c r="I57" s="21"/>
      <c r="J57" s="21"/>
      <c r="K57" s="23"/>
      <c r="L57" s="22"/>
      <c r="M57" s="22"/>
      <c r="N57" s="22"/>
      <c r="O57" s="22"/>
      <c r="P57" s="24"/>
      <c r="Q57" s="25">
        <f t="shared" si="1"/>
        <v>0</v>
      </c>
      <c r="R57" s="24"/>
      <c r="S57" s="26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34.5" customHeight="1">
      <c r="A58" s="16"/>
      <c r="B58" s="27"/>
      <c r="C58" s="18"/>
      <c r="D58" s="19"/>
      <c r="E58" s="20"/>
      <c r="F58" s="21"/>
      <c r="G58" s="22"/>
      <c r="H58" s="22"/>
      <c r="I58" s="21"/>
      <c r="J58" s="21"/>
      <c r="K58" s="23"/>
      <c r="L58" s="22"/>
      <c r="M58" s="22"/>
      <c r="N58" s="22"/>
      <c r="O58" s="22"/>
      <c r="P58" s="24"/>
      <c r="Q58" s="25">
        <f t="shared" si="1"/>
        <v>0</v>
      </c>
      <c r="R58" s="24"/>
      <c r="S58" s="26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34.5" customHeight="1">
      <c r="A59" s="16"/>
      <c r="B59" s="27"/>
      <c r="C59" s="18"/>
      <c r="D59" s="19"/>
      <c r="E59" s="20"/>
      <c r="F59" s="21"/>
      <c r="G59" s="22"/>
      <c r="H59" s="22"/>
      <c r="I59" s="21"/>
      <c r="J59" s="21"/>
      <c r="K59" s="23"/>
      <c r="L59" s="22"/>
      <c r="M59" s="22"/>
      <c r="N59" s="22"/>
      <c r="O59" s="22"/>
      <c r="P59" s="24"/>
      <c r="Q59" s="25">
        <f t="shared" si="1"/>
        <v>0</v>
      </c>
      <c r="R59" s="24"/>
      <c r="S59" s="26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37.5" customHeight="1">
      <c r="A60" s="16"/>
      <c r="B60" s="27"/>
      <c r="C60" s="18"/>
      <c r="D60" s="19" t="s">
        <v>183</v>
      </c>
      <c r="E60" s="20"/>
      <c r="F60" s="45">
        <f t="shared" ref="F60:P60" si="2">SUM(F5:F59)</f>
        <v>0</v>
      </c>
      <c r="G60" s="45">
        <f t="shared" si="2"/>
        <v>9500</v>
      </c>
      <c r="H60" s="45">
        <f t="shared" si="2"/>
        <v>41350</v>
      </c>
      <c r="I60" s="45">
        <f t="shared" si="2"/>
        <v>206249</v>
      </c>
      <c r="J60" s="45">
        <f t="shared" si="2"/>
        <v>45550</v>
      </c>
      <c r="K60" s="45">
        <f t="shared" si="2"/>
        <v>27031</v>
      </c>
      <c r="L60" s="45">
        <f t="shared" si="2"/>
        <v>0</v>
      </c>
      <c r="M60" s="45">
        <f t="shared" si="2"/>
        <v>10950</v>
      </c>
      <c r="N60" s="45">
        <f t="shared" si="2"/>
        <v>0</v>
      </c>
      <c r="O60" s="45">
        <f t="shared" si="2"/>
        <v>0</v>
      </c>
      <c r="P60" s="45">
        <f t="shared" si="2"/>
        <v>346880</v>
      </c>
      <c r="Q60" s="46">
        <v>0.0</v>
      </c>
      <c r="R60" s="47"/>
      <c r="S60" s="26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</row>
    <row r="61" ht="15.75" customHeight="1">
      <c r="A61" s="48"/>
      <c r="B61" s="48"/>
      <c r="C61" s="49"/>
      <c r="D61" s="48"/>
      <c r="E61" s="48"/>
      <c r="F61" s="50">
        <f>F60+G60+H60+I60+J60+K60+L60+M60+N60+O60</f>
        <v>340630</v>
      </c>
      <c r="P61" s="51"/>
      <c r="Q61" s="51"/>
      <c r="R61" s="48"/>
      <c r="S61" s="48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3" t="s">
        <v>183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54" t="s">
        <v>184</v>
      </c>
      <c r="F65" s="55" t="s">
        <v>187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56" t="s">
        <v>186</v>
      </c>
      <c r="F66" s="55" t="s">
        <v>357</v>
      </c>
      <c r="G66" s="4"/>
      <c r="H66" s="4"/>
      <c r="I66" s="4"/>
      <c r="J66" s="4"/>
      <c r="K66" s="4"/>
      <c r="L66" s="4"/>
      <c r="M66" s="4"/>
      <c r="N66" s="4"/>
      <c r="O66" s="57" t="s">
        <v>183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56" t="s">
        <v>188</v>
      </c>
      <c r="F67" s="55" t="s">
        <v>194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56" t="s">
        <v>189</v>
      </c>
      <c r="F68" s="55" t="s">
        <v>194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56" t="s">
        <v>190</v>
      </c>
      <c r="F69" s="61" t="s">
        <v>1305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56" t="s">
        <v>1306</v>
      </c>
      <c r="F70" s="55" t="s">
        <v>185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56" t="s">
        <v>193</v>
      </c>
      <c r="F71" s="55" t="s">
        <v>194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56" t="s">
        <v>195</v>
      </c>
      <c r="F72" s="59" t="s">
        <v>196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7" t="s">
        <v>183</v>
      </c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 t="str">
        <f>I72460</f>
        <v/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57" t="s">
        <v>197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>
        <v>7.0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5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5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5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5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5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5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5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5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5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>
      <c r="A283" s="4"/>
      <c r="B283" s="4"/>
      <c r="C283" s="5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5.75" customHeight="1">
      <c r="A284" s="4"/>
      <c r="B284" s="4"/>
      <c r="C284" s="5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5.75" customHeight="1">
      <c r="A285" s="4"/>
      <c r="B285" s="4"/>
      <c r="C285" s="5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5.75" customHeight="1">
      <c r="A286" s="4"/>
      <c r="B286" s="4"/>
      <c r="C286" s="5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5.75" customHeight="1">
      <c r="A287" s="4"/>
      <c r="B287" s="4"/>
      <c r="C287" s="5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5.75" customHeight="1">
      <c r="A288" s="4"/>
      <c r="B288" s="4"/>
      <c r="C288" s="5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5.75" customHeight="1">
      <c r="A289" s="4"/>
      <c r="B289" s="4"/>
      <c r="C289" s="5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ht="15.75" customHeight="1">
      <c r="A290" s="4"/>
      <c r="B290" s="4"/>
      <c r="C290" s="5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ht="15.75" customHeight="1">
      <c r="A291" s="4"/>
      <c r="B291" s="4"/>
      <c r="C291" s="5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ht="15.75" customHeight="1">
      <c r="A292" s="4"/>
      <c r="B292" s="4"/>
      <c r="C292" s="5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 ht="15.75" customHeight="1">
      <c r="A293" s="4"/>
      <c r="B293" s="4"/>
      <c r="C293" s="5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 ht="15.75" customHeight="1">
      <c r="A294" s="4"/>
      <c r="B294" s="4"/>
      <c r="C294" s="5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 ht="15.75" customHeight="1">
      <c r="A295" s="4"/>
      <c r="B295" s="4"/>
      <c r="C295" s="5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R2:R4"/>
    <mergeCell ref="S2:S4"/>
    <mergeCell ref="F3:F4"/>
    <mergeCell ref="G3:H3"/>
    <mergeCell ref="I3:J3"/>
    <mergeCell ref="K3:K4"/>
    <mergeCell ref="F61:O61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6.88"/>
    <col customWidth="1" min="6" max="6" width="29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45.0" customHeight="1">
      <c r="A1" s="1" t="s">
        <v>1307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15.75" customHeight="1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5.75" customHeight="1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45525.0</v>
      </c>
      <c r="C5" s="18" t="s">
        <v>1308</v>
      </c>
      <c r="D5" s="19">
        <v>46210.0</v>
      </c>
      <c r="E5" s="20" t="s">
        <v>424</v>
      </c>
      <c r="F5" s="21"/>
      <c r="G5" s="22"/>
      <c r="H5" s="21"/>
      <c r="I5" s="23">
        <v>5150.0</v>
      </c>
      <c r="J5" s="23"/>
      <c r="K5" s="22"/>
      <c r="L5" s="22"/>
      <c r="M5" s="21"/>
      <c r="N5" s="22"/>
      <c r="O5" s="22"/>
      <c r="P5" s="24">
        <v>5150.0</v>
      </c>
      <c r="Q5" s="25">
        <f t="shared" ref="Q5:Q45" si="1">F5+G5+H5+I5+J5+K5+L5+M5+N5+O5-P5</f>
        <v>0</v>
      </c>
      <c r="R5" s="24" t="s">
        <v>51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45525.0</v>
      </c>
      <c r="C6" s="18" t="s">
        <v>1309</v>
      </c>
      <c r="D6" s="19">
        <v>75045.0</v>
      </c>
      <c r="E6" s="20" t="s">
        <v>1276</v>
      </c>
      <c r="F6" s="21"/>
      <c r="G6" s="22"/>
      <c r="H6" s="22"/>
      <c r="I6" s="21">
        <v>1000.0</v>
      </c>
      <c r="J6" s="22"/>
      <c r="K6" s="22"/>
      <c r="L6" s="22"/>
      <c r="M6" s="21"/>
      <c r="N6" s="22"/>
      <c r="O6" s="22"/>
      <c r="P6" s="24">
        <v>1000.0</v>
      </c>
      <c r="Q6" s="25">
        <f t="shared" si="1"/>
        <v>0</v>
      </c>
      <c r="R6" s="24" t="s">
        <v>51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45525.0</v>
      </c>
      <c r="C7" s="18" t="s">
        <v>1310</v>
      </c>
      <c r="D7" s="19">
        <v>51309.0</v>
      </c>
      <c r="E7" s="20" t="s">
        <v>434</v>
      </c>
      <c r="F7" s="22"/>
      <c r="G7" s="22"/>
      <c r="H7" s="21"/>
      <c r="I7" s="21">
        <v>500.0</v>
      </c>
      <c r="J7" s="23"/>
      <c r="K7" s="22"/>
      <c r="L7" s="22"/>
      <c r="M7" s="22"/>
      <c r="N7" s="22"/>
      <c r="O7" s="22"/>
      <c r="P7" s="24">
        <v>500.0</v>
      </c>
      <c r="Q7" s="25">
        <f t="shared" si="1"/>
        <v>0</v>
      </c>
      <c r="R7" s="24" t="s">
        <v>51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45525.0</v>
      </c>
      <c r="C8" s="18" t="s">
        <v>1311</v>
      </c>
      <c r="D8" s="19">
        <v>39832.0</v>
      </c>
      <c r="E8" s="20" t="s">
        <v>739</v>
      </c>
      <c r="F8" s="22"/>
      <c r="G8" s="22"/>
      <c r="H8" s="22"/>
      <c r="I8" s="21"/>
      <c r="J8" s="21"/>
      <c r="K8" s="22"/>
      <c r="L8" s="22"/>
      <c r="M8" s="22">
        <v>600.0</v>
      </c>
      <c r="N8" s="22"/>
      <c r="O8" s="22"/>
      <c r="P8" s="24">
        <v>600.0</v>
      </c>
      <c r="Q8" s="25">
        <f t="shared" si="1"/>
        <v>0</v>
      </c>
      <c r="R8" s="24" t="s">
        <v>68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45525.0</v>
      </c>
      <c r="C9" s="18" t="s">
        <v>1312</v>
      </c>
      <c r="D9" s="19">
        <v>76556.0</v>
      </c>
      <c r="E9" s="20" t="s">
        <v>1100</v>
      </c>
      <c r="F9" s="22"/>
      <c r="G9" s="22"/>
      <c r="H9" s="22"/>
      <c r="I9" s="21"/>
      <c r="J9" s="21"/>
      <c r="K9" s="22"/>
      <c r="L9" s="22"/>
      <c r="M9" s="21">
        <v>450.0</v>
      </c>
      <c r="N9" s="22"/>
      <c r="O9" s="22"/>
      <c r="P9" s="24">
        <v>450.0</v>
      </c>
      <c r="Q9" s="25">
        <f t="shared" si="1"/>
        <v>0</v>
      </c>
      <c r="R9" s="24" t="s">
        <v>68</v>
      </c>
      <c r="S9" s="26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45525.0</v>
      </c>
      <c r="C10" s="18" t="s">
        <v>1313</v>
      </c>
      <c r="D10" s="19">
        <v>51512.0</v>
      </c>
      <c r="E10" s="20" t="s">
        <v>446</v>
      </c>
      <c r="F10" s="22"/>
      <c r="G10" s="22"/>
      <c r="H10" s="22"/>
      <c r="I10" s="21"/>
      <c r="J10" s="21">
        <v>18900.0</v>
      </c>
      <c r="K10" s="22"/>
      <c r="L10" s="22"/>
      <c r="M10" s="21"/>
      <c r="N10" s="22"/>
      <c r="O10" s="22"/>
      <c r="P10" s="24">
        <v>18900.0</v>
      </c>
      <c r="Q10" s="25">
        <f t="shared" si="1"/>
        <v>0</v>
      </c>
      <c r="R10" s="24" t="s">
        <v>25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45525.0</v>
      </c>
      <c r="C11" s="18" t="s">
        <v>1314</v>
      </c>
      <c r="D11" s="19">
        <v>84525.0</v>
      </c>
      <c r="E11" s="20" t="s">
        <v>1315</v>
      </c>
      <c r="F11" s="22"/>
      <c r="G11" s="22"/>
      <c r="H11" s="22"/>
      <c r="I11" s="21">
        <v>300.0</v>
      </c>
      <c r="J11" s="21"/>
      <c r="K11" s="22"/>
      <c r="L11" s="22"/>
      <c r="M11" s="21"/>
      <c r="N11" s="22"/>
      <c r="O11" s="22"/>
      <c r="P11" s="24">
        <v>300.0</v>
      </c>
      <c r="Q11" s="25">
        <f t="shared" si="1"/>
        <v>0</v>
      </c>
      <c r="R11" s="24" t="s">
        <v>68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7">
        <v>45525.0</v>
      </c>
      <c r="C12" s="18" t="s">
        <v>1316</v>
      </c>
      <c r="D12" s="19">
        <v>52669.0</v>
      </c>
      <c r="E12" s="20" t="s">
        <v>310</v>
      </c>
      <c r="F12" s="22"/>
      <c r="G12" s="22"/>
      <c r="H12" s="22">
        <v>32850.0</v>
      </c>
      <c r="I12" s="21"/>
      <c r="J12" s="21"/>
      <c r="K12" s="22"/>
      <c r="L12" s="22"/>
      <c r="M12" s="21"/>
      <c r="N12" s="22"/>
      <c r="O12" s="22"/>
      <c r="P12" s="24">
        <v>32850.0</v>
      </c>
      <c r="Q12" s="25">
        <f t="shared" si="1"/>
        <v>0</v>
      </c>
      <c r="R12" s="24" t="s">
        <v>25</v>
      </c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8">
        <v>45525.0</v>
      </c>
      <c r="C13" s="29" t="s">
        <v>1317</v>
      </c>
      <c r="D13" s="30">
        <v>74174.0</v>
      </c>
      <c r="E13" s="31" t="s">
        <v>1318</v>
      </c>
      <c r="F13" s="22"/>
      <c r="G13" s="22"/>
      <c r="H13" s="22"/>
      <c r="I13" s="21">
        <v>5150.0</v>
      </c>
      <c r="J13" s="21"/>
      <c r="K13" s="22"/>
      <c r="L13" s="22"/>
      <c r="M13" s="21"/>
      <c r="N13" s="22"/>
      <c r="O13" s="22"/>
      <c r="P13" s="32">
        <v>5150.0</v>
      </c>
      <c r="Q13" s="25">
        <f t="shared" si="1"/>
        <v>0</v>
      </c>
      <c r="R13" s="32" t="s">
        <v>479</v>
      </c>
      <c r="S13" s="26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 ht="34.5" customHeight="1">
      <c r="A14" s="16">
        <v>10.0</v>
      </c>
      <c r="B14" s="27">
        <v>45525.0</v>
      </c>
      <c r="C14" s="18" t="s">
        <v>1319</v>
      </c>
      <c r="D14" s="19">
        <v>69346.0</v>
      </c>
      <c r="E14" s="20" t="s">
        <v>765</v>
      </c>
      <c r="F14" s="22"/>
      <c r="G14" s="22"/>
      <c r="H14" s="22"/>
      <c r="I14" s="21">
        <v>1000.0</v>
      </c>
      <c r="J14" s="21"/>
      <c r="K14" s="22"/>
      <c r="L14" s="22"/>
      <c r="M14" s="21"/>
      <c r="N14" s="22"/>
      <c r="O14" s="22"/>
      <c r="P14" s="24">
        <v>1000.0</v>
      </c>
      <c r="Q14" s="25">
        <f t="shared" si="1"/>
        <v>0</v>
      </c>
      <c r="R14" s="24" t="s">
        <v>25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45525.0</v>
      </c>
      <c r="C15" s="18" t="s">
        <v>1320</v>
      </c>
      <c r="D15" s="19">
        <v>31927.0</v>
      </c>
      <c r="E15" s="20" t="s">
        <v>168</v>
      </c>
      <c r="F15" s="22"/>
      <c r="G15" s="22"/>
      <c r="H15" s="22"/>
      <c r="I15" s="21">
        <v>2800.0</v>
      </c>
      <c r="J15" s="21"/>
      <c r="K15" s="22"/>
      <c r="L15" s="22"/>
      <c r="M15" s="21"/>
      <c r="N15" s="22"/>
      <c r="O15" s="22"/>
      <c r="P15" s="24">
        <v>2800.0</v>
      </c>
      <c r="Q15" s="25">
        <f t="shared" si="1"/>
        <v>0</v>
      </c>
      <c r="R15" s="24" t="s">
        <v>51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45525.0</v>
      </c>
      <c r="C16" s="18" t="s">
        <v>1321</v>
      </c>
      <c r="D16" s="19">
        <v>48910.0</v>
      </c>
      <c r="E16" s="20" t="s">
        <v>127</v>
      </c>
      <c r="F16" s="22"/>
      <c r="G16" s="22"/>
      <c r="H16" s="22"/>
      <c r="I16" s="21"/>
      <c r="J16" s="21">
        <v>5150.0</v>
      </c>
      <c r="K16" s="22"/>
      <c r="L16" s="22"/>
      <c r="M16" s="21"/>
      <c r="N16" s="22"/>
      <c r="O16" s="22"/>
      <c r="P16" s="24">
        <v>5150.0</v>
      </c>
      <c r="Q16" s="25">
        <f t="shared" si="1"/>
        <v>0</v>
      </c>
      <c r="R16" s="24" t="s">
        <v>68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45525.0</v>
      </c>
      <c r="C17" s="18" t="s">
        <v>1322</v>
      </c>
      <c r="D17" s="19">
        <v>51697.0</v>
      </c>
      <c r="E17" s="20" t="s">
        <v>303</v>
      </c>
      <c r="F17" s="22"/>
      <c r="G17" s="22"/>
      <c r="H17" s="22"/>
      <c r="I17" s="21"/>
      <c r="J17" s="21">
        <v>1831.0</v>
      </c>
      <c r="K17" s="22">
        <v>819.0</v>
      </c>
      <c r="L17" s="22"/>
      <c r="M17" s="21"/>
      <c r="N17" s="22"/>
      <c r="O17" s="22"/>
      <c r="P17" s="24">
        <v>2650.0</v>
      </c>
      <c r="Q17" s="25">
        <f t="shared" si="1"/>
        <v>0</v>
      </c>
      <c r="R17" s="24" t="s">
        <v>479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7">
        <v>45525.0</v>
      </c>
      <c r="C18" s="18" t="s">
        <v>1323</v>
      </c>
      <c r="D18" s="19">
        <v>52240.0</v>
      </c>
      <c r="E18" s="20" t="s">
        <v>526</v>
      </c>
      <c r="F18" s="22"/>
      <c r="G18" s="22"/>
      <c r="H18" s="22"/>
      <c r="I18" s="21"/>
      <c r="J18" s="21">
        <v>11450.0</v>
      </c>
      <c r="K18" s="22"/>
      <c r="L18" s="22"/>
      <c r="M18" s="22"/>
      <c r="N18" s="22"/>
      <c r="O18" s="22"/>
      <c r="P18" s="24">
        <v>11450.0</v>
      </c>
      <c r="Q18" s="25">
        <f t="shared" si="1"/>
        <v>0</v>
      </c>
      <c r="R18" s="24" t="s">
        <v>51</v>
      </c>
      <c r="S18" s="26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28">
        <v>45525.0</v>
      </c>
      <c r="C19" s="29" t="s">
        <v>1324</v>
      </c>
      <c r="D19" s="30">
        <v>50461.0</v>
      </c>
      <c r="E19" s="31" t="s">
        <v>1325</v>
      </c>
      <c r="F19" s="22"/>
      <c r="G19" s="22"/>
      <c r="H19" s="22"/>
      <c r="I19" s="21">
        <v>350.0</v>
      </c>
      <c r="J19" s="21"/>
      <c r="K19" s="22"/>
      <c r="L19" s="22"/>
      <c r="M19" s="21"/>
      <c r="N19" s="22"/>
      <c r="O19" s="22"/>
      <c r="P19" s="32">
        <v>350.0</v>
      </c>
      <c r="Q19" s="25">
        <f t="shared" si="1"/>
        <v>0</v>
      </c>
      <c r="R19" s="32" t="s">
        <v>25</v>
      </c>
      <c r="S19" s="26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ht="34.5" customHeight="1">
      <c r="A20" s="16">
        <v>16.0</v>
      </c>
      <c r="B20" s="27">
        <v>45525.0</v>
      </c>
      <c r="C20" s="18" t="s">
        <v>1326</v>
      </c>
      <c r="D20" s="19">
        <v>76101.0</v>
      </c>
      <c r="E20" s="20" t="s">
        <v>61</v>
      </c>
      <c r="F20" s="22"/>
      <c r="G20" s="22"/>
      <c r="H20" s="22"/>
      <c r="I20" s="23"/>
      <c r="J20" s="21"/>
      <c r="K20" s="22"/>
      <c r="L20" s="22"/>
      <c r="M20" s="22">
        <v>200.0</v>
      </c>
      <c r="N20" s="22"/>
      <c r="O20" s="22"/>
      <c r="P20" s="24">
        <v>200.0</v>
      </c>
      <c r="Q20" s="25">
        <f t="shared" si="1"/>
        <v>0</v>
      </c>
      <c r="R20" s="24" t="s">
        <v>68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45525.0</v>
      </c>
      <c r="C21" s="18" t="s">
        <v>1327</v>
      </c>
      <c r="D21" s="19">
        <v>53427.0</v>
      </c>
      <c r="E21" s="20" t="s">
        <v>1328</v>
      </c>
      <c r="F21" s="21"/>
      <c r="G21" s="22"/>
      <c r="H21" s="22"/>
      <c r="I21" s="34"/>
      <c r="J21" s="21">
        <v>2850.0</v>
      </c>
      <c r="K21" s="35"/>
      <c r="L21" s="22"/>
      <c r="M21" s="22"/>
      <c r="N21" s="22"/>
      <c r="O21" s="22"/>
      <c r="P21" s="24">
        <v>2850.0</v>
      </c>
      <c r="Q21" s="25">
        <f t="shared" si="1"/>
        <v>0</v>
      </c>
      <c r="R21" s="24" t="s">
        <v>51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7">
        <v>45525.0</v>
      </c>
      <c r="C22" s="18" t="s">
        <v>1329</v>
      </c>
      <c r="D22" s="19">
        <v>51084.0</v>
      </c>
      <c r="E22" s="20" t="s">
        <v>1330</v>
      </c>
      <c r="F22" s="21"/>
      <c r="G22" s="22"/>
      <c r="H22" s="22"/>
      <c r="I22" s="21">
        <v>2650.0</v>
      </c>
      <c r="J22" s="21"/>
      <c r="K22" s="21"/>
      <c r="L22" s="22"/>
      <c r="M22" s="22"/>
      <c r="N22" s="22"/>
      <c r="O22" s="22"/>
      <c r="P22" s="24">
        <v>2650.0</v>
      </c>
      <c r="Q22" s="25">
        <f t="shared" si="1"/>
        <v>0</v>
      </c>
      <c r="R22" s="24" t="s">
        <v>479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36">
        <v>45525.0</v>
      </c>
      <c r="C23" s="37" t="s">
        <v>1331</v>
      </c>
      <c r="D23" s="38">
        <v>10006.0</v>
      </c>
      <c r="E23" s="39" t="s">
        <v>151</v>
      </c>
      <c r="F23" s="34"/>
      <c r="G23" s="40">
        <v>5200.0</v>
      </c>
      <c r="H23" s="40"/>
      <c r="I23" s="34"/>
      <c r="J23" s="21"/>
      <c r="K23" s="41"/>
      <c r="L23" s="40"/>
      <c r="M23" s="40"/>
      <c r="N23" s="40"/>
      <c r="O23" s="40"/>
      <c r="P23" s="42">
        <v>5200.0</v>
      </c>
      <c r="Q23" s="25">
        <f t="shared" si="1"/>
        <v>0</v>
      </c>
      <c r="R23" s="42" t="s">
        <v>68</v>
      </c>
      <c r="S23" s="26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</row>
    <row r="24" ht="34.5" customHeight="1">
      <c r="A24" s="16">
        <v>20.0</v>
      </c>
      <c r="B24" s="27">
        <v>45525.0</v>
      </c>
      <c r="C24" s="18" t="s">
        <v>1332</v>
      </c>
      <c r="D24" s="19">
        <v>10006.0</v>
      </c>
      <c r="E24" s="20" t="s">
        <v>151</v>
      </c>
      <c r="F24" s="21"/>
      <c r="G24" s="22">
        <v>200.0</v>
      </c>
      <c r="H24" s="22"/>
      <c r="I24" s="21"/>
      <c r="J24" s="21"/>
      <c r="K24" s="35"/>
      <c r="L24" s="22"/>
      <c r="M24" s="22"/>
      <c r="N24" s="22"/>
      <c r="O24" s="22"/>
      <c r="P24" s="24">
        <v>200.0</v>
      </c>
      <c r="Q24" s="25">
        <f t="shared" si="1"/>
        <v>0</v>
      </c>
      <c r="R24" s="24" t="s">
        <v>68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45525.0</v>
      </c>
      <c r="C25" s="18" t="s">
        <v>1333</v>
      </c>
      <c r="D25" s="19">
        <v>10006.0</v>
      </c>
      <c r="E25" s="20" t="s">
        <v>151</v>
      </c>
      <c r="F25" s="21"/>
      <c r="G25" s="22">
        <v>2000.0</v>
      </c>
      <c r="H25" s="22"/>
      <c r="I25" s="21"/>
      <c r="J25" s="21"/>
      <c r="K25" s="35"/>
      <c r="L25" s="22"/>
      <c r="M25" s="22"/>
      <c r="N25" s="22"/>
      <c r="O25" s="22"/>
      <c r="P25" s="24">
        <v>2000.0</v>
      </c>
      <c r="Q25" s="25">
        <f t="shared" si="1"/>
        <v>0</v>
      </c>
      <c r="R25" s="24" t="s">
        <v>68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45525.0</v>
      </c>
      <c r="C26" s="18" t="s">
        <v>1334</v>
      </c>
      <c r="D26" s="19">
        <v>50436.0</v>
      </c>
      <c r="E26" s="20" t="s">
        <v>305</v>
      </c>
      <c r="F26" s="21"/>
      <c r="G26" s="22"/>
      <c r="H26" s="22"/>
      <c r="I26" s="35">
        <v>33300.0</v>
      </c>
      <c r="J26" s="21"/>
      <c r="K26" s="35"/>
      <c r="L26" s="22"/>
      <c r="M26" s="22"/>
      <c r="N26" s="22"/>
      <c r="O26" s="22"/>
      <c r="P26" s="24">
        <v>33300.0</v>
      </c>
      <c r="Q26" s="25">
        <f t="shared" si="1"/>
        <v>0</v>
      </c>
      <c r="R26" s="24" t="s">
        <v>68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45525.0</v>
      </c>
      <c r="C27" s="18" t="s">
        <v>1335</v>
      </c>
      <c r="D27" s="19">
        <v>36769.0</v>
      </c>
      <c r="E27" s="20" t="s">
        <v>547</v>
      </c>
      <c r="F27" s="21"/>
      <c r="G27" s="22"/>
      <c r="H27" s="22"/>
      <c r="I27" s="21">
        <v>8000.0</v>
      </c>
      <c r="J27" s="21"/>
      <c r="K27" s="35"/>
      <c r="L27" s="22"/>
      <c r="M27" s="22"/>
      <c r="N27" s="22"/>
      <c r="O27" s="22"/>
      <c r="P27" s="24">
        <v>8000.0</v>
      </c>
      <c r="Q27" s="25">
        <f t="shared" si="1"/>
        <v>0</v>
      </c>
      <c r="R27" s="24" t="s">
        <v>68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45525.0</v>
      </c>
      <c r="C28" s="18" t="s">
        <v>1336</v>
      </c>
      <c r="D28" s="19">
        <v>31738.0</v>
      </c>
      <c r="E28" s="20" t="s">
        <v>686</v>
      </c>
      <c r="F28" s="21">
        <v>500.0</v>
      </c>
      <c r="G28" s="22"/>
      <c r="H28" s="22"/>
      <c r="I28" s="21"/>
      <c r="J28" s="21"/>
      <c r="K28" s="35"/>
      <c r="L28" s="22"/>
      <c r="M28" s="22"/>
      <c r="N28" s="22"/>
      <c r="O28" s="22"/>
      <c r="P28" s="24">
        <v>500.0</v>
      </c>
      <c r="Q28" s="25">
        <f t="shared" si="1"/>
        <v>0</v>
      </c>
      <c r="R28" s="24" t="s">
        <v>1337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45525.0</v>
      </c>
      <c r="C29" s="18" t="s">
        <v>1338</v>
      </c>
      <c r="D29" s="19">
        <v>84528.0</v>
      </c>
      <c r="E29" s="20" t="s">
        <v>1339</v>
      </c>
      <c r="F29" s="21"/>
      <c r="G29" s="22"/>
      <c r="H29" s="22"/>
      <c r="I29" s="21">
        <v>300.0</v>
      </c>
      <c r="J29" s="21"/>
      <c r="K29" s="23"/>
      <c r="L29" s="22"/>
      <c r="M29" s="22"/>
      <c r="N29" s="22"/>
      <c r="O29" s="22"/>
      <c r="P29" s="24">
        <v>300.0</v>
      </c>
      <c r="Q29" s="25">
        <f t="shared" si="1"/>
        <v>0</v>
      </c>
      <c r="R29" s="24" t="s">
        <v>51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45525.0</v>
      </c>
      <c r="C30" s="18" t="s">
        <v>1340</v>
      </c>
      <c r="D30" s="19">
        <v>84529.0</v>
      </c>
      <c r="E30" s="20" t="s">
        <v>1341</v>
      </c>
      <c r="F30" s="21"/>
      <c r="G30" s="22"/>
      <c r="H30" s="22"/>
      <c r="I30" s="21">
        <v>300.0</v>
      </c>
      <c r="J30" s="21"/>
      <c r="K30" s="23"/>
      <c r="L30" s="22"/>
      <c r="M30" s="22"/>
      <c r="N30" s="22"/>
      <c r="O30" s="22"/>
      <c r="P30" s="24">
        <v>300.0</v>
      </c>
      <c r="Q30" s="25">
        <f t="shared" si="1"/>
        <v>0</v>
      </c>
      <c r="R30" s="24" t="s">
        <v>51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45525.0</v>
      </c>
      <c r="C31" s="18" t="s">
        <v>1342</v>
      </c>
      <c r="D31" s="19">
        <v>55448.0</v>
      </c>
      <c r="E31" s="20" t="s">
        <v>1343</v>
      </c>
      <c r="F31" s="21"/>
      <c r="G31" s="22"/>
      <c r="H31" s="22"/>
      <c r="I31" s="21">
        <v>2650.0</v>
      </c>
      <c r="J31" s="21"/>
      <c r="K31" s="23"/>
      <c r="L31" s="22"/>
      <c r="M31" s="22"/>
      <c r="N31" s="22"/>
      <c r="O31" s="22"/>
      <c r="P31" s="24">
        <v>2650.0</v>
      </c>
      <c r="Q31" s="25">
        <f t="shared" si="1"/>
        <v>0</v>
      </c>
      <c r="R31" s="24" t="s">
        <v>25</v>
      </c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45525.0</v>
      </c>
      <c r="C32" s="18" t="s">
        <v>1344</v>
      </c>
      <c r="D32" s="19">
        <v>84114.0</v>
      </c>
      <c r="E32" s="20" t="s">
        <v>524</v>
      </c>
      <c r="F32" s="21"/>
      <c r="G32" s="22"/>
      <c r="H32" s="22"/>
      <c r="I32" s="21">
        <v>6400.0</v>
      </c>
      <c r="J32" s="21"/>
      <c r="K32" s="23"/>
      <c r="L32" s="22"/>
      <c r="M32" s="22"/>
      <c r="N32" s="22"/>
      <c r="O32" s="22"/>
      <c r="P32" s="24">
        <v>6400.0</v>
      </c>
      <c r="Q32" s="25">
        <f t="shared" si="1"/>
        <v>0</v>
      </c>
      <c r="R32" s="24" t="s">
        <v>25</v>
      </c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45525.0</v>
      </c>
      <c r="C33" s="18" t="s">
        <v>1345</v>
      </c>
      <c r="D33" s="19">
        <v>17429.0</v>
      </c>
      <c r="E33" s="20" t="s">
        <v>1346</v>
      </c>
      <c r="F33" s="21"/>
      <c r="G33" s="22">
        <v>1400.0</v>
      </c>
      <c r="H33" s="22"/>
      <c r="I33" s="21"/>
      <c r="J33" s="21"/>
      <c r="K33" s="23"/>
      <c r="L33" s="22"/>
      <c r="M33" s="22"/>
      <c r="N33" s="22"/>
      <c r="O33" s="22"/>
      <c r="P33" s="24">
        <v>1400.0</v>
      </c>
      <c r="Q33" s="25">
        <f t="shared" si="1"/>
        <v>0</v>
      </c>
      <c r="R33" s="24" t="s">
        <v>25</v>
      </c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7">
        <v>45525.0</v>
      </c>
      <c r="C34" s="18" t="s">
        <v>1347</v>
      </c>
      <c r="D34" s="19">
        <v>74514.0</v>
      </c>
      <c r="E34" s="20" t="s">
        <v>873</v>
      </c>
      <c r="F34" s="21"/>
      <c r="G34" s="22"/>
      <c r="H34" s="22"/>
      <c r="I34" s="21">
        <v>5000.0</v>
      </c>
      <c r="J34" s="21"/>
      <c r="K34" s="23"/>
      <c r="L34" s="22"/>
      <c r="M34" s="22"/>
      <c r="N34" s="22"/>
      <c r="O34" s="22"/>
      <c r="P34" s="24">
        <v>5000.0</v>
      </c>
      <c r="Q34" s="25">
        <f t="shared" si="1"/>
        <v>0</v>
      </c>
      <c r="R34" s="24" t="s">
        <v>1337</v>
      </c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7">
        <v>45525.0</v>
      </c>
      <c r="C35" s="18" t="s">
        <v>1348</v>
      </c>
      <c r="D35" s="19">
        <v>52083.0</v>
      </c>
      <c r="E35" s="20" t="s">
        <v>122</v>
      </c>
      <c r="F35" s="21"/>
      <c r="G35" s="22"/>
      <c r="H35" s="22"/>
      <c r="I35" s="21">
        <v>350.0</v>
      </c>
      <c r="J35" s="21"/>
      <c r="K35" s="23"/>
      <c r="L35" s="22"/>
      <c r="M35" s="22"/>
      <c r="N35" s="22"/>
      <c r="O35" s="22"/>
      <c r="P35" s="24">
        <v>350.0</v>
      </c>
      <c r="Q35" s="25">
        <f t="shared" si="1"/>
        <v>0</v>
      </c>
      <c r="R35" s="24" t="s">
        <v>25</v>
      </c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7">
        <v>45525.0</v>
      </c>
      <c r="C36" s="18" t="s">
        <v>1349</v>
      </c>
      <c r="D36" s="19">
        <v>13762.0</v>
      </c>
      <c r="E36" s="20" t="s">
        <v>244</v>
      </c>
      <c r="F36" s="21"/>
      <c r="G36" s="22"/>
      <c r="H36" s="22"/>
      <c r="I36" s="21"/>
      <c r="J36" s="21">
        <v>1450.0</v>
      </c>
      <c r="K36" s="23"/>
      <c r="L36" s="22"/>
      <c r="M36" s="22"/>
      <c r="N36" s="22"/>
      <c r="O36" s="22"/>
      <c r="P36" s="24">
        <v>1450.0</v>
      </c>
      <c r="Q36" s="25">
        <f t="shared" si="1"/>
        <v>0</v>
      </c>
      <c r="R36" s="24" t="s">
        <v>25</v>
      </c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7">
        <v>45525.0</v>
      </c>
      <c r="C37" s="18" t="s">
        <v>1350</v>
      </c>
      <c r="D37" s="19">
        <v>39317.0</v>
      </c>
      <c r="E37" s="20" t="s">
        <v>251</v>
      </c>
      <c r="F37" s="21"/>
      <c r="G37" s="22"/>
      <c r="H37" s="22"/>
      <c r="I37" s="21"/>
      <c r="J37" s="21">
        <v>5100.0</v>
      </c>
      <c r="K37" s="23"/>
      <c r="L37" s="22"/>
      <c r="M37" s="22"/>
      <c r="N37" s="22"/>
      <c r="O37" s="22"/>
      <c r="P37" s="24">
        <v>5100.0</v>
      </c>
      <c r="Q37" s="25">
        <f t="shared" si="1"/>
        <v>0</v>
      </c>
      <c r="R37" s="24" t="s">
        <v>51</v>
      </c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7">
        <v>45525.0</v>
      </c>
      <c r="C38" s="18" t="s">
        <v>1351</v>
      </c>
      <c r="D38" s="19">
        <v>80781.0</v>
      </c>
      <c r="E38" s="20" t="s">
        <v>1352</v>
      </c>
      <c r="F38" s="21"/>
      <c r="G38" s="22"/>
      <c r="H38" s="22"/>
      <c r="I38" s="21">
        <v>5000.0</v>
      </c>
      <c r="J38" s="21"/>
      <c r="K38" s="23"/>
      <c r="L38" s="22"/>
      <c r="M38" s="22"/>
      <c r="N38" s="22"/>
      <c r="O38" s="22"/>
      <c r="P38" s="24">
        <v>5000.0</v>
      </c>
      <c r="Q38" s="25">
        <f t="shared" si="1"/>
        <v>0</v>
      </c>
      <c r="R38" s="24" t="s">
        <v>25</v>
      </c>
      <c r="S38" s="26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7">
        <v>45525.0</v>
      </c>
      <c r="C39" s="18" t="s">
        <v>1353</v>
      </c>
      <c r="D39" s="19">
        <v>80781.0</v>
      </c>
      <c r="E39" s="20" t="s">
        <v>1352</v>
      </c>
      <c r="F39" s="21"/>
      <c r="G39" s="22"/>
      <c r="H39" s="22"/>
      <c r="I39" s="21">
        <v>5000.0</v>
      </c>
      <c r="J39" s="21"/>
      <c r="K39" s="23"/>
      <c r="L39" s="22"/>
      <c r="M39" s="22"/>
      <c r="N39" s="22"/>
      <c r="O39" s="22"/>
      <c r="P39" s="24">
        <v>5000.0</v>
      </c>
      <c r="Q39" s="25">
        <f t="shared" si="1"/>
        <v>0</v>
      </c>
      <c r="R39" s="24" t="s">
        <v>25</v>
      </c>
      <c r="S39" s="26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7">
        <v>45525.0</v>
      </c>
      <c r="C40" s="18" t="s">
        <v>1354</v>
      </c>
      <c r="D40" s="19">
        <v>80781.0</v>
      </c>
      <c r="E40" s="20" t="s">
        <v>1352</v>
      </c>
      <c r="F40" s="21"/>
      <c r="G40" s="22"/>
      <c r="H40" s="22"/>
      <c r="I40" s="21">
        <v>5000.0</v>
      </c>
      <c r="J40" s="21"/>
      <c r="K40" s="23"/>
      <c r="L40" s="22"/>
      <c r="M40" s="22"/>
      <c r="N40" s="22"/>
      <c r="O40" s="22"/>
      <c r="P40" s="24">
        <v>5000.0</v>
      </c>
      <c r="Q40" s="25">
        <f t="shared" si="1"/>
        <v>0</v>
      </c>
      <c r="R40" s="24" t="s">
        <v>25</v>
      </c>
      <c r="S40" s="26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7">
        <v>45525.0</v>
      </c>
      <c r="C41" s="18" t="s">
        <v>1355</v>
      </c>
      <c r="D41" s="19">
        <v>80781.0</v>
      </c>
      <c r="E41" s="20" t="s">
        <v>1352</v>
      </c>
      <c r="F41" s="21"/>
      <c r="G41" s="22"/>
      <c r="H41" s="22"/>
      <c r="I41" s="21">
        <v>5000.0</v>
      </c>
      <c r="J41" s="21"/>
      <c r="K41" s="23"/>
      <c r="L41" s="22"/>
      <c r="M41" s="22"/>
      <c r="N41" s="22"/>
      <c r="O41" s="22"/>
      <c r="P41" s="24">
        <v>5000.0</v>
      </c>
      <c r="Q41" s="25">
        <f t="shared" si="1"/>
        <v>0</v>
      </c>
      <c r="R41" s="24" t="s">
        <v>25</v>
      </c>
      <c r="S41" s="26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27">
        <v>45525.0</v>
      </c>
      <c r="C42" s="18" t="s">
        <v>1356</v>
      </c>
      <c r="D42" s="19">
        <v>80781.0</v>
      </c>
      <c r="E42" s="20" t="s">
        <v>1352</v>
      </c>
      <c r="F42" s="21"/>
      <c r="G42" s="22"/>
      <c r="H42" s="22"/>
      <c r="I42" s="21">
        <v>5000.0</v>
      </c>
      <c r="J42" s="21"/>
      <c r="K42" s="23"/>
      <c r="L42" s="22"/>
      <c r="M42" s="22"/>
      <c r="N42" s="22"/>
      <c r="O42" s="22"/>
      <c r="P42" s="24">
        <v>5000.0</v>
      </c>
      <c r="Q42" s="25">
        <f t="shared" si="1"/>
        <v>0</v>
      </c>
      <c r="R42" s="24" t="s">
        <v>25</v>
      </c>
      <c r="S42" s="26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>
        <v>39.0</v>
      </c>
      <c r="B43" s="27">
        <v>45525.0</v>
      </c>
      <c r="C43" s="18" t="s">
        <v>1357</v>
      </c>
      <c r="D43" s="19">
        <v>51017.0</v>
      </c>
      <c r="E43" s="20" t="s">
        <v>270</v>
      </c>
      <c r="F43" s="21"/>
      <c r="G43" s="22"/>
      <c r="H43" s="22">
        <v>12500.0</v>
      </c>
      <c r="I43" s="21"/>
      <c r="J43" s="21"/>
      <c r="K43" s="23"/>
      <c r="L43" s="22"/>
      <c r="M43" s="22"/>
      <c r="N43" s="22"/>
      <c r="O43" s="22"/>
      <c r="P43" s="24">
        <v>12500.0</v>
      </c>
      <c r="Q43" s="25">
        <f t="shared" si="1"/>
        <v>0</v>
      </c>
      <c r="R43" s="24"/>
      <c r="S43" s="26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16">
        <v>40.0</v>
      </c>
      <c r="B44" s="27">
        <v>45525.0</v>
      </c>
      <c r="C44" s="18" t="s">
        <v>1358</v>
      </c>
      <c r="D44" s="19">
        <v>21821.0</v>
      </c>
      <c r="E44" s="20" t="s">
        <v>641</v>
      </c>
      <c r="F44" s="21"/>
      <c r="G44" s="22"/>
      <c r="H44" s="22">
        <v>42000.0</v>
      </c>
      <c r="I44" s="21"/>
      <c r="J44" s="21"/>
      <c r="K44" s="23"/>
      <c r="L44" s="22"/>
      <c r="M44" s="22"/>
      <c r="N44" s="22"/>
      <c r="O44" s="22"/>
      <c r="P44" s="24">
        <v>42000.0</v>
      </c>
      <c r="Q44" s="25">
        <f t="shared" si="1"/>
        <v>0</v>
      </c>
      <c r="R44" s="24"/>
      <c r="S44" s="26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16">
        <v>41.0</v>
      </c>
      <c r="B45" s="27">
        <v>45525.0</v>
      </c>
      <c r="C45" s="18" t="s">
        <v>1359</v>
      </c>
      <c r="D45" s="19">
        <v>30909.0</v>
      </c>
      <c r="E45" s="20" t="s">
        <v>1004</v>
      </c>
      <c r="F45" s="21"/>
      <c r="G45" s="22"/>
      <c r="H45" s="22">
        <v>6900.0</v>
      </c>
      <c r="I45" s="21"/>
      <c r="J45" s="21"/>
      <c r="K45" s="23"/>
      <c r="L45" s="22"/>
      <c r="M45" s="22"/>
      <c r="N45" s="22"/>
      <c r="O45" s="22"/>
      <c r="P45" s="24">
        <v>6900.0</v>
      </c>
      <c r="Q45" s="25">
        <f t="shared" si="1"/>
        <v>0</v>
      </c>
      <c r="R45" s="24"/>
      <c r="S45" s="26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7.5" customHeight="1">
      <c r="A46" s="16"/>
      <c r="B46" s="27"/>
      <c r="C46" s="18"/>
      <c r="D46" s="19" t="s">
        <v>183</v>
      </c>
      <c r="E46" s="20"/>
      <c r="F46" s="45">
        <f t="shared" ref="F46:P46" si="2">SUM(F5:F45)</f>
        <v>500</v>
      </c>
      <c r="G46" s="45">
        <f t="shared" si="2"/>
        <v>8800</v>
      </c>
      <c r="H46" s="45">
        <f t="shared" si="2"/>
        <v>94250</v>
      </c>
      <c r="I46" s="45">
        <f t="shared" si="2"/>
        <v>100200</v>
      </c>
      <c r="J46" s="45">
        <f t="shared" si="2"/>
        <v>46731</v>
      </c>
      <c r="K46" s="45">
        <f t="shared" si="2"/>
        <v>819</v>
      </c>
      <c r="L46" s="45">
        <f t="shared" si="2"/>
        <v>0</v>
      </c>
      <c r="M46" s="45">
        <f t="shared" si="2"/>
        <v>1250</v>
      </c>
      <c r="N46" s="45">
        <f t="shared" si="2"/>
        <v>0</v>
      </c>
      <c r="O46" s="45">
        <f t="shared" si="2"/>
        <v>0</v>
      </c>
      <c r="P46" s="45">
        <f t="shared" si="2"/>
        <v>252550</v>
      </c>
      <c r="Q46" s="46">
        <v>0.0</v>
      </c>
      <c r="R46" s="47"/>
      <c r="S46" s="26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</row>
    <row r="47" ht="15.75" customHeight="1">
      <c r="A47" s="48"/>
      <c r="B47" s="48"/>
      <c r="C47" s="49"/>
      <c r="D47" s="48"/>
      <c r="E47" s="48"/>
      <c r="F47" s="50">
        <f>F46+G46+H46+I46+J46+K46+L46+M46+N46+O46</f>
        <v>252550</v>
      </c>
      <c r="P47" s="51"/>
      <c r="Q47" s="51"/>
      <c r="R47" s="48"/>
      <c r="S47" s="48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</row>
    <row r="48" ht="15.75" customHeight="1">
      <c r="A48" s="4"/>
      <c r="B48" s="4"/>
      <c r="C48" s="5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3" t="s">
        <v>183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2"/>
      <c r="D51" s="4"/>
      <c r="E51" s="54" t="s">
        <v>184</v>
      </c>
      <c r="F51" s="55" t="s">
        <v>357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2"/>
      <c r="D52" s="4"/>
      <c r="E52" s="56" t="s">
        <v>186</v>
      </c>
      <c r="F52" s="55" t="s">
        <v>357</v>
      </c>
      <c r="G52" s="4"/>
      <c r="H52" s="4"/>
      <c r="I52" s="4"/>
      <c r="J52" s="4"/>
      <c r="K52" s="4"/>
      <c r="L52" s="4"/>
      <c r="M52" s="4"/>
      <c r="N52" s="4"/>
      <c r="O52" s="57" t="s">
        <v>183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56" t="s">
        <v>188</v>
      </c>
      <c r="F53" s="55" t="s">
        <v>185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2"/>
      <c r="D54" s="4"/>
      <c r="E54" s="56" t="s">
        <v>189</v>
      </c>
      <c r="F54" s="55" t="s">
        <v>185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56" t="s">
        <v>190</v>
      </c>
      <c r="F55" s="55" t="s">
        <v>185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56" t="s">
        <v>1360</v>
      </c>
      <c r="F56" s="55" t="s">
        <v>185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56" t="s">
        <v>193</v>
      </c>
      <c r="F57" s="55" t="s">
        <v>194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56" t="s">
        <v>195</v>
      </c>
      <c r="F58" s="59" t="s">
        <v>196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57" t="s">
        <v>183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4"/>
      <c r="J59" s="4"/>
      <c r="K59" s="4" t="str">
        <f>I72446</f>
        <v/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57" t="s">
        <v>197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>
        <v>7.0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5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5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5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5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5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5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5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5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R2:R4"/>
    <mergeCell ref="S2:S4"/>
    <mergeCell ref="F3:F4"/>
    <mergeCell ref="G3:H3"/>
    <mergeCell ref="I3:J3"/>
    <mergeCell ref="K3:K4"/>
    <mergeCell ref="F47:O47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6.88"/>
    <col customWidth="1" min="6" max="6" width="29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45.0" customHeight="1">
      <c r="A1" s="1" t="s">
        <v>1361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15.75" customHeight="1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5.75" customHeight="1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45525.0</v>
      </c>
      <c r="C5" s="18" t="s">
        <v>1362</v>
      </c>
      <c r="D5" s="19">
        <v>10008.0</v>
      </c>
      <c r="E5" s="20" t="s">
        <v>403</v>
      </c>
      <c r="F5" s="21"/>
      <c r="G5" s="22">
        <v>0.0</v>
      </c>
      <c r="H5" s="21"/>
      <c r="I5" s="23"/>
      <c r="J5" s="23"/>
      <c r="K5" s="22"/>
      <c r="L5" s="22"/>
      <c r="M5" s="21"/>
      <c r="N5" s="22"/>
      <c r="O5" s="22"/>
      <c r="P5" s="24">
        <v>200.0</v>
      </c>
      <c r="Q5" s="25">
        <f t="shared" ref="Q5:Q49" si="1">F5+G5+H5+I5+J5+K5+L5+M5+N5+O5-P5</f>
        <v>-200</v>
      </c>
      <c r="R5" s="24" t="s">
        <v>25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45525.0</v>
      </c>
      <c r="C6" s="18" t="s">
        <v>1363</v>
      </c>
      <c r="D6" s="19">
        <v>10006.0</v>
      </c>
      <c r="E6" s="20" t="s">
        <v>151</v>
      </c>
      <c r="F6" s="21"/>
      <c r="G6" s="22">
        <v>0.0</v>
      </c>
      <c r="H6" s="22"/>
      <c r="I6" s="21"/>
      <c r="J6" s="22"/>
      <c r="K6" s="22"/>
      <c r="L6" s="22"/>
      <c r="M6" s="21"/>
      <c r="N6" s="22"/>
      <c r="O6" s="22"/>
      <c r="P6" s="24">
        <v>5400.0</v>
      </c>
      <c r="Q6" s="25">
        <f t="shared" si="1"/>
        <v>-5400</v>
      </c>
      <c r="R6" s="24" t="s">
        <v>68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45525.0</v>
      </c>
      <c r="C7" s="18" t="s">
        <v>1364</v>
      </c>
      <c r="D7" s="19">
        <v>36555.0</v>
      </c>
      <c r="E7" s="20" t="s">
        <v>63</v>
      </c>
      <c r="F7" s="22"/>
      <c r="G7" s="22"/>
      <c r="H7" s="21"/>
      <c r="I7" s="21">
        <v>2000.0</v>
      </c>
      <c r="J7" s="23"/>
      <c r="K7" s="22"/>
      <c r="L7" s="22"/>
      <c r="M7" s="22"/>
      <c r="N7" s="22"/>
      <c r="O7" s="22"/>
      <c r="P7" s="24">
        <v>2000.0</v>
      </c>
      <c r="Q7" s="25">
        <f t="shared" si="1"/>
        <v>0</v>
      </c>
      <c r="R7" s="24" t="s">
        <v>68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45526.0</v>
      </c>
      <c r="C8" s="18" t="s">
        <v>1365</v>
      </c>
      <c r="D8" s="19">
        <v>59904.0</v>
      </c>
      <c r="E8" s="20" t="s">
        <v>612</v>
      </c>
      <c r="F8" s="22"/>
      <c r="G8" s="22"/>
      <c r="H8" s="22"/>
      <c r="I8" s="21">
        <v>2500.0</v>
      </c>
      <c r="J8" s="21"/>
      <c r="K8" s="22"/>
      <c r="L8" s="22"/>
      <c r="M8" s="22"/>
      <c r="N8" s="22"/>
      <c r="O8" s="22"/>
      <c r="P8" s="24">
        <v>2500.0</v>
      </c>
      <c r="Q8" s="25">
        <f t="shared" si="1"/>
        <v>0</v>
      </c>
      <c r="R8" s="24" t="s">
        <v>51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45526.0</v>
      </c>
      <c r="C9" s="18" t="s">
        <v>1366</v>
      </c>
      <c r="D9" s="19">
        <v>72414.0</v>
      </c>
      <c r="E9" s="20" t="s">
        <v>763</v>
      </c>
      <c r="F9" s="22"/>
      <c r="G9" s="22"/>
      <c r="H9" s="22"/>
      <c r="I9" s="21"/>
      <c r="J9" s="21">
        <v>2700.0</v>
      </c>
      <c r="K9" s="22"/>
      <c r="L9" s="22"/>
      <c r="M9" s="21"/>
      <c r="N9" s="22"/>
      <c r="O9" s="22"/>
      <c r="P9" s="24">
        <v>2700.0</v>
      </c>
      <c r="Q9" s="25">
        <f t="shared" si="1"/>
        <v>0</v>
      </c>
      <c r="R9" s="24" t="s">
        <v>51</v>
      </c>
      <c r="S9" s="26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45526.0</v>
      </c>
      <c r="C10" s="18" t="s">
        <v>1367</v>
      </c>
      <c r="D10" s="19">
        <v>76396.0</v>
      </c>
      <c r="E10" s="20" t="s">
        <v>981</v>
      </c>
      <c r="F10" s="22"/>
      <c r="G10" s="22"/>
      <c r="H10" s="22"/>
      <c r="I10" s="21"/>
      <c r="J10" s="21">
        <v>700.0</v>
      </c>
      <c r="K10" s="22"/>
      <c r="L10" s="22"/>
      <c r="M10" s="21"/>
      <c r="N10" s="22"/>
      <c r="O10" s="22"/>
      <c r="P10" s="24">
        <v>700.0</v>
      </c>
      <c r="Q10" s="25">
        <f t="shared" si="1"/>
        <v>0</v>
      </c>
      <c r="R10" s="24" t="s">
        <v>68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45526.0</v>
      </c>
      <c r="C11" s="18" t="s">
        <v>1368</v>
      </c>
      <c r="D11" s="19">
        <v>36555.0</v>
      </c>
      <c r="E11" s="20" t="s">
        <v>63</v>
      </c>
      <c r="F11" s="22"/>
      <c r="G11" s="22"/>
      <c r="H11" s="22"/>
      <c r="I11" s="21">
        <v>3850.0</v>
      </c>
      <c r="J11" s="21"/>
      <c r="K11" s="22"/>
      <c r="L11" s="22"/>
      <c r="M11" s="21"/>
      <c r="N11" s="22"/>
      <c r="O11" s="22"/>
      <c r="P11" s="24">
        <v>3850.0</v>
      </c>
      <c r="Q11" s="25">
        <f t="shared" si="1"/>
        <v>0</v>
      </c>
      <c r="R11" s="24" t="s">
        <v>68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7">
        <v>45526.0</v>
      </c>
      <c r="C12" s="18" t="s">
        <v>1369</v>
      </c>
      <c r="D12" s="19">
        <v>31309.0</v>
      </c>
      <c r="E12" s="20" t="s">
        <v>1370</v>
      </c>
      <c r="F12" s="22"/>
      <c r="G12" s="22"/>
      <c r="H12" s="22"/>
      <c r="I12" s="21">
        <v>850.0</v>
      </c>
      <c r="J12" s="21"/>
      <c r="K12" s="22"/>
      <c r="L12" s="22"/>
      <c r="M12" s="21"/>
      <c r="N12" s="22"/>
      <c r="O12" s="22"/>
      <c r="P12" s="24">
        <v>850.0</v>
      </c>
      <c r="Q12" s="25">
        <f t="shared" si="1"/>
        <v>0</v>
      </c>
      <c r="R12" s="24" t="s">
        <v>68</v>
      </c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8">
        <v>45526.0</v>
      </c>
      <c r="C13" s="29" t="s">
        <v>1371</v>
      </c>
      <c r="D13" s="30">
        <v>75872.0</v>
      </c>
      <c r="E13" s="31" t="s">
        <v>1372</v>
      </c>
      <c r="F13" s="22"/>
      <c r="G13" s="22"/>
      <c r="H13" s="22"/>
      <c r="I13" s="21">
        <v>2650.0</v>
      </c>
      <c r="J13" s="21"/>
      <c r="K13" s="22"/>
      <c r="L13" s="22"/>
      <c r="M13" s="21"/>
      <c r="N13" s="22"/>
      <c r="O13" s="22"/>
      <c r="P13" s="32">
        <v>2650.0</v>
      </c>
      <c r="Q13" s="25">
        <f t="shared" si="1"/>
        <v>0</v>
      </c>
      <c r="R13" s="32" t="s">
        <v>51</v>
      </c>
      <c r="S13" s="26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 ht="34.5" customHeight="1">
      <c r="A14" s="16">
        <v>10.0</v>
      </c>
      <c r="B14" s="27">
        <v>45526.0</v>
      </c>
      <c r="C14" s="18" t="s">
        <v>1373</v>
      </c>
      <c r="D14" s="19">
        <v>44113.0</v>
      </c>
      <c r="E14" s="20" t="s">
        <v>1374</v>
      </c>
      <c r="F14" s="22"/>
      <c r="G14" s="22"/>
      <c r="H14" s="22"/>
      <c r="I14" s="21">
        <v>2650.0</v>
      </c>
      <c r="J14" s="21"/>
      <c r="K14" s="22"/>
      <c r="L14" s="22"/>
      <c r="M14" s="21"/>
      <c r="N14" s="22"/>
      <c r="O14" s="22"/>
      <c r="P14" s="24">
        <v>2650.0</v>
      </c>
      <c r="Q14" s="25">
        <f t="shared" si="1"/>
        <v>0</v>
      </c>
      <c r="R14" s="24" t="s">
        <v>68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45526.0</v>
      </c>
      <c r="C15" s="18" t="s">
        <v>1375</v>
      </c>
      <c r="D15" s="19">
        <v>54280.0</v>
      </c>
      <c r="E15" s="20" t="s">
        <v>684</v>
      </c>
      <c r="F15" s="22"/>
      <c r="G15" s="22"/>
      <c r="H15" s="22"/>
      <c r="I15" s="21">
        <v>2650.0</v>
      </c>
      <c r="J15" s="21"/>
      <c r="K15" s="22"/>
      <c r="L15" s="22"/>
      <c r="M15" s="21"/>
      <c r="N15" s="22"/>
      <c r="O15" s="22"/>
      <c r="P15" s="24">
        <v>2650.0</v>
      </c>
      <c r="Q15" s="25">
        <f t="shared" si="1"/>
        <v>0</v>
      </c>
      <c r="R15" s="24" t="s">
        <v>479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45526.0</v>
      </c>
      <c r="C16" s="18" t="s">
        <v>1376</v>
      </c>
      <c r="D16" s="19">
        <v>43955.0</v>
      </c>
      <c r="E16" s="20" t="s">
        <v>293</v>
      </c>
      <c r="F16" s="22"/>
      <c r="G16" s="22"/>
      <c r="H16" s="22"/>
      <c r="I16" s="21"/>
      <c r="J16" s="21">
        <v>400.0</v>
      </c>
      <c r="K16" s="22"/>
      <c r="L16" s="22"/>
      <c r="M16" s="21"/>
      <c r="N16" s="22"/>
      <c r="O16" s="22"/>
      <c r="P16" s="24">
        <v>400.0</v>
      </c>
      <c r="Q16" s="25">
        <f t="shared" si="1"/>
        <v>0</v>
      </c>
      <c r="R16" s="24" t="s">
        <v>51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45526.0</v>
      </c>
      <c r="C17" s="18" t="s">
        <v>1377</v>
      </c>
      <c r="D17" s="19">
        <v>81108.0</v>
      </c>
      <c r="E17" s="20" t="s">
        <v>94</v>
      </c>
      <c r="F17" s="22"/>
      <c r="G17" s="22"/>
      <c r="H17" s="22"/>
      <c r="I17" s="21">
        <v>19000.0</v>
      </c>
      <c r="J17" s="21"/>
      <c r="K17" s="22"/>
      <c r="L17" s="22"/>
      <c r="M17" s="21"/>
      <c r="N17" s="22"/>
      <c r="O17" s="22"/>
      <c r="P17" s="24">
        <v>19000.0</v>
      </c>
      <c r="Q17" s="25">
        <f t="shared" si="1"/>
        <v>0</v>
      </c>
      <c r="R17" s="24" t="s">
        <v>30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7">
        <v>45526.0</v>
      </c>
      <c r="C18" s="18" t="s">
        <v>1378</v>
      </c>
      <c r="D18" s="19">
        <v>82254.0</v>
      </c>
      <c r="E18" s="20" t="s">
        <v>1379</v>
      </c>
      <c r="F18" s="22"/>
      <c r="G18" s="22"/>
      <c r="H18" s="22">
        <v>9500.0</v>
      </c>
      <c r="I18" s="21"/>
      <c r="J18" s="21"/>
      <c r="K18" s="22"/>
      <c r="L18" s="22"/>
      <c r="M18" s="22"/>
      <c r="N18" s="22"/>
      <c r="O18" s="22"/>
      <c r="P18" s="24">
        <v>9500.0</v>
      </c>
      <c r="Q18" s="25">
        <f t="shared" si="1"/>
        <v>0</v>
      </c>
      <c r="R18" s="24" t="s">
        <v>30</v>
      </c>
      <c r="S18" s="26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28">
        <v>45526.0</v>
      </c>
      <c r="C19" s="29" t="s">
        <v>1380</v>
      </c>
      <c r="D19" s="30">
        <v>52611.0</v>
      </c>
      <c r="E19" s="31" t="s">
        <v>288</v>
      </c>
      <c r="F19" s="22"/>
      <c r="G19" s="22"/>
      <c r="H19" s="22"/>
      <c r="I19" s="21">
        <v>3240.0</v>
      </c>
      <c r="J19" s="21"/>
      <c r="K19" s="22"/>
      <c r="L19" s="22"/>
      <c r="M19" s="21"/>
      <c r="N19" s="22"/>
      <c r="O19" s="22"/>
      <c r="P19" s="32">
        <v>3240.0</v>
      </c>
      <c r="Q19" s="25">
        <f t="shared" si="1"/>
        <v>0</v>
      </c>
      <c r="R19" s="32" t="s">
        <v>30</v>
      </c>
      <c r="S19" s="26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ht="34.5" customHeight="1">
      <c r="A20" s="16">
        <v>16.0</v>
      </c>
      <c r="B20" s="27">
        <v>45526.0</v>
      </c>
      <c r="C20" s="18" t="s">
        <v>1381</v>
      </c>
      <c r="D20" s="19">
        <v>51946.0</v>
      </c>
      <c r="E20" s="20" t="s">
        <v>1382</v>
      </c>
      <c r="F20" s="22"/>
      <c r="G20" s="22"/>
      <c r="H20" s="22"/>
      <c r="I20" s="23">
        <v>10000.0</v>
      </c>
      <c r="J20" s="21"/>
      <c r="K20" s="22"/>
      <c r="L20" s="22"/>
      <c r="M20" s="22"/>
      <c r="N20" s="22"/>
      <c r="O20" s="22"/>
      <c r="P20" s="24">
        <v>10000.0</v>
      </c>
      <c r="Q20" s="25">
        <f t="shared" si="1"/>
        <v>0</v>
      </c>
      <c r="R20" s="24" t="s">
        <v>51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45526.0</v>
      </c>
      <c r="C21" s="18" t="s">
        <v>1383</v>
      </c>
      <c r="D21" s="19">
        <v>27880.0</v>
      </c>
      <c r="E21" s="20" t="s">
        <v>1384</v>
      </c>
      <c r="F21" s="21"/>
      <c r="G21" s="22"/>
      <c r="H21" s="22">
        <v>5000.0</v>
      </c>
      <c r="I21" s="34"/>
      <c r="J21" s="21"/>
      <c r="K21" s="35"/>
      <c r="L21" s="22"/>
      <c r="M21" s="22"/>
      <c r="N21" s="22"/>
      <c r="O21" s="22"/>
      <c r="P21" s="24">
        <v>5000.0</v>
      </c>
      <c r="Q21" s="25">
        <f t="shared" si="1"/>
        <v>0</v>
      </c>
      <c r="R21" s="24" t="s">
        <v>68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7">
        <v>45526.0</v>
      </c>
      <c r="C22" s="18" t="s">
        <v>1385</v>
      </c>
      <c r="D22" s="19">
        <v>67621.0</v>
      </c>
      <c r="E22" s="20" t="s">
        <v>92</v>
      </c>
      <c r="F22" s="21"/>
      <c r="G22" s="22"/>
      <c r="H22" s="22"/>
      <c r="I22" s="21">
        <v>10000.0</v>
      </c>
      <c r="J22" s="21"/>
      <c r="K22" s="21"/>
      <c r="L22" s="22"/>
      <c r="M22" s="22"/>
      <c r="N22" s="22"/>
      <c r="O22" s="22"/>
      <c r="P22" s="24">
        <v>10000.0</v>
      </c>
      <c r="Q22" s="25">
        <f t="shared" si="1"/>
        <v>0</v>
      </c>
      <c r="R22" s="24" t="s">
        <v>30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36">
        <v>45526.0</v>
      </c>
      <c r="C23" s="37" t="s">
        <v>1386</v>
      </c>
      <c r="D23" s="38">
        <v>79953.0</v>
      </c>
      <c r="E23" s="39" t="s">
        <v>1387</v>
      </c>
      <c r="F23" s="34"/>
      <c r="G23" s="40"/>
      <c r="H23" s="40"/>
      <c r="I23" s="34">
        <v>2650.0</v>
      </c>
      <c r="J23" s="21"/>
      <c r="K23" s="41"/>
      <c r="L23" s="40"/>
      <c r="M23" s="40"/>
      <c r="N23" s="40"/>
      <c r="O23" s="40"/>
      <c r="P23" s="42">
        <v>2650.0</v>
      </c>
      <c r="Q23" s="25">
        <f t="shared" si="1"/>
        <v>0</v>
      </c>
      <c r="R23" s="42" t="s">
        <v>68</v>
      </c>
      <c r="S23" s="26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</row>
    <row r="24" ht="34.5" customHeight="1">
      <c r="A24" s="16">
        <v>20.0</v>
      </c>
      <c r="B24" s="27">
        <v>45526.0</v>
      </c>
      <c r="C24" s="18" t="s">
        <v>1388</v>
      </c>
      <c r="D24" s="19">
        <v>46927.0</v>
      </c>
      <c r="E24" s="20" t="s">
        <v>225</v>
      </c>
      <c r="F24" s="21"/>
      <c r="G24" s="22"/>
      <c r="H24" s="22"/>
      <c r="I24" s="21"/>
      <c r="J24" s="21"/>
      <c r="K24" s="35">
        <v>300.0</v>
      </c>
      <c r="L24" s="22"/>
      <c r="M24" s="22"/>
      <c r="N24" s="22"/>
      <c r="O24" s="22"/>
      <c r="P24" s="24">
        <v>300.0</v>
      </c>
      <c r="Q24" s="25">
        <f t="shared" si="1"/>
        <v>0</v>
      </c>
      <c r="R24" s="24" t="s">
        <v>30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45526.0</v>
      </c>
      <c r="C25" s="18" t="s">
        <v>1389</v>
      </c>
      <c r="D25" s="19">
        <v>36769.0</v>
      </c>
      <c r="E25" s="20" t="s">
        <v>547</v>
      </c>
      <c r="F25" s="21"/>
      <c r="G25" s="22"/>
      <c r="H25" s="22"/>
      <c r="I25" s="21">
        <v>8500.0</v>
      </c>
      <c r="J25" s="21"/>
      <c r="K25" s="35"/>
      <c r="L25" s="22"/>
      <c r="M25" s="22"/>
      <c r="N25" s="22"/>
      <c r="O25" s="22"/>
      <c r="P25" s="24">
        <v>8500.0</v>
      </c>
      <c r="Q25" s="25">
        <f t="shared" si="1"/>
        <v>0</v>
      </c>
      <c r="R25" s="24" t="s">
        <v>30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45526.0</v>
      </c>
      <c r="C26" s="18" t="s">
        <v>1390</v>
      </c>
      <c r="D26" s="19">
        <v>48631.0</v>
      </c>
      <c r="E26" s="20" t="s">
        <v>771</v>
      </c>
      <c r="F26" s="21"/>
      <c r="G26" s="22"/>
      <c r="H26" s="22"/>
      <c r="I26" s="35"/>
      <c r="J26" s="21"/>
      <c r="K26" s="35">
        <v>1000.0</v>
      </c>
      <c r="L26" s="22"/>
      <c r="M26" s="22"/>
      <c r="N26" s="22"/>
      <c r="O26" s="22"/>
      <c r="P26" s="24">
        <v>1000.0</v>
      </c>
      <c r="Q26" s="25">
        <f t="shared" si="1"/>
        <v>0</v>
      </c>
      <c r="R26" s="24" t="s">
        <v>479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45526.0</v>
      </c>
      <c r="C27" s="18" t="s">
        <v>1391</v>
      </c>
      <c r="D27" s="19">
        <v>79953.0</v>
      </c>
      <c r="E27" s="20" t="s">
        <v>1387</v>
      </c>
      <c r="F27" s="21"/>
      <c r="G27" s="22"/>
      <c r="H27" s="22"/>
      <c r="I27" s="21">
        <v>150.0</v>
      </c>
      <c r="J27" s="21"/>
      <c r="K27" s="35"/>
      <c r="L27" s="22"/>
      <c r="M27" s="22"/>
      <c r="N27" s="22"/>
      <c r="O27" s="22"/>
      <c r="P27" s="24">
        <v>150.0</v>
      </c>
      <c r="Q27" s="25">
        <f t="shared" si="1"/>
        <v>0</v>
      </c>
      <c r="R27" s="24" t="s">
        <v>68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45526.0</v>
      </c>
      <c r="C28" s="18" t="s">
        <v>1392</v>
      </c>
      <c r="D28" s="19">
        <v>78454.0</v>
      </c>
      <c r="E28" s="20" t="s">
        <v>131</v>
      </c>
      <c r="F28" s="21"/>
      <c r="G28" s="22"/>
      <c r="H28" s="22"/>
      <c r="I28" s="21">
        <v>2650.0</v>
      </c>
      <c r="J28" s="21"/>
      <c r="K28" s="35"/>
      <c r="L28" s="22"/>
      <c r="M28" s="22"/>
      <c r="N28" s="22"/>
      <c r="O28" s="22"/>
      <c r="P28" s="24">
        <v>2650.0</v>
      </c>
      <c r="Q28" s="25">
        <f t="shared" si="1"/>
        <v>0</v>
      </c>
      <c r="R28" s="24" t="s">
        <v>51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45526.0</v>
      </c>
      <c r="C29" s="18" t="s">
        <v>1393</v>
      </c>
      <c r="D29" s="19">
        <v>62815.0</v>
      </c>
      <c r="E29" s="20" t="s">
        <v>125</v>
      </c>
      <c r="F29" s="21"/>
      <c r="G29" s="22"/>
      <c r="H29" s="22"/>
      <c r="I29" s="21">
        <v>10050.0</v>
      </c>
      <c r="J29" s="21"/>
      <c r="K29" s="23"/>
      <c r="L29" s="22"/>
      <c r="M29" s="22"/>
      <c r="N29" s="22"/>
      <c r="O29" s="22"/>
      <c r="P29" s="24">
        <v>10050.0</v>
      </c>
      <c r="Q29" s="25">
        <f t="shared" si="1"/>
        <v>0</v>
      </c>
      <c r="R29" s="24" t="s">
        <v>30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45526.0</v>
      </c>
      <c r="C30" s="18" t="s">
        <v>1394</v>
      </c>
      <c r="D30" s="19">
        <v>84538.0</v>
      </c>
      <c r="E30" s="20" t="s">
        <v>1395</v>
      </c>
      <c r="F30" s="21"/>
      <c r="G30" s="22"/>
      <c r="H30" s="22"/>
      <c r="I30" s="21">
        <v>7300.0</v>
      </c>
      <c r="J30" s="21"/>
      <c r="K30" s="23"/>
      <c r="L30" s="22"/>
      <c r="M30" s="22"/>
      <c r="N30" s="22"/>
      <c r="O30" s="22"/>
      <c r="P30" s="24">
        <v>7300.0</v>
      </c>
      <c r="Q30" s="25">
        <f t="shared" si="1"/>
        <v>0</v>
      </c>
      <c r="R30" s="24" t="s">
        <v>51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45526.0</v>
      </c>
      <c r="C31" s="18" t="s">
        <v>1396</v>
      </c>
      <c r="D31" s="19">
        <v>37642.0</v>
      </c>
      <c r="E31" s="20" t="s">
        <v>497</v>
      </c>
      <c r="F31" s="21"/>
      <c r="G31" s="22"/>
      <c r="H31" s="22">
        <v>25000.0</v>
      </c>
      <c r="I31" s="21"/>
      <c r="J31" s="21"/>
      <c r="K31" s="23"/>
      <c r="L31" s="22"/>
      <c r="M31" s="22"/>
      <c r="N31" s="22"/>
      <c r="O31" s="22"/>
      <c r="P31" s="24">
        <v>25000.0</v>
      </c>
      <c r="Q31" s="25">
        <f t="shared" si="1"/>
        <v>0</v>
      </c>
      <c r="R31" s="24" t="s">
        <v>30</v>
      </c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45526.0</v>
      </c>
      <c r="C32" s="18" t="s">
        <v>1397</v>
      </c>
      <c r="D32" s="19">
        <v>66770.0</v>
      </c>
      <c r="E32" s="20" t="s">
        <v>108</v>
      </c>
      <c r="F32" s="21"/>
      <c r="G32" s="22"/>
      <c r="H32" s="22"/>
      <c r="I32" s="21"/>
      <c r="J32" s="21">
        <v>10000.0</v>
      </c>
      <c r="K32" s="23"/>
      <c r="L32" s="22"/>
      <c r="M32" s="22"/>
      <c r="N32" s="22"/>
      <c r="O32" s="22"/>
      <c r="P32" s="24">
        <v>10000.0</v>
      </c>
      <c r="Q32" s="25">
        <f t="shared" si="1"/>
        <v>0</v>
      </c>
      <c r="R32" s="24" t="s">
        <v>68</v>
      </c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45526.0</v>
      </c>
      <c r="C33" s="18" t="s">
        <v>1398</v>
      </c>
      <c r="D33" s="19">
        <v>71418.0</v>
      </c>
      <c r="E33" s="20" t="s">
        <v>1399</v>
      </c>
      <c r="F33" s="21"/>
      <c r="G33" s="22"/>
      <c r="H33" s="22"/>
      <c r="I33" s="21">
        <v>2650.0</v>
      </c>
      <c r="J33" s="21"/>
      <c r="K33" s="23"/>
      <c r="L33" s="22"/>
      <c r="M33" s="22"/>
      <c r="N33" s="22"/>
      <c r="O33" s="22"/>
      <c r="P33" s="24">
        <v>2650.0</v>
      </c>
      <c r="Q33" s="25">
        <f t="shared" si="1"/>
        <v>0</v>
      </c>
      <c r="R33" s="24" t="s">
        <v>68</v>
      </c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7">
        <v>45526.0</v>
      </c>
      <c r="C34" s="18" t="s">
        <v>1400</v>
      </c>
      <c r="D34" s="19">
        <v>33507.0</v>
      </c>
      <c r="E34" s="20" t="s">
        <v>1401</v>
      </c>
      <c r="F34" s="21"/>
      <c r="G34" s="22"/>
      <c r="H34" s="22"/>
      <c r="I34" s="21">
        <v>2650.0</v>
      </c>
      <c r="J34" s="21"/>
      <c r="K34" s="23"/>
      <c r="L34" s="22"/>
      <c r="M34" s="22"/>
      <c r="N34" s="22"/>
      <c r="O34" s="22"/>
      <c r="P34" s="24">
        <v>2650.0</v>
      </c>
      <c r="Q34" s="25">
        <f t="shared" si="1"/>
        <v>0</v>
      </c>
      <c r="R34" s="24" t="s">
        <v>479</v>
      </c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7">
        <v>45526.0</v>
      </c>
      <c r="C35" s="18" t="s">
        <v>1402</v>
      </c>
      <c r="D35" s="19">
        <v>22332.0</v>
      </c>
      <c r="E35" s="20" t="s">
        <v>396</v>
      </c>
      <c r="F35" s="21"/>
      <c r="G35" s="22"/>
      <c r="H35" s="22"/>
      <c r="I35" s="21">
        <v>10500.0</v>
      </c>
      <c r="J35" s="21"/>
      <c r="K35" s="23"/>
      <c r="L35" s="22"/>
      <c r="M35" s="22"/>
      <c r="N35" s="22"/>
      <c r="O35" s="22"/>
      <c r="P35" s="24">
        <v>10500.0</v>
      </c>
      <c r="Q35" s="25">
        <f t="shared" si="1"/>
        <v>0</v>
      </c>
      <c r="R35" s="24" t="s">
        <v>51</v>
      </c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7">
        <v>45526.0</v>
      </c>
      <c r="C36" s="18" t="s">
        <v>1403</v>
      </c>
      <c r="D36" s="19">
        <v>56980.0</v>
      </c>
      <c r="E36" s="20" t="s">
        <v>262</v>
      </c>
      <c r="F36" s="21"/>
      <c r="G36" s="22"/>
      <c r="H36" s="22"/>
      <c r="I36" s="21">
        <v>5000.0</v>
      </c>
      <c r="J36" s="21"/>
      <c r="K36" s="23"/>
      <c r="L36" s="22"/>
      <c r="M36" s="22"/>
      <c r="N36" s="22"/>
      <c r="O36" s="22"/>
      <c r="P36" s="24">
        <v>5000.0</v>
      </c>
      <c r="Q36" s="25">
        <f t="shared" si="1"/>
        <v>0</v>
      </c>
      <c r="R36" s="24" t="s">
        <v>479</v>
      </c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7">
        <v>45526.0</v>
      </c>
      <c r="C37" s="18" t="s">
        <v>1404</v>
      </c>
      <c r="D37" s="19">
        <v>78256.0</v>
      </c>
      <c r="E37" s="20" t="s">
        <v>272</v>
      </c>
      <c r="F37" s="21"/>
      <c r="G37" s="22"/>
      <c r="H37" s="22"/>
      <c r="I37" s="21">
        <v>5000.0</v>
      </c>
      <c r="J37" s="21"/>
      <c r="K37" s="23"/>
      <c r="L37" s="22"/>
      <c r="M37" s="22"/>
      <c r="N37" s="22"/>
      <c r="O37" s="22"/>
      <c r="P37" s="24">
        <v>5000.0</v>
      </c>
      <c r="Q37" s="25">
        <f t="shared" si="1"/>
        <v>0</v>
      </c>
      <c r="R37" s="24" t="s">
        <v>30</v>
      </c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7">
        <v>45526.0</v>
      </c>
      <c r="C38" s="18" t="s">
        <v>1405</v>
      </c>
      <c r="D38" s="19">
        <v>52083.0</v>
      </c>
      <c r="E38" s="20" t="s">
        <v>122</v>
      </c>
      <c r="F38" s="21"/>
      <c r="G38" s="22"/>
      <c r="H38" s="22"/>
      <c r="I38" s="21">
        <v>3350.0</v>
      </c>
      <c r="J38" s="21"/>
      <c r="K38" s="23"/>
      <c r="L38" s="22"/>
      <c r="M38" s="22"/>
      <c r="N38" s="22"/>
      <c r="O38" s="22"/>
      <c r="P38" s="24">
        <v>3350.0</v>
      </c>
      <c r="Q38" s="25">
        <f t="shared" si="1"/>
        <v>0</v>
      </c>
      <c r="R38" s="24" t="s">
        <v>30</v>
      </c>
      <c r="S38" s="26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7">
        <v>45526.0</v>
      </c>
      <c r="C39" s="18" t="s">
        <v>1406</v>
      </c>
      <c r="D39" s="19">
        <v>35449.0</v>
      </c>
      <c r="E39" s="20" t="s">
        <v>1407</v>
      </c>
      <c r="F39" s="21"/>
      <c r="G39" s="22"/>
      <c r="H39" s="22"/>
      <c r="I39" s="21"/>
      <c r="J39" s="21">
        <v>4650.0</v>
      </c>
      <c r="K39" s="23"/>
      <c r="L39" s="22"/>
      <c r="M39" s="22"/>
      <c r="N39" s="22"/>
      <c r="O39" s="22"/>
      <c r="P39" s="24">
        <v>4650.0</v>
      </c>
      <c r="Q39" s="25">
        <f t="shared" si="1"/>
        <v>0</v>
      </c>
      <c r="R39" s="24" t="s">
        <v>51</v>
      </c>
      <c r="S39" s="26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7">
        <v>45526.0</v>
      </c>
      <c r="C40" s="18" t="s">
        <v>1408</v>
      </c>
      <c r="D40" s="19">
        <v>44830.0</v>
      </c>
      <c r="E40" s="20" t="s">
        <v>1409</v>
      </c>
      <c r="F40" s="21"/>
      <c r="G40" s="22"/>
      <c r="H40" s="22"/>
      <c r="I40" s="21">
        <v>6750.0</v>
      </c>
      <c r="J40" s="21"/>
      <c r="K40" s="23"/>
      <c r="L40" s="22"/>
      <c r="M40" s="22"/>
      <c r="N40" s="22"/>
      <c r="O40" s="22"/>
      <c r="P40" s="24">
        <v>6750.0</v>
      </c>
      <c r="Q40" s="25">
        <f t="shared" si="1"/>
        <v>0</v>
      </c>
      <c r="R40" s="24" t="s">
        <v>479</v>
      </c>
      <c r="S40" s="26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7">
        <v>45525.0</v>
      </c>
      <c r="C41" s="18" t="s">
        <v>1410</v>
      </c>
      <c r="D41" s="19">
        <v>70965.0</v>
      </c>
      <c r="E41" s="20" t="s">
        <v>1411</v>
      </c>
      <c r="F41" s="21"/>
      <c r="G41" s="22"/>
      <c r="H41" s="22"/>
      <c r="I41" s="21"/>
      <c r="J41" s="21"/>
      <c r="K41" s="23"/>
      <c r="L41" s="22"/>
      <c r="M41" s="22">
        <v>2650.0</v>
      </c>
      <c r="N41" s="22"/>
      <c r="O41" s="22"/>
      <c r="P41" s="24">
        <v>2650.0</v>
      </c>
      <c r="Q41" s="25">
        <f t="shared" si="1"/>
        <v>0</v>
      </c>
      <c r="R41" s="24"/>
      <c r="S41" s="26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27">
        <v>45526.0</v>
      </c>
      <c r="C42" s="18" t="s">
        <v>1412</v>
      </c>
      <c r="D42" s="19">
        <v>51017.0</v>
      </c>
      <c r="E42" s="20" t="s">
        <v>270</v>
      </c>
      <c r="F42" s="21"/>
      <c r="G42" s="22"/>
      <c r="H42" s="22">
        <v>14500.0</v>
      </c>
      <c r="I42" s="21"/>
      <c r="J42" s="21"/>
      <c r="K42" s="23"/>
      <c r="L42" s="22"/>
      <c r="M42" s="22"/>
      <c r="N42" s="22"/>
      <c r="O42" s="22"/>
      <c r="P42" s="24">
        <v>14500.0</v>
      </c>
      <c r="Q42" s="25">
        <f t="shared" si="1"/>
        <v>0</v>
      </c>
      <c r="R42" s="24"/>
      <c r="S42" s="26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>
        <v>39.0</v>
      </c>
      <c r="B43" s="27">
        <v>45526.0</v>
      </c>
      <c r="C43" s="18" t="s">
        <v>1413</v>
      </c>
      <c r="D43" s="19">
        <v>27880.0</v>
      </c>
      <c r="E43" s="20" t="s">
        <v>1384</v>
      </c>
      <c r="F43" s="21"/>
      <c r="G43" s="22"/>
      <c r="H43" s="22">
        <v>4500.0</v>
      </c>
      <c r="I43" s="21"/>
      <c r="J43" s="21"/>
      <c r="K43" s="23"/>
      <c r="L43" s="22"/>
      <c r="M43" s="22"/>
      <c r="N43" s="22"/>
      <c r="O43" s="22"/>
      <c r="P43" s="24">
        <v>4500.0</v>
      </c>
      <c r="Q43" s="25">
        <f t="shared" si="1"/>
        <v>0</v>
      </c>
      <c r="R43" s="24"/>
      <c r="S43" s="26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16">
        <v>40.0</v>
      </c>
      <c r="B44" s="27">
        <v>45526.0</v>
      </c>
      <c r="C44" s="18" t="s">
        <v>1414</v>
      </c>
      <c r="D44" s="19">
        <v>77746.0</v>
      </c>
      <c r="E44" s="20" t="s">
        <v>1415</v>
      </c>
      <c r="F44" s="21"/>
      <c r="G44" s="22"/>
      <c r="H44" s="22"/>
      <c r="I44" s="21"/>
      <c r="J44" s="21"/>
      <c r="K44" s="23"/>
      <c r="L44" s="22"/>
      <c r="M44" s="22">
        <v>4650.0</v>
      </c>
      <c r="N44" s="22"/>
      <c r="O44" s="22"/>
      <c r="P44" s="24">
        <v>4650.0</v>
      </c>
      <c r="Q44" s="25">
        <f t="shared" si="1"/>
        <v>0</v>
      </c>
      <c r="R44" s="24"/>
      <c r="S44" s="26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16">
        <v>41.0</v>
      </c>
      <c r="B45" s="27">
        <v>45526.0</v>
      </c>
      <c r="C45" s="18" t="s">
        <v>1416</v>
      </c>
      <c r="D45" s="19">
        <v>45227.0</v>
      </c>
      <c r="E45" s="20" t="s">
        <v>483</v>
      </c>
      <c r="F45" s="21"/>
      <c r="G45" s="22"/>
      <c r="H45" s="22">
        <v>17000.0</v>
      </c>
      <c r="I45" s="21"/>
      <c r="J45" s="21"/>
      <c r="K45" s="23"/>
      <c r="L45" s="22"/>
      <c r="M45" s="22"/>
      <c r="N45" s="22"/>
      <c r="O45" s="22"/>
      <c r="P45" s="24">
        <v>17000.0</v>
      </c>
      <c r="Q45" s="25">
        <f t="shared" si="1"/>
        <v>0</v>
      </c>
      <c r="R45" s="24"/>
      <c r="S45" s="26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4.5" customHeight="1">
      <c r="A46" s="16">
        <v>42.0</v>
      </c>
      <c r="B46" s="27">
        <v>45526.0</v>
      </c>
      <c r="C46" s="18" t="s">
        <v>1417</v>
      </c>
      <c r="D46" s="19">
        <v>84532.0</v>
      </c>
      <c r="E46" s="20" t="s">
        <v>1418</v>
      </c>
      <c r="F46" s="21"/>
      <c r="G46" s="22"/>
      <c r="H46" s="22">
        <v>7000.0</v>
      </c>
      <c r="I46" s="21"/>
      <c r="J46" s="21"/>
      <c r="K46" s="23"/>
      <c r="L46" s="22"/>
      <c r="M46" s="22"/>
      <c r="N46" s="22"/>
      <c r="O46" s="22"/>
      <c r="P46" s="24">
        <v>7000.0</v>
      </c>
      <c r="Q46" s="25">
        <f t="shared" si="1"/>
        <v>0</v>
      </c>
      <c r="R46" s="24"/>
      <c r="S46" s="26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34.5" customHeight="1">
      <c r="A47" s="16">
        <v>43.0</v>
      </c>
      <c r="B47" s="27">
        <v>45526.0</v>
      </c>
      <c r="C47" s="18" t="s">
        <v>1419</v>
      </c>
      <c r="D47" s="19">
        <v>49953.0</v>
      </c>
      <c r="E47" s="20" t="s">
        <v>471</v>
      </c>
      <c r="F47" s="21"/>
      <c r="G47" s="22"/>
      <c r="H47" s="22">
        <v>2500.0</v>
      </c>
      <c r="I47" s="21"/>
      <c r="J47" s="21"/>
      <c r="K47" s="23"/>
      <c r="L47" s="22"/>
      <c r="M47" s="22"/>
      <c r="N47" s="22"/>
      <c r="O47" s="22"/>
      <c r="P47" s="24">
        <v>2500.0</v>
      </c>
      <c r="Q47" s="25">
        <f t="shared" si="1"/>
        <v>0</v>
      </c>
      <c r="R47" s="24"/>
      <c r="S47" s="26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34.5" customHeight="1">
      <c r="A48" s="16">
        <v>44.0</v>
      </c>
      <c r="B48" s="27">
        <v>45526.0</v>
      </c>
      <c r="C48" s="18" t="s">
        <v>1420</v>
      </c>
      <c r="D48" s="19">
        <v>35220.0</v>
      </c>
      <c r="E48" s="20" t="s">
        <v>775</v>
      </c>
      <c r="F48" s="21"/>
      <c r="G48" s="22"/>
      <c r="H48" s="22">
        <v>3850.0</v>
      </c>
      <c r="I48" s="21"/>
      <c r="J48" s="21"/>
      <c r="K48" s="23"/>
      <c r="L48" s="22"/>
      <c r="M48" s="22"/>
      <c r="N48" s="22"/>
      <c r="O48" s="22"/>
      <c r="P48" s="24">
        <v>3850.0</v>
      </c>
      <c r="Q48" s="25">
        <f t="shared" si="1"/>
        <v>0</v>
      </c>
      <c r="R48" s="24"/>
      <c r="S48" s="26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34.5" customHeight="1">
      <c r="A49" s="16">
        <v>45.0</v>
      </c>
      <c r="B49" s="27">
        <v>45526.0</v>
      </c>
      <c r="C49" s="18" t="s">
        <v>1421</v>
      </c>
      <c r="D49" s="19">
        <v>50595.0</v>
      </c>
      <c r="E49" s="20" t="s">
        <v>163</v>
      </c>
      <c r="F49" s="21"/>
      <c r="G49" s="22"/>
      <c r="H49" s="22">
        <v>12000.0</v>
      </c>
      <c r="I49" s="21"/>
      <c r="J49" s="21"/>
      <c r="K49" s="23"/>
      <c r="L49" s="22"/>
      <c r="M49" s="22"/>
      <c r="N49" s="22"/>
      <c r="O49" s="22"/>
      <c r="P49" s="24">
        <v>12000.0</v>
      </c>
      <c r="Q49" s="25">
        <f t="shared" si="1"/>
        <v>0</v>
      </c>
      <c r="R49" s="24"/>
      <c r="S49" s="26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37.5" customHeight="1">
      <c r="A50" s="16"/>
      <c r="B50" s="27"/>
      <c r="C50" s="18"/>
      <c r="D50" s="19" t="s">
        <v>183</v>
      </c>
      <c r="E50" s="20"/>
      <c r="F50" s="45">
        <f t="shared" ref="F50:P50" si="2">SUM(F5:F49)</f>
        <v>0</v>
      </c>
      <c r="G50" s="45">
        <f t="shared" si="2"/>
        <v>0</v>
      </c>
      <c r="H50" s="45">
        <f t="shared" si="2"/>
        <v>100850</v>
      </c>
      <c r="I50" s="45">
        <f t="shared" si="2"/>
        <v>126590</v>
      </c>
      <c r="J50" s="45">
        <f t="shared" si="2"/>
        <v>18450</v>
      </c>
      <c r="K50" s="45">
        <f t="shared" si="2"/>
        <v>1300</v>
      </c>
      <c r="L50" s="45">
        <f t="shared" si="2"/>
        <v>0</v>
      </c>
      <c r="M50" s="45">
        <f t="shared" si="2"/>
        <v>7300</v>
      </c>
      <c r="N50" s="45">
        <f t="shared" si="2"/>
        <v>0</v>
      </c>
      <c r="O50" s="45">
        <f t="shared" si="2"/>
        <v>0</v>
      </c>
      <c r="P50" s="45">
        <f t="shared" si="2"/>
        <v>260090</v>
      </c>
      <c r="Q50" s="46">
        <v>0.0</v>
      </c>
      <c r="R50" s="47"/>
      <c r="S50" s="26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</row>
    <row r="51" ht="15.75" customHeight="1">
      <c r="A51" s="48"/>
      <c r="B51" s="48"/>
      <c r="C51" s="49"/>
      <c r="D51" s="48"/>
      <c r="E51" s="48"/>
      <c r="F51" s="50">
        <f>F50+G50+H50+I50+J50+K50+L50+M50+N50+O50</f>
        <v>254490</v>
      </c>
      <c r="P51" s="51"/>
      <c r="Q51" s="51"/>
      <c r="R51" s="48"/>
      <c r="S51" s="48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</row>
    <row r="52" ht="15.75" customHeight="1">
      <c r="A52" s="4"/>
      <c r="B52" s="4"/>
      <c r="C52" s="5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3" t="s">
        <v>183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54" t="s">
        <v>184</v>
      </c>
      <c r="F55" s="55" t="s">
        <v>1422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56" t="s">
        <v>186</v>
      </c>
      <c r="F56" s="55" t="s">
        <v>357</v>
      </c>
      <c r="G56" s="4"/>
      <c r="H56" s="4"/>
      <c r="I56" s="4"/>
      <c r="J56" s="4"/>
      <c r="K56" s="4"/>
      <c r="L56" s="4"/>
      <c r="M56" s="4"/>
      <c r="N56" s="4"/>
      <c r="O56" s="57" t="s">
        <v>183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56" t="s">
        <v>188</v>
      </c>
      <c r="F57" s="55" t="s">
        <v>185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56" t="s">
        <v>189</v>
      </c>
      <c r="F58" s="55" t="s">
        <v>185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56" t="s">
        <v>190</v>
      </c>
      <c r="F59" s="55" t="s">
        <v>1231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56" t="s">
        <v>1423</v>
      </c>
      <c r="F60" s="55" t="s">
        <v>185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56" t="s">
        <v>193</v>
      </c>
      <c r="F61" s="55" t="s">
        <v>185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56" t="s">
        <v>195</v>
      </c>
      <c r="F62" s="59" t="s">
        <v>196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57" t="s">
        <v>183</v>
      </c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 t="str">
        <f>I72450</f>
        <v/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57" t="s">
        <v>197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>
        <v>7.0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5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5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5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5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5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5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5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5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5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>
      <c r="A283" s="4"/>
      <c r="B283" s="4"/>
      <c r="C283" s="5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5.75" customHeight="1">
      <c r="A284" s="4"/>
      <c r="B284" s="4"/>
      <c r="C284" s="5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5.75" customHeight="1">
      <c r="A285" s="4"/>
      <c r="B285" s="4"/>
      <c r="C285" s="5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R2:R4"/>
    <mergeCell ref="S2:S4"/>
    <mergeCell ref="F3:F4"/>
    <mergeCell ref="G3:H3"/>
    <mergeCell ref="I3:J3"/>
    <mergeCell ref="K3:K4"/>
    <mergeCell ref="F51:O51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6.88"/>
    <col customWidth="1" min="6" max="6" width="29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45.0" customHeight="1">
      <c r="A1" s="1" t="s">
        <v>1424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15.75" customHeight="1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5.75" customHeight="1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45526.0</v>
      </c>
      <c r="C5" s="18" t="s">
        <v>1425</v>
      </c>
      <c r="D5" s="19">
        <v>84541.0</v>
      </c>
      <c r="E5" s="20" t="s">
        <v>1426</v>
      </c>
      <c r="F5" s="21"/>
      <c r="G5" s="22"/>
      <c r="H5" s="21"/>
      <c r="I5" s="23">
        <v>6050.0</v>
      </c>
      <c r="J5" s="23"/>
      <c r="K5" s="22"/>
      <c r="L5" s="22"/>
      <c r="M5" s="21"/>
      <c r="N5" s="22"/>
      <c r="O5" s="22"/>
      <c r="P5" s="24">
        <v>6050.0</v>
      </c>
      <c r="Q5" s="25">
        <f t="shared" ref="Q5:Q39" si="1">F5+G5+H5+I5+J5+K5+L5+M5+N5+O5-P5</f>
        <v>0</v>
      </c>
      <c r="R5" s="24" t="s">
        <v>479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45527.0</v>
      </c>
      <c r="C6" s="18" t="s">
        <v>1427</v>
      </c>
      <c r="D6" s="19">
        <v>36555.0</v>
      </c>
      <c r="E6" s="20" t="s">
        <v>63</v>
      </c>
      <c r="F6" s="21"/>
      <c r="G6" s="22"/>
      <c r="H6" s="22"/>
      <c r="I6" s="21">
        <v>5000.0</v>
      </c>
      <c r="J6" s="22"/>
      <c r="K6" s="22"/>
      <c r="L6" s="22"/>
      <c r="M6" s="21"/>
      <c r="N6" s="22"/>
      <c r="O6" s="22"/>
      <c r="P6" s="24">
        <v>5000.0</v>
      </c>
      <c r="Q6" s="25">
        <f t="shared" si="1"/>
        <v>0</v>
      </c>
      <c r="R6" s="24" t="s">
        <v>51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45527.0</v>
      </c>
      <c r="C7" s="18" t="s">
        <v>1428</v>
      </c>
      <c r="D7" s="19">
        <v>40166.0</v>
      </c>
      <c r="E7" s="20" t="s">
        <v>1429</v>
      </c>
      <c r="F7" s="22"/>
      <c r="G7" s="22"/>
      <c r="H7" s="21"/>
      <c r="I7" s="21"/>
      <c r="J7" s="23">
        <v>2650.0</v>
      </c>
      <c r="K7" s="22"/>
      <c r="L7" s="22"/>
      <c r="M7" s="22"/>
      <c r="N7" s="22"/>
      <c r="O7" s="22"/>
      <c r="P7" s="24">
        <v>2650.0</v>
      </c>
      <c r="Q7" s="25">
        <f t="shared" si="1"/>
        <v>0</v>
      </c>
      <c r="R7" s="24" t="s">
        <v>51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45527.0</v>
      </c>
      <c r="C8" s="18" t="s">
        <v>1430</v>
      </c>
      <c r="D8" s="19">
        <v>40433.0</v>
      </c>
      <c r="E8" s="20" t="s">
        <v>1431</v>
      </c>
      <c r="F8" s="22"/>
      <c r="G8" s="22"/>
      <c r="H8" s="22"/>
      <c r="I8" s="21">
        <v>1150.0</v>
      </c>
      <c r="J8" s="21"/>
      <c r="K8" s="22"/>
      <c r="L8" s="22"/>
      <c r="M8" s="22"/>
      <c r="N8" s="22"/>
      <c r="O8" s="22"/>
      <c r="P8" s="24">
        <v>1150.0</v>
      </c>
      <c r="Q8" s="25">
        <f t="shared" si="1"/>
        <v>0</v>
      </c>
      <c r="R8" s="24" t="s">
        <v>25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45527.0</v>
      </c>
      <c r="C9" s="18" t="s">
        <v>1432</v>
      </c>
      <c r="D9" s="19">
        <v>46778.0</v>
      </c>
      <c r="E9" s="20" t="s">
        <v>507</v>
      </c>
      <c r="F9" s="22"/>
      <c r="G9" s="22"/>
      <c r="H9" s="22"/>
      <c r="I9" s="21"/>
      <c r="J9" s="21">
        <v>5150.0</v>
      </c>
      <c r="K9" s="22"/>
      <c r="L9" s="22"/>
      <c r="M9" s="21"/>
      <c r="N9" s="22"/>
      <c r="O9" s="22"/>
      <c r="P9" s="24">
        <v>5150.0</v>
      </c>
      <c r="Q9" s="25">
        <f t="shared" si="1"/>
        <v>0</v>
      </c>
      <c r="R9" s="24" t="s">
        <v>30</v>
      </c>
      <c r="S9" s="26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45527.0</v>
      </c>
      <c r="C10" s="18" t="s">
        <v>1433</v>
      </c>
      <c r="D10" s="19">
        <v>76815.0</v>
      </c>
      <c r="E10" s="20" t="s">
        <v>1434</v>
      </c>
      <c r="F10" s="22"/>
      <c r="G10" s="22"/>
      <c r="H10" s="22"/>
      <c r="I10" s="21">
        <v>32000.0</v>
      </c>
      <c r="J10" s="21"/>
      <c r="K10" s="22">
        <v>3000.0</v>
      </c>
      <c r="L10" s="22"/>
      <c r="M10" s="21"/>
      <c r="N10" s="22"/>
      <c r="O10" s="22"/>
      <c r="P10" s="24">
        <v>35000.0</v>
      </c>
      <c r="Q10" s="25">
        <f t="shared" si="1"/>
        <v>0</v>
      </c>
      <c r="R10" s="24" t="s">
        <v>68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45527.0</v>
      </c>
      <c r="C11" s="18" t="s">
        <v>1435</v>
      </c>
      <c r="D11" s="19">
        <v>58050.0</v>
      </c>
      <c r="E11" s="20" t="s">
        <v>428</v>
      </c>
      <c r="F11" s="22"/>
      <c r="G11" s="22"/>
      <c r="H11" s="22"/>
      <c r="I11" s="21"/>
      <c r="J11" s="21">
        <v>9500.0</v>
      </c>
      <c r="K11" s="22"/>
      <c r="L11" s="22"/>
      <c r="M11" s="21"/>
      <c r="N11" s="22"/>
      <c r="O11" s="22"/>
      <c r="P11" s="24">
        <v>9500.0</v>
      </c>
      <c r="Q11" s="25">
        <f t="shared" si="1"/>
        <v>0</v>
      </c>
      <c r="R11" s="24" t="s">
        <v>51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7">
        <v>45527.0</v>
      </c>
      <c r="C12" s="18" t="s">
        <v>1436</v>
      </c>
      <c r="D12" s="19">
        <v>75870.0</v>
      </c>
      <c r="E12" s="20" t="s">
        <v>1437</v>
      </c>
      <c r="F12" s="22"/>
      <c r="G12" s="22"/>
      <c r="H12" s="22"/>
      <c r="I12" s="21">
        <v>3900.0</v>
      </c>
      <c r="J12" s="21"/>
      <c r="K12" s="22"/>
      <c r="L12" s="22"/>
      <c r="M12" s="21"/>
      <c r="N12" s="22"/>
      <c r="O12" s="22"/>
      <c r="P12" s="24">
        <v>3900.0</v>
      </c>
      <c r="Q12" s="25">
        <f t="shared" si="1"/>
        <v>0</v>
      </c>
      <c r="R12" s="24" t="s">
        <v>51</v>
      </c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8">
        <v>45527.0</v>
      </c>
      <c r="C13" s="29" t="s">
        <v>1438</v>
      </c>
      <c r="D13" s="30">
        <v>32283.0</v>
      </c>
      <c r="E13" s="31" t="s">
        <v>983</v>
      </c>
      <c r="F13" s="22"/>
      <c r="G13" s="22"/>
      <c r="H13" s="22"/>
      <c r="I13" s="21"/>
      <c r="J13" s="21">
        <v>10000.0</v>
      </c>
      <c r="K13" s="22"/>
      <c r="L13" s="22"/>
      <c r="M13" s="21"/>
      <c r="N13" s="22"/>
      <c r="O13" s="22"/>
      <c r="P13" s="32">
        <v>10000.0</v>
      </c>
      <c r="Q13" s="25">
        <f t="shared" si="1"/>
        <v>0</v>
      </c>
      <c r="R13" s="32" t="s">
        <v>30</v>
      </c>
      <c r="S13" s="26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 ht="34.5" customHeight="1">
      <c r="A14" s="16">
        <v>10.0</v>
      </c>
      <c r="B14" s="27">
        <v>45527.0</v>
      </c>
      <c r="C14" s="18" t="s">
        <v>1439</v>
      </c>
      <c r="D14" s="19">
        <v>83527.0</v>
      </c>
      <c r="E14" s="20" t="s">
        <v>1440</v>
      </c>
      <c r="F14" s="22"/>
      <c r="G14" s="22"/>
      <c r="H14" s="22"/>
      <c r="I14" s="21">
        <v>1050.0</v>
      </c>
      <c r="J14" s="21"/>
      <c r="K14" s="22"/>
      <c r="L14" s="22"/>
      <c r="M14" s="21"/>
      <c r="N14" s="22"/>
      <c r="O14" s="22"/>
      <c r="P14" s="24">
        <v>1050.0</v>
      </c>
      <c r="Q14" s="25">
        <f t="shared" si="1"/>
        <v>0</v>
      </c>
      <c r="R14" s="24" t="s">
        <v>68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45527.0</v>
      </c>
      <c r="C15" s="18" t="s">
        <v>1441</v>
      </c>
      <c r="D15" s="19">
        <v>10839.0</v>
      </c>
      <c r="E15" s="20" t="s">
        <v>609</v>
      </c>
      <c r="F15" s="22"/>
      <c r="G15" s="22"/>
      <c r="H15" s="22"/>
      <c r="I15" s="21"/>
      <c r="J15" s="21">
        <v>2550.0</v>
      </c>
      <c r="K15" s="22"/>
      <c r="L15" s="22"/>
      <c r="M15" s="21"/>
      <c r="N15" s="22"/>
      <c r="O15" s="22"/>
      <c r="P15" s="24">
        <v>2550.0</v>
      </c>
      <c r="Q15" s="25">
        <f t="shared" si="1"/>
        <v>0</v>
      </c>
      <c r="R15" s="24" t="s">
        <v>51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45527.0</v>
      </c>
      <c r="C16" s="18" t="s">
        <v>1442</v>
      </c>
      <c r="D16" s="19">
        <v>77831.0</v>
      </c>
      <c r="E16" s="20" t="s">
        <v>213</v>
      </c>
      <c r="F16" s="22"/>
      <c r="G16" s="22"/>
      <c r="H16" s="22"/>
      <c r="I16" s="21">
        <v>2680.0</v>
      </c>
      <c r="J16" s="21"/>
      <c r="K16" s="22"/>
      <c r="L16" s="22"/>
      <c r="M16" s="21"/>
      <c r="N16" s="22"/>
      <c r="O16" s="22"/>
      <c r="P16" s="24">
        <v>2680.0</v>
      </c>
      <c r="Q16" s="25">
        <f t="shared" si="1"/>
        <v>0</v>
      </c>
      <c r="R16" s="24" t="s">
        <v>25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45527.0</v>
      </c>
      <c r="C17" s="18" t="s">
        <v>1443</v>
      </c>
      <c r="D17" s="19">
        <v>59904.0</v>
      </c>
      <c r="E17" s="20" t="s">
        <v>612</v>
      </c>
      <c r="F17" s="22"/>
      <c r="G17" s="22"/>
      <c r="H17" s="22"/>
      <c r="I17" s="21">
        <v>2500.0</v>
      </c>
      <c r="J17" s="21"/>
      <c r="K17" s="22"/>
      <c r="L17" s="22"/>
      <c r="M17" s="21"/>
      <c r="N17" s="22"/>
      <c r="O17" s="22"/>
      <c r="P17" s="24">
        <v>2500.0</v>
      </c>
      <c r="Q17" s="25">
        <f t="shared" si="1"/>
        <v>0</v>
      </c>
      <c r="R17" s="24" t="s">
        <v>68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7">
        <v>45527.0</v>
      </c>
      <c r="C18" s="18" t="s">
        <v>1444</v>
      </c>
      <c r="D18" s="19">
        <v>84546.0</v>
      </c>
      <c r="E18" s="20" t="s">
        <v>1445</v>
      </c>
      <c r="F18" s="22"/>
      <c r="G18" s="22"/>
      <c r="H18" s="22"/>
      <c r="I18" s="21">
        <v>5250.0</v>
      </c>
      <c r="J18" s="21">
        <v>2050.0</v>
      </c>
      <c r="K18" s="22"/>
      <c r="L18" s="22"/>
      <c r="M18" s="22"/>
      <c r="N18" s="22"/>
      <c r="O18" s="22"/>
      <c r="P18" s="24">
        <v>7300.0</v>
      </c>
      <c r="Q18" s="25">
        <f t="shared" si="1"/>
        <v>0</v>
      </c>
      <c r="R18" s="24" t="s">
        <v>68</v>
      </c>
      <c r="S18" s="26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28">
        <v>45527.0</v>
      </c>
      <c r="C19" s="29" t="s">
        <v>1446</v>
      </c>
      <c r="D19" s="30">
        <v>67248.0</v>
      </c>
      <c r="E19" s="31" t="s">
        <v>929</v>
      </c>
      <c r="F19" s="22"/>
      <c r="G19" s="22"/>
      <c r="H19" s="22"/>
      <c r="I19" s="21"/>
      <c r="J19" s="21">
        <v>1450.0</v>
      </c>
      <c r="K19" s="22"/>
      <c r="L19" s="22"/>
      <c r="M19" s="21"/>
      <c r="N19" s="22"/>
      <c r="O19" s="22"/>
      <c r="P19" s="32">
        <v>1450.0</v>
      </c>
      <c r="Q19" s="25">
        <f t="shared" si="1"/>
        <v>0</v>
      </c>
      <c r="R19" s="32" t="s">
        <v>68</v>
      </c>
      <c r="S19" s="26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ht="34.5" customHeight="1">
      <c r="A20" s="16">
        <v>16.0</v>
      </c>
      <c r="B20" s="27">
        <v>45527.0</v>
      </c>
      <c r="C20" s="18" t="s">
        <v>1447</v>
      </c>
      <c r="D20" s="19">
        <v>10744.0</v>
      </c>
      <c r="E20" s="20" t="s">
        <v>1448</v>
      </c>
      <c r="F20" s="22"/>
      <c r="G20" s="22"/>
      <c r="H20" s="22"/>
      <c r="I20" s="23">
        <v>10000.0</v>
      </c>
      <c r="J20" s="21"/>
      <c r="K20" s="22"/>
      <c r="L20" s="22"/>
      <c r="M20" s="22"/>
      <c r="N20" s="22"/>
      <c r="O20" s="22"/>
      <c r="P20" s="24">
        <v>10000.0</v>
      </c>
      <c r="Q20" s="25">
        <f t="shared" si="1"/>
        <v>0</v>
      </c>
      <c r="R20" s="24" t="s">
        <v>51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45527.0</v>
      </c>
      <c r="C21" s="18" t="s">
        <v>1449</v>
      </c>
      <c r="D21" s="19">
        <v>57991.0</v>
      </c>
      <c r="E21" s="20" t="s">
        <v>442</v>
      </c>
      <c r="F21" s="21"/>
      <c r="G21" s="22"/>
      <c r="H21" s="22"/>
      <c r="I21" s="34">
        <v>5150.0</v>
      </c>
      <c r="J21" s="21"/>
      <c r="K21" s="35"/>
      <c r="L21" s="22"/>
      <c r="M21" s="22"/>
      <c r="N21" s="22"/>
      <c r="O21" s="22"/>
      <c r="P21" s="24">
        <v>5150.0</v>
      </c>
      <c r="Q21" s="25">
        <f t="shared" si="1"/>
        <v>0</v>
      </c>
      <c r="R21" s="24" t="s">
        <v>51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7">
        <v>45527.0</v>
      </c>
      <c r="C22" s="18" t="s">
        <v>1450</v>
      </c>
      <c r="D22" s="19">
        <v>77567.0</v>
      </c>
      <c r="E22" s="20" t="s">
        <v>1451</v>
      </c>
      <c r="F22" s="21"/>
      <c r="G22" s="22"/>
      <c r="H22" s="22"/>
      <c r="I22" s="21">
        <v>400.0</v>
      </c>
      <c r="J22" s="21"/>
      <c r="K22" s="21"/>
      <c r="L22" s="22"/>
      <c r="M22" s="22"/>
      <c r="N22" s="22"/>
      <c r="O22" s="22"/>
      <c r="P22" s="24">
        <v>400.0</v>
      </c>
      <c r="Q22" s="25">
        <f t="shared" si="1"/>
        <v>0</v>
      </c>
      <c r="R22" s="24" t="s">
        <v>51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36">
        <v>45527.0</v>
      </c>
      <c r="C23" s="37" t="s">
        <v>1452</v>
      </c>
      <c r="D23" s="38">
        <v>46210.0</v>
      </c>
      <c r="E23" s="39" t="s">
        <v>424</v>
      </c>
      <c r="F23" s="34"/>
      <c r="G23" s="40"/>
      <c r="H23" s="40"/>
      <c r="I23" s="34">
        <v>2650.0</v>
      </c>
      <c r="J23" s="21"/>
      <c r="K23" s="41"/>
      <c r="L23" s="40"/>
      <c r="M23" s="40"/>
      <c r="N23" s="40"/>
      <c r="O23" s="40"/>
      <c r="P23" s="42">
        <v>2650.0</v>
      </c>
      <c r="Q23" s="25">
        <f t="shared" si="1"/>
        <v>0</v>
      </c>
      <c r="R23" s="42" t="s">
        <v>51</v>
      </c>
      <c r="S23" s="26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</row>
    <row r="24" ht="34.5" customHeight="1">
      <c r="A24" s="16">
        <v>20.0</v>
      </c>
      <c r="B24" s="27">
        <v>45527.0</v>
      </c>
      <c r="C24" s="18" t="s">
        <v>1453</v>
      </c>
      <c r="D24" s="19">
        <v>84042.0</v>
      </c>
      <c r="E24" s="20" t="s">
        <v>116</v>
      </c>
      <c r="F24" s="21"/>
      <c r="G24" s="22"/>
      <c r="H24" s="22"/>
      <c r="I24" s="21">
        <v>1850.0</v>
      </c>
      <c r="J24" s="21"/>
      <c r="K24" s="35"/>
      <c r="L24" s="22"/>
      <c r="M24" s="22"/>
      <c r="N24" s="22"/>
      <c r="O24" s="22"/>
      <c r="P24" s="24">
        <v>1850.0</v>
      </c>
      <c r="Q24" s="25">
        <f t="shared" si="1"/>
        <v>0</v>
      </c>
      <c r="R24" s="24" t="s">
        <v>51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45527.0</v>
      </c>
      <c r="C25" s="18" t="s">
        <v>1454</v>
      </c>
      <c r="D25" s="19">
        <v>52083.0</v>
      </c>
      <c r="E25" s="20" t="s">
        <v>122</v>
      </c>
      <c r="F25" s="21"/>
      <c r="G25" s="22"/>
      <c r="H25" s="22"/>
      <c r="I25" s="21">
        <v>2500.0</v>
      </c>
      <c r="J25" s="21"/>
      <c r="K25" s="35"/>
      <c r="L25" s="22"/>
      <c r="M25" s="22"/>
      <c r="N25" s="22"/>
      <c r="O25" s="22"/>
      <c r="P25" s="24">
        <v>2500.0</v>
      </c>
      <c r="Q25" s="25">
        <f t="shared" si="1"/>
        <v>0</v>
      </c>
      <c r="R25" s="24" t="s">
        <v>30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45527.0</v>
      </c>
      <c r="C26" s="18" t="s">
        <v>1455</v>
      </c>
      <c r="D26" s="19">
        <v>31738.0</v>
      </c>
      <c r="E26" s="20" t="s">
        <v>686</v>
      </c>
      <c r="F26" s="21"/>
      <c r="G26" s="22"/>
      <c r="H26" s="22"/>
      <c r="I26" s="35">
        <v>5450.0</v>
      </c>
      <c r="J26" s="21"/>
      <c r="K26" s="35"/>
      <c r="L26" s="22"/>
      <c r="M26" s="22"/>
      <c r="N26" s="22"/>
      <c r="O26" s="22"/>
      <c r="P26" s="24">
        <v>5450.0</v>
      </c>
      <c r="Q26" s="25">
        <f t="shared" si="1"/>
        <v>0</v>
      </c>
      <c r="R26" s="24" t="s">
        <v>30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45527.0</v>
      </c>
      <c r="C27" s="18" t="s">
        <v>1456</v>
      </c>
      <c r="D27" s="19">
        <v>57499.0</v>
      </c>
      <c r="E27" s="20" t="s">
        <v>864</v>
      </c>
      <c r="F27" s="21"/>
      <c r="G27" s="22"/>
      <c r="H27" s="22"/>
      <c r="I27" s="21"/>
      <c r="J27" s="21">
        <v>5200.0</v>
      </c>
      <c r="K27" s="35"/>
      <c r="L27" s="22"/>
      <c r="M27" s="22"/>
      <c r="N27" s="22"/>
      <c r="O27" s="22"/>
      <c r="P27" s="24">
        <v>5200.0</v>
      </c>
      <c r="Q27" s="25">
        <f t="shared" si="1"/>
        <v>0</v>
      </c>
      <c r="R27" s="24" t="s">
        <v>30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45527.0</v>
      </c>
      <c r="C28" s="18" t="s">
        <v>1457</v>
      </c>
      <c r="D28" s="19">
        <v>10849.0</v>
      </c>
      <c r="E28" s="20" t="s">
        <v>1458</v>
      </c>
      <c r="F28" s="21"/>
      <c r="G28" s="22"/>
      <c r="H28" s="22"/>
      <c r="I28" s="21">
        <v>5150.0</v>
      </c>
      <c r="J28" s="21"/>
      <c r="K28" s="35"/>
      <c r="L28" s="22"/>
      <c r="M28" s="22"/>
      <c r="N28" s="22"/>
      <c r="O28" s="22"/>
      <c r="P28" s="24">
        <v>5150.0</v>
      </c>
      <c r="Q28" s="25">
        <f t="shared" si="1"/>
        <v>0</v>
      </c>
      <c r="R28" s="24" t="s">
        <v>68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45527.0</v>
      </c>
      <c r="C29" s="18" t="s">
        <v>1459</v>
      </c>
      <c r="D29" s="19">
        <v>32700.0</v>
      </c>
      <c r="E29" s="20" t="s">
        <v>704</v>
      </c>
      <c r="F29" s="21"/>
      <c r="G29" s="22"/>
      <c r="H29" s="22"/>
      <c r="I29" s="21"/>
      <c r="J29" s="21">
        <v>10000.0</v>
      </c>
      <c r="K29" s="23"/>
      <c r="L29" s="22"/>
      <c r="M29" s="22"/>
      <c r="N29" s="22"/>
      <c r="O29" s="22"/>
      <c r="P29" s="24">
        <v>10000.0</v>
      </c>
      <c r="Q29" s="25">
        <f t="shared" si="1"/>
        <v>0</v>
      </c>
      <c r="R29" s="24" t="s">
        <v>25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45527.0</v>
      </c>
      <c r="C30" s="18" t="s">
        <v>1460</v>
      </c>
      <c r="D30" s="19">
        <v>61445.0</v>
      </c>
      <c r="E30" s="20" t="s">
        <v>708</v>
      </c>
      <c r="F30" s="21"/>
      <c r="G30" s="22"/>
      <c r="H30" s="22"/>
      <c r="I30" s="21">
        <v>5150.0</v>
      </c>
      <c r="J30" s="21"/>
      <c r="K30" s="23"/>
      <c r="L30" s="22"/>
      <c r="M30" s="22"/>
      <c r="N30" s="22"/>
      <c r="O30" s="22"/>
      <c r="P30" s="24">
        <v>5150.0</v>
      </c>
      <c r="Q30" s="25">
        <f t="shared" si="1"/>
        <v>0</v>
      </c>
      <c r="R30" s="24" t="s">
        <v>25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45527.0</v>
      </c>
      <c r="C31" s="18" t="s">
        <v>1461</v>
      </c>
      <c r="D31" s="19">
        <v>80952.0</v>
      </c>
      <c r="E31" s="20" t="s">
        <v>886</v>
      </c>
      <c r="F31" s="21"/>
      <c r="G31" s="22"/>
      <c r="H31" s="22"/>
      <c r="I31" s="21"/>
      <c r="J31" s="21"/>
      <c r="K31" s="23">
        <v>6300.0</v>
      </c>
      <c r="L31" s="22"/>
      <c r="M31" s="22"/>
      <c r="N31" s="22"/>
      <c r="O31" s="22"/>
      <c r="P31" s="24">
        <v>6300.0</v>
      </c>
      <c r="Q31" s="25">
        <f t="shared" si="1"/>
        <v>0</v>
      </c>
      <c r="R31" s="24"/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45527.0</v>
      </c>
      <c r="C32" s="18" t="s">
        <v>1462</v>
      </c>
      <c r="D32" s="19">
        <v>51406.0</v>
      </c>
      <c r="E32" s="20" t="s">
        <v>281</v>
      </c>
      <c r="F32" s="21"/>
      <c r="G32" s="22"/>
      <c r="H32" s="22">
        <v>2500.0</v>
      </c>
      <c r="I32" s="21"/>
      <c r="J32" s="21"/>
      <c r="K32" s="23"/>
      <c r="L32" s="22"/>
      <c r="M32" s="22"/>
      <c r="N32" s="22"/>
      <c r="O32" s="22"/>
      <c r="P32" s="24">
        <v>2500.0</v>
      </c>
      <c r="Q32" s="25">
        <f t="shared" si="1"/>
        <v>0</v>
      </c>
      <c r="R32" s="24"/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45527.0</v>
      </c>
      <c r="C33" s="18" t="s">
        <v>1463</v>
      </c>
      <c r="D33" s="19">
        <v>51017.0</v>
      </c>
      <c r="E33" s="20" t="s">
        <v>270</v>
      </c>
      <c r="F33" s="21"/>
      <c r="G33" s="22"/>
      <c r="H33" s="22">
        <v>17500.0</v>
      </c>
      <c r="I33" s="21"/>
      <c r="J33" s="21"/>
      <c r="K33" s="23"/>
      <c r="L33" s="22"/>
      <c r="M33" s="22"/>
      <c r="N33" s="22"/>
      <c r="O33" s="22"/>
      <c r="P33" s="24">
        <v>17500.0</v>
      </c>
      <c r="Q33" s="25">
        <f t="shared" si="1"/>
        <v>0</v>
      </c>
      <c r="R33" s="24"/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7">
        <v>45527.0</v>
      </c>
      <c r="C34" s="18" t="s">
        <v>1464</v>
      </c>
      <c r="D34" s="19">
        <v>60648.0</v>
      </c>
      <c r="E34" s="20" t="s">
        <v>1465</v>
      </c>
      <c r="F34" s="21"/>
      <c r="G34" s="22"/>
      <c r="H34" s="22"/>
      <c r="I34" s="21"/>
      <c r="J34" s="21"/>
      <c r="K34" s="23"/>
      <c r="L34" s="22"/>
      <c r="M34" s="22">
        <v>4650.0</v>
      </c>
      <c r="N34" s="22"/>
      <c r="O34" s="22"/>
      <c r="P34" s="24">
        <v>4650.0</v>
      </c>
      <c r="Q34" s="25">
        <f t="shared" si="1"/>
        <v>0</v>
      </c>
      <c r="R34" s="24"/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7">
        <v>45527.0</v>
      </c>
      <c r="C35" s="18" t="s">
        <v>1466</v>
      </c>
      <c r="D35" s="19">
        <v>47787.0</v>
      </c>
      <c r="E35" s="20" t="s">
        <v>1171</v>
      </c>
      <c r="F35" s="21"/>
      <c r="G35" s="22"/>
      <c r="H35" s="22">
        <v>10000.0</v>
      </c>
      <c r="I35" s="21"/>
      <c r="J35" s="21"/>
      <c r="K35" s="23"/>
      <c r="L35" s="22"/>
      <c r="M35" s="22"/>
      <c r="N35" s="22"/>
      <c r="O35" s="22"/>
      <c r="P35" s="24">
        <v>10000.0</v>
      </c>
      <c r="Q35" s="25">
        <f t="shared" si="1"/>
        <v>0</v>
      </c>
      <c r="R35" s="24"/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7">
        <v>45527.0</v>
      </c>
      <c r="C36" s="18" t="s">
        <v>1467</v>
      </c>
      <c r="D36" s="19">
        <v>43380.0</v>
      </c>
      <c r="E36" s="20" t="s">
        <v>161</v>
      </c>
      <c r="F36" s="21"/>
      <c r="G36" s="22"/>
      <c r="H36" s="22">
        <v>20000.0</v>
      </c>
      <c r="I36" s="21"/>
      <c r="J36" s="21"/>
      <c r="K36" s="23"/>
      <c r="L36" s="22"/>
      <c r="M36" s="22"/>
      <c r="N36" s="22"/>
      <c r="O36" s="22"/>
      <c r="P36" s="24">
        <v>20000.0</v>
      </c>
      <c r="Q36" s="25">
        <f t="shared" si="1"/>
        <v>0</v>
      </c>
      <c r="R36" s="24"/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7">
        <v>45527.0</v>
      </c>
      <c r="C37" s="18" t="s">
        <v>1468</v>
      </c>
      <c r="D37" s="19">
        <v>35245.0</v>
      </c>
      <c r="E37" s="20" t="s">
        <v>557</v>
      </c>
      <c r="F37" s="21"/>
      <c r="G37" s="22"/>
      <c r="H37" s="22">
        <v>8250.0</v>
      </c>
      <c r="I37" s="21"/>
      <c r="J37" s="21"/>
      <c r="K37" s="23"/>
      <c r="L37" s="22"/>
      <c r="M37" s="22"/>
      <c r="N37" s="22"/>
      <c r="O37" s="22"/>
      <c r="P37" s="24">
        <v>8250.0</v>
      </c>
      <c r="Q37" s="25">
        <f t="shared" si="1"/>
        <v>0</v>
      </c>
      <c r="R37" s="24"/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7">
        <v>45527.0</v>
      </c>
      <c r="C38" s="18" t="s">
        <v>1469</v>
      </c>
      <c r="D38" s="19">
        <v>59137.0</v>
      </c>
      <c r="E38" s="20" t="s">
        <v>355</v>
      </c>
      <c r="F38" s="21"/>
      <c r="G38" s="22"/>
      <c r="H38" s="22">
        <v>2800.0</v>
      </c>
      <c r="I38" s="21"/>
      <c r="J38" s="21"/>
      <c r="K38" s="23"/>
      <c r="L38" s="22"/>
      <c r="M38" s="22"/>
      <c r="N38" s="22"/>
      <c r="O38" s="22"/>
      <c r="P38" s="24">
        <v>2800.0</v>
      </c>
      <c r="Q38" s="25">
        <f t="shared" si="1"/>
        <v>0</v>
      </c>
      <c r="R38" s="24"/>
      <c r="S38" s="26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7">
        <v>45527.0</v>
      </c>
      <c r="C39" s="18" t="s">
        <v>1470</v>
      </c>
      <c r="D39" s="19">
        <v>50148.0</v>
      </c>
      <c r="E39" s="20" t="s">
        <v>285</v>
      </c>
      <c r="F39" s="21"/>
      <c r="G39" s="22"/>
      <c r="H39" s="22">
        <v>5000.0</v>
      </c>
      <c r="I39" s="21"/>
      <c r="J39" s="21"/>
      <c r="K39" s="23"/>
      <c r="L39" s="22"/>
      <c r="M39" s="22"/>
      <c r="N39" s="22"/>
      <c r="O39" s="22"/>
      <c r="P39" s="24">
        <v>5000.0</v>
      </c>
      <c r="Q39" s="25">
        <f t="shared" si="1"/>
        <v>0</v>
      </c>
      <c r="R39" s="24"/>
      <c r="S39" s="26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7">
        <v>45527.0</v>
      </c>
      <c r="C40" s="18" t="s">
        <v>1471</v>
      </c>
      <c r="D40" s="19">
        <v>51040.0</v>
      </c>
      <c r="E40" s="20" t="s">
        <v>1472</v>
      </c>
      <c r="F40" s="21"/>
      <c r="G40" s="22"/>
      <c r="H40" s="22">
        <v>5000.0</v>
      </c>
      <c r="I40" s="21"/>
      <c r="J40" s="21"/>
      <c r="K40" s="23" t="s">
        <v>1473</v>
      </c>
      <c r="L40" s="22"/>
      <c r="M40" s="22"/>
      <c r="N40" s="22"/>
      <c r="O40" s="22"/>
      <c r="P40" s="24">
        <v>5000.0</v>
      </c>
      <c r="Q40" s="25">
        <v>0.0</v>
      </c>
      <c r="R40" s="24"/>
      <c r="S40" s="26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7">
        <v>45527.0</v>
      </c>
      <c r="C41" s="18" t="s">
        <v>1474</v>
      </c>
      <c r="D41" s="19">
        <v>35220.0</v>
      </c>
      <c r="E41" s="20" t="s">
        <v>775</v>
      </c>
      <c r="F41" s="21"/>
      <c r="G41" s="22"/>
      <c r="H41" s="22">
        <v>2250.0</v>
      </c>
      <c r="I41" s="21"/>
      <c r="J41" s="21"/>
      <c r="K41" s="23"/>
      <c r="L41" s="22"/>
      <c r="M41" s="22"/>
      <c r="N41" s="22"/>
      <c r="O41" s="22"/>
      <c r="P41" s="24">
        <v>2250.0</v>
      </c>
      <c r="Q41" s="25">
        <f t="shared" ref="Q41:Q43" si="2">F41+G41+H41+I41+J41+K41+L41+M41+N41+O41-P41</f>
        <v>0</v>
      </c>
      <c r="R41" s="24"/>
      <c r="S41" s="26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/>
      <c r="B42" s="27"/>
      <c r="C42" s="18"/>
      <c r="D42" s="19"/>
      <c r="E42" s="20"/>
      <c r="F42" s="21"/>
      <c r="G42" s="22"/>
      <c r="H42" s="22"/>
      <c r="I42" s="21"/>
      <c r="J42" s="21"/>
      <c r="K42" s="23"/>
      <c r="L42" s="22"/>
      <c r="M42" s="22"/>
      <c r="N42" s="22"/>
      <c r="O42" s="22"/>
      <c r="P42" s="24"/>
      <c r="Q42" s="25">
        <f t="shared" si="2"/>
        <v>0</v>
      </c>
      <c r="R42" s="24"/>
      <c r="S42" s="26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/>
      <c r="B43" s="27"/>
      <c r="C43" s="18"/>
      <c r="D43" s="19"/>
      <c r="E43" s="20"/>
      <c r="F43" s="21"/>
      <c r="G43" s="22"/>
      <c r="H43" s="22"/>
      <c r="I43" s="21"/>
      <c r="J43" s="21"/>
      <c r="K43" s="23"/>
      <c r="L43" s="22"/>
      <c r="M43" s="22"/>
      <c r="N43" s="22"/>
      <c r="O43" s="22"/>
      <c r="P43" s="24"/>
      <c r="Q43" s="25">
        <f t="shared" si="2"/>
        <v>0</v>
      </c>
      <c r="R43" s="24"/>
      <c r="S43" s="26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7.5" customHeight="1">
      <c r="A44" s="16"/>
      <c r="B44" s="27"/>
      <c r="C44" s="18"/>
      <c r="D44" s="19" t="s">
        <v>183</v>
      </c>
      <c r="E44" s="20"/>
      <c r="F44" s="45">
        <f t="shared" ref="F44:P44" si="3">SUM(F5:F43)</f>
        <v>0</v>
      </c>
      <c r="G44" s="45">
        <f t="shared" si="3"/>
        <v>0</v>
      </c>
      <c r="H44" s="45">
        <f t="shared" si="3"/>
        <v>73300</v>
      </c>
      <c r="I44" s="45">
        <f t="shared" si="3"/>
        <v>97880</v>
      </c>
      <c r="J44" s="45">
        <f t="shared" si="3"/>
        <v>48550</v>
      </c>
      <c r="K44" s="45">
        <f t="shared" si="3"/>
        <v>9300</v>
      </c>
      <c r="L44" s="45">
        <f t="shared" si="3"/>
        <v>0</v>
      </c>
      <c r="M44" s="45">
        <f t="shared" si="3"/>
        <v>4650</v>
      </c>
      <c r="N44" s="45">
        <f t="shared" si="3"/>
        <v>0</v>
      </c>
      <c r="O44" s="45">
        <f t="shared" si="3"/>
        <v>0</v>
      </c>
      <c r="P44" s="45">
        <f t="shared" si="3"/>
        <v>233680</v>
      </c>
      <c r="Q44" s="46">
        <v>0.0</v>
      </c>
      <c r="R44" s="47"/>
      <c r="S44" s="26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</row>
    <row r="45" ht="15.75" customHeight="1">
      <c r="A45" s="48"/>
      <c r="B45" s="48"/>
      <c r="C45" s="49"/>
      <c r="D45" s="48"/>
      <c r="E45" s="48"/>
      <c r="F45" s="50">
        <f>F44+G44+H44+I44+J44+K44+L44+M44+N44+O44</f>
        <v>233680</v>
      </c>
      <c r="P45" s="51"/>
      <c r="Q45" s="51"/>
      <c r="R45" s="48"/>
      <c r="S45" s="48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</row>
    <row r="46" ht="15.75" customHeight="1">
      <c r="A46" s="4"/>
      <c r="B46" s="4"/>
      <c r="C46" s="5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5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3" t="s">
        <v>183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2"/>
      <c r="D49" s="4"/>
      <c r="E49" s="54" t="s">
        <v>184</v>
      </c>
      <c r="F49" s="55" t="s">
        <v>185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2"/>
      <c r="D50" s="4"/>
      <c r="E50" s="56" t="s">
        <v>186</v>
      </c>
      <c r="F50" s="55" t="s">
        <v>187</v>
      </c>
      <c r="G50" s="4"/>
      <c r="H50" s="4"/>
      <c r="I50" s="4"/>
      <c r="J50" s="4"/>
      <c r="K50" s="4"/>
      <c r="L50" s="4"/>
      <c r="M50" s="4"/>
      <c r="N50" s="4"/>
      <c r="O50" s="57" t="s">
        <v>183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2"/>
      <c r="D51" s="4"/>
      <c r="E51" s="56" t="s">
        <v>188</v>
      </c>
      <c r="F51" s="55" t="s">
        <v>194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2"/>
      <c r="D52" s="4"/>
      <c r="E52" s="56" t="s">
        <v>189</v>
      </c>
      <c r="F52" s="55" t="s">
        <v>194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56" t="s">
        <v>190</v>
      </c>
      <c r="F53" s="55" t="s">
        <v>187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2"/>
      <c r="D54" s="4"/>
      <c r="E54" s="56" t="s">
        <v>1475</v>
      </c>
      <c r="F54" s="55" t="s">
        <v>185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56" t="s">
        <v>193</v>
      </c>
      <c r="F55" s="55" t="s">
        <v>1476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56" t="s">
        <v>195</v>
      </c>
      <c r="F56" s="59" t="s">
        <v>196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57" t="s">
        <v>183</v>
      </c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4"/>
      <c r="F57" s="4"/>
      <c r="G57" s="4"/>
      <c r="H57" s="4"/>
      <c r="I57" s="4"/>
      <c r="J57" s="4"/>
      <c r="K57" s="4" t="str">
        <f>I72444</f>
        <v/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57" t="s">
        <v>197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>
        <v>7.0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5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5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5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5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5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5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R2:R4"/>
    <mergeCell ref="S2:S4"/>
    <mergeCell ref="F3:F4"/>
    <mergeCell ref="G3:H3"/>
    <mergeCell ref="I3:J3"/>
    <mergeCell ref="K3:K4"/>
    <mergeCell ref="F45:O45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6.88"/>
    <col customWidth="1" min="6" max="6" width="29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45.0" customHeight="1">
      <c r="A1" s="1" t="s">
        <v>1477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15.75" customHeight="1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5.75" customHeight="1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45527.0</v>
      </c>
      <c r="C5" s="18" t="s">
        <v>1478</v>
      </c>
      <c r="D5" s="19">
        <v>30895.0</v>
      </c>
      <c r="E5" s="20" t="s">
        <v>1286</v>
      </c>
      <c r="F5" s="21"/>
      <c r="G5" s="22"/>
      <c r="H5" s="21">
        <v>14500.0</v>
      </c>
      <c r="I5" s="23"/>
      <c r="J5" s="23"/>
      <c r="K5" s="22"/>
      <c r="L5" s="22"/>
      <c r="M5" s="21"/>
      <c r="N5" s="22"/>
      <c r="O5" s="22"/>
      <c r="P5" s="24">
        <v>14500.0</v>
      </c>
      <c r="Q5" s="25">
        <f t="shared" ref="Q5:Q8" si="1">F5+G5+H5+I5+J5+K5+L5+M5+N5+O5-P5</f>
        <v>0</v>
      </c>
      <c r="R5" s="24" t="s">
        <v>25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45528.0</v>
      </c>
      <c r="C6" s="18" t="s">
        <v>1479</v>
      </c>
      <c r="D6" s="19">
        <v>81724.0</v>
      </c>
      <c r="E6" s="20" t="s">
        <v>1480</v>
      </c>
      <c r="F6" s="21"/>
      <c r="G6" s="22"/>
      <c r="H6" s="22"/>
      <c r="I6" s="21"/>
      <c r="J6" s="22">
        <v>2650.0</v>
      </c>
      <c r="K6" s="22"/>
      <c r="L6" s="22"/>
      <c r="M6" s="21"/>
      <c r="N6" s="22"/>
      <c r="O6" s="22"/>
      <c r="P6" s="24">
        <v>2650.0</v>
      </c>
      <c r="Q6" s="25">
        <f t="shared" si="1"/>
        <v>0</v>
      </c>
      <c r="R6" s="24" t="s">
        <v>68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45528.0</v>
      </c>
      <c r="C7" s="18" t="s">
        <v>1481</v>
      </c>
      <c r="D7" s="19">
        <v>59433.0</v>
      </c>
      <c r="E7" s="20" t="s">
        <v>1482</v>
      </c>
      <c r="F7" s="22"/>
      <c r="G7" s="22"/>
      <c r="H7" s="21"/>
      <c r="I7" s="21">
        <v>2650.0</v>
      </c>
      <c r="J7" s="23"/>
      <c r="K7" s="22"/>
      <c r="L7" s="22"/>
      <c r="M7" s="22"/>
      <c r="N7" s="22"/>
      <c r="O7" s="22"/>
      <c r="P7" s="24">
        <v>2650.0</v>
      </c>
      <c r="Q7" s="25">
        <f t="shared" si="1"/>
        <v>0</v>
      </c>
      <c r="R7" s="24" t="s">
        <v>68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45528.0</v>
      </c>
      <c r="C8" s="18" t="s">
        <v>1483</v>
      </c>
      <c r="D8" s="19">
        <v>43380.0</v>
      </c>
      <c r="E8" s="20" t="s">
        <v>161</v>
      </c>
      <c r="F8" s="22"/>
      <c r="G8" s="22"/>
      <c r="H8" s="22"/>
      <c r="I8" s="21">
        <v>15000.0</v>
      </c>
      <c r="J8" s="21"/>
      <c r="K8" s="22"/>
      <c r="L8" s="22"/>
      <c r="M8" s="22"/>
      <c r="N8" s="22"/>
      <c r="O8" s="22"/>
      <c r="P8" s="24">
        <v>15000.0</v>
      </c>
      <c r="Q8" s="25">
        <f t="shared" si="1"/>
        <v>0</v>
      </c>
      <c r="R8" s="24" t="s">
        <v>68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45528.0</v>
      </c>
      <c r="C9" s="18" t="s">
        <v>1484</v>
      </c>
      <c r="D9" s="19">
        <v>64461.0</v>
      </c>
      <c r="E9" s="20" t="s">
        <v>341</v>
      </c>
      <c r="F9" s="22">
        <v>15100.0</v>
      </c>
      <c r="G9" s="22"/>
      <c r="H9" s="22"/>
      <c r="I9" s="21"/>
      <c r="J9" s="21" t="s">
        <v>183</v>
      </c>
      <c r="K9" s="22"/>
      <c r="L9" s="22"/>
      <c r="M9" s="21"/>
      <c r="N9" s="22"/>
      <c r="O9" s="22"/>
      <c r="P9" s="24">
        <v>15100.0</v>
      </c>
      <c r="Q9" s="25">
        <v>0.0</v>
      </c>
      <c r="R9" s="24" t="s">
        <v>25</v>
      </c>
      <c r="S9" s="26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45528.0</v>
      </c>
      <c r="C10" s="18" t="s">
        <v>1485</v>
      </c>
      <c r="D10" s="19">
        <v>81108.0</v>
      </c>
      <c r="E10" s="20" t="s">
        <v>94</v>
      </c>
      <c r="F10" s="22"/>
      <c r="G10" s="22"/>
      <c r="H10" s="22"/>
      <c r="I10" s="21">
        <v>14000.0</v>
      </c>
      <c r="J10" s="21"/>
      <c r="K10" s="22"/>
      <c r="L10" s="22"/>
      <c r="M10" s="21"/>
      <c r="N10" s="22"/>
      <c r="O10" s="22"/>
      <c r="P10" s="24">
        <v>14000.0</v>
      </c>
      <c r="Q10" s="25">
        <f t="shared" ref="Q10:Q49" si="2">F10+G10+H10+I10+J10+K10+L10+M10+N10+O10-P10</f>
        <v>0</v>
      </c>
      <c r="R10" s="24" t="s">
        <v>68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45528.0</v>
      </c>
      <c r="C11" s="18" t="s">
        <v>1486</v>
      </c>
      <c r="D11" s="19">
        <v>55446.0</v>
      </c>
      <c r="E11" s="20" t="s">
        <v>519</v>
      </c>
      <c r="F11" s="22"/>
      <c r="G11" s="22">
        <v>2500.0</v>
      </c>
      <c r="H11" s="22"/>
      <c r="I11" s="21"/>
      <c r="J11" s="21"/>
      <c r="K11" s="22"/>
      <c r="L11" s="22"/>
      <c r="M11" s="21"/>
      <c r="N11" s="22"/>
      <c r="O11" s="22"/>
      <c r="P11" s="24">
        <v>2500.0</v>
      </c>
      <c r="Q11" s="25">
        <f t="shared" si="2"/>
        <v>0</v>
      </c>
      <c r="R11" s="24" t="s">
        <v>25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7">
        <v>45528.0</v>
      </c>
      <c r="C12" s="18" t="s">
        <v>1487</v>
      </c>
      <c r="D12" s="19">
        <v>67621.0</v>
      </c>
      <c r="E12" s="20" t="s">
        <v>92</v>
      </c>
      <c r="F12" s="22"/>
      <c r="G12" s="22"/>
      <c r="H12" s="22"/>
      <c r="I12" s="21">
        <v>200.0</v>
      </c>
      <c r="J12" s="21"/>
      <c r="K12" s="22"/>
      <c r="L12" s="22"/>
      <c r="M12" s="21"/>
      <c r="N12" s="22"/>
      <c r="O12" s="22"/>
      <c r="P12" s="24">
        <v>200.0</v>
      </c>
      <c r="Q12" s="25">
        <f t="shared" si="2"/>
        <v>0</v>
      </c>
      <c r="R12" s="24" t="s">
        <v>30</v>
      </c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8">
        <v>45528.0</v>
      </c>
      <c r="C13" s="29" t="s">
        <v>1488</v>
      </c>
      <c r="D13" s="30">
        <v>61445.0</v>
      </c>
      <c r="E13" s="31" t="s">
        <v>708</v>
      </c>
      <c r="F13" s="22"/>
      <c r="G13" s="22"/>
      <c r="H13" s="22"/>
      <c r="I13" s="21">
        <v>2650.0</v>
      </c>
      <c r="J13" s="21"/>
      <c r="K13" s="22"/>
      <c r="L13" s="22"/>
      <c r="M13" s="21"/>
      <c r="N13" s="22"/>
      <c r="O13" s="22"/>
      <c r="P13" s="32">
        <v>2650.0</v>
      </c>
      <c r="Q13" s="25">
        <f t="shared" si="2"/>
        <v>0</v>
      </c>
      <c r="R13" s="32" t="s">
        <v>25</v>
      </c>
      <c r="S13" s="26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 ht="34.5" customHeight="1">
      <c r="A14" s="16">
        <v>10.0</v>
      </c>
      <c r="B14" s="27">
        <v>45528.0</v>
      </c>
      <c r="C14" s="18" t="s">
        <v>1489</v>
      </c>
      <c r="D14" s="19">
        <v>76229.0</v>
      </c>
      <c r="E14" s="20" t="s">
        <v>1490</v>
      </c>
      <c r="F14" s="22"/>
      <c r="G14" s="22"/>
      <c r="H14" s="22"/>
      <c r="I14" s="21">
        <v>2400.0</v>
      </c>
      <c r="J14" s="21"/>
      <c r="K14" s="22"/>
      <c r="L14" s="22"/>
      <c r="M14" s="21"/>
      <c r="N14" s="22"/>
      <c r="O14" s="22"/>
      <c r="P14" s="24">
        <v>2400.0</v>
      </c>
      <c r="Q14" s="25">
        <f t="shared" si="2"/>
        <v>0</v>
      </c>
      <c r="R14" s="24" t="s">
        <v>68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45528.0</v>
      </c>
      <c r="C15" s="18" t="s">
        <v>1491</v>
      </c>
      <c r="D15" s="19">
        <v>42339.0</v>
      </c>
      <c r="E15" s="20" t="s">
        <v>106</v>
      </c>
      <c r="F15" s="22"/>
      <c r="G15" s="22"/>
      <c r="H15" s="22"/>
      <c r="I15" s="21"/>
      <c r="J15" s="21">
        <v>10280.0</v>
      </c>
      <c r="K15" s="22"/>
      <c r="L15" s="22"/>
      <c r="M15" s="21"/>
      <c r="N15" s="22"/>
      <c r="O15" s="22"/>
      <c r="P15" s="24">
        <v>10280.0</v>
      </c>
      <c r="Q15" s="25">
        <f t="shared" si="2"/>
        <v>0</v>
      </c>
      <c r="R15" s="24" t="s">
        <v>68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45528.0</v>
      </c>
      <c r="C16" s="18" t="s">
        <v>1492</v>
      </c>
      <c r="D16" s="19">
        <v>72839.0</v>
      </c>
      <c r="E16" s="20" t="s">
        <v>714</v>
      </c>
      <c r="F16" s="22"/>
      <c r="G16" s="22"/>
      <c r="H16" s="22"/>
      <c r="I16" s="21">
        <v>1000.0</v>
      </c>
      <c r="J16" s="21"/>
      <c r="K16" s="22"/>
      <c r="L16" s="22"/>
      <c r="M16" s="21"/>
      <c r="N16" s="22"/>
      <c r="O16" s="22"/>
      <c r="P16" s="24">
        <v>1000.0</v>
      </c>
      <c r="Q16" s="25">
        <f t="shared" si="2"/>
        <v>0</v>
      </c>
      <c r="R16" s="24" t="s">
        <v>25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45528.0</v>
      </c>
      <c r="C17" s="18" t="s">
        <v>1493</v>
      </c>
      <c r="D17" s="19">
        <v>31738.0</v>
      </c>
      <c r="E17" s="20" t="s">
        <v>686</v>
      </c>
      <c r="F17" s="22"/>
      <c r="G17" s="22"/>
      <c r="H17" s="22"/>
      <c r="I17" s="21">
        <v>5300.0</v>
      </c>
      <c r="J17" s="21"/>
      <c r="K17" s="22"/>
      <c r="L17" s="22"/>
      <c r="M17" s="21"/>
      <c r="N17" s="22"/>
      <c r="O17" s="22"/>
      <c r="P17" s="24">
        <v>5300.0</v>
      </c>
      <c r="Q17" s="25">
        <f t="shared" si="2"/>
        <v>0</v>
      </c>
      <c r="R17" s="24" t="s">
        <v>479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7">
        <v>45528.0</v>
      </c>
      <c r="C18" s="18" t="s">
        <v>1494</v>
      </c>
      <c r="D18" s="19">
        <v>84547.0</v>
      </c>
      <c r="E18" s="20" t="s">
        <v>1495</v>
      </c>
      <c r="F18" s="22"/>
      <c r="G18" s="22"/>
      <c r="H18" s="22"/>
      <c r="I18" s="21">
        <v>7300.0</v>
      </c>
      <c r="J18" s="21"/>
      <c r="K18" s="22"/>
      <c r="L18" s="22"/>
      <c r="M18" s="22"/>
      <c r="N18" s="22"/>
      <c r="O18" s="22"/>
      <c r="P18" s="24">
        <v>7300.0</v>
      </c>
      <c r="Q18" s="25">
        <f t="shared" si="2"/>
        <v>0</v>
      </c>
      <c r="R18" s="24" t="s">
        <v>25</v>
      </c>
      <c r="S18" s="26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28">
        <v>45528.0</v>
      </c>
      <c r="C19" s="29" t="s">
        <v>1496</v>
      </c>
      <c r="D19" s="30">
        <v>54211.0</v>
      </c>
      <c r="E19" s="31" t="s">
        <v>1129</v>
      </c>
      <c r="F19" s="22"/>
      <c r="G19" s="22">
        <v>4500.0</v>
      </c>
      <c r="H19" s="22"/>
      <c r="I19" s="21"/>
      <c r="J19" s="21"/>
      <c r="K19" s="22"/>
      <c r="L19" s="22"/>
      <c r="M19" s="21"/>
      <c r="N19" s="22"/>
      <c r="O19" s="22"/>
      <c r="P19" s="32">
        <v>4500.0</v>
      </c>
      <c r="Q19" s="25">
        <f t="shared" si="2"/>
        <v>0</v>
      </c>
      <c r="R19" s="32" t="s">
        <v>479</v>
      </c>
      <c r="S19" s="26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ht="34.5" customHeight="1">
      <c r="A20" s="16">
        <v>16.0</v>
      </c>
      <c r="B20" s="27">
        <v>45528.0</v>
      </c>
      <c r="C20" s="18" t="s">
        <v>1497</v>
      </c>
      <c r="D20" s="19">
        <v>84547.0</v>
      </c>
      <c r="E20" s="20" t="s">
        <v>1495</v>
      </c>
      <c r="F20" s="22"/>
      <c r="G20" s="22"/>
      <c r="H20" s="22"/>
      <c r="I20" s="23">
        <v>700.0</v>
      </c>
      <c r="J20" s="21"/>
      <c r="K20" s="22"/>
      <c r="L20" s="22"/>
      <c r="M20" s="22"/>
      <c r="N20" s="22"/>
      <c r="O20" s="22"/>
      <c r="P20" s="24">
        <v>700.0</v>
      </c>
      <c r="Q20" s="25">
        <f t="shared" si="2"/>
        <v>0</v>
      </c>
      <c r="R20" s="24" t="s">
        <v>25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45528.0</v>
      </c>
      <c r="C21" s="18" t="s">
        <v>1498</v>
      </c>
      <c r="D21" s="19">
        <v>54695.0</v>
      </c>
      <c r="E21" s="20" t="s">
        <v>1131</v>
      </c>
      <c r="F21" s="21"/>
      <c r="G21" s="22">
        <v>5000.0</v>
      </c>
      <c r="H21" s="22"/>
      <c r="I21" s="34"/>
      <c r="J21" s="21"/>
      <c r="K21" s="35"/>
      <c r="L21" s="22"/>
      <c r="M21" s="22"/>
      <c r="N21" s="22"/>
      <c r="O21" s="22"/>
      <c r="P21" s="24">
        <v>5000.0</v>
      </c>
      <c r="Q21" s="25">
        <f t="shared" si="2"/>
        <v>0</v>
      </c>
      <c r="R21" s="24" t="s">
        <v>479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7">
        <v>45528.0</v>
      </c>
      <c r="C22" s="18" t="s">
        <v>1499</v>
      </c>
      <c r="D22" s="19">
        <v>36555.0</v>
      </c>
      <c r="E22" s="20" t="s">
        <v>63</v>
      </c>
      <c r="F22" s="21"/>
      <c r="G22" s="22">
        <v>7000.0</v>
      </c>
      <c r="H22" s="22"/>
      <c r="I22" s="21"/>
      <c r="J22" s="21"/>
      <c r="K22" s="21"/>
      <c r="L22" s="22"/>
      <c r="M22" s="22"/>
      <c r="N22" s="22"/>
      <c r="O22" s="22"/>
      <c r="P22" s="24">
        <v>7000.0</v>
      </c>
      <c r="Q22" s="25">
        <f t="shared" si="2"/>
        <v>0</v>
      </c>
      <c r="R22" s="24" t="s">
        <v>479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36">
        <v>45528.0</v>
      </c>
      <c r="C23" s="37" t="s">
        <v>1500</v>
      </c>
      <c r="D23" s="38">
        <v>84548.0</v>
      </c>
      <c r="E23" s="39" t="s">
        <v>1501</v>
      </c>
      <c r="F23" s="34"/>
      <c r="G23" s="40"/>
      <c r="H23" s="40"/>
      <c r="I23" s="34"/>
      <c r="J23" s="21">
        <v>7300.0</v>
      </c>
      <c r="K23" s="41"/>
      <c r="L23" s="40"/>
      <c r="M23" s="40"/>
      <c r="N23" s="40"/>
      <c r="O23" s="40"/>
      <c r="P23" s="42">
        <v>7300.0</v>
      </c>
      <c r="Q23" s="25">
        <f t="shared" si="2"/>
        <v>0</v>
      </c>
      <c r="R23" s="42" t="s">
        <v>30</v>
      </c>
      <c r="S23" s="26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</row>
    <row r="24" ht="34.5" customHeight="1">
      <c r="A24" s="16">
        <v>20.0</v>
      </c>
      <c r="B24" s="27">
        <v>45528.0</v>
      </c>
      <c r="C24" s="18" t="s">
        <v>1502</v>
      </c>
      <c r="D24" s="19">
        <v>36555.0</v>
      </c>
      <c r="E24" s="20" t="s">
        <v>63</v>
      </c>
      <c r="F24" s="21">
        <v>500.0</v>
      </c>
      <c r="G24" s="22"/>
      <c r="H24" s="22"/>
      <c r="I24" s="21"/>
      <c r="J24" s="21"/>
      <c r="K24" s="35"/>
      <c r="L24" s="22"/>
      <c r="M24" s="22"/>
      <c r="N24" s="22"/>
      <c r="O24" s="22"/>
      <c r="P24" s="24">
        <v>500.0</v>
      </c>
      <c r="Q24" s="25">
        <f t="shared" si="2"/>
        <v>0</v>
      </c>
      <c r="R24" s="24" t="s">
        <v>25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45528.0</v>
      </c>
      <c r="C25" s="18" t="s">
        <v>1503</v>
      </c>
      <c r="D25" s="19">
        <v>51697.0</v>
      </c>
      <c r="E25" s="20" t="s">
        <v>303</v>
      </c>
      <c r="F25" s="21"/>
      <c r="G25" s="22"/>
      <c r="H25" s="22"/>
      <c r="I25" s="21"/>
      <c r="J25" s="21">
        <v>5150.0</v>
      </c>
      <c r="K25" s="35"/>
      <c r="L25" s="22"/>
      <c r="M25" s="22"/>
      <c r="N25" s="22"/>
      <c r="O25" s="22"/>
      <c r="P25" s="24">
        <v>5150.0</v>
      </c>
      <c r="Q25" s="25">
        <f t="shared" si="2"/>
        <v>0</v>
      </c>
      <c r="R25" s="24" t="s">
        <v>479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45528.0</v>
      </c>
      <c r="C26" s="18" t="s">
        <v>1504</v>
      </c>
      <c r="D26" s="19">
        <v>62815.0</v>
      </c>
      <c r="E26" s="20" t="s">
        <v>125</v>
      </c>
      <c r="F26" s="21"/>
      <c r="G26" s="22"/>
      <c r="H26" s="22"/>
      <c r="I26" s="35">
        <v>10000.0</v>
      </c>
      <c r="J26" s="21"/>
      <c r="K26" s="35"/>
      <c r="L26" s="22"/>
      <c r="M26" s="22"/>
      <c r="N26" s="22"/>
      <c r="O26" s="22"/>
      <c r="P26" s="24">
        <v>10000.0</v>
      </c>
      <c r="Q26" s="25">
        <f t="shared" si="2"/>
        <v>0</v>
      </c>
      <c r="R26" s="24" t="s">
        <v>68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45528.0</v>
      </c>
      <c r="C27" s="18" t="s">
        <v>1505</v>
      </c>
      <c r="D27" s="19">
        <v>50436.0</v>
      </c>
      <c r="E27" s="20" t="s">
        <v>305</v>
      </c>
      <c r="F27" s="21"/>
      <c r="G27" s="22"/>
      <c r="H27" s="22"/>
      <c r="I27" s="21"/>
      <c r="J27" s="21"/>
      <c r="K27" s="35">
        <v>1000.0</v>
      </c>
      <c r="L27" s="22"/>
      <c r="M27" s="22"/>
      <c r="N27" s="22"/>
      <c r="O27" s="22"/>
      <c r="P27" s="24">
        <v>1000.0</v>
      </c>
      <c r="Q27" s="25">
        <f t="shared" si="2"/>
        <v>0</v>
      </c>
      <c r="R27" s="24" t="s">
        <v>25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45528.0</v>
      </c>
      <c r="C28" s="18" t="s">
        <v>1506</v>
      </c>
      <c r="D28" s="19">
        <v>75045.0</v>
      </c>
      <c r="E28" s="20" t="s">
        <v>1276</v>
      </c>
      <c r="F28" s="21"/>
      <c r="G28" s="22"/>
      <c r="H28" s="22"/>
      <c r="I28" s="21"/>
      <c r="J28" s="21"/>
      <c r="K28" s="35"/>
      <c r="L28" s="22"/>
      <c r="M28" s="22">
        <v>2400.0</v>
      </c>
      <c r="N28" s="22"/>
      <c r="O28" s="22"/>
      <c r="P28" s="24">
        <v>2400.0</v>
      </c>
      <c r="Q28" s="25">
        <f t="shared" si="2"/>
        <v>0</v>
      </c>
      <c r="R28" s="24" t="s">
        <v>68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45528.0</v>
      </c>
      <c r="C29" s="18" t="s">
        <v>1507</v>
      </c>
      <c r="D29" s="19">
        <v>33994.0</v>
      </c>
      <c r="E29" s="20" t="s">
        <v>1508</v>
      </c>
      <c r="F29" s="21"/>
      <c r="G29" s="22">
        <v>4500.0</v>
      </c>
      <c r="H29" s="22"/>
      <c r="I29" s="21"/>
      <c r="J29" s="21"/>
      <c r="K29" s="23"/>
      <c r="L29" s="22"/>
      <c r="M29" s="22"/>
      <c r="N29" s="22"/>
      <c r="O29" s="22"/>
      <c r="P29" s="24">
        <v>4500.0</v>
      </c>
      <c r="Q29" s="25">
        <f t="shared" si="2"/>
        <v>0</v>
      </c>
      <c r="R29" s="24" t="s">
        <v>68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45528.0</v>
      </c>
      <c r="C30" s="18" t="s">
        <v>1509</v>
      </c>
      <c r="D30" s="19">
        <v>42278.0</v>
      </c>
      <c r="E30" s="20" t="s">
        <v>1510</v>
      </c>
      <c r="F30" s="21"/>
      <c r="G30" s="22">
        <v>5000.0</v>
      </c>
      <c r="H30" s="22"/>
      <c r="I30" s="21"/>
      <c r="J30" s="21"/>
      <c r="K30" s="23"/>
      <c r="L30" s="22"/>
      <c r="M30" s="22"/>
      <c r="N30" s="22"/>
      <c r="O30" s="22"/>
      <c r="P30" s="24">
        <v>5000.0</v>
      </c>
      <c r="Q30" s="25">
        <f t="shared" si="2"/>
        <v>0</v>
      </c>
      <c r="R30" s="24" t="s">
        <v>25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45528.0</v>
      </c>
      <c r="C31" s="18" t="s">
        <v>1511</v>
      </c>
      <c r="D31" s="19">
        <v>42278.0</v>
      </c>
      <c r="E31" s="20" t="s">
        <v>1510</v>
      </c>
      <c r="F31" s="21"/>
      <c r="G31" s="22">
        <v>5000.0</v>
      </c>
      <c r="H31" s="22"/>
      <c r="I31" s="21"/>
      <c r="J31" s="21"/>
      <c r="K31" s="23"/>
      <c r="L31" s="22"/>
      <c r="M31" s="22"/>
      <c r="N31" s="22"/>
      <c r="O31" s="22"/>
      <c r="P31" s="24">
        <v>5000.0</v>
      </c>
      <c r="Q31" s="25">
        <f t="shared" si="2"/>
        <v>0</v>
      </c>
      <c r="R31" s="24" t="s">
        <v>25</v>
      </c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45528.0</v>
      </c>
      <c r="C32" s="18" t="s">
        <v>1512</v>
      </c>
      <c r="D32" s="19">
        <v>42278.0</v>
      </c>
      <c r="E32" s="20" t="s">
        <v>1510</v>
      </c>
      <c r="F32" s="21"/>
      <c r="G32" s="22">
        <v>5000.0</v>
      </c>
      <c r="H32" s="22"/>
      <c r="I32" s="21"/>
      <c r="J32" s="21"/>
      <c r="K32" s="23"/>
      <c r="L32" s="22"/>
      <c r="M32" s="22"/>
      <c r="N32" s="22"/>
      <c r="O32" s="22"/>
      <c r="P32" s="24">
        <v>5000.0</v>
      </c>
      <c r="Q32" s="25">
        <f t="shared" si="2"/>
        <v>0</v>
      </c>
      <c r="R32" s="24" t="s">
        <v>25</v>
      </c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45528.0</v>
      </c>
      <c r="C33" s="18" t="s">
        <v>1513</v>
      </c>
      <c r="D33" s="19">
        <v>52686.0</v>
      </c>
      <c r="E33" s="20" t="s">
        <v>153</v>
      </c>
      <c r="F33" s="21"/>
      <c r="G33" s="22">
        <v>65000.0</v>
      </c>
      <c r="H33" s="22"/>
      <c r="I33" s="21"/>
      <c r="J33" s="21"/>
      <c r="K33" s="23"/>
      <c r="L33" s="22"/>
      <c r="M33" s="22"/>
      <c r="N33" s="22"/>
      <c r="O33" s="22"/>
      <c r="P33" s="24">
        <v>65000.0</v>
      </c>
      <c r="Q33" s="25">
        <f t="shared" si="2"/>
        <v>0</v>
      </c>
      <c r="R33" s="24" t="s">
        <v>25</v>
      </c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7">
        <v>45528.0</v>
      </c>
      <c r="C34" s="18" t="s">
        <v>1514</v>
      </c>
      <c r="D34" s="19">
        <v>19122.0</v>
      </c>
      <c r="E34" s="20" t="s">
        <v>43</v>
      </c>
      <c r="F34" s="21">
        <v>1000.0</v>
      </c>
      <c r="G34" s="22"/>
      <c r="H34" s="22"/>
      <c r="I34" s="21"/>
      <c r="J34" s="21"/>
      <c r="K34" s="23"/>
      <c r="L34" s="22"/>
      <c r="M34" s="22"/>
      <c r="N34" s="22"/>
      <c r="O34" s="22"/>
      <c r="P34" s="24">
        <v>1000.0</v>
      </c>
      <c r="Q34" s="25">
        <f t="shared" si="2"/>
        <v>0</v>
      </c>
      <c r="R34" s="24" t="s">
        <v>479</v>
      </c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7">
        <v>45528.0</v>
      </c>
      <c r="C35" s="18" t="s">
        <v>1515</v>
      </c>
      <c r="D35" s="19">
        <v>42278.0</v>
      </c>
      <c r="E35" s="20" t="s">
        <v>1510</v>
      </c>
      <c r="F35" s="21"/>
      <c r="G35" s="22">
        <v>17000.0</v>
      </c>
      <c r="H35" s="22"/>
      <c r="I35" s="21"/>
      <c r="J35" s="21"/>
      <c r="K35" s="23"/>
      <c r="L35" s="22"/>
      <c r="M35" s="22"/>
      <c r="N35" s="22"/>
      <c r="O35" s="22"/>
      <c r="P35" s="24">
        <v>17000.0</v>
      </c>
      <c r="Q35" s="25">
        <f t="shared" si="2"/>
        <v>0</v>
      </c>
      <c r="R35" s="24" t="s">
        <v>25</v>
      </c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7">
        <v>45528.0</v>
      </c>
      <c r="C36" s="18" t="s">
        <v>1516</v>
      </c>
      <c r="D36" s="19">
        <v>21828.0</v>
      </c>
      <c r="E36" s="20" t="s">
        <v>47</v>
      </c>
      <c r="F36" s="21">
        <v>5000.0</v>
      </c>
      <c r="G36" s="22"/>
      <c r="H36" s="22"/>
      <c r="I36" s="21"/>
      <c r="J36" s="21"/>
      <c r="K36" s="23"/>
      <c r="L36" s="22"/>
      <c r="M36" s="22"/>
      <c r="N36" s="22"/>
      <c r="O36" s="22"/>
      <c r="P36" s="24">
        <v>5000.0</v>
      </c>
      <c r="Q36" s="25">
        <f t="shared" si="2"/>
        <v>0</v>
      </c>
      <c r="R36" s="24" t="s">
        <v>25</v>
      </c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7">
        <v>45528.0</v>
      </c>
      <c r="C37" s="18" t="s">
        <v>1517</v>
      </c>
      <c r="D37" s="19">
        <v>52083.0</v>
      </c>
      <c r="E37" s="20" t="s">
        <v>122</v>
      </c>
      <c r="F37" s="21"/>
      <c r="G37" s="22"/>
      <c r="H37" s="22"/>
      <c r="I37" s="21">
        <v>2850.0</v>
      </c>
      <c r="J37" s="21"/>
      <c r="K37" s="23"/>
      <c r="L37" s="22"/>
      <c r="M37" s="22"/>
      <c r="N37" s="22"/>
      <c r="O37" s="22"/>
      <c r="P37" s="24">
        <v>2850.0</v>
      </c>
      <c r="Q37" s="25">
        <f t="shared" si="2"/>
        <v>0</v>
      </c>
      <c r="R37" s="24" t="s">
        <v>30</v>
      </c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7">
        <v>45528.0</v>
      </c>
      <c r="C38" s="18" t="s">
        <v>1518</v>
      </c>
      <c r="D38" s="19">
        <v>19122.0</v>
      </c>
      <c r="E38" s="20" t="s">
        <v>43</v>
      </c>
      <c r="F38" s="21"/>
      <c r="G38" s="22"/>
      <c r="H38" s="22"/>
      <c r="I38" s="21"/>
      <c r="J38" s="21"/>
      <c r="K38" s="23"/>
      <c r="L38" s="22"/>
      <c r="M38" s="22">
        <v>2500.0</v>
      </c>
      <c r="N38" s="22"/>
      <c r="O38" s="22"/>
      <c r="P38" s="24">
        <v>2500.0</v>
      </c>
      <c r="Q38" s="25">
        <f t="shared" si="2"/>
        <v>0</v>
      </c>
      <c r="R38" s="24" t="s">
        <v>479</v>
      </c>
      <c r="S38" s="26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7">
        <v>45528.0</v>
      </c>
      <c r="C39" s="18" t="s">
        <v>1519</v>
      </c>
      <c r="D39" s="19">
        <v>22727.0</v>
      </c>
      <c r="E39" s="20" t="s">
        <v>1049</v>
      </c>
      <c r="F39" s="21"/>
      <c r="G39" s="22"/>
      <c r="H39" s="22"/>
      <c r="I39" s="21"/>
      <c r="J39" s="21">
        <v>1350.0</v>
      </c>
      <c r="K39" s="23"/>
      <c r="L39" s="22"/>
      <c r="M39" s="22"/>
      <c r="N39" s="22"/>
      <c r="O39" s="22"/>
      <c r="P39" s="24">
        <v>1350.0</v>
      </c>
      <c r="Q39" s="25">
        <f t="shared" si="2"/>
        <v>0</v>
      </c>
      <c r="R39" s="24" t="s">
        <v>68</v>
      </c>
      <c r="S39" s="26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7">
        <v>45528.0</v>
      </c>
      <c r="C40" s="18" t="s">
        <v>1520</v>
      </c>
      <c r="D40" s="19">
        <v>79106.0</v>
      </c>
      <c r="E40" s="20" t="s">
        <v>1521</v>
      </c>
      <c r="F40" s="21"/>
      <c r="G40" s="22"/>
      <c r="H40" s="22"/>
      <c r="I40" s="21">
        <v>2650.0</v>
      </c>
      <c r="J40" s="21"/>
      <c r="K40" s="23"/>
      <c r="L40" s="22"/>
      <c r="M40" s="22"/>
      <c r="N40" s="22"/>
      <c r="O40" s="22"/>
      <c r="P40" s="24">
        <v>2650.0</v>
      </c>
      <c r="Q40" s="25">
        <f t="shared" si="2"/>
        <v>0</v>
      </c>
      <c r="R40" s="24" t="s">
        <v>68</v>
      </c>
      <c r="S40" s="26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7">
        <v>45528.0</v>
      </c>
      <c r="C41" s="18" t="s">
        <v>1522</v>
      </c>
      <c r="D41" s="19">
        <v>59377.0</v>
      </c>
      <c r="E41" s="20" t="s">
        <v>1523</v>
      </c>
      <c r="F41" s="21"/>
      <c r="G41" s="22"/>
      <c r="H41" s="22"/>
      <c r="I41" s="21">
        <v>5150.0</v>
      </c>
      <c r="J41" s="21"/>
      <c r="K41" s="23"/>
      <c r="L41" s="22"/>
      <c r="M41" s="22"/>
      <c r="N41" s="22"/>
      <c r="O41" s="22"/>
      <c r="P41" s="24">
        <v>5150.0</v>
      </c>
      <c r="Q41" s="25">
        <f t="shared" si="2"/>
        <v>0</v>
      </c>
      <c r="R41" s="24" t="s">
        <v>68</v>
      </c>
      <c r="S41" s="26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27">
        <v>45528.0</v>
      </c>
      <c r="C42" s="18" t="s">
        <v>1524</v>
      </c>
      <c r="D42" s="19">
        <v>25541.0</v>
      </c>
      <c r="E42" s="20" t="s">
        <v>796</v>
      </c>
      <c r="F42" s="21"/>
      <c r="G42" s="22">
        <v>1000.0</v>
      </c>
      <c r="H42" s="22"/>
      <c r="I42" s="21"/>
      <c r="J42" s="21"/>
      <c r="K42" s="23"/>
      <c r="L42" s="22"/>
      <c r="M42" s="22"/>
      <c r="N42" s="22"/>
      <c r="O42" s="22"/>
      <c r="P42" s="24">
        <v>1000.0</v>
      </c>
      <c r="Q42" s="25">
        <f t="shared" si="2"/>
        <v>0</v>
      </c>
      <c r="R42" s="24" t="s">
        <v>479</v>
      </c>
      <c r="S42" s="26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>
        <v>39.0</v>
      </c>
      <c r="B43" s="27">
        <v>45528.0</v>
      </c>
      <c r="C43" s="18" t="s">
        <v>1525</v>
      </c>
      <c r="D43" s="19">
        <v>35227.0</v>
      </c>
      <c r="E43" s="20" t="s">
        <v>135</v>
      </c>
      <c r="F43" s="21">
        <v>100.0</v>
      </c>
      <c r="G43" s="22"/>
      <c r="H43" s="22"/>
      <c r="I43" s="21"/>
      <c r="J43" s="21"/>
      <c r="K43" s="23"/>
      <c r="L43" s="22"/>
      <c r="M43" s="22"/>
      <c r="N43" s="22"/>
      <c r="O43" s="22"/>
      <c r="P43" s="24">
        <v>100.0</v>
      </c>
      <c r="Q43" s="25">
        <f t="shared" si="2"/>
        <v>0</v>
      </c>
      <c r="R43" s="24" t="s">
        <v>479</v>
      </c>
      <c r="S43" s="26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16">
        <v>40.0</v>
      </c>
      <c r="B44" s="27">
        <v>45528.0</v>
      </c>
      <c r="C44" s="18" t="s">
        <v>1526</v>
      </c>
      <c r="D44" s="19">
        <v>36918.0</v>
      </c>
      <c r="E44" s="20" t="s">
        <v>1527</v>
      </c>
      <c r="F44" s="21"/>
      <c r="G44" s="22"/>
      <c r="H44" s="22"/>
      <c r="I44" s="21">
        <v>3600.0</v>
      </c>
      <c r="J44" s="21"/>
      <c r="K44" s="23"/>
      <c r="L44" s="22"/>
      <c r="M44" s="22"/>
      <c r="N44" s="22"/>
      <c r="O44" s="22"/>
      <c r="P44" s="24">
        <v>3600.0</v>
      </c>
      <c r="Q44" s="25">
        <f t="shared" si="2"/>
        <v>0</v>
      </c>
      <c r="R44" s="24" t="s">
        <v>25</v>
      </c>
      <c r="S44" s="26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16">
        <v>41.0</v>
      </c>
      <c r="B45" s="27">
        <v>45528.0</v>
      </c>
      <c r="C45" s="18" t="s">
        <v>1528</v>
      </c>
      <c r="D45" s="19">
        <v>22341.0</v>
      </c>
      <c r="E45" s="20" t="s">
        <v>343</v>
      </c>
      <c r="F45" s="21"/>
      <c r="G45" s="22"/>
      <c r="H45" s="22"/>
      <c r="I45" s="21">
        <v>1000.0</v>
      </c>
      <c r="J45" s="21"/>
      <c r="K45" s="23"/>
      <c r="L45" s="22"/>
      <c r="M45" s="22"/>
      <c r="N45" s="22"/>
      <c r="O45" s="22"/>
      <c r="P45" s="24">
        <v>1000.0</v>
      </c>
      <c r="Q45" s="25">
        <f t="shared" si="2"/>
        <v>0</v>
      </c>
      <c r="R45" s="24" t="s">
        <v>68</v>
      </c>
      <c r="S45" s="26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4.5" customHeight="1">
      <c r="A46" s="16">
        <v>42.0</v>
      </c>
      <c r="B46" s="27">
        <v>45528.0</v>
      </c>
      <c r="C46" s="18" t="s">
        <v>1529</v>
      </c>
      <c r="D46" s="19">
        <v>22332.0</v>
      </c>
      <c r="E46" s="20" t="s">
        <v>396</v>
      </c>
      <c r="F46" s="21"/>
      <c r="G46" s="22"/>
      <c r="H46" s="22"/>
      <c r="I46" s="21"/>
      <c r="J46" s="21"/>
      <c r="K46" s="23"/>
      <c r="L46" s="22"/>
      <c r="M46" s="22">
        <v>1000.0</v>
      </c>
      <c r="N46" s="22"/>
      <c r="O46" s="22"/>
      <c r="P46" s="24">
        <v>1000.0</v>
      </c>
      <c r="Q46" s="25">
        <f t="shared" si="2"/>
        <v>0</v>
      </c>
      <c r="R46" s="24" t="s">
        <v>25</v>
      </c>
      <c r="S46" s="26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34.5" customHeight="1">
      <c r="A47" s="16">
        <v>43.0</v>
      </c>
      <c r="B47" s="27">
        <v>45528.0</v>
      </c>
      <c r="C47" s="18" t="s">
        <v>1530</v>
      </c>
      <c r="D47" s="19">
        <v>37642.0</v>
      </c>
      <c r="E47" s="20" t="s">
        <v>497</v>
      </c>
      <c r="F47" s="21"/>
      <c r="G47" s="22"/>
      <c r="H47" s="22">
        <v>3750.0</v>
      </c>
      <c r="I47" s="21"/>
      <c r="J47" s="21"/>
      <c r="K47" s="23"/>
      <c r="L47" s="22"/>
      <c r="M47" s="22"/>
      <c r="N47" s="22"/>
      <c r="O47" s="22"/>
      <c r="P47" s="24">
        <v>3750.0</v>
      </c>
      <c r="Q47" s="25">
        <f t="shared" si="2"/>
        <v>0</v>
      </c>
      <c r="R47" s="24"/>
      <c r="S47" s="26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34.5" customHeight="1">
      <c r="A48" s="16">
        <v>44.0</v>
      </c>
      <c r="B48" s="27">
        <v>45528.0</v>
      </c>
      <c r="C48" s="18" t="s">
        <v>1531</v>
      </c>
      <c r="D48" s="19">
        <v>72590.0</v>
      </c>
      <c r="E48" s="20" t="s">
        <v>858</v>
      </c>
      <c r="F48" s="21"/>
      <c r="G48" s="22"/>
      <c r="H48" s="22"/>
      <c r="I48" s="21"/>
      <c r="J48" s="21"/>
      <c r="K48" s="23"/>
      <c r="L48" s="22"/>
      <c r="M48" s="22">
        <v>1775.0</v>
      </c>
      <c r="N48" s="22"/>
      <c r="O48" s="22"/>
      <c r="P48" s="24">
        <v>1775.0</v>
      </c>
      <c r="Q48" s="25">
        <f t="shared" si="2"/>
        <v>0</v>
      </c>
      <c r="R48" s="24"/>
      <c r="S48" s="26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34.5" customHeight="1">
      <c r="A49" s="16">
        <v>45.0</v>
      </c>
      <c r="B49" s="27">
        <v>45528.0</v>
      </c>
      <c r="C49" s="18" t="s">
        <v>1532</v>
      </c>
      <c r="D49" s="19">
        <v>51406.0</v>
      </c>
      <c r="E49" s="20" t="s">
        <v>281</v>
      </c>
      <c r="F49" s="21"/>
      <c r="G49" s="22"/>
      <c r="H49" s="22">
        <v>5000.0</v>
      </c>
      <c r="I49" s="21"/>
      <c r="J49" s="21"/>
      <c r="K49" s="23"/>
      <c r="L49" s="22"/>
      <c r="M49" s="22"/>
      <c r="N49" s="22"/>
      <c r="O49" s="22"/>
      <c r="P49" s="24">
        <v>5000.0</v>
      </c>
      <c r="Q49" s="25">
        <f t="shared" si="2"/>
        <v>0</v>
      </c>
      <c r="R49" s="24"/>
      <c r="S49" s="26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37.5" customHeight="1">
      <c r="A50" s="16"/>
      <c r="B50" s="27"/>
      <c r="C50" s="18"/>
      <c r="D50" s="19" t="s">
        <v>183</v>
      </c>
      <c r="E50" s="20"/>
      <c r="F50" s="45">
        <f t="shared" ref="F50:P50" si="3">SUM(F5:F49)</f>
        <v>21700</v>
      </c>
      <c r="G50" s="45">
        <f t="shared" si="3"/>
        <v>121500</v>
      </c>
      <c r="H50" s="45">
        <f t="shared" si="3"/>
        <v>23250</v>
      </c>
      <c r="I50" s="45">
        <f t="shared" si="3"/>
        <v>76450</v>
      </c>
      <c r="J50" s="45">
        <f t="shared" si="3"/>
        <v>26730</v>
      </c>
      <c r="K50" s="45">
        <f t="shared" si="3"/>
        <v>1000</v>
      </c>
      <c r="L50" s="45">
        <f t="shared" si="3"/>
        <v>0</v>
      </c>
      <c r="M50" s="45">
        <f t="shared" si="3"/>
        <v>7675</v>
      </c>
      <c r="N50" s="45">
        <f t="shared" si="3"/>
        <v>0</v>
      </c>
      <c r="O50" s="45">
        <f t="shared" si="3"/>
        <v>0</v>
      </c>
      <c r="P50" s="45">
        <f t="shared" si="3"/>
        <v>278305</v>
      </c>
      <c r="Q50" s="46">
        <v>0.0</v>
      </c>
      <c r="R50" s="47"/>
      <c r="S50" s="26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</row>
    <row r="51" ht="15.75" customHeight="1">
      <c r="A51" s="48"/>
      <c r="B51" s="48"/>
      <c r="C51" s="49"/>
      <c r="D51" s="48"/>
      <c r="E51" s="48"/>
      <c r="F51" s="50">
        <f>F50+G50+H50+I50+J50+K50+L50+M50+N50+O50</f>
        <v>278305</v>
      </c>
      <c r="P51" s="51"/>
      <c r="Q51" s="51"/>
      <c r="R51" s="48"/>
      <c r="S51" s="48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</row>
    <row r="52" ht="15.75" customHeight="1">
      <c r="A52" s="4"/>
      <c r="B52" s="4"/>
      <c r="C52" s="5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3" t="s">
        <v>183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54" t="s">
        <v>184</v>
      </c>
      <c r="F55" s="55" t="s">
        <v>185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56" t="s">
        <v>186</v>
      </c>
      <c r="F56" s="55" t="s">
        <v>187</v>
      </c>
      <c r="G56" s="4"/>
      <c r="H56" s="4"/>
      <c r="I56" s="4"/>
      <c r="J56" s="4"/>
      <c r="K56" s="4"/>
      <c r="L56" s="4"/>
      <c r="M56" s="4"/>
      <c r="N56" s="4"/>
      <c r="O56" s="57" t="s">
        <v>183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56" t="s">
        <v>188</v>
      </c>
      <c r="F57" s="55" t="s">
        <v>194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56" t="s">
        <v>189</v>
      </c>
      <c r="F58" s="55" t="s">
        <v>185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56" t="s">
        <v>190</v>
      </c>
      <c r="F59" s="55" t="s">
        <v>1231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56" t="s">
        <v>1533</v>
      </c>
      <c r="F60" s="55" t="s">
        <v>185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56" t="s">
        <v>193</v>
      </c>
      <c r="F61" s="55" t="s">
        <v>357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56" t="s">
        <v>195</v>
      </c>
      <c r="F62" s="59" t="s">
        <v>196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57" t="s">
        <v>183</v>
      </c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 t="str">
        <f>I72450</f>
        <v/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57" t="s">
        <v>197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>
        <v>7.0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5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5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5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5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5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5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5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5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5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>
      <c r="A283" s="4"/>
      <c r="B283" s="4"/>
      <c r="C283" s="5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5.75" customHeight="1">
      <c r="A284" s="4"/>
      <c r="B284" s="4"/>
      <c r="C284" s="5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5.75" customHeight="1">
      <c r="A285" s="4"/>
      <c r="B285" s="4"/>
      <c r="C285" s="5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R2:R4"/>
    <mergeCell ref="S2:S4"/>
    <mergeCell ref="F3:F4"/>
    <mergeCell ref="G3:H3"/>
    <mergeCell ref="I3:J3"/>
    <mergeCell ref="K3:K4"/>
    <mergeCell ref="F51:O51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6.88"/>
    <col customWidth="1" min="6" max="6" width="29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45.0" customHeight="1">
      <c r="A1" s="1" t="s">
        <v>1534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15.75" customHeight="1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5.75" customHeight="1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45528.0</v>
      </c>
      <c r="C5" s="18" t="s">
        <v>1535</v>
      </c>
      <c r="D5" s="19">
        <v>52083.0</v>
      </c>
      <c r="E5" s="20" t="s">
        <v>122</v>
      </c>
      <c r="F5" s="21"/>
      <c r="G5" s="22"/>
      <c r="H5" s="21"/>
      <c r="I5" s="23">
        <v>6200.0</v>
      </c>
      <c r="J5" s="23"/>
      <c r="K5" s="22"/>
      <c r="L5" s="22"/>
      <c r="M5" s="21"/>
      <c r="N5" s="22"/>
      <c r="O5" s="22"/>
      <c r="P5" s="24">
        <v>6200.0</v>
      </c>
      <c r="Q5" s="25">
        <f t="shared" ref="Q5:Q39" si="1">F5+G5+H5+I5+J5+K5+L5+M5+N5+O5-P5</f>
        <v>0</v>
      </c>
      <c r="R5" s="24" t="s">
        <v>30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45528.0</v>
      </c>
      <c r="C6" s="18" t="s">
        <v>1536</v>
      </c>
      <c r="D6" s="19">
        <v>57621.0</v>
      </c>
      <c r="E6" s="20" t="s">
        <v>1537</v>
      </c>
      <c r="F6" s="21"/>
      <c r="G6" s="22"/>
      <c r="H6" s="22"/>
      <c r="I6" s="21">
        <v>1600.0</v>
      </c>
      <c r="J6" s="22"/>
      <c r="K6" s="22"/>
      <c r="L6" s="22"/>
      <c r="M6" s="21"/>
      <c r="N6" s="22"/>
      <c r="O6" s="22"/>
      <c r="P6" s="24">
        <v>1600.0</v>
      </c>
      <c r="Q6" s="25">
        <f t="shared" si="1"/>
        <v>0</v>
      </c>
      <c r="R6" s="24" t="s">
        <v>479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45528.0</v>
      </c>
      <c r="C7" s="18" t="s">
        <v>1538</v>
      </c>
      <c r="D7" s="19">
        <v>36918.0</v>
      </c>
      <c r="E7" s="20" t="s">
        <v>1527</v>
      </c>
      <c r="F7" s="22"/>
      <c r="G7" s="22"/>
      <c r="H7" s="21"/>
      <c r="I7" s="21">
        <v>420.0</v>
      </c>
      <c r="J7" s="23"/>
      <c r="K7" s="22"/>
      <c r="L7" s="22"/>
      <c r="M7" s="22"/>
      <c r="N7" s="22"/>
      <c r="O7" s="22"/>
      <c r="P7" s="24">
        <v>420.0</v>
      </c>
      <c r="Q7" s="25">
        <f t="shared" si="1"/>
        <v>0</v>
      </c>
      <c r="R7" s="24" t="s">
        <v>25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45528.0</v>
      </c>
      <c r="C8" s="18" t="s">
        <v>1539</v>
      </c>
      <c r="D8" s="19">
        <v>10006.0</v>
      </c>
      <c r="E8" s="20" t="s">
        <v>151</v>
      </c>
      <c r="F8" s="22"/>
      <c r="G8" s="22">
        <v>2500.0</v>
      </c>
      <c r="H8" s="22"/>
      <c r="I8" s="21"/>
      <c r="J8" s="21"/>
      <c r="K8" s="22"/>
      <c r="L8" s="22"/>
      <c r="M8" s="22"/>
      <c r="N8" s="22"/>
      <c r="O8" s="22"/>
      <c r="P8" s="24">
        <v>2500.0</v>
      </c>
      <c r="Q8" s="25">
        <f t="shared" si="1"/>
        <v>0</v>
      </c>
      <c r="R8" s="24" t="s">
        <v>30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45528.0</v>
      </c>
      <c r="C9" s="18" t="s">
        <v>1540</v>
      </c>
      <c r="D9" s="19">
        <v>13781.0</v>
      </c>
      <c r="E9" s="20" t="s">
        <v>603</v>
      </c>
      <c r="F9" s="22"/>
      <c r="G9" s="22">
        <v>4500.0</v>
      </c>
      <c r="H9" s="22"/>
      <c r="I9" s="21"/>
      <c r="J9" s="21"/>
      <c r="K9" s="22"/>
      <c r="L9" s="22"/>
      <c r="M9" s="21"/>
      <c r="N9" s="22"/>
      <c r="O9" s="22"/>
      <c r="P9" s="24">
        <v>4500.0</v>
      </c>
      <c r="Q9" s="25">
        <f t="shared" si="1"/>
        <v>0</v>
      </c>
      <c r="R9" s="24" t="s">
        <v>68</v>
      </c>
      <c r="S9" s="26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45528.0</v>
      </c>
      <c r="C10" s="18" t="s">
        <v>1541</v>
      </c>
      <c r="D10" s="19">
        <v>13781.0</v>
      </c>
      <c r="E10" s="20" t="s">
        <v>603</v>
      </c>
      <c r="F10" s="22"/>
      <c r="G10" s="22">
        <v>5000.0</v>
      </c>
      <c r="H10" s="22"/>
      <c r="I10" s="21"/>
      <c r="J10" s="21"/>
      <c r="K10" s="22"/>
      <c r="L10" s="22"/>
      <c r="M10" s="21"/>
      <c r="N10" s="22"/>
      <c r="O10" s="22"/>
      <c r="P10" s="24">
        <v>5000.0</v>
      </c>
      <c r="Q10" s="25">
        <f t="shared" si="1"/>
        <v>0</v>
      </c>
      <c r="R10" s="24" t="s">
        <v>68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45528.0</v>
      </c>
      <c r="C11" s="18" t="s">
        <v>1542</v>
      </c>
      <c r="D11" s="19">
        <v>21818.0</v>
      </c>
      <c r="E11" s="20" t="s">
        <v>32</v>
      </c>
      <c r="F11" s="22"/>
      <c r="G11" s="22"/>
      <c r="H11" s="22"/>
      <c r="I11" s="21"/>
      <c r="J11" s="21"/>
      <c r="K11" s="22">
        <v>2000.0</v>
      </c>
      <c r="L11" s="22"/>
      <c r="M11" s="21"/>
      <c r="N11" s="22"/>
      <c r="O11" s="22"/>
      <c r="P11" s="24">
        <v>2000.0</v>
      </c>
      <c r="Q11" s="25">
        <f t="shared" si="1"/>
        <v>0</v>
      </c>
      <c r="R11" s="24" t="s">
        <v>25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7">
        <v>45528.0</v>
      </c>
      <c r="C12" s="18" t="s">
        <v>1543</v>
      </c>
      <c r="D12" s="19">
        <v>83056.0</v>
      </c>
      <c r="E12" s="20" t="s">
        <v>1544</v>
      </c>
      <c r="F12" s="22"/>
      <c r="G12" s="22"/>
      <c r="H12" s="22"/>
      <c r="I12" s="21"/>
      <c r="J12" s="21"/>
      <c r="K12" s="22"/>
      <c r="L12" s="22"/>
      <c r="M12" s="21">
        <v>1000.0</v>
      </c>
      <c r="N12" s="22"/>
      <c r="O12" s="22"/>
      <c r="P12" s="24">
        <v>1000.0</v>
      </c>
      <c r="Q12" s="25">
        <f t="shared" si="1"/>
        <v>0</v>
      </c>
      <c r="R12" s="24" t="s">
        <v>479</v>
      </c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8">
        <v>45528.0</v>
      </c>
      <c r="C13" s="29" t="s">
        <v>1545</v>
      </c>
      <c r="D13" s="30">
        <v>13781.0</v>
      </c>
      <c r="E13" s="31" t="s">
        <v>603</v>
      </c>
      <c r="F13" s="22"/>
      <c r="G13" s="22">
        <v>1000.0</v>
      </c>
      <c r="H13" s="22"/>
      <c r="I13" s="21"/>
      <c r="J13" s="21"/>
      <c r="K13" s="22"/>
      <c r="L13" s="22"/>
      <c r="M13" s="21"/>
      <c r="N13" s="22"/>
      <c r="O13" s="22"/>
      <c r="P13" s="32">
        <v>1000.0</v>
      </c>
      <c r="Q13" s="25">
        <f t="shared" si="1"/>
        <v>0</v>
      </c>
      <c r="R13" s="32" t="s">
        <v>30</v>
      </c>
      <c r="S13" s="26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 ht="34.5" customHeight="1">
      <c r="A14" s="16">
        <v>10.0</v>
      </c>
      <c r="B14" s="27">
        <v>45528.0</v>
      </c>
      <c r="C14" s="18" t="s">
        <v>1546</v>
      </c>
      <c r="D14" s="19">
        <v>10271.0</v>
      </c>
      <c r="E14" s="20" t="s">
        <v>364</v>
      </c>
      <c r="F14" s="22"/>
      <c r="G14" s="22">
        <v>8150.0</v>
      </c>
      <c r="H14" s="22"/>
      <c r="I14" s="21"/>
      <c r="J14" s="21"/>
      <c r="K14" s="22"/>
      <c r="L14" s="22"/>
      <c r="M14" s="21"/>
      <c r="N14" s="22"/>
      <c r="O14" s="22"/>
      <c r="P14" s="24">
        <v>8150.0</v>
      </c>
      <c r="Q14" s="25">
        <f t="shared" si="1"/>
        <v>0</v>
      </c>
      <c r="R14" s="24" t="s">
        <v>25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45529.0</v>
      </c>
      <c r="C15" s="18" t="s">
        <v>1547</v>
      </c>
      <c r="D15" s="19">
        <v>43009.0</v>
      </c>
      <c r="E15" s="20" t="s">
        <v>1548</v>
      </c>
      <c r="F15" s="22"/>
      <c r="G15" s="22"/>
      <c r="H15" s="22"/>
      <c r="I15" s="21"/>
      <c r="J15" s="21">
        <v>6150.0</v>
      </c>
      <c r="K15" s="22"/>
      <c r="L15" s="22"/>
      <c r="M15" s="21"/>
      <c r="N15" s="22"/>
      <c r="O15" s="22"/>
      <c r="P15" s="24">
        <v>6150.0</v>
      </c>
      <c r="Q15" s="25">
        <f t="shared" si="1"/>
        <v>0</v>
      </c>
      <c r="R15" s="24" t="s">
        <v>479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45529.0</v>
      </c>
      <c r="C16" s="18" t="s">
        <v>1549</v>
      </c>
      <c r="D16" s="19">
        <v>10249.0</v>
      </c>
      <c r="E16" s="20" t="s">
        <v>617</v>
      </c>
      <c r="F16" s="22"/>
      <c r="G16" s="22"/>
      <c r="H16" s="22"/>
      <c r="I16" s="21"/>
      <c r="J16" s="21">
        <v>9500.0</v>
      </c>
      <c r="K16" s="22"/>
      <c r="L16" s="22"/>
      <c r="M16" s="21"/>
      <c r="N16" s="22"/>
      <c r="O16" s="22"/>
      <c r="P16" s="24">
        <v>9500.0</v>
      </c>
      <c r="Q16" s="25">
        <f t="shared" si="1"/>
        <v>0</v>
      </c>
      <c r="R16" s="24" t="s">
        <v>30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45529.0</v>
      </c>
      <c r="C17" s="18" t="s">
        <v>1550</v>
      </c>
      <c r="D17" s="19">
        <v>73016.0</v>
      </c>
      <c r="E17" s="20" t="s">
        <v>1551</v>
      </c>
      <c r="F17" s="22"/>
      <c r="G17" s="22"/>
      <c r="H17" s="22"/>
      <c r="I17" s="21"/>
      <c r="J17" s="21">
        <v>1050.0</v>
      </c>
      <c r="K17" s="22"/>
      <c r="L17" s="22"/>
      <c r="M17" s="21"/>
      <c r="N17" s="22"/>
      <c r="O17" s="22"/>
      <c r="P17" s="24">
        <v>1050.0</v>
      </c>
      <c r="Q17" s="25">
        <f t="shared" si="1"/>
        <v>0</v>
      </c>
      <c r="R17" s="24" t="s">
        <v>51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7">
        <v>45529.0</v>
      </c>
      <c r="C18" s="18" t="s">
        <v>1552</v>
      </c>
      <c r="D18" s="19">
        <v>10006.0</v>
      </c>
      <c r="E18" s="20" t="s">
        <v>151</v>
      </c>
      <c r="F18" s="22"/>
      <c r="G18" s="22">
        <v>0.0</v>
      </c>
      <c r="H18" s="22"/>
      <c r="I18" s="21"/>
      <c r="J18" s="21"/>
      <c r="K18" s="22"/>
      <c r="L18" s="22"/>
      <c r="M18" s="22"/>
      <c r="N18" s="22"/>
      <c r="O18" s="22"/>
      <c r="P18" s="24">
        <v>8400.0</v>
      </c>
      <c r="Q18" s="25">
        <f t="shared" si="1"/>
        <v>-8400</v>
      </c>
      <c r="R18" s="24" t="s">
        <v>25</v>
      </c>
      <c r="S18" s="26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28">
        <v>45529.0</v>
      </c>
      <c r="C19" s="29" t="s">
        <v>1553</v>
      </c>
      <c r="D19" s="30">
        <v>31927.0</v>
      </c>
      <c r="E19" s="31" t="s">
        <v>168</v>
      </c>
      <c r="F19" s="22"/>
      <c r="G19" s="22"/>
      <c r="H19" s="22"/>
      <c r="I19" s="21">
        <v>1400.0</v>
      </c>
      <c r="J19" s="21"/>
      <c r="K19" s="22"/>
      <c r="L19" s="22"/>
      <c r="M19" s="21"/>
      <c r="N19" s="22"/>
      <c r="O19" s="22"/>
      <c r="P19" s="32">
        <v>1400.0</v>
      </c>
      <c r="Q19" s="25">
        <f t="shared" si="1"/>
        <v>0</v>
      </c>
      <c r="R19" s="32" t="s">
        <v>479</v>
      </c>
      <c r="S19" s="26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ht="34.5" customHeight="1">
      <c r="A20" s="16">
        <v>16.0</v>
      </c>
      <c r="B20" s="27">
        <v>45529.0</v>
      </c>
      <c r="C20" s="18" t="s">
        <v>1554</v>
      </c>
      <c r="D20" s="19">
        <v>84141.0</v>
      </c>
      <c r="E20" s="20" t="s">
        <v>1555</v>
      </c>
      <c r="F20" s="22"/>
      <c r="G20" s="22"/>
      <c r="H20" s="22"/>
      <c r="I20" s="23">
        <v>5750.0</v>
      </c>
      <c r="J20" s="21"/>
      <c r="K20" s="22"/>
      <c r="L20" s="22"/>
      <c r="M20" s="22"/>
      <c r="N20" s="22"/>
      <c r="O20" s="22"/>
      <c r="P20" s="24">
        <v>5750.0</v>
      </c>
      <c r="Q20" s="25">
        <f t="shared" si="1"/>
        <v>0</v>
      </c>
      <c r="R20" s="24" t="s">
        <v>51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45529.0</v>
      </c>
      <c r="C21" s="18" t="s">
        <v>1556</v>
      </c>
      <c r="D21" s="19">
        <v>81488.0</v>
      </c>
      <c r="E21" s="20" t="s">
        <v>1557</v>
      </c>
      <c r="F21" s="21"/>
      <c r="G21" s="22"/>
      <c r="H21" s="22"/>
      <c r="I21" s="34">
        <v>7000.0</v>
      </c>
      <c r="J21" s="21"/>
      <c r="K21" s="35"/>
      <c r="L21" s="22"/>
      <c r="M21" s="22"/>
      <c r="N21" s="22"/>
      <c r="O21" s="22"/>
      <c r="P21" s="24">
        <v>7000.0</v>
      </c>
      <c r="Q21" s="25">
        <f t="shared" si="1"/>
        <v>0</v>
      </c>
      <c r="R21" s="24" t="s">
        <v>51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7">
        <v>45529.0</v>
      </c>
      <c r="C22" s="18" t="s">
        <v>1558</v>
      </c>
      <c r="D22" s="19">
        <v>21828.0</v>
      </c>
      <c r="E22" s="20" t="s">
        <v>47</v>
      </c>
      <c r="F22" s="21">
        <v>5100.0</v>
      </c>
      <c r="G22" s="22"/>
      <c r="H22" s="22"/>
      <c r="I22" s="21"/>
      <c r="J22" s="21"/>
      <c r="K22" s="21"/>
      <c r="L22" s="22"/>
      <c r="M22" s="22"/>
      <c r="N22" s="22"/>
      <c r="O22" s="22"/>
      <c r="P22" s="24">
        <v>5100.0</v>
      </c>
      <c r="Q22" s="25">
        <f t="shared" si="1"/>
        <v>0</v>
      </c>
      <c r="R22" s="24" t="s">
        <v>25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36">
        <v>45529.0</v>
      </c>
      <c r="C23" s="37" t="s">
        <v>1559</v>
      </c>
      <c r="D23" s="38">
        <v>58763.0</v>
      </c>
      <c r="E23" s="39" t="s">
        <v>408</v>
      </c>
      <c r="F23" s="34"/>
      <c r="G23" s="40"/>
      <c r="H23" s="40"/>
      <c r="I23" s="34">
        <v>5000.0</v>
      </c>
      <c r="J23" s="21"/>
      <c r="K23" s="41"/>
      <c r="L23" s="40"/>
      <c r="M23" s="40"/>
      <c r="N23" s="40"/>
      <c r="O23" s="40"/>
      <c r="P23" s="42">
        <v>5000.0</v>
      </c>
      <c r="Q23" s="25">
        <f t="shared" si="1"/>
        <v>0</v>
      </c>
      <c r="R23" s="42" t="s">
        <v>30</v>
      </c>
      <c r="S23" s="26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</row>
    <row r="24" ht="34.5" customHeight="1">
      <c r="A24" s="16">
        <v>20.0</v>
      </c>
      <c r="B24" s="27">
        <v>45529.0</v>
      </c>
      <c r="C24" s="18" t="s">
        <v>1560</v>
      </c>
      <c r="D24" s="19">
        <v>58763.0</v>
      </c>
      <c r="E24" s="20" t="s">
        <v>408</v>
      </c>
      <c r="F24" s="21"/>
      <c r="G24" s="22"/>
      <c r="H24" s="22"/>
      <c r="I24" s="21">
        <v>3400.0</v>
      </c>
      <c r="J24" s="21"/>
      <c r="K24" s="35"/>
      <c r="L24" s="22"/>
      <c r="M24" s="22"/>
      <c r="N24" s="22"/>
      <c r="O24" s="22"/>
      <c r="P24" s="24">
        <v>3400.0</v>
      </c>
      <c r="Q24" s="25">
        <f t="shared" si="1"/>
        <v>0</v>
      </c>
      <c r="R24" s="24" t="s">
        <v>30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45529.0</v>
      </c>
      <c r="C25" s="18" t="s">
        <v>1561</v>
      </c>
      <c r="D25" s="19">
        <v>25542.0</v>
      </c>
      <c r="E25" s="20" t="s">
        <v>1562</v>
      </c>
      <c r="F25" s="21"/>
      <c r="G25" s="22">
        <v>0.0</v>
      </c>
      <c r="H25" s="22"/>
      <c r="I25" s="21"/>
      <c r="J25" s="21"/>
      <c r="K25" s="35"/>
      <c r="L25" s="22"/>
      <c r="M25" s="22"/>
      <c r="N25" s="22"/>
      <c r="O25" s="22"/>
      <c r="P25" s="24">
        <v>5000.0</v>
      </c>
      <c r="Q25" s="25">
        <f t="shared" si="1"/>
        <v>-5000</v>
      </c>
      <c r="R25" s="24" t="s">
        <v>25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45529.0</v>
      </c>
      <c r="C26" s="18" t="s">
        <v>1563</v>
      </c>
      <c r="D26" s="19">
        <v>49272.0</v>
      </c>
      <c r="E26" s="20" t="s">
        <v>200</v>
      </c>
      <c r="F26" s="21"/>
      <c r="G26" s="22"/>
      <c r="H26" s="22"/>
      <c r="I26" s="35">
        <v>5000.0</v>
      </c>
      <c r="J26" s="21"/>
      <c r="K26" s="35"/>
      <c r="L26" s="22"/>
      <c r="M26" s="22"/>
      <c r="N26" s="22"/>
      <c r="O26" s="22"/>
      <c r="P26" s="24">
        <v>5000.0</v>
      </c>
      <c r="Q26" s="25">
        <f t="shared" si="1"/>
        <v>0</v>
      </c>
      <c r="R26" s="24" t="s">
        <v>479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45529.0</v>
      </c>
      <c r="C27" s="18" t="s">
        <v>1564</v>
      </c>
      <c r="D27" s="19">
        <v>49272.0</v>
      </c>
      <c r="E27" s="20" t="s">
        <v>200</v>
      </c>
      <c r="F27" s="21"/>
      <c r="G27" s="22"/>
      <c r="H27" s="22"/>
      <c r="I27" s="21">
        <v>5000.0</v>
      </c>
      <c r="J27" s="21"/>
      <c r="K27" s="35"/>
      <c r="L27" s="22"/>
      <c r="M27" s="22"/>
      <c r="N27" s="22"/>
      <c r="O27" s="22"/>
      <c r="P27" s="24">
        <v>5000.0</v>
      </c>
      <c r="Q27" s="25">
        <f t="shared" si="1"/>
        <v>0</v>
      </c>
      <c r="R27" s="24" t="s">
        <v>479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45529.0</v>
      </c>
      <c r="C28" s="18" t="s">
        <v>1565</v>
      </c>
      <c r="D28" s="19">
        <v>48631.0</v>
      </c>
      <c r="E28" s="20" t="s">
        <v>771</v>
      </c>
      <c r="F28" s="21"/>
      <c r="G28" s="22"/>
      <c r="H28" s="22"/>
      <c r="I28" s="21"/>
      <c r="J28" s="21">
        <v>15000.0</v>
      </c>
      <c r="K28" s="35"/>
      <c r="L28" s="22"/>
      <c r="M28" s="22"/>
      <c r="N28" s="22"/>
      <c r="O28" s="22"/>
      <c r="P28" s="24">
        <v>15000.0</v>
      </c>
      <c r="Q28" s="25">
        <f t="shared" si="1"/>
        <v>0</v>
      </c>
      <c r="R28" s="24" t="s">
        <v>30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45529.0</v>
      </c>
      <c r="C29" s="18" t="s">
        <v>1566</v>
      </c>
      <c r="D29" s="19">
        <v>71801.0</v>
      </c>
      <c r="E29" s="20" t="s">
        <v>204</v>
      </c>
      <c r="F29" s="21"/>
      <c r="G29" s="22"/>
      <c r="H29" s="22"/>
      <c r="I29" s="21">
        <v>5000.0</v>
      </c>
      <c r="J29" s="21"/>
      <c r="K29" s="23"/>
      <c r="L29" s="22"/>
      <c r="M29" s="22"/>
      <c r="N29" s="22"/>
      <c r="O29" s="22"/>
      <c r="P29" s="24">
        <v>5000.0</v>
      </c>
      <c r="Q29" s="25">
        <f t="shared" si="1"/>
        <v>0</v>
      </c>
      <c r="R29" s="24" t="s">
        <v>479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45529.0</v>
      </c>
      <c r="C30" s="18" t="s">
        <v>1567</v>
      </c>
      <c r="D30" s="19">
        <v>49272.0</v>
      </c>
      <c r="E30" s="20" t="s">
        <v>200</v>
      </c>
      <c r="F30" s="21"/>
      <c r="G30" s="22"/>
      <c r="H30" s="22"/>
      <c r="I30" s="21">
        <v>400.0</v>
      </c>
      <c r="J30" s="21"/>
      <c r="K30" s="23"/>
      <c r="L30" s="22"/>
      <c r="M30" s="22"/>
      <c r="N30" s="22"/>
      <c r="O30" s="22"/>
      <c r="P30" s="24">
        <v>400.0</v>
      </c>
      <c r="Q30" s="25">
        <f t="shared" si="1"/>
        <v>0</v>
      </c>
      <c r="R30" s="24" t="s">
        <v>479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45529.0</v>
      </c>
      <c r="C31" s="18" t="s">
        <v>1568</v>
      </c>
      <c r="D31" s="19">
        <v>24368.0</v>
      </c>
      <c r="E31" s="20" t="s">
        <v>646</v>
      </c>
      <c r="F31" s="21"/>
      <c r="G31" s="22"/>
      <c r="H31" s="22"/>
      <c r="I31" s="21">
        <v>1012.0</v>
      </c>
      <c r="J31" s="21"/>
      <c r="K31" s="23">
        <v>3488.0</v>
      </c>
      <c r="L31" s="22"/>
      <c r="M31" s="22"/>
      <c r="N31" s="22"/>
      <c r="O31" s="22"/>
      <c r="P31" s="24">
        <v>4500.0</v>
      </c>
      <c r="Q31" s="25">
        <f t="shared" si="1"/>
        <v>0</v>
      </c>
      <c r="R31" s="24" t="s">
        <v>30</v>
      </c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45529.0</v>
      </c>
      <c r="C32" s="18" t="s">
        <v>1569</v>
      </c>
      <c r="D32" s="19">
        <v>54226.0</v>
      </c>
      <c r="E32" s="20" t="s">
        <v>811</v>
      </c>
      <c r="F32" s="21"/>
      <c r="G32" s="22"/>
      <c r="H32" s="22"/>
      <c r="I32" s="21"/>
      <c r="J32" s="21">
        <v>2650.0</v>
      </c>
      <c r="K32" s="23"/>
      <c r="L32" s="22"/>
      <c r="M32" s="22"/>
      <c r="N32" s="22"/>
      <c r="O32" s="22"/>
      <c r="P32" s="24">
        <v>2650.0</v>
      </c>
      <c r="Q32" s="25">
        <f t="shared" si="1"/>
        <v>0</v>
      </c>
      <c r="R32" s="24" t="s">
        <v>30</v>
      </c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45529.0</v>
      </c>
      <c r="C33" s="18" t="s">
        <v>1570</v>
      </c>
      <c r="D33" s="19">
        <v>53249.0</v>
      </c>
      <c r="E33" s="20" t="s">
        <v>401</v>
      </c>
      <c r="F33" s="21"/>
      <c r="G33" s="22"/>
      <c r="H33" s="22"/>
      <c r="I33" s="21">
        <v>15300.0</v>
      </c>
      <c r="J33" s="21"/>
      <c r="K33" s="23"/>
      <c r="L33" s="22"/>
      <c r="M33" s="22"/>
      <c r="N33" s="22"/>
      <c r="O33" s="22"/>
      <c r="P33" s="24">
        <v>15300.0</v>
      </c>
      <c r="Q33" s="25">
        <f t="shared" si="1"/>
        <v>0</v>
      </c>
      <c r="R33" s="24" t="s">
        <v>25</v>
      </c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7">
        <v>45529.0</v>
      </c>
      <c r="C34" s="18" t="s">
        <v>1571</v>
      </c>
      <c r="D34" s="19">
        <v>78468.0</v>
      </c>
      <c r="E34" s="20" t="s">
        <v>1572</v>
      </c>
      <c r="F34" s="21"/>
      <c r="G34" s="22"/>
      <c r="H34" s="22"/>
      <c r="I34" s="21">
        <v>900.0</v>
      </c>
      <c r="J34" s="21"/>
      <c r="K34" s="23"/>
      <c r="L34" s="22"/>
      <c r="M34" s="22"/>
      <c r="N34" s="22"/>
      <c r="O34" s="22"/>
      <c r="P34" s="24">
        <v>900.0</v>
      </c>
      <c r="Q34" s="25">
        <f t="shared" si="1"/>
        <v>0</v>
      </c>
      <c r="R34" s="24" t="s">
        <v>25</v>
      </c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7">
        <v>45529.0</v>
      </c>
      <c r="C35" s="18" t="s">
        <v>1573</v>
      </c>
      <c r="D35" s="19">
        <v>37642.0</v>
      </c>
      <c r="E35" s="20" t="s">
        <v>497</v>
      </c>
      <c r="F35" s="21"/>
      <c r="G35" s="22">
        <v>3000.0</v>
      </c>
      <c r="H35" s="22"/>
      <c r="I35" s="21">
        <v>8250.0</v>
      </c>
      <c r="J35" s="21"/>
      <c r="K35" s="23"/>
      <c r="L35" s="22"/>
      <c r="M35" s="22"/>
      <c r="N35" s="22"/>
      <c r="O35" s="22"/>
      <c r="P35" s="24">
        <v>11250.0</v>
      </c>
      <c r="Q35" s="25">
        <f t="shared" si="1"/>
        <v>0</v>
      </c>
      <c r="R35" s="24" t="s">
        <v>25</v>
      </c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7">
        <v>45529.0</v>
      </c>
      <c r="C36" s="18" t="s">
        <v>1574</v>
      </c>
      <c r="D36" s="19">
        <v>51697.0</v>
      </c>
      <c r="E36" s="20" t="s">
        <v>303</v>
      </c>
      <c r="F36" s="21"/>
      <c r="G36" s="22"/>
      <c r="H36" s="22"/>
      <c r="I36" s="21"/>
      <c r="J36" s="21">
        <v>300.0</v>
      </c>
      <c r="K36" s="23"/>
      <c r="L36" s="22"/>
      <c r="M36" s="22"/>
      <c r="N36" s="22"/>
      <c r="O36" s="22"/>
      <c r="P36" s="24">
        <v>300.0</v>
      </c>
      <c r="Q36" s="25">
        <f t="shared" si="1"/>
        <v>0</v>
      </c>
      <c r="R36" s="24" t="s">
        <v>30</v>
      </c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7">
        <v>45529.0</v>
      </c>
      <c r="C37" s="18" t="s">
        <v>1575</v>
      </c>
      <c r="D37" s="19">
        <v>21828.0</v>
      </c>
      <c r="E37" s="20" t="s">
        <v>47</v>
      </c>
      <c r="F37" s="21"/>
      <c r="G37" s="22"/>
      <c r="H37" s="22"/>
      <c r="I37" s="21"/>
      <c r="J37" s="21"/>
      <c r="K37" s="23">
        <v>700.0</v>
      </c>
      <c r="L37" s="22"/>
      <c r="M37" s="22"/>
      <c r="N37" s="22"/>
      <c r="O37" s="22"/>
      <c r="P37" s="24">
        <v>700.0</v>
      </c>
      <c r="Q37" s="25">
        <f t="shared" si="1"/>
        <v>0</v>
      </c>
      <c r="R37" s="24"/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7">
        <v>45529.0</v>
      </c>
      <c r="C38" s="18" t="s">
        <v>1576</v>
      </c>
      <c r="D38" s="19">
        <v>51017.0</v>
      </c>
      <c r="E38" s="20" t="s">
        <v>270</v>
      </c>
      <c r="F38" s="21"/>
      <c r="G38" s="22"/>
      <c r="H38" s="22">
        <v>25000.0</v>
      </c>
      <c r="I38" s="21"/>
      <c r="J38" s="21"/>
      <c r="K38" s="23"/>
      <c r="L38" s="22"/>
      <c r="M38" s="22"/>
      <c r="N38" s="22"/>
      <c r="O38" s="22"/>
      <c r="P38" s="24">
        <v>25000.0</v>
      </c>
      <c r="Q38" s="25">
        <f t="shared" si="1"/>
        <v>0</v>
      </c>
      <c r="R38" s="24"/>
      <c r="S38" s="26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/>
      <c r="B39" s="27"/>
      <c r="C39" s="18"/>
      <c r="D39" s="19"/>
      <c r="E39" s="20"/>
      <c r="F39" s="21"/>
      <c r="G39" s="22"/>
      <c r="H39" s="22"/>
      <c r="I39" s="21"/>
      <c r="J39" s="21"/>
      <c r="K39" s="23"/>
      <c r="L39" s="22"/>
      <c r="M39" s="22"/>
      <c r="N39" s="22"/>
      <c r="O39" s="22"/>
      <c r="P39" s="24"/>
      <c r="Q39" s="25">
        <f t="shared" si="1"/>
        <v>0</v>
      </c>
      <c r="R39" s="24"/>
      <c r="S39" s="26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7.5" customHeight="1">
      <c r="A40" s="16"/>
      <c r="B40" s="27"/>
      <c r="C40" s="18"/>
      <c r="D40" s="19" t="s">
        <v>183</v>
      </c>
      <c r="E40" s="20"/>
      <c r="F40" s="45">
        <f t="shared" ref="F40:P40" si="2">SUM(F5:F39)</f>
        <v>5100</v>
      </c>
      <c r="G40" s="45">
        <f t="shared" si="2"/>
        <v>24150</v>
      </c>
      <c r="H40" s="45">
        <f t="shared" si="2"/>
        <v>25000</v>
      </c>
      <c r="I40" s="45">
        <f t="shared" si="2"/>
        <v>71632</v>
      </c>
      <c r="J40" s="45">
        <f t="shared" si="2"/>
        <v>34650</v>
      </c>
      <c r="K40" s="45">
        <f t="shared" si="2"/>
        <v>6188</v>
      </c>
      <c r="L40" s="45">
        <f t="shared" si="2"/>
        <v>0</v>
      </c>
      <c r="M40" s="45">
        <f t="shared" si="2"/>
        <v>1000</v>
      </c>
      <c r="N40" s="45">
        <f t="shared" si="2"/>
        <v>0</v>
      </c>
      <c r="O40" s="45">
        <f t="shared" si="2"/>
        <v>0</v>
      </c>
      <c r="P40" s="45">
        <f t="shared" si="2"/>
        <v>181120</v>
      </c>
      <c r="Q40" s="46">
        <v>0.0</v>
      </c>
      <c r="R40" s="47"/>
      <c r="S40" s="26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</row>
    <row r="41" ht="15.75" customHeight="1">
      <c r="A41" s="48"/>
      <c r="B41" s="48"/>
      <c r="C41" s="49"/>
      <c r="D41" s="48"/>
      <c r="E41" s="48"/>
      <c r="F41" s="50">
        <f>F40+G40+H40+I40+J40+K40+L40+M40+N40+O40</f>
        <v>167720</v>
      </c>
      <c r="P41" s="51"/>
      <c r="Q41" s="51"/>
      <c r="R41" s="48"/>
      <c r="S41" s="48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</row>
    <row r="42" ht="15.75" customHeight="1">
      <c r="A42" s="4"/>
      <c r="B42" s="4"/>
      <c r="C42" s="5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52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53" t="s">
        <v>183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52"/>
      <c r="D45" s="4"/>
      <c r="E45" s="54" t="s">
        <v>184</v>
      </c>
      <c r="F45" s="55" t="s">
        <v>196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52"/>
      <c r="D46" s="4"/>
      <c r="E46" s="56" t="s">
        <v>186</v>
      </c>
      <c r="F46" s="55" t="s">
        <v>357</v>
      </c>
      <c r="G46" s="4"/>
      <c r="H46" s="4"/>
      <c r="I46" s="4"/>
      <c r="J46" s="4"/>
      <c r="K46" s="4"/>
      <c r="L46" s="4"/>
      <c r="M46" s="4"/>
      <c r="N46" s="4"/>
      <c r="O46" s="57" t="s">
        <v>183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52"/>
      <c r="D47" s="4"/>
      <c r="E47" s="56" t="s">
        <v>188</v>
      </c>
      <c r="F47" s="55" t="s">
        <v>194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2"/>
      <c r="D48" s="4"/>
      <c r="E48" s="56" t="s">
        <v>189</v>
      </c>
      <c r="F48" s="55" t="s">
        <v>194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2"/>
      <c r="D49" s="4"/>
      <c r="E49" s="56" t="s">
        <v>190</v>
      </c>
      <c r="F49" s="55" t="s">
        <v>187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2"/>
      <c r="D50" s="4"/>
      <c r="E50" s="56" t="s">
        <v>1577</v>
      </c>
      <c r="F50" s="55" t="s">
        <v>194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2"/>
      <c r="D51" s="4"/>
      <c r="E51" s="56" t="s">
        <v>193</v>
      </c>
      <c r="F51" s="55" t="s">
        <v>194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2"/>
      <c r="D52" s="4"/>
      <c r="E52" s="56" t="s">
        <v>195</v>
      </c>
      <c r="F52" s="59" t="s">
        <v>196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57" t="s">
        <v>183</v>
      </c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4"/>
      <c r="F53" s="4"/>
      <c r="G53" s="4"/>
      <c r="H53" s="4"/>
      <c r="I53" s="4"/>
      <c r="J53" s="4"/>
      <c r="K53" s="4" t="str">
        <f>I72440</f>
        <v/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57" t="s">
        <v>197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>
        <v>7.0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5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5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R2:R4"/>
    <mergeCell ref="S2:S4"/>
    <mergeCell ref="F3:F4"/>
    <mergeCell ref="G3:H3"/>
    <mergeCell ref="I3:J3"/>
    <mergeCell ref="K3:K4"/>
    <mergeCell ref="F41:O41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6.88"/>
    <col customWidth="1" min="6" max="6" width="29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45.0" customHeight="1">
      <c r="A1" s="62" t="s">
        <v>1578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15.75" customHeight="1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5.75" customHeight="1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45529.0</v>
      </c>
      <c r="C5" s="18" t="s">
        <v>1579</v>
      </c>
      <c r="D5" s="19">
        <v>10249.0</v>
      </c>
      <c r="E5" s="20" t="s">
        <v>617</v>
      </c>
      <c r="F5" s="21"/>
      <c r="G5" s="22"/>
      <c r="H5" s="21"/>
      <c r="I5" s="23"/>
      <c r="J5" s="23">
        <v>300.0</v>
      </c>
      <c r="K5" s="22"/>
      <c r="L5" s="22"/>
      <c r="M5" s="21"/>
      <c r="N5" s="22"/>
      <c r="O5" s="22"/>
      <c r="P5" s="24">
        <v>300.0</v>
      </c>
      <c r="Q5" s="25">
        <f t="shared" ref="Q5:Q53" si="1">F5+G5+H5+I5+J5+K5+L5+M5+N5+O5-P5</f>
        <v>0</v>
      </c>
      <c r="R5" s="24" t="s">
        <v>51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45529.0</v>
      </c>
      <c r="C6" s="18" t="s">
        <v>1580</v>
      </c>
      <c r="D6" s="19">
        <v>10250.0</v>
      </c>
      <c r="E6" s="20" t="s">
        <v>36</v>
      </c>
      <c r="F6" s="21"/>
      <c r="G6" s="22"/>
      <c r="H6" s="22"/>
      <c r="I6" s="21">
        <v>2400.0</v>
      </c>
      <c r="J6" s="22"/>
      <c r="K6" s="22"/>
      <c r="L6" s="22"/>
      <c r="M6" s="21"/>
      <c r="N6" s="22"/>
      <c r="O6" s="22"/>
      <c r="P6" s="24">
        <v>2400.0</v>
      </c>
      <c r="Q6" s="25">
        <f t="shared" si="1"/>
        <v>0</v>
      </c>
      <c r="R6" s="24" t="s">
        <v>479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45530.0</v>
      </c>
      <c r="C7" s="18" t="s">
        <v>1581</v>
      </c>
      <c r="D7" s="19">
        <v>51848.0</v>
      </c>
      <c r="E7" s="20" t="s">
        <v>1582</v>
      </c>
      <c r="F7" s="22"/>
      <c r="G7" s="22"/>
      <c r="H7" s="21"/>
      <c r="I7" s="21"/>
      <c r="J7" s="23">
        <v>5150.0</v>
      </c>
      <c r="K7" s="22"/>
      <c r="L7" s="22"/>
      <c r="M7" s="22"/>
      <c r="N7" s="22"/>
      <c r="O7" s="22"/>
      <c r="P7" s="24">
        <v>5150.0</v>
      </c>
      <c r="Q7" s="25">
        <f t="shared" si="1"/>
        <v>0</v>
      </c>
      <c r="R7" s="24" t="s">
        <v>51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45530.0</v>
      </c>
      <c r="C8" s="18" t="s">
        <v>1583</v>
      </c>
      <c r="D8" s="19">
        <v>69371.0</v>
      </c>
      <c r="E8" s="20" t="s">
        <v>274</v>
      </c>
      <c r="F8" s="22"/>
      <c r="G8" s="22"/>
      <c r="H8" s="22"/>
      <c r="I8" s="21">
        <v>5000.0</v>
      </c>
      <c r="J8" s="21"/>
      <c r="K8" s="22"/>
      <c r="L8" s="22"/>
      <c r="M8" s="22"/>
      <c r="N8" s="22"/>
      <c r="O8" s="22"/>
      <c r="P8" s="24">
        <v>5000.0</v>
      </c>
      <c r="Q8" s="25">
        <f t="shared" si="1"/>
        <v>0</v>
      </c>
      <c r="R8" s="24" t="s">
        <v>30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45530.0</v>
      </c>
      <c r="C9" s="18" t="s">
        <v>1584</v>
      </c>
      <c r="D9" s="19">
        <v>70472.0</v>
      </c>
      <c r="E9" s="20" t="s">
        <v>1585</v>
      </c>
      <c r="F9" s="22"/>
      <c r="G9" s="22"/>
      <c r="H9" s="22"/>
      <c r="I9" s="21"/>
      <c r="J9" s="21">
        <v>15000.0</v>
      </c>
      <c r="K9" s="22"/>
      <c r="L9" s="22"/>
      <c r="M9" s="21"/>
      <c r="N9" s="22"/>
      <c r="O9" s="22"/>
      <c r="P9" s="24">
        <v>15000.0</v>
      </c>
      <c r="Q9" s="25">
        <f t="shared" si="1"/>
        <v>0</v>
      </c>
      <c r="R9" s="24" t="s">
        <v>30</v>
      </c>
      <c r="S9" s="26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45530.0</v>
      </c>
      <c r="C10" s="18" t="s">
        <v>1586</v>
      </c>
      <c r="D10" s="19">
        <v>35518.0</v>
      </c>
      <c r="E10" s="20" t="s">
        <v>1587</v>
      </c>
      <c r="F10" s="22"/>
      <c r="G10" s="22"/>
      <c r="H10" s="22"/>
      <c r="I10" s="21">
        <v>10000.0</v>
      </c>
      <c r="J10" s="21"/>
      <c r="K10" s="22"/>
      <c r="L10" s="22"/>
      <c r="M10" s="21"/>
      <c r="N10" s="22"/>
      <c r="O10" s="22"/>
      <c r="P10" s="24">
        <v>10000.0</v>
      </c>
      <c r="Q10" s="25">
        <f t="shared" si="1"/>
        <v>0</v>
      </c>
      <c r="R10" s="24" t="s">
        <v>68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45530.0</v>
      </c>
      <c r="C11" s="18" t="s">
        <v>1588</v>
      </c>
      <c r="D11" s="19">
        <v>51946.0</v>
      </c>
      <c r="E11" s="20" t="s">
        <v>1382</v>
      </c>
      <c r="F11" s="22"/>
      <c r="G11" s="22"/>
      <c r="H11" s="22"/>
      <c r="I11" s="21">
        <v>10000.0</v>
      </c>
      <c r="J11" s="21"/>
      <c r="K11" s="22"/>
      <c r="L11" s="22"/>
      <c r="M11" s="21"/>
      <c r="N11" s="22"/>
      <c r="O11" s="22"/>
      <c r="P11" s="24">
        <v>10000.0</v>
      </c>
      <c r="Q11" s="25">
        <f t="shared" si="1"/>
        <v>0</v>
      </c>
      <c r="R11" s="24" t="s">
        <v>25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7">
        <v>45530.0</v>
      </c>
      <c r="C12" s="18" t="s">
        <v>1589</v>
      </c>
      <c r="D12" s="19">
        <v>80507.0</v>
      </c>
      <c r="E12" s="20" t="s">
        <v>1590</v>
      </c>
      <c r="F12" s="22"/>
      <c r="G12" s="22"/>
      <c r="H12" s="22"/>
      <c r="I12" s="21">
        <v>10000.0</v>
      </c>
      <c r="J12" s="21"/>
      <c r="K12" s="22"/>
      <c r="L12" s="22"/>
      <c r="M12" s="21"/>
      <c r="N12" s="22"/>
      <c r="O12" s="22"/>
      <c r="P12" s="24">
        <v>10000.0</v>
      </c>
      <c r="Q12" s="25">
        <f t="shared" si="1"/>
        <v>0</v>
      </c>
      <c r="R12" s="24" t="s">
        <v>479</v>
      </c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8">
        <v>45530.0</v>
      </c>
      <c r="C13" s="29" t="s">
        <v>1591</v>
      </c>
      <c r="D13" s="30">
        <v>71126.0</v>
      </c>
      <c r="E13" s="31" t="s">
        <v>1105</v>
      </c>
      <c r="F13" s="22"/>
      <c r="G13" s="22"/>
      <c r="H13" s="22"/>
      <c r="I13" s="21"/>
      <c r="J13" s="21"/>
      <c r="K13" s="22">
        <v>42000.0</v>
      </c>
      <c r="L13" s="22"/>
      <c r="M13" s="21"/>
      <c r="N13" s="22"/>
      <c r="O13" s="22"/>
      <c r="P13" s="32">
        <v>42000.0</v>
      </c>
      <c r="Q13" s="25">
        <f t="shared" si="1"/>
        <v>0</v>
      </c>
      <c r="R13" s="32" t="s">
        <v>68</v>
      </c>
      <c r="S13" s="26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 ht="34.5" customHeight="1">
      <c r="A14" s="16">
        <v>10.0</v>
      </c>
      <c r="B14" s="27">
        <v>45530.0</v>
      </c>
      <c r="C14" s="18" t="s">
        <v>1592</v>
      </c>
      <c r="D14" s="19">
        <v>22332.0</v>
      </c>
      <c r="E14" s="20" t="s">
        <v>396</v>
      </c>
      <c r="F14" s="22"/>
      <c r="G14" s="22"/>
      <c r="H14" s="22"/>
      <c r="I14" s="21">
        <v>12500.0</v>
      </c>
      <c r="J14" s="21"/>
      <c r="K14" s="22"/>
      <c r="L14" s="22"/>
      <c r="M14" s="21"/>
      <c r="N14" s="22"/>
      <c r="O14" s="22"/>
      <c r="P14" s="24">
        <v>12500.0</v>
      </c>
      <c r="Q14" s="25">
        <f t="shared" si="1"/>
        <v>0</v>
      </c>
      <c r="R14" s="24" t="s">
        <v>30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45530.0</v>
      </c>
      <c r="C15" s="18" t="s">
        <v>1593</v>
      </c>
      <c r="D15" s="19">
        <v>83495.0</v>
      </c>
      <c r="E15" s="20" t="s">
        <v>1145</v>
      </c>
      <c r="F15" s="22">
        <v>200.0</v>
      </c>
      <c r="G15" s="22"/>
      <c r="H15" s="22"/>
      <c r="I15" s="21"/>
      <c r="J15" s="21"/>
      <c r="K15" s="22"/>
      <c r="L15" s="22"/>
      <c r="M15" s="21"/>
      <c r="N15" s="22"/>
      <c r="O15" s="22"/>
      <c r="P15" s="24">
        <v>200.0</v>
      </c>
      <c r="Q15" s="25">
        <f t="shared" si="1"/>
        <v>0</v>
      </c>
      <c r="R15" s="24" t="s">
        <v>25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45530.0</v>
      </c>
      <c r="C16" s="18" t="s">
        <v>1594</v>
      </c>
      <c r="D16" s="19">
        <v>54178.0</v>
      </c>
      <c r="E16" s="20" t="s">
        <v>1088</v>
      </c>
      <c r="F16" s="22"/>
      <c r="G16" s="22"/>
      <c r="H16" s="22"/>
      <c r="I16" s="21">
        <v>4500.0</v>
      </c>
      <c r="J16" s="21"/>
      <c r="K16" s="22"/>
      <c r="L16" s="22"/>
      <c r="M16" s="21"/>
      <c r="N16" s="22"/>
      <c r="O16" s="22"/>
      <c r="P16" s="24">
        <v>4500.0</v>
      </c>
      <c r="Q16" s="25">
        <f t="shared" si="1"/>
        <v>0</v>
      </c>
      <c r="R16" s="24" t="s">
        <v>479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45530.0</v>
      </c>
      <c r="C17" s="18" t="s">
        <v>1595</v>
      </c>
      <c r="D17" s="19">
        <v>48910.0</v>
      </c>
      <c r="E17" s="20" t="s">
        <v>127</v>
      </c>
      <c r="F17" s="22"/>
      <c r="G17" s="22"/>
      <c r="H17" s="22"/>
      <c r="I17" s="21"/>
      <c r="J17" s="21">
        <v>2650.0</v>
      </c>
      <c r="K17" s="22"/>
      <c r="L17" s="22"/>
      <c r="M17" s="21"/>
      <c r="N17" s="22"/>
      <c r="O17" s="22"/>
      <c r="P17" s="24">
        <v>2650.0</v>
      </c>
      <c r="Q17" s="25">
        <f t="shared" si="1"/>
        <v>0</v>
      </c>
      <c r="R17" s="24" t="s">
        <v>479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7">
        <v>45530.0</v>
      </c>
      <c r="C18" s="18" t="s">
        <v>1596</v>
      </c>
      <c r="D18" s="19">
        <v>81108.0</v>
      </c>
      <c r="E18" s="20" t="s">
        <v>94</v>
      </c>
      <c r="F18" s="22"/>
      <c r="G18" s="22"/>
      <c r="H18" s="22"/>
      <c r="I18" s="21">
        <v>23500.0</v>
      </c>
      <c r="J18" s="21"/>
      <c r="K18" s="22"/>
      <c r="L18" s="22"/>
      <c r="M18" s="22"/>
      <c r="N18" s="22"/>
      <c r="O18" s="22"/>
      <c r="P18" s="24">
        <v>23500.0</v>
      </c>
      <c r="Q18" s="25">
        <f t="shared" si="1"/>
        <v>0</v>
      </c>
      <c r="R18" s="24" t="s">
        <v>30</v>
      </c>
      <c r="S18" s="26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28">
        <v>45530.0</v>
      </c>
      <c r="C19" s="29" t="s">
        <v>1597</v>
      </c>
      <c r="D19" s="30">
        <v>47787.0</v>
      </c>
      <c r="E19" s="31" t="s">
        <v>1171</v>
      </c>
      <c r="F19" s="22"/>
      <c r="G19" s="22"/>
      <c r="H19" s="22"/>
      <c r="I19" s="21">
        <v>2000.0</v>
      </c>
      <c r="J19" s="21"/>
      <c r="K19" s="22"/>
      <c r="L19" s="22"/>
      <c r="M19" s="21"/>
      <c r="N19" s="22"/>
      <c r="O19" s="22"/>
      <c r="P19" s="32">
        <v>2000.0</v>
      </c>
      <c r="Q19" s="25">
        <f t="shared" si="1"/>
        <v>0</v>
      </c>
      <c r="R19" s="32" t="s">
        <v>25</v>
      </c>
      <c r="S19" s="26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ht="34.5" customHeight="1">
      <c r="A20" s="16">
        <v>16.0</v>
      </c>
      <c r="B20" s="27">
        <v>45530.0</v>
      </c>
      <c r="C20" s="18" t="s">
        <v>1598</v>
      </c>
      <c r="D20" s="19">
        <v>31927.0</v>
      </c>
      <c r="E20" s="20" t="s">
        <v>168</v>
      </c>
      <c r="F20" s="22"/>
      <c r="G20" s="22"/>
      <c r="H20" s="22"/>
      <c r="I20" s="23">
        <v>1450.0</v>
      </c>
      <c r="J20" s="21"/>
      <c r="K20" s="22"/>
      <c r="L20" s="22"/>
      <c r="M20" s="22"/>
      <c r="N20" s="22"/>
      <c r="O20" s="22"/>
      <c r="P20" s="24">
        <v>1450.0</v>
      </c>
      <c r="Q20" s="25">
        <f t="shared" si="1"/>
        <v>0</v>
      </c>
      <c r="R20" s="24" t="s">
        <v>479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45530.0</v>
      </c>
      <c r="C21" s="18" t="s">
        <v>1599</v>
      </c>
      <c r="D21" s="19">
        <v>48192.0</v>
      </c>
      <c r="E21" s="20" t="s">
        <v>1600</v>
      </c>
      <c r="F21" s="21"/>
      <c r="G21" s="22"/>
      <c r="H21" s="22"/>
      <c r="I21" s="34">
        <v>7080.0</v>
      </c>
      <c r="J21" s="21"/>
      <c r="K21" s="35"/>
      <c r="L21" s="22"/>
      <c r="M21" s="22"/>
      <c r="N21" s="22"/>
      <c r="O21" s="22"/>
      <c r="P21" s="24">
        <v>7080.0</v>
      </c>
      <c r="Q21" s="25">
        <f t="shared" si="1"/>
        <v>0</v>
      </c>
      <c r="R21" s="24" t="s">
        <v>51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7">
        <v>45530.0</v>
      </c>
      <c r="C22" s="18" t="s">
        <v>1601</v>
      </c>
      <c r="D22" s="19">
        <v>53943.0</v>
      </c>
      <c r="E22" s="20" t="s">
        <v>1602</v>
      </c>
      <c r="F22" s="21"/>
      <c r="G22" s="22"/>
      <c r="H22" s="22"/>
      <c r="I22" s="21">
        <v>4500.0</v>
      </c>
      <c r="J22" s="21"/>
      <c r="K22" s="21"/>
      <c r="L22" s="22"/>
      <c r="M22" s="22"/>
      <c r="N22" s="22"/>
      <c r="O22" s="22"/>
      <c r="P22" s="24">
        <v>4500.0</v>
      </c>
      <c r="Q22" s="25">
        <f t="shared" si="1"/>
        <v>0</v>
      </c>
      <c r="R22" s="24" t="s">
        <v>51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36">
        <v>45530.0</v>
      </c>
      <c r="C23" s="37" t="s">
        <v>1603</v>
      </c>
      <c r="D23" s="38">
        <v>79725.0</v>
      </c>
      <c r="E23" s="39" t="s">
        <v>639</v>
      </c>
      <c r="F23" s="34"/>
      <c r="G23" s="40"/>
      <c r="H23" s="40"/>
      <c r="I23" s="34">
        <v>1000.0</v>
      </c>
      <c r="J23" s="21"/>
      <c r="K23" s="41"/>
      <c r="L23" s="40"/>
      <c r="M23" s="40"/>
      <c r="N23" s="40"/>
      <c r="O23" s="40"/>
      <c r="P23" s="42">
        <v>1000.0</v>
      </c>
      <c r="Q23" s="25">
        <f t="shared" si="1"/>
        <v>0</v>
      </c>
      <c r="R23" s="42" t="s">
        <v>30</v>
      </c>
      <c r="S23" s="26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</row>
    <row r="24" ht="34.5" customHeight="1">
      <c r="A24" s="16">
        <v>20.0</v>
      </c>
      <c r="B24" s="27">
        <v>45530.0</v>
      </c>
      <c r="C24" s="18" t="s">
        <v>1604</v>
      </c>
      <c r="D24" s="19">
        <v>83997.0</v>
      </c>
      <c r="E24" s="20" t="s">
        <v>1605</v>
      </c>
      <c r="F24" s="21"/>
      <c r="G24" s="22"/>
      <c r="H24" s="22"/>
      <c r="I24" s="21">
        <v>2000.0</v>
      </c>
      <c r="J24" s="21"/>
      <c r="K24" s="35"/>
      <c r="L24" s="22"/>
      <c r="M24" s="22"/>
      <c r="N24" s="22"/>
      <c r="O24" s="22"/>
      <c r="P24" s="24">
        <v>2000.0</v>
      </c>
      <c r="Q24" s="25">
        <f t="shared" si="1"/>
        <v>0</v>
      </c>
      <c r="R24" s="24" t="s">
        <v>30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45530.0</v>
      </c>
      <c r="C25" s="18" t="s">
        <v>1606</v>
      </c>
      <c r="D25" s="19">
        <v>48910.0</v>
      </c>
      <c r="E25" s="20" t="s">
        <v>127</v>
      </c>
      <c r="F25" s="21"/>
      <c r="G25" s="22"/>
      <c r="H25" s="22"/>
      <c r="I25" s="21"/>
      <c r="J25" s="21">
        <v>5440.0</v>
      </c>
      <c r="K25" s="35"/>
      <c r="L25" s="22"/>
      <c r="M25" s="22"/>
      <c r="N25" s="22"/>
      <c r="O25" s="22"/>
      <c r="P25" s="24">
        <v>5440.0</v>
      </c>
      <c r="Q25" s="25">
        <f t="shared" si="1"/>
        <v>0</v>
      </c>
      <c r="R25" s="24" t="s">
        <v>479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45530.0</v>
      </c>
      <c r="C26" s="18" t="s">
        <v>1607</v>
      </c>
      <c r="D26" s="19">
        <v>33616.0</v>
      </c>
      <c r="E26" s="20" t="s">
        <v>1608</v>
      </c>
      <c r="F26" s="21"/>
      <c r="G26" s="22"/>
      <c r="H26" s="22"/>
      <c r="I26" s="35"/>
      <c r="J26" s="21">
        <v>730.0</v>
      </c>
      <c r="K26" s="35"/>
      <c r="L26" s="22"/>
      <c r="M26" s="22"/>
      <c r="N26" s="22"/>
      <c r="O26" s="22"/>
      <c r="P26" s="24">
        <v>730.0</v>
      </c>
      <c r="Q26" s="25">
        <f t="shared" si="1"/>
        <v>0</v>
      </c>
      <c r="R26" s="24" t="s">
        <v>51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45530.0</v>
      </c>
      <c r="C27" s="18" t="s">
        <v>1609</v>
      </c>
      <c r="D27" s="19">
        <v>52206.0</v>
      </c>
      <c r="E27" s="20" t="s">
        <v>1610</v>
      </c>
      <c r="F27" s="21"/>
      <c r="G27" s="22"/>
      <c r="H27" s="22"/>
      <c r="I27" s="21">
        <v>5300.0</v>
      </c>
      <c r="J27" s="21"/>
      <c r="K27" s="35"/>
      <c r="L27" s="22"/>
      <c r="M27" s="22"/>
      <c r="N27" s="22"/>
      <c r="O27" s="22"/>
      <c r="P27" s="24">
        <v>5300.0</v>
      </c>
      <c r="Q27" s="25">
        <f t="shared" si="1"/>
        <v>0</v>
      </c>
      <c r="R27" s="24" t="s">
        <v>25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45530.0</v>
      </c>
      <c r="C28" s="18" t="s">
        <v>1611</v>
      </c>
      <c r="D28" s="19">
        <v>56415.0</v>
      </c>
      <c r="E28" s="20" t="s">
        <v>1612</v>
      </c>
      <c r="F28" s="21"/>
      <c r="G28" s="22"/>
      <c r="H28" s="22"/>
      <c r="I28" s="21">
        <v>5150.0</v>
      </c>
      <c r="J28" s="21"/>
      <c r="K28" s="35"/>
      <c r="L28" s="22"/>
      <c r="M28" s="22"/>
      <c r="N28" s="22"/>
      <c r="O28" s="22"/>
      <c r="P28" s="24">
        <v>5150.0</v>
      </c>
      <c r="Q28" s="25">
        <f t="shared" si="1"/>
        <v>0</v>
      </c>
      <c r="R28" s="24" t="s">
        <v>51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45530.0</v>
      </c>
      <c r="C29" s="18" t="s">
        <v>1613</v>
      </c>
      <c r="D29" s="19">
        <v>10249.0</v>
      </c>
      <c r="E29" s="20" t="s">
        <v>617</v>
      </c>
      <c r="F29" s="21"/>
      <c r="G29" s="22"/>
      <c r="H29" s="22"/>
      <c r="I29" s="21"/>
      <c r="J29" s="21">
        <v>14500.0</v>
      </c>
      <c r="K29" s="23"/>
      <c r="L29" s="22"/>
      <c r="M29" s="22"/>
      <c r="N29" s="22"/>
      <c r="O29" s="22"/>
      <c r="P29" s="24">
        <v>14500.0</v>
      </c>
      <c r="Q29" s="25">
        <f t="shared" si="1"/>
        <v>0</v>
      </c>
      <c r="R29" s="24" t="s">
        <v>30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45530.0</v>
      </c>
      <c r="C30" s="18" t="s">
        <v>1614</v>
      </c>
      <c r="D30" s="19">
        <v>84479.0</v>
      </c>
      <c r="E30" s="20" t="s">
        <v>1615</v>
      </c>
      <c r="F30" s="21"/>
      <c r="G30" s="22"/>
      <c r="H30" s="22"/>
      <c r="I30" s="21"/>
      <c r="J30" s="21">
        <v>7000.0</v>
      </c>
      <c r="K30" s="23"/>
      <c r="L30" s="22"/>
      <c r="M30" s="22"/>
      <c r="N30" s="22"/>
      <c r="O30" s="22"/>
      <c r="P30" s="24">
        <v>7000.0</v>
      </c>
      <c r="Q30" s="25">
        <f t="shared" si="1"/>
        <v>0</v>
      </c>
      <c r="R30" s="24" t="s">
        <v>30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45530.0</v>
      </c>
      <c r="C31" s="18" t="s">
        <v>1616</v>
      </c>
      <c r="D31" s="19">
        <v>78454.0</v>
      </c>
      <c r="E31" s="20" t="s">
        <v>131</v>
      </c>
      <c r="F31" s="21"/>
      <c r="G31" s="22"/>
      <c r="H31" s="22"/>
      <c r="I31" s="21">
        <v>2650.0</v>
      </c>
      <c r="J31" s="21"/>
      <c r="K31" s="23"/>
      <c r="L31" s="22"/>
      <c r="M31" s="22"/>
      <c r="N31" s="22"/>
      <c r="O31" s="22"/>
      <c r="P31" s="24">
        <v>2650.0</v>
      </c>
      <c r="Q31" s="25">
        <f t="shared" si="1"/>
        <v>0</v>
      </c>
      <c r="R31" s="24" t="s">
        <v>30</v>
      </c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45530.0</v>
      </c>
      <c r="C32" s="18" t="s">
        <v>1617</v>
      </c>
      <c r="D32" s="19">
        <v>10744.0</v>
      </c>
      <c r="E32" s="20" t="s">
        <v>1448</v>
      </c>
      <c r="F32" s="21"/>
      <c r="G32" s="22"/>
      <c r="H32" s="22"/>
      <c r="I32" s="21">
        <v>10000.0</v>
      </c>
      <c r="J32" s="21"/>
      <c r="K32" s="23"/>
      <c r="L32" s="22"/>
      <c r="M32" s="22"/>
      <c r="N32" s="22"/>
      <c r="O32" s="22"/>
      <c r="P32" s="24">
        <v>10000.0</v>
      </c>
      <c r="Q32" s="25">
        <f t="shared" si="1"/>
        <v>0</v>
      </c>
      <c r="R32" s="24" t="s">
        <v>51</v>
      </c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45530.0</v>
      </c>
      <c r="C33" s="18" t="s">
        <v>1618</v>
      </c>
      <c r="D33" s="19">
        <v>74664.0</v>
      </c>
      <c r="E33" s="20" t="s">
        <v>1619</v>
      </c>
      <c r="F33" s="21"/>
      <c r="G33" s="22"/>
      <c r="H33" s="22"/>
      <c r="I33" s="21">
        <v>5000.0</v>
      </c>
      <c r="J33" s="21"/>
      <c r="K33" s="23"/>
      <c r="L33" s="22"/>
      <c r="M33" s="22"/>
      <c r="N33" s="22"/>
      <c r="O33" s="22"/>
      <c r="P33" s="24">
        <v>5000.0</v>
      </c>
      <c r="Q33" s="25">
        <f t="shared" si="1"/>
        <v>0</v>
      </c>
      <c r="R33" s="24" t="s">
        <v>51</v>
      </c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7">
        <v>45530.0</v>
      </c>
      <c r="C34" s="18" t="s">
        <v>1620</v>
      </c>
      <c r="D34" s="19">
        <v>58818.0</v>
      </c>
      <c r="E34" s="20" t="s">
        <v>833</v>
      </c>
      <c r="F34" s="21"/>
      <c r="G34" s="22"/>
      <c r="H34" s="22"/>
      <c r="I34" s="21">
        <v>4750.0</v>
      </c>
      <c r="J34" s="21"/>
      <c r="K34" s="23"/>
      <c r="L34" s="22"/>
      <c r="M34" s="22"/>
      <c r="N34" s="22"/>
      <c r="O34" s="22"/>
      <c r="P34" s="24">
        <v>4750.0</v>
      </c>
      <c r="Q34" s="25">
        <f t="shared" si="1"/>
        <v>0</v>
      </c>
      <c r="R34" s="24" t="s">
        <v>51</v>
      </c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7">
        <v>45530.0</v>
      </c>
      <c r="C35" s="18" t="s">
        <v>1621</v>
      </c>
      <c r="D35" s="19">
        <v>21828.0</v>
      </c>
      <c r="E35" s="20" t="s">
        <v>47</v>
      </c>
      <c r="F35" s="21"/>
      <c r="G35" s="22"/>
      <c r="H35" s="22"/>
      <c r="I35" s="21"/>
      <c r="J35" s="21"/>
      <c r="K35" s="23"/>
      <c r="L35" s="22"/>
      <c r="M35" s="22">
        <v>2000.0</v>
      </c>
      <c r="N35" s="22"/>
      <c r="O35" s="22"/>
      <c r="P35" s="24">
        <v>2000.0</v>
      </c>
      <c r="Q35" s="25">
        <f t="shared" si="1"/>
        <v>0</v>
      </c>
      <c r="R35" s="24" t="s">
        <v>25</v>
      </c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7">
        <v>45530.0</v>
      </c>
      <c r="C36" s="18" t="s">
        <v>1622</v>
      </c>
      <c r="D36" s="19">
        <v>10249.0</v>
      </c>
      <c r="E36" s="20" t="s">
        <v>617</v>
      </c>
      <c r="F36" s="21"/>
      <c r="G36" s="22"/>
      <c r="H36" s="22"/>
      <c r="I36" s="21"/>
      <c r="J36" s="21">
        <v>2000.0</v>
      </c>
      <c r="K36" s="23"/>
      <c r="L36" s="22"/>
      <c r="M36" s="22"/>
      <c r="N36" s="22"/>
      <c r="O36" s="22"/>
      <c r="P36" s="24">
        <v>2000.0</v>
      </c>
      <c r="Q36" s="25">
        <f t="shared" si="1"/>
        <v>0</v>
      </c>
      <c r="R36" s="24" t="s">
        <v>479</v>
      </c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7">
        <v>45530.0</v>
      </c>
      <c r="C37" s="18" t="s">
        <v>1623</v>
      </c>
      <c r="D37" s="19">
        <v>50222.0</v>
      </c>
      <c r="E37" s="20" t="s">
        <v>475</v>
      </c>
      <c r="F37" s="21"/>
      <c r="G37" s="22"/>
      <c r="H37" s="22"/>
      <c r="I37" s="21">
        <v>15000.0</v>
      </c>
      <c r="J37" s="21"/>
      <c r="K37" s="23"/>
      <c r="L37" s="22"/>
      <c r="M37" s="22"/>
      <c r="N37" s="22"/>
      <c r="O37" s="22"/>
      <c r="P37" s="24">
        <v>15000.0</v>
      </c>
      <c r="Q37" s="25">
        <f t="shared" si="1"/>
        <v>0</v>
      </c>
      <c r="R37" s="24" t="s">
        <v>30</v>
      </c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7">
        <v>45530.0</v>
      </c>
      <c r="C38" s="18" t="s">
        <v>1624</v>
      </c>
      <c r="D38" s="19">
        <v>36555.0</v>
      </c>
      <c r="E38" s="20" t="s">
        <v>63</v>
      </c>
      <c r="F38" s="21"/>
      <c r="G38" s="22"/>
      <c r="H38" s="22">
        <v>4500.0</v>
      </c>
      <c r="I38" s="21"/>
      <c r="J38" s="21"/>
      <c r="K38" s="23"/>
      <c r="L38" s="22"/>
      <c r="M38" s="22"/>
      <c r="N38" s="22"/>
      <c r="O38" s="22"/>
      <c r="P38" s="24">
        <v>4500.0</v>
      </c>
      <c r="Q38" s="25">
        <f t="shared" si="1"/>
        <v>0</v>
      </c>
      <c r="R38" s="24" t="s">
        <v>25</v>
      </c>
      <c r="S38" s="26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7">
        <v>45530.0</v>
      </c>
      <c r="C39" s="18" t="s">
        <v>1625</v>
      </c>
      <c r="D39" s="19">
        <v>76556.0</v>
      </c>
      <c r="E39" s="20" t="s">
        <v>1100</v>
      </c>
      <c r="F39" s="21">
        <v>900.0</v>
      </c>
      <c r="G39" s="22"/>
      <c r="H39" s="22"/>
      <c r="I39" s="21"/>
      <c r="J39" s="21"/>
      <c r="K39" s="23"/>
      <c r="L39" s="22"/>
      <c r="M39" s="22"/>
      <c r="N39" s="22"/>
      <c r="O39" s="22"/>
      <c r="P39" s="24">
        <v>900.0</v>
      </c>
      <c r="Q39" s="25">
        <f t="shared" si="1"/>
        <v>0</v>
      </c>
      <c r="R39" s="24" t="s">
        <v>25</v>
      </c>
      <c r="S39" s="26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7">
        <v>45530.0</v>
      </c>
      <c r="C40" s="18" t="s">
        <v>1626</v>
      </c>
      <c r="D40" s="19">
        <v>42278.0</v>
      </c>
      <c r="E40" s="20" t="s">
        <v>1510</v>
      </c>
      <c r="F40" s="21"/>
      <c r="G40" s="22"/>
      <c r="H40" s="22"/>
      <c r="I40" s="21">
        <v>1000.0</v>
      </c>
      <c r="J40" s="21"/>
      <c r="K40" s="23"/>
      <c r="L40" s="22"/>
      <c r="M40" s="22"/>
      <c r="N40" s="22"/>
      <c r="O40" s="22"/>
      <c r="P40" s="24">
        <v>1000.0</v>
      </c>
      <c r="Q40" s="25">
        <f t="shared" si="1"/>
        <v>0</v>
      </c>
      <c r="R40" s="24" t="s">
        <v>25</v>
      </c>
      <c r="S40" s="26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7">
        <v>45530.0</v>
      </c>
      <c r="C41" s="18" t="s">
        <v>1627</v>
      </c>
      <c r="D41" s="19">
        <v>21937.0</v>
      </c>
      <c r="E41" s="20" t="s">
        <v>1628</v>
      </c>
      <c r="F41" s="21"/>
      <c r="G41" s="22"/>
      <c r="H41" s="22"/>
      <c r="I41" s="21">
        <v>1000.0</v>
      </c>
      <c r="J41" s="21"/>
      <c r="K41" s="23"/>
      <c r="L41" s="22"/>
      <c r="M41" s="22"/>
      <c r="N41" s="22"/>
      <c r="O41" s="22"/>
      <c r="P41" s="24">
        <v>1000.0</v>
      </c>
      <c r="Q41" s="25">
        <f t="shared" si="1"/>
        <v>0</v>
      </c>
      <c r="R41" s="24" t="s">
        <v>25</v>
      </c>
      <c r="S41" s="26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27">
        <v>45530.0</v>
      </c>
      <c r="C42" s="18" t="s">
        <v>1629</v>
      </c>
      <c r="D42" s="19">
        <v>52083.0</v>
      </c>
      <c r="E42" s="20" t="s">
        <v>122</v>
      </c>
      <c r="F42" s="21"/>
      <c r="G42" s="22"/>
      <c r="H42" s="22"/>
      <c r="I42" s="21">
        <v>1150.0</v>
      </c>
      <c r="J42" s="21"/>
      <c r="K42" s="23"/>
      <c r="L42" s="22"/>
      <c r="M42" s="22"/>
      <c r="N42" s="22"/>
      <c r="O42" s="22"/>
      <c r="P42" s="24">
        <v>1150.0</v>
      </c>
      <c r="Q42" s="25">
        <f t="shared" si="1"/>
        <v>0</v>
      </c>
      <c r="R42" s="24" t="s">
        <v>30</v>
      </c>
      <c r="S42" s="26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>
        <v>39.0</v>
      </c>
      <c r="B43" s="27">
        <v>45530.0</v>
      </c>
      <c r="C43" s="18" t="s">
        <v>1630</v>
      </c>
      <c r="D43" s="19">
        <v>21821.0</v>
      </c>
      <c r="E43" s="20" t="s">
        <v>641</v>
      </c>
      <c r="F43" s="21"/>
      <c r="G43" s="22"/>
      <c r="H43" s="22"/>
      <c r="I43" s="21">
        <v>1000.0</v>
      </c>
      <c r="J43" s="21"/>
      <c r="K43" s="23"/>
      <c r="L43" s="22"/>
      <c r="M43" s="22"/>
      <c r="N43" s="22"/>
      <c r="O43" s="22"/>
      <c r="P43" s="24">
        <v>1000.0</v>
      </c>
      <c r="Q43" s="25">
        <f t="shared" si="1"/>
        <v>0</v>
      </c>
      <c r="R43" s="24" t="s">
        <v>30</v>
      </c>
      <c r="S43" s="26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16">
        <v>40.0</v>
      </c>
      <c r="B44" s="27">
        <v>45530.0</v>
      </c>
      <c r="C44" s="18" t="s">
        <v>1631</v>
      </c>
      <c r="D44" s="19">
        <v>62815.0</v>
      </c>
      <c r="E44" s="20" t="s">
        <v>125</v>
      </c>
      <c r="F44" s="21"/>
      <c r="G44" s="22"/>
      <c r="H44" s="22"/>
      <c r="I44" s="21">
        <v>1000.0</v>
      </c>
      <c r="J44" s="21"/>
      <c r="K44" s="23"/>
      <c r="L44" s="22"/>
      <c r="M44" s="22"/>
      <c r="N44" s="22"/>
      <c r="O44" s="22"/>
      <c r="P44" s="24">
        <v>1000.0</v>
      </c>
      <c r="Q44" s="25">
        <f t="shared" si="1"/>
        <v>0</v>
      </c>
      <c r="R44" s="24" t="s">
        <v>25</v>
      </c>
      <c r="S44" s="26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16">
        <v>41.0</v>
      </c>
      <c r="B45" s="27">
        <v>45530.0</v>
      </c>
      <c r="C45" s="18" t="s">
        <v>1632</v>
      </c>
      <c r="D45" s="19">
        <v>59244.0</v>
      </c>
      <c r="E45" s="20" t="s">
        <v>237</v>
      </c>
      <c r="F45" s="21"/>
      <c r="G45" s="22"/>
      <c r="H45" s="22"/>
      <c r="I45" s="21">
        <v>15000.0</v>
      </c>
      <c r="J45" s="21"/>
      <c r="K45" s="23"/>
      <c r="L45" s="22"/>
      <c r="M45" s="22"/>
      <c r="N45" s="22"/>
      <c r="O45" s="22"/>
      <c r="P45" s="24">
        <v>15000.0</v>
      </c>
      <c r="Q45" s="25">
        <f t="shared" si="1"/>
        <v>0</v>
      </c>
      <c r="R45" s="24" t="s">
        <v>30</v>
      </c>
      <c r="S45" s="26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4.5" customHeight="1">
      <c r="A46" s="16">
        <v>42.0</v>
      </c>
      <c r="B46" s="27">
        <v>45530.0</v>
      </c>
      <c r="C46" s="18" t="s">
        <v>1633</v>
      </c>
      <c r="D46" s="19">
        <v>59904.0</v>
      </c>
      <c r="E46" s="20" t="s">
        <v>612</v>
      </c>
      <c r="F46" s="21"/>
      <c r="G46" s="22"/>
      <c r="H46" s="22"/>
      <c r="I46" s="21">
        <v>5200.0</v>
      </c>
      <c r="J46" s="21"/>
      <c r="K46" s="23"/>
      <c r="L46" s="22"/>
      <c r="M46" s="22"/>
      <c r="N46" s="22"/>
      <c r="O46" s="22"/>
      <c r="P46" s="24">
        <v>5200.0</v>
      </c>
      <c r="Q46" s="25">
        <f t="shared" si="1"/>
        <v>0</v>
      </c>
      <c r="R46" s="24" t="s">
        <v>25</v>
      </c>
      <c r="S46" s="26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34.5" customHeight="1">
      <c r="A47" s="16">
        <v>43.0</v>
      </c>
      <c r="B47" s="27">
        <v>45530.0</v>
      </c>
      <c r="C47" s="18" t="s">
        <v>1634</v>
      </c>
      <c r="D47" s="19">
        <v>84557.0</v>
      </c>
      <c r="E47" s="20" t="s">
        <v>1635</v>
      </c>
      <c r="F47" s="21"/>
      <c r="G47" s="22"/>
      <c r="H47" s="22"/>
      <c r="I47" s="21">
        <v>300.0</v>
      </c>
      <c r="J47" s="21"/>
      <c r="K47" s="23"/>
      <c r="L47" s="22"/>
      <c r="M47" s="22"/>
      <c r="N47" s="22"/>
      <c r="O47" s="22"/>
      <c r="P47" s="24">
        <v>300.0</v>
      </c>
      <c r="Q47" s="25">
        <f t="shared" si="1"/>
        <v>0</v>
      </c>
      <c r="R47" s="24" t="s">
        <v>479</v>
      </c>
      <c r="S47" s="26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34.5" customHeight="1">
      <c r="A48" s="16">
        <v>44.0</v>
      </c>
      <c r="B48" s="27">
        <v>45530.0</v>
      </c>
      <c r="C48" s="18" t="s">
        <v>1636</v>
      </c>
      <c r="D48" s="19">
        <v>19688.0</v>
      </c>
      <c r="E48" s="20" t="s">
        <v>220</v>
      </c>
      <c r="F48" s="21"/>
      <c r="G48" s="22"/>
      <c r="H48" s="22"/>
      <c r="I48" s="21">
        <v>2650.0</v>
      </c>
      <c r="J48" s="21"/>
      <c r="K48" s="23"/>
      <c r="L48" s="22"/>
      <c r="M48" s="22"/>
      <c r="N48" s="22"/>
      <c r="O48" s="22"/>
      <c r="P48" s="24">
        <v>2650.0</v>
      </c>
      <c r="Q48" s="25">
        <f t="shared" si="1"/>
        <v>0</v>
      </c>
      <c r="R48" s="24" t="s">
        <v>68</v>
      </c>
      <c r="S48" s="26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34.5" customHeight="1">
      <c r="A49" s="16">
        <v>45.0</v>
      </c>
      <c r="B49" s="27">
        <v>45530.0</v>
      </c>
      <c r="C49" s="18" t="s">
        <v>1637</v>
      </c>
      <c r="D49" s="19">
        <v>51017.0</v>
      </c>
      <c r="E49" s="20" t="s">
        <v>270</v>
      </c>
      <c r="F49" s="21"/>
      <c r="G49" s="22"/>
      <c r="H49" s="22">
        <v>14500.0</v>
      </c>
      <c r="I49" s="21"/>
      <c r="J49" s="21"/>
      <c r="K49" s="23"/>
      <c r="L49" s="22"/>
      <c r="M49" s="22"/>
      <c r="N49" s="22"/>
      <c r="O49" s="22"/>
      <c r="P49" s="24">
        <v>14500.0</v>
      </c>
      <c r="Q49" s="25">
        <f t="shared" si="1"/>
        <v>0</v>
      </c>
      <c r="R49" s="24"/>
      <c r="S49" s="26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34.5" customHeight="1">
      <c r="A50" s="16">
        <v>46.0</v>
      </c>
      <c r="B50" s="27">
        <v>45530.0</v>
      </c>
      <c r="C50" s="18" t="s">
        <v>1638</v>
      </c>
      <c r="D50" s="19">
        <v>79572.0</v>
      </c>
      <c r="E50" s="20" t="s">
        <v>1639</v>
      </c>
      <c r="F50" s="21"/>
      <c r="G50" s="22"/>
      <c r="H50" s="22">
        <v>10450.0</v>
      </c>
      <c r="I50" s="21"/>
      <c r="J50" s="21"/>
      <c r="K50" s="23"/>
      <c r="L50" s="22"/>
      <c r="M50" s="22"/>
      <c r="N50" s="22"/>
      <c r="O50" s="22"/>
      <c r="P50" s="24">
        <v>10450.0</v>
      </c>
      <c r="Q50" s="25">
        <f t="shared" si="1"/>
        <v>0</v>
      </c>
      <c r="R50" s="24"/>
      <c r="S50" s="26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34.5" customHeight="1">
      <c r="A51" s="16">
        <v>47.0</v>
      </c>
      <c r="B51" s="27">
        <v>45530.0</v>
      </c>
      <c r="C51" s="18" t="s">
        <v>1640</v>
      </c>
      <c r="D51" s="19">
        <v>43380.0</v>
      </c>
      <c r="E51" s="20" t="s">
        <v>161</v>
      </c>
      <c r="F51" s="21"/>
      <c r="G51" s="22"/>
      <c r="H51" s="22">
        <v>15000.0</v>
      </c>
      <c r="I51" s="21"/>
      <c r="J51" s="21"/>
      <c r="K51" s="23"/>
      <c r="L51" s="22"/>
      <c r="M51" s="22"/>
      <c r="N51" s="22"/>
      <c r="O51" s="22"/>
      <c r="P51" s="24">
        <v>15000.0</v>
      </c>
      <c r="Q51" s="25">
        <f t="shared" si="1"/>
        <v>0</v>
      </c>
      <c r="R51" s="24"/>
      <c r="S51" s="26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34.5" customHeight="1">
      <c r="A52" s="16">
        <v>48.0</v>
      </c>
      <c r="B52" s="27">
        <v>45530.0</v>
      </c>
      <c r="C52" s="18" t="s">
        <v>1641</v>
      </c>
      <c r="D52" s="19">
        <v>25650.0</v>
      </c>
      <c r="E52" s="20" t="s">
        <v>67</v>
      </c>
      <c r="F52" s="21"/>
      <c r="G52" s="22"/>
      <c r="H52" s="22"/>
      <c r="I52" s="21"/>
      <c r="J52" s="21"/>
      <c r="K52" s="23"/>
      <c r="L52" s="22"/>
      <c r="M52" s="22">
        <v>2250.0</v>
      </c>
      <c r="N52" s="22"/>
      <c r="O52" s="22"/>
      <c r="P52" s="24">
        <v>2250.0</v>
      </c>
      <c r="Q52" s="25">
        <f t="shared" si="1"/>
        <v>0</v>
      </c>
      <c r="R52" s="24"/>
      <c r="S52" s="26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34.5" customHeight="1">
      <c r="A53" s="16"/>
      <c r="B53" s="27"/>
      <c r="C53" s="18"/>
      <c r="D53" s="19"/>
      <c r="E53" s="20"/>
      <c r="F53" s="21"/>
      <c r="G53" s="22"/>
      <c r="H53" s="22"/>
      <c r="I53" s="21"/>
      <c r="J53" s="21"/>
      <c r="K53" s="23"/>
      <c r="L53" s="22"/>
      <c r="M53" s="22"/>
      <c r="N53" s="22"/>
      <c r="O53" s="22"/>
      <c r="P53" s="24"/>
      <c r="Q53" s="25">
        <f t="shared" si="1"/>
        <v>0</v>
      </c>
      <c r="R53" s="24"/>
      <c r="S53" s="26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37.5" customHeight="1">
      <c r="A54" s="16"/>
      <c r="B54" s="27"/>
      <c r="C54" s="18"/>
      <c r="D54" s="19" t="s">
        <v>183</v>
      </c>
      <c r="E54" s="20"/>
      <c r="F54" s="45">
        <f t="shared" ref="F54:Q54" si="2">SUM(F5:F53)</f>
        <v>1100</v>
      </c>
      <c r="G54" s="45">
        <f t="shared" si="2"/>
        <v>0</v>
      </c>
      <c r="H54" s="45">
        <f t="shared" si="2"/>
        <v>44450</v>
      </c>
      <c r="I54" s="45">
        <f t="shared" si="2"/>
        <v>172080</v>
      </c>
      <c r="J54" s="45">
        <f t="shared" si="2"/>
        <v>52770</v>
      </c>
      <c r="K54" s="45">
        <f t="shared" si="2"/>
        <v>42000</v>
      </c>
      <c r="L54" s="45">
        <f t="shared" si="2"/>
        <v>0</v>
      </c>
      <c r="M54" s="45">
        <f t="shared" si="2"/>
        <v>4250</v>
      </c>
      <c r="N54" s="45">
        <f t="shared" si="2"/>
        <v>0</v>
      </c>
      <c r="O54" s="45">
        <f t="shared" si="2"/>
        <v>0</v>
      </c>
      <c r="P54" s="45">
        <f t="shared" si="2"/>
        <v>316650</v>
      </c>
      <c r="Q54" s="45">
        <f t="shared" si="2"/>
        <v>0</v>
      </c>
      <c r="R54" s="47"/>
      <c r="S54" s="26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</row>
    <row r="55" ht="15.75" customHeight="1">
      <c r="A55" s="48"/>
      <c r="B55" s="48"/>
      <c r="C55" s="49"/>
      <c r="D55" s="48"/>
      <c r="E55" s="48"/>
      <c r="F55" s="50">
        <f>F54+G54+H54+I54+J54+K54+L54+M54+N54+O54</f>
        <v>316650</v>
      </c>
      <c r="P55" s="51"/>
      <c r="Q55" s="51"/>
      <c r="R55" s="48"/>
      <c r="S55" s="48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</row>
    <row r="56" ht="15.75" customHeight="1">
      <c r="A56" s="4"/>
      <c r="B56" s="4"/>
      <c r="C56" s="5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3" t="s">
        <v>183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54" t="s">
        <v>1642</v>
      </c>
      <c r="F59" s="55" t="s">
        <v>187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56" t="s">
        <v>186</v>
      </c>
      <c r="F60" s="55" t="s">
        <v>357</v>
      </c>
      <c r="G60" s="4"/>
      <c r="H60" s="4"/>
      <c r="I60" s="4"/>
      <c r="J60" s="4"/>
      <c r="K60" s="4"/>
      <c r="L60" s="4"/>
      <c r="M60" s="4"/>
      <c r="N60" s="4"/>
      <c r="O60" s="57" t="s">
        <v>183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56" t="s">
        <v>188</v>
      </c>
      <c r="F61" s="55" t="s">
        <v>185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56" t="s">
        <v>189</v>
      </c>
      <c r="F62" s="55" t="s">
        <v>185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56" t="s">
        <v>190</v>
      </c>
      <c r="F63" s="61" t="s">
        <v>1643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56" t="s">
        <v>1644</v>
      </c>
      <c r="F64" s="55" t="s">
        <v>185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56" t="s">
        <v>193</v>
      </c>
      <c r="F65" s="55" t="s">
        <v>194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56" t="s">
        <v>195</v>
      </c>
      <c r="F66" s="59" t="s">
        <v>196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57" t="s">
        <v>183</v>
      </c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 t="str">
        <f>I72454</f>
        <v/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57" t="s">
        <v>197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>
        <v>7.0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5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5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5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5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5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5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5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5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5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>
      <c r="A283" s="4"/>
      <c r="B283" s="4"/>
      <c r="C283" s="5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5.75" customHeight="1">
      <c r="A284" s="4"/>
      <c r="B284" s="4"/>
      <c r="C284" s="5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5.75" customHeight="1">
      <c r="A285" s="4"/>
      <c r="B285" s="4"/>
      <c r="C285" s="5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5.75" customHeight="1">
      <c r="A286" s="4"/>
      <c r="B286" s="4"/>
      <c r="C286" s="5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5.75" customHeight="1">
      <c r="A287" s="4"/>
      <c r="B287" s="4"/>
      <c r="C287" s="5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5.75" customHeight="1">
      <c r="A288" s="4"/>
      <c r="B288" s="4"/>
      <c r="C288" s="5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5.75" customHeight="1">
      <c r="A289" s="4"/>
      <c r="B289" s="4"/>
      <c r="C289" s="5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17">
    <mergeCell ref="R2:R4"/>
    <mergeCell ref="S2:S4"/>
    <mergeCell ref="F3:F4"/>
    <mergeCell ref="G3:H3"/>
    <mergeCell ref="I3:J3"/>
    <mergeCell ref="K3:K4"/>
    <mergeCell ref="F55:O55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6.88"/>
    <col customWidth="1" min="6" max="6" width="29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45.0" customHeight="1">
      <c r="A1" s="62" t="s">
        <v>1645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15.75" customHeight="1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5.75" customHeight="1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45530.0</v>
      </c>
      <c r="C5" s="18" t="s">
        <v>1646</v>
      </c>
      <c r="D5" s="19">
        <v>84527.0</v>
      </c>
      <c r="E5" s="20" t="s">
        <v>1647</v>
      </c>
      <c r="F5" s="21">
        <v>2400.0</v>
      </c>
      <c r="G5" s="22"/>
      <c r="H5" s="21"/>
      <c r="I5" s="23"/>
      <c r="J5" s="23"/>
      <c r="K5" s="22"/>
      <c r="L5" s="22"/>
      <c r="M5" s="21"/>
      <c r="N5" s="22"/>
      <c r="O5" s="22"/>
      <c r="P5" s="24">
        <v>2400.0</v>
      </c>
      <c r="Q5" s="25">
        <f t="shared" ref="Q5:Q41" si="1">F5+G5+H5+I5+J5+K5+L5+M5+N5+O5-P5</f>
        <v>0</v>
      </c>
      <c r="R5" s="24" t="s">
        <v>68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45530.0</v>
      </c>
      <c r="C6" s="18" t="s">
        <v>1648</v>
      </c>
      <c r="D6" s="19">
        <v>25376.0</v>
      </c>
      <c r="E6" s="20" t="s">
        <v>1649</v>
      </c>
      <c r="F6" s="21"/>
      <c r="G6" s="22"/>
      <c r="H6" s="22"/>
      <c r="I6" s="21"/>
      <c r="J6" s="22"/>
      <c r="K6" s="22"/>
      <c r="L6" s="22"/>
      <c r="M6" s="21">
        <v>4500.0</v>
      </c>
      <c r="N6" s="22"/>
      <c r="O6" s="22"/>
      <c r="P6" s="24">
        <v>4500.0</v>
      </c>
      <c r="Q6" s="25">
        <f t="shared" si="1"/>
        <v>0</v>
      </c>
      <c r="R6" s="24" t="s">
        <v>25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45531.0</v>
      </c>
      <c r="C7" s="18" t="s">
        <v>1650</v>
      </c>
      <c r="D7" s="19">
        <v>34756.0</v>
      </c>
      <c r="E7" s="20" t="s">
        <v>1651</v>
      </c>
      <c r="F7" s="22"/>
      <c r="G7" s="22"/>
      <c r="H7" s="21"/>
      <c r="I7" s="21"/>
      <c r="J7" s="23">
        <v>2650.0</v>
      </c>
      <c r="K7" s="22"/>
      <c r="L7" s="22"/>
      <c r="M7" s="22"/>
      <c r="N7" s="22"/>
      <c r="O7" s="22"/>
      <c r="P7" s="24">
        <v>2650.0</v>
      </c>
      <c r="Q7" s="25">
        <f t="shared" si="1"/>
        <v>0</v>
      </c>
      <c r="R7" s="24" t="s">
        <v>51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45531.0</v>
      </c>
      <c r="C8" s="18" t="s">
        <v>1652</v>
      </c>
      <c r="D8" s="19">
        <v>55448.0</v>
      </c>
      <c r="E8" s="20" t="s">
        <v>1343</v>
      </c>
      <c r="F8" s="22"/>
      <c r="G8" s="22"/>
      <c r="H8" s="22"/>
      <c r="I8" s="21">
        <v>10000.0</v>
      </c>
      <c r="J8" s="21"/>
      <c r="K8" s="22"/>
      <c r="L8" s="22"/>
      <c r="M8" s="22"/>
      <c r="N8" s="22"/>
      <c r="O8" s="22"/>
      <c r="P8" s="24">
        <v>10000.0</v>
      </c>
      <c r="Q8" s="25">
        <f t="shared" si="1"/>
        <v>0</v>
      </c>
      <c r="R8" s="24" t="s">
        <v>30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45531.0</v>
      </c>
      <c r="C9" s="18" t="s">
        <v>1653</v>
      </c>
      <c r="D9" s="19">
        <v>44149.0</v>
      </c>
      <c r="E9" s="20" t="s">
        <v>231</v>
      </c>
      <c r="F9" s="22"/>
      <c r="G9" s="22"/>
      <c r="H9" s="22"/>
      <c r="I9" s="21">
        <v>7650.0</v>
      </c>
      <c r="J9" s="21"/>
      <c r="K9" s="22"/>
      <c r="L9" s="22"/>
      <c r="M9" s="21"/>
      <c r="N9" s="22"/>
      <c r="O9" s="22"/>
      <c r="P9" s="24">
        <v>7650.0</v>
      </c>
      <c r="Q9" s="25">
        <f t="shared" si="1"/>
        <v>0</v>
      </c>
      <c r="R9" s="24" t="s">
        <v>51</v>
      </c>
      <c r="S9" s="26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45531.0</v>
      </c>
      <c r="C10" s="18" t="s">
        <v>1654</v>
      </c>
      <c r="D10" s="19">
        <v>80158.0</v>
      </c>
      <c r="E10" s="20" t="s">
        <v>1655</v>
      </c>
      <c r="F10" s="22"/>
      <c r="G10" s="22"/>
      <c r="H10" s="22"/>
      <c r="I10" s="21">
        <v>10000.0</v>
      </c>
      <c r="J10" s="21"/>
      <c r="K10" s="22"/>
      <c r="L10" s="22"/>
      <c r="M10" s="21"/>
      <c r="N10" s="22"/>
      <c r="O10" s="22"/>
      <c r="P10" s="24">
        <v>10000.0</v>
      </c>
      <c r="Q10" s="25">
        <f t="shared" si="1"/>
        <v>0</v>
      </c>
      <c r="R10" s="24" t="s">
        <v>30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45531.0</v>
      </c>
      <c r="C11" s="18" t="s">
        <v>1656</v>
      </c>
      <c r="D11" s="19">
        <v>84571.0</v>
      </c>
      <c r="E11" s="20" t="s">
        <v>1657</v>
      </c>
      <c r="F11" s="22"/>
      <c r="G11" s="22"/>
      <c r="H11" s="22"/>
      <c r="I11" s="21">
        <v>7300.0</v>
      </c>
      <c r="J11" s="21"/>
      <c r="K11" s="22"/>
      <c r="L11" s="22"/>
      <c r="M11" s="21"/>
      <c r="N11" s="22"/>
      <c r="O11" s="22"/>
      <c r="P11" s="24">
        <v>7300.0</v>
      </c>
      <c r="Q11" s="25">
        <f t="shared" si="1"/>
        <v>0</v>
      </c>
      <c r="R11" s="24" t="s">
        <v>479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7">
        <v>45531.0</v>
      </c>
      <c r="C12" s="18" t="s">
        <v>1658</v>
      </c>
      <c r="D12" s="19">
        <v>21818.0</v>
      </c>
      <c r="E12" s="20" t="s">
        <v>32</v>
      </c>
      <c r="F12" s="22"/>
      <c r="G12" s="22"/>
      <c r="H12" s="22"/>
      <c r="I12" s="21"/>
      <c r="J12" s="21"/>
      <c r="K12" s="22">
        <v>1000.0</v>
      </c>
      <c r="L12" s="22"/>
      <c r="M12" s="21"/>
      <c r="N12" s="22"/>
      <c r="O12" s="22"/>
      <c r="P12" s="24">
        <v>1000.0</v>
      </c>
      <c r="Q12" s="25">
        <f t="shared" si="1"/>
        <v>0</v>
      </c>
      <c r="R12" s="24" t="s">
        <v>25</v>
      </c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8">
        <v>45531.0</v>
      </c>
      <c r="C13" s="29" t="s">
        <v>1659</v>
      </c>
      <c r="D13" s="30">
        <v>24368.0</v>
      </c>
      <c r="E13" s="31" t="s">
        <v>646</v>
      </c>
      <c r="F13" s="22"/>
      <c r="G13" s="22"/>
      <c r="H13" s="22"/>
      <c r="I13" s="21">
        <v>2000.0</v>
      </c>
      <c r="J13" s="21"/>
      <c r="K13" s="22"/>
      <c r="L13" s="22"/>
      <c r="M13" s="21"/>
      <c r="N13" s="22"/>
      <c r="O13" s="22"/>
      <c r="P13" s="32">
        <v>2000.0</v>
      </c>
      <c r="Q13" s="25">
        <f t="shared" si="1"/>
        <v>0</v>
      </c>
      <c r="R13" s="32" t="s">
        <v>30</v>
      </c>
      <c r="S13" s="26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 ht="34.5" customHeight="1">
      <c r="A14" s="16">
        <v>10.0</v>
      </c>
      <c r="B14" s="27">
        <v>45531.0</v>
      </c>
      <c r="C14" s="18" t="s">
        <v>1660</v>
      </c>
      <c r="D14" s="19">
        <v>36769.0</v>
      </c>
      <c r="E14" s="20" t="s">
        <v>547</v>
      </c>
      <c r="F14" s="22"/>
      <c r="G14" s="22"/>
      <c r="H14" s="22"/>
      <c r="I14" s="21">
        <v>7650.0</v>
      </c>
      <c r="J14" s="21"/>
      <c r="K14" s="22"/>
      <c r="L14" s="22"/>
      <c r="M14" s="21"/>
      <c r="N14" s="22"/>
      <c r="O14" s="22"/>
      <c r="P14" s="24">
        <v>7650.0</v>
      </c>
      <c r="Q14" s="25">
        <f t="shared" si="1"/>
        <v>0</v>
      </c>
      <c r="R14" s="24" t="s">
        <v>51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45531.0</v>
      </c>
      <c r="C15" s="18" t="s">
        <v>1661</v>
      </c>
      <c r="D15" s="19">
        <v>81107.0</v>
      </c>
      <c r="E15" s="20" t="s">
        <v>1064</v>
      </c>
      <c r="F15" s="22"/>
      <c r="G15" s="22"/>
      <c r="H15" s="22"/>
      <c r="I15" s="21">
        <v>14500.0</v>
      </c>
      <c r="J15" s="21"/>
      <c r="K15" s="22"/>
      <c r="L15" s="22"/>
      <c r="M15" s="21"/>
      <c r="N15" s="22"/>
      <c r="O15" s="22"/>
      <c r="P15" s="24">
        <v>14500.0</v>
      </c>
      <c r="Q15" s="25">
        <f t="shared" si="1"/>
        <v>0</v>
      </c>
      <c r="R15" s="24" t="s">
        <v>30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45531.0</v>
      </c>
      <c r="C16" s="18" t="s">
        <v>1662</v>
      </c>
      <c r="D16" s="19">
        <v>10744.0</v>
      </c>
      <c r="E16" s="20" t="s">
        <v>1448</v>
      </c>
      <c r="F16" s="22"/>
      <c r="G16" s="22"/>
      <c r="H16" s="22"/>
      <c r="I16" s="21">
        <v>15300.0</v>
      </c>
      <c r="J16" s="21"/>
      <c r="K16" s="22"/>
      <c r="L16" s="22"/>
      <c r="M16" s="21"/>
      <c r="N16" s="22"/>
      <c r="O16" s="22"/>
      <c r="P16" s="24">
        <v>15300.0</v>
      </c>
      <c r="Q16" s="25">
        <f t="shared" si="1"/>
        <v>0</v>
      </c>
      <c r="R16" s="24" t="s">
        <v>479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45531.0</v>
      </c>
      <c r="C17" s="18" t="s">
        <v>1663</v>
      </c>
      <c r="D17" s="19">
        <v>51939.0</v>
      </c>
      <c r="E17" s="20" t="s">
        <v>599</v>
      </c>
      <c r="F17" s="22"/>
      <c r="G17" s="22"/>
      <c r="H17" s="22"/>
      <c r="I17" s="21">
        <v>10600.0</v>
      </c>
      <c r="J17" s="21"/>
      <c r="K17" s="22"/>
      <c r="L17" s="22"/>
      <c r="M17" s="21"/>
      <c r="N17" s="22"/>
      <c r="O17" s="22"/>
      <c r="P17" s="24">
        <v>10600.0</v>
      </c>
      <c r="Q17" s="25">
        <f t="shared" si="1"/>
        <v>0</v>
      </c>
      <c r="R17" s="24" t="s">
        <v>30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7">
        <v>45531.0</v>
      </c>
      <c r="C18" s="18" t="s">
        <v>1664</v>
      </c>
      <c r="D18" s="19">
        <v>31738.0</v>
      </c>
      <c r="E18" s="20" t="s">
        <v>686</v>
      </c>
      <c r="F18" s="22"/>
      <c r="G18" s="22"/>
      <c r="H18" s="22"/>
      <c r="I18" s="21">
        <v>1200.0</v>
      </c>
      <c r="J18" s="21"/>
      <c r="K18" s="22"/>
      <c r="L18" s="22"/>
      <c r="M18" s="22"/>
      <c r="N18" s="22"/>
      <c r="O18" s="22"/>
      <c r="P18" s="24">
        <v>1200.0</v>
      </c>
      <c r="Q18" s="25">
        <f t="shared" si="1"/>
        <v>0</v>
      </c>
      <c r="R18" s="24" t="s">
        <v>30</v>
      </c>
      <c r="S18" s="26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28">
        <v>45531.0</v>
      </c>
      <c r="C19" s="29" t="s">
        <v>1665</v>
      </c>
      <c r="D19" s="30">
        <v>13762.0</v>
      </c>
      <c r="E19" s="31" t="s">
        <v>244</v>
      </c>
      <c r="F19" s="22"/>
      <c r="G19" s="22"/>
      <c r="H19" s="22"/>
      <c r="I19" s="21"/>
      <c r="J19" s="21">
        <v>1000.0</v>
      </c>
      <c r="K19" s="22"/>
      <c r="L19" s="22"/>
      <c r="M19" s="21"/>
      <c r="N19" s="22"/>
      <c r="O19" s="22"/>
      <c r="P19" s="32">
        <v>1000.0</v>
      </c>
      <c r="Q19" s="25">
        <f t="shared" si="1"/>
        <v>0</v>
      </c>
      <c r="R19" s="32" t="s">
        <v>68</v>
      </c>
      <c r="S19" s="26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ht="34.5" customHeight="1">
      <c r="A20" s="16">
        <v>16.0</v>
      </c>
      <c r="B20" s="27">
        <v>45531.0</v>
      </c>
      <c r="C20" s="18" t="s">
        <v>1666</v>
      </c>
      <c r="D20" s="19">
        <v>13762.0</v>
      </c>
      <c r="E20" s="20" t="s">
        <v>244</v>
      </c>
      <c r="F20" s="22"/>
      <c r="G20" s="22"/>
      <c r="H20" s="22"/>
      <c r="I20" s="23"/>
      <c r="J20" s="21">
        <v>4500.0</v>
      </c>
      <c r="K20" s="22"/>
      <c r="L20" s="22"/>
      <c r="M20" s="22"/>
      <c r="N20" s="22"/>
      <c r="O20" s="22"/>
      <c r="P20" s="24">
        <v>4500.0</v>
      </c>
      <c r="Q20" s="25">
        <f t="shared" si="1"/>
        <v>0</v>
      </c>
      <c r="R20" s="24" t="s">
        <v>68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45531.0</v>
      </c>
      <c r="C21" s="18" t="s">
        <v>1667</v>
      </c>
      <c r="D21" s="19">
        <v>77431.0</v>
      </c>
      <c r="E21" s="20" t="s">
        <v>1668</v>
      </c>
      <c r="F21" s="21"/>
      <c r="G21" s="22"/>
      <c r="H21" s="22"/>
      <c r="I21" s="34"/>
      <c r="J21" s="21">
        <v>4500.0</v>
      </c>
      <c r="K21" s="35"/>
      <c r="L21" s="22"/>
      <c r="M21" s="22"/>
      <c r="N21" s="22"/>
      <c r="O21" s="22"/>
      <c r="P21" s="24">
        <v>4500.0</v>
      </c>
      <c r="Q21" s="25">
        <f t="shared" si="1"/>
        <v>0</v>
      </c>
      <c r="R21" s="24" t="s">
        <v>68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7">
        <v>45531.0</v>
      </c>
      <c r="C22" s="18" t="s">
        <v>1669</v>
      </c>
      <c r="D22" s="19">
        <v>13762.0</v>
      </c>
      <c r="E22" s="20" t="s">
        <v>244</v>
      </c>
      <c r="F22" s="21"/>
      <c r="G22" s="22"/>
      <c r="H22" s="22"/>
      <c r="I22" s="21"/>
      <c r="J22" s="21">
        <v>15000.0</v>
      </c>
      <c r="K22" s="21"/>
      <c r="L22" s="22"/>
      <c r="M22" s="22"/>
      <c r="N22" s="22"/>
      <c r="O22" s="22"/>
      <c r="P22" s="24">
        <v>15000.0</v>
      </c>
      <c r="Q22" s="25">
        <f t="shared" si="1"/>
        <v>0</v>
      </c>
      <c r="R22" s="24" t="s">
        <v>68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36">
        <v>45531.0</v>
      </c>
      <c r="C23" s="37" t="s">
        <v>1670</v>
      </c>
      <c r="D23" s="38">
        <v>83066.0</v>
      </c>
      <c r="E23" s="39" t="s">
        <v>45</v>
      </c>
      <c r="F23" s="34"/>
      <c r="G23" s="40"/>
      <c r="H23" s="40"/>
      <c r="I23" s="34"/>
      <c r="J23" s="21">
        <v>2000.0</v>
      </c>
      <c r="K23" s="41"/>
      <c r="L23" s="40"/>
      <c r="M23" s="40"/>
      <c r="N23" s="40"/>
      <c r="O23" s="40"/>
      <c r="P23" s="42">
        <v>2000.0</v>
      </c>
      <c r="Q23" s="25">
        <f t="shared" si="1"/>
        <v>0</v>
      </c>
      <c r="R23" s="42" t="s">
        <v>68</v>
      </c>
      <c r="S23" s="26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</row>
    <row r="24" ht="34.5" customHeight="1">
      <c r="A24" s="16">
        <v>20.0</v>
      </c>
      <c r="B24" s="27">
        <v>45531.0</v>
      </c>
      <c r="C24" s="18" t="s">
        <v>1671</v>
      </c>
      <c r="D24" s="19">
        <v>39803.0</v>
      </c>
      <c r="E24" s="20" t="s">
        <v>444</v>
      </c>
      <c r="F24" s="21"/>
      <c r="G24" s="22"/>
      <c r="H24" s="22"/>
      <c r="I24" s="21">
        <v>2650.0</v>
      </c>
      <c r="J24" s="21"/>
      <c r="K24" s="35"/>
      <c r="L24" s="22"/>
      <c r="M24" s="22"/>
      <c r="N24" s="22"/>
      <c r="O24" s="22"/>
      <c r="P24" s="24">
        <v>2650.0</v>
      </c>
      <c r="Q24" s="25">
        <f t="shared" si="1"/>
        <v>0</v>
      </c>
      <c r="R24" s="24" t="s">
        <v>25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45531.0</v>
      </c>
      <c r="C25" s="18" t="s">
        <v>1672</v>
      </c>
      <c r="D25" s="19">
        <v>52032.0</v>
      </c>
      <c r="E25" s="20" t="s">
        <v>1673</v>
      </c>
      <c r="F25" s="21"/>
      <c r="G25" s="22"/>
      <c r="H25" s="22"/>
      <c r="I25" s="21">
        <v>350.0</v>
      </c>
      <c r="J25" s="21"/>
      <c r="K25" s="35"/>
      <c r="L25" s="22"/>
      <c r="M25" s="22"/>
      <c r="N25" s="22"/>
      <c r="O25" s="22"/>
      <c r="P25" s="24">
        <v>350.0</v>
      </c>
      <c r="Q25" s="25">
        <f t="shared" si="1"/>
        <v>0</v>
      </c>
      <c r="R25" s="24" t="s">
        <v>25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45531.0</v>
      </c>
      <c r="C26" s="18" t="s">
        <v>1674</v>
      </c>
      <c r="D26" s="19">
        <v>84114.0</v>
      </c>
      <c r="E26" s="20" t="s">
        <v>524</v>
      </c>
      <c r="F26" s="21"/>
      <c r="G26" s="22"/>
      <c r="H26" s="22"/>
      <c r="I26" s="35">
        <v>5150.0</v>
      </c>
      <c r="J26" s="21"/>
      <c r="K26" s="35"/>
      <c r="L26" s="22"/>
      <c r="M26" s="22"/>
      <c r="N26" s="22"/>
      <c r="O26" s="22"/>
      <c r="P26" s="24">
        <v>5150.0</v>
      </c>
      <c r="Q26" s="25">
        <f t="shared" si="1"/>
        <v>0</v>
      </c>
      <c r="R26" s="24" t="s">
        <v>479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45531.0</v>
      </c>
      <c r="C27" s="18" t="s">
        <v>1675</v>
      </c>
      <c r="D27" s="19">
        <v>57499.0</v>
      </c>
      <c r="E27" s="20" t="s">
        <v>864</v>
      </c>
      <c r="F27" s="21"/>
      <c r="G27" s="22"/>
      <c r="H27" s="22"/>
      <c r="I27" s="21">
        <v>5000.0</v>
      </c>
      <c r="J27" s="21"/>
      <c r="K27" s="35"/>
      <c r="L27" s="22"/>
      <c r="M27" s="22"/>
      <c r="N27" s="22"/>
      <c r="O27" s="22"/>
      <c r="P27" s="24">
        <v>5000.0</v>
      </c>
      <c r="Q27" s="25">
        <f t="shared" si="1"/>
        <v>0</v>
      </c>
      <c r="R27" s="24" t="s">
        <v>30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45531.0</v>
      </c>
      <c r="C28" s="18" t="s">
        <v>1676</v>
      </c>
      <c r="D28" s="19">
        <v>70684.0</v>
      </c>
      <c r="E28" s="20" t="s">
        <v>1677</v>
      </c>
      <c r="F28" s="21"/>
      <c r="G28" s="22"/>
      <c r="H28" s="22"/>
      <c r="I28" s="21"/>
      <c r="J28" s="21">
        <v>25000.0</v>
      </c>
      <c r="K28" s="35"/>
      <c r="L28" s="22"/>
      <c r="M28" s="22"/>
      <c r="N28" s="22"/>
      <c r="O28" s="22"/>
      <c r="P28" s="24">
        <v>25000.0</v>
      </c>
      <c r="Q28" s="25">
        <f t="shared" si="1"/>
        <v>0</v>
      </c>
      <c r="R28" s="24" t="s">
        <v>30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45531.0</v>
      </c>
      <c r="C29" s="18" t="s">
        <v>1678</v>
      </c>
      <c r="D29" s="19">
        <v>53249.0</v>
      </c>
      <c r="E29" s="20" t="s">
        <v>401</v>
      </c>
      <c r="F29" s="21"/>
      <c r="G29" s="22"/>
      <c r="H29" s="22"/>
      <c r="I29" s="21"/>
      <c r="J29" s="21">
        <v>16000.0</v>
      </c>
      <c r="K29" s="23"/>
      <c r="L29" s="22"/>
      <c r="M29" s="22"/>
      <c r="N29" s="22"/>
      <c r="O29" s="22"/>
      <c r="P29" s="24">
        <v>16000.0</v>
      </c>
      <c r="Q29" s="25">
        <f t="shared" si="1"/>
        <v>0</v>
      </c>
      <c r="R29" s="24" t="s">
        <v>25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45531.0</v>
      </c>
      <c r="C30" s="18" t="s">
        <v>1679</v>
      </c>
      <c r="D30" s="19">
        <v>58818.0</v>
      </c>
      <c r="E30" s="20" t="s">
        <v>833</v>
      </c>
      <c r="F30" s="21"/>
      <c r="G30" s="22"/>
      <c r="H30" s="22"/>
      <c r="I30" s="21"/>
      <c r="J30" s="21">
        <v>1000.0</v>
      </c>
      <c r="K30" s="23"/>
      <c r="L30" s="22"/>
      <c r="M30" s="22"/>
      <c r="N30" s="22"/>
      <c r="O30" s="22"/>
      <c r="P30" s="24">
        <v>1000.0</v>
      </c>
      <c r="Q30" s="25">
        <f t="shared" si="1"/>
        <v>0</v>
      </c>
      <c r="R30" s="24" t="s">
        <v>25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45531.0</v>
      </c>
      <c r="C31" s="18" t="s">
        <v>1680</v>
      </c>
      <c r="D31" s="19">
        <v>52083.0</v>
      </c>
      <c r="E31" s="20" t="s">
        <v>122</v>
      </c>
      <c r="F31" s="21"/>
      <c r="G31" s="22"/>
      <c r="H31" s="22"/>
      <c r="I31" s="21">
        <v>3400.0</v>
      </c>
      <c r="J31" s="21"/>
      <c r="K31" s="23"/>
      <c r="L31" s="22"/>
      <c r="M31" s="22"/>
      <c r="N31" s="22"/>
      <c r="O31" s="22"/>
      <c r="P31" s="24">
        <v>3400.0</v>
      </c>
      <c r="Q31" s="25">
        <f t="shared" si="1"/>
        <v>0</v>
      </c>
      <c r="R31" s="24" t="s">
        <v>25</v>
      </c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45531.0</v>
      </c>
      <c r="C32" s="18" t="s">
        <v>1681</v>
      </c>
      <c r="D32" s="19">
        <v>36555.0</v>
      </c>
      <c r="E32" s="20" t="s">
        <v>63</v>
      </c>
      <c r="F32" s="21"/>
      <c r="G32" s="22"/>
      <c r="H32" s="22"/>
      <c r="I32" s="21">
        <v>4500.0</v>
      </c>
      <c r="J32" s="21"/>
      <c r="K32" s="23"/>
      <c r="L32" s="22"/>
      <c r="M32" s="22"/>
      <c r="N32" s="22"/>
      <c r="O32" s="22"/>
      <c r="P32" s="24">
        <v>4500.0</v>
      </c>
      <c r="Q32" s="25">
        <f t="shared" si="1"/>
        <v>0</v>
      </c>
      <c r="R32" s="24" t="s">
        <v>30</v>
      </c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45531.0</v>
      </c>
      <c r="C33" s="18" t="s">
        <v>1682</v>
      </c>
      <c r="D33" s="19">
        <v>52669.0</v>
      </c>
      <c r="E33" s="20" t="s">
        <v>310</v>
      </c>
      <c r="F33" s="21"/>
      <c r="G33" s="22"/>
      <c r="H33" s="22">
        <v>31500.0</v>
      </c>
      <c r="I33" s="21"/>
      <c r="J33" s="21"/>
      <c r="K33" s="23"/>
      <c r="L33" s="22"/>
      <c r="M33" s="22"/>
      <c r="N33" s="22"/>
      <c r="O33" s="22"/>
      <c r="P33" s="24">
        <v>31500.0</v>
      </c>
      <c r="Q33" s="25">
        <f t="shared" si="1"/>
        <v>0</v>
      </c>
      <c r="R33" s="24"/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7">
        <v>45531.0</v>
      </c>
      <c r="C34" s="18" t="s">
        <v>1683</v>
      </c>
      <c r="D34" s="19">
        <v>52215.0</v>
      </c>
      <c r="E34" s="20" t="s">
        <v>1684</v>
      </c>
      <c r="F34" s="21"/>
      <c r="G34" s="22"/>
      <c r="H34" s="22">
        <v>9000.0</v>
      </c>
      <c r="I34" s="21"/>
      <c r="J34" s="21"/>
      <c r="K34" s="23"/>
      <c r="L34" s="22"/>
      <c r="M34" s="22"/>
      <c r="N34" s="22"/>
      <c r="O34" s="22"/>
      <c r="P34" s="24">
        <v>9000.0</v>
      </c>
      <c r="Q34" s="25">
        <f t="shared" si="1"/>
        <v>0</v>
      </c>
      <c r="R34" s="24"/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7">
        <v>45531.0</v>
      </c>
      <c r="C35" s="18" t="s">
        <v>1685</v>
      </c>
      <c r="D35" s="19">
        <v>31927.0</v>
      </c>
      <c r="E35" s="20" t="s">
        <v>168</v>
      </c>
      <c r="F35" s="21"/>
      <c r="G35" s="22"/>
      <c r="H35" s="22"/>
      <c r="I35" s="21"/>
      <c r="J35" s="21"/>
      <c r="K35" s="23"/>
      <c r="L35" s="22"/>
      <c r="M35" s="22">
        <v>450.0</v>
      </c>
      <c r="N35" s="22"/>
      <c r="O35" s="22"/>
      <c r="P35" s="24">
        <v>450.0</v>
      </c>
      <c r="Q35" s="25">
        <f t="shared" si="1"/>
        <v>0</v>
      </c>
      <c r="R35" s="24"/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7">
        <v>45531.0</v>
      </c>
      <c r="C36" s="18" t="s">
        <v>1686</v>
      </c>
      <c r="D36" s="19">
        <v>43380.0</v>
      </c>
      <c r="E36" s="20" t="s">
        <v>161</v>
      </c>
      <c r="F36" s="21"/>
      <c r="G36" s="22"/>
      <c r="H36" s="22">
        <v>10000.0</v>
      </c>
      <c r="I36" s="21"/>
      <c r="J36" s="21"/>
      <c r="K36" s="23"/>
      <c r="L36" s="22"/>
      <c r="M36" s="22"/>
      <c r="N36" s="22"/>
      <c r="O36" s="22"/>
      <c r="P36" s="24">
        <v>10000.0</v>
      </c>
      <c r="Q36" s="25">
        <f t="shared" si="1"/>
        <v>0</v>
      </c>
      <c r="R36" s="24"/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7">
        <v>45531.0</v>
      </c>
      <c r="C37" s="18" t="s">
        <v>1687</v>
      </c>
      <c r="D37" s="19">
        <v>68284.0</v>
      </c>
      <c r="E37" s="20" t="s">
        <v>727</v>
      </c>
      <c r="F37" s="21"/>
      <c r="G37" s="22"/>
      <c r="H37" s="22">
        <v>20600.0</v>
      </c>
      <c r="I37" s="21"/>
      <c r="J37" s="21"/>
      <c r="K37" s="23"/>
      <c r="L37" s="22"/>
      <c r="M37" s="22"/>
      <c r="N37" s="22"/>
      <c r="O37" s="22"/>
      <c r="P37" s="24">
        <v>20600.0</v>
      </c>
      <c r="Q37" s="25">
        <f t="shared" si="1"/>
        <v>0</v>
      </c>
      <c r="R37" s="24"/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7">
        <v>45531.0</v>
      </c>
      <c r="C38" s="18" t="s">
        <v>1688</v>
      </c>
      <c r="D38" s="19">
        <v>43380.0</v>
      </c>
      <c r="E38" s="20" t="s">
        <v>161</v>
      </c>
      <c r="F38" s="21"/>
      <c r="G38" s="22"/>
      <c r="H38" s="22">
        <v>9000.0</v>
      </c>
      <c r="I38" s="21"/>
      <c r="J38" s="21"/>
      <c r="K38" s="23"/>
      <c r="L38" s="22"/>
      <c r="M38" s="22"/>
      <c r="N38" s="22"/>
      <c r="O38" s="22"/>
      <c r="P38" s="24">
        <v>9000.0</v>
      </c>
      <c r="Q38" s="25">
        <f t="shared" si="1"/>
        <v>0</v>
      </c>
      <c r="R38" s="24"/>
      <c r="S38" s="26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7">
        <v>45531.0</v>
      </c>
      <c r="C39" s="18" t="s">
        <v>1689</v>
      </c>
      <c r="D39" s="19">
        <v>50595.0</v>
      </c>
      <c r="E39" s="20" t="s">
        <v>163</v>
      </c>
      <c r="F39" s="21"/>
      <c r="G39" s="22"/>
      <c r="H39" s="22">
        <v>26900.0</v>
      </c>
      <c r="I39" s="21"/>
      <c r="J39" s="21"/>
      <c r="K39" s="23"/>
      <c r="L39" s="22"/>
      <c r="M39" s="22"/>
      <c r="N39" s="22"/>
      <c r="O39" s="22"/>
      <c r="P39" s="24">
        <v>26900.0</v>
      </c>
      <c r="Q39" s="25">
        <f t="shared" si="1"/>
        <v>0</v>
      </c>
      <c r="R39" s="24"/>
      <c r="S39" s="26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7">
        <v>45531.0</v>
      </c>
      <c r="C40" s="18" t="s">
        <v>1690</v>
      </c>
      <c r="D40" s="19">
        <v>30895.0</v>
      </c>
      <c r="E40" s="20" t="s">
        <v>1286</v>
      </c>
      <c r="F40" s="21"/>
      <c r="G40" s="22"/>
      <c r="H40" s="22">
        <v>14500.0</v>
      </c>
      <c r="I40" s="21"/>
      <c r="J40" s="21"/>
      <c r="K40" s="23"/>
      <c r="L40" s="22"/>
      <c r="M40" s="22"/>
      <c r="N40" s="22"/>
      <c r="O40" s="22"/>
      <c r="P40" s="24">
        <v>14500.0</v>
      </c>
      <c r="Q40" s="25">
        <f t="shared" si="1"/>
        <v>0</v>
      </c>
      <c r="R40" s="24"/>
      <c r="S40" s="26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/>
      <c r="B41" s="27"/>
      <c r="C41" s="18"/>
      <c r="D41" s="19"/>
      <c r="E41" s="20"/>
      <c r="F41" s="21"/>
      <c r="G41" s="22"/>
      <c r="H41" s="22"/>
      <c r="I41" s="21"/>
      <c r="J41" s="21"/>
      <c r="K41" s="23"/>
      <c r="L41" s="22"/>
      <c r="M41" s="22"/>
      <c r="N41" s="22"/>
      <c r="O41" s="22"/>
      <c r="P41" s="24"/>
      <c r="Q41" s="25">
        <f t="shared" si="1"/>
        <v>0</v>
      </c>
      <c r="R41" s="24"/>
      <c r="S41" s="26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7.5" customHeight="1">
      <c r="A42" s="16"/>
      <c r="B42" s="27"/>
      <c r="C42" s="18"/>
      <c r="D42" s="19" t="s">
        <v>183</v>
      </c>
      <c r="E42" s="20"/>
      <c r="F42" s="45">
        <f t="shared" ref="F42:Q42" si="2">SUM(F5:F41)</f>
        <v>2400</v>
      </c>
      <c r="G42" s="45">
        <f t="shared" si="2"/>
        <v>0</v>
      </c>
      <c r="H42" s="45">
        <f t="shared" si="2"/>
        <v>121500</v>
      </c>
      <c r="I42" s="45">
        <f t="shared" si="2"/>
        <v>107250</v>
      </c>
      <c r="J42" s="45">
        <f t="shared" si="2"/>
        <v>71650</v>
      </c>
      <c r="K42" s="45">
        <f t="shared" si="2"/>
        <v>1000</v>
      </c>
      <c r="L42" s="45">
        <f t="shared" si="2"/>
        <v>0</v>
      </c>
      <c r="M42" s="45">
        <f t="shared" si="2"/>
        <v>4950</v>
      </c>
      <c r="N42" s="45">
        <f t="shared" si="2"/>
        <v>0</v>
      </c>
      <c r="O42" s="45">
        <f t="shared" si="2"/>
        <v>0</v>
      </c>
      <c r="P42" s="45">
        <f t="shared" si="2"/>
        <v>308750</v>
      </c>
      <c r="Q42" s="45">
        <f t="shared" si="2"/>
        <v>0</v>
      </c>
      <c r="R42" s="47"/>
      <c r="S42" s="26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</row>
    <row r="43" ht="15.75" customHeight="1">
      <c r="A43" s="48"/>
      <c r="B43" s="48"/>
      <c r="C43" s="49"/>
      <c r="D43" s="48"/>
      <c r="E43" s="48"/>
      <c r="F43" s="50">
        <f>F42+G42+H42+I42+J42+K42+L42+M42+N42+O42</f>
        <v>308750</v>
      </c>
      <c r="P43" s="51"/>
      <c r="Q43" s="51"/>
      <c r="R43" s="48"/>
      <c r="S43" s="48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</row>
    <row r="44" ht="15.75" customHeight="1">
      <c r="A44" s="4"/>
      <c r="B44" s="4"/>
      <c r="C44" s="5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5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53" t="s">
        <v>183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52"/>
      <c r="D47" s="4"/>
      <c r="E47" s="54" t="s">
        <v>1642</v>
      </c>
      <c r="F47" s="55" t="s">
        <v>187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2"/>
      <c r="D48" s="4"/>
      <c r="E48" s="56" t="s">
        <v>186</v>
      </c>
      <c r="F48" s="55" t="s">
        <v>187</v>
      </c>
      <c r="G48" s="4"/>
      <c r="H48" s="4"/>
      <c r="I48" s="4"/>
      <c r="J48" s="4"/>
      <c r="K48" s="4"/>
      <c r="L48" s="4"/>
      <c r="M48" s="4"/>
      <c r="N48" s="4"/>
      <c r="O48" s="57" t="s">
        <v>183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2"/>
      <c r="D49" s="4"/>
      <c r="E49" s="56" t="s">
        <v>188</v>
      </c>
      <c r="F49" s="55" t="s">
        <v>194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2"/>
      <c r="D50" s="4"/>
      <c r="E50" s="56" t="s">
        <v>189</v>
      </c>
      <c r="F50" s="55" t="s">
        <v>194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2"/>
      <c r="D51" s="4"/>
      <c r="E51" s="56" t="s">
        <v>190</v>
      </c>
      <c r="F51" s="63" t="s">
        <v>187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2"/>
      <c r="D52" s="4"/>
      <c r="E52" s="56" t="s">
        <v>1691</v>
      </c>
      <c r="F52" s="55" t="s">
        <v>194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56" t="s">
        <v>193</v>
      </c>
      <c r="F53" s="55" t="s">
        <v>194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2"/>
      <c r="D54" s="4"/>
      <c r="E54" s="56" t="s">
        <v>195</v>
      </c>
      <c r="F54" s="59" t="s">
        <v>196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57" t="s">
        <v>183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4"/>
      <c r="F55" s="4"/>
      <c r="G55" s="4"/>
      <c r="H55" s="4"/>
      <c r="I55" s="4"/>
      <c r="J55" s="4"/>
      <c r="K55" s="4" t="str">
        <f>I72442</f>
        <v/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4"/>
      <c r="J59" s="4"/>
      <c r="K59" s="4"/>
      <c r="L59" s="6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57" t="s">
        <v>197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>
        <v>7.0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5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5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5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5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7">
    <mergeCell ref="R2:R4"/>
    <mergeCell ref="S2:S4"/>
    <mergeCell ref="F3:F4"/>
    <mergeCell ref="G3:H3"/>
    <mergeCell ref="I3:J3"/>
    <mergeCell ref="K3:K4"/>
    <mergeCell ref="F43:O43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6.88"/>
    <col customWidth="1" min="6" max="6" width="29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45.0" customHeight="1">
      <c r="A1" s="62" t="s">
        <v>1692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15.75" customHeight="1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5.75" customHeight="1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45531.0</v>
      </c>
      <c r="C5" s="18" t="s">
        <v>1693</v>
      </c>
      <c r="D5" s="19">
        <v>79965.0</v>
      </c>
      <c r="E5" s="20" t="s">
        <v>1694</v>
      </c>
      <c r="F5" s="21"/>
      <c r="G5" s="22"/>
      <c r="H5" s="21"/>
      <c r="I5" s="23">
        <v>1000.0</v>
      </c>
      <c r="J5" s="23"/>
      <c r="K5" s="22"/>
      <c r="L5" s="22"/>
      <c r="M5" s="21"/>
      <c r="N5" s="22"/>
      <c r="O5" s="22"/>
      <c r="P5" s="24">
        <v>1000.0</v>
      </c>
      <c r="Q5" s="25">
        <f t="shared" ref="Q5:Q34" si="1">F5+G5+H5+I5+J5+K5+L5+M5+N5+O5-P5</f>
        <v>0</v>
      </c>
      <c r="R5" s="24" t="s">
        <v>30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45531.0</v>
      </c>
      <c r="C6" s="18" t="s">
        <v>1695</v>
      </c>
      <c r="D6" s="19">
        <v>64870.0</v>
      </c>
      <c r="E6" s="20" t="s">
        <v>1696</v>
      </c>
      <c r="F6" s="21"/>
      <c r="G6" s="22"/>
      <c r="H6" s="22"/>
      <c r="I6" s="21">
        <v>1250.0</v>
      </c>
      <c r="J6" s="22"/>
      <c r="K6" s="22"/>
      <c r="L6" s="22"/>
      <c r="M6" s="21"/>
      <c r="N6" s="22"/>
      <c r="O6" s="22"/>
      <c r="P6" s="24">
        <v>1250.0</v>
      </c>
      <c r="Q6" s="25">
        <f t="shared" si="1"/>
        <v>0</v>
      </c>
      <c r="R6" s="24" t="s">
        <v>25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45532.0</v>
      </c>
      <c r="C7" s="18" t="s">
        <v>1697</v>
      </c>
      <c r="D7" s="19">
        <v>10250.0</v>
      </c>
      <c r="E7" s="20" t="s">
        <v>36</v>
      </c>
      <c r="F7" s="22"/>
      <c r="G7" s="22"/>
      <c r="H7" s="21"/>
      <c r="I7" s="21">
        <v>1000.0</v>
      </c>
      <c r="J7" s="23"/>
      <c r="K7" s="22"/>
      <c r="L7" s="22"/>
      <c r="M7" s="22"/>
      <c r="N7" s="22"/>
      <c r="O7" s="22"/>
      <c r="P7" s="24">
        <v>1000.0</v>
      </c>
      <c r="Q7" s="25">
        <f t="shared" si="1"/>
        <v>0</v>
      </c>
      <c r="R7" s="24" t="s">
        <v>51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45532.0</v>
      </c>
      <c r="C8" s="18" t="s">
        <v>1698</v>
      </c>
      <c r="D8" s="19">
        <v>54226.0</v>
      </c>
      <c r="E8" s="20" t="s">
        <v>811</v>
      </c>
      <c r="F8" s="22"/>
      <c r="G8" s="22"/>
      <c r="H8" s="22"/>
      <c r="I8" s="21">
        <v>10000.0</v>
      </c>
      <c r="J8" s="21"/>
      <c r="K8" s="22"/>
      <c r="L8" s="22"/>
      <c r="M8" s="22"/>
      <c r="N8" s="22"/>
      <c r="O8" s="22"/>
      <c r="P8" s="24">
        <v>10000.0</v>
      </c>
      <c r="Q8" s="25">
        <f t="shared" si="1"/>
        <v>0</v>
      </c>
      <c r="R8" s="24" t="s">
        <v>30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45532.0</v>
      </c>
      <c r="C9" s="18" t="s">
        <v>1699</v>
      </c>
      <c r="D9" s="19">
        <v>29621.0</v>
      </c>
      <c r="E9" s="20" t="s">
        <v>133</v>
      </c>
      <c r="F9" s="22"/>
      <c r="G9" s="22"/>
      <c r="H9" s="22"/>
      <c r="I9" s="21">
        <v>1600.0</v>
      </c>
      <c r="J9" s="21"/>
      <c r="K9" s="22"/>
      <c r="L9" s="22"/>
      <c r="M9" s="21"/>
      <c r="N9" s="22"/>
      <c r="O9" s="22"/>
      <c r="P9" s="24">
        <v>1600.0</v>
      </c>
      <c r="Q9" s="25">
        <f t="shared" si="1"/>
        <v>0</v>
      </c>
      <c r="R9" s="24" t="s">
        <v>479</v>
      </c>
      <c r="S9" s="26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45532.0</v>
      </c>
      <c r="C10" s="18" t="s">
        <v>1700</v>
      </c>
      <c r="D10" s="19">
        <v>55555.0</v>
      </c>
      <c r="E10" s="20" t="s">
        <v>1701</v>
      </c>
      <c r="F10" s="22"/>
      <c r="G10" s="22"/>
      <c r="H10" s="22"/>
      <c r="I10" s="21">
        <v>2000.0</v>
      </c>
      <c r="J10" s="21"/>
      <c r="K10" s="22"/>
      <c r="L10" s="22"/>
      <c r="M10" s="21"/>
      <c r="N10" s="22"/>
      <c r="O10" s="22"/>
      <c r="P10" s="24">
        <v>2000.0</v>
      </c>
      <c r="Q10" s="25">
        <f t="shared" si="1"/>
        <v>0</v>
      </c>
      <c r="R10" s="24" t="s">
        <v>68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45532.0</v>
      </c>
      <c r="C11" s="18" t="s">
        <v>1702</v>
      </c>
      <c r="D11" s="19">
        <v>80454.0</v>
      </c>
      <c r="E11" s="20" t="s">
        <v>1703</v>
      </c>
      <c r="F11" s="22"/>
      <c r="G11" s="22"/>
      <c r="H11" s="22"/>
      <c r="I11" s="21">
        <v>12700.0</v>
      </c>
      <c r="J11" s="21"/>
      <c r="K11" s="22"/>
      <c r="L11" s="22"/>
      <c r="M11" s="21"/>
      <c r="N11" s="22"/>
      <c r="O11" s="22"/>
      <c r="P11" s="24">
        <v>12700.0</v>
      </c>
      <c r="Q11" s="25">
        <f t="shared" si="1"/>
        <v>0</v>
      </c>
      <c r="R11" s="24" t="s">
        <v>68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7">
        <v>45532.0</v>
      </c>
      <c r="C12" s="18" t="s">
        <v>1704</v>
      </c>
      <c r="D12" s="19">
        <v>50436.0</v>
      </c>
      <c r="E12" s="20" t="s">
        <v>305</v>
      </c>
      <c r="F12" s="22"/>
      <c r="G12" s="22"/>
      <c r="H12" s="22"/>
      <c r="I12" s="21"/>
      <c r="J12" s="21"/>
      <c r="K12" s="22">
        <v>900.0</v>
      </c>
      <c r="L12" s="22"/>
      <c r="M12" s="21"/>
      <c r="N12" s="22"/>
      <c r="O12" s="22"/>
      <c r="P12" s="24">
        <v>900.0</v>
      </c>
      <c r="Q12" s="25">
        <f t="shared" si="1"/>
        <v>0</v>
      </c>
      <c r="R12" s="24" t="s">
        <v>30</v>
      </c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8">
        <v>45532.0</v>
      </c>
      <c r="C13" s="29" t="s">
        <v>1705</v>
      </c>
      <c r="D13" s="30">
        <v>54211.0</v>
      </c>
      <c r="E13" s="31" t="s">
        <v>1129</v>
      </c>
      <c r="F13" s="22"/>
      <c r="G13" s="22"/>
      <c r="H13" s="22"/>
      <c r="I13" s="21">
        <v>1000.0</v>
      </c>
      <c r="J13" s="21"/>
      <c r="K13" s="22"/>
      <c r="L13" s="22"/>
      <c r="M13" s="21"/>
      <c r="N13" s="22"/>
      <c r="O13" s="22"/>
      <c r="P13" s="32">
        <v>1000.0</v>
      </c>
      <c r="Q13" s="25">
        <f t="shared" si="1"/>
        <v>0</v>
      </c>
      <c r="R13" s="32" t="s">
        <v>30</v>
      </c>
      <c r="S13" s="26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 ht="34.5" customHeight="1">
      <c r="A14" s="16">
        <v>10.0</v>
      </c>
      <c r="B14" s="27">
        <v>45532.0</v>
      </c>
      <c r="C14" s="18" t="s">
        <v>1706</v>
      </c>
      <c r="D14" s="19">
        <v>81108.0</v>
      </c>
      <c r="E14" s="20" t="s">
        <v>94</v>
      </c>
      <c r="F14" s="22"/>
      <c r="G14" s="22"/>
      <c r="H14" s="22"/>
      <c r="I14" s="21">
        <v>10000.0</v>
      </c>
      <c r="J14" s="21"/>
      <c r="K14" s="22"/>
      <c r="L14" s="22"/>
      <c r="M14" s="21"/>
      <c r="N14" s="22"/>
      <c r="O14" s="22"/>
      <c r="P14" s="24">
        <v>10000.0</v>
      </c>
      <c r="Q14" s="25">
        <f t="shared" si="1"/>
        <v>0</v>
      </c>
      <c r="R14" s="24" t="s">
        <v>30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45532.0</v>
      </c>
      <c r="C15" s="18" t="s">
        <v>1707</v>
      </c>
      <c r="D15" s="19">
        <v>55905.0</v>
      </c>
      <c r="E15" s="20" t="s">
        <v>1708</v>
      </c>
      <c r="F15" s="22"/>
      <c r="G15" s="22"/>
      <c r="H15" s="22"/>
      <c r="I15" s="21"/>
      <c r="J15" s="21">
        <v>5150.0</v>
      </c>
      <c r="K15" s="22"/>
      <c r="L15" s="22"/>
      <c r="M15" s="21"/>
      <c r="N15" s="22"/>
      <c r="O15" s="22"/>
      <c r="P15" s="24">
        <v>5150.0</v>
      </c>
      <c r="Q15" s="25">
        <f t="shared" si="1"/>
        <v>0</v>
      </c>
      <c r="R15" s="24" t="s">
        <v>479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45532.0</v>
      </c>
      <c r="C16" s="18" t="s">
        <v>1709</v>
      </c>
      <c r="D16" s="19">
        <v>70020.0</v>
      </c>
      <c r="E16" s="20" t="s">
        <v>1187</v>
      </c>
      <c r="F16" s="22"/>
      <c r="G16" s="22"/>
      <c r="H16" s="22"/>
      <c r="I16" s="21"/>
      <c r="J16" s="21">
        <v>1250.0</v>
      </c>
      <c r="K16" s="22"/>
      <c r="L16" s="22"/>
      <c r="M16" s="21"/>
      <c r="N16" s="22"/>
      <c r="O16" s="22"/>
      <c r="P16" s="24">
        <v>1250.0</v>
      </c>
      <c r="Q16" s="25">
        <f t="shared" si="1"/>
        <v>0</v>
      </c>
      <c r="R16" s="24" t="s">
        <v>30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45532.0</v>
      </c>
      <c r="C17" s="18" t="s">
        <v>1710</v>
      </c>
      <c r="D17" s="19">
        <v>83606.0</v>
      </c>
      <c r="E17" s="20" t="s">
        <v>1247</v>
      </c>
      <c r="F17" s="22"/>
      <c r="G17" s="22"/>
      <c r="H17" s="22"/>
      <c r="I17" s="21">
        <v>5150.0</v>
      </c>
      <c r="J17" s="21"/>
      <c r="K17" s="22"/>
      <c r="L17" s="22"/>
      <c r="M17" s="21"/>
      <c r="N17" s="22"/>
      <c r="O17" s="22"/>
      <c r="P17" s="24">
        <v>5150.0</v>
      </c>
      <c r="Q17" s="25">
        <f t="shared" si="1"/>
        <v>0</v>
      </c>
      <c r="R17" s="24" t="s">
        <v>30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7">
        <v>45532.0</v>
      </c>
      <c r="C18" s="18" t="s">
        <v>1711</v>
      </c>
      <c r="D18" s="19">
        <v>50243.0</v>
      </c>
      <c r="E18" s="20" t="s">
        <v>1244</v>
      </c>
      <c r="F18" s="22"/>
      <c r="G18" s="22"/>
      <c r="H18" s="22"/>
      <c r="I18" s="21"/>
      <c r="J18" s="21">
        <v>7050.0</v>
      </c>
      <c r="K18" s="22"/>
      <c r="L18" s="22"/>
      <c r="M18" s="22"/>
      <c r="N18" s="22"/>
      <c r="O18" s="22"/>
      <c r="P18" s="24">
        <v>7050.0</v>
      </c>
      <c r="Q18" s="25">
        <f t="shared" si="1"/>
        <v>0</v>
      </c>
      <c r="R18" s="24" t="s">
        <v>30</v>
      </c>
      <c r="S18" s="26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28">
        <v>45532.0</v>
      </c>
      <c r="C19" s="29" t="s">
        <v>1712</v>
      </c>
      <c r="D19" s="30">
        <v>76396.0</v>
      </c>
      <c r="E19" s="31" t="s">
        <v>981</v>
      </c>
      <c r="F19" s="22"/>
      <c r="G19" s="22"/>
      <c r="H19" s="22"/>
      <c r="I19" s="21"/>
      <c r="J19" s="21">
        <v>1250.0</v>
      </c>
      <c r="K19" s="22"/>
      <c r="L19" s="22"/>
      <c r="M19" s="21"/>
      <c r="N19" s="22"/>
      <c r="O19" s="22"/>
      <c r="P19" s="32">
        <v>1250.0</v>
      </c>
      <c r="Q19" s="25">
        <f t="shared" si="1"/>
        <v>0</v>
      </c>
      <c r="R19" s="32" t="s">
        <v>30</v>
      </c>
      <c r="S19" s="26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ht="34.5" customHeight="1">
      <c r="A20" s="16">
        <v>16.0</v>
      </c>
      <c r="B20" s="27">
        <v>45532.0</v>
      </c>
      <c r="C20" s="18" t="s">
        <v>1713</v>
      </c>
      <c r="D20" s="19">
        <v>52247.0</v>
      </c>
      <c r="E20" s="20" t="s">
        <v>696</v>
      </c>
      <c r="F20" s="22"/>
      <c r="G20" s="22"/>
      <c r="H20" s="22"/>
      <c r="I20" s="23">
        <v>69000.0</v>
      </c>
      <c r="J20" s="21"/>
      <c r="K20" s="22"/>
      <c r="L20" s="22"/>
      <c r="M20" s="22"/>
      <c r="N20" s="22"/>
      <c r="O20" s="22"/>
      <c r="P20" s="24">
        <v>69000.0</v>
      </c>
      <c r="Q20" s="25">
        <f t="shared" si="1"/>
        <v>0</v>
      </c>
      <c r="R20" s="24" t="s">
        <v>68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45532.0</v>
      </c>
      <c r="C21" s="18" t="s">
        <v>1714</v>
      </c>
      <c r="D21" s="19">
        <v>52083.0</v>
      </c>
      <c r="E21" s="20" t="s">
        <v>122</v>
      </c>
      <c r="F21" s="21"/>
      <c r="G21" s="22"/>
      <c r="H21" s="22"/>
      <c r="I21" s="34">
        <v>800.0</v>
      </c>
      <c r="J21" s="21"/>
      <c r="K21" s="35"/>
      <c r="L21" s="22"/>
      <c r="M21" s="22"/>
      <c r="N21" s="22"/>
      <c r="O21" s="22"/>
      <c r="P21" s="24">
        <v>800.0</v>
      </c>
      <c r="Q21" s="25">
        <f t="shared" si="1"/>
        <v>0</v>
      </c>
      <c r="R21" s="24" t="s">
        <v>479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7">
        <v>45532.0</v>
      </c>
      <c r="C22" s="18" t="s">
        <v>1715</v>
      </c>
      <c r="D22" s="19">
        <v>36555.0</v>
      </c>
      <c r="E22" s="20" t="s">
        <v>63</v>
      </c>
      <c r="F22" s="21"/>
      <c r="G22" s="22"/>
      <c r="H22" s="22"/>
      <c r="I22" s="21">
        <v>5000.0</v>
      </c>
      <c r="J22" s="21"/>
      <c r="K22" s="21"/>
      <c r="L22" s="22"/>
      <c r="M22" s="22"/>
      <c r="N22" s="22"/>
      <c r="O22" s="22"/>
      <c r="P22" s="24">
        <v>5000.0</v>
      </c>
      <c r="Q22" s="25">
        <f t="shared" si="1"/>
        <v>0</v>
      </c>
      <c r="R22" s="24" t="s">
        <v>51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36">
        <v>45532.0</v>
      </c>
      <c r="C23" s="37" t="s">
        <v>1716</v>
      </c>
      <c r="D23" s="38">
        <v>20541.0</v>
      </c>
      <c r="E23" s="39" t="s">
        <v>322</v>
      </c>
      <c r="F23" s="34"/>
      <c r="G23" s="40"/>
      <c r="H23" s="40"/>
      <c r="I23" s="34">
        <v>20000.0</v>
      </c>
      <c r="J23" s="21"/>
      <c r="K23" s="41"/>
      <c r="L23" s="40"/>
      <c r="M23" s="40"/>
      <c r="N23" s="40"/>
      <c r="O23" s="40"/>
      <c r="P23" s="42">
        <v>20000.0</v>
      </c>
      <c r="Q23" s="25">
        <f t="shared" si="1"/>
        <v>0</v>
      </c>
      <c r="R23" s="42" t="s">
        <v>479</v>
      </c>
      <c r="S23" s="26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</row>
    <row r="24" ht="34.5" customHeight="1">
      <c r="A24" s="16">
        <v>20.0</v>
      </c>
      <c r="B24" s="27">
        <v>45532.0</v>
      </c>
      <c r="C24" s="18" t="s">
        <v>1717</v>
      </c>
      <c r="D24" s="19">
        <v>48910.0</v>
      </c>
      <c r="E24" s="20" t="s">
        <v>127</v>
      </c>
      <c r="F24" s="21"/>
      <c r="G24" s="22"/>
      <c r="H24" s="22"/>
      <c r="I24" s="21">
        <v>7150.0</v>
      </c>
      <c r="J24" s="21"/>
      <c r="K24" s="35"/>
      <c r="L24" s="22"/>
      <c r="M24" s="22"/>
      <c r="N24" s="22"/>
      <c r="O24" s="22"/>
      <c r="P24" s="24">
        <v>7150.0</v>
      </c>
      <c r="Q24" s="25">
        <f t="shared" si="1"/>
        <v>0</v>
      </c>
      <c r="R24" s="24" t="s">
        <v>30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45532.0</v>
      </c>
      <c r="C25" s="18" t="s">
        <v>1718</v>
      </c>
      <c r="D25" s="19">
        <v>69089.0</v>
      </c>
      <c r="E25" s="20" t="s">
        <v>1719</v>
      </c>
      <c r="F25" s="21"/>
      <c r="G25" s="22"/>
      <c r="H25" s="22"/>
      <c r="I25" s="21">
        <v>3900.0</v>
      </c>
      <c r="J25" s="21"/>
      <c r="K25" s="35"/>
      <c r="L25" s="22"/>
      <c r="M25" s="22"/>
      <c r="N25" s="22"/>
      <c r="O25" s="22"/>
      <c r="P25" s="24">
        <v>3900.0</v>
      </c>
      <c r="Q25" s="25">
        <f t="shared" si="1"/>
        <v>0</v>
      </c>
      <c r="R25" s="24" t="s">
        <v>30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45532.0</v>
      </c>
      <c r="C26" s="18" t="s">
        <v>1720</v>
      </c>
      <c r="D26" s="19">
        <v>29621.0</v>
      </c>
      <c r="E26" s="20" t="s">
        <v>133</v>
      </c>
      <c r="F26" s="21"/>
      <c r="G26" s="22"/>
      <c r="H26" s="22"/>
      <c r="I26" s="35"/>
      <c r="J26" s="21">
        <v>1050.0</v>
      </c>
      <c r="K26" s="35"/>
      <c r="L26" s="22"/>
      <c r="M26" s="22"/>
      <c r="N26" s="22"/>
      <c r="O26" s="22"/>
      <c r="P26" s="24">
        <v>1050.0</v>
      </c>
      <c r="Q26" s="25">
        <f t="shared" si="1"/>
        <v>0</v>
      </c>
      <c r="R26" s="24" t="s">
        <v>68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45532.0</v>
      </c>
      <c r="C27" s="18" t="s">
        <v>1721</v>
      </c>
      <c r="D27" s="19">
        <v>74950.0</v>
      </c>
      <c r="E27" s="20" t="s">
        <v>1722</v>
      </c>
      <c r="F27" s="21"/>
      <c r="G27" s="22"/>
      <c r="H27" s="22"/>
      <c r="I27" s="21">
        <v>3900.0</v>
      </c>
      <c r="J27" s="21"/>
      <c r="K27" s="35"/>
      <c r="L27" s="22"/>
      <c r="M27" s="22"/>
      <c r="N27" s="22"/>
      <c r="O27" s="22"/>
      <c r="P27" s="24">
        <v>3900.0</v>
      </c>
      <c r="Q27" s="25">
        <f t="shared" si="1"/>
        <v>0</v>
      </c>
      <c r="R27" s="24" t="s">
        <v>479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45532.0</v>
      </c>
      <c r="C28" s="18" t="s">
        <v>1723</v>
      </c>
      <c r="D28" s="19">
        <v>22332.0</v>
      </c>
      <c r="E28" s="20" t="s">
        <v>396</v>
      </c>
      <c r="F28" s="21"/>
      <c r="G28" s="22"/>
      <c r="H28" s="22"/>
      <c r="I28" s="21"/>
      <c r="J28" s="21"/>
      <c r="K28" s="35"/>
      <c r="L28" s="22"/>
      <c r="M28" s="22">
        <v>5000.0</v>
      </c>
      <c r="N28" s="22"/>
      <c r="O28" s="22"/>
      <c r="P28" s="24">
        <v>5000.0</v>
      </c>
      <c r="Q28" s="25">
        <f t="shared" si="1"/>
        <v>0</v>
      </c>
      <c r="R28" s="24" t="s">
        <v>68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45532.0</v>
      </c>
      <c r="C29" s="18" t="s">
        <v>1724</v>
      </c>
      <c r="D29" s="19">
        <v>19122.0</v>
      </c>
      <c r="E29" s="20" t="s">
        <v>43</v>
      </c>
      <c r="F29" s="21"/>
      <c r="G29" s="22"/>
      <c r="H29" s="22"/>
      <c r="I29" s="21">
        <v>13500.0</v>
      </c>
      <c r="J29" s="21"/>
      <c r="K29" s="23"/>
      <c r="L29" s="22"/>
      <c r="M29" s="22"/>
      <c r="N29" s="22"/>
      <c r="O29" s="22"/>
      <c r="P29" s="24">
        <v>13500.0</v>
      </c>
      <c r="Q29" s="25">
        <f t="shared" si="1"/>
        <v>0</v>
      </c>
      <c r="R29" s="24" t="s">
        <v>68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45532.0</v>
      </c>
      <c r="C30" s="18" t="s">
        <v>1725</v>
      </c>
      <c r="D30" s="19">
        <v>22332.0</v>
      </c>
      <c r="E30" s="20" t="s">
        <v>396</v>
      </c>
      <c r="F30" s="21"/>
      <c r="G30" s="22"/>
      <c r="H30" s="22"/>
      <c r="I30" s="21">
        <v>14450.0</v>
      </c>
      <c r="J30" s="21"/>
      <c r="K30" s="23"/>
      <c r="L30" s="22"/>
      <c r="M30" s="22"/>
      <c r="N30" s="22"/>
      <c r="O30" s="22"/>
      <c r="P30" s="24">
        <v>14450.0</v>
      </c>
      <c r="Q30" s="25">
        <f t="shared" si="1"/>
        <v>0</v>
      </c>
      <c r="R30" s="24" t="s">
        <v>479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45531.0</v>
      </c>
      <c r="C31" s="18" t="s">
        <v>1726</v>
      </c>
      <c r="D31" s="19">
        <v>51017.0</v>
      </c>
      <c r="E31" s="20" t="s">
        <v>270</v>
      </c>
      <c r="F31" s="21"/>
      <c r="G31" s="22"/>
      <c r="H31" s="22">
        <v>15000.0</v>
      </c>
      <c r="I31" s="21"/>
      <c r="J31" s="21"/>
      <c r="K31" s="23"/>
      <c r="L31" s="22"/>
      <c r="M31" s="22"/>
      <c r="N31" s="22"/>
      <c r="O31" s="22"/>
      <c r="P31" s="24">
        <v>15000.0</v>
      </c>
      <c r="Q31" s="25">
        <f t="shared" si="1"/>
        <v>0</v>
      </c>
      <c r="R31" s="24"/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45532.0</v>
      </c>
      <c r="C32" s="18" t="s">
        <v>1727</v>
      </c>
      <c r="D32" s="19">
        <v>10250.0</v>
      </c>
      <c r="E32" s="20" t="s">
        <v>36</v>
      </c>
      <c r="F32" s="21"/>
      <c r="G32" s="22"/>
      <c r="H32" s="22">
        <v>19000.0</v>
      </c>
      <c r="I32" s="21"/>
      <c r="J32" s="21"/>
      <c r="K32" s="23"/>
      <c r="L32" s="22"/>
      <c r="M32" s="22"/>
      <c r="N32" s="22"/>
      <c r="O32" s="22"/>
      <c r="P32" s="24">
        <v>19000.0</v>
      </c>
      <c r="Q32" s="25">
        <f t="shared" si="1"/>
        <v>0</v>
      </c>
      <c r="R32" s="24"/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45532.0</v>
      </c>
      <c r="C33" s="18" t="s">
        <v>1728</v>
      </c>
      <c r="D33" s="19">
        <v>77283.0</v>
      </c>
      <c r="E33" s="20" t="s">
        <v>268</v>
      </c>
      <c r="F33" s="21"/>
      <c r="G33" s="22"/>
      <c r="H33" s="22"/>
      <c r="I33" s="21"/>
      <c r="J33" s="21"/>
      <c r="K33" s="23"/>
      <c r="L33" s="22"/>
      <c r="M33" s="22">
        <v>3900.0</v>
      </c>
      <c r="N33" s="22"/>
      <c r="O33" s="22"/>
      <c r="P33" s="24">
        <v>3900.0</v>
      </c>
      <c r="Q33" s="25">
        <f t="shared" si="1"/>
        <v>0</v>
      </c>
      <c r="R33" s="24"/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/>
      <c r="B34" s="27"/>
      <c r="C34" s="18"/>
      <c r="D34" s="19"/>
      <c r="E34" s="20"/>
      <c r="F34" s="21"/>
      <c r="G34" s="22"/>
      <c r="H34" s="22"/>
      <c r="I34" s="21"/>
      <c r="J34" s="21"/>
      <c r="K34" s="23"/>
      <c r="L34" s="22"/>
      <c r="M34" s="22"/>
      <c r="N34" s="22"/>
      <c r="O34" s="22"/>
      <c r="P34" s="24"/>
      <c r="Q34" s="25">
        <f t="shared" si="1"/>
        <v>0</v>
      </c>
      <c r="R34" s="24"/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7.5" customHeight="1">
      <c r="A35" s="16"/>
      <c r="B35" s="27"/>
      <c r="C35" s="18"/>
      <c r="D35" s="19" t="s">
        <v>183</v>
      </c>
      <c r="E35" s="20"/>
      <c r="F35" s="45">
        <f t="shared" ref="F35:Q35" si="2">SUM(F5:F34)</f>
        <v>0</v>
      </c>
      <c r="G35" s="45">
        <f t="shared" si="2"/>
        <v>0</v>
      </c>
      <c r="H35" s="45">
        <f t="shared" si="2"/>
        <v>34000</v>
      </c>
      <c r="I35" s="45">
        <f t="shared" si="2"/>
        <v>183400</v>
      </c>
      <c r="J35" s="45">
        <f t="shared" si="2"/>
        <v>15750</v>
      </c>
      <c r="K35" s="45">
        <f t="shared" si="2"/>
        <v>900</v>
      </c>
      <c r="L35" s="45">
        <f t="shared" si="2"/>
        <v>0</v>
      </c>
      <c r="M35" s="45">
        <f t="shared" si="2"/>
        <v>8900</v>
      </c>
      <c r="N35" s="45">
        <f t="shared" si="2"/>
        <v>0</v>
      </c>
      <c r="O35" s="45">
        <f t="shared" si="2"/>
        <v>0</v>
      </c>
      <c r="P35" s="45">
        <f t="shared" si="2"/>
        <v>242950</v>
      </c>
      <c r="Q35" s="45">
        <f t="shared" si="2"/>
        <v>0</v>
      </c>
      <c r="R35" s="47"/>
      <c r="S35" s="26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</row>
    <row r="36" ht="15.75" customHeight="1">
      <c r="A36" s="48"/>
      <c r="B36" s="48"/>
      <c r="C36" s="49"/>
      <c r="D36" s="48"/>
      <c r="E36" s="48"/>
      <c r="F36" s="50">
        <f>F35+G35+H35+I35+J35+K35+L35+M35+N35+O35</f>
        <v>242950</v>
      </c>
      <c r="P36" s="51"/>
      <c r="Q36" s="51"/>
      <c r="R36" s="48"/>
      <c r="S36" s="48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</row>
    <row r="37" ht="15.75" customHeight="1">
      <c r="A37" s="4"/>
      <c r="B37" s="4"/>
      <c r="C37" s="52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15.75" customHeight="1">
      <c r="A38" s="4"/>
      <c r="B38" s="4"/>
      <c r="C38" s="52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15.75" customHeight="1">
      <c r="A39" s="4"/>
      <c r="B39" s="4"/>
      <c r="C39" s="53" t="s">
        <v>183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15.75" customHeight="1">
      <c r="A40" s="4"/>
      <c r="B40" s="4"/>
      <c r="C40" s="52"/>
      <c r="D40" s="4"/>
      <c r="E40" s="54" t="s">
        <v>1642</v>
      </c>
      <c r="F40" s="55" t="s">
        <v>187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5.75" customHeight="1">
      <c r="A41" s="4"/>
      <c r="B41" s="4"/>
      <c r="C41" s="52"/>
      <c r="D41" s="4"/>
      <c r="E41" s="56" t="s">
        <v>186</v>
      </c>
      <c r="F41" s="55" t="s">
        <v>357</v>
      </c>
      <c r="G41" s="4"/>
      <c r="H41" s="4"/>
      <c r="I41" s="4"/>
      <c r="J41" s="4"/>
      <c r="K41" s="4"/>
      <c r="L41" s="4"/>
      <c r="M41" s="4"/>
      <c r="N41" s="4"/>
      <c r="O41" s="57" t="s">
        <v>183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52"/>
      <c r="D42" s="4"/>
      <c r="E42" s="56" t="s">
        <v>188</v>
      </c>
      <c r="F42" s="55" t="s">
        <v>185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52"/>
      <c r="D43" s="4"/>
      <c r="E43" s="56" t="s">
        <v>189</v>
      </c>
      <c r="F43" s="55" t="s">
        <v>185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52"/>
      <c r="D44" s="4"/>
      <c r="E44" s="56" t="s">
        <v>190</v>
      </c>
      <c r="F44" s="65" t="s">
        <v>1729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52"/>
      <c r="D45" s="4"/>
      <c r="E45" s="56" t="s">
        <v>1730</v>
      </c>
      <c r="F45" s="55" t="s">
        <v>185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52"/>
      <c r="D46" s="4"/>
      <c r="E46" s="56" t="s">
        <v>193</v>
      </c>
      <c r="F46" s="55" t="s">
        <v>185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52"/>
      <c r="D47" s="4"/>
      <c r="E47" s="56" t="s">
        <v>195</v>
      </c>
      <c r="F47" s="59" t="s">
        <v>196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57" t="s">
        <v>183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2"/>
      <c r="D48" s="4"/>
      <c r="E48" s="4"/>
      <c r="F48" s="4"/>
      <c r="G48" s="4"/>
      <c r="H48" s="4"/>
      <c r="I48" s="4"/>
      <c r="J48" s="4"/>
      <c r="K48" s="4" t="str">
        <f>I72435</f>
        <v/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2"/>
      <c r="D52" s="4"/>
      <c r="E52" s="4"/>
      <c r="F52" s="4"/>
      <c r="G52" s="4"/>
      <c r="H52" s="4"/>
      <c r="I52" s="4"/>
      <c r="J52" s="4"/>
      <c r="K52" s="4"/>
      <c r="L52" s="6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4"/>
      <c r="F55" s="4"/>
      <c r="G55" s="4"/>
      <c r="H55" s="4"/>
      <c r="I55" s="57" t="s">
        <v>197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>
        <v>7.0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7">
    <mergeCell ref="R2:R4"/>
    <mergeCell ref="S2:S4"/>
    <mergeCell ref="F3:F4"/>
    <mergeCell ref="G3:H3"/>
    <mergeCell ref="I3:J3"/>
    <mergeCell ref="K3:K4"/>
    <mergeCell ref="F36:O36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6.88"/>
    <col customWidth="1" min="6" max="6" width="29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45.0" customHeight="1">
      <c r="A1" s="62" t="s">
        <v>1731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15.75" customHeight="1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5.75" customHeight="1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45533.0</v>
      </c>
      <c r="C5" s="18" t="s">
        <v>1732</v>
      </c>
      <c r="D5" s="19">
        <v>10249.0</v>
      </c>
      <c r="E5" s="20" t="s">
        <v>617</v>
      </c>
      <c r="F5" s="21"/>
      <c r="G5" s="22"/>
      <c r="H5" s="21"/>
      <c r="I5" s="23"/>
      <c r="J5" s="23">
        <v>10950.0</v>
      </c>
      <c r="K5" s="22"/>
      <c r="L5" s="22"/>
      <c r="M5" s="21"/>
      <c r="N5" s="22"/>
      <c r="O5" s="22"/>
      <c r="P5" s="24">
        <v>10950.0</v>
      </c>
      <c r="Q5" s="25">
        <f t="shared" ref="Q5:Q44" si="1">F5+G5+H5+I5+J5+K5+L5+M5+N5+O5-P5</f>
        <v>0</v>
      </c>
      <c r="R5" s="24" t="s">
        <v>51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45533.0</v>
      </c>
      <c r="C6" s="18" t="s">
        <v>1733</v>
      </c>
      <c r="D6" s="19">
        <v>54280.0</v>
      </c>
      <c r="E6" s="20" t="s">
        <v>684</v>
      </c>
      <c r="F6" s="21"/>
      <c r="G6" s="22"/>
      <c r="H6" s="22"/>
      <c r="I6" s="21">
        <v>1050.0</v>
      </c>
      <c r="J6" s="22"/>
      <c r="K6" s="22"/>
      <c r="L6" s="22"/>
      <c r="M6" s="21"/>
      <c r="N6" s="22"/>
      <c r="O6" s="22"/>
      <c r="P6" s="24">
        <v>1050.0</v>
      </c>
      <c r="Q6" s="25">
        <f t="shared" si="1"/>
        <v>0</v>
      </c>
      <c r="R6" s="24" t="s">
        <v>479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45533.0</v>
      </c>
      <c r="C7" s="18" t="s">
        <v>1734</v>
      </c>
      <c r="D7" s="19">
        <v>36918.0</v>
      </c>
      <c r="E7" s="20" t="s">
        <v>1527</v>
      </c>
      <c r="F7" s="22"/>
      <c r="G7" s="22"/>
      <c r="H7" s="21"/>
      <c r="I7" s="21">
        <v>2700.0</v>
      </c>
      <c r="J7" s="23"/>
      <c r="K7" s="22"/>
      <c r="L7" s="22"/>
      <c r="M7" s="22"/>
      <c r="N7" s="22"/>
      <c r="O7" s="22"/>
      <c r="P7" s="24">
        <v>2700.0</v>
      </c>
      <c r="Q7" s="25">
        <f t="shared" si="1"/>
        <v>0</v>
      </c>
      <c r="R7" s="24" t="s">
        <v>479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45533.0</v>
      </c>
      <c r="C8" s="18" t="s">
        <v>1735</v>
      </c>
      <c r="D8" s="19">
        <v>13133.0</v>
      </c>
      <c r="E8" s="20" t="s">
        <v>1736</v>
      </c>
      <c r="F8" s="22"/>
      <c r="G8" s="22"/>
      <c r="H8" s="22"/>
      <c r="I8" s="21"/>
      <c r="J8" s="21">
        <v>5150.0</v>
      </c>
      <c r="K8" s="22"/>
      <c r="L8" s="22"/>
      <c r="M8" s="22"/>
      <c r="N8" s="22"/>
      <c r="O8" s="22"/>
      <c r="P8" s="24">
        <v>5150.0</v>
      </c>
      <c r="Q8" s="25">
        <f t="shared" si="1"/>
        <v>0</v>
      </c>
      <c r="R8" s="24" t="s">
        <v>25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45533.0</v>
      </c>
      <c r="C9" s="18" t="s">
        <v>1737</v>
      </c>
      <c r="D9" s="19">
        <v>74501.0</v>
      </c>
      <c r="E9" s="20" t="s">
        <v>1738</v>
      </c>
      <c r="F9" s="22"/>
      <c r="G9" s="22"/>
      <c r="H9" s="22"/>
      <c r="I9" s="21">
        <v>5150.0</v>
      </c>
      <c r="J9" s="21"/>
      <c r="K9" s="22"/>
      <c r="L9" s="22"/>
      <c r="M9" s="21"/>
      <c r="N9" s="22"/>
      <c r="O9" s="22"/>
      <c r="P9" s="24">
        <v>5150.0</v>
      </c>
      <c r="Q9" s="25">
        <f t="shared" si="1"/>
        <v>0</v>
      </c>
      <c r="R9" s="24" t="s">
        <v>479</v>
      </c>
      <c r="S9" s="26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45533.0</v>
      </c>
      <c r="C10" s="18" t="s">
        <v>1739</v>
      </c>
      <c r="D10" s="19">
        <v>74054.0</v>
      </c>
      <c r="E10" s="20" t="s">
        <v>1740</v>
      </c>
      <c r="F10" s="22"/>
      <c r="G10" s="22"/>
      <c r="H10" s="22"/>
      <c r="I10" s="21"/>
      <c r="J10" s="21">
        <v>2650.0</v>
      </c>
      <c r="K10" s="22"/>
      <c r="L10" s="22"/>
      <c r="M10" s="21"/>
      <c r="N10" s="22"/>
      <c r="O10" s="22"/>
      <c r="P10" s="24">
        <v>2650.0</v>
      </c>
      <c r="Q10" s="25">
        <f t="shared" si="1"/>
        <v>0</v>
      </c>
      <c r="R10" s="24" t="s">
        <v>51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45533.0</v>
      </c>
      <c r="C11" s="18" t="s">
        <v>1741</v>
      </c>
      <c r="D11" s="19">
        <v>52993.0</v>
      </c>
      <c r="E11" s="20" t="s">
        <v>1742</v>
      </c>
      <c r="F11" s="22"/>
      <c r="G11" s="22"/>
      <c r="H11" s="22"/>
      <c r="I11" s="21">
        <v>7000.0</v>
      </c>
      <c r="J11" s="21"/>
      <c r="K11" s="22"/>
      <c r="L11" s="22"/>
      <c r="M11" s="21"/>
      <c r="N11" s="22"/>
      <c r="O11" s="22"/>
      <c r="P11" s="24">
        <v>7000.0</v>
      </c>
      <c r="Q11" s="25">
        <f t="shared" si="1"/>
        <v>0</v>
      </c>
      <c r="R11" s="24" t="s">
        <v>51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7">
        <v>45533.0</v>
      </c>
      <c r="C12" s="18" t="s">
        <v>1743</v>
      </c>
      <c r="D12" s="19">
        <v>22332.0</v>
      </c>
      <c r="E12" s="20" t="s">
        <v>396</v>
      </c>
      <c r="F12" s="22"/>
      <c r="G12" s="22"/>
      <c r="H12" s="22"/>
      <c r="I12" s="21">
        <v>1000.0</v>
      </c>
      <c r="J12" s="21"/>
      <c r="K12" s="22"/>
      <c r="L12" s="22"/>
      <c r="M12" s="21"/>
      <c r="N12" s="22"/>
      <c r="O12" s="22"/>
      <c r="P12" s="24">
        <v>1000.0</v>
      </c>
      <c r="Q12" s="25">
        <f t="shared" si="1"/>
        <v>0</v>
      </c>
      <c r="R12" s="24" t="s">
        <v>479</v>
      </c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8">
        <v>45533.0</v>
      </c>
      <c r="C13" s="29" t="s">
        <v>1744</v>
      </c>
      <c r="D13" s="30">
        <v>53249.0</v>
      </c>
      <c r="E13" s="31" t="s">
        <v>401</v>
      </c>
      <c r="F13" s="22"/>
      <c r="G13" s="22"/>
      <c r="H13" s="22"/>
      <c r="I13" s="21">
        <v>30000.0</v>
      </c>
      <c r="J13" s="21"/>
      <c r="K13" s="22"/>
      <c r="L13" s="22"/>
      <c r="M13" s="21"/>
      <c r="N13" s="22"/>
      <c r="O13" s="22"/>
      <c r="P13" s="32">
        <v>30000.0</v>
      </c>
      <c r="Q13" s="25">
        <f t="shared" si="1"/>
        <v>0</v>
      </c>
      <c r="R13" s="32" t="s">
        <v>25</v>
      </c>
      <c r="S13" s="26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 ht="34.5" customHeight="1">
      <c r="A14" s="16">
        <v>10.0</v>
      </c>
      <c r="B14" s="27">
        <v>45533.0</v>
      </c>
      <c r="C14" s="18" t="s">
        <v>1745</v>
      </c>
      <c r="D14" s="19">
        <v>77217.0</v>
      </c>
      <c r="E14" s="20" t="s">
        <v>1746</v>
      </c>
      <c r="F14" s="22"/>
      <c r="G14" s="22"/>
      <c r="H14" s="22"/>
      <c r="I14" s="21">
        <v>10000.0</v>
      </c>
      <c r="J14" s="21"/>
      <c r="K14" s="22"/>
      <c r="L14" s="22"/>
      <c r="M14" s="21"/>
      <c r="N14" s="22"/>
      <c r="O14" s="22"/>
      <c r="P14" s="24">
        <v>10000.0</v>
      </c>
      <c r="Q14" s="25">
        <f t="shared" si="1"/>
        <v>0</v>
      </c>
      <c r="R14" s="24" t="s">
        <v>51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45533.0</v>
      </c>
      <c r="C15" s="18" t="s">
        <v>1747</v>
      </c>
      <c r="D15" s="19">
        <v>76720.0</v>
      </c>
      <c r="E15" s="20" t="s">
        <v>1748</v>
      </c>
      <c r="F15" s="22"/>
      <c r="G15" s="22"/>
      <c r="H15" s="22"/>
      <c r="I15" s="21">
        <v>5150.0</v>
      </c>
      <c r="J15" s="21"/>
      <c r="K15" s="22"/>
      <c r="L15" s="22"/>
      <c r="M15" s="21"/>
      <c r="N15" s="22"/>
      <c r="O15" s="22"/>
      <c r="P15" s="24">
        <v>5150.0</v>
      </c>
      <c r="Q15" s="25">
        <f t="shared" si="1"/>
        <v>0</v>
      </c>
      <c r="R15" s="24" t="s">
        <v>51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45533.0</v>
      </c>
      <c r="C16" s="18" t="s">
        <v>1749</v>
      </c>
      <c r="D16" s="19">
        <v>77805.0</v>
      </c>
      <c r="E16" s="20" t="s">
        <v>1750</v>
      </c>
      <c r="F16" s="22"/>
      <c r="G16" s="22"/>
      <c r="H16" s="22"/>
      <c r="I16" s="21">
        <v>1400.0</v>
      </c>
      <c r="J16" s="21"/>
      <c r="K16" s="22"/>
      <c r="L16" s="22"/>
      <c r="M16" s="21"/>
      <c r="N16" s="22"/>
      <c r="O16" s="22"/>
      <c r="P16" s="24">
        <v>1400.0</v>
      </c>
      <c r="Q16" s="25">
        <f t="shared" si="1"/>
        <v>0</v>
      </c>
      <c r="R16" s="24" t="s">
        <v>51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45533.0</v>
      </c>
      <c r="C17" s="18" t="s">
        <v>1751</v>
      </c>
      <c r="D17" s="19">
        <v>84619.0</v>
      </c>
      <c r="E17" s="20" t="s">
        <v>1752</v>
      </c>
      <c r="F17" s="22"/>
      <c r="G17" s="22"/>
      <c r="H17" s="22"/>
      <c r="I17" s="21">
        <v>300.0</v>
      </c>
      <c r="J17" s="21"/>
      <c r="K17" s="22"/>
      <c r="L17" s="22"/>
      <c r="M17" s="21"/>
      <c r="N17" s="22"/>
      <c r="O17" s="22"/>
      <c r="P17" s="24">
        <v>300.0</v>
      </c>
      <c r="Q17" s="25">
        <f t="shared" si="1"/>
        <v>0</v>
      </c>
      <c r="R17" s="24" t="s">
        <v>479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7">
        <v>45533.0</v>
      </c>
      <c r="C18" s="18" t="s">
        <v>1753</v>
      </c>
      <c r="D18" s="19">
        <v>65868.0</v>
      </c>
      <c r="E18" s="20" t="s">
        <v>473</v>
      </c>
      <c r="F18" s="22"/>
      <c r="G18" s="22"/>
      <c r="H18" s="22"/>
      <c r="I18" s="21">
        <v>3750.0</v>
      </c>
      <c r="J18" s="21"/>
      <c r="K18" s="22"/>
      <c r="L18" s="22"/>
      <c r="M18" s="22"/>
      <c r="N18" s="22"/>
      <c r="O18" s="22"/>
      <c r="P18" s="24">
        <v>3750.0</v>
      </c>
      <c r="Q18" s="25">
        <f t="shared" si="1"/>
        <v>0</v>
      </c>
      <c r="R18" s="24" t="s">
        <v>51</v>
      </c>
      <c r="S18" s="26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28">
        <v>45533.0</v>
      </c>
      <c r="C19" s="29" t="s">
        <v>1754</v>
      </c>
      <c r="D19" s="30">
        <v>74087.0</v>
      </c>
      <c r="E19" s="31" t="s">
        <v>382</v>
      </c>
      <c r="F19" s="22"/>
      <c r="G19" s="22"/>
      <c r="H19" s="22"/>
      <c r="I19" s="21"/>
      <c r="J19" s="21">
        <v>5000.0</v>
      </c>
      <c r="K19" s="22"/>
      <c r="L19" s="22"/>
      <c r="M19" s="21"/>
      <c r="N19" s="22"/>
      <c r="O19" s="22"/>
      <c r="P19" s="32">
        <v>5000.0</v>
      </c>
      <c r="Q19" s="25">
        <f t="shared" si="1"/>
        <v>0</v>
      </c>
      <c r="R19" s="32" t="s">
        <v>25</v>
      </c>
      <c r="S19" s="26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ht="34.5" customHeight="1">
      <c r="A20" s="16">
        <v>16.0</v>
      </c>
      <c r="B20" s="27">
        <v>45533.0</v>
      </c>
      <c r="C20" s="18" t="s">
        <v>1755</v>
      </c>
      <c r="D20" s="19">
        <v>74087.0</v>
      </c>
      <c r="E20" s="20" t="s">
        <v>382</v>
      </c>
      <c r="F20" s="22"/>
      <c r="G20" s="22"/>
      <c r="H20" s="22"/>
      <c r="I20" s="23"/>
      <c r="J20" s="21">
        <v>18600.0</v>
      </c>
      <c r="K20" s="22"/>
      <c r="L20" s="22"/>
      <c r="M20" s="22"/>
      <c r="N20" s="22"/>
      <c r="O20" s="22"/>
      <c r="P20" s="24">
        <v>18600.0</v>
      </c>
      <c r="Q20" s="25">
        <f t="shared" si="1"/>
        <v>0</v>
      </c>
      <c r="R20" s="24" t="s">
        <v>25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45533.0</v>
      </c>
      <c r="C21" s="18" t="s">
        <v>1756</v>
      </c>
      <c r="D21" s="19">
        <v>35227.0</v>
      </c>
      <c r="E21" s="20" t="s">
        <v>135</v>
      </c>
      <c r="F21" s="21">
        <v>1000.0</v>
      </c>
      <c r="G21" s="22"/>
      <c r="H21" s="22"/>
      <c r="I21" s="34"/>
      <c r="J21" s="21"/>
      <c r="K21" s="35"/>
      <c r="L21" s="22"/>
      <c r="M21" s="22"/>
      <c r="N21" s="22"/>
      <c r="O21" s="22"/>
      <c r="P21" s="24">
        <v>1000.0</v>
      </c>
      <c r="Q21" s="25">
        <f t="shared" si="1"/>
        <v>0</v>
      </c>
      <c r="R21" s="24" t="s">
        <v>25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7">
        <v>45533.0</v>
      </c>
      <c r="C22" s="18" t="s">
        <v>1757</v>
      </c>
      <c r="D22" s="19">
        <v>50739.0</v>
      </c>
      <c r="E22" s="20" t="s">
        <v>50</v>
      </c>
      <c r="F22" s="21"/>
      <c r="G22" s="22"/>
      <c r="H22" s="22"/>
      <c r="I22" s="34">
        <v>2500.0</v>
      </c>
      <c r="J22" s="21"/>
      <c r="K22" s="35"/>
      <c r="L22" s="22"/>
      <c r="M22" s="22"/>
      <c r="N22" s="22"/>
      <c r="O22" s="22"/>
      <c r="P22" s="24">
        <v>2500.0</v>
      </c>
      <c r="Q22" s="25">
        <f t="shared" si="1"/>
        <v>0</v>
      </c>
      <c r="R22" s="24" t="s">
        <v>479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27">
        <v>45533.0</v>
      </c>
      <c r="C23" s="18" t="s">
        <v>1758</v>
      </c>
      <c r="D23" s="19">
        <v>51697.0</v>
      </c>
      <c r="E23" s="20" t="s">
        <v>303</v>
      </c>
      <c r="F23" s="21"/>
      <c r="G23" s="22"/>
      <c r="H23" s="22"/>
      <c r="I23" s="34"/>
      <c r="J23" s="21"/>
      <c r="K23" s="35">
        <v>4650.0</v>
      </c>
      <c r="L23" s="22"/>
      <c r="M23" s="22"/>
      <c r="N23" s="22"/>
      <c r="O23" s="22"/>
      <c r="P23" s="24">
        <v>4650.0</v>
      </c>
      <c r="Q23" s="25">
        <f t="shared" si="1"/>
        <v>0</v>
      </c>
      <c r="R23" s="24" t="s">
        <v>479</v>
      </c>
      <c r="S23" s="26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16">
        <v>20.0</v>
      </c>
      <c r="B24" s="27">
        <v>45533.0</v>
      </c>
      <c r="C24" s="18" t="s">
        <v>1759</v>
      </c>
      <c r="D24" s="19">
        <v>52247.0</v>
      </c>
      <c r="E24" s="20" t="s">
        <v>696</v>
      </c>
      <c r="F24" s="21"/>
      <c r="G24" s="22"/>
      <c r="H24" s="22"/>
      <c r="I24" s="34">
        <v>10000.0</v>
      </c>
      <c r="J24" s="21"/>
      <c r="K24" s="35"/>
      <c r="L24" s="22"/>
      <c r="M24" s="22"/>
      <c r="N24" s="22"/>
      <c r="O24" s="22"/>
      <c r="P24" s="24">
        <v>10000.0</v>
      </c>
      <c r="Q24" s="25">
        <f t="shared" si="1"/>
        <v>0</v>
      </c>
      <c r="R24" s="24" t="s">
        <v>479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45533.0</v>
      </c>
      <c r="C25" s="18" t="s">
        <v>1760</v>
      </c>
      <c r="D25" s="19">
        <v>22341.0</v>
      </c>
      <c r="E25" s="20" t="s">
        <v>343</v>
      </c>
      <c r="F25" s="21"/>
      <c r="G25" s="22"/>
      <c r="H25" s="22"/>
      <c r="I25" s="34">
        <v>2650.0</v>
      </c>
      <c r="J25" s="21"/>
      <c r="K25" s="35"/>
      <c r="L25" s="22"/>
      <c r="M25" s="22"/>
      <c r="N25" s="22"/>
      <c r="O25" s="22"/>
      <c r="P25" s="24">
        <v>2650.0</v>
      </c>
      <c r="Q25" s="25">
        <f t="shared" si="1"/>
        <v>0</v>
      </c>
      <c r="R25" s="24" t="s">
        <v>479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45533.0</v>
      </c>
      <c r="C26" s="18" t="s">
        <v>1761</v>
      </c>
      <c r="D26" s="19">
        <v>52404.0</v>
      </c>
      <c r="E26" s="20" t="s">
        <v>1762</v>
      </c>
      <c r="F26" s="21"/>
      <c r="G26" s="22"/>
      <c r="H26" s="22"/>
      <c r="I26" s="34">
        <v>1050.0</v>
      </c>
      <c r="J26" s="21"/>
      <c r="K26" s="35"/>
      <c r="L26" s="22"/>
      <c r="M26" s="22"/>
      <c r="N26" s="22"/>
      <c r="O26" s="22"/>
      <c r="P26" s="24">
        <v>1050.0</v>
      </c>
      <c r="Q26" s="25">
        <f t="shared" si="1"/>
        <v>0</v>
      </c>
      <c r="R26" s="24" t="s">
        <v>479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45533.0</v>
      </c>
      <c r="C27" s="18" t="s">
        <v>1763</v>
      </c>
      <c r="D27" s="19">
        <v>59244.0</v>
      </c>
      <c r="E27" s="20" t="s">
        <v>237</v>
      </c>
      <c r="F27" s="21"/>
      <c r="G27" s="22"/>
      <c r="H27" s="22"/>
      <c r="I27" s="34"/>
      <c r="J27" s="21">
        <v>7050.0</v>
      </c>
      <c r="K27" s="35"/>
      <c r="L27" s="22"/>
      <c r="M27" s="22"/>
      <c r="N27" s="22"/>
      <c r="O27" s="22"/>
      <c r="P27" s="24">
        <v>7050.0</v>
      </c>
      <c r="Q27" s="25">
        <f t="shared" si="1"/>
        <v>0</v>
      </c>
      <c r="R27" s="24" t="s">
        <v>25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45533.0</v>
      </c>
      <c r="C28" s="18" t="s">
        <v>1764</v>
      </c>
      <c r="D28" s="19">
        <v>57499.0</v>
      </c>
      <c r="E28" s="20" t="s">
        <v>864</v>
      </c>
      <c r="F28" s="21"/>
      <c r="G28" s="22"/>
      <c r="H28" s="22"/>
      <c r="I28" s="34">
        <v>1250.0</v>
      </c>
      <c r="J28" s="21"/>
      <c r="K28" s="35"/>
      <c r="L28" s="22"/>
      <c r="M28" s="22"/>
      <c r="N28" s="22"/>
      <c r="O28" s="22"/>
      <c r="P28" s="24">
        <v>1250.0</v>
      </c>
      <c r="Q28" s="25">
        <f t="shared" si="1"/>
        <v>0</v>
      </c>
      <c r="R28" s="24" t="s">
        <v>25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45533.0</v>
      </c>
      <c r="C29" s="18" t="s">
        <v>1765</v>
      </c>
      <c r="D29" s="19">
        <v>61641.0</v>
      </c>
      <c r="E29" s="20" t="s">
        <v>1766</v>
      </c>
      <c r="F29" s="21"/>
      <c r="G29" s="22"/>
      <c r="H29" s="22"/>
      <c r="I29" s="34"/>
      <c r="J29" s="21">
        <v>4500.0</v>
      </c>
      <c r="K29" s="35"/>
      <c r="L29" s="22"/>
      <c r="M29" s="22"/>
      <c r="N29" s="22"/>
      <c r="O29" s="22"/>
      <c r="P29" s="24">
        <v>4500.0</v>
      </c>
      <c r="Q29" s="25">
        <f t="shared" si="1"/>
        <v>0</v>
      </c>
      <c r="R29" s="24" t="s">
        <v>479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45533.0</v>
      </c>
      <c r="C30" s="18" t="s">
        <v>1767</v>
      </c>
      <c r="D30" s="19">
        <v>59244.0</v>
      </c>
      <c r="E30" s="20" t="s">
        <v>237</v>
      </c>
      <c r="F30" s="21"/>
      <c r="G30" s="22"/>
      <c r="H30" s="22"/>
      <c r="I30" s="34">
        <v>4500.0</v>
      </c>
      <c r="J30" s="21"/>
      <c r="K30" s="35"/>
      <c r="L30" s="22"/>
      <c r="M30" s="22"/>
      <c r="N30" s="22"/>
      <c r="O30" s="22"/>
      <c r="P30" s="24">
        <v>4500.0</v>
      </c>
      <c r="Q30" s="25">
        <f t="shared" si="1"/>
        <v>0</v>
      </c>
      <c r="R30" s="24" t="s">
        <v>51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45533.0</v>
      </c>
      <c r="C31" s="18" t="s">
        <v>1768</v>
      </c>
      <c r="D31" s="19">
        <v>45193.0</v>
      </c>
      <c r="E31" s="20" t="s">
        <v>1769</v>
      </c>
      <c r="F31" s="21"/>
      <c r="G31" s="22"/>
      <c r="H31" s="22"/>
      <c r="I31" s="34"/>
      <c r="J31" s="21">
        <v>3245.0</v>
      </c>
      <c r="K31" s="35"/>
      <c r="L31" s="22"/>
      <c r="M31" s="22"/>
      <c r="N31" s="22"/>
      <c r="O31" s="22"/>
      <c r="P31" s="24">
        <v>3245.0</v>
      </c>
      <c r="Q31" s="25">
        <f t="shared" si="1"/>
        <v>0</v>
      </c>
      <c r="R31" s="24" t="s">
        <v>51</v>
      </c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45533.0</v>
      </c>
      <c r="C32" s="18" t="s">
        <v>1770</v>
      </c>
      <c r="D32" s="19">
        <v>80175.0</v>
      </c>
      <c r="E32" s="20" t="s">
        <v>1771</v>
      </c>
      <c r="F32" s="21"/>
      <c r="G32" s="22"/>
      <c r="H32" s="22"/>
      <c r="I32" s="34">
        <v>5150.0</v>
      </c>
      <c r="J32" s="21"/>
      <c r="K32" s="35"/>
      <c r="L32" s="22"/>
      <c r="M32" s="22"/>
      <c r="N32" s="22"/>
      <c r="O32" s="22"/>
      <c r="P32" s="24">
        <v>5150.0</v>
      </c>
      <c r="Q32" s="25">
        <f t="shared" si="1"/>
        <v>0</v>
      </c>
      <c r="R32" s="24" t="s">
        <v>51</v>
      </c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45533.0</v>
      </c>
      <c r="C33" s="18" t="s">
        <v>1772</v>
      </c>
      <c r="D33" s="19">
        <v>52083.0</v>
      </c>
      <c r="E33" s="20" t="s">
        <v>122</v>
      </c>
      <c r="F33" s="21"/>
      <c r="G33" s="22"/>
      <c r="H33" s="22"/>
      <c r="I33" s="34">
        <v>11300.0</v>
      </c>
      <c r="J33" s="21"/>
      <c r="K33" s="35"/>
      <c r="L33" s="22"/>
      <c r="M33" s="22"/>
      <c r="N33" s="22"/>
      <c r="O33" s="22"/>
      <c r="P33" s="24">
        <v>11300.0</v>
      </c>
      <c r="Q33" s="25">
        <f t="shared" si="1"/>
        <v>0</v>
      </c>
      <c r="R33" s="24" t="s">
        <v>25</v>
      </c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7">
        <v>45533.0</v>
      </c>
      <c r="C34" s="18" t="s">
        <v>1773</v>
      </c>
      <c r="D34" s="19">
        <v>84622.0</v>
      </c>
      <c r="E34" s="20" t="s">
        <v>1774</v>
      </c>
      <c r="F34" s="21"/>
      <c r="G34" s="22"/>
      <c r="H34" s="22"/>
      <c r="I34" s="34"/>
      <c r="J34" s="21">
        <v>300.0</v>
      </c>
      <c r="K34" s="35"/>
      <c r="L34" s="22"/>
      <c r="M34" s="22"/>
      <c r="N34" s="22"/>
      <c r="O34" s="22"/>
      <c r="P34" s="24">
        <v>300.0</v>
      </c>
      <c r="Q34" s="25">
        <f t="shared" si="1"/>
        <v>0</v>
      </c>
      <c r="R34" s="24" t="s">
        <v>479</v>
      </c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7">
        <v>45533.0</v>
      </c>
      <c r="C35" s="18" t="s">
        <v>1775</v>
      </c>
      <c r="D35" s="19">
        <v>68268.0</v>
      </c>
      <c r="E35" s="20" t="s">
        <v>1291</v>
      </c>
      <c r="F35" s="21"/>
      <c r="G35" s="22"/>
      <c r="H35" s="22"/>
      <c r="I35" s="34">
        <v>2823.0</v>
      </c>
      <c r="J35" s="21"/>
      <c r="K35" s="35">
        <v>127.0</v>
      </c>
      <c r="L35" s="22"/>
      <c r="M35" s="22"/>
      <c r="N35" s="22"/>
      <c r="O35" s="22"/>
      <c r="P35" s="24">
        <v>2950.0</v>
      </c>
      <c r="Q35" s="25">
        <f t="shared" si="1"/>
        <v>0</v>
      </c>
      <c r="R35" s="24" t="s">
        <v>25</v>
      </c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7">
        <v>45533.0</v>
      </c>
      <c r="C36" s="18" t="s">
        <v>1776</v>
      </c>
      <c r="D36" s="19">
        <v>80961.0</v>
      </c>
      <c r="E36" s="20" t="s">
        <v>1777</v>
      </c>
      <c r="F36" s="21"/>
      <c r="G36" s="22"/>
      <c r="H36" s="22"/>
      <c r="I36" s="34">
        <v>305.0</v>
      </c>
      <c r="J36" s="21"/>
      <c r="K36" s="35">
        <v>2345.0</v>
      </c>
      <c r="L36" s="22"/>
      <c r="M36" s="22"/>
      <c r="N36" s="22"/>
      <c r="O36" s="22"/>
      <c r="P36" s="24">
        <v>2650.0</v>
      </c>
      <c r="Q36" s="25">
        <f t="shared" si="1"/>
        <v>0</v>
      </c>
      <c r="R36" s="24" t="s">
        <v>25</v>
      </c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7">
        <v>45532.0</v>
      </c>
      <c r="C37" s="18" t="s">
        <v>1778</v>
      </c>
      <c r="D37" s="19">
        <v>31927.0</v>
      </c>
      <c r="E37" s="20" t="s">
        <v>168</v>
      </c>
      <c r="F37" s="21"/>
      <c r="G37" s="22"/>
      <c r="H37" s="22"/>
      <c r="I37" s="34"/>
      <c r="J37" s="21"/>
      <c r="K37" s="35"/>
      <c r="L37" s="22"/>
      <c r="M37" s="22">
        <v>450.0</v>
      </c>
      <c r="N37" s="22"/>
      <c r="O37" s="22"/>
      <c r="P37" s="24">
        <v>450.0</v>
      </c>
      <c r="Q37" s="25">
        <f t="shared" si="1"/>
        <v>0</v>
      </c>
      <c r="R37" s="24"/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7">
        <v>45532.0</v>
      </c>
      <c r="C38" s="18" t="s">
        <v>1779</v>
      </c>
      <c r="D38" s="19">
        <v>51017.0</v>
      </c>
      <c r="E38" s="20" t="s">
        <v>270</v>
      </c>
      <c r="F38" s="21"/>
      <c r="G38" s="22"/>
      <c r="H38" s="22">
        <v>20000.0</v>
      </c>
      <c r="I38" s="34"/>
      <c r="J38" s="21"/>
      <c r="K38" s="35"/>
      <c r="L38" s="22"/>
      <c r="M38" s="22"/>
      <c r="N38" s="22"/>
      <c r="O38" s="22"/>
      <c r="P38" s="24">
        <v>20000.0</v>
      </c>
      <c r="Q38" s="25">
        <f t="shared" si="1"/>
        <v>0</v>
      </c>
      <c r="R38" s="24"/>
      <c r="S38" s="26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7">
        <v>45532.0</v>
      </c>
      <c r="C39" s="18" t="s">
        <v>1780</v>
      </c>
      <c r="D39" s="19">
        <v>36826.0</v>
      </c>
      <c r="E39" s="20" t="s">
        <v>1182</v>
      </c>
      <c r="F39" s="21"/>
      <c r="G39" s="22"/>
      <c r="H39" s="22"/>
      <c r="I39" s="34"/>
      <c r="J39" s="21"/>
      <c r="K39" s="35"/>
      <c r="L39" s="22"/>
      <c r="M39" s="22">
        <v>990.0</v>
      </c>
      <c r="N39" s="22"/>
      <c r="O39" s="22"/>
      <c r="P39" s="24">
        <v>990.0</v>
      </c>
      <c r="Q39" s="25">
        <f t="shared" si="1"/>
        <v>0</v>
      </c>
      <c r="R39" s="24"/>
      <c r="S39" s="26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7">
        <v>45532.0</v>
      </c>
      <c r="C40" s="18" t="s">
        <v>1781</v>
      </c>
      <c r="D40" s="19">
        <v>69659.0</v>
      </c>
      <c r="E40" s="20" t="s">
        <v>723</v>
      </c>
      <c r="F40" s="21"/>
      <c r="G40" s="22"/>
      <c r="H40" s="22"/>
      <c r="I40" s="34"/>
      <c r="J40" s="21"/>
      <c r="K40" s="35"/>
      <c r="L40" s="22"/>
      <c r="M40" s="22">
        <v>2400.0</v>
      </c>
      <c r="N40" s="22"/>
      <c r="O40" s="22"/>
      <c r="P40" s="24">
        <v>2400.0</v>
      </c>
      <c r="Q40" s="25">
        <f t="shared" si="1"/>
        <v>0</v>
      </c>
      <c r="R40" s="24"/>
      <c r="S40" s="26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7">
        <v>45533.0</v>
      </c>
      <c r="C41" s="18" t="s">
        <v>1782</v>
      </c>
      <c r="D41" s="19">
        <v>84616.0</v>
      </c>
      <c r="E41" s="20" t="s">
        <v>1783</v>
      </c>
      <c r="F41" s="21"/>
      <c r="G41" s="22"/>
      <c r="H41" s="22"/>
      <c r="I41" s="34"/>
      <c r="J41" s="21"/>
      <c r="K41" s="35">
        <v>300.0</v>
      </c>
      <c r="L41" s="22"/>
      <c r="M41" s="22"/>
      <c r="N41" s="22"/>
      <c r="O41" s="22"/>
      <c r="P41" s="24">
        <v>300.0</v>
      </c>
      <c r="Q41" s="25">
        <f t="shared" si="1"/>
        <v>0</v>
      </c>
      <c r="R41" s="24"/>
      <c r="S41" s="26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27">
        <v>45533.0</v>
      </c>
      <c r="C42" s="18" t="s">
        <v>1784</v>
      </c>
      <c r="D42" s="19">
        <v>84443.0</v>
      </c>
      <c r="E42" s="20" t="s">
        <v>1070</v>
      </c>
      <c r="F42" s="21"/>
      <c r="G42" s="22"/>
      <c r="H42" s="22">
        <v>5550.0</v>
      </c>
      <c r="I42" s="34"/>
      <c r="J42" s="21"/>
      <c r="K42" s="35"/>
      <c r="L42" s="22"/>
      <c r="M42" s="22"/>
      <c r="N42" s="22"/>
      <c r="O42" s="22"/>
      <c r="P42" s="24">
        <v>5550.0</v>
      </c>
      <c r="Q42" s="25">
        <f t="shared" si="1"/>
        <v>0</v>
      </c>
      <c r="R42" s="24"/>
      <c r="S42" s="26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>
        <v>39.0</v>
      </c>
      <c r="B43" s="27">
        <v>45533.0</v>
      </c>
      <c r="C43" s="18" t="s">
        <v>1785</v>
      </c>
      <c r="D43" s="19">
        <v>83843.0</v>
      </c>
      <c r="E43" s="20" t="s">
        <v>1786</v>
      </c>
      <c r="F43" s="21"/>
      <c r="G43" s="22"/>
      <c r="H43" s="22"/>
      <c r="I43" s="34"/>
      <c r="J43" s="21"/>
      <c r="K43" s="35">
        <v>4480.0</v>
      </c>
      <c r="L43" s="22"/>
      <c r="M43" s="22"/>
      <c r="N43" s="22"/>
      <c r="O43" s="22"/>
      <c r="P43" s="24">
        <v>4480.0</v>
      </c>
      <c r="Q43" s="25">
        <f t="shared" si="1"/>
        <v>0</v>
      </c>
      <c r="R43" s="24"/>
      <c r="S43" s="26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16"/>
      <c r="B44" s="27"/>
      <c r="C44" s="18"/>
      <c r="D44" s="19"/>
      <c r="E44" s="20"/>
      <c r="F44" s="21"/>
      <c r="G44" s="22"/>
      <c r="H44" s="22"/>
      <c r="I44" s="21"/>
      <c r="J44" s="21"/>
      <c r="K44" s="23"/>
      <c r="L44" s="22"/>
      <c r="M44" s="22"/>
      <c r="N44" s="22"/>
      <c r="O44" s="22"/>
      <c r="P44" s="24"/>
      <c r="Q44" s="25">
        <f t="shared" si="1"/>
        <v>0</v>
      </c>
      <c r="R44" s="24"/>
      <c r="S44" s="26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7.5" customHeight="1">
      <c r="A45" s="16"/>
      <c r="B45" s="27"/>
      <c r="C45" s="18"/>
      <c r="D45" s="19" t="s">
        <v>183</v>
      </c>
      <c r="E45" s="20"/>
      <c r="F45" s="45">
        <f t="shared" ref="F45:Q45" si="2">SUM(F5:F44)</f>
        <v>1000</v>
      </c>
      <c r="G45" s="45">
        <f t="shared" si="2"/>
        <v>0</v>
      </c>
      <c r="H45" s="45">
        <f t="shared" si="2"/>
        <v>25550</v>
      </c>
      <c r="I45" s="45">
        <f t="shared" si="2"/>
        <v>109028</v>
      </c>
      <c r="J45" s="45">
        <f t="shared" si="2"/>
        <v>57445</v>
      </c>
      <c r="K45" s="45">
        <f t="shared" si="2"/>
        <v>11902</v>
      </c>
      <c r="L45" s="45">
        <f t="shared" si="2"/>
        <v>0</v>
      </c>
      <c r="M45" s="45">
        <f t="shared" si="2"/>
        <v>3840</v>
      </c>
      <c r="N45" s="45">
        <f t="shared" si="2"/>
        <v>0</v>
      </c>
      <c r="O45" s="45">
        <f t="shared" si="2"/>
        <v>0</v>
      </c>
      <c r="P45" s="45">
        <f t="shared" si="2"/>
        <v>208765</v>
      </c>
      <c r="Q45" s="45">
        <f t="shared" si="2"/>
        <v>0</v>
      </c>
      <c r="R45" s="47"/>
      <c r="S45" s="26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</row>
    <row r="46" ht="15.75" customHeight="1">
      <c r="A46" s="48"/>
      <c r="B46" s="48"/>
      <c r="C46" s="49"/>
      <c r="D46" s="48"/>
      <c r="E46" s="48"/>
      <c r="F46" s="50">
        <f>F45+G45+H45+I45+J45+K45+L45+M45+N45+O45</f>
        <v>208765</v>
      </c>
      <c r="P46" s="51"/>
      <c r="Q46" s="51"/>
      <c r="R46" s="48"/>
      <c r="S46" s="48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</row>
    <row r="47" ht="15.75" customHeight="1">
      <c r="A47" s="4"/>
      <c r="B47" s="4"/>
      <c r="C47" s="5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3" t="s">
        <v>183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2"/>
      <c r="D50" s="4"/>
      <c r="E50" s="54" t="s">
        <v>1642</v>
      </c>
      <c r="F50" s="55" t="s">
        <v>1787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2"/>
      <c r="D51" s="4"/>
      <c r="E51" s="56" t="s">
        <v>186</v>
      </c>
      <c r="F51" s="55" t="s">
        <v>357</v>
      </c>
      <c r="G51" s="4"/>
      <c r="H51" s="4"/>
      <c r="I51" s="4"/>
      <c r="J51" s="4"/>
      <c r="K51" s="4"/>
      <c r="L51" s="4"/>
      <c r="M51" s="4"/>
      <c r="N51" s="4"/>
      <c r="O51" s="57" t="s">
        <v>183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2"/>
      <c r="D52" s="4"/>
      <c r="E52" s="56" t="s">
        <v>188</v>
      </c>
      <c r="F52" s="55" t="s">
        <v>194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56" t="s">
        <v>189</v>
      </c>
      <c r="F53" s="55" t="s">
        <v>194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2"/>
      <c r="D54" s="4"/>
      <c r="E54" s="56" t="s">
        <v>190</v>
      </c>
      <c r="F54" s="63" t="s">
        <v>357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56" t="s">
        <v>1788</v>
      </c>
      <c r="F55" s="55" t="s">
        <v>194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56" t="s">
        <v>193</v>
      </c>
      <c r="F56" s="55" t="s">
        <v>194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56" t="s">
        <v>195</v>
      </c>
      <c r="F57" s="59" t="s">
        <v>196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57" t="s">
        <v>183</v>
      </c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4"/>
      <c r="F58" s="4"/>
      <c r="G58" s="4"/>
      <c r="H58" s="4"/>
      <c r="I58" s="4"/>
      <c r="J58" s="4"/>
      <c r="K58" s="4" t="str">
        <f>I72445</f>
        <v/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6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57" t="s">
        <v>197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>
        <v>7.0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5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5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5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5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5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5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5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7">
    <mergeCell ref="R2:R4"/>
    <mergeCell ref="S2:S4"/>
    <mergeCell ref="F3:F4"/>
    <mergeCell ref="G3:H3"/>
    <mergeCell ref="I3:J3"/>
    <mergeCell ref="K3:K4"/>
    <mergeCell ref="F46:O46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6.88"/>
    <col customWidth="1" min="6" max="6" width="29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45.0" customHeight="1">
      <c r="A1" s="62" t="s">
        <v>1789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15.75" customHeight="1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5.75" customHeight="1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45534.0</v>
      </c>
      <c r="C5" s="18" t="s">
        <v>1790</v>
      </c>
      <c r="D5" s="19">
        <v>21828.0</v>
      </c>
      <c r="E5" s="20" t="s">
        <v>47</v>
      </c>
      <c r="F5" s="21">
        <v>6664.0</v>
      </c>
      <c r="G5" s="22"/>
      <c r="H5" s="21"/>
      <c r="I5" s="23"/>
      <c r="J5" s="23"/>
      <c r="K5" s="22">
        <v>736.0</v>
      </c>
      <c r="L5" s="22"/>
      <c r="M5" s="21"/>
      <c r="N5" s="22"/>
      <c r="O5" s="22"/>
      <c r="P5" s="24">
        <v>7400.0</v>
      </c>
      <c r="Q5" s="25">
        <f t="shared" ref="Q5:Q44" si="1">F5+G5+H5+I5+J5+K5+L5+M5+N5+O5-P5</f>
        <v>0</v>
      </c>
      <c r="R5" s="24" t="s">
        <v>68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45534.0</v>
      </c>
      <c r="C6" s="18" t="s">
        <v>1791</v>
      </c>
      <c r="D6" s="19">
        <v>55446.0</v>
      </c>
      <c r="E6" s="20" t="s">
        <v>519</v>
      </c>
      <c r="F6" s="21"/>
      <c r="G6" s="22">
        <v>5000.0</v>
      </c>
      <c r="H6" s="22"/>
      <c r="I6" s="21"/>
      <c r="J6" s="22"/>
      <c r="K6" s="22"/>
      <c r="L6" s="22"/>
      <c r="M6" s="21"/>
      <c r="N6" s="22"/>
      <c r="O6" s="22"/>
      <c r="P6" s="24">
        <v>5000.0</v>
      </c>
      <c r="Q6" s="25">
        <f t="shared" si="1"/>
        <v>0</v>
      </c>
      <c r="R6" s="24" t="s">
        <v>30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45534.0</v>
      </c>
      <c r="C7" s="18" t="s">
        <v>1792</v>
      </c>
      <c r="D7" s="19">
        <v>83970.0</v>
      </c>
      <c r="E7" s="20" t="s">
        <v>1014</v>
      </c>
      <c r="F7" s="22"/>
      <c r="G7" s="22"/>
      <c r="H7" s="21"/>
      <c r="I7" s="21">
        <v>5150.0</v>
      </c>
      <c r="J7" s="23"/>
      <c r="K7" s="22"/>
      <c r="L7" s="22"/>
      <c r="M7" s="22"/>
      <c r="N7" s="22"/>
      <c r="O7" s="22"/>
      <c r="P7" s="24">
        <v>5150.0</v>
      </c>
      <c r="Q7" s="25">
        <f t="shared" si="1"/>
        <v>0</v>
      </c>
      <c r="R7" s="24" t="s">
        <v>30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45534.0</v>
      </c>
      <c r="C8" s="18" t="s">
        <v>1793</v>
      </c>
      <c r="D8" s="19">
        <v>52373.0</v>
      </c>
      <c r="E8" s="20" t="s">
        <v>817</v>
      </c>
      <c r="F8" s="22"/>
      <c r="G8" s="22"/>
      <c r="H8" s="22"/>
      <c r="I8" s="21"/>
      <c r="J8" s="21">
        <v>1400.0</v>
      </c>
      <c r="K8" s="22"/>
      <c r="L8" s="22"/>
      <c r="M8" s="22"/>
      <c r="N8" s="22"/>
      <c r="O8" s="22"/>
      <c r="P8" s="24">
        <v>1400.0</v>
      </c>
      <c r="Q8" s="25">
        <f t="shared" si="1"/>
        <v>0</v>
      </c>
      <c r="R8" s="24" t="s">
        <v>68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45534.0</v>
      </c>
      <c r="C9" s="18" t="s">
        <v>1794</v>
      </c>
      <c r="D9" s="19">
        <v>77582.0</v>
      </c>
      <c r="E9" s="20" t="s">
        <v>1795</v>
      </c>
      <c r="F9" s="22"/>
      <c r="G9" s="22"/>
      <c r="H9" s="22"/>
      <c r="I9" s="21"/>
      <c r="J9" s="21">
        <v>4000.0</v>
      </c>
      <c r="K9" s="22"/>
      <c r="L9" s="22"/>
      <c r="M9" s="21"/>
      <c r="N9" s="22"/>
      <c r="O9" s="22"/>
      <c r="P9" s="24">
        <v>4000.0</v>
      </c>
      <c r="Q9" s="25">
        <f t="shared" si="1"/>
        <v>0</v>
      </c>
      <c r="R9" s="24" t="s">
        <v>51</v>
      </c>
      <c r="S9" s="26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45534.0</v>
      </c>
      <c r="C10" s="18" t="s">
        <v>1796</v>
      </c>
      <c r="D10" s="19">
        <v>55446.0</v>
      </c>
      <c r="E10" s="20" t="s">
        <v>519</v>
      </c>
      <c r="F10" s="22"/>
      <c r="G10" s="22">
        <v>2000.0</v>
      </c>
      <c r="H10" s="22"/>
      <c r="I10" s="21"/>
      <c r="J10" s="21"/>
      <c r="K10" s="22"/>
      <c r="L10" s="22"/>
      <c r="M10" s="21"/>
      <c r="N10" s="22"/>
      <c r="O10" s="22"/>
      <c r="P10" s="24">
        <v>2000.0</v>
      </c>
      <c r="Q10" s="25">
        <f t="shared" si="1"/>
        <v>0</v>
      </c>
      <c r="R10" s="24" t="s">
        <v>30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45534.0</v>
      </c>
      <c r="C11" s="18" t="s">
        <v>1797</v>
      </c>
      <c r="D11" s="19">
        <v>55446.0</v>
      </c>
      <c r="E11" s="20" t="s">
        <v>519</v>
      </c>
      <c r="F11" s="22"/>
      <c r="G11" s="22">
        <v>1000.0</v>
      </c>
      <c r="H11" s="22"/>
      <c r="I11" s="21"/>
      <c r="J11" s="21"/>
      <c r="K11" s="22"/>
      <c r="L11" s="22"/>
      <c r="M11" s="21"/>
      <c r="N11" s="22"/>
      <c r="O11" s="22"/>
      <c r="P11" s="24">
        <v>1000.0</v>
      </c>
      <c r="Q11" s="25">
        <f t="shared" si="1"/>
        <v>0</v>
      </c>
      <c r="R11" s="24" t="s">
        <v>25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7">
        <v>45534.0</v>
      </c>
      <c r="C12" s="18" t="s">
        <v>1798</v>
      </c>
      <c r="D12" s="19">
        <v>54325.0</v>
      </c>
      <c r="E12" s="20" t="s">
        <v>1799</v>
      </c>
      <c r="F12" s="22"/>
      <c r="G12" s="22"/>
      <c r="H12" s="22"/>
      <c r="I12" s="21"/>
      <c r="J12" s="21">
        <v>15000.0</v>
      </c>
      <c r="K12" s="22"/>
      <c r="L12" s="22"/>
      <c r="M12" s="21"/>
      <c r="N12" s="22"/>
      <c r="O12" s="22"/>
      <c r="P12" s="24">
        <v>15000.0</v>
      </c>
      <c r="Q12" s="25">
        <f t="shared" si="1"/>
        <v>0</v>
      </c>
      <c r="R12" s="24" t="s">
        <v>51</v>
      </c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8">
        <v>45534.0</v>
      </c>
      <c r="C13" s="29" t="s">
        <v>1800</v>
      </c>
      <c r="D13" s="30">
        <v>44149.0</v>
      </c>
      <c r="E13" s="31" t="s">
        <v>231</v>
      </c>
      <c r="F13" s="22"/>
      <c r="G13" s="22"/>
      <c r="H13" s="22"/>
      <c r="I13" s="21">
        <v>9500.0</v>
      </c>
      <c r="J13" s="21"/>
      <c r="K13" s="22"/>
      <c r="L13" s="22"/>
      <c r="M13" s="21"/>
      <c r="N13" s="22"/>
      <c r="O13" s="22"/>
      <c r="P13" s="32">
        <v>9500.0</v>
      </c>
      <c r="Q13" s="25">
        <f t="shared" si="1"/>
        <v>0</v>
      </c>
      <c r="R13" s="32" t="s">
        <v>30</v>
      </c>
      <c r="S13" s="26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 ht="34.5" customHeight="1">
      <c r="A14" s="16">
        <v>10.0</v>
      </c>
      <c r="B14" s="27">
        <v>45534.0</v>
      </c>
      <c r="C14" s="18" t="s">
        <v>1801</v>
      </c>
      <c r="D14" s="19">
        <v>69620.0</v>
      </c>
      <c r="E14" s="20" t="s">
        <v>331</v>
      </c>
      <c r="F14" s="22"/>
      <c r="G14" s="22"/>
      <c r="H14" s="22"/>
      <c r="I14" s="21"/>
      <c r="J14" s="21">
        <v>2770.0</v>
      </c>
      <c r="K14" s="22">
        <v>2230.0</v>
      </c>
      <c r="L14" s="22"/>
      <c r="M14" s="21"/>
      <c r="N14" s="22"/>
      <c r="O14" s="22"/>
      <c r="P14" s="24">
        <v>5000.0</v>
      </c>
      <c r="Q14" s="25">
        <f t="shared" si="1"/>
        <v>0</v>
      </c>
      <c r="R14" s="24" t="s">
        <v>68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45534.0</v>
      </c>
      <c r="C15" s="18" t="s">
        <v>1802</v>
      </c>
      <c r="D15" s="19">
        <v>36555.0</v>
      </c>
      <c r="E15" s="20" t="s">
        <v>63</v>
      </c>
      <c r="F15" s="22"/>
      <c r="G15" s="22"/>
      <c r="H15" s="22"/>
      <c r="I15" s="21"/>
      <c r="J15" s="21"/>
      <c r="K15" s="22">
        <v>1000.0</v>
      </c>
      <c r="L15" s="22"/>
      <c r="M15" s="21"/>
      <c r="N15" s="22"/>
      <c r="O15" s="22"/>
      <c r="P15" s="24">
        <v>1000.0</v>
      </c>
      <c r="Q15" s="25">
        <f t="shared" si="1"/>
        <v>0</v>
      </c>
      <c r="R15" s="24" t="s">
        <v>51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45534.0</v>
      </c>
      <c r="C16" s="18" t="s">
        <v>1803</v>
      </c>
      <c r="D16" s="19">
        <v>54573.0</v>
      </c>
      <c r="E16" s="20" t="s">
        <v>1804</v>
      </c>
      <c r="F16" s="22"/>
      <c r="G16" s="22"/>
      <c r="H16" s="22"/>
      <c r="I16" s="21">
        <v>12350.0</v>
      </c>
      <c r="J16" s="21"/>
      <c r="K16" s="22"/>
      <c r="L16" s="22"/>
      <c r="M16" s="21"/>
      <c r="N16" s="22"/>
      <c r="O16" s="22"/>
      <c r="P16" s="24">
        <v>12350.0</v>
      </c>
      <c r="Q16" s="25">
        <f t="shared" si="1"/>
        <v>0</v>
      </c>
      <c r="R16" s="24" t="s">
        <v>51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45534.0</v>
      </c>
      <c r="C17" s="18" t="s">
        <v>1805</v>
      </c>
      <c r="D17" s="19">
        <v>81108.0</v>
      </c>
      <c r="E17" s="20" t="s">
        <v>94</v>
      </c>
      <c r="F17" s="22"/>
      <c r="G17" s="22"/>
      <c r="H17" s="22"/>
      <c r="I17" s="21">
        <v>23500.0</v>
      </c>
      <c r="J17" s="21"/>
      <c r="K17" s="22"/>
      <c r="L17" s="22"/>
      <c r="M17" s="21"/>
      <c r="N17" s="22"/>
      <c r="O17" s="22"/>
      <c r="P17" s="24">
        <v>23500.0</v>
      </c>
      <c r="Q17" s="25">
        <f t="shared" si="1"/>
        <v>0</v>
      </c>
      <c r="R17" s="24" t="s">
        <v>68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7">
        <v>45534.0</v>
      </c>
      <c r="C18" s="18" t="s">
        <v>1806</v>
      </c>
      <c r="D18" s="19">
        <v>30270.0</v>
      </c>
      <c r="E18" s="20" t="s">
        <v>577</v>
      </c>
      <c r="F18" s="22"/>
      <c r="G18" s="22"/>
      <c r="H18" s="22"/>
      <c r="I18" s="21">
        <v>2650.0</v>
      </c>
      <c r="J18" s="21"/>
      <c r="K18" s="22"/>
      <c r="L18" s="22"/>
      <c r="M18" s="22"/>
      <c r="N18" s="22"/>
      <c r="O18" s="22"/>
      <c r="P18" s="24">
        <v>2650.0</v>
      </c>
      <c r="Q18" s="25">
        <f t="shared" si="1"/>
        <v>0</v>
      </c>
      <c r="R18" s="24" t="s">
        <v>30</v>
      </c>
      <c r="S18" s="26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28">
        <v>45534.0</v>
      </c>
      <c r="C19" s="29" t="s">
        <v>1807</v>
      </c>
      <c r="D19" s="30">
        <v>44149.0</v>
      </c>
      <c r="E19" s="31" t="s">
        <v>231</v>
      </c>
      <c r="F19" s="22"/>
      <c r="G19" s="22"/>
      <c r="H19" s="22"/>
      <c r="I19" s="21">
        <v>2500.0</v>
      </c>
      <c r="J19" s="21"/>
      <c r="K19" s="22"/>
      <c r="L19" s="22"/>
      <c r="M19" s="21"/>
      <c r="N19" s="22"/>
      <c r="O19" s="22"/>
      <c r="P19" s="32">
        <v>2500.0</v>
      </c>
      <c r="Q19" s="25">
        <f t="shared" si="1"/>
        <v>0</v>
      </c>
      <c r="R19" s="32" t="s">
        <v>51</v>
      </c>
      <c r="S19" s="26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ht="34.5" customHeight="1">
      <c r="A20" s="16">
        <v>16.0</v>
      </c>
      <c r="B20" s="27">
        <v>45534.0</v>
      </c>
      <c r="C20" s="18" t="s">
        <v>1808</v>
      </c>
      <c r="D20" s="19">
        <v>41669.0</v>
      </c>
      <c r="E20" s="20" t="s">
        <v>1809</v>
      </c>
      <c r="F20" s="22"/>
      <c r="G20" s="22"/>
      <c r="H20" s="22"/>
      <c r="I20" s="23"/>
      <c r="J20" s="21">
        <v>5000.0</v>
      </c>
      <c r="K20" s="22"/>
      <c r="L20" s="22"/>
      <c r="M20" s="22"/>
      <c r="N20" s="22"/>
      <c r="O20" s="22"/>
      <c r="P20" s="24">
        <v>5000.0</v>
      </c>
      <c r="Q20" s="25">
        <f t="shared" si="1"/>
        <v>0</v>
      </c>
      <c r="R20" s="24" t="s">
        <v>30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45534.0</v>
      </c>
      <c r="C21" s="18" t="s">
        <v>1810</v>
      </c>
      <c r="D21" s="19">
        <v>75384.0</v>
      </c>
      <c r="E21" s="20" t="s">
        <v>1811</v>
      </c>
      <c r="F21" s="21"/>
      <c r="G21" s="22"/>
      <c r="H21" s="22"/>
      <c r="I21" s="34"/>
      <c r="J21" s="21">
        <v>5000.0</v>
      </c>
      <c r="K21" s="35"/>
      <c r="L21" s="22"/>
      <c r="M21" s="22"/>
      <c r="N21" s="22"/>
      <c r="O21" s="22"/>
      <c r="P21" s="24">
        <v>5000.0</v>
      </c>
      <c r="Q21" s="25">
        <f t="shared" si="1"/>
        <v>0</v>
      </c>
      <c r="R21" s="24" t="s">
        <v>30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7">
        <v>45534.0</v>
      </c>
      <c r="C22" s="18" t="s">
        <v>1812</v>
      </c>
      <c r="D22" s="19">
        <v>76360.0</v>
      </c>
      <c r="E22" s="20" t="s">
        <v>369</v>
      </c>
      <c r="F22" s="21"/>
      <c r="G22" s="22"/>
      <c r="H22" s="22"/>
      <c r="I22" s="34">
        <v>2500.0</v>
      </c>
      <c r="J22" s="21"/>
      <c r="K22" s="35"/>
      <c r="L22" s="22"/>
      <c r="M22" s="22"/>
      <c r="N22" s="22"/>
      <c r="O22" s="22"/>
      <c r="P22" s="24">
        <v>2500.0</v>
      </c>
      <c r="Q22" s="25">
        <f t="shared" si="1"/>
        <v>0</v>
      </c>
      <c r="R22" s="24" t="s">
        <v>30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27">
        <v>45534.0</v>
      </c>
      <c r="C23" s="18" t="s">
        <v>1813</v>
      </c>
      <c r="D23" s="19">
        <v>21971.0</v>
      </c>
      <c r="E23" s="20" t="s">
        <v>1814</v>
      </c>
      <c r="F23" s="21"/>
      <c r="G23" s="22"/>
      <c r="H23" s="22"/>
      <c r="I23" s="34">
        <v>1350.0</v>
      </c>
      <c r="J23" s="21"/>
      <c r="K23" s="35"/>
      <c r="L23" s="22"/>
      <c r="M23" s="22"/>
      <c r="N23" s="22"/>
      <c r="O23" s="22"/>
      <c r="P23" s="24">
        <v>1350.0</v>
      </c>
      <c r="Q23" s="25">
        <f t="shared" si="1"/>
        <v>0</v>
      </c>
      <c r="R23" s="24" t="s">
        <v>68</v>
      </c>
      <c r="S23" s="26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16">
        <v>20.0</v>
      </c>
      <c r="B24" s="27">
        <v>45534.0</v>
      </c>
      <c r="C24" s="18" t="s">
        <v>1815</v>
      </c>
      <c r="D24" s="19">
        <v>61445.0</v>
      </c>
      <c r="E24" s="20" t="s">
        <v>708</v>
      </c>
      <c r="F24" s="21"/>
      <c r="G24" s="22"/>
      <c r="H24" s="22"/>
      <c r="I24" s="34">
        <v>1750.0</v>
      </c>
      <c r="J24" s="21"/>
      <c r="K24" s="35"/>
      <c r="L24" s="22"/>
      <c r="M24" s="22"/>
      <c r="N24" s="22"/>
      <c r="O24" s="22"/>
      <c r="P24" s="24">
        <v>1750.0</v>
      </c>
      <c r="Q24" s="25">
        <f t="shared" si="1"/>
        <v>0</v>
      </c>
      <c r="R24" s="24" t="s">
        <v>68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45534.0</v>
      </c>
      <c r="C25" s="18" t="s">
        <v>1816</v>
      </c>
      <c r="D25" s="19">
        <v>76556.0</v>
      </c>
      <c r="E25" s="20" t="s">
        <v>1100</v>
      </c>
      <c r="F25" s="21">
        <v>1000.0</v>
      </c>
      <c r="G25" s="22"/>
      <c r="H25" s="22"/>
      <c r="I25" s="34"/>
      <c r="J25" s="21"/>
      <c r="K25" s="35"/>
      <c r="L25" s="22"/>
      <c r="M25" s="22"/>
      <c r="N25" s="22"/>
      <c r="O25" s="22"/>
      <c r="P25" s="24">
        <v>1000.0</v>
      </c>
      <c r="Q25" s="25">
        <f t="shared" si="1"/>
        <v>0</v>
      </c>
      <c r="R25" s="24" t="s">
        <v>30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45534.0</v>
      </c>
      <c r="C26" s="18" t="s">
        <v>1817</v>
      </c>
      <c r="D26" s="19">
        <v>10250.0</v>
      </c>
      <c r="E26" s="20" t="s">
        <v>36</v>
      </c>
      <c r="F26" s="21"/>
      <c r="G26" s="22"/>
      <c r="H26" s="22"/>
      <c r="I26" s="34">
        <v>1250.0</v>
      </c>
      <c r="J26" s="21"/>
      <c r="K26" s="35"/>
      <c r="L26" s="22"/>
      <c r="M26" s="22"/>
      <c r="N26" s="22"/>
      <c r="O26" s="22"/>
      <c r="P26" s="24">
        <v>1250.0</v>
      </c>
      <c r="Q26" s="25">
        <f t="shared" si="1"/>
        <v>0</v>
      </c>
      <c r="R26" s="24" t="s">
        <v>30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45534.0</v>
      </c>
      <c r="C27" s="18" t="s">
        <v>1818</v>
      </c>
      <c r="D27" s="19">
        <v>21821.0</v>
      </c>
      <c r="E27" s="20" t="s">
        <v>641</v>
      </c>
      <c r="F27" s="21"/>
      <c r="G27" s="22"/>
      <c r="H27" s="22"/>
      <c r="I27" s="34"/>
      <c r="J27" s="21"/>
      <c r="K27" s="35">
        <v>7000.0</v>
      </c>
      <c r="L27" s="22"/>
      <c r="M27" s="22"/>
      <c r="N27" s="22"/>
      <c r="O27" s="22"/>
      <c r="P27" s="24">
        <v>7000.0</v>
      </c>
      <c r="Q27" s="25">
        <f t="shared" si="1"/>
        <v>0</v>
      </c>
      <c r="R27" s="24" t="s">
        <v>25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45534.0</v>
      </c>
      <c r="C28" s="18" t="s">
        <v>1819</v>
      </c>
      <c r="D28" s="19">
        <v>77917.0</v>
      </c>
      <c r="E28" s="20" t="s">
        <v>1820</v>
      </c>
      <c r="F28" s="21"/>
      <c r="G28" s="22"/>
      <c r="H28" s="22"/>
      <c r="I28" s="34"/>
      <c r="J28" s="21">
        <v>2650.0</v>
      </c>
      <c r="K28" s="35"/>
      <c r="L28" s="22"/>
      <c r="M28" s="22"/>
      <c r="N28" s="22"/>
      <c r="O28" s="22"/>
      <c r="P28" s="24">
        <v>2650.0</v>
      </c>
      <c r="Q28" s="25">
        <f t="shared" si="1"/>
        <v>0</v>
      </c>
      <c r="R28" s="24" t="s">
        <v>30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45534.0</v>
      </c>
      <c r="C29" s="18" t="s">
        <v>1821</v>
      </c>
      <c r="D29" s="19">
        <v>50596.0</v>
      </c>
      <c r="E29" s="20" t="s">
        <v>1822</v>
      </c>
      <c r="F29" s="21"/>
      <c r="G29" s="22"/>
      <c r="H29" s="22"/>
      <c r="I29" s="34">
        <v>5000.0</v>
      </c>
      <c r="J29" s="21"/>
      <c r="K29" s="35"/>
      <c r="L29" s="22"/>
      <c r="M29" s="22"/>
      <c r="N29" s="22"/>
      <c r="O29" s="22"/>
      <c r="P29" s="24">
        <v>5000.0</v>
      </c>
      <c r="Q29" s="25">
        <f t="shared" si="1"/>
        <v>0</v>
      </c>
      <c r="R29" s="24" t="s">
        <v>30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45534.0</v>
      </c>
      <c r="C30" s="18" t="s">
        <v>1823</v>
      </c>
      <c r="D30" s="19">
        <v>50342.0</v>
      </c>
      <c r="E30" s="20" t="s">
        <v>1824</v>
      </c>
      <c r="F30" s="21"/>
      <c r="G30" s="22"/>
      <c r="H30" s="22">
        <v>300.0</v>
      </c>
      <c r="I30" s="34"/>
      <c r="J30" s="21"/>
      <c r="K30" s="35"/>
      <c r="L30" s="22"/>
      <c r="M30" s="22"/>
      <c r="N30" s="22"/>
      <c r="O30" s="22"/>
      <c r="P30" s="24">
        <v>300.0</v>
      </c>
      <c r="Q30" s="25">
        <f t="shared" si="1"/>
        <v>0</v>
      </c>
      <c r="R30" s="24" t="s">
        <v>68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45533.0</v>
      </c>
      <c r="C31" s="18" t="s">
        <v>1825</v>
      </c>
      <c r="D31" s="19">
        <v>51017.0</v>
      </c>
      <c r="E31" s="20" t="s">
        <v>270</v>
      </c>
      <c r="F31" s="21"/>
      <c r="G31" s="22"/>
      <c r="H31" s="22">
        <v>10000.0</v>
      </c>
      <c r="I31" s="34"/>
      <c r="J31" s="21"/>
      <c r="K31" s="35"/>
      <c r="L31" s="22"/>
      <c r="M31" s="22"/>
      <c r="N31" s="22"/>
      <c r="O31" s="22"/>
      <c r="P31" s="24">
        <v>10000.0</v>
      </c>
      <c r="Q31" s="25">
        <f t="shared" si="1"/>
        <v>0</v>
      </c>
      <c r="R31" s="24"/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45533.0</v>
      </c>
      <c r="C32" s="18" t="s">
        <v>1826</v>
      </c>
      <c r="D32" s="19">
        <v>21821.0</v>
      </c>
      <c r="E32" s="20" t="s">
        <v>641</v>
      </c>
      <c r="F32" s="21"/>
      <c r="G32" s="22"/>
      <c r="H32" s="22">
        <v>50000.0</v>
      </c>
      <c r="I32" s="34"/>
      <c r="J32" s="21"/>
      <c r="K32" s="35"/>
      <c r="L32" s="22"/>
      <c r="M32" s="22"/>
      <c r="N32" s="22"/>
      <c r="O32" s="22"/>
      <c r="P32" s="24">
        <v>50000.0</v>
      </c>
      <c r="Q32" s="25">
        <f t="shared" si="1"/>
        <v>0</v>
      </c>
      <c r="R32" s="24"/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45534.0</v>
      </c>
      <c r="C33" s="18" t="s">
        <v>1827</v>
      </c>
      <c r="D33" s="19">
        <v>52669.0</v>
      </c>
      <c r="E33" s="20" t="s">
        <v>310</v>
      </c>
      <c r="F33" s="21"/>
      <c r="G33" s="22"/>
      <c r="H33" s="22">
        <v>22000.0</v>
      </c>
      <c r="I33" s="34"/>
      <c r="J33" s="21"/>
      <c r="K33" s="35"/>
      <c r="L33" s="22"/>
      <c r="M33" s="22"/>
      <c r="N33" s="22"/>
      <c r="O33" s="22"/>
      <c r="P33" s="24">
        <v>22000.0</v>
      </c>
      <c r="Q33" s="25">
        <f t="shared" si="1"/>
        <v>0</v>
      </c>
      <c r="R33" s="24"/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7">
        <v>45534.0</v>
      </c>
      <c r="C34" s="18" t="s">
        <v>1828</v>
      </c>
      <c r="D34" s="19">
        <v>83056.0</v>
      </c>
      <c r="E34" s="20" t="s">
        <v>1544</v>
      </c>
      <c r="F34" s="21"/>
      <c r="G34" s="22"/>
      <c r="H34" s="22"/>
      <c r="I34" s="34"/>
      <c r="J34" s="21"/>
      <c r="K34" s="35">
        <v>3600.0</v>
      </c>
      <c r="L34" s="22"/>
      <c r="M34" s="22"/>
      <c r="N34" s="22"/>
      <c r="O34" s="22"/>
      <c r="P34" s="24">
        <v>3600.0</v>
      </c>
      <c r="Q34" s="25">
        <f t="shared" si="1"/>
        <v>0</v>
      </c>
      <c r="R34" s="24"/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7">
        <v>45534.0</v>
      </c>
      <c r="C35" s="18" t="s">
        <v>1829</v>
      </c>
      <c r="D35" s="19">
        <v>71126.0</v>
      </c>
      <c r="E35" s="20" t="s">
        <v>1105</v>
      </c>
      <c r="F35" s="21"/>
      <c r="G35" s="22"/>
      <c r="H35" s="22">
        <v>33500.0</v>
      </c>
      <c r="I35" s="34"/>
      <c r="J35" s="21"/>
      <c r="K35" s="35"/>
      <c r="L35" s="22"/>
      <c r="M35" s="22"/>
      <c r="N35" s="22"/>
      <c r="O35" s="22"/>
      <c r="P35" s="24">
        <v>33500.0</v>
      </c>
      <c r="Q35" s="25">
        <f t="shared" si="1"/>
        <v>0</v>
      </c>
      <c r="R35" s="24"/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7">
        <v>45534.0</v>
      </c>
      <c r="C36" s="18" t="s">
        <v>1830</v>
      </c>
      <c r="D36" s="19">
        <v>51406.0</v>
      </c>
      <c r="E36" s="20" t="s">
        <v>281</v>
      </c>
      <c r="F36" s="21"/>
      <c r="G36" s="22"/>
      <c r="H36" s="22">
        <v>2500.0</v>
      </c>
      <c r="I36" s="34"/>
      <c r="J36" s="21"/>
      <c r="K36" s="35"/>
      <c r="L36" s="22"/>
      <c r="M36" s="22"/>
      <c r="N36" s="22"/>
      <c r="O36" s="22"/>
      <c r="P36" s="24">
        <v>2500.0</v>
      </c>
      <c r="Q36" s="25">
        <f t="shared" si="1"/>
        <v>0</v>
      </c>
      <c r="R36" s="24"/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7">
        <v>45534.0</v>
      </c>
      <c r="C37" s="18" t="s">
        <v>1831</v>
      </c>
      <c r="D37" s="19">
        <v>10288.0</v>
      </c>
      <c r="E37" s="20" t="s">
        <v>208</v>
      </c>
      <c r="F37" s="21"/>
      <c r="G37" s="22"/>
      <c r="H37" s="22">
        <v>4500.0</v>
      </c>
      <c r="I37" s="34"/>
      <c r="J37" s="21"/>
      <c r="K37" s="35"/>
      <c r="L37" s="22"/>
      <c r="M37" s="22"/>
      <c r="N37" s="22"/>
      <c r="O37" s="22"/>
      <c r="P37" s="24">
        <v>4500.0</v>
      </c>
      <c r="Q37" s="25">
        <f t="shared" si="1"/>
        <v>0</v>
      </c>
      <c r="R37" s="24"/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7">
        <v>45534.0</v>
      </c>
      <c r="C38" s="18" t="s">
        <v>1832</v>
      </c>
      <c r="D38" s="19">
        <v>72839.0</v>
      </c>
      <c r="E38" s="20" t="s">
        <v>714</v>
      </c>
      <c r="F38" s="21"/>
      <c r="G38" s="22"/>
      <c r="H38" s="22">
        <v>4500.0</v>
      </c>
      <c r="I38" s="34"/>
      <c r="J38" s="21"/>
      <c r="K38" s="35"/>
      <c r="L38" s="22"/>
      <c r="M38" s="22"/>
      <c r="N38" s="22"/>
      <c r="O38" s="22"/>
      <c r="P38" s="24">
        <v>4500.0</v>
      </c>
      <c r="Q38" s="25">
        <f t="shared" si="1"/>
        <v>0</v>
      </c>
      <c r="R38" s="24"/>
      <c r="S38" s="26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7">
        <v>45534.0</v>
      </c>
      <c r="C39" s="18" t="s">
        <v>1833</v>
      </c>
      <c r="D39" s="19">
        <v>78726.0</v>
      </c>
      <c r="E39" s="20" t="s">
        <v>1834</v>
      </c>
      <c r="F39" s="21"/>
      <c r="G39" s="22"/>
      <c r="H39" s="22">
        <v>4500.0</v>
      </c>
      <c r="I39" s="34"/>
      <c r="J39" s="21"/>
      <c r="K39" s="35"/>
      <c r="L39" s="22"/>
      <c r="M39" s="22"/>
      <c r="N39" s="22"/>
      <c r="O39" s="22"/>
      <c r="P39" s="24">
        <v>4500.0</v>
      </c>
      <c r="Q39" s="25">
        <f t="shared" si="1"/>
        <v>0</v>
      </c>
      <c r="R39" s="24"/>
      <c r="S39" s="26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7">
        <v>45534.0</v>
      </c>
      <c r="C40" s="18" t="s">
        <v>1835</v>
      </c>
      <c r="D40" s="19">
        <v>77283.0</v>
      </c>
      <c r="E40" s="20" t="s">
        <v>268</v>
      </c>
      <c r="F40" s="21"/>
      <c r="G40" s="22"/>
      <c r="H40" s="22"/>
      <c r="I40" s="34"/>
      <c r="J40" s="21"/>
      <c r="K40" s="35"/>
      <c r="L40" s="22"/>
      <c r="M40" s="22">
        <v>5350.0</v>
      </c>
      <c r="N40" s="22"/>
      <c r="O40" s="22"/>
      <c r="P40" s="24">
        <v>5350.0</v>
      </c>
      <c r="Q40" s="25">
        <f t="shared" si="1"/>
        <v>0</v>
      </c>
      <c r="R40" s="24"/>
      <c r="S40" s="26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7">
        <v>45534.0</v>
      </c>
      <c r="C41" s="18" t="s">
        <v>1836</v>
      </c>
      <c r="D41" s="19">
        <v>79725.0</v>
      </c>
      <c r="E41" s="20" t="s">
        <v>639</v>
      </c>
      <c r="F41" s="21"/>
      <c r="G41" s="22"/>
      <c r="H41" s="22"/>
      <c r="I41" s="34"/>
      <c r="J41" s="21"/>
      <c r="K41" s="35">
        <v>2100.0</v>
      </c>
      <c r="L41" s="22"/>
      <c r="M41" s="22"/>
      <c r="N41" s="22"/>
      <c r="O41" s="22"/>
      <c r="P41" s="24">
        <v>2100.0</v>
      </c>
      <c r="Q41" s="25">
        <f t="shared" si="1"/>
        <v>0</v>
      </c>
      <c r="R41" s="24"/>
      <c r="S41" s="26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/>
      <c r="B42" s="27"/>
      <c r="C42" s="18"/>
      <c r="D42" s="19"/>
      <c r="E42" s="20"/>
      <c r="F42" s="21"/>
      <c r="G42" s="22"/>
      <c r="H42" s="22"/>
      <c r="I42" s="34"/>
      <c r="J42" s="21"/>
      <c r="K42" s="35"/>
      <c r="L42" s="22"/>
      <c r="M42" s="22"/>
      <c r="N42" s="22"/>
      <c r="O42" s="22"/>
      <c r="P42" s="24"/>
      <c r="Q42" s="25">
        <f t="shared" si="1"/>
        <v>0</v>
      </c>
      <c r="R42" s="24"/>
      <c r="S42" s="26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/>
      <c r="B43" s="27"/>
      <c r="C43" s="18"/>
      <c r="D43" s="19"/>
      <c r="E43" s="20"/>
      <c r="F43" s="21"/>
      <c r="G43" s="22"/>
      <c r="H43" s="22"/>
      <c r="I43" s="34"/>
      <c r="J43" s="21"/>
      <c r="K43" s="35"/>
      <c r="L43" s="22"/>
      <c r="M43" s="22"/>
      <c r="N43" s="22"/>
      <c r="O43" s="22"/>
      <c r="P43" s="24"/>
      <c r="Q43" s="25">
        <f t="shared" si="1"/>
        <v>0</v>
      </c>
      <c r="R43" s="24"/>
      <c r="S43" s="26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16"/>
      <c r="B44" s="27"/>
      <c r="C44" s="18"/>
      <c r="D44" s="19"/>
      <c r="E44" s="20"/>
      <c r="F44" s="21"/>
      <c r="G44" s="22"/>
      <c r="H44" s="22"/>
      <c r="I44" s="21"/>
      <c r="J44" s="21"/>
      <c r="K44" s="23"/>
      <c r="L44" s="22"/>
      <c r="M44" s="22"/>
      <c r="N44" s="22"/>
      <c r="O44" s="22"/>
      <c r="P44" s="24"/>
      <c r="Q44" s="25">
        <f t="shared" si="1"/>
        <v>0</v>
      </c>
      <c r="R44" s="24"/>
      <c r="S44" s="26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7.5" customHeight="1">
      <c r="A45" s="16"/>
      <c r="B45" s="27"/>
      <c r="C45" s="18"/>
      <c r="D45" s="19" t="s">
        <v>183</v>
      </c>
      <c r="E45" s="20"/>
      <c r="F45" s="45">
        <f t="shared" ref="F45:Q45" si="2">SUM(F5:F44)</f>
        <v>7664</v>
      </c>
      <c r="G45" s="45">
        <f t="shared" si="2"/>
        <v>8000</v>
      </c>
      <c r="H45" s="45">
        <f t="shared" si="2"/>
        <v>131800</v>
      </c>
      <c r="I45" s="45">
        <f t="shared" si="2"/>
        <v>67500</v>
      </c>
      <c r="J45" s="45">
        <f t="shared" si="2"/>
        <v>35820</v>
      </c>
      <c r="K45" s="45">
        <f t="shared" si="2"/>
        <v>16666</v>
      </c>
      <c r="L45" s="45">
        <f t="shared" si="2"/>
        <v>0</v>
      </c>
      <c r="M45" s="45">
        <f t="shared" si="2"/>
        <v>5350</v>
      </c>
      <c r="N45" s="45">
        <f t="shared" si="2"/>
        <v>0</v>
      </c>
      <c r="O45" s="45">
        <f t="shared" si="2"/>
        <v>0</v>
      </c>
      <c r="P45" s="45">
        <f t="shared" si="2"/>
        <v>272800</v>
      </c>
      <c r="Q45" s="45">
        <f t="shared" si="2"/>
        <v>0</v>
      </c>
      <c r="R45" s="47"/>
      <c r="S45" s="26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</row>
    <row r="46" ht="15.75" customHeight="1">
      <c r="A46" s="48"/>
      <c r="B46" s="48"/>
      <c r="C46" s="49"/>
      <c r="D46" s="48"/>
      <c r="E46" s="48"/>
      <c r="F46" s="50">
        <f>F45+G45+H45+I45+J45+K45+L45+M45+N45+O45</f>
        <v>272800</v>
      </c>
      <c r="P46" s="51"/>
      <c r="Q46" s="51"/>
      <c r="R46" s="48"/>
      <c r="S46" s="48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</row>
    <row r="47" ht="15.75" customHeight="1">
      <c r="A47" s="4"/>
      <c r="B47" s="4"/>
      <c r="C47" s="5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5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53" t="s">
        <v>183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52"/>
      <c r="D50" s="4"/>
      <c r="E50" s="54" t="s">
        <v>1642</v>
      </c>
      <c r="F50" s="55" t="s">
        <v>185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52"/>
      <c r="D51" s="4"/>
      <c r="E51" s="56" t="s">
        <v>186</v>
      </c>
      <c r="F51" s="55" t="s">
        <v>187</v>
      </c>
      <c r="G51" s="4"/>
      <c r="H51" s="4"/>
      <c r="I51" s="4"/>
      <c r="J51" s="4"/>
      <c r="K51" s="4"/>
      <c r="L51" s="4"/>
      <c r="M51" s="4"/>
      <c r="N51" s="4"/>
      <c r="O51" s="57" t="s">
        <v>183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52"/>
      <c r="D52" s="4"/>
      <c r="E52" s="56" t="s">
        <v>188</v>
      </c>
      <c r="F52" s="55" t="s">
        <v>194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52"/>
      <c r="D53" s="4"/>
      <c r="E53" s="56" t="s">
        <v>189</v>
      </c>
      <c r="F53" s="55" t="s">
        <v>194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52"/>
      <c r="D54" s="4"/>
      <c r="E54" s="56" t="s">
        <v>190</v>
      </c>
      <c r="F54" s="61" t="s">
        <v>1837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52"/>
      <c r="D55" s="4"/>
      <c r="E55" s="56" t="s">
        <v>1838</v>
      </c>
      <c r="F55" s="55" t="s">
        <v>185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52"/>
      <c r="D56" s="4"/>
      <c r="E56" s="56" t="s">
        <v>193</v>
      </c>
      <c r="F56" s="55" t="s">
        <v>194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52"/>
      <c r="D57" s="4"/>
      <c r="E57" s="56" t="s">
        <v>195</v>
      </c>
      <c r="F57" s="59" t="s">
        <v>196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57" t="s">
        <v>183</v>
      </c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52"/>
      <c r="D58" s="4"/>
      <c r="E58" s="4"/>
      <c r="F58" s="4"/>
      <c r="G58" s="4"/>
      <c r="H58" s="4"/>
      <c r="I58" s="4"/>
      <c r="J58" s="4"/>
      <c r="K58" s="4" t="str">
        <f>I72445</f>
        <v/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5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2"/>
      <c r="D62" s="4"/>
      <c r="E62" s="4"/>
      <c r="F62" s="4"/>
      <c r="G62" s="4"/>
      <c r="H62" s="4"/>
      <c r="I62" s="4"/>
      <c r="J62" s="4"/>
      <c r="K62" s="4"/>
      <c r="L62" s="6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4"/>
      <c r="F65" s="4"/>
      <c r="G65" s="4"/>
      <c r="H65" s="4"/>
      <c r="I65" s="57" t="s">
        <v>197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>
        <v>7.0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5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5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5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5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5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5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5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7">
    <mergeCell ref="R2:R4"/>
    <mergeCell ref="S2:S4"/>
    <mergeCell ref="F3:F4"/>
    <mergeCell ref="G3:H3"/>
    <mergeCell ref="I3:J3"/>
    <mergeCell ref="K3:K4"/>
    <mergeCell ref="F46:O46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6.88"/>
    <col customWidth="1" min="6" max="6" width="29.63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45.0" customHeight="1">
      <c r="A1" s="62" t="s">
        <v>1839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15.75" customHeight="1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5.75" customHeight="1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45534.0</v>
      </c>
      <c r="C5" s="18" t="s">
        <v>1840</v>
      </c>
      <c r="D5" s="19">
        <v>16390.0</v>
      </c>
      <c r="E5" s="20" t="s">
        <v>1841</v>
      </c>
      <c r="F5" s="21"/>
      <c r="G5" s="22"/>
      <c r="H5" s="21"/>
      <c r="I5" s="23">
        <v>4650.0</v>
      </c>
      <c r="J5" s="23"/>
      <c r="K5" s="22"/>
      <c r="L5" s="22"/>
      <c r="M5" s="21"/>
      <c r="N5" s="22"/>
      <c r="O5" s="22"/>
      <c r="P5" s="24">
        <v>4650.0</v>
      </c>
      <c r="Q5" s="25">
        <f t="shared" ref="Q5:Q18" si="1">F5+G5+H5+I5+J5+K5+L5+M5+N5+O5-P5</f>
        <v>0</v>
      </c>
      <c r="R5" s="24" t="s">
        <v>30</v>
      </c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7">
        <v>45534.0</v>
      </c>
      <c r="C6" s="18" t="s">
        <v>1842</v>
      </c>
      <c r="D6" s="19">
        <v>54581.0</v>
      </c>
      <c r="E6" s="20" t="s">
        <v>1843</v>
      </c>
      <c r="F6" s="21"/>
      <c r="G6" s="22"/>
      <c r="H6" s="22"/>
      <c r="I6" s="21">
        <v>4500.0</v>
      </c>
      <c r="J6" s="22"/>
      <c r="K6" s="22"/>
      <c r="L6" s="22"/>
      <c r="M6" s="21"/>
      <c r="N6" s="22"/>
      <c r="O6" s="22"/>
      <c r="P6" s="24">
        <v>4500.0</v>
      </c>
      <c r="Q6" s="25">
        <f t="shared" si="1"/>
        <v>0</v>
      </c>
      <c r="R6" s="24" t="s">
        <v>30</v>
      </c>
      <c r="S6" s="26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7">
        <v>45534.0</v>
      </c>
      <c r="C7" s="18" t="s">
        <v>1844</v>
      </c>
      <c r="D7" s="19">
        <v>59244.0</v>
      </c>
      <c r="E7" s="20" t="s">
        <v>237</v>
      </c>
      <c r="F7" s="22"/>
      <c r="G7" s="22"/>
      <c r="H7" s="21"/>
      <c r="I7" s="21"/>
      <c r="J7" s="23">
        <v>400.0</v>
      </c>
      <c r="K7" s="22"/>
      <c r="L7" s="22"/>
      <c r="M7" s="22"/>
      <c r="N7" s="22"/>
      <c r="O7" s="22"/>
      <c r="P7" s="24">
        <v>400.0</v>
      </c>
      <c r="Q7" s="25">
        <f t="shared" si="1"/>
        <v>0</v>
      </c>
      <c r="R7" s="24" t="s">
        <v>30</v>
      </c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7">
        <v>45534.0</v>
      </c>
      <c r="C8" s="18" t="s">
        <v>1845</v>
      </c>
      <c r="D8" s="19">
        <v>78096.0</v>
      </c>
      <c r="E8" s="20" t="s">
        <v>1846</v>
      </c>
      <c r="F8" s="22"/>
      <c r="G8" s="22"/>
      <c r="H8" s="22"/>
      <c r="I8" s="21">
        <v>5000.0</v>
      </c>
      <c r="J8" s="21"/>
      <c r="K8" s="22"/>
      <c r="L8" s="22"/>
      <c r="M8" s="22"/>
      <c r="N8" s="22"/>
      <c r="O8" s="22"/>
      <c r="P8" s="24">
        <v>5000.0</v>
      </c>
      <c r="Q8" s="25">
        <f t="shared" si="1"/>
        <v>0</v>
      </c>
      <c r="R8" s="24" t="s">
        <v>25</v>
      </c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7">
        <v>45534.0</v>
      </c>
      <c r="C9" s="18" t="s">
        <v>1847</v>
      </c>
      <c r="D9" s="19">
        <v>78096.0</v>
      </c>
      <c r="E9" s="20" t="s">
        <v>1846</v>
      </c>
      <c r="F9" s="22"/>
      <c r="G9" s="22"/>
      <c r="H9" s="22"/>
      <c r="I9" s="21">
        <v>5000.0</v>
      </c>
      <c r="J9" s="21"/>
      <c r="K9" s="22"/>
      <c r="L9" s="22"/>
      <c r="M9" s="21"/>
      <c r="N9" s="22"/>
      <c r="O9" s="22"/>
      <c r="P9" s="24">
        <v>5000.0</v>
      </c>
      <c r="Q9" s="25">
        <f t="shared" si="1"/>
        <v>0</v>
      </c>
      <c r="R9" s="24" t="s">
        <v>25</v>
      </c>
      <c r="S9" s="26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7">
        <v>45535.0</v>
      </c>
      <c r="C10" s="18" t="s">
        <v>1848</v>
      </c>
      <c r="D10" s="19">
        <v>36555.0</v>
      </c>
      <c r="E10" s="20" t="s">
        <v>63</v>
      </c>
      <c r="F10" s="22"/>
      <c r="G10" s="22"/>
      <c r="H10" s="22"/>
      <c r="I10" s="21">
        <v>4500.0</v>
      </c>
      <c r="J10" s="21"/>
      <c r="K10" s="22"/>
      <c r="L10" s="22"/>
      <c r="M10" s="21"/>
      <c r="N10" s="22"/>
      <c r="O10" s="22"/>
      <c r="P10" s="24">
        <v>4500.0</v>
      </c>
      <c r="Q10" s="25">
        <f t="shared" si="1"/>
        <v>0</v>
      </c>
      <c r="R10" s="24" t="s">
        <v>51</v>
      </c>
      <c r="S10" s="26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7">
        <v>45535.0</v>
      </c>
      <c r="C11" s="18" t="s">
        <v>1849</v>
      </c>
      <c r="D11" s="19">
        <v>65868.0</v>
      </c>
      <c r="E11" s="20" t="s">
        <v>473</v>
      </c>
      <c r="F11" s="22"/>
      <c r="G11" s="22"/>
      <c r="H11" s="22"/>
      <c r="I11" s="21">
        <v>600.0</v>
      </c>
      <c r="J11" s="21"/>
      <c r="K11" s="22"/>
      <c r="L11" s="22"/>
      <c r="M11" s="21"/>
      <c r="N11" s="22"/>
      <c r="O11" s="22"/>
      <c r="P11" s="24">
        <v>600.0</v>
      </c>
      <c r="Q11" s="25">
        <f t="shared" si="1"/>
        <v>0</v>
      </c>
      <c r="R11" s="24" t="s">
        <v>25</v>
      </c>
      <c r="S11" s="26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7">
        <v>45535.0</v>
      </c>
      <c r="C12" s="18" t="s">
        <v>1850</v>
      </c>
      <c r="D12" s="19">
        <v>77567.0</v>
      </c>
      <c r="E12" s="20" t="s">
        <v>1451</v>
      </c>
      <c r="F12" s="22"/>
      <c r="G12" s="22"/>
      <c r="H12" s="22"/>
      <c r="I12" s="21">
        <v>4500.0</v>
      </c>
      <c r="J12" s="21"/>
      <c r="K12" s="22"/>
      <c r="L12" s="22"/>
      <c r="M12" s="21"/>
      <c r="N12" s="22"/>
      <c r="O12" s="22"/>
      <c r="P12" s="24">
        <v>4500.0</v>
      </c>
      <c r="Q12" s="25">
        <f t="shared" si="1"/>
        <v>0</v>
      </c>
      <c r="R12" s="24" t="s">
        <v>51</v>
      </c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28">
        <v>45535.0</v>
      </c>
      <c r="C13" s="29" t="s">
        <v>1851</v>
      </c>
      <c r="D13" s="30">
        <v>54099.0</v>
      </c>
      <c r="E13" s="31" t="s">
        <v>1852</v>
      </c>
      <c r="F13" s="22"/>
      <c r="G13" s="22"/>
      <c r="H13" s="22"/>
      <c r="I13" s="21">
        <v>10000.0</v>
      </c>
      <c r="J13" s="21"/>
      <c r="K13" s="22"/>
      <c r="L13" s="22"/>
      <c r="M13" s="21"/>
      <c r="N13" s="22"/>
      <c r="O13" s="22"/>
      <c r="P13" s="32">
        <v>10000.0</v>
      </c>
      <c r="Q13" s="25">
        <f t="shared" si="1"/>
        <v>0</v>
      </c>
      <c r="R13" s="32" t="s">
        <v>51</v>
      </c>
      <c r="S13" s="26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 ht="34.5" customHeight="1">
      <c r="A14" s="16">
        <v>10.0</v>
      </c>
      <c r="B14" s="27">
        <v>45535.0</v>
      </c>
      <c r="C14" s="18" t="s">
        <v>1853</v>
      </c>
      <c r="D14" s="19">
        <v>82077.0</v>
      </c>
      <c r="E14" s="20" t="s">
        <v>1854</v>
      </c>
      <c r="F14" s="22"/>
      <c r="G14" s="22"/>
      <c r="H14" s="22"/>
      <c r="I14" s="21">
        <v>5150.0</v>
      </c>
      <c r="J14" s="21"/>
      <c r="K14" s="22"/>
      <c r="L14" s="22"/>
      <c r="M14" s="21"/>
      <c r="N14" s="22"/>
      <c r="O14" s="22"/>
      <c r="P14" s="24">
        <v>5150.0</v>
      </c>
      <c r="Q14" s="25">
        <f t="shared" si="1"/>
        <v>0</v>
      </c>
      <c r="R14" s="24" t="s">
        <v>30</v>
      </c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7">
        <v>45535.0</v>
      </c>
      <c r="C15" s="18" t="s">
        <v>1855</v>
      </c>
      <c r="D15" s="19">
        <v>46927.0</v>
      </c>
      <c r="E15" s="20" t="s">
        <v>225</v>
      </c>
      <c r="F15" s="22"/>
      <c r="G15" s="22"/>
      <c r="H15" s="22"/>
      <c r="I15" s="21">
        <v>2000.0</v>
      </c>
      <c r="J15" s="21"/>
      <c r="K15" s="22"/>
      <c r="L15" s="22"/>
      <c r="M15" s="21"/>
      <c r="N15" s="22"/>
      <c r="O15" s="22"/>
      <c r="P15" s="24">
        <v>2000.0</v>
      </c>
      <c r="Q15" s="25">
        <f t="shared" si="1"/>
        <v>0</v>
      </c>
      <c r="R15" s="24" t="s">
        <v>25</v>
      </c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7">
        <v>45535.0</v>
      </c>
      <c r="C16" s="18" t="s">
        <v>1856</v>
      </c>
      <c r="D16" s="19">
        <v>55992.0</v>
      </c>
      <c r="E16" s="20" t="s">
        <v>567</v>
      </c>
      <c r="F16" s="22"/>
      <c r="G16" s="22"/>
      <c r="H16" s="22"/>
      <c r="I16" s="21">
        <v>450.0</v>
      </c>
      <c r="J16" s="21"/>
      <c r="K16" s="22"/>
      <c r="L16" s="22"/>
      <c r="M16" s="21"/>
      <c r="N16" s="22"/>
      <c r="O16" s="22"/>
      <c r="P16" s="24">
        <v>450.0</v>
      </c>
      <c r="Q16" s="25">
        <f t="shared" si="1"/>
        <v>0</v>
      </c>
      <c r="R16" s="24" t="s">
        <v>30</v>
      </c>
      <c r="S16" s="26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7">
        <v>45535.0</v>
      </c>
      <c r="C17" s="18" t="s">
        <v>1857</v>
      </c>
      <c r="D17" s="19">
        <v>80487.0</v>
      </c>
      <c r="E17" s="20" t="s">
        <v>1858</v>
      </c>
      <c r="F17" s="22"/>
      <c r="G17" s="22"/>
      <c r="H17" s="22"/>
      <c r="I17" s="21">
        <v>23.0</v>
      </c>
      <c r="J17" s="21"/>
      <c r="K17" s="22">
        <v>8477.0</v>
      </c>
      <c r="L17" s="22"/>
      <c r="M17" s="21"/>
      <c r="N17" s="22"/>
      <c r="O17" s="22"/>
      <c r="P17" s="24">
        <v>8500.0</v>
      </c>
      <c r="Q17" s="25">
        <f t="shared" si="1"/>
        <v>0</v>
      </c>
      <c r="R17" s="24" t="s">
        <v>479</v>
      </c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7">
        <v>45535.0</v>
      </c>
      <c r="C18" s="18" t="s">
        <v>1859</v>
      </c>
      <c r="D18" s="19">
        <v>22332.0</v>
      </c>
      <c r="E18" s="20" t="s">
        <v>396</v>
      </c>
      <c r="F18" s="22"/>
      <c r="G18" s="22"/>
      <c r="H18" s="22"/>
      <c r="I18" s="21">
        <v>8300.0</v>
      </c>
      <c r="J18" s="21"/>
      <c r="K18" s="22"/>
      <c r="L18" s="22"/>
      <c r="M18" s="22"/>
      <c r="N18" s="22"/>
      <c r="O18" s="22"/>
      <c r="P18" s="24">
        <v>8300.0</v>
      </c>
      <c r="Q18" s="25">
        <f t="shared" si="1"/>
        <v>0</v>
      </c>
      <c r="R18" s="24" t="s">
        <v>479</v>
      </c>
      <c r="S18" s="26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28">
        <v>45535.0</v>
      </c>
      <c r="C19" s="29" t="s">
        <v>1860</v>
      </c>
      <c r="D19" s="30">
        <v>75811.0</v>
      </c>
      <c r="E19" s="31" t="s">
        <v>1861</v>
      </c>
      <c r="F19" s="22" t="s">
        <v>183</v>
      </c>
      <c r="G19" s="22"/>
      <c r="H19" s="22"/>
      <c r="I19" s="21"/>
      <c r="J19" s="21">
        <v>1000.0</v>
      </c>
      <c r="K19" s="22"/>
      <c r="L19" s="22"/>
      <c r="M19" s="21"/>
      <c r="N19" s="22"/>
      <c r="O19" s="22"/>
      <c r="P19" s="24">
        <v>1000.0</v>
      </c>
      <c r="Q19" s="25">
        <v>0.0</v>
      </c>
      <c r="R19" s="32" t="s">
        <v>68</v>
      </c>
      <c r="S19" s="26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ht="34.5" customHeight="1">
      <c r="A20" s="16">
        <v>16.0</v>
      </c>
      <c r="B20" s="27">
        <v>45535.0</v>
      </c>
      <c r="C20" s="18" t="s">
        <v>1862</v>
      </c>
      <c r="D20" s="19">
        <v>10701.0</v>
      </c>
      <c r="E20" s="20" t="s">
        <v>1863</v>
      </c>
      <c r="F20" s="22"/>
      <c r="G20" s="22"/>
      <c r="H20" s="22"/>
      <c r="I20" s="23">
        <v>3750.0</v>
      </c>
      <c r="J20" s="21"/>
      <c r="K20" s="22"/>
      <c r="L20" s="22"/>
      <c r="M20" s="22"/>
      <c r="N20" s="22"/>
      <c r="O20" s="22"/>
      <c r="P20" s="24">
        <v>3750.0</v>
      </c>
      <c r="Q20" s="25">
        <f t="shared" ref="Q20:Q57" si="2">F20+G20+H20+I20+J20+K20+L20+M20+N20+O20-P20</f>
        <v>0</v>
      </c>
      <c r="R20" s="24" t="s">
        <v>25</v>
      </c>
      <c r="S20" s="26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7">
        <v>45535.0</v>
      </c>
      <c r="C21" s="18" t="s">
        <v>1864</v>
      </c>
      <c r="D21" s="19">
        <v>79625.0</v>
      </c>
      <c r="E21" s="20" t="s">
        <v>1865</v>
      </c>
      <c r="F21" s="21"/>
      <c r="G21" s="22"/>
      <c r="H21" s="22"/>
      <c r="I21" s="34"/>
      <c r="J21" s="21">
        <v>2650.0</v>
      </c>
      <c r="K21" s="35"/>
      <c r="L21" s="22"/>
      <c r="M21" s="22"/>
      <c r="N21" s="22"/>
      <c r="O21" s="22"/>
      <c r="P21" s="24">
        <v>2650.0</v>
      </c>
      <c r="Q21" s="25">
        <f t="shared" si="2"/>
        <v>0</v>
      </c>
      <c r="R21" s="24" t="s">
        <v>479</v>
      </c>
      <c r="S21" s="26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7">
        <v>45535.0</v>
      </c>
      <c r="C22" s="18" t="s">
        <v>1866</v>
      </c>
      <c r="D22" s="19">
        <v>48854.0</v>
      </c>
      <c r="E22" s="20" t="s">
        <v>86</v>
      </c>
      <c r="F22" s="21"/>
      <c r="G22" s="22"/>
      <c r="H22" s="22"/>
      <c r="I22" s="34"/>
      <c r="J22" s="21">
        <v>18500.0</v>
      </c>
      <c r="K22" s="35"/>
      <c r="L22" s="22"/>
      <c r="M22" s="22"/>
      <c r="N22" s="22"/>
      <c r="O22" s="22"/>
      <c r="P22" s="24">
        <v>18500.0</v>
      </c>
      <c r="Q22" s="25">
        <f t="shared" si="2"/>
        <v>0</v>
      </c>
      <c r="R22" s="24" t="s">
        <v>30</v>
      </c>
      <c r="S22" s="26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27">
        <v>45535.0</v>
      </c>
      <c r="C23" s="18" t="s">
        <v>1867</v>
      </c>
      <c r="D23" s="19">
        <v>58257.0</v>
      </c>
      <c r="E23" s="20" t="s">
        <v>860</v>
      </c>
      <c r="F23" s="21"/>
      <c r="G23" s="22"/>
      <c r="H23" s="22"/>
      <c r="I23" s="34"/>
      <c r="J23" s="21"/>
      <c r="K23" s="35">
        <v>21200.0</v>
      </c>
      <c r="L23" s="22"/>
      <c r="M23" s="22"/>
      <c r="N23" s="22"/>
      <c r="O23" s="22"/>
      <c r="P23" s="24">
        <v>21200.0</v>
      </c>
      <c r="Q23" s="25">
        <f t="shared" si="2"/>
        <v>0</v>
      </c>
      <c r="R23" s="24" t="s">
        <v>25</v>
      </c>
      <c r="S23" s="26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16">
        <v>20.0</v>
      </c>
      <c r="B24" s="27">
        <v>45535.0</v>
      </c>
      <c r="C24" s="18" t="s">
        <v>1868</v>
      </c>
      <c r="D24" s="19">
        <v>77831.0</v>
      </c>
      <c r="E24" s="20" t="s">
        <v>213</v>
      </c>
      <c r="F24" s="21"/>
      <c r="G24" s="22"/>
      <c r="H24" s="22"/>
      <c r="I24" s="34">
        <v>7150.0</v>
      </c>
      <c r="J24" s="21"/>
      <c r="K24" s="35"/>
      <c r="L24" s="22"/>
      <c r="M24" s="22"/>
      <c r="N24" s="22"/>
      <c r="O24" s="22"/>
      <c r="P24" s="24">
        <v>7150.0</v>
      </c>
      <c r="Q24" s="25">
        <f t="shared" si="2"/>
        <v>0</v>
      </c>
      <c r="R24" s="24" t="s">
        <v>479</v>
      </c>
      <c r="S24" s="26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7">
        <v>45535.0</v>
      </c>
      <c r="C25" s="18" t="s">
        <v>1869</v>
      </c>
      <c r="D25" s="19">
        <v>54503.0</v>
      </c>
      <c r="E25" s="20" t="s">
        <v>1870</v>
      </c>
      <c r="F25" s="21"/>
      <c r="G25" s="22"/>
      <c r="H25" s="22"/>
      <c r="I25" s="34"/>
      <c r="J25" s="21">
        <v>2650.0</v>
      </c>
      <c r="K25" s="35"/>
      <c r="L25" s="22"/>
      <c r="M25" s="22"/>
      <c r="N25" s="22"/>
      <c r="O25" s="22"/>
      <c r="P25" s="24">
        <v>2650.0</v>
      </c>
      <c r="Q25" s="25">
        <f t="shared" si="2"/>
        <v>0</v>
      </c>
      <c r="R25" s="24" t="s">
        <v>68</v>
      </c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7">
        <v>45535.0</v>
      </c>
      <c r="C26" s="18" t="s">
        <v>1871</v>
      </c>
      <c r="D26" s="19">
        <v>67899.0</v>
      </c>
      <c r="E26" s="20" t="s">
        <v>1872</v>
      </c>
      <c r="F26" s="21"/>
      <c r="G26" s="22"/>
      <c r="H26" s="22"/>
      <c r="I26" s="34">
        <v>4500.0</v>
      </c>
      <c r="J26" s="21"/>
      <c r="K26" s="35"/>
      <c r="L26" s="22"/>
      <c r="M26" s="22"/>
      <c r="N26" s="22"/>
      <c r="O26" s="22"/>
      <c r="P26" s="24">
        <v>4500.0</v>
      </c>
      <c r="Q26" s="25">
        <f t="shared" si="2"/>
        <v>0</v>
      </c>
      <c r="R26" s="24" t="s">
        <v>51</v>
      </c>
      <c r="S26" s="26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7">
        <v>45535.0</v>
      </c>
      <c r="C27" s="18" t="s">
        <v>1873</v>
      </c>
      <c r="D27" s="19">
        <v>81108.0</v>
      </c>
      <c r="E27" s="20" t="s">
        <v>94</v>
      </c>
      <c r="F27" s="21"/>
      <c r="G27" s="22"/>
      <c r="H27" s="22"/>
      <c r="I27" s="34">
        <v>16950.0</v>
      </c>
      <c r="J27" s="21"/>
      <c r="K27" s="35"/>
      <c r="L27" s="22"/>
      <c r="M27" s="22"/>
      <c r="N27" s="22"/>
      <c r="O27" s="22"/>
      <c r="P27" s="24">
        <v>16950.0</v>
      </c>
      <c r="Q27" s="25">
        <f t="shared" si="2"/>
        <v>0</v>
      </c>
      <c r="R27" s="24" t="s">
        <v>30</v>
      </c>
      <c r="S27" s="26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7">
        <v>45535.0</v>
      </c>
      <c r="C28" s="18" t="s">
        <v>1874</v>
      </c>
      <c r="D28" s="19">
        <v>54503.0</v>
      </c>
      <c r="E28" s="20" t="s">
        <v>1870</v>
      </c>
      <c r="F28" s="21"/>
      <c r="G28" s="22"/>
      <c r="H28" s="22"/>
      <c r="I28" s="34"/>
      <c r="J28" s="21">
        <v>2500.0</v>
      </c>
      <c r="K28" s="35"/>
      <c r="L28" s="22"/>
      <c r="M28" s="22"/>
      <c r="N28" s="22"/>
      <c r="O28" s="22"/>
      <c r="P28" s="24">
        <v>2500.0</v>
      </c>
      <c r="Q28" s="25">
        <f t="shared" si="2"/>
        <v>0</v>
      </c>
      <c r="R28" s="24" t="s">
        <v>479</v>
      </c>
      <c r="S28" s="26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7">
        <v>45535.0</v>
      </c>
      <c r="C29" s="18" t="s">
        <v>1875</v>
      </c>
      <c r="D29" s="19">
        <v>81420.0</v>
      </c>
      <c r="E29" s="20" t="s">
        <v>1876</v>
      </c>
      <c r="F29" s="21">
        <v>2400.0</v>
      </c>
      <c r="G29" s="22"/>
      <c r="H29" s="22"/>
      <c r="I29" s="34"/>
      <c r="J29" s="21"/>
      <c r="K29" s="35"/>
      <c r="L29" s="22"/>
      <c r="M29" s="22"/>
      <c r="N29" s="22"/>
      <c r="O29" s="22"/>
      <c r="P29" s="24">
        <v>2400.0</v>
      </c>
      <c r="Q29" s="25">
        <f t="shared" si="2"/>
        <v>0</v>
      </c>
      <c r="R29" s="24" t="s">
        <v>30</v>
      </c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7">
        <v>45535.0</v>
      </c>
      <c r="C30" s="18" t="s">
        <v>1877</v>
      </c>
      <c r="D30" s="19">
        <v>51976.0</v>
      </c>
      <c r="E30" s="20" t="s">
        <v>1878</v>
      </c>
      <c r="F30" s="21"/>
      <c r="G30" s="22"/>
      <c r="H30" s="22"/>
      <c r="I30" s="34"/>
      <c r="J30" s="21">
        <v>10000.0</v>
      </c>
      <c r="K30" s="35"/>
      <c r="L30" s="22"/>
      <c r="M30" s="22"/>
      <c r="N30" s="22"/>
      <c r="O30" s="22"/>
      <c r="P30" s="24">
        <v>10000.0</v>
      </c>
      <c r="Q30" s="25">
        <f t="shared" si="2"/>
        <v>0</v>
      </c>
      <c r="R30" s="24" t="s">
        <v>25</v>
      </c>
      <c r="S30" s="2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7">
        <v>45535.0</v>
      </c>
      <c r="C31" s="18" t="s">
        <v>1879</v>
      </c>
      <c r="D31" s="19">
        <v>50436.0</v>
      </c>
      <c r="E31" s="20" t="s">
        <v>305</v>
      </c>
      <c r="F31" s="21"/>
      <c r="G31" s="22"/>
      <c r="H31" s="22"/>
      <c r="I31" s="34">
        <v>200.0</v>
      </c>
      <c r="J31" s="21"/>
      <c r="K31" s="35">
        <v>100.0</v>
      </c>
      <c r="L31" s="22"/>
      <c r="M31" s="22"/>
      <c r="N31" s="22"/>
      <c r="O31" s="22"/>
      <c r="P31" s="24">
        <v>300.0</v>
      </c>
      <c r="Q31" s="25">
        <f t="shared" si="2"/>
        <v>0</v>
      </c>
      <c r="R31" s="24" t="s">
        <v>30</v>
      </c>
      <c r="S31" s="26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7">
        <v>45535.0</v>
      </c>
      <c r="C32" s="18" t="s">
        <v>1880</v>
      </c>
      <c r="D32" s="19">
        <v>21818.0</v>
      </c>
      <c r="E32" s="20" t="s">
        <v>32</v>
      </c>
      <c r="F32" s="21"/>
      <c r="G32" s="22"/>
      <c r="H32" s="22"/>
      <c r="I32" s="34"/>
      <c r="J32" s="21"/>
      <c r="K32" s="35">
        <v>6050.0</v>
      </c>
      <c r="L32" s="22"/>
      <c r="M32" s="22"/>
      <c r="N32" s="22"/>
      <c r="O32" s="22"/>
      <c r="P32" s="24">
        <v>6050.0</v>
      </c>
      <c r="Q32" s="25">
        <f t="shared" si="2"/>
        <v>0</v>
      </c>
      <c r="R32" s="24" t="s">
        <v>30</v>
      </c>
      <c r="S32" s="26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7">
        <v>45535.0</v>
      </c>
      <c r="C33" s="18" t="s">
        <v>1881</v>
      </c>
      <c r="D33" s="19">
        <v>79730.0</v>
      </c>
      <c r="E33" s="20" t="s">
        <v>1882</v>
      </c>
      <c r="F33" s="21"/>
      <c r="G33" s="22"/>
      <c r="H33" s="22"/>
      <c r="I33" s="34">
        <v>1000.0</v>
      </c>
      <c r="J33" s="21"/>
      <c r="K33" s="35"/>
      <c r="L33" s="22"/>
      <c r="M33" s="22"/>
      <c r="N33" s="22"/>
      <c r="O33" s="22"/>
      <c r="P33" s="24">
        <v>1000.0</v>
      </c>
      <c r="Q33" s="25">
        <f t="shared" si="2"/>
        <v>0</v>
      </c>
      <c r="R33" s="24" t="s">
        <v>68</v>
      </c>
      <c r="S33" s="26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7">
        <v>45535.0</v>
      </c>
      <c r="C34" s="18" t="s">
        <v>1883</v>
      </c>
      <c r="D34" s="19">
        <v>40649.0</v>
      </c>
      <c r="E34" s="20" t="s">
        <v>1884</v>
      </c>
      <c r="F34" s="21"/>
      <c r="G34" s="22"/>
      <c r="H34" s="22"/>
      <c r="I34" s="34"/>
      <c r="J34" s="21">
        <v>1000.0</v>
      </c>
      <c r="K34" s="35"/>
      <c r="L34" s="22"/>
      <c r="M34" s="22"/>
      <c r="N34" s="22"/>
      <c r="O34" s="22"/>
      <c r="P34" s="24">
        <v>1000.0</v>
      </c>
      <c r="Q34" s="25">
        <f t="shared" si="2"/>
        <v>0</v>
      </c>
      <c r="R34" s="24" t="s">
        <v>68</v>
      </c>
      <c r="S34" s="26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7">
        <v>45535.0</v>
      </c>
      <c r="C35" s="18" t="s">
        <v>1885</v>
      </c>
      <c r="D35" s="19">
        <v>66838.0</v>
      </c>
      <c r="E35" s="20" t="s">
        <v>165</v>
      </c>
      <c r="F35" s="21"/>
      <c r="G35" s="22"/>
      <c r="H35" s="22"/>
      <c r="I35" s="34">
        <v>190000.0</v>
      </c>
      <c r="J35" s="21"/>
      <c r="K35" s="35"/>
      <c r="L35" s="22"/>
      <c r="M35" s="22"/>
      <c r="N35" s="22"/>
      <c r="O35" s="22"/>
      <c r="P35" s="24">
        <v>190000.0</v>
      </c>
      <c r="Q35" s="25">
        <f t="shared" si="2"/>
        <v>0</v>
      </c>
      <c r="R35" s="24" t="s">
        <v>68</v>
      </c>
      <c r="S35" s="26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7">
        <v>45535.0</v>
      </c>
      <c r="C36" s="18" t="s">
        <v>1886</v>
      </c>
      <c r="D36" s="19">
        <v>48052.0</v>
      </c>
      <c r="E36" s="20" t="s">
        <v>337</v>
      </c>
      <c r="F36" s="21"/>
      <c r="G36" s="22"/>
      <c r="H36" s="22"/>
      <c r="I36" s="34">
        <v>2500.0</v>
      </c>
      <c r="J36" s="21"/>
      <c r="K36" s="35"/>
      <c r="L36" s="22"/>
      <c r="M36" s="22"/>
      <c r="N36" s="22"/>
      <c r="O36" s="22"/>
      <c r="P36" s="24">
        <v>2500.0</v>
      </c>
      <c r="Q36" s="25">
        <f t="shared" si="2"/>
        <v>0</v>
      </c>
      <c r="R36" s="24" t="s">
        <v>51</v>
      </c>
      <c r="S36" s="2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7">
        <v>45535.0</v>
      </c>
      <c r="C37" s="18" t="s">
        <v>1887</v>
      </c>
      <c r="D37" s="19">
        <v>84685.0</v>
      </c>
      <c r="E37" s="20" t="s">
        <v>1888</v>
      </c>
      <c r="F37" s="21"/>
      <c r="G37" s="22"/>
      <c r="H37" s="22"/>
      <c r="I37" s="34">
        <v>1200.0</v>
      </c>
      <c r="J37" s="21"/>
      <c r="K37" s="35"/>
      <c r="L37" s="22"/>
      <c r="M37" s="22"/>
      <c r="N37" s="22"/>
      <c r="O37" s="22"/>
      <c r="P37" s="24">
        <v>1200.0</v>
      </c>
      <c r="Q37" s="25">
        <f t="shared" si="2"/>
        <v>0</v>
      </c>
      <c r="R37" s="24" t="s">
        <v>479</v>
      </c>
      <c r="S37" s="2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7">
        <v>45535.0</v>
      </c>
      <c r="C38" s="18" t="s">
        <v>1889</v>
      </c>
      <c r="D38" s="19">
        <v>52611.0</v>
      </c>
      <c r="E38" s="20" t="s">
        <v>288</v>
      </c>
      <c r="F38" s="21"/>
      <c r="G38" s="22"/>
      <c r="H38" s="22"/>
      <c r="I38" s="34"/>
      <c r="J38" s="21">
        <v>2650.0</v>
      </c>
      <c r="K38" s="35"/>
      <c r="L38" s="22"/>
      <c r="M38" s="22"/>
      <c r="N38" s="22"/>
      <c r="O38" s="22"/>
      <c r="P38" s="24">
        <v>2650.0</v>
      </c>
      <c r="Q38" s="25">
        <f t="shared" si="2"/>
        <v>0</v>
      </c>
      <c r="R38" s="24" t="s">
        <v>30</v>
      </c>
      <c r="S38" s="26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7">
        <v>45535.0</v>
      </c>
      <c r="C39" s="18" t="s">
        <v>1890</v>
      </c>
      <c r="D39" s="19">
        <v>84305.0</v>
      </c>
      <c r="E39" s="20" t="s">
        <v>242</v>
      </c>
      <c r="F39" s="21"/>
      <c r="G39" s="22"/>
      <c r="H39" s="22"/>
      <c r="I39" s="34"/>
      <c r="J39" s="21"/>
      <c r="K39" s="35"/>
      <c r="L39" s="22"/>
      <c r="M39" s="22">
        <v>150.0</v>
      </c>
      <c r="N39" s="22"/>
      <c r="O39" s="22"/>
      <c r="P39" s="24">
        <v>150.0</v>
      </c>
      <c r="Q39" s="25">
        <f t="shared" si="2"/>
        <v>0</v>
      </c>
      <c r="R39" s="24" t="s">
        <v>479</v>
      </c>
      <c r="S39" s="26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7">
        <v>45535.0</v>
      </c>
      <c r="C40" s="18" t="s">
        <v>1891</v>
      </c>
      <c r="D40" s="19">
        <v>10270.0</v>
      </c>
      <c r="E40" s="20" t="s">
        <v>1892</v>
      </c>
      <c r="F40" s="21"/>
      <c r="G40" s="22">
        <v>10200.0</v>
      </c>
      <c r="H40" s="22"/>
      <c r="I40" s="34"/>
      <c r="J40" s="21"/>
      <c r="K40" s="35"/>
      <c r="L40" s="22"/>
      <c r="M40" s="22"/>
      <c r="N40" s="22"/>
      <c r="O40" s="22"/>
      <c r="P40" s="24">
        <v>10200.0</v>
      </c>
      <c r="Q40" s="25">
        <f t="shared" si="2"/>
        <v>0</v>
      </c>
      <c r="R40" s="24" t="s">
        <v>479</v>
      </c>
      <c r="S40" s="26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7">
        <v>45535.0</v>
      </c>
      <c r="C41" s="18" t="s">
        <v>1893</v>
      </c>
      <c r="D41" s="19">
        <v>10271.0</v>
      </c>
      <c r="E41" s="20" t="s">
        <v>364</v>
      </c>
      <c r="F41" s="21"/>
      <c r="G41" s="22">
        <v>1000.0</v>
      </c>
      <c r="H41" s="22"/>
      <c r="I41" s="34"/>
      <c r="J41" s="21"/>
      <c r="K41" s="35"/>
      <c r="L41" s="22"/>
      <c r="M41" s="22"/>
      <c r="N41" s="22"/>
      <c r="O41" s="22"/>
      <c r="P41" s="24">
        <v>1000.0</v>
      </c>
      <c r="Q41" s="25">
        <f t="shared" si="2"/>
        <v>0</v>
      </c>
      <c r="R41" s="24" t="s">
        <v>479</v>
      </c>
      <c r="S41" s="26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27">
        <v>45535.0</v>
      </c>
      <c r="C42" s="18" t="s">
        <v>1894</v>
      </c>
      <c r="D42" s="19">
        <v>81420.0</v>
      </c>
      <c r="E42" s="20" t="s">
        <v>1876</v>
      </c>
      <c r="F42" s="21">
        <v>1450.0</v>
      </c>
      <c r="G42" s="22"/>
      <c r="H42" s="22"/>
      <c r="I42" s="34"/>
      <c r="J42" s="21"/>
      <c r="K42" s="35"/>
      <c r="L42" s="22"/>
      <c r="M42" s="22"/>
      <c r="N42" s="22"/>
      <c r="O42" s="22"/>
      <c r="P42" s="24">
        <v>1450.0</v>
      </c>
      <c r="Q42" s="25">
        <f t="shared" si="2"/>
        <v>0</v>
      </c>
      <c r="R42" s="24" t="s">
        <v>30</v>
      </c>
      <c r="S42" s="26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>
        <v>39.0</v>
      </c>
      <c r="B43" s="27">
        <v>45535.0</v>
      </c>
      <c r="C43" s="18" t="s">
        <v>1895</v>
      </c>
      <c r="D43" s="19">
        <v>42052.0</v>
      </c>
      <c r="E43" s="20" t="s">
        <v>1896</v>
      </c>
      <c r="F43" s="21"/>
      <c r="G43" s="22"/>
      <c r="H43" s="22"/>
      <c r="I43" s="34"/>
      <c r="J43" s="21"/>
      <c r="K43" s="35"/>
      <c r="L43" s="22"/>
      <c r="M43" s="22">
        <v>5000.0</v>
      </c>
      <c r="N43" s="22"/>
      <c r="O43" s="22"/>
      <c r="P43" s="24">
        <v>5000.0</v>
      </c>
      <c r="Q43" s="25">
        <f t="shared" si="2"/>
        <v>0</v>
      </c>
      <c r="R43" s="24" t="s">
        <v>30</v>
      </c>
      <c r="S43" s="26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16">
        <v>40.0</v>
      </c>
      <c r="B44" s="27">
        <v>45535.0</v>
      </c>
      <c r="C44" s="18" t="s">
        <v>1897</v>
      </c>
      <c r="D44" s="19">
        <v>52083.0</v>
      </c>
      <c r="E44" s="20" t="s">
        <v>122</v>
      </c>
      <c r="F44" s="21"/>
      <c r="G44" s="22"/>
      <c r="H44" s="22"/>
      <c r="I44" s="34">
        <v>2500.0</v>
      </c>
      <c r="J44" s="21"/>
      <c r="K44" s="35"/>
      <c r="L44" s="22"/>
      <c r="M44" s="22"/>
      <c r="N44" s="22"/>
      <c r="O44" s="22"/>
      <c r="P44" s="24">
        <v>2500.0</v>
      </c>
      <c r="Q44" s="25">
        <f t="shared" si="2"/>
        <v>0</v>
      </c>
      <c r="R44" s="24" t="s">
        <v>25</v>
      </c>
      <c r="S44" s="26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16">
        <v>41.0</v>
      </c>
      <c r="B45" s="27">
        <v>45535.0</v>
      </c>
      <c r="C45" s="18" t="s">
        <v>1898</v>
      </c>
      <c r="D45" s="19">
        <v>68284.0</v>
      </c>
      <c r="E45" s="20" t="s">
        <v>727</v>
      </c>
      <c r="F45" s="21"/>
      <c r="G45" s="22"/>
      <c r="H45" s="22"/>
      <c r="I45" s="34"/>
      <c r="J45" s="21">
        <v>300.0</v>
      </c>
      <c r="K45" s="35"/>
      <c r="L45" s="22"/>
      <c r="M45" s="22"/>
      <c r="N45" s="22"/>
      <c r="O45" s="22"/>
      <c r="P45" s="24">
        <v>300.0</v>
      </c>
      <c r="Q45" s="25">
        <f t="shared" si="2"/>
        <v>0</v>
      </c>
      <c r="R45" s="24" t="s">
        <v>25</v>
      </c>
      <c r="S45" s="26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4.5" customHeight="1">
      <c r="A46" s="16">
        <v>42.0</v>
      </c>
      <c r="B46" s="27">
        <v>45535.0</v>
      </c>
      <c r="C46" s="18" t="s">
        <v>1899</v>
      </c>
      <c r="D46" s="19">
        <v>84114.0</v>
      </c>
      <c r="E46" s="20" t="s">
        <v>524</v>
      </c>
      <c r="F46" s="21"/>
      <c r="G46" s="22"/>
      <c r="H46" s="22"/>
      <c r="I46" s="34">
        <v>5200.0</v>
      </c>
      <c r="J46" s="21"/>
      <c r="K46" s="35"/>
      <c r="L46" s="22"/>
      <c r="M46" s="22"/>
      <c r="N46" s="22"/>
      <c r="O46" s="22"/>
      <c r="P46" s="24">
        <v>5200.0</v>
      </c>
      <c r="Q46" s="25">
        <f t="shared" si="2"/>
        <v>0</v>
      </c>
      <c r="R46" s="24" t="s">
        <v>30</v>
      </c>
      <c r="S46" s="26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34.5" customHeight="1">
      <c r="A47" s="16">
        <v>43.0</v>
      </c>
      <c r="B47" s="27">
        <v>45535.0</v>
      </c>
      <c r="C47" s="18" t="s">
        <v>1900</v>
      </c>
      <c r="D47" s="19">
        <v>13762.0</v>
      </c>
      <c r="E47" s="20" t="s">
        <v>244</v>
      </c>
      <c r="F47" s="21"/>
      <c r="G47" s="22"/>
      <c r="H47" s="22"/>
      <c r="I47" s="34"/>
      <c r="J47" s="21"/>
      <c r="K47" s="35"/>
      <c r="L47" s="22"/>
      <c r="M47" s="22">
        <v>1450.0</v>
      </c>
      <c r="N47" s="22"/>
      <c r="O47" s="22"/>
      <c r="P47" s="24">
        <v>1450.0</v>
      </c>
      <c r="Q47" s="25">
        <f t="shared" si="2"/>
        <v>0</v>
      </c>
      <c r="R47" s="24" t="s">
        <v>25</v>
      </c>
      <c r="S47" s="26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34.5" customHeight="1">
      <c r="A48" s="16">
        <v>44.0</v>
      </c>
      <c r="B48" s="27">
        <v>45535.0</v>
      </c>
      <c r="C48" s="18" t="s">
        <v>1901</v>
      </c>
      <c r="D48" s="19">
        <v>54581.0</v>
      </c>
      <c r="E48" s="20" t="s">
        <v>1843</v>
      </c>
      <c r="F48" s="21"/>
      <c r="G48" s="22"/>
      <c r="H48" s="22"/>
      <c r="I48" s="34">
        <v>4500.0</v>
      </c>
      <c r="J48" s="21"/>
      <c r="K48" s="35"/>
      <c r="L48" s="22"/>
      <c r="M48" s="22"/>
      <c r="N48" s="22"/>
      <c r="O48" s="22"/>
      <c r="P48" s="24">
        <v>4500.0</v>
      </c>
      <c r="Q48" s="25">
        <f t="shared" si="2"/>
        <v>0</v>
      </c>
      <c r="R48" s="24" t="s">
        <v>479</v>
      </c>
      <c r="S48" s="26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34.5" customHeight="1">
      <c r="A49" s="16">
        <v>45.0</v>
      </c>
      <c r="B49" s="27">
        <v>45535.0</v>
      </c>
      <c r="C49" s="18" t="s">
        <v>1902</v>
      </c>
      <c r="D49" s="19">
        <v>57328.0</v>
      </c>
      <c r="E49" s="20" t="s">
        <v>1297</v>
      </c>
      <c r="F49" s="21"/>
      <c r="G49" s="22"/>
      <c r="H49" s="22">
        <v>300.0</v>
      </c>
      <c r="I49" s="34"/>
      <c r="J49" s="21"/>
      <c r="K49" s="35"/>
      <c r="L49" s="22"/>
      <c r="M49" s="22"/>
      <c r="N49" s="22"/>
      <c r="O49" s="22"/>
      <c r="P49" s="24">
        <v>300.0</v>
      </c>
      <c r="Q49" s="25">
        <f t="shared" si="2"/>
        <v>0</v>
      </c>
      <c r="R49" s="24"/>
      <c r="S49" s="26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34.5" customHeight="1">
      <c r="A50" s="16">
        <v>46.0</v>
      </c>
      <c r="B50" s="27">
        <v>45535.0</v>
      </c>
      <c r="C50" s="18" t="s">
        <v>1903</v>
      </c>
      <c r="D50" s="19">
        <v>51017.0</v>
      </c>
      <c r="E50" s="20" t="s">
        <v>270</v>
      </c>
      <c r="F50" s="21"/>
      <c r="G50" s="22"/>
      <c r="H50" s="22">
        <v>12500.0</v>
      </c>
      <c r="I50" s="34"/>
      <c r="J50" s="21"/>
      <c r="K50" s="35"/>
      <c r="L50" s="22"/>
      <c r="M50" s="22"/>
      <c r="N50" s="22"/>
      <c r="O50" s="22"/>
      <c r="P50" s="24">
        <v>12500.0</v>
      </c>
      <c r="Q50" s="25">
        <f t="shared" si="2"/>
        <v>0</v>
      </c>
      <c r="R50" s="24"/>
      <c r="S50" s="26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34.5" customHeight="1">
      <c r="A51" s="16">
        <v>47.0</v>
      </c>
      <c r="B51" s="27">
        <v>45535.0</v>
      </c>
      <c r="C51" s="18" t="s">
        <v>1904</v>
      </c>
      <c r="D51" s="19">
        <v>83498.0</v>
      </c>
      <c r="E51" s="20" t="s">
        <v>1905</v>
      </c>
      <c r="F51" s="21"/>
      <c r="G51" s="22"/>
      <c r="H51" s="22">
        <v>3600.0</v>
      </c>
      <c r="I51" s="34"/>
      <c r="J51" s="21"/>
      <c r="K51" s="35"/>
      <c r="L51" s="22"/>
      <c r="M51" s="22"/>
      <c r="N51" s="22"/>
      <c r="O51" s="22"/>
      <c r="P51" s="24">
        <v>3600.0</v>
      </c>
      <c r="Q51" s="25">
        <f t="shared" si="2"/>
        <v>0</v>
      </c>
      <c r="R51" s="24"/>
      <c r="S51" s="26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34.5" customHeight="1">
      <c r="A52" s="16">
        <v>48.0</v>
      </c>
      <c r="B52" s="27">
        <v>45535.0</v>
      </c>
      <c r="C52" s="18" t="s">
        <v>1906</v>
      </c>
      <c r="D52" s="19">
        <v>66838.0</v>
      </c>
      <c r="E52" s="20" t="s">
        <v>165</v>
      </c>
      <c r="F52" s="21"/>
      <c r="G52" s="22"/>
      <c r="H52" s="22">
        <v>90000.0</v>
      </c>
      <c r="I52" s="34"/>
      <c r="J52" s="21"/>
      <c r="K52" s="35"/>
      <c r="L52" s="22"/>
      <c r="M52" s="22"/>
      <c r="N52" s="22"/>
      <c r="O52" s="22"/>
      <c r="P52" s="24">
        <v>90000.0</v>
      </c>
      <c r="Q52" s="25">
        <f t="shared" si="2"/>
        <v>0</v>
      </c>
      <c r="R52" s="24"/>
      <c r="S52" s="26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34.5" customHeight="1">
      <c r="A53" s="16">
        <v>49.0</v>
      </c>
      <c r="B53" s="27">
        <v>45535.0</v>
      </c>
      <c r="C53" s="18" t="s">
        <v>1907</v>
      </c>
      <c r="D53" s="19">
        <v>80293.0</v>
      </c>
      <c r="E53" s="20" t="s">
        <v>1908</v>
      </c>
      <c r="F53" s="21"/>
      <c r="G53" s="22"/>
      <c r="H53" s="22">
        <v>2500.0</v>
      </c>
      <c r="I53" s="34"/>
      <c r="J53" s="21"/>
      <c r="K53" s="35"/>
      <c r="L53" s="22"/>
      <c r="M53" s="22"/>
      <c r="N53" s="22"/>
      <c r="O53" s="22"/>
      <c r="P53" s="24">
        <v>2500.0</v>
      </c>
      <c r="Q53" s="25">
        <f t="shared" si="2"/>
        <v>0</v>
      </c>
      <c r="R53" s="24"/>
      <c r="S53" s="26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34.5" customHeight="1">
      <c r="A54" s="16">
        <v>50.0</v>
      </c>
      <c r="B54" s="27">
        <v>45535.0</v>
      </c>
      <c r="C54" s="18" t="s">
        <v>1909</v>
      </c>
      <c r="D54" s="19">
        <v>57328.0</v>
      </c>
      <c r="E54" s="20" t="s">
        <v>1297</v>
      </c>
      <c r="F54" s="21"/>
      <c r="G54" s="22"/>
      <c r="H54" s="22">
        <v>900.0</v>
      </c>
      <c r="I54" s="34"/>
      <c r="J54" s="21"/>
      <c r="K54" s="35"/>
      <c r="L54" s="22"/>
      <c r="M54" s="22"/>
      <c r="N54" s="22"/>
      <c r="O54" s="22"/>
      <c r="P54" s="24">
        <v>900.0</v>
      </c>
      <c r="Q54" s="25">
        <f t="shared" si="2"/>
        <v>0</v>
      </c>
      <c r="R54" s="24"/>
      <c r="S54" s="26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34.5" customHeight="1">
      <c r="A55" s="16">
        <v>51.0</v>
      </c>
      <c r="B55" s="27">
        <v>45535.0</v>
      </c>
      <c r="C55" s="18" t="s">
        <v>1910</v>
      </c>
      <c r="D55" s="19">
        <v>35245.0</v>
      </c>
      <c r="E55" s="20" t="s">
        <v>557</v>
      </c>
      <c r="F55" s="21"/>
      <c r="G55" s="22"/>
      <c r="H55" s="22">
        <v>4000.0</v>
      </c>
      <c r="I55" s="34"/>
      <c r="J55" s="21"/>
      <c r="K55" s="35"/>
      <c r="L55" s="22"/>
      <c r="M55" s="22"/>
      <c r="N55" s="22"/>
      <c r="O55" s="22"/>
      <c r="P55" s="24">
        <v>4000.0</v>
      </c>
      <c r="Q55" s="25">
        <f t="shared" si="2"/>
        <v>0</v>
      </c>
      <c r="R55" s="24"/>
      <c r="S55" s="26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34.5" customHeight="1">
      <c r="A56" s="16">
        <v>52.0</v>
      </c>
      <c r="B56" s="27">
        <v>45535.0</v>
      </c>
      <c r="C56" s="18" t="s">
        <v>1911</v>
      </c>
      <c r="D56" s="19">
        <v>10250.0</v>
      </c>
      <c r="E56" s="20" t="s">
        <v>36</v>
      </c>
      <c r="F56" s="21"/>
      <c r="G56" s="22"/>
      <c r="H56" s="22">
        <v>19000.0</v>
      </c>
      <c r="I56" s="34"/>
      <c r="J56" s="21"/>
      <c r="K56" s="35"/>
      <c r="L56" s="22"/>
      <c r="M56" s="22"/>
      <c r="N56" s="22"/>
      <c r="O56" s="22"/>
      <c r="P56" s="24">
        <v>19000.0</v>
      </c>
      <c r="Q56" s="25">
        <f t="shared" si="2"/>
        <v>0</v>
      </c>
      <c r="R56" s="24"/>
      <c r="S56" s="26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34.5" customHeight="1">
      <c r="A57" s="16">
        <v>53.0</v>
      </c>
      <c r="B57" s="27">
        <v>45535.0</v>
      </c>
      <c r="C57" s="18" t="s">
        <v>1912</v>
      </c>
      <c r="D57" s="19">
        <v>57201.0</v>
      </c>
      <c r="E57" s="20" t="s">
        <v>1913</v>
      </c>
      <c r="F57" s="21"/>
      <c r="G57" s="22"/>
      <c r="H57" s="22">
        <v>5200.0</v>
      </c>
      <c r="I57" s="34"/>
      <c r="J57" s="21"/>
      <c r="K57" s="35"/>
      <c r="L57" s="22"/>
      <c r="M57" s="22"/>
      <c r="N57" s="22"/>
      <c r="O57" s="22"/>
      <c r="P57" s="24">
        <v>5200.0</v>
      </c>
      <c r="Q57" s="25">
        <f t="shared" si="2"/>
        <v>0</v>
      </c>
      <c r="R57" s="24"/>
      <c r="S57" s="26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37.5" customHeight="1">
      <c r="A58" s="16"/>
      <c r="B58" s="27"/>
      <c r="C58" s="18"/>
      <c r="D58" s="19" t="s">
        <v>183</v>
      </c>
      <c r="E58" s="20"/>
      <c r="F58" s="45">
        <f t="shared" ref="F58:Q58" si="3">SUM(F5:F57)</f>
        <v>3850</v>
      </c>
      <c r="G58" s="45">
        <f t="shared" si="3"/>
        <v>11200</v>
      </c>
      <c r="H58" s="45">
        <f t="shared" si="3"/>
        <v>138000</v>
      </c>
      <c r="I58" s="45">
        <f t="shared" si="3"/>
        <v>294123</v>
      </c>
      <c r="J58" s="45">
        <f t="shared" si="3"/>
        <v>41650</v>
      </c>
      <c r="K58" s="45">
        <f t="shared" si="3"/>
        <v>35827</v>
      </c>
      <c r="L58" s="45">
        <f t="shared" si="3"/>
        <v>0</v>
      </c>
      <c r="M58" s="45">
        <f t="shared" si="3"/>
        <v>6600</v>
      </c>
      <c r="N58" s="45">
        <f t="shared" si="3"/>
        <v>0</v>
      </c>
      <c r="O58" s="45">
        <f t="shared" si="3"/>
        <v>0</v>
      </c>
      <c r="P58" s="45">
        <f t="shared" si="3"/>
        <v>531250</v>
      </c>
      <c r="Q58" s="45">
        <f t="shared" si="3"/>
        <v>0</v>
      </c>
      <c r="R58" s="47"/>
      <c r="S58" s="26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</row>
    <row r="59" ht="15.75" customHeight="1">
      <c r="A59" s="48"/>
      <c r="B59" s="48"/>
      <c r="C59" s="49"/>
      <c r="D59" s="48"/>
      <c r="E59" s="48"/>
      <c r="F59" s="50">
        <f>F58+G58+H58+I58+J58+K58+L58+M58+N58+O58</f>
        <v>531250</v>
      </c>
      <c r="P59" s="51"/>
      <c r="Q59" s="51"/>
      <c r="R59" s="48"/>
      <c r="S59" s="48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</row>
    <row r="60" ht="15.75" customHeight="1">
      <c r="A60" s="4"/>
      <c r="B60" s="4"/>
      <c r="C60" s="5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5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53" t="s">
        <v>183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52"/>
      <c r="D63" s="4"/>
      <c r="E63" s="54" t="s">
        <v>1642</v>
      </c>
      <c r="F63" s="55" t="s">
        <v>187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52"/>
      <c r="D64" s="4"/>
      <c r="E64" s="56" t="s">
        <v>186</v>
      </c>
      <c r="F64" s="55" t="s">
        <v>187</v>
      </c>
      <c r="G64" s="4"/>
      <c r="H64" s="4"/>
      <c r="I64" s="4"/>
      <c r="J64" s="4"/>
      <c r="K64" s="4"/>
      <c r="L64" s="4"/>
      <c r="M64" s="4"/>
      <c r="N64" s="4"/>
      <c r="O64" s="57" t="s">
        <v>183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52"/>
      <c r="D65" s="4"/>
      <c r="E65" s="56" t="s">
        <v>188</v>
      </c>
      <c r="F65" s="55" t="s">
        <v>194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52"/>
      <c r="D66" s="4"/>
      <c r="E66" s="56" t="s">
        <v>189</v>
      </c>
      <c r="F66" s="55" t="s">
        <v>194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52"/>
      <c r="D67" s="4"/>
      <c r="E67" s="56" t="s">
        <v>190</v>
      </c>
      <c r="F67" s="61" t="s">
        <v>1914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52"/>
      <c r="D68" s="4"/>
      <c r="E68" s="56" t="s">
        <v>1915</v>
      </c>
      <c r="F68" s="55" t="s">
        <v>194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52"/>
      <c r="D69" s="4"/>
      <c r="E69" s="56" t="s">
        <v>193</v>
      </c>
      <c r="F69" s="55" t="s">
        <v>194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52"/>
      <c r="D70" s="4"/>
      <c r="E70" s="56" t="s">
        <v>195</v>
      </c>
      <c r="F70" s="59" t="s">
        <v>196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57" t="s">
        <v>183</v>
      </c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52"/>
      <c r="D71" s="4"/>
      <c r="E71" s="4"/>
      <c r="F71" s="4"/>
      <c r="G71" s="4"/>
      <c r="H71" s="4"/>
      <c r="I71" s="4"/>
      <c r="J71" s="4"/>
      <c r="K71" s="4" t="str">
        <f>I72458</f>
        <v/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5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5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5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52"/>
      <c r="D75" s="4"/>
      <c r="E75" s="4"/>
      <c r="F75" s="4"/>
      <c r="G75" s="4"/>
      <c r="H75" s="4"/>
      <c r="I75" s="4"/>
      <c r="J75" s="4"/>
      <c r="K75" s="4"/>
      <c r="L75" s="6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5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5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52"/>
      <c r="D78" s="4"/>
      <c r="E78" s="4"/>
      <c r="F78" s="4"/>
      <c r="G78" s="4"/>
      <c r="H78" s="4"/>
      <c r="I78" s="57" t="s">
        <v>197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5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5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5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5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5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5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5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5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5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5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5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5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5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5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52"/>
      <c r="D93" s="4"/>
      <c r="E93" s="4"/>
      <c r="F93" s="4"/>
      <c r="G93" s="4"/>
      <c r="H93" s="4"/>
      <c r="I93" s="4"/>
      <c r="J93" s="4"/>
      <c r="K93" s="4"/>
      <c r="L93" s="4"/>
      <c r="M93" s="4">
        <v>7.0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5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5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5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5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5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5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5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5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5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5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5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5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5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5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5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5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5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5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5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5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5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5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5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5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5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5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5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5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5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5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5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5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5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5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5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5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5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5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5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5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5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5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5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5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5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5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5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5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5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5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5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5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5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5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5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5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5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5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5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5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5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5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5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5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5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5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5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5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5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5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5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5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5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5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5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5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5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5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5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5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5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5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5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5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5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5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5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5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5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5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5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5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5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5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5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5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5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5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5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5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5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5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5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5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5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5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5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5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5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5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5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5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5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5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5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5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5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5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5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5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5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5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5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5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5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5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5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5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5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5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5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5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5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5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5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5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5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5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5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5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5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5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5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5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5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5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5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5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5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5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5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5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5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5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5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5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5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5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5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5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5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5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5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5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5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5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5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5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5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5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5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5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5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5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5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5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5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5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5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5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5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5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5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5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5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5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5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5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5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>
      <c r="A283" s="4"/>
      <c r="B283" s="4"/>
      <c r="C283" s="5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5.75" customHeight="1">
      <c r="A284" s="4"/>
      <c r="B284" s="4"/>
      <c r="C284" s="5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5.75" customHeight="1">
      <c r="A285" s="4"/>
      <c r="B285" s="4"/>
      <c r="C285" s="5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5.75" customHeight="1">
      <c r="A286" s="4"/>
      <c r="B286" s="4"/>
      <c r="C286" s="5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5.75" customHeight="1">
      <c r="A287" s="4"/>
      <c r="B287" s="4"/>
      <c r="C287" s="5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5.75" customHeight="1">
      <c r="A288" s="4"/>
      <c r="B288" s="4"/>
      <c r="C288" s="5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5.75" customHeight="1">
      <c r="A289" s="4"/>
      <c r="B289" s="4"/>
      <c r="C289" s="5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ht="15.75" customHeight="1">
      <c r="A290" s="4"/>
      <c r="B290" s="4"/>
      <c r="C290" s="5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ht="15.75" customHeight="1">
      <c r="A291" s="4"/>
      <c r="B291" s="4"/>
      <c r="C291" s="5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ht="15.75" customHeight="1">
      <c r="A292" s="4"/>
      <c r="B292" s="4"/>
      <c r="C292" s="5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 ht="15.75" customHeight="1">
      <c r="A293" s="4"/>
      <c r="B293" s="4"/>
      <c r="C293" s="5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</sheetData>
  <mergeCells count="17">
    <mergeCell ref="R2:R4"/>
    <mergeCell ref="S2:S4"/>
    <mergeCell ref="F3:F4"/>
    <mergeCell ref="G3:H3"/>
    <mergeCell ref="I3:J3"/>
    <mergeCell ref="K3:K4"/>
    <mergeCell ref="F59:O59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
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ตรวจบิล  1-15 เม.ย 2567" sheetId="1" r:id="rId4"/>
    <sheet state="visible" name=" ตรวจบิล  16-31 เม.ย 2567" sheetId="2" r:id="rId5"/>
  </sheets>
  <definedNames/>
  <calcPr/>
</workbook>
</file>

<file path=xl/sharedStrings.xml><?xml version="1.0" encoding="utf-8"?>
<sst xmlns="http://schemas.openxmlformats.org/spreadsheetml/2006/main" count="53" uniqueCount="18">
  <si>
    <t xml:space="preserve"> ตรวจบิล  เดือน  เมษายน  2567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</si>
  <si>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</si>
  <si>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</si>
  <si>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</si>
  <si>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</si>
  <si>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</si>
  <si>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</si>
  <si>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จำนวนบิล</t>
  </si>
  <si>
    <t>มูลค่า</t>
  </si>
  <si>
    <t>คงเหลือ</t>
  </si>
  <si>
    <t>1 - 2 เม.ย. 67</t>
  </si>
  <si>
    <t>เอิง</t>
  </si>
  <si>
    <t>เหน่ง</t>
  </si>
  <si>
    <t xml:space="preserve">วันจักรี </t>
  </si>
  <si>
    <t>นี</t>
  </si>
  <si>
    <t>เกษ</t>
  </si>
  <si>
    <t xml:space="preserve">ผลต่าง 4,900 บาท เป็นบิลยกเลิก 11/4/67 เลขบิล STHONLIN2404000361      </t>
  </si>
  <si>
    <t>วันสงกรานต์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</si>
</sst>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??_-;_-@"/>
    <numFmt numFmtId="165" formatCode="d mmm yy"/>
  </numFmts>
  <fonts count="15">
    <font>
      <sz val="10.0"/>
      <color rgb="FF000000"/>
      <name val="Arial"/>
      <scheme val="minor"/>
    </font>
    <font>
      <b/>
      <sz val="29.0"/>
      <color theme="1"/>
      <name val="Arial"/>
    </font>
    <font/>
    <font>
      <sz val="20.0"/>
      <color theme="1"/>
      <name val="Arial"/>
    </font>
    <font>
      <b/>
      <sz val="20.0"/>
      <color theme="1"/>
      <name val="Arial"/>
    </font>
    <font>
      <b/>
      <sz val="20.0"/>
      <color rgb="FFFF0000"/>
      <name val="Arial"/>
    </font>
    <font>
      <b/>
      <sz val="15.0"/>
      <color theme="1"/>
      <name val="Arial"/>
    </font>
    <font>
      <b/>
      <sz val="18.0"/>
      <color theme="1"/>
      <name val="Arial"/>
    </font>
    <font>
      <b/>
      <sz val="15.0"/>
      <color rgb="FFFF0000"/>
      <name val="Arial"/>
    </font>
    <font>
      <b/>
      <sz val="26.0"/>
      <color theme="1"/>
      <name val="Arial"/>
    </font>
    <font>
      <b/>
      <sz val="23.0"/>
      <color theme="1"/>
      <name val="Arial"/>
    </font>
    <font>
      <sz val="23.0"/>
      <color theme="1"/>
      <name val="Arial"/>
    </font>
    <font>
      <b/>
      <sz val="23.0"/>
      <color rgb="FFFF0000"/>
      <name val="Arial"/>
    </font>
    <font>
      <sz val="17.0"/>
      <color theme="1"/>
      <name val="Arial"/>
    </font>
    <font>
      <sz val="24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Border="1" applyFont="1"/>
    <xf borderId="0" fillId="0" fontId="3" numFmtId="0" xfId="0" applyAlignment="1" applyFont="1">
      <alignment vertical="center"/>
    </xf>
    <xf borderId="2" fillId="2" fontId="4" numFmtId="0" xfId="0" applyAlignment="1" applyBorder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3" fillId="0" fontId="2" numFmtId="0" xfId="0" applyBorder="1" applyFont="1"/>
    <xf borderId="1" fillId="4" fontId="4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center" vertical="center"/>
    </xf>
    <xf borderId="5" fillId="0" fontId="2" numFmtId="0" xfId="0" applyBorder="1" applyFont="1"/>
    <xf borderId="3" fillId="6" fontId="4" numFmtId="0" xfId="0" applyAlignment="1" applyBorder="1" applyFont="1">
      <alignment horizontal="center" vertical="center"/>
    </xf>
    <xf borderId="3" fillId="5" fontId="4" numFmtId="0" xfId="0" applyAlignment="1" applyBorder="1" applyFont="1">
      <alignment horizontal="center" vertical="center"/>
    </xf>
    <xf borderId="5" fillId="7" fontId="4" numFmtId="0" xfId="0" applyAlignment="1" applyBorder="1" applyFill="1" applyFont="1">
      <alignment horizontal="center" readingOrder="0" vertical="center"/>
    </xf>
    <xf borderId="3" fillId="7" fontId="4" numFmtId="38" xfId="0" applyAlignment="1" applyBorder="1" applyFont="1" applyNumberFormat="1">
      <alignment horizontal="center" readingOrder="0" vertical="center"/>
    </xf>
    <xf borderId="3" fillId="7" fontId="4" numFmtId="38" xfId="0" applyAlignment="1" applyBorder="1" applyFont="1" applyNumberFormat="1">
      <alignment horizontal="right" readingOrder="0" vertical="center"/>
    </xf>
    <xf borderId="3" fillId="7" fontId="5" numFmtId="164" xfId="0" applyAlignment="1" applyBorder="1" applyFont="1" applyNumberFormat="1">
      <alignment horizontal="right" vertical="center"/>
    </xf>
    <xf borderId="3" fillId="7" fontId="4" numFmtId="0" xfId="0" applyAlignment="1" applyBorder="1" applyFont="1">
      <alignment horizontal="center" readingOrder="0" vertical="center"/>
    </xf>
    <xf borderId="3" fillId="7" fontId="6" numFmtId="0" xfId="0" applyAlignment="1" applyBorder="1" applyFont="1">
      <alignment readingOrder="0" vertical="center"/>
    </xf>
    <xf borderId="0" fillId="7" fontId="4" numFmtId="0" xfId="0" applyAlignment="1" applyFont="1">
      <alignment vertical="bottom"/>
    </xf>
    <xf borderId="5" fillId="7" fontId="4" numFmtId="165" xfId="0" applyAlignment="1" applyBorder="1" applyFont="1" applyNumberFormat="1">
      <alignment horizontal="center" readingOrder="0" vertical="center"/>
    </xf>
    <xf borderId="3" fillId="7" fontId="7" numFmtId="38" xfId="0" applyAlignment="1" applyBorder="1" applyFont="1" applyNumberFormat="1">
      <alignment horizontal="center" readingOrder="0" vertical="center"/>
    </xf>
    <xf borderId="3" fillId="7" fontId="7" numFmtId="38" xfId="0" applyAlignment="1" applyBorder="1" applyFont="1" applyNumberFormat="1">
      <alignment horizontal="right" readingOrder="0" vertical="center"/>
    </xf>
    <xf borderId="3" fillId="7" fontId="8" numFmtId="0" xfId="0" applyAlignment="1" applyBorder="1" applyFont="1">
      <alignment readingOrder="0" vertical="center"/>
    </xf>
    <xf borderId="1" fillId="8" fontId="9" numFmtId="0" xfId="0" applyAlignment="1" applyBorder="1" applyFill="1" applyFont="1">
      <alignment horizontal="center" readingOrder="0" vertical="center"/>
    </xf>
    <xf borderId="3" fillId="7" fontId="6" numFmtId="0" xfId="0" applyAlignment="1" applyBorder="1" applyFont="1">
      <alignment vertical="center"/>
    </xf>
    <xf borderId="3" fillId="7" fontId="7" numFmtId="0" xfId="0" applyAlignment="1" applyBorder="1" applyFont="1">
      <alignment horizontal="center" readingOrder="0" vertical="center"/>
    </xf>
    <xf borderId="5" fillId="7" fontId="7" numFmtId="38" xfId="0" applyAlignment="1" applyBorder="1" applyFont="1" applyNumberFormat="1">
      <alignment horizontal="center" vertical="bottom"/>
    </xf>
    <xf borderId="0" fillId="8" fontId="7" numFmtId="38" xfId="0" applyAlignment="1" applyFont="1" applyNumberFormat="1">
      <alignment horizontal="center" readingOrder="0" vertical="center"/>
    </xf>
    <xf borderId="4" fillId="0" fontId="2" numFmtId="0" xfId="0" applyBorder="1" applyFont="1"/>
    <xf borderId="0" fillId="0" fontId="4" numFmtId="0" xfId="0" applyAlignment="1" applyFont="1">
      <alignment vertical="bottom"/>
    </xf>
    <xf borderId="3" fillId="7" fontId="7" numFmtId="0" xfId="0" applyAlignment="1" applyBorder="1" applyFont="1">
      <alignment vertical="center"/>
    </xf>
    <xf borderId="0" fillId="0" fontId="3" numFmtId="0" xfId="0" applyAlignment="1" applyFont="1">
      <alignment vertical="bottom"/>
    </xf>
    <xf borderId="2" fillId="2" fontId="10" numFmtId="0" xfId="0" applyAlignment="1" applyBorder="1" applyFont="1">
      <alignment horizontal="center" vertical="center"/>
    </xf>
    <xf borderId="1" fillId="3" fontId="10" numFmtId="0" xfId="0" applyAlignment="1" applyBorder="1" applyFont="1">
      <alignment horizontal="center" vertical="center"/>
    </xf>
    <xf borderId="1" fillId="4" fontId="10" numFmtId="0" xfId="0" applyAlignment="1" applyBorder="1" applyFont="1">
      <alignment horizontal="center" vertical="center"/>
    </xf>
    <xf borderId="4" fillId="5" fontId="10" numFmtId="0" xfId="0" applyAlignment="1" applyBorder="1" applyFont="1">
      <alignment horizontal="center" vertical="center"/>
    </xf>
    <xf borderId="4" fillId="6" fontId="10" numFmtId="0" xfId="0" applyAlignment="1" applyBorder="1" applyFont="1">
      <alignment horizontal="center" vertical="center"/>
    </xf>
    <xf borderId="0" fillId="0" fontId="11" numFmtId="0" xfId="0" applyAlignment="1" applyFont="1">
      <alignment vertical="center"/>
    </xf>
    <xf borderId="3" fillId="6" fontId="10" numFmtId="0" xfId="0" applyAlignment="1" applyBorder="1" applyFont="1">
      <alignment horizontal="center" vertical="center"/>
    </xf>
    <xf borderId="3" fillId="5" fontId="10" numFmtId="0" xfId="0" applyAlignment="1" applyBorder="1" applyFont="1">
      <alignment horizontal="center" vertical="center"/>
    </xf>
    <xf borderId="3" fillId="7" fontId="10" numFmtId="38" xfId="0" applyAlignment="1" applyBorder="1" applyFont="1" applyNumberFormat="1">
      <alignment horizontal="center" readingOrder="0" vertical="center"/>
    </xf>
    <xf borderId="3" fillId="7" fontId="12" numFmtId="164" xfId="0" applyAlignment="1" applyBorder="1" applyFont="1" applyNumberFormat="1">
      <alignment horizontal="right" vertical="center"/>
    </xf>
    <xf borderId="3" fillId="7" fontId="10" numFmtId="0" xfId="0" applyAlignment="1" applyBorder="1" applyFont="1">
      <alignment horizontal="center" readingOrder="0" vertical="center"/>
    </xf>
    <xf borderId="3" fillId="7" fontId="13" numFmtId="0" xfId="0" applyAlignment="1" applyBorder="1" applyFont="1">
      <alignment readingOrder="0" vertical="center"/>
    </xf>
    <xf borderId="0" fillId="7" fontId="11" numFmtId="0" xfId="0" applyAlignment="1" applyFont="1">
      <alignment vertical="bottom"/>
    </xf>
    <xf borderId="3" fillId="7" fontId="11" numFmtId="0" xfId="0" applyAlignment="1" applyBorder="1" applyFont="1">
      <alignment vertical="center"/>
    </xf>
    <xf borderId="0" fillId="0" fontId="11" numFmtId="0" xfId="0" applyAlignment="1" applyFont="1">
      <alignment vertical="bottom"/>
    </xf>
    <xf borderId="3" fillId="0" fontId="3" numFmtId="0" xfId="0" applyAlignment="1" applyBorder="1" applyFont="1">
      <alignment vertical="bottom"/>
    </xf>
    <xf borderId="3" fillId="0" fontId="14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15.13"/>
    <col customWidth="1" min="3" max="4" width="15.25"/>
    <col customWidth="1" min="5" max="5" width="16.38"/>
    <col customWidth="1" min="6" max="6" width="17.38"/>
    <col customWidth="1" min="7" max="7" width="17.0"/>
    <col customWidth="1" min="8" max="8" width="20.38"/>
    <col customWidth="1" min="9" max="9" width="108.38"/>
  </cols>
  <sheetData>
    <row r="1" ht="5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0.5" customHeight="1">
      <c r="A2" s="4" t="s">
        <v>1</v>
      </c>
      <c r="B2" s="5" t="s">
        <v>2</v>
      </c>
      <c r="C2" s="2"/>
      <c r="D2" s="6"/>
      <c r="E2" s="7" t="s">
        <v>3</v>
      </c>
      <c r="F2" s="6"/>
      <c r="G2" s="8" t="s">
        <v>4</v>
      </c>
      <c r="H2" s="8" t="s">
        <v>5</v>
      </c>
      <c r="I2" s="9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40.5" customHeight="1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6"/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6.0" customHeight="1">
      <c r="A4" s="13" t="s">
        <v>10</v>
      </c>
      <c r="B4" s="14">
        <v>91.0</v>
      </c>
      <c r="C4" s="14">
        <v>583250.0</v>
      </c>
      <c r="D4" s="14">
        <v>583250.0</v>
      </c>
      <c r="E4" s="14">
        <v>91.0</v>
      </c>
      <c r="F4" s="15">
        <v>583250.0</v>
      </c>
      <c r="G4" s="16">
        <f t="shared" ref="G4:G7" si="1">F4-D4</f>
        <v>0</v>
      </c>
      <c r="H4" s="17" t="s">
        <v>11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36.0" customHeight="1">
      <c r="A5" s="20">
        <v>24565.0</v>
      </c>
      <c r="B5" s="14">
        <v>46.0</v>
      </c>
      <c r="C5" s="14">
        <v>315200.0</v>
      </c>
      <c r="D5" s="14">
        <v>315200.0</v>
      </c>
      <c r="E5" s="14">
        <v>46.0</v>
      </c>
      <c r="F5" s="14">
        <v>315200.0</v>
      </c>
      <c r="G5" s="16">
        <f t="shared" si="1"/>
        <v>0</v>
      </c>
      <c r="H5" s="17" t="s">
        <v>11</v>
      </c>
      <c r="I5" s="18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36.0" customHeight="1">
      <c r="A6" s="20">
        <v>24566.0</v>
      </c>
      <c r="B6" s="21">
        <v>44.0</v>
      </c>
      <c r="C6" s="21">
        <v>304695.0</v>
      </c>
      <c r="D6" s="21">
        <v>304695.0</v>
      </c>
      <c r="E6" s="21">
        <v>44.0</v>
      </c>
      <c r="F6" s="22">
        <v>304695.0</v>
      </c>
      <c r="G6" s="16">
        <f t="shared" si="1"/>
        <v>0</v>
      </c>
      <c r="H6" s="17" t="s">
        <v>12</v>
      </c>
      <c r="I6" s="23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36.0" customHeight="1">
      <c r="A7" s="20">
        <v>24567.0</v>
      </c>
      <c r="B7" s="21">
        <v>53.0</v>
      </c>
      <c r="C7" s="22">
        <v>428785.0</v>
      </c>
      <c r="D7" s="22">
        <v>428785.0</v>
      </c>
      <c r="E7" s="21">
        <v>53.0</v>
      </c>
      <c r="F7" s="22">
        <v>428785.0</v>
      </c>
      <c r="G7" s="16">
        <f t="shared" si="1"/>
        <v>0</v>
      </c>
      <c r="H7" s="17" t="s">
        <v>11</v>
      </c>
      <c r="I7" s="18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36.0" customHeight="1">
      <c r="A8" s="20">
        <v>24568.0</v>
      </c>
      <c r="B8" s="24" t="s">
        <v>13</v>
      </c>
      <c r="C8" s="2"/>
      <c r="D8" s="2"/>
      <c r="E8" s="2"/>
      <c r="F8" s="2"/>
      <c r="G8" s="2"/>
      <c r="H8" s="2"/>
      <c r="I8" s="6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36.0" customHeight="1">
      <c r="A9" s="20">
        <v>24569.0</v>
      </c>
      <c r="B9" s="21">
        <v>44.0</v>
      </c>
      <c r="C9" s="21">
        <v>187305.0</v>
      </c>
      <c r="D9" s="21">
        <f t="shared" ref="D9:D14" si="2">SUM(C9)</f>
        <v>187305</v>
      </c>
      <c r="E9" s="21">
        <v>44.0</v>
      </c>
      <c r="F9" s="22">
        <v>187305.0</v>
      </c>
      <c r="G9" s="16">
        <f t="shared" ref="G9:G14" si="3">F9-D9</f>
        <v>0</v>
      </c>
      <c r="H9" s="17" t="s">
        <v>14</v>
      </c>
      <c r="I9" s="25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36.0" customHeight="1">
      <c r="A10" s="20">
        <v>24570.0</v>
      </c>
      <c r="B10" s="21">
        <v>54.0</v>
      </c>
      <c r="C10" s="21">
        <v>362245.0</v>
      </c>
      <c r="D10" s="21">
        <f t="shared" si="2"/>
        <v>362245</v>
      </c>
      <c r="E10" s="21">
        <v>54.0</v>
      </c>
      <c r="F10" s="22">
        <v>362245.0</v>
      </c>
      <c r="G10" s="16">
        <f t="shared" si="3"/>
        <v>0</v>
      </c>
      <c r="H10" s="17" t="s">
        <v>11</v>
      </c>
      <c r="I10" s="25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36.0" customHeight="1">
      <c r="A11" s="20">
        <v>24571.0</v>
      </c>
      <c r="B11" s="21">
        <v>41.0</v>
      </c>
      <c r="C11" s="21">
        <v>335627.0</v>
      </c>
      <c r="D11" s="21">
        <f t="shared" si="2"/>
        <v>335627</v>
      </c>
      <c r="E11" s="21">
        <v>41.0</v>
      </c>
      <c r="F11" s="22">
        <v>335627.0</v>
      </c>
      <c r="G11" s="16">
        <f t="shared" si="3"/>
        <v>0</v>
      </c>
      <c r="H11" s="26" t="s">
        <v>15</v>
      </c>
      <c r="I11" s="25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36.0" customHeight="1">
      <c r="A12" s="20">
        <v>24572.0</v>
      </c>
      <c r="B12" s="21">
        <v>31.0</v>
      </c>
      <c r="C12" s="21">
        <v>266975.0</v>
      </c>
      <c r="D12" s="21">
        <f t="shared" si="2"/>
        <v>266975</v>
      </c>
      <c r="E12" s="21">
        <v>31.0</v>
      </c>
      <c r="F12" s="22">
        <v>266975.0</v>
      </c>
      <c r="G12" s="16">
        <f t="shared" si="3"/>
        <v>0</v>
      </c>
      <c r="H12" s="17" t="s">
        <v>11</v>
      </c>
      <c r="I12" s="25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36.0" customHeight="1">
      <c r="A13" s="20">
        <v>24573.0</v>
      </c>
      <c r="B13" s="21">
        <v>43.0</v>
      </c>
      <c r="C13" s="21">
        <v>355720.0</v>
      </c>
      <c r="D13" s="21">
        <f t="shared" si="2"/>
        <v>355720</v>
      </c>
      <c r="E13" s="21">
        <v>43.0</v>
      </c>
      <c r="F13" s="22">
        <v>360620.0</v>
      </c>
      <c r="G13" s="16">
        <f t="shared" si="3"/>
        <v>4900</v>
      </c>
      <c r="H13" s="17" t="s">
        <v>15</v>
      </c>
      <c r="I13" s="18" t="s">
        <v>16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36.0" customHeight="1">
      <c r="A14" s="20">
        <v>24574.0</v>
      </c>
      <c r="B14" s="21">
        <v>30.0</v>
      </c>
      <c r="C14" s="21">
        <v>217820.0</v>
      </c>
      <c r="D14" s="21">
        <f t="shared" si="2"/>
        <v>217820</v>
      </c>
      <c r="E14" s="27">
        <v>30.0</v>
      </c>
      <c r="F14" s="22">
        <v>217820.0</v>
      </c>
      <c r="G14" s="16">
        <f t="shared" si="3"/>
        <v>0</v>
      </c>
      <c r="H14" s="17" t="s">
        <v>11</v>
      </c>
      <c r="I14" s="18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36.0" customHeight="1">
      <c r="A15" s="20">
        <v>24575.0</v>
      </c>
      <c r="B15" s="28" t="s">
        <v>17</v>
      </c>
      <c r="I15" s="29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36.0" customHeight="1">
      <c r="A16" s="20">
        <v>24576.0</v>
      </c>
      <c r="I16" s="29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36.0" customHeight="1">
      <c r="A17" s="20">
        <v>24577.0</v>
      </c>
      <c r="B17" s="2"/>
      <c r="C17" s="2"/>
      <c r="D17" s="2"/>
      <c r="E17" s="2"/>
      <c r="F17" s="2"/>
      <c r="G17" s="2"/>
      <c r="H17" s="2"/>
      <c r="I17" s="6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36.0" customHeight="1">
      <c r="A18" s="20">
        <v>24578.0</v>
      </c>
      <c r="B18" s="21">
        <v>20.0</v>
      </c>
      <c r="C18" s="21">
        <v>150090.0</v>
      </c>
      <c r="D18" s="21">
        <f>SUM(C18)</f>
        <v>150090</v>
      </c>
      <c r="E18" s="21">
        <v>20.0</v>
      </c>
      <c r="F18" s="22">
        <v>150090.0</v>
      </c>
      <c r="G18" s="16">
        <f>F18-D18</f>
        <v>0</v>
      </c>
      <c r="H18" s="17" t="s">
        <v>11</v>
      </c>
      <c r="I18" s="31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36.0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36.0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36.0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9">
    <mergeCell ref="B8:I8"/>
    <mergeCell ref="B15:I17"/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25"/>
    <col customWidth="1" min="2" max="6" width="23.5"/>
    <col customWidth="1" min="7" max="7" width="25.13"/>
    <col customWidth="1" min="8" max="8" width="22.38"/>
    <col customWidth="1" min="9" max="9" width="134.63"/>
  </cols>
  <sheetData>
    <row r="1" ht="5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0.5" customHeight="1">
      <c r="A2" s="33" t="s">
        <v>1</v>
      </c>
      <c r="B2" s="34" t="s">
        <v>2</v>
      </c>
      <c r="C2" s="2"/>
      <c r="D2" s="6"/>
      <c r="E2" s="35" t="s">
        <v>3</v>
      </c>
      <c r="F2" s="6"/>
      <c r="G2" s="36" t="s">
        <v>4</v>
      </c>
      <c r="H2" s="36" t="s">
        <v>5</v>
      </c>
      <c r="I2" s="37" t="s">
        <v>6</v>
      </c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40.5" customHeight="1">
      <c r="A3" s="10"/>
      <c r="B3" s="39" t="s">
        <v>7</v>
      </c>
      <c r="C3" s="39" t="s">
        <v>8</v>
      </c>
      <c r="D3" s="39" t="s">
        <v>9</v>
      </c>
      <c r="E3" s="40" t="s">
        <v>7</v>
      </c>
      <c r="F3" s="40" t="s">
        <v>8</v>
      </c>
      <c r="G3" s="6"/>
      <c r="H3" s="6"/>
      <c r="I3" s="6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33.75" customHeight="1">
      <c r="A4" s="20">
        <v>24579.0</v>
      </c>
      <c r="B4" s="41">
        <v>30.0</v>
      </c>
      <c r="C4" s="41">
        <v>332115.0</v>
      </c>
      <c r="D4" s="41">
        <f t="shared" ref="D4:D16" si="1">SUM(C4)</f>
        <v>332115</v>
      </c>
      <c r="E4" s="41">
        <v>30.0</v>
      </c>
      <c r="F4" s="41">
        <v>332115.0</v>
      </c>
      <c r="G4" s="42">
        <f t="shared" ref="G4:G17" si="2">SUM(C4-F4)</f>
        <v>0</v>
      </c>
      <c r="H4" s="43" t="s">
        <v>14</v>
      </c>
      <c r="I4" s="44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ht="33.75" customHeight="1">
      <c r="A5" s="20">
        <v>24580.0</v>
      </c>
      <c r="B5" s="41">
        <v>31.0</v>
      </c>
      <c r="C5" s="41">
        <v>227817.0</v>
      </c>
      <c r="D5" s="41">
        <f t="shared" si="1"/>
        <v>227817</v>
      </c>
      <c r="E5" s="41">
        <v>31.0</v>
      </c>
      <c r="F5" s="41">
        <v>227817.0</v>
      </c>
      <c r="G5" s="42">
        <f t="shared" si="2"/>
        <v>0</v>
      </c>
      <c r="H5" s="43" t="s">
        <v>11</v>
      </c>
      <c r="I5" s="46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ht="33.75" customHeight="1">
      <c r="A6" s="20">
        <v>24581.0</v>
      </c>
      <c r="B6" s="41">
        <v>29.0</v>
      </c>
      <c r="C6" s="41">
        <v>197249.0</v>
      </c>
      <c r="D6" s="41">
        <f t="shared" si="1"/>
        <v>197249</v>
      </c>
      <c r="E6" s="41">
        <v>29.0</v>
      </c>
      <c r="F6" s="41">
        <v>197249.0</v>
      </c>
      <c r="G6" s="42">
        <f t="shared" si="2"/>
        <v>0</v>
      </c>
      <c r="H6" s="43" t="s">
        <v>14</v>
      </c>
      <c r="I6" s="46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ht="33.75" customHeight="1">
      <c r="A7" s="20">
        <v>24582.0</v>
      </c>
      <c r="B7" s="41">
        <v>28.0</v>
      </c>
      <c r="C7" s="41">
        <v>111650.0</v>
      </c>
      <c r="D7" s="41">
        <f t="shared" si="1"/>
        <v>111650</v>
      </c>
      <c r="E7" s="41">
        <v>28.0</v>
      </c>
      <c r="F7" s="41">
        <v>111650.0</v>
      </c>
      <c r="G7" s="42">
        <f t="shared" si="2"/>
        <v>0</v>
      </c>
      <c r="H7" s="43" t="s">
        <v>14</v>
      </c>
      <c r="I7" s="46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ht="33.75" customHeight="1">
      <c r="A8" s="20">
        <v>24583.0</v>
      </c>
      <c r="B8" s="41">
        <v>25.0</v>
      </c>
      <c r="C8" s="41">
        <v>171975.0</v>
      </c>
      <c r="D8" s="41">
        <f t="shared" si="1"/>
        <v>171975</v>
      </c>
      <c r="E8" s="41">
        <v>28.0</v>
      </c>
      <c r="F8" s="41">
        <v>171975.0</v>
      </c>
      <c r="G8" s="42">
        <f t="shared" si="2"/>
        <v>0</v>
      </c>
      <c r="H8" s="43" t="s">
        <v>15</v>
      </c>
      <c r="I8" s="44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ht="33.75" customHeight="1">
      <c r="A9" s="20">
        <v>24584.0</v>
      </c>
      <c r="B9" s="41">
        <v>23.0</v>
      </c>
      <c r="C9" s="41">
        <v>220400.0</v>
      </c>
      <c r="D9" s="41">
        <f t="shared" si="1"/>
        <v>220400</v>
      </c>
      <c r="E9" s="41">
        <v>23.0</v>
      </c>
      <c r="F9" s="41">
        <v>220400.0</v>
      </c>
      <c r="G9" s="42">
        <f t="shared" si="2"/>
        <v>0</v>
      </c>
      <c r="H9" s="43" t="s">
        <v>11</v>
      </c>
      <c r="I9" s="46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ht="33.75" customHeight="1">
      <c r="A10" s="20">
        <v>24585.0</v>
      </c>
      <c r="B10" s="41">
        <v>24.0</v>
      </c>
      <c r="C10" s="41">
        <v>153275.0</v>
      </c>
      <c r="D10" s="41">
        <f t="shared" si="1"/>
        <v>153275</v>
      </c>
      <c r="E10" s="41">
        <v>24.0</v>
      </c>
      <c r="F10" s="41">
        <v>153275.0</v>
      </c>
      <c r="G10" s="42">
        <f t="shared" si="2"/>
        <v>0</v>
      </c>
      <c r="H10" s="43" t="s">
        <v>11</v>
      </c>
      <c r="I10" s="46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ht="33.75" customHeight="1">
      <c r="A11" s="20">
        <v>24586.0</v>
      </c>
      <c r="B11" s="41">
        <v>28.0</v>
      </c>
      <c r="C11" s="41">
        <v>219375.0</v>
      </c>
      <c r="D11" s="41">
        <f t="shared" si="1"/>
        <v>219375</v>
      </c>
      <c r="E11" s="41">
        <v>28.0</v>
      </c>
      <c r="F11" s="41">
        <v>219375.0</v>
      </c>
      <c r="G11" s="42">
        <f t="shared" si="2"/>
        <v>0</v>
      </c>
      <c r="H11" s="43" t="s">
        <v>14</v>
      </c>
      <c r="I11" s="44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ht="33.75" customHeight="1">
      <c r="A12" s="20">
        <v>24587.0</v>
      </c>
      <c r="B12" s="41">
        <v>21.0</v>
      </c>
      <c r="C12" s="41">
        <v>139000.0</v>
      </c>
      <c r="D12" s="41">
        <f t="shared" si="1"/>
        <v>139000</v>
      </c>
      <c r="E12" s="41">
        <v>21.0</v>
      </c>
      <c r="F12" s="41">
        <v>139000.0</v>
      </c>
      <c r="G12" s="42">
        <f t="shared" si="2"/>
        <v>0</v>
      </c>
      <c r="H12" s="43" t="s">
        <v>11</v>
      </c>
      <c r="I12" s="44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ht="33.75" customHeight="1">
      <c r="A13" s="20">
        <v>24588.0</v>
      </c>
      <c r="B13" s="41">
        <v>17.0</v>
      </c>
      <c r="C13" s="41">
        <v>80745.0</v>
      </c>
      <c r="D13" s="41">
        <f t="shared" si="1"/>
        <v>80745</v>
      </c>
      <c r="E13" s="41">
        <v>17.0</v>
      </c>
      <c r="F13" s="41">
        <v>80745.0</v>
      </c>
      <c r="G13" s="42">
        <f t="shared" si="2"/>
        <v>0</v>
      </c>
      <c r="H13" s="43" t="s">
        <v>11</v>
      </c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ht="33.75" customHeight="1">
      <c r="A14" s="20">
        <v>24589.0</v>
      </c>
      <c r="B14" s="41">
        <v>28.0</v>
      </c>
      <c r="C14" s="41">
        <v>303150.0</v>
      </c>
      <c r="D14" s="41">
        <f t="shared" si="1"/>
        <v>303150</v>
      </c>
      <c r="E14" s="41">
        <v>28.0</v>
      </c>
      <c r="F14" s="41">
        <v>303150.0</v>
      </c>
      <c r="G14" s="42">
        <f t="shared" si="2"/>
        <v>0</v>
      </c>
      <c r="H14" s="43" t="s">
        <v>12</v>
      </c>
      <c r="I14" s="46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ht="33.75" customHeight="1">
      <c r="A15" s="20">
        <v>24590.0</v>
      </c>
      <c r="B15" s="41">
        <v>20.0</v>
      </c>
      <c r="C15" s="41">
        <v>72950.0</v>
      </c>
      <c r="D15" s="41">
        <f t="shared" si="1"/>
        <v>72950</v>
      </c>
      <c r="E15" s="41">
        <v>20.0</v>
      </c>
      <c r="F15" s="41">
        <v>72950.0</v>
      </c>
      <c r="G15" s="42">
        <f t="shared" si="2"/>
        <v>0</v>
      </c>
      <c r="H15" s="43" t="s">
        <v>11</v>
      </c>
      <c r="I15" s="44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33.75" customHeight="1">
      <c r="A16" s="20">
        <v>24591.0</v>
      </c>
      <c r="B16" s="41">
        <v>35.0</v>
      </c>
      <c r="C16" s="41">
        <v>218974.0</v>
      </c>
      <c r="D16" s="41">
        <f t="shared" si="1"/>
        <v>218974</v>
      </c>
      <c r="E16" s="41">
        <v>35.0</v>
      </c>
      <c r="F16" s="41">
        <v>218974.0</v>
      </c>
      <c r="G16" s="42">
        <f t="shared" si="2"/>
        <v>0</v>
      </c>
      <c r="H16" s="43" t="s">
        <v>11</v>
      </c>
      <c r="I16" s="46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ht="33.75" customHeight="1">
      <c r="A17" s="20">
        <v>24592.0</v>
      </c>
      <c r="B17" s="41">
        <v>57.0</v>
      </c>
      <c r="C17" s="41">
        <v>306185.0</v>
      </c>
      <c r="D17" s="41">
        <v>306185.0</v>
      </c>
      <c r="E17" s="41">
        <v>57.0</v>
      </c>
      <c r="F17" s="41">
        <v>306185.0</v>
      </c>
      <c r="G17" s="42">
        <f t="shared" si="2"/>
        <v>0</v>
      </c>
      <c r="H17" s="43" t="s">
        <v>11</v>
      </c>
      <c r="I17" s="48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33.75" customHeight="1">
      <c r="A18" s="20"/>
      <c r="B18" s="41"/>
      <c r="C18" s="41"/>
      <c r="D18" s="41"/>
      <c r="E18" s="41"/>
      <c r="F18" s="41"/>
      <c r="G18" s="42"/>
      <c r="H18" s="43"/>
      <c r="I18" s="49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33.75" customHeight="1">
      <c r="A19" s="20"/>
      <c r="B19" s="41"/>
      <c r="C19" s="41"/>
      <c r="D19" s="41"/>
      <c r="E19" s="41"/>
      <c r="F19" s="41"/>
      <c r="G19" s="42"/>
      <c r="H19" s="43"/>
      <c r="I19" s="50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
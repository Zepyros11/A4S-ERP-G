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มิย." sheetId="1" r:id="rId4"/>
    <sheet state="visible" name="2 มิย." sheetId="2" r:id="rId5"/>
    <sheet state="visible" name="3  มิย." sheetId="3" r:id="rId6"/>
    <sheet state="visible" name="5  มิย." sheetId="4" r:id="rId7"/>
    <sheet state="visible" name="6 มิย." sheetId="5" r:id="rId8"/>
    <sheet state="visible" name="7 มิย." sheetId="6" r:id="rId9"/>
    <sheet state="visible" name="8-9 มิ.ย 67 ." sheetId="7" r:id="rId10"/>
    <sheet state="visible" name="10-6  มิ.ย 67 ." sheetId="8" r:id="rId11"/>
    <sheet state="visible" name="11-,มิ.ย 67" sheetId="9" r:id="rId12"/>
    <sheet state="visible" name="12-6-67" sheetId="10" r:id="rId13"/>
    <sheet state="visible" name="14-6-67" sheetId="11" r:id="rId14"/>
  </sheets>
  <definedNames/>
  <calcPr/>
</workbook>
</file>

<file path=xl/sharedStrings.xml><?xml version="1.0" encoding="utf-8"?>
<sst xmlns="http://schemas.openxmlformats.org/spreadsheetml/2006/main" count="834" uniqueCount="220">
  <si>
    <t>รายงานยอดเข้าออก และ ยอดคงเหลือ EWALLET ประจำวันที่   1  มิ.ย.   2567</t>
  </si>
  <si>
    <t>NO</t>
  </si>
  <si>
    <t>วันที่</t>
  </si>
  <si>
    <t>รหัส</t>
  </si>
  <si>
    <t>เลขออเดอร์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</si>
  <si>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</si>
  <si>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</si>
  <si>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</si>
  <si>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</si>
  <si>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</si>
  <si>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</si>
  <si>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</si>
  <si>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</si>
  <si>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</si>
  <si>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</si>
  <si>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</si>
  <si>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</si>
  <si>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</si>
  <si>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</si>
  <si>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</si>
  <si>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</si>
  <si>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</si>
  <si>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</si>
  <si>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</si>
  <si>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</si>
  <si>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</si>
  <si>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</si>
  <si>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>Shopping (STHBKK012406000008 : 0021818)</t>
  </si>
  <si>
    <t>ห้างหุ้นส่วนจำกัด ไดม่อนอันดามัน เน็ตเวิร์ค (สำนักงานใหญ่)</t>
  </si>
  <si>
    <t>TH</t>
  </si>
  <si>
    <t>Shopping (STHBKK012406000009 : 0021818)</t>
  </si>
  <si>
    <t>Ewallet (ETHONLIN2406000001 : 0021828) Date : 2024-06-01 13:08:13</t>
  </si>
  <si>
    <t>Ewallet (ETHONLIN2406000002 : 0021828) Date : 2024-06-01 13:17:13</t>
  </si>
  <si>
    <t>Shopping (STHONLIN2406000006 : 0021828)</t>
  </si>
  <si>
    <t>รายงานยอดเข้าออก และ ยอดคงเหลือ EWALLET ประจำวันที่   2  มิ.ย.   2567</t>
  </si>
  <si>
    <t>Shopping (STHBKK012406000050 : 0021818)</t>
  </si>
  <si>
    <t xml:space="preserve">	ห้างหุ้นส่วนจำกัด ไดม่อนอันดามัน เน็ตเวิร์ค (สำนักงานใหญ่)</t>
  </si>
  <si>
    <t>Ewallet (ETHONLIN2406000004 : 0042046) Date : 2024-06-02 11:10:35</t>
  </si>
  <si>
    <t xml:space="preserve">	นาย ธนกร อภัยพงศ์</t>
  </si>
  <si>
    <t>Shopping (STHONLIN2406000013 : 0042071)</t>
  </si>
  <si>
    <t>Ewallet (ETHONLIN2406000003 : 0049655) Date : 2024-06-02 10:30:40</t>
  </si>
  <si>
    <t xml:space="preserve">	ห้างหุ้นส่วนจำกัด บี ฮัมเบิล แอนด์ เมอร์ซี กรุ๊ป (สำนักงานใหญ่)</t>
  </si>
  <si>
    <t>Shopping (STHBKK012406000031 : 0049655)</t>
  </si>
  <si>
    <t>Ewallet (ETHBKK012406000001 : 0059103) Date : 2024-06-02</t>
  </si>
  <si>
    <t xml:space="preserve">	นางสาว สุพรรณษา ไพศาล</t>
  </si>
  <si>
    <t>Shopping (STHONLIN2406000020 : 0083193)</t>
  </si>
  <si>
    <t xml:space="preserve">	นาง Okafor love Ngozi</t>
  </si>
  <si>
    <t>NG</t>
  </si>
  <si>
    <t>รายงานยอดเข้าออก และ ยอดคงเหลือ EWALLET ประจำวันที่   3  มิ.ย.   2567</t>
  </si>
  <si>
    <t>Ewallet (ETHONLIN2406000006 : 0021828) Date : 2024-06-03 15:03:50</t>
  </si>
  <si>
    <t>นาย ธนบูลย์ แสงฐิตาพันธุ์</t>
  </si>
  <si>
    <t>Shopping (STHONLIN2406000028 : 0021828)</t>
  </si>
  <si>
    <t>Ewallet (ETHONLIN2406000007 : 0044035) Date : 2024-06-03 15:22:35</t>
  </si>
  <si>
    <t>นางสาว โสภา นายสุข</t>
  </si>
  <si>
    <t>Shopping (STHHY2406000024 : 0044035)</t>
  </si>
  <si>
    <t>Ewallet (ETHONLIN2406000005 : 0049655) Date : 2024-06-03 12:08:06</t>
  </si>
  <si>
    <t>ห้างหุ้นส่วนจำกัด บี ฮัมเบิล แอนด์ เมอร์ซี กรุ๊ป (สำนักงานใหญ่)</t>
  </si>
  <si>
    <t>Shopping (STHBKK012406000075 : 0049655)</t>
  </si>
  <si>
    <t>Shopping (STHONLIN2406000022 : 0080078)</t>
  </si>
  <si>
    <t>นาง สยามล โชติมูล</t>
  </si>
  <si>
    <t>รายงานยอดเข้าออก และ ยอดคงเหลือ EWALLET ประจำวันที่   5  มิ.ย.   2567</t>
  </si>
  <si>
    <t>Shopping (STHBKK012406000173 : 0021818)</t>
  </si>
  <si>
    <t>Ewallet (ETHBKK012406000006 : 0040649) Date : 2024-06-05</t>
  </si>
  <si>
    <t xml:space="preserve">	นางสาว กัญจน์ณัฏฐ์ บุญเชียงมา</t>
  </si>
  <si>
    <t>Shopping (STHBKK012406000165 : 0042339)</t>
  </si>
  <si>
    <t xml:space="preserve">	นาย ยืนยง ชินมิตโต</t>
  </si>
  <si>
    <t>Transfer from 0046927 (TTHONLIN2406000013)</t>
  </si>
  <si>
    <t>นาย พิสิฐพงษ์ ยอดจันทร์</t>
  </si>
  <si>
    <t>Shopping (STHBKK012406000186 : 0052585)</t>
  </si>
  <si>
    <t xml:space="preserve">	นางสาว ลฎาภา ปภาชนานันท์</t>
  </si>
  <si>
    <t>Ewallet (ETHBKK012406000004 : 0058818) Date : 2024-06-05</t>
  </si>
  <si>
    <t>นาย นิตินาฎ หมิ่นขัด</t>
  </si>
  <si>
    <t>Shopping (STHONLIN2406000075 : 0082899)</t>
  </si>
  <si>
    <t>Shopping (STHBKK012406000184 : 0059103)</t>
  </si>
  <si>
    <t xml:space="preserve">	นางสาว สุพรรณษา ไพศาล	</t>
  </si>
  <si>
    <t>Shopping (STHBKK012406000178 : 0075354)</t>
  </si>
  <si>
    <t>นางสาว นันวิภา หล้าสุดตา</t>
  </si>
  <si>
    <t>Ewallet (ETHBKK012406000005 : 0080051) Date : 2024-06-05</t>
  </si>
  <si>
    <t xml:space="preserve">	นาย พุทธเชษฐ์ คำสอนทา</t>
  </si>
  <si>
    <t>Shopping (STHONLIN2406000086 : 0080051)</t>
  </si>
  <si>
    <t>รายงานยอดเข้าออก และ ยอดคงเหลือ EWALLET ประจำวันที่   6  มิ.ย.   2567</t>
  </si>
  <si>
    <t>Shopping (STHBKK012406000212 : 0022463)</t>
  </si>
  <si>
    <t xml:space="preserve">	นาง นงค์นุช จำปางาม</t>
  </si>
  <si>
    <t>Ewallet (ETHONLIN2406000010 : 0042046) Date : 2024-06-06 10:40:27</t>
  </si>
  <si>
    <t>Shopping (STHONLIN2406000096 : 0042071)</t>
  </si>
  <si>
    <t>Ewallet (ETHONLIN2406000011 : 0044035) Date : 2024-06-06 15:51:20</t>
  </si>
  <si>
    <t xml:space="preserve">	นางสาว โสภา นายสุข</t>
  </si>
  <si>
    <t>Ewallet (ETHBKK012406000008 : 0049655) Date : 2024-06-06</t>
  </si>
  <si>
    <t>รายงานยอดเข้าออก และ ยอดคงเหลือ EWALLET ประจำวันที่   7  มิ.ย.   2567</t>
  </si>
  <si>
    <t>Shopping (STHBKK012406000254 : 0021818)</t>
  </si>
  <si>
    <t>Shopping (STHBKK012406000273 : 0021818)</t>
  </si>
  <si>
    <t>Ewallet (ETHONLIN2406000013 : 0043395) Date : 2024-06-07 10:26:05</t>
  </si>
  <si>
    <t>นางสาว เรวดี พลเยี่ยม</t>
  </si>
  <si>
    <t>Shopping (STHONLIN2406000120 : 0043395)</t>
  </si>
  <si>
    <t>Ewallet (ETHONLIN2406000012 : 0049655) Date : 2024-06-07 09:56:00</t>
  </si>
  <si>
    <t>Shopping (STHBKK012406000260 : 0049655)</t>
  </si>
  <si>
    <t>Shopping (STHBKK012406000261 : 0049655)</t>
  </si>
  <si>
    <t>Ewallet (ETHBKK012406000010 : 0059103) Date : 2024-06-07</t>
  </si>
  <si>
    <t>นางสาว สุพรรณษา ไพศาล</t>
  </si>
  <si>
    <t>Ewallet (ETHBKK012406000009 : 0062815) Date : 2024-06-07</t>
  </si>
  <si>
    <t xml:space="preserve">	นาง กานดา วงศ์เทพนิวัติ</t>
  </si>
  <si>
    <t>Shopping (STHONLIN2406000131 : 0062815)</t>
  </si>
  <si>
    <t>Shopping (STHBKK012406000288 : 0078122)</t>
  </si>
  <si>
    <t xml:space="preserve">	นาย อดุล แก้วใส	</t>
  </si>
  <si>
    <t>รายงานยอดเข้าออก และ ยอดคงเหลือ EWALLET ประจำวันที่   8-9   มิ.ย.   2567</t>
  </si>
  <si>
    <t>Shopping (STHBKK012406000330 : 0021818)</t>
  </si>
  <si>
    <t>Shopping (STHBKK012406000343 : 0028414)</t>
  </si>
  <si>
    <t>นาง ณัฎฐณันธ์ วงวันดี</t>
  </si>
  <si>
    <t>Ewallet (ETHONLIN2406000015 : 0044035) Date : 2024-06-08 13:33:12</t>
  </si>
  <si>
    <t>Shopping (STHHY2406000059 : 0044035)</t>
  </si>
  <si>
    <t>Ewallet (ETHONLIN2406000016 : 0050148) Date : 2024-06-09 16:15:41</t>
  </si>
  <si>
    <t>บริษัท เอ.ซี.พี.เค จำกัด (สำนักงานใหญ่)</t>
  </si>
  <si>
    <t>Ewallet (ETHONLIN2406000017 : 0050148) Date : 2024-06-09 16:18:22</t>
  </si>
  <si>
    <t>Shopping (STHBKK012406000372 : 0050148)</t>
  </si>
  <si>
    <t>Shopping (STHBKK012406000342 : 0050222)</t>
  </si>
  <si>
    <t>บริษัท หลานหยิน จำกัด ( สำนักงานใหญ่ )</t>
  </si>
  <si>
    <t>Ewallet (ETHBKK012406000011 : 0080051) Date : 2024-06-09</t>
  </si>
  <si>
    <t>นาย พุทธเชษฐ์ คำสอนทา</t>
  </si>
  <si>
    <t>Shopping (STHONLIN2406000173 : 0080051)</t>
  </si>
  <si>
    <t>Ewallet (ENGNG2406000006 : 0082259) Date : 2024-06-08</t>
  </si>
  <si>
    <t>นาง Emenike chinenye Juliet</t>
  </si>
  <si>
    <t>Shopping (STHONLIN2406000180 : 0082259)</t>
  </si>
  <si>
    <t>Ewallet (ENGNG2406000007 : 0082372) Date : 2024-06-09</t>
  </si>
  <si>
    <t>นาง MUSTAPHA BINTA YUSUF</t>
  </si>
  <si>
    <t>รายงานยอดเข้าออก และ ยอดคงเหลือ EWALLET ประจำวันที่   10   มิ.ย.   2567</t>
  </si>
  <si>
    <t>Transfer from 0021828 (TTHONLIN2406000015)</t>
  </si>
  <si>
    <t>Ewallet (ETHONLIN2406000018 : 0021828) Date : 2024-06-10 10:41:11</t>
  </si>
  <si>
    <t>Shopping (STHONLIN2406000212 : 0021828)</t>
  </si>
  <si>
    <t>Transfer from 0022332 (TTHONLIN2406000018)</t>
  </si>
  <si>
    <t>นางสาว คณาง ไพรบึง</t>
  </si>
  <si>
    <t>Shopping (STHBKK012406000407 : 0022332)</t>
  </si>
  <si>
    <t>Cancel (STHBKK012406000407 : 0022332)</t>
  </si>
  <si>
    <t>Shopping (STHBKK012406000409 : 0022332)</t>
  </si>
  <si>
    <t>Transfer from 0024368 (TTHONLIN2406000019)</t>
  </si>
  <si>
    <t>นาย ไทคูณ ไพรบึง</t>
  </si>
  <si>
    <t>Shopping (STHBKK012406000431 : 0024368)</t>
  </si>
  <si>
    <t>Transfer from 0028414 (TTHONLIN2406000014)</t>
  </si>
  <si>
    <t>Shopping (STHBKK012406000399 : 0028414)</t>
  </si>
  <si>
    <t>Ewallet (ETHONLIN2406000021 : 0028414) Date : 2024-06-10 16:37:59</t>
  </si>
  <si>
    <t>Shopping (STHBKK012406000433 : 0028414)</t>
  </si>
  <si>
    <t>Transfer from 0035245 (TTHONLIN2406000020)</t>
  </si>
  <si>
    <t>บริษัท เศรษฐกวี จำกัด ( สำนักงานใหญ่ )</t>
  </si>
  <si>
    <t>Ewallet (ETHONLIN2406000020 : 0035245) Date : 2024-06-10 16:35:59</t>
  </si>
  <si>
    <t>Shopping (STHONLIN2406000229 : 0083285)</t>
  </si>
  <si>
    <t>Ewallet (ETHONLIN2406000019 : 0043380) Date : 2024-06-10 15:20:15</t>
  </si>
  <si>
    <t>นางสาว พัชรมณฑ์ พรมทา</t>
  </si>
  <si>
    <t>Shopping (STHONLIN2406000226 : 0083352)</t>
  </si>
  <si>
    <t>Shopping (STHBKK012406000400 : 0052776)</t>
  </si>
  <si>
    <t>นาง พัชรี ธรรมรักษ์กุล</t>
  </si>
  <si>
    <t>Ewallet (ETHBKK012406000012 : 0059103) Date : 2024-06-10</t>
  </si>
  <si>
    <t>Ewallet (EKHKH0012406000001 : 0067112) Date : 2024-06-10</t>
  </si>
  <si>
    <t>นาง YUN CHIHOUY</t>
  </si>
  <si>
    <t>KH</t>
  </si>
  <si>
    <t>Cal-A Date : 2024-06-01</t>
  </si>
  <si>
    <t>นาย จักรกฤษณ์ ผิวเขียว</t>
  </si>
  <si>
    <t>Transfer from 0082180 (TTHONLIN2406000017)</t>
  </si>
  <si>
    <t>นาย SOULIVANH XAIXENGDUMCHUE</t>
  </si>
  <si>
    <t>LA</t>
  </si>
  <si>
    <t>Ewallet (ELAVT0012406000002 : 0082180) Date : 2024-06-10</t>
  </si>
  <si>
    <t>Shopping (STHVT0012406000075 : 0082180)</t>
  </si>
  <si>
    <t>Transfer from 0083077 (TTHONLIN2406000016)</t>
  </si>
  <si>
    <t>นาย VISSONG HERSONG</t>
  </si>
  <si>
    <t>Ewallet (ELAVT0012406000001 : 0083077) Date : 2024-06-10</t>
  </si>
  <si>
    <t>Shopping (STHVT0012406000074 : 0083077)</t>
  </si>
  <si>
    <t>รายงานยอดเข้าออก และ ยอดคงเหลือ EWALLET ประจำวันที่   11   มิ.ย.   2567</t>
  </si>
  <si>
    <t>Ewallet (ETHBKK012406000013 : 0010271) Date : 2024-06-11</t>
  </si>
  <si>
    <t>นางสาว ลำใย เจริญศิริ</t>
  </si>
  <si>
    <t>Shopping (STHBKK012406000462 : 0021818)</t>
  </si>
  <si>
    <t>Shopping (STHBKK012406000482 : 0021818)</t>
  </si>
  <si>
    <t>Ewallet (ETHONLIN2406000022 : 0049825) Date : 2024-06-11 14:12:54</t>
  </si>
  <si>
    <t>นางสาว ยูรีนา เกษา</t>
  </si>
  <si>
    <t>Ewallet (ETHBKK012406000014 : 0059103) Date : 2024-06-11</t>
  </si>
  <si>
    <t>Ewallet (ELAVT0012406000003 : 0082421) Date : 2024-06-11</t>
  </si>
  <si>
    <t>นางสาว AIPHONE XIONG</t>
  </si>
  <si>
    <t>Shopping (STHVT0012406000098 : 0082421)</t>
  </si>
  <si>
    <t>รายงานยอดเข้าออก และ ยอดคงเหลือ EWALLET ประจำวันที่   12   มิ.ย.   2567</t>
  </si>
  <si>
    <t>Shopping (STHBKK012406000547 : 0021818)</t>
  </si>
  <si>
    <t>Ewallet (ETHBKK012406000017 : 0048631) Date : 2024-06-12</t>
  </si>
  <si>
    <t>ห้างหุ้นส่วนจำกัด รีลิกธีน (สำนักงานใหญ่)</t>
  </si>
  <si>
    <t>Ewallet (ETHBKK012406000016 : 0049655) Date : 2024-06-12</t>
  </si>
  <si>
    <t>Ewallet (ETHONLIN2406000023 : 0049655) Date : 2024-06-12 13:51:37</t>
  </si>
  <si>
    <t>Shopping (STHONLIN2406000264 : 0083348)</t>
  </si>
  <si>
    <t>Ewallet (EKHKH0012406000002 : 0054107) Date : 2024-06-12</t>
  </si>
  <si>
    <t>นาง CHUON RY</t>
  </si>
  <si>
    <t>Ewallet (ETHBKK012406000015 : 0059103) Date : 2024-06-12</t>
  </si>
  <si>
    <t>Ewallet (ETHBKK012406000018 : 0059103) Date : 2024-06-12</t>
  </si>
  <si>
    <t>Shopping (STHONLIN2406000259 : 0062447)</t>
  </si>
  <si>
    <t>Ewallet (ETHBKK012406000019 : 0059103) Date : 2024-06-12</t>
  </si>
  <si>
    <t>Shopping (STHBKK012406000531 : 0059103)</t>
  </si>
  <si>
    <t>Ewallet (ETHONLIN2406000024 : 0069883) Date : 2024-06-12 17:49:09</t>
  </si>
  <si>
    <t>นาย อับดลเหล๊าะ เต๊ะหละ</t>
  </si>
  <si>
    <t>Shopping (STHHY2406000101 : 0069883)</t>
  </si>
  <si>
    <t>Ewallet (ENGNG2406000010 : 0082259) Date : 2024-06-12</t>
  </si>
  <si>
    <t>Ewallet (ENGNG2406000009 : 0082372) Date : 2024-06-12</t>
  </si>
  <si>
    <t>Shopping (STHONLIN2406000267 : 0082608)</t>
  </si>
  <si>
    <t>Shopping (STHONLIN2406000269 : 0082607)</t>
  </si>
  <si>
    <t>Shopping (STHONLIN2406000272 : 0083381)</t>
  </si>
  <si>
    <t>รายงานยอดเข้าออก และ ยอดคงเหลือ EWALLET ประจำวันที่   14   มิ.ย.   2567</t>
  </si>
  <si>
    <t>Shopping (STHBKK012406000654 : 0010271)</t>
  </si>
  <si>
    <t xml:space="preserve">	นางสาว ลำใย เจริญศิริ</t>
  </si>
  <si>
    <t>Transfer from 0010684 (TTHONLIN2406000023)</t>
  </si>
  <si>
    <t xml:space="preserve">	นาย คมสันช์ ชาญธนโชค</t>
  </si>
  <si>
    <t>Transfer from 0021828 (TTHONLIN2406000026)</t>
  </si>
  <si>
    <t xml:space="preserve">	นาย ธนบูลย์ แสงฐิตาพันธุ์	</t>
  </si>
  <si>
    <t>Ewallet (ETHONLIN2406000027 : 0021828) Date : 2024-06-14 12:53:14</t>
  </si>
  <si>
    <t>Shopping (STHONLIN2406000303 : 0021828)</t>
  </si>
  <si>
    <t>Transfer from 0024368 (TTHONLIN2406000025)</t>
  </si>
  <si>
    <t>Transfer from 0051697 (TTHONLIN2406000024)</t>
  </si>
  <si>
    <t xml:space="preserve">นางสาว ภัทรพิดา อุ่นโสดา	</t>
  </si>
  <si>
    <t>Ewallet (ETHBKK012406000024 : 0052083) Date : 2024-06-14</t>
  </si>
  <si>
    <t>นาย ธนาศุภเดช ภุชพัชราธาดาณัช</t>
  </si>
  <si>
    <t>Cal-A Date : 2024-06-06</t>
  </si>
  <si>
    <t xml:space="preserve">	นาย TOEUR META</t>
  </si>
  <si>
    <t xml:space="preserve">	นาย PRING SEYHA</t>
  </si>
  <si>
    <t>นางสาว TAI THI XUAN HUE</t>
  </si>
  <si>
    <t>Ewallet (ETHBKK012406000023 : 0082367) Date : 2024-06-14</t>
  </si>
  <si>
    <t xml:space="preserve">	นาย อลงกรณ์ กงคูคำ</t>
  </si>
  <si>
    <t>Shopping (STHONLIN2406000291 : 0083419)</t>
  </si>
  <si>
    <t xml:space="preserve">	นาง MUSTAPHA BINTA YUSUF	</t>
  </si>
  <si>
    <t>Shopping (STHONLIN2406000293 : 0083420)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</si>
</sst>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28">
    <font>
      <sz val="10.0"/>
      <color rgb="FF000000"/>
      <name val="Arial"/>
      <scheme val="minor"/>
    </font>
    <font>
      <b/>
      <sz val="36.0"/>
      <color theme="1"/>
      <name val="&quot;Angsana New&quot;"/>
    </font>
    <font/>
    <font>
      <color theme="1"/>
      <name val="Arial"/>
    </font>
    <font>
      <b/>
      <sz val="29.0"/>
      <color theme="1"/>
      <name val="&quot;Angsana New&quot;"/>
    </font>
    <font>
      <b/>
      <sz val="29.0"/>
      <color rgb="FFFF0000"/>
      <name val="&quot;Angsana New&quot;"/>
    </font>
    <font>
      <b/>
      <sz val="21.0"/>
      <color theme="1"/>
      <name val="&quot;Angsana New&quot;"/>
    </font>
    <font>
      <sz val="27.0"/>
      <color theme="1"/>
      <name val="&quot;Angsana New&quot;"/>
    </font>
    <font>
      <sz val="19.0"/>
      <color theme="1"/>
      <name val="Calibri"/>
    </font>
    <font>
      <sz val="18.0"/>
      <color theme="1"/>
      <name val="Calibri"/>
    </font>
    <font>
      <b/>
      <color theme="1"/>
      <name val="Arial"/>
    </font>
    <font>
      <b/>
      <sz val="27.0"/>
      <color theme="1"/>
      <name val="AngsanaUPC"/>
    </font>
    <font>
      <b/>
      <sz val="18.0"/>
      <color theme="1"/>
      <name val="Arial"/>
    </font>
    <font>
      <sz val="18.0"/>
      <color theme="1"/>
      <name val="Arial"/>
    </font>
    <font>
      <sz val="26.0"/>
      <color rgb="FFFF0000"/>
      <name val="AngsanaUPC"/>
    </font>
    <font>
      <b/>
      <sz val="24.0"/>
      <color rgb="FFFF00FF"/>
      <name val="&quot;Angsana New&quot;"/>
    </font>
    <font>
      <b/>
      <sz val="16.0"/>
      <color theme="1"/>
      <name val="Arial"/>
    </font>
    <font>
      <b/>
      <sz val="14.0"/>
      <color theme="1"/>
      <name val="Arial"/>
    </font>
    <font>
      <sz val="27.0"/>
      <color theme="1"/>
      <name val="AngsanaUPC"/>
    </font>
    <font>
      <sz val="16.0"/>
      <color theme="1"/>
      <name val="Arial"/>
    </font>
    <font>
      <sz val="20.0"/>
      <color theme="1"/>
      <name val="Arial"/>
    </font>
    <font>
      <sz val="20.0"/>
      <color rgb="FFFF0000"/>
      <name val="AngsanaUPC"/>
    </font>
    <font>
      <b/>
      <sz val="20.0"/>
      <color theme="1"/>
      <name val="AngsanaUPC"/>
    </font>
    <font>
      <sz val="27.0"/>
      <color rgb="FFFF0000"/>
      <name val="AngsanaUPC"/>
    </font>
    <font>
      <b/>
      <sz val="25.0"/>
      <color theme="1"/>
      <name val="AngsanaUPC"/>
    </font>
    <font>
      <sz val="25.0"/>
      <color rgb="FFFF0000"/>
      <name val="AngsanaUPC"/>
    </font>
    <font>
      <b/>
      <sz val="24.0"/>
      <color theme="1"/>
      <name val="AngsanaUPC"/>
    </font>
    <font>
      <sz val="31.0"/>
      <color rgb="FFFF0000"/>
      <name val="AngsanaUPC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3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6" numFmtId="0" xfId="0" applyAlignment="1" applyBorder="1" applyFont="1">
      <alignment horizontal="center" vertical="bottom"/>
    </xf>
    <xf borderId="0" fillId="3" fontId="3" numFmtId="0" xfId="0" applyAlignment="1" applyFont="1">
      <alignment vertical="bottom"/>
    </xf>
    <xf borderId="5" fillId="3" fontId="4" numFmtId="0" xfId="0" applyAlignment="1" applyBorder="1" applyFont="1">
      <alignment horizontal="center" shrinkToFit="0" vertical="top" wrapText="0"/>
    </xf>
    <xf borderId="5" fillId="3" fontId="4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6" fillId="0" fontId="2" numFmtId="0" xfId="0" applyBorder="1" applyFont="1"/>
    <xf borderId="2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2" fillId="4" fontId="4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horizontal="center" readingOrder="0" vertical="bottom"/>
    </xf>
    <xf borderId="2" fillId="0" fontId="8" numFmtId="164" xfId="0" applyAlignment="1" applyBorder="1" applyFont="1" applyNumberFormat="1">
      <alignment horizontal="center" readingOrder="0" vertical="bottom"/>
    </xf>
    <xf borderId="2" fillId="0" fontId="8" numFmtId="0" xfId="0" applyAlignment="1" applyBorder="1" applyFont="1">
      <alignment horizontal="center" readingOrder="0" vertical="bottom"/>
    </xf>
    <xf borderId="2" fillId="0" fontId="9" numFmtId="4" xfId="0" applyAlignment="1" applyBorder="1" applyFont="1" applyNumberFormat="1">
      <alignment horizontal="left" readingOrder="0" vertical="bottom"/>
    </xf>
    <xf borderId="2" fillId="0" fontId="9" numFmtId="0" xfId="0" applyAlignment="1" applyBorder="1" applyFont="1">
      <alignment horizontal="left" readingOrder="0" vertical="bottom"/>
    </xf>
    <xf borderId="2" fillId="5" fontId="10" numFmtId="0" xfId="0" applyAlignment="1" applyBorder="1" applyFont="1">
      <alignment readingOrder="0" vertical="bottom"/>
    </xf>
    <xf borderId="2" fillId="5" fontId="10" numFmtId="0" xfId="0" applyAlignment="1" applyBorder="1" applyFont="1">
      <alignment vertical="bottom"/>
    </xf>
    <xf borderId="2" fillId="5" fontId="11" numFmtId="4" xfId="0" applyAlignment="1" applyBorder="1" applyFont="1" applyNumberFormat="1">
      <alignment horizontal="center" readingOrder="0" shrinkToFit="0" vertical="bottom" wrapText="1"/>
    </xf>
    <xf borderId="2" fillId="5" fontId="10" numFmtId="4" xfId="0" applyAlignment="1" applyBorder="1" applyFont="1" applyNumberFormat="1">
      <alignment readingOrder="0" vertical="bottom"/>
    </xf>
    <xf borderId="2" fillId="5" fontId="11" numFmtId="0" xfId="0" applyAlignment="1" applyBorder="1" applyFont="1">
      <alignment horizontal="center" readingOrder="0" shrinkToFit="0" vertical="bottom" wrapText="1"/>
    </xf>
    <xf borderId="2" fillId="0" fontId="12" numFmtId="4" xfId="0" applyAlignment="1" applyBorder="1" applyFont="1" applyNumberFormat="1">
      <alignment readingOrder="0" vertical="bottom"/>
    </xf>
    <xf borderId="2" fillId="0" fontId="13" numFmtId="4" xfId="0" applyAlignment="1" applyBorder="1" applyFont="1" applyNumberFormat="1">
      <alignment horizontal="center" readingOrder="0" vertical="bottom"/>
    </xf>
    <xf borderId="2" fillId="0" fontId="14" numFmtId="4" xfId="0" applyAlignment="1" applyBorder="1" applyFont="1" applyNumberFormat="1">
      <alignment horizontal="center" readingOrder="0" vertical="bottom"/>
    </xf>
    <xf borderId="2" fillId="0" fontId="3" numFmtId="4" xfId="0" applyAlignment="1" applyBorder="1" applyFont="1" applyNumberFormat="1">
      <alignment readingOrder="0" vertical="bottom"/>
    </xf>
    <xf borderId="2" fillId="0" fontId="11" numFmtId="4" xfId="0" applyAlignment="1" applyBorder="1" applyFont="1" applyNumberFormat="1">
      <alignment horizontal="center" readingOrder="0" vertical="bottom"/>
    </xf>
    <xf borderId="2" fillId="0" fontId="9" numFmtId="4" xfId="0" applyAlignment="1" applyBorder="1" applyFont="1" applyNumberFormat="1">
      <alignment horizontal="center" readingOrder="0" vertical="bottom"/>
    </xf>
    <xf borderId="2" fillId="0" fontId="15" numFmtId="0" xfId="0" applyAlignment="1" applyBorder="1" applyFont="1">
      <alignment horizontal="center" readingOrder="0" vertical="bottom"/>
    </xf>
    <xf borderId="0" fillId="5" fontId="3" numFmtId="0" xfId="0" applyAlignment="1" applyFont="1">
      <alignment readingOrder="0" vertical="bottom"/>
    </xf>
    <xf borderId="0" fillId="5" fontId="7" numFmtId="0" xfId="0" applyAlignment="1" applyFon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5" fontId="10" numFmtId="0" xfId="0" applyAlignment="1" applyFont="1">
      <alignment vertical="bottom"/>
    </xf>
    <xf borderId="0" fillId="5" fontId="11" numFmtId="4" xfId="0" applyAlignment="1" applyFont="1" applyNumberFormat="1">
      <alignment horizontal="center" readingOrder="0" shrinkToFit="0" vertical="bottom" wrapText="1"/>
    </xf>
    <xf borderId="0" fillId="5" fontId="10" numFmtId="0" xfId="0" applyAlignment="1" applyFont="1">
      <alignment readingOrder="0" vertical="bottom"/>
    </xf>
    <xf borderId="0" fillId="5" fontId="12" numFmtId="4" xfId="0" applyAlignment="1" applyFont="1" applyNumberFormat="1">
      <alignment horizontal="center" readingOrder="0" shrinkToFit="0" vertical="bottom" wrapText="1"/>
    </xf>
    <xf borderId="0" fillId="5" fontId="16" numFmtId="4" xfId="0" applyAlignment="1" applyFont="1" applyNumberFormat="1">
      <alignment readingOrder="0" vertical="bottom"/>
    </xf>
    <xf borderId="0" fillId="0" fontId="12" numFmtId="4" xfId="0" applyAlignment="1" applyFont="1" applyNumberFormat="1">
      <alignment readingOrder="0" vertical="bottom"/>
    </xf>
    <xf borderId="0" fillId="0" fontId="13" numFmtId="4" xfId="0" applyAlignment="1" applyFont="1" applyNumberFormat="1">
      <alignment horizontal="center" readingOrder="0" vertical="bottom"/>
    </xf>
    <xf borderId="0" fillId="0" fontId="14" numFmtId="4" xfId="0" applyAlignment="1" applyFont="1" applyNumberFormat="1">
      <alignment horizontal="center" readingOrder="0" vertical="bottom"/>
    </xf>
    <xf borderId="0" fillId="0" fontId="3" numFmtId="4" xfId="0" applyAlignment="1" applyFont="1" applyNumberFormat="1">
      <alignment vertical="bottom"/>
    </xf>
    <xf borderId="0" fillId="0" fontId="11" numFmtId="4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0" fillId="5" fontId="3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10" numFmtId="3" xfId="0" applyAlignment="1" applyFont="1" applyNumberFormat="1">
      <alignment vertical="bottom"/>
    </xf>
    <xf borderId="0" fillId="0" fontId="10" numFmtId="4" xfId="0" applyAlignment="1" applyFont="1" applyNumberFormat="1">
      <alignment vertical="bottom"/>
    </xf>
    <xf borderId="0" fillId="5" fontId="18" numFmtId="4" xfId="0" applyAlignment="1" applyFont="1" applyNumberFormat="1">
      <alignment horizontal="center" readingOrder="0" shrinkToFit="0" vertical="bottom" wrapText="1"/>
    </xf>
    <xf borderId="0" fillId="5" fontId="13" numFmtId="4" xfId="0" applyAlignment="1" applyFont="1" applyNumberFormat="1">
      <alignment horizontal="center" readingOrder="0" shrinkToFit="0" vertical="bottom" wrapText="1"/>
    </xf>
    <xf borderId="0" fillId="5" fontId="3" numFmtId="3" xfId="0" applyAlignment="1" applyFont="1" applyNumberFormat="1">
      <alignment vertical="bottom"/>
    </xf>
    <xf borderId="0" fillId="5" fontId="19" numFmtId="4" xfId="0" applyAlignment="1" applyFont="1" applyNumberFormat="1">
      <alignment vertical="bottom"/>
    </xf>
    <xf borderId="0" fillId="0" fontId="8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left" vertical="bottom"/>
    </xf>
    <xf borderId="2" fillId="0" fontId="20" numFmtId="4" xfId="0" applyAlignment="1" applyBorder="1" applyFont="1" applyNumberFormat="1">
      <alignment readingOrder="0" vertical="bottom"/>
    </xf>
    <xf borderId="2" fillId="0" fontId="21" numFmtId="4" xfId="0" applyAlignment="1" applyBorder="1" applyFont="1" applyNumberFormat="1">
      <alignment horizontal="center" readingOrder="0" vertical="bottom"/>
    </xf>
    <xf borderId="2" fillId="0" fontId="22" numFmtId="4" xfId="0" applyAlignment="1" applyBorder="1" applyFont="1" applyNumberFormat="1">
      <alignment horizontal="center" readingOrder="0" vertical="bottom"/>
    </xf>
    <xf borderId="2" fillId="0" fontId="23" numFmtId="4" xfId="0" applyAlignment="1" applyBorder="1" applyFont="1" applyNumberFormat="1">
      <alignment horizontal="center" readingOrder="0" vertical="bottom"/>
    </xf>
    <xf borderId="2" fillId="0" fontId="24" numFmtId="4" xfId="0" applyAlignment="1" applyBorder="1" applyFont="1" applyNumberFormat="1">
      <alignment horizontal="center" readingOrder="0" vertical="bottom"/>
    </xf>
    <xf borderId="2" fillId="0" fontId="25" numFmtId="4" xfId="0" applyAlignment="1" applyBorder="1" applyFont="1" applyNumberFormat="1">
      <alignment horizontal="center" readingOrder="0" vertical="bottom"/>
    </xf>
    <xf borderId="2" fillId="0" fontId="26" numFmtId="4" xfId="0" applyAlignment="1" applyBorder="1" applyFont="1" applyNumberFormat="1">
      <alignment horizontal="center" readingOrder="0" vertical="bottom"/>
    </xf>
    <xf borderId="2" fillId="0" fontId="27" numFmtId="4" xfId="0" applyAlignment="1" applyBorder="1" applyFont="1" applyNumberFormat="1">
      <alignment horizontal="center" readingOrder="0" vertical="bottom"/>
    </xf>
    <xf borderId="0" fillId="0" fontId="11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3.25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45297.0</v>
      </c>
      <c r="C5" s="28">
        <v>21818.0</v>
      </c>
      <c r="D5" s="29" t="s">
        <v>27</v>
      </c>
      <c r="E5" s="30" t="s">
        <v>28</v>
      </c>
      <c r="F5" s="31"/>
      <c r="G5" s="32"/>
      <c r="H5" s="33">
        <v>0.0</v>
      </c>
      <c r="I5" s="34"/>
      <c r="J5" s="31"/>
      <c r="K5" s="35"/>
      <c r="L5" s="35"/>
      <c r="M5" s="33"/>
      <c r="N5" s="33"/>
      <c r="O5" s="36"/>
      <c r="P5" s="37">
        <v>59230.0</v>
      </c>
      <c r="Q5" s="38">
        <v>5000.0</v>
      </c>
      <c r="R5" s="39"/>
      <c r="S5" s="40">
        <v>54230.0</v>
      </c>
      <c r="T5" s="41" t="s">
        <v>27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45297.0</v>
      </c>
      <c r="C6" s="28">
        <v>21818.0</v>
      </c>
      <c r="D6" s="29" t="s">
        <v>30</v>
      </c>
      <c r="E6" s="30" t="s">
        <v>28</v>
      </c>
      <c r="F6" s="31"/>
      <c r="G6" s="32"/>
      <c r="H6" s="33">
        <v>0.0</v>
      </c>
      <c r="I6" s="34"/>
      <c r="J6" s="31"/>
      <c r="K6" s="35"/>
      <c r="L6" s="35"/>
      <c r="M6" s="33"/>
      <c r="N6" s="33"/>
      <c r="O6" s="36"/>
      <c r="P6" s="37">
        <v>54230.0</v>
      </c>
      <c r="Q6" s="38">
        <v>4500.0</v>
      </c>
      <c r="R6" s="39"/>
      <c r="S6" s="40">
        <v>49730.0</v>
      </c>
      <c r="T6" s="41" t="s">
        <v>30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45297.0</v>
      </c>
      <c r="C7" s="28">
        <v>21828.0</v>
      </c>
      <c r="D7" s="29" t="s">
        <v>31</v>
      </c>
      <c r="E7" s="30" t="s">
        <v>28</v>
      </c>
      <c r="F7" s="31"/>
      <c r="G7" s="32"/>
      <c r="H7" s="33">
        <v>802.0</v>
      </c>
      <c r="I7" s="34"/>
      <c r="J7" s="31"/>
      <c r="K7" s="35"/>
      <c r="L7" s="35"/>
      <c r="M7" s="33"/>
      <c r="N7" s="33"/>
      <c r="O7" s="36"/>
      <c r="P7" s="37">
        <v>498.09</v>
      </c>
      <c r="Q7" s="38">
        <v>0.0</v>
      </c>
      <c r="R7" s="39"/>
      <c r="S7" s="40">
        <v>1300.09</v>
      </c>
      <c r="T7" s="41" t="s">
        <v>31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45297.0</v>
      </c>
      <c r="C8" s="28">
        <v>21828.0</v>
      </c>
      <c r="D8" s="29" t="s">
        <v>32</v>
      </c>
      <c r="E8" s="30" t="s">
        <v>28</v>
      </c>
      <c r="F8" s="31"/>
      <c r="G8" s="32"/>
      <c r="H8" s="33">
        <v>1650.0</v>
      </c>
      <c r="I8" s="34"/>
      <c r="J8" s="31"/>
      <c r="K8" s="35"/>
      <c r="L8" s="35"/>
      <c r="M8" s="33"/>
      <c r="N8" s="33"/>
      <c r="O8" s="36"/>
      <c r="P8" s="37">
        <v>1300.09</v>
      </c>
      <c r="Q8" s="38">
        <v>0.0</v>
      </c>
      <c r="R8" s="39"/>
      <c r="S8" s="40">
        <v>2950.09</v>
      </c>
      <c r="T8" s="41" t="s">
        <v>32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45297.0</v>
      </c>
      <c r="C9" s="28">
        <v>21828.0</v>
      </c>
      <c r="D9" s="29" t="s">
        <v>33</v>
      </c>
      <c r="E9" s="30" t="s">
        <v>28</v>
      </c>
      <c r="F9" s="31"/>
      <c r="G9" s="32"/>
      <c r="H9" s="33">
        <v>0.0</v>
      </c>
      <c r="I9" s="34"/>
      <c r="J9" s="31"/>
      <c r="K9" s="35"/>
      <c r="L9" s="35"/>
      <c r="M9" s="33"/>
      <c r="N9" s="33"/>
      <c r="O9" s="36"/>
      <c r="P9" s="37">
        <v>2950.0</v>
      </c>
      <c r="Q9" s="38">
        <v>2950.0</v>
      </c>
      <c r="R9" s="39"/>
      <c r="S9" s="40">
        <v>0.09</v>
      </c>
      <c r="T9" s="41" t="s">
        <v>33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4"/>
      <c r="B10" s="45"/>
      <c r="C10" s="46"/>
      <c r="D10" s="47"/>
      <c r="E10" s="47"/>
      <c r="F10" s="48"/>
      <c r="G10" s="48"/>
      <c r="H10" s="49"/>
      <c r="I10" s="50"/>
      <c r="J10" s="48"/>
      <c r="K10" s="51"/>
      <c r="L10" s="49"/>
      <c r="M10" s="49"/>
      <c r="N10" s="52"/>
      <c r="O10" s="53"/>
      <c r="P10" s="54"/>
      <c r="Q10" s="55"/>
      <c r="R10" s="56"/>
      <c r="S10" s="57"/>
      <c r="T10" s="58"/>
      <c r="U10" s="59"/>
      <c r="V10" s="60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4"/>
      <c r="B11" s="45"/>
      <c r="C11" s="46"/>
      <c r="D11" s="47"/>
      <c r="E11" s="47"/>
      <c r="F11" s="48"/>
      <c r="G11" s="48"/>
      <c r="H11" s="49"/>
      <c r="I11" s="50"/>
      <c r="J11" s="48"/>
      <c r="K11" s="51"/>
      <c r="L11" s="49"/>
      <c r="M11" s="49"/>
      <c r="N11" s="52"/>
      <c r="O11" s="53"/>
      <c r="P11" s="54"/>
      <c r="Q11" s="55"/>
      <c r="R11" s="56"/>
      <c r="S11" s="57"/>
      <c r="T11" s="58"/>
      <c r="U11" s="59"/>
      <c r="V11" s="60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4"/>
      <c r="B12" s="46"/>
      <c r="C12" s="46"/>
      <c r="D12" s="47"/>
      <c r="E12" s="47"/>
      <c r="F12" s="48"/>
      <c r="G12" s="48"/>
      <c r="H12" s="49"/>
      <c r="I12" s="48"/>
      <c r="J12" s="48"/>
      <c r="K12" s="51"/>
      <c r="L12" s="61"/>
      <c r="M12" s="62"/>
      <c r="N12" s="52"/>
      <c r="O12" s="63"/>
      <c r="P12" s="54"/>
      <c r="Q12" s="55"/>
      <c r="R12" s="56"/>
      <c r="S12" s="57"/>
      <c r="T12" s="58"/>
      <c r="U12" s="59"/>
      <c r="V12" s="60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4"/>
      <c r="B13" s="46"/>
      <c r="C13" s="46"/>
      <c r="D13" s="47"/>
      <c r="E13" s="47"/>
      <c r="F13" s="48"/>
      <c r="G13" s="48"/>
      <c r="H13" s="49"/>
      <c r="I13" s="48"/>
      <c r="J13" s="48"/>
      <c r="K13" s="51"/>
      <c r="L13" s="61"/>
      <c r="M13" s="62"/>
      <c r="N13" s="52"/>
      <c r="O13" s="63"/>
      <c r="P13" s="54"/>
      <c r="Q13" s="55"/>
      <c r="R13" s="56"/>
      <c r="S13" s="57"/>
      <c r="T13" s="58"/>
      <c r="U13" s="59"/>
      <c r="V13" s="60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4"/>
      <c r="B14" s="46"/>
      <c r="C14" s="46"/>
      <c r="D14" s="47"/>
      <c r="E14" s="47"/>
      <c r="F14" s="48"/>
      <c r="G14" s="48"/>
      <c r="H14" s="49"/>
      <c r="I14" s="48"/>
      <c r="J14" s="48"/>
      <c r="K14" s="51"/>
      <c r="L14" s="61"/>
      <c r="M14" s="62"/>
      <c r="N14" s="52"/>
      <c r="O14" s="63"/>
      <c r="P14" s="54"/>
      <c r="Q14" s="55"/>
      <c r="R14" s="56"/>
      <c r="S14" s="57"/>
      <c r="T14" s="58"/>
      <c r="U14" s="59"/>
      <c r="V14" s="60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4"/>
      <c r="B15" s="46"/>
      <c r="C15" s="46"/>
      <c r="D15" s="47"/>
      <c r="E15" s="47"/>
      <c r="F15" s="48"/>
      <c r="G15" s="48"/>
      <c r="H15" s="49"/>
      <c r="I15" s="48"/>
      <c r="J15" s="48"/>
      <c r="K15" s="51"/>
      <c r="L15" s="61"/>
      <c r="M15" s="62"/>
      <c r="N15" s="52"/>
      <c r="O15" s="63"/>
      <c r="P15" s="54"/>
      <c r="Q15" s="55"/>
      <c r="R15" s="56"/>
      <c r="S15" s="57"/>
      <c r="T15" s="58"/>
      <c r="U15" s="59"/>
      <c r="V15" s="60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4"/>
      <c r="B16" s="46"/>
      <c r="C16" s="46"/>
      <c r="D16" s="47"/>
      <c r="E16" s="47"/>
      <c r="F16" s="48"/>
      <c r="G16" s="48"/>
      <c r="H16" s="49"/>
      <c r="I16" s="48"/>
      <c r="J16" s="48"/>
      <c r="K16" s="51"/>
      <c r="L16" s="61"/>
      <c r="M16" s="62"/>
      <c r="N16" s="52"/>
      <c r="O16" s="63"/>
      <c r="P16" s="54"/>
      <c r="Q16" s="55"/>
      <c r="R16" s="56"/>
      <c r="S16" s="57"/>
      <c r="T16" s="58"/>
      <c r="U16" s="59"/>
      <c r="V16" s="60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4"/>
      <c r="B17" s="46"/>
      <c r="C17" s="46"/>
      <c r="D17" s="47"/>
      <c r="E17" s="47"/>
      <c r="F17" s="48"/>
      <c r="G17" s="48"/>
      <c r="H17" s="49"/>
      <c r="I17" s="48"/>
      <c r="J17" s="48"/>
      <c r="K17" s="51"/>
      <c r="L17" s="61"/>
      <c r="M17" s="62"/>
      <c r="N17" s="52"/>
      <c r="O17" s="63"/>
      <c r="P17" s="54"/>
      <c r="Q17" s="55"/>
      <c r="R17" s="56"/>
      <c r="S17" s="57"/>
      <c r="T17" s="58"/>
      <c r="U17" s="59"/>
      <c r="V17" s="60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4"/>
      <c r="B18" s="46"/>
      <c r="C18" s="46"/>
      <c r="D18" s="47"/>
      <c r="E18" s="47"/>
      <c r="F18" s="48"/>
      <c r="G18" s="48"/>
      <c r="H18" s="49"/>
      <c r="I18" s="48"/>
      <c r="J18" s="48"/>
      <c r="K18" s="51"/>
      <c r="L18" s="61"/>
      <c r="M18" s="62"/>
      <c r="N18" s="52"/>
      <c r="O18" s="63"/>
      <c r="P18" s="54"/>
      <c r="Q18" s="55"/>
      <c r="R18" s="56"/>
      <c r="S18" s="57"/>
      <c r="T18" s="58"/>
      <c r="U18" s="59"/>
      <c r="V18" s="60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4"/>
      <c r="B19" s="46"/>
      <c r="C19" s="46"/>
      <c r="D19" s="47"/>
      <c r="E19" s="47"/>
      <c r="F19" s="48"/>
      <c r="G19" s="48"/>
      <c r="H19" s="49"/>
      <c r="I19" s="48"/>
      <c r="J19" s="48"/>
      <c r="K19" s="51"/>
      <c r="L19" s="61"/>
      <c r="M19" s="62"/>
      <c r="N19" s="52"/>
      <c r="O19" s="63"/>
      <c r="P19" s="54"/>
      <c r="Q19" s="55"/>
      <c r="R19" s="56"/>
      <c r="S19" s="57"/>
      <c r="T19" s="58"/>
      <c r="U19" s="59"/>
      <c r="V19" s="60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4"/>
      <c r="B20" s="46"/>
      <c r="C20" s="46"/>
      <c r="D20" s="47"/>
      <c r="E20" s="47"/>
      <c r="F20" s="48"/>
      <c r="G20" s="48"/>
      <c r="H20" s="49"/>
      <c r="I20" s="48"/>
      <c r="J20" s="48"/>
      <c r="K20" s="51"/>
      <c r="L20" s="61"/>
      <c r="M20" s="62"/>
      <c r="N20" s="52"/>
      <c r="O20" s="63"/>
      <c r="P20" s="54"/>
      <c r="Q20" s="55"/>
      <c r="R20" s="56"/>
      <c r="S20" s="57"/>
      <c r="T20" s="58"/>
      <c r="U20" s="59"/>
      <c r="V20" s="60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4"/>
      <c r="B21" s="46"/>
      <c r="C21" s="46"/>
      <c r="D21" s="47"/>
      <c r="E21" s="47"/>
      <c r="F21" s="48"/>
      <c r="G21" s="48"/>
      <c r="H21" s="49"/>
      <c r="I21" s="48"/>
      <c r="J21" s="48"/>
      <c r="K21" s="51"/>
      <c r="L21" s="61"/>
      <c r="M21" s="62"/>
      <c r="N21" s="52"/>
      <c r="O21" s="63"/>
      <c r="P21" s="54"/>
      <c r="Q21" s="55"/>
      <c r="R21" s="56"/>
      <c r="S21" s="57"/>
      <c r="T21" s="58"/>
      <c r="U21" s="59"/>
      <c r="V21" s="60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4"/>
      <c r="B22" s="46"/>
      <c r="C22" s="46"/>
      <c r="D22" s="47"/>
      <c r="E22" s="47"/>
      <c r="F22" s="48"/>
      <c r="G22" s="48"/>
      <c r="H22" s="49"/>
      <c r="I22" s="48"/>
      <c r="J22" s="48"/>
      <c r="K22" s="51"/>
      <c r="L22" s="61"/>
      <c r="M22" s="62"/>
      <c r="N22" s="52"/>
      <c r="O22" s="63"/>
      <c r="P22" s="54"/>
      <c r="Q22" s="55"/>
      <c r="R22" s="56"/>
      <c r="S22" s="57"/>
      <c r="T22" s="58"/>
      <c r="U22" s="59"/>
      <c r="V22" s="60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4"/>
      <c r="B23" s="46"/>
      <c r="C23" s="46"/>
      <c r="D23" s="47"/>
      <c r="E23" s="47"/>
      <c r="F23" s="48"/>
      <c r="G23" s="48"/>
      <c r="H23" s="49"/>
      <c r="I23" s="48"/>
      <c r="J23" s="48"/>
      <c r="K23" s="51"/>
      <c r="L23" s="61"/>
      <c r="M23" s="62"/>
      <c r="N23" s="52"/>
      <c r="O23" s="63"/>
      <c r="P23" s="54"/>
      <c r="Q23" s="55"/>
      <c r="R23" s="56"/>
      <c r="S23" s="57"/>
      <c r="T23" s="58"/>
      <c r="U23" s="59"/>
      <c r="V23" s="6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4"/>
      <c r="B24" s="46"/>
      <c r="C24" s="46"/>
      <c r="D24" s="47"/>
      <c r="E24" s="47"/>
      <c r="F24" s="48"/>
      <c r="G24" s="48"/>
      <c r="H24" s="49"/>
      <c r="I24" s="48"/>
      <c r="J24" s="48"/>
      <c r="K24" s="51"/>
      <c r="L24" s="61"/>
      <c r="M24" s="62"/>
      <c r="N24" s="52"/>
      <c r="O24" s="63"/>
      <c r="P24" s="54"/>
      <c r="Q24" s="55"/>
      <c r="R24" s="56"/>
      <c r="S24" s="57"/>
      <c r="T24" s="58"/>
      <c r="U24" s="59"/>
      <c r="V24" s="60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4"/>
      <c r="B25" s="46"/>
      <c r="C25" s="46"/>
      <c r="D25" s="47"/>
      <c r="E25" s="47"/>
      <c r="F25" s="60"/>
      <c r="G25" s="60"/>
      <c r="H25" s="64"/>
      <c r="I25" s="60"/>
      <c r="J25" s="60"/>
      <c r="K25" s="65"/>
      <c r="L25" s="60"/>
      <c r="M25" s="66"/>
      <c r="N25" s="67"/>
      <c r="O25" s="56"/>
      <c r="P25" s="54"/>
      <c r="Q25" s="55"/>
      <c r="R25" s="56"/>
      <c r="S25" s="57"/>
      <c r="T25" s="58"/>
      <c r="U25" s="59"/>
      <c r="V25" s="60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4"/>
      <c r="B26" s="46"/>
      <c r="C26" s="46"/>
      <c r="D26" s="47"/>
      <c r="E26" s="47"/>
      <c r="F26" s="60"/>
      <c r="G26" s="60"/>
      <c r="H26" s="64"/>
      <c r="I26" s="60"/>
      <c r="J26" s="60"/>
      <c r="K26" s="65"/>
      <c r="L26" s="60"/>
      <c r="M26" s="66"/>
      <c r="N26" s="67"/>
      <c r="O26" s="56"/>
      <c r="P26" s="54"/>
      <c r="Q26" s="55"/>
      <c r="R26" s="56"/>
      <c r="S26" s="57"/>
      <c r="T26" s="58"/>
      <c r="U26" s="59"/>
      <c r="V26" s="60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4"/>
      <c r="B27" s="46"/>
      <c r="C27" s="46"/>
      <c r="D27" s="47"/>
      <c r="E27" s="47"/>
      <c r="F27" s="60"/>
      <c r="G27" s="60"/>
      <c r="H27" s="64"/>
      <c r="I27" s="60"/>
      <c r="J27" s="60"/>
      <c r="K27" s="65"/>
      <c r="L27" s="60"/>
      <c r="M27" s="66"/>
      <c r="N27" s="67"/>
      <c r="O27" s="56"/>
      <c r="P27" s="54"/>
      <c r="Q27" s="55"/>
      <c r="R27" s="56"/>
      <c r="S27" s="57"/>
      <c r="T27" s="58"/>
      <c r="U27" s="59"/>
      <c r="V27" s="60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4"/>
      <c r="B28" s="46"/>
      <c r="C28" s="46"/>
      <c r="D28" s="47"/>
      <c r="E28" s="47"/>
      <c r="F28" s="60"/>
      <c r="G28" s="60"/>
      <c r="H28" s="64"/>
      <c r="I28" s="60"/>
      <c r="J28" s="60"/>
      <c r="K28" s="65"/>
      <c r="L28" s="60"/>
      <c r="M28" s="66"/>
      <c r="N28" s="67"/>
      <c r="O28" s="56"/>
      <c r="P28" s="54"/>
      <c r="Q28" s="55"/>
      <c r="R28" s="56"/>
      <c r="S28" s="57"/>
      <c r="T28" s="58"/>
      <c r="U28" s="59"/>
      <c r="V28" s="60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4"/>
      <c r="B29" s="46"/>
      <c r="C29" s="46"/>
      <c r="D29" s="47"/>
      <c r="E29" s="47"/>
      <c r="F29" s="60"/>
      <c r="G29" s="60"/>
      <c r="H29" s="64"/>
      <c r="I29" s="60"/>
      <c r="J29" s="60"/>
      <c r="K29" s="65"/>
      <c r="L29" s="60"/>
      <c r="M29" s="66"/>
      <c r="N29" s="67"/>
      <c r="O29" s="56"/>
      <c r="P29" s="54"/>
      <c r="Q29" s="55"/>
      <c r="R29" s="56"/>
      <c r="S29" s="57"/>
      <c r="T29" s="58"/>
      <c r="U29" s="59"/>
      <c r="V29" s="6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4"/>
      <c r="B30" s="46"/>
      <c r="C30" s="46"/>
      <c r="D30" s="47"/>
      <c r="E30" s="47"/>
      <c r="F30" s="60"/>
      <c r="G30" s="60"/>
      <c r="H30" s="64"/>
      <c r="I30" s="60"/>
      <c r="J30" s="60"/>
      <c r="K30" s="65"/>
      <c r="L30" s="60"/>
      <c r="M30" s="66"/>
      <c r="N30" s="67"/>
      <c r="O30" s="56"/>
      <c r="P30" s="54"/>
      <c r="Q30" s="55"/>
      <c r="R30" s="56"/>
      <c r="S30" s="57"/>
      <c r="T30" s="58"/>
      <c r="U30" s="59"/>
      <c r="V30" s="6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4"/>
      <c r="B31" s="46"/>
      <c r="C31" s="46"/>
      <c r="D31" s="47"/>
      <c r="E31" s="47"/>
      <c r="F31" s="60"/>
      <c r="G31" s="60"/>
      <c r="H31" s="64"/>
      <c r="I31" s="60"/>
      <c r="J31" s="60"/>
      <c r="K31" s="65"/>
      <c r="L31" s="60"/>
      <c r="M31" s="66"/>
      <c r="N31" s="67"/>
      <c r="O31" s="56"/>
      <c r="P31" s="54"/>
      <c r="Q31" s="55"/>
      <c r="R31" s="56"/>
      <c r="S31" s="57"/>
      <c r="T31" s="58"/>
      <c r="U31" s="59"/>
      <c r="V31" s="60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4"/>
      <c r="B32" s="46"/>
      <c r="C32" s="46"/>
      <c r="D32" s="47"/>
      <c r="E32" s="47"/>
      <c r="F32" s="60"/>
      <c r="G32" s="60"/>
      <c r="H32" s="64"/>
      <c r="I32" s="60"/>
      <c r="J32" s="60"/>
      <c r="K32" s="65"/>
      <c r="L32" s="60"/>
      <c r="M32" s="66"/>
      <c r="N32" s="67"/>
      <c r="O32" s="56"/>
      <c r="P32" s="54"/>
      <c r="Q32" s="55"/>
      <c r="R32" s="56"/>
      <c r="S32" s="57"/>
      <c r="T32" s="58"/>
      <c r="U32" s="59"/>
      <c r="V32" s="60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60"/>
      <c r="G33" s="60"/>
      <c r="H33" s="64"/>
      <c r="I33" s="60"/>
      <c r="J33" s="60"/>
      <c r="K33" s="65"/>
      <c r="L33" s="60"/>
      <c r="M33" s="66"/>
      <c r="N33" s="67"/>
      <c r="O33" s="56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60"/>
      <c r="G34" s="60"/>
      <c r="H34" s="64"/>
      <c r="I34" s="60"/>
      <c r="J34" s="60"/>
      <c r="K34" s="65"/>
      <c r="L34" s="60"/>
      <c r="M34" s="66"/>
      <c r="N34" s="67"/>
      <c r="O34" s="56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60"/>
      <c r="G35" s="60"/>
      <c r="H35" s="64"/>
      <c r="I35" s="60"/>
      <c r="J35" s="60"/>
      <c r="K35" s="65"/>
      <c r="L35" s="60"/>
      <c r="M35" s="66"/>
      <c r="N35" s="67"/>
      <c r="O35" s="56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60"/>
      <c r="G36" s="60"/>
      <c r="H36" s="64"/>
      <c r="I36" s="60"/>
      <c r="J36" s="60"/>
      <c r="K36" s="65"/>
      <c r="L36" s="60"/>
      <c r="M36" s="66"/>
      <c r="N36" s="67"/>
      <c r="O36" s="56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46"/>
      <c r="C37" s="46"/>
      <c r="D37" s="47"/>
      <c r="E37" s="47"/>
      <c r="F37" s="60"/>
      <c r="G37" s="60"/>
      <c r="H37" s="64"/>
      <c r="I37" s="60"/>
      <c r="J37" s="60"/>
      <c r="K37" s="65"/>
      <c r="L37" s="60"/>
      <c r="M37" s="66"/>
      <c r="N37" s="67"/>
      <c r="O37" s="56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68"/>
      <c r="C38" s="46"/>
      <c r="D38" s="47"/>
      <c r="E38" s="47"/>
      <c r="F38" s="60"/>
      <c r="G38" s="60"/>
      <c r="H38" s="64"/>
      <c r="I38" s="60"/>
      <c r="J38" s="60"/>
      <c r="K38" s="65"/>
      <c r="L38" s="60"/>
      <c r="M38" s="66"/>
      <c r="N38" s="67"/>
      <c r="O38" s="56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68"/>
      <c r="C39" s="46"/>
      <c r="D39" s="47"/>
      <c r="E39" s="47"/>
      <c r="F39" s="60"/>
      <c r="G39" s="60"/>
      <c r="H39" s="64"/>
      <c r="I39" s="60"/>
      <c r="J39" s="60"/>
      <c r="K39" s="65"/>
      <c r="L39" s="60"/>
      <c r="M39" s="66"/>
      <c r="N39" s="67"/>
      <c r="O39" s="56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68"/>
      <c r="C40" s="46"/>
      <c r="D40" s="47"/>
      <c r="E40" s="47"/>
      <c r="F40" s="60"/>
      <c r="G40" s="60"/>
      <c r="H40" s="64"/>
      <c r="I40" s="60"/>
      <c r="J40" s="60"/>
      <c r="K40" s="65"/>
      <c r="L40" s="60"/>
      <c r="M40" s="66"/>
      <c r="N40" s="67"/>
      <c r="O40" s="56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68"/>
      <c r="C41" s="46"/>
      <c r="D41" s="47"/>
      <c r="E41" s="47"/>
      <c r="F41" s="60"/>
      <c r="G41" s="60"/>
      <c r="H41" s="64"/>
      <c r="I41" s="60"/>
      <c r="J41" s="60"/>
      <c r="K41" s="65"/>
      <c r="L41" s="60"/>
      <c r="M41" s="66"/>
      <c r="N41" s="67"/>
      <c r="O41" s="56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4"/>
      <c r="B42" s="68"/>
      <c r="C42" s="46"/>
      <c r="D42" s="47"/>
      <c r="E42" s="47"/>
      <c r="F42" s="60"/>
      <c r="G42" s="60"/>
      <c r="H42" s="64"/>
      <c r="I42" s="60"/>
      <c r="J42" s="60"/>
      <c r="K42" s="65"/>
      <c r="L42" s="60"/>
      <c r="M42" s="66"/>
      <c r="N42" s="67"/>
      <c r="O42" s="56"/>
      <c r="P42" s="54"/>
      <c r="Q42" s="55"/>
      <c r="R42" s="56"/>
      <c r="S42" s="57"/>
      <c r="T42" s="58"/>
      <c r="U42" s="59"/>
      <c r="V42" s="60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5"/>
      <c r="C43" s="5"/>
      <c r="D43" s="5"/>
      <c r="E43" s="6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7" max="17" width="13.8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40.5" customHeight="1">
      <c r="A5" s="26">
        <v>1.0</v>
      </c>
      <c r="B5" s="27">
        <v>45445.0</v>
      </c>
      <c r="C5" s="28">
        <v>21818.0</v>
      </c>
      <c r="D5" s="29" t="s">
        <v>35</v>
      </c>
      <c r="E5" s="30" t="s">
        <v>36</v>
      </c>
      <c r="F5" s="31"/>
      <c r="G5" s="32"/>
      <c r="H5" s="33">
        <v>0.0</v>
      </c>
      <c r="I5" s="34"/>
      <c r="J5" s="31"/>
      <c r="K5" s="35"/>
      <c r="L5" s="35"/>
      <c r="M5" s="33"/>
      <c r="N5" s="33"/>
      <c r="O5" s="36"/>
      <c r="P5" s="37">
        <f>Q5+S5</f>
        <v>49730</v>
      </c>
      <c r="Q5" s="38">
        <v>6200.0</v>
      </c>
      <c r="R5" s="39"/>
      <c r="S5" s="40">
        <v>43530.0</v>
      </c>
      <c r="T5" s="41" t="s">
        <v>35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40.5" customHeight="1">
      <c r="A6" s="26">
        <v>2.0</v>
      </c>
      <c r="B6" s="27">
        <v>45445.0</v>
      </c>
      <c r="C6" s="28">
        <v>42046.0</v>
      </c>
      <c r="D6" s="29" t="s">
        <v>37</v>
      </c>
      <c r="E6" s="30" t="s">
        <v>38</v>
      </c>
      <c r="F6" s="31"/>
      <c r="G6" s="32"/>
      <c r="H6" s="33">
        <v>7500.0</v>
      </c>
      <c r="I6" s="34"/>
      <c r="J6" s="31"/>
      <c r="K6" s="35"/>
      <c r="L6" s="35"/>
      <c r="M6" s="33"/>
      <c r="N6" s="33"/>
      <c r="O6" s="36"/>
      <c r="P6" s="37">
        <f>S6-H6</f>
        <v>240</v>
      </c>
      <c r="Q6" s="38">
        <v>0.0</v>
      </c>
      <c r="R6" s="39"/>
      <c r="S6" s="40">
        <v>7740.0</v>
      </c>
      <c r="T6" s="41" t="s">
        <v>37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40.5" customHeight="1">
      <c r="A7" s="26">
        <v>3.0</v>
      </c>
      <c r="B7" s="27">
        <v>45445.0</v>
      </c>
      <c r="C7" s="28">
        <v>42046.0</v>
      </c>
      <c r="D7" s="29" t="s">
        <v>39</v>
      </c>
      <c r="E7" s="30" t="s">
        <v>38</v>
      </c>
      <c r="F7" s="31"/>
      <c r="G7" s="32"/>
      <c r="H7" s="33">
        <v>0.0</v>
      </c>
      <c r="I7" s="34"/>
      <c r="J7" s="31"/>
      <c r="K7" s="35"/>
      <c r="L7" s="35"/>
      <c r="M7" s="33"/>
      <c r="N7" s="33"/>
      <c r="O7" s="36"/>
      <c r="P7" s="37">
        <f>Q7+S7</f>
        <v>7740</v>
      </c>
      <c r="Q7" s="38">
        <v>7500.0</v>
      </c>
      <c r="R7" s="39"/>
      <c r="S7" s="40">
        <v>240.0</v>
      </c>
      <c r="T7" s="41" t="s">
        <v>39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0.5" customHeight="1">
      <c r="A8" s="26">
        <v>4.0</v>
      </c>
      <c r="B8" s="27">
        <v>45445.0</v>
      </c>
      <c r="C8" s="28">
        <v>49655.0</v>
      </c>
      <c r="D8" s="29" t="s">
        <v>40</v>
      </c>
      <c r="E8" s="30" t="s">
        <v>41</v>
      </c>
      <c r="F8" s="31"/>
      <c r="G8" s="32"/>
      <c r="H8" s="33">
        <v>3600.0</v>
      </c>
      <c r="I8" s="34"/>
      <c r="J8" s="31"/>
      <c r="K8" s="35"/>
      <c r="L8" s="35"/>
      <c r="M8" s="33"/>
      <c r="N8" s="33"/>
      <c r="O8" s="36"/>
      <c r="P8" s="37">
        <f>S8-H8</f>
        <v>900</v>
      </c>
      <c r="Q8" s="38">
        <v>0.0</v>
      </c>
      <c r="R8" s="39"/>
      <c r="S8" s="40">
        <v>4500.0</v>
      </c>
      <c r="T8" s="41" t="s">
        <v>40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40.5" customHeight="1">
      <c r="A9" s="26">
        <v>5.0</v>
      </c>
      <c r="B9" s="27">
        <v>45445.0</v>
      </c>
      <c r="C9" s="28">
        <v>49655.0</v>
      </c>
      <c r="D9" s="29" t="s">
        <v>42</v>
      </c>
      <c r="E9" s="30" t="s">
        <v>41</v>
      </c>
      <c r="F9" s="31"/>
      <c r="G9" s="32"/>
      <c r="H9" s="33">
        <v>0.0</v>
      </c>
      <c r="I9" s="34"/>
      <c r="J9" s="31"/>
      <c r="K9" s="35"/>
      <c r="L9" s="35"/>
      <c r="M9" s="33"/>
      <c r="N9" s="33"/>
      <c r="O9" s="36"/>
      <c r="P9" s="37">
        <f>Q9+S9</f>
        <v>4500</v>
      </c>
      <c r="Q9" s="38">
        <v>4500.0</v>
      </c>
      <c r="R9" s="39"/>
      <c r="S9" s="40">
        <v>0.0</v>
      </c>
      <c r="T9" s="41" t="s">
        <v>42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40.5" customHeight="1">
      <c r="A10" s="26">
        <v>6.0</v>
      </c>
      <c r="B10" s="27">
        <v>45445.0</v>
      </c>
      <c r="C10" s="28">
        <v>59103.0</v>
      </c>
      <c r="D10" s="29" t="s">
        <v>43</v>
      </c>
      <c r="E10" s="30" t="s">
        <v>44</v>
      </c>
      <c r="F10" s="31"/>
      <c r="G10" s="32"/>
      <c r="H10" s="33"/>
      <c r="I10" s="34"/>
      <c r="J10" s="31"/>
      <c r="K10" s="33">
        <v>2500.0</v>
      </c>
      <c r="L10" s="35"/>
      <c r="M10" s="33"/>
      <c r="N10" s="33"/>
      <c r="O10" s="36"/>
      <c r="P10" s="37">
        <f>S10-K10</f>
        <v>16016</v>
      </c>
      <c r="Q10" s="38">
        <v>0.0</v>
      </c>
      <c r="R10" s="39"/>
      <c r="S10" s="40">
        <v>18516.0</v>
      </c>
      <c r="T10" s="41" t="s">
        <v>43</v>
      </c>
      <c r="U10" s="42" t="s">
        <v>29</v>
      </c>
      <c r="V10" s="4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40.5" customHeight="1">
      <c r="A11" s="26">
        <v>7.0</v>
      </c>
      <c r="B11" s="27">
        <v>45445.0</v>
      </c>
      <c r="C11" s="28">
        <v>82303.0</v>
      </c>
      <c r="D11" s="29" t="s">
        <v>45</v>
      </c>
      <c r="E11" s="30" t="s">
        <v>46</v>
      </c>
      <c r="F11" s="31"/>
      <c r="G11" s="32"/>
      <c r="H11" s="33">
        <v>0.0</v>
      </c>
      <c r="I11" s="34"/>
      <c r="J11" s="31"/>
      <c r="K11" s="35"/>
      <c r="L11" s="35"/>
      <c r="M11" s="33"/>
      <c r="N11" s="33"/>
      <c r="O11" s="36"/>
      <c r="P11" s="37">
        <f>Q11+S11</f>
        <v>1662000</v>
      </c>
      <c r="Q11" s="38">
        <v>270000.0</v>
      </c>
      <c r="R11" s="39"/>
      <c r="S11" s="40">
        <v>1392000.0</v>
      </c>
      <c r="T11" s="41" t="s">
        <v>45</v>
      </c>
      <c r="U11" s="42" t="s">
        <v>47</v>
      </c>
      <c r="V11" s="4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4"/>
      <c r="B12" s="45"/>
      <c r="C12" s="46"/>
      <c r="D12" s="47"/>
      <c r="E12" s="47"/>
      <c r="F12" s="48"/>
      <c r="G12" s="48"/>
      <c r="H12" s="49"/>
      <c r="I12" s="50"/>
      <c r="J12" s="48"/>
      <c r="K12" s="51"/>
      <c r="L12" s="49"/>
      <c r="M12" s="49"/>
      <c r="N12" s="52"/>
      <c r="O12" s="53"/>
      <c r="P12" s="54"/>
      <c r="Q12" s="55"/>
      <c r="R12" s="56"/>
      <c r="S12" s="57"/>
      <c r="T12" s="58"/>
      <c r="U12" s="59"/>
      <c r="V12" s="60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4"/>
      <c r="B13" s="45"/>
      <c r="C13" s="46"/>
      <c r="D13" s="47"/>
      <c r="E13" s="47"/>
      <c r="F13" s="48"/>
      <c r="G13" s="48"/>
      <c r="H13" s="49"/>
      <c r="I13" s="50"/>
      <c r="J13" s="48"/>
      <c r="K13" s="51"/>
      <c r="L13" s="49"/>
      <c r="M13" s="49"/>
      <c r="N13" s="52"/>
      <c r="O13" s="53"/>
      <c r="P13" s="54"/>
      <c r="Q13" s="55"/>
      <c r="R13" s="56"/>
      <c r="S13" s="57"/>
      <c r="T13" s="58"/>
      <c r="U13" s="59"/>
      <c r="V13" s="60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4"/>
      <c r="B14" s="46"/>
      <c r="C14" s="46"/>
      <c r="D14" s="47"/>
      <c r="E14" s="47"/>
      <c r="F14" s="48"/>
      <c r="G14" s="48"/>
      <c r="H14" s="49"/>
      <c r="I14" s="48"/>
      <c r="J14" s="48"/>
      <c r="K14" s="51"/>
      <c r="L14" s="61"/>
      <c r="M14" s="62"/>
      <c r="N14" s="52"/>
      <c r="O14" s="63"/>
      <c r="P14" s="54"/>
      <c r="Q14" s="55"/>
      <c r="R14" s="56"/>
      <c r="S14" s="57"/>
      <c r="T14" s="58"/>
      <c r="U14" s="59"/>
      <c r="V14" s="60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4"/>
      <c r="B15" s="46"/>
      <c r="C15" s="46"/>
      <c r="D15" s="47"/>
      <c r="E15" s="47"/>
      <c r="F15" s="48"/>
      <c r="G15" s="48"/>
      <c r="H15" s="49"/>
      <c r="I15" s="48"/>
      <c r="J15" s="48"/>
      <c r="K15" s="51"/>
      <c r="L15" s="61"/>
      <c r="M15" s="62"/>
      <c r="N15" s="52"/>
      <c r="O15" s="63"/>
      <c r="P15" s="54"/>
      <c r="Q15" s="55"/>
      <c r="R15" s="56"/>
      <c r="S15" s="57"/>
      <c r="T15" s="58"/>
      <c r="U15" s="59"/>
      <c r="V15" s="60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4"/>
      <c r="B16" s="46"/>
      <c r="C16" s="46"/>
      <c r="D16" s="47"/>
      <c r="E16" s="47"/>
      <c r="F16" s="48"/>
      <c r="G16" s="48"/>
      <c r="H16" s="49"/>
      <c r="I16" s="48"/>
      <c r="J16" s="48"/>
      <c r="K16" s="51"/>
      <c r="L16" s="61"/>
      <c r="M16" s="62"/>
      <c r="N16" s="52"/>
      <c r="O16" s="63"/>
      <c r="P16" s="54"/>
      <c r="Q16" s="55"/>
      <c r="R16" s="56"/>
      <c r="S16" s="57"/>
      <c r="T16" s="58"/>
      <c r="U16" s="59"/>
      <c r="V16" s="60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4"/>
      <c r="B17" s="46"/>
      <c r="C17" s="46"/>
      <c r="D17" s="47"/>
      <c r="E17" s="47"/>
      <c r="F17" s="48"/>
      <c r="G17" s="48"/>
      <c r="H17" s="49"/>
      <c r="I17" s="48"/>
      <c r="J17" s="48"/>
      <c r="K17" s="51"/>
      <c r="L17" s="61"/>
      <c r="M17" s="62"/>
      <c r="N17" s="52"/>
      <c r="O17" s="63"/>
      <c r="P17" s="54"/>
      <c r="Q17" s="55"/>
      <c r="R17" s="56"/>
      <c r="S17" s="57"/>
      <c r="T17" s="58"/>
      <c r="U17" s="59"/>
      <c r="V17" s="60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4"/>
      <c r="B18" s="46"/>
      <c r="C18" s="46"/>
      <c r="D18" s="47"/>
      <c r="E18" s="47"/>
      <c r="F18" s="48"/>
      <c r="G18" s="48"/>
      <c r="H18" s="49"/>
      <c r="I18" s="48"/>
      <c r="J18" s="48"/>
      <c r="K18" s="51"/>
      <c r="L18" s="61"/>
      <c r="M18" s="62"/>
      <c r="N18" s="52"/>
      <c r="O18" s="63"/>
      <c r="P18" s="54"/>
      <c r="Q18" s="55"/>
      <c r="R18" s="56"/>
      <c r="S18" s="57"/>
      <c r="T18" s="58"/>
      <c r="U18" s="59"/>
      <c r="V18" s="60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4"/>
      <c r="B19" s="46"/>
      <c r="C19" s="46"/>
      <c r="D19" s="47"/>
      <c r="E19" s="47"/>
      <c r="F19" s="48"/>
      <c r="G19" s="48"/>
      <c r="H19" s="49"/>
      <c r="I19" s="48"/>
      <c r="J19" s="48"/>
      <c r="K19" s="51"/>
      <c r="L19" s="61"/>
      <c r="M19" s="62"/>
      <c r="N19" s="52"/>
      <c r="O19" s="63"/>
      <c r="P19" s="54"/>
      <c r="Q19" s="55"/>
      <c r="R19" s="56"/>
      <c r="S19" s="57"/>
      <c r="T19" s="58"/>
      <c r="U19" s="59"/>
      <c r="V19" s="60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4"/>
      <c r="B20" s="46"/>
      <c r="C20" s="46"/>
      <c r="D20" s="47"/>
      <c r="E20" s="47"/>
      <c r="F20" s="48"/>
      <c r="G20" s="48"/>
      <c r="H20" s="49"/>
      <c r="I20" s="48"/>
      <c r="J20" s="48"/>
      <c r="K20" s="51"/>
      <c r="L20" s="61"/>
      <c r="M20" s="62"/>
      <c r="N20" s="52"/>
      <c r="O20" s="63"/>
      <c r="P20" s="54"/>
      <c r="Q20" s="55"/>
      <c r="R20" s="56"/>
      <c r="S20" s="57"/>
      <c r="T20" s="58"/>
      <c r="U20" s="59"/>
      <c r="V20" s="60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4"/>
      <c r="B21" s="46"/>
      <c r="C21" s="46"/>
      <c r="D21" s="47"/>
      <c r="E21" s="47"/>
      <c r="F21" s="48"/>
      <c r="G21" s="48"/>
      <c r="H21" s="49"/>
      <c r="I21" s="48"/>
      <c r="J21" s="48"/>
      <c r="K21" s="51"/>
      <c r="L21" s="61"/>
      <c r="M21" s="62"/>
      <c r="N21" s="52"/>
      <c r="O21" s="63"/>
      <c r="P21" s="54"/>
      <c r="Q21" s="55"/>
      <c r="R21" s="56"/>
      <c r="S21" s="57"/>
      <c r="T21" s="58"/>
      <c r="U21" s="59"/>
      <c r="V21" s="60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4"/>
      <c r="B22" s="46"/>
      <c r="C22" s="46"/>
      <c r="D22" s="47"/>
      <c r="E22" s="47"/>
      <c r="F22" s="48"/>
      <c r="G22" s="48"/>
      <c r="H22" s="49"/>
      <c r="I22" s="48"/>
      <c r="J22" s="48"/>
      <c r="K22" s="51"/>
      <c r="L22" s="61"/>
      <c r="M22" s="62"/>
      <c r="N22" s="52"/>
      <c r="O22" s="63"/>
      <c r="P22" s="54"/>
      <c r="Q22" s="55"/>
      <c r="R22" s="56"/>
      <c r="S22" s="57"/>
      <c r="T22" s="58"/>
      <c r="U22" s="59"/>
      <c r="V22" s="60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4"/>
      <c r="B23" s="46"/>
      <c r="C23" s="46"/>
      <c r="D23" s="47"/>
      <c r="E23" s="47"/>
      <c r="F23" s="48"/>
      <c r="G23" s="48"/>
      <c r="H23" s="49"/>
      <c r="I23" s="48"/>
      <c r="J23" s="48"/>
      <c r="K23" s="51"/>
      <c r="L23" s="61"/>
      <c r="M23" s="62"/>
      <c r="N23" s="52"/>
      <c r="O23" s="63"/>
      <c r="P23" s="54"/>
      <c r="Q23" s="55"/>
      <c r="R23" s="56"/>
      <c r="S23" s="57"/>
      <c r="T23" s="58"/>
      <c r="U23" s="59"/>
      <c r="V23" s="6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4"/>
      <c r="B24" s="46"/>
      <c r="C24" s="46"/>
      <c r="D24" s="47"/>
      <c r="E24" s="47"/>
      <c r="F24" s="48"/>
      <c r="G24" s="48"/>
      <c r="H24" s="49"/>
      <c r="I24" s="48"/>
      <c r="J24" s="48"/>
      <c r="K24" s="51"/>
      <c r="L24" s="61"/>
      <c r="M24" s="62"/>
      <c r="N24" s="52"/>
      <c r="O24" s="63"/>
      <c r="P24" s="54"/>
      <c r="Q24" s="55"/>
      <c r="R24" s="56"/>
      <c r="S24" s="57"/>
      <c r="T24" s="58"/>
      <c r="U24" s="59"/>
      <c r="V24" s="60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4"/>
      <c r="B25" s="46"/>
      <c r="C25" s="46"/>
      <c r="D25" s="47"/>
      <c r="E25" s="47"/>
      <c r="F25" s="48"/>
      <c r="G25" s="48"/>
      <c r="H25" s="49"/>
      <c r="I25" s="48"/>
      <c r="J25" s="48"/>
      <c r="K25" s="51"/>
      <c r="L25" s="61"/>
      <c r="M25" s="62"/>
      <c r="N25" s="52"/>
      <c r="O25" s="63"/>
      <c r="P25" s="54"/>
      <c r="Q25" s="55"/>
      <c r="R25" s="56"/>
      <c r="S25" s="57"/>
      <c r="T25" s="58"/>
      <c r="U25" s="59"/>
      <c r="V25" s="60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4"/>
      <c r="B26" s="46"/>
      <c r="C26" s="46"/>
      <c r="D26" s="47"/>
      <c r="E26" s="47"/>
      <c r="F26" s="48"/>
      <c r="G26" s="48"/>
      <c r="H26" s="49"/>
      <c r="I26" s="48"/>
      <c r="J26" s="48"/>
      <c r="K26" s="51"/>
      <c r="L26" s="61"/>
      <c r="M26" s="62"/>
      <c r="N26" s="52"/>
      <c r="O26" s="63"/>
      <c r="P26" s="54"/>
      <c r="Q26" s="55"/>
      <c r="R26" s="56"/>
      <c r="S26" s="57"/>
      <c r="T26" s="58"/>
      <c r="U26" s="59"/>
      <c r="V26" s="60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4"/>
      <c r="B27" s="46"/>
      <c r="C27" s="46"/>
      <c r="D27" s="47"/>
      <c r="E27" s="47"/>
      <c r="F27" s="60"/>
      <c r="G27" s="60"/>
      <c r="H27" s="64"/>
      <c r="I27" s="60"/>
      <c r="J27" s="60"/>
      <c r="K27" s="65"/>
      <c r="L27" s="60"/>
      <c r="M27" s="66"/>
      <c r="N27" s="67"/>
      <c r="O27" s="56"/>
      <c r="P27" s="54"/>
      <c r="Q27" s="55"/>
      <c r="R27" s="56"/>
      <c r="S27" s="57"/>
      <c r="T27" s="58"/>
      <c r="U27" s="59"/>
      <c r="V27" s="60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4"/>
      <c r="B28" s="46"/>
      <c r="C28" s="46"/>
      <c r="D28" s="47"/>
      <c r="E28" s="47"/>
      <c r="F28" s="60"/>
      <c r="G28" s="60"/>
      <c r="H28" s="64"/>
      <c r="I28" s="60"/>
      <c r="J28" s="60"/>
      <c r="K28" s="65"/>
      <c r="L28" s="60"/>
      <c r="M28" s="66"/>
      <c r="N28" s="67"/>
      <c r="O28" s="56"/>
      <c r="P28" s="54"/>
      <c r="Q28" s="55"/>
      <c r="R28" s="56"/>
      <c r="S28" s="57"/>
      <c r="T28" s="58"/>
      <c r="U28" s="59"/>
      <c r="V28" s="60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4"/>
      <c r="B29" s="46"/>
      <c r="C29" s="46"/>
      <c r="D29" s="47"/>
      <c r="E29" s="47"/>
      <c r="F29" s="60"/>
      <c r="G29" s="60"/>
      <c r="H29" s="64"/>
      <c r="I29" s="60"/>
      <c r="J29" s="60"/>
      <c r="K29" s="65"/>
      <c r="L29" s="60"/>
      <c r="M29" s="66"/>
      <c r="N29" s="67"/>
      <c r="O29" s="56"/>
      <c r="P29" s="54"/>
      <c r="Q29" s="55"/>
      <c r="R29" s="56"/>
      <c r="S29" s="57"/>
      <c r="T29" s="58"/>
      <c r="U29" s="59"/>
      <c r="V29" s="6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4"/>
      <c r="B30" s="46"/>
      <c r="C30" s="46"/>
      <c r="D30" s="47"/>
      <c r="E30" s="47"/>
      <c r="F30" s="60"/>
      <c r="G30" s="60"/>
      <c r="H30" s="64"/>
      <c r="I30" s="60"/>
      <c r="J30" s="60"/>
      <c r="K30" s="65"/>
      <c r="L30" s="60"/>
      <c r="M30" s="66"/>
      <c r="N30" s="67"/>
      <c r="O30" s="56"/>
      <c r="P30" s="54"/>
      <c r="Q30" s="55"/>
      <c r="R30" s="56"/>
      <c r="S30" s="57"/>
      <c r="T30" s="58"/>
      <c r="U30" s="59"/>
      <c r="V30" s="6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4"/>
      <c r="B31" s="46"/>
      <c r="C31" s="46"/>
      <c r="D31" s="47"/>
      <c r="E31" s="47"/>
      <c r="F31" s="60"/>
      <c r="G31" s="60"/>
      <c r="H31" s="64"/>
      <c r="I31" s="60"/>
      <c r="J31" s="60"/>
      <c r="K31" s="65"/>
      <c r="L31" s="60"/>
      <c r="M31" s="66"/>
      <c r="N31" s="67"/>
      <c r="O31" s="56"/>
      <c r="P31" s="54"/>
      <c r="Q31" s="55"/>
      <c r="R31" s="56"/>
      <c r="S31" s="57"/>
      <c r="T31" s="58"/>
      <c r="U31" s="59"/>
      <c r="V31" s="60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4"/>
      <c r="B32" s="46"/>
      <c r="C32" s="46"/>
      <c r="D32" s="47"/>
      <c r="E32" s="47"/>
      <c r="F32" s="60"/>
      <c r="G32" s="60"/>
      <c r="H32" s="64"/>
      <c r="I32" s="60"/>
      <c r="J32" s="60"/>
      <c r="K32" s="65"/>
      <c r="L32" s="60"/>
      <c r="M32" s="66"/>
      <c r="N32" s="67"/>
      <c r="O32" s="56"/>
      <c r="P32" s="54"/>
      <c r="Q32" s="55"/>
      <c r="R32" s="56"/>
      <c r="S32" s="57"/>
      <c r="T32" s="58"/>
      <c r="U32" s="59"/>
      <c r="V32" s="60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60"/>
      <c r="G33" s="60"/>
      <c r="H33" s="64"/>
      <c r="I33" s="60"/>
      <c r="J33" s="60"/>
      <c r="K33" s="65"/>
      <c r="L33" s="60"/>
      <c r="M33" s="66"/>
      <c r="N33" s="67"/>
      <c r="O33" s="56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60"/>
      <c r="G34" s="60"/>
      <c r="H34" s="64"/>
      <c r="I34" s="60"/>
      <c r="J34" s="60"/>
      <c r="K34" s="65"/>
      <c r="L34" s="60"/>
      <c r="M34" s="66"/>
      <c r="N34" s="67"/>
      <c r="O34" s="56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60"/>
      <c r="G35" s="60"/>
      <c r="H35" s="64"/>
      <c r="I35" s="60"/>
      <c r="J35" s="60"/>
      <c r="K35" s="65"/>
      <c r="L35" s="60"/>
      <c r="M35" s="66"/>
      <c r="N35" s="67"/>
      <c r="O35" s="56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60"/>
      <c r="G36" s="60"/>
      <c r="H36" s="64"/>
      <c r="I36" s="60"/>
      <c r="J36" s="60"/>
      <c r="K36" s="65"/>
      <c r="L36" s="60"/>
      <c r="M36" s="66"/>
      <c r="N36" s="67"/>
      <c r="O36" s="56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46"/>
      <c r="C37" s="46"/>
      <c r="D37" s="47"/>
      <c r="E37" s="47"/>
      <c r="F37" s="60"/>
      <c r="G37" s="60"/>
      <c r="H37" s="64"/>
      <c r="I37" s="60"/>
      <c r="J37" s="60"/>
      <c r="K37" s="65"/>
      <c r="L37" s="60"/>
      <c r="M37" s="66"/>
      <c r="N37" s="67"/>
      <c r="O37" s="56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46"/>
      <c r="C38" s="46"/>
      <c r="D38" s="47"/>
      <c r="E38" s="47"/>
      <c r="F38" s="60"/>
      <c r="G38" s="60"/>
      <c r="H38" s="64"/>
      <c r="I38" s="60"/>
      <c r="J38" s="60"/>
      <c r="K38" s="65"/>
      <c r="L38" s="60"/>
      <c r="M38" s="66"/>
      <c r="N38" s="67"/>
      <c r="O38" s="56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46"/>
      <c r="C39" s="46"/>
      <c r="D39" s="47"/>
      <c r="E39" s="47"/>
      <c r="F39" s="60"/>
      <c r="G39" s="60"/>
      <c r="H39" s="64"/>
      <c r="I39" s="60"/>
      <c r="J39" s="60"/>
      <c r="K39" s="65"/>
      <c r="L39" s="60"/>
      <c r="M39" s="66"/>
      <c r="N39" s="67"/>
      <c r="O39" s="56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68"/>
      <c r="C40" s="46"/>
      <c r="D40" s="47"/>
      <c r="E40" s="47"/>
      <c r="F40" s="60"/>
      <c r="G40" s="60"/>
      <c r="H40" s="64"/>
      <c r="I40" s="60"/>
      <c r="J40" s="60"/>
      <c r="K40" s="65"/>
      <c r="L40" s="60"/>
      <c r="M40" s="66"/>
      <c r="N40" s="67"/>
      <c r="O40" s="56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68"/>
      <c r="C41" s="46"/>
      <c r="D41" s="47"/>
      <c r="E41" s="47"/>
      <c r="F41" s="60"/>
      <c r="G41" s="60"/>
      <c r="H41" s="64"/>
      <c r="I41" s="60"/>
      <c r="J41" s="60"/>
      <c r="K41" s="65"/>
      <c r="L41" s="60"/>
      <c r="M41" s="66"/>
      <c r="N41" s="67"/>
      <c r="O41" s="56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4"/>
      <c r="B42" s="68"/>
      <c r="C42" s="46"/>
      <c r="D42" s="47"/>
      <c r="E42" s="47"/>
      <c r="F42" s="60"/>
      <c r="G42" s="60"/>
      <c r="H42" s="64"/>
      <c r="I42" s="60"/>
      <c r="J42" s="60"/>
      <c r="K42" s="65"/>
      <c r="L42" s="60"/>
      <c r="M42" s="66"/>
      <c r="N42" s="67"/>
      <c r="O42" s="56"/>
      <c r="P42" s="54"/>
      <c r="Q42" s="55"/>
      <c r="R42" s="56"/>
      <c r="S42" s="57"/>
      <c r="T42" s="58"/>
      <c r="U42" s="59"/>
      <c r="V42" s="60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4"/>
      <c r="B43" s="68"/>
      <c r="C43" s="46"/>
      <c r="D43" s="47"/>
      <c r="E43" s="47"/>
      <c r="F43" s="60"/>
      <c r="G43" s="60"/>
      <c r="H43" s="64"/>
      <c r="I43" s="60"/>
      <c r="J43" s="60"/>
      <c r="K43" s="65"/>
      <c r="L43" s="60"/>
      <c r="M43" s="66"/>
      <c r="N43" s="67"/>
      <c r="O43" s="56"/>
      <c r="P43" s="54"/>
      <c r="Q43" s="55"/>
      <c r="R43" s="56"/>
      <c r="S43" s="57"/>
      <c r="T43" s="58"/>
      <c r="U43" s="59"/>
      <c r="V43" s="60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4"/>
      <c r="B44" s="68"/>
      <c r="C44" s="46"/>
      <c r="D44" s="47"/>
      <c r="E44" s="47"/>
      <c r="F44" s="60"/>
      <c r="G44" s="60"/>
      <c r="H44" s="64"/>
      <c r="I44" s="60"/>
      <c r="J44" s="60"/>
      <c r="K44" s="65"/>
      <c r="L44" s="60"/>
      <c r="M44" s="66"/>
      <c r="N44" s="67"/>
      <c r="O44" s="56"/>
      <c r="P44" s="54"/>
      <c r="Q44" s="55"/>
      <c r="R44" s="56"/>
      <c r="S44" s="57"/>
      <c r="T44" s="58"/>
      <c r="U44" s="59"/>
      <c r="V44" s="60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6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7" max="17" width="13.8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40.5" customHeight="1">
      <c r="A5" s="26">
        <v>1.0</v>
      </c>
      <c r="B5" s="27">
        <v>45357.0</v>
      </c>
      <c r="C5" s="28">
        <v>21828.0</v>
      </c>
      <c r="D5" s="29" t="s">
        <v>49</v>
      </c>
      <c r="E5" s="30" t="s">
        <v>50</v>
      </c>
      <c r="F5" s="31"/>
      <c r="G5" s="32"/>
      <c r="H5" s="33">
        <v>2950.0</v>
      </c>
      <c r="I5" s="34"/>
      <c r="J5" s="31"/>
      <c r="K5" s="35"/>
      <c r="L5" s="35"/>
      <c r="M5" s="33"/>
      <c r="N5" s="33"/>
      <c r="O5" s="36"/>
      <c r="P5" s="37">
        <v>0.09</v>
      </c>
      <c r="Q5" s="38">
        <v>0.0</v>
      </c>
      <c r="R5" s="39"/>
      <c r="S5" s="40">
        <v>2950.09</v>
      </c>
      <c r="T5" s="41" t="s">
        <v>49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40.5" customHeight="1">
      <c r="A6" s="26">
        <v>2.0</v>
      </c>
      <c r="B6" s="27">
        <v>45357.0</v>
      </c>
      <c r="C6" s="28">
        <v>21828.0</v>
      </c>
      <c r="D6" s="29" t="s">
        <v>51</v>
      </c>
      <c r="E6" s="30" t="s">
        <v>50</v>
      </c>
      <c r="F6" s="31"/>
      <c r="G6" s="32"/>
      <c r="H6" s="33">
        <v>0.0</v>
      </c>
      <c r="I6" s="34"/>
      <c r="J6" s="31"/>
      <c r="K6" s="35"/>
      <c r="L6" s="35"/>
      <c r="M6" s="33"/>
      <c r="N6" s="33"/>
      <c r="O6" s="36"/>
      <c r="P6" s="37">
        <v>2950.09</v>
      </c>
      <c r="Q6" s="38">
        <v>2950.0</v>
      </c>
      <c r="R6" s="39"/>
      <c r="S6" s="40">
        <v>0.09</v>
      </c>
      <c r="T6" s="41" t="s">
        <v>51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40.5" customHeight="1">
      <c r="A7" s="26">
        <v>3.0</v>
      </c>
      <c r="B7" s="27">
        <v>45357.0</v>
      </c>
      <c r="C7" s="28">
        <v>44035.0</v>
      </c>
      <c r="D7" s="29" t="s">
        <v>52</v>
      </c>
      <c r="E7" s="30" t="s">
        <v>53</v>
      </c>
      <c r="F7" s="31"/>
      <c r="G7" s="32"/>
      <c r="H7" s="33">
        <v>19500.0</v>
      </c>
      <c r="I7" s="34"/>
      <c r="J7" s="31"/>
      <c r="K7" s="35"/>
      <c r="L7" s="35"/>
      <c r="M7" s="33"/>
      <c r="N7" s="33"/>
      <c r="O7" s="36"/>
      <c r="P7" s="37">
        <v>0.0</v>
      </c>
      <c r="Q7" s="38">
        <v>0.0</v>
      </c>
      <c r="R7" s="39"/>
      <c r="S7" s="40">
        <v>19500.0</v>
      </c>
      <c r="T7" s="41" t="s">
        <v>52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0.5" customHeight="1">
      <c r="A8" s="26">
        <v>4.0</v>
      </c>
      <c r="B8" s="27">
        <v>45357.0</v>
      </c>
      <c r="C8" s="28">
        <v>44035.0</v>
      </c>
      <c r="D8" s="29" t="s">
        <v>54</v>
      </c>
      <c r="E8" s="30" t="s">
        <v>53</v>
      </c>
      <c r="F8" s="31"/>
      <c r="G8" s="32"/>
      <c r="H8" s="33">
        <v>0.0</v>
      </c>
      <c r="I8" s="34"/>
      <c r="J8" s="31"/>
      <c r="K8" s="35"/>
      <c r="L8" s="35"/>
      <c r="M8" s="33"/>
      <c r="N8" s="33"/>
      <c r="O8" s="36"/>
      <c r="P8" s="37">
        <v>19500.0</v>
      </c>
      <c r="Q8" s="38">
        <v>19500.0</v>
      </c>
      <c r="R8" s="39"/>
      <c r="S8" s="40">
        <v>0.0</v>
      </c>
      <c r="T8" s="41" t="s">
        <v>54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40.5" customHeight="1">
      <c r="A9" s="26">
        <v>5.0</v>
      </c>
      <c r="B9" s="27">
        <v>45357.0</v>
      </c>
      <c r="C9" s="28">
        <v>49655.0</v>
      </c>
      <c r="D9" s="29" t="s">
        <v>55</v>
      </c>
      <c r="E9" s="30" t="s">
        <v>56</v>
      </c>
      <c r="F9" s="31"/>
      <c r="G9" s="32"/>
      <c r="H9" s="33">
        <v>400.0</v>
      </c>
      <c r="I9" s="34"/>
      <c r="J9" s="31"/>
      <c r="K9" s="35"/>
      <c r="L9" s="35"/>
      <c r="M9" s="33"/>
      <c r="N9" s="33"/>
      <c r="O9" s="36"/>
      <c r="P9" s="37">
        <v>0.0</v>
      </c>
      <c r="Q9" s="38">
        <v>0.0</v>
      </c>
      <c r="R9" s="39"/>
      <c r="S9" s="40">
        <v>400.0</v>
      </c>
      <c r="T9" s="41" t="s">
        <v>55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40.5" customHeight="1">
      <c r="A10" s="26">
        <v>6.0</v>
      </c>
      <c r="B10" s="27">
        <v>45357.0</v>
      </c>
      <c r="C10" s="28">
        <v>49655.0</v>
      </c>
      <c r="D10" s="29" t="s">
        <v>57</v>
      </c>
      <c r="E10" s="30" t="s">
        <v>56</v>
      </c>
      <c r="F10" s="31"/>
      <c r="G10" s="32"/>
      <c r="H10" s="33">
        <v>0.0</v>
      </c>
      <c r="I10" s="34"/>
      <c r="J10" s="31"/>
      <c r="K10" s="35"/>
      <c r="L10" s="35"/>
      <c r="M10" s="33"/>
      <c r="N10" s="33"/>
      <c r="O10" s="36"/>
      <c r="P10" s="37">
        <v>400.0</v>
      </c>
      <c r="Q10" s="38">
        <v>400.0</v>
      </c>
      <c r="R10" s="39"/>
      <c r="S10" s="40">
        <v>0.0</v>
      </c>
      <c r="T10" s="41" t="s">
        <v>57</v>
      </c>
      <c r="U10" s="42" t="s">
        <v>29</v>
      </c>
      <c r="V10" s="4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40.5" customHeight="1">
      <c r="A11" s="26">
        <v>7.0</v>
      </c>
      <c r="B11" s="27">
        <v>45357.0</v>
      </c>
      <c r="C11" s="28">
        <v>80078.0</v>
      </c>
      <c r="D11" s="29" t="s">
        <v>58</v>
      </c>
      <c r="E11" s="30" t="s">
        <v>59</v>
      </c>
      <c r="F11" s="31"/>
      <c r="G11" s="32"/>
      <c r="H11" s="33">
        <v>0.0</v>
      </c>
      <c r="I11" s="34"/>
      <c r="J11" s="31"/>
      <c r="K11" s="35"/>
      <c r="L11" s="35"/>
      <c r="M11" s="33"/>
      <c r="N11" s="33"/>
      <c r="O11" s="36"/>
      <c r="P11" s="37">
        <v>522.85</v>
      </c>
      <c r="Q11" s="38">
        <v>300.0</v>
      </c>
      <c r="R11" s="39"/>
      <c r="S11" s="40">
        <v>222.85</v>
      </c>
      <c r="T11" s="41" t="s">
        <v>58</v>
      </c>
      <c r="U11" s="42" t="s">
        <v>29</v>
      </c>
      <c r="V11" s="4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4"/>
      <c r="B12" s="45"/>
      <c r="C12" s="46"/>
      <c r="D12" s="47"/>
      <c r="E12" s="47"/>
      <c r="F12" s="48"/>
      <c r="G12" s="48"/>
      <c r="H12" s="49"/>
      <c r="I12" s="50"/>
      <c r="J12" s="48"/>
      <c r="K12" s="51"/>
      <c r="L12" s="49"/>
      <c r="M12" s="49"/>
      <c r="N12" s="52"/>
      <c r="O12" s="53"/>
      <c r="P12" s="54"/>
      <c r="Q12" s="55"/>
      <c r="R12" s="56"/>
      <c r="S12" s="57"/>
      <c r="T12" s="58"/>
      <c r="U12" s="59"/>
      <c r="V12" s="60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4"/>
      <c r="B13" s="45"/>
      <c r="C13" s="46"/>
      <c r="D13" s="47"/>
      <c r="E13" s="47"/>
      <c r="F13" s="48"/>
      <c r="G13" s="48"/>
      <c r="H13" s="49"/>
      <c r="I13" s="50"/>
      <c r="J13" s="48"/>
      <c r="K13" s="51"/>
      <c r="L13" s="49"/>
      <c r="M13" s="49"/>
      <c r="N13" s="52"/>
      <c r="O13" s="53"/>
      <c r="P13" s="54"/>
      <c r="Q13" s="55"/>
      <c r="R13" s="56"/>
      <c r="S13" s="57"/>
      <c r="T13" s="58"/>
      <c r="U13" s="59"/>
      <c r="V13" s="60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4"/>
      <c r="B14" s="46"/>
      <c r="C14" s="46"/>
      <c r="D14" s="47"/>
      <c r="E14" s="47"/>
      <c r="F14" s="48"/>
      <c r="G14" s="48"/>
      <c r="H14" s="49"/>
      <c r="I14" s="48"/>
      <c r="J14" s="48"/>
      <c r="K14" s="51"/>
      <c r="L14" s="61"/>
      <c r="M14" s="62"/>
      <c r="N14" s="52"/>
      <c r="O14" s="63"/>
      <c r="P14" s="54"/>
      <c r="Q14" s="55"/>
      <c r="R14" s="56"/>
      <c r="S14" s="57"/>
      <c r="T14" s="58"/>
      <c r="U14" s="59"/>
      <c r="V14" s="60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4"/>
      <c r="B15" s="46"/>
      <c r="C15" s="46"/>
      <c r="D15" s="47"/>
      <c r="E15" s="47"/>
      <c r="F15" s="48"/>
      <c r="G15" s="48"/>
      <c r="H15" s="49"/>
      <c r="I15" s="48"/>
      <c r="J15" s="48"/>
      <c r="K15" s="51"/>
      <c r="L15" s="61"/>
      <c r="M15" s="62"/>
      <c r="N15" s="52"/>
      <c r="O15" s="63"/>
      <c r="P15" s="54"/>
      <c r="Q15" s="55"/>
      <c r="R15" s="56"/>
      <c r="S15" s="57"/>
      <c r="T15" s="58"/>
      <c r="U15" s="59"/>
      <c r="V15" s="60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4"/>
      <c r="B16" s="46"/>
      <c r="C16" s="46"/>
      <c r="D16" s="47"/>
      <c r="E16" s="47"/>
      <c r="F16" s="48"/>
      <c r="G16" s="48"/>
      <c r="H16" s="49"/>
      <c r="I16" s="48"/>
      <c r="J16" s="48"/>
      <c r="K16" s="51"/>
      <c r="L16" s="61"/>
      <c r="M16" s="62"/>
      <c r="N16" s="52"/>
      <c r="O16" s="63"/>
      <c r="P16" s="54"/>
      <c r="Q16" s="55"/>
      <c r="R16" s="56"/>
      <c r="S16" s="57"/>
      <c r="T16" s="58"/>
      <c r="U16" s="59"/>
      <c r="V16" s="60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4"/>
      <c r="B17" s="46"/>
      <c r="C17" s="46"/>
      <c r="D17" s="47"/>
      <c r="E17" s="47"/>
      <c r="F17" s="48"/>
      <c r="G17" s="48"/>
      <c r="H17" s="49"/>
      <c r="I17" s="48"/>
      <c r="J17" s="48"/>
      <c r="K17" s="51"/>
      <c r="L17" s="61"/>
      <c r="M17" s="62"/>
      <c r="N17" s="52"/>
      <c r="O17" s="63"/>
      <c r="P17" s="54"/>
      <c r="Q17" s="55"/>
      <c r="R17" s="56"/>
      <c r="S17" s="57"/>
      <c r="T17" s="58"/>
      <c r="U17" s="59"/>
      <c r="V17" s="60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4"/>
      <c r="B18" s="46"/>
      <c r="C18" s="46"/>
      <c r="D18" s="47"/>
      <c r="E18" s="47"/>
      <c r="F18" s="48"/>
      <c r="G18" s="48"/>
      <c r="H18" s="49"/>
      <c r="I18" s="48"/>
      <c r="J18" s="48"/>
      <c r="K18" s="51"/>
      <c r="L18" s="61"/>
      <c r="M18" s="62"/>
      <c r="N18" s="52"/>
      <c r="O18" s="63"/>
      <c r="P18" s="54"/>
      <c r="Q18" s="55"/>
      <c r="R18" s="56"/>
      <c r="S18" s="57"/>
      <c r="T18" s="58"/>
      <c r="U18" s="59"/>
      <c r="V18" s="60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4"/>
      <c r="B19" s="46"/>
      <c r="C19" s="46"/>
      <c r="D19" s="47"/>
      <c r="E19" s="47"/>
      <c r="F19" s="48"/>
      <c r="G19" s="48"/>
      <c r="H19" s="49"/>
      <c r="I19" s="48"/>
      <c r="J19" s="48"/>
      <c r="K19" s="51"/>
      <c r="L19" s="61"/>
      <c r="M19" s="62"/>
      <c r="N19" s="52"/>
      <c r="O19" s="63"/>
      <c r="P19" s="54"/>
      <c r="Q19" s="55"/>
      <c r="R19" s="56"/>
      <c r="S19" s="57"/>
      <c r="T19" s="58"/>
      <c r="U19" s="59"/>
      <c r="V19" s="60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4"/>
      <c r="B20" s="46"/>
      <c r="C20" s="46"/>
      <c r="D20" s="47"/>
      <c r="E20" s="47"/>
      <c r="F20" s="48"/>
      <c r="G20" s="48"/>
      <c r="H20" s="49"/>
      <c r="I20" s="48"/>
      <c r="J20" s="48"/>
      <c r="K20" s="51"/>
      <c r="L20" s="61"/>
      <c r="M20" s="62"/>
      <c r="N20" s="52"/>
      <c r="O20" s="63"/>
      <c r="P20" s="54"/>
      <c r="Q20" s="55"/>
      <c r="R20" s="56"/>
      <c r="S20" s="57"/>
      <c r="T20" s="58"/>
      <c r="U20" s="59"/>
      <c r="V20" s="60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4"/>
      <c r="B21" s="46"/>
      <c r="C21" s="46"/>
      <c r="D21" s="47"/>
      <c r="E21" s="47"/>
      <c r="F21" s="48"/>
      <c r="G21" s="48"/>
      <c r="H21" s="49"/>
      <c r="I21" s="48"/>
      <c r="J21" s="48"/>
      <c r="K21" s="51"/>
      <c r="L21" s="61"/>
      <c r="M21" s="62"/>
      <c r="N21" s="52"/>
      <c r="O21" s="63"/>
      <c r="P21" s="54"/>
      <c r="Q21" s="55"/>
      <c r="R21" s="56"/>
      <c r="S21" s="57"/>
      <c r="T21" s="58"/>
      <c r="U21" s="59"/>
      <c r="V21" s="60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4"/>
      <c r="B22" s="46"/>
      <c r="C22" s="46"/>
      <c r="D22" s="47"/>
      <c r="E22" s="47"/>
      <c r="F22" s="48"/>
      <c r="G22" s="48"/>
      <c r="H22" s="49"/>
      <c r="I22" s="48"/>
      <c r="J22" s="48"/>
      <c r="K22" s="51"/>
      <c r="L22" s="61"/>
      <c r="M22" s="62"/>
      <c r="N22" s="52"/>
      <c r="O22" s="63"/>
      <c r="P22" s="54"/>
      <c r="Q22" s="55"/>
      <c r="R22" s="56"/>
      <c r="S22" s="57"/>
      <c r="T22" s="58"/>
      <c r="U22" s="59"/>
      <c r="V22" s="60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4"/>
      <c r="B23" s="46"/>
      <c r="C23" s="46"/>
      <c r="D23" s="47"/>
      <c r="E23" s="47"/>
      <c r="F23" s="48"/>
      <c r="G23" s="48"/>
      <c r="H23" s="49"/>
      <c r="I23" s="48"/>
      <c r="J23" s="48"/>
      <c r="K23" s="51"/>
      <c r="L23" s="61"/>
      <c r="M23" s="62"/>
      <c r="N23" s="52"/>
      <c r="O23" s="63"/>
      <c r="P23" s="54"/>
      <c r="Q23" s="55"/>
      <c r="R23" s="56"/>
      <c r="S23" s="57"/>
      <c r="T23" s="58"/>
      <c r="U23" s="59"/>
      <c r="V23" s="6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4"/>
      <c r="B24" s="46"/>
      <c r="C24" s="46"/>
      <c r="D24" s="47"/>
      <c r="E24" s="47"/>
      <c r="F24" s="48"/>
      <c r="G24" s="48"/>
      <c r="H24" s="49"/>
      <c r="I24" s="48"/>
      <c r="J24" s="48"/>
      <c r="K24" s="51"/>
      <c r="L24" s="61"/>
      <c r="M24" s="62"/>
      <c r="N24" s="52"/>
      <c r="O24" s="63"/>
      <c r="P24" s="54"/>
      <c r="Q24" s="55"/>
      <c r="R24" s="56"/>
      <c r="S24" s="57"/>
      <c r="T24" s="58"/>
      <c r="U24" s="59"/>
      <c r="V24" s="60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4"/>
      <c r="B25" s="46"/>
      <c r="C25" s="46"/>
      <c r="D25" s="47"/>
      <c r="E25" s="47"/>
      <c r="F25" s="48"/>
      <c r="G25" s="48"/>
      <c r="H25" s="49"/>
      <c r="I25" s="48"/>
      <c r="J25" s="48"/>
      <c r="K25" s="51"/>
      <c r="L25" s="61"/>
      <c r="M25" s="62"/>
      <c r="N25" s="52"/>
      <c r="O25" s="63"/>
      <c r="P25" s="54"/>
      <c r="Q25" s="55"/>
      <c r="R25" s="56"/>
      <c r="S25" s="57"/>
      <c r="T25" s="58"/>
      <c r="U25" s="59"/>
      <c r="V25" s="60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4"/>
      <c r="B26" s="46"/>
      <c r="C26" s="46"/>
      <c r="D26" s="47"/>
      <c r="E26" s="47"/>
      <c r="F26" s="48"/>
      <c r="G26" s="48"/>
      <c r="H26" s="49"/>
      <c r="I26" s="48"/>
      <c r="J26" s="48"/>
      <c r="K26" s="51"/>
      <c r="L26" s="61"/>
      <c r="M26" s="62"/>
      <c r="N26" s="52"/>
      <c r="O26" s="63"/>
      <c r="P26" s="54"/>
      <c r="Q26" s="55"/>
      <c r="R26" s="56"/>
      <c r="S26" s="57"/>
      <c r="T26" s="58"/>
      <c r="U26" s="59"/>
      <c r="V26" s="60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4"/>
      <c r="B27" s="46"/>
      <c r="C27" s="46"/>
      <c r="D27" s="47"/>
      <c r="E27" s="47"/>
      <c r="F27" s="60"/>
      <c r="G27" s="60"/>
      <c r="H27" s="64"/>
      <c r="I27" s="60"/>
      <c r="J27" s="60"/>
      <c r="K27" s="65"/>
      <c r="L27" s="60"/>
      <c r="M27" s="66"/>
      <c r="N27" s="67"/>
      <c r="O27" s="56"/>
      <c r="P27" s="54"/>
      <c r="Q27" s="55"/>
      <c r="R27" s="56"/>
      <c r="S27" s="57"/>
      <c r="T27" s="58"/>
      <c r="U27" s="59"/>
      <c r="V27" s="60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4"/>
      <c r="B28" s="46"/>
      <c r="C28" s="46"/>
      <c r="D28" s="47"/>
      <c r="E28" s="47"/>
      <c r="F28" s="60"/>
      <c r="G28" s="60"/>
      <c r="H28" s="64"/>
      <c r="I28" s="60"/>
      <c r="J28" s="60"/>
      <c r="K28" s="65"/>
      <c r="L28" s="60"/>
      <c r="M28" s="66"/>
      <c r="N28" s="67"/>
      <c r="O28" s="56"/>
      <c r="P28" s="54"/>
      <c r="Q28" s="55"/>
      <c r="R28" s="56"/>
      <c r="S28" s="57"/>
      <c r="T28" s="58"/>
      <c r="U28" s="59"/>
      <c r="V28" s="60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4"/>
      <c r="B29" s="46"/>
      <c r="C29" s="46"/>
      <c r="D29" s="47"/>
      <c r="E29" s="47"/>
      <c r="F29" s="60"/>
      <c r="G29" s="60"/>
      <c r="H29" s="64"/>
      <c r="I29" s="60"/>
      <c r="J29" s="60"/>
      <c r="K29" s="65"/>
      <c r="L29" s="60"/>
      <c r="M29" s="66"/>
      <c r="N29" s="67"/>
      <c r="O29" s="56"/>
      <c r="P29" s="54"/>
      <c r="Q29" s="55"/>
      <c r="R29" s="56"/>
      <c r="S29" s="57"/>
      <c r="T29" s="58"/>
      <c r="U29" s="59"/>
      <c r="V29" s="6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4"/>
      <c r="B30" s="46"/>
      <c r="C30" s="46"/>
      <c r="D30" s="47"/>
      <c r="E30" s="47"/>
      <c r="F30" s="60"/>
      <c r="G30" s="60"/>
      <c r="H30" s="64"/>
      <c r="I30" s="60"/>
      <c r="J30" s="60"/>
      <c r="K30" s="65"/>
      <c r="L30" s="60"/>
      <c r="M30" s="66"/>
      <c r="N30" s="67"/>
      <c r="O30" s="56"/>
      <c r="P30" s="54"/>
      <c r="Q30" s="55"/>
      <c r="R30" s="56"/>
      <c r="S30" s="57"/>
      <c r="T30" s="58"/>
      <c r="U30" s="59"/>
      <c r="V30" s="6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4"/>
      <c r="B31" s="46"/>
      <c r="C31" s="46"/>
      <c r="D31" s="47"/>
      <c r="E31" s="47"/>
      <c r="F31" s="60"/>
      <c r="G31" s="60"/>
      <c r="H31" s="64"/>
      <c r="I31" s="60"/>
      <c r="J31" s="60"/>
      <c r="K31" s="65"/>
      <c r="L31" s="60"/>
      <c r="M31" s="66"/>
      <c r="N31" s="67"/>
      <c r="O31" s="56"/>
      <c r="P31" s="54"/>
      <c r="Q31" s="55"/>
      <c r="R31" s="56"/>
      <c r="S31" s="57"/>
      <c r="T31" s="58"/>
      <c r="U31" s="59"/>
      <c r="V31" s="60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4"/>
      <c r="B32" s="46"/>
      <c r="C32" s="46"/>
      <c r="D32" s="47"/>
      <c r="E32" s="47"/>
      <c r="F32" s="60"/>
      <c r="G32" s="60"/>
      <c r="H32" s="64"/>
      <c r="I32" s="60"/>
      <c r="J32" s="60"/>
      <c r="K32" s="65"/>
      <c r="L32" s="60"/>
      <c r="M32" s="66"/>
      <c r="N32" s="67"/>
      <c r="O32" s="56"/>
      <c r="P32" s="54"/>
      <c r="Q32" s="55"/>
      <c r="R32" s="56"/>
      <c r="S32" s="57"/>
      <c r="T32" s="58"/>
      <c r="U32" s="59"/>
      <c r="V32" s="60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60"/>
      <c r="G33" s="60"/>
      <c r="H33" s="64"/>
      <c r="I33" s="60"/>
      <c r="J33" s="60"/>
      <c r="K33" s="65"/>
      <c r="L33" s="60"/>
      <c r="M33" s="66"/>
      <c r="N33" s="67"/>
      <c r="O33" s="56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60"/>
      <c r="G34" s="60"/>
      <c r="H34" s="64"/>
      <c r="I34" s="60"/>
      <c r="J34" s="60"/>
      <c r="K34" s="65"/>
      <c r="L34" s="60"/>
      <c r="M34" s="66"/>
      <c r="N34" s="67"/>
      <c r="O34" s="56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60"/>
      <c r="G35" s="60"/>
      <c r="H35" s="64"/>
      <c r="I35" s="60"/>
      <c r="J35" s="60"/>
      <c r="K35" s="65"/>
      <c r="L35" s="60"/>
      <c r="M35" s="66"/>
      <c r="N35" s="67"/>
      <c r="O35" s="56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60"/>
      <c r="G36" s="60"/>
      <c r="H36" s="64"/>
      <c r="I36" s="60"/>
      <c r="J36" s="60"/>
      <c r="K36" s="65"/>
      <c r="L36" s="60"/>
      <c r="M36" s="66"/>
      <c r="N36" s="67"/>
      <c r="O36" s="56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46"/>
      <c r="C37" s="46"/>
      <c r="D37" s="47"/>
      <c r="E37" s="47"/>
      <c r="F37" s="60"/>
      <c r="G37" s="60"/>
      <c r="H37" s="64"/>
      <c r="I37" s="60"/>
      <c r="J37" s="60"/>
      <c r="K37" s="65"/>
      <c r="L37" s="60"/>
      <c r="M37" s="66"/>
      <c r="N37" s="67"/>
      <c r="O37" s="56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46"/>
      <c r="C38" s="46"/>
      <c r="D38" s="47"/>
      <c r="E38" s="47"/>
      <c r="F38" s="60"/>
      <c r="G38" s="60"/>
      <c r="H38" s="64"/>
      <c r="I38" s="60"/>
      <c r="J38" s="60"/>
      <c r="K38" s="65"/>
      <c r="L38" s="60"/>
      <c r="M38" s="66"/>
      <c r="N38" s="67"/>
      <c r="O38" s="56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46"/>
      <c r="C39" s="46"/>
      <c r="D39" s="47"/>
      <c r="E39" s="47"/>
      <c r="F39" s="60"/>
      <c r="G39" s="60"/>
      <c r="H39" s="64"/>
      <c r="I39" s="60"/>
      <c r="J39" s="60"/>
      <c r="K39" s="65"/>
      <c r="L39" s="60"/>
      <c r="M39" s="66"/>
      <c r="N39" s="67"/>
      <c r="O39" s="56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68"/>
      <c r="C40" s="46"/>
      <c r="D40" s="47"/>
      <c r="E40" s="47"/>
      <c r="F40" s="60"/>
      <c r="G40" s="60"/>
      <c r="H40" s="64"/>
      <c r="I40" s="60"/>
      <c r="J40" s="60"/>
      <c r="K40" s="65"/>
      <c r="L40" s="60"/>
      <c r="M40" s="66"/>
      <c r="N40" s="67"/>
      <c r="O40" s="56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68"/>
      <c r="C41" s="46"/>
      <c r="D41" s="47"/>
      <c r="E41" s="47"/>
      <c r="F41" s="60"/>
      <c r="G41" s="60"/>
      <c r="H41" s="64"/>
      <c r="I41" s="60"/>
      <c r="J41" s="60"/>
      <c r="K41" s="65"/>
      <c r="L41" s="60"/>
      <c r="M41" s="66"/>
      <c r="N41" s="67"/>
      <c r="O41" s="56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4"/>
      <c r="B42" s="68"/>
      <c r="C42" s="46"/>
      <c r="D42" s="47"/>
      <c r="E42" s="47"/>
      <c r="F42" s="60"/>
      <c r="G42" s="60"/>
      <c r="H42" s="64"/>
      <c r="I42" s="60"/>
      <c r="J42" s="60"/>
      <c r="K42" s="65"/>
      <c r="L42" s="60"/>
      <c r="M42" s="66"/>
      <c r="N42" s="67"/>
      <c r="O42" s="56"/>
      <c r="P42" s="54"/>
      <c r="Q42" s="55"/>
      <c r="R42" s="56"/>
      <c r="S42" s="57"/>
      <c r="T42" s="58"/>
      <c r="U42" s="59"/>
      <c r="V42" s="60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4"/>
      <c r="B43" s="68"/>
      <c r="C43" s="46"/>
      <c r="D43" s="47"/>
      <c r="E43" s="47"/>
      <c r="F43" s="60"/>
      <c r="G43" s="60"/>
      <c r="H43" s="64"/>
      <c r="I43" s="60"/>
      <c r="J43" s="60"/>
      <c r="K43" s="65"/>
      <c r="L43" s="60"/>
      <c r="M43" s="66"/>
      <c r="N43" s="67"/>
      <c r="O43" s="56"/>
      <c r="P43" s="54"/>
      <c r="Q43" s="55"/>
      <c r="R43" s="56"/>
      <c r="S43" s="57"/>
      <c r="T43" s="58"/>
      <c r="U43" s="59"/>
      <c r="V43" s="60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4"/>
      <c r="B44" s="68"/>
      <c r="C44" s="46"/>
      <c r="D44" s="47"/>
      <c r="E44" s="47"/>
      <c r="F44" s="60"/>
      <c r="G44" s="60"/>
      <c r="H44" s="64"/>
      <c r="I44" s="60"/>
      <c r="J44" s="60"/>
      <c r="K44" s="65"/>
      <c r="L44" s="60"/>
      <c r="M44" s="66"/>
      <c r="N44" s="67"/>
      <c r="O44" s="56"/>
      <c r="P44" s="54"/>
      <c r="Q44" s="55"/>
      <c r="R44" s="56"/>
      <c r="S44" s="57"/>
      <c r="T44" s="58"/>
      <c r="U44" s="59"/>
      <c r="V44" s="60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69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7" max="17" width="13.8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40.5" customHeight="1">
      <c r="A5" s="26">
        <v>1.0</v>
      </c>
      <c r="B5" s="27">
        <v>45448.0</v>
      </c>
      <c r="C5" s="28">
        <v>21818.0</v>
      </c>
      <c r="D5" s="29" t="s">
        <v>61</v>
      </c>
      <c r="E5" s="30" t="s">
        <v>28</v>
      </c>
      <c r="F5" s="31"/>
      <c r="G5" s="32"/>
      <c r="H5" s="33">
        <v>0.0</v>
      </c>
      <c r="I5" s="34"/>
      <c r="J5" s="31"/>
      <c r="K5" s="35"/>
      <c r="L5" s="35"/>
      <c r="M5" s="33"/>
      <c r="N5" s="33"/>
      <c r="O5" s="36"/>
      <c r="P5" s="37">
        <f>Q5+S5</f>
        <v>43530</v>
      </c>
      <c r="Q5" s="38">
        <v>8000.0</v>
      </c>
      <c r="R5" s="39"/>
      <c r="S5" s="40">
        <v>35530.0</v>
      </c>
      <c r="T5" s="41" t="s">
        <v>61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40.5" customHeight="1">
      <c r="A6" s="26">
        <v>2.0</v>
      </c>
      <c r="B6" s="27">
        <v>45448.0</v>
      </c>
      <c r="C6" s="28">
        <v>40649.0</v>
      </c>
      <c r="D6" s="29" t="s">
        <v>62</v>
      </c>
      <c r="E6" s="30" t="s">
        <v>63</v>
      </c>
      <c r="F6" s="31"/>
      <c r="G6" s="32"/>
      <c r="H6" s="33"/>
      <c r="I6" s="34"/>
      <c r="J6" s="31"/>
      <c r="K6" s="33">
        <v>100.0</v>
      </c>
      <c r="L6" s="35"/>
      <c r="M6" s="33"/>
      <c r="N6" s="33"/>
      <c r="O6" s="36"/>
      <c r="P6" s="37">
        <f>Q6+Q6</f>
        <v>0</v>
      </c>
      <c r="Q6" s="38">
        <v>0.0</v>
      </c>
      <c r="R6" s="39"/>
      <c r="S6" s="40">
        <v>100.0</v>
      </c>
      <c r="T6" s="41" t="s">
        <v>62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40.5" customHeight="1">
      <c r="A7" s="26">
        <v>3.0</v>
      </c>
      <c r="B7" s="27">
        <v>45448.0</v>
      </c>
      <c r="C7" s="28">
        <v>42339.0</v>
      </c>
      <c r="D7" s="29" t="s">
        <v>64</v>
      </c>
      <c r="E7" s="30" t="s">
        <v>65</v>
      </c>
      <c r="F7" s="31"/>
      <c r="G7" s="32"/>
      <c r="H7" s="33">
        <v>0.0</v>
      </c>
      <c r="I7" s="34"/>
      <c r="J7" s="31"/>
      <c r="K7" s="35"/>
      <c r="L7" s="35"/>
      <c r="M7" s="33"/>
      <c r="N7" s="33"/>
      <c r="O7" s="36"/>
      <c r="P7" s="37">
        <f>Q7+S7</f>
        <v>300.5</v>
      </c>
      <c r="Q7" s="38">
        <v>280.0</v>
      </c>
      <c r="R7" s="39"/>
      <c r="S7" s="40">
        <v>20.5</v>
      </c>
      <c r="T7" s="41" t="s">
        <v>64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0.5" customHeight="1">
      <c r="A8" s="26">
        <v>4.0</v>
      </c>
      <c r="B8" s="27">
        <v>45448.0</v>
      </c>
      <c r="C8" s="28">
        <v>46927.0</v>
      </c>
      <c r="D8" s="29" t="s">
        <v>66</v>
      </c>
      <c r="E8" s="30" t="s">
        <v>67</v>
      </c>
      <c r="F8" s="31"/>
      <c r="G8" s="32"/>
      <c r="H8" s="33"/>
      <c r="I8" s="34"/>
      <c r="J8" s="31"/>
      <c r="K8" s="35"/>
      <c r="L8" s="35"/>
      <c r="M8" s="33"/>
      <c r="N8" s="33">
        <v>100.0</v>
      </c>
      <c r="O8" s="36"/>
      <c r="P8" s="37">
        <f>N8-S8</f>
        <v>0</v>
      </c>
      <c r="Q8" s="38">
        <v>0.0</v>
      </c>
      <c r="R8" s="39"/>
      <c r="S8" s="40">
        <v>100.0</v>
      </c>
      <c r="T8" s="41" t="s">
        <v>66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40.5" customHeight="1">
      <c r="A9" s="26">
        <v>5.0</v>
      </c>
      <c r="B9" s="27">
        <v>45448.0</v>
      </c>
      <c r="C9" s="28">
        <v>52585.0</v>
      </c>
      <c r="D9" s="29" t="s">
        <v>68</v>
      </c>
      <c r="E9" s="30" t="s">
        <v>69</v>
      </c>
      <c r="F9" s="31"/>
      <c r="G9" s="32"/>
      <c r="H9" s="33">
        <v>0.0</v>
      </c>
      <c r="I9" s="34"/>
      <c r="J9" s="31"/>
      <c r="K9" s="35"/>
      <c r="L9" s="35"/>
      <c r="M9" s="33"/>
      <c r="N9" s="33"/>
      <c r="O9" s="36"/>
      <c r="P9" s="37">
        <f>Q9</f>
        <v>6223</v>
      </c>
      <c r="Q9" s="38">
        <v>6223.0</v>
      </c>
      <c r="R9" s="39"/>
      <c r="S9" s="40">
        <v>0.0</v>
      </c>
      <c r="T9" s="41" t="s">
        <v>68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40.5" customHeight="1">
      <c r="A10" s="26">
        <v>6.0</v>
      </c>
      <c r="B10" s="27">
        <v>45448.0</v>
      </c>
      <c r="C10" s="28">
        <v>58818.0</v>
      </c>
      <c r="D10" s="29" t="s">
        <v>70</v>
      </c>
      <c r="E10" s="30" t="s">
        <v>71</v>
      </c>
      <c r="F10" s="31"/>
      <c r="G10" s="32"/>
      <c r="H10" s="33"/>
      <c r="I10" s="34"/>
      <c r="J10" s="31"/>
      <c r="K10" s="33">
        <v>5731.0</v>
      </c>
      <c r="L10" s="35"/>
      <c r="M10" s="33"/>
      <c r="N10" s="33"/>
      <c r="O10" s="36"/>
      <c r="P10" s="37">
        <f>S10-K10</f>
        <v>1269.45</v>
      </c>
      <c r="Q10" s="38">
        <v>0.0</v>
      </c>
      <c r="R10" s="39"/>
      <c r="S10" s="40">
        <v>7000.45</v>
      </c>
      <c r="T10" s="41" t="s">
        <v>70</v>
      </c>
      <c r="U10" s="42" t="s">
        <v>29</v>
      </c>
      <c r="V10" s="4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40.5" customHeight="1">
      <c r="A11" s="26">
        <v>7.0</v>
      </c>
      <c r="B11" s="27">
        <v>45448.0</v>
      </c>
      <c r="C11" s="28">
        <v>58818.0</v>
      </c>
      <c r="D11" s="29" t="s">
        <v>72</v>
      </c>
      <c r="E11" s="30" t="s">
        <v>71</v>
      </c>
      <c r="F11" s="31"/>
      <c r="G11" s="32"/>
      <c r="H11" s="33">
        <v>0.0</v>
      </c>
      <c r="I11" s="34"/>
      <c r="J11" s="31"/>
      <c r="K11" s="35"/>
      <c r="L11" s="35"/>
      <c r="M11" s="33"/>
      <c r="N11" s="33"/>
      <c r="O11" s="36"/>
      <c r="P11" s="37">
        <f t="shared" ref="P11:P13" si="1">Q11+S11</f>
        <v>7000.45</v>
      </c>
      <c r="Q11" s="38">
        <v>7000.0</v>
      </c>
      <c r="R11" s="39"/>
      <c r="S11" s="40">
        <v>0.45</v>
      </c>
      <c r="T11" s="41" t="s">
        <v>72</v>
      </c>
      <c r="U11" s="42" t="s">
        <v>29</v>
      </c>
      <c r="V11" s="4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40.5" customHeight="1">
      <c r="A12" s="26">
        <v>8.0</v>
      </c>
      <c r="B12" s="27">
        <v>45448.0</v>
      </c>
      <c r="C12" s="28">
        <v>59103.0</v>
      </c>
      <c r="D12" s="29" t="s">
        <v>73</v>
      </c>
      <c r="E12" s="30" t="s">
        <v>74</v>
      </c>
      <c r="F12" s="31"/>
      <c r="G12" s="32"/>
      <c r="H12" s="33">
        <v>0.0</v>
      </c>
      <c r="I12" s="34"/>
      <c r="J12" s="31"/>
      <c r="K12" s="35"/>
      <c r="L12" s="35"/>
      <c r="M12" s="33"/>
      <c r="N12" s="33"/>
      <c r="O12" s="36"/>
      <c r="P12" s="37">
        <f t="shared" si="1"/>
        <v>18516</v>
      </c>
      <c r="Q12" s="38">
        <v>200.0</v>
      </c>
      <c r="R12" s="39"/>
      <c r="S12" s="40">
        <v>18316.0</v>
      </c>
      <c r="T12" s="41" t="s">
        <v>73</v>
      </c>
      <c r="U12" s="42" t="s">
        <v>29</v>
      </c>
      <c r="V12" s="43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40.5" customHeight="1">
      <c r="A13" s="26">
        <v>9.0</v>
      </c>
      <c r="B13" s="27">
        <v>45448.0</v>
      </c>
      <c r="C13" s="28">
        <v>75354.0</v>
      </c>
      <c r="D13" s="29" t="s">
        <v>75</v>
      </c>
      <c r="E13" s="30" t="s">
        <v>76</v>
      </c>
      <c r="F13" s="31"/>
      <c r="G13" s="32"/>
      <c r="H13" s="33">
        <v>0.0</v>
      </c>
      <c r="I13" s="34"/>
      <c r="J13" s="31"/>
      <c r="K13" s="35"/>
      <c r="L13" s="35"/>
      <c r="M13" s="33"/>
      <c r="N13" s="33"/>
      <c r="O13" s="36"/>
      <c r="P13" s="37">
        <f t="shared" si="1"/>
        <v>5913</v>
      </c>
      <c r="Q13" s="38">
        <v>5890.0</v>
      </c>
      <c r="R13" s="39"/>
      <c r="S13" s="40">
        <v>23.0</v>
      </c>
      <c r="T13" s="41" t="s">
        <v>75</v>
      </c>
      <c r="U13" s="42" t="s">
        <v>29</v>
      </c>
      <c r="V13" s="43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40.5" customHeight="1">
      <c r="A14" s="26">
        <v>10.0</v>
      </c>
      <c r="B14" s="27">
        <v>45448.0</v>
      </c>
      <c r="C14" s="28">
        <v>80051.0</v>
      </c>
      <c r="D14" s="29" t="s">
        <v>77</v>
      </c>
      <c r="E14" s="30" t="s">
        <v>78</v>
      </c>
      <c r="F14" s="31"/>
      <c r="G14" s="32"/>
      <c r="H14" s="33"/>
      <c r="I14" s="34"/>
      <c r="J14" s="31"/>
      <c r="K14" s="33">
        <v>300.0</v>
      </c>
      <c r="L14" s="35"/>
      <c r="M14" s="33"/>
      <c r="N14" s="33"/>
      <c r="O14" s="36"/>
      <c r="P14" s="37">
        <f>S14-K14</f>
        <v>108.7</v>
      </c>
      <c r="Q14" s="38">
        <v>0.0</v>
      </c>
      <c r="R14" s="39"/>
      <c r="S14" s="40">
        <v>408.7</v>
      </c>
      <c r="T14" s="41" t="s">
        <v>77</v>
      </c>
      <c r="U14" s="42" t="s">
        <v>29</v>
      </c>
      <c r="V14" s="43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40.5" customHeight="1">
      <c r="A15" s="26">
        <v>11.0</v>
      </c>
      <c r="B15" s="27">
        <v>45448.0</v>
      </c>
      <c r="C15" s="28">
        <v>80051.0</v>
      </c>
      <c r="D15" s="29" t="s">
        <v>79</v>
      </c>
      <c r="E15" s="30" t="s">
        <v>78</v>
      </c>
      <c r="F15" s="31"/>
      <c r="G15" s="32"/>
      <c r="H15" s="33">
        <v>0.0</v>
      </c>
      <c r="I15" s="34"/>
      <c r="J15" s="31"/>
      <c r="K15" s="35"/>
      <c r="L15" s="35"/>
      <c r="M15" s="33"/>
      <c r="N15" s="33"/>
      <c r="O15" s="36"/>
      <c r="P15" s="37">
        <f>Q15+S15</f>
        <v>408.7</v>
      </c>
      <c r="Q15" s="38">
        <v>300.0</v>
      </c>
      <c r="R15" s="39"/>
      <c r="S15" s="40">
        <v>108.7</v>
      </c>
      <c r="T15" s="41" t="s">
        <v>79</v>
      </c>
      <c r="U15" s="42" t="s">
        <v>29</v>
      </c>
      <c r="V15" s="43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4"/>
      <c r="B16" s="45"/>
      <c r="C16" s="46"/>
      <c r="D16" s="47"/>
      <c r="E16" s="47"/>
      <c r="F16" s="48"/>
      <c r="G16" s="48"/>
      <c r="H16" s="49"/>
      <c r="I16" s="50"/>
      <c r="J16" s="48"/>
      <c r="K16" s="51"/>
      <c r="L16" s="49"/>
      <c r="M16" s="49"/>
      <c r="N16" s="52"/>
      <c r="O16" s="53"/>
      <c r="P16" s="54"/>
      <c r="Q16" s="55"/>
      <c r="R16" s="56"/>
      <c r="S16" s="57"/>
      <c r="T16" s="58"/>
      <c r="U16" s="59"/>
      <c r="V16" s="60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4"/>
      <c r="B17" s="45"/>
      <c r="C17" s="46"/>
      <c r="D17" s="47"/>
      <c r="E17" s="47"/>
      <c r="F17" s="48"/>
      <c r="G17" s="48"/>
      <c r="H17" s="49"/>
      <c r="I17" s="50"/>
      <c r="J17" s="48"/>
      <c r="K17" s="51"/>
      <c r="L17" s="49"/>
      <c r="M17" s="49"/>
      <c r="N17" s="52"/>
      <c r="O17" s="53"/>
      <c r="P17" s="54"/>
      <c r="Q17" s="55"/>
      <c r="R17" s="56"/>
      <c r="S17" s="57"/>
      <c r="T17" s="58"/>
      <c r="U17" s="59"/>
      <c r="V17" s="60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4"/>
      <c r="B18" s="46"/>
      <c r="C18" s="46"/>
      <c r="D18" s="47"/>
      <c r="E18" s="47"/>
      <c r="F18" s="48"/>
      <c r="G18" s="48"/>
      <c r="H18" s="49"/>
      <c r="I18" s="48"/>
      <c r="J18" s="48"/>
      <c r="K18" s="51"/>
      <c r="L18" s="61"/>
      <c r="M18" s="62"/>
      <c r="N18" s="52"/>
      <c r="O18" s="63"/>
      <c r="P18" s="54"/>
      <c r="Q18" s="55"/>
      <c r="R18" s="56"/>
      <c r="S18" s="57"/>
      <c r="T18" s="58"/>
      <c r="U18" s="59"/>
      <c r="V18" s="60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4"/>
      <c r="B19" s="46"/>
      <c r="C19" s="46"/>
      <c r="D19" s="47"/>
      <c r="E19" s="47"/>
      <c r="F19" s="48"/>
      <c r="G19" s="48"/>
      <c r="H19" s="49"/>
      <c r="I19" s="48"/>
      <c r="J19" s="48"/>
      <c r="K19" s="51"/>
      <c r="L19" s="61"/>
      <c r="M19" s="62"/>
      <c r="N19" s="52"/>
      <c r="O19" s="63"/>
      <c r="P19" s="54"/>
      <c r="Q19" s="55"/>
      <c r="R19" s="56"/>
      <c r="S19" s="57"/>
      <c r="T19" s="58"/>
      <c r="U19" s="59"/>
      <c r="V19" s="60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4"/>
      <c r="B20" s="46"/>
      <c r="C20" s="46"/>
      <c r="D20" s="47"/>
      <c r="E20" s="47"/>
      <c r="F20" s="48"/>
      <c r="G20" s="48"/>
      <c r="H20" s="49"/>
      <c r="I20" s="48"/>
      <c r="J20" s="48"/>
      <c r="K20" s="51"/>
      <c r="L20" s="61"/>
      <c r="M20" s="62"/>
      <c r="N20" s="52"/>
      <c r="O20" s="63"/>
      <c r="P20" s="54"/>
      <c r="Q20" s="55"/>
      <c r="R20" s="56"/>
      <c r="S20" s="57"/>
      <c r="T20" s="58"/>
      <c r="U20" s="59"/>
      <c r="V20" s="60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4"/>
      <c r="B21" s="46"/>
      <c r="C21" s="46"/>
      <c r="D21" s="47"/>
      <c r="E21" s="47"/>
      <c r="F21" s="48"/>
      <c r="G21" s="48"/>
      <c r="H21" s="49"/>
      <c r="I21" s="48"/>
      <c r="J21" s="48"/>
      <c r="K21" s="51"/>
      <c r="L21" s="61"/>
      <c r="M21" s="62"/>
      <c r="N21" s="52"/>
      <c r="O21" s="63"/>
      <c r="P21" s="54"/>
      <c r="Q21" s="55"/>
      <c r="R21" s="56"/>
      <c r="S21" s="57"/>
      <c r="T21" s="58"/>
      <c r="U21" s="59"/>
      <c r="V21" s="60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4"/>
      <c r="B22" s="46"/>
      <c r="C22" s="46"/>
      <c r="D22" s="47"/>
      <c r="E22" s="47"/>
      <c r="F22" s="48"/>
      <c r="G22" s="48"/>
      <c r="H22" s="49"/>
      <c r="I22" s="48"/>
      <c r="J22" s="48"/>
      <c r="K22" s="51"/>
      <c r="L22" s="61"/>
      <c r="M22" s="62"/>
      <c r="N22" s="52"/>
      <c r="O22" s="63"/>
      <c r="P22" s="54"/>
      <c r="Q22" s="55"/>
      <c r="R22" s="56"/>
      <c r="S22" s="57"/>
      <c r="T22" s="58"/>
      <c r="U22" s="59"/>
      <c r="V22" s="60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4"/>
      <c r="B23" s="46"/>
      <c r="C23" s="46"/>
      <c r="D23" s="47"/>
      <c r="E23" s="47"/>
      <c r="F23" s="48"/>
      <c r="G23" s="48"/>
      <c r="H23" s="49"/>
      <c r="I23" s="48"/>
      <c r="J23" s="48"/>
      <c r="K23" s="51"/>
      <c r="L23" s="61"/>
      <c r="M23" s="62"/>
      <c r="N23" s="52"/>
      <c r="O23" s="63"/>
      <c r="P23" s="54"/>
      <c r="Q23" s="55"/>
      <c r="R23" s="56"/>
      <c r="S23" s="57"/>
      <c r="T23" s="58"/>
      <c r="U23" s="59"/>
      <c r="V23" s="6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4"/>
      <c r="B24" s="46"/>
      <c r="C24" s="46"/>
      <c r="D24" s="47"/>
      <c r="E24" s="47"/>
      <c r="F24" s="48"/>
      <c r="G24" s="48"/>
      <c r="H24" s="49"/>
      <c r="I24" s="48"/>
      <c r="J24" s="48"/>
      <c r="K24" s="51"/>
      <c r="L24" s="61"/>
      <c r="M24" s="62"/>
      <c r="N24" s="52"/>
      <c r="O24" s="63"/>
      <c r="P24" s="54"/>
      <c r="Q24" s="55"/>
      <c r="R24" s="56"/>
      <c r="S24" s="57"/>
      <c r="T24" s="58"/>
      <c r="U24" s="59"/>
      <c r="V24" s="60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4"/>
      <c r="B25" s="46"/>
      <c r="C25" s="46"/>
      <c r="D25" s="47"/>
      <c r="E25" s="47"/>
      <c r="F25" s="48"/>
      <c r="G25" s="48"/>
      <c r="H25" s="49"/>
      <c r="I25" s="48"/>
      <c r="J25" s="48"/>
      <c r="K25" s="51"/>
      <c r="L25" s="61"/>
      <c r="M25" s="62"/>
      <c r="N25" s="52"/>
      <c r="O25" s="63"/>
      <c r="P25" s="54"/>
      <c r="Q25" s="55"/>
      <c r="R25" s="56"/>
      <c r="S25" s="57"/>
      <c r="T25" s="58"/>
      <c r="U25" s="59"/>
      <c r="V25" s="60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4"/>
      <c r="B26" s="46"/>
      <c r="C26" s="46"/>
      <c r="D26" s="47"/>
      <c r="E26" s="47"/>
      <c r="F26" s="48"/>
      <c r="G26" s="48"/>
      <c r="H26" s="49"/>
      <c r="I26" s="48"/>
      <c r="J26" s="48"/>
      <c r="K26" s="51"/>
      <c r="L26" s="61"/>
      <c r="M26" s="62"/>
      <c r="N26" s="52"/>
      <c r="O26" s="63"/>
      <c r="P26" s="54"/>
      <c r="Q26" s="55"/>
      <c r="R26" s="56"/>
      <c r="S26" s="57"/>
      <c r="T26" s="58"/>
      <c r="U26" s="59"/>
      <c r="V26" s="60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4"/>
      <c r="B27" s="46"/>
      <c r="C27" s="46"/>
      <c r="D27" s="47"/>
      <c r="E27" s="47"/>
      <c r="F27" s="48"/>
      <c r="G27" s="48"/>
      <c r="H27" s="49"/>
      <c r="I27" s="48"/>
      <c r="J27" s="48"/>
      <c r="K27" s="51"/>
      <c r="L27" s="61"/>
      <c r="M27" s="62"/>
      <c r="N27" s="52"/>
      <c r="O27" s="63"/>
      <c r="P27" s="54"/>
      <c r="Q27" s="55"/>
      <c r="R27" s="56"/>
      <c r="S27" s="57"/>
      <c r="T27" s="58"/>
      <c r="U27" s="59"/>
      <c r="V27" s="60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4"/>
      <c r="B28" s="46"/>
      <c r="C28" s="46"/>
      <c r="D28" s="47"/>
      <c r="E28" s="47"/>
      <c r="F28" s="48"/>
      <c r="G28" s="48"/>
      <c r="H28" s="49"/>
      <c r="I28" s="48"/>
      <c r="J28" s="48"/>
      <c r="K28" s="51"/>
      <c r="L28" s="61"/>
      <c r="M28" s="62"/>
      <c r="N28" s="52"/>
      <c r="O28" s="63"/>
      <c r="P28" s="54"/>
      <c r="Q28" s="55"/>
      <c r="R28" s="56"/>
      <c r="S28" s="57"/>
      <c r="T28" s="58"/>
      <c r="U28" s="59"/>
      <c r="V28" s="60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4"/>
      <c r="B29" s="46"/>
      <c r="C29" s="46"/>
      <c r="D29" s="47"/>
      <c r="E29" s="47"/>
      <c r="F29" s="48"/>
      <c r="G29" s="48"/>
      <c r="H29" s="49"/>
      <c r="I29" s="48"/>
      <c r="J29" s="48"/>
      <c r="K29" s="51"/>
      <c r="L29" s="61"/>
      <c r="M29" s="62"/>
      <c r="N29" s="52"/>
      <c r="O29" s="63"/>
      <c r="P29" s="54"/>
      <c r="Q29" s="55"/>
      <c r="R29" s="56"/>
      <c r="S29" s="57"/>
      <c r="T29" s="58"/>
      <c r="U29" s="59"/>
      <c r="V29" s="6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4"/>
      <c r="B30" s="46"/>
      <c r="C30" s="46"/>
      <c r="D30" s="47"/>
      <c r="E30" s="47"/>
      <c r="F30" s="48"/>
      <c r="G30" s="48"/>
      <c r="H30" s="49"/>
      <c r="I30" s="48"/>
      <c r="J30" s="48"/>
      <c r="K30" s="51"/>
      <c r="L30" s="61"/>
      <c r="M30" s="62"/>
      <c r="N30" s="52"/>
      <c r="O30" s="63"/>
      <c r="P30" s="54"/>
      <c r="Q30" s="55"/>
      <c r="R30" s="56"/>
      <c r="S30" s="57"/>
      <c r="T30" s="58"/>
      <c r="U30" s="59"/>
      <c r="V30" s="6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4"/>
      <c r="B31" s="46"/>
      <c r="C31" s="46"/>
      <c r="D31" s="47"/>
      <c r="E31" s="47"/>
      <c r="F31" s="60"/>
      <c r="G31" s="60"/>
      <c r="H31" s="64"/>
      <c r="I31" s="60"/>
      <c r="J31" s="60"/>
      <c r="K31" s="65"/>
      <c r="L31" s="60"/>
      <c r="M31" s="66"/>
      <c r="N31" s="67"/>
      <c r="O31" s="56"/>
      <c r="P31" s="54"/>
      <c r="Q31" s="55"/>
      <c r="R31" s="56"/>
      <c r="S31" s="57"/>
      <c r="T31" s="58"/>
      <c r="U31" s="59"/>
      <c r="V31" s="60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4"/>
      <c r="B32" s="46"/>
      <c r="C32" s="46"/>
      <c r="D32" s="47"/>
      <c r="E32" s="47"/>
      <c r="F32" s="60"/>
      <c r="G32" s="60"/>
      <c r="H32" s="64"/>
      <c r="I32" s="60"/>
      <c r="J32" s="60"/>
      <c r="K32" s="65"/>
      <c r="L32" s="60"/>
      <c r="M32" s="66"/>
      <c r="N32" s="67"/>
      <c r="O32" s="56"/>
      <c r="P32" s="54"/>
      <c r="Q32" s="55"/>
      <c r="R32" s="56"/>
      <c r="S32" s="57"/>
      <c r="T32" s="58"/>
      <c r="U32" s="59"/>
      <c r="V32" s="60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60"/>
      <c r="G33" s="60"/>
      <c r="H33" s="64"/>
      <c r="I33" s="60"/>
      <c r="J33" s="60"/>
      <c r="K33" s="65"/>
      <c r="L33" s="60"/>
      <c r="M33" s="66"/>
      <c r="N33" s="67"/>
      <c r="O33" s="56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60"/>
      <c r="G34" s="60"/>
      <c r="H34" s="64"/>
      <c r="I34" s="60"/>
      <c r="J34" s="60"/>
      <c r="K34" s="65"/>
      <c r="L34" s="60"/>
      <c r="M34" s="66"/>
      <c r="N34" s="67"/>
      <c r="O34" s="56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60"/>
      <c r="G35" s="60"/>
      <c r="H35" s="64"/>
      <c r="I35" s="60"/>
      <c r="J35" s="60"/>
      <c r="K35" s="65"/>
      <c r="L35" s="60"/>
      <c r="M35" s="66"/>
      <c r="N35" s="67"/>
      <c r="O35" s="56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60"/>
      <c r="G36" s="60"/>
      <c r="H36" s="64"/>
      <c r="I36" s="60"/>
      <c r="J36" s="60"/>
      <c r="K36" s="65"/>
      <c r="L36" s="60"/>
      <c r="M36" s="66"/>
      <c r="N36" s="67"/>
      <c r="O36" s="56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46"/>
      <c r="C37" s="46"/>
      <c r="D37" s="47"/>
      <c r="E37" s="47"/>
      <c r="F37" s="60"/>
      <c r="G37" s="60"/>
      <c r="H37" s="64"/>
      <c r="I37" s="60"/>
      <c r="J37" s="60"/>
      <c r="K37" s="65"/>
      <c r="L37" s="60"/>
      <c r="M37" s="66"/>
      <c r="N37" s="67"/>
      <c r="O37" s="56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46"/>
      <c r="C38" s="46"/>
      <c r="D38" s="47"/>
      <c r="E38" s="47"/>
      <c r="F38" s="60"/>
      <c r="G38" s="60"/>
      <c r="H38" s="64"/>
      <c r="I38" s="60"/>
      <c r="J38" s="60"/>
      <c r="K38" s="65"/>
      <c r="L38" s="60"/>
      <c r="M38" s="66"/>
      <c r="N38" s="67"/>
      <c r="O38" s="56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46"/>
      <c r="C39" s="46"/>
      <c r="D39" s="47"/>
      <c r="E39" s="47"/>
      <c r="F39" s="60"/>
      <c r="G39" s="60"/>
      <c r="H39" s="64"/>
      <c r="I39" s="60"/>
      <c r="J39" s="60"/>
      <c r="K39" s="65"/>
      <c r="L39" s="60"/>
      <c r="M39" s="66"/>
      <c r="N39" s="67"/>
      <c r="O39" s="56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46"/>
      <c r="C40" s="46"/>
      <c r="D40" s="47"/>
      <c r="E40" s="47"/>
      <c r="F40" s="60"/>
      <c r="G40" s="60"/>
      <c r="H40" s="64"/>
      <c r="I40" s="60"/>
      <c r="J40" s="60"/>
      <c r="K40" s="65"/>
      <c r="L40" s="60"/>
      <c r="M40" s="66"/>
      <c r="N40" s="67"/>
      <c r="O40" s="56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46"/>
      <c r="C41" s="46"/>
      <c r="D41" s="47"/>
      <c r="E41" s="47"/>
      <c r="F41" s="60"/>
      <c r="G41" s="60"/>
      <c r="H41" s="64"/>
      <c r="I41" s="60"/>
      <c r="J41" s="60"/>
      <c r="K41" s="65"/>
      <c r="L41" s="60"/>
      <c r="M41" s="66"/>
      <c r="N41" s="67"/>
      <c r="O41" s="56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4"/>
      <c r="B42" s="46"/>
      <c r="C42" s="46"/>
      <c r="D42" s="47"/>
      <c r="E42" s="47"/>
      <c r="F42" s="60"/>
      <c r="G42" s="60"/>
      <c r="H42" s="64"/>
      <c r="I42" s="60"/>
      <c r="J42" s="60"/>
      <c r="K42" s="65"/>
      <c r="L42" s="60"/>
      <c r="M42" s="66"/>
      <c r="N42" s="67"/>
      <c r="O42" s="56"/>
      <c r="P42" s="54"/>
      <c r="Q42" s="55"/>
      <c r="R42" s="56"/>
      <c r="S42" s="57"/>
      <c r="T42" s="58"/>
      <c r="U42" s="59"/>
      <c r="V42" s="60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4"/>
      <c r="B43" s="46"/>
      <c r="C43" s="46"/>
      <c r="D43" s="47"/>
      <c r="E43" s="47"/>
      <c r="F43" s="60"/>
      <c r="G43" s="60"/>
      <c r="H43" s="64"/>
      <c r="I43" s="60"/>
      <c r="J43" s="60"/>
      <c r="K43" s="65"/>
      <c r="L43" s="60"/>
      <c r="M43" s="66"/>
      <c r="N43" s="67"/>
      <c r="O43" s="56"/>
      <c r="P43" s="54"/>
      <c r="Q43" s="55"/>
      <c r="R43" s="56"/>
      <c r="S43" s="57"/>
      <c r="T43" s="58"/>
      <c r="U43" s="59"/>
      <c r="V43" s="60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4"/>
      <c r="B44" s="68"/>
      <c r="C44" s="46"/>
      <c r="D44" s="47"/>
      <c r="E44" s="47"/>
      <c r="F44" s="60"/>
      <c r="G44" s="60"/>
      <c r="H44" s="64"/>
      <c r="I44" s="60"/>
      <c r="J44" s="60"/>
      <c r="K44" s="65"/>
      <c r="L44" s="60"/>
      <c r="M44" s="66"/>
      <c r="N44" s="67"/>
      <c r="O44" s="56"/>
      <c r="P44" s="54"/>
      <c r="Q44" s="55"/>
      <c r="R44" s="56"/>
      <c r="S44" s="57"/>
      <c r="T44" s="58"/>
      <c r="U44" s="59"/>
      <c r="V44" s="60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4"/>
      <c r="B45" s="68"/>
      <c r="C45" s="46"/>
      <c r="D45" s="47"/>
      <c r="E45" s="47"/>
      <c r="F45" s="60"/>
      <c r="G45" s="60"/>
      <c r="H45" s="64"/>
      <c r="I45" s="60"/>
      <c r="J45" s="60"/>
      <c r="K45" s="65"/>
      <c r="L45" s="60"/>
      <c r="M45" s="66"/>
      <c r="N45" s="67"/>
      <c r="O45" s="56"/>
      <c r="P45" s="54"/>
      <c r="Q45" s="55"/>
      <c r="R45" s="56"/>
      <c r="S45" s="57"/>
      <c r="T45" s="58"/>
      <c r="U45" s="59"/>
      <c r="V45" s="60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4"/>
      <c r="B46" s="68"/>
      <c r="C46" s="46"/>
      <c r="D46" s="47"/>
      <c r="E46" s="47"/>
      <c r="F46" s="60"/>
      <c r="G46" s="60"/>
      <c r="H46" s="64"/>
      <c r="I46" s="60"/>
      <c r="J46" s="60"/>
      <c r="K46" s="65"/>
      <c r="L46" s="60"/>
      <c r="M46" s="66"/>
      <c r="N46" s="67"/>
      <c r="O46" s="56"/>
      <c r="P46" s="54"/>
      <c r="Q46" s="55"/>
      <c r="R46" s="56"/>
      <c r="S46" s="57"/>
      <c r="T46" s="58"/>
      <c r="U46" s="59"/>
      <c r="V46" s="60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4"/>
      <c r="B47" s="68"/>
      <c r="C47" s="46"/>
      <c r="D47" s="47"/>
      <c r="E47" s="47"/>
      <c r="F47" s="60"/>
      <c r="G47" s="60"/>
      <c r="H47" s="64"/>
      <c r="I47" s="60"/>
      <c r="J47" s="60"/>
      <c r="K47" s="65"/>
      <c r="L47" s="60"/>
      <c r="M47" s="66"/>
      <c r="N47" s="67"/>
      <c r="O47" s="56"/>
      <c r="P47" s="54"/>
      <c r="Q47" s="55"/>
      <c r="R47" s="56"/>
      <c r="S47" s="57"/>
      <c r="T47" s="58"/>
      <c r="U47" s="59"/>
      <c r="V47" s="60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4"/>
      <c r="B48" s="68"/>
      <c r="C48" s="46"/>
      <c r="D48" s="47"/>
      <c r="E48" s="47"/>
      <c r="F48" s="60"/>
      <c r="G48" s="60"/>
      <c r="H48" s="64"/>
      <c r="I48" s="60"/>
      <c r="J48" s="60"/>
      <c r="K48" s="65"/>
      <c r="L48" s="60"/>
      <c r="M48" s="66"/>
      <c r="N48" s="67"/>
      <c r="O48" s="56"/>
      <c r="P48" s="54"/>
      <c r="Q48" s="55"/>
      <c r="R48" s="56"/>
      <c r="S48" s="57"/>
      <c r="T48" s="58"/>
      <c r="U48" s="59"/>
      <c r="V48" s="60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6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7" max="17" width="13.8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40.5" customHeight="1">
      <c r="A5" s="26">
        <v>1.0</v>
      </c>
      <c r="B5" s="27">
        <v>45449.0</v>
      </c>
      <c r="C5" s="28">
        <v>22463.0</v>
      </c>
      <c r="D5" s="29" t="s">
        <v>81</v>
      </c>
      <c r="E5" s="30" t="s">
        <v>82</v>
      </c>
      <c r="F5" s="31"/>
      <c r="G5" s="32"/>
      <c r="H5" s="33">
        <v>0.0</v>
      </c>
      <c r="I5" s="34"/>
      <c r="J5" s="31"/>
      <c r="K5" s="35"/>
      <c r="L5" s="35"/>
      <c r="M5" s="33"/>
      <c r="N5" s="33"/>
      <c r="O5" s="36"/>
      <c r="P5" s="70">
        <v>437.85</v>
      </c>
      <c r="Q5" s="71">
        <v>300.0</v>
      </c>
      <c r="R5" s="70"/>
      <c r="S5" s="72">
        <v>137.85</v>
      </c>
      <c r="T5" s="41" t="s">
        <v>81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40.5" customHeight="1">
      <c r="A6" s="26">
        <v>2.0</v>
      </c>
      <c r="B6" s="27">
        <v>45449.0</v>
      </c>
      <c r="C6" s="28">
        <v>42046.0</v>
      </c>
      <c r="D6" s="29" t="s">
        <v>83</v>
      </c>
      <c r="E6" s="30" t="s">
        <v>38</v>
      </c>
      <c r="F6" s="31"/>
      <c r="G6" s="32"/>
      <c r="H6" s="33">
        <v>7500.0</v>
      </c>
      <c r="I6" s="34"/>
      <c r="J6" s="31"/>
      <c r="K6" s="33"/>
      <c r="L6" s="35"/>
      <c r="M6" s="33"/>
      <c r="N6" s="33"/>
      <c r="O6" s="36"/>
      <c r="P6" s="70">
        <v>240.0</v>
      </c>
      <c r="Q6" s="71">
        <v>0.0</v>
      </c>
      <c r="R6" s="70"/>
      <c r="S6" s="72">
        <v>7740.0</v>
      </c>
      <c r="T6" s="41" t="s">
        <v>83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40.5" customHeight="1">
      <c r="A7" s="26">
        <v>3.0</v>
      </c>
      <c r="B7" s="27">
        <v>45449.0</v>
      </c>
      <c r="C7" s="28">
        <v>42046.0</v>
      </c>
      <c r="D7" s="29" t="s">
        <v>84</v>
      </c>
      <c r="E7" s="30" t="s">
        <v>38</v>
      </c>
      <c r="F7" s="31"/>
      <c r="G7" s="32"/>
      <c r="H7" s="33">
        <v>0.0</v>
      </c>
      <c r="I7" s="34"/>
      <c r="J7" s="31"/>
      <c r="K7" s="35"/>
      <c r="L7" s="35"/>
      <c r="M7" s="33"/>
      <c r="N7" s="33"/>
      <c r="O7" s="36"/>
      <c r="P7" s="70">
        <v>7740.0</v>
      </c>
      <c r="Q7" s="71">
        <v>7500.0</v>
      </c>
      <c r="R7" s="70"/>
      <c r="S7" s="72">
        <v>240.0</v>
      </c>
      <c r="T7" s="41" t="s">
        <v>84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0.5" customHeight="1">
      <c r="A8" s="26">
        <v>4.0</v>
      </c>
      <c r="B8" s="27">
        <v>45449.0</v>
      </c>
      <c r="C8" s="28">
        <v>44035.0</v>
      </c>
      <c r="D8" s="29" t="s">
        <v>85</v>
      </c>
      <c r="E8" s="30" t="s">
        <v>86</v>
      </c>
      <c r="F8" s="31"/>
      <c r="G8" s="32"/>
      <c r="H8" s="33">
        <v>4500.0</v>
      </c>
      <c r="I8" s="34"/>
      <c r="J8" s="31"/>
      <c r="K8" s="35"/>
      <c r="L8" s="35"/>
      <c r="M8" s="33"/>
      <c r="N8" s="33"/>
      <c r="O8" s="36"/>
      <c r="P8" s="70">
        <v>0.0</v>
      </c>
      <c r="Q8" s="71">
        <v>0.0</v>
      </c>
      <c r="R8" s="70"/>
      <c r="S8" s="72">
        <v>4500.0</v>
      </c>
      <c r="T8" s="41" t="s">
        <v>85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40.5" customHeight="1">
      <c r="A9" s="26">
        <v>5.0</v>
      </c>
      <c r="B9" s="27">
        <v>45449.0</v>
      </c>
      <c r="C9" s="28">
        <v>49655.0</v>
      </c>
      <c r="D9" s="29" t="s">
        <v>87</v>
      </c>
      <c r="E9" s="30" t="s">
        <v>41</v>
      </c>
      <c r="F9" s="31"/>
      <c r="G9" s="32"/>
      <c r="H9" s="33"/>
      <c r="I9" s="34"/>
      <c r="J9" s="31"/>
      <c r="K9" s="35">
        <v>3400.0</v>
      </c>
      <c r="L9" s="35"/>
      <c r="M9" s="33"/>
      <c r="N9" s="33"/>
      <c r="O9" s="36"/>
      <c r="P9" s="70">
        <v>0.0</v>
      </c>
      <c r="Q9" s="71">
        <v>0.0</v>
      </c>
      <c r="R9" s="70"/>
      <c r="S9" s="72">
        <v>3400.0</v>
      </c>
      <c r="T9" s="41" t="s">
        <v>87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4"/>
      <c r="B10" s="45"/>
      <c r="C10" s="46"/>
      <c r="D10" s="47"/>
      <c r="E10" s="47"/>
      <c r="F10" s="48"/>
      <c r="G10" s="48"/>
      <c r="H10" s="49"/>
      <c r="I10" s="50"/>
      <c r="J10" s="48"/>
      <c r="K10" s="51"/>
      <c r="L10" s="49"/>
      <c r="M10" s="49"/>
      <c r="N10" s="52"/>
      <c r="O10" s="53"/>
      <c r="P10" s="54"/>
      <c r="Q10" s="55"/>
      <c r="R10" s="56"/>
      <c r="S10" s="57"/>
      <c r="T10" s="58"/>
      <c r="U10" s="59"/>
      <c r="V10" s="60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4"/>
      <c r="B11" s="45"/>
      <c r="C11" s="46"/>
      <c r="D11" s="47"/>
      <c r="E11" s="47"/>
      <c r="F11" s="48"/>
      <c r="G11" s="48"/>
      <c r="H11" s="49"/>
      <c r="I11" s="50"/>
      <c r="J11" s="48"/>
      <c r="K11" s="51"/>
      <c r="L11" s="49"/>
      <c r="M11" s="49"/>
      <c r="N11" s="52"/>
      <c r="O11" s="53"/>
      <c r="P11" s="54"/>
      <c r="Q11" s="55"/>
      <c r="R11" s="56"/>
      <c r="S11" s="57"/>
      <c r="T11" s="58"/>
      <c r="U11" s="59"/>
      <c r="V11" s="60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4"/>
      <c r="B12" s="46"/>
      <c r="C12" s="46"/>
      <c r="D12" s="47"/>
      <c r="E12" s="47"/>
      <c r="F12" s="48"/>
      <c r="G12" s="48"/>
      <c r="H12" s="49"/>
      <c r="I12" s="48"/>
      <c r="J12" s="48"/>
      <c r="K12" s="51"/>
      <c r="L12" s="61"/>
      <c r="M12" s="62"/>
      <c r="N12" s="52"/>
      <c r="O12" s="63"/>
      <c r="P12" s="54"/>
      <c r="Q12" s="55"/>
      <c r="R12" s="56"/>
      <c r="S12" s="57"/>
      <c r="T12" s="58"/>
      <c r="U12" s="59"/>
      <c r="V12" s="60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4"/>
      <c r="B13" s="46"/>
      <c r="C13" s="46"/>
      <c r="D13" s="47"/>
      <c r="E13" s="47"/>
      <c r="F13" s="48"/>
      <c r="G13" s="48"/>
      <c r="H13" s="49"/>
      <c r="I13" s="48"/>
      <c r="J13" s="48"/>
      <c r="K13" s="51"/>
      <c r="L13" s="61"/>
      <c r="M13" s="62"/>
      <c r="N13" s="52"/>
      <c r="O13" s="63"/>
      <c r="P13" s="54"/>
      <c r="Q13" s="55"/>
      <c r="R13" s="56"/>
      <c r="S13" s="57"/>
      <c r="T13" s="58"/>
      <c r="U13" s="59"/>
      <c r="V13" s="60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4"/>
      <c r="B14" s="46"/>
      <c r="C14" s="46"/>
      <c r="D14" s="47"/>
      <c r="E14" s="47"/>
      <c r="F14" s="48"/>
      <c r="G14" s="48"/>
      <c r="H14" s="49"/>
      <c r="I14" s="48"/>
      <c r="J14" s="48"/>
      <c r="K14" s="51"/>
      <c r="L14" s="61"/>
      <c r="M14" s="62"/>
      <c r="N14" s="52"/>
      <c r="O14" s="63"/>
      <c r="P14" s="54"/>
      <c r="Q14" s="55"/>
      <c r="R14" s="56"/>
      <c r="S14" s="57"/>
      <c r="T14" s="58"/>
      <c r="U14" s="59"/>
      <c r="V14" s="60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4"/>
      <c r="B15" s="46"/>
      <c r="C15" s="46"/>
      <c r="D15" s="47"/>
      <c r="E15" s="47"/>
      <c r="F15" s="48"/>
      <c r="G15" s="48"/>
      <c r="H15" s="49"/>
      <c r="I15" s="48"/>
      <c r="J15" s="48"/>
      <c r="K15" s="51"/>
      <c r="L15" s="61"/>
      <c r="M15" s="62"/>
      <c r="N15" s="52"/>
      <c r="O15" s="63"/>
      <c r="P15" s="54"/>
      <c r="Q15" s="55"/>
      <c r="R15" s="56"/>
      <c r="S15" s="57"/>
      <c r="T15" s="58"/>
      <c r="U15" s="59"/>
      <c r="V15" s="60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4"/>
      <c r="B16" s="46"/>
      <c r="C16" s="46"/>
      <c r="D16" s="47"/>
      <c r="E16" s="47"/>
      <c r="F16" s="48"/>
      <c r="G16" s="48"/>
      <c r="H16" s="49"/>
      <c r="I16" s="48"/>
      <c r="J16" s="48"/>
      <c r="K16" s="51"/>
      <c r="L16" s="61"/>
      <c r="M16" s="62"/>
      <c r="N16" s="52"/>
      <c r="O16" s="63"/>
      <c r="P16" s="54"/>
      <c r="Q16" s="55"/>
      <c r="R16" s="56"/>
      <c r="S16" s="57"/>
      <c r="T16" s="58"/>
      <c r="U16" s="59"/>
      <c r="V16" s="60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4"/>
      <c r="B17" s="46"/>
      <c r="C17" s="46"/>
      <c r="D17" s="47"/>
      <c r="E17" s="47"/>
      <c r="F17" s="48"/>
      <c r="G17" s="48"/>
      <c r="H17" s="49"/>
      <c r="I17" s="48"/>
      <c r="J17" s="48"/>
      <c r="K17" s="51"/>
      <c r="L17" s="61"/>
      <c r="M17" s="62"/>
      <c r="N17" s="52"/>
      <c r="O17" s="63"/>
      <c r="P17" s="54"/>
      <c r="Q17" s="55"/>
      <c r="R17" s="56"/>
      <c r="S17" s="57"/>
      <c r="T17" s="58"/>
      <c r="U17" s="59"/>
      <c r="V17" s="60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4"/>
      <c r="B18" s="46"/>
      <c r="C18" s="46"/>
      <c r="D18" s="47"/>
      <c r="E18" s="47"/>
      <c r="F18" s="48"/>
      <c r="G18" s="48"/>
      <c r="H18" s="49"/>
      <c r="I18" s="48"/>
      <c r="J18" s="48"/>
      <c r="K18" s="51"/>
      <c r="L18" s="61"/>
      <c r="M18" s="62"/>
      <c r="N18" s="52"/>
      <c r="O18" s="63"/>
      <c r="P18" s="54"/>
      <c r="Q18" s="55"/>
      <c r="R18" s="56"/>
      <c r="S18" s="57"/>
      <c r="T18" s="58"/>
      <c r="U18" s="59"/>
      <c r="V18" s="60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4"/>
      <c r="B19" s="46"/>
      <c r="C19" s="46"/>
      <c r="D19" s="47"/>
      <c r="E19" s="47"/>
      <c r="F19" s="48"/>
      <c r="G19" s="48"/>
      <c r="H19" s="49"/>
      <c r="I19" s="48"/>
      <c r="J19" s="48"/>
      <c r="K19" s="51"/>
      <c r="L19" s="61"/>
      <c r="M19" s="62"/>
      <c r="N19" s="52"/>
      <c r="O19" s="63"/>
      <c r="P19" s="54"/>
      <c r="Q19" s="55"/>
      <c r="R19" s="56"/>
      <c r="S19" s="57"/>
      <c r="T19" s="58"/>
      <c r="U19" s="59"/>
      <c r="V19" s="60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4"/>
      <c r="B20" s="46"/>
      <c r="C20" s="46"/>
      <c r="D20" s="47"/>
      <c r="E20" s="47"/>
      <c r="F20" s="48"/>
      <c r="G20" s="48"/>
      <c r="H20" s="49"/>
      <c r="I20" s="48"/>
      <c r="J20" s="48"/>
      <c r="K20" s="51"/>
      <c r="L20" s="61"/>
      <c r="M20" s="62"/>
      <c r="N20" s="52"/>
      <c r="O20" s="63"/>
      <c r="P20" s="54"/>
      <c r="Q20" s="55"/>
      <c r="R20" s="56"/>
      <c r="S20" s="57"/>
      <c r="T20" s="58"/>
      <c r="U20" s="59"/>
      <c r="V20" s="60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4"/>
      <c r="B21" s="46"/>
      <c r="C21" s="46"/>
      <c r="D21" s="47"/>
      <c r="E21" s="47"/>
      <c r="F21" s="48"/>
      <c r="G21" s="48"/>
      <c r="H21" s="49"/>
      <c r="I21" s="48"/>
      <c r="J21" s="48"/>
      <c r="K21" s="51"/>
      <c r="L21" s="61"/>
      <c r="M21" s="62"/>
      <c r="N21" s="52"/>
      <c r="O21" s="63"/>
      <c r="P21" s="54"/>
      <c r="Q21" s="55"/>
      <c r="R21" s="56"/>
      <c r="S21" s="57"/>
      <c r="T21" s="58"/>
      <c r="U21" s="59"/>
      <c r="V21" s="60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4"/>
      <c r="B22" s="46"/>
      <c r="C22" s="46"/>
      <c r="D22" s="47"/>
      <c r="E22" s="47"/>
      <c r="F22" s="48"/>
      <c r="G22" s="48"/>
      <c r="H22" s="49"/>
      <c r="I22" s="48"/>
      <c r="J22" s="48"/>
      <c r="K22" s="51"/>
      <c r="L22" s="61"/>
      <c r="M22" s="62"/>
      <c r="N22" s="52"/>
      <c r="O22" s="63"/>
      <c r="P22" s="54"/>
      <c r="Q22" s="55"/>
      <c r="R22" s="56"/>
      <c r="S22" s="57"/>
      <c r="T22" s="58"/>
      <c r="U22" s="59"/>
      <c r="V22" s="60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4"/>
      <c r="B23" s="46"/>
      <c r="C23" s="46"/>
      <c r="D23" s="47"/>
      <c r="E23" s="47"/>
      <c r="F23" s="48"/>
      <c r="G23" s="48"/>
      <c r="H23" s="49"/>
      <c r="I23" s="48"/>
      <c r="J23" s="48"/>
      <c r="K23" s="51"/>
      <c r="L23" s="61"/>
      <c r="M23" s="62"/>
      <c r="N23" s="52"/>
      <c r="O23" s="63"/>
      <c r="P23" s="54"/>
      <c r="Q23" s="55"/>
      <c r="R23" s="56"/>
      <c r="S23" s="57"/>
      <c r="T23" s="58"/>
      <c r="U23" s="59"/>
      <c r="V23" s="6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4"/>
      <c r="B24" s="46"/>
      <c r="C24" s="46"/>
      <c r="D24" s="47"/>
      <c r="E24" s="47"/>
      <c r="F24" s="48"/>
      <c r="G24" s="48"/>
      <c r="H24" s="49"/>
      <c r="I24" s="48"/>
      <c r="J24" s="48"/>
      <c r="K24" s="51"/>
      <c r="L24" s="61"/>
      <c r="M24" s="62"/>
      <c r="N24" s="52"/>
      <c r="O24" s="63"/>
      <c r="P24" s="54"/>
      <c r="Q24" s="55"/>
      <c r="R24" s="56"/>
      <c r="S24" s="57"/>
      <c r="T24" s="58"/>
      <c r="U24" s="59"/>
      <c r="V24" s="60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4"/>
      <c r="B25" s="46"/>
      <c r="C25" s="46"/>
      <c r="D25" s="47"/>
      <c r="E25" s="47"/>
      <c r="F25" s="60"/>
      <c r="G25" s="60"/>
      <c r="H25" s="64"/>
      <c r="I25" s="60"/>
      <c r="J25" s="60"/>
      <c r="K25" s="65"/>
      <c r="L25" s="60"/>
      <c r="M25" s="66"/>
      <c r="N25" s="67"/>
      <c r="O25" s="56"/>
      <c r="P25" s="54"/>
      <c r="Q25" s="55"/>
      <c r="R25" s="56"/>
      <c r="S25" s="57"/>
      <c r="T25" s="58"/>
      <c r="U25" s="59"/>
      <c r="V25" s="60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4"/>
      <c r="B26" s="46"/>
      <c r="C26" s="46"/>
      <c r="D26" s="47"/>
      <c r="E26" s="47"/>
      <c r="F26" s="60"/>
      <c r="G26" s="60"/>
      <c r="H26" s="64"/>
      <c r="I26" s="60"/>
      <c r="J26" s="60"/>
      <c r="K26" s="65"/>
      <c r="L26" s="60"/>
      <c r="M26" s="66"/>
      <c r="N26" s="67"/>
      <c r="O26" s="56"/>
      <c r="P26" s="54"/>
      <c r="Q26" s="55"/>
      <c r="R26" s="56"/>
      <c r="S26" s="57"/>
      <c r="T26" s="58"/>
      <c r="U26" s="59"/>
      <c r="V26" s="60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4"/>
      <c r="B27" s="46"/>
      <c r="C27" s="46"/>
      <c r="D27" s="47"/>
      <c r="E27" s="47"/>
      <c r="F27" s="60"/>
      <c r="G27" s="60"/>
      <c r="H27" s="64"/>
      <c r="I27" s="60"/>
      <c r="J27" s="60"/>
      <c r="K27" s="65"/>
      <c r="L27" s="60"/>
      <c r="M27" s="66"/>
      <c r="N27" s="67"/>
      <c r="O27" s="56"/>
      <c r="P27" s="54"/>
      <c r="Q27" s="55"/>
      <c r="R27" s="56"/>
      <c r="S27" s="57"/>
      <c r="T27" s="58"/>
      <c r="U27" s="59"/>
      <c r="V27" s="60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4"/>
      <c r="B28" s="46"/>
      <c r="C28" s="46"/>
      <c r="D28" s="47"/>
      <c r="E28" s="47"/>
      <c r="F28" s="60"/>
      <c r="G28" s="60"/>
      <c r="H28" s="64"/>
      <c r="I28" s="60"/>
      <c r="J28" s="60"/>
      <c r="K28" s="65"/>
      <c r="L28" s="60"/>
      <c r="M28" s="66"/>
      <c r="N28" s="67"/>
      <c r="O28" s="56"/>
      <c r="P28" s="54"/>
      <c r="Q28" s="55"/>
      <c r="R28" s="56"/>
      <c r="S28" s="57"/>
      <c r="T28" s="58"/>
      <c r="U28" s="59"/>
      <c r="V28" s="60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4"/>
      <c r="B29" s="46"/>
      <c r="C29" s="46"/>
      <c r="D29" s="47"/>
      <c r="E29" s="47"/>
      <c r="F29" s="60"/>
      <c r="G29" s="60"/>
      <c r="H29" s="64"/>
      <c r="I29" s="60"/>
      <c r="J29" s="60"/>
      <c r="K29" s="65"/>
      <c r="L29" s="60"/>
      <c r="M29" s="66"/>
      <c r="N29" s="67"/>
      <c r="O29" s="56"/>
      <c r="P29" s="54"/>
      <c r="Q29" s="55"/>
      <c r="R29" s="56"/>
      <c r="S29" s="57"/>
      <c r="T29" s="58"/>
      <c r="U29" s="59"/>
      <c r="V29" s="6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4"/>
      <c r="B30" s="46"/>
      <c r="C30" s="46"/>
      <c r="D30" s="47"/>
      <c r="E30" s="47"/>
      <c r="F30" s="60"/>
      <c r="G30" s="60"/>
      <c r="H30" s="64"/>
      <c r="I30" s="60"/>
      <c r="J30" s="60"/>
      <c r="K30" s="65"/>
      <c r="L30" s="60"/>
      <c r="M30" s="66"/>
      <c r="N30" s="67"/>
      <c r="O30" s="56"/>
      <c r="P30" s="54"/>
      <c r="Q30" s="55"/>
      <c r="R30" s="56"/>
      <c r="S30" s="57"/>
      <c r="T30" s="58"/>
      <c r="U30" s="59"/>
      <c r="V30" s="6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4"/>
      <c r="B31" s="46"/>
      <c r="C31" s="46"/>
      <c r="D31" s="47"/>
      <c r="E31" s="47"/>
      <c r="F31" s="60"/>
      <c r="G31" s="60"/>
      <c r="H31" s="64"/>
      <c r="I31" s="60"/>
      <c r="J31" s="60"/>
      <c r="K31" s="65"/>
      <c r="L31" s="60"/>
      <c r="M31" s="66"/>
      <c r="N31" s="67"/>
      <c r="O31" s="56"/>
      <c r="P31" s="54"/>
      <c r="Q31" s="55"/>
      <c r="R31" s="56"/>
      <c r="S31" s="57"/>
      <c r="T31" s="58"/>
      <c r="U31" s="59"/>
      <c r="V31" s="60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4"/>
      <c r="B32" s="46"/>
      <c r="C32" s="46"/>
      <c r="D32" s="47"/>
      <c r="E32" s="47"/>
      <c r="F32" s="60"/>
      <c r="G32" s="60"/>
      <c r="H32" s="64"/>
      <c r="I32" s="60"/>
      <c r="J32" s="60"/>
      <c r="K32" s="65"/>
      <c r="L32" s="60"/>
      <c r="M32" s="66"/>
      <c r="N32" s="67"/>
      <c r="O32" s="56"/>
      <c r="P32" s="54"/>
      <c r="Q32" s="55"/>
      <c r="R32" s="56"/>
      <c r="S32" s="57"/>
      <c r="T32" s="58"/>
      <c r="U32" s="59"/>
      <c r="V32" s="60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60"/>
      <c r="G33" s="60"/>
      <c r="H33" s="64"/>
      <c r="I33" s="60"/>
      <c r="J33" s="60"/>
      <c r="K33" s="65"/>
      <c r="L33" s="60"/>
      <c r="M33" s="66"/>
      <c r="N33" s="67"/>
      <c r="O33" s="56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60"/>
      <c r="G34" s="60"/>
      <c r="H34" s="64"/>
      <c r="I34" s="60"/>
      <c r="J34" s="60"/>
      <c r="K34" s="65"/>
      <c r="L34" s="60"/>
      <c r="M34" s="66"/>
      <c r="N34" s="67"/>
      <c r="O34" s="56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60"/>
      <c r="G35" s="60"/>
      <c r="H35" s="64"/>
      <c r="I35" s="60"/>
      <c r="J35" s="60"/>
      <c r="K35" s="65"/>
      <c r="L35" s="60"/>
      <c r="M35" s="66"/>
      <c r="N35" s="67"/>
      <c r="O35" s="56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60"/>
      <c r="G36" s="60"/>
      <c r="H36" s="64"/>
      <c r="I36" s="60"/>
      <c r="J36" s="60"/>
      <c r="K36" s="65"/>
      <c r="L36" s="60"/>
      <c r="M36" s="66"/>
      <c r="N36" s="67"/>
      <c r="O36" s="56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46"/>
      <c r="C37" s="46"/>
      <c r="D37" s="47"/>
      <c r="E37" s="47"/>
      <c r="F37" s="60"/>
      <c r="G37" s="60"/>
      <c r="H37" s="64"/>
      <c r="I37" s="60"/>
      <c r="J37" s="60"/>
      <c r="K37" s="65"/>
      <c r="L37" s="60"/>
      <c r="M37" s="66"/>
      <c r="N37" s="67"/>
      <c r="O37" s="56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68"/>
      <c r="C38" s="46"/>
      <c r="D38" s="47"/>
      <c r="E38" s="47"/>
      <c r="F38" s="60"/>
      <c r="G38" s="60"/>
      <c r="H38" s="64"/>
      <c r="I38" s="60"/>
      <c r="J38" s="60"/>
      <c r="K38" s="65"/>
      <c r="L38" s="60"/>
      <c r="M38" s="66"/>
      <c r="N38" s="67"/>
      <c r="O38" s="56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68"/>
      <c r="C39" s="46"/>
      <c r="D39" s="47"/>
      <c r="E39" s="47"/>
      <c r="F39" s="60"/>
      <c r="G39" s="60"/>
      <c r="H39" s="64"/>
      <c r="I39" s="60"/>
      <c r="J39" s="60"/>
      <c r="K39" s="65"/>
      <c r="L39" s="60"/>
      <c r="M39" s="66"/>
      <c r="N39" s="67"/>
      <c r="O39" s="56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68"/>
      <c r="C40" s="46"/>
      <c r="D40" s="47"/>
      <c r="E40" s="47"/>
      <c r="F40" s="60"/>
      <c r="G40" s="60"/>
      <c r="H40" s="64"/>
      <c r="I40" s="60"/>
      <c r="J40" s="60"/>
      <c r="K40" s="65"/>
      <c r="L40" s="60"/>
      <c r="M40" s="66"/>
      <c r="N40" s="67"/>
      <c r="O40" s="56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68"/>
      <c r="C41" s="46"/>
      <c r="D41" s="47"/>
      <c r="E41" s="47"/>
      <c r="F41" s="60"/>
      <c r="G41" s="60"/>
      <c r="H41" s="64"/>
      <c r="I41" s="60"/>
      <c r="J41" s="60"/>
      <c r="K41" s="65"/>
      <c r="L41" s="60"/>
      <c r="M41" s="66"/>
      <c r="N41" s="67"/>
      <c r="O41" s="56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4"/>
      <c r="B42" s="68"/>
      <c r="C42" s="46"/>
      <c r="D42" s="47"/>
      <c r="E42" s="47"/>
      <c r="F42" s="60"/>
      <c r="G42" s="60"/>
      <c r="H42" s="64"/>
      <c r="I42" s="60"/>
      <c r="J42" s="60"/>
      <c r="K42" s="65"/>
      <c r="L42" s="60"/>
      <c r="M42" s="66"/>
      <c r="N42" s="67"/>
      <c r="O42" s="56"/>
      <c r="P42" s="54"/>
      <c r="Q42" s="55"/>
      <c r="R42" s="56"/>
      <c r="S42" s="57"/>
      <c r="T42" s="58"/>
      <c r="U42" s="59"/>
      <c r="V42" s="60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5"/>
      <c r="C43" s="5"/>
      <c r="D43" s="5"/>
      <c r="E43" s="69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7" max="17" width="13.8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40.5" customHeight="1">
      <c r="A5" s="26">
        <v>1.0</v>
      </c>
      <c r="B5" s="27">
        <v>45450.0</v>
      </c>
      <c r="C5" s="28">
        <v>21818.0</v>
      </c>
      <c r="D5" s="29" t="s">
        <v>89</v>
      </c>
      <c r="E5" s="30" t="s">
        <v>28</v>
      </c>
      <c r="F5" s="31"/>
      <c r="G5" s="32"/>
      <c r="H5" s="33">
        <v>0.0</v>
      </c>
      <c r="I5" s="34"/>
      <c r="J5" s="31"/>
      <c r="K5" s="35"/>
      <c r="L5" s="35"/>
      <c r="M5" s="33"/>
      <c r="N5" s="33"/>
      <c r="O5" s="36"/>
      <c r="P5" s="70">
        <f t="shared" ref="P5:P6" si="1">Q5+S5</f>
        <v>25530</v>
      </c>
      <c r="Q5" s="71">
        <v>1500.0</v>
      </c>
      <c r="R5" s="70"/>
      <c r="S5" s="72">
        <v>24030.0</v>
      </c>
      <c r="T5" s="41" t="s">
        <v>89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40.5" customHeight="1">
      <c r="A6" s="26">
        <v>2.0</v>
      </c>
      <c r="B6" s="27">
        <v>45450.0</v>
      </c>
      <c r="C6" s="28">
        <v>21818.0</v>
      </c>
      <c r="D6" s="29" t="s">
        <v>90</v>
      </c>
      <c r="E6" s="30" t="s">
        <v>28</v>
      </c>
      <c r="F6" s="31"/>
      <c r="G6" s="32"/>
      <c r="H6" s="33">
        <v>0.0</v>
      </c>
      <c r="I6" s="34"/>
      <c r="J6" s="31"/>
      <c r="K6" s="33"/>
      <c r="L6" s="35"/>
      <c r="M6" s="33"/>
      <c r="N6" s="33"/>
      <c r="O6" s="36"/>
      <c r="P6" s="70">
        <f t="shared" si="1"/>
        <v>24030</v>
      </c>
      <c r="Q6" s="71">
        <v>9500.0</v>
      </c>
      <c r="R6" s="70"/>
      <c r="S6" s="72">
        <v>14530.0</v>
      </c>
      <c r="T6" s="41" t="s">
        <v>90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40.5" customHeight="1">
      <c r="A7" s="26">
        <v>3.0</v>
      </c>
      <c r="B7" s="27">
        <v>45450.0</v>
      </c>
      <c r="C7" s="28">
        <v>43395.0</v>
      </c>
      <c r="D7" s="29" t="s">
        <v>91</v>
      </c>
      <c r="E7" s="30" t="s">
        <v>92</v>
      </c>
      <c r="F7" s="31"/>
      <c r="G7" s="32"/>
      <c r="H7" s="33">
        <v>190.0</v>
      </c>
      <c r="I7" s="34"/>
      <c r="J7" s="31"/>
      <c r="K7" s="33"/>
      <c r="L7" s="35"/>
      <c r="M7" s="33"/>
      <c r="N7" s="33"/>
      <c r="O7" s="36"/>
      <c r="P7" s="70">
        <f>S7-H7</f>
        <v>2310</v>
      </c>
      <c r="Q7" s="71">
        <v>0.0</v>
      </c>
      <c r="R7" s="70"/>
      <c r="S7" s="72">
        <v>2500.0</v>
      </c>
      <c r="T7" s="41" t="s">
        <v>91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0.5" customHeight="1">
      <c r="A8" s="26">
        <v>4.0</v>
      </c>
      <c r="B8" s="27">
        <v>45450.0</v>
      </c>
      <c r="C8" s="28">
        <v>43395.0</v>
      </c>
      <c r="D8" s="29" t="s">
        <v>93</v>
      </c>
      <c r="E8" s="30" t="s">
        <v>92</v>
      </c>
      <c r="F8" s="31"/>
      <c r="G8" s="32"/>
      <c r="H8" s="33">
        <v>0.0</v>
      </c>
      <c r="I8" s="34"/>
      <c r="J8" s="31"/>
      <c r="K8" s="33"/>
      <c r="L8" s="35"/>
      <c r="M8" s="33"/>
      <c r="N8" s="33"/>
      <c r="O8" s="36"/>
      <c r="P8" s="70">
        <f>Q8+S8</f>
        <v>2500</v>
      </c>
      <c r="Q8" s="71">
        <v>2500.0</v>
      </c>
      <c r="R8" s="70"/>
      <c r="S8" s="72">
        <v>0.0</v>
      </c>
      <c r="T8" s="41" t="s">
        <v>93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40.5" customHeight="1">
      <c r="A9" s="26">
        <v>5.0</v>
      </c>
      <c r="B9" s="27">
        <v>45450.0</v>
      </c>
      <c r="C9" s="28">
        <v>49655.0</v>
      </c>
      <c r="D9" s="29" t="s">
        <v>94</v>
      </c>
      <c r="E9" s="30" t="s">
        <v>41</v>
      </c>
      <c r="F9" s="31"/>
      <c r="G9" s="32"/>
      <c r="H9" s="33">
        <v>7600.0</v>
      </c>
      <c r="I9" s="34"/>
      <c r="J9" s="31"/>
      <c r="K9" s="33"/>
      <c r="L9" s="35"/>
      <c r="M9" s="33"/>
      <c r="N9" s="33"/>
      <c r="O9" s="36"/>
      <c r="P9" s="70">
        <f>S9-H9</f>
        <v>3400</v>
      </c>
      <c r="Q9" s="71">
        <v>0.0</v>
      </c>
      <c r="R9" s="70"/>
      <c r="S9" s="72">
        <v>11000.0</v>
      </c>
      <c r="T9" s="41" t="s">
        <v>94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40.5" customHeight="1">
      <c r="A10" s="26">
        <v>6.0</v>
      </c>
      <c r="B10" s="27">
        <v>45450.0</v>
      </c>
      <c r="C10" s="28">
        <v>49655.0</v>
      </c>
      <c r="D10" s="29" t="s">
        <v>95</v>
      </c>
      <c r="E10" s="30" t="s">
        <v>41</v>
      </c>
      <c r="F10" s="31"/>
      <c r="G10" s="32"/>
      <c r="H10" s="33">
        <v>0.0</v>
      </c>
      <c r="I10" s="34"/>
      <c r="J10" s="31"/>
      <c r="K10" s="33"/>
      <c r="L10" s="35"/>
      <c r="M10" s="33"/>
      <c r="N10" s="33"/>
      <c r="O10" s="36"/>
      <c r="P10" s="70">
        <f t="shared" ref="P10:P11" si="2">Q10+S10</f>
        <v>11000</v>
      </c>
      <c r="Q10" s="71">
        <v>9500.0</v>
      </c>
      <c r="R10" s="70"/>
      <c r="S10" s="72">
        <v>1500.0</v>
      </c>
      <c r="T10" s="41" t="s">
        <v>95</v>
      </c>
      <c r="U10" s="42" t="s">
        <v>29</v>
      </c>
      <c r="V10" s="4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40.5" customHeight="1">
      <c r="A11" s="26">
        <v>7.0</v>
      </c>
      <c r="B11" s="27">
        <v>45450.0</v>
      </c>
      <c r="C11" s="28">
        <v>49655.0</v>
      </c>
      <c r="D11" s="29" t="s">
        <v>96</v>
      </c>
      <c r="E11" s="30" t="s">
        <v>41</v>
      </c>
      <c r="F11" s="31"/>
      <c r="G11" s="32"/>
      <c r="H11" s="33">
        <v>0.0</v>
      </c>
      <c r="I11" s="34"/>
      <c r="J11" s="31"/>
      <c r="K11" s="33"/>
      <c r="L11" s="35"/>
      <c r="M11" s="33"/>
      <c r="N11" s="33"/>
      <c r="O11" s="36"/>
      <c r="P11" s="70">
        <f t="shared" si="2"/>
        <v>1500</v>
      </c>
      <c r="Q11" s="71">
        <v>625.0</v>
      </c>
      <c r="R11" s="70"/>
      <c r="S11" s="72">
        <v>875.0</v>
      </c>
      <c r="T11" s="41" t="s">
        <v>96</v>
      </c>
      <c r="U11" s="42" t="s">
        <v>29</v>
      </c>
      <c r="V11" s="4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40.5" customHeight="1">
      <c r="A12" s="26">
        <v>8.0</v>
      </c>
      <c r="B12" s="27">
        <v>45450.0</v>
      </c>
      <c r="C12" s="28">
        <v>59103.0</v>
      </c>
      <c r="D12" s="29" t="s">
        <v>97</v>
      </c>
      <c r="E12" s="30" t="s">
        <v>98</v>
      </c>
      <c r="F12" s="31"/>
      <c r="G12" s="32"/>
      <c r="H12" s="33"/>
      <c r="I12" s="34"/>
      <c r="J12" s="31"/>
      <c r="K12" s="33">
        <v>2500.0</v>
      </c>
      <c r="L12" s="35"/>
      <c r="M12" s="33"/>
      <c r="N12" s="33"/>
      <c r="O12" s="36"/>
      <c r="P12" s="70">
        <f>S12-K12</f>
        <v>20816</v>
      </c>
      <c r="Q12" s="71">
        <v>0.0</v>
      </c>
      <c r="R12" s="70"/>
      <c r="S12" s="72">
        <v>23316.0</v>
      </c>
      <c r="T12" s="41" t="s">
        <v>97</v>
      </c>
      <c r="U12" s="42" t="s">
        <v>29</v>
      </c>
      <c r="V12" s="43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40.5" customHeight="1">
      <c r="A13" s="26">
        <v>9.0</v>
      </c>
      <c r="B13" s="27">
        <v>45450.0</v>
      </c>
      <c r="C13" s="28">
        <v>62815.0</v>
      </c>
      <c r="D13" s="29" t="s">
        <v>99</v>
      </c>
      <c r="E13" s="30" t="s">
        <v>100</v>
      </c>
      <c r="F13" s="31"/>
      <c r="G13" s="32"/>
      <c r="H13" s="33"/>
      <c r="I13" s="34"/>
      <c r="J13" s="31"/>
      <c r="K13" s="33">
        <v>35000.0</v>
      </c>
      <c r="L13" s="35"/>
      <c r="M13" s="33"/>
      <c r="N13" s="33"/>
      <c r="O13" s="36"/>
      <c r="P13" s="70">
        <f>S13-Q13</f>
        <v>35000</v>
      </c>
      <c r="Q13" s="71">
        <v>0.0</v>
      </c>
      <c r="R13" s="70"/>
      <c r="S13" s="72">
        <v>35000.0</v>
      </c>
      <c r="T13" s="41" t="s">
        <v>99</v>
      </c>
      <c r="U13" s="42" t="s">
        <v>29</v>
      </c>
      <c r="V13" s="43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40.5" customHeight="1">
      <c r="A14" s="26">
        <v>10.0</v>
      </c>
      <c r="B14" s="27">
        <v>45450.0</v>
      </c>
      <c r="C14" s="28">
        <v>62815.0</v>
      </c>
      <c r="D14" s="29" t="s">
        <v>101</v>
      </c>
      <c r="E14" s="30" t="s">
        <v>100</v>
      </c>
      <c r="F14" s="31"/>
      <c r="G14" s="32"/>
      <c r="H14" s="33">
        <v>0.0</v>
      </c>
      <c r="I14" s="34"/>
      <c r="J14" s="31"/>
      <c r="K14" s="33"/>
      <c r="L14" s="35"/>
      <c r="M14" s="33"/>
      <c r="N14" s="33"/>
      <c r="O14" s="36"/>
      <c r="P14" s="70">
        <f t="shared" ref="P14:P15" si="3">Q14</f>
        <v>35000</v>
      </c>
      <c r="Q14" s="71">
        <v>35000.0</v>
      </c>
      <c r="R14" s="70"/>
      <c r="S14" s="72">
        <v>0.0</v>
      </c>
      <c r="T14" s="41" t="s">
        <v>101</v>
      </c>
      <c r="U14" s="42" t="s">
        <v>29</v>
      </c>
      <c r="V14" s="43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40.5" customHeight="1">
      <c r="A15" s="26">
        <v>11.0</v>
      </c>
      <c r="B15" s="27">
        <v>45450.0</v>
      </c>
      <c r="C15" s="28">
        <v>78122.0</v>
      </c>
      <c r="D15" s="29" t="s">
        <v>102</v>
      </c>
      <c r="E15" s="30" t="s">
        <v>103</v>
      </c>
      <c r="F15" s="31"/>
      <c r="G15" s="32"/>
      <c r="H15" s="33">
        <v>0.0</v>
      </c>
      <c r="I15" s="34"/>
      <c r="J15" s="31"/>
      <c r="K15" s="33"/>
      <c r="L15" s="35"/>
      <c r="M15" s="33"/>
      <c r="N15" s="33"/>
      <c r="O15" s="36"/>
      <c r="P15" s="70">
        <f t="shared" si="3"/>
        <v>3465</v>
      </c>
      <c r="Q15" s="71">
        <v>3465.0</v>
      </c>
      <c r="R15" s="70"/>
      <c r="S15" s="72">
        <v>0.0</v>
      </c>
      <c r="T15" s="41" t="s">
        <v>102</v>
      </c>
      <c r="U15" s="42" t="s">
        <v>29</v>
      </c>
      <c r="V15" s="43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4"/>
      <c r="B16" s="46"/>
      <c r="C16" s="46"/>
      <c r="D16" s="47"/>
      <c r="E16" s="47"/>
      <c r="F16" s="48"/>
      <c r="G16" s="48"/>
      <c r="H16" s="49"/>
      <c r="I16" s="48"/>
      <c r="J16" s="48"/>
      <c r="K16" s="51"/>
      <c r="L16" s="61"/>
      <c r="M16" s="62"/>
      <c r="N16" s="52"/>
      <c r="O16" s="63"/>
      <c r="P16" s="54"/>
      <c r="Q16" s="55"/>
      <c r="R16" s="56"/>
      <c r="S16" s="57"/>
      <c r="T16" s="58"/>
      <c r="U16" s="59"/>
      <c r="V16" s="60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4"/>
      <c r="B17" s="46"/>
      <c r="C17" s="46"/>
      <c r="D17" s="47"/>
      <c r="E17" s="47"/>
      <c r="F17" s="48"/>
      <c r="G17" s="48"/>
      <c r="H17" s="49"/>
      <c r="I17" s="48"/>
      <c r="J17" s="48"/>
      <c r="K17" s="51"/>
      <c r="L17" s="61"/>
      <c r="M17" s="62"/>
      <c r="N17" s="52"/>
      <c r="O17" s="63"/>
      <c r="P17" s="54"/>
      <c r="Q17" s="55"/>
      <c r="R17" s="56"/>
      <c r="S17" s="57"/>
      <c r="T17" s="58"/>
      <c r="U17" s="59"/>
      <c r="V17" s="60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4"/>
      <c r="B18" s="46"/>
      <c r="C18" s="46"/>
      <c r="D18" s="47"/>
      <c r="E18" s="47"/>
      <c r="F18" s="48"/>
      <c r="G18" s="48"/>
      <c r="H18" s="49"/>
      <c r="I18" s="48"/>
      <c r="J18" s="48"/>
      <c r="K18" s="51"/>
      <c r="L18" s="61"/>
      <c r="M18" s="62"/>
      <c r="N18" s="52"/>
      <c r="O18" s="63"/>
      <c r="P18" s="54"/>
      <c r="Q18" s="55"/>
      <c r="R18" s="56"/>
      <c r="S18" s="57"/>
      <c r="T18" s="58"/>
      <c r="U18" s="59"/>
      <c r="V18" s="60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4"/>
      <c r="B19" s="46"/>
      <c r="C19" s="46"/>
      <c r="D19" s="47"/>
      <c r="E19" s="47"/>
      <c r="F19" s="48"/>
      <c r="G19" s="48"/>
      <c r="H19" s="49"/>
      <c r="I19" s="48"/>
      <c r="J19" s="48"/>
      <c r="K19" s="51"/>
      <c r="L19" s="61"/>
      <c r="M19" s="62"/>
      <c r="N19" s="52"/>
      <c r="O19" s="63"/>
      <c r="P19" s="54"/>
      <c r="Q19" s="55"/>
      <c r="R19" s="56"/>
      <c r="S19" s="57"/>
      <c r="T19" s="58"/>
      <c r="U19" s="59"/>
      <c r="V19" s="60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4"/>
      <c r="B20" s="46"/>
      <c r="C20" s="46"/>
      <c r="D20" s="47"/>
      <c r="E20" s="47"/>
      <c r="F20" s="48"/>
      <c r="G20" s="48"/>
      <c r="H20" s="49"/>
      <c r="I20" s="48"/>
      <c r="J20" s="48"/>
      <c r="K20" s="51"/>
      <c r="L20" s="61"/>
      <c r="M20" s="62"/>
      <c r="N20" s="52"/>
      <c r="O20" s="63"/>
      <c r="P20" s="54"/>
      <c r="Q20" s="55"/>
      <c r="R20" s="56"/>
      <c r="S20" s="57"/>
      <c r="T20" s="58"/>
      <c r="U20" s="59"/>
      <c r="V20" s="60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4"/>
      <c r="B21" s="46"/>
      <c r="C21" s="46"/>
      <c r="D21" s="47"/>
      <c r="E21" s="47"/>
      <c r="F21" s="48"/>
      <c r="G21" s="48"/>
      <c r="H21" s="49"/>
      <c r="I21" s="48"/>
      <c r="J21" s="48"/>
      <c r="K21" s="51"/>
      <c r="L21" s="61"/>
      <c r="M21" s="62"/>
      <c r="N21" s="52"/>
      <c r="O21" s="63"/>
      <c r="P21" s="54"/>
      <c r="Q21" s="55"/>
      <c r="R21" s="56"/>
      <c r="S21" s="57"/>
      <c r="T21" s="58"/>
      <c r="U21" s="59"/>
      <c r="V21" s="60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4"/>
      <c r="B22" s="46"/>
      <c r="C22" s="46"/>
      <c r="D22" s="47"/>
      <c r="E22" s="47"/>
      <c r="F22" s="48"/>
      <c r="G22" s="48"/>
      <c r="H22" s="49"/>
      <c r="I22" s="48"/>
      <c r="J22" s="48"/>
      <c r="K22" s="51"/>
      <c r="L22" s="61"/>
      <c r="M22" s="62"/>
      <c r="N22" s="52"/>
      <c r="O22" s="63"/>
      <c r="P22" s="54"/>
      <c r="Q22" s="55"/>
      <c r="R22" s="56"/>
      <c r="S22" s="57"/>
      <c r="T22" s="58"/>
      <c r="U22" s="59"/>
      <c r="V22" s="60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4"/>
      <c r="B23" s="46"/>
      <c r="C23" s="46"/>
      <c r="D23" s="47"/>
      <c r="E23" s="47"/>
      <c r="F23" s="48"/>
      <c r="G23" s="48"/>
      <c r="H23" s="49"/>
      <c r="I23" s="48"/>
      <c r="J23" s="48"/>
      <c r="K23" s="51"/>
      <c r="L23" s="61"/>
      <c r="M23" s="62"/>
      <c r="N23" s="52"/>
      <c r="O23" s="63"/>
      <c r="P23" s="54"/>
      <c r="Q23" s="55"/>
      <c r="R23" s="56"/>
      <c r="S23" s="57"/>
      <c r="T23" s="58"/>
      <c r="U23" s="59"/>
      <c r="V23" s="6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4"/>
      <c r="B24" s="46"/>
      <c r="C24" s="46"/>
      <c r="D24" s="47"/>
      <c r="E24" s="47"/>
      <c r="F24" s="48"/>
      <c r="G24" s="48"/>
      <c r="H24" s="49"/>
      <c r="I24" s="48"/>
      <c r="J24" s="48"/>
      <c r="K24" s="51"/>
      <c r="L24" s="61"/>
      <c r="M24" s="62"/>
      <c r="N24" s="52"/>
      <c r="O24" s="63"/>
      <c r="P24" s="54"/>
      <c r="Q24" s="55"/>
      <c r="R24" s="56"/>
      <c r="S24" s="57"/>
      <c r="T24" s="58"/>
      <c r="U24" s="59"/>
      <c r="V24" s="60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4"/>
      <c r="B25" s="46"/>
      <c r="C25" s="46"/>
      <c r="D25" s="47"/>
      <c r="E25" s="47"/>
      <c r="F25" s="48"/>
      <c r="G25" s="48"/>
      <c r="H25" s="49"/>
      <c r="I25" s="48"/>
      <c r="J25" s="48"/>
      <c r="K25" s="51"/>
      <c r="L25" s="61"/>
      <c r="M25" s="62"/>
      <c r="N25" s="52"/>
      <c r="O25" s="63"/>
      <c r="P25" s="54"/>
      <c r="Q25" s="55"/>
      <c r="R25" s="56"/>
      <c r="S25" s="57"/>
      <c r="T25" s="58"/>
      <c r="U25" s="59"/>
      <c r="V25" s="60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4"/>
      <c r="B26" s="46"/>
      <c r="C26" s="46"/>
      <c r="D26" s="47"/>
      <c r="E26" s="47"/>
      <c r="F26" s="48"/>
      <c r="G26" s="48"/>
      <c r="H26" s="49"/>
      <c r="I26" s="48"/>
      <c r="J26" s="48"/>
      <c r="K26" s="51"/>
      <c r="L26" s="61"/>
      <c r="M26" s="62"/>
      <c r="N26" s="52"/>
      <c r="O26" s="63"/>
      <c r="P26" s="54"/>
      <c r="Q26" s="55"/>
      <c r="R26" s="56"/>
      <c r="S26" s="57"/>
      <c r="T26" s="58"/>
      <c r="U26" s="59"/>
      <c r="V26" s="60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4"/>
      <c r="B27" s="46"/>
      <c r="C27" s="46"/>
      <c r="D27" s="47"/>
      <c r="E27" s="47"/>
      <c r="F27" s="48"/>
      <c r="G27" s="48"/>
      <c r="H27" s="49"/>
      <c r="I27" s="48"/>
      <c r="J27" s="48"/>
      <c r="K27" s="51"/>
      <c r="L27" s="61"/>
      <c r="M27" s="62"/>
      <c r="N27" s="52"/>
      <c r="O27" s="63"/>
      <c r="P27" s="54"/>
      <c r="Q27" s="55"/>
      <c r="R27" s="56"/>
      <c r="S27" s="57"/>
      <c r="T27" s="58"/>
      <c r="U27" s="59"/>
      <c r="V27" s="60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4"/>
      <c r="B28" s="46"/>
      <c r="C28" s="46"/>
      <c r="D28" s="47"/>
      <c r="E28" s="47"/>
      <c r="F28" s="60"/>
      <c r="G28" s="60"/>
      <c r="H28" s="64"/>
      <c r="I28" s="60"/>
      <c r="J28" s="60"/>
      <c r="K28" s="65"/>
      <c r="L28" s="60"/>
      <c r="M28" s="66"/>
      <c r="N28" s="67"/>
      <c r="O28" s="56"/>
      <c r="P28" s="54"/>
      <c r="Q28" s="55"/>
      <c r="R28" s="56"/>
      <c r="S28" s="57"/>
      <c r="T28" s="58"/>
      <c r="U28" s="59"/>
      <c r="V28" s="60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4"/>
      <c r="B29" s="46"/>
      <c r="C29" s="46"/>
      <c r="D29" s="47"/>
      <c r="E29" s="47"/>
      <c r="F29" s="60"/>
      <c r="G29" s="60"/>
      <c r="H29" s="64"/>
      <c r="I29" s="60"/>
      <c r="J29" s="60"/>
      <c r="K29" s="65"/>
      <c r="L29" s="60"/>
      <c r="M29" s="66"/>
      <c r="N29" s="67"/>
      <c r="O29" s="56"/>
      <c r="P29" s="54"/>
      <c r="Q29" s="55"/>
      <c r="R29" s="56"/>
      <c r="S29" s="57"/>
      <c r="T29" s="58"/>
      <c r="U29" s="59"/>
      <c r="V29" s="6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4"/>
      <c r="B30" s="46"/>
      <c r="C30" s="46"/>
      <c r="D30" s="47"/>
      <c r="E30" s="47"/>
      <c r="F30" s="60"/>
      <c r="G30" s="60"/>
      <c r="H30" s="64"/>
      <c r="I30" s="60"/>
      <c r="J30" s="60"/>
      <c r="K30" s="65"/>
      <c r="L30" s="60"/>
      <c r="M30" s="66"/>
      <c r="N30" s="67"/>
      <c r="O30" s="56"/>
      <c r="P30" s="54"/>
      <c r="Q30" s="55"/>
      <c r="R30" s="56"/>
      <c r="S30" s="57"/>
      <c r="T30" s="58"/>
      <c r="U30" s="59"/>
      <c r="V30" s="6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4"/>
      <c r="B31" s="46"/>
      <c r="C31" s="46"/>
      <c r="D31" s="47"/>
      <c r="E31" s="47"/>
      <c r="F31" s="60"/>
      <c r="G31" s="60"/>
      <c r="H31" s="64"/>
      <c r="I31" s="60"/>
      <c r="J31" s="60"/>
      <c r="K31" s="65"/>
      <c r="L31" s="60"/>
      <c r="M31" s="66"/>
      <c r="N31" s="67"/>
      <c r="O31" s="56"/>
      <c r="P31" s="54"/>
      <c r="Q31" s="55"/>
      <c r="R31" s="56"/>
      <c r="S31" s="57"/>
      <c r="T31" s="58"/>
      <c r="U31" s="59"/>
      <c r="V31" s="60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4"/>
      <c r="B32" s="46"/>
      <c r="C32" s="46"/>
      <c r="D32" s="47"/>
      <c r="E32" s="47"/>
      <c r="F32" s="60"/>
      <c r="G32" s="60"/>
      <c r="H32" s="64"/>
      <c r="I32" s="60"/>
      <c r="J32" s="60"/>
      <c r="K32" s="65"/>
      <c r="L32" s="60"/>
      <c r="M32" s="66"/>
      <c r="N32" s="67"/>
      <c r="O32" s="56"/>
      <c r="P32" s="54"/>
      <c r="Q32" s="55"/>
      <c r="R32" s="56"/>
      <c r="S32" s="57"/>
      <c r="T32" s="58"/>
      <c r="U32" s="59"/>
      <c r="V32" s="60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60"/>
      <c r="G33" s="60"/>
      <c r="H33" s="64"/>
      <c r="I33" s="60"/>
      <c r="J33" s="60"/>
      <c r="K33" s="65"/>
      <c r="L33" s="60"/>
      <c r="M33" s="66"/>
      <c r="N33" s="67"/>
      <c r="O33" s="56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60"/>
      <c r="G34" s="60"/>
      <c r="H34" s="64"/>
      <c r="I34" s="60"/>
      <c r="J34" s="60"/>
      <c r="K34" s="65"/>
      <c r="L34" s="60"/>
      <c r="M34" s="66"/>
      <c r="N34" s="67"/>
      <c r="O34" s="56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60"/>
      <c r="G35" s="60"/>
      <c r="H35" s="64"/>
      <c r="I35" s="60"/>
      <c r="J35" s="60"/>
      <c r="K35" s="65"/>
      <c r="L35" s="60"/>
      <c r="M35" s="66"/>
      <c r="N35" s="67"/>
      <c r="O35" s="56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60"/>
      <c r="G36" s="60"/>
      <c r="H36" s="64"/>
      <c r="I36" s="60"/>
      <c r="J36" s="60"/>
      <c r="K36" s="65"/>
      <c r="L36" s="60"/>
      <c r="M36" s="66"/>
      <c r="N36" s="67"/>
      <c r="O36" s="56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46"/>
      <c r="C37" s="46"/>
      <c r="D37" s="47"/>
      <c r="E37" s="47"/>
      <c r="F37" s="60"/>
      <c r="G37" s="60"/>
      <c r="H37" s="64"/>
      <c r="I37" s="60"/>
      <c r="J37" s="60"/>
      <c r="K37" s="65"/>
      <c r="L37" s="60"/>
      <c r="M37" s="66"/>
      <c r="N37" s="67"/>
      <c r="O37" s="56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46"/>
      <c r="C38" s="46"/>
      <c r="D38" s="47"/>
      <c r="E38" s="47"/>
      <c r="F38" s="60"/>
      <c r="G38" s="60"/>
      <c r="H38" s="64"/>
      <c r="I38" s="60"/>
      <c r="J38" s="60"/>
      <c r="K38" s="65"/>
      <c r="L38" s="60"/>
      <c r="M38" s="66"/>
      <c r="N38" s="67"/>
      <c r="O38" s="56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46"/>
      <c r="C39" s="46"/>
      <c r="D39" s="47"/>
      <c r="E39" s="47"/>
      <c r="F39" s="60"/>
      <c r="G39" s="60"/>
      <c r="H39" s="64"/>
      <c r="I39" s="60"/>
      <c r="J39" s="60"/>
      <c r="K39" s="65"/>
      <c r="L39" s="60"/>
      <c r="M39" s="66"/>
      <c r="N39" s="67"/>
      <c r="O39" s="56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46"/>
      <c r="C40" s="46"/>
      <c r="D40" s="47"/>
      <c r="E40" s="47"/>
      <c r="F40" s="60"/>
      <c r="G40" s="60"/>
      <c r="H40" s="64"/>
      <c r="I40" s="60"/>
      <c r="J40" s="60"/>
      <c r="K40" s="65"/>
      <c r="L40" s="60"/>
      <c r="M40" s="66"/>
      <c r="N40" s="67"/>
      <c r="O40" s="56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68"/>
      <c r="C41" s="46"/>
      <c r="D41" s="47"/>
      <c r="E41" s="47"/>
      <c r="F41" s="60"/>
      <c r="G41" s="60"/>
      <c r="H41" s="64"/>
      <c r="I41" s="60"/>
      <c r="J41" s="60"/>
      <c r="K41" s="65"/>
      <c r="L41" s="60"/>
      <c r="M41" s="66"/>
      <c r="N41" s="67"/>
      <c r="O41" s="56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4"/>
      <c r="B42" s="68"/>
      <c r="C42" s="46"/>
      <c r="D42" s="47"/>
      <c r="E42" s="47"/>
      <c r="F42" s="60"/>
      <c r="G42" s="60"/>
      <c r="H42" s="64"/>
      <c r="I42" s="60"/>
      <c r="J42" s="60"/>
      <c r="K42" s="65"/>
      <c r="L42" s="60"/>
      <c r="M42" s="66"/>
      <c r="N42" s="67"/>
      <c r="O42" s="56"/>
      <c r="P42" s="54"/>
      <c r="Q42" s="55"/>
      <c r="R42" s="56"/>
      <c r="S42" s="57"/>
      <c r="T42" s="58"/>
      <c r="U42" s="59"/>
      <c r="V42" s="60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4"/>
      <c r="B43" s="68"/>
      <c r="C43" s="46"/>
      <c r="D43" s="47"/>
      <c r="E43" s="47"/>
      <c r="F43" s="60"/>
      <c r="G43" s="60"/>
      <c r="H43" s="64"/>
      <c r="I43" s="60"/>
      <c r="J43" s="60"/>
      <c r="K43" s="65"/>
      <c r="L43" s="60"/>
      <c r="M43" s="66"/>
      <c r="N43" s="67"/>
      <c r="O43" s="56"/>
      <c r="P43" s="54"/>
      <c r="Q43" s="55"/>
      <c r="R43" s="56"/>
      <c r="S43" s="57"/>
      <c r="T43" s="58"/>
      <c r="U43" s="59"/>
      <c r="V43" s="60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4"/>
      <c r="B44" s="68"/>
      <c r="C44" s="46"/>
      <c r="D44" s="47"/>
      <c r="E44" s="47"/>
      <c r="F44" s="60"/>
      <c r="G44" s="60"/>
      <c r="H44" s="64"/>
      <c r="I44" s="60"/>
      <c r="J44" s="60"/>
      <c r="K44" s="65"/>
      <c r="L44" s="60"/>
      <c r="M44" s="66"/>
      <c r="N44" s="67"/>
      <c r="O44" s="56"/>
      <c r="P44" s="54"/>
      <c r="Q44" s="55"/>
      <c r="R44" s="56"/>
      <c r="S44" s="57"/>
      <c r="T44" s="58"/>
      <c r="U44" s="59"/>
      <c r="V44" s="60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4"/>
      <c r="B45" s="68"/>
      <c r="C45" s="46"/>
      <c r="D45" s="47"/>
      <c r="E45" s="47"/>
      <c r="F45" s="60"/>
      <c r="G45" s="60"/>
      <c r="H45" s="64"/>
      <c r="I45" s="60"/>
      <c r="J45" s="60"/>
      <c r="K45" s="65"/>
      <c r="L45" s="60"/>
      <c r="M45" s="66"/>
      <c r="N45" s="67"/>
      <c r="O45" s="56"/>
      <c r="P45" s="54"/>
      <c r="Q45" s="55"/>
      <c r="R45" s="56"/>
      <c r="S45" s="57"/>
      <c r="T45" s="58"/>
      <c r="U45" s="59"/>
      <c r="V45" s="60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69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7" max="17" width="13.8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40.5" customHeight="1">
      <c r="A5" s="26">
        <v>1.0</v>
      </c>
      <c r="B5" s="27">
        <v>45510.0</v>
      </c>
      <c r="C5" s="28">
        <v>21818.0</v>
      </c>
      <c r="D5" s="29" t="s">
        <v>105</v>
      </c>
      <c r="E5" s="30" t="s">
        <v>28</v>
      </c>
      <c r="F5" s="31"/>
      <c r="G5" s="32"/>
      <c r="H5" s="33">
        <v>0.0</v>
      </c>
      <c r="I5" s="34"/>
      <c r="J5" s="31"/>
      <c r="K5" s="35"/>
      <c r="L5" s="35"/>
      <c r="M5" s="33"/>
      <c r="N5" s="33"/>
      <c r="O5" s="36"/>
      <c r="P5" s="70">
        <v>14530.0</v>
      </c>
      <c r="Q5" s="73">
        <v>500.0</v>
      </c>
      <c r="R5" s="70"/>
      <c r="S5" s="74">
        <v>14030.0</v>
      </c>
      <c r="T5" s="41" t="s">
        <v>105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40.5" customHeight="1">
      <c r="A6" s="26">
        <v>2.0</v>
      </c>
      <c r="B6" s="27">
        <v>45510.0</v>
      </c>
      <c r="C6" s="28">
        <v>28414.0</v>
      </c>
      <c r="D6" s="29" t="s">
        <v>106</v>
      </c>
      <c r="E6" s="30" t="s">
        <v>107</v>
      </c>
      <c r="F6" s="31"/>
      <c r="G6" s="32"/>
      <c r="H6" s="33">
        <v>0.0</v>
      </c>
      <c r="I6" s="34"/>
      <c r="J6" s="31"/>
      <c r="K6" s="33"/>
      <c r="L6" s="35"/>
      <c r="M6" s="33"/>
      <c r="N6" s="33"/>
      <c r="O6" s="36"/>
      <c r="P6" s="70">
        <v>381.0</v>
      </c>
      <c r="Q6" s="73">
        <v>300.0</v>
      </c>
      <c r="R6" s="70"/>
      <c r="S6" s="74">
        <v>81.0</v>
      </c>
      <c r="T6" s="41" t="s">
        <v>106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40.5" customHeight="1">
      <c r="A7" s="26">
        <v>3.0</v>
      </c>
      <c r="B7" s="27">
        <v>45510.0</v>
      </c>
      <c r="C7" s="28">
        <v>44035.0</v>
      </c>
      <c r="D7" s="29" t="s">
        <v>108</v>
      </c>
      <c r="E7" s="30" t="s">
        <v>53</v>
      </c>
      <c r="F7" s="31"/>
      <c r="G7" s="32"/>
      <c r="H7" s="33">
        <v>32600.0</v>
      </c>
      <c r="I7" s="34"/>
      <c r="J7" s="31"/>
      <c r="K7" s="33"/>
      <c r="L7" s="35"/>
      <c r="M7" s="33"/>
      <c r="N7" s="33"/>
      <c r="O7" s="36"/>
      <c r="P7" s="70">
        <v>4500.0</v>
      </c>
      <c r="Q7" s="73">
        <v>0.0</v>
      </c>
      <c r="R7" s="70"/>
      <c r="S7" s="74">
        <v>37100.0</v>
      </c>
      <c r="T7" s="41" t="s">
        <v>108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0.5" customHeight="1">
      <c r="A8" s="26">
        <v>4.0</v>
      </c>
      <c r="B8" s="27">
        <v>45510.0</v>
      </c>
      <c r="C8" s="28">
        <v>44035.0</v>
      </c>
      <c r="D8" s="29" t="s">
        <v>109</v>
      </c>
      <c r="E8" s="30" t="s">
        <v>53</v>
      </c>
      <c r="F8" s="31"/>
      <c r="G8" s="32"/>
      <c r="H8" s="33">
        <v>0.0</v>
      </c>
      <c r="I8" s="34"/>
      <c r="J8" s="31"/>
      <c r="K8" s="33"/>
      <c r="L8" s="35"/>
      <c r="M8" s="33"/>
      <c r="N8" s="33"/>
      <c r="O8" s="36"/>
      <c r="P8" s="70">
        <v>37100.0</v>
      </c>
      <c r="Q8" s="73">
        <v>37100.0</v>
      </c>
      <c r="R8" s="70"/>
      <c r="S8" s="74">
        <v>0.0</v>
      </c>
      <c r="T8" s="41" t="s">
        <v>109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40.5" customHeight="1">
      <c r="A9" s="26">
        <v>5.0</v>
      </c>
      <c r="B9" s="27">
        <v>45541.0</v>
      </c>
      <c r="C9" s="28">
        <v>50148.0</v>
      </c>
      <c r="D9" s="29" t="s">
        <v>110</v>
      </c>
      <c r="E9" s="30" t="s">
        <v>111</v>
      </c>
      <c r="F9" s="31"/>
      <c r="G9" s="32"/>
      <c r="H9" s="33">
        <v>1000.0</v>
      </c>
      <c r="I9" s="34"/>
      <c r="J9" s="31"/>
      <c r="K9" s="33"/>
      <c r="L9" s="35"/>
      <c r="M9" s="33"/>
      <c r="N9" s="33"/>
      <c r="O9" s="36"/>
      <c r="P9" s="70">
        <v>0.0</v>
      </c>
      <c r="Q9" s="73">
        <v>0.0</v>
      </c>
      <c r="R9" s="70"/>
      <c r="S9" s="74">
        <v>1000.0</v>
      </c>
      <c r="T9" s="41" t="s">
        <v>110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40.5" customHeight="1">
      <c r="A10" s="26">
        <v>6.0</v>
      </c>
      <c r="B10" s="27">
        <v>45541.0</v>
      </c>
      <c r="C10" s="28">
        <v>50148.0</v>
      </c>
      <c r="D10" s="29" t="s">
        <v>112</v>
      </c>
      <c r="E10" s="30" t="s">
        <v>111</v>
      </c>
      <c r="F10" s="31"/>
      <c r="G10" s="32"/>
      <c r="H10" s="33">
        <v>9000.0</v>
      </c>
      <c r="I10" s="34"/>
      <c r="J10" s="31"/>
      <c r="K10" s="33"/>
      <c r="L10" s="35"/>
      <c r="M10" s="33"/>
      <c r="N10" s="33"/>
      <c r="O10" s="36"/>
      <c r="P10" s="70">
        <v>1000.0</v>
      </c>
      <c r="Q10" s="73">
        <v>0.0</v>
      </c>
      <c r="R10" s="70"/>
      <c r="S10" s="74">
        <v>10000.0</v>
      </c>
      <c r="T10" s="41" t="s">
        <v>112</v>
      </c>
      <c r="U10" s="42" t="s">
        <v>29</v>
      </c>
      <c r="V10" s="4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40.5" customHeight="1">
      <c r="A11" s="26">
        <v>7.0</v>
      </c>
      <c r="B11" s="27">
        <v>45541.0</v>
      </c>
      <c r="C11" s="28">
        <v>50148.0</v>
      </c>
      <c r="D11" s="29" t="s">
        <v>113</v>
      </c>
      <c r="E11" s="30" t="s">
        <v>111</v>
      </c>
      <c r="F11" s="31"/>
      <c r="G11" s="32"/>
      <c r="H11" s="33">
        <v>0.0</v>
      </c>
      <c r="I11" s="34"/>
      <c r="J11" s="31"/>
      <c r="K11" s="33"/>
      <c r="L11" s="35"/>
      <c r="M11" s="33"/>
      <c r="N11" s="33"/>
      <c r="O11" s="36"/>
      <c r="P11" s="70">
        <v>10000.0</v>
      </c>
      <c r="Q11" s="73">
        <v>10000.0</v>
      </c>
      <c r="R11" s="70"/>
      <c r="S11" s="74">
        <v>0.0</v>
      </c>
      <c r="T11" s="41" t="s">
        <v>113</v>
      </c>
      <c r="U11" s="42" t="s">
        <v>29</v>
      </c>
      <c r="V11" s="4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40.5" customHeight="1">
      <c r="A12" s="26">
        <v>8.0</v>
      </c>
      <c r="B12" s="27">
        <v>45510.0</v>
      </c>
      <c r="C12" s="28">
        <v>50222.0</v>
      </c>
      <c r="D12" s="29" t="s">
        <v>114</v>
      </c>
      <c r="E12" s="30" t="s">
        <v>115</v>
      </c>
      <c r="F12" s="31"/>
      <c r="G12" s="32"/>
      <c r="H12" s="33">
        <v>0.0</v>
      </c>
      <c r="I12" s="34"/>
      <c r="J12" s="31"/>
      <c r="K12" s="33"/>
      <c r="L12" s="35"/>
      <c r="M12" s="33"/>
      <c r="N12" s="33"/>
      <c r="O12" s="36"/>
      <c r="P12" s="70">
        <v>1050.0</v>
      </c>
      <c r="Q12" s="73">
        <v>1050.0</v>
      </c>
      <c r="R12" s="70"/>
      <c r="S12" s="74">
        <v>0.0</v>
      </c>
      <c r="T12" s="41" t="s">
        <v>114</v>
      </c>
      <c r="U12" s="42" t="s">
        <v>29</v>
      </c>
      <c r="V12" s="43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40.5" customHeight="1">
      <c r="A13" s="26">
        <v>9.0</v>
      </c>
      <c r="B13" s="27">
        <v>45541.0</v>
      </c>
      <c r="C13" s="28">
        <v>80051.0</v>
      </c>
      <c r="D13" s="29" t="s">
        <v>116</v>
      </c>
      <c r="E13" s="30" t="s">
        <v>117</v>
      </c>
      <c r="F13" s="31"/>
      <c r="G13" s="32"/>
      <c r="H13" s="33"/>
      <c r="I13" s="34"/>
      <c r="J13" s="31"/>
      <c r="K13" s="33">
        <v>800.0</v>
      </c>
      <c r="L13" s="35"/>
      <c r="M13" s="33"/>
      <c r="N13" s="33"/>
      <c r="O13" s="36"/>
      <c r="P13" s="70">
        <v>108.7</v>
      </c>
      <c r="Q13" s="73">
        <v>0.0</v>
      </c>
      <c r="R13" s="70"/>
      <c r="S13" s="74">
        <v>908.7</v>
      </c>
      <c r="T13" s="41" t="s">
        <v>116</v>
      </c>
      <c r="U13" s="42" t="s">
        <v>29</v>
      </c>
      <c r="V13" s="43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40.5" customHeight="1">
      <c r="A14" s="26">
        <v>10.0</v>
      </c>
      <c r="B14" s="27">
        <v>45541.0</v>
      </c>
      <c r="C14" s="28">
        <v>80051.0</v>
      </c>
      <c r="D14" s="29" t="s">
        <v>118</v>
      </c>
      <c r="E14" s="30" t="s">
        <v>117</v>
      </c>
      <c r="F14" s="31"/>
      <c r="G14" s="32"/>
      <c r="H14" s="33">
        <v>0.0</v>
      </c>
      <c r="I14" s="34"/>
      <c r="J14" s="31"/>
      <c r="K14" s="33"/>
      <c r="L14" s="35"/>
      <c r="M14" s="33"/>
      <c r="N14" s="33"/>
      <c r="O14" s="36"/>
      <c r="P14" s="70">
        <v>908.7</v>
      </c>
      <c r="Q14" s="73">
        <v>900.0</v>
      </c>
      <c r="R14" s="70"/>
      <c r="S14" s="74">
        <v>8.7</v>
      </c>
      <c r="T14" s="41" t="s">
        <v>118</v>
      </c>
      <c r="U14" s="42" t="s">
        <v>29</v>
      </c>
      <c r="V14" s="43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40.5" customHeight="1">
      <c r="A15" s="26">
        <v>11.0</v>
      </c>
      <c r="B15" s="27">
        <v>45510.0</v>
      </c>
      <c r="C15" s="28">
        <v>82259.0</v>
      </c>
      <c r="D15" s="29" t="s">
        <v>119</v>
      </c>
      <c r="E15" s="30" t="s">
        <v>120</v>
      </c>
      <c r="F15" s="31"/>
      <c r="G15" s="32"/>
      <c r="H15" s="33">
        <v>540000.0</v>
      </c>
      <c r="I15" s="34"/>
      <c r="J15" s="31"/>
      <c r="K15" s="33"/>
      <c r="L15" s="35"/>
      <c r="M15" s="33"/>
      <c r="N15" s="33"/>
      <c r="O15" s="36"/>
      <c r="P15" s="70">
        <v>166250.0</v>
      </c>
      <c r="Q15" s="73">
        <v>0.0</v>
      </c>
      <c r="R15" s="70"/>
      <c r="S15" s="74">
        <v>706250.0</v>
      </c>
      <c r="T15" s="41" t="s">
        <v>119</v>
      </c>
      <c r="U15" s="42" t="s">
        <v>47</v>
      </c>
      <c r="V15" s="43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40.5" customHeight="1">
      <c r="A16" s="26">
        <v>12.0</v>
      </c>
      <c r="B16" s="27">
        <v>45541.0</v>
      </c>
      <c r="C16" s="28">
        <v>82259.0</v>
      </c>
      <c r="D16" s="29" t="s">
        <v>121</v>
      </c>
      <c r="E16" s="30" t="s">
        <v>120</v>
      </c>
      <c r="F16" s="31"/>
      <c r="G16" s="32"/>
      <c r="H16" s="33">
        <v>0.0</v>
      </c>
      <c r="I16" s="34"/>
      <c r="J16" s="31"/>
      <c r="K16" s="33"/>
      <c r="L16" s="35"/>
      <c r="M16" s="33"/>
      <c r="N16" s="33"/>
      <c r="O16" s="36"/>
      <c r="P16" s="70">
        <v>706250.0</v>
      </c>
      <c r="Q16" s="73">
        <v>85000.0</v>
      </c>
      <c r="R16" s="70"/>
      <c r="S16" s="74">
        <v>621250.0</v>
      </c>
      <c r="T16" s="41" t="s">
        <v>121</v>
      </c>
      <c r="U16" s="42" t="s">
        <v>47</v>
      </c>
      <c r="V16" s="43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ht="40.5" customHeight="1">
      <c r="A17" s="26">
        <v>13.0</v>
      </c>
      <c r="B17" s="27">
        <v>45541.0</v>
      </c>
      <c r="C17" s="28">
        <v>82372.0</v>
      </c>
      <c r="D17" s="29" t="s">
        <v>122</v>
      </c>
      <c r="E17" s="30" t="s">
        <v>123</v>
      </c>
      <c r="F17" s="31"/>
      <c r="G17" s="32"/>
      <c r="H17" s="33">
        <v>2500000.0</v>
      </c>
      <c r="I17" s="34"/>
      <c r="J17" s="31"/>
      <c r="K17" s="33"/>
      <c r="L17" s="35"/>
      <c r="M17" s="33"/>
      <c r="N17" s="33"/>
      <c r="O17" s="36"/>
      <c r="P17" s="70">
        <v>0.0</v>
      </c>
      <c r="Q17" s="73">
        <v>0.0</v>
      </c>
      <c r="R17" s="70"/>
      <c r="S17" s="74">
        <v>2500000.0</v>
      </c>
      <c r="T17" s="41" t="s">
        <v>122</v>
      </c>
      <c r="U17" s="42" t="s">
        <v>47</v>
      </c>
      <c r="V17" s="43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4"/>
      <c r="B18" s="46"/>
      <c r="C18" s="46"/>
      <c r="D18" s="47"/>
      <c r="E18" s="47"/>
      <c r="F18" s="48"/>
      <c r="G18" s="48"/>
      <c r="H18" s="49"/>
      <c r="I18" s="48"/>
      <c r="J18" s="48"/>
      <c r="K18" s="51"/>
      <c r="L18" s="61"/>
      <c r="M18" s="62"/>
      <c r="N18" s="52"/>
      <c r="O18" s="63"/>
      <c r="P18" s="54"/>
      <c r="Q18" s="55"/>
      <c r="R18" s="56"/>
      <c r="S18" s="57"/>
      <c r="T18" s="58"/>
      <c r="U18" s="59"/>
      <c r="V18" s="60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4"/>
      <c r="B19" s="46"/>
      <c r="C19" s="46"/>
      <c r="D19" s="47"/>
      <c r="E19" s="47"/>
      <c r="F19" s="48"/>
      <c r="G19" s="48"/>
      <c r="H19" s="49"/>
      <c r="I19" s="48"/>
      <c r="J19" s="48"/>
      <c r="K19" s="51"/>
      <c r="L19" s="61"/>
      <c r="M19" s="62"/>
      <c r="N19" s="52"/>
      <c r="O19" s="63"/>
      <c r="P19" s="54"/>
      <c r="Q19" s="55"/>
      <c r="R19" s="56"/>
      <c r="S19" s="57"/>
      <c r="T19" s="58"/>
      <c r="U19" s="59"/>
      <c r="V19" s="60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4"/>
      <c r="B20" s="46"/>
      <c r="C20" s="46"/>
      <c r="D20" s="47"/>
      <c r="E20" s="47"/>
      <c r="F20" s="48"/>
      <c r="G20" s="48"/>
      <c r="H20" s="49"/>
      <c r="I20" s="48"/>
      <c r="J20" s="48"/>
      <c r="K20" s="51"/>
      <c r="L20" s="61"/>
      <c r="M20" s="62"/>
      <c r="N20" s="52"/>
      <c r="O20" s="63"/>
      <c r="P20" s="54"/>
      <c r="Q20" s="55"/>
      <c r="R20" s="56"/>
      <c r="S20" s="57"/>
      <c r="T20" s="58"/>
      <c r="U20" s="59"/>
      <c r="V20" s="60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4"/>
      <c r="B21" s="46"/>
      <c r="C21" s="46"/>
      <c r="D21" s="47"/>
      <c r="E21" s="47"/>
      <c r="F21" s="48"/>
      <c r="G21" s="48"/>
      <c r="H21" s="49"/>
      <c r="I21" s="48"/>
      <c r="J21" s="48"/>
      <c r="K21" s="51"/>
      <c r="L21" s="61"/>
      <c r="M21" s="62"/>
      <c r="N21" s="52"/>
      <c r="O21" s="63"/>
      <c r="P21" s="54"/>
      <c r="Q21" s="55"/>
      <c r="R21" s="56"/>
      <c r="S21" s="57"/>
      <c r="T21" s="58"/>
      <c r="U21" s="59"/>
      <c r="V21" s="60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4"/>
      <c r="B22" s="46"/>
      <c r="C22" s="46"/>
      <c r="D22" s="47"/>
      <c r="E22" s="47"/>
      <c r="F22" s="48"/>
      <c r="G22" s="48"/>
      <c r="H22" s="49"/>
      <c r="I22" s="48"/>
      <c r="J22" s="48"/>
      <c r="K22" s="51"/>
      <c r="L22" s="61"/>
      <c r="M22" s="62"/>
      <c r="N22" s="52"/>
      <c r="O22" s="63"/>
      <c r="P22" s="54"/>
      <c r="Q22" s="55"/>
      <c r="R22" s="56"/>
      <c r="S22" s="57"/>
      <c r="T22" s="58"/>
      <c r="U22" s="59"/>
      <c r="V22" s="60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4"/>
      <c r="B23" s="46"/>
      <c r="C23" s="46"/>
      <c r="D23" s="47"/>
      <c r="E23" s="47"/>
      <c r="F23" s="48"/>
      <c r="G23" s="48"/>
      <c r="H23" s="49"/>
      <c r="I23" s="48"/>
      <c r="J23" s="48"/>
      <c r="K23" s="51"/>
      <c r="L23" s="61"/>
      <c r="M23" s="62"/>
      <c r="N23" s="52"/>
      <c r="O23" s="63"/>
      <c r="P23" s="54"/>
      <c r="Q23" s="55"/>
      <c r="R23" s="56"/>
      <c r="S23" s="57"/>
      <c r="T23" s="58"/>
      <c r="U23" s="59"/>
      <c r="V23" s="6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4"/>
      <c r="B24" s="46"/>
      <c r="C24" s="46"/>
      <c r="D24" s="47"/>
      <c r="E24" s="47"/>
      <c r="F24" s="48"/>
      <c r="G24" s="48"/>
      <c r="H24" s="49"/>
      <c r="I24" s="48"/>
      <c r="J24" s="48"/>
      <c r="K24" s="51"/>
      <c r="L24" s="61"/>
      <c r="M24" s="62"/>
      <c r="N24" s="52"/>
      <c r="O24" s="63"/>
      <c r="P24" s="54"/>
      <c r="Q24" s="55"/>
      <c r="R24" s="56"/>
      <c r="S24" s="57"/>
      <c r="T24" s="58"/>
      <c r="U24" s="59"/>
      <c r="V24" s="60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4"/>
      <c r="B25" s="46"/>
      <c r="C25" s="46"/>
      <c r="D25" s="47"/>
      <c r="E25" s="47"/>
      <c r="F25" s="48"/>
      <c r="G25" s="48"/>
      <c r="H25" s="49"/>
      <c r="I25" s="48"/>
      <c r="J25" s="48"/>
      <c r="K25" s="51"/>
      <c r="L25" s="61"/>
      <c r="M25" s="62"/>
      <c r="N25" s="52"/>
      <c r="O25" s="63"/>
      <c r="P25" s="54"/>
      <c r="Q25" s="55"/>
      <c r="R25" s="56"/>
      <c r="S25" s="57"/>
      <c r="T25" s="58"/>
      <c r="U25" s="59"/>
      <c r="V25" s="60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4"/>
      <c r="B26" s="46"/>
      <c r="C26" s="46"/>
      <c r="D26" s="47"/>
      <c r="E26" s="47"/>
      <c r="F26" s="48"/>
      <c r="G26" s="48"/>
      <c r="H26" s="49"/>
      <c r="I26" s="48"/>
      <c r="J26" s="48"/>
      <c r="K26" s="51"/>
      <c r="L26" s="61"/>
      <c r="M26" s="62"/>
      <c r="N26" s="52"/>
      <c r="O26" s="63"/>
      <c r="P26" s="54"/>
      <c r="Q26" s="55"/>
      <c r="R26" s="56"/>
      <c r="S26" s="57"/>
      <c r="T26" s="58"/>
      <c r="U26" s="59"/>
      <c r="V26" s="60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4"/>
      <c r="B27" s="46"/>
      <c r="C27" s="46"/>
      <c r="D27" s="47"/>
      <c r="E27" s="47"/>
      <c r="F27" s="48"/>
      <c r="G27" s="48"/>
      <c r="H27" s="49"/>
      <c r="I27" s="48"/>
      <c r="J27" s="48"/>
      <c r="K27" s="51"/>
      <c r="L27" s="61"/>
      <c r="M27" s="62"/>
      <c r="N27" s="52"/>
      <c r="O27" s="63"/>
      <c r="P27" s="54"/>
      <c r="Q27" s="55"/>
      <c r="R27" s="56"/>
      <c r="S27" s="57"/>
      <c r="T27" s="58"/>
      <c r="U27" s="59"/>
      <c r="V27" s="60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4"/>
      <c r="B28" s="46"/>
      <c r="C28" s="46"/>
      <c r="D28" s="47"/>
      <c r="E28" s="47"/>
      <c r="F28" s="48"/>
      <c r="G28" s="48"/>
      <c r="H28" s="49"/>
      <c r="I28" s="48"/>
      <c r="J28" s="48"/>
      <c r="K28" s="51"/>
      <c r="L28" s="61"/>
      <c r="M28" s="62"/>
      <c r="N28" s="52"/>
      <c r="O28" s="63"/>
      <c r="P28" s="54"/>
      <c r="Q28" s="55"/>
      <c r="R28" s="56"/>
      <c r="S28" s="57"/>
      <c r="T28" s="58"/>
      <c r="U28" s="59"/>
      <c r="V28" s="60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4"/>
      <c r="B29" s="46"/>
      <c r="C29" s="46"/>
      <c r="D29" s="47"/>
      <c r="E29" s="47"/>
      <c r="F29" s="48"/>
      <c r="G29" s="48"/>
      <c r="H29" s="49"/>
      <c r="I29" s="48"/>
      <c r="J29" s="48"/>
      <c r="K29" s="51"/>
      <c r="L29" s="61"/>
      <c r="M29" s="62"/>
      <c r="N29" s="52"/>
      <c r="O29" s="63"/>
      <c r="P29" s="54"/>
      <c r="Q29" s="55"/>
      <c r="R29" s="56"/>
      <c r="S29" s="57"/>
      <c r="T29" s="58"/>
      <c r="U29" s="59"/>
      <c r="V29" s="6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4"/>
      <c r="B30" s="46"/>
      <c r="C30" s="46"/>
      <c r="D30" s="47"/>
      <c r="E30" s="47"/>
      <c r="F30" s="60"/>
      <c r="G30" s="60"/>
      <c r="H30" s="64"/>
      <c r="I30" s="60"/>
      <c r="J30" s="60"/>
      <c r="K30" s="65"/>
      <c r="L30" s="60"/>
      <c r="M30" s="66"/>
      <c r="N30" s="67"/>
      <c r="O30" s="56"/>
      <c r="P30" s="54"/>
      <c r="Q30" s="55"/>
      <c r="R30" s="56"/>
      <c r="S30" s="57"/>
      <c r="T30" s="58"/>
      <c r="U30" s="59"/>
      <c r="V30" s="6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4"/>
      <c r="B31" s="46"/>
      <c r="C31" s="46"/>
      <c r="D31" s="47"/>
      <c r="E31" s="47"/>
      <c r="F31" s="60"/>
      <c r="G31" s="60"/>
      <c r="H31" s="64"/>
      <c r="I31" s="60"/>
      <c r="J31" s="60"/>
      <c r="K31" s="65"/>
      <c r="L31" s="60"/>
      <c r="M31" s="66"/>
      <c r="N31" s="67"/>
      <c r="O31" s="56"/>
      <c r="P31" s="54"/>
      <c r="Q31" s="55"/>
      <c r="R31" s="56"/>
      <c r="S31" s="57"/>
      <c r="T31" s="58"/>
      <c r="U31" s="59"/>
      <c r="V31" s="60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4"/>
      <c r="B32" s="46"/>
      <c r="C32" s="46"/>
      <c r="D32" s="47"/>
      <c r="E32" s="47"/>
      <c r="F32" s="60"/>
      <c r="G32" s="60"/>
      <c r="H32" s="64"/>
      <c r="I32" s="60"/>
      <c r="J32" s="60"/>
      <c r="K32" s="65"/>
      <c r="L32" s="60"/>
      <c r="M32" s="66"/>
      <c r="N32" s="67"/>
      <c r="O32" s="56"/>
      <c r="P32" s="54"/>
      <c r="Q32" s="55"/>
      <c r="R32" s="56"/>
      <c r="S32" s="57"/>
      <c r="T32" s="58"/>
      <c r="U32" s="59"/>
      <c r="V32" s="60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60"/>
      <c r="G33" s="60"/>
      <c r="H33" s="64"/>
      <c r="I33" s="60"/>
      <c r="J33" s="60"/>
      <c r="K33" s="65"/>
      <c r="L33" s="60"/>
      <c r="M33" s="66"/>
      <c r="N33" s="67"/>
      <c r="O33" s="56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60"/>
      <c r="G34" s="60"/>
      <c r="H34" s="64"/>
      <c r="I34" s="60"/>
      <c r="J34" s="60"/>
      <c r="K34" s="65"/>
      <c r="L34" s="60"/>
      <c r="M34" s="66"/>
      <c r="N34" s="67"/>
      <c r="O34" s="56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60"/>
      <c r="G35" s="60"/>
      <c r="H35" s="64"/>
      <c r="I35" s="60"/>
      <c r="J35" s="60"/>
      <c r="K35" s="65"/>
      <c r="L35" s="60"/>
      <c r="M35" s="66"/>
      <c r="N35" s="67"/>
      <c r="O35" s="56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60"/>
      <c r="G36" s="60"/>
      <c r="H36" s="64"/>
      <c r="I36" s="60"/>
      <c r="J36" s="60"/>
      <c r="K36" s="65"/>
      <c r="L36" s="60"/>
      <c r="M36" s="66"/>
      <c r="N36" s="67"/>
      <c r="O36" s="56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46"/>
      <c r="C37" s="46"/>
      <c r="D37" s="47"/>
      <c r="E37" s="47"/>
      <c r="F37" s="60"/>
      <c r="G37" s="60"/>
      <c r="H37" s="64"/>
      <c r="I37" s="60"/>
      <c r="J37" s="60"/>
      <c r="K37" s="65"/>
      <c r="L37" s="60"/>
      <c r="M37" s="66"/>
      <c r="N37" s="67"/>
      <c r="O37" s="56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46"/>
      <c r="C38" s="46"/>
      <c r="D38" s="47"/>
      <c r="E38" s="47"/>
      <c r="F38" s="60"/>
      <c r="G38" s="60"/>
      <c r="H38" s="64"/>
      <c r="I38" s="60"/>
      <c r="J38" s="60"/>
      <c r="K38" s="65"/>
      <c r="L38" s="60"/>
      <c r="M38" s="66"/>
      <c r="N38" s="67"/>
      <c r="O38" s="56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46"/>
      <c r="C39" s="46"/>
      <c r="D39" s="47"/>
      <c r="E39" s="47"/>
      <c r="F39" s="60"/>
      <c r="G39" s="60"/>
      <c r="H39" s="64"/>
      <c r="I39" s="60"/>
      <c r="J39" s="60"/>
      <c r="K39" s="65"/>
      <c r="L39" s="60"/>
      <c r="M39" s="66"/>
      <c r="N39" s="67"/>
      <c r="O39" s="56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46"/>
      <c r="C40" s="46"/>
      <c r="D40" s="47"/>
      <c r="E40" s="47"/>
      <c r="F40" s="60"/>
      <c r="G40" s="60"/>
      <c r="H40" s="64"/>
      <c r="I40" s="60"/>
      <c r="J40" s="60"/>
      <c r="K40" s="65"/>
      <c r="L40" s="60"/>
      <c r="M40" s="66"/>
      <c r="N40" s="67"/>
      <c r="O40" s="56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46"/>
      <c r="C41" s="46"/>
      <c r="D41" s="47"/>
      <c r="E41" s="47"/>
      <c r="F41" s="60"/>
      <c r="G41" s="60"/>
      <c r="H41" s="64"/>
      <c r="I41" s="60"/>
      <c r="J41" s="60"/>
      <c r="K41" s="65"/>
      <c r="L41" s="60"/>
      <c r="M41" s="66"/>
      <c r="N41" s="67"/>
      <c r="O41" s="56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4"/>
      <c r="B42" s="46"/>
      <c r="C42" s="46"/>
      <c r="D42" s="47"/>
      <c r="E42" s="47"/>
      <c r="F42" s="60"/>
      <c r="G42" s="60"/>
      <c r="H42" s="64"/>
      <c r="I42" s="60"/>
      <c r="J42" s="60"/>
      <c r="K42" s="65"/>
      <c r="L42" s="60"/>
      <c r="M42" s="66"/>
      <c r="N42" s="67"/>
      <c r="O42" s="56"/>
      <c r="P42" s="54"/>
      <c r="Q42" s="55"/>
      <c r="R42" s="56"/>
      <c r="S42" s="57"/>
      <c r="T42" s="58"/>
      <c r="U42" s="59"/>
      <c r="V42" s="60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4"/>
      <c r="B43" s="68"/>
      <c r="C43" s="46"/>
      <c r="D43" s="47"/>
      <c r="E43" s="47"/>
      <c r="F43" s="60"/>
      <c r="G43" s="60"/>
      <c r="H43" s="64"/>
      <c r="I43" s="60"/>
      <c r="J43" s="60"/>
      <c r="K43" s="65"/>
      <c r="L43" s="60"/>
      <c r="M43" s="66"/>
      <c r="N43" s="67"/>
      <c r="O43" s="56"/>
      <c r="P43" s="54"/>
      <c r="Q43" s="55"/>
      <c r="R43" s="56"/>
      <c r="S43" s="57"/>
      <c r="T43" s="58"/>
      <c r="U43" s="59"/>
      <c r="V43" s="60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4"/>
      <c r="B44" s="68"/>
      <c r="C44" s="46"/>
      <c r="D44" s="47"/>
      <c r="E44" s="47"/>
      <c r="F44" s="60"/>
      <c r="G44" s="60"/>
      <c r="H44" s="64"/>
      <c r="I44" s="60"/>
      <c r="J44" s="60"/>
      <c r="K44" s="65"/>
      <c r="L44" s="60"/>
      <c r="M44" s="66"/>
      <c r="N44" s="67"/>
      <c r="O44" s="56"/>
      <c r="P44" s="54"/>
      <c r="Q44" s="55"/>
      <c r="R44" s="56"/>
      <c r="S44" s="57"/>
      <c r="T44" s="58"/>
      <c r="U44" s="59"/>
      <c r="V44" s="60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4"/>
      <c r="B45" s="68"/>
      <c r="C45" s="46"/>
      <c r="D45" s="47"/>
      <c r="E45" s="47"/>
      <c r="F45" s="60"/>
      <c r="G45" s="60"/>
      <c r="H45" s="64"/>
      <c r="I45" s="60"/>
      <c r="J45" s="60"/>
      <c r="K45" s="65"/>
      <c r="L45" s="60"/>
      <c r="M45" s="66"/>
      <c r="N45" s="67"/>
      <c r="O45" s="56"/>
      <c r="P45" s="54"/>
      <c r="Q45" s="55"/>
      <c r="R45" s="56"/>
      <c r="S45" s="57"/>
      <c r="T45" s="58"/>
      <c r="U45" s="59"/>
      <c r="V45" s="60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4"/>
      <c r="B46" s="68"/>
      <c r="C46" s="46"/>
      <c r="D46" s="47"/>
      <c r="E46" s="47"/>
      <c r="F46" s="60"/>
      <c r="G46" s="60"/>
      <c r="H46" s="64"/>
      <c r="I46" s="60"/>
      <c r="J46" s="60"/>
      <c r="K46" s="65"/>
      <c r="L46" s="60"/>
      <c r="M46" s="66"/>
      <c r="N46" s="67"/>
      <c r="O46" s="56"/>
      <c r="P46" s="54"/>
      <c r="Q46" s="55"/>
      <c r="R46" s="56"/>
      <c r="S46" s="57"/>
      <c r="T46" s="58"/>
      <c r="U46" s="59"/>
      <c r="V46" s="60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4"/>
      <c r="B47" s="68"/>
      <c r="C47" s="46"/>
      <c r="D47" s="47"/>
      <c r="E47" s="47"/>
      <c r="F47" s="60"/>
      <c r="G47" s="60"/>
      <c r="H47" s="64"/>
      <c r="I47" s="60"/>
      <c r="J47" s="60"/>
      <c r="K47" s="65"/>
      <c r="L47" s="60"/>
      <c r="M47" s="66"/>
      <c r="N47" s="67"/>
      <c r="O47" s="56"/>
      <c r="P47" s="54"/>
      <c r="Q47" s="55"/>
      <c r="R47" s="56"/>
      <c r="S47" s="57"/>
      <c r="T47" s="58"/>
      <c r="U47" s="59"/>
      <c r="V47" s="60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69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7" max="17" width="13.8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40.5" customHeight="1">
      <c r="A5" s="26">
        <v>1.0</v>
      </c>
      <c r="B5" s="27">
        <v>45571.0</v>
      </c>
      <c r="C5" s="28">
        <v>21828.0</v>
      </c>
      <c r="D5" s="29" t="s">
        <v>125</v>
      </c>
      <c r="E5" s="30" t="s">
        <v>50</v>
      </c>
      <c r="F5" s="31"/>
      <c r="G5" s="32"/>
      <c r="H5" s="33"/>
      <c r="I5" s="34"/>
      <c r="J5" s="31"/>
      <c r="K5" s="35"/>
      <c r="L5" s="35"/>
      <c r="M5" s="33"/>
      <c r="N5" s="33">
        <v>105.0</v>
      </c>
      <c r="O5" s="36"/>
      <c r="P5" s="70">
        <v>0.09</v>
      </c>
      <c r="Q5" s="73">
        <v>0.0</v>
      </c>
      <c r="R5" s="70"/>
      <c r="S5" s="74">
        <v>105.09</v>
      </c>
      <c r="T5" s="41" t="s">
        <v>125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40.5" customHeight="1">
      <c r="A6" s="26">
        <v>2.0</v>
      </c>
      <c r="B6" s="27">
        <v>45571.0</v>
      </c>
      <c r="C6" s="28">
        <v>21828.0</v>
      </c>
      <c r="D6" s="29" t="s">
        <v>126</v>
      </c>
      <c r="E6" s="30" t="s">
        <v>50</v>
      </c>
      <c r="F6" s="31"/>
      <c r="G6" s="32"/>
      <c r="H6" s="33"/>
      <c r="I6" s="34"/>
      <c r="J6" s="31"/>
      <c r="K6" s="33"/>
      <c r="L6" s="35"/>
      <c r="M6" s="33">
        <v>795.0</v>
      </c>
      <c r="N6" s="33"/>
      <c r="O6" s="36"/>
      <c r="P6" s="70">
        <v>105.09</v>
      </c>
      <c r="Q6" s="73">
        <v>0.0</v>
      </c>
      <c r="R6" s="70"/>
      <c r="S6" s="74">
        <v>900.09</v>
      </c>
      <c r="T6" s="41" t="s">
        <v>126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40.5" customHeight="1">
      <c r="A7" s="26">
        <v>3.0</v>
      </c>
      <c r="B7" s="27">
        <v>45571.0</v>
      </c>
      <c r="C7" s="28">
        <v>21828.0</v>
      </c>
      <c r="D7" s="29" t="s">
        <v>127</v>
      </c>
      <c r="E7" s="30" t="s">
        <v>50</v>
      </c>
      <c r="F7" s="31"/>
      <c r="G7" s="32"/>
      <c r="H7" s="33">
        <v>0.0</v>
      </c>
      <c r="I7" s="34"/>
      <c r="J7" s="31"/>
      <c r="K7" s="33"/>
      <c r="L7" s="35"/>
      <c r="M7" s="33"/>
      <c r="N7" s="33"/>
      <c r="O7" s="36"/>
      <c r="P7" s="70">
        <v>900.09</v>
      </c>
      <c r="Q7" s="73">
        <v>900.0</v>
      </c>
      <c r="R7" s="70"/>
      <c r="S7" s="74">
        <v>0.09</v>
      </c>
      <c r="T7" s="41" t="s">
        <v>127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0.5" customHeight="1">
      <c r="A8" s="26">
        <v>4.0</v>
      </c>
      <c r="B8" s="27">
        <v>45571.0</v>
      </c>
      <c r="C8" s="28">
        <v>22332.0</v>
      </c>
      <c r="D8" s="29" t="s">
        <v>128</v>
      </c>
      <c r="E8" s="30" t="s">
        <v>129</v>
      </c>
      <c r="F8" s="31"/>
      <c r="G8" s="32"/>
      <c r="H8" s="33"/>
      <c r="I8" s="34"/>
      <c r="J8" s="31"/>
      <c r="K8" s="33"/>
      <c r="L8" s="35"/>
      <c r="M8" s="33"/>
      <c r="N8" s="33">
        <v>6467.3</v>
      </c>
      <c r="O8" s="36"/>
      <c r="P8" s="70">
        <v>0.04</v>
      </c>
      <c r="Q8" s="73">
        <v>0.0</v>
      </c>
      <c r="R8" s="70"/>
      <c r="S8" s="74">
        <v>6467.7</v>
      </c>
      <c r="T8" s="41" t="s">
        <v>128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40.5" customHeight="1">
      <c r="A9" s="26">
        <v>5.0</v>
      </c>
      <c r="B9" s="27">
        <v>45571.0</v>
      </c>
      <c r="C9" s="28">
        <v>22332.0</v>
      </c>
      <c r="D9" s="29" t="s">
        <v>130</v>
      </c>
      <c r="E9" s="30" t="s">
        <v>129</v>
      </c>
      <c r="F9" s="31"/>
      <c r="G9" s="32"/>
      <c r="H9" s="33">
        <v>0.0</v>
      </c>
      <c r="I9" s="34"/>
      <c r="J9" s="31"/>
      <c r="K9" s="33"/>
      <c r="L9" s="35"/>
      <c r="M9" s="33"/>
      <c r="N9" s="33"/>
      <c r="O9" s="36"/>
      <c r="P9" s="70">
        <v>6467.7</v>
      </c>
      <c r="Q9" s="73">
        <v>6467.0</v>
      </c>
      <c r="R9" s="70"/>
      <c r="S9" s="74">
        <v>0.7</v>
      </c>
      <c r="T9" s="41" t="s">
        <v>130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40.5" customHeight="1">
      <c r="A10" s="26">
        <v>6.0</v>
      </c>
      <c r="B10" s="27">
        <v>45571.0</v>
      </c>
      <c r="C10" s="28">
        <v>22332.0</v>
      </c>
      <c r="D10" s="29" t="s">
        <v>131</v>
      </c>
      <c r="E10" s="30" t="s">
        <v>129</v>
      </c>
      <c r="F10" s="31"/>
      <c r="G10" s="32"/>
      <c r="H10" s="33"/>
      <c r="I10" s="34"/>
      <c r="J10" s="31"/>
      <c r="K10" s="33"/>
      <c r="L10" s="35"/>
      <c r="M10" s="33"/>
      <c r="N10" s="33"/>
      <c r="O10" s="36"/>
      <c r="P10" s="70"/>
      <c r="Q10" s="73">
        <v>0.0</v>
      </c>
      <c r="R10" s="70">
        <v>6467.0</v>
      </c>
      <c r="S10" s="74">
        <v>6467.7</v>
      </c>
      <c r="T10" s="41" t="s">
        <v>131</v>
      </c>
      <c r="U10" s="42" t="s">
        <v>29</v>
      </c>
      <c r="V10" s="4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40.5" customHeight="1">
      <c r="A11" s="26">
        <v>7.0</v>
      </c>
      <c r="B11" s="27">
        <v>45571.0</v>
      </c>
      <c r="C11" s="28">
        <v>22332.0</v>
      </c>
      <c r="D11" s="29" t="s">
        <v>132</v>
      </c>
      <c r="E11" s="30" t="s">
        <v>129</v>
      </c>
      <c r="F11" s="31"/>
      <c r="G11" s="32"/>
      <c r="H11" s="33">
        <v>0.0</v>
      </c>
      <c r="I11" s="34"/>
      <c r="J11" s="31"/>
      <c r="K11" s="33"/>
      <c r="L11" s="35"/>
      <c r="M11" s="33"/>
      <c r="N11" s="33"/>
      <c r="O11" s="36"/>
      <c r="P11" s="70">
        <v>6467.7</v>
      </c>
      <c r="Q11" s="73">
        <v>6467.0</v>
      </c>
      <c r="R11" s="70"/>
      <c r="S11" s="74">
        <v>0.7</v>
      </c>
      <c r="T11" s="41" t="s">
        <v>132</v>
      </c>
      <c r="U11" s="42" t="s">
        <v>29</v>
      </c>
      <c r="V11" s="4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40.5" customHeight="1">
      <c r="A12" s="26">
        <v>8.0</v>
      </c>
      <c r="B12" s="27">
        <v>45571.0</v>
      </c>
      <c r="C12" s="28">
        <v>24368.0</v>
      </c>
      <c r="D12" s="29" t="s">
        <v>133</v>
      </c>
      <c r="E12" s="30" t="s">
        <v>134</v>
      </c>
      <c r="F12" s="31"/>
      <c r="G12" s="32"/>
      <c r="H12" s="33"/>
      <c r="I12" s="34"/>
      <c r="J12" s="31"/>
      <c r="K12" s="33"/>
      <c r="L12" s="35"/>
      <c r="M12" s="33"/>
      <c r="N12" s="33">
        <v>2224.95</v>
      </c>
      <c r="O12" s="36"/>
      <c r="P12" s="70">
        <v>0.15</v>
      </c>
      <c r="Q12" s="73">
        <v>0.0</v>
      </c>
      <c r="R12" s="70"/>
      <c r="S12" s="74">
        <v>2225.1</v>
      </c>
      <c r="T12" s="41" t="s">
        <v>133</v>
      </c>
      <c r="U12" s="42" t="s">
        <v>29</v>
      </c>
      <c r="V12" s="43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40.5" customHeight="1">
      <c r="A13" s="26">
        <v>9.0</v>
      </c>
      <c r="B13" s="27">
        <v>45571.0</v>
      </c>
      <c r="C13" s="28">
        <v>24368.0</v>
      </c>
      <c r="D13" s="29" t="s">
        <v>135</v>
      </c>
      <c r="E13" s="30" t="s">
        <v>134</v>
      </c>
      <c r="F13" s="31"/>
      <c r="G13" s="32"/>
      <c r="H13" s="33">
        <v>0.0</v>
      </c>
      <c r="I13" s="34"/>
      <c r="J13" s="31"/>
      <c r="K13" s="33"/>
      <c r="L13" s="35"/>
      <c r="M13" s="33"/>
      <c r="N13" s="33"/>
      <c r="O13" s="36"/>
      <c r="P13" s="70">
        <v>2225.1</v>
      </c>
      <c r="Q13" s="73">
        <v>600.0</v>
      </c>
      <c r="R13" s="70"/>
      <c r="S13" s="74">
        <v>1625.1</v>
      </c>
      <c r="T13" s="41" t="s">
        <v>135</v>
      </c>
      <c r="U13" s="42" t="s">
        <v>29</v>
      </c>
      <c r="V13" s="43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40.5" customHeight="1">
      <c r="A14" s="26">
        <v>10.0</v>
      </c>
      <c r="B14" s="27">
        <v>45571.0</v>
      </c>
      <c r="C14" s="28">
        <v>28414.0</v>
      </c>
      <c r="D14" s="29" t="s">
        <v>136</v>
      </c>
      <c r="E14" s="30" t="s">
        <v>107</v>
      </c>
      <c r="F14" s="31"/>
      <c r="G14" s="32"/>
      <c r="H14" s="33"/>
      <c r="I14" s="34"/>
      <c r="J14" s="31"/>
      <c r="K14" s="33"/>
      <c r="L14" s="35"/>
      <c r="M14" s="33"/>
      <c r="N14" s="33">
        <v>997.0</v>
      </c>
      <c r="O14" s="36"/>
      <c r="P14" s="70">
        <v>81.0</v>
      </c>
      <c r="Q14" s="73">
        <v>0.0</v>
      </c>
      <c r="R14" s="70"/>
      <c r="S14" s="74">
        <v>1078.0</v>
      </c>
      <c r="T14" s="41" t="s">
        <v>136</v>
      </c>
      <c r="U14" s="42" t="s">
        <v>29</v>
      </c>
      <c r="V14" s="43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40.5" customHeight="1">
      <c r="A15" s="26">
        <v>11.0</v>
      </c>
      <c r="B15" s="27">
        <v>45571.0</v>
      </c>
      <c r="C15" s="28">
        <v>28414.0</v>
      </c>
      <c r="D15" s="29" t="s">
        <v>137</v>
      </c>
      <c r="E15" s="30" t="s">
        <v>107</v>
      </c>
      <c r="F15" s="31"/>
      <c r="G15" s="32"/>
      <c r="H15" s="33">
        <v>0.0</v>
      </c>
      <c r="I15" s="34"/>
      <c r="J15" s="31"/>
      <c r="K15" s="33"/>
      <c r="L15" s="35"/>
      <c r="M15" s="33"/>
      <c r="N15" s="33"/>
      <c r="O15" s="36"/>
      <c r="P15" s="70">
        <v>1078.0</v>
      </c>
      <c r="Q15" s="73">
        <v>1000.0</v>
      </c>
      <c r="R15" s="70"/>
      <c r="S15" s="74">
        <v>78.0</v>
      </c>
      <c r="T15" s="41" t="s">
        <v>137</v>
      </c>
      <c r="U15" s="42" t="s">
        <v>29</v>
      </c>
      <c r="V15" s="43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40.5" customHeight="1">
      <c r="A16" s="26">
        <v>12.0</v>
      </c>
      <c r="B16" s="27">
        <v>45571.0</v>
      </c>
      <c r="C16" s="28">
        <v>28414.0</v>
      </c>
      <c r="D16" s="29" t="s">
        <v>138</v>
      </c>
      <c r="E16" s="30" t="s">
        <v>107</v>
      </c>
      <c r="F16" s="31"/>
      <c r="G16" s="32"/>
      <c r="H16" s="33">
        <v>4500.0</v>
      </c>
      <c r="I16" s="34"/>
      <c r="J16" s="31"/>
      <c r="K16" s="33"/>
      <c r="L16" s="35"/>
      <c r="M16" s="33"/>
      <c r="N16" s="33"/>
      <c r="O16" s="36"/>
      <c r="P16" s="70">
        <v>78.0</v>
      </c>
      <c r="Q16" s="73">
        <v>0.0</v>
      </c>
      <c r="R16" s="70"/>
      <c r="S16" s="74">
        <v>4578.0</v>
      </c>
      <c r="T16" s="41" t="s">
        <v>138</v>
      </c>
      <c r="U16" s="42" t="s">
        <v>29</v>
      </c>
      <c r="V16" s="43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ht="40.5" customHeight="1">
      <c r="A17" s="26">
        <v>13.0</v>
      </c>
      <c r="B17" s="27">
        <v>45571.0</v>
      </c>
      <c r="C17" s="28">
        <v>28414.0</v>
      </c>
      <c r="D17" s="29" t="s">
        <v>139</v>
      </c>
      <c r="E17" s="30" t="s">
        <v>107</v>
      </c>
      <c r="F17" s="31"/>
      <c r="G17" s="32"/>
      <c r="H17" s="33">
        <v>0.0</v>
      </c>
      <c r="I17" s="34"/>
      <c r="J17" s="31"/>
      <c r="K17" s="33"/>
      <c r="L17" s="35"/>
      <c r="M17" s="33"/>
      <c r="N17" s="33"/>
      <c r="O17" s="36"/>
      <c r="P17" s="70">
        <v>4578.0</v>
      </c>
      <c r="Q17" s="73">
        <v>4500.0</v>
      </c>
      <c r="R17" s="70"/>
      <c r="S17" s="74">
        <v>78.0</v>
      </c>
      <c r="T17" s="41" t="s">
        <v>139</v>
      </c>
      <c r="U17" s="42" t="s">
        <v>29</v>
      </c>
      <c r="V17" s="43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ht="40.5" customHeight="1">
      <c r="A18" s="26">
        <v>14.0</v>
      </c>
      <c r="B18" s="27">
        <v>45571.0</v>
      </c>
      <c r="C18" s="28">
        <v>35245.0</v>
      </c>
      <c r="D18" s="29" t="s">
        <v>140</v>
      </c>
      <c r="E18" s="30" t="s">
        <v>141</v>
      </c>
      <c r="F18" s="31"/>
      <c r="G18" s="32"/>
      <c r="H18" s="33"/>
      <c r="I18" s="34"/>
      <c r="J18" s="31"/>
      <c r="K18" s="33"/>
      <c r="L18" s="35"/>
      <c r="M18" s="33"/>
      <c r="N18" s="33">
        <v>3770.6</v>
      </c>
      <c r="O18" s="36"/>
      <c r="P18" s="70">
        <v>0.65</v>
      </c>
      <c r="Q18" s="73">
        <v>0.0</v>
      </c>
      <c r="R18" s="70"/>
      <c r="S18" s="74">
        <v>3771.25</v>
      </c>
      <c r="T18" s="41" t="s">
        <v>140</v>
      </c>
      <c r="U18" s="42" t="s">
        <v>29</v>
      </c>
      <c r="V18" s="43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ht="40.5" customHeight="1">
      <c r="A19" s="26">
        <v>15.0</v>
      </c>
      <c r="B19" s="27">
        <v>45571.0</v>
      </c>
      <c r="C19" s="28">
        <v>35245.0</v>
      </c>
      <c r="D19" s="29" t="s">
        <v>142</v>
      </c>
      <c r="E19" s="30" t="s">
        <v>141</v>
      </c>
      <c r="F19" s="31"/>
      <c r="G19" s="32"/>
      <c r="H19" s="33">
        <v>3229.0</v>
      </c>
      <c r="I19" s="34"/>
      <c r="J19" s="31"/>
      <c r="K19" s="33"/>
      <c r="L19" s="35"/>
      <c r="M19" s="33"/>
      <c r="N19" s="33"/>
      <c r="O19" s="36"/>
      <c r="P19" s="70">
        <v>3771.25</v>
      </c>
      <c r="Q19" s="73">
        <v>0.0</v>
      </c>
      <c r="R19" s="70"/>
      <c r="S19" s="74">
        <v>7000.25</v>
      </c>
      <c r="T19" s="41" t="s">
        <v>142</v>
      </c>
      <c r="U19" s="42" t="s">
        <v>29</v>
      </c>
      <c r="V19" s="43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ht="40.5" customHeight="1">
      <c r="A20" s="26">
        <v>16.0</v>
      </c>
      <c r="B20" s="27">
        <v>45571.0</v>
      </c>
      <c r="C20" s="28">
        <v>35245.0</v>
      </c>
      <c r="D20" s="29" t="s">
        <v>143</v>
      </c>
      <c r="E20" s="30" t="s">
        <v>141</v>
      </c>
      <c r="F20" s="31"/>
      <c r="G20" s="32"/>
      <c r="H20" s="33">
        <v>0.0</v>
      </c>
      <c r="I20" s="34"/>
      <c r="J20" s="31"/>
      <c r="K20" s="33"/>
      <c r="L20" s="35"/>
      <c r="M20" s="33"/>
      <c r="N20" s="33"/>
      <c r="O20" s="36"/>
      <c r="P20" s="70">
        <v>7000.25</v>
      </c>
      <c r="Q20" s="73">
        <v>7000.0</v>
      </c>
      <c r="R20" s="70"/>
      <c r="S20" s="74">
        <v>0.25</v>
      </c>
      <c r="T20" s="41" t="s">
        <v>143</v>
      </c>
      <c r="U20" s="42" t="s">
        <v>29</v>
      </c>
      <c r="V20" s="43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ht="40.5" customHeight="1">
      <c r="A21" s="26">
        <v>17.0</v>
      </c>
      <c r="B21" s="27">
        <v>45571.0</v>
      </c>
      <c r="C21" s="28">
        <v>43380.0</v>
      </c>
      <c r="D21" s="29" t="s">
        <v>144</v>
      </c>
      <c r="E21" s="30" t="s">
        <v>145</v>
      </c>
      <c r="F21" s="31"/>
      <c r="G21" s="32"/>
      <c r="H21" s="33">
        <v>7300.0</v>
      </c>
      <c r="I21" s="34"/>
      <c r="J21" s="31"/>
      <c r="K21" s="33"/>
      <c r="L21" s="35"/>
      <c r="M21" s="33"/>
      <c r="N21" s="33"/>
      <c r="O21" s="36"/>
      <c r="P21" s="70">
        <v>0.0</v>
      </c>
      <c r="Q21" s="73">
        <v>0.0</v>
      </c>
      <c r="R21" s="70"/>
      <c r="S21" s="74">
        <v>7300.0</v>
      </c>
      <c r="T21" s="41" t="s">
        <v>144</v>
      </c>
      <c r="U21" s="42" t="s">
        <v>29</v>
      </c>
      <c r="V21" s="43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40.5" customHeight="1">
      <c r="A22" s="26">
        <v>18.0</v>
      </c>
      <c r="B22" s="27">
        <v>45571.0</v>
      </c>
      <c r="C22" s="28">
        <v>43380.0</v>
      </c>
      <c r="D22" s="29" t="s">
        <v>146</v>
      </c>
      <c r="E22" s="30" t="s">
        <v>145</v>
      </c>
      <c r="F22" s="31"/>
      <c r="G22" s="32"/>
      <c r="H22" s="33">
        <v>0.0</v>
      </c>
      <c r="I22" s="34"/>
      <c r="J22" s="31"/>
      <c r="K22" s="33"/>
      <c r="L22" s="35"/>
      <c r="M22" s="33"/>
      <c r="N22" s="33"/>
      <c r="O22" s="36"/>
      <c r="P22" s="70">
        <v>7300.0</v>
      </c>
      <c r="Q22" s="73">
        <v>7300.0</v>
      </c>
      <c r="R22" s="70"/>
      <c r="S22" s="74">
        <v>0.0</v>
      </c>
      <c r="T22" s="41" t="s">
        <v>146</v>
      </c>
      <c r="U22" s="42" t="s">
        <v>29</v>
      </c>
      <c r="V22" s="43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40.5" customHeight="1">
      <c r="A23" s="26">
        <v>19.0</v>
      </c>
      <c r="B23" s="27">
        <v>45571.0</v>
      </c>
      <c r="C23" s="28">
        <v>52776.0</v>
      </c>
      <c r="D23" s="29" t="s">
        <v>147</v>
      </c>
      <c r="E23" s="30" t="s">
        <v>148</v>
      </c>
      <c r="F23" s="31"/>
      <c r="G23" s="32"/>
      <c r="H23" s="33">
        <v>0.0</v>
      </c>
      <c r="I23" s="34"/>
      <c r="J23" s="31"/>
      <c r="K23" s="33"/>
      <c r="L23" s="35"/>
      <c r="M23" s="33"/>
      <c r="N23" s="33"/>
      <c r="O23" s="36"/>
      <c r="P23" s="70">
        <v>1820.0</v>
      </c>
      <c r="Q23" s="73">
        <v>1000.0</v>
      </c>
      <c r="R23" s="70"/>
      <c r="S23" s="74">
        <v>820.0</v>
      </c>
      <c r="T23" s="41" t="s">
        <v>147</v>
      </c>
      <c r="U23" s="42" t="s">
        <v>29</v>
      </c>
      <c r="V23" s="43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40.5" customHeight="1">
      <c r="A24" s="26">
        <v>20.0</v>
      </c>
      <c r="B24" s="27">
        <v>45571.0</v>
      </c>
      <c r="C24" s="28">
        <v>59103.0</v>
      </c>
      <c r="D24" s="29" t="s">
        <v>149</v>
      </c>
      <c r="E24" s="30" t="s">
        <v>98</v>
      </c>
      <c r="F24" s="31"/>
      <c r="G24" s="32"/>
      <c r="H24" s="33"/>
      <c r="I24" s="34"/>
      <c r="J24" s="31"/>
      <c r="K24" s="33"/>
      <c r="L24" s="33">
        <v>300.0</v>
      </c>
      <c r="M24" s="33"/>
      <c r="N24" s="33"/>
      <c r="O24" s="36"/>
      <c r="P24" s="70">
        <v>23316.0</v>
      </c>
      <c r="Q24" s="73">
        <v>0.0</v>
      </c>
      <c r="R24" s="70"/>
      <c r="S24" s="74">
        <v>23616.0</v>
      </c>
      <c r="T24" s="41" t="s">
        <v>149</v>
      </c>
      <c r="U24" s="42" t="s">
        <v>29</v>
      </c>
      <c r="V24" s="43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40.5" customHeight="1">
      <c r="A25" s="26">
        <v>21.0</v>
      </c>
      <c r="B25" s="27">
        <v>45571.0</v>
      </c>
      <c r="C25" s="28">
        <v>67112.0</v>
      </c>
      <c r="D25" s="29" t="s">
        <v>150</v>
      </c>
      <c r="E25" s="30" t="s">
        <v>151</v>
      </c>
      <c r="F25" s="31"/>
      <c r="G25" s="32"/>
      <c r="H25" s="33">
        <v>1.5</v>
      </c>
      <c r="I25" s="34"/>
      <c r="J25" s="31"/>
      <c r="K25" s="33"/>
      <c r="L25" s="35"/>
      <c r="M25" s="33"/>
      <c r="N25" s="33"/>
      <c r="O25" s="36"/>
      <c r="P25" s="70">
        <v>1.5</v>
      </c>
      <c r="Q25" s="73">
        <v>0.0</v>
      </c>
      <c r="R25" s="70"/>
      <c r="S25" s="74">
        <v>3.0</v>
      </c>
      <c r="T25" s="41" t="s">
        <v>150</v>
      </c>
      <c r="U25" s="42" t="s">
        <v>152</v>
      </c>
      <c r="V25" s="43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40.5" customHeight="1">
      <c r="A26" s="26">
        <v>22.0</v>
      </c>
      <c r="B26" s="27">
        <v>45571.0</v>
      </c>
      <c r="C26" s="28">
        <v>69620.0</v>
      </c>
      <c r="D26" s="29" t="s">
        <v>153</v>
      </c>
      <c r="E26" s="30" t="s">
        <v>154</v>
      </c>
      <c r="F26" s="31"/>
      <c r="G26" s="32"/>
      <c r="H26" s="33"/>
      <c r="I26" s="34"/>
      <c r="J26" s="31"/>
      <c r="K26" s="33"/>
      <c r="L26" s="35"/>
      <c r="M26" s="33"/>
      <c r="N26" s="33">
        <v>1004.5</v>
      </c>
      <c r="O26" s="36"/>
      <c r="P26" s="70">
        <v>0.25</v>
      </c>
      <c r="Q26" s="73">
        <v>0.0</v>
      </c>
      <c r="R26" s="70"/>
      <c r="S26" s="74">
        <v>1004.75</v>
      </c>
      <c r="T26" s="41" t="s">
        <v>153</v>
      </c>
      <c r="U26" s="42" t="s">
        <v>29</v>
      </c>
      <c r="V26" s="43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40.5" customHeight="1">
      <c r="A27" s="26">
        <v>23.0</v>
      </c>
      <c r="B27" s="27">
        <v>45571.0</v>
      </c>
      <c r="C27" s="28">
        <v>82180.0</v>
      </c>
      <c r="D27" s="29" t="s">
        <v>155</v>
      </c>
      <c r="E27" s="30" t="s">
        <v>156</v>
      </c>
      <c r="F27" s="31"/>
      <c r="G27" s="32"/>
      <c r="H27" s="33"/>
      <c r="I27" s="34"/>
      <c r="J27" s="31"/>
      <c r="K27" s="33"/>
      <c r="L27" s="35"/>
      <c r="M27" s="33"/>
      <c r="N27" s="33">
        <v>15537.0</v>
      </c>
      <c r="O27" s="36"/>
      <c r="P27" s="70">
        <v>0.0</v>
      </c>
      <c r="Q27" s="73">
        <v>0.0</v>
      </c>
      <c r="R27" s="70"/>
      <c r="S27" s="74">
        <v>15537.0</v>
      </c>
      <c r="T27" s="41" t="s">
        <v>155</v>
      </c>
      <c r="U27" s="42" t="s">
        <v>157</v>
      </c>
      <c r="V27" s="43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ht="40.5" customHeight="1">
      <c r="A28" s="26">
        <v>24.0</v>
      </c>
      <c r="B28" s="27">
        <v>45571.0</v>
      </c>
      <c r="C28" s="28">
        <v>82180.0</v>
      </c>
      <c r="D28" s="29" t="s">
        <v>158</v>
      </c>
      <c r="E28" s="30" t="s">
        <v>156</v>
      </c>
      <c r="F28" s="31"/>
      <c r="G28" s="32"/>
      <c r="H28" s="33">
        <v>1963.0</v>
      </c>
      <c r="I28" s="34"/>
      <c r="J28" s="31"/>
      <c r="K28" s="33"/>
      <c r="L28" s="35"/>
      <c r="M28" s="33"/>
      <c r="N28" s="33"/>
      <c r="O28" s="36"/>
      <c r="P28" s="70">
        <v>15537.0</v>
      </c>
      <c r="Q28" s="73">
        <v>0.0</v>
      </c>
      <c r="R28" s="70"/>
      <c r="S28" s="74">
        <v>17500.0</v>
      </c>
      <c r="T28" s="41" t="s">
        <v>158</v>
      </c>
      <c r="U28" s="42" t="s">
        <v>157</v>
      </c>
      <c r="V28" s="43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40.5" customHeight="1">
      <c r="A29" s="26">
        <v>25.0</v>
      </c>
      <c r="B29" s="27">
        <v>45571.0</v>
      </c>
      <c r="C29" s="28">
        <v>82180.0</v>
      </c>
      <c r="D29" s="29" t="s">
        <v>159</v>
      </c>
      <c r="E29" s="30" t="s">
        <v>156</v>
      </c>
      <c r="F29" s="31"/>
      <c r="G29" s="32"/>
      <c r="H29" s="33">
        <v>0.0</v>
      </c>
      <c r="I29" s="34"/>
      <c r="J29" s="31"/>
      <c r="K29" s="33"/>
      <c r="L29" s="35"/>
      <c r="M29" s="33"/>
      <c r="N29" s="33"/>
      <c r="O29" s="36"/>
      <c r="P29" s="70">
        <v>17500.0</v>
      </c>
      <c r="Q29" s="73">
        <v>17500.0</v>
      </c>
      <c r="R29" s="70"/>
      <c r="S29" s="74">
        <v>0.0</v>
      </c>
      <c r="T29" s="41" t="s">
        <v>159</v>
      </c>
      <c r="U29" s="42" t="s">
        <v>157</v>
      </c>
      <c r="V29" s="43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40.5" customHeight="1">
      <c r="A30" s="26">
        <v>26.0</v>
      </c>
      <c r="B30" s="27">
        <v>45571.0</v>
      </c>
      <c r="C30" s="28">
        <v>83077.0</v>
      </c>
      <c r="D30" s="29" t="s">
        <v>160</v>
      </c>
      <c r="E30" s="30" t="s">
        <v>161</v>
      </c>
      <c r="F30" s="31"/>
      <c r="G30" s="32"/>
      <c r="H30" s="33"/>
      <c r="I30" s="34"/>
      <c r="J30" s="31"/>
      <c r="K30" s="33"/>
      <c r="L30" s="35"/>
      <c r="M30" s="33"/>
      <c r="N30" s="33">
        <v>4272.0</v>
      </c>
      <c r="O30" s="36"/>
      <c r="P30" s="70">
        <v>0.0</v>
      </c>
      <c r="Q30" s="73">
        <v>0.0</v>
      </c>
      <c r="R30" s="70"/>
      <c r="S30" s="74">
        <v>4272.0</v>
      </c>
      <c r="T30" s="41" t="s">
        <v>160</v>
      </c>
      <c r="U30" s="42" t="s">
        <v>157</v>
      </c>
      <c r="V30" s="43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ht="40.5" customHeight="1">
      <c r="A31" s="26">
        <v>27.0</v>
      </c>
      <c r="B31" s="27">
        <v>45571.0</v>
      </c>
      <c r="C31" s="28">
        <v>83077.0</v>
      </c>
      <c r="D31" s="29" t="s">
        <v>162</v>
      </c>
      <c r="E31" s="30" t="s">
        <v>161</v>
      </c>
      <c r="F31" s="31"/>
      <c r="G31" s="32"/>
      <c r="H31" s="33">
        <v>728.0</v>
      </c>
      <c r="I31" s="34"/>
      <c r="J31" s="31"/>
      <c r="K31" s="33"/>
      <c r="L31" s="35"/>
      <c r="M31" s="33"/>
      <c r="N31" s="33"/>
      <c r="O31" s="36"/>
      <c r="P31" s="70">
        <v>4272.0</v>
      </c>
      <c r="Q31" s="73">
        <v>0.0</v>
      </c>
      <c r="R31" s="70"/>
      <c r="S31" s="74">
        <v>5000.0</v>
      </c>
      <c r="T31" s="41" t="s">
        <v>162</v>
      </c>
      <c r="U31" s="42" t="s">
        <v>157</v>
      </c>
      <c r="V31" s="43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40.5" customHeight="1">
      <c r="A32" s="26">
        <v>28.0</v>
      </c>
      <c r="B32" s="27">
        <v>45571.0</v>
      </c>
      <c r="C32" s="28">
        <v>83077.0</v>
      </c>
      <c r="D32" s="29" t="s">
        <v>163</v>
      </c>
      <c r="E32" s="30" t="s">
        <v>161</v>
      </c>
      <c r="F32" s="31"/>
      <c r="G32" s="32"/>
      <c r="H32" s="33">
        <v>0.0</v>
      </c>
      <c r="I32" s="34"/>
      <c r="J32" s="31"/>
      <c r="K32" s="33"/>
      <c r="L32" s="35"/>
      <c r="M32" s="33"/>
      <c r="N32" s="33"/>
      <c r="O32" s="36"/>
      <c r="P32" s="70">
        <v>5000.0</v>
      </c>
      <c r="Q32" s="73">
        <v>5000.0</v>
      </c>
      <c r="R32" s="70"/>
      <c r="S32" s="74">
        <v>0.0</v>
      </c>
      <c r="T32" s="41" t="s">
        <v>163</v>
      </c>
      <c r="U32" s="42" t="s">
        <v>157</v>
      </c>
      <c r="V32" s="43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48"/>
      <c r="G33" s="48"/>
      <c r="H33" s="49"/>
      <c r="I33" s="48"/>
      <c r="J33" s="48"/>
      <c r="K33" s="51"/>
      <c r="L33" s="61"/>
      <c r="M33" s="62"/>
      <c r="N33" s="52"/>
      <c r="O33" s="63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48"/>
      <c r="G34" s="48"/>
      <c r="H34" s="49"/>
      <c r="I34" s="48"/>
      <c r="J34" s="48"/>
      <c r="K34" s="51"/>
      <c r="L34" s="61"/>
      <c r="M34" s="62"/>
      <c r="N34" s="52"/>
      <c r="O34" s="63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48"/>
      <c r="G35" s="48"/>
      <c r="H35" s="49"/>
      <c r="I35" s="48"/>
      <c r="J35" s="48"/>
      <c r="K35" s="51"/>
      <c r="L35" s="61"/>
      <c r="M35" s="62"/>
      <c r="N35" s="52"/>
      <c r="O35" s="63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48"/>
      <c r="G36" s="48"/>
      <c r="H36" s="49"/>
      <c r="I36" s="48"/>
      <c r="J36" s="48"/>
      <c r="K36" s="51"/>
      <c r="L36" s="61"/>
      <c r="M36" s="62"/>
      <c r="N36" s="52"/>
      <c r="O36" s="63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46"/>
      <c r="C37" s="46"/>
      <c r="D37" s="47"/>
      <c r="E37" s="47"/>
      <c r="F37" s="48"/>
      <c r="G37" s="48"/>
      <c r="H37" s="49"/>
      <c r="I37" s="48"/>
      <c r="J37" s="48"/>
      <c r="K37" s="51"/>
      <c r="L37" s="61"/>
      <c r="M37" s="62"/>
      <c r="N37" s="52"/>
      <c r="O37" s="63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46"/>
      <c r="C38" s="46"/>
      <c r="D38" s="47"/>
      <c r="E38" s="47"/>
      <c r="F38" s="48"/>
      <c r="G38" s="48"/>
      <c r="H38" s="49"/>
      <c r="I38" s="48"/>
      <c r="J38" s="48"/>
      <c r="K38" s="51"/>
      <c r="L38" s="61"/>
      <c r="M38" s="62"/>
      <c r="N38" s="52"/>
      <c r="O38" s="63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46"/>
      <c r="C39" s="46"/>
      <c r="D39" s="47"/>
      <c r="E39" s="47"/>
      <c r="F39" s="48"/>
      <c r="G39" s="48"/>
      <c r="H39" s="49"/>
      <c r="I39" s="48"/>
      <c r="J39" s="48"/>
      <c r="K39" s="51"/>
      <c r="L39" s="61"/>
      <c r="M39" s="62"/>
      <c r="N39" s="52"/>
      <c r="O39" s="63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46"/>
      <c r="C40" s="46"/>
      <c r="D40" s="47"/>
      <c r="E40" s="47"/>
      <c r="F40" s="48"/>
      <c r="G40" s="48"/>
      <c r="H40" s="49"/>
      <c r="I40" s="48"/>
      <c r="J40" s="48"/>
      <c r="K40" s="51"/>
      <c r="L40" s="61"/>
      <c r="M40" s="62"/>
      <c r="N40" s="52"/>
      <c r="O40" s="63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46"/>
      <c r="C41" s="46"/>
      <c r="D41" s="47"/>
      <c r="E41" s="47"/>
      <c r="F41" s="48"/>
      <c r="G41" s="48"/>
      <c r="H41" s="49"/>
      <c r="I41" s="48"/>
      <c r="J41" s="48"/>
      <c r="K41" s="51"/>
      <c r="L41" s="61"/>
      <c r="M41" s="62"/>
      <c r="N41" s="52"/>
      <c r="O41" s="63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4"/>
      <c r="B42" s="46"/>
      <c r="C42" s="46"/>
      <c r="D42" s="47"/>
      <c r="E42" s="47"/>
      <c r="F42" s="48"/>
      <c r="G42" s="48"/>
      <c r="H42" s="49"/>
      <c r="I42" s="48"/>
      <c r="J42" s="48"/>
      <c r="K42" s="51"/>
      <c r="L42" s="61"/>
      <c r="M42" s="62"/>
      <c r="N42" s="52"/>
      <c r="O42" s="63"/>
      <c r="P42" s="54"/>
      <c r="Q42" s="55"/>
      <c r="R42" s="56"/>
      <c r="S42" s="57"/>
      <c r="T42" s="58"/>
      <c r="U42" s="59"/>
      <c r="V42" s="60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4"/>
      <c r="B43" s="46"/>
      <c r="C43" s="46"/>
      <c r="D43" s="47"/>
      <c r="E43" s="47"/>
      <c r="F43" s="48"/>
      <c r="G43" s="48"/>
      <c r="H43" s="49"/>
      <c r="I43" s="48"/>
      <c r="J43" s="48"/>
      <c r="K43" s="51"/>
      <c r="L43" s="61"/>
      <c r="M43" s="62"/>
      <c r="N43" s="52"/>
      <c r="O43" s="63"/>
      <c r="P43" s="54"/>
      <c r="Q43" s="55"/>
      <c r="R43" s="56"/>
      <c r="S43" s="57"/>
      <c r="T43" s="58"/>
      <c r="U43" s="59"/>
      <c r="V43" s="60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4"/>
      <c r="B44" s="46"/>
      <c r="C44" s="46"/>
      <c r="D44" s="47"/>
      <c r="E44" s="47"/>
      <c r="F44" s="48"/>
      <c r="G44" s="48"/>
      <c r="H44" s="49"/>
      <c r="I44" s="48"/>
      <c r="J44" s="48"/>
      <c r="K44" s="51"/>
      <c r="L44" s="61"/>
      <c r="M44" s="62"/>
      <c r="N44" s="52"/>
      <c r="O44" s="63"/>
      <c r="P44" s="54"/>
      <c r="Q44" s="55"/>
      <c r="R44" s="56"/>
      <c r="S44" s="57"/>
      <c r="T44" s="58"/>
      <c r="U44" s="59"/>
      <c r="V44" s="60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4"/>
      <c r="B45" s="46"/>
      <c r="C45" s="46"/>
      <c r="D45" s="47"/>
      <c r="E45" s="47"/>
      <c r="F45" s="60"/>
      <c r="G45" s="60"/>
      <c r="H45" s="64"/>
      <c r="I45" s="60"/>
      <c r="J45" s="60"/>
      <c r="K45" s="65"/>
      <c r="L45" s="60"/>
      <c r="M45" s="66"/>
      <c r="N45" s="67"/>
      <c r="O45" s="56"/>
      <c r="P45" s="54"/>
      <c r="Q45" s="55"/>
      <c r="R45" s="56"/>
      <c r="S45" s="57"/>
      <c r="T45" s="58"/>
      <c r="U45" s="59"/>
      <c r="V45" s="60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4"/>
      <c r="B46" s="46"/>
      <c r="C46" s="46"/>
      <c r="D46" s="47"/>
      <c r="E46" s="47"/>
      <c r="F46" s="60"/>
      <c r="G46" s="60"/>
      <c r="H46" s="64"/>
      <c r="I46" s="60"/>
      <c r="J46" s="60"/>
      <c r="K46" s="65"/>
      <c r="L46" s="60"/>
      <c r="M46" s="66"/>
      <c r="N46" s="67"/>
      <c r="O46" s="56"/>
      <c r="P46" s="54"/>
      <c r="Q46" s="55"/>
      <c r="R46" s="56"/>
      <c r="S46" s="57"/>
      <c r="T46" s="58"/>
      <c r="U46" s="59"/>
      <c r="V46" s="60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4"/>
      <c r="B47" s="46"/>
      <c r="C47" s="46"/>
      <c r="D47" s="47"/>
      <c r="E47" s="47"/>
      <c r="F47" s="60"/>
      <c r="G47" s="60"/>
      <c r="H47" s="64"/>
      <c r="I47" s="60"/>
      <c r="J47" s="60"/>
      <c r="K47" s="65"/>
      <c r="L47" s="60"/>
      <c r="M47" s="66"/>
      <c r="N47" s="67"/>
      <c r="O47" s="56"/>
      <c r="P47" s="54"/>
      <c r="Q47" s="55"/>
      <c r="R47" s="56"/>
      <c r="S47" s="57"/>
      <c r="T47" s="58"/>
      <c r="U47" s="59"/>
      <c r="V47" s="60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4"/>
      <c r="B48" s="46"/>
      <c r="C48" s="46"/>
      <c r="D48" s="47"/>
      <c r="E48" s="47"/>
      <c r="F48" s="60"/>
      <c r="G48" s="60"/>
      <c r="H48" s="64"/>
      <c r="I48" s="60"/>
      <c r="J48" s="60"/>
      <c r="K48" s="65"/>
      <c r="L48" s="60"/>
      <c r="M48" s="66"/>
      <c r="N48" s="67"/>
      <c r="O48" s="56"/>
      <c r="P48" s="54"/>
      <c r="Q48" s="55"/>
      <c r="R48" s="56"/>
      <c r="S48" s="57"/>
      <c r="T48" s="58"/>
      <c r="U48" s="59"/>
      <c r="V48" s="60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4"/>
      <c r="B49" s="46"/>
      <c r="C49" s="46"/>
      <c r="D49" s="47"/>
      <c r="E49" s="47"/>
      <c r="F49" s="60"/>
      <c r="G49" s="60"/>
      <c r="H49" s="64"/>
      <c r="I49" s="60"/>
      <c r="J49" s="60"/>
      <c r="K49" s="65"/>
      <c r="L49" s="60"/>
      <c r="M49" s="66"/>
      <c r="N49" s="67"/>
      <c r="O49" s="56"/>
      <c r="P49" s="54"/>
      <c r="Q49" s="55"/>
      <c r="R49" s="56"/>
      <c r="S49" s="57"/>
      <c r="T49" s="58"/>
      <c r="U49" s="59"/>
      <c r="V49" s="60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4"/>
      <c r="B50" s="46"/>
      <c r="C50" s="46"/>
      <c r="D50" s="47"/>
      <c r="E50" s="47"/>
      <c r="F50" s="60"/>
      <c r="G50" s="60"/>
      <c r="H50" s="64"/>
      <c r="I50" s="60"/>
      <c r="J50" s="60"/>
      <c r="K50" s="65"/>
      <c r="L50" s="60"/>
      <c r="M50" s="66"/>
      <c r="N50" s="67"/>
      <c r="O50" s="56"/>
      <c r="P50" s="54"/>
      <c r="Q50" s="55"/>
      <c r="R50" s="56"/>
      <c r="S50" s="57"/>
      <c r="T50" s="58"/>
      <c r="U50" s="59"/>
      <c r="V50" s="60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4"/>
      <c r="B51" s="46"/>
      <c r="C51" s="46"/>
      <c r="D51" s="47"/>
      <c r="E51" s="47"/>
      <c r="F51" s="60"/>
      <c r="G51" s="60"/>
      <c r="H51" s="64"/>
      <c r="I51" s="60"/>
      <c r="J51" s="60"/>
      <c r="K51" s="65"/>
      <c r="L51" s="60"/>
      <c r="M51" s="66"/>
      <c r="N51" s="67"/>
      <c r="O51" s="56"/>
      <c r="P51" s="54"/>
      <c r="Q51" s="55"/>
      <c r="R51" s="56"/>
      <c r="S51" s="57"/>
      <c r="T51" s="58"/>
      <c r="U51" s="59"/>
      <c r="V51" s="60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4"/>
      <c r="B52" s="46"/>
      <c r="C52" s="46"/>
      <c r="D52" s="47"/>
      <c r="E52" s="47"/>
      <c r="F52" s="60"/>
      <c r="G52" s="60"/>
      <c r="H52" s="64"/>
      <c r="I52" s="60"/>
      <c r="J52" s="60"/>
      <c r="K52" s="65"/>
      <c r="L52" s="60"/>
      <c r="M52" s="66"/>
      <c r="N52" s="67"/>
      <c r="O52" s="56"/>
      <c r="P52" s="54"/>
      <c r="Q52" s="55"/>
      <c r="R52" s="56"/>
      <c r="S52" s="57"/>
      <c r="T52" s="58"/>
      <c r="U52" s="59"/>
      <c r="V52" s="60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4"/>
      <c r="B53" s="46"/>
      <c r="C53" s="46"/>
      <c r="D53" s="47"/>
      <c r="E53" s="47"/>
      <c r="F53" s="60"/>
      <c r="G53" s="60"/>
      <c r="H53" s="64"/>
      <c r="I53" s="60"/>
      <c r="J53" s="60"/>
      <c r="K53" s="65"/>
      <c r="L53" s="60"/>
      <c r="M53" s="66"/>
      <c r="N53" s="67"/>
      <c r="O53" s="56"/>
      <c r="P53" s="54"/>
      <c r="Q53" s="55"/>
      <c r="R53" s="56"/>
      <c r="S53" s="57"/>
      <c r="T53" s="58"/>
      <c r="U53" s="59"/>
      <c r="V53" s="60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4"/>
      <c r="B54" s="46"/>
      <c r="C54" s="46"/>
      <c r="D54" s="47"/>
      <c r="E54" s="47"/>
      <c r="F54" s="60"/>
      <c r="G54" s="60"/>
      <c r="H54" s="64"/>
      <c r="I54" s="60"/>
      <c r="J54" s="60"/>
      <c r="K54" s="65"/>
      <c r="L54" s="60"/>
      <c r="M54" s="66"/>
      <c r="N54" s="67"/>
      <c r="O54" s="56"/>
      <c r="P54" s="54"/>
      <c r="Q54" s="55"/>
      <c r="R54" s="56"/>
      <c r="S54" s="57"/>
      <c r="T54" s="58"/>
      <c r="U54" s="59"/>
      <c r="V54" s="60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4"/>
      <c r="B55" s="46"/>
      <c r="C55" s="46"/>
      <c r="D55" s="47"/>
      <c r="E55" s="47"/>
      <c r="F55" s="60"/>
      <c r="G55" s="60"/>
      <c r="H55" s="64"/>
      <c r="I55" s="60"/>
      <c r="J55" s="60"/>
      <c r="K55" s="65"/>
      <c r="L55" s="60"/>
      <c r="M55" s="66"/>
      <c r="N55" s="67"/>
      <c r="O55" s="56"/>
      <c r="P55" s="54"/>
      <c r="Q55" s="55"/>
      <c r="R55" s="56"/>
      <c r="S55" s="57"/>
      <c r="T55" s="58"/>
      <c r="U55" s="59"/>
      <c r="V55" s="60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4"/>
      <c r="B56" s="46"/>
      <c r="C56" s="46"/>
      <c r="D56" s="47"/>
      <c r="E56" s="47"/>
      <c r="F56" s="60"/>
      <c r="G56" s="60"/>
      <c r="H56" s="64"/>
      <c r="I56" s="60"/>
      <c r="J56" s="60"/>
      <c r="K56" s="65"/>
      <c r="L56" s="60"/>
      <c r="M56" s="66"/>
      <c r="N56" s="67"/>
      <c r="O56" s="56"/>
      <c r="P56" s="54"/>
      <c r="Q56" s="55"/>
      <c r="R56" s="56"/>
      <c r="S56" s="57"/>
      <c r="T56" s="58"/>
      <c r="U56" s="59"/>
      <c r="V56" s="60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4"/>
      <c r="B57" s="46"/>
      <c r="C57" s="46"/>
      <c r="D57" s="47"/>
      <c r="E57" s="47"/>
      <c r="F57" s="60"/>
      <c r="G57" s="60"/>
      <c r="H57" s="64"/>
      <c r="I57" s="60"/>
      <c r="J57" s="60"/>
      <c r="K57" s="65"/>
      <c r="L57" s="60"/>
      <c r="M57" s="66"/>
      <c r="N57" s="67"/>
      <c r="O57" s="56"/>
      <c r="P57" s="54"/>
      <c r="Q57" s="55"/>
      <c r="R57" s="56"/>
      <c r="S57" s="57"/>
      <c r="T57" s="58"/>
      <c r="U57" s="59"/>
      <c r="V57" s="60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4"/>
      <c r="B58" s="68"/>
      <c r="C58" s="46"/>
      <c r="D58" s="47"/>
      <c r="E58" s="47"/>
      <c r="F58" s="60"/>
      <c r="G58" s="60"/>
      <c r="H58" s="64"/>
      <c r="I58" s="60"/>
      <c r="J58" s="60"/>
      <c r="K58" s="65"/>
      <c r="L58" s="60"/>
      <c r="M58" s="66"/>
      <c r="N58" s="67"/>
      <c r="O58" s="56"/>
      <c r="P58" s="54"/>
      <c r="Q58" s="55"/>
      <c r="R58" s="56"/>
      <c r="S58" s="57"/>
      <c r="T58" s="58"/>
      <c r="U58" s="59"/>
      <c r="V58" s="60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4"/>
      <c r="B59" s="68"/>
      <c r="C59" s="46"/>
      <c r="D59" s="47"/>
      <c r="E59" s="47"/>
      <c r="F59" s="60"/>
      <c r="G59" s="60"/>
      <c r="H59" s="64"/>
      <c r="I59" s="60"/>
      <c r="J59" s="60"/>
      <c r="K59" s="65"/>
      <c r="L59" s="60"/>
      <c r="M59" s="66"/>
      <c r="N59" s="67"/>
      <c r="O59" s="56"/>
      <c r="P59" s="54"/>
      <c r="Q59" s="55"/>
      <c r="R59" s="56"/>
      <c r="S59" s="57"/>
      <c r="T59" s="58"/>
      <c r="U59" s="59"/>
      <c r="V59" s="60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4"/>
      <c r="B60" s="68"/>
      <c r="C60" s="46"/>
      <c r="D60" s="47"/>
      <c r="E60" s="47"/>
      <c r="F60" s="60"/>
      <c r="G60" s="60"/>
      <c r="H60" s="64"/>
      <c r="I60" s="60"/>
      <c r="J60" s="60"/>
      <c r="K60" s="65"/>
      <c r="L60" s="60"/>
      <c r="M60" s="66"/>
      <c r="N60" s="67"/>
      <c r="O60" s="56"/>
      <c r="P60" s="54"/>
      <c r="Q60" s="55"/>
      <c r="R60" s="56"/>
      <c r="S60" s="57"/>
      <c r="T60" s="58"/>
      <c r="U60" s="59"/>
      <c r="V60" s="60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4"/>
      <c r="B61" s="68"/>
      <c r="C61" s="46"/>
      <c r="D61" s="47"/>
      <c r="E61" s="47"/>
      <c r="F61" s="60"/>
      <c r="G61" s="60"/>
      <c r="H61" s="64"/>
      <c r="I61" s="60"/>
      <c r="J61" s="60"/>
      <c r="K61" s="65"/>
      <c r="L61" s="60"/>
      <c r="M61" s="66"/>
      <c r="N61" s="67"/>
      <c r="O61" s="56"/>
      <c r="P61" s="54"/>
      <c r="Q61" s="55"/>
      <c r="R61" s="56"/>
      <c r="S61" s="57"/>
      <c r="T61" s="58"/>
      <c r="U61" s="59"/>
      <c r="V61" s="60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4"/>
      <c r="B62" s="68"/>
      <c r="C62" s="46"/>
      <c r="D62" s="47"/>
      <c r="E62" s="47"/>
      <c r="F62" s="60"/>
      <c r="G62" s="60"/>
      <c r="H62" s="64"/>
      <c r="I62" s="60"/>
      <c r="J62" s="60"/>
      <c r="K62" s="65"/>
      <c r="L62" s="60"/>
      <c r="M62" s="66"/>
      <c r="N62" s="67"/>
      <c r="O62" s="56"/>
      <c r="P62" s="54"/>
      <c r="Q62" s="55"/>
      <c r="R62" s="56"/>
      <c r="S62" s="57"/>
      <c r="T62" s="58"/>
      <c r="U62" s="59"/>
      <c r="V62" s="60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69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7" max="17" width="13.8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40.5" customHeight="1">
      <c r="A5" s="26">
        <v>1.0</v>
      </c>
      <c r="B5" s="27">
        <v>45602.0</v>
      </c>
      <c r="C5" s="28">
        <v>10271.0</v>
      </c>
      <c r="D5" s="29" t="s">
        <v>165</v>
      </c>
      <c r="E5" s="30" t="s">
        <v>166</v>
      </c>
      <c r="F5" s="31"/>
      <c r="G5" s="32"/>
      <c r="H5" s="33">
        <v>4000.0</v>
      </c>
      <c r="I5" s="34"/>
      <c r="J5" s="31"/>
      <c r="K5" s="35"/>
      <c r="L5" s="35"/>
      <c r="M5" s="33"/>
      <c r="N5" s="33"/>
      <c r="O5" s="36"/>
      <c r="P5" s="70">
        <v>1500.0</v>
      </c>
      <c r="Q5" s="75">
        <v>0.0</v>
      </c>
      <c r="R5" s="70"/>
      <c r="S5" s="76">
        <v>5500.0</v>
      </c>
      <c r="T5" s="41" t="s">
        <v>165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40.5" customHeight="1">
      <c r="A6" s="26">
        <v>2.0</v>
      </c>
      <c r="B6" s="27">
        <v>45602.0</v>
      </c>
      <c r="C6" s="28">
        <v>21818.0</v>
      </c>
      <c r="D6" s="29" t="s">
        <v>167</v>
      </c>
      <c r="E6" s="30" t="s">
        <v>28</v>
      </c>
      <c r="F6" s="31"/>
      <c r="G6" s="32"/>
      <c r="H6" s="33">
        <v>0.0</v>
      </c>
      <c r="I6" s="34"/>
      <c r="J6" s="31"/>
      <c r="K6" s="33"/>
      <c r="L6" s="35"/>
      <c r="M6" s="33"/>
      <c r="N6" s="33"/>
      <c r="O6" s="36"/>
      <c r="P6" s="70">
        <v>14030.0</v>
      </c>
      <c r="Q6" s="75">
        <v>500.0</v>
      </c>
      <c r="R6" s="70"/>
      <c r="S6" s="76">
        <v>13530.0</v>
      </c>
      <c r="T6" s="41" t="s">
        <v>167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40.5" customHeight="1">
      <c r="A7" s="26">
        <v>3.0</v>
      </c>
      <c r="B7" s="27">
        <v>45602.0</v>
      </c>
      <c r="C7" s="28">
        <v>21818.0</v>
      </c>
      <c r="D7" s="29" t="s">
        <v>168</v>
      </c>
      <c r="E7" s="30" t="s">
        <v>28</v>
      </c>
      <c r="F7" s="31"/>
      <c r="G7" s="32"/>
      <c r="H7" s="33">
        <v>0.0</v>
      </c>
      <c r="I7" s="34"/>
      <c r="J7" s="31"/>
      <c r="K7" s="33"/>
      <c r="L7" s="35"/>
      <c r="M7" s="33"/>
      <c r="N7" s="33"/>
      <c r="O7" s="36"/>
      <c r="P7" s="70">
        <v>13530.0</v>
      </c>
      <c r="Q7" s="75">
        <v>4500.0</v>
      </c>
      <c r="R7" s="70"/>
      <c r="S7" s="76">
        <v>9030.0</v>
      </c>
      <c r="T7" s="41" t="s">
        <v>168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0.5" customHeight="1">
      <c r="A8" s="26">
        <v>4.0</v>
      </c>
      <c r="B8" s="27">
        <v>45602.0</v>
      </c>
      <c r="C8" s="28">
        <v>49825.0</v>
      </c>
      <c r="D8" s="29" t="s">
        <v>169</v>
      </c>
      <c r="E8" s="30" t="s">
        <v>170</v>
      </c>
      <c r="F8" s="31"/>
      <c r="G8" s="32"/>
      <c r="H8" s="33">
        <v>10000.0</v>
      </c>
      <c r="I8" s="34"/>
      <c r="J8" s="31"/>
      <c r="K8" s="33"/>
      <c r="L8" s="35"/>
      <c r="M8" s="33"/>
      <c r="N8" s="33"/>
      <c r="O8" s="36"/>
      <c r="P8" s="70">
        <v>70.0</v>
      </c>
      <c r="Q8" s="75">
        <v>0.0</v>
      </c>
      <c r="R8" s="70"/>
      <c r="S8" s="76">
        <v>10070.0</v>
      </c>
      <c r="T8" s="41" t="s">
        <v>169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40.5" customHeight="1">
      <c r="A9" s="26">
        <v>5.0</v>
      </c>
      <c r="B9" s="27">
        <v>45602.0</v>
      </c>
      <c r="C9" s="28">
        <v>59103.0</v>
      </c>
      <c r="D9" s="29" t="s">
        <v>171</v>
      </c>
      <c r="E9" s="30" t="s">
        <v>98</v>
      </c>
      <c r="F9" s="31"/>
      <c r="G9" s="32"/>
      <c r="H9" s="33"/>
      <c r="I9" s="34"/>
      <c r="J9" s="31"/>
      <c r="K9" s="33">
        <v>2950.0</v>
      </c>
      <c r="L9" s="35"/>
      <c r="M9" s="33"/>
      <c r="N9" s="33"/>
      <c r="O9" s="36"/>
      <c r="P9" s="70">
        <v>23616.0</v>
      </c>
      <c r="Q9" s="75">
        <v>0.0</v>
      </c>
      <c r="R9" s="70"/>
      <c r="S9" s="76">
        <v>26566.0</v>
      </c>
      <c r="T9" s="41" t="s">
        <v>171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40.5" customHeight="1">
      <c r="A10" s="26">
        <v>6.0</v>
      </c>
      <c r="B10" s="27">
        <v>45602.0</v>
      </c>
      <c r="C10" s="28">
        <v>82421.0</v>
      </c>
      <c r="D10" s="29" t="s">
        <v>172</v>
      </c>
      <c r="E10" s="30" t="s">
        <v>173</v>
      </c>
      <c r="F10" s="31"/>
      <c r="G10" s="32"/>
      <c r="H10" s="33">
        <v>2164.95</v>
      </c>
      <c r="I10" s="34"/>
      <c r="J10" s="31"/>
      <c r="K10" s="33"/>
      <c r="L10" s="35"/>
      <c r="M10" s="33"/>
      <c r="N10" s="33"/>
      <c r="O10" s="36"/>
      <c r="P10" s="70">
        <v>5335.05</v>
      </c>
      <c r="Q10" s="75">
        <v>0.0</v>
      </c>
      <c r="R10" s="70"/>
      <c r="S10" s="76">
        <v>7500.0</v>
      </c>
      <c r="T10" s="41" t="s">
        <v>172</v>
      </c>
      <c r="U10" s="42" t="s">
        <v>157</v>
      </c>
      <c r="V10" s="4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40.5" customHeight="1">
      <c r="A11" s="26">
        <v>7.0</v>
      </c>
      <c r="B11" s="27">
        <v>45602.0</v>
      </c>
      <c r="C11" s="28">
        <v>82421.0</v>
      </c>
      <c r="D11" s="29" t="s">
        <v>174</v>
      </c>
      <c r="E11" s="30" t="s">
        <v>173</v>
      </c>
      <c r="F11" s="31"/>
      <c r="G11" s="32"/>
      <c r="H11" s="33">
        <v>0.0</v>
      </c>
      <c r="I11" s="34"/>
      <c r="J11" s="31"/>
      <c r="K11" s="33"/>
      <c r="L11" s="35"/>
      <c r="M11" s="33"/>
      <c r="N11" s="33"/>
      <c r="O11" s="36"/>
      <c r="P11" s="70">
        <v>7500.0</v>
      </c>
      <c r="Q11" s="75">
        <v>7500.0</v>
      </c>
      <c r="R11" s="70"/>
      <c r="S11" s="76">
        <v>0.0</v>
      </c>
      <c r="T11" s="41" t="s">
        <v>174</v>
      </c>
      <c r="U11" s="42" t="s">
        <v>157</v>
      </c>
      <c r="V11" s="4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4"/>
      <c r="B12" s="46"/>
      <c r="C12" s="46"/>
      <c r="D12" s="47"/>
      <c r="E12" s="47"/>
      <c r="F12" s="48"/>
      <c r="G12" s="48"/>
      <c r="H12" s="49"/>
      <c r="I12" s="48"/>
      <c r="J12" s="48"/>
      <c r="K12" s="51"/>
      <c r="L12" s="61"/>
      <c r="M12" s="62"/>
      <c r="N12" s="52"/>
      <c r="O12" s="63"/>
      <c r="P12" s="54"/>
      <c r="Q12" s="55"/>
      <c r="R12" s="56"/>
      <c r="S12" s="57"/>
      <c r="T12" s="58"/>
      <c r="U12" s="59"/>
      <c r="V12" s="60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4"/>
      <c r="B13" s="46"/>
      <c r="C13" s="46"/>
      <c r="D13" s="47"/>
      <c r="E13" s="47"/>
      <c r="F13" s="48"/>
      <c r="G13" s="48"/>
      <c r="H13" s="49"/>
      <c r="I13" s="48"/>
      <c r="J13" s="48"/>
      <c r="K13" s="51"/>
      <c r="L13" s="61"/>
      <c r="M13" s="62"/>
      <c r="N13" s="52"/>
      <c r="O13" s="63"/>
      <c r="P13" s="54"/>
      <c r="Q13" s="55"/>
      <c r="R13" s="56"/>
      <c r="S13" s="57"/>
      <c r="T13" s="58"/>
      <c r="U13" s="59"/>
      <c r="V13" s="60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4"/>
      <c r="B14" s="46"/>
      <c r="C14" s="46"/>
      <c r="D14" s="47"/>
      <c r="E14" s="47"/>
      <c r="F14" s="48"/>
      <c r="G14" s="48"/>
      <c r="H14" s="49"/>
      <c r="I14" s="48"/>
      <c r="J14" s="48"/>
      <c r="K14" s="51"/>
      <c r="L14" s="61"/>
      <c r="M14" s="62"/>
      <c r="N14" s="52"/>
      <c r="O14" s="63"/>
      <c r="P14" s="54"/>
      <c r="Q14" s="55"/>
      <c r="R14" s="56"/>
      <c r="S14" s="57"/>
      <c r="T14" s="58"/>
      <c r="U14" s="59"/>
      <c r="V14" s="60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4"/>
      <c r="B15" s="46"/>
      <c r="C15" s="46"/>
      <c r="D15" s="47"/>
      <c r="E15" s="47"/>
      <c r="F15" s="48"/>
      <c r="G15" s="48"/>
      <c r="H15" s="49"/>
      <c r="I15" s="48"/>
      <c r="J15" s="48"/>
      <c r="K15" s="51"/>
      <c r="L15" s="61"/>
      <c r="M15" s="62"/>
      <c r="N15" s="52"/>
      <c r="O15" s="63"/>
      <c r="P15" s="54"/>
      <c r="Q15" s="55"/>
      <c r="R15" s="56"/>
      <c r="S15" s="57"/>
      <c r="T15" s="58"/>
      <c r="U15" s="59"/>
      <c r="V15" s="60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4"/>
      <c r="B16" s="46"/>
      <c r="C16" s="46"/>
      <c r="D16" s="47"/>
      <c r="E16" s="47"/>
      <c r="F16" s="48"/>
      <c r="G16" s="48"/>
      <c r="H16" s="49"/>
      <c r="I16" s="48"/>
      <c r="J16" s="48"/>
      <c r="K16" s="51"/>
      <c r="L16" s="61"/>
      <c r="M16" s="62"/>
      <c r="N16" s="52"/>
      <c r="O16" s="63"/>
      <c r="P16" s="54"/>
      <c r="Q16" s="55"/>
      <c r="R16" s="56"/>
      <c r="S16" s="57"/>
      <c r="T16" s="58"/>
      <c r="U16" s="59"/>
      <c r="V16" s="60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4"/>
      <c r="B17" s="46"/>
      <c r="C17" s="46"/>
      <c r="D17" s="47"/>
      <c r="E17" s="47"/>
      <c r="F17" s="48"/>
      <c r="G17" s="48"/>
      <c r="H17" s="49"/>
      <c r="I17" s="48"/>
      <c r="J17" s="48"/>
      <c r="K17" s="51"/>
      <c r="L17" s="61"/>
      <c r="M17" s="62"/>
      <c r="N17" s="52"/>
      <c r="O17" s="63"/>
      <c r="P17" s="54"/>
      <c r="Q17" s="55"/>
      <c r="R17" s="56"/>
      <c r="S17" s="57"/>
      <c r="T17" s="58"/>
      <c r="U17" s="59"/>
      <c r="V17" s="60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4"/>
      <c r="B18" s="46"/>
      <c r="C18" s="46"/>
      <c r="D18" s="47"/>
      <c r="E18" s="47"/>
      <c r="F18" s="48"/>
      <c r="G18" s="48"/>
      <c r="H18" s="49"/>
      <c r="I18" s="48"/>
      <c r="J18" s="48"/>
      <c r="K18" s="51"/>
      <c r="L18" s="61"/>
      <c r="M18" s="62"/>
      <c r="N18" s="52"/>
      <c r="O18" s="63"/>
      <c r="P18" s="54"/>
      <c r="Q18" s="55"/>
      <c r="R18" s="56"/>
      <c r="S18" s="57"/>
      <c r="T18" s="58"/>
      <c r="U18" s="59"/>
      <c r="V18" s="60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4"/>
      <c r="B19" s="46"/>
      <c r="C19" s="46"/>
      <c r="D19" s="47"/>
      <c r="E19" s="47"/>
      <c r="F19" s="48"/>
      <c r="G19" s="48"/>
      <c r="H19" s="49"/>
      <c r="I19" s="48"/>
      <c r="J19" s="48"/>
      <c r="K19" s="51"/>
      <c r="L19" s="61"/>
      <c r="M19" s="62"/>
      <c r="N19" s="52"/>
      <c r="O19" s="63"/>
      <c r="P19" s="54"/>
      <c r="Q19" s="55"/>
      <c r="R19" s="56"/>
      <c r="S19" s="57"/>
      <c r="T19" s="58"/>
      <c r="U19" s="59"/>
      <c r="V19" s="60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4"/>
      <c r="B20" s="46"/>
      <c r="C20" s="46"/>
      <c r="D20" s="47"/>
      <c r="E20" s="47"/>
      <c r="F20" s="48"/>
      <c r="G20" s="48"/>
      <c r="H20" s="49"/>
      <c r="I20" s="48"/>
      <c r="J20" s="48"/>
      <c r="K20" s="51"/>
      <c r="L20" s="61"/>
      <c r="M20" s="62"/>
      <c r="N20" s="52"/>
      <c r="O20" s="63"/>
      <c r="P20" s="54"/>
      <c r="Q20" s="55"/>
      <c r="R20" s="56"/>
      <c r="S20" s="57"/>
      <c r="T20" s="58"/>
      <c r="U20" s="59"/>
      <c r="V20" s="60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4"/>
      <c r="B21" s="46"/>
      <c r="C21" s="46"/>
      <c r="D21" s="47"/>
      <c r="E21" s="47"/>
      <c r="F21" s="48"/>
      <c r="G21" s="48"/>
      <c r="H21" s="49"/>
      <c r="I21" s="48"/>
      <c r="J21" s="48"/>
      <c r="K21" s="51"/>
      <c r="L21" s="61"/>
      <c r="M21" s="62"/>
      <c r="N21" s="52"/>
      <c r="O21" s="63"/>
      <c r="P21" s="54"/>
      <c r="Q21" s="55"/>
      <c r="R21" s="56"/>
      <c r="S21" s="57"/>
      <c r="T21" s="58"/>
      <c r="U21" s="59"/>
      <c r="V21" s="60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4"/>
      <c r="B22" s="46"/>
      <c r="C22" s="46"/>
      <c r="D22" s="47"/>
      <c r="E22" s="47"/>
      <c r="F22" s="48"/>
      <c r="G22" s="48"/>
      <c r="H22" s="49"/>
      <c r="I22" s="48"/>
      <c r="J22" s="48"/>
      <c r="K22" s="51"/>
      <c r="L22" s="61"/>
      <c r="M22" s="62"/>
      <c r="N22" s="52"/>
      <c r="O22" s="63"/>
      <c r="P22" s="54"/>
      <c r="Q22" s="55"/>
      <c r="R22" s="56"/>
      <c r="S22" s="57"/>
      <c r="T22" s="58"/>
      <c r="U22" s="59"/>
      <c r="V22" s="60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4"/>
      <c r="B23" s="46"/>
      <c r="C23" s="46"/>
      <c r="D23" s="47"/>
      <c r="E23" s="47"/>
      <c r="F23" s="48"/>
      <c r="G23" s="48"/>
      <c r="H23" s="49"/>
      <c r="I23" s="48"/>
      <c r="J23" s="48"/>
      <c r="K23" s="51"/>
      <c r="L23" s="61"/>
      <c r="M23" s="62"/>
      <c r="N23" s="52"/>
      <c r="O23" s="63"/>
      <c r="P23" s="54"/>
      <c r="Q23" s="55"/>
      <c r="R23" s="56"/>
      <c r="S23" s="57"/>
      <c r="T23" s="58"/>
      <c r="U23" s="59"/>
      <c r="V23" s="6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4"/>
      <c r="B24" s="46"/>
      <c r="C24" s="46"/>
      <c r="D24" s="47"/>
      <c r="E24" s="47"/>
      <c r="F24" s="60"/>
      <c r="G24" s="60"/>
      <c r="H24" s="64"/>
      <c r="I24" s="60"/>
      <c r="J24" s="60"/>
      <c r="K24" s="65"/>
      <c r="L24" s="60"/>
      <c r="M24" s="66"/>
      <c r="N24" s="67"/>
      <c r="O24" s="56"/>
      <c r="P24" s="54"/>
      <c r="Q24" s="55"/>
      <c r="R24" s="56"/>
      <c r="S24" s="57"/>
      <c r="T24" s="58"/>
      <c r="U24" s="59"/>
      <c r="V24" s="60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4"/>
      <c r="B25" s="46"/>
      <c r="C25" s="46"/>
      <c r="D25" s="47"/>
      <c r="E25" s="47"/>
      <c r="F25" s="60"/>
      <c r="G25" s="60"/>
      <c r="H25" s="64"/>
      <c r="I25" s="60"/>
      <c r="J25" s="60"/>
      <c r="K25" s="65"/>
      <c r="L25" s="60"/>
      <c r="M25" s="66"/>
      <c r="N25" s="67"/>
      <c r="O25" s="56"/>
      <c r="P25" s="54"/>
      <c r="Q25" s="55"/>
      <c r="R25" s="56"/>
      <c r="S25" s="57"/>
      <c r="T25" s="58"/>
      <c r="U25" s="59"/>
      <c r="V25" s="60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4"/>
      <c r="B26" s="46"/>
      <c r="C26" s="46"/>
      <c r="D26" s="47"/>
      <c r="E26" s="47"/>
      <c r="F26" s="60"/>
      <c r="G26" s="60"/>
      <c r="H26" s="64"/>
      <c r="I26" s="60"/>
      <c r="J26" s="60"/>
      <c r="K26" s="65"/>
      <c r="L26" s="60"/>
      <c r="M26" s="66"/>
      <c r="N26" s="67"/>
      <c r="O26" s="56"/>
      <c r="P26" s="54"/>
      <c r="Q26" s="55"/>
      <c r="R26" s="56"/>
      <c r="S26" s="57"/>
      <c r="T26" s="58"/>
      <c r="U26" s="59"/>
      <c r="V26" s="60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4"/>
      <c r="B27" s="46"/>
      <c r="C27" s="46"/>
      <c r="D27" s="47"/>
      <c r="E27" s="47"/>
      <c r="F27" s="60"/>
      <c r="G27" s="60"/>
      <c r="H27" s="64"/>
      <c r="I27" s="60"/>
      <c r="J27" s="60"/>
      <c r="K27" s="65"/>
      <c r="L27" s="60"/>
      <c r="M27" s="66"/>
      <c r="N27" s="67"/>
      <c r="O27" s="56"/>
      <c r="P27" s="54"/>
      <c r="Q27" s="55"/>
      <c r="R27" s="56"/>
      <c r="S27" s="57"/>
      <c r="T27" s="58"/>
      <c r="U27" s="59"/>
      <c r="V27" s="60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4"/>
      <c r="B28" s="46"/>
      <c r="C28" s="46"/>
      <c r="D28" s="47"/>
      <c r="E28" s="47"/>
      <c r="F28" s="60"/>
      <c r="G28" s="60"/>
      <c r="H28" s="64"/>
      <c r="I28" s="60"/>
      <c r="J28" s="60"/>
      <c r="K28" s="65"/>
      <c r="L28" s="60"/>
      <c r="M28" s="66"/>
      <c r="N28" s="67"/>
      <c r="O28" s="56"/>
      <c r="P28" s="54"/>
      <c r="Q28" s="55"/>
      <c r="R28" s="56"/>
      <c r="S28" s="57"/>
      <c r="T28" s="58"/>
      <c r="U28" s="59"/>
      <c r="V28" s="60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4"/>
      <c r="B29" s="46"/>
      <c r="C29" s="46"/>
      <c r="D29" s="47"/>
      <c r="E29" s="47"/>
      <c r="F29" s="60"/>
      <c r="G29" s="60"/>
      <c r="H29" s="64"/>
      <c r="I29" s="60"/>
      <c r="J29" s="60"/>
      <c r="K29" s="65"/>
      <c r="L29" s="60"/>
      <c r="M29" s="66"/>
      <c r="N29" s="67"/>
      <c r="O29" s="56"/>
      <c r="P29" s="54"/>
      <c r="Q29" s="55"/>
      <c r="R29" s="56"/>
      <c r="S29" s="57"/>
      <c r="T29" s="58"/>
      <c r="U29" s="59"/>
      <c r="V29" s="6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4"/>
      <c r="B30" s="46"/>
      <c r="C30" s="46"/>
      <c r="D30" s="47"/>
      <c r="E30" s="47"/>
      <c r="F30" s="60"/>
      <c r="G30" s="60"/>
      <c r="H30" s="64"/>
      <c r="I30" s="60"/>
      <c r="J30" s="60"/>
      <c r="K30" s="65"/>
      <c r="L30" s="60"/>
      <c r="M30" s="66"/>
      <c r="N30" s="67"/>
      <c r="O30" s="56"/>
      <c r="P30" s="54"/>
      <c r="Q30" s="55"/>
      <c r="R30" s="56"/>
      <c r="S30" s="57"/>
      <c r="T30" s="58"/>
      <c r="U30" s="59"/>
      <c r="V30" s="6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4"/>
      <c r="B31" s="46"/>
      <c r="C31" s="46"/>
      <c r="D31" s="47"/>
      <c r="E31" s="47"/>
      <c r="F31" s="60"/>
      <c r="G31" s="60"/>
      <c r="H31" s="64"/>
      <c r="I31" s="60"/>
      <c r="J31" s="60"/>
      <c r="K31" s="65"/>
      <c r="L31" s="60"/>
      <c r="M31" s="66"/>
      <c r="N31" s="67"/>
      <c r="O31" s="56"/>
      <c r="P31" s="54"/>
      <c r="Q31" s="55"/>
      <c r="R31" s="56"/>
      <c r="S31" s="57"/>
      <c r="T31" s="58"/>
      <c r="U31" s="59"/>
      <c r="V31" s="60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4"/>
      <c r="B32" s="46"/>
      <c r="C32" s="46"/>
      <c r="D32" s="47"/>
      <c r="E32" s="47"/>
      <c r="F32" s="60"/>
      <c r="G32" s="60"/>
      <c r="H32" s="64"/>
      <c r="I32" s="60"/>
      <c r="J32" s="60"/>
      <c r="K32" s="65"/>
      <c r="L32" s="60"/>
      <c r="M32" s="66"/>
      <c r="N32" s="67"/>
      <c r="O32" s="56"/>
      <c r="P32" s="54"/>
      <c r="Q32" s="55"/>
      <c r="R32" s="56"/>
      <c r="S32" s="57"/>
      <c r="T32" s="58"/>
      <c r="U32" s="59"/>
      <c r="V32" s="60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60"/>
      <c r="G33" s="60"/>
      <c r="H33" s="64"/>
      <c r="I33" s="60"/>
      <c r="J33" s="60"/>
      <c r="K33" s="65"/>
      <c r="L33" s="60"/>
      <c r="M33" s="66"/>
      <c r="N33" s="67"/>
      <c r="O33" s="56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60"/>
      <c r="G34" s="60"/>
      <c r="H34" s="64"/>
      <c r="I34" s="60"/>
      <c r="J34" s="60"/>
      <c r="K34" s="65"/>
      <c r="L34" s="60"/>
      <c r="M34" s="66"/>
      <c r="N34" s="67"/>
      <c r="O34" s="56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60"/>
      <c r="G35" s="60"/>
      <c r="H35" s="64"/>
      <c r="I35" s="60"/>
      <c r="J35" s="60"/>
      <c r="K35" s="65"/>
      <c r="L35" s="60"/>
      <c r="M35" s="66"/>
      <c r="N35" s="67"/>
      <c r="O35" s="56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60"/>
      <c r="G36" s="60"/>
      <c r="H36" s="64"/>
      <c r="I36" s="60"/>
      <c r="J36" s="60"/>
      <c r="K36" s="65"/>
      <c r="L36" s="60"/>
      <c r="M36" s="66"/>
      <c r="N36" s="67"/>
      <c r="O36" s="56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68"/>
      <c r="C37" s="46"/>
      <c r="D37" s="47"/>
      <c r="E37" s="47"/>
      <c r="F37" s="60"/>
      <c r="G37" s="60"/>
      <c r="H37" s="64"/>
      <c r="I37" s="60"/>
      <c r="J37" s="60"/>
      <c r="K37" s="65"/>
      <c r="L37" s="60"/>
      <c r="M37" s="66"/>
      <c r="N37" s="67"/>
      <c r="O37" s="56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68"/>
      <c r="C38" s="46"/>
      <c r="D38" s="47"/>
      <c r="E38" s="47"/>
      <c r="F38" s="60"/>
      <c r="G38" s="60"/>
      <c r="H38" s="64"/>
      <c r="I38" s="60"/>
      <c r="J38" s="60"/>
      <c r="K38" s="65"/>
      <c r="L38" s="60"/>
      <c r="M38" s="66"/>
      <c r="N38" s="67"/>
      <c r="O38" s="56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68"/>
      <c r="C39" s="46"/>
      <c r="D39" s="47"/>
      <c r="E39" s="47"/>
      <c r="F39" s="60"/>
      <c r="G39" s="60"/>
      <c r="H39" s="64"/>
      <c r="I39" s="60"/>
      <c r="J39" s="60"/>
      <c r="K39" s="65"/>
      <c r="L39" s="60"/>
      <c r="M39" s="66"/>
      <c r="N39" s="67"/>
      <c r="O39" s="56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68"/>
      <c r="C40" s="46"/>
      <c r="D40" s="47"/>
      <c r="E40" s="47"/>
      <c r="F40" s="60"/>
      <c r="G40" s="60"/>
      <c r="H40" s="64"/>
      <c r="I40" s="60"/>
      <c r="J40" s="60"/>
      <c r="K40" s="65"/>
      <c r="L40" s="60"/>
      <c r="M40" s="66"/>
      <c r="N40" s="67"/>
      <c r="O40" s="56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68"/>
      <c r="C41" s="46"/>
      <c r="D41" s="47"/>
      <c r="E41" s="47"/>
      <c r="F41" s="60"/>
      <c r="G41" s="60"/>
      <c r="H41" s="64"/>
      <c r="I41" s="60"/>
      <c r="J41" s="60"/>
      <c r="K41" s="65"/>
      <c r="L41" s="60"/>
      <c r="M41" s="66"/>
      <c r="N41" s="67"/>
      <c r="O41" s="56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5"/>
      <c r="B42" s="5"/>
      <c r="C42" s="5"/>
      <c r="D42" s="5"/>
      <c r="E42" s="69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7" max="17" width="18.8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40.5" customHeight="1">
      <c r="A5" s="26">
        <v>1.0</v>
      </c>
      <c r="B5" s="27">
        <v>45632.0</v>
      </c>
      <c r="C5" s="28">
        <v>21818.0</v>
      </c>
      <c r="D5" s="29" t="s">
        <v>176</v>
      </c>
      <c r="E5" s="30" t="s">
        <v>28</v>
      </c>
      <c r="F5" s="31"/>
      <c r="G5" s="32"/>
      <c r="H5" s="33">
        <v>0.0</v>
      </c>
      <c r="I5" s="34"/>
      <c r="J5" s="31"/>
      <c r="K5" s="35"/>
      <c r="L5" s="35"/>
      <c r="M5" s="33"/>
      <c r="N5" s="33"/>
      <c r="O5" s="36"/>
      <c r="P5" s="70">
        <v>9030.0</v>
      </c>
      <c r="Q5" s="77">
        <v>500.0</v>
      </c>
      <c r="R5" s="70"/>
      <c r="S5" s="76">
        <v>8530.0</v>
      </c>
      <c r="T5" s="41" t="s">
        <v>176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40.5" customHeight="1">
      <c r="A6" s="26">
        <v>2.0</v>
      </c>
      <c r="B6" s="27">
        <v>45632.0</v>
      </c>
      <c r="C6" s="28">
        <v>48631.0</v>
      </c>
      <c r="D6" s="29" t="s">
        <v>177</v>
      </c>
      <c r="E6" s="30" t="s">
        <v>178</v>
      </c>
      <c r="F6" s="31"/>
      <c r="G6" s="32"/>
      <c r="H6" s="33"/>
      <c r="I6" s="34"/>
      <c r="J6" s="31"/>
      <c r="K6" s="33">
        <v>2650.0</v>
      </c>
      <c r="L6" s="35"/>
      <c r="M6" s="33"/>
      <c r="N6" s="33"/>
      <c r="O6" s="36"/>
      <c r="P6" s="70">
        <v>0.0</v>
      </c>
      <c r="Q6" s="77">
        <v>0.0</v>
      </c>
      <c r="R6" s="70"/>
      <c r="S6" s="76">
        <v>2650.0</v>
      </c>
      <c r="T6" s="41" t="s">
        <v>177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40.5" customHeight="1">
      <c r="A7" s="26">
        <v>3.0</v>
      </c>
      <c r="B7" s="27">
        <v>45632.0</v>
      </c>
      <c r="C7" s="28">
        <v>49655.0</v>
      </c>
      <c r="D7" s="29" t="s">
        <v>179</v>
      </c>
      <c r="E7" s="30" t="s">
        <v>56</v>
      </c>
      <c r="F7" s="31"/>
      <c r="G7" s="32"/>
      <c r="H7" s="33"/>
      <c r="I7" s="34"/>
      <c r="J7" s="31"/>
      <c r="K7" s="33">
        <v>5150.0</v>
      </c>
      <c r="L7" s="35"/>
      <c r="M7" s="33"/>
      <c r="N7" s="33"/>
      <c r="O7" s="36"/>
      <c r="P7" s="70">
        <v>875.0</v>
      </c>
      <c r="Q7" s="77">
        <v>0.0</v>
      </c>
      <c r="R7" s="70"/>
      <c r="S7" s="76">
        <v>6025.0</v>
      </c>
      <c r="T7" s="41" t="s">
        <v>179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0.5" customHeight="1">
      <c r="A8" s="26">
        <v>4.0</v>
      </c>
      <c r="B8" s="27">
        <v>45632.0</v>
      </c>
      <c r="C8" s="28">
        <v>49655.0</v>
      </c>
      <c r="D8" s="29" t="s">
        <v>180</v>
      </c>
      <c r="E8" s="30" t="s">
        <v>56</v>
      </c>
      <c r="F8" s="31"/>
      <c r="G8" s="32"/>
      <c r="H8" s="33">
        <v>975.0</v>
      </c>
      <c r="I8" s="34"/>
      <c r="J8" s="31"/>
      <c r="K8" s="33"/>
      <c r="L8" s="35"/>
      <c r="M8" s="33"/>
      <c r="N8" s="33"/>
      <c r="O8" s="36"/>
      <c r="P8" s="70">
        <v>6025.0</v>
      </c>
      <c r="Q8" s="77">
        <v>0.0</v>
      </c>
      <c r="R8" s="70"/>
      <c r="S8" s="76">
        <v>7000.0</v>
      </c>
      <c r="T8" s="41" t="s">
        <v>180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40.5" customHeight="1">
      <c r="A9" s="26">
        <v>5.0</v>
      </c>
      <c r="B9" s="27">
        <v>45632.0</v>
      </c>
      <c r="C9" s="28">
        <v>49655.0</v>
      </c>
      <c r="D9" s="29" t="s">
        <v>181</v>
      </c>
      <c r="E9" s="30" t="s">
        <v>56</v>
      </c>
      <c r="F9" s="31"/>
      <c r="G9" s="32"/>
      <c r="H9" s="33">
        <v>0.0</v>
      </c>
      <c r="I9" s="34"/>
      <c r="J9" s="31"/>
      <c r="K9" s="33"/>
      <c r="L9" s="35"/>
      <c r="M9" s="33"/>
      <c r="N9" s="33"/>
      <c r="O9" s="36"/>
      <c r="P9" s="70">
        <v>7000.0</v>
      </c>
      <c r="Q9" s="77">
        <v>7000.0</v>
      </c>
      <c r="R9" s="70"/>
      <c r="S9" s="76">
        <v>0.0</v>
      </c>
      <c r="T9" s="41" t="s">
        <v>181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40.5" customHeight="1">
      <c r="A10" s="26">
        <v>6.0</v>
      </c>
      <c r="B10" s="27">
        <v>45632.0</v>
      </c>
      <c r="C10" s="28">
        <v>54107.0</v>
      </c>
      <c r="D10" s="29" t="s">
        <v>182</v>
      </c>
      <c r="E10" s="30" t="s">
        <v>183</v>
      </c>
      <c r="F10" s="31"/>
      <c r="G10" s="32"/>
      <c r="H10" s="33">
        <v>2.0</v>
      </c>
      <c r="I10" s="34"/>
      <c r="J10" s="31"/>
      <c r="K10" s="33"/>
      <c r="L10" s="35"/>
      <c r="M10" s="33"/>
      <c r="N10" s="33"/>
      <c r="O10" s="36"/>
      <c r="P10" s="70">
        <v>0.0</v>
      </c>
      <c r="Q10" s="77">
        <v>0.0</v>
      </c>
      <c r="R10" s="70"/>
      <c r="S10" s="76">
        <v>2.0</v>
      </c>
      <c r="T10" s="41" t="s">
        <v>182</v>
      </c>
      <c r="U10" s="42" t="s">
        <v>152</v>
      </c>
      <c r="V10" s="4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40.5" customHeight="1">
      <c r="A11" s="26">
        <v>7.0</v>
      </c>
      <c r="B11" s="27">
        <v>45632.0</v>
      </c>
      <c r="C11" s="28">
        <v>59103.0</v>
      </c>
      <c r="D11" s="29" t="s">
        <v>184</v>
      </c>
      <c r="E11" s="29" t="s">
        <v>98</v>
      </c>
      <c r="F11" s="31"/>
      <c r="G11" s="32"/>
      <c r="H11" s="33"/>
      <c r="I11" s="34"/>
      <c r="J11" s="31"/>
      <c r="K11" s="33">
        <v>5900.0</v>
      </c>
      <c r="L11" s="35"/>
      <c r="M11" s="33"/>
      <c r="N11" s="33"/>
      <c r="O11" s="36"/>
      <c r="P11" s="70">
        <v>26566.0</v>
      </c>
      <c r="Q11" s="77">
        <v>0.0</v>
      </c>
      <c r="R11" s="70"/>
      <c r="S11" s="76">
        <v>32466.0</v>
      </c>
      <c r="T11" s="41" t="s">
        <v>184</v>
      </c>
      <c r="U11" s="42" t="s">
        <v>29</v>
      </c>
      <c r="V11" s="4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40.5" customHeight="1">
      <c r="A12" s="26">
        <v>8.0</v>
      </c>
      <c r="B12" s="27">
        <v>45632.0</v>
      </c>
      <c r="C12" s="28">
        <v>59103.0</v>
      </c>
      <c r="D12" s="29" t="s">
        <v>185</v>
      </c>
      <c r="E12" s="30" t="s">
        <v>98</v>
      </c>
      <c r="F12" s="31"/>
      <c r="G12" s="32"/>
      <c r="H12" s="33"/>
      <c r="I12" s="34"/>
      <c r="J12" s="31"/>
      <c r="K12" s="33">
        <v>2570.0</v>
      </c>
      <c r="L12" s="35"/>
      <c r="M12" s="33"/>
      <c r="N12" s="33"/>
      <c r="O12" s="36"/>
      <c r="P12" s="70">
        <v>32466.0</v>
      </c>
      <c r="Q12" s="77">
        <v>0.0</v>
      </c>
      <c r="R12" s="70"/>
      <c r="S12" s="76">
        <v>35036.0</v>
      </c>
      <c r="T12" s="41" t="s">
        <v>185</v>
      </c>
      <c r="U12" s="42" t="s">
        <v>29</v>
      </c>
      <c r="V12" s="43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40.5" customHeight="1">
      <c r="A13" s="26">
        <v>9.0</v>
      </c>
      <c r="B13" s="27">
        <v>45632.0</v>
      </c>
      <c r="C13" s="28">
        <v>59103.0</v>
      </c>
      <c r="D13" s="29" t="s">
        <v>186</v>
      </c>
      <c r="E13" s="30" t="s">
        <v>98</v>
      </c>
      <c r="F13" s="31"/>
      <c r="G13" s="32"/>
      <c r="H13" s="33">
        <v>0.0</v>
      </c>
      <c r="I13" s="34"/>
      <c r="J13" s="31"/>
      <c r="K13" s="33"/>
      <c r="L13" s="35"/>
      <c r="M13" s="33"/>
      <c r="N13" s="33"/>
      <c r="O13" s="36"/>
      <c r="P13" s="70">
        <v>35036.0</v>
      </c>
      <c r="Q13" s="77">
        <v>32500.0</v>
      </c>
      <c r="R13" s="70"/>
      <c r="S13" s="76">
        <v>2536.0</v>
      </c>
      <c r="T13" s="41" t="s">
        <v>186</v>
      </c>
      <c r="U13" s="42" t="s">
        <v>29</v>
      </c>
      <c r="V13" s="43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40.5" customHeight="1">
      <c r="A14" s="26">
        <v>10.0</v>
      </c>
      <c r="B14" s="27">
        <v>45632.0</v>
      </c>
      <c r="C14" s="28">
        <v>59103.0</v>
      </c>
      <c r="D14" s="29" t="s">
        <v>187</v>
      </c>
      <c r="E14" s="30" t="s">
        <v>98</v>
      </c>
      <c r="F14" s="31"/>
      <c r="G14" s="32"/>
      <c r="H14" s="33"/>
      <c r="I14" s="34"/>
      <c r="J14" s="31"/>
      <c r="K14" s="33"/>
      <c r="L14" s="33">
        <v>4650.0</v>
      </c>
      <c r="M14" s="33"/>
      <c r="N14" s="33"/>
      <c r="O14" s="36"/>
      <c r="P14" s="70">
        <v>2536.0</v>
      </c>
      <c r="Q14" s="77">
        <v>0.0</v>
      </c>
      <c r="R14" s="70"/>
      <c r="S14" s="76">
        <v>7186.0</v>
      </c>
      <c r="T14" s="41" t="s">
        <v>187</v>
      </c>
      <c r="U14" s="42" t="s">
        <v>29</v>
      </c>
      <c r="V14" s="43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40.5" customHeight="1">
      <c r="A15" s="26">
        <v>11.0</v>
      </c>
      <c r="B15" s="27">
        <v>45632.0</v>
      </c>
      <c r="C15" s="28">
        <v>59103.0</v>
      </c>
      <c r="D15" s="29" t="s">
        <v>188</v>
      </c>
      <c r="E15" s="30" t="s">
        <v>98</v>
      </c>
      <c r="F15" s="31"/>
      <c r="G15" s="32"/>
      <c r="H15" s="33">
        <v>0.0</v>
      </c>
      <c r="I15" s="34"/>
      <c r="J15" s="31"/>
      <c r="K15" s="33"/>
      <c r="L15" s="35"/>
      <c r="M15" s="33"/>
      <c r="N15" s="33"/>
      <c r="O15" s="36"/>
      <c r="P15" s="70">
        <v>7186.0</v>
      </c>
      <c r="Q15" s="77">
        <v>4500.0</v>
      </c>
      <c r="R15" s="70"/>
      <c r="S15" s="76">
        <v>2686.0</v>
      </c>
      <c r="T15" s="41" t="s">
        <v>188</v>
      </c>
      <c r="U15" s="42" t="s">
        <v>29</v>
      </c>
      <c r="V15" s="43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40.5" customHeight="1">
      <c r="A16" s="26">
        <v>12.0</v>
      </c>
      <c r="B16" s="27">
        <v>45632.0</v>
      </c>
      <c r="C16" s="28">
        <v>69883.0</v>
      </c>
      <c r="D16" s="29" t="s">
        <v>189</v>
      </c>
      <c r="E16" s="30" t="s">
        <v>190</v>
      </c>
      <c r="F16" s="31"/>
      <c r="G16" s="32"/>
      <c r="H16" s="33">
        <v>32500.0</v>
      </c>
      <c r="I16" s="34"/>
      <c r="J16" s="31"/>
      <c r="K16" s="33"/>
      <c r="L16" s="35"/>
      <c r="M16" s="33"/>
      <c r="N16" s="33"/>
      <c r="O16" s="36"/>
      <c r="P16" s="70">
        <v>0.0</v>
      </c>
      <c r="Q16" s="77">
        <v>0.0</v>
      </c>
      <c r="R16" s="70"/>
      <c r="S16" s="76">
        <v>32500.0</v>
      </c>
      <c r="T16" s="41" t="s">
        <v>189</v>
      </c>
      <c r="U16" s="42" t="s">
        <v>29</v>
      </c>
      <c r="V16" s="43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ht="40.5" customHeight="1">
      <c r="A17" s="26">
        <v>13.0</v>
      </c>
      <c r="B17" s="27">
        <v>45632.0</v>
      </c>
      <c r="C17" s="28">
        <v>69883.0</v>
      </c>
      <c r="D17" s="29" t="s">
        <v>191</v>
      </c>
      <c r="E17" s="30" t="s">
        <v>190</v>
      </c>
      <c r="F17" s="31"/>
      <c r="G17" s="32"/>
      <c r="H17" s="33">
        <v>0.0</v>
      </c>
      <c r="I17" s="34"/>
      <c r="J17" s="31"/>
      <c r="K17" s="33"/>
      <c r="L17" s="35"/>
      <c r="M17" s="33"/>
      <c r="N17" s="33"/>
      <c r="O17" s="36"/>
      <c r="P17" s="70">
        <v>32500.0</v>
      </c>
      <c r="Q17" s="77">
        <v>32500.0</v>
      </c>
      <c r="R17" s="70"/>
      <c r="S17" s="76">
        <v>0.0</v>
      </c>
      <c r="T17" s="41" t="s">
        <v>191</v>
      </c>
      <c r="U17" s="42" t="s">
        <v>29</v>
      </c>
      <c r="V17" s="43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ht="40.5" customHeight="1">
      <c r="A18" s="26">
        <v>14.0</v>
      </c>
      <c r="B18" s="27">
        <v>45632.0</v>
      </c>
      <c r="C18" s="28">
        <v>82259.0</v>
      </c>
      <c r="D18" s="29" t="s">
        <v>192</v>
      </c>
      <c r="E18" s="30" t="s">
        <v>120</v>
      </c>
      <c r="F18" s="31"/>
      <c r="G18" s="32"/>
      <c r="H18" s="33">
        <v>386000.0</v>
      </c>
      <c r="I18" s="34"/>
      <c r="J18" s="31"/>
      <c r="K18" s="33"/>
      <c r="L18" s="35"/>
      <c r="M18" s="33"/>
      <c r="N18" s="33"/>
      <c r="O18" s="36"/>
      <c r="P18" s="70">
        <v>75000.0</v>
      </c>
      <c r="Q18" s="77">
        <v>0.0</v>
      </c>
      <c r="R18" s="70"/>
      <c r="S18" s="76">
        <v>461000.0</v>
      </c>
      <c r="T18" s="41" t="s">
        <v>192</v>
      </c>
      <c r="U18" s="42" t="s">
        <v>47</v>
      </c>
      <c r="V18" s="43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ht="40.5" customHeight="1">
      <c r="A19" s="26">
        <v>15.0</v>
      </c>
      <c r="B19" s="27">
        <v>45632.0</v>
      </c>
      <c r="C19" s="28">
        <v>82372.0</v>
      </c>
      <c r="D19" s="29" t="s">
        <v>193</v>
      </c>
      <c r="E19" s="30" t="s">
        <v>123</v>
      </c>
      <c r="F19" s="31"/>
      <c r="G19" s="32"/>
      <c r="H19" s="33">
        <v>1000000.0</v>
      </c>
      <c r="I19" s="34"/>
      <c r="J19" s="31"/>
      <c r="K19" s="33"/>
      <c r="L19" s="35"/>
      <c r="M19" s="33"/>
      <c r="N19" s="33"/>
      <c r="O19" s="36"/>
      <c r="P19" s="70">
        <v>170000.0</v>
      </c>
      <c r="Q19" s="77">
        <v>0.0</v>
      </c>
      <c r="R19" s="70"/>
      <c r="S19" s="76">
        <v>1170000.0</v>
      </c>
      <c r="T19" s="41" t="s">
        <v>193</v>
      </c>
      <c r="U19" s="42" t="s">
        <v>47</v>
      </c>
      <c r="V19" s="43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ht="40.5" customHeight="1">
      <c r="A20" s="26">
        <v>16.0</v>
      </c>
      <c r="B20" s="27">
        <v>45632.0</v>
      </c>
      <c r="C20" s="28">
        <v>82372.0</v>
      </c>
      <c r="D20" s="29" t="s">
        <v>194</v>
      </c>
      <c r="E20" s="30" t="s">
        <v>123</v>
      </c>
      <c r="F20" s="31"/>
      <c r="G20" s="32"/>
      <c r="H20" s="33">
        <v>0.0</v>
      </c>
      <c r="I20" s="34"/>
      <c r="J20" s="31"/>
      <c r="K20" s="33"/>
      <c r="L20" s="35"/>
      <c r="M20" s="33"/>
      <c r="N20" s="33"/>
      <c r="O20" s="36"/>
      <c r="P20" s="70">
        <v>1170000.0</v>
      </c>
      <c r="Q20" s="77">
        <v>270000.0</v>
      </c>
      <c r="R20" s="70"/>
      <c r="S20" s="76">
        <v>900000.0</v>
      </c>
      <c r="T20" s="41" t="s">
        <v>194</v>
      </c>
      <c r="U20" s="42" t="s">
        <v>47</v>
      </c>
      <c r="V20" s="43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ht="40.5" customHeight="1">
      <c r="A21" s="26">
        <v>17.0</v>
      </c>
      <c r="B21" s="27">
        <v>45632.0</v>
      </c>
      <c r="C21" s="28">
        <v>82372.0</v>
      </c>
      <c r="D21" s="29" t="s">
        <v>195</v>
      </c>
      <c r="E21" s="30" t="s">
        <v>123</v>
      </c>
      <c r="F21" s="31"/>
      <c r="G21" s="32"/>
      <c r="H21" s="33">
        <v>0.0</v>
      </c>
      <c r="I21" s="34"/>
      <c r="J21" s="31"/>
      <c r="K21" s="33"/>
      <c r="L21" s="35"/>
      <c r="M21" s="33"/>
      <c r="N21" s="33"/>
      <c r="O21" s="36"/>
      <c r="P21" s="70">
        <v>900000.0</v>
      </c>
      <c r="Q21" s="77">
        <v>270000.0</v>
      </c>
      <c r="R21" s="70"/>
      <c r="S21" s="76">
        <v>630000.0</v>
      </c>
      <c r="T21" s="41" t="s">
        <v>195</v>
      </c>
      <c r="U21" s="42" t="s">
        <v>47</v>
      </c>
      <c r="V21" s="43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40.5" customHeight="1">
      <c r="A22" s="26">
        <v>18.0</v>
      </c>
      <c r="B22" s="27">
        <v>45632.0</v>
      </c>
      <c r="C22" s="28">
        <v>82372.0</v>
      </c>
      <c r="D22" s="29" t="s">
        <v>196</v>
      </c>
      <c r="E22" s="30" t="s">
        <v>123</v>
      </c>
      <c r="F22" s="31"/>
      <c r="G22" s="32"/>
      <c r="H22" s="33">
        <v>0.0</v>
      </c>
      <c r="I22" s="34"/>
      <c r="J22" s="31"/>
      <c r="K22" s="33"/>
      <c r="L22" s="35"/>
      <c r="M22" s="33"/>
      <c r="N22" s="33"/>
      <c r="O22" s="36"/>
      <c r="P22" s="70">
        <v>630000.0</v>
      </c>
      <c r="Q22" s="77">
        <v>270000.0</v>
      </c>
      <c r="R22" s="70"/>
      <c r="S22" s="76">
        <v>360000.0</v>
      </c>
      <c r="T22" s="41" t="s">
        <v>196</v>
      </c>
      <c r="U22" s="42" t="s">
        <v>47</v>
      </c>
      <c r="V22" s="43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4"/>
      <c r="B23" s="46"/>
      <c r="C23" s="46"/>
      <c r="D23" s="47"/>
      <c r="E23" s="47"/>
      <c r="F23" s="48"/>
      <c r="G23" s="48"/>
      <c r="H23" s="49"/>
      <c r="I23" s="48"/>
      <c r="J23" s="48"/>
      <c r="K23" s="51"/>
      <c r="L23" s="61"/>
      <c r="M23" s="62"/>
      <c r="N23" s="52"/>
      <c r="O23" s="63"/>
      <c r="P23" s="54"/>
      <c r="Q23" s="55"/>
      <c r="R23" s="56"/>
      <c r="S23" s="57"/>
      <c r="T23" s="58"/>
      <c r="U23" s="59"/>
      <c r="V23" s="6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4"/>
      <c r="B24" s="46"/>
      <c r="C24" s="46"/>
      <c r="D24" s="47"/>
      <c r="E24" s="47"/>
      <c r="F24" s="48"/>
      <c r="G24" s="48"/>
      <c r="H24" s="49"/>
      <c r="I24" s="48"/>
      <c r="J24" s="48"/>
      <c r="K24" s="51"/>
      <c r="L24" s="61"/>
      <c r="M24" s="62"/>
      <c r="N24" s="52"/>
      <c r="O24" s="63"/>
      <c r="P24" s="54"/>
      <c r="Q24" s="55"/>
      <c r="R24" s="56"/>
      <c r="S24" s="57"/>
      <c r="T24" s="58"/>
      <c r="U24" s="59"/>
      <c r="V24" s="60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4"/>
      <c r="B25" s="46"/>
      <c r="C25" s="46"/>
      <c r="D25" s="47"/>
      <c r="E25" s="47"/>
      <c r="F25" s="48"/>
      <c r="G25" s="48"/>
      <c r="H25" s="49"/>
      <c r="I25" s="48"/>
      <c r="J25" s="48"/>
      <c r="K25" s="51"/>
      <c r="L25" s="61"/>
      <c r="M25" s="62"/>
      <c r="N25" s="52"/>
      <c r="O25" s="63"/>
      <c r="P25" s="54"/>
      <c r="Q25" s="55"/>
      <c r="R25" s="56"/>
      <c r="S25" s="57"/>
      <c r="T25" s="58"/>
      <c r="U25" s="59"/>
      <c r="V25" s="60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4"/>
      <c r="B26" s="46"/>
      <c r="C26" s="46"/>
      <c r="D26" s="47"/>
      <c r="E26" s="47"/>
      <c r="F26" s="48"/>
      <c r="G26" s="48"/>
      <c r="H26" s="49"/>
      <c r="I26" s="48"/>
      <c r="J26" s="48"/>
      <c r="K26" s="51"/>
      <c r="L26" s="61"/>
      <c r="M26" s="62"/>
      <c r="N26" s="52"/>
      <c r="O26" s="63"/>
      <c r="P26" s="54"/>
      <c r="Q26" s="55"/>
      <c r="R26" s="56"/>
      <c r="S26" s="57"/>
      <c r="T26" s="58"/>
      <c r="U26" s="59"/>
      <c r="V26" s="60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4"/>
      <c r="B27" s="46"/>
      <c r="C27" s="46"/>
      <c r="D27" s="47"/>
      <c r="E27" s="47"/>
      <c r="F27" s="48"/>
      <c r="G27" s="48"/>
      <c r="H27" s="49"/>
      <c r="I27" s="48"/>
      <c r="J27" s="48"/>
      <c r="K27" s="51"/>
      <c r="L27" s="61"/>
      <c r="M27" s="62"/>
      <c r="N27" s="52"/>
      <c r="O27" s="63"/>
      <c r="P27" s="54"/>
      <c r="Q27" s="55"/>
      <c r="R27" s="56"/>
      <c r="S27" s="57"/>
      <c r="T27" s="58"/>
      <c r="U27" s="59"/>
      <c r="V27" s="60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4"/>
      <c r="B28" s="46"/>
      <c r="C28" s="46"/>
      <c r="D28" s="47"/>
      <c r="E28" s="47"/>
      <c r="F28" s="48"/>
      <c r="G28" s="48"/>
      <c r="H28" s="49"/>
      <c r="I28" s="48"/>
      <c r="J28" s="48"/>
      <c r="K28" s="51"/>
      <c r="L28" s="61"/>
      <c r="M28" s="62"/>
      <c r="N28" s="52"/>
      <c r="O28" s="63"/>
      <c r="P28" s="54"/>
      <c r="Q28" s="55"/>
      <c r="R28" s="56"/>
      <c r="S28" s="57"/>
      <c r="T28" s="58"/>
      <c r="U28" s="59"/>
      <c r="V28" s="60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4"/>
      <c r="B29" s="46"/>
      <c r="C29" s="46"/>
      <c r="D29" s="47"/>
      <c r="E29" s="47"/>
      <c r="F29" s="48"/>
      <c r="G29" s="48"/>
      <c r="H29" s="49"/>
      <c r="I29" s="48"/>
      <c r="J29" s="48"/>
      <c r="K29" s="51"/>
      <c r="L29" s="61"/>
      <c r="M29" s="62"/>
      <c r="N29" s="52"/>
      <c r="O29" s="63"/>
      <c r="P29" s="54"/>
      <c r="Q29" s="55"/>
      <c r="R29" s="56"/>
      <c r="S29" s="57"/>
      <c r="T29" s="58"/>
      <c r="U29" s="59"/>
      <c r="V29" s="6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4"/>
      <c r="B30" s="46"/>
      <c r="C30" s="46"/>
      <c r="D30" s="47"/>
      <c r="E30" s="47"/>
      <c r="F30" s="48"/>
      <c r="G30" s="48"/>
      <c r="H30" s="49"/>
      <c r="I30" s="48"/>
      <c r="J30" s="48"/>
      <c r="K30" s="51"/>
      <c r="L30" s="61"/>
      <c r="M30" s="62"/>
      <c r="N30" s="52"/>
      <c r="O30" s="63"/>
      <c r="P30" s="54"/>
      <c r="Q30" s="55"/>
      <c r="R30" s="56"/>
      <c r="S30" s="57"/>
      <c r="T30" s="58"/>
      <c r="U30" s="59"/>
      <c r="V30" s="6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4"/>
      <c r="B31" s="46"/>
      <c r="C31" s="46"/>
      <c r="D31" s="47"/>
      <c r="E31" s="47"/>
      <c r="F31" s="48"/>
      <c r="G31" s="48"/>
      <c r="H31" s="49"/>
      <c r="I31" s="48"/>
      <c r="J31" s="48"/>
      <c r="K31" s="51"/>
      <c r="L31" s="61"/>
      <c r="M31" s="62"/>
      <c r="N31" s="52"/>
      <c r="O31" s="63"/>
      <c r="P31" s="54"/>
      <c r="Q31" s="55"/>
      <c r="R31" s="56"/>
      <c r="S31" s="57"/>
      <c r="T31" s="58"/>
      <c r="U31" s="59"/>
      <c r="V31" s="60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4"/>
      <c r="B32" s="46"/>
      <c r="C32" s="46"/>
      <c r="D32" s="47"/>
      <c r="E32" s="47"/>
      <c r="F32" s="48"/>
      <c r="G32" s="48"/>
      <c r="H32" s="49"/>
      <c r="I32" s="48"/>
      <c r="J32" s="48"/>
      <c r="K32" s="51"/>
      <c r="L32" s="61"/>
      <c r="M32" s="62"/>
      <c r="N32" s="52"/>
      <c r="O32" s="63"/>
      <c r="P32" s="54"/>
      <c r="Q32" s="55"/>
      <c r="R32" s="56"/>
      <c r="S32" s="57"/>
      <c r="T32" s="58"/>
      <c r="U32" s="59"/>
      <c r="V32" s="60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48"/>
      <c r="G33" s="48"/>
      <c r="H33" s="49"/>
      <c r="I33" s="48"/>
      <c r="J33" s="48"/>
      <c r="K33" s="51"/>
      <c r="L33" s="61"/>
      <c r="M33" s="62"/>
      <c r="N33" s="52"/>
      <c r="O33" s="63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48"/>
      <c r="G34" s="48"/>
      <c r="H34" s="49"/>
      <c r="I34" s="48"/>
      <c r="J34" s="48"/>
      <c r="K34" s="51"/>
      <c r="L34" s="61"/>
      <c r="M34" s="62"/>
      <c r="N34" s="52"/>
      <c r="O34" s="63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60"/>
      <c r="G35" s="60"/>
      <c r="H35" s="64"/>
      <c r="I35" s="60"/>
      <c r="J35" s="60"/>
      <c r="K35" s="65"/>
      <c r="L35" s="60"/>
      <c r="M35" s="66"/>
      <c r="N35" s="67"/>
      <c r="O35" s="56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60"/>
      <c r="G36" s="60"/>
      <c r="H36" s="64"/>
      <c r="I36" s="60"/>
      <c r="J36" s="60"/>
      <c r="K36" s="65"/>
      <c r="L36" s="60"/>
      <c r="M36" s="66"/>
      <c r="N36" s="67"/>
      <c r="O36" s="56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46"/>
      <c r="C37" s="46"/>
      <c r="D37" s="47"/>
      <c r="E37" s="47"/>
      <c r="F37" s="60"/>
      <c r="G37" s="60"/>
      <c r="H37" s="64"/>
      <c r="I37" s="60"/>
      <c r="J37" s="60"/>
      <c r="K37" s="65"/>
      <c r="L37" s="60"/>
      <c r="M37" s="66"/>
      <c r="N37" s="67"/>
      <c r="O37" s="56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46"/>
      <c r="C38" s="46"/>
      <c r="D38" s="47"/>
      <c r="E38" s="47"/>
      <c r="F38" s="60"/>
      <c r="G38" s="60"/>
      <c r="H38" s="64"/>
      <c r="I38" s="60"/>
      <c r="J38" s="60"/>
      <c r="K38" s="65"/>
      <c r="L38" s="60"/>
      <c r="M38" s="66"/>
      <c r="N38" s="67"/>
      <c r="O38" s="56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46"/>
      <c r="C39" s="46"/>
      <c r="D39" s="47"/>
      <c r="E39" s="47"/>
      <c r="F39" s="60"/>
      <c r="G39" s="60"/>
      <c r="H39" s="64"/>
      <c r="I39" s="60"/>
      <c r="J39" s="60"/>
      <c r="K39" s="65"/>
      <c r="L39" s="60"/>
      <c r="M39" s="66"/>
      <c r="N39" s="67"/>
      <c r="O39" s="56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46"/>
      <c r="C40" s="46"/>
      <c r="D40" s="47"/>
      <c r="E40" s="47"/>
      <c r="F40" s="60"/>
      <c r="G40" s="60"/>
      <c r="H40" s="64"/>
      <c r="I40" s="60"/>
      <c r="J40" s="60"/>
      <c r="K40" s="65"/>
      <c r="L40" s="60"/>
      <c r="M40" s="66"/>
      <c r="N40" s="67"/>
      <c r="O40" s="56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46"/>
      <c r="C41" s="46"/>
      <c r="D41" s="47"/>
      <c r="E41" s="47"/>
      <c r="F41" s="60"/>
      <c r="G41" s="60"/>
      <c r="H41" s="64"/>
      <c r="I41" s="60"/>
      <c r="J41" s="60"/>
      <c r="K41" s="65"/>
      <c r="L41" s="60"/>
      <c r="M41" s="66"/>
      <c r="N41" s="67"/>
      <c r="O41" s="56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4"/>
      <c r="B42" s="46"/>
      <c r="C42" s="46"/>
      <c r="D42" s="47"/>
      <c r="E42" s="47"/>
      <c r="F42" s="60"/>
      <c r="G42" s="60"/>
      <c r="H42" s="64"/>
      <c r="I42" s="60"/>
      <c r="J42" s="60"/>
      <c r="K42" s="65"/>
      <c r="L42" s="60"/>
      <c r="M42" s="66"/>
      <c r="N42" s="67"/>
      <c r="O42" s="56"/>
      <c r="P42" s="54"/>
      <c r="Q42" s="55"/>
      <c r="R42" s="56"/>
      <c r="S42" s="57"/>
      <c r="T42" s="58"/>
      <c r="U42" s="59"/>
      <c r="V42" s="60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4"/>
      <c r="B43" s="46"/>
      <c r="C43" s="46"/>
      <c r="D43" s="47"/>
      <c r="E43" s="47"/>
      <c r="F43" s="60"/>
      <c r="G43" s="60"/>
      <c r="H43" s="64"/>
      <c r="I43" s="60"/>
      <c r="J43" s="60"/>
      <c r="K43" s="65"/>
      <c r="L43" s="60"/>
      <c r="M43" s="66"/>
      <c r="N43" s="67"/>
      <c r="O43" s="56"/>
      <c r="P43" s="54"/>
      <c r="Q43" s="55"/>
      <c r="R43" s="56"/>
      <c r="S43" s="57"/>
      <c r="T43" s="58"/>
      <c r="U43" s="59"/>
      <c r="V43" s="60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4"/>
      <c r="B44" s="46"/>
      <c r="C44" s="46"/>
      <c r="D44" s="47"/>
      <c r="E44" s="47"/>
      <c r="F44" s="60"/>
      <c r="G44" s="60"/>
      <c r="H44" s="64"/>
      <c r="I44" s="60"/>
      <c r="J44" s="60"/>
      <c r="K44" s="65"/>
      <c r="L44" s="60"/>
      <c r="M44" s="66"/>
      <c r="N44" s="67"/>
      <c r="O44" s="56"/>
      <c r="P44" s="54"/>
      <c r="Q44" s="55"/>
      <c r="R44" s="56"/>
      <c r="S44" s="57"/>
      <c r="T44" s="58"/>
      <c r="U44" s="59"/>
      <c r="V44" s="60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4"/>
      <c r="B45" s="46"/>
      <c r="C45" s="46"/>
      <c r="D45" s="47"/>
      <c r="E45" s="47"/>
      <c r="F45" s="60"/>
      <c r="G45" s="60"/>
      <c r="H45" s="64"/>
      <c r="I45" s="60"/>
      <c r="J45" s="60"/>
      <c r="K45" s="65"/>
      <c r="L45" s="60"/>
      <c r="M45" s="66"/>
      <c r="N45" s="67"/>
      <c r="O45" s="56"/>
      <c r="P45" s="54"/>
      <c r="Q45" s="55"/>
      <c r="R45" s="56"/>
      <c r="S45" s="57"/>
      <c r="T45" s="58"/>
      <c r="U45" s="59"/>
      <c r="V45" s="60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4"/>
      <c r="B46" s="46"/>
      <c r="C46" s="46"/>
      <c r="D46" s="47"/>
      <c r="E46" s="47"/>
      <c r="F46" s="60"/>
      <c r="G46" s="60"/>
      <c r="H46" s="64"/>
      <c r="I46" s="60"/>
      <c r="J46" s="60"/>
      <c r="K46" s="65"/>
      <c r="L46" s="60"/>
      <c r="M46" s="66"/>
      <c r="N46" s="67"/>
      <c r="O46" s="56"/>
      <c r="P46" s="54"/>
      <c r="Q46" s="55"/>
      <c r="R46" s="56"/>
      <c r="S46" s="57"/>
      <c r="T46" s="58"/>
      <c r="U46" s="59"/>
      <c r="V46" s="60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4"/>
      <c r="B47" s="46"/>
      <c r="C47" s="46"/>
      <c r="D47" s="47"/>
      <c r="E47" s="47"/>
      <c r="F47" s="60"/>
      <c r="G47" s="60"/>
      <c r="H47" s="64"/>
      <c r="I47" s="60"/>
      <c r="J47" s="60"/>
      <c r="K47" s="65"/>
      <c r="L47" s="60"/>
      <c r="M47" s="66"/>
      <c r="N47" s="67"/>
      <c r="O47" s="56"/>
      <c r="P47" s="54"/>
      <c r="Q47" s="55"/>
      <c r="R47" s="56"/>
      <c r="S47" s="57"/>
      <c r="T47" s="58"/>
      <c r="U47" s="59"/>
      <c r="V47" s="60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4"/>
      <c r="B48" s="68"/>
      <c r="C48" s="46"/>
      <c r="D48" s="47"/>
      <c r="E48" s="47"/>
      <c r="F48" s="60"/>
      <c r="G48" s="60"/>
      <c r="H48" s="64"/>
      <c r="I48" s="60"/>
      <c r="J48" s="60"/>
      <c r="K48" s="65"/>
      <c r="L48" s="60"/>
      <c r="M48" s="66"/>
      <c r="N48" s="67"/>
      <c r="O48" s="56"/>
      <c r="P48" s="54"/>
      <c r="Q48" s="55"/>
      <c r="R48" s="56"/>
      <c r="S48" s="57"/>
      <c r="T48" s="58"/>
      <c r="U48" s="59"/>
      <c r="V48" s="60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4"/>
      <c r="B49" s="68"/>
      <c r="C49" s="46"/>
      <c r="D49" s="47"/>
      <c r="E49" s="47"/>
      <c r="F49" s="60"/>
      <c r="G49" s="60"/>
      <c r="H49" s="64"/>
      <c r="I49" s="60"/>
      <c r="J49" s="60"/>
      <c r="K49" s="65"/>
      <c r="L49" s="60"/>
      <c r="M49" s="66"/>
      <c r="N49" s="67"/>
      <c r="O49" s="56"/>
      <c r="P49" s="54"/>
      <c r="Q49" s="55"/>
      <c r="R49" s="56"/>
      <c r="S49" s="57"/>
      <c r="T49" s="58"/>
      <c r="U49" s="59"/>
      <c r="V49" s="60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4"/>
      <c r="B50" s="68"/>
      <c r="C50" s="46"/>
      <c r="D50" s="47"/>
      <c r="E50" s="47"/>
      <c r="F50" s="60"/>
      <c r="G50" s="60"/>
      <c r="H50" s="64"/>
      <c r="I50" s="60"/>
      <c r="J50" s="60"/>
      <c r="K50" s="65"/>
      <c r="L50" s="60"/>
      <c r="M50" s="66"/>
      <c r="N50" s="67"/>
      <c r="O50" s="56"/>
      <c r="P50" s="54"/>
      <c r="Q50" s="55"/>
      <c r="R50" s="56"/>
      <c r="S50" s="57"/>
      <c r="T50" s="58"/>
      <c r="U50" s="59"/>
      <c r="V50" s="60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4"/>
      <c r="B51" s="68"/>
      <c r="C51" s="46"/>
      <c r="D51" s="47"/>
      <c r="E51" s="47"/>
      <c r="F51" s="60"/>
      <c r="G51" s="60"/>
      <c r="H51" s="64"/>
      <c r="I51" s="60"/>
      <c r="J51" s="60"/>
      <c r="K51" s="65"/>
      <c r="L51" s="60"/>
      <c r="M51" s="66"/>
      <c r="N51" s="67"/>
      <c r="O51" s="56"/>
      <c r="P51" s="54"/>
      <c r="Q51" s="55"/>
      <c r="R51" s="56"/>
      <c r="S51" s="57"/>
      <c r="T51" s="58"/>
      <c r="U51" s="59"/>
      <c r="V51" s="60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4"/>
      <c r="B52" s="68"/>
      <c r="C52" s="46"/>
      <c r="D52" s="47"/>
      <c r="E52" s="47"/>
      <c r="F52" s="60"/>
      <c r="G52" s="60"/>
      <c r="H52" s="64"/>
      <c r="I52" s="60"/>
      <c r="J52" s="60"/>
      <c r="K52" s="65"/>
      <c r="L52" s="60"/>
      <c r="M52" s="66"/>
      <c r="N52" s="67"/>
      <c r="O52" s="56"/>
      <c r="P52" s="54"/>
      <c r="Q52" s="55"/>
      <c r="R52" s="56"/>
      <c r="S52" s="57"/>
      <c r="T52" s="58"/>
      <c r="U52" s="59"/>
      <c r="V52" s="60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69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1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9.75"/>
    <col customWidth="1" min="17" max="17" width="18.8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40.5" customHeight="1">
      <c r="A5" s="26">
        <v>1.0</v>
      </c>
      <c r="B5" s="27">
        <v>45457.0</v>
      </c>
      <c r="C5" s="28">
        <v>10271.0</v>
      </c>
      <c r="D5" s="29" t="s">
        <v>198</v>
      </c>
      <c r="E5" s="30" t="s">
        <v>199</v>
      </c>
      <c r="F5" s="31"/>
      <c r="G5" s="32"/>
      <c r="H5" s="33">
        <v>0.0</v>
      </c>
      <c r="I5" s="34"/>
      <c r="J5" s="31"/>
      <c r="K5" s="35"/>
      <c r="L5" s="35"/>
      <c r="M5" s="33"/>
      <c r="N5" s="33"/>
      <c r="O5" s="36"/>
      <c r="P5" s="70">
        <f>Q5+S5</f>
        <v>5500</v>
      </c>
      <c r="Q5" s="77">
        <v>4500.0</v>
      </c>
      <c r="R5" s="70"/>
      <c r="S5" s="76">
        <v>1000.0</v>
      </c>
      <c r="T5" s="41" t="s">
        <v>198</v>
      </c>
      <c r="U5" s="42" t="s">
        <v>29</v>
      </c>
      <c r="V5" s="43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40.5" customHeight="1">
      <c r="A6" s="26">
        <v>2.0</v>
      </c>
      <c r="B6" s="27">
        <v>45457.0</v>
      </c>
      <c r="C6" s="28">
        <v>10684.0</v>
      </c>
      <c r="D6" s="29" t="s">
        <v>200</v>
      </c>
      <c r="E6" s="30" t="s">
        <v>201</v>
      </c>
      <c r="F6" s="31"/>
      <c r="G6" s="32"/>
      <c r="H6" s="33"/>
      <c r="I6" s="34"/>
      <c r="J6" s="31"/>
      <c r="K6" s="33"/>
      <c r="L6" s="35"/>
      <c r="M6" s="33"/>
      <c r="N6" s="33">
        <v>2037.35</v>
      </c>
      <c r="O6" s="36"/>
      <c r="P6" s="70">
        <f t="shared" ref="P6:P7" si="1">S6-N6</f>
        <v>4.2</v>
      </c>
      <c r="Q6" s="77">
        <v>0.0</v>
      </c>
      <c r="R6" s="70"/>
      <c r="S6" s="76">
        <v>2041.55</v>
      </c>
      <c r="T6" s="41" t="s">
        <v>200</v>
      </c>
      <c r="U6" s="42" t="s">
        <v>29</v>
      </c>
      <c r="V6" s="43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40.5" customHeight="1">
      <c r="A7" s="26">
        <v>3.0</v>
      </c>
      <c r="B7" s="27">
        <v>45457.0</v>
      </c>
      <c r="C7" s="28">
        <v>21828.0</v>
      </c>
      <c r="D7" s="29" t="s">
        <v>202</v>
      </c>
      <c r="E7" s="30" t="s">
        <v>203</v>
      </c>
      <c r="F7" s="31"/>
      <c r="G7" s="32"/>
      <c r="H7" s="33"/>
      <c r="I7" s="34"/>
      <c r="J7" s="31"/>
      <c r="K7" s="33"/>
      <c r="L7" s="33"/>
      <c r="M7" s="33"/>
      <c r="N7" s="33">
        <v>901.25</v>
      </c>
      <c r="O7" s="36"/>
      <c r="P7" s="70">
        <f t="shared" si="1"/>
        <v>0.09</v>
      </c>
      <c r="Q7" s="77">
        <v>0.0</v>
      </c>
      <c r="R7" s="70"/>
      <c r="S7" s="76">
        <v>901.34</v>
      </c>
      <c r="T7" s="41" t="s">
        <v>202</v>
      </c>
      <c r="U7" s="42" t="s">
        <v>29</v>
      </c>
      <c r="V7" s="43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40.5" customHeight="1">
      <c r="A8" s="26">
        <v>4.0</v>
      </c>
      <c r="B8" s="27">
        <v>45457.0</v>
      </c>
      <c r="C8" s="28">
        <v>21828.0</v>
      </c>
      <c r="D8" s="29" t="s">
        <v>204</v>
      </c>
      <c r="E8" s="30" t="s">
        <v>203</v>
      </c>
      <c r="F8" s="31"/>
      <c r="G8" s="32"/>
      <c r="H8" s="33"/>
      <c r="I8" s="34"/>
      <c r="J8" s="31"/>
      <c r="K8" s="33"/>
      <c r="L8" s="33"/>
      <c r="M8" s="33">
        <v>1599.0</v>
      </c>
      <c r="N8" s="33"/>
      <c r="O8" s="36"/>
      <c r="P8" s="70">
        <f>S8-M8</f>
        <v>901.34</v>
      </c>
      <c r="Q8" s="77">
        <v>0.0</v>
      </c>
      <c r="R8" s="70"/>
      <c r="S8" s="76">
        <v>2500.34</v>
      </c>
      <c r="T8" s="41" t="s">
        <v>204</v>
      </c>
      <c r="U8" s="42" t="s">
        <v>29</v>
      </c>
      <c r="V8" s="43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40.5" customHeight="1">
      <c r="A9" s="26">
        <v>5.0</v>
      </c>
      <c r="B9" s="27">
        <v>45457.0</v>
      </c>
      <c r="C9" s="28">
        <v>21828.0</v>
      </c>
      <c r="D9" s="29" t="s">
        <v>205</v>
      </c>
      <c r="E9" s="30" t="s">
        <v>203</v>
      </c>
      <c r="F9" s="31"/>
      <c r="G9" s="32"/>
      <c r="H9" s="33">
        <v>0.0</v>
      </c>
      <c r="I9" s="34"/>
      <c r="J9" s="31"/>
      <c r="K9" s="33"/>
      <c r="L9" s="33"/>
      <c r="M9" s="33"/>
      <c r="N9" s="33"/>
      <c r="O9" s="36"/>
      <c r="P9" s="70">
        <f>Q9+S9</f>
        <v>2500.34</v>
      </c>
      <c r="Q9" s="77">
        <v>2500.0</v>
      </c>
      <c r="R9" s="70"/>
      <c r="S9" s="76">
        <v>0.34</v>
      </c>
      <c r="T9" s="41" t="s">
        <v>205</v>
      </c>
      <c r="U9" s="42" t="s">
        <v>29</v>
      </c>
      <c r="V9" s="43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40.5" customHeight="1">
      <c r="A10" s="26">
        <v>6.0</v>
      </c>
      <c r="B10" s="27">
        <v>45457.0</v>
      </c>
      <c r="C10" s="28">
        <v>24368.0</v>
      </c>
      <c r="D10" s="29" t="s">
        <v>206</v>
      </c>
      <c r="E10" s="30" t="s">
        <v>134</v>
      </c>
      <c r="F10" s="31"/>
      <c r="G10" s="32"/>
      <c r="H10" s="33"/>
      <c r="I10" s="34"/>
      <c r="J10" s="31"/>
      <c r="K10" s="33"/>
      <c r="L10" s="33"/>
      <c r="M10" s="33"/>
      <c r="N10" s="33">
        <v>6164.55</v>
      </c>
      <c r="O10" s="36"/>
      <c r="P10" s="70">
        <f t="shared" ref="P10:P11" si="2">S10-N10</f>
        <v>1625.1</v>
      </c>
      <c r="Q10" s="77">
        <v>0.0</v>
      </c>
      <c r="R10" s="70"/>
      <c r="S10" s="76">
        <v>7789.65</v>
      </c>
      <c r="T10" s="41" t="s">
        <v>206</v>
      </c>
      <c r="U10" s="42" t="s">
        <v>29</v>
      </c>
      <c r="V10" s="43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40.5" customHeight="1">
      <c r="A11" s="26">
        <v>7.0</v>
      </c>
      <c r="B11" s="27">
        <v>45457.0</v>
      </c>
      <c r="C11" s="28">
        <v>51697.0</v>
      </c>
      <c r="D11" s="29" t="s">
        <v>207</v>
      </c>
      <c r="E11" s="30" t="s">
        <v>208</v>
      </c>
      <c r="F11" s="31"/>
      <c r="G11" s="32"/>
      <c r="H11" s="33"/>
      <c r="I11" s="34"/>
      <c r="J11" s="31"/>
      <c r="K11" s="33"/>
      <c r="L11" s="33"/>
      <c r="M11" s="33"/>
      <c r="N11" s="33">
        <v>3394.0</v>
      </c>
      <c r="O11" s="36"/>
      <c r="P11" s="70">
        <f t="shared" si="2"/>
        <v>3.2</v>
      </c>
      <c r="Q11" s="77">
        <v>0.0</v>
      </c>
      <c r="R11" s="70"/>
      <c r="S11" s="76">
        <v>3397.2</v>
      </c>
      <c r="T11" s="41" t="s">
        <v>207</v>
      </c>
      <c r="U11" s="42" t="s">
        <v>29</v>
      </c>
      <c r="V11" s="43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40.5" customHeight="1">
      <c r="A12" s="26">
        <v>8.0</v>
      </c>
      <c r="B12" s="27">
        <v>45457.0</v>
      </c>
      <c r="C12" s="28">
        <v>52083.0</v>
      </c>
      <c r="D12" s="29" t="s">
        <v>209</v>
      </c>
      <c r="E12" s="30" t="s">
        <v>210</v>
      </c>
      <c r="F12" s="31"/>
      <c r="G12" s="32"/>
      <c r="H12" s="33"/>
      <c r="I12" s="34"/>
      <c r="J12" s="31"/>
      <c r="K12" s="33">
        <v>100.0</v>
      </c>
      <c r="L12" s="33"/>
      <c r="M12" s="33"/>
      <c r="N12" s="33"/>
      <c r="O12" s="36"/>
      <c r="P12" s="70">
        <f>S12-K12</f>
        <v>0</v>
      </c>
      <c r="Q12" s="77">
        <v>0.0</v>
      </c>
      <c r="R12" s="70"/>
      <c r="S12" s="76">
        <v>100.0</v>
      </c>
      <c r="T12" s="41" t="s">
        <v>209</v>
      </c>
      <c r="U12" s="42" t="s">
        <v>29</v>
      </c>
      <c r="V12" s="43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40.5" customHeight="1">
      <c r="A13" s="26">
        <v>9.0</v>
      </c>
      <c r="B13" s="27">
        <v>45457.0</v>
      </c>
      <c r="C13" s="28">
        <v>67770.0</v>
      </c>
      <c r="D13" s="29" t="s">
        <v>211</v>
      </c>
      <c r="E13" s="30" t="s">
        <v>212</v>
      </c>
      <c r="F13" s="31"/>
      <c r="G13" s="32"/>
      <c r="H13" s="33"/>
      <c r="I13" s="34"/>
      <c r="J13" s="31"/>
      <c r="K13" s="33"/>
      <c r="L13" s="33"/>
      <c r="M13" s="33"/>
      <c r="N13" s="33">
        <v>19.76</v>
      </c>
      <c r="O13" s="36"/>
      <c r="P13" s="70">
        <f t="shared" ref="P13:P15" si="3">S13-N13</f>
        <v>0</v>
      </c>
      <c r="Q13" s="77">
        <v>0.0</v>
      </c>
      <c r="R13" s="70"/>
      <c r="S13" s="76">
        <v>19.76</v>
      </c>
      <c r="T13" s="41" t="s">
        <v>211</v>
      </c>
      <c r="U13" s="42" t="s">
        <v>152</v>
      </c>
      <c r="V13" s="43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40.5" customHeight="1">
      <c r="A14" s="26">
        <v>10.0</v>
      </c>
      <c r="B14" s="27">
        <v>45457.0</v>
      </c>
      <c r="C14" s="28">
        <v>72472.0</v>
      </c>
      <c r="D14" s="29" t="s">
        <v>211</v>
      </c>
      <c r="E14" s="30" t="s">
        <v>213</v>
      </c>
      <c r="F14" s="31"/>
      <c r="G14" s="32"/>
      <c r="H14" s="33"/>
      <c r="I14" s="34"/>
      <c r="J14" s="31"/>
      <c r="K14" s="33"/>
      <c r="L14" s="33"/>
      <c r="M14" s="33"/>
      <c r="N14" s="33">
        <v>30.4</v>
      </c>
      <c r="O14" s="36"/>
      <c r="P14" s="70">
        <f t="shared" si="3"/>
        <v>55.1</v>
      </c>
      <c r="Q14" s="77">
        <v>0.0</v>
      </c>
      <c r="R14" s="70"/>
      <c r="S14" s="76">
        <v>85.5</v>
      </c>
      <c r="T14" s="41" t="s">
        <v>211</v>
      </c>
      <c r="U14" s="42" t="s">
        <v>152</v>
      </c>
      <c r="V14" s="43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40.5" customHeight="1">
      <c r="A15" s="26">
        <v>11.0</v>
      </c>
      <c r="B15" s="27">
        <v>45457.0</v>
      </c>
      <c r="C15" s="28">
        <v>76815.0</v>
      </c>
      <c r="D15" s="29" t="s">
        <v>211</v>
      </c>
      <c r="E15" s="30" t="s">
        <v>214</v>
      </c>
      <c r="F15" s="31"/>
      <c r="G15" s="32"/>
      <c r="H15" s="33"/>
      <c r="I15" s="34"/>
      <c r="J15" s="31"/>
      <c r="K15" s="33"/>
      <c r="L15" s="33"/>
      <c r="M15" s="33"/>
      <c r="N15" s="33">
        <v>1457.75</v>
      </c>
      <c r="O15" s="36"/>
      <c r="P15" s="70">
        <f t="shared" si="3"/>
        <v>1140.4</v>
      </c>
      <c r="Q15" s="77">
        <v>0.0</v>
      </c>
      <c r="R15" s="70"/>
      <c r="S15" s="76">
        <v>2598.15</v>
      </c>
      <c r="T15" s="41" t="s">
        <v>211</v>
      </c>
      <c r="U15" s="42" t="s">
        <v>29</v>
      </c>
      <c r="V15" s="43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40.5" customHeight="1">
      <c r="A16" s="26">
        <v>12.0</v>
      </c>
      <c r="B16" s="27">
        <v>45457.0</v>
      </c>
      <c r="C16" s="28">
        <v>82367.0</v>
      </c>
      <c r="D16" s="29" t="s">
        <v>215</v>
      </c>
      <c r="E16" s="30" t="s">
        <v>216</v>
      </c>
      <c r="F16" s="31"/>
      <c r="G16" s="32"/>
      <c r="H16" s="33"/>
      <c r="I16" s="34"/>
      <c r="J16" s="31"/>
      <c r="K16" s="33">
        <v>150.0</v>
      </c>
      <c r="L16" s="33"/>
      <c r="M16" s="33"/>
      <c r="N16" s="33"/>
      <c r="O16" s="36"/>
      <c r="P16" s="70">
        <v>0.0</v>
      </c>
      <c r="Q16" s="77">
        <v>0.0</v>
      </c>
      <c r="R16" s="70"/>
      <c r="S16" s="76">
        <v>150.0</v>
      </c>
      <c r="T16" s="41" t="s">
        <v>215</v>
      </c>
      <c r="U16" s="42" t="s">
        <v>29</v>
      </c>
      <c r="V16" s="43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ht="40.5" customHeight="1">
      <c r="A17" s="26">
        <v>13.0</v>
      </c>
      <c r="B17" s="27">
        <v>45457.0</v>
      </c>
      <c r="C17" s="28">
        <v>82372.0</v>
      </c>
      <c r="D17" s="29" t="s">
        <v>217</v>
      </c>
      <c r="E17" s="30" t="s">
        <v>218</v>
      </c>
      <c r="F17" s="31"/>
      <c r="G17" s="32"/>
      <c r="H17" s="33">
        <v>0.0</v>
      </c>
      <c r="I17" s="34"/>
      <c r="J17" s="31"/>
      <c r="K17" s="33"/>
      <c r="L17" s="33"/>
      <c r="M17" s="33"/>
      <c r="N17" s="33"/>
      <c r="O17" s="36"/>
      <c r="P17" s="70">
        <f t="shared" ref="P17:P18" si="4">Q17+S17</f>
        <v>1160000</v>
      </c>
      <c r="Q17" s="77">
        <v>270000.0</v>
      </c>
      <c r="R17" s="70"/>
      <c r="S17" s="76">
        <v>890000.0</v>
      </c>
      <c r="T17" s="41" t="s">
        <v>217</v>
      </c>
      <c r="U17" s="42" t="s">
        <v>47</v>
      </c>
      <c r="V17" s="43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ht="40.5" customHeight="1">
      <c r="A18" s="26">
        <v>14.0</v>
      </c>
      <c r="B18" s="27">
        <v>45457.0</v>
      </c>
      <c r="C18" s="28">
        <v>82372.0</v>
      </c>
      <c r="D18" s="29" t="s">
        <v>219</v>
      </c>
      <c r="E18" s="30" t="s">
        <v>218</v>
      </c>
      <c r="F18" s="31"/>
      <c r="G18" s="32"/>
      <c r="H18" s="33">
        <v>0.0</v>
      </c>
      <c r="I18" s="34"/>
      <c r="J18" s="31"/>
      <c r="K18" s="33"/>
      <c r="L18" s="35"/>
      <c r="M18" s="33"/>
      <c r="N18" s="33"/>
      <c r="O18" s="36"/>
      <c r="P18" s="70">
        <f t="shared" si="4"/>
        <v>890000</v>
      </c>
      <c r="Q18" s="77">
        <v>270000.0</v>
      </c>
      <c r="R18" s="70"/>
      <c r="S18" s="76">
        <v>620000.0</v>
      </c>
      <c r="T18" s="41" t="s">
        <v>219</v>
      </c>
      <c r="U18" s="42" t="s">
        <v>47</v>
      </c>
      <c r="V18" s="43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4"/>
      <c r="B19" s="46"/>
      <c r="C19" s="46"/>
      <c r="D19" s="47"/>
      <c r="E19" s="47"/>
      <c r="F19" s="48"/>
      <c r="G19" s="48"/>
      <c r="H19" s="49"/>
      <c r="I19" s="48"/>
      <c r="J19" s="48"/>
      <c r="K19" s="51"/>
      <c r="L19" s="61"/>
      <c r="M19" s="62"/>
      <c r="N19" s="52"/>
      <c r="O19" s="63"/>
      <c r="P19" s="54"/>
      <c r="Q19" s="55"/>
      <c r="R19" s="56"/>
      <c r="S19" s="78"/>
      <c r="T19" s="58"/>
      <c r="U19" s="59"/>
      <c r="V19" s="60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4"/>
      <c r="B20" s="46"/>
      <c r="C20" s="46"/>
      <c r="D20" s="47"/>
      <c r="E20" s="47"/>
      <c r="F20" s="48"/>
      <c r="G20" s="48"/>
      <c r="H20" s="49"/>
      <c r="I20" s="48"/>
      <c r="J20" s="48"/>
      <c r="K20" s="51"/>
      <c r="L20" s="61"/>
      <c r="M20" s="62"/>
      <c r="N20" s="52"/>
      <c r="O20" s="63"/>
      <c r="P20" s="54"/>
      <c r="Q20" s="55"/>
      <c r="R20" s="56"/>
      <c r="S20" s="57"/>
      <c r="T20" s="58"/>
      <c r="U20" s="59"/>
      <c r="V20" s="60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4"/>
      <c r="B21" s="46"/>
      <c r="C21" s="46"/>
      <c r="D21" s="47"/>
      <c r="E21" s="47"/>
      <c r="F21" s="48"/>
      <c r="G21" s="48"/>
      <c r="H21" s="49"/>
      <c r="I21" s="48"/>
      <c r="J21" s="48"/>
      <c r="K21" s="51"/>
      <c r="L21" s="61"/>
      <c r="M21" s="62"/>
      <c r="N21" s="52"/>
      <c r="O21" s="63"/>
      <c r="P21" s="54"/>
      <c r="Q21" s="55"/>
      <c r="R21" s="56"/>
      <c r="S21" s="57"/>
      <c r="T21" s="58"/>
      <c r="U21" s="59"/>
      <c r="V21" s="60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4"/>
      <c r="B22" s="46"/>
      <c r="C22" s="46"/>
      <c r="D22" s="47"/>
      <c r="E22" s="47"/>
      <c r="F22" s="48"/>
      <c r="G22" s="48"/>
      <c r="H22" s="49"/>
      <c r="I22" s="48"/>
      <c r="J22" s="48"/>
      <c r="K22" s="51"/>
      <c r="L22" s="61"/>
      <c r="M22" s="62"/>
      <c r="N22" s="52"/>
      <c r="O22" s="63"/>
      <c r="P22" s="54"/>
      <c r="Q22" s="55"/>
      <c r="R22" s="56"/>
      <c r="S22" s="57"/>
      <c r="T22" s="58"/>
      <c r="U22" s="59"/>
      <c r="V22" s="60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4"/>
      <c r="B23" s="46"/>
      <c r="C23" s="46"/>
      <c r="D23" s="47"/>
      <c r="E23" s="47"/>
      <c r="F23" s="48"/>
      <c r="G23" s="48"/>
      <c r="H23" s="49"/>
      <c r="I23" s="48"/>
      <c r="J23" s="48"/>
      <c r="K23" s="51"/>
      <c r="L23" s="61"/>
      <c r="M23" s="62"/>
      <c r="N23" s="52"/>
      <c r="O23" s="63"/>
      <c r="P23" s="54"/>
      <c r="Q23" s="55"/>
      <c r="R23" s="56"/>
      <c r="S23" s="57"/>
      <c r="T23" s="58"/>
      <c r="U23" s="59"/>
      <c r="V23" s="60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4"/>
      <c r="B24" s="46"/>
      <c r="C24" s="46"/>
      <c r="D24" s="47"/>
      <c r="E24" s="47"/>
      <c r="F24" s="48"/>
      <c r="G24" s="48"/>
      <c r="H24" s="49"/>
      <c r="I24" s="48"/>
      <c r="J24" s="48"/>
      <c r="K24" s="51"/>
      <c r="L24" s="61"/>
      <c r="M24" s="62"/>
      <c r="N24" s="52"/>
      <c r="O24" s="63"/>
      <c r="P24" s="54"/>
      <c r="Q24" s="55"/>
      <c r="R24" s="56"/>
      <c r="S24" s="57"/>
      <c r="T24" s="58"/>
      <c r="U24" s="59"/>
      <c r="V24" s="60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4"/>
      <c r="B25" s="46"/>
      <c r="C25" s="46"/>
      <c r="D25" s="47"/>
      <c r="E25" s="47"/>
      <c r="F25" s="48"/>
      <c r="G25" s="48"/>
      <c r="H25" s="49"/>
      <c r="I25" s="48"/>
      <c r="J25" s="48"/>
      <c r="K25" s="51"/>
      <c r="L25" s="61"/>
      <c r="M25" s="62"/>
      <c r="N25" s="52"/>
      <c r="O25" s="63"/>
      <c r="P25" s="54"/>
      <c r="Q25" s="55"/>
      <c r="R25" s="56"/>
      <c r="S25" s="57"/>
      <c r="T25" s="58"/>
      <c r="U25" s="59"/>
      <c r="V25" s="60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4"/>
      <c r="B26" s="46"/>
      <c r="C26" s="46"/>
      <c r="D26" s="47"/>
      <c r="E26" s="47"/>
      <c r="F26" s="48"/>
      <c r="G26" s="48"/>
      <c r="H26" s="49"/>
      <c r="I26" s="48"/>
      <c r="J26" s="48"/>
      <c r="K26" s="51"/>
      <c r="L26" s="61"/>
      <c r="M26" s="62"/>
      <c r="N26" s="52"/>
      <c r="O26" s="63"/>
      <c r="P26" s="54"/>
      <c r="Q26" s="55"/>
      <c r="R26" s="56"/>
      <c r="S26" s="57"/>
      <c r="T26" s="58"/>
      <c r="U26" s="59"/>
      <c r="V26" s="60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4"/>
      <c r="B27" s="46"/>
      <c r="C27" s="46"/>
      <c r="D27" s="47"/>
      <c r="E27" s="47"/>
      <c r="F27" s="48"/>
      <c r="G27" s="48"/>
      <c r="H27" s="49"/>
      <c r="I27" s="48"/>
      <c r="J27" s="48"/>
      <c r="K27" s="51"/>
      <c r="L27" s="61"/>
      <c r="M27" s="62"/>
      <c r="N27" s="52"/>
      <c r="O27" s="63"/>
      <c r="P27" s="54"/>
      <c r="Q27" s="55"/>
      <c r="R27" s="56"/>
      <c r="S27" s="57"/>
      <c r="T27" s="58"/>
      <c r="U27" s="59"/>
      <c r="V27" s="60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4"/>
      <c r="B28" s="46"/>
      <c r="C28" s="46"/>
      <c r="D28" s="47"/>
      <c r="E28" s="47"/>
      <c r="F28" s="48"/>
      <c r="G28" s="48"/>
      <c r="H28" s="49"/>
      <c r="I28" s="48"/>
      <c r="J28" s="48"/>
      <c r="K28" s="51"/>
      <c r="L28" s="61"/>
      <c r="M28" s="62"/>
      <c r="N28" s="52"/>
      <c r="O28" s="63"/>
      <c r="P28" s="54"/>
      <c r="Q28" s="55"/>
      <c r="R28" s="56"/>
      <c r="S28" s="57"/>
      <c r="T28" s="58"/>
      <c r="U28" s="59"/>
      <c r="V28" s="60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4"/>
      <c r="B29" s="46"/>
      <c r="C29" s="46"/>
      <c r="D29" s="47"/>
      <c r="E29" s="47"/>
      <c r="F29" s="48"/>
      <c r="G29" s="48"/>
      <c r="H29" s="49"/>
      <c r="I29" s="48"/>
      <c r="J29" s="48"/>
      <c r="K29" s="51"/>
      <c r="L29" s="61"/>
      <c r="M29" s="62"/>
      <c r="N29" s="52"/>
      <c r="O29" s="63"/>
      <c r="P29" s="54"/>
      <c r="Q29" s="55"/>
      <c r="R29" s="56"/>
      <c r="S29" s="57"/>
      <c r="T29" s="58"/>
      <c r="U29" s="59"/>
      <c r="V29" s="60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4"/>
      <c r="B30" s="46"/>
      <c r="C30" s="46"/>
      <c r="D30" s="47"/>
      <c r="E30" s="47"/>
      <c r="F30" s="48"/>
      <c r="G30" s="48"/>
      <c r="H30" s="49"/>
      <c r="I30" s="48"/>
      <c r="J30" s="48"/>
      <c r="K30" s="51"/>
      <c r="L30" s="61"/>
      <c r="M30" s="62"/>
      <c r="N30" s="52"/>
      <c r="O30" s="63"/>
      <c r="P30" s="54"/>
      <c r="Q30" s="55"/>
      <c r="R30" s="56"/>
      <c r="S30" s="57"/>
      <c r="T30" s="58"/>
      <c r="U30" s="59"/>
      <c r="V30" s="60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4"/>
      <c r="B31" s="46"/>
      <c r="C31" s="46"/>
      <c r="D31" s="47"/>
      <c r="E31" s="47"/>
      <c r="F31" s="60"/>
      <c r="G31" s="60"/>
      <c r="H31" s="64"/>
      <c r="I31" s="60"/>
      <c r="J31" s="60"/>
      <c r="K31" s="65"/>
      <c r="L31" s="60"/>
      <c r="M31" s="66"/>
      <c r="N31" s="67"/>
      <c r="O31" s="56"/>
      <c r="P31" s="54"/>
      <c r="Q31" s="55"/>
      <c r="R31" s="56"/>
      <c r="S31" s="57"/>
      <c r="T31" s="58"/>
      <c r="U31" s="59"/>
      <c r="V31" s="60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4"/>
      <c r="B32" s="46"/>
      <c r="C32" s="46"/>
      <c r="D32" s="47"/>
      <c r="E32" s="47"/>
      <c r="F32" s="60"/>
      <c r="G32" s="60"/>
      <c r="H32" s="64"/>
      <c r="I32" s="60"/>
      <c r="J32" s="60"/>
      <c r="K32" s="65"/>
      <c r="L32" s="60"/>
      <c r="M32" s="66"/>
      <c r="N32" s="67"/>
      <c r="O32" s="56"/>
      <c r="P32" s="54"/>
      <c r="Q32" s="55"/>
      <c r="R32" s="56"/>
      <c r="S32" s="57"/>
      <c r="T32" s="58"/>
      <c r="U32" s="59"/>
      <c r="V32" s="60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4"/>
      <c r="B33" s="46"/>
      <c r="C33" s="46"/>
      <c r="D33" s="47"/>
      <c r="E33" s="47"/>
      <c r="F33" s="60"/>
      <c r="G33" s="60"/>
      <c r="H33" s="64"/>
      <c r="I33" s="60"/>
      <c r="J33" s="60"/>
      <c r="K33" s="65"/>
      <c r="L33" s="60"/>
      <c r="M33" s="66"/>
      <c r="N33" s="67"/>
      <c r="O33" s="56"/>
      <c r="P33" s="54"/>
      <c r="Q33" s="55"/>
      <c r="R33" s="56"/>
      <c r="S33" s="57"/>
      <c r="T33" s="58"/>
      <c r="U33" s="59"/>
      <c r="V33" s="60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4"/>
      <c r="B34" s="46"/>
      <c r="C34" s="46"/>
      <c r="D34" s="47"/>
      <c r="E34" s="47"/>
      <c r="F34" s="60"/>
      <c r="G34" s="60"/>
      <c r="H34" s="64"/>
      <c r="I34" s="60"/>
      <c r="J34" s="60"/>
      <c r="K34" s="65"/>
      <c r="L34" s="60"/>
      <c r="M34" s="66"/>
      <c r="N34" s="67"/>
      <c r="O34" s="56"/>
      <c r="P34" s="54"/>
      <c r="Q34" s="55"/>
      <c r="R34" s="56"/>
      <c r="S34" s="57"/>
      <c r="T34" s="58"/>
      <c r="U34" s="59"/>
      <c r="V34" s="60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4"/>
      <c r="B35" s="46"/>
      <c r="C35" s="46"/>
      <c r="D35" s="47"/>
      <c r="E35" s="47"/>
      <c r="F35" s="60"/>
      <c r="G35" s="60"/>
      <c r="H35" s="64"/>
      <c r="I35" s="60"/>
      <c r="J35" s="60"/>
      <c r="K35" s="65"/>
      <c r="L35" s="60"/>
      <c r="M35" s="66"/>
      <c r="N35" s="67"/>
      <c r="O35" s="56"/>
      <c r="P35" s="54"/>
      <c r="Q35" s="55"/>
      <c r="R35" s="56"/>
      <c r="S35" s="57"/>
      <c r="T35" s="58"/>
      <c r="U35" s="59"/>
      <c r="V35" s="60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4"/>
      <c r="B36" s="46"/>
      <c r="C36" s="46"/>
      <c r="D36" s="47"/>
      <c r="E36" s="47"/>
      <c r="F36" s="60"/>
      <c r="G36" s="60"/>
      <c r="H36" s="64"/>
      <c r="I36" s="60"/>
      <c r="J36" s="60"/>
      <c r="K36" s="65"/>
      <c r="L36" s="60"/>
      <c r="M36" s="66"/>
      <c r="N36" s="67"/>
      <c r="O36" s="56"/>
      <c r="P36" s="54"/>
      <c r="Q36" s="55"/>
      <c r="R36" s="56"/>
      <c r="S36" s="57"/>
      <c r="T36" s="58"/>
      <c r="U36" s="59"/>
      <c r="V36" s="60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4"/>
      <c r="B37" s="46"/>
      <c r="C37" s="46"/>
      <c r="D37" s="47"/>
      <c r="E37" s="47"/>
      <c r="F37" s="60"/>
      <c r="G37" s="60"/>
      <c r="H37" s="64"/>
      <c r="I37" s="60"/>
      <c r="J37" s="60"/>
      <c r="K37" s="65"/>
      <c r="L37" s="60"/>
      <c r="M37" s="66"/>
      <c r="N37" s="67"/>
      <c r="O37" s="56"/>
      <c r="P37" s="54"/>
      <c r="Q37" s="55"/>
      <c r="R37" s="56"/>
      <c r="S37" s="57"/>
      <c r="T37" s="58"/>
      <c r="U37" s="59"/>
      <c r="V37" s="60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4"/>
      <c r="B38" s="46"/>
      <c r="C38" s="46"/>
      <c r="D38" s="47"/>
      <c r="E38" s="47"/>
      <c r="F38" s="60"/>
      <c r="G38" s="60"/>
      <c r="H38" s="64"/>
      <c r="I38" s="60"/>
      <c r="J38" s="60"/>
      <c r="K38" s="65"/>
      <c r="L38" s="60"/>
      <c r="M38" s="66"/>
      <c r="N38" s="67"/>
      <c r="O38" s="56"/>
      <c r="P38" s="54"/>
      <c r="Q38" s="55"/>
      <c r="R38" s="56"/>
      <c r="S38" s="57"/>
      <c r="T38" s="58"/>
      <c r="U38" s="59"/>
      <c r="V38" s="60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4"/>
      <c r="B39" s="46"/>
      <c r="C39" s="46"/>
      <c r="D39" s="47"/>
      <c r="E39" s="47"/>
      <c r="F39" s="60"/>
      <c r="G39" s="60"/>
      <c r="H39" s="64"/>
      <c r="I39" s="60"/>
      <c r="J39" s="60"/>
      <c r="K39" s="65"/>
      <c r="L39" s="60"/>
      <c r="M39" s="66"/>
      <c r="N39" s="67"/>
      <c r="O39" s="56"/>
      <c r="P39" s="54"/>
      <c r="Q39" s="55"/>
      <c r="R39" s="56"/>
      <c r="S39" s="57"/>
      <c r="T39" s="58"/>
      <c r="U39" s="59"/>
      <c r="V39" s="60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4"/>
      <c r="B40" s="46"/>
      <c r="C40" s="46"/>
      <c r="D40" s="47"/>
      <c r="E40" s="47"/>
      <c r="F40" s="60"/>
      <c r="G40" s="60"/>
      <c r="H40" s="64"/>
      <c r="I40" s="60"/>
      <c r="J40" s="60"/>
      <c r="K40" s="65"/>
      <c r="L40" s="60"/>
      <c r="M40" s="66"/>
      <c r="N40" s="67"/>
      <c r="O40" s="56"/>
      <c r="P40" s="54"/>
      <c r="Q40" s="55"/>
      <c r="R40" s="56"/>
      <c r="S40" s="57"/>
      <c r="T40" s="58"/>
      <c r="U40" s="59"/>
      <c r="V40" s="60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4"/>
      <c r="B41" s="46"/>
      <c r="C41" s="46"/>
      <c r="D41" s="47"/>
      <c r="E41" s="47"/>
      <c r="F41" s="60"/>
      <c r="G41" s="60"/>
      <c r="H41" s="64"/>
      <c r="I41" s="60"/>
      <c r="J41" s="60"/>
      <c r="K41" s="65"/>
      <c r="L41" s="60"/>
      <c r="M41" s="66"/>
      <c r="N41" s="67"/>
      <c r="O41" s="56"/>
      <c r="P41" s="54"/>
      <c r="Q41" s="55"/>
      <c r="R41" s="56"/>
      <c r="S41" s="57"/>
      <c r="T41" s="58"/>
      <c r="U41" s="59"/>
      <c r="V41" s="60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4"/>
      <c r="B42" s="46"/>
      <c r="C42" s="46"/>
      <c r="D42" s="47"/>
      <c r="E42" s="47"/>
      <c r="F42" s="60"/>
      <c r="G42" s="60"/>
      <c r="H42" s="64"/>
      <c r="I42" s="60"/>
      <c r="J42" s="60"/>
      <c r="K42" s="65"/>
      <c r="L42" s="60"/>
      <c r="M42" s="66"/>
      <c r="N42" s="67"/>
      <c r="O42" s="56"/>
      <c r="P42" s="54"/>
      <c r="Q42" s="55"/>
      <c r="R42" s="56"/>
      <c r="S42" s="57"/>
      <c r="T42" s="58"/>
      <c r="U42" s="59"/>
      <c r="V42" s="60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4"/>
      <c r="B43" s="46"/>
      <c r="C43" s="46"/>
      <c r="D43" s="47"/>
      <c r="E43" s="47"/>
      <c r="F43" s="60"/>
      <c r="G43" s="60"/>
      <c r="H43" s="64"/>
      <c r="I43" s="60"/>
      <c r="J43" s="60"/>
      <c r="K43" s="65"/>
      <c r="L43" s="60"/>
      <c r="M43" s="66"/>
      <c r="N43" s="67"/>
      <c r="O43" s="56"/>
      <c r="P43" s="54"/>
      <c r="Q43" s="55"/>
      <c r="R43" s="56"/>
      <c r="S43" s="57"/>
      <c r="T43" s="58"/>
      <c r="U43" s="59"/>
      <c r="V43" s="60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4"/>
      <c r="B44" s="68"/>
      <c r="C44" s="46"/>
      <c r="D44" s="47"/>
      <c r="E44" s="47"/>
      <c r="F44" s="60"/>
      <c r="G44" s="60"/>
      <c r="H44" s="64"/>
      <c r="I44" s="60"/>
      <c r="J44" s="60"/>
      <c r="K44" s="65"/>
      <c r="L44" s="60"/>
      <c r="M44" s="66"/>
      <c r="N44" s="67"/>
      <c r="O44" s="56"/>
      <c r="P44" s="54"/>
      <c r="Q44" s="55"/>
      <c r="R44" s="56"/>
      <c r="S44" s="57"/>
      <c r="T44" s="58"/>
      <c r="U44" s="59"/>
      <c r="V44" s="60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4"/>
      <c r="B45" s="68"/>
      <c r="C45" s="46"/>
      <c r="D45" s="47"/>
      <c r="E45" s="47"/>
      <c r="F45" s="60"/>
      <c r="G45" s="60"/>
      <c r="H45" s="64"/>
      <c r="I45" s="60"/>
      <c r="J45" s="60"/>
      <c r="K45" s="65"/>
      <c r="L45" s="60"/>
      <c r="M45" s="66"/>
      <c r="N45" s="67"/>
      <c r="O45" s="56"/>
      <c r="P45" s="54"/>
      <c r="Q45" s="55"/>
      <c r="R45" s="56"/>
      <c r="S45" s="57"/>
      <c r="T45" s="58"/>
      <c r="U45" s="59"/>
      <c r="V45" s="60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4"/>
      <c r="B46" s="68"/>
      <c r="C46" s="46"/>
      <c r="D46" s="47"/>
      <c r="E46" s="47"/>
      <c r="F46" s="60"/>
      <c r="G46" s="60"/>
      <c r="H46" s="64"/>
      <c r="I46" s="60"/>
      <c r="J46" s="60"/>
      <c r="K46" s="65"/>
      <c r="L46" s="60"/>
      <c r="M46" s="66"/>
      <c r="N46" s="67"/>
      <c r="O46" s="56"/>
      <c r="P46" s="54"/>
      <c r="Q46" s="55"/>
      <c r="R46" s="56"/>
      <c r="S46" s="57"/>
      <c r="T46" s="58"/>
      <c r="U46" s="59"/>
      <c r="V46" s="60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4"/>
      <c r="B47" s="68"/>
      <c r="C47" s="46"/>
      <c r="D47" s="47"/>
      <c r="E47" s="47"/>
      <c r="F47" s="60"/>
      <c r="G47" s="60"/>
      <c r="H47" s="64"/>
      <c r="I47" s="60"/>
      <c r="J47" s="60"/>
      <c r="K47" s="65"/>
      <c r="L47" s="60"/>
      <c r="M47" s="66"/>
      <c r="N47" s="67"/>
      <c r="O47" s="56"/>
      <c r="P47" s="54"/>
      <c r="Q47" s="55"/>
      <c r="R47" s="56"/>
      <c r="S47" s="57"/>
      <c r="T47" s="58"/>
      <c r="U47" s="59"/>
      <c r="V47" s="60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4"/>
      <c r="B48" s="68"/>
      <c r="C48" s="46"/>
      <c r="D48" s="47"/>
      <c r="E48" s="47"/>
      <c r="F48" s="60"/>
      <c r="G48" s="60"/>
      <c r="H48" s="64"/>
      <c r="I48" s="60"/>
      <c r="J48" s="60"/>
      <c r="K48" s="65"/>
      <c r="L48" s="60"/>
      <c r="M48" s="66"/>
      <c r="N48" s="67"/>
      <c r="O48" s="56"/>
      <c r="P48" s="54"/>
      <c r="Q48" s="55"/>
      <c r="R48" s="56"/>
      <c r="S48" s="57"/>
      <c r="T48" s="58"/>
      <c r="U48" s="59"/>
      <c r="V48" s="60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69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
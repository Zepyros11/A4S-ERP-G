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ก.ค. 67" sheetId="1" r:id="rId4"/>
    <sheet state="visible" name="16-31 ก.ค  67" sheetId="2" r:id="rId5"/>
  </sheets>
  <definedNames/>
  <calcPr/>
</workbook>
</file>

<file path=xl/sharedStrings.xml><?xml version="1.0" encoding="utf-8"?>
<sst xmlns="http://schemas.openxmlformats.org/spreadsheetml/2006/main" count="89" uniqueCount="48">
  <si>
    <t xml:space="preserve"> ตรวจบิล  เดือน กรกฎาคม 2567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</si>
  <si>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</si>
  <si>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</si>
  <si>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</si>
  <si>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</si>
  <si>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</si>
  <si>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</si>
  <si>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</si>
  <si>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</si>
  <si>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</si>
  <si>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30.06.67-02.07.67</t>
  </si>
  <si>
    <t>เอิง</t>
  </si>
  <si>
    <t>03.07.67</t>
  </si>
  <si>
    <t>04.07.67</t>
  </si>
  <si>
    <t>เกษ</t>
  </si>
  <si>
    <t>05.07.67</t>
  </si>
  <si>
    <t>06.07.67</t>
  </si>
  <si>
    <t>07.07.67</t>
  </si>
  <si>
    <t>08.07.67</t>
  </si>
  <si>
    <t>09.07.67</t>
  </si>
  <si>
    <t>10.07.67</t>
  </si>
  <si>
    <t>เหน่ง</t>
  </si>
  <si>
    <t xml:space="preserve">ผลต่าง ยอด 30,500 บาท จากบิลยกเลิกวันที่ 9/7/67 STHONLIN2407000227 </t>
  </si>
  <si>
    <t>11.07.67</t>
  </si>
  <si>
    <t>12.07.67</t>
  </si>
  <si>
    <t>13.07.67</t>
  </si>
  <si>
    <t>14.07.67</t>
  </si>
  <si>
    <t>15.07.67</t>
  </si>
  <si>
    <t>16.07.67</t>
  </si>
  <si>
    <t xml:space="preserve">ผลต่าง ยอด 9,750 บาท จากบิลยกเลิกวันที่ 16/7/67 STHBKK012407000569	</t>
  </si>
  <si>
    <t>17.07.67</t>
  </si>
  <si>
    <t>18.07.67</t>
  </si>
  <si>
    <t>19.07.67</t>
  </si>
  <si>
    <t>20.07.67</t>
  </si>
  <si>
    <t>"ผลต่าง ยอด 10,850 บาท จากบิลยกเลิกวันที่ 8 และ 12,19 ก.ค 67  STHBKK012407000309 STHBKK012407000441 STHONLIN2407000446</t>
  </si>
  <si>
    <t>21.07.67</t>
  </si>
  <si>
    <t>22.07.67</t>
  </si>
  <si>
    <t>"ผลต่าง ยอด 9,800 บาท จากบิลยกเลิกวันที่ 22 ก.ค 67  STHBKK012407000821  (4,500 บาท )  , STHBKK012407000823  (5,300 บาท )</t>
  </si>
  <si>
    <t>23.07.67</t>
  </si>
  <si>
    <t>24.07.67</t>
  </si>
  <si>
    <t>25.07.67</t>
  </si>
  <si>
    <t>26.07.67</t>
  </si>
  <si>
    <t>27.07.67</t>
  </si>
  <si>
    <t>28.07.67</t>
  </si>
  <si>
    <t xml:space="preserve">                                                                                     วันหยุด นักขัตฤกษ์   (วันเฉลิมฯ รัชกาลที่ 10 )</t>
  </si>
  <si>
    <t>29.07.67</t>
  </si>
  <si>
    <t>30.07.67</t>
  </si>
  <si>
    <t>31.07.67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</si>
</sst>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7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31.0"/>
      <color theme="1"/>
      <name val="Arial"/>
    </font>
    <font>
      <b/>
      <sz val="22.0"/>
      <color rgb="FFFF0000"/>
      <name val="Arial"/>
    </font>
    <font>
      <sz val="23.0"/>
      <color rgb="FFFF0000"/>
      <name val="Arial"/>
    </font>
    <font>
      <b/>
      <sz val="29.0"/>
      <color theme="1"/>
      <name val="Arial"/>
    </font>
    <font>
      <b/>
      <sz val="27.0"/>
      <color theme="1"/>
      <name val="Arial"/>
    </font>
    <font>
      <b/>
      <sz val="27.0"/>
      <color rgb="FFFF0000"/>
      <name val="Arial"/>
    </font>
    <font>
      <b/>
      <sz val="18.0"/>
      <color rgb="FFFF0000"/>
      <name val="Arial"/>
    </font>
    <font>
      <sz val="27.0"/>
      <color theme="1"/>
      <name val="Arial"/>
    </font>
    <font>
      <sz val="22.0"/>
      <color rgb="FFFF0000"/>
      <name val="Arial"/>
    </font>
    <font>
      <sz val="16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vertical="center"/>
    </xf>
    <xf borderId="0" fillId="7" fontId="3" numFmtId="0" xfId="0" applyAlignment="1" applyFont="1">
      <alignment vertical="center"/>
    </xf>
    <xf borderId="2" fillId="0" fontId="1" numFmtId="38" xfId="0" applyAlignment="1" applyBorder="1" applyFont="1" applyNumberFormat="1">
      <alignment horizontal="right" readingOrder="0" vertical="center"/>
    </xf>
    <xf borderId="2" fillId="0" fontId="6" numFmtId="0" xfId="0" applyAlignment="1" applyBorder="1" applyFont="1">
      <alignment readingOrder="0" vertical="center"/>
    </xf>
    <xf borderId="2" fillId="0" fontId="1" numFmtId="3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vertical="center"/>
    </xf>
    <xf borderId="2" fillId="0" fontId="8" numFmtId="0" xfId="0" applyAlignment="1" applyBorder="1" applyFont="1">
      <alignment readingOrder="0" vertical="center"/>
    </xf>
    <xf borderId="2" fillId="0" fontId="9" numFmtId="0" xfId="0" applyAlignment="1" applyBorder="1" applyFont="1">
      <alignment readingOrder="0" vertical="center"/>
    </xf>
    <xf borderId="2" fillId="0" fontId="7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1" fillId="2" fontId="10" numFmtId="0" xfId="0" applyAlignment="1" applyBorder="1" applyFont="1">
      <alignment horizontal="center" readingOrder="0" vertical="center"/>
    </xf>
    <xf borderId="3" fillId="2" fontId="11" numFmtId="0" xfId="0" applyAlignment="1" applyBorder="1" applyFont="1">
      <alignment horizontal="center"/>
    </xf>
    <xf borderId="1" fillId="3" fontId="11" numFmtId="0" xfId="0" applyAlignment="1" applyBorder="1" applyFont="1">
      <alignment horizontal="center"/>
    </xf>
    <xf borderId="1" fillId="4" fontId="11" numFmtId="0" xfId="0" applyAlignment="1" applyBorder="1" applyFont="1">
      <alignment horizontal="center"/>
    </xf>
    <xf borderId="4" fillId="5" fontId="11" numFmtId="0" xfId="0" applyAlignment="1" applyBorder="1" applyFont="1">
      <alignment horizontal="center"/>
    </xf>
    <xf borderId="4" fillId="6" fontId="11" numFmtId="0" xfId="0" applyAlignment="1" applyBorder="1" applyFont="1">
      <alignment horizontal="center"/>
    </xf>
    <xf borderId="0" fillId="0" fontId="5" numFmtId="0" xfId="0" applyFont="1"/>
    <xf borderId="2" fillId="6" fontId="11" numFmtId="0" xfId="0" applyAlignment="1" applyBorder="1" applyFont="1">
      <alignment horizontal="center"/>
    </xf>
    <xf borderId="2" fillId="5" fontId="11" numFmtId="0" xfId="0" applyAlignment="1" applyBorder="1" applyFont="1">
      <alignment horizontal="center"/>
    </xf>
    <xf borderId="5" fillId="7" fontId="11" numFmtId="0" xfId="0" applyAlignment="1" applyBorder="1" applyFont="1">
      <alignment horizontal="center" readingOrder="0"/>
    </xf>
    <xf borderId="2" fillId="0" fontId="11" numFmtId="38" xfId="0" applyAlignment="1" applyBorder="1" applyFont="1" applyNumberFormat="1">
      <alignment horizontal="center" readingOrder="0"/>
    </xf>
    <xf borderId="2" fillId="0" fontId="11" numFmtId="38" xfId="0" applyAlignment="1" applyBorder="1" applyFont="1" applyNumberFormat="1">
      <alignment horizontal="right" readingOrder="0"/>
    </xf>
    <xf borderId="2" fillId="0" fontId="12" numFmtId="164" xfId="0" applyAlignment="1" applyBorder="1" applyFont="1" applyNumberFormat="1">
      <alignment horizontal="right"/>
    </xf>
    <xf borderId="2" fillId="0" fontId="11" numFmtId="0" xfId="0" applyAlignment="1" applyBorder="1" applyFont="1">
      <alignment horizontal="center" readingOrder="0"/>
    </xf>
    <xf borderId="2" fillId="0" fontId="13" numFmtId="0" xfId="0" applyAlignment="1" applyBorder="1" applyFont="1">
      <alignment readingOrder="0" vertical="center"/>
    </xf>
    <xf borderId="0" fillId="7" fontId="3" numFmtId="0" xfId="0" applyAlignment="1" applyFont="1">
      <alignment vertical="bottom"/>
    </xf>
    <xf borderId="2" fillId="0" fontId="14" numFmtId="0" xfId="0" applyBorder="1" applyFont="1"/>
    <xf borderId="2" fillId="0" fontId="11" numFmtId="3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readingOrder="0"/>
    </xf>
    <xf borderId="2" fillId="0" fontId="11" numFmtId="0" xfId="0" applyBorder="1" applyFont="1"/>
    <xf borderId="2" fillId="8" fontId="15" numFmtId="0" xfId="0" applyAlignment="1" applyBorder="1" applyFill="1" applyFont="1">
      <alignment readingOrder="0"/>
    </xf>
    <xf borderId="2" fillId="8" fontId="16" numFmtId="0" xfId="0" applyAlignment="1" applyBorder="1" applyFont="1">
      <alignment readingOrder="0"/>
    </xf>
    <xf borderId="2" fillId="0" fontId="11" numFmtId="38" xfId="0" applyAlignment="1" applyBorder="1" applyFont="1" applyNumberFormat="1">
      <alignment horizontal="center" readingOrder="0" vertical="bottom"/>
    </xf>
    <xf borderId="1" fillId="9" fontId="11" numFmtId="38" xfId="0" applyAlignment="1" applyBorder="1" applyFill="1" applyFont="1" applyNumberFormat="1">
      <alignment horizontal="center" readingOrder="0"/>
    </xf>
    <xf borderId="2" fillId="0" fontId="14" numFmtId="38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2.13"/>
    <col customWidth="1" min="7" max="7" width="22.63"/>
    <col customWidth="1" min="8" max="8" width="25.25"/>
    <col customWidth="1" min="9" max="9" width="125.88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94.0</v>
      </c>
      <c r="C4" s="15">
        <v>851880.0</v>
      </c>
      <c r="D4" s="15">
        <v>851880.0</v>
      </c>
      <c r="E4" s="15">
        <v>97.0</v>
      </c>
      <c r="F4" s="15">
        <v>851880.0</v>
      </c>
      <c r="G4" s="16">
        <f t="shared" ref="G4:G8" si="1">SUM(D4-F4)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14" t="s">
        <v>12</v>
      </c>
      <c r="B5" s="15">
        <v>54.0</v>
      </c>
      <c r="C5" s="15">
        <v>488690.0</v>
      </c>
      <c r="D5" s="15">
        <v>488690.0</v>
      </c>
      <c r="E5" s="15">
        <v>54.0</v>
      </c>
      <c r="F5" s="15">
        <v>488690.0</v>
      </c>
      <c r="G5" s="16">
        <f t="shared" si="1"/>
        <v>0</v>
      </c>
      <c r="H5" s="17" t="s">
        <v>11</v>
      </c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14" t="s">
        <v>13</v>
      </c>
      <c r="B6" s="15">
        <v>55.0</v>
      </c>
      <c r="C6" s="15">
        <v>488785.0</v>
      </c>
      <c r="D6" s="15">
        <v>488785.0</v>
      </c>
      <c r="E6" s="15">
        <v>55.0</v>
      </c>
      <c r="F6" s="20">
        <v>488785.0</v>
      </c>
      <c r="G6" s="16">
        <f t="shared" si="1"/>
        <v>0</v>
      </c>
      <c r="H6" s="17" t="s">
        <v>14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14" t="s">
        <v>15</v>
      </c>
      <c r="B7" s="15">
        <v>58.0</v>
      </c>
      <c r="C7" s="20">
        <v>457025.0</v>
      </c>
      <c r="D7" s="20">
        <v>457025.0</v>
      </c>
      <c r="E7" s="15">
        <v>58.0</v>
      </c>
      <c r="F7" s="20">
        <v>457025.0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14" t="s">
        <v>16</v>
      </c>
      <c r="B8" s="17">
        <v>64.0</v>
      </c>
      <c r="C8" s="22">
        <v>347705.0</v>
      </c>
      <c r="D8" s="22">
        <v>347705.0</v>
      </c>
      <c r="E8" s="17">
        <v>64.0</v>
      </c>
      <c r="F8" s="22">
        <v>347705.0</v>
      </c>
      <c r="G8" s="16">
        <f t="shared" si="1"/>
        <v>0</v>
      </c>
      <c r="H8" s="17" t="s">
        <v>11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14" t="s">
        <v>17</v>
      </c>
      <c r="B9" s="15">
        <v>25.0</v>
      </c>
      <c r="C9" s="15">
        <v>238050.0</v>
      </c>
      <c r="D9" s="15">
        <v>238050.0</v>
      </c>
      <c r="E9" s="15">
        <v>25.0</v>
      </c>
      <c r="F9" s="20">
        <v>238050.0</v>
      </c>
      <c r="G9" s="16"/>
      <c r="H9" s="17" t="s">
        <v>11</v>
      </c>
      <c r="I9" s="23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14" t="s">
        <v>18</v>
      </c>
      <c r="B10" s="15">
        <v>47.0</v>
      </c>
      <c r="C10" s="15">
        <v>238960.0</v>
      </c>
      <c r="D10" s="15">
        <v>238960.0</v>
      </c>
      <c r="E10" s="15">
        <v>47.0</v>
      </c>
      <c r="F10" s="20">
        <v>238960.0</v>
      </c>
      <c r="G10" s="16">
        <f t="shared" ref="G10:G17" si="2">SUM(D10-F10)</f>
        <v>0</v>
      </c>
      <c r="H10" s="17" t="s">
        <v>11</v>
      </c>
      <c r="I10" s="23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14" t="s">
        <v>19</v>
      </c>
      <c r="B11" s="15">
        <v>36.0</v>
      </c>
      <c r="C11" s="15">
        <v>283690.0</v>
      </c>
      <c r="D11" s="15">
        <v>283690.0</v>
      </c>
      <c r="E11" s="15">
        <v>36.0</v>
      </c>
      <c r="F11" s="20">
        <v>283690.0</v>
      </c>
      <c r="G11" s="16">
        <f t="shared" si="2"/>
        <v>0</v>
      </c>
      <c r="H11" s="17" t="s">
        <v>11</v>
      </c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14" t="s">
        <v>20</v>
      </c>
      <c r="B12" s="15">
        <v>53.0</v>
      </c>
      <c r="C12" s="15">
        <v>419725.0</v>
      </c>
      <c r="D12" s="15">
        <v>419725.0</v>
      </c>
      <c r="E12" s="15">
        <v>53.0</v>
      </c>
      <c r="F12" s="20">
        <v>450225.0</v>
      </c>
      <c r="G12" s="16">
        <f t="shared" si="2"/>
        <v>-30500</v>
      </c>
      <c r="H12" s="17" t="s">
        <v>21</v>
      </c>
      <c r="I12" s="24" t="s">
        <v>22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14" t="s">
        <v>23</v>
      </c>
      <c r="B13" s="15">
        <v>34.0</v>
      </c>
      <c r="C13" s="15">
        <v>232480.0</v>
      </c>
      <c r="D13" s="15">
        <v>232480.0</v>
      </c>
      <c r="E13" s="15">
        <v>34.0</v>
      </c>
      <c r="F13" s="20">
        <v>232480.0</v>
      </c>
      <c r="G13" s="16">
        <f t="shared" si="2"/>
        <v>0</v>
      </c>
      <c r="H13" s="17" t="s">
        <v>14</v>
      </c>
      <c r="I13" s="24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14" t="s">
        <v>24</v>
      </c>
      <c r="B14" s="15">
        <v>48.0</v>
      </c>
      <c r="C14" s="15">
        <v>429120.0</v>
      </c>
      <c r="D14" s="15">
        <v>429120.0</v>
      </c>
      <c r="E14" s="15">
        <v>48.0</v>
      </c>
      <c r="F14" s="20">
        <v>429120.0</v>
      </c>
      <c r="G14" s="16">
        <f t="shared" si="2"/>
        <v>0</v>
      </c>
      <c r="H14" s="17" t="s">
        <v>11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14" t="s">
        <v>25</v>
      </c>
      <c r="B15" s="15">
        <v>38.0</v>
      </c>
      <c r="C15" s="15">
        <v>202590.0</v>
      </c>
      <c r="D15" s="15">
        <v>202590.0</v>
      </c>
      <c r="E15" s="15">
        <v>38.0</v>
      </c>
      <c r="F15" s="20">
        <v>209490.0</v>
      </c>
      <c r="G15" s="16">
        <f t="shared" si="2"/>
        <v>-6900</v>
      </c>
      <c r="H15" s="17" t="s">
        <v>14</v>
      </c>
      <c r="I15" s="25" t="s">
        <v>22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14" t="s">
        <v>26</v>
      </c>
      <c r="B16" s="15">
        <v>29.0</v>
      </c>
      <c r="C16" s="15">
        <v>172815.0</v>
      </c>
      <c r="D16" s="15">
        <v>172815.0</v>
      </c>
      <c r="E16" s="15">
        <v>29.0</v>
      </c>
      <c r="F16" s="20">
        <v>172815.0</v>
      </c>
      <c r="G16" s="16">
        <f t="shared" si="2"/>
        <v>0</v>
      </c>
      <c r="H16" s="17" t="s">
        <v>14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14" t="s">
        <v>27</v>
      </c>
      <c r="B17" s="15">
        <v>44.0</v>
      </c>
      <c r="C17" s="15">
        <v>287739.0</v>
      </c>
      <c r="D17" s="15">
        <v>287739.0</v>
      </c>
      <c r="E17" s="15">
        <v>44.0</v>
      </c>
      <c r="F17" s="15">
        <v>287739.0</v>
      </c>
      <c r="G17" s="16">
        <f t="shared" si="2"/>
        <v>0</v>
      </c>
      <c r="H17" s="17" t="s">
        <v>11</v>
      </c>
      <c r="I17" s="26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56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2.63"/>
    <col customWidth="1" min="3" max="3" width="19.38"/>
    <col customWidth="1" min="4" max="4" width="25.13"/>
    <col customWidth="1" min="5" max="5" width="20.88"/>
    <col customWidth="1" min="6" max="6" width="18.63"/>
    <col customWidth="1" min="7" max="7" width="17.38"/>
    <col customWidth="1" min="8" max="8" width="26.25"/>
    <col customWidth="1" min="9" max="9" width="221.13"/>
  </cols>
  <sheetData>
    <row r="1" ht="46.5" customHeight="1">
      <c r="A1" s="29" t="s">
        <v>0</v>
      </c>
      <c r="B1" s="2"/>
      <c r="C1" s="2"/>
      <c r="D1" s="2"/>
      <c r="E1" s="2"/>
      <c r="F1" s="2"/>
      <c r="G1" s="2"/>
      <c r="H1" s="2"/>
      <c r="I1" s="2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</v>
      </c>
      <c r="B2" s="31" t="s">
        <v>2</v>
      </c>
      <c r="C2" s="2"/>
      <c r="D2" s="3"/>
      <c r="E2" s="32" t="s">
        <v>3</v>
      </c>
      <c r="F2" s="3"/>
      <c r="G2" s="33" t="s">
        <v>4</v>
      </c>
      <c r="H2" s="33" t="s">
        <v>5</v>
      </c>
      <c r="I2" s="34" t="s">
        <v>6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11"/>
      <c r="B3" s="36" t="s">
        <v>7</v>
      </c>
      <c r="C3" s="36" t="s">
        <v>8</v>
      </c>
      <c r="D3" s="36" t="s">
        <v>9</v>
      </c>
      <c r="E3" s="37" t="s">
        <v>7</v>
      </c>
      <c r="F3" s="37" t="s">
        <v>8</v>
      </c>
      <c r="G3" s="3"/>
      <c r="H3" s="3"/>
      <c r="I3" s="3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8" t="s">
        <v>28</v>
      </c>
      <c r="B4" s="39">
        <v>32.0</v>
      </c>
      <c r="C4" s="39">
        <v>249860.0</v>
      </c>
      <c r="D4" s="39">
        <v>249860.0</v>
      </c>
      <c r="E4" s="39">
        <v>32.0</v>
      </c>
      <c r="F4" s="40">
        <v>259610.0</v>
      </c>
      <c r="G4" s="41">
        <f t="shared" ref="G4:G15" si="1">SUM(D4-F4)</f>
        <v>-9750</v>
      </c>
      <c r="H4" s="42" t="s">
        <v>11</v>
      </c>
      <c r="I4" s="43" t="s">
        <v>29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38" t="s">
        <v>30</v>
      </c>
      <c r="B5" s="39">
        <v>40.0</v>
      </c>
      <c r="C5" s="39">
        <v>325660.0</v>
      </c>
      <c r="D5" s="39">
        <v>325660.0</v>
      </c>
      <c r="E5" s="39">
        <v>40.0</v>
      </c>
      <c r="F5" s="39">
        <v>325660.0</v>
      </c>
      <c r="G5" s="41">
        <f t="shared" si="1"/>
        <v>0</v>
      </c>
      <c r="H5" s="42" t="s">
        <v>11</v>
      </c>
      <c r="I5" s="4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38" t="s">
        <v>31</v>
      </c>
      <c r="B6" s="39">
        <v>31.0</v>
      </c>
      <c r="C6" s="39">
        <v>211380.0</v>
      </c>
      <c r="D6" s="39">
        <v>211380.0</v>
      </c>
      <c r="E6" s="39">
        <v>31.0</v>
      </c>
      <c r="F6" s="40">
        <v>211380.0</v>
      </c>
      <c r="G6" s="41">
        <f t="shared" si="1"/>
        <v>0</v>
      </c>
      <c r="H6" s="42" t="s">
        <v>14</v>
      </c>
      <c r="I6" s="45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38" t="s">
        <v>32</v>
      </c>
      <c r="B7" s="39">
        <v>39.0</v>
      </c>
      <c r="C7" s="40">
        <v>256940.0</v>
      </c>
      <c r="D7" s="39">
        <v>256940.0</v>
      </c>
      <c r="E7" s="39">
        <v>39.0</v>
      </c>
      <c r="F7" s="40">
        <v>256940.0</v>
      </c>
      <c r="G7" s="41">
        <f t="shared" si="1"/>
        <v>0</v>
      </c>
      <c r="H7" s="42" t="s">
        <v>11</v>
      </c>
      <c r="I7" s="45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38" t="s">
        <v>33</v>
      </c>
      <c r="B8" s="42">
        <v>17.0</v>
      </c>
      <c r="C8" s="46">
        <v>205475.0</v>
      </c>
      <c r="D8" s="39">
        <v>205475.0</v>
      </c>
      <c r="E8" s="42">
        <v>17.0</v>
      </c>
      <c r="F8" s="46">
        <v>216325.0</v>
      </c>
      <c r="G8" s="41">
        <f t="shared" si="1"/>
        <v>-10850</v>
      </c>
      <c r="H8" s="42" t="s">
        <v>11</v>
      </c>
      <c r="I8" s="47" t="s">
        <v>34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38" t="s">
        <v>35</v>
      </c>
      <c r="B9" s="39">
        <v>27.0</v>
      </c>
      <c r="C9" s="39">
        <v>179500.0</v>
      </c>
      <c r="D9" s="39">
        <v>179500.0</v>
      </c>
      <c r="E9" s="39">
        <v>27.0</v>
      </c>
      <c r="F9" s="40">
        <v>179500.0</v>
      </c>
      <c r="G9" s="41">
        <f t="shared" si="1"/>
        <v>0</v>
      </c>
      <c r="H9" s="42" t="s">
        <v>14</v>
      </c>
      <c r="I9" s="48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38" t="s">
        <v>36</v>
      </c>
      <c r="B10" s="39">
        <v>38.0</v>
      </c>
      <c r="C10" s="39">
        <v>341999.0</v>
      </c>
      <c r="D10" s="39">
        <v>341999.0</v>
      </c>
      <c r="E10" s="39">
        <v>38.0</v>
      </c>
      <c r="F10" s="40">
        <v>332199.0</v>
      </c>
      <c r="G10" s="41">
        <f t="shared" si="1"/>
        <v>9800</v>
      </c>
      <c r="H10" s="42" t="s">
        <v>14</v>
      </c>
      <c r="I10" s="49" t="s">
        <v>37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38" t="s">
        <v>38</v>
      </c>
      <c r="B11" s="39">
        <v>47.0</v>
      </c>
      <c r="C11" s="39">
        <v>345239.0</v>
      </c>
      <c r="D11" s="39">
        <v>345239.0</v>
      </c>
      <c r="E11" s="39">
        <v>47.0</v>
      </c>
      <c r="F11" s="40">
        <v>345239.0</v>
      </c>
      <c r="G11" s="41">
        <f t="shared" si="1"/>
        <v>0</v>
      </c>
      <c r="H11" s="42" t="s">
        <v>11</v>
      </c>
      <c r="I11" s="50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38" t="s">
        <v>39</v>
      </c>
      <c r="B12" s="39">
        <v>48.0</v>
      </c>
      <c r="C12" s="39">
        <v>302735.0</v>
      </c>
      <c r="D12" s="39">
        <v>302735.0</v>
      </c>
      <c r="E12" s="39">
        <v>48.0</v>
      </c>
      <c r="F12" s="40">
        <v>302735.0</v>
      </c>
      <c r="G12" s="41">
        <f t="shared" si="1"/>
        <v>0</v>
      </c>
      <c r="H12" s="42" t="s">
        <v>11</v>
      </c>
      <c r="I12" s="48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38" t="s">
        <v>40</v>
      </c>
      <c r="B13" s="39">
        <v>36.0</v>
      </c>
      <c r="C13" s="39">
        <v>222450.0</v>
      </c>
      <c r="D13" s="39">
        <v>222450.0</v>
      </c>
      <c r="E13" s="39">
        <v>36.0</v>
      </c>
      <c r="F13" s="40">
        <v>222450.0</v>
      </c>
      <c r="G13" s="41">
        <f t="shared" si="1"/>
        <v>0</v>
      </c>
      <c r="H13" s="42" t="s">
        <v>11</v>
      </c>
      <c r="I13" s="45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38" t="s">
        <v>41</v>
      </c>
      <c r="B14" s="39">
        <v>56.0</v>
      </c>
      <c r="C14" s="39">
        <v>552450.0</v>
      </c>
      <c r="D14" s="39">
        <v>552450.0</v>
      </c>
      <c r="E14" s="51">
        <v>56.0</v>
      </c>
      <c r="F14" s="40">
        <v>552450.0</v>
      </c>
      <c r="G14" s="41">
        <f t="shared" si="1"/>
        <v>0</v>
      </c>
      <c r="H14" s="42" t="s">
        <v>14</v>
      </c>
      <c r="I14" s="4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38" t="s">
        <v>42</v>
      </c>
      <c r="B15" s="39">
        <v>32.0</v>
      </c>
      <c r="C15" s="39">
        <v>301820.0</v>
      </c>
      <c r="D15" s="39">
        <v>301820.0</v>
      </c>
      <c r="E15" s="51">
        <v>32.0</v>
      </c>
      <c r="F15" s="40">
        <v>301820.0</v>
      </c>
      <c r="G15" s="41">
        <f t="shared" si="1"/>
        <v>0</v>
      </c>
      <c r="H15" s="42" t="s">
        <v>14</v>
      </c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38" t="s">
        <v>43</v>
      </c>
      <c r="B16" s="52" t="s">
        <v>44</v>
      </c>
      <c r="C16" s="2"/>
      <c r="D16" s="2"/>
      <c r="E16" s="2"/>
      <c r="F16" s="2"/>
      <c r="G16" s="2"/>
      <c r="H16" s="2"/>
      <c r="I16" s="3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8" t="s">
        <v>45</v>
      </c>
      <c r="B17" s="39">
        <v>56.0</v>
      </c>
      <c r="C17" s="39">
        <v>673850.0</v>
      </c>
      <c r="D17" s="39">
        <v>673850.0</v>
      </c>
      <c r="E17" s="39">
        <v>56.0</v>
      </c>
      <c r="F17" s="39">
        <v>673850.0</v>
      </c>
      <c r="G17" s="41">
        <f t="shared" ref="G17:G19" si="2">SUM(D17-F17)</f>
        <v>0</v>
      </c>
      <c r="H17" s="42" t="s">
        <v>11</v>
      </c>
      <c r="I17" s="53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8" t="s">
        <v>46</v>
      </c>
      <c r="B18" s="39">
        <v>53.0</v>
      </c>
      <c r="C18" s="39">
        <v>541050.0</v>
      </c>
      <c r="D18" s="39">
        <v>541050.0</v>
      </c>
      <c r="E18" s="39">
        <v>53.0</v>
      </c>
      <c r="F18" s="39">
        <v>541050.0</v>
      </c>
      <c r="G18" s="41">
        <f t="shared" si="2"/>
        <v>0</v>
      </c>
      <c r="H18" s="42" t="s">
        <v>11</v>
      </c>
      <c r="I18" s="50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8" t="s">
        <v>47</v>
      </c>
      <c r="B19" s="39">
        <v>54.0</v>
      </c>
      <c r="C19" s="39">
        <v>339750.0</v>
      </c>
      <c r="D19" s="39">
        <v>339750.0</v>
      </c>
      <c r="E19" s="39">
        <v>54.0</v>
      </c>
      <c r="F19" s="39">
        <v>339750.0</v>
      </c>
      <c r="G19" s="41">
        <f t="shared" si="2"/>
        <v>0</v>
      </c>
      <c r="H19" s="42" t="s">
        <v>14</v>
      </c>
      <c r="I19" s="50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8">
    <mergeCell ref="A1:I1"/>
    <mergeCell ref="A2:A3"/>
    <mergeCell ref="B2:D2"/>
    <mergeCell ref="E2:F2"/>
    <mergeCell ref="G2:G3"/>
    <mergeCell ref="H2:H3"/>
    <mergeCell ref="I2:I3"/>
    <mergeCell ref="B16:I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
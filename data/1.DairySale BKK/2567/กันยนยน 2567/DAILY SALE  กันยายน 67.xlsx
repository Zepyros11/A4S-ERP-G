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 ส.ค.- 2 ก.ย. 67" sheetId="1" r:id="rId4"/>
    <sheet state="visible" name="3  ก.ย. 67" sheetId="2" r:id="rId5"/>
    <sheet state="visible" name=" 4  ก.ย. 67" sheetId="3" r:id="rId6"/>
    <sheet state="visible" name="5  ก.ย. 67" sheetId="4" r:id="rId7"/>
    <sheet state="visible" name="6  ก.ย. 67" sheetId="5" r:id="rId8"/>
    <sheet state="visible" name="7  ก.ย. 67" sheetId="6" r:id="rId9"/>
    <sheet state="visible" name="8  ก.ย. 67" sheetId="7" r:id="rId10"/>
    <sheet state="visible" name="9 ก.ย. 67" sheetId="8" r:id="rId11"/>
    <sheet state="visible" name="10 ก.ย. 67" sheetId="9" r:id="rId12"/>
    <sheet state="visible" name="11  ก.ย. 67" sheetId="10" r:id="rId13"/>
    <sheet state="visible" name="12  ก.ย. 67" sheetId="11" r:id="rId14"/>
    <sheet state="visible" name="13  ก.ย. 67" sheetId="12" r:id="rId15"/>
    <sheet state="visible" name=" 14  ก.ย. 67" sheetId="13" r:id="rId16"/>
    <sheet state="visible" name="  15  ก.ย. 67" sheetId="14" r:id="rId17"/>
    <sheet state="visible" name="16  ก.ย. 67" sheetId="15" r:id="rId18"/>
    <sheet state="visible" name="17  ก.ย. 67" sheetId="16" r:id="rId19"/>
    <sheet state="visible" name="18.ก.ย. 67" sheetId="17" r:id="rId20"/>
    <sheet state="visible" name="19 ก.ย. 67" sheetId="18" r:id="rId21"/>
    <sheet state="visible" name="20 ก.ย. 67" sheetId="19" r:id="rId22"/>
    <sheet state="visible" name="21  ก.ย. 67" sheetId="20" r:id="rId23"/>
    <sheet state="visible" name=" 22  ก.ย. 67" sheetId="21" r:id="rId24"/>
    <sheet state="visible" name="23  ก.ย. 67" sheetId="22" r:id="rId25"/>
    <sheet state="visible" name="24  ก.ย. 67" sheetId="23" r:id="rId26"/>
    <sheet state="visible" name="25  ก.ย. 67" sheetId="24" r:id="rId27"/>
    <sheet state="visible" name="26  ก.ย. 67" sheetId="25" r:id="rId28"/>
    <sheet state="visible" name="27  ก.ย. 67" sheetId="26" r:id="rId29"/>
    <sheet state="visible" name=" 28  ก.ย. 67" sheetId="27" r:id="rId30"/>
    <sheet state="visible" name="29  ก.ย. 67" sheetId="28" r:id="rId31"/>
    <sheet state="visible" name="30  ก.ย. 67" sheetId="29" r:id="rId32"/>
  </sheets>
  <definedNames/>
  <calcPr/>
  <extLst>
    <ext uri="GoogleSheetsCustomDataVersion2">
      <go:sheetsCustomData xmlns:go="http://customooxmlschemas.google.com/" r:id="rId33" roundtripDataChecksum="AwfkMJaWqPK1M+h010CJpaMMoyvSx+MMhvg0hbhHiyE="/>
    </ext>
  </extLst>
</workbook>
</file>

<file path=xl/sharedStrings.xml><?xml version="1.0" encoding="utf-8"?>
<sst xmlns="http://schemas.openxmlformats.org/spreadsheetml/2006/main" count="4407" uniqueCount="1739">
  <si>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31 ส.ค.67  -  2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</si>
  <si>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</si>
  <si>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</si>
  <si>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</si>
  <si>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</si>
  <si>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</si>
  <si>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</si>
  <si>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</si>
  <si>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</si>
  <si>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</si>
  <si>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</si>
  <si>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</si>
  <si>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</si>
  <si>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</si>
  <si>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</si>
  <si>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</si>
  <si>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</si>
  <si>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</si>
  <si>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</si>
  <si>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</si>
  <si>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</si>
  <si>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</si>
  <si>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</si>
  <si>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STHBKK012408001191</t>
  </si>
  <si>
    <t>นางสาว สุชานันท์ สะตะ</t>
  </si>
  <si>
    <t>Ketbkk</t>
  </si>
  <si>
    <t>STHBKK012408001192</t>
  </si>
  <si>
    <t>95 ดร.สิปปภาส  โรจนวสุธร</t>
  </si>
  <si>
    <t>STHBKK012408001193</t>
  </si>
  <si>
    <t>นาย มงคล เพ็งเคียน</t>
  </si>
  <si>
    <t>Meiy</t>
  </si>
  <si>
    <t>STHBKK012409000001</t>
  </si>
  <si>
    <t>บริษัท เค24 โกลบอล จำกัด (สำนักงานใหญ่)</t>
  </si>
  <si>
    <t>bkk-aoeng</t>
  </si>
  <si>
    <t>STHBKK012409000002</t>
  </si>
  <si>
    <t>นางสาว วิภาวดี​ แพรดำ</t>
  </si>
  <si>
    <t>TOYBKK</t>
  </si>
  <si>
    <t>STHBKK012409000003</t>
  </si>
  <si>
    <t xml:space="preserve">นาย ทนงศักดิ์ รัตนบุรี		</t>
  </si>
  <si>
    <t>STHBKK012409000004</t>
  </si>
  <si>
    <t>นางสาว เกศร วงษ์วิภาค</t>
  </si>
  <si>
    <t>STHBKK012409000005</t>
  </si>
  <si>
    <t>นาย สรรณ สินธุรัตน์</t>
  </si>
  <si>
    <t>NEWBKK</t>
  </si>
  <si>
    <t>STHBKK012409000006</t>
  </si>
  <si>
    <t>STHBKK012409000007</t>
  </si>
  <si>
    <t>นาย อนุศิษฎ์  อนันตะ</t>
  </si>
  <si>
    <t>STHBKK012409000008</t>
  </si>
  <si>
    <t>นาย สำอางค์ พลอยดีเลิศ</t>
  </si>
  <si>
    <t>STHBKK012409000009</t>
  </si>
  <si>
    <t>นาง กิมเล้ง ศรีม่วง</t>
  </si>
  <si>
    <t>STHBKK012409000010</t>
  </si>
  <si>
    <t>นาง สีแพร มังกรแก้ว</t>
  </si>
  <si>
    <t>STHBKK012409000011</t>
  </si>
  <si>
    <t>นางสาว กานต์พิชชา ไวว่อง</t>
  </si>
  <si>
    <t>STHBKK012409000012</t>
  </si>
  <si>
    <t>นาง ฐานมญ ชลคีรี</t>
  </si>
  <si>
    <t>STHBKK012409000013</t>
  </si>
  <si>
    <t>STHBKK012409000014</t>
  </si>
  <si>
    <t>นาย จักรกฤษณ์ ผิวเขียว</t>
  </si>
  <si>
    <t>STHBKK012409000015</t>
  </si>
  <si>
    <t>นาย สิริศักดิ์ นมพุก</t>
  </si>
  <si>
    <t>STHBKK012409000017</t>
  </si>
  <si>
    <t>นาย ชุติเมธ ดียิ่ง</t>
  </si>
  <si>
    <t>STHBKK012409000019</t>
  </si>
  <si>
    <t>นางสาว พิมพ์ชญา  สุริยปรีชาพงษ์</t>
  </si>
  <si>
    <t>STHBKK012409000020</t>
  </si>
  <si>
    <t>นางสาว นงพงา ตั้งฤทัยเยี่ยม</t>
  </si>
  <si>
    <t>STHBKK012409000021</t>
  </si>
  <si>
    <t>นางสาว มัลลิกา พลรัตน์</t>
  </si>
  <si>
    <t>STHBKK012409000022</t>
  </si>
  <si>
    <t>นาย ธนาศุภเดช ภุชพัชราธาดาณัช</t>
  </si>
  <si>
    <t>STHBKK012409000023</t>
  </si>
  <si>
    <t>นางสาว อรพิน ไชยสูงเนิน</t>
  </si>
  <si>
    <t>STHBKK012409000024</t>
  </si>
  <si>
    <t>นาย พิสิฐพงษ์  ยอดจันทร์</t>
  </si>
  <si>
    <t>STHBKK012409000025</t>
  </si>
  <si>
    <t>นางสาว ปณิตา ภาณุชวนนท์</t>
  </si>
  <si>
    <t>STHBKK012409000026</t>
  </si>
  <si>
    <t>นางสาว คณาง ไพรบึง</t>
  </si>
  <si>
    <t>STHBKK012409000028</t>
  </si>
  <si>
    <t>นาง มัลลิกา พรมมา</t>
  </si>
  <si>
    <t>STHBKK012409000029</t>
  </si>
  <si>
    <t>STHBKK012409000030</t>
  </si>
  <si>
    <t>นาย ธนกร อภัยพงศ์</t>
  </si>
  <si>
    <t>STHBKK012409000031</t>
  </si>
  <si>
    <t>บริษัท แก้วแกมทอง เทรดดิ้ง จำกัด (สำนักงานใหญ่)</t>
  </si>
  <si>
    <t>STHBKK012409000032</t>
  </si>
  <si>
    <t>นาย นันณัชพงศ์ จันทรคล</t>
  </si>
  <si>
    <t>STHBKK012409000033</t>
  </si>
  <si>
    <t>STHBKK012409000034</t>
  </si>
  <si>
    <t>นางสาว กนกวรรณ สำรี</t>
  </si>
  <si>
    <t>STHBKK012409000035</t>
  </si>
  <si>
    <t>นาง กานดา วงศ์เทพนิวัติ</t>
  </si>
  <si>
    <t>STHBKK012409000036</t>
  </si>
  <si>
    <t>นางสาว สุพรรณษา ไพศาล</t>
  </si>
  <si>
    <t>STHBKK012409000037</t>
  </si>
  <si>
    <t>นาย นิคม แสงประสิทธิ์</t>
  </si>
  <si>
    <t>STHBKK012409000038</t>
  </si>
  <si>
    <t>นาย สมชาย พิศมัย</t>
  </si>
  <si>
    <t>STHBKK012409000039</t>
  </si>
  <si>
    <t>นาย วรเชษฐ์ ทองหล่อ</t>
  </si>
  <si>
    <t>STHBKK012409000040</t>
  </si>
  <si>
    <t>ห้างหุ้นส่วน ไดม่อนอันดามัน เน็ตเวิร์ค  (สำนักงานใหญ่)</t>
  </si>
  <si>
    <t>STHBKK012409000041</t>
  </si>
  <si>
    <t>นางสาว เสาวนีย์ ราชเขียว</t>
  </si>
  <si>
    <t>STHBKK012409000042</t>
  </si>
  <si>
    <t>สนั่น ปริมาณ</t>
  </si>
  <si>
    <t>STHBKK012409000043</t>
  </si>
  <si>
    <t>STHBKK012409000044</t>
  </si>
  <si>
    <t>แกรนด์ วานิชสุจริต</t>
  </si>
  <si>
    <t>STHBKK012409000045</t>
  </si>
  <si>
    <t>นาง  เต็มลักษณ์ ยวงลำใย</t>
  </si>
  <si>
    <t>STHBKK012409000046</t>
  </si>
  <si>
    <t>นาย สิปปภาส  โรจนวสุธร</t>
  </si>
  <si>
    <t>STHBKK012409000047</t>
  </si>
  <si>
    <t>ห้างหุ้นส่วน รีลิกธีน  (สำนักงานใหญ่)</t>
  </si>
  <si>
    <t>STHBKK012409000049</t>
  </si>
  <si>
    <t>จันทร์เพ็ญ วิลัยกุล</t>
  </si>
  <si>
    <t>STHBKK012409000050</t>
  </si>
  <si>
    <t>นางสาว จิรภาส คำมงคล</t>
  </si>
  <si>
    <t>STHBKK012409000051</t>
  </si>
  <si>
    <t>นาย ศุภลักษณ์ สิมหะชาติ</t>
  </si>
  <si>
    <t>STHONLIN2408000753</t>
  </si>
  <si>
    <t>นางสาว พัชรมณฑ์ พรมทา</t>
  </si>
  <si>
    <t>STHONLIN2408000754</t>
  </si>
  <si>
    <t>นาย ปริญพัชร์ ศรีศุภณัฐธนากุล</t>
  </si>
  <si>
    <t>STHONLIN2408000760</t>
  </si>
  <si>
    <t>นางสาว กมลชนก อ่อนศรี</t>
  </si>
  <si>
    <t>STHONLIN2408000761</t>
  </si>
  <si>
    <t>บริษัท ดีเวย์ ริชคอร์ป จำกัด(สำนักงานใหญ่)</t>
  </si>
  <si>
    <t>STHONLIN2408000763</t>
  </si>
  <si>
    <t>นาย ดำรงค์ ปฏิสังข์</t>
  </si>
  <si>
    <t>STHONLIN2409000003</t>
  </si>
  <si>
    <t>นางสาว กาญตนา ตรีศักดิ์</t>
  </si>
  <si>
    <t>STHONLIN2409000008</t>
  </si>
  <si>
    <t>นาง ทิพยาภรณ์ ฆ้องวงษ์</t>
  </si>
  <si>
    <t>STHONLIN2409000009</t>
  </si>
  <si>
    <t>STHONLIN2409000010</t>
  </si>
  <si>
    <t>นางสาว อภิชญา ยอดจันทร์</t>
  </si>
  <si>
    <t>STHONLIN2409000011</t>
  </si>
  <si>
    <t>STHONLIN2409000017</t>
  </si>
  <si>
    <t>บริษัท สวนสุข จำกัด(สำนักงานใหญ่)</t>
  </si>
  <si>
    <t>STHONLIN2409000018</t>
  </si>
  <si>
    <t>นาย ธนบูลย์ แสงฐิตาพันธุ์</t>
  </si>
  <si>
    <t>STHONLIN2409000019</t>
  </si>
  <si>
    <t>นางสาว ริญญ์รภัส ศรีศุภณัฐธนากุล</t>
  </si>
  <si>
    <t>STHONLIN2409000020</t>
  </si>
  <si>
    <t>นางสาว ภาพิมล  ฉัตรเฉลิมวิทย์</t>
  </si>
  <si>
    <t xml:space="preserve"> </t>
  </si>
  <si>
    <t xml:space="preserve">ผู้ดึงบิลทางบ้าน (บิล เหม่ย )    </t>
  </si>
  <si>
    <t>เอิง</t>
  </si>
  <si>
    <t xml:space="preserve">ผู้เรียงบิล     </t>
  </si>
  <si>
    <t>ตอย</t>
  </si>
  <si>
    <t xml:space="preserve">ผู้สรุปยอด บิลออนไลน์    </t>
  </si>
  <si>
    <t>เกษ</t>
  </si>
  <si>
    <t xml:space="preserve">ผู้ดึงยอด      </t>
  </si>
  <si>
    <t xml:space="preserve">ผู้หยอดบิลลงเดลี่         </t>
  </si>
  <si>
    <t>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</si>
  <si>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</si>
  <si>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</si>
  <si>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</si>
  <si>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>-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</si>
  <si>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</si>
  <si>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3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</si>
  <si>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STHBKK012409000052</t>
  </si>
  <si>
    <t>นางสาว กาญจนา จันทรมณี</t>
  </si>
  <si>
    <t>STHBKK012409000053</t>
  </si>
  <si>
    <t>นางสาว ปุญยานุช นันท์จันทึก</t>
  </si>
  <si>
    <t>STHBKK012409000055</t>
  </si>
  <si>
    <t>บริษัท โคบาราเอฟโวลูชั่น (ประเทศไทย)จำกัด ( สำนักงานใหญ่ )</t>
  </si>
  <si>
    <t>STHBKK012409000056</t>
  </si>
  <si>
    <t>นาง นงคราญ พากเพียร</t>
  </si>
  <si>
    <t>STHBKK012409000057</t>
  </si>
  <si>
    <t>STHBKK012409000058</t>
  </si>
  <si>
    <t>นาง จันทร์ศิริ ศรศรี</t>
  </si>
  <si>
    <t>STHBKK012409000059</t>
  </si>
  <si>
    <t>บริษัท เศรษฐกวี จำกัด ( สำนักงานใหญ่ )</t>
  </si>
  <si>
    <t>STHBKK012409000060</t>
  </si>
  <si>
    <t>นาย ประพันธ์ เวฬุวนารักษ์</t>
  </si>
  <si>
    <t>STHBKK012409000061</t>
  </si>
  <si>
    <t>นางสาว จำเรียง อินทปัตย์</t>
  </si>
  <si>
    <t>STHBKK012409000062</t>
  </si>
  <si>
    <t>นาย วสุพล วสุประสาท</t>
  </si>
  <si>
    <t>STHBKK012409000063</t>
  </si>
  <si>
    <t>นางสาว สุพิตา พรมมาก</t>
  </si>
  <si>
    <t>STHBKK012409000064</t>
  </si>
  <si>
    <t>นาย ภิสิทธิ์ แสนสุภา</t>
  </si>
  <si>
    <t>STHBKK012409000065</t>
  </si>
  <si>
    <t>นางสาว พิกุล กลิ่นฟุ้ง</t>
  </si>
  <si>
    <t>STHBKK012409000066</t>
  </si>
  <si>
    <t>STHBKK012409000068</t>
  </si>
  <si>
    <t>ห้างหุ้นส่วน ปูแดงพารวย ( สำนักงานใหญ่)</t>
  </si>
  <si>
    <t>STHBKK012409000069</t>
  </si>
  <si>
    <t>STHBKK012409000070</t>
  </si>
  <si>
    <t>STHBKK012409000071</t>
  </si>
  <si>
    <t>นาย คมสันต์  ทรางชาติ</t>
  </si>
  <si>
    <t>STHBKK012409000072</t>
  </si>
  <si>
    <t>นาย อำนาจ นนทะพา</t>
  </si>
  <si>
    <t>STHBKK012409000073</t>
  </si>
  <si>
    <t>STHBKK012409000074</t>
  </si>
  <si>
    <t>STHBKK012409000075</t>
  </si>
  <si>
    <t>นาย สามภพ คงเมือง</t>
  </si>
  <si>
    <t>STHBKK012409000076</t>
  </si>
  <si>
    <t>STHBKK012409000077</t>
  </si>
  <si>
    <t>นางสาว กรรณิการ์ คล้ายแก้ว</t>
  </si>
  <si>
    <t>STHBKK012409000079</t>
  </si>
  <si>
    <t>STHBKK012409000080</t>
  </si>
  <si>
    <t>STHBKK012409000082</t>
  </si>
  <si>
    <t>บริษัท ผักคะน้ากรอบ จำกัด(สำนักงานใหญ่)</t>
  </si>
  <si>
    <t>STHBKK012409000083</t>
  </si>
  <si>
    <t>นาย  จักรพงศ์ เพชรเหลี่ยม</t>
  </si>
  <si>
    <t>STHBKK012409000084</t>
  </si>
  <si>
    <t>STHBKK012409000085</t>
  </si>
  <si>
    <t>นางสาว สุปรานี เขียวแดง</t>
  </si>
  <si>
    <t>STHBKK012409000086</t>
  </si>
  <si>
    <t>นาย พิชิต ผิวสุข</t>
  </si>
  <si>
    <t>STHBKK012409000087</t>
  </si>
  <si>
    <t>STHBKK012409000088</t>
  </si>
  <si>
    <t>นาย บูชาติ หาดสร้อย</t>
  </si>
  <si>
    <t>STHBKK012409000089</t>
  </si>
  <si>
    <t>นาง อสมากร สุขาล</t>
  </si>
  <si>
    <t>STHBKK012409000090</t>
  </si>
  <si>
    <t>STHBKK012409000091</t>
  </si>
  <si>
    <t>STHBKK012409000092</t>
  </si>
  <si>
    <t>STHBKK012409000093</t>
  </si>
  <si>
    <t>บริษัท สหกรณ์ การเกษตร พิบูลมังสาหาร  จำกัด</t>
  </si>
  <si>
    <t>STHBKK012409000095</t>
  </si>
  <si>
    <t>นาง มาลาพร บัวใหญ่</t>
  </si>
  <si>
    <t>STHBKK012409000096</t>
  </si>
  <si>
    <t>นาย ณัฐธรรณก์ สำคัญ</t>
  </si>
  <si>
    <t>STHBKK012409000098</t>
  </si>
  <si>
    <t>นาย ธนกร  เพชรโต</t>
  </si>
  <si>
    <t>STHBKK012409000099</t>
  </si>
  <si>
    <t>STHBKK012409000100</t>
  </si>
  <si>
    <t>นาย ปัญญา พุทธา</t>
  </si>
  <si>
    <t>STHBKK012409000101</t>
  </si>
  <si>
    <t>STHBKK012409000103</t>
  </si>
  <si>
    <t>นาย พสิษฐ์  จันรักษา</t>
  </si>
  <si>
    <t>STHONLIN2409000023</t>
  </si>
  <si>
    <t>STHONLIN2409000024</t>
  </si>
  <si>
    <t>บริษัท  ต.ศรีโสภณ จำกัด (สำนักงานใหญ่)</t>
  </si>
  <si>
    <t>STHONLIN2409000025</t>
  </si>
  <si>
    <t>นางสาว ณิชากุลทรัพย์ อุ่นวิเศษ</t>
  </si>
  <si>
    <t>STHONLIN2409000026</t>
  </si>
  <si>
    <t>STHONLIN2409000027</t>
  </si>
  <si>
    <t>นาย อนันต์กฤช เต็มศิริพันธุ์</t>
  </si>
  <si>
    <t>STHONLIN2409000028</t>
  </si>
  <si>
    <t>STHONLIN2409000031</t>
  </si>
  <si>
    <t>นางสาว วาสนา ศรีนงนุช</t>
  </si>
  <si>
    <t>STHONLIN2409000032</t>
  </si>
  <si>
    <t>นาย เก่งภพ ศุภาภพปภาส</t>
  </si>
  <si>
    <t>STHONLIN2409000033</t>
  </si>
  <si>
    <t>STHONLIN2409000034</t>
  </si>
  <si>
    <t>กะตอย</t>
  </si>
  <si>
    <t>นิ้ว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</si>
  <si>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</si>
  <si>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4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</si>
  <si>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STHBKK012409000104</t>
  </si>
  <si>
    <t>นาย พงษ์ศักดิ์ สมหวัง</t>
  </si>
  <si>
    <t>STHBKK012409000105</t>
  </si>
  <si>
    <t>นาย ปรีชา  แก้วโกถม</t>
  </si>
  <si>
    <t>STHBKK012409000106</t>
  </si>
  <si>
    <t>STHBKK012409000107</t>
  </si>
  <si>
    <t>นางสาว วณัฐกมล  วิไลลักษณ์</t>
  </si>
  <si>
    <t>STHBKK012409000108</t>
  </si>
  <si>
    <t>นาง อัญชลี​ ท้าวนอก</t>
  </si>
  <si>
    <t>STHBKK012409000109</t>
  </si>
  <si>
    <t>นาง ศริยา  รักษาราษฎร์</t>
  </si>
  <si>
    <t>STHBKK012409000110</t>
  </si>
  <si>
    <t>นาย นาย วิฑูรย์ มีศรี</t>
  </si>
  <si>
    <t>STHBKK012409000111</t>
  </si>
  <si>
    <t>STHBKK012409000114</t>
  </si>
  <si>
    <t>มธุรา ชาติสุทธิ์</t>
  </si>
  <si>
    <t>STHBKK012409000115</t>
  </si>
  <si>
    <t>นางสาว ฤทัยทิพย์ นาโพธิ์</t>
  </si>
  <si>
    <t>STHBKK012409000117</t>
  </si>
  <si>
    <t>STHBKK012409000118</t>
  </si>
  <si>
    <t>STHBKK012409000119</t>
  </si>
  <si>
    <t>นาง พิสมัย เอี่ยมศรีวงศา</t>
  </si>
  <si>
    <t>STHBKK012409000120</t>
  </si>
  <si>
    <t>STHBKK012409000121</t>
  </si>
  <si>
    <t>นางสาว วาสนา  คุ้มสุด</t>
  </si>
  <si>
    <t>STHBKK012409000122</t>
  </si>
  <si>
    <t>STHBKK012409000123</t>
  </si>
  <si>
    <t>STHBKK012409000124</t>
  </si>
  <si>
    <t>STHBKK012409000126</t>
  </si>
  <si>
    <t>STHBKK012409000128</t>
  </si>
  <si>
    <t>STHBKK012409000130</t>
  </si>
  <si>
    <t>นาย นัธทวัฒน์ชัย ผิวผ่อง</t>
  </si>
  <si>
    <t>STHBKK012409000132</t>
  </si>
  <si>
    <t>นาง นวลจันทร์  กลิ่นฟุ้ง</t>
  </si>
  <si>
    <t>STHBKK012409000134</t>
  </si>
  <si>
    <t>นาย ยงยุทธ แก้วสม</t>
  </si>
  <si>
    <t>STHBKK012409000135</t>
  </si>
  <si>
    <t>STHBKK012409000138</t>
  </si>
  <si>
    <t>นาย จำรัส   ทันใจ</t>
  </si>
  <si>
    <t>STHBKK012409000139</t>
  </si>
  <si>
    <t>นาง รัตนา สุขสมบูรณ์</t>
  </si>
  <si>
    <t>STHBKK012409000140</t>
  </si>
  <si>
    <t>STHBKK012409000141</t>
  </si>
  <si>
    <t>นาย พีรพงศ์ ภรประเสริฐศรี</t>
  </si>
  <si>
    <t>STHBKK012409000142</t>
  </si>
  <si>
    <t>นางสาว ภัทรพิดา อุ่นโสดา</t>
  </si>
  <si>
    <t>STHBKK012409000143</t>
  </si>
  <si>
    <t>บริษัท  รินทร์รฐา กรุ๊ป จำกัด(สำนักงานใหญ่)</t>
  </si>
  <si>
    <t>STHBKK012409000145</t>
  </si>
  <si>
    <t>บริษัท สหกรณ์การเกษตรสามชุก จำกัด</t>
  </si>
  <si>
    <t>STHONLIN2409000038</t>
  </si>
  <si>
    <t>นาย ยืนยง ชินมิตโต</t>
  </si>
  <si>
    <t>STHONLIN2409000042</t>
  </si>
  <si>
    <t>นางสาว สุภาพร สรนิกร</t>
  </si>
  <si>
    <t>STHONLIN2409000043</t>
  </si>
  <si>
    <t>STHONLIN2409000044</t>
  </si>
  <si>
    <t>นาย สมชาย โสภา</t>
  </si>
  <si>
    <t>STHONLIN2409000045</t>
  </si>
  <si>
    <t>นาย ภูมิรพี โสภา</t>
  </si>
  <si>
    <t>STHONLIN2409000046</t>
  </si>
  <si>
    <t>นาง ฟุ้งฟ้า</t>
  </si>
  <si>
    <t>STHONLIN2409000047</t>
  </si>
  <si>
    <t>STHONLIN2409000048</t>
  </si>
  <si>
    <t>STHONLIN2409000052</t>
  </si>
  <si>
    <t>นาย สมยศ น้ำเพชร</t>
  </si>
  <si>
    <t>STHONLIN2409000053</t>
  </si>
  <si>
    <t>นางสาว อนิสสรา ยวงลำใย</t>
  </si>
  <si>
    <t>STHONLIN2409000054</t>
  </si>
  <si>
    <t>นาย ธนสิน ยวงลำใย</t>
  </si>
  <si>
    <t>STHONLIN2409000055</t>
  </si>
  <si>
    <t>STHONLIN2409000056</t>
  </si>
  <si>
    <t>STHONLIN2409000057</t>
  </si>
  <si>
    <t>นางสาว ลฎาภา ปภาชนานันท์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</si>
  <si>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</si>
  <si>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5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</si>
  <si>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STHBKK012409000146</t>
  </si>
  <si>
    <t>นาง พรทิพย์ เพียซ้าย</t>
  </si>
  <si>
    <t>STHBKK012409000147</t>
  </si>
  <si>
    <t>STHBKK012409000148</t>
  </si>
  <si>
    <t>STHBKK012409000149</t>
  </si>
  <si>
    <t>นางสาว พิชาวีร์ บวรธีราเศรษฐ์</t>
  </si>
  <si>
    <t>STHBKK012409000150</t>
  </si>
  <si>
    <t>นางสาว ยุพิน กรลำ</t>
  </si>
  <si>
    <t>STHBKK012409000151</t>
  </si>
  <si>
    <t>STHBKK012409000152</t>
  </si>
  <si>
    <t>นาง ณรญา พาหาสิงห์</t>
  </si>
  <si>
    <t>STHBKK012409000153</t>
  </si>
  <si>
    <t>นาง น้ำนอง อั๋นดอนกลอย</t>
  </si>
  <si>
    <t>STHBKK012409000154</t>
  </si>
  <si>
    <t>นาย เกรียงไกร ไต่ถาม</t>
  </si>
  <si>
    <t>STHBKK012409000156</t>
  </si>
  <si>
    <t>นาย พนธกร ทิพยโสภากุล</t>
  </si>
  <si>
    <t>STHBKK012409000157</t>
  </si>
  <si>
    <t>นาง ศิราณีย์ ทิพยโสภากุล</t>
  </si>
  <si>
    <t>STHBKK012409000158</t>
  </si>
  <si>
    <t>นาย ชลธี จันทโคตร</t>
  </si>
  <si>
    <t>STHBKK012409000160</t>
  </si>
  <si>
    <t>STHBKK012409000161</t>
  </si>
  <si>
    <t>STHBKK012409000162</t>
  </si>
  <si>
    <t>นางสาว กิตติวรรณ พิมพ์เพราะ</t>
  </si>
  <si>
    <t>STHBKK012409000163</t>
  </si>
  <si>
    <t>นางสาว สมคิด ยิ้มสาระ</t>
  </si>
  <si>
    <t>STHBKK012409000164</t>
  </si>
  <si>
    <t>นาย สรรเสริญ  จันทร์แดง</t>
  </si>
  <si>
    <t>STHBKK012409000165</t>
  </si>
  <si>
    <t>นาย สรรค์สรวง วัชรินทรชัย</t>
  </si>
  <si>
    <t>STHBKK012409000167</t>
  </si>
  <si>
    <t>STHBKK012409000168</t>
  </si>
  <si>
    <t>นาย ดิลก แผ่ทอง</t>
  </si>
  <si>
    <t>STHBKK012409000169</t>
  </si>
  <si>
    <t>นางสาว ประภัสสร  ดีดวงพันธ์</t>
  </si>
  <si>
    <t>STHBKK012409000170</t>
  </si>
  <si>
    <t>STHBKK012409000171</t>
  </si>
  <si>
    <t>นางสาว ลำใย  เจริญศิริ</t>
  </si>
  <si>
    <t>STHBKK012409000173</t>
  </si>
  <si>
    <t>นาง จิราพร โพธิ์ไกร</t>
  </si>
  <si>
    <t>STHBKK012409000174</t>
  </si>
  <si>
    <t>นาย วัชรวุทธิ์ หิรัญกิจอนันต์</t>
  </si>
  <si>
    <t>STHBKK012409000175</t>
  </si>
  <si>
    <t>STHBKK012409000176</t>
  </si>
  <si>
    <t>STHBKK012409000177</t>
  </si>
  <si>
    <t>นาย ยศพัทธิ์ ศรีอุทิศ</t>
  </si>
  <si>
    <t>STHBKK012409000178</t>
  </si>
  <si>
    <t>STHBKK012409000179</t>
  </si>
  <si>
    <t>นาย ศรชัย แสนสบาย</t>
  </si>
  <si>
    <t>STHBKK012409000180</t>
  </si>
  <si>
    <t>นาย สุรัตน์  สุขเพ็ง</t>
  </si>
  <si>
    <t>STHBKK012409000181</t>
  </si>
  <si>
    <t>STHBKK012409000182</t>
  </si>
  <si>
    <t>STHBKK012409000183</t>
  </si>
  <si>
    <t>บริษัท เอ็น.พี มาร์เก็ตติ้ง แบรนด์ จำกัด(สำนักงานใหญ่)</t>
  </si>
  <si>
    <t>STHBKK012409000184</t>
  </si>
  <si>
    <t>นางสาว สิริวิมล แม้นพ่วง</t>
  </si>
  <si>
    <t>STHBKK012409000185</t>
  </si>
  <si>
    <t>STHBKK012409000186</t>
  </si>
  <si>
    <t>นางสาว รวีวรรณ  เชื้อต่าย</t>
  </si>
  <si>
    <t>STHBKK012409000187</t>
  </si>
  <si>
    <t>นางสาว ดัสนีย์ เจะเลาะ</t>
  </si>
  <si>
    <t>STHBKK012409000188</t>
  </si>
  <si>
    <t>นางสาว ธันย์ณิชา ชำนาญป่า</t>
  </si>
  <si>
    <t>STHONLIN2409000058</t>
  </si>
  <si>
    <t>นาย ธนวรรธน์  ปราชญ์เรืองนนท์</t>
  </si>
  <si>
    <t>STHONLIN2409000060</t>
  </si>
  <si>
    <t>นาย สุวิทย์  รองชูเพ็ง</t>
  </si>
  <si>
    <t>STHONLIN2409000061</t>
  </si>
  <si>
    <t>STHONLIN2409000062</t>
  </si>
  <si>
    <t>นาง ทัศนา เลื่อมสำราญ</t>
  </si>
  <si>
    <t>STHONLIN2409000063</t>
  </si>
  <si>
    <t>STHONLIN2409000065</t>
  </si>
  <si>
    <t>STHONLIN2409000067</t>
  </si>
  <si>
    <t>STHONLIN2409000068</t>
  </si>
  <si>
    <t>STHONLIN2409000069</t>
  </si>
  <si>
    <t>นาย จิระวัฒน์  ใจอารีย์</t>
  </si>
  <si>
    <t>STHONLIN2409000070</t>
  </si>
  <si>
    <t>STHONLIN2409000071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</si>
  <si>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</si>
  <si>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6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</si>
  <si>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STHBKK012409000190</t>
  </si>
  <si>
    <t>STHBKK012409000191</t>
  </si>
  <si>
    <t>STHBKK012409000192</t>
  </si>
  <si>
    <t>นางสาว จันทร์แรม  ชีวังกูล</t>
  </si>
  <si>
    <t>STHBKK012409000193</t>
  </si>
  <si>
    <t>นาย สามารถ ถมเถื่อน</t>
  </si>
  <si>
    <t>STHBKK012409000194</t>
  </si>
  <si>
    <t>STHBKK012409000195</t>
  </si>
  <si>
    <t>บริษัท สยามทวีทิพย์ จำกัด(สำนักงานใหญ่)</t>
  </si>
  <si>
    <t>STHBKK012409000196</t>
  </si>
  <si>
    <t>นาง วรรณา  เมืองเยาะ</t>
  </si>
  <si>
    <t>STHBKK012409000197</t>
  </si>
  <si>
    <t>STHBKK012409000198</t>
  </si>
  <si>
    <t>STHBKK012409000199</t>
  </si>
  <si>
    <t>STHBKK012409000200</t>
  </si>
  <si>
    <t>บริษัท สหกรณ์การเกษตรศรีประจันต์ จำกัด</t>
  </si>
  <si>
    <t>STHBKK012409000202</t>
  </si>
  <si>
    <t>นาง ณัจรี บูรณะพงค์</t>
  </si>
  <si>
    <t>STHBKK012409000203</t>
  </si>
  <si>
    <t>นาย คมสันช์  ชาญธนโชค</t>
  </si>
  <si>
    <t>STHBKK012409000204</t>
  </si>
  <si>
    <t>นางสาว สายสุดา โพธิ์แก้ว</t>
  </si>
  <si>
    <t>STHBKK012409000205</t>
  </si>
  <si>
    <t>นาง ณัฎฐณันธ์ วงวันดี</t>
  </si>
  <si>
    <t>STHBKK012409000206</t>
  </si>
  <si>
    <t>STHBKK012409000207</t>
  </si>
  <si>
    <t>นาย วิสุทธิ์ จันทร์ประเสริฐ</t>
  </si>
  <si>
    <t>STHBKK012409000208</t>
  </si>
  <si>
    <t>STHBKK012409000209</t>
  </si>
  <si>
    <t>STHBKK012409000210</t>
  </si>
  <si>
    <t>นาย กิตติกุล อินมูล</t>
  </si>
  <si>
    <t>STHBKK012409000211</t>
  </si>
  <si>
    <t>นาย มานิตย์ พรมสอน</t>
  </si>
  <si>
    <t>STHBKK012409000212</t>
  </si>
  <si>
    <t>นาย สุเมธ กลิ่นเย็น</t>
  </si>
  <si>
    <t>STHBKK012409000213</t>
  </si>
  <si>
    <t>STHBKK012409000214</t>
  </si>
  <si>
    <t>นาย เอกสิทธิ์ ชำนาญผา</t>
  </si>
  <si>
    <t>STHBKK012409000215</t>
  </si>
  <si>
    <t>STHBKK012409000216</t>
  </si>
  <si>
    <t>ห้างหุ้นส่วน โกรท โกลเบิล เน็ตเวิร์ก (สำนักงานใหญ่)</t>
  </si>
  <si>
    <t>STHBKK012409000217</t>
  </si>
  <si>
    <t>STHBKK012409000219</t>
  </si>
  <si>
    <t>STHBKK012409000221</t>
  </si>
  <si>
    <t>STHONLIN2409000072</t>
  </si>
  <si>
    <t>STHONLIN2409000074</t>
  </si>
  <si>
    <t>บริษัท เอ.ซี.พี.เค จำกัด (สำนักงานใหญ่)</t>
  </si>
  <si>
    <t>STHONLIN2409000075</t>
  </si>
  <si>
    <t>STHONLIN2409000076</t>
  </si>
  <si>
    <t>นางสาว ประนึง ทองอยู่</t>
  </si>
  <si>
    <t>STHONLIN2409000077</t>
  </si>
  <si>
    <t>นางสาว น้อง คงมา</t>
  </si>
  <si>
    <t>STHONLIN2409000079</t>
  </si>
  <si>
    <t>STHONLIN2409000080</t>
  </si>
  <si>
    <t>นาง ฐิตาภรณ์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</si>
  <si>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</si>
  <si>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7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</si>
  <si>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STHBKK012409000222</t>
  </si>
  <si>
    <t>นาง ประดิษ ศุภลักษณ์</t>
  </si>
  <si>
    <t>STHBKK012409000223</t>
  </si>
  <si>
    <t>นางสาว วรารัตน์ ฤกษ์ศรี</t>
  </si>
  <si>
    <t>STHBKK012409000225</t>
  </si>
  <si>
    <t>นางสาว ปาณิสรา  ลักขษร</t>
  </si>
  <si>
    <t>STHBKK012409000227</t>
  </si>
  <si>
    <t>นาง นวนจันทร์  ปรินสารัมย์</t>
  </si>
  <si>
    <t>STHBKK012409000228</t>
  </si>
  <si>
    <t>บริษัท พิมปรีชา จำกัด (สำนักงานใหญ่)</t>
  </si>
  <si>
    <t>STHBKK012409000229</t>
  </si>
  <si>
    <t>นาง  สุวรรณา    ภูมี</t>
  </si>
  <si>
    <t>STHBKK012409000230</t>
  </si>
  <si>
    <t>นาย สนั่นศักดิ์  สมทอง</t>
  </si>
  <si>
    <t>STHBKK012409000231</t>
  </si>
  <si>
    <t>STHBKK012409000232</t>
  </si>
  <si>
    <t>นาย สมรวม กุลโสภณ</t>
  </si>
  <si>
    <t>STHBKK012409000233</t>
  </si>
  <si>
    <t>STHBKK012409000234</t>
  </si>
  <si>
    <t>นางสาว แสงมณี บุญทวี</t>
  </si>
  <si>
    <t>STHBKK012409000235</t>
  </si>
  <si>
    <t>STHBKK012409000237</t>
  </si>
  <si>
    <t>STHBKK012409000239</t>
  </si>
  <si>
    <t>Mr. NGUYEN VAN LUNG</t>
  </si>
  <si>
    <t>STHBKK012409000241</t>
  </si>
  <si>
    <t>นาง ภิชญาภัค หล้านาม</t>
  </si>
  <si>
    <t>STHBKK012409000242</t>
  </si>
  <si>
    <t>STHBKK012409000243</t>
  </si>
  <si>
    <t>STHBKK012409000244</t>
  </si>
  <si>
    <t>STHBKK012409000245</t>
  </si>
  <si>
    <t>นางสาว นวิยา พรมแสน</t>
  </si>
  <si>
    <t>STHBKK012409000246</t>
  </si>
  <si>
    <t xml:space="preserve">นางสาว ภัทราณิษฐ์ พืชพันธ์วรเดชา	</t>
  </si>
  <si>
    <t>STHBKK012409000247</t>
  </si>
  <si>
    <t>นาย กิจปณัฎฐ์ ศิราเศรณี</t>
  </si>
  <si>
    <t>STHBKK012409000248</t>
  </si>
  <si>
    <t>นาย มนตรี คำภิรมย์</t>
  </si>
  <si>
    <t>STHBKK012409000249</t>
  </si>
  <si>
    <t>STHBKK012409000250</t>
  </si>
  <si>
    <t>STHONLIN2409000088</t>
  </si>
  <si>
    <t>STHONLIN2409000089</t>
  </si>
  <si>
    <t>STHONLIN2409000090</t>
  </si>
  <si>
    <t>นาย ดิเรก  กรีฑา</t>
  </si>
  <si>
    <t>กะตอย-เหมย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</si>
  <si>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</si>
  <si>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8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</si>
  <si>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STHBKK012409000251</t>
  </si>
  <si>
    <t>นาย นิรันดร์ สันอัด</t>
  </si>
  <si>
    <t>STHBKK012409000252</t>
  </si>
  <si>
    <t>นางสาว ดวงสุดา ขุนวิเชียร</t>
  </si>
  <si>
    <t>STHBKK012409000253</t>
  </si>
  <si>
    <t>นาย สุรัช สุดโต</t>
  </si>
  <si>
    <t>STHBKK012409000254</t>
  </si>
  <si>
    <t>นางสาว ธันยาพร สีแก้ว</t>
  </si>
  <si>
    <t>STHBKK012409000255</t>
  </si>
  <si>
    <t>STHBKK012409000256</t>
  </si>
  <si>
    <t>นางสาว วัชรวรรณ  นิลสุ</t>
  </si>
  <si>
    <t>STHBKK012409000257</t>
  </si>
  <si>
    <t>STHBKK012409000258</t>
  </si>
  <si>
    <t>STHBKK012409000260</t>
  </si>
  <si>
    <t>นางสาว เวฬุลี  รอดเวียง</t>
  </si>
  <si>
    <t>STHBKK012409000261</t>
  </si>
  <si>
    <t>STHBKK012409000262</t>
  </si>
  <si>
    <t>นาย จิรวัฒน์ ทิววัฒน์ปกรณ์</t>
  </si>
  <si>
    <t>STHBKK012409000263</t>
  </si>
  <si>
    <t>STHONLIN2409000093</t>
  </si>
  <si>
    <t>นาย อนุสรณ์ ศรีสุวรรณ</t>
  </si>
  <si>
    <t>STHONLIN2409000094</t>
  </si>
  <si>
    <t>STHONLIN2409000096</t>
  </si>
  <si>
    <t>นาย ติณณวิชญ์ อนันต์พิชัยเดช</t>
  </si>
  <si>
    <t>STHONLIN2409000097</t>
  </si>
  <si>
    <t>นางสาว ธนพรรษ​ ยี่ภู</t>
  </si>
  <si>
    <t>STHONLIN2409000099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</si>
  <si>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</si>
  <si>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9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</si>
  <si>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STHBKK012409000265</t>
  </si>
  <si>
    <t>STHBKK012409000266</t>
  </si>
  <si>
    <t>นางสาว ฐิตินันท์ พลอยสำลี</t>
  </si>
  <si>
    <t>STHBKK012409000267</t>
  </si>
  <si>
    <t>STHBKK012409000268</t>
  </si>
  <si>
    <t>STHBKK012409000270</t>
  </si>
  <si>
    <t>STHBKK012409000272</t>
  </si>
  <si>
    <t>STHBKK012409000273</t>
  </si>
  <si>
    <t>นาย เพชร ภูมี</t>
  </si>
  <si>
    <t>STHBKK012409000274</t>
  </si>
  <si>
    <t>STHBKK012409000275</t>
  </si>
  <si>
    <t>นาง พัชรี   ธรรมรักษ์กุล</t>
  </si>
  <si>
    <t>STHBKK012409000276</t>
  </si>
  <si>
    <t>บริษัท ดาโร่ บิ้วตี้ จำกัด ( สำนักงานใหญ่ )</t>
  </si>
  <si>
    <t>STHBKK012409000277</t>
  </si>
  <si>
    <t>STHBKK012409000278</t>
  </si>
  <si>
    <t>STHBKK012409000280</t>
  </si>
  <si>
    <t>STHBKK012409000281</t>
  </si>
  <si>
    <t>STHBKK012409000282</t>
  </si>
  <si>
    <t>นางสาว มนัสนันท์ อ่อนศิริ</t>
  </si>
  <si>
    <t>STHBKK012409000283</t>
  </si>
  <si>
    <t>นางสาว วิสูตร์ ไทยถนอม</t>
  </si>
  <si>
    <t>STHBKK012409000284</t>
  </si>
  <si>
    <t>STHBKK012409000285</t>
  </si>
  <si>
    <t>นาย ภิรกร ศิริพฤกษ์</t>
  </si>
  <si>
    <t>STHBKK012409000286</t>
  </si>
  <si>
    <t>STHBKK012409000287</t>
  </si>
  <si>
    <t>นางสาว จิดาภา ทองเบ้า</t>
  </si>
  <si>
    <t>STHBKK012409000288</t>
  </si>
  <si>
    <t>นาย สมบูรณ์ เทศนา</t>
  </si>
  <si>
    <t>STHBKK012409000289</t>
  </si>
  <si>
    <t>STHBKK012409000290</t>
  </si>
  <si>
    <t>STHBKK012409000291</t>
  </si>
  <si>
    <t>STHBKK012409000292</t>
  </si>
  <si>
    <t>STHBKK012409000293</t>
  </si>
  <si>
    <t>STHBKK012409000294</t>
  </si>
  <si>
    <t>STHBKK012409000295</t>
  </si>
  <si>
    <t>นางสาว พศิจาธิกาณ ธนัฐศิณีญา</t>
  </si>
  <si>
    <t>STHBKK012409000296</t>
  </si>
  <si>
    <t>นางสาว สุจิตรา แมงขุนทด</t>
  </si>
  <si>
    <t>STHBKK012409000297</t>
  </si>
  <si>
    <t>ธนวรรธน์ สุขจิตร</t>
  </si>
  <si>
    <t>STHBKK012409000298</t>
  </si>
  <si>
    <t>นางสาว กัญญาภัค กำเหนิดผล</t>
  </si>
  <si>
    <t>STHBKK012409000299</t>
  </si>
  <si>
    <t>นาย สุรวัฒน์ ตั้งพงศ์ศิรประภา</t>
  </si>
  <si>
    <t>STHBKK012409000300</t>
  </si>
  <si>
    <t>นาย ภวินท์สุข ตั้งพงษ์ศิรประภา</t>
  </si>
  <si>
    <t>STHBKK012409000301</t>
  </si>
  <si>
    <t>STHONLIN2409000107</t>
  </si>
  <si>
    <t>STHONLIN2409000108</t>
  </si>
  <si>
    <t>นางสาว นงลักษณ์ ธรรมรักษ์กุล</t>
  </si>
  <si>
    <t>STHONLIN2409000109</t>
  </si>
  <si>
    <t>นาย สุพจน์  ธรรมรักษ์กุล</t>
  </si>
  <si>
    <t>STHONLIN2409000110</t>
  </si>
  <si>
    <t>STHONLIN2409000111</t>
  </si>
  <si>
    <t>STHONLIN2409000114</t>
  </si>
  <si>
    <t>นิ้ิ้ว</t>
  </si>
  <si>
    <t>นิ้ว 265-288  เกษ 289-114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</si>
  <si>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</si>
  <si>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10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</si>
  <si>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STHBKK012409000302</t>
  </si>
  <si>
    <t>นาย สุรทัศน์ เกไธสง</t>
  </si>
  <si>
    <t>STHBKK012409000303</t>
  </si>
  <si>
    <t>STHBKK012409000304</t>
  </si>
  <si>
    <t>นาย นราเศรษฐ์  ศรีมารักษ์</t>
  </si>
  <si>
    <t>STHBKK012409000305</t>
  </si>
  <si>
    <t>STHBKK012409000309</t>
  </si>
  <si>
    <t>นางสาว กุลิสรา คล้ายจำแล</t>
  </si>
  <si>
    <t>STHBKK012409000310</t>
  </si>
  <si>
    <t>STHBKK012409000311</t>
  </si>
  <si>
    <t>STHBKK012409000312</t>
  </si>
  <si>
    <t>นาย ไพศาล  ธาระทรัพย์</t>
  </si>
  <si>
    <t>STHBKK012409000313</t>
  </si>
  <si>
    <t>นาย อิทธิพล วิทยาเรืองศรี</t>
  </si>
  <si>
    <t>STHBKK012409000314</t>
  </si>
  <si>
    <t>STHBKK012409000316</t>
  </si>
  <si>
    <t>นาง สมพร  ท้าวเคหะ</t>
  </si>
  <si>
    <t>STHBKK012409000317</t>
  </si>
  <si>
    <t>บริษัท เอส ซี โกรท โกลบอล จำกัด (สำนักงานใหญ่)</t>
  </si>
  <si>
    <t xml:space="preserve">         </t>
  </si>
  <si>
    <t>STHBKK012409000318</t>
  </si>
  <si>
    <t>STHBKK012409000319</t>
  </si>
  <si>
    <t>นาง ภัทรลาภา ผจวบโชค</t>
  </si>
  <si>
    <t>STHBKK012409000320</t>
  </si>
  <si>
    <t>นาย สงขลา กายพันธุ์</t>
  </si>
  <si>
    <t>STHBKK012409000321</t>
  </si>
  <si>
    <t>นาง ปรียานุช ประสาทศิลป์</t>
  </si>
  <si>
    <t>STHBKK012409000322</t>
  </si>
  <si>
    <t>นาง ประภาพร บังทอง</t>
  </si>
  <si>
    <t>STHBKK012409000323</t>
  </si>
  <si>
    <t>บริษัท เอ็น.เค.ทรัพย์โซเชียล จำกัด(สำนักงานใหญ)</t>
  </si>
  <si>
    <t>STHBKK012409000325</t>
  </si>
  <si>
    <t>นางสาว ธนภรณ์  วิลัยกุล</t>
  </si>
  <si>
    <t>STHBKK012409000326</t>
  </si>
  <si>
    <t>STHBKK012409000327</t>
  </si>
  <si>
    <t>นาย วชิระ จรเณร</t>
  </si>
  <si>
    <t>STHBKK012409000331</t>
  </si>
  <si>
    <t>Mr. MAI DUC MANH</t>
  </si>
  <si>
    <t>STHBKK012409000333</t>
  </si>
  <si>
    <t>นางสาว รุ่งราตรี เขียมสุวรรณ</t>
  </si>
  <si>
    <t>STHBKK012409000335</t>
  </si>
  <si>
    <t>ลัดดา เจริญโชติทรัพย์</t>
  </si>
  <si>
    <t>STHBKK012409000336</t>
  </si>
  <si>
    <t>นาย สกลสักก์ สาครเรืองสิรี</t>
  </si>
  <si>
    <t>STHBKK012409000337</t>
  </si>
  <si>
    <t>STHBKK012409000338</t>
  </si>
  <si>
    <t>นาง คำนึง โกส้ม</t>
  </si>
  <si>
    <t>STHBKK012409000339</t>
  </si>
  <si>
    <t>นาง สาริศา นุ้ยไม</t>
  </si>
  <si>
    <t>STHBKK012409000340</t>
  </si>
  <si>
    <t>STHBKK012409000341</t>
  </si>
  <si>
    <t>STHBKK012409000342</t>
  </si>
  <si>
    <t>นาง ดุษณี  เจมส์</t>
  </si>
  <si>
    <t>STHBKK012409000343</t>
  </si>
  <si>
    <t>บริษัท สหกรณ์ นิคมลำนารายณ์ จำกัด</t>
  </si>
  <si>
    <t>STHBKK012409000345</t>
  </si>
  <si>
    <t>นางสาว นิภาพรรณ  ภูลาด</t>
  </si>
  <si>
    <t>STHBKK012409000346</t>
  </si>
  <si>
    <t>นาย ประชากรณ์  คำกฤษ</t>
  </si>
  <si>
    <t>STHBKK012409000347</t>
  </si>
  <si>
    <t>STHBKK012409000348</t>
  </si>
  <si>
    <t>STHBKK012409000349</t>
  </si>
  <si>
    <t>นาย ธงชัย จุ้ยชุมแสง</t>
  </si>
  <si>
    <t>STHBKK012409000350</t>
  </si>
  <si>
    <t>STHBKK012409000351</t>
  </si>
  <si>
    <t>STHBKK012409000352</t>
  </si>
  <si>
    <t>STHONLIN2409000115</t>
  </si>
  <si>
    <t>STHONLIN2409000116</t>
  </si>
  <si>
    <t>STHONLIN2409000118</t>
  </si>
  <si>
    <t>STHONLIN2409000122</t>
  </si>
  <si>
    <t>STHONLIN2409000123</t>
  </si>
  <si>
    <t>นาย อ่อง  หนองงู</t>
  </si>
  <si>
    <t>STHONLIN2409000124</t>
  </si>
  <si>
    <t>นาย บุญสม  ศรีสวรรค์</t>
  </si>
  <si>
    <t>STHONLIN2409000125</t>
  </si>
  <si>
    <t>นาง บัวผัน  นามพิมูล</t>
  </si>
  <si>
    <t>STHONLIN2409000126</t>
  </si>
  <si>
    <t>นาย ทนง  เผดิมผล</t>
  </si>
  <si>
    <t>STHONLIN2409000127</t>
  </si>
  <si>
    <t>นาง อำไพ  ตุ้มพิมาย</t>
  </si>
  <si>
    <t xml:space="preserve">นิ้ว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</si>
  <si>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</si>
  <si>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11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</si>
  <si>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STHBKK012409000353</t>
  </si>
  <si>
    <t>STHBKK012409000354</t>
  </si>
  <si>
    <t>STHBKK012409000355</t>
  </si>
  <si>
    <t>STHBKK012409000356</t>
  </si>
  <si>
    <t>นางสาว ณัฐกาญ ตักเตือน</t>
  </si>
  <si>
    <t>STHBKK012409000357</t>
  </si>
  <si>
    <t>STHBKK012409000359</t>
  </si>
  <si>
    <t>STHBKK012409000361</t>
  </si>
  <si>
    <t>STHBKK012409000362</t>
  </si>
  <si>
    <t>STHBKK012409000363</t>
  </si>
  <si>
    <t>นาง นารินี กมลสุวรรณ</t>
  </si>
  <si>
    <t>STHBKK012409000365</t>
  </si>
  <si>
    <t>STHBKK012409000367</t>
  </si>
  <si>
    <t>นางสาว จิราภรณ์ เขาทอง</t>
  </si>
  <si>
    <t>STHBKK012409000369</t>
  </si>
  <si>
    <t>STHBKK012409000370</t>
  </si>
  <si>
    <t>นางสาว ศิริลักษณ์  ศรีสมบูรณ์</t>
  </si>
  <si>
    <t>STHBKK012409000371</t>
  </si>
  <si>
    <t>นางสาว อรัญญา คำดี</t>
  </si>
  <si>
    <t>STHBKK012409000373</t>
  </si>
  <si>
    <t>STHBKK012409000374</t>
  </si>
  <si>
    <t>สุรชาติ นพนิธิพัฒน์</t>
  </si>
  <si>
    <t>STHBKK012409000375</t>
  </si>
  <si>
    <t>STHBKK012409000376</t>
  </si>
  <si>
    <t>STHBKK012409000378</t>
  </si>
  <si>
    <t>นาง กัลยาท้าวเคหะ</t>
  </si>
  <si>
    <t>STHBKK012409000380</t>
  </si>
  <si>
    <t>STHBKK012409000381</t>
  </si>
  <si>
    <t>STHBKK012409000383</t>
  </si>
  <si>
    <t>นาย รณนิรันด์ มานันชัยอติพร</t>
  </si>
  <si>
    <t>STHBKK012409000384</t>
  </si>
  <si>
    <t>นาย ไทคูณ ไพรบึง</t>
  </si>
  <si>
    <t>STHBKK012409000385</t>
  </si>
  <si>
    <t>STHBKK012409000386</t>
  </si>
  <si>
    <t>STHBKK012409000387</t>
  </si>
  <si>
    <t>STHBKK012409000388</t>
  </si>
  <si>
    <t>STHBKK012409000389</t>
  </si>
  <si>
    <t>STHBKK012409000390</t>
  </si>
  <si>
    <t>STHBKK012409000391</t>
  </si>
  <si>
    <t>STHBKK012409000392</t>
  </si>
  <si>
    <t>STHBKK012409000394</t>
  </si>
  <si>
    <t>STHBKK012409000396</t>
  </si>
  <si>
    <t>STHBKK012409000398</t>
  </si>
  <si>
    <t>นาย ย้อย สุปิงปรัส</t>
  </si>
  <si>
    <t>STHBKK012409000399</t>
  </si>
  <si>
    <t>STHBKK012409000400</t>
  </si>
  <si>
    <t>STHBKK012409000401</t>
  </si>
  <si>
    <t>นาย ณฐพนธ์ ศรีศักดา</t>
  </si>
  <si>
    <t>STHBKK012409000402</t>
  </si>
  <si>
    <t>STHBKK012409000405</t>
  </si>
  <si>
    <t>STHBKK012409000407</t>
  </si>
  <si>
    <t>นาย วินัย   โพธิ์พันธุ์</t>
  </si>
  <si>
    <t>STHBKK012409000408</t>
  </si>
  <si>
    <t>STHBKK012409000409</t>
  </si>
  <si>
    <t>อรุณรุ่ง บุญบุษกร</t>
  </si>
  <si>
    <t>STHBKK012409000410</t>
  </si>
  <si>
    <t>ห้างหุ้นส่วน เครือข่ายปิยธนา ( สำนักงานใหญ่ )</t>
  </si>
  <si>
    <t>STHBKK012409000411</t>
  </si>
  <si>
    <t>Mr. KUE HA</t>
  </si>
  <si>
    <t>STHBKK012409000412</t>
  </si>
  <si>
    <t>STHBKK012409000413</t>
  </si>
  <si>
    <t>STHONLIN2409000128</t>
  </si>
  <si>
    <t>STHONLIN2409000130</t>
  </si>
  <si>
    <t>STHONLIN2409000131</t>
  </si>
  <si>
    <t>นางสาว กาญจนา บุญเกษม</t>
  </si>
  <si>
    <t>STHONLIN2409000133</t>
  </si>
  <si>
    <t>นางสาว วาสนา บุญเกษม</t>
  </si>
  <si>
    <t>STHONLIN2409000135</t>
  </si>
  <si>
    <t>STHONLIN2409000137</t>
  </si>
  <si>
    <t>STHONLIN2409000139</t>
  </si>
  <si>
    <t>STHONLIN2409000142</t>
  </si>
  <si>
    <t>STHONLIN2409000143</t>
  </si>
  <si>
    <t>STHONLIN2409000144</t>
  </si>
  <si>
    <t>STHONLIN2409000146</t>
  </si>
  <si>
    <t>STHONLIN2409000147</t>
  </si>
  <si>
    <t>นิ้ิ้ว-เกษ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</si>
  <si>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</si>
  <si>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12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</si>
  <si>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STHBKK012409000414</t>
  </si>
  <si>
    <t>นาย วินัย ธงชัย</t>
  </si>
  <si>
    <t>STHBKK012409000415</t>
  </si>
  <si>
    <t>BKK-Neng</t>
  </si>
  <si>
    <t>STHBKK012409000416</t>
  </si>
  <si>
    <t>STHBKK012409000417</t>
  </si>
  <si>
    <t>STHBKK012409000418</t>
  </si>
  <si>
    <t>STHBKK012409000419</t>
  </si>
  <si>
    <t>นาย เสกสรร ดุสดี</t>
  </si>
  <si>
    <t>STHBKK012409000420</t>
  </si>
  <si>
    <t>นาง ปนิตา สมาคม</t>
  </si>
  <si>
    <t>STHBKK012409000421</t>
  </si>
  <si>
    <t>STHBKK012409000422</t>
  </si>
  <si>
    <t>นางสาว พรทิพย์  นาสวน</t>
  </si>
  <si>
    <t>STHBKK012409000423</t>
  </si>
  <si>
    <t>STHBKK012409000424</t>
  </si>
  <si>
    <t>STHBKK012409000425</t>
  </si>
  <si>
    <t>STHBKK012409000426</t>
  </si>
  <si>
    <t>STHBKK012409000427</t>
  </si>
  <si>
    <t>STHBKK012409000428</t>
  </si>
  <si>
    <t>STHBKK012409000429</t>
  </si>
  <si>
    <t>STHBKK012409000430</t>
  </si>
  <si>
    <t>STHBKK012409000431</t>
  </si>
  <si>
    <t>STHBKK012409000432</t>
  </si>
  <si>
    <t>นางสาว ชวนพิศ วรรณา</t>
  </si>
  <si>
    <t>STHBKK012409000433</t>
  </si>
  <si>
    <t>STHBKK012409000435</t>
  </si>
  <si>
    <t>นาย ภาณุพงศ์ อุยนา</t>
  </si>
  <si>
    <t>STHONLIN2409000148</t>
  </si>
  <si>
    <t>STHONLIN2409000150</t>
  </si>
  <si>
    <t>STHONLIN2409000151</t>
  </si>
  <si>
    <t>STHONLIN2409000152</t>
  </si>
  <si>
    <t>STHONLIN2409000153</t>
  </si>
  <si>
    <t>STHONLIN2409000158</t>
  </si>
  <si>
    <t>STHONLIN2409000159</t>
  </si>
  <si>
    <t>นางสาว กชกร ทวีอภิรดีตระกูล</t>
  </si>
  <si>
    <t>STHONLIN2409000160</t>
  </si>
  <si>
    <t>นางสาว สมบูรณ์ ทดคุย</t>
  </si>
  <si>
    <t>STHONLIN2409000161</t>
  </si>
  <si>
    <t>นางสาว สุรินทร์ทิพย์ หวังเหนี่ยวกลาง</t>
  </si>
  <si>
    <t>เหน่ง</t>
  </si>
  <si>
    <t>เหน่่ง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</si>
  <si>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</si>
  <si>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</si>
  <si>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13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</si>
  <si>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STHBKK012409000436</t>
  </si>
  <si>
    <t>นางสาว ณัฐภัสสร คำยวน</t>
  </si>
  <si>
    <t>STHBKK012409000437</t>
  </si>
  <si>
    <t>นาย นิรุธ สุขประเสริฐ</t>
  </si>
  <si>
    <t>STHBKK012409000438</t>
  </si>
  <si>
    <t>นาย สำเริง พูลเพิ่ม</t>
  </si>
  <si>
    <t>STHBKK012409000439</t>
  </si>
  <si>
    <t>นาง สมหมาย อ่อนและมัย</t>
  </si>
  <si>
    <t>STHBKK012409000440</t>
  </si>
  <si>
    <t>นางสาว กัลยรัตน์ ฤทธิ์น้อย</t>
  </si>
  <si>
    <t>STHBKK012409000441</t>
  </si>
  <si>
    <t>STHBKK012409000443</t>
  </si>
  <si>
    <t>นางสาว ยุพรัตน์ ปรินสารัมย์</t>
  </si>
  <si>
    <t>STHBKK012409000444</t>
  </si>
  <si>
    <t>STHBKK012409000445</t>
  </si>
  <si>
    <t>นาย ชะอ้อน พรหมศักดิ์</t>
  </si>
  <si>
    <t>STHBKK012409000446</t>
  </si>
  <si>
    <t>STHBKK012409000447</t>
  </si>
  <si>
    <t>นาง กาญจนา  ท้วมสมบูรณ์</t>
  </si>
  <si>
    <t>STHBKK012409000448</t>
  </si>
  <si>
    <t>นางสาว ชรินรัตน์  น้อยคำ</t>
  </si>
  <si>
    <t>STHBKK012409000449</t>
  </si>
  <si>
    <t>นางสาว รักษ์ฐิรดา&amp;#8203; รักเชิด -ยอดเยี่ยม วิเลขวิไล</t>
  </si>
  <si>
    <t>STHBKK012409000450</t>
  </si>
  <si>
    <t>นาย บุญเลิศ รวมวินิจ</t>
  </si>
  <si>
    <t>STHBKK012409000451</t>
  </si>
  <si>
    <t>STHBKK012409000452</t>
  </si>
  <si>
    <t>นาง อัญชรีย์ ต่ายทรัพย์</t>
  </si>
  <si>
    <t>STHBKK012409000453</t>
  </si>
  <si>
    <t>นาง ชนิดา สามารถ</t>
  </si>
  <si>
    <t>STHBKK012409000455</t>
  </si>
  <si>
    <t>นาย ปลิว</t>
  </si>
  <si>
    <t>STHBKK012409000456</t>
  </si>
  <si>
    <t>STHBKK012409000457</t>
  </si>
  <si>
    <t>STHBKK012409000459</t>
  </si>
  <si>
    <t>นาย ธีระศักดิ์ สังฆะภูมิ</t>
  </si>
  <si>
    <t>STHBKK012409000460</t>
  </si>
  <si>
    <t>STHBKK012409000461</t>
  </si>
  <si>
    <t>STHBKK012409000462</t>
  </si>
  <si>
    <t>นางสาว ธัญวลัย ชัยวัชรเศรษฐี</t>
  </si>
  <si>
    <t>STHBKK012409000463</t>
  </si>
  <si>
    <t>นาง ปานรดา อินธิมนต์</t>
  </si>
  <si>
    <t>STHBKK012409000464</t>
  </si>
  <si>
    <t>นางสาว พันธุ์ทิพา แดงดีมาก</t>
  </si>
  <si>
    <t>STHBKK012409000465</t>
  </si>
  <si>
    <t>STHBKK012409000466</t>
  </si>
  <si>
    <t>STHBKK012409000467</t>
  </si>
  <si>
    <t>นาง สิริรักษ์ ผิวอ่อน</t>
  </si>
  <si>
    <t>STHBKK012409000468</t>
  </si>
  <si>
    <t>นาย วิเชียร จันทะคัด</t>
  </si>
  <si>
    <t>STHBKK012409000469</t>
  </si>
  <si>
    <t>STHBKK012409000470</t>
  </si>
  <si>
    <t>Mr. NGUYEN TAN TAI</t>
  </si>
  <si>
    <t xml:space="preserve">STHONLIN2409000164	</t>
  </si>
  <si>
    <t>STHONLIN2409000165</t>
  </si>
  <si>
    <t>นาย สุกฤษฏิ์  แสงเปี่ยม</t>
  </si>
  <si>
    <t>STHONLIN2409000167</t>
  </si>
  <si>
    <t xml:space="preserve">     </t>
  </si>
  <si>
    <t>STHONLIN2409000169</t>
  </si>
  <si>
    <t>นาย ยอดชาย นามราช</t>
  </si>
  <si>
    <t>STHONLIN2409000171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</si>
  <si>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</si>
  <si>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วันที่   14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</si>
  <si>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STHBKK012409000471</t>
  </si>
  <si>
    <t>STHBKK012409000473</t>
  </si>
  <si>
    <t>นางสาว อารีย์ โหมดศรี</t>
  </si>
  <si>
    <t>STHBKK012409000474</t>
  </si>
  <si>
    <t>นาย ภูวกร บวรฉัตรชาตรี</t>
  </si>
  <si>
    <t>STHBKK012409000476</t>
  </si>
  <si>
    <t>STHBKK012409000477</t>
  </si>
  <si>
    <t>นาง ธัญจิรา  โสรกนิษฐ์</t>
  </si>
  <si>
    <t>STHBKK012409000478</t>
  </si>
  <si>
    <t>นางสาว สุภาวดี บุญเพ็ชร</t>
  </si>
  <si>
    <t>STHBKK012409000479</t>
  </si>
  <si>
    <t>STHBKK012409000481</t>
  </si>
  <si>
    <t>นาง รุ่งทิวา เรือศรีจันทร์</t>
  </si>
  <si>
    <t>STHBKK012409000482</t>
  </si>
  <si>
    <t>นาย นิตินาฎ หมิ่นขัด</t>
  </si>
  <si>
    <t>STHBKK012409000483</t>
  </si>
  <si>
    <t>นางสาว อรณิกร บุญเกษม</t>
  </si>
  <si>
    <t>STHBKK012409000485</t>
  </si>
  <si>
    <t>STHBKK012409000486</t>
  </si>
  <si>
    <t>STHBKK012409000488</t>
  </si>
  <si>
    <t>นาย ศักดา ตำนาญ</t>
  </si>
  <si>
    <t>STHBKK012409000489</t>
  </si>
  <si>
    <t>STHBKK012409000490</t>
  </si>
  <si>
    <t>นางสาว สายพิณ   สาธุชาติ</t>
  </si>
  <si>
    <t>STHBKK012409000491</t>
  </si>
  <si>
    <t>STHBKK012409000492</t>
  </si>
  <si>
    <t>STHBKK012409000493</t>
  </si>
  <si>
    <t>STHBKK012409000494</t>
  </si>
  <si>
    <t>พันตรี   เฉลิม อินจำปา</t>
  </si>
  <si>
    <t>STHBKK012409000495</t>
  </si>
  <si>
    <t>STHBKK012409000496</t>
  </si>
  <si>
    <t>STHBKK012409000497</t>
  </si>
  <si>
    <t>นาย เกษตร นากกระแสร์</t>
  </si>
  <si>
    <t>STHBKK012409000499</t>
  </si>
  <si>
    <t>นาง นิภา อินเมฆ</t>
  </si>
  <si>
    <t>STHBKK012409000500</t>
  </si>
  <si>
    <t>นาง สำเนียง   นงค์ทอง</t>
  </si>
  <si>
    <t>STHBKK012409000501</t>
  </si>
  <si>
    <t>นาย อดุลย์ คุณสุข</t>
  </si>
  <si>
    <t>STHBKK012409000502</t>
  </si>
  <si>
    <t>บริษัท สว่างทรัพย์ จำกัด (สำนักงานใหญ่)</t>
  </si>
  <si>
    <t>STHBKK012409000504</t>
  </si>
  <si>
    <t>นาย บรรณวัฒน์ งามวงศ์สถิต</t>
  </si>
  <si>
    <t>STHONLIN2409000172</t>
  </si>
  <si>
    <t>STHONLIN2409000173</t>
  </si>
  <si>
    <t>STHONLIN2409000175</t>
  </si>
  <si>
    <t>STHONLIN2409000177</t>
  </si>
  <si>
    <t>STHONLIN2409000178</t>
  </si>
  <si>
    <t>นาง ลิ้นจี่ ศรีสุขเจริญพร</t>
  </si>
  <si>
    <t>STHONLIN2409000179</t>
  </si>
  <si>
    <t>นาย สหชัย ศรีสุขเจริญพร</t>
  </si>
  <si>
    <t>STHONLIN2409000180</t>
  </si>
  <si>
    <t>STHONLIN2409000184</t>
  </si>
  <si>
    <t>นาย สุวชัช  อมตวงษ์</t>
  </si>
  <si>
    <t>471-495 นิ้ว-กะตอย 495-184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</si>
  <si>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</si>
  <si>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วันที่   15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</si>
  <si>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STHBKK012409000505</t>
  </si>
  <si>
    <t>STHBKK012409000506</t>
  </si>
  <si>
    <t>นาง ทองเพียร พลขันธ์</t>
  </si>
  <si>
    <t>STHBKK012409000507</t>
  </si>
  <si>
    <t>STHBKK012409000508</t>
  </si>
  <si>
    <t>นาย เอกชลิต ธวัชกฤตยา</t>
  </si>
  <si>
    <t>STHBKK012409000509</t>
  </si>
  <si>
    <t>นาย คมสัน นันทสินธ์</t>
  </si>
  <si>
    <t>STHBKK012409000511</t>
  </si>
  <si>
    <t>นางสาว ศรีไพร  เครือพันธ์</t>
  </si>
  <si>
    <t>STHBKK012409000512</t>
  </si>
  <si>
    <t>STHBKK012409000513</t>
  </si>
  <si>
    <t>STHBKK012409000514</t>
  </si>
  <si>
    <t>STHBKK012409000515</t>
  </si>
  <si>
    <t>นางสาว นิรดาวรรณ เอี่ยมสูงเนิน</t>
  </si>
  <si>
    <t>STHBKK012409000516</t>
  </si>
  <si>
    <t>STHBKK012409000517</t>
  </si>
  <si>
    <t>นาย จตุพล จุมพลพงษ์</t>
  </si>
  <si>
    <t>STHBKK012409000518</t>
  </si>
  <si>
    <t>นางสาว นุชจรี เนินแสง</t>
  </si>
  <si>
    <t>STHBKK012409000519</t>
  </si>
  <si>
    <t>STHBKK012409000521</t>
  </si>
  <si>
    <t>นาย อดุลย์    มุลกุณี</t>
  </si>
  <si>
    <t>STHBKK012409000522</t>
  </si>
  <si>
    <t>STHBKK012409000524</t>
  </si>
  <si>
    <t>STHBKK012409000525</t>
  </si>
  <si>
    <t>นางสาว ยศวีร์ โคตรดี</t>
  </si>
  <si>
    <t>STHBKK012409000526</t>
  </si>
  <si>
    <t>STHBKK012409000527</t>
  </si>
  <si>
    <t>STHBKK012409000528</t>
  </si>
  <si>
    <t>นางสาว ธมลกันย์ โกเมศกัลยรัตน์</t>
  </si>
  <si>
    <t>STHBKK012409000529</t>
  </si>
  <si>
    <t>STHBKK012409000530</t>
  </si>
  <si>
    <t>STHBKK012409000531</t>
  </si>
  <si>
    <t>STHBKK012409000532</t>
  </si>
  <si>
    <t>นางสาว กำไร รุ่งกิจกุลภัค</t>
  </si>
  <si>
    <t>STHONLIN2409000187</t>
  </si>
  <si>
    <t>นาง เพชรา พิพัฒน์สันติกุล</t>
  </si>
  <si>
    <t>STHONLIN2409000190</t>
  </si>
  <si>
    <t>STHONLIN2409000191</t>
  </si>
  <si>
    <t>นางสาว วรรณวนัช แก้วดี</t>
  </si>
  <si>
    <t>STHONLIN2409000192</t>
  </si>
  <si>
    <t>STHONLIN2409000194</t>
  </si>
  <si>
    <t>นางสาว กิริยากรณ์  งามสะอาด</t>
  </si>
  <si>
    <t>กะตอย 505-517/เกษ 518-632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</si>
  <si>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</si>
  <si>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16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</si>
  <si>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STHBKK012409000534</t>
  </si>
  <si>
    <t>STHBKK012409000535</t>
  </si>
  <si>
    <t>นาย นเรศ ขำหลง</t>
  </si>
  <si>
    <t>STHBKK012409000536</t>
  </si>
  <si>
    <t>STHBKK012409000538</t>
  </si>
  <si>
    <t>STHBKK012409000539</t>
  </si>
  <si>
    <t>STHBKK012409000540</t>
  </si>
  <si>
    <t>STHBKK012409000541</t>
  </si>
  <si>
    <t>นาย วุฒิชัย คุ้มวงศ์</t>
  </si>
  <si>
    <t>STHBKK012409000542</t>
  </si>
  <si>
    <t>นางสาว นภัทร อินทราพงษ์</t>
  </si>
  <si>
    <t>STHBKK012409000543</t>
  </si>
  <si>
    <t>STHBKK012409000544</t>
  </si>
  <si>
    <t>STHBKK012409000545</t>
  </si>
  <si>
    <t>STHBKK012409000546</t>
  </si>
  <si>
    <t>STHBKK012409000547</t>
  </si>
  <si>
    <t>STHBKK012409000548</t>
  </si>
  <si>
    <t>STHBKK012409000549</t>
  </si>
  <si>
    <t>STHBKK012409000550</t>
  </si>
  <si>
    <t>นาย สุวิทย์  โตทุ้ย</t>
  </si>
  <si>
    <t>STHBKK012409000551</t>
  </si>
  <si>
    <t>นาย ชนะพงศ์ ผาสุขขันธ์</t>
  </si>
  <si>
    <t>STHBKK012409000552</t>
  </si>
  <si>
    <t>STHBKK012409000553</t>
  </si>
  <si>
    <t>STHBKK012409000554</t>
  </si>
  <si>
    <t>STHBKK012409000556</t>
  </si>
  <si>
    <t>นาง อิสรี ลิ้มสกุล</t>
  </si>
  <si>
    <t>STHONLIN2409000201</t>
  </si>
  <si>
    <t>STHONLIN2409000202</t>
  </si>
  <si>
    <t>STHONLIN2409000204</t>
  </si>
  <si>
    <t>นาย สุรพล จันทรานุรักษ์</t>
  </si>
  <si>
    <t>กะตอย-นิ้ว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</si>
  <si>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</si>
  <si>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17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</si>
  <si>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STHBKK012409000557</t>
  </si>
  <si>
    <t>นาย บุญเชิด ปิ่นมณี</t>
  </si>
  <si>
    <t>STHBKK012409000558</t>
  </si>
  <si>
    <t>STHBKK012409000559</t>
  </si>
  <si>
    <t>STHBKK012409000560</t>
  </si>
  <si>
    <t>STHBKK012409000561</t>
  </si>
  <si>
    <t>STHBKK012409000562</t>
  </si>
  <si>
    <t>STHBKK012409000563</t>
  </si>
  <si>
    <t>STHBKK012409000564</t>
  </si>
  <si>
    <t>STHBKK012409000565</t>
  </si>
  <si>
    <t>นาย อลงกร พลเยี่ยม + ภาวิดา คงสภาพ</t>
  </si>
  <si>
    <t>STHBKK012409000566</t>
  </si>
  <si>
    <t>STHBKK012409000567</t>
  </si>
  <si>
    <t>STHBKK012409000568</t>
  </si>
  <si>
    <t>STHBKK012409000569</t>
  </si>
  <si>
    <t>นางสาว นภาไพลิน  กาละวันต์</t>
  </si>
  <si>
    <t>STHBKK012409000570</t>
  </si>
  <si>
    <t>STHBKK012409000571</t>
  </si>
  <si>
    <t>นาง พรหมพร จินดา</t>
  </si>
  <si>
    <t>STHBKK012409000572</t>
  </si>
  <si>
    <t>STHBKK012409000573</t>
  </si>
  <si>
    <t>STHBKK012409000574</t>
  </si>
  <si>
    <t>STHBKK012409000575</t>
  </si>
  <si>
    <t>นางสาว กนกวรรณ โต๊ะดี</t>
  </si>
  <si>
    <t>STHBKK012409000576</t>
  </si>
  <si>
    <t>STHBKK012409000577</t>
  </si>
  <si>
    <t>STHBKK012409000578</t>
  </si>
  <si>
    <t>นาย จักรกฤษ ดัชถุยาวัตร</t>
  </si>
  <si>
    <t>STHBKK012409000579</t>
  </si>
  <si>
    <t>STHBKK012409000580</t>
  </si>
  <si>
    <t>STHBKK012409000581</t>
  </si>
  <si>
    <t>STHBKK012409000582</t>
  </si>
  <si>
    <t>STHONLIN2409000205</t>
  </si>
  <si>
    <t>STHONLIN2409000212</t>
  </si>
  <si>
    <t>STHONLIN2409000213</t>
  </si>
  <si>
    <t>STHONLIN2409000214</t>
  </si>
  <si>
    <t>นางสาว ละมัย ขำสว่าง</t>
  </si>
  <si>
    <t>STHONLIN2409000215</t>
  </si>
  <si>
    <t>STHONLIN2409000222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</si>
  <si>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</si>
  <si>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18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</si>
  <si>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STHBKK012409000583</t>
  </si>
  <si>
    <t>นาง อรวรรณ จันทร์วงศ์</t>
  </si>
  <si>
    <t>STHBKK012409000584</t>
  </si>
  <si>
    <t>นางสาว จีรวรรณ ละว้า</t>
  </si>
  <si>
    <t>STHBKK012409000585</t>
  </si>
  <si>
    <t>นาย สมชาย ปิยวาจานุสรณ์</t>
  </si>
  <si>
    <t>STHBKK012409000586</t>
  </si>
  <si>
    <t>STHBKK012409000587</t>
  </si>
  <si>
    <t>STHBKK012409000588</t>
  </si>
  <si>
    <t>นาย วิเชียร บุตรสอน</t>
  </si>
  <si>
    <t>STHBKK012409000589</t>
  </si>
  <si>
    <t>นางสาว อัมพวัน เรียงสา</t>
  </si>
  <si>
    <t>STHBKK012409000590</t>
  </si>
  <si>
    <t>STHBKK012409000591</t>
  </si>
  <si>
    <t>นางสาว นพรัตน์  ศุจิภานันท์</t>
  </si>
  <si>
    <t>STHBKK012409000593</t>
  </si>
  <si>
    <t>STHBKK012409000594</t>
  </si>
  <si>
    <t>นางสาว อรัญญา   พันธ์ุล้วน</t>
  </si>
  <si>
    <t>STHBKK012409000595</t>
  </si>
  <si>
    <t>นางสาว หนึ่งฤทัย หอมละออ</t>
  </si>
  <si>
    <t>STHBKK012409000596</t>
  </si>
  <si>
    <t>STHBKK012409000597</t>
  </si>
  <si>
    <t>STHBKK012409000598</t>
  </si>
  <si>
    <t>STHBKK012409000599</t>
  </si>
  <si>
    <t>นางสาว ภาวิณี พวงมาลัยทอง</t>
  </si>
  <si>
    <t>STHBKK012409000600</t>
  </si>
  <si>
    <t>STHBKK012409000601</t>
  </si>
  <si>
    <t>STHBKK012409000602</t>
  </si>
  <si>
    <t>STHBKK012409000603</t>
  </si>
  <si>
    <t>STHBKK012409000604</t>
  </si>
  <si>
    <t>STHONLIN2409000223</t>
  </si>
  <si>
    <t>STHONLIN2409000224</t>
  </si>
  <si>
    <t>STHONLIN2409000225</t>
  </si>
  <si>
    <t>STHONLIN2409000229</t>
  </si>
  <si>
    <t>นางสาว จินตนา นกแก้ว</t>
  </si>
  <si>
    <t>เอิง/กะตอย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</si>
  <si>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</si>
  <si>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19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</si>
  <si>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STHBKK012409000605</t>
  </si>
  <si>
    <t>STHBKK012409000606</t>
  </si>
  <si>
    <t>นาง พิรญาณ์  มีใย</t>
  </si>
  <si>
    <t>STHBKK012409000607</t>
  </si>
  <si>
    <t>นาย ชารินทร์ ชมภูวิเศษ</t>
  </si>
  <si>
    <t>STHBKK012409000608</t>
  </si>
  <si>
    <t>STHBKK012409000609</t>
  </si>
  <si>
    <t>นาย ชัยศิริ สุพรรณ</t>
  </si>
  <si>
    <t>STHBKK012409000610</t>
  </si>
  <si>
    <t>นางสาว ดารดี ญาณกวี</t>
  </si>
  <si>
    <t>STHBKK012409000611</t>
  </si>
  <si>
    <t>STHBKK012409000612</t>
  </si>
  <si>
    <t>STHBKK012409000613</t>
  </si>
  <si>
    <t>นางสาว จิรภาทิชา โคดมการภัทรารัช</t>
  </si>
  <si>
    <t>STHBKK012409000615</t>
  </si>
  <si>
    <t>STHBKK012409000616</t>
  </si>
  <si>
    <t>STHBKK012409000617</t>
  </si>
  <si>
    <t>นางสาว วรรณา  แย้มวงษ์</t>
  </si>
  <si>
    <t>STHBKK012409000618</t>
  </si>
  <si>
    <t>STHBKK012409000619</t>
  </si>
  <si>
    <t>วาสนา ดิษปัญญา</t>
  </si>
  <si>
    <t>STHBKK012409000620</t>
  </si>
  <si>
    <t>นางสาว สุพรรณษา มายืนยงค์</t>
  </si>
  <si>
    <t>STHBKK012409000621</t>
  </si>
  <si>
    <t>STHBKK012409000622</t>
  </si>
  <si>
    <t>STHBKK012409000623</t>
  </si>
  <si>
    <t>นาย บุญสม อุดมรักษ์</t>
  </si>
  <si>
    <t>STHBKK012409000624</t>
  </si>
  <si>
    <t>STHBKK012409000625</t>
  </si>
  <si>
    <t>STHBKK012409000626</t>
  </si>
  <si>
    <t>STHBKK012409000627</t>
  </si>
  <si>
    <t>STHBKK012409000628</t>
  </si>
  <si>
    <t>นาง กานต์ดาวศี แสงกุล</t>
  </si>
  <si>
    <t>STHBKK012409000629</t>
  </si>
  <si>
    <t>STHBKK012409000630</t>
  </si>
  <si>
    <t>นาง อรพรรณ จรรยา</t>
  </si>
  <si>
    <t>STHBKK012409000631</t>
  </si>
  <si>
    <t>STHBKK012409000632</t>
  </si>
  <si>
    <t>นาย กันตชาติ หล้าอินถา</t>
  </si>
  <si>
    <t>STHBKK012409000633</t>
  </si>
  <si>
    <t>STHBKK012409000634</t>
  </si>
  <si>
    <t>STHBKK012409000636</t>
  </si>
  <si>
    <t>STHBKK012409000637</t>
  </si>
  <si>
    <t>นาง ฐิตา สุวรรณกรณ์</t>
  </si>
  <si>
    <t>STHBKK012409000638</t>
  </si>
  <si>
    <t>นาย นรชัย ไชยสังข์</t>
  </si>
  <si>
    <t>STHBKK012409000640</t>
  </si>
  <si>
    <t>นาย เพิ่มสิน นพรัตน์วราภรณ์</t>
  </si>
  <si>
    <t>STHBKK012409000641</t>
  </si>
  <si>
    <t>นาย ธนาณฐ ศรีวัฒนะ</t>
  </si>
  <si>
    <t>STHBKK012409000642</t>
  </si>
  <si>
    <t>นาย ธงชัย โชติผุย</t>
  </si>
  <si>
    <t>STHBKK012409000643</t>
  </si>
  <si>
    <t>STHONLIN2409000250</t>
  </si>
  <si>
    <t>นางสาว น้ำทิพย์  อัจฉรานิวัฒน์</t>
  </si>
  <si>
    <t>STHONLIN2409000252</t>
  </si>
  <si>
    <t>STHONLIN2409000253</t>
  </si>
  <si>
    <t>STHONLIN2409000255</t>
  </si>
  <si>
    <t>นาง สมหมาย จิรรัตน์พิทักษ์</t>
  </si>
  <si>
    <t>STHONLIN2409000259</t>
  </si>
  <si>
    <t>ห้างหุ้นส่วน ต้าฟู่ ร่ำรวย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</si>
  <si>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</si>
  <si>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20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</si>
  <si>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STHBKK012409000644</t>
  </si>
  <si>
    <t>นาย วินัย แสนประสิทธิ์</t>
  </si>
  <si>
    <t>STHBKK012409000645</t>
  </si>
  <si>
    <t>STHBKK012409000646</t>
  </si>
  <si>
    <t>STHBKK012409000648</t>
  </si>
  <si>
    <t>STHBKK012409000650</t>
  </si>
  <si>
    <t>นาง ศรีประภา  มณีวงษ์</t>
  </si>
  <si>
    <t>STHBKK012409000651</t>
  </si>
  <si>
    <t>STHBKK012409000652</t>
  </si>
  <si>
    <t>STHBKK012409000654</t>
  </si>
  <si>
    <t>นาย สหชัย ม่วงกล่ำ</t>
  </si>
  <si>
    <t>STHBKK012409000655</t>
  </si>
  <si>
    <t>STHBKK012409000656</t>
  </si>
  <si>
    <t>STHBKK012409000657</t>
  </si>
  <si>
    <t>STHBKK012409000658</t>
  </si>
  <si>
    <t>นาง กัญจนา ศุภศิษฏ์</t>
  </si>
  <si>
    <t>STHBKK012409000660</t>
  </si>
  <si>
    <t>STHBKK012409000661</t>
  </si>
  <si>
    <t>STHBKK012409000662</t>
  </si>
  <si>
    <t>STHBKK012409000664</t>
  </si>
  <si>
    <t>นางสาว เพ็ญนภา ครองตาดโตน</t>
  </si>
  <si>
    <t>STHBKK012409000665</t>
  </si>
  <si>
    <t>นาง ศศิธร เม่นตะเภา</t>
  </si>
  <si>
    <t>STHBKK012409000666</t>
  </si>
  <si>
    <t>STHBKK012409000668</t>
  </si>
  <si>
    <t>STHBKK012409000669</t>
  </si>
  <si>
    <t>STHONLIN2409000266</t>
  </si>
  <si>
    <t>STHONLIN2409000268</t>
  </si>
  <si>
    <t>นาย นิพจน์ กรัตนุถะ</t>
  </si>
  <si>
    <t>STHONLIN2409000269</t>
  </si>
  <si>
    <t>บริษัท ฟองใหญ่ จำกัด (สำนักงานใหญ่)</t>
  </si>
  <si>
    <t>STHONLIN2409000270</t>
  </si>
  <si>
    <t>STHONLIN2409000271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</si>
  <si>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</si>
  <si>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21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</si>
  <si>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STHBKK012409000671</t>
  </si>
  <si>
    <t>นาง จรรยา ขาวใส</t>
  </si>
  <si>
    <t>STHBKK012409000672</t>
  </si>
  <si>
    <t>นาง จิณห์จุฑา  ทับศรี</t>
  </si>
  <si>
    <t>STHBKK012409000673</t>
  </si>
  <si>
    <t>นาย อนุสรณ์ ตั้งสังวรณ์</t>
  </si>
  <si>
    <t>STHBKK012409000674</t>
  </si>
  <si>
    <t>นาย อดิศักดิ์ พิสิฐบุญนันท์</t>
  </si>
  <si>
    <t>STHBKK012409000675</t>
  </si>
  <si>
    <t>STHBKK012409000676</t>
  </si>
  <si>
    <t>นาย ธนภณ ทวียศหิรัญ</t>
  </si>
  <si>
    <t>STHBKK012409000677</t>
  </si>
  <si>
    <t>STHBKK012409000678</t>
  </si>
  <si>
    <t>STHBKK012409000679</t>
  </si>
  <si>
    <t>STHBKK012409000680</t>
  </si>
  <si>
    <t>STHBKK012409000681</t>
  </si>
  <si>
    <t>STHBKK012409000682</t>
  </si>
  <si>
    <t>STHBKK012409000683</t>
  </si>
  <si>
    <t>STHBKK012409000685</t>
  </si>
  <si>
    <t>นาง รังสิยา กลึงกลางดอน</t>
  </si>
  <si>
    <t>STHBKK012409000686</t>
  </si>
  <si>
    <t>STHBKK012409000687</t>
  </si>
  <si>
    <t>STHBKK012409000688</t>
  </si>
  <si>
    <t>นาย พิษณุ ขุนสนั่น</t>
  </si>
  <si>
    <t>STHBKK012409000689</t>
  </si>
  <si>
    <t>STHBKK012409000690</t>
  </si>
  <si>
    <t>STHBKK012409000691</t>
  </si>
  <si>
    <t>STHBKK012409000692</t>
  </si>
  <si>
    <t>STHBKK012409000693</t>
  </si>
  <si>
    <t>STHONLIN2409000272</t>
  </si>
  <si>
    <t>STHONLIN2409000273</t>
  </si>
  <si>
    <t>STHONLIN2409000275</t>
  </si>
  <si>
    <t>STHONLIN2409000276</t>
  </si>
  <si>
    <t>นางสาว นิภาภรณ์  ปะตังเวสา</t>
  </si>
  <si>
    <t>STHONLIN2409000277</t>
  </si>
  <si>
    <t>นาย สมยศ อภิรัชนากุล</t>
  </si>
  <si>
    <t>STHONLIN2409000280</t>
  </si>
  <si>
    <t>STHONLIN2409000281</t>
  </si>
  <si>
    <t>STHONLIN2409000282</t>
  </si>
  <si>
    <t>STHONLIN2409000283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</si>
  <si>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</si>
  <si>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22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</si>
  <si>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STHBKK012409000694</t>
  </si>
  <si>
    <t>STHBKK012409000695</t>
  </si>
  <si>
    <t>นาย เธียรวิชญ์ สิรินรภักดีกุล</t>
  </si>
  <si>
    <t>STHBKK012409000696</t>
  </si>
  <si>
    <t>STHBKK012409000699</t>
  </si>
  <si>
    <t>STHBKK012409000701</t>
  </si>
  <si>
    <t>STHBKK012409000703</t>
  </si>
  <si>
    <t>STHBKK012409000704</t>
  </si>
  <si>
    <t>STHBKK012409000705</t>
  </si>
  <si>
    <t>STHBKK012409000706</t>
  </si>
  <si>
    <t>STHBKK012409000707</t>
  </si>
  <si>
    <t>นางสาว กาญจนา  จองเกียรติ์</t>
  </si>
  <si>
    <t>STHBKK012409000708</t>
  </si>
  <si>
    <t>STHBKK012409000710</t>
  </si>
  <si>
    <t>STHBKK012409000711</t>
  </si>
  <si>
    <t>นาย สมศรี สีพลนอก</t>
  </si>
  <si>
    <t>STHBKK012409000712</t>
  </si>
  <si>
    <t>นางสาว วันเพ็ญ​  เขียวไหล</t>
  </si>
  <si>
    <t>STHBKK012409000713</t>
  </si>
  <si>
    <t>นาย คำรณ ศรีนวล</t>
  </si>
  <si>
    <t>STHBKK012409000714</t>
  </si>
  <si>
    <t>STHBKK012409000715</t>
  </si>
  <si>
    <t>นางสาว ละอองดาว  กองแก้ว</t>
  </si>
  <si>
    <t>STHBKK012409000716</t>
  </si>
  <si>
    <t>นางสาว ชวัลรัตน์ ปัสสาพันธุ์</t>
  </si>
  <si>
    <t>STHBKK012409000718</t>
  </si>
  <si>
    <t>STHBKK012409000720</t>
  </si>
  <si>
    <t>STHBKK012409000721</t>
  </si>
  <si>
    <t>STHBKK012409000722</t>
  </si>
  <si>
    <t>นาย ปัญญา สุทธิประภา</t>
  </si>
  <si>
    <t>STHBKK012409000723</t>
  </si>
  <si>
    <t>นาง รัถยา  รัตนทิพย์</t>
  </si>
  <si>
    <t>STHBKK012409000724</t>
  </si>
  <si>
    <t>STHBKK012409000726</t>
  </si>
  <si>
    <t>STHBKK012409000727</t>
  </si>
  <si>
    <t>นาง ณัฐสุรางศ์ วรรณนิยม</t>
  </si>
  <si>
    <t>STHONLIN2409000285</t>
  </si>
  <si>
    <t xml:space="preserve">กะตอย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</si>
  <si>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</si>
  <si>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23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</si>
  <si>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STHBKK012409000728</t>
  </si>
  <si>
    <t>STHBKK012409000730</t>
  </si>
  <si>
    <t>นาง ธันยพร  ไตรสูงเนิน</t>
  </si>
  <si>
    <t>STHBKK012409000731</t>
  </si>
  <si>
    <t>STHBKK012409000732</t>
  </si>
  <si>
    <t>นางสาว วรานุช  พูลเลิศ</t>
  </si>
  <si>
    <t>STHBKK012409000733</t>
  </si>
  <si>
    <t>STHBKK012409000735</t>
  </si>
  <si>
    <t>นาย ไพฑูล  จันทร์เชื้อ</t>
  </si>
  <si>
    <t>STHBKK012409000737</t>
  </si>
  <si>
    <t>STHBKK012409000738</t>
  </si>
  <si>
    <t>นางสาว วงเดือน บุญพารา</t>
  </si>
  <si>
    <t>STHBKK012409000739</t>
  </si>
  <si>
    <t>นาง พร บัวรุ่ง</t>
  </si>
  <si>
    <t>STHBKK012409000740</t>
  </si>
  <si>
    <t>STHBKK012409000741</t>
  </si>
  <si>
    <t>STHBKK012409000743</t>
  </si>
  <si>
    <t>STHBKK012409000744</t>
  </si>
  <si>
    <t>นาง สิริรัตน์ อินทร์ศักดิ์</t>
  </si>
  <si>
    <t>STHBKK012409000745</t>
  </si>
  <si>
    <t>STHBKK012409000746</t>
  </si>
  <si>
    <t>STHBKK012409000747</t>
  </si>
  <si>
    <t>STHBKK012409000748</t>
  </si>
  <si>
    <t>STHBKK012409000749</t>
  </si>
  <si>
    <t>นางสาว สุดาวรรณ์  จันทร์แดง</t>
  </si>
  <si>
    <t>STHBKK012409000750</t>
  </si>
  <si>
    <t>STHBKK012409000751</t>
  </si>
  <si>
    <t>นาย นำพล  ธาตุสร้อย</t>
  </si>
  <si>
    <t>STHBKK012409000752</t>
  </si>
  <si>
    <t>นาง ทัศนีย์ พูลพงษ์</t>
  </si>
  <si>
    <t>STHBKK012409000753</t>
  </si>
  <si>
    <t>นาย สุภนัย ศิริพรม</t>
  </si>
  <si>
    <t>STHBKK012409000754</t>
  </si>
  <si>
    <t>STHBKK012409000755</t>
  </si>
  <si>
    <t>STHBKK012409000756</t>
  </si>
  <si>
    <t>STHBKK012409000757</t>
  </si>
  <si>
    <t>STHBKK012409000758</t>
  </si>
  <si>
    <t>นาง ชัยศิริ ปราชญานุกุล</t>
  </si>
  <si>
    <t>STHBKK012409000759</t>
  </si>
  <si>
    <t>STHBKK012409000760</t>
  </si>
  <si>
    <t>นาง นิตยา ศรีวรมย์</t>
  </si>
  <si>
    <t>STHBKK012409000761</t>
  </si>
  <si>
    <t>STHONLIN2409000295</t>
  </si>
  <si>
    <t>STHONLIN2409000296</t>
  </si>
  <si>
    <t>นาย ไพฑูรย์ โนนพลกรัง</t>
  </si>
  <si>
    <r>
      <rPr>
        <rFont val="Arial"/>
        <b/>
        <color rgb="FF0000FF"/>
        <sz val="18.0"/>
      </rPr>
      <t xml:space="preserve">กะตอย/นิ้ว </t>
    </r>
    <r>
      <rPr>
        <rFont val="Arial"/>
        <b/>
        <color rgb="FF0000FF"/>
        <sz val="15.0"/>
      </rPr>
      <t xml:space="preserve">749-296 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</si>
  <si>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</si>
  <si>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24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</si>
  <si>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STHBKK012409000762</t>
  </si>
  <si>
    <t>STHBKK012409000764</t>
  </si>
  <si>
    <t>นาง รัตนกร ไม้แดง</t>
  </si>
  <si>
    <t>STHBKK012409000765</t>
  </si>
  <si>
    <t>นาย ณัฐพล ไม้แดง</t>
  </si>
  <si>
    <t>STHBKK012409000766</t>
  </si>
  <si>
    <t>นาย จตุรเทพ ไม้แดง</t>
  </si>
  <si>
    <t>STHBKK012409000767</t>
  </si>
  <si>
    <t>STHBKK012409000768</t>
  </si>
  <si>
    <t>STHBKK012409000769</t>
  </si>
  <si>
    <t>STHBKK012409000771</t>
  </si>
  <si>
    <t>STHBKK012409000772</t>
  </si>
  <si>
    <t>STHBKK012409000773</t>
  </si>
  <si>
    <t>นาย อพิรุณ  คชสิทธิ์</t>
  </si>
  <si>
    <t>STHBKK012409000774</t>
  </si>
  <si>
    <t>มาลี เวียงบาล</t>
  </si>
  <si>
    <t>STHBKK012409000775</t>
  </si>
  <si>
    <t>STHBKK012409000776</t>
  </si>
  <si>
    <t>STHBKK012409000777</t>
  </si>
  <si>
    <t>STHBKK012409000779</t>
  </si>
  <si>
    <t>นาย ภัทรพล ชัยมโนภิรมย์</t>
  </si>
  <si>
    <t>STHBKK012409000780</t>
  </si>
  <si>
    <t>STHBKK012409000781</t>
  </si>
  <si>
    <t>STHBKK012409000782</t>
  </si>
  <si>
    <t>STHBKK012409000783</t>
  </si>
  <si>
    <t>STHBKK012409000784</t>
  </si>
  <si>
    <t>STHBKK012409000785</t>
  </si>
  <si>
    <t>นาย อุทัย ยีรัมย์</t>
  </si>
  <si>
    <t>STHBKK012409000788</t>
  </si>
  <si>
    <t>STHBKK012409000789</t>
  </si>
  <si>
    <t>STHBKK012409000790</t>
  </si>
  <si>
    <t>STHBKK012409000791</t>
  </si>
  <si>
    <t>STHBKK012409000795</t>
  </si>
  <si>
    <t>STHBKK012409000797</t>
  </si>
  <si>
    <t>STHBKK012409000799</t>
  </si>
  <si>
    <t>STHBKK012409000800</t>
  </si>
  <si>
    <t>STHONLIN2409000307</t>
  </si>
  <si>
    <t>STHONLIN2409000310</t>
  </si>
  <si>
    <t>นาย ไชยพงศ์ รุ่งอำพินธ์</t>
  </si>
  <si>
    <t>STHONLIN2409000311</t>
  </si>
  <si>
    <t>STHONLIN2409000314</t>
  </si>
  <si>
    <t>STHONLIN2409000315</t>
  </si>
  <si>
    <t>นาย วุฒิชัย เชาว์ดี</t>
  </si>
  <si>
    <r>
      <rPr>
        <rFont val="Arial"/>
        <b/>
        <color rgb="FF0000FF"/>
        <sz val="18.0"/>
      </rPr>
      <t xml:space="preserve">กะตอย/นิ้ว </t>
    </r>
    <r>
      <rPr>
        <rFont val="Arial"/>
        <b/>
        <color rgb="FF0000FF"/>
        <sz val="15.0"/>
      </rPr>
      <t>762-782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</si>
  <si>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</si>
  <si>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25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</si>
  <si>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STHBKK012409000801</t>
  </si>
  <si>
    <t>STHBKK012409000802</t>
  </si>
  <si>
    <t>นางสาว สถาพร บุญราช</t>
  </si>
  <si>
    <t>STHBKK012409000803</t>
  </si>
  <si>
    <t>นางสาว ทัศนีย์ พลบุตร</t>
  </si>
  <si>
    <t>STHBKK012409000804</t>
  </si>
  <si>
    <t>STHBKK012409000805</t>
  </si>
  <si>
    <t>STHBKK012409000807</t>
  </si>
  <si>
    <t>นาง สุไพรรัตน์ ใยโฉม</t>
  </si>
  <si>
    <t>STHBKK012409000808</t>
  </si>
  <si>
    <t>Ms. TAI THI XUAN HUE</t>
  </si>
  <si>
    <t>STHBKK012409000809</t>
  </si>
  <si>
    <t>STHBKK012409000810</t>
  </si>
  <si>
    <t>นาย วิเชษฐ สกุลหอม</t>
  </si>
  <si>
    <t>STHBKK012409000811</t>
  </si>
  <si>
    <t>STHBKK012409000812</t>
  </si>
  <si>
    <t>STHBKK012409000813</t>
  </si>
  <si>
    <t>STHBKK012409000814</t>
  </si>
  <si>
    <t>นางสาว มาเรียม ยิ้มสาระ</t>
  </si>
  <si>
    <t>STHBKK012409000815</t>
  </si>
  <si>
    <t>นางสาว ฐิติรัตน์ พัชรวรพันธุ์</t>
  </si>
  <si>
    <t>STHBKK012409000816</t>
  </si>
  <si>
    <t>STHBKK012409000817</t>
  </si>
  <si>
    <t>STHBKK012409000818</t>
  </si>
  <si>
    <t>STHBKK012409000820</t>
  </si>
  <si>
    <t>นางสาว กัญจนา ฉาสันเทียะ</t>
  </si>
  <si>
    <t>STHBKK012409000821</t>
  </si>
  <si>
    <t>STHBKK012409000822</t>
  </si>
  <si>
    <t>STHBKK012409000823</t>
  </si>
  <si>
    <t>STHBKK012409000824</t>
  </si>
  <si>
    <t>STHBKK012409000825</t>
  </si>
  <si>
    <t>STHBKK012409000826</t>
  </si>
  <si>
    <t>นาย ยงยุทธ ครุธจร</t>
  </si>
  <si>
    <t>STHBKK012409000828</t>
  </si>
  <si>
    <t>นาง วรวีร์ สุขประเสริฐ</t>
  </si>
  <si>
    <t>STHBKK012409000830</t>
  </si>
  <si>
    <t>นาง ภัคภร ทองประสม</t>
  </si>
  <si>
    <t>STHONLIN2409000319</t>
  </si>
  <si>
    <t>STHONLIN2409000320</t>
  </si>
  <si>
    <t>STHONLIN2409000322</t>
  </si>
  <si>
    <t>STHONLIN2409000324</t>
  </si>
  <si>
    <t>STHONLIN2409000326</t>
  </si>
  <si>
    <t>STHONLIN2409000327</t>
  </si>
  <si>
    <t>เอิง801-818 ตอย819-327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</si>
  <si>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</si>
  <si>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</si>
  <si>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26 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</si>
  <si>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STHBKK012409000833</t>
  </si>
  <si>
    <t>นางสาว สุจิตตา วัดพ่วง</t>
  </si>
  <si>
    <t>STHBKK012409000834</t>
  </si>
  <si>
    <t>นาย สงบ จิตบุญ</t>
  </si>
  <si>
    <t>STHBKK012409000835</t>
  </si>
  <si>
    <t>นาง นางน้อย สุขสนิท</t>
  </si>
  <si>
    <t>STHBKK012409000836</t>
  </si>
  <si>
    <t>STHBKK012409000837</t>
  </si>
  <si>
    <t>STHBKK012409000838</t>
  </si>
  <si>
    <t>นาย พรพิชิต กลิ่นฟุ้ง</t>
  </si>
  <si>
    <t>STHBKK012409000839</t>
  </si>
  <si>
    <t>นาย มลฑล โพธิ์รักษ์</t>
  </si>
  <si>
    <t>STHBKK012409000840</t>
  </si>
  <si>
    <t>นางสาว ขวัญจิรา ภูครองหิน</t>
  </si>
  <si>
    <t>STHBKK012409000841</t>
  </si>
  <si>
    <t>STHBKK012409000842</t>
  </si>
  <si>
    <t>STHBKK012409000843</t>
  </si>
  <si>
    <t>นาย สุทธิพงษ์  เกตุทัสสา</t>
  </si>
  <si>
    <t>STHBKK012409000844</t>
  </si>
  <si>
    <t>STHBKK012409000845</t>
  </si>
  <si>
    <t>นางสาว กุลทรัพย์  จันทะโมโส</t>
  </si>
  <si>
    <t>STHBKK012409000846</t>
  </si>
  <si>
    <t>นาย อำพล ทรายทอง</t>
  </si>
  <si>
    <t>STHBKK012409000847</t>
  </si>
  <si>
    <t>นาย วัลลภ  วัดพ่วง</t>
  </si>
  <si>
    <t>STHBKK012409000850</t>
  </si>
  <si>
    <t>นาย  เสน่ห์    วิเศษสิงห์</t>
  </si>
  <si>
    <t>STHBKK012409000851</t>
  </si>
  <si>
    <t>นาย ขจรศักดิ์    ชูพลาย</t>
  </si>
  <si>
    <t>STHBKK012409000852</t>
  </si>
  <si>
    <t>นาย สอน โพธิ์ศรีทอง</t>
  </si>
  <si>
    <t>STHBKK012409000853</t>
  </si>
  <si>
    <t>STHBKK012409000854</t>
  </si>
  <si>
    <t>นางสาว ปิ่นชฏา โชคพิรุณทอง</t>
  </si>
  <si>
    <t>STHBKK012409000855</t>
  </si>
  <si>
    <t>นาย อุรุพงษ์ เทพสถิตย์ศิลป์</t>
  </si>
  <si>
    <t>STHBKK012409000856</t>
  </si>
  <si>
    <t>STHBKK012409000857</t>
  </si>
  <si>
    <t>STHBKK012409000859</t>
  </si>
  <si>
    <t>นาง อัจจิมา บุญเกิด</t>
  </si>
  <si>
    <t>STHBKK012409000860</t>
  </si>
  <si>
    <t>STHBKK012409000861</t>
  </si>
  <si>
    <t>นาง สุมาลี ขุนศิริ</t>
  </si>
  <si>
    <t>STHBKK012409000862</t>
  </si>
  <si>
    <t>STHBKK012409000863</t>
  </si>
  <si>
    <t>นาย ไพศาล ทรัพย์เจริญ</t>
  </si>
  <si>
    <t>STHBKK012409000864</t>
  </si>
  <si>
    <t>STHONLIN2409000328</t>
  </si>
  <si>
    <t>STHONLIN2409000329</t>
  </si>
  <si>
    <t>STHONLIN2409000332</t>
  </si>
  <si>
    <t>STHONLIN2409000333</t>
  </si>
  <si>
    <t>STHONLIN2409000336</t>
  </si>
  <si>
    <t>STHONLIN2409000337</t>
  </si>
  <si>
    <t>STHONLIN2409000339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</si>
  <si>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</si>
  <si>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27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</si>
  <si>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STHBKK012409000865</t>
  </si>
  <si>
    <t>นาย จิรสิน เพิ่มพูล</t>
  </si>
  <si>
    <t>STHBKK012409000866</t>
  </si>
  <si>
    <t>คัชรินทร์ ผาอินทร์</t>
  </si>
  <si>
    <t>STHBKK012409000867</t>
  </si>
  <si>
    <t>STHBKK012409000868</t>
  </si>
  <si>
    <t>นางสาว ภัณฑิรา โพธิ์ทัย</t>
  </si>
  <si>
    <t>STHBKK012409000869</t>
  </si>
  <si>
    <t>นาย ณัฐวุฒิ  สิทธิสุนทร</t>
  </si>
  <si>
    <t>STHBKK012409000870</t>
  </si>
  <si>
    <t>STHBKK012409000871</t>
  </si>
  <si>
    <t>STHBKK012409000873</t>
  </si>
  <si>
    <t>นาย โกศล ดำสอาด</t>
  </si>
  <si>
    <t>STHBKK012409000874</t>
  </si>
  <si>
    <t>นาย สุนัน  ชำนาญ</t>
  </si>
  <si>
    <t>STHBKK012409000875</t>
  </si>
  <si>
    <t>STHBKK012409000876</t>
  </si>
  <si>
    <t>STHBKK012409000877</t>
  </si>
  <si>
    <t>นาย พิษณุ สุขสำราญ</t>
  </si>
  <si>
    <t>STHBKK012409000878</t>
  </si>
  <si>
    <t>นาง สำเนียง คำบุญมา</t>
  </si>
  <si>
    <t>STHBKK012409000879</t>
  </si>
  <si>
    <t>STHBKK012409000880</t>
  </si>
  <si>
    <t>STHBKK012409000881</t>
  </si>
  <si>
    <t>นาง รัตนา  วงศ์ลีลากรณ์</t>
  </si>
  <si>
    <t>STHBKK012409000882</t>
  </si>
  <si>
    <t>STHBKK012409000883</t>
  </si>
  <si>
    <t>STHBKK012409000884</t>
  </si>
  <si>
    <t>STHBKK012409000885</t>
  </si>
  <si>
    <t>STHBKK012409000886</t>
  </si>
  <si>
    <t>STHBKK012409000887</t>
  </si>
  <si>
    <t>STHBKK012409000888</t>
  </si>
  <si>
    <t>STHBKK012409000889</t>
  </si>
  <si>
    <t>STHBKK012409000890</t>
  </si>
  <si>
    <t>นาย สมนึก สร้อยฟ้า</t>
  </si>
  <si>
    <t>STHBKK012409000891</t>
  </si>
  <si>
    <t>นาง บุญนาค มีทะโจล</t>
  </si>
  <si>
    <t>STHBKK012409000892</t>
  </si>
  <si>
    <t>นางสาว สมพร สุพงศ์พาณิช</t>
  </si>
  <si>
    <t>STHBKK012409000893</t>
  </si>
  <si>
    <t>STHBKK012409000894</t>
  </si>
  <si>
    <t>STHBKK012409000895</t>
  </si>
  <si>
    <t>STHBKK012409000896</t>
  </si>
  <si>
    <t>STHBKK012409000897</t>
  </si>
  <si>
    <t>นาย วีระ ชูศิลป์</t>
  </si>
  <si>
    <t>STHONLIN2409000343</t>
  </si>
  <si>
    <t>STHONLIN2409000348</t>
  </si>
  <si>
    <t>STHONLIN2409000350</t>
  </si>
  <si>
    <t>STHONLIN2409000355</t>
  </si>
  <si>
    <t>นาย ชำนาญ ทารินทร์</t>
  </si>
  <si>
    <t>STHONLIN2409000357</t>
  </si>
  <si>
    <t>กะตอย/เอิง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</si>
  <si>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</si>
  <si>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28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</si>
  <si>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STHBKK012409000898</t>
  </si>
  <si>
    <t>นาย ธวัชชัย ทองเย็น</t>
  </si>
  <si>
    <t>STHBKK012409000899</t>
  </si>
  <si>
    <t>STHBKK012409000900</t>
  </si>
  <si>
    <t>STHBKK012409000901</t>
  </si>
  <si>
    <t>STHBKK012409000902</t>
  </si>
  <si>
    <t>STHBKK012409000903</t>
  </si>
  <si>
    <t>STHBKK012409000904</t>
  </si>
  <si>
    <t>STHBKK012409000906</t>
  </si>
  <si>
    <t>STHBKK012409000907</t>
  </si>
  <si>
    <t>STHBKK012409000908</t>
  </si>
  <si>
    <t>STHBKK012409000909</t>
  </si>
  <si>
    <t>STHBKK012409000910</t>
  </si>
  <si>
    <t>STHBKK012409000911</t>
  </si>
  <si>
    <t>STHBKK012409000912</t>
  </si>
  <si>
    <t>STHBKK012409000913</t>
  </si>
  <si>
    <t>STHBKK012409000914</t>
  </si>
  <si>
    <t>STHBKK012409000916</t>
  </si>
  <si>
    <t>STHBKK012409000917</t>
  </si>
  <si>
    <t>นาย เลิศ กันนิล</t>
  </si>
  <si>
    <t>STHBKK012409000918</t>
  </si>
  <si>
    <t>STHBKK012409000920</t>
  </si>
  <si>
    <t>นาย ฤทธิกร  แก้วมะเริง</t>
  </si>
  <si>
    <t>STHBKK012409000921</t>
  </si>
  <si>
    <t>STHBKK012409000922</t>
  </si>
  <si>
    <t>STHBKK012409000924</t>
  </si>
  <si>
    <t>นาง จันดี พิมพ์สระเกตุ</t>
  </si>
  <si>
    <t>STHBKK012409000925</t>
  </si>
  <si>
    <t>STHBKK012409000926</t>
  </si>
  <si>
    <t>STHBKK012409000927</t>
  </si>
  <si>
    <t>STHBKK012409000928</t>
  </si>
  <si>
    <t>STHBKK012409000929</t>
  </si>
  <si>
    <t>STHBKK012409000932</t>
  </si>
  <si>
    <t>STHBKK012409000933</t>
  </si>
  <si>
    <t>นาย กิตติพันธ์ สีสุกสาม</t>
  </si>
  <si>
    <t>STHBKK012409000934</t>
  </si>
  <si>
    <t>นาย เล็กเพ็ชร  ศรีทอง</t>
  </si>
  <si>
    <t>STHBKK012409000935</t>
  </si>
  <si>
    <t>นาย ชยกร ปานเกรียว</t>
  </si>
  <si>
    <t>STHBKK012409000936</t>
  </si>
  <si>
    <t>นางสาว ดวงตา เซี่ยงฝุง</t>
  </si>
  <si>
    <t>STHBKK012409000937</t>
  </si>
  <si>
    <t>STHBKK012409000938</t>
  </si>
  <si>
    <t>STHBKK012409000939</t>
  </si>
  <si>
    <t>STHBKK012409000940</t>
  </si>
  <si>
    <t>นางสาว หทัยทิพย์ ผลสมบูรณ์</t>
  </si>
  <si>
    <t>STHBKK012409000941</t>
  </si>
  <si>
    <t>STHBKK012409000942</t>
  </si>
  <si>
    <t>STHBKK012409000943</t>
  </si>
  <si>
    <t>STHBKK012409000944</t>
  </si>
  <si>
    <t>STHBKK012409000945</t>
  </si>
  <si>
    <t>STHBKK012409000946</t>
  </si>
  <si>
    <t>STHBKK012409000947</t>
  </si>
  <si>
    <t>STHBKK012409000948</t>
  </si>
  <si>
    <t>STHBKK012409000949</t>
  </si>
  <si>
    <t>STHBKK012409000950</t>
  </si>
  <si>
    <t>STHONLIN2409000364</t>
  </si>
  <si>
    <t>STHONLIN2409000365</t>
  </si>
  <si>
    <t>STHONLIN2409000366</t>
  </si>
  <si>
    <t>STHONLIN2409000368</t>
  </si>
  <si>
    <t>STHONLIN2409000373</t>
  </si>
  <si>
    <t>STHONLIN2409000374</t>
  </si>
  <si>
    <t>STHONLIN2409000377</t>
  </si>
  <si>
    <t>นาย สมศักดิ์  แสงรัตนเจริญ</t>
  </si>
  <si>
    <t>STHONLIN2409000378</t>
  </si>
  <si>
    <t>STHONLIN2409000379</t>
  </si>
  <si>
    <t>STHONLIN2409000380</t>
  </si>
  <si>
    <t>STHONLIN2409000381</t>
  </si>
  <si>
    <t>STHONLIN2409000386</t>
  </si>
  <si>
    <t>STHONLIN2409000387</t>
  </si>
  <si>
    <t>นาย เสฎฐวุฒิ พนาอภิชน</t>
  </si>
  <si>
    <t>STHONLIN2409000388</t>
  </si>
  <si>
    <t>STHONLIN2409000390</t>
  </si>
  <si>
    <t>-----</t>
  </si>
  <si>
    <t>เอิง898-932 กะตอย933-390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</si>
  <si>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</si>
  <si>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29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</si>
  <si>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STHBKK012409000951</t>
  </si>
  <si>
    <t>STHBKK012409000952</t>
  </si>
  <si>
    <t>STHBKK012409000954</t>
  </si>
  <si>
    <t>STHBKK012409000955</t>
  </si>
  <si>
    <t>นาง วันเพ็ญ  โขมพัด</t>
  </si>
  <si>
    <t>STHBKK012409000956</t>
  </si>
  <si>
    <t>STHBKK012409000957</t>
  </si>
  <si>
    <t>STHBKK012409000958</t>
  </si>
  <si>
    <t>STHBKK012409000959</t>
  </si>
  <si>
    <t>STHBKK012409000960</t>
  </si>
  <si>
    <t>STHBKK012409000961</t>
  </si>
  <si>
    <t>STHBKK012409000962</t>
  </si>
  <si>
    <t>STHBKK012409000963</t>
  </si>
  <si>
    <t>นาย สุเมธ จันทร์งาม</t>
  </si>
  <si>
    <t>STHBKK012409000964</t>
  </si>
  <si>
    <t>STHBKK012409000965</t>
  </si>
  <si>
    <t>นางสาว กุลนาถ ไตรทัตธนากร</t>
  </si>
  <si>
    <t>STHBKK012409000966</t>
  </si>
  <si>
    <t>นาง โสภา ศรีมันตะ</t>
  </si>
  <si>
    <t>STHBKK012409000967</t>
  </si>
  <si>
    <t>STHBKK012409000968</t>
  </si>
  <si>
    <t>STHBKK012409000970</t>
  </si>
  <si>
    <t>STHBKK012409000971</t>
  </si>
  <si>
    <t>STHBKK012409000972</t>
  </si>
  <si>
    <t>นาง นงลักษณ์ กงวิรัตน์</t>
  </si>
  <si>
    <t>STHBKK012409000973</t>
  </si>
  <si>
    <t>นางสาว ศันสนีย์ นินสนธิ์</t>
  </si>
  <si>
    <t>STHBKK012409000974</t>
  </si>
  <si>
    <t>STHBKK012409000975</t>
  </si>
  <si>
    <t>STHBKK012409000976</t>
  </si>
  <si>
    <t>นาง อภิฐาพร บัวจันทร์</t>
  </si>
  <si>
    <t>STHONLIN2409000391</t>
  </si>
  <si>
    <t>นาง ประไพ สกุลช่วย</t>
  </si>
  <si>
    <t>STHONLIN2409000392</t>
  </si>
  <si>
    <t>นาย ณพสิทธิ์ ศิริพงษ์สิทธา</t>
  </si>
  <si>
    <t>STHONLIN2409000393</t>
  </si>
  <si>
    <t>STHONLIN2409000395</t>
  </si>
  <si>
    <t>นาง ภัชษนัญฑ์ ชิเดนทรีย์</t>
  </si>
  <si>
    <t>STHONLIN2409000396</t>
  </si>
  <si>
    <t>STHONLIN2409000402</t>
  </si>
  <si>
    <t>STHONLIN2409000403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</si>
  <si>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</si>
  <si>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  วันที่   30  กันยายน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</si>
  <si>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STHBKK012409000977</t>
  </si>
  <si>
    <t>STHBKK012409000978</t>
  </si>
  <si>
    <t>STHBKK012409000979</t>
  </si>
  <si>
    <t>STHBKK012409000980</t>
  </si>
  <si>
    <t>STHBKK012409000981</t>
  </si>
  <si>
    <t>นางสาว ภกาพรรณ สุวรรณดี</t>
  </si>
  <si>
    <t>STHBKK012409000982</t>
  </si>
  <si>
    <t>STHBKK012409000983</t>
  </si>
  <si>
    <t>STHBKK012409000984</t>
  </si>
  <si>
    <t>STHBKK012409000985</t>
  </si>
  <si>
    <t>นาย พิชัย  อาษาสุข</t>
  </si>
  <si>
    <t>STHBKK012409000986</t>
  </si>
  <si>
    <t>นาย ไพรัตน์ หาดสร้อย</t>
  </si>
  <si>
    <t>STHBKK012409000987</t>
  </si>
  <si>
    <t>นางสาว กานดา อาจทวีกูล</t>
  </si>
  <si>
    <t>STHBKK012409000988</t>
  </si>
  <si>
    <t>STHBKK012409000989</t>
  </si>
  <si>
    <t>นาย พิเชษฐ์ มีสิริ</t>
  </si>
  <si>
    <t>STHBKK012409000990</t>
  </si>
  <si>
    <t>นาย ศุทธิ์ธี  ลาภูเขียว</t>
  </si>
  <si>
    <t>STHBKK012409000991</t>
  </si>
  <si>
    <t>STHBKK012409000992</t>
  </si>
  <si>
    <t>STHBKK012409000993</t>
  </si>
  <si>
    <t>STHBKK012409000994</t>
  </si>
  <si>
    <t>นาย ศุภชัย  ศรีม่วง</t>
  </si>
  <si>
    <t>STHBKK012409000995</t>
  </si>
  <si>
    <t>STHBKK012409000996</t>
  </si>
  <si>
    <t>นาย พิสิฐ โฉ่พลกรัง</t>
  </si>
  <si>
    <t>STHBKK012409000998</t>
  </si>
  <si>
    <t>นางสาว ทัณฑิกา จารุพงษ์กุล</t>
  </si>
  <si>
    <t>STHBKK012409001000</t>
  </si>
  <si>
    <t>นางสาว สาคร    ยืนยง</t>
  </si>
  <si>
    <t>STHBKK012409001001</t>
  </si>
  <si>
    <t>นางสาว มุกดา พวงสง่า</t>
  </si>
  <si>
    <t>STHBKK012409001002</t>
  </si>
  <si>
    <t>STHBKK012409001003</t>
  </si>
  <si>
    <t>นางสาว มาริษา  วงศ์สวัสดิ์</t>
  </si>
  <si>
    <t>STHBKK012409001004</t>
  </si>
  <si>
    <t>นางสาว ภกุชา  อติพรวณิชย์</t>
  </si>
  <si>
    <t>STHBKK012409001005</t>
  </si>
  <si>
    <t>นาย ธนูวิทย์ คงคะสินธุ์</t>
  </si>
  <si>
    <t>STHBKK012409001006</t>
  </si>
  <si>
    <t>STHBKK012409001007</t>
  </si>
  <si>
    <t>นาย นพพร โสวรรณะ</t>
  </si>
  <si>
    <t>STHBKK012409001010</t>
  </si>
  <si>
    <t>STHBKK012409001016</t>
  </si>
  <si>
    <t>STHBKK012409001018</t>
  </si>
  <si>
    <t>นาย วุฒิชัย มะโนลัย</t>
  </si>
  <si>
    <t>STHBKK012409001019</t>
  </si>
  <si>
    <t>นาย ต้นสัก  สุคนธรัตน์</t>
  </si>
  <si>
    <t>STHBKK012409001020</t>
  </si>
  <si>
    <t>STHBKK012409001021</t>
  </si>
  <si>
    <t>STHBKK012409001022</t>
  </si>
  <si>
    <t>นาย รัชธศักดิ์ ทิก๋า</t>
  </si>
  <si>
    <t>STHBKK012409001023</t>
  </si>
  <si>
    <t>นางสาว ณิชภัทร  ตะกรุดสงค์</t>
  </si>
  <si>
    <t>STHBKK012409001024</t>
  </si>
  <si>
    <t>STHBKK012409001025</t>
  </si>
  <si>
    <t>นางสาว วิภาวี ลีลาเทพินทร์</t>
  </si>
  <si>
    <t>STHBKK012409001026</t>
  </si>
  <si>
    <t>STHBKK012409001027</t>
  </si>
  <si>
    <t>นาย บุญทัน ปานแดง</t>
  </si>
  <si>
    <t>STHBKK012409001028</t>
  </si>
  <si>
    <t>นางสาว รวิยา รัตนดิลก ณ ภูเก็ต</t>
  </si>
  <si>
    <t>STHBKK012409001030</t>
  </si>
  <si>
    <t>นางสาว สมบัติ เนียมประเสริฐ</t>
  </si>
  <si>
    <t>STHBKK012409001031</t>
  </si>
  <si>
    <t>STHBKK012409001033</t>
  </si>
  <si>
    <t>STHBKK012409001034</t>
  </si>
  <si>
    <t>STHBKK012409001035</t>
  </si>
  <si>
    <t>STHBKK012409001036</t>
  </si>
  <si>
    <t>นางสาว พรรณณี จัดคร่อง</t>
  </si>
  <si>
    <t>STHBKK012409001037</t>
  </si>
  <si>
    <t>STHBKK012409001038</t>
  </si>
  <si>
    <t>STHBKK012409001040</t>
  </si>
  <si>
    <t>นาย สุรัตน์ เทือกเพีย</t>
  </si>
  <si>
    <t>STHBKK012409001041</t>
  </si>
  <si>
    <t>STHBKK012409001042</t>
  </si>
  <si>
    <t>STHBKK012409001043</t>
  </si>
  <si>
    <t>STHBKK012409001044</t>
  </si>
  <si>
    <t>STHBKK012409001045</t>
  </si>
  <si>
    <t>STHBKK012409001046</t>
  </si>
  <si>
    <t>STHONLIN2409000408</t>
  </si>
  <si>
    <t>STHONLIN2409000409</t>
  </si>
  <si>
    <t>STHONLIN2409000411</t>
  </si>
  <si>
    <t>STHONLIN2409000412</t>
  </si>
  <si>
    <t>STHONLIN2409000414</t>
  </si>
  <si>
    <t>STHONLIN2409000416</t>
  </si>
  <si>
    <t>STHONLIN2409000418</t>
  </si>
  <si>
    <t>STHONLIN2409000420</t>
  </si>
  <si>
    <t>STHONLIN2409000429</t>
  </si>
  <si>
    <t>STHONLIN2409000432</t>
  </si>
  <si>
    <t>นาง อุษณีย์ สุนทโรทก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</si>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</sst>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21">
    <font>
      <sz val="10.0"/>
      <color rgb="FF000000"/>
      <name val="Arial"/>
      <scheme val="minor"/>
    </font>
    <font>
      <b/>
      <sz val="30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11.0"/>
      <color theme="0"/>
      <name val="Arial"/>
    </font>
    <font>
      <b/>
      <sz val="20.0"/>
      <color rgb="FF000000"/>
      <name val="Arial"/>
    </font>
    <font>
      <b/>
      <sz val="18.0"/>
      <color rgb="FF000000"/>
      <name val="Arial"/>
    </font>
    <font>
      <b/>
      <sz val="19.0"/>
      <color rgb="FF000000"/>
      <name val="Arial"/>
    </font>
    <font>
      <color rgb="FF000000"/>
      <name val="Arial"/>
    </font>
    <font>
      <b/>
      <sz val="31.0"/>
      <color theme="1"/>
      <name val="Arial"/>
    </font>
    <font>
      <sz val="18.0"/>
      <color theme="1"/>
      <name val="Arial"/>
    </font>
    <font>
      <b/>
      <sz val="18.0"/>
      <color rgb="FF0000FF"/>
      <name val="Arial"/>
    </font>
    <font>
      <sz val="19.0"/>
      <color theme="1"/>
      <name val="Arial"/>
    </font>
    <font>
      <b/>
      <sz val="16.0"/>
      <color rgb="FF0000FF"/>
      <name val="Arial"/>
    </font>
    <font>
      <b/>
      <sz val="13.0"/>
      <color rgb="FF0000FF"/>
      <name val="Arial"/>
    </font>
    <font>
      <b/>
      <sz val="12.0"/>
      <color rgb="FF0000FF"/>
      <name val="Arial"/>
    </font>
    <font>
      <b/>
      <sz val="19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0" fontId="4" numFmtId="165" xfId="0" applyAlignment="1" applyBorder="1" applyFont="1" applyNumberFormat="1">
      <alignment horizontal="center" readingOrder="0" vertical="bottom"/>
    </xf>
    <xf borderId="7" fillId="0" fontId="4" numFmtId="4" xfId="0" applyAlignment="1" applyBorder="1" applyFont="1" applyNumberFormat="1">
      <alignment horizontal="left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readingOrder="0" vertical="bottom"/>
    </xf>
    <xf borderId="7" fillId="4" fontId="6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horizontal="right" vertical="bottom"/>
    </xf>
    <xf borderId="7" fillId="0" fontId="4" numFmtId="38" xfId="0" applyAlignment="1" applyBorder="1" applyFont="1" applyNumberFormat="1">
      <alignment horizontal="center" readingOrder="0" vertical="bottom"/>
    </xf>
    <xf borderId="7" fillId="4" fontId="5" numFmtId="38" xfId="0" applyAlignment="1" applyBorder="1" applyFont="1" applyNumberFormat="1">
      <alignment horizontal="center" vertical="bottom"/>
    </xf>
    <xf borderId="9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readingOrder="0" vertical="bottom"/>
    </xf>
    <xf borderId="7" fillId="4" fontId="7" numFmtId="38" xfId="0" applyAlignment="1" applyBorder="1" applyFont="1" applyNumberFormat="1">
      <alignment readingOrder="0" vertical="bottom"/>
    </xf>
    <xf borderId="9" fillId="5" fontId="8" numFmtId="38" xfId="0" applyAlignment="1" applyBorder="1" applyFill="1" applyFont="1" applyNumberFormat="1">
      <alignment horizontal="center" vertical="center"/>
    </xf>
    <xf borderId="7" fillId="4" fontId="4" numFmtId="166" xfId="0" applyAlignment="1" applyBorder="1" applyFont="1" applyNumberFormat="1">
      <alignment horizontal="center" readingOrder="0" vertical="bottom"/>
    </xf>
    <xf borderId="7" fillId="4" fontId="4" numFmtId="4" xfId="0" applyAlignment="1" applyBorder="1" applyFont="1" applyNumberFormat="1">
      <alignment horizontal="left" readingOrder="0" vertical="bottom"/>
    </xf>
    <xf borderId="7" fillId="4" fontId="4" numFmtId="0" xfId="0" applyAlignment="1" applyBorder="1" applyFont="1">
      <alignment horizontal="center" readingOrder="0" vertical="bottom"/>
    </xf>
    <xf borderId="7" fillId="4" fontId="4" numFmtId="0" xfId="0" applyAlignment="1" applyBorder="1" applyFont="1">
      <alignment readingOrder="0" vertical="bottom"/>
    </xf>
    <xf borderId="7" fillId="4" fontId="4" numFmtId="38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vertical="bottom"/>
    </xf>
    <xf borderId="7" fillId="4" fontId="6" numFmtId="38" xfId="0" applyAlignment="1" applyBorder="1" applyFont="1" applyNumberFormat="1">
      <alignment horizontal="right" readingOrder="0" vertical="bottom"/>
    </xf>
    <xf borderId="7" fillId="4" fontId="9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right" vertical="bottom"/>
    </xf>
    <xf borderId="7" fillId="4" fontId="10" numFmtId="166" xfId="0" applyAlignment="1" applyBorder="1" applyFont="1" applyNumberFormat="1">
      <alignment horizontal="center" readingOrder="0" vertical="bottom"/>
    </xf>
    <xf borderId="7" fillId="4" fontId="10" numFmtId="4" xfId="0" applyAlignment="1" applyBorder="1" applyFont="1" applyNumberFormat="1">
      <alignment horizontal="left" readingOrder="0" vertical="bottom"/>
    </xf>
    <xf borderId="7" fillId="4" fontId="10" numFmtId="0" xfId="0" applyAlignment="1" applyBorder="1" applyFont="1">
      <alignment horizontal="center" readingOrder="0" vertical="bottom"/>
    </xf>
    <xf borderId="7" fillId="4" fontId="10" numFmtId="0" xfId="0" applyAlignment="1" applyBorder="1" applyFont="1">
      <alignment readingOrder="0" vertical="bottom"/>
    </xf>
    <xf borderId="7" fillId="4" fontId="11" numFmtId="38" xfId="0" applyAlignment="1" applyBorder="1" applyFont="1" applyNumberFormat="1">
      <alignment vertical="bottom"/>
    </xf>
    <xf borderId="7" fillId="4" fontId="9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horizontal="right" vertical="bottom"/>
    </xf>
    <xf borderId="7" fillId="4" fontId="10" numFmtId="38" xfId="0" applyAlignment="1" applyBorder="1" applyFont="1" applyNumberFormat="1">
      <alignment horizontal="center" readingOrder="0" vertical="bottom"/>
    </xf>
    <xf borderId="0" fillId="4" fontId="12" numFmtId="0" xfId="0" applyAlignment="1" applyFont="1">
      <alignment vertical="bottom"/>
    </xf>
    <xf borderId="7" fillId="4" fontId="7" numFmtId="38" xfId="0" applyAlignment="1" applyBorder="1" applyFont="1" applyNumberFormat="1">
      <alignment horizontal="right" readingOrder="0" vertical="bottom"/>
    </xf>
    <xf borderId="7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left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6" fontId="4" numFmtId="167" xfId="0" applyAlignment="1" applyBorder="1" applyFill="1" applyFont="1" applyNumberFormat="1">
      <alignment horizontal="center"/>
    </xf>
    <xf borderId="7" fillId="6" fontId="5" numFmtId="167" xfId="0" applyAlignment="1" applyBorder="1" applyFont="1" applyNumberFormat="1">
      <alignment horizontal="center"/>
    </xf>
    <xf borderId="7" fillId="6" fontId="3" numFmtId="0" xfId="0" applyAlignment="1" applyBorder="1" applyFont="1">
      <alignment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horizontal="left" vertical="bottom"/>
    </xf>
    <xf borderId="0" fillId="7" fontId="13" numFmtId="167" xfId="0" applyAlignment="1" applyFont="1" applyNumberFormat="1">
      <alignment horizontal="center" vertical="center"/>
    </xf>
    <xf borderId="0" fillId="7" fontId="3" numFmtId="167" xfId="0" applyFont="1" applyNumberFormat="1"/>
    <xf borderId="0" fillId="0" fontId="3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8" fontId="4" numFmtId="0" xfId="0" applyAlignment="1" applyFill="1" applyFont="1">
      <alignment horizontal="right" vertical="bottom"/>
    </xf>
    <xf borderId="0" fillId="8" fontId="15" numFmtId="0" xfId="0" applyAlignment="1" applyFont="1">
      <alignment horizontal="center" readingOrder="0" vertical="bottom"/>
    </xf>
    <xf borderId="0" fillId="9" fontId="4" numFmtId="0" xfId="0" applyAlignment="1" applyFill="1" applyFont="1">
      <alignment horizontal="right" vertical="bottom"/>
    </xf>
    <xf borderId="0" fillId="0" fontId="14" numFmtId="0" xfId="0" applyAlignment="1" applyFont="1">
      <alignment vertical="bottom"/>
    </xf>
    <xf borderId="0" fillId="9" fontId="1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7" fillId="4" fontId="16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readingOrder="0" vertical="bottom"/>
    </xf>
    <xf borderId="7" fillId="4" fontId="5" numFmtId="38" xfId="0" applyAlignment="1" applyBorder="1" applyFont="1" applyNumberFormat="1">
      <alignment horizontal="center" readingOrder="0" vertical="bottom"/>
    </xf>
    <xf borderId="7" fillId="4" fontId="11" numFmtId="38" xfId="0" applyAlignment="1" applyBorder="1" applyFont="1" applyNumberFormat="1">
      <alignment horizontal="right" readingOrder="0" vertical="bottom"/>
    </xf>
    <xf borderId="0" fillId="7" fontId="3" numFmtId="165" xfId="0" applyAlignment="1" applyFont="1" applyNumberFormat="1">
      <alignment readingOrder="0" vertical="bottom"/>
    </xf>
    <xf borderId="0" fillId="7" fontId="3" numFmtId="0" xfId="0" applyAlignment="1" applyFont="1">
      <alignment horizontal="left" readingOrder="0" vertical="bottom"/>
    </xf>
    <xf borderId="0" fillId="7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borderId="8" fillId="4" fontId="4" numFmtId="0" xfId="0" applyAlignment="1" applyBorder="1" applyFont="1">
      <alignment horizontal="center" readingOrder="0" vertical="bottom"/>
    </xf>
    <xf borderId="0" fillId="8" fontId="17" numFmtId="0" xfId="0" applyAlignment="1" applyFont="1">
      <alignment horizontal="center" readingOrder="0" vertical="bottom"/>
    </xf>
    <xf borderId="7" fillId="6" fontId="3" numFmtId="38" xfId="0" applyAlignment="1" applyBorder="1" applyFont="1" applyNumberFormat="1">
      <alignment vertical="bottom"/>
    </xf>
    <xf borderId="7" fillId="0" fontId="4" numFmtId="165" xfId="0" applyAlignment="1" applyBorder="1" applyFont="1" applyNumberFormat="1">
      <alignment readingOrder="0" vertical="bottom"/>
    </xf>
    <xf borderId="0" fillId="8" fontId="18" numFmtId="0" xfId="0" applyAlignment="1" applyFont="1">
      <alignment horizontal="center" readingOrder="0" vertical="bottom"/>
    </xf>
    <xf borderId="0" fillId="9" fontId="4" numFmtId="0" xfId="0" applyAlignment="1" applyFont="1">
      <alignment horizontal="right" readingOrder="0" vertical="bottom"/>
    </xf>
    <xf borderId="0" fillId="8" fontId="19" numFmtId="0" xfId="0" applyAlignment="1" applyFont="1">
      <alignment horizontal="center" readingOrder="0" vertical="bottom"/>
    </xf>
    <xf borderId="0" fillId="8" fontId="20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45535.0</v>
      </c>
      <c r="C5" s="18" t="s">
        <v>23</v>
      </c>
      <c r="D5" s="19">
        <v>13762.0</v>
      </c>
      <c r="E5" s="20" t="s">
        <v>24</v>
      </c>
      <c r="F5" s="21">
        <v>1000.0</v>
      </c>
      <c r="G5" s="22"/>
      <c r="H5" s="23"/>
      <c r="I5" s="24"/>
      <c r="J5" s="24"/>
      <c r="K5" s="22"/>
      <c r="L5" s="22"/>
      <c r="M5" s="23"/>
      <c r="N5" s="22"/>
      <c r="O5" s="22"/>
      <c r="P5" s="25">
        <v>1000.0</v>
      </c>
      <c r="Q5" s="26">
        <f t="shared" ref="Q5:Q68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45535.0</v>
      </c>
      <c r="C6" s="18" t="s">
        <v>26</v>
      </c>
      <c r="D6" s="19">
        <v>30895.0</v>
      </c>
      <c r="E6" s="20" t="s">
        <v>27</v>
      </c>
      <c r="F6" s="23"/>
      <c r="G6" s="22"/>
      <c r="H6" s="22"/>
      <c r="I6" s="23"/>
      <c r="J6" s="22"/>
      <c r="K6" s="29"/>
      <c r="L6" s="22"/>
      <c r="M6" s="21">
        <v>200.0</v>
      </c>
      <c r="N6" s="22"/>
      <c r="O6" s="22"/>
      <c r="P6" s="25">
        <v>200.0</v>
      </c>
      <c r="Q6" s="26">
        <f t="shared" si="1"/>
        <v>0</v>
      </c>
      <c r="R6" s="25" t="s">
        <v>25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45535.0</v>
      </c>
      <c r="C7" s="18" t="s">
        <v>28</v>
      </c>
      <c r="D7" s="19">
        <v>14329.0</v>
      </c>
      <c r="E7" s="20" t="s">
        <v>29</v>
      </c>
      <c r="F7" s="22"/>
      <c r="G7" s="22"/>
      <c r="H7" s="23"/>
      <c r="I7" s="21">
        <v>2950.0</v>
      </c>
      <c r="J7" s="24"/>
      <c r="K7" s="22"/>
      <c r="L7" s="22"/>
      <c r="M7" s="22"/>
      <c r="N7" s="22"/>
      <c r="O7" s="22"/>
      <c r="P7" s="25">
        <v>2950.0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45536.0</v>
      </c>
      <c r="C8" s="18" t="s">
        <v>31</v>
      </c>
      <c r="D8" s="19">
        <v>10008.0</v>
      </c>
      <c r="E8" s="20" t="s">
        <v>32</v>
      </c>
      <c r="F8" s="22"/>
      <c r="G8" s="22"/>
      <c r="H8" s="22"/>
      <c r="I8" s="21">
        <v>4000.0</v>
      </c>
      <c r="J8" s="23"/>
      <c r="K8" s="22"/>
      <c r="L8" s="22"/>
      <c r="M8" s="22"/>
      <c r="N8" s="22"/>
      <c r="O8" s="22"/>
      <c r="P8" s="25">
        <v>4000.0</v>
      </c>
      <c r="Q8" s="26">
        <f t="shared" si="1"/>
        <v>0</v>
      </c>
      <c r="R8" s="25" t="s">
        <v>33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45536.0</v>
      </c>
      <c r="C9" s="18" t="s">
        <v>34</v>
      </c>
      <c r="D9" s="19">
        <v>67439.0</v>
      </c>
      <c r="E9" s="20" t="s">
        <v>35</v>
      </c>
      <c r="F9" s="22"/>
      <c r="G9" s="22"/>
      <c r="H9" s="22"/>
      <c r="I9" s="23"/>
      <c r="J9" s="21">
        <v>5150.0</v>
      </c>
      <c r="K9" s="22"/>
      <c r="L9" s="22"/>
      <c r="M9" s="23"/>
      <c r="N9" s="22"/>
      <c r="O9" s="22"/>
      <c r="P9" s="25">
        <v>5150.0</v>
      </c>
      <c r="Q9" s="26">
        <f t="shared" si="1"/>
        <v>0</v>
      </c>
      <c r="R9" s="25" t="s">
        <v>36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45536.0</v>
      </c>
      <c r="C10" s="18" t="s">
        <v>37</v>
      </c>
      <c r="D10" s="19">
        <v>57499.0</v>
      </c>
      <c r="E10" s="20" t="s">
        <v>38</v>
      </c>
      <c r="F10" s="22"/>
      <c r="G10" s="22"/>
      <c r="H10" s="22"/>
      <c r="I10" s="23"/>
      <c r="J10" s="21">
        <v>400.0</v>
      </c>
      <c r="K10" s="22"/>
      <c r="L10" s="22"/>
      <c r="M10" s="23"/>
      <c r="N10" s="22"/>
      <c r="O10" s="22"/>
      <c r="P10" s="25">
        <v>400.0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45536.0</v>
      </c>
      <c r="C11" s="18" t="s">
        <v>39</v>
      </c>
      <c r="D11" s="19">
        <v>26831.0</v>
      </c>
      <c r="E11" s="20" t="s">
        <v>40</v>
      </c>
      <c r="F11" s="22"/>
      <c r="G11" s="22"/>
      <c r="H11" s="22"/>
      <c r="I11" s="23"/>
      <c r="J11" s="21">
        <v>1000.0</v>
      </c>
      <c r="K11" s="22"/>
      <c r="L11" s="22"/>
      <c r="M11" s="23"/>
      <c r="N11" s="22"/>
      <c r="O11" s="22"/>
      <c r="P11" s="25">
        <v>1000.0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45536.0</v>
      </c>
      <c r="C12" s="18" t="s">
        <v>41</v>
      </c>
      <c r="D12" s="19">
        <v>51040.0</v>
      </c>
      <c r="E12" s="20" t="s">
        <v>42</v>
      </c>
      <c r="F12" s="22"/>
      <c r="G12" s="22"/>
      <c r="H12" s="22"/>
      <c r="I12" s="21">
        <v>12500.0</v>
      </c>
      <c r="J12" s="21"/>
      <c r="K12" s="22"/>
      <c r="L12" s="22"/>
      <c r="M12" s="23"/>
      <c r="N12" s="22"/>
      <c r="O12" s="22"/>
      <c r="P12" s="25">
        <v>12500.0</v>
      </c>
      <c r="Q12" s="26">
        <f t="shared" si="1"/>
        <v>0</v>
      </c>
      <c r="R12" s="25" t="s">
        <v>43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45536.0</v>
      </c>
      <c r="C13" s="32" t="s">
        <v>44</v>
      </c>
      <c r="D13" s="33">
        <v>57499.0</v>
      </c>
      <c r="E13" s="34" t="s">
        <v>38</v>
      </c>
      <c r="F13" s="22"/>
      <c r="G13" s="22"/>
      <c r="H13" s="22"/>
      <c r="I13" s="23"/>
      <c r="J13" s="21">
        <v>200.0</v>
      </c>
      <c r="K13" s="22"/>
      <c r="L13" s="22"/>
      <c r="M13" s="23"/>
      <c r="N13" s="22"/>
      <c r="O13" s="22"/>
      <c r="P13" s="35">
        <v>200.0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45536.0</v>
      </c>
      <c r="C14" s="18" t="s">
        <v>45</v>
      </c>
      <c r="D14" s="19">
        <v>66770.0</v>
      </c>
      <c r="E14" s="20" t="s">
        <v>46</v>
      </c>
      <c r="F14" s="22"/>
      <c r="G14" s="22"/>
      <c r="H14" s="22"/>
      <c r="I14" s="23"/>
      <c r="J14" s="21">
        <v>10000.0</v>
      </c>
      <c r="K14" s="22"/>
      <c r="L14" s="22"/>
      <c r="M14" s="23"/>
      <c r="N14" s="22"/>
      <c r="O14" s="22"/>
      <c r="P14" s="25">
        <v>10000.0</v>
      </c>
      <c r="Q14" s="26">
        <f t="shared" si="1"/>
        <v>0</v>
      </c>
      <c r="R14" s="25" t="s">
        <v>43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45537.0</v>
      </c>
      <c r="C15" s="18" t="s">
        <v>47</v>
      </c>
      <c r="D15" s="19">
        <v>55041.0</v>
      </c>
      <c r="E15" s="20" t="s">
        <v>48</v>
      </c>
      <c r="F15" s="22"/>
      <c r="G15" s="22"/>
      <c r="H15" s="22"/>
      <c r="I15" s="21">
        <v>2650.0</v>
      </c>
      <c r="J15" s="23"/>
      <c r="K15" s="22"/>
      <c r="L15" s="22"/>
      <c r="M15" s="23"/>
      <c r="N15" s="22"/>
      <c r="O15" s="22"/>
      <c r="P15" s="25">
        <v>2650.0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45537.0</v>
      </c>
      <c r="C16" s="18" t="s">
        <v>49</v>
      </c>
      <c r="D16" s="19">
        <v>78238.0</v>
      </c>
      <c r="E16" s="20" t="s">
        <v>50</v>
      </c>
      <c r="F16" s="22"/>
      <c r="G16" s="22"/>
      <c r="H16" s="22"/>
      <c r="I16" s="21">
        <v>5000.0</v>
      </c>
      <c r="J16" s="23"/>
      <c r="K16" s="22"/>
      <c r="L16" s="22"/>
      <c r="M16" s="23"/>
      <c r="N16" s="22"/>
      <c r="O16" s="22"/>
      <c r="P16" s="25">
        <v>5000.0</v>
      </c>
      <c r="Q16" s="26">
        <f t="shared" si="1"/>
        <v>0</v>
      </c>
      <c r="R16" s="25" t="s">
        <v>30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45537.0</v>
      </c>
      <c r="C17" s="18" t="s">
        <v>51</v>
      </c>
      <c r="D17" s="19">
        <v>51946.0</v>
      </c>
      <c r="E17" s="20" t="s">
        <v>52</v>
      </c>
      <c r="F17" s="22"/>
      <c r="G17" s="22"/>
      <c r="H17" s="22"/>
      <c r="I17" s="21">
        <v>10000.0</v>
      </c>
      <c r="J17" s="23"/>
      <c r="K17" s="22"/>
      <c r="L17" s="22"/>
      <c r="M17" s="23"/>
      <c r="N17" s="22"/>
      <c r="O17" s="22"/>
      <c r="P17" s="25">
        <v>10000.0</v>
      </c>
      <c r="Q17" s="26">
        <f t="shared" si="1"/>
        <v>0</v>
      </c>
      <c r="R17" s="25" t="s">
        <v>36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45537.0</v>
      </c>
      <c r="C18" s="18" t="s">
        <v>53</v>
      </c>
      <c r="D18" s="19">
        <v>80423.0</v>
      </c>
      <c r="E18" s="20" t="s">
        <v>54</v>
      </c>
      <c r="F18" s="22"/>
      <c r="G18" s="22"/>
      <c r="H18" s="22"/>
      <c r="I18" s="21">
        <v>11650.0</v>
      </c>
      <c r="J18" s="23"/>
      <c r="K18" s="22"/>
      <c r="L18" s="22"/>
      <c r="M18" s="22"/>
      <c r="N18" s="22"/>
      <c r="O18" s="22"/>
      <c r="P18" s="25">
        <v>11650.0</v>
      </c>
      <c r="Q18" s="26">
        <f t="shared" si="1"/>
        <v>0</v>
      </c>
      <c r="R18" s="25" t="s">
        <v>30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45537.0</v>
      </c>
      <c r="C19" s="32" t="s">
        <v>55</v>
      </c>
      <c r="D19" s="33">
        <v>36928.0</v>
      </c>
      <c r="E19" s="34" t="s">
        <v>56</v>
      </c>
      <c r="F19" s="22"/>
      <c r="G19" s="22"/>
      <c r="H19" s="22"/>
      <c r="I19" s="21">
        <v>4500.0</v>
      </c>
      <c r="J19" s="23"/>
      <c r="K19" s="22"/>
      <c r="L19" s="22"/>
      <c r="M19" s="23"/>
      <c r="N19" s="22"/>
      <c r="O19" s="22"/>
      <c r="P19" s="35">
        <v>4500.0</v>
      </c>
      <c r="Q19" s="26">
        <f t="shared" si="1"/>
        <v>0</v>
      </c>
      <c r="R19" s="35" t="s">
        <v>25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45537.0</v>
      </c>
      <c r="C20" s="18" t="s">
        <v>57</v>
      </c>
      <c r="D20" s="19">
        <v>36928.0</v>
      </c>
      <c r="E20" s="20" t="s">
        <v>56</v>
      </c>
      <c r="F20" s="22"/>
      <c r="G20" s="22"/>
      <c r="H20" s="22"/>
      <c r="I20" s="37">
        <v>1050.0</v>
      </c>
      <c r="J20" s="24"/>
      <c r="K20" s="22"/>
      <c r="L20" s="22"/>
      <c r="M20" s="22"/>
      <c r="N20" s="22"/>
      <c r="O20" s="22"/>
      <c r="P20" s="25">
        <v>1050.0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45537.0</v>
      </c>
      <c r="C21" s="18" t="s">
        <v>58</v>
      </c>
      <c r="D21" s="19">
        <v>69620.0</v>
      </c>
      <c r="E21" s="20" t="s">
        <v>59</v>
      </c>
      <c r="F21" s="23"/>
      <c r="G21" s="22"/>
      <c r="H21" s="22"/>
      <c r="I21" s="38"/>
      <c r="J21" s="29">
        <v>2500.0</v>
      </c>
      <c r="K21" s="39"/>
      <c r="L21" s="22"/>
      <c r="M21" s="22"/>
      <c r="N21" s="22"/>
      <c r="O21" s="22"/>
      <c r="P21" s="25">
        <v>2500.0</v>
      </c>
      <c r="Q21" s="26">
        <f t="shared" si="1"/>
        <v>0</v>
      </c>
      <c r="R21" s="25" t="s">
        <v>30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45537.0</v>
      </c>
      <c r="C22" s="18" t="s">
        <v>60</v>
      </c>
      <c r="D22" s="19">
        <v>48973.0</v>
      </c>
      <c r="E22" s="20" t="s">
        <v>61</v>
      </c>
      <c r="F22" s="23"/>
      <c r="G22" s="22"/>
      <c r="H22" s="22"/>
      <c r="I22" s="21">
        <v>14500.0</v>
      </c>
      <c r="J22" s="22"/>
      <c r="K22" s="23"/>
      <c r="L22" s="22"/>
      <c r="M22" s="22"/>
      <c r="N22" s="22"/>
      <c r="O22" s="22"/>
      <c r="P22" s="25">
        <v>14500.0</v>
      </c>
      <c r="Q22" s="26">
        <f t="shared" si="1"/>
        <v>0</v>
      </c>
      <c r="R22" s="25" t="s">
        <v>25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45537.0</v>
      </c>
      <c r="C23" s="41" t="s">
        <v>62</v>
      </c>
      <c r="D23" s="42">
        <v>76101.0</v>
      </c>
      <c r="E23" s="43" t="s">
        <v>63</v>
      </c>
      <c r="F23" s="38"/>
      <c r="G23" s="44"/>
      <c r="H23" s="44"/>
      <c r="I23" s="45">
        <v>5150.0</v>
      </c>
      <c r="J23" s="38"/>
      <c r="K23" s="46"/>
      <c r="L23" s="44"/>
      <c r="M23" s="44"/>
      <c r="N23" s="44"/>
      <c r="O23" s="44"/>
      <c r="P23" s="47">
        <v>5150.0</v>
      </c>
      <c r="Q23" s="26">
        <f t="shared" si="1"/>
        <v>0</v>
      </c>
      <c r="R23" s="47" t="s">
        <v>43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45537.0</v>
      </c>
      <c r="C24" s="18" t="s">
        <v>64</v>
      </c>
      <c r="D24" s="19">
        <v>36555.0</v>
      </c>
      <c r="E24" s="20" t="s">
        <v>65</v>
      </c>
      <c r="F24" s="23"/>
      <c r="G24" s="22"/>
      <c r="H24" s="22"/>
      <c r="I24" s="21">
        <v>7500.0</v>
      </c>
      <c r="J24" s="22"/>
      <c r="K24" s="39"/>
      <c r="L24" s="22"/>
      <c r="M24" s="22"/>
      <c r="N24" s="22"/>
      <c r="O24" s="22"/>
      <c r="P24" s="25">
        <v>7500.0</v>
      </c>
      <c r="Q24" s="26">
        <f t="shared" si="1"/>
        <v>0</v>
      </c>
      <c r="R24" s="25" t="s">
        <v>43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45537.0</v>
      </c>
      <c r="C25" s="18" t="s">
        <v>66</v>
      </c>
      <c r="D25" s="19">
        <v>69346.0</v>
      </c>
      <c r="E25" s="20" t="s">
        <v>67</v>
      </c>
      <c r="F25" s="23"/>
      <c r="G25" s="22"/>
      <c r="H25" s="22"/>
      <c r="I25" s="21">
        <v>9500.0</v>
      </c>
      <c r="J25" s="23"/>
      <c r="K25" s="39"/>
      <c r="L25" s="22"/>
      <c r="M25" s="22"/>
      <c r="N25" s="22"/>
      <c r="O25" s="22"/>
      <c r="P25" s="25">
        <v>9500.0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45537.0</v>
      </c>
      <c r="C26" s="18" t="s">
        <v>68</v>
      </c>
      <c r="D26" s="19">
        <v>22341.0</v>
      </c>
      <c r="E26" s="20" t="s">
        <v>69</v>
      </c>
      <c r="F26" s="23"/>
      <c r="G26" s="22"/>
      <c r="H26" s="22"/>
      <c r="I26" s="49">
        <v>4650.0</v>
      </c>
      <c r="J26" s="23"/>
      <c r="K26" s="39"/>
      <c r="L26" s="22"/>
      <c r="M26" s="22"/>
      <c r="N26" s="22"/>
      <c r="O26" s="22"/>
      <c r="P26" s="25">
        <v>4650.0</v>
      </c>
      <c r="Q26" s="26">
        <f t="shared" si="1"/>
        <v>0</v>
      </c>
      <c r="R26" s="25" t="s">
        <v>30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45537.0</v>
      </c>
      <c r="C27" s="18" t="s">
        <v>70</v>
      </c>
      <c r="D27" s="19">
        <v>52083.0</v>
      </c>
      <c r="E27" s="20" t="s">
        <v>71</v>
      </c>
      <c r="F27" s="23"/>
      <c r="G27" s="22"/>
      <c r="H27" s="22"/>
      <c r="I27" s="21">
        <v>2900.0</v>
      </c>
      <c r="J27" s="23"/>
      <c r="K27" s="24"/>
      <c r="L27" s="22"/>
      <c r="M27" s="22"/>
      <c r="N27" s="22"/>
      <c r="O27" s="22"/>
      <c r="P27" s="25">
        <v>2900.0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45537.0</v>
      </c>
      <c r="C28" s="18" t="s">
        <v>72</v>
      </c>
      <c r="D28" s="19">
        <v>77680.0</v>
      </c>
      <c r="E28" s="20" t="s">
        <v>73</v>
      </c>
      <c r="F28" s="23"/>
      <c r="G28" s="22"/>
      <c r="H28" s="22"/>
      <c r="I28" s="21">
        <v>2650.0</v>
      </c>
      <c r="J28" s="23"/>
      <c r="K28" s="24"/>
      <c r="L28" s="22"/>
      <c r="M28" s="22"/>
      <c r="N28" s="22"/>
      <c r="O28" s="22"/>
      <c r="P28" s="25">
        <v>2650.0</v>
      </c>
      <c r="Q28" s="26">
        <f t="shared" si="1"/>
        <v>0</v>
      </c>
      <c r="R28" s="25" t="s">
        <v>36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45537.0</v>
      </c>
      <c r="C29" s="18" t="s">
        <v>74</v>
      </c>
      <c r="D29" s="19">
        <v>46927.0</v>
      </c>
      <c r="E29" s="20" t="s">
        <v>75</v>
      </c>
      <c r="F29" s="23"/>
      <c r="G29" s="22"/>
      <c r="H29" s="22"/>
      <c r="I29" s="21">
        <v>4650.0</v>
      </c>
      <c r="J29" s="21"/>
      <c r="K29" s="24"/>
      <c r="L29" s="22"/>
      <c r="M29" s="22"/>
      <c r="N29" s="22"/>
      <c r="O29" s="22"/>
      <c r="P29" s="25">
        <v>4650.0</v>
      </c>
      <c r="Q29" s="26">
        <f t="shared" si="1"/>
        <v>0</v>
      </c>
      <c r="R29" s="25" t="s">
        <v>33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45537.0</v>
      </c>
      <c r="C30" s="18" t="s">
        <v>76</v>
      </c>
      <c r="D30" s="19">
        <v>77020.0</v>
      </c>
      <c r="E30" s="20" t="s">
        <v>77</v>
      </c>
      <c r="F30" s="23"/>
      <c r="G30" s="22"/>
      <c r="H30" s="22"/>
      <c r="I30" s="21">
        <v>950.0</v>
      </c>
      <c r="J30" s="23"/>
      <c r="K30" s="24"/>
      <c r="L30" s="22"/>
      <c r="M30" s="22"/>
      <c r="N30" s="22"/>
      <c r="O30" s="22"/>
      <c r="P30" s="25">
        <v>950.0</v>
      </c>
      <c r="Q30" s="26">
        <f t="shared" si="1"/>
        <v>0</v>
      </c>
      <c r="R30" s="25" t="s">
        <v>30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45537.0</v>
      </c>
      <c r="C31" s="18" t="s">
        <v>78</v>
      </c>
      <c r="D31" s="19">
        <v>22332.0</v>
      </c>
      <c r="E31" s="20" t="s">
        <v>79</v>
      </c>
      <c r="F31" s="23"/>
      <c r="G31" s="22"/>
      <c r="H31" s="22"/>
      <c r="I31" s="21">
        <v>50000.0</v>
      </c>
      <c r="J31" s="23"/>
      <c r="K31" s="24"/>
      <c r="L31" s="22"/>
      <c r="M31" s="22"/>
      <c r="N31" s="22"/>
      <c r="O31" s="22"/>
      <c r="P31" s="25">
        <v>50000.0</v>
      </c>
      <c r="Q31" s="26">
        <f t="shared" si="1"/>
        <v>0</v>
      </c>
      <c r="R31" s="25" t="s">
        <v>25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45537.0</v>
      </c>
      <c r="C32" s="18" t="s">
        <v>80</v>
      </c>
      <c r="D32" s="19">
        <v>54178.0</v>
      </c>
      <c r="E32" s="20" t="s">
        <v>81</v>
      </c>
      <c r="F32" s="23"/>
      <c r="G32" s="22"/>
      <c r="H32" s="22"/>
      <c r="I32" s="21">
        <v>2500.0</v>
      </c>
      <c r="J32" s="23"/>
      <c r="K32" s="24"/>
      <c r="L32" s="22"/>
      <c r="M32" s="22"/>
      <c r="N32" s="22"/>
      <c r="O32" s="22"/>
      <c r="P32" s="25">
        <v>2500.0</v>
      </c>
      <c r="Q32" s="26">
        <f t="shared" si="1"/>
        <v>0</v>
      </c>
      <c r="R32" s="25" t="s">
        <v>43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45537.0</v>
      </c>
      <c r="C33" s="18" t="s">
        <v>82</v>
      </c>
      <c r="D33" s="19">
        <v>48973.0</v>
      </c>
      <c r="E33" s="20" t="s">
        <v>61</v>
      </c>
      <c r="F33" s="23"/>
      <c r="G33" s="22"/>
      <c r="H33" s="22"/>
      <c r="I33" s="21">
        <v>4350.0</v>
      </c>
      <c r="J33" s="23"/>
      <c r="K33" s="24"/>
      <c r="L33" s="22"/>
      <c r="M33" s="22"/>
      <c r="N33" s="22"/>
      <c r="O33" s="22"/>
      <c r="P33" s="25">
        <v>4350.0</v>
      </c>
      <c r="Q33" s="26">
        <f t="shared" si="1"/>
        <v>0</v>
      </c>
      <c r="R33" s="25" t="s">
        <v>36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45537.0</v>
      </c>
      <c r="C34" s="18" t="s">
        <v>83</v>
      </c>
      <c r="D34" s="19">
        <v>42046.0</v>
      </c>
      <c r="E34" s="20" t="s">
        <v>84</v>
      </c>
      <c r="F34" s="23"/>
      <c r="G34" s="22"/>
      <c r="H34" s="22"/>
      <c r="I34" s="23"/>
      <c r="J34" s="23"/>
      <c r="K34" s="37">
        <v>6700.0</v>
      </c>
      <c r="L34" s="22"/>
      <c r="M34" s="22"/>
      <c r="N34" s="22"/>
      <c r="O34" s="22"/>
      <c r="P34" s="25">
        <v>6700.0</v>
      </c>
      <c r="Q34" s="26">
        <f t="shared" si="1"/>
        <v>0</v>
      </c>
      <c r="R34" s="25" t="s">
        <v>43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45537.0</v>
      </c>
      <c r="C35" s="18" t="s">
        <v>85</v>
      </c>
      <c r="D35" s="19">
        <v>50595.0</v>
      </c>
      <c r="E35" s="20" t="s">
        <v>86</v>
      </c>
      <c r="F35" s="23"/>
      <c r="G35" s="22"/>
      <c r="H35" s="29">
        <v>30000.0</v>
      </c>
      <c r="I35" s="23"/>
      <c r="J35" s="23"/>
      <c r="K35" s="24"/>
      <c r="L35" s="22"/>
      <c r="M35" s="22"/>
      <c r="N35" s="22"/>
      <c r="O35" s="22"/>
      <c r="P35" s="25">
        <v>30000.0</v>
      </c>
      <c r="Q35" s="26">
        <f t="shared" si="1"/>
        <v>0</v>
      </c>
      <c r="R35" s="25" t="s">
        <v>33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45537.0</v>
      </c>
      <c r="C36" s="18" t="s">
        <v>87</v>
      </c>
      <c r="D36" s="19">
        <v>53209.0</v>
      </c>
      <c r="E36" s="20" t="s">
        <v>88</v>
      </c>
      <c r="F36" s="23"/>
      <c r="G36" s="22"/>
      <c r="H36" s="22"/>
      <c r="I36" s="21">
        <v>15000.0</v>
      </c>
      <c r="J36" s="23"/>
      <c r="K36" s="24"/>
      <c r="L36" s="22"/>
      <c r="M36" s="22"/>
      <c r="N36" s="22"/>
      <c r="O36" s="22"/>
      <c r="P36" s="25">
        <v>15000.0</v>
      </c>
      <c r="Q36" s="26">
        <f t="shared" si="1"/>
        <v>0</v>
      </c>
      <c r="R36" s="25" t="s">
        <v>36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45537.0</v>
      </c>
      <c r="C37" s="18" t="s">
        <v>89</v>
      </c>
      <c r="D37" s="19">
        <v>22332.0</v>
      </c>
      <c r="E37" s="20" t="s">
        <v>79</v>
      </c>
      <c r="F37" s="23"/>
      <c r="G37" s="22"/>
      <c r="H37" s="22"/>
      <c r="I37" s="23"/>
      <c r="J37" s="23"/>
      <c r="K37" s="37">
        <v>600.0</v>
      </c>
      <c r="L37" s="22"/>
      <c r="M37" s="22"/>
      <c r="N37" s="22"/>
      <c r="O37" s="22"/>
      <c r="P37" s="25">
        <v>600.0</v>
      </c>
      <c r="Q37" s="26">
        <f t="shared" si="1"/>
        <v>0</v>
      </c>
      <c r="R37" s="25" t="s">
        <v>36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45537.0</v>
      </c>
      <c r="C38" s="18" t="s">
        <v>90</v>
      </c>
      <c r="D38" s="19">
        <v>53054.0</v>
      </c>
      <c r="E38" s="20" t="s">
        <v>91</v>
      </c>
      <c r="F38" s="23"/>
      <c r="G38" s="22"/>
      <c r="H38" s="22"/>
      <c r="I38" s="21">
        <v>5150.0</v>
      </c>
      <c r="J38" s="23"/>
      <c r="K38" s="24"/>
      <c r="L38" s="22"/>
      <c r="M38" s="22"/>
      <c r="N38" s="22"/>
      <c r="O38" s="22"/>
      <c r="P38" s="25">
        <v>5150.0</v>
      </c>
      <c r="Q38" s="26">
        <f t="shared" si="1"/>
        <v>0</v>
      </c>
      <c r="R38" s="25" t="s">
        <v>30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45537.0</v>
      </c>
      <c r="C39" s="18" t="s">
        <v>92</v>
      </c>
      <c r="D39" s="19">
        <v>62815.0</v>
      </c>
      <c r="E39" s="20" t="s">
        <v>93</v>
      </c>
      <c r="F39" s="23"/>
      <c r="G39" s="22"/>
      <c r="H39" s="22"/>
      <c r="I39" s="21">
        <v>14500.0</v>
      </c>
      <c r="J39" s="23"/>
      <c r="K39" s="24"/>
      <c r="L39" s="22"/>
      <c r="M39" s="22"/>
      <c r="N39" s="22"/>
      <c r="O39" s="22"/>
      <c r="P39" s="25">
        <v>14500.0</v>
      </c>
      <c r="Q39" s="26">
        <f t="shared" si="1"/>
        <v>0</v>
      </c>
      <c r="R39" s="25" t="s">
        <v>33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45537.0</v>
      </c>
      <c r="C40" s="18" t="s">
        <v>94</v>
      </c>
      <c r="D40" s="19">
        <v>59103.0</v>
      </c>
      <c r="E40" s="20" t="s">
        <v>95</v>
      </c>
      <c r="F40" s="23"/>
      <c r="G40" s="22"/>
      <c r="H40" s="22"/>
      <c r="I40" s="23"/>
      <c r="J40" s="23"/>
      <c r="K40" s="37">
        <v>5000.0</v>
      </c>
      <c r="L40" s="22"/>
      <c r="M40" s="22"/>
      <c r="N40" s="22"/>
      <c r="O40" s="22"/>
      <c r="P40" s="25">
        <v>5000.0</v>
      </c>
      <c r="Q40" s="26">
        <f t="shared" si="1"/>
        <v>0</v>
      </c>
      <c r="R40" s="25" t="s">
        <v>25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45537.0</v>
      </c>
      <c r="C41" s="18" t="s">
        <v>96</v>
      </c>
      <c r="D41" s="19">
        <v>61429.0</v>
      </c>
      <c r="E41" s="20" t="s">
        <v>97</v>
      </c>
      <c r="F41" s="23"/>
      <c r="G41" s="22"/>
      <c r="H41" s="22"/>
      <c r="I41" s="21">
        <v>3000.0</v>
      </c>
      <c r="J41" s="23"/>
      <c r="K41" s="24"/>
      <c r="L41" s="22"/>
      <c r="M41" s="22"/>
      <c r="N41" s="22"/>
      <c r="O41" s="22"/>
      <c r="P41" s="25">
        <v>3000.0</v>
      </c>
      <c r="Q41" s="26">
        <f t="shared" si="1"/>
        <v>0</v>
      </c>
      <c r="R41" s="25" t="s">
        <v>30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45537.0</v>
      </c>
      <c r="C42" s="18" t="s">
        <v>98</v>
      </c>
      <c r="D42" s="19">
        <v>58234.0</v>
      </c>
      <c r="E42" s="20" t="s">
        <v>99</v>
      </c>
      <c r="F42" s="23"/>
      <c r="G42" s="22"/>
      <c r="H42" s="22"/>
      <c r="I42" s="21">
        <v>2650.0</v>
      </c>
      <c r="J42" s="23"/>
      <c r="K42" s="24"/>
      <c r="L42" s="22"/>
      <c r="M42" s="22"/>
      <c r="N42" s="22"/>
      <c r="O42" s="22"/>
      <c r="P42" s="25">
        <v>2650.0</v>
      </c>
      <c r="Q42" s="26">
        <f t="shared" si="1"/>
        <v>0</v>
      </c>
      <c r="R42" s="25" t="s">
        <v>43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45537.0</v>
      </c>
      <c r="C43" s="18" t="s">
        <v>100</v>
      </c>
      <c r="D43" s="19">
        <v>58074.0</v>
      </c>
      <c r="E43" s="20" t="s">
        <v>101</v>
      </c>
      <c r="F43" s="23"/>
      <c r="G43" s="22"/>
      <c r="H43" s="22"/>
      <c r="I43" s="21">
        <v>2550.0</v>
      </c>
      <c r="J43" s="23"/>
      <c r="K43" s="24"/>
      <c r="L43" s="22"/>
      <c r="M43" s="22"/>
      <c r="N43" s="22"/>
      <c r="O43" s="22"/>
      <c r="P43" s="25">
        <v>2550.0</v>
      </c>
      <c r="Q43" s="26">
        <f t="shared" si="1"/>
        <v>0</v>
      </c>
      <c r="R43" s="25" t="s">
        <v>30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45537.0</v>
      </c>
      <c r="C44" s="18" t="s">
        <v>102</v>
      </c>
      <c r="D44" s="19">
        <v>21818.0</v>
      </c>
      <c r="E44" s="20" t="s">
        <v>103</v>
      </c>
      <c r="F44" s="23"/>
      <c r="G44" s="22"/>
      <c r="H44" s="22"/>
      <c r="I44" s="23"/>
      <c r="J44" s="23"/>
      <c r="K44" s="37">
        <v>1000.0</v>
      </c>
      <c r="L44" s="22"/>
      <c r="M44" s="22"/>
      <c r="N44" s="22"/>
      <c r="O44" s="22"/>
      <c r="P44" s="25">
        <v>1000.0</v>
      </c>
      <c r="Q44" s="26">
        <f t="shared" si="1"/>
        <v>0</v>
      </c>
      <c r="R44" s="25" t="s">
        <v>43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8">
        <v>45537.0</v>
      </c>
      <c r="C45" s="18" t="s">
        <v>104</v>
      </c>
      <c r="D45" s="19">
        <v>73016.0</v>
      </c>
      <c r="E45" s="20" t="s">
        <v>105</v>
      </c>
      <c r="F45" s="23"/>
      <c r="G45" s="22"/>
      <c r="H45" s="22"/>
      <c r="I45" s="23"/>
      <c r="J45" s="21">
        <v>2650.0</v>
      </c>
      <c r="K45" s="24"/>
      <c r="L45" s="22"/>
      <c r="M45" s="22"/>
      <c r="N45" s="22"/>
      <c r="O45" s="22"/>
      <c r="P45" s="25">
        <v>2650.0</v>
      </c>
      <c r="Q45" s="26">
        <f t="shared" si="1"/>
        <v>0</v>
      </c>
      <c r="R45" s="25" t="s">
        <v>36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8">
        <v>45537.0</v>
      </c>
      <c r="C46" s="18" t="s">
        <v>106</v>
      </c>
      <c r="D46" s="19">
        <v>37642.0</v>
      </c>
      <c r="E46" s="20" t="s">
        <v>107</v>
      </c>
      <c r="F46" s="23"/>
      <c r="G46" s="29">
        <v>2500.0</v>
      </c>
      <c r="H46" s="22"/>
      <c r="I46" s="23"/>
      <c r="J46" s="23"/>
      <c r="K46" s="24"/>
      <c r="L46" s="22"/>
      <c r="M46" s="22"/>
      <c r="N46" s="22"/>
      <c r="O46" s="22"/>
      <c r="P46" s="25">
        <v>2500.0</v>
      </c>
      <c r="Q46" s="26">
        <f t="shared" si="1"/>
        <v>0</v>
      </c>
      <c r="R46" s="25" t="s">
        <v>36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8">
        <v>45537.0</v>
      </c>
      <c r="C47" s="18" t="s">
        <v>108</v>
      </c>
      <c r="D47" s="19">
        <v>21818.0</v>
      </c>
      <c r="E47" s="20" t="s">
        <v>103</v>
      </c>
      <c r="F47" s="23"/>
      <c r="G47" s="22"/>
      <c r="H47" s="22"/>
      <c r="I47" s="23"/>
      <c r="J47" s="23"/>
      <c r="K47" s="37">
        <v>12250.0</v>
      </c>
      <c r="L47" s="22"/>
      <c r="M47" s="22"/>
      <c r="N47" s="22"/>
      <c r="O47" s="22"/>
      <c r="P47" s="25">
        <v>12250.0</v>
      </c>
      <c r="Q47" s="26">
        <f t="shared" si="1"/>
        <v>0</v>
      </c>
      <c r="R47" s="25" t="s">
        <v>43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8">
        <v>45537.0</v>
      </c>
      <c r="C48" s="18" t="s">
        <v>109</v>
      </c>
      <c r="D48" s="19">
        <v>10287.0</v>
      </c>
      <c r="E48" s="20" t="s">
        <v>110</v>
      </c>
      <c r="F48" s="23"/>
      <c r="G48" s="22"/>
      <c r="H48" s="22"/>
      <c r="I48" s="23"/>
      <c r="J48" s="23"/>
      <c r="K48" s="24"/>
      <c r="L48" s="22"/>
      <c r="M48" s="29">
        <v>1200.0</v>
      </c>
      <c r="N48" s="22"/>
      <c r="O48" s="22"/>
      <c r="P48" s="25">
        <v>1200.0</v>
      </c>
      <c r="Q48" s="26">
        <f t="shared" si="1"/>
        <v>0</v>
      </c>
      <c r="R48" s="25" t="s">
        <v>25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8">
        <v>45537.0</v>
      </c>
      <c r="C49" s="18" t="s">
        <v>111</v>
      </c>
      <c r="D49" s="19">
        <v>39317.0</v>
      </c>
      <c r="E49" s="20" t="s">
        <v>112</v>
      </c>
      <c r="F49" s="23"/>
      <c r="G49" s="22"/>
      <c r="H49" s="22"/>
      <c r="I49" s="23"/>
      <c r="J49" s="21">
        <v>2650.0</v>
      </c>
      <c r="K49" s="24"/>
      <c r="L49" s="22"/>
      <c r="M49" s="22"/>
      <c r="N49" s="22"/>
      <c r="O49" s="22"/>
      <c r="P49" s="25">
        <v>2650.0</v>
      </c>
      <c r="Q49" s="26">
        <f t="shared" si="1"/>
        <v>0</v>
      </c>
      <c r="R49" s="25" t="s">
        <v>36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8">
        <v>45537.0</v>
      </c>
      <c r="C50" s="18" t="s">
        <v>113</v>
      </c>
      <c r="D50" s="19">
        <v>30895.0</v>
      </c>
      <c r="E50" s="20" t="s">
        <v>114</v>
      </c>
      <c r="F50" s="23"/>
      <c r="G50" s="29">
        <v>15000.0</v>
      </c>
      <c r="H50" s="22"/>
      <c r="I50" s="23"/>
      <c r="J50" s="23"/>
      <c r="K50" s="24"/>
      <c r="L50" s="22"/>
      <c r="M50" s="22"/>
      <c r="N50" s="22"/>
      <c r="O50" s="22"/>
      <c r="P50" s="25">
        <v>15000.0</v>
      </c>
      <c r="Q50" s="26">
        <f t="shared" si="1"/>
        <v>0</v>
      </c>
      <c r="R50" s="25" t="s">
        <v>43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8">
        <v>45537.0</v>
      </c>
      <c r="C51" s="18" t="s">
        <v>115</v>
      </c>
      <c r="D51" s="19">
        <v>48631.0</v>
      </c>
      <c r="E51" s="20" t="s">
        <v>116</v>
      </c>
      <c r="F51" s="23"/>
      <c r="G51" s="22"/>
      <c r="H51" s="22"/>
      <c r="I51" s="23"/>
      <c r="J51" s="23"/>
      <c r="K51" s="37">
        <v>1000.0</v>
      </c>
      <c r="L51" s="22"/>
      <c r="M51" s="22"/>
      <c r="N51" s="22"/>
      <c r="O51" s="22"/>
      <c r="P51" s="25">
        <v>1000.0</v>
      </c>
      <c r="Q51" s="26">
        <f t="shared" si="1"/>
        <v>0</v>
      </c>
      <c r="R51" s="25" t="s">
        <v>36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8">
        <v>45537.0</v>
      </c>
      <c r="C52" s="18" t="s">
        <v>117</v>
      </c>
      <c r="D52" s="19">
        <v>42052.0</v>
      </c>
      <c r="E52" s="20" t="s">
        <v>118</v>
      </c>
      <c r="F52" s="23"/>
      <c r="G52" s="22"/>
      <c r="H52" s="22"/>
      <c r="I52" s="23"/>
      <c r="J52" s="23"/>
      <c r="K52" s="24"/>
      <c r="L52" s="22"/>
      <c r="M52" s="29">
        <v>1730.0</v>
      </c>
      <c r="N52" s="22"/>
      <c r="O52" s="22"/>
      <c r="P52" s="25">
        <v>1730.0</v>
      </c>
      <c r="Q52" s="26">
        <f t="shared" si="1"/>
        <v>0</v>
      </c>
      <c r="R52" s="25" t="s">
        <v>36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8">
        <v>45537.0</v>
      </c>
      <c r="C53" s="18" t="s">
        <v>119</v>
      </c>
      <c r="D53" s="19">
        <v>77740.0</v>
      </c>
      <c r="E53" s="20" t="s">
        <v>120</v>
      </c>
      <c r="F53" s="23"/>
      <c r="G53" s="22"/>
      <c r="H53" s="22"/>
      <c r="I53" s="21">
        <v>3700.0</v>
      </c>
      <c r="J53" s="23"/>
      <c r="K53" s="24"/>
      <c r="L53" s="22"/>
      <c r="M53" s="22"/>
      <c r="N53" s="22"/>
      <c r="O53" s="22"/>
      <c r="P53" s="25">
        <v>3700.0</v>
      </c>
      <c r="Q53" s="26">
        <f t="shared" si="1"/>
        <v>0</v>
      </c>
      <c r="R53" s="25" t="s">
        <v>30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8">
        <v>45537.0</v>
      </c>
      <c r="C54" s="18" t="s">
        <v>121</v>
      </c>
      <c r="D54" s="19">
        <v>66774.0</v>
      </c>
      <c r="E54" s="20" t="s">
        <v>122</v>
      </c>
      <c r="F54" s="23"/>
      <c r="G54" s="22"/>
      <c r="H54" s="22"/>
      <c r="I54" s="21">
        <v>2500.0</v>
      </c>
      <c r="J54" s="23"/>
      <c r="K54" s="24"/>
      <c r="L54" s="22"/>
      <c r="M54" s="22"/>
      <c r="N54" s="22"/>
      <c r="O54" s="22"/>
      <c r="P54" s="25">
        <v>2500.0</v>
      </c>
      <c r="Q54" s="26">
        <f t="shared" si="1"/>
        <v>0</v>
      </c>
      <c r="R54" s="25" t="s">
        <v>33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8">
        <v>45535.0</v>
      </c>
      <c r="C55" s="18" t="s">
        <v>123</v>
      </c>
      <c r="D55" s="19">
        <v>43380.0</v>
      </c>
      <c r="E55" s="20" t="s">
        <v>124</v>
      </c>
      <c r="F55" s="23"/>
      <c r="G55" s="22"/>
      <c r="H55" s="22"/>
      <c r="I55" s="23"/>
      <c r="J55" s="23"/>
      <c r="K55" s="24"/>
      <c r="L55" s="22"/>
      <c r="M55" s="29">
        <v>2500.0</v>
      </c>
      <c r="N55" s="22"/>
      <c r="O55" s="22"/>
      <c r="P55" s="25">
        <v>2500.0</v>
      </c>
      <c r="Q55" s="26">
        <f t="shared" si="1"/>
        <v>0</v>
      </c>
      <c r="R55" s="50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8">
        <v>45535.0</v>
      </c>
      <c r="C56" s="18" t="s">
        <v>125</v>
      </c>
      <c r="D56" s="19">
        <v>10249.0</v>
      </c>
      <c r="E56" s="20" t="s">
        <v>126</v>
      </c>
      <c r="F56" s="23"/>
      <c r="G56" s="22"/>
      <c r="H56" s="29">
        <v>4500.0</v>
      </c>
      <c r="I56" s="23"/>
      <c r="J56" s="23"/>
      <c r="K56" s="24"/>
      <c r="L56" s="22"/>
      <c r="M56" s="22"/>
      <c r="N56" s="22"/>
      <c r="O56" s="22"/>
      <c r="P56" s="25">
        <v>4500.0</v>
      </c>
      <c r="Q56" s="26">
        <f t="shared" si="1"/>
        <v>0</v>
      </c>
      <c r="R56" s="50"/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8">
        <v>45535.0</v>
      </c>
      <c r="C57" s="18" t="s">
        <v>127</v>
      </c>
      <c r="D57" s="19">
        <v>48649.0</v>
      </c>
      <c r="E57" s="20" t="s">
        <v>128</v>
      </c>
      <c r="F57" s="23"/>
      <c r="G57" s="22"/>
      <c r="H57" s="29">
        <v>5150.0</v>
      </c>
      <c r="I57" s="23"/>
      <c r="J57" s="23"/>
      <c r="K57" s="24"/>
      <c r="L57" s="22"/>
      <c r="M57" s="29"/>
      <c r="N57" s="22"/>
      <c r="O57" s="22"/>
      <c r="P57" s="25">
        <v>5150.0</v>
      </c>
      <c r="Q57" s="26">
        <f t="shared" si="1"/>
        <v>0</v>
      </c>
      <c r="R57" s="50"/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8">
        <v>45535.0</v>
      </c>
      <c r="C58" s="18" t="s">
        <v>129</v>
      </c>
      <c r="D58" s="19">
        <v>10006.0</v>
      </c>
      <c r="E58" s="20" t="s">
        <v>130</v>
      </c>
      <c r="F58" s="23"/>
      <c r="G58" s="22"/>
      <c r="H58" s="22"/>
      <c r="I58" s="23"/>
      <c r="J58" s="23"/>
      <c r="K58" s="37">
        <v>1200.0</v>
      </c>
      <c r="L58" s="22"/>
      <c r="M58" s="29"/>
      <c r="N58" s="22"/>
      <c r="O58" s="22"/>
      <c r="P58" s="25">
        <v>1200.0</v>
      </c>
      <c r="Q58" s="26">
        <f t="shared" si="1"/>
        <v>0</v>
      </c>
      <c r="R58" s="50"/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28">
        <v>45535.0</v>
      </c>
      <c r="C59" s="18" t="s">
        <v>131</v>
      </c>
      <c r="D59" s="19">
        <v>10357.0</v>
      </c>
      <c r="E59" s="20" t="s">
        <v>132</v>
      </c>
      <c r="F59" s="23"/>
      <c r="G59" s="22"/>
      <c r="H59" s="22"/>
      <c r="I59" s="23"/>
      <c r="J59" s="23"/>
      <c r="K59" s="37">
        <v>4500.0</v>
      </c>
      <c r="L59" s="22"/>
      <c r="M59" s="22"/>
      <c r="N59" s="22"/>
      <c r="O59" s="22"/>
      <c r="P59" s="25">
        <v>4500.0</v>
      </c>
      <c r="Q59" s="26">
        <f t="shared" si="1"/>
        <v>0</v>
      </c>
      <c r="R59" s="50"/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28">
        <v>45536.0</v>
      </c>
      <c r="C60" s="18" t="s">
        <v>133</v>
      </c>
      <c r="D60" s="19">
        <v>74765.0</v>
      </c>
      <c r="E60" s="20" t="s">
        <v>134</v>
      </c>
      <c r="F60" s="23"/>
      <c r="G60" s="22"/>
      <c r="H60" s="29"/>
      <c r="I60" s="23"/>
      <c r="J60" s="23"/>
      <c r="K60" s="24"/>
      <c r="L60" s="22"/>
      <c r="M60" s="29">
        <v>5150.0</v>
      </c>
      <c r="N60" s="22"/>
      <c r="O60" s="22"/>
      <c r="P60" s="25">
        <v>5150.0</v>
      </c>
      <c r="Q60" s="26">
        <f t="shared" si="1"/>
        <v>0</v>
      </c>
      <c r="R60" s="50"/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28">
        <v>45537.0</v>
      </c>
      <c r="C61" s="18" t="s">
        <v>135</v>
      </c>
      <c r="D61" s="19">
        <v>31927.0</v>
      </c>
      <c r="E61" s="20" t="s">
        <v>136</v>
      </c>
      <c r="F61" s="23"/>
      <c r="G61" s="22"/>
      <c r="H61" s="22"/>
      <c r="I61" s="23"/>
      <c r="J61" s="23"/>
      <c r="K61" s="37">
        <v>135.0</v>
      </c>
      <c r="L61" s="29"/>
      <c r="M61" s="22"/>
      <c r="N61" s="22"/>
      <c r="O61" s="29">
        <v>315.0</v>
      </c>
      <c r="P61" s="25">
        <v>450.0</v>
      </c>
      <c r="Q61" s="26">
        <f t="shared" si="1"/>
        <v>0</v>
      </c>
      <c r="R61" s="50"/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28">
        <v>45537.0</v>
      </c>
      <c r="C62" s="18" t="s">
        <v>137</v>
      </c>
      <c r="D62" s="19">
        <v>31927.0</v>
      </c>
      <c r="E62" s="20" t="s">
        <v>136</v>
      </c>
      <c r="F62" s="23"/>
      <c r="G62" s="22"/>
      <c r="H62" s="22"/>
      <c r="I62" s="23"/>
      <c r="J62" s="23"/>
      <c r="K62" s="37">
        <v>450.0</v>
      </c>
      <c r="L62" s="22"/>
      <c r="M62" s="22"/>
      <c r="N62" s="22"/>
      <c r="O62" s="22"/>
      <c r="P62" s="25">
        <v>450.0</v>
      </c>
      <c r="Q62" s="26">
        <f t="shared" si="1"/>
        <v>0</v>
      </c>
      <c r="R62" s="50"/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>
        <v>59.0</v>
      </c>
      <c r="B63" s="28">
        <v>45537.0</v>
      </c>
      <c r="C63" s="18" t="s">
        <v>138</v>
      </c>
      <c r="D63" s="19">
        <v>49305.0</v>
      </c>
      <c r="E63" s="20" t="s">
        <v>139</v>
      </c>
      <c r="F63" s="23"/>
      <c r="G63" s="22"/>
      <c r="H63" s="22"/>
      <c r="I63" s="23"/>
      <c r="J63" s="23"/>
      <c r="K63" s="24"/>
      <c r="L63" s="22"/>
      <c r="M63" s="22"/>
      <c r="N63" s="22"/>
      <c r="O63" s="29">
        <v>800.0</v>
      </c>
      <c r="P63" s="25">
        <v>800.0</v>
      </c>
      <c r="Q63" s="26">
        <f t="shared" si="1"/>
        <v>0</v>
      </c>
      <c r="R63" s="50"/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4.5" customHeight="1">
      <c r="A64" s="16">
        <v>60.0</v>
      </c>
      <c r="B64" s="28">
        <v>45537.0</v>
      </c>
      <c r="C64" s="18" t="s">
        <v>140</v>
      </c>
      <c r="D64" s="19">
        <v>77020.0</v>
      </c>
      <c r="E64" s="20" t="s">
        <v>77</v>
      </c>
      <c r="F64" s="23"/>
      <c r="G64" s="22"/>
      <c r="H64" s="22"/>
      <c r="I64" s="23"/>
      <c r="J64" s="23"/>
      <c r="K64" s="24"/>
      <c r="L64" s="22"/>
      <c r="M64" s="22"/>
      <c r="N64" s="22"/>
      <c r="O64" s="29">
        <v>800.0</v>
      </c>
      <c r="P64" s="25">
        <v>800.0</v>
      </c>
      <c r="Q64" s="26">
        <f t="shared" si="1"/>
        <v>0</v>
      </c>
      <c r="R64" s="50"/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34.5" customHeight="1">
      <c r="A65" s="16">
        <v>61.0</v>
      </c>
      <c r="B65" s="28">
        <v>45537.0</v>
      </c>
      <c r="C65" s="18" t="s">
        <v>141</v>
      </c>
      <c r="D65" s="19">
        <v>51406.0</v>
      </c>
      <c r="E65" s="20" t="s">
        <v>142</v>
      </c>
      <c r="F65" s="23"/>
      <c r="G65" s="22"/>
      <c r="H65" s="29">
        <v>2500.0</v>
      </c>
      <c r="I65" s="23"/>
      <c r="J65" s="23"/>
      <c r="K65" s="24"/>
      <c r="L65" s="22"/>
      <c r="M65" s="22"/>
      <c r="N65" s="22"/>
      <c r="O65" s="22"/>
      <c r="P65" s="25">
        <v>2500.0</v>
      </c>
      <c r="Q65" s="26">
        <f t="shared" si="1"/>
        <v>0</v>
      </c>
      <c r="R65" s="50"/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34.5" customHeight="1">
      <c r="A66" s="16">
        <v>62.0</v>
      </c>
      <c r="B66" s="28">
        <v>45537.0</v>
      </c>
      <c r="C66" s="18" t="s">
        <v>143</v>
      </c>
      <c r="D66" s="19">
        <v>21828.0</v>
      </c>
      <c r="E66" s="20" t="s">
        <v>144</v>
      </c>
      <c r="F66" s="23"/>
      <c r="G66" s="22"/>
      <c r="H66" s="22"/>
      <c r="I66" s="23"/>
      <c r="J66" s="23"/>
      <c r="K66" s="24"/>
      <c r="L66" s="22"/>
      <c r="M66" s="22"/>
      <c r="N66" s="22"/>
      <c r="O66" s="29">
        <v>1200.0</v>
      </c>
      <c r="P66" s="25">
        <v>1200.0</v>
      </c>
      <c r="Q66" s="26">
        <f t="shared" si="1"/>
        <v>0</v>
      </c>
      <c r="R66" s="50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34.5" customHeight="1">
      <c r="A67" s="16">
        <v>63.0</v>
      </c>
      <c r="B67" s="28">
        <v>45537.0</v>
      </c>
      <c r="C67" s="18" t="s">
        <v>145</v>
      </c>
      <c r="D67" s="19">
        <v>10281.0</v>
      </c>
      <c r="E67" s="20" t="s">
        <v>146</v>
      </c>
      <c r="F67" s="23"/>
      <c r="G67" s="22"/>
      <c r="H67" s="29"/>
      <c r="I67" s="23"/>
      <c r="J67" s="23"/>
      <c r="K67" s="24"/>
      <c r="L67" s="22"/>
      <c r="M67" s="22"/>
      <c r="N67" s="22"/>
      <c r="O67" s="29">
        <v>2000.0</v>
      </c>
      <c r="P67" s="25">
        <v>2000.0</v>
      </c>
      <c r="Q67" s="26">
        <f t="shared" si="1"/>
        <v>0</v>
      </c>
      <c r="R67" s="50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34.5" customHeight="1">
      <c r="A68" s="16">
        <v>64.0</v>
      </c>
      <c r="B68" s="28">
        <v>45537.0</v>
      </c>
      <c r="C68" s="18" t="s">
        <v>147</v>
      </c>
      <c r="D68" s="19">
        <v>57201.0</v>
      </c>
      <c r="E68" s="20" t="s">
        <v>148</v>
      </c>
      <c r="F68" s="23"/>
      <c r="G68" s="22"/>
      <c r="H68" s="29">
        <v>5200.0</v>
      </c>
      <c r="I68" s="23"/>
      <c r="J68" s="23"/>
      <c r="K68" s="24"/>
      <c r="L68" s="22"/>
      <c r="M68" s="22"/>
      <c r="N68" s="22"/>
      <c r="O68" s="22"/>
      <c r="P68" s="25">
        <v>5200.0</v>
      </c>
      <c r="Q68" s="26">
        <f t="shared" si="1"/>
        <v>0</v>
      </c>
      <c r="R68" s="50"/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37.5" customHeight="1">
      <c r="A69" s="16"/>
      <c r="B69" s="51"/>
      <c r="C69" s="52"/>
      <c r="D69" s="53" t="s">
        <v>149</v>
      </c>
      <c r="E69" s="54"/>
      <c r="F69" s="55">
        <f t="shared" ref="F69:P69" si="2">SUM(F5:F68)</f>
        <v>1000</v>
      </c>
      <c r="G69" s="55">
        <f t="shared" si="2"/>
        <v>17500</v>
      </c>
      <c r="H69" s="55">
        <f t="shared" si="2"/>
        <v>47350</v>
      </c>
      <c r="I69" s="55">
        <f t="shared" si="2"/>
        <v>212650</v>
      </c>
      <c r="J69" s="55">
        <f t="shared" si="2"/>
        <v>24550</v>
      </c>
      <c r="K69" s="55">
        <f t="shared" si="2"/>
        <v>32835</v>
      </c>
      <c r="L69" s="55">
        <f t="shared" si="2"/>
        <v>0</v>
      </c>
      <c r="M69" s="55">
        <f t="shared" si="2"/>
        <v>10780</v>
      </c>
      <c r="N69" s="55">
        <f t="shared" si="2"/>
        <v>0</v>
      </c>
      <c r="O69" s="55">
        <f t="shared" si="2"/>
        <v>5115</v>
      </c>
      <c r="P69" s="55">
        <f t="shared" si="2"/>
        <v>351780</v>
      </c>
      <c r="Q69" s="56">
        <v>0.0</v>
      </c>
      <c r="R69" s="57"/>
      <c r="S69" s="27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</row>
    <row r="70" ht="58.5" customHeight="1">
      <c r="A70" s="58"/>
      <c r="B70" s="58"/>
      <c r="C70" s="59"/>
      <c r="D70" s="58"/>
      <c r="E70" s="58"/>
      <c r="F70" s="60">
        <f>F69+G69+H69+I69+J69+K69+L69+M69+N69+O69</f>
        <v>351780</v>
      </c>
      <c r="P70" s="61"/>
      <c r="Q70" s="61"/>
      <c r="R70" s="58"/>
      <c r="S70" s="58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26.2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26.25" customHeight="1">
      <c r="A73" s="4"/>
      <c r="B73" s="4"/>
      <c r="C73" s="63" t="s">
        <v>149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26.25" customHeight="1">
      <c r="A74" s="4"/>
      <c r="B74" s="4"/>
      <c r="C74" s="62"/>
      <c r="D74" s="4"/>
      <c r="E74" s="64" t="s">
        <v>150</v>
      </c>
      <c r="F74" s="65" t="s">
        <v>151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26.25" customHeight="1">
      <c r="A75" s="4"/>
      <c r="B75" s="4"/>
      <c r="C75" s="62"/>
      <c r="D75" s="4"/>
      <c r="E75" s="66" t="s">
        <v>152</v>
      </c>
      <c r="F75" s="65" t="s">
        <v>153</v>
      </c>
      <c r="G75" s="4"/>
      <c r="H75" s="4"/>
      <c r="I75" s="4"/>
      <c r="J75" s="4"/>
      <c r="K75" s="4"/>
      <c r="L75" s="4"/>
      <c r="M75" s="4"/>
      <c r="N75" s="4"/>
      <c r="O75" s="67" t="s">
        <v>149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26.25" customHeight="1">
      <c r="A76" s="4"/>
      <c r="B76" s="4"/>
      <c r="C76" s="62"/>
      <c r="D76" s="4"/>
      <c r="E76" s="66" t="s">
        <v>154</v>
      </c>
      <c r="F76" s="65" t="s">
        <v>155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26.25" customHeight="1">
      <c r="A77" s="4"/>
      <c r="B77" s="4"/>
      <c r="C77" s="62"/>
      <c r="D77" s="4"/>
      <c r="E77" s="66" t="s">
        <v>156</v>
      </c>
      <c r="F77" s="65" t="s">
        <v>151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26.25" customHeight="1">
      <c r="A78" s="4"/>
      <c r="B78" s="4"/>
      <c r="C78" s="62"/>
      <c r="D78" s="4"/>
      <c r="E78" s="66" t="s">
        <v>157</v>
      </c>
      <c r="F78" s="65" t="s">
        <v>158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26.25" customHeight="1">
      <c r="A79" s="4"/>
      <c r="B79" s="4"/>
      <c r="C79" s="62"/>
      <c r="D79" s="4"/>
      <c r="E79" s="66" t="s">
        <v>159</v>
      </c>
      <c r="F79" s="65" t="s">
        <v>151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26.25" customHeight="1">
      <c r="A80" s="4"/>
      <c r="B80" s="4"/>
      <c r="C80" s="62"/>
      <c r="D80" s="4"/>
      <c r="E80" s="66" t="s">
        <v>160</v>
      </c>
      <c r="F80" s="65" t="s">
        <v>155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26.25" customHeight="1">
      <c r="A81" s="4"/>
      <c r="B81" s="4"/>
      <c r="C81" s="62"/>
      <c r="D81" s="4"/>
      <c r="E81" s="66" t="s">
        <v>161</v>
      </c>
      <c r="F81" s="68" t="s">
        <v>162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67" t="s">
        <v>149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26.2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 t="str">
        <f>I72469</f>
        <v/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26.2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67" t="s">
        <v>163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>
        <v>7.0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6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6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6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6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6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6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6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6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4"/>
      <c r="B300" s="4"/>
      <c r="C300" s="6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4"/>
      <c r="B301" s="4"/>
      <c r="C301" s="6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4"/>
      <c r="B302" s="4"/>
      <c r="C302" s="6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5.75" customHeight="1">
      <c r="A303" s="4"/>
      <c r="B303" s="4"/>
      <c r="C303" s="6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5.75" customHeight="1">
      <c r="A304" s="4"/>
      <c r="B304" s="4"/>
      <c r="C304" s="6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7">
    <mergeCell ref="R2:R4"/>
    <mergeCell ref="S2:S4"/>
    <mergeCell ref="F3:F4"/>
    <mergeCell ref="G3:H3"/>
    <mergeCell ref="I3:J3"/>
    <mergeCell ref="K3:K4"/>
    <mergeCell ref="F70:O7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45537.0</v>
      </c>
      <c r="C5" s="18" t="s">
        <v>165</v>
      </c>
      <c r="D5" s="19">
        <v>54226.0</v>
      </c>
      <c r="E5" s="20" t="s">
        <v>166</v>
      </c>
      <c r="F5" s="21"/>
      <c r="G5" s="22"/>
      <c r="H5" s="23"/>
      <c r="I5" s="24"/>
      <c r="J5" s="37">
        <v>5150.0</v>
      </c>
      <c r="K5" s="22"/>
      <c r="L5" s="22"/>
      <c r="M5" s="23"/>
      <c r="N5" s="22"/>
      <c r="O5" s="22"/>
      <c r="P5" s="25">
        <v>5150.0</v>
      </c>
      <c r="Q5" s="26">
        <f t="shared" ref="Q5:Q61" si="1">F5+G5+H5+I5+J5+K5+L5+M5+N5+O5-P5</f>
        <v>0</v>
      </c>
      <c r="R5" s="25" t="s">
        <v>43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45537.0</v>
      </c>
      <c r="C6" s="18" t="s">
        <v>167</v>
      </c>
      <c r="D6" s="19">
        <v>78850.0</v>
      </c>
      <c r="E6" s="20" t="s">
        <v>168</v>
      </c>
      <c r="F6" s="23"/>
      <c r="G6" s="22"/>
      <c r="H6" s="22"/>
      <c r="I6" s="21">
        <v>32500.0</v>
      </c>
      <c r="J6" s="22"/>
      <c r="K6" s="29"/>
      <c r="L6" s="22"/>
      <c r="M6" s="21"/>
      <c r="N6" s="22"/>
      <c r="O6" s="22"/>
      <c r="P6" s="25">
        <v>32500.0</v>
      </c>
      <c r="Q6" s="26">
        <f t="shared" si="1"/>
        <v>0</v>
      </c>
      <c r="R6" s="25" t="s">
        <v>43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45538.0</v>
      </c>
      <c r="C7" s="18" t="s">
        <v>169</v>
      </c>
      <c r="D7" s="19">
        <v>52669.0</v>
      </c>
      <c r="E7" s="20" t="s">
        <v>170</v>
      </c>
      <c r="F7" s="22"/>
      <c r="G7" s="22"/>
      <c r="H7" s="23"/>
      <c r="I7" s="21">
        <v>170.0</v>
      </c>
      <c r="J7" s="24"/>
      <c r="K7" s="22"/>
      <c r="L7" s="22"/>
      <c r="M7" s="22"/>
      <c r="N7" s="22"/>
      <c r="O7" s="22"/>
      <c r="P7" s="25">
        <v>170.0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45538.0</v>
      </c>
      <c r="C8" s="18" t="s">
        <v>171</v>
      </c>
      <c r="D8" s="19">
        <v>84717.0</v>
      </c>
      <c r="E8" s="20" t="s">
        <v>172</v>
      </c>
      <c r="F8" s="22"/>
      <c r="G8" s="22"/>
      <c r="H8" s="22"/>
      <c r="I8" s="21"/>
      <c r="J8" s="21">
        <v>7300.0</v>
      </c>
      <c r="K8" s="22"/>
      <c r="L8" s="22"/>
      <c r="M8" s="22"/>
      <c r="N8" s="22"/>
      <c r="O8" s="22"/>
      <c r="P8" s="25">
        <v>7300.0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45538.0</v>
      </c>
      <c r="C9" s="18" t="s">
        <v>173</v>
      </c>
      <c r="D9" s="19">
        <v>48973.0</v>
      </c>
      <c r="E9" s="20" t="s">
        <v>61</v>
      </c>
      <c r="F9" s="22"/>
      <c r="G9" s="22"/>
      <c r="H9" s="22"/>
      <c r="I9" s="21">
        <v>25000.0</v>
      </c>
      <c r="J9" s="21"/>
      <c r="K9" s="22"/>
      <c r="L9" s="22"/>
      <c r="M9" s="23"/>
      <c r="N9" s="22"/>
      <c r="O9" s="22"/>
      <c r="P9" s="25">
        <v>25000.0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45538.0</v>
      </c>
      <c r="C10" s="18" t="s">
        <v>174</v>
      </c>
      <c r="D10" s="19">
        <v>54280.0</v>
      </c>
      <c r="E10" s="20" t="s">
        <v>175</v>
      </c>
      <c r="F10" s="22"/>
      <c r="G10" s="22"/>
      <c r="H10" s="22"/>
      <c r="I10" s="21">
        <v>2650.0</v>
      </c>
      <c r="J10" s="21"/>
      <c r="K10" s="22"/>
      <c r="L10" s="22"/>
      <c r="M10" s="23"/>
      <c r="N10" s="22"/>
      <c r="O10" s="22"/>
      <c r="P10" s="25">
        <v>2650.0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45538.0</v>
      </c>
      <c r="C11" s="18" t="s">
        <v>176</v>
      </c>
      <c r="D11" s="19">
        <v>35245.0</v>
      </c>
      <c r="E11" s="20" t="s">
        <v>177</v>
      </c>
      <c r="F11" s="22"/>
      <c r="G11" s="22"/>
      <c r="H11" s="22"/>
      <c r="I11" s="23"/>
      <c r="J11" s="21"/>
      <c r="K11" s="29">
        <v>4650.0</v>
      </c>
      <c r="L11" s="22"/>
      <c r="M11" s="23"/>
      <c r="N11" s="22"/>
      <c r="O11" s="22"/>
      <c r="P11" s="25">
        <v>4650.0</v>
      </c>
      <c r="Q11" s="26">
        <f t="shared" si="1"/>
        <v>0</v>
      </c>
      <c r="R11" s="25" t="s">
        <v>25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45538.0</v>
      </c>
      <c r="C12" s="18" t="s">
        <v>178</v>
      </c>
      <c r="D12" s="19">
        <v>52430.0</v>
      </c>
      <c r="E12" s="20" t="s">
        <v>179</v>
      </c>
      <c r="F12" s="22"/>
      <c r="G12" s="22"/>
      <c r="H12" s="22"/>
      <c r="I12" s="21">
        <v>9900.0</v>
      </c>
      <c r="J12" s="21"/>
      <c r="K12" s="22"/>
      <c r="L12" s="22"/>
      <c r="M12" s="23"/>
      <c r="N12" s="22"/>
      <c r="O12" s="22"/>
      <c r="P12" s="25">
        <v>9900.0</v>
      </c>
      <c r="Q12" s="26">
        <f t="shared" si="1"/>
        <v>0</v>
      </c>
      <c r="R12" s="25" t="s">
        <v>43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45538.0</v>
      </c>
      <c r="C13" s="32" t="s">
        <v>180</v>
      </c>
      <c r="D13" s="33">
        <v>54211.0</v>
      </c>
      <c r="E13" s="34" t="s">
        <v>181</v>
      </c>
      <c r="F13" s="22"/>
      <c r="G13" s="22"/>
      <c r="H13" s="22"/>
      <c r="I13" s="21">
        <v>3750.0</v>
      </c>
      <c r="J13" s="21"/>
      <c r="K13" s="22"/>
      <c r="L13" s="22"/>
      <c r="M13" s="23"/>
      <c r="N13" s="22"/>
      <c r="O13" s="22"/>
      <c r="P13" s="35">
        <v>3750.0</v>
      </c>
      <c r="Q13" s="26">
        <f t="shared" si="1"/>
        <v>0</v>
      </c>
      <c r="R13" s="35" t="s">
        <v>25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45538.0</v>
      </c>
      <c r="C14" s="18" t="s">
        <v>182</v>
      </c>
      <c r="D14" s="19">
        <v>83907.0</v>
      </c>
      <c r="E14" s="20" t="s">
        <v>183</v>
      </c>
      <c r="F14" s="22"/>
      <c r="G14" s="22"/>
      <c r="H14" s="22"/>
      <c r="I14" s="21">
        <v>43750.0</v>
      </c>
      <c r="J14" s="21"/>
      <c r="K14" s="22"/>
      <c r="L14" s="22"/>
      <c r="M14" s="23"/>
      <c r="N14" s="22"/>
      <c r="O14" s="22"/>
      <c r="P14" s="25">
        <v>43750.0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45538.0</v>
      </c>
      <c r="C15" s="18" t="s">
        <v>184</v>
      </c>
      <c r="D15" s="19">
        <v>72814.0</v>
      </c>
      <c r="E15" s="20" t="s">
        <v>185</v>
      </c>
      <c r="F15" s="22"/>
      <c r="G15" s="22"/>
      <c r="H15" s="22"/>
      <c r="I15" s="21">
        <v>25000.0</v>
      </c>
      <c r="J15" s="23"/>
      <c r="K15" s="22"/>
      <c r="L15" s="22"/>
      <c r="M15" s="23"/>
      <c r="N15" s="22"/>
      <c r="O15" s="22"/>
      <c r="P15" s="25">
        <v>25000.0</v>
      </c>
      <c r="Q15" s="26">
        <f t="shared" si="1"/>
        <v>0</v>
      </c>
      <c r="R15" s="25" t="s">
        <v>36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45538.0</v>
      </c>
      <c r="C16" s="18" t="s">
        <v>186</v>
      </c>
      <c r="D16" s="19">
        <v>82810.0</v>
      </c>
      <c r="E16" s="20" t="s">
        <v>187</v>
      </c>
      <c r="F16" s="22"/>
      <c r="G16" s="22"/>
      <c r="H16" s="22"/>
      <c r="I16" s="21">
        <v>300.0</v>
      </c>
      <c r="J16" s="23"/>
      <c r="K16" s="22"/>
      <c r="L16" s="22"/>
      <c r="M16" s="23"/>
      <c r="N16" s="22"/>
      <c r="O16" s="22"/>
      <c r="P16" s="25">
        <v>300.0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45538.0</v>
      </c>
      <c r="C17" s="18" t="s">
        <v>188</v>
      </c>
      <c r="D17" s="19">
        <v>62146.0</v>
      </c>
      <c r="E17" s="20" t="s">
        <v>189</v>
      </c>
      <c r="F17" s="22"/>
      <c r="G17" s="22"/>
      <c r="H17" s="22"/>
      <c r="I17" s="21">
        <v>50.0</v>
      </c>
      <c r="J17" s="23"/>
      <c r="K17" s="22"/>
      <c r="L17" s="22"/>
      <c r="M17" s="23"/>
      <c r="N17" s="22"/>
      <c r="O17" s="22"/>
      <c r="P17" s="25">
        <v>50.0</v>
      </c>
      <c r="Q17" s="26">
        <f t="shared" si="1"/>
        <v>0</v>
      </c>
      <c r="R17" s="25" t="s">
        <v>30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45538.0</v>
      </c>
      <c r="C18" s="18" t="s">
        <v>190</v>
      </c>
      <c r="D18" s="19">
        <v>82810.0</v>
      </c>
      <c r="E18" s="20" t="s">
        <v>187</v>
      </c>
      <c r="F18" s="22"/>
      <c r="G18" s="22"/>
      <c r="H18" s="22"/>
      <c r="I18" s="21">
        <v>2100.0</v>
      </c>
      <c r="J18" s="23"/>
      <c r="K18" s="22"/>
      <c r="L18" s="22"/>
      <c r="M18" s="22"/>
      <c r="N18" s="22"/>
      <c r="O18" s="22"/>
      <c r="P18" s="25">
        <v>2100.0</v>
      </c>
      <c r="Q18" s="26">
        <f t="shared" si="1"/>
        <v>0</v>
      </c>
      <c r="R18" s="25" t="s">
        <v>43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45538.0</v>
      </c>
      <c r="C19" s="32" t="s">
        <v>191</v>
      </c>
      <c r="D19" s="33">
        <v>53249.0</v>
      </c>
      <c r="E19" s="34" t="s">
        <v>192</v>
      </c>
      <c r="F19" s="22"/>
      <c r="G19" s="22"/>
      <c r="H19" s="22"/>
      <c r="I19" s="21">
        <v>30000.0</v>
      </c>
      <c r="J19" s="23"/>
      <c r="K19" s="22"/>
      <c r="L19" s="22"/>
      <c r="M19" s="23"/>
      <c r="N19" s="22"/>
      <c r="O19" s="22"/>
      <c r="P19" s="35">
        <v>30000.0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45538.0</v>
      </c>
      <c r="C20" s="18" t="s">
        <v>193</v>
      </c>
      <c r="D20" s="19">
        <v>53249.0</v>
      </c>
      <c r="E20" s="20" t="s">
        <v>192</v>
      </c>
      <c r="F20" s="22"/>
      <c r="G20" s="22"/>
      <c r="H20" s="22"/>
      <c r="I20" s="37">
        <v>1000.0</v>
      </c>
      <c r="J20" s="24"/>
      <c r="K20" s="22"/>
      <c r="L20" s="22"/>
      <c r="M20" s="22"/>
      <c r="N20" s="22"/>
      <c r="O20" s="22"/>
      <c r="P20" s="25">
        <v>1000.0</v>
      </c>
      <c r="Q20" s="26">
        <f t="shared" si="1"/>
        <v>0</v>
      </c>
      <c r="R20" s="25" t="s">
        <v>36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45538.0</v>
      </c>
      <c r="C21" s="18" t="s">
        <v>194</v>
      </c>
      <c r="D21" s="19">
        <v>22341.0</v>
      </c>
      <c r="E21" s="20" t="s">
        <v>69</v>
      </c>
      <c r="F21" s="23"/>
      <c r="G21" s="22"/>
      <c r="H21" s="22"/>
      <c r="I21" s="45">
        <v>2650.0</v>
      </c>
      <c r="J21" s="29"/>
      <c r="K21" s="39"/>
      <c r="L21" s="22"/>
      <c r="M21" s="22"/>
      <c r="N21" s="22"/>
      <c r="O21" s="22"/>
      <c r="P21" s="25">
        <v>2650.0</v>
      </c>
      <c r="Q21" s="26">
        <f t="shared" si="1"/>
        <v>0</v>
      </c>
      <c r="R21" s="25" t="s">
        <v>30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45538.0</v>
      </c>
      <c r="C22" s="18" t="s">
        <v>195</v>
      </c>
      <c r="D22" s="19">
        <v>84718.0</v>
      </c>
      <c r="E22" s="20" t="s">
        <v>196</v>
      </c>
      <c r="F22" s="23"/>
      <c r="G22" s="22"/>
      <c r="H22" s="22"/>
      <c r="I22" s="21"/>
      <c r="J22" s="29">
        <v>6050.0</v>
      </c>
      <c r="K22" s="23"/>
      <c r="L22" s="22"/>
      <c r="M22" s="22"/>
      <c r="N22" s="22"/>
      <c r="O22" s="22"/>
      <c r="P22" s="25">
        <v>6050.0</v>
      </c>
      <c r="Q22" s="26">
        <f t="shared" si="1"/>
        <v>0</v>
      </c>
      <c r="R22" s="25" t="s">
        <v>25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45538.0</v>
      </c>
      <c r="C23" s="41" t="s">
        <v>197</v>
      </c>
      <c r="D23" s="42">
        <v>84348.0</v>
      </c>
      <c r="E23" s="43" t="s">
        <v>198</v>
      </c>
      <c r="F23" s="38"/>
      <c r="G23" s="44"/>
      <c r="H23" s="44"/>
      <c r="I23" s="45">
        <v>5750.0</v>
      </c>
      <c r="J23" s="45"/>
      <c r="K23" s="46"/>
      <c r="L23" s="44"/>
      <c r="M23" s="44"/>
      <c r="N23" s="44"/>
      <c r="O23" s="44"/>
      <c r="P23" s="47">
        <v>5750.0</v>
      </c>
      <c r="Q23" s="26">
        <f t="shared" si="1"/>
        <v>0</v>
      </c>
      <c r="R23" s="47" t="s">
        <v>30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45538.0</v>
      </c>
      <c r="C24" s="18" t="s">
        <v>199</v>
      </c>
      <c r="D24" s="19">
        <v>10249.0</v>
      </c>
      <c r="E24" s="20" t="s">
        <v>126</v>
      </c>
      <c r="F24" s="23"/>
      <c r="G24" s="22"/>
      <c r="H24" s="22"/>
      <c r="I24" s="21"/>
      <c r="J24" s="29">
        <v>300.0</v>
      </c>
      <c r="K24" s="39"/>
      <c r="L24" s="22"/>
      <c r="M24" s="22"/>
      <c r="N24" s="22"/>
      <c r="O24" s="22"/>
      <c r="P24" s="25">
        <v>300.0</v>
      </c>
      <c r="Q24" s="26">
        <f t="shared" si="1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45538.0</v>
      </c>
      <c r="C25" s="18" t="s">
        <v>200</v>
      </c>
      <c r="D25" s="19">
        <v>10249.0</v>
      </c>
      <c r="E25" s="20" t="s">
        <v>126</v>
      </c>
      <c r="F25" s="23"/>
      <c r="G25" s="22"/>
      <c r="H25" s="22"/>
      <c r="I25" s="21"/>
      <c r="J25" s="21">
        <v>2500.0</v>
      </c>
      <c r="K25" s="39"/>
      <c r="L25" s="22"/>
      <c r="M25" s="22"/>
      <c r="N25" s="22"/>
      <c r="O25" s="22"/>
      <c r="P25" s="25">
        <v>2500.0</v>
      </c>
      <c r="Q25" s="26">
        <f t="shared" si="1"/>
        <v>0</v>
      </c>
      <c r="R25" s="25" t="s">
        <v>25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45538.0</v>
      </c>
      <c r="C26" s="18" t="s">
        <v>201</v>
      </c>
      <c r="D26" s="19">
        <v>52240.0</v>
      </c>
      <c r="E26" s="20" t="s">
        <v>202</v>
      </c>
      <c r="F26" s="23"/>
      <c r="G26" s="22"/>
      <c r="H26" s="22"/>
      <c r="I26" s="49"/>
      <c r="J26" s="21">
        <v>6400.0</v>
      </c>
      <c r="K26" s="39"/>
      <c r="L26" s="22"/>
      <c r="M26" s="22"/>
      <c r="N26" s="22"/>
      <c r="O26" s="22"/>
      <c r="P26" s="25">
        <v>6400.0</v>
      </c>
      <c r="Q26" s="26">
        <f t="shared" si="1"/>
        <v>0</v>
      </c>
      <c r="R26" s="25" t="s">
        <v>36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45538.0</v>
      </c>
      <c r="C27" s="18" t="s">
        <v>203</v>
      </c>
      <c r="D27" s="19">
        <v>35245.0</v>
      </c>
      <c r="E27" s="20" t="s">
        <v>177</v>
      </c>
      <c r="F27" s="23"/>
      <c r="G27" s="22"/>
      <c r="H27" s="22"/>
      <c r="I27" s="21"/>
      <c r="J27" s="23"/>
      <c r="K27" s="37">
        <v>3500.0</v>
      </c>
      <c r="L27" s="22"/>
      <c r="M27" s="22"/>
      <c r="N27" s="22"/>
      <c r="O27" s="22"/>
      <c r="P27" s="25">
        <v>3500.0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45538.0</v>
      </c>
      <c r="C28" s="18" t="s">
        <v>204</v>
      </c>
      <c r="D28" s="19">
        <v>55409.0</v>
      </c>
      <c r="E28" s="20" t="s">
        <v>205</v>
      </c>
      <c r="F28" s="23"/>
      <c r="G28" s="22"/>
      <c r="H28" s="22"/>
      <c r="I28" s="21"/>
      <c r="J28" s="23"/>
      <c r="K28" s="24"/>
      <c r="L28" s="22"/>
      <c r="M28" s="29">
        <v>5000.0</v>
      </c>
      <c r="N28" s="22"/>
      <c r="O28" s="22"/>
      <c r="P28" s="25">
        <v>5000.0</v>
      </c>
      <c r="Q28" s="26">
        <f t="shared" si="1"/>
        <v>0</v>
      </c>
      <c r="R28" s="25" t="s">
        <v>36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45538.0</v>
      </c>
      <c r="C29" s="18" t="s">
        <v>206</v>
      </c>
      <c r="D29" s="19">
        <v>10249.0</v>
      </c>
      <c r="E29" s="20" t="s">
        <v>126</v>
      </c>
      <c r="F29" s="21"/>
      <c r="G29" s="22"/>
      <c r="H29" s="22"/>
      <c r="I29" s="23"/>
      <c r="J29" s="21">
        <v>5000.0</v>
      </c>
      <c r="K29" s="24"/>
      <c r="L29" s="22"/>
      <c r="M29" s="29"/>
      <c r="N29" s="22"/>
      <c r="O29" s="22"/>
      <c r="P29" s="25">
        <v>5000.0</v>
      </c>
      <c r="Q29" s="26">
        <f t="shared" si="1"/>
        <v>0</v>
      </c>
      <c r="R29" s="25" t="s">
        <v>25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45538.0</v>
      </c>
      <c r="C30" s="18" t="s">
        <v>207</v>
      </c>
      <c r="D30" s="19">
        <v>55409.0</v>
      </c>
      <c r="E30" s="20" t="s">
        <v>205</v>
      </c>
      <c r="F30" s="21">
        <v>4000.0</v>
      </c>
      <c r="G30" s="22"/>
      <c r="H30" s="22"/>
      <c r="I30" s="21"/>
      <c r="J30" s="21"/>
      <c r="K30" s="24"/>
      <c r="L30" s="22"/>
      <c r="M30" s="29">
        <v>1000.0</v>
      </c>
      <c r="N30" s="22"/>
      <c r="O30" s="22"/>
      <c r="P30" s="25">
        <v>5000.0</v>
      </c>
      <c r="Q30" s="26">
        <f t="shared" si="1"/>
        <v>0</v>
      </c>
      <c r="R30" s="25" t="s">
        <v>36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45538.0</v>
      </c>
      <c r="C31" s="18" t="s">
        <v>208</v>
      </c>
      <c r="D31" s="19">
        <v>81108.0</v>
      </c>
      <c r="E31" s="20" t="s">
        <v>209</v>
      </c>
      <c r="F31" s="23"/>
      <c r="G31" s="22"/>
      <c r="H31" s="22"/>
      <c r="I31" s="21">
        <v>21200.0</v>
      </c>
      <c r="J31" s="23"/>
      <c r="K31" s="24"/>
      <c r="L31" s="22"/>
      <c r="M31" s="22"/>
      <c r="N31" s="22"/>
      <c r="O31" s="22"/>
      <c r="P31" s="25">
        <v>21200.0</v>
      </c>
      <c r="Q31" s="26">
        <f t="shared" si="1"/>
        <v>0</v>
      </c>
      <c r="R31" s="25" t="s">
        <v>43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45538.0</v>
      </c>
      <c r="C32" s="18" t="s">
        <v>210</v>
      </c>
      <c r="D32" s="19">
        <v>55992.0</v>
      </c>
      <c r="E32" s="20" t="s">
        <v>211</v>
      </c>
      <c r="F32" s="23"/>
      <c r="G32" s="22"/>
      <c r="H32" s="22"/>
      <c r="I32" s="21">
        <v>2250.0</v>
      </c>
      <c r="J32" s="23"/>
      <c r="K32" s="24"/>
      <c r="L32" s="22"/>
      <c r="M32" s="22"/>
      <c r="N32" s="22"/>
      <c r="O32" s="22"/>
      <c r="P32" s="25">
        <v>2250.0</v>
      </c>
      <c r="Q32" s="26">
        <f t="shared" si="1"/>
        <v>0</v>
      </c>
      <c r="R32" s="25" t="s">
        <v>30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45538.0</v>
      </c>
      <c r="C33" s="18" t="s">
        <v>212</v>
      </c>
      <c r="D33" s="19">
        <v>21818.0</v>
      </c>
      <c r="E33" s="20" t="s">
        <v>103</v>
      </c>
      <c r="F33" s="23"/>
      <c r="G33" s="22"/>
      <c r="H33" s="22"/>
      <c r="I33" s="21"/>
      <c r="J33" s="23"/>
      <c r="K33" s="37">
        <v>100.0</v>
      </c>
      <c r="L33" s="22"/>
      <c r="M33" s="22"/>
      <c r="N33" s="22"/>
      <c r="O33" s="22"/>
      <c r="P33" s="25">
        <v>100.0</v>
      </c>
      <c r="Q33" s="26">
        <f t="shared" si="1"/>
        <v>0</v>
      </c>
      <c r="R33" s="25" t="s">
        <v>25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45538.0</v>
      </c>
      <c r="C34" s="18" t="s">
        <v>213</v>
      </c>
      <c r="D34" s="19">
        <v>56747.0</v>
      </c>
      <c r="E34" s="20" t="s">
        <v>214</v>
      </c>
      <c r="F34" s="23"/>
      <c r="G34" s="22"/>
      <c r="H34" s="22"/>
      <c r="I34" s="23"/>
      <c r="J34" s="21">
        <v>5950.0</v>
      </c>
      <c r="K34" s="37"/>
      <c r="L34" s="22"/>
      <c r="M34" s="22"/>
      <c r="N34" s="22"/>
      <c r="O34" s="22"/>
      <c r="P34" s="25">
        <v>5950.0</v>
      </c>
      <c r="Q34" s="26">
        <f t="shared" si="1"/>
        <v>0</v>
      </c>
      <c r="R34" s="25" t="s">
        <v>25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45538.0</v>
      </c>
      <c r="C35" s="18" t="s">
        <v>215</v>
      </c>
      <c r="D35" s="19">
        <v>67621.0</v>
      </c>
      <c r="E35" s="20" t="s">
        <v>216</v>
      </c>
      <c r="F35" s="23"/>
      <c r="G35" s="22"/>
      <c r="H35" s="29"/>
      <c r="I35" s="21">
        <v>10000.0</v>
      </c>
      <c r="J35" s="23"/>
      <c r="K35" s="24"/>
      <c r="L35" s="22"/>
      <c r="M35" s="22"/>
      <c r="N35" s="22"/>
      <c r="O35" s="22"/>
      <c r="P35" s="25">
        <v>10000.0</v>
      </c>
      <c r="Q35" s="26">
        <f t="shared" si="1"/>
        <v>0</v>
      </c>
      <c r="R35" s="25" t="s">
        <v>43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45538.0</v>
      </c>
      <c r="C36" s="18" t="s">
        <v>217</v>
      </c>
      <c r="D36" s="19">
        <v>36555.0</v>
      </c>
      <c r="E36" s="20" t="s">
        <v>65</v>
      </c>
      <c r="F36" s="23"/>
      <c r="G36" s="22"/>
      <c r="H36" s="22"/>
      <c r="I36" s="21">
        <v>10000.0</v>
      </c>
      <c r="J36" s="23"/>
      <c r="K36" s="24"/>
      <c r="L36" s="22"/>
      <c r="M36" s="22"/>
      <c r="N36" s="22"/>
      <c r="O36" s="22"/>
      <c r="P36" s="25">
        <v>10000.0</v>
      </c>
      <c r="Q36" s="26">
        <f t="shared" si="1"/>
        <v>0</v>
      </c>
      <c r="R36" s="25" t="s">
        <v>36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45538.0</v>
      </c>
      <c r="C37" s="18" t="s">
        <v>218</v>
      </c>
      <c r="D37" s="19">
        <v>54763.0</v>
      </c>
      <c r="E37" s="20" t="s">
        <v>219</v>
      </c>
      <c r="F37" s="23"/>
      <c r="G37" s="22"/>
      <c r="H37" s="22"/>
      <c r="I37" s="21">
        <v>1000.0</v>
      </c>
      <c r="J37" s="23"/>
      <c r="K37" s="37"/>
      <c r="L37" s="22"/>
      <c r="M37" s="22"/>
      <c r="N37" s="22"/>
      <c r="O37" s="22"/>
      <c r="P37" s="25">
        <v>1000.0</v>
      </c>
      <c r="Q37" s="26">
        <f t="shared" si="1"/>
        <v>0</v>
      </c>
      <c r="R37" s="25" t="s">
        <v>36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45538.0</v>
      </c>
      <c r="C38" s="18" t="s">
        <v>220</v>
      </c>
      <c r="D38" s="19">
        <v>54764.0</v>
      </c>
      <c r="E38" s="20" t="s">
        <v>221</v>
      </c>
      <c r="F38" s="23"/>
      <c r="G38" s="22"/>
      <c r="H38" s="22"/>
      <c r="I38" s="21">
        <v>1000.0</v>
      </c>
      <c r="J38" s="23"/>
      <c r="K38" s="24"/>
      <c r="L38" s="22"/>
      <c r="M38" s="22"/>
      <c r="N38" s="22"/>
      <c r="O38" s="22"/>
      <c r="P38" s="25">
        <v>1000.0</v>
      </c>
      <c r="Q38" s="26">
        <f t="shared" si="1"/>
        <v>0</v>
      </c>
      <c r="R38" s="25" t="s">
        <v>36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45538.0</v>
      </c>
      <c r="C39" s="18" t="s">
        <v>222</v>
      </c>
      <c r="D39" s="19">
        <v>36555.0</v>
      </c>
      <c r="E39" s="20" t="s">
        <v>65</v>
      </c>
      <c r="F39" s="23"/>
      <c r="G39" s="22"/>
      <c r="H39" s="22"/>
      <c r="I39" s="21">
        <v>15000.0</v>
      </c>
      <c r="J39" s="23"/>
      <c r="K39" s="24"/>
      <c r="L39" s="22"/>
      <c r="M39" s="22"/>
      <c r="N39" s="22"/>
      <c r="O39" s="22"/>
      <c r="P39" s="25">
        <v>15000.0</v>
      </c>
      <c r="Q39" s="26">
        <f t="shared" si="1"/>
        <v>0</v>
      </c>
      <c r="R39" s="25" t="s">
        <v>43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45538.0</v>
      </c>
      <c r="C40" s="18" t="s">
        <v>223</v>
      </c>
      <c r="D40" s="19">
        <v>31927.0</v>
      </c>
      <c r="E40" s="20" t="s">
        <v>136</v>
      </c>
      <c r="F40" s="23"/>
      <c r="G40" s="22"/>
      <c r="H40" s="22"/>
      <c r="I40" s="21">
        <v>2500.0</v>
      </c>
      <c r="J40" s="23"/>
      <c r="K40" s="37"/>
      <c r="L40" s="22"/>
      <c r="M40" s="22"/>
      <c r="N40" s="22"/>
      <c r="O40" s="22"/>
      <c r="P40" s="25">
        <v>2500.0</v>
      </c>
      <c r="Q40" s="26">
        <f t="shared" si="1"/>
        <v>0</v>
      </c>
      <c r="R40" s="25" t="s">
        <v>36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45538.0</v>
      </c>
      <c r="C41" s="18" t="s">
        <v>224</v>
      </c>
      <c r="D41" s="19">
        <v>52083.0</v>
      </c>
      <c r="E41" s="20" t="s">
        <v>71</v>
      </c>
      <c r="F41" s="23"/>
      <c r="G41" s="22"/>
      <c r="H41" s="22"/>
      <c r="I41" s="21">
        <v>3400.0</v>
      </c>
      <c r="J41" s="23"/>
      <c r="K41" s="24"/>
      <c r="L41" s="22"/>
      <c r="M41" s="22"/>
      <c r="N41" s="22"/>
      <c r="O41" s="22"/>
      <c r="P41" s="25">
        <v>3400.0</v>
      </c>
      <c r="Q41" s="26">
        <f t="shared" si="1"/>
        <v>0</v>
      </c>
      <c r="R41" s="25" t="s">
        <v>36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45538.0</v>
      </c>
      <c r="C42" s="18" t="s">
        <v>225</v>
      </c>
      <c r="D42" s="19">
        <v>84629.0</v>
      </c>
      <c r="E42" s="20" t="s">
        <v>226</v>
      </c>
      <c r="F42" s="23"/>
      <c r="G42" s="29">
        <v>7000.0</v>
      </c>
      <c r="H42" s="22"/>
      <c r="I42" s="21"/>
      <c r="J42" s="23"/>
      <c r="K42" s="24"/>
      <c r="L42" s="22"/>
      <c r="M42" s="22"/>
      <c r="N42" s="22"/>
      <c r="O42" s="22"/>
      <c r="P42" s="25">
        <v>7000.0</v>
      </c>
      <c r="Q42" s="26">
        <f t="shared" si="1"/>
        <v>0</v>
      </c>
      <c r="R42" s="25" t="s">
        <v>25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45538.0</v>
      </c>
      <c r="C43" s="18" t="s">
        <v>227</v>
      </c>
      <c r="D43" s="19">
        <v>70567.0</v>
      </c>
      <c r="E43" s="20" t="s">
        <v>228</v>
      </c>
      <c r="F43" s="23"/>
      <c r="G43" s="29"/>
      <c r="H43" s="22"/>
      <c r="I43" s="21">
        <v>5150.0</v>
      </c>
      <c r="J43" s="23"/>
      <c r="K43" s="24"/>
      <c r="L43" s="22"/>
      <c r="M43" s="22"/>
      <c r="N43" s="22"/>
      <c r="O43" s="22"/>
      <c r="P43" s="25">
        <v>5150.0</v>
      </c>
      <c r="Q43" s="26">
        <f t="shared" si="1"/>
        <v>0</v>
      </c>
      <c r="R43" s="25" t="s">
        <v>30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45538.0</v>
      </c>
      <c r="C44" s="18" t="s">
        <v>229</v>
      </c>
      <c r="D44" s="19">
        <v>80313.0</v>
      </c>
      <c r="E44" s="20" t="s">
        <v>230</v>
      </c>
      <c r="F44" s="23"/>
      <c r="G44" s="22"/>
      <c r="H44" s="22"/>
      <c r="I44" s="21">
        <v>10000.0</v>
      </c>
      <c r="J44" s="23"/>
      <c r="K44" s="37"/>
      <c r="L44" s="22"/>
      <c r="M44" s="22"/>
      <c r="N44" s="22"/>
      <c r="O44" s="22"/>
      <c r="P44" s="25">
        <v>10000.0</v>
      </c>
      <c r="Q44" s="26">
        <f t="shared" si="1"/>
        <v>0</v>
      </c>
      <c r="R44" s="25" t="s">
        <v>30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8">
        <v>45538.0</v>
      </c>
      <c r="C45" s="18" t="s">
        <v>231</v>
      </c>
      <c r="D45" s="19">
        <v>84720.0</v>
      </c>
      <c r="E45" s="20" t="s">
        <v>232</v>
      </c>
      <c r="F45" s="23"/>
      <c r="G45" s="22"/>
      <c r="H45" s="22"/>
      <c r="I45" s="21">
        <v>300.0</v>
      </c>
      <c r="J45" s="21"/>
      <c r="K45" s="24"/>
      <c r="L45" s="22"/>
      <c r="M45" s="22"/>
      <c r="N45" s="22"/>
      <c r="O45" s="22"/>
      <c r="P45" s="25">
        <v>300.0</v>
      </c>
      <c r="Q45" s="26">
        <f t="shared" si="1"/>
        <v>0</v>
      </c>
      <c r="R45" s="25" t="s">
        <v>43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8">
        <v>45538.0</v>
      </c>
      <c r="C46" s="18" t="s">
        <v>233</v>
      </c>
      <c r="D46" s="19">
        <v>39317.0</v>
      </c>
      <c r="E46" s="20" t="s">
        <v>112</v>
      </c>
      <c r="F46" s="23"/>
      <c r="G46" s="29"/>
      <c r="H46" s="22"/>
      <c r="I46" s="23"/>
      <c r="J46" s="21">
        <v>5150.0</v>
      </c>
      <c r="K46" s="24"/>
      <c r="L46" s="22"/>
      <c r="M46" s="22"/>
      <c r="N46" s="22"/>
      <c r="O46" s="22"/>
      <c r="P46" s="25">
        <v>5150.0</v>
      </c>
      <c r="Q46" s="26">
        <f t="shared" si="1"/>
        <v>0</v>
      </c>
      <c r="R46" s="25" t="s">
        <v>36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8">
        <v>45538.0</v>
      </c>
      <c r="C47" s="18" t="s">
        <v>234</v>
      </c>
      <c r="D47" s="19">
        <v>51678.0</v>
      </c>
      <c r="E47" s="20" t="s">
        <v>235</v>
      </c>
      <c r="F47" s="23"/>
      <c r="G47" s="22"/>
      <c r="H47" s="22"/>
      <c r="I47" s="21">
        <v>2650.0</v>
      </c>
      <c r="J47" s="23"/>
      <c r="K47" s="37"/>
      <c r="L47" s="22"/>
      <c r="M47" s="22"/>
      <c r="N47" s="22"/>
      <c r="O47" s="22"/>
      <c r="P47" s="25">
        <v>2650.0</v>
      </c>
      <c r="Q47" s="26">
        <f t="shared" si="1"/>
        <v>0</v>
      </c>
      <c r="R47" s="25" t="s">
        <v>36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8">
        <v>45538.0</v>
      </c>
      <c r="C48" s="18" t="s">
        <v>236</v>
      </c>
      <c r="D48" s="19">
        <v>10006.0</v>
      </c>
      <c r="E48" s="20" t="s">
        <v>130</v>
      </c>
      <c r="F48" s="23"/>
      <c r="G48" s="29">
        <v>15000.0</v>
      </c>
      <c r="H48" s="22"/>
      <c r="I48" s="23"/>
      <c r="J48" s="23"/>
      <c r="K48" s="24"/>
      <c r="L48" s="22"/>
      <c r="M48" s="29"/>
      <c r="N48" s="22"/>
      <c r="O48" s="22"/>
      <c r="P48" s="25">
        <v>15000.0</v>
      </c>
      <c r="Q48" s="26">
        <f t="shared" si="1"/>
        <v>0</v>
      </c>
      <c r="R48" s="25" t="s">
        <v>25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8">
        <v>45538.0</v>
      </c>
      <c r="C49" s="18" t="s">
        <v>237</v>
      </c>
      <c r="D49" s="19">
        <v>84722.0</v>
      </c>
      <c r="E49" s="20" t="s">
        <v>238</v>
      </c>
      <c r="F49" s="23"/>
      <c r="G49" s="29">
        <v>300.0</v>
      </c>
      <c r="H49" s="22"/>
      <c r="I49" s="23"/>
      <c r="J49" s="21"/>
      <c r="K49" s="24"/>
      <c r="L49" s="22"/>
      <c r="M49" s="22"/>
      <c r="N49" s="22"/>
      <c r="O49" s="22"/>
      <c r="P49" s="25">
        <v>300.0</v>
      </c>
      <c r="Q49" s="26">
        <f t="shared" si="1"/>
        <v>0</v>
      </c>
      <c r="R49" s="25" t="s">
        <v>36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8">
        <v>45538.0</v>
      </c>
      <c r="C50" s="18" t="s">
        <v>239</v>
      </c>
      <c r="D50" s="19">
        <v>52669.0</v>
      </c>
      <c r="E50" s="20" t="s">
        <v>170</v>
      </c>
      <c r="F50" s="23"/>
      <c r="G50" s="29"/>
      <c r="H50" s="29">
        <v>30500.0</v>
      </c>
      <c r="I50" s="23"/>
      <c r="J50" s="23"/>
      <c r="K50" s="24"/>
      <c r="L50" s="22"/>
      <c r="M50" s="22"/>
      <c r="N50" s="22"/>
      <c r="O50" s="22"/>
      <c r="P50" s="25">
        <v>30500.0</v>
      </c>
      <c r="Q50" s="26">
        <f t="shared" si="1"/>
        <v>0</v>
      </c>
      <c r="R50" s="25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8">
        <v>45538.0</v>
      </c>
      <c r="C51" s="18" t="s">
        <v>240</v>
      </c>
      <c r="D51" s="19">
        <v>51017.0</v>
      </c>
      <c r="E51" s="20" t="s">
        <v>241</v>
      </c>
      <c r="F51" s="23"/>
      <c r="G51" s="29"/>
      <c r="H51" s="29">
        <v>14500.0</v>
      </c>
      <c r="I51" s="23"/>
      <c r="J51" s="23"/>
      <c r="K51" s="37"/>
      <c r="L51" s="22"/>
      <c r="M51" s="22"/>
      <c r="N51" s="22"/>
      <c r="O51" s="22"/>
      <c r="P51" s="25">
        <v>14500.0</v>
      </c>
      <c r="Q51" s="26">
        <f t="shared" si="1"/>
        <v>0</v>
      </c>
      <c r="R51" s="25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8">
        <v>45538.0</v>
      </c>
      <c r="C52" s="18" t="s">
        <v>242</v>
      </c>
      <c r="D52" s="19">
        <v>74018.0</v>
      </c>
      <c r="E52" s="20" t="s">
        <v>243</v>
      </c>
      <c r="F52" s="23"/>
      <c r="G52" s="22"/>
      <c r="H52" s="22"/>
      <c r="I52" s="23"/>
      <c r="J52" s="23"/>
      <c r="K52" s="24"/>
      <c r="L52" s="22"/>
      <c r="M52" s="29"/>
      <c r="N52" s="22"/>
      <c r="O52" s="29">
        <v>2400.0</v>
      </c>
      <c r="P52" s="25">
        <v>2400.0</v>
      </c>
      <c r="Q52" s="26">
        <f t="shared" si="1"/>
        <v>0</v>
      </c>
      <c r="R52" s="25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8">
        <v>45538.0</v>
      </c>
      <c r="C53" s="18" t="s">
        <v>244</v>
      </c>
      <c r="D53" s="19">
        <v>43380.0</v>
      </c>
      <c r="E53" s="20" t="s">
        <v>124</v>
      </c>
      <c r="F53" s="23"/>
      <c r="G53" s="22"/>
      <c r="H53" s="29">
        <v>25000.0</v>
      </c>
      <c r="I53" s="21"/>
      <c r="J53" s="23"/>
      <c r="K53" s="24"/>
      <c r="L53" s="22"/>
      <c r="M53" s="22"/>
      <c r="N53" s="22"/>
      <c r="O53" s="22"/>
      <c r="P53" s="25">
        <v>25000.0</v>
      </c>
      <c r="Q53" s="26">
        <f t="shared" si="1"/>
        <v>0</v>
      </c>
      <c r="R53" s="25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8">
        <v>45538.0</v>
      </c>
      <c r="C54" s="18" t="s">
        <v>245</v>
      </c>
      <c r="D54" s="19">
        <v>10288.0</v>
      </c>
      <c r="E54" s="20" t="s">
        <v>246</v>
      </c>
      <c r="F54" s="23"/>
      <c r="G54" s="22"/>
      <c r="H54" s="29">
        <v>15000.0</v>
      </c>
      <c r="I54" s="21"/>
      <c r="J54" s="23"/>
      <c r="K54" s="24"/>
      <c r="L54" s="22"/>
      <c r="M54" s="22"/>
      <c r="N54" s="22"/>
      <c r="O54" s="22"/>
      <c r="P54" s="25">
        <v>15000.0</v>
      </c>
      <c r="Q54" s="26">
        <f t="shared" si="1"/>
        <v>0</v>
      </c>
      <c r="R54" s="25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8">
        <v>45538.0</v>
      </c>
      <c r="C55" s="18" t="s">
        <v>247</v>
      </c>
      <c r="D55" s="19">
        <v>10249.0</v>
      </c>
      <c r="E55" s="20" t="s">
        <v>126</v>
      </c>
      <c r="F55" s="23"/>
      <c r="G55" s="22"/>
      <c r="H55" s="22"/>
      <c r="I55" s="23"/>
      <c r="J55" s="21"/>
      <c r="K55" s="37">
        <v>85.0</v>
      </c>
      <c r="L55" s="22"/>
      <c r="M55" s="29"/>
      <c r="N55" s="22"/>
      <c r="O55" s="29">
        <v>2315.0</v>
      </c>
      <c r="P55" s="25">
        <v>2400.0</v>
      </c>
      <c r="Q55" s="26">
        <f t="shared" si="1"/>
        <v>0</v>
      </c>
      <c r="R55" s="50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8">
        <v>45538.0</v>
      </c>
      <c r="C56" s="18" t="s">
        <v>248</v>
      </c>
      <c r="D56" s="19">
        <v>57425.0</v>
      </c>
      <c r="E56" s="20" t="s">
        <v>249</v>
      </c>
      <c r="F56" s="23"/>
      <c r="G56" s="22"/>
      <c r="H56" s="29"/>
      <c r="I56" s="23"/>
      <c r="J56" s="23"/>
      <c r="K56" s="24"/>
      <c r="L56" s="22"/>
      <c r="M56" s="22"/>
      <c r="N56" s="22"/>
      <c r="O56" s="29">
        <v>4800.0</v>
      </c>
      <c r="P56" s="25">
        <v>4800.0</v>
      </c>
      <c r="Q56" s="26">
        <f t="shared" si="1"/>
        <v>0</v>
      </c>
      <c r="R56" s="50"/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8">
        <v>45538.0</v>
      </c>
      <c r="C57" s="18" t="s">
        <v>250</v>
      </c>
      <c r="D57" s="19">
        <v>51660.0</v>
      </c>
      <c r="E57" s="20" t="s">
        <v>251</v>
      </c>
      <c r="F57" s="23"/>
      <c r="G57" s="22"/>
      <c r="H57" s="29">
        <v>4600.0</v>
      </c>
      <c r="I57" s="23"/>
      <c r="J57" s="23"/>
      <c r="K57" s="24"/>
      <c r="L57" s="22"/>
      <c r="M57" s="29"/>
      <c r="N57" s="22"/>
      <c r="O57" s="22"/>
      <c r="P57" s="25">
        <v>4600.0</v>
      </c>
      <c r="Q57" s="26">
        <f t="shared" si="1"/>
        <v>0</v>
      </c>
      <c r="R57" s="50"/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8">
        <v>45538.0</v>
      </c>
      <c r="C58" s="18" t="s">
        <v>252</v>
      </c>
      <c r="D58" s="19">
        <v>54763.0</v>
      </c>
      <c r="E58" s="20" t="s">
        <v>219</v>
      </c>
      <c r="F58" s="23"/>
      <c r="G58" s="22"/>
      <c r="H58" s="22"/>
      <c r="I58" s="23"/>
      <c r="J58" s="23"/>
      <c r="K58" s="37"/>
      <c r="L58" s="22"/>
      <c r="M58" s="29"/>
      <c r="N58" s="22"/>
      <c r="O58" s="29">
        <v>1200.0</v>
      </c>
      <c r="P58" s="25">
        <v>1200.0</v>
      </c>
      <c r="Q58" s="26">
        <f t="shared" si="1"/>
        <v>0</v>
      </c>
      <c r="R58" s="50"/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28">
        <v>45538.0</v>
      </c>
      <c r="C59" s="18" t="s">
        <v>253</v>
      </c>
      <c r="D59" s="19">
        <v>54764.0</v>
      </c>
      <c r="E59" s="20" t="s">
        <v>221</v>
      </c>
      <c r="F59" s="23"/>
      <c r="G59" s="22"/>
      <c r="H59" s="22"/>
      <c r="I59" s="23"/>
      <c r="J59" s="23"/>
      <c r="K59" s="37"/>
      <c r="L59" s="22"/>
      <c r="M59" s="22"/>
      <c r="N59" s="22"/>
      <c r="O59" s="29">
        <v>2400.0</v>
      </c>
      <c r="P59" s="25">
        <v>2400.0</v>
      </c>
      <c r="Q59" s="26">
        <f t="shared" si="1"/>
        <v>0</v>
      </c>
      <c r="R59" s="50"/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/>
      <c r="B60" s="28"/>
      <c r="C60" s="18"/>
      <c r="D60" s="19"/>
      <c r="E60" s="20"/>
      <c r="F60" s="23"/>
      <c r="G60" s="22"/>
      <c r="H60" s="29"/>
      <c r="I60" s="23"/>
      <c r="J60" s="23"/>
      <c r="K60" s="24"/>
      <c r="L60" s="22"/>
      <c r="M60" s="22"/>
      <c r="N60" s="22"/>
      <c r="O60" s="22"/>
      <c r="P60" s="25"/>
      <c r="Q60" s="26">
        <f t="shared" si="1"/>
        <v>0</v>
      </c>
      <c r="R60" s="50"/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/>
      <c r="B61" s="28"/>
      <c r="C61" s="18"/>
      <c r="D61" s="19"/>
      <c r="E61" s="20"/>
      <c r="F61" s="23"/>
      <c r="G61" s="22"/>
      <c r="H61" s="29"/>
      <c r="I61" s="23"/>
      <c r="J61" s="23"/>
      <c r="K61" s="24"/>
      <c r="L61" s="22"/>
      <c r="M61" s="22"/>
      <c r="N61" s="22"/>
      <c r="O61" s="22"/>
      <c r="P61" s="25"/>
      <c r="Q61" s="26">
        <f t="shared" si="1"/>
        <v>0</v>
      </c>
      <c r="R61" s="50"/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7.5" customHeight="1">
      <c r="A62" s="16"/>
      <c r="B62" s="51"/>
      <c r="C62" s="52"/>
      <c r="D62" s="53" t="s">
        <v>149</v>
      </c>
      <c r="E62" s="54"/>
      <c r="F62" s="55">
        <f t="shared" ref="F62:P62" si="2">SUM(F5:F61)</f>
        <v>4000</v>
      </c>
      <c r="G62" s="55">
        <f t="shared" si="2"/>
        <v>22300</v>
      </c>
      <c r="H62" s="55">
        <f t="shared" si="2"/>
        <v>89600</v>
      </c>
      <c r="I62" s="55">
        <f t="shared" si="2"/>
        <v>269020</v>
      </c>
      <c r="J62" s="55">
        <f t="shared" si="2"/>
        <v>43800</v>
      </c>
      <c r="K62" s="55">
        <f t="shared" si="2"/>
        <v>8335</v>
      </c>
      <c r="L62" s="55">
        <f t="shared" si="2"/>
        <v>0</v>
      </c>
      <c r="M62" s="55">
        <f t="shared" si="2"/>
        <v>6000</v>
      </c>
      <c r="N62" s="55">
        <f t="shared" si="2"/>
        <v>0</v>
      </c>
      <c r="O62" s="55">
        <f t="shared" si="2"/>
        <v>13115</v>
      </c>
      <c r="P62" s="55">
        <f t="shared" si="2"/>
        <v>456170</v>
      </c>
      <c r="Q62" s="56">
        <v>0.0</v>
      </c>
      <c r="R62" s="57"/>
      <c r="S62" s="27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</row>
    <row r="63" ht="58.5" customHeight="1">
      <c r="A63" s="58"/>
      <c r="B63" s="58"/>
      <c r="C63" s="59"/>
      <c r="D63" s="58"/>
      <c r="E63" s="58"/>
      <c r="F63" s="60">
        <f>F62+G62+H62+I62+J62+K62+L62+M62+N62+O62</f>
        <v>456170</v>
      </c>
      <c r="P63" s="61"/>
      <c r="Q63" s="61"/>
      <c r="R63" s="58"/>
      <c r="S63" s="58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63" t="s">
        <v>149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62"/>
      <c r="D67" s="4"/>
      <c r="E67" s="64" t="s">
        <v>150</v>
      </c>
      <c r="F67" s="65" t="s">
        <v>254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62"/>
      <c r="D68" s="4"/>
      <c r="E68" s="66" t="s">
        <v>152</v>
      </c>
      <c r="F68" s="65" t="s">
        <v>255</v>
      </c>
      <c r="G68" s="4"/>
      <c r="H68" s="4"/>
      <c r="I68" s="4"/>
      <c r="J68" s="4"/>
      <c r="K68" s="4"/>
      <c r="L68" s="4"/>
      <c r="M68" s="4"/>
      <c r="N68" s="4"/>
      <c r="O68" s="67" t="s">
        <v>149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62"/>
      <c r="D69" s="4"/>
      <c r="E69" s="66" t="s">
        <v>154</v>
      </c>
      <c r="F69" s="65" t="s">
        <v>155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62"/>
      <c r="D70" s="4"/>
      <c r="E70" s="66" t="s">
        <v>156</v>
      </c>
      <c r="F70" s="65" t="s">
        <v>155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26.25" customHeight="1">
      <c r="A71" s="4"/>
      <c r="B71" s="4"/>
      <c r="C71" s="62"/>
      <c r="D71" s="4"/>
      <c r="E71" s="66" t="s">
        <v>157</v>
      </c>
      <c r="F71" s="65" t="s">
        <v>254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26.25" customHeight="1">
      <c r="A72" s="4"/>
      <c r="B72" s="4"/>
      <c r="C72" s="62"/>
      <c r="D72" s="4"/>
      <c r="E72" s="66" t="s">
        <v>256</v>
      </c>
      <c r="F72" s="65" t="s">
        <v>155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26.25" customHeight="1">
      <c r="A73" s="4"/>
      <c r="B73" s="4"/>
      <c r="C73" s="62"/>
      <c r="D73" s="4"/>
      <c r="E73" s="66" t="s">
        <v>160</v>
      </c>
      <c r="F73" s="65" t="s">
        <v>155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26.25" customHeight="1">
      <c r="A74" s="4"/>
      <c r="B74" s="4"/>
      <c r="C74" s="62"/>
      <c r="D74" s="4"/>
      <c r="E74" s="66" t="s">
        <v>161</v>
      </c>
      <c r="F74" s="68" t="s">
        <v>162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67" t="s">
        <v>149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26.2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 t="str">
        <f>I72462</f>
        <v/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26.2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67" t="s">
        <v>163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>
        <v>7.0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6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6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6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6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6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6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7">
    <mergeCell ref="R2:R4"/>
    <mergeCell ref="S2:S4"/>
    <mergeCell ref="F3:F4"/>
    <mergeCell ref="G3:H3"/>
    <mergeCell ref="I3:J3"/>
    <mergeCell ref="K3:K4"/>
    <mergeCell ref="F63:O6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45538.0</v>
      </c>
      <c r="C5" s="18" t="s">
        <v>258</v>
      </c>
      <c r="D5" s="19">
        <v>82621.0</v>
      </c>
      <c r="E5" s="20" t="s">
        <v>259</v>
      </c>
      <c r="F5" s="21"/>
      <c r="G5" s="22"/>
      <c r="H5" s="23"/>
      <c r="I5" s="37">
        <v>2650.0</v>
      </c>
      <c r="J5" s="37"/>
      <c r="K5" s="22"/>
      <c r="L5" s="22"/>
      <c r="M5" s="23"/>
      <c r="N5" s="22"/>
      <c r="O5" s="22"/>
      <c r="P5" s="25">
        <v>2650.0</v>
      </c>
      <c r="Q5" s="26">
        <f t="shared" ref="Q5:Q51" si="1">F5+G5+H5+I5+J5+K5+L5+M5+N5+O5-P5</f>
        <v>0</v>
      </c>
      <c r="R5" s="25" t="s">
        <v>43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45539.0</v>
      </c>
      <c r="C6" s="18" t="s">
        <v>260</v>
      </c>
      <c r="D6" s="19">
        <v>46778.0</v>
      </c>
      <c r="E6" s="20" t="s">
        <v>261</v>
      </c>
      <c r="F6" s="23"/>
      <c r="G6" s="22"/>
      <c r="H6" s="22"/>
      <c r="I6" s="21"/>
      <c r="J6" s="29">
        <v>4150.0</v>
      </c>
      <c r="K6" s="29"/>
      <c r="L6" s="22"/>
      <c r="M6" s="21"/>
      <c r="N6" s="22"/>
      <c r="O6" s="22"/>
      <c r="P6" s="25">
        <v>4150.0</v>
      </c>
      <c r="Q6" s="26">
        <f t="shared" si="1"/>
        <v>0</v>
      </c>
      <c r="R6" s="25" t="s">
        <v>33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45539.0</v>
      </c>
      <c r="C7" s="18" t="s">
        <v>262</v>
      </c>
      <c r="D7" s="19">
        <v>36555.0</v>
      </c>
      <c r="E7" s="20" t="s">
        <v>65</v>
      </c>
      <c r="F7" s="22"/>
      <c r="G7" s="22"/>
      <c r="H7" s="23"/>
      <c r="I7" s="21">
        <v>2500.0</v>
      </c>
      <c r="J7" s="24"/>
      <c r="K7" s="22"/>
      <c r="L7" s="22"/>
      <c r="M7" s="22"/>
      <c r="N7" s="22"/>
      <c r="O7" s="22"/>
      <c r="P7" s="25">
        <v>2500.0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45539.0</v>
      </c>
      <c r="C8" s="18" t="s">
        <v>263</v>
      </c>
      <c r="D8" s="19">
        <v>44149.0</v>
      </c>
      <c r="E8" s="20" t="s">
        <v>264</v>
      </c>
      <c r="F8" s="22"/>
      <c r="G8" s="22"/>
      <c r="H8" s="22"/>
      <c r="I8" s="21">
        <v>14050.0</v>
      </c>
      <c r="J8" s="21"/>
      <c r="K8" s="29">
        <v>1400.0</v>
      </c>
      <c r="L8" s="22"/>
      <c r="M8" s="22"/>
      <c r="N8" s="22"/>
      <c r="O8" s="22"/>
      <c r="P8" s="25">
        <v>15450.0</v>
      </c>
      <c r="Q8" s="26">
        <f t="shared" si="1"/>
        <v>0</v>
      </c>
      <c r="R8" s="25" t="s">
        <v>33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45539.0</v>
      </c>
      <c r="C9" s="18" t="s">
        <v>265</v>
      </c>
      <c r="D9" s="19">
        <v>73864.0</v>
      </c>
      <c r="E9" s="20" t="s">
        <v>266</v>
      </c>
      <c r="F9" s="22"/>
      <c r="G9" s="22"/>
      <c r="H9" s="22"/>
      <c r="I9" s="21">
        <v>14800.0</v>
      </c>
      <c r="J9" s="21"/>
      <c r="K9" s="22"/>
      <c r="L9" s="22"/>
      <c r="M9" s="23"/>
      <c r="N9" s="22"/>
      <c r="O9" s="22"/>
      <c r="P9" s="25">
        <v>14800.0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45539.0</v>
      </c>
      <c r="C10" s="18" t="s">
        <v>267</v>
      </c>
      <c r="D10" s="19">
        <v>43955.0</v>
      </c>
      <c r="E10" s="20" t="s">
        <v>268</v>
      </c>
      <c r="F10" s="22"/>
      <c r="G10" s="22"/>
      <c r="H10" s="22"/>
      <c r="I10" s="21">
        <v>4650.0</v>
      </c>
      <c r="J10" s="21"/>
      <c r="K10" s="22"/>
      <c r="L10" s="22"/>
      <c r="M10" s="23"/>
      <c r="N10" s="22"/>
      <c r="O10" s="22"/>
      <c r="P10" s="25">
        <v>4650.0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45539.0</v>
      </c>
      <c r="C11" s="18" t="s">
        <v>269</v>
      </c>
      <c r="D11" s="19">
        <v>21816.0</v>
      </c>
      <c r="E11" s="20" t="s">
        <v>270</v>
      </c>
      <c r="F11" s="22"/>
      <c r="G11" s="22"/>
      <c r="H11" s="29">
        <v>4500.0</v>
      </c>
      <c r="I11" s="23"/>
      <c r="J11" s="21"/>
      <c r="K11" s="29"/>
      <c r="L11" s="22"/>
      <c r="M11" s="23"/>
      <c r="N11" s="22"/>
      <c r="O11" s="22"/>
      <c r="P11" s="25">
        <v>4500.0</v>
      </c>
      <c r="Q11" s="26">
        <f t="shared" si="1"/>
        <v>0</v>
      </c>
      <c r="R11" s="25" t="s">
        <v>33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45539.0</v>
      </c>
      <c r="C12" s="18" t="s">
        <v>271</v>
      </c>
      <c r="D12" s="19">
        <v>21816.0</v>
      </c>
      <c r="E12" s="20" t="s">
        <v>270</v>
      </c>
      <c r="F12" s="22"/>
      <c r="G12" s="22"/>
      <c r="H12" s="29">
        <v>4500.0</v>
      </c>
      <c r="I12" s="21"/>
      <c r="J12" s="21"/>
      <c r="K12" s="22"/>
      <c r="L12" s="22"/>
      <c r="M12" s="23"/>
      <c r="N12" s="22"/>
      <c r="O12" s="22"/>
      <c r="P12" s="25">
        <v>4500.0</v>
      </c>
      <c r="Q12" s="26">
        <f t="shared" si="1"/>
        <v>0</v>
      </c>
      <c r="R12" s="25" t="s">
        <v>33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45539.0</v>
      </c>
      <c r="C13" s="32" t="s">
        <v>272</v>
      </c>
      <c r="D13" s="33">
        <v>38098.0</v>
      </c>
      <c r="E13" s="34" t="s">
        <v>273</v>
      </c>
      <c r="F13" s="22"/>
      <c r="G13" s="22"/>
      <c r="H13" s="22"/>
      <c r="I13" s="21"/>
      <c r="J13" s="21">
        <v>4940.0</v>
      </c>
      <c r="K13" s="22"/>
      <c r="L13" s="22"/>
      <c r="M13" s="23"/>
      <c r="N13" s="22"/>
      <c r="O13" s="22"/>
      <c r="P13" s="35">
        <v>4940.0</v>
      </c>
      <c r="Q13" s="26">
        <f t="shared" si="1"/>
        <v>0</v>
      </c>
      <c r="R13" s="35" t="s">
        <v>33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45539.0</v>
      </c>
      <c r="C14" s="18" t="s">
        <v>274</v>
      </c>
      <c r="D14" s="19">
        <v>58050.0</v>
      </c>
      <c r="E14" s="20" t="s">
        <v>275</v>
      </c>
      <c r="F14" s="22"/>
      <c r="G14" s="22"/>
      <c r="H14" s="22"/>
      <c r="I14" s="21"/>
      <c r="J14" s="21">
        <v>4900.0</v>
      </c>
      <c r="K14" s="22"/>
      <c r="L14" s="22"/>
      <c r="M14" s="23"/>
      <c r="N14" s="22"/>
      <c r="O14" s="22"/>
      <c r="P14" s="25">
        <v>4900.0</v>
      </c>
      <c r="Q14" s="26">
        <f t="shared" si="1"/>
        <v>0</v>
      </c>
      <c r="R14" s="25" t="s">
        <v>33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45539.0</v>
      </c>
      <c r="C15" s="18" t="s">
        <v>276</v>
      </c>
      <c r="D15" s="19">
        <v>22332.0</v>
      </c>
      <c r="E15" s="20" t="s">
        <v>79</v>
      </c>
      <c r="F15" s="22"/>
      <c r="G15" s="22"/>
      <c r="H15" s="22"/>
      <c r="I15" s="21">
        <v>50000.0</v>
      </c>
      <c r="J15" s="23"/>
      <c r="K15" s="22"/>
      <c r="L15" s="22"/>
      <c r="M15" s="23"/>
      <c r="N15" s="22"/>
      <c r="O15" s="22"/>
      <c r="P15" s="25">
        <v>50000.0</v>
      </c>
      <c r="Q15" s="26">
        <f t="shared" si="1"/>
        <v>0</v>
      </c>
      <c r="R15" s="25" t="s">
        <v>33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45539.0</v>
      </c>
      <c r="C16" s="18" t="s">
        <v>277</v>
      </c>
      <c r="D16" s="19">
        <v>36555.0</v>
      </c>
      <c r="E16" s="20" t="s">
        <v>65</v>
      </c>
      <c r="F16" s="22"/>
      <c r="G16" s="22"/>
      <c r="H16" s="22"/>
      <c r="I16" s="21">
        <v>2438.0</v>
      </c>
      <c r="J16" s="21"/>
      <c r="K16" s="29">
        <v>2062.0</v>
      </c>
      <c r="L16" s="22"/>
      <c r="M16" s="23"/>
      <c r="N16" s="22"/>
      <c r="O16" s="22"/>
      <c r="P16" s="25">
        <v>4500.0</v>
      </c>
      <c r="Q16" s="26">
        <f t="shared" si="1"/>
        <v>0</v>
      </c>
      <c r="R16" s="25" t="s">
        <v>33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45539.0</v>
      </c>
      <c r="C17" s="18" t="s">
        <v>278</v>
      </c>
      <c r="D17" s="19">
        <v>70337.0</v>
      </c>
      <c r="E17" s="20" t="s">
        <v>279</v>
      </c>
      <c r="F17" s="22"/>
      <c r="G17" s="22"/>
      <c r="H17" s="22"/>
      <c r="I17" s="21">
        <v>4850.0</v>
      </c>
      <c r="J17" s="23"/>
      <c r="K17" s="22"/>
      <c r="L17" s="22"/>
      <c r="M17" s="23"/>
      <c r="N17" s="22"/>
      <c r="O17" s="22"/>
      <c r="P17" s="25">
        <v>4850.0</v>
      </c>
      <c r="Q17" s="26">
        <f t="shared" si="1"/>
        <v>0</v>
      </c>
      <c r="R17" s="25" t="s">
        <v>43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45539.0</v>
      </c>
      <c r="C18" s="18" t="s">
        <v>280</v>
      </c>
      <c r="D18" s="19">
        <v>36555.0</v>
      </c>
      <c r="E18" s="20" t="s">
        <v>65</v>
      </c>
      <c r="F18" s="22"/>
      <c r="G18" s="22"/>
      <c r="H18" s="22"/>
      <c r="I18" s="21">
        <v>1000.0</v>
      </c>
      <c r="J18" s="23"/>
      <c r="K18" s="22"/>
      <c r="L18" s="22"/>
      <c r="M18" s="22"/>
      <c r="N18" s="22"/>
      <c r="O18" s="22"/>
      <c r="P18" s="25">
        <v>1000.0</v>
      </c>
      <c r="Q18" s="26">
        <f t="shared" si="1"/>
        <v>0</v>
      </c>
      <c r="R18" s="25" t="s">
        <v>33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45539.0</v>
      </c>
      <c r="C19" s="32" t="s">
        <v>281</v>
      </c>
      <c r="D19" s="33">
        <v>77096.0</v>
      </c>
      <c r="E19" s="34" t="s">
        <v>282</v>
      </c>
      <c r="F19" s="22"/>
      <c r="G19" s="22"/>
      <c r="H19" s="22"/>
      <c r="I19" s="21">
        <v>2650.0</v>
      </c>
      <c r="J19" s="23"/>
      <c r="K19" s="22"/>
      <c r="L19" s="22"/>
      <c r="M19" s="23"/>
      <c r="N19" s="22"/>
      <c r="O19" s="22"/>
      <c r="P19" s="35">
        <v>2650.0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45539.0</v>
      </c>
      <c r="C20" s="18" t="s">
        <v>283</v>
      </c>
      <c r="D20" s="19">
        <v>69620.0</v>
      </c>
      <c r="E20" s="20" t="s">
        <v>59</v>
      </c>
      <c r="F20" s="22"/>
      <c r="G20" s="22"/>
      <c r="H20" s="22"/>
      <c r="I20" s="37"/>
      <c r="J20" s="37">
        <v>5000.0</v>
      </c>
      <c r="K20" s="22"/>
      <c r="L20" s="22"/>
      <c r="M20" s="22"/>
      <c r="N20" s="22"/>
      <c r="O20" s="22"/>
      <c r="P20" s="25">
        <v>5000.0</v>
      </c>
      <c r="Q20" s="26">
        <f t="shared" si="1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45539.0</v>
      </c>
      <c r="C21" s="18" t="s">
        <v>284</v>
      </c>
      <c r="D21" s="19">
        <v>43955.0</v>
      </c>
      <c r="E21" s="20" t="s">
        <v>268</v>
      </c>
      <c r="F21" s="23"/>
      <c r="G21" s="22"/>
      <c r="H21" s="22"/>
      <c r="I21" s="45">
        <v>2850.0</v>
      </c>
      <c r="J21" s="29"/>
      <c r="K21" s="39"/>
      <c r="L21" s="22"/>
      <c r="M21" s="22"/>
      <c r="N21" s="22"/>
      <c r="O21" s="22"/>
      <c r="P21" s="25">
        <v>2850.0</v>
      </c>
      <c r="Q21" s="26">
        <f t="shared" si="1"/>
        <v>0</v>
      </c>
      <c r="R21" s="25" t="s">
        <v>43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45539.0</v>
      </c>
      <c r="C22" s="18" t="s">
        <v>285</v>
      </c>
      <c r="D22" s="19">
        <v>62815.0</v>
      </c>
      <c r="E22" s="20" t="s">
        <v>93</v>
      </c>
      <c r="F22" s="23"/>
      <c r="G22" s="22"/>
      <c r="H22" s="22"/>
      <c r="I22" s="21">
        <v>5000.0</v>
      </c>
      <c r="J22" s="29"/>
      <c r="K22" s="23"/>
      <c r="L22" s="22"/>
      <c r="M22" s="22"/>
      <c r="N22" s="22"/>
      <c r="O22" s="22"/>
      <c r="P22" s="25">
        <v>5000.0</v>
      </c>
      <c r="Q22" s="26">
        <f t="shared" si="1"/>
        <v>0</v>
      </c>
      <c r="R22" s="25" t="s">
        <v>30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45539.0</v>
      </c>
      <c r="C23" s="41" t="s">
        <v>286</v>
      </c>
      <c r="D23" s="42">
        <v>62815.0</v>
      </c>
      <c r="E23" s="43" t="s">
        <v>93</v>
      </c>
      <c r="F23" s="38"/>
      <c r="G23" s="44"/>
      <c r="H23" s="44"/>
      <c r="I23" s="45">
        <v>5000.0</v>
      </c>
      <c r="J23" s="45"/>
      <c r="K23" s="46"/>
      <c r="L23" s="44"/>
      <c r="M23" s="44"/>
      <c r="N23" s="44"/>
      <c r="O23" s="44"/>
      <c r="P23" s="47">
        <v>5000.0</v>
      </c>
      <c r="Q23" s="26">
        <f t="shared" si="1"/>
        <v>0</v>
      </c>
      <c r="R23" s="47" t="s">
        <v>30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45539.0</v>
      </c>
      <c r="C24" s="18" t="s">
        <v>287</v>
      </c>
      <c r="D24" s="19">
        <v>62815.0</v>
      </c>
      <c r="E24" s="20" t="s">
        <v>93</v>
      </c>
      <c r="F24" s="23"/>
      <c r="G24" s="22"/>
      <c r="H24" s="22"/>
      <c r="I24" s="21">
        <v>5000.0</v>
      </c>
      <c r="J24" s="29"/>
      <c r="K24" s="39"/>
      <c r="L24" s="22"/>
      <c r="M24" s="22"/>
      <c r="N24" s="22"/>
      <c r="O24" s="22"/>
      <c r="P24" s="25">
        <v>5000.0</v>
      </c>
      <c r="Q24" s="26">
        <f t="shared" si="1"/>
        <v>0</v>
      </c>
      <c r="R24" s="25" t="s">
        <v>30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45539.0</v>
      </c>
      <c r="C25" s="18" t="s">
        <v>288</v>
      </c>
      <c r="D25" s="19">
        <v>36784.0</v>
      </c>
      <c r="E25" s="20" t="s">
        <v>289</v>
      </c>
      <c r="F25" s="23"/>
      <c r="G25" s="22"/>
      <c r="H25" s="22"/>
      <c r="I25" s="21">
        <v>5150.0</v>
      </c>
      <c r="J25" s="21"/>
      <c r="K25" s="39"/>
      <c r="L25" s="22"/>
      <c r="M25" s="22"/>
      <c r="N25" s="22"/>
      <c r="O25" s="22"/>
      <c r="P25" s="25">
        <v>5150.0</v>
      </c>
      <c r="Q25" s="26">
        <f t="shared" si="1"/>
        <v>0</v>
      </c>
      <c r="R25" s="25" t="s">
        <v>30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45539.0</v>
      </c>
      <c r="C26" s="18" t="s">
        <v>290</v>
      </c>
      <c r="D26" s="19">
        <v>77886.0</v>
      </c>
      <c r="E26" s="20" t="s">
        <v>291</v>
      </c>
      <c r="F26" s="23"/>
      <c r="G26" s="22"/>
      <c r="H26" s="22"/>
      <c r="I26" s="49">
        <v>5000.0</v>
      </c>
      <c r="J26" s="21"/>
      <c r="K26" s="39"/>
      <c r="L26" s="22"/>
      <c r="M26" s="22"/>
      <c r="N26" s="22"/>
      <c r="O26" s="22"/>
      <c r="P26" s="25">
        <v>5000.0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45539.0</v>
      </c>
      <c r="C27" s="18" t="s">
        <v>292</v>
      </c>
      <c r="D27" s="19">
        <v>52611.0</v>
      </c>
      <c r="E27" s="20" t="s">
        <v>293</v>
      </c>
      <c r="F27" s="23"/>
      <c r="G27" s="22"/>
      <c r="H27" s="22"/>
      <c r="I27" s="21"/>
      <c r="J27" s="21">
        <v>2650.0</v>
      </c>
      <c r="K27" s="37"/>
      <c r="L27" s="22"/>
      <c r="M27" s="22"/>
      <c r="N27" s="22"/>
      <c r="O27" s="22"/>
      <c r="P27" s="25">
        <v>2650.0</v>
      </c>
      <c r="Q27" s="26">
        <f t="shared" si="1"/>
        <v>0</v>
      </c>
      <c r="R27" s="25" t="s">
        <v>33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45539.0</v>
      </c>
      <c r="C28" s="18" t="s">
        <v>294</v>
      </c>
      <c r="D28" s="19">
        <v>54178.0</v>
      </c>
      <c r="E28" s="20" t="s">
        <v>81</v>
      </c>
      <c r="F28" s="23"/>
      <c r="G28" s="22"/>
      <c r="H28" s="22"/>
      <c r="I28" s="21">
        <v>4500.0</v>
      </c>
      <c r="J28" s="23"/>
      <c r="K28" s="24"/>
      <c r="L28" s="22"/>
      <c r="M28" s="29"/>
      <c r="N28" s="22"/>
      <c r="O28" s="22"/>
      <c r="P28" s="25">
        <v>4500.0</v>
      </c>
      <c r="Q28" s="26">
        <f t="shared" si="1"/>
        <v>0</v>
      </c>
      <c r="R28" s="25" t="s">
        <v>43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45539.0</v>
      </c>
      <c r="C29" s="18" t="s">
        <v>295</v>
      </c>
      <c r="D29" s="19">
        <v>84734.0</v>
      </c>
      <c r="E29" s="20" t="s">
        <v>296</v>
      </c>
      <c r="F29" s="21"/>
      <c r="G29" s="22"/>
      <c r="H29" s="29"/>
      <c r="I29" s="23"/>
      <c r="J29" s="21">
        <v>7300.0</v>
      </c>
      <c r="K29" s="24"/>
      <c r="L29" s="22"/>
      <c r="M29" s="29"/>
      <c r="N29" s="22"/>
      <c r="O29" s="22"/>
      <c r="P29" s="25">
        <v>7300.0</v>
      </c>
      <c r="Q29" s="26">
        <f t="shared" si="1"/>
        <v>0</v>
      </c>
      <c r="R29" s="25" t="s">
        <v>43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45539.0</v>
      </c>
      <c r="C30" s="18" t="s">
        <v>297</v>
      </c>
      <c r="D30" s="19">
        <v>84733.0</v>
      </c>
      <c r="E30" s="20" t="s">
        <v>298</v>
      </c>
      <c r="F30" s="23"/>
      <c r="G30" s="22"/>
      <c r="H30" s="29">
        <v>7000.0</v>
      </c>
      <c r="I30" s="21"/>
      <c r="J30" s="21"/>
      <c r="K30" s="24"/>
      <c r="L30" s="22"/>
      <c r="M30" s="22"/>
      <c r="N30" s="22"/>
      <c r="O30" s="22"/>
      <c r="P30" s="25">
        <v>7000.0</v>
      </c>
      <c r="Q30" s="26">
        <f t="shared" si="1"/>
        <v>0</v>
      </c>
      <c r="R30" s="25" t="s">
        <v>36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45539.0</v>
      </c>
      <c r="C31" s="18" t="s">
        <v>299</v>
      </c>
      <c r="D31" s="19">
        <v>39317.0</v>
      </c>
      <c r="E31" s="20" t="s">
        <v>112</v>
      </c>
      <c r="F31" s="23"/>
      <c r="G31" s="22"/>
      <c r="H31" s="22"/>
      <c r="I31" s="21"/>
      <c r="J31" s="21">
        <v>150.0</v>
      </c>
      <c r="K31" s="24"/>
      <c r="L31" s="22"/>
      <c r="M31" s="22"/>
      <c r="N31" s="22"/>
      <c r="O31" s="22"/>
      <c r="P31" s="25">
        <v>150.0</v>
      </c>
      <c r="Q31" s="26">
        <f t="shared" si="1"/>
        <v>0</v>
      </c>
      <c r="R31" s="25" t="s">
        <v>33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45539.0</v>
      </c>
      <c r="C32" s="18" t="s">
        <v>300</v>
      </c>
      <c r="D32" s="19">
        <v>35227.0</v>
      </c>
      <c r="E32" s="20" t="s">
        <v>301</v>
      </c>
      <c r="F32" s="21">
        <v>1000.0</v>
      </c>
      <c r="G32" s="22"/>
      <c r="H32" s="22"/>
      <c r="I32" s="21"/>
      <c r="J32" s="23"/>
      <c r="K32" s="24"/>
      <c r="L32" s="22"/>
      <c r="M32" s="22"/>
      <c r="N32" s="22"/>
      <c r="O32" s="22"/>
      <c r="P32" s="25">
        <v>1000.0</v>
      </c>
      <c r="Q32" s="26">
        <f t="shared" si="1"/>
        <v>0</v>
      </c>
      <c r="R32" s="25" t="s">
        <v>36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45539.0</v>
      </c>
      <c r="C33" s="18" t="s">
        <v>302</v>
      </c>
      <c r="D33" s="19">
        <v>51697.0</v>
      </c>
      <c r="E33" s="20" t="s">
        <v>303</v>
      </c>
      <c r="F33" s="23"/>
      <c r="G33" s="22"/>
      <c r="H33" s="22"/>
      <c r="I33" s="21"/>
      <c r="J33" s="21">
        <v>418.0</v>
      </c>
      <c r="K33" s="37">
        <v>2232.0</v>
      </c>
      <c r="L33" s="22"/>
      <c r="M33" s="22"/>
      <c r="N33" s="22"/>
      <c r="O33" s="22"/>
      <c r="P33" s="25">
        <v>2650.0</v>
      </c>
      <c r="Q33" s="26">
        <f t="shared" si="1"/>
        <v>0</v>
      </c>
      <c r="R33" s="25" t="s">
        <v>30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45539.0</v>
      </c>
      <c r="C34" s="18" t="s">
        <v>304</v>
      </c>
      <c r="D34" s="19">
        <v>51939.0</v>
      </c>
      <c r="E34" s="20" t="s">
        <v>305</v>
      </c>
      <c r="F34" s="23"/>
      <c r="G34" s="22"/>
      <c r="H34" s="22"/>
      <c r="I34" s="21">
        <v>14950.0</v>
      </c>
      <c r="J34" s="21"/>
      <c r="K34" s="37"/>
      <c r="L34" s="22"/>
      <c r="M34" s="22"/>
      <c r="N34" s="22"/>
      <c r="O34" s="22"/>
      <c r="P34" s="25">
        <v>14950.0</v>
      </c>
      <c r="Q34" s="26">
        <f t="shared" si="1"/>
        <v>0</v>
      </c>
      <c r="R34" s="25" t="s">
        <v>43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45539.0</v>
      </c>
      <c r="C35" s="18" t="s">
        <v>306</v>
      </c>
      <c r="D35" s="19">
        <v>84736.0</v>
      </c>
      <c r="E35" s="20" t="s">
        <v>307</v>
      </c>
      <c r="F35" s="23"/>
      <c r="G35" s="22"/>
      <c r="H35" s="29"/>
      <c r="I35" s="21">
        <v>300.0</v>
      </c>
      <c r="J35" s="23"/>
      <c r="K35" s="24"/>
      <c r="L35" s="22"/>
      <c r="M35" s="22"/>
      <c r="N35" s="22"/>
      <c r="O35" s="22"/>
      <c r="P35" s="25">
        <v>300.0</v>
      </c>
      <c r="Q35" s="26">
        <f t="shared" si="1"/>
        <v>0</v>
      </c>
      <c r="R35" s="25" t="s">
        <v>33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45538.0</v>
      </c>
      <c r="C36" s="18" t="s">
        <v>308</v>
      </c>
      <c r="D36" s="19">
        <v>42339.0</v>
      </c>
      <c r="E36" s="20" t="s">
        <v>309</v>
      </c>
      <c r="F36" s="23"/>
      <c r="G36" s="22"/>
      <c r="H36" s="22"/>
      <c r="I36" s="21"/>
      <c r="J36" s="21"/>
      <c r="K36" s="24"/>
      <c r="L36" s="22"/>
      <c r="M36" s="22"/>
      <c r="N36" s="22"/>
      <c r="O36" s="29">
        <v>1200.0</v>
      </c>
      <c r="P36" s="25">
        <v>1200.0</v>
      </c>
      <c r="Q36" s="26">
        <f t="shared" si="1"/>
        <v>0</v>
      </c>
      <c r="R36" s="25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45539.0</v>
      </c>
      <c r="C37" s="18" t="s">
        <v>310</v>
      </c>
      <c r="D37" s="19">
        <v>77283.0</v>
      </c>
      <c r="E37" s="20" t="s">
        <v>311</v>
      </c>
      <c r="F37" s="23"/>
      <c r="G37" s="22"/>
      <c r="H37" s="22"/>
      <c r="I37" s="21"/>
      <c r="J37" s="23"/>
      <c r="K37" s="37"/>
      <c r="L37" s="22"/>
      <c r="M37" s="29">
        <v>5150.0</v>
      </c>
      <c r="N37" s="22"/>
      <c r="O37" s="22"/>
      <c r="P37" s="25">
        <v>5150.0</v>
      </c>
      <c r="Q37" s="26">
        <f t="shared" si="1"/>
        <v>0</v>
      </c>
      <c r="R37" s="25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45539.0</v>
      </c>
      <c r="C38" s="18" t="s">
        <v>312</v>
      </c>
      <c r="D38" s="19">
        <v>51017.0</v>
      </c>
      <c r="E38" s="20" t="s">
        <v>241</v>
      </c>
      <c r="F38" s="23"/>
      <c r="G38" s="22"/>
      <c r="H38" s="29">
        <v>5000.0</v>
      </c>
      <c r="I38" s="21"/>
      <c r="J38" s="23"/>
      <c r="K38" s="24"/>
      <c r="L38" s="22"/>
      <c r="M38" s="22"/>
      <c r="N38" s="22"/>
      <c r="O38" s="22"/>
      <c r="P38" s="25">
        <v>5000.0</v>
      </c>
      <c r="Q38" s="26">
        <f t="shared" si="1"/>
        <v>0</v>
      </c>
      <c r="R38" s="25"/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45539.0</v>
      </c>
      <c r="C39" s="18" t="s">
        <v>313</v>
      </c>
      <c r="D39" s="19">
        <v>58257.0</v>
      </c>
      <c r="E39" s="20" t="s">
        <v>314</v>
      </c>
      <c r="F39" s="23"/>
      <c r="G39" s="22"/>
      <c r="H39" s="22"/>
      <c r="I39" s="21"/>
      <c r="J39" s="23"/>
      <c r="K39" s="24"/>
      <c r="L39" s="22"/>
      <c r="M39" s="22"/>
      <c r="N39" s="22"/>
      <c r="O39" s="29">
        <v>1200.0</v>
      </c>
      <c r="P39" s="25">
        <v>1200.0</v>
      </c>
      <c r="Q39" s="26">
        <f t="shared" si="1"/>
        <v>0</v>
      </c>
      <c r="R39" s="25"/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45539.0</v>
      </c>
      <c r="C40" s="18" t="s">
        <v>315</v>
      </c>
      <c r="D40" s="19">
        <v>58633.0</v>
      </c>
      <c r="E40" s="20" t="s">
        <v>316</v>
      </c>
      <c r="F40" s="23"/>
      <c r="G40" s="22"/>
      <c r="H40" s="22"/>
      <c r="I40" s="21"/>
      <c r="J40" s="23"/>
      <c r="K40" s="37"/>
      <c r="L40" s="22"/>
      <c r="M40" s="22"/>
      <c r="N40" s="22"/>
      <c r="O40" s="29">
        <v>9200.0</v>
      </c>
      <c r="P40" s="25">
        <v>9200.0</v>
      </c>
      <c r="Q40" s="26">
        <f t="shared" si="1"/>
        <v>0</v>
      </c>
      <c r="R40" s="25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45539.0</v>
      </c>
      <c r="C41" s="18" t="s">
        <v>317</v>
      </c>
      <c r="D41" s="19">
        <v>81519.0</v>
      </c>
      <c r="E41" s="20" t="s">
        <v>318</v>
      </c>
      <c r="F41" s="23"/>
      <c r="G41" s="22"/>
      <c r="H41" s="22"/>
      <c r="I41" s="21"/>
      <c r="J41" s="23"/>
      <c r="K41" s="37">
        <v>7000.0</v>
      </c>
      <c r="L41" s="22"/>
      <c r="M41" s="22"/>
      <c r="N41" s="22"/>
      <c r="O41" s="22"/>
      <c r="P41" s="25">
        <v>7000.0</v>
      </c>
      <c r="Q41" s="26">
        <f t="shared" si="1"/>
        <v>0</v>
      </c>
      <c r="R41" s="25"/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45539.0</v>
      </c>
      <c r="C42" s="18" t="s">
        <v>319</v>
      </c>
      <c r="D42" s="19">
        <v>21828.0</v>
      </c>
      <c r="E42" s="20" t="s">
        <v>144</v>
      </c>
      <c r="F42" s="23"/>
      <c r="G42" s="29"/>
      <c r="H42" s="22"/>
      <c r="I42" s="21"/>
      <c r="J42" s="23"/>
      <c r="K42" s="37">
        <v>1350.0</v>
      </c>
      <c r="L42" s="22"/>
      <c r="M42" s="22"/>
      <c r="N42" s="22"/>
      <c r="O42" s="22"/>
      <c r="P42" s="25">
        <v>1350.0</v>
      </c>
      <c r="Q42" s="26">
        <f t="shared" si="1"/>
        <v>0</v>
      </c>
      <c r="R42" s="25"/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45539.0</v>
      </c>
      <c r="C43" s="18" t="s">
        <v>320</v>
      </c>
      <c r="D43" s="19">
        <v>43955.0</v>
      </c>
      <c r="E43" s="20" t="s">
        <v>268</v>
      </c>
      <c r="F43" s="23"/>
      <c r="G43" s="29"/>
      <c r="H43" s="22"/>
      <c r="I43" s="21"/>
      <c r="J43" s="23"/>
      <c r="K43" s="24"/>
      <c r="L43" s="22"/>
      <c r="M43" s="22"/>
      <c r="N43" s="22"/>
      <c r="O43" s="29">
        <v>6000.0</v>
      </c>
      <c r="P43" s="25">
        <v>6000.0</v>
      </c>
      <c r="Q43" s="26">
        <f t="shared" si="1"/>
        <v>0</v>
      </c>
      <c r="R43" s="25"/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45539.0</v>
      </c>
      <c r="C44" s="18" t="s">
        <v>321</v>
      </c>
      <c r="D44" s="19">
        <v>39384.0</v>
      </c>
      <c r="E44" s="20" t="s">
        <v>322</v>
      </c>
      <c r="F44" s="23"/>
      <c r="G44" s="22"/>
      <c r="H44" s="22"/>
      <c r="I44" s="21"/>
      <c r="J44" s="23"/>
      <c r="K44" s="37"/>
      <c r="L44" s="22"/>
      <c r="M44" s="22"/>
      <c r="N44" s="22"/>
      <c r="O44" s="29">
        <v>1200.0</v>
      </c>
      <c r="P44" s="25">
        <v>1200.0</v>
      </c>
      <c r="Q44" s="26">
        <f t="shared" si="1"/>
        <v>0</v>
      </c>
      <c r="R44" s="25"/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8">
        <v>45539.0</v>
      </c>
      <c r="C45" s="18" t="s">
        <v>323</v>
      </c>
      <c r="D45" s="19">
        <v>40433.0</v>
      </c>
      <c r="E45" s="20" t="s">
        <v>324</v>
      </c>
      <c r="F45" s="23"/>
      <c r="G45" s="22"/>
      <c r="H45" s="22"/>
      <c r="I45" s="21"/>
      <c r="J45" s="21"/>
      <c r="K45" s="24"/>
      <c r="L45" s="22"/>
      <c r="M45" s="22"/>
      <c r="N45" s="22"/>
      <c r="O45" s="29">
        <v>1200.0</v>
      </c>
      <c r="P45" s="25">
        <v>1200.0</v>
      </c>
      <c r="Q45" s="26">
        <f t="shared" si="1"/>
        <v>0</v>
      </c>
      <c r="R45" s="25"/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8">
        <v>45539.0</v>
      </c>
      <c r="C46" s="18" t="s">
        <v>325</v>
      </c>
      <c r="D46" s="19">
        <v>48523.0</v>
      </c>
      <c r="E46" s="20" t="s">
        <v>326</v>
      </c>
      <c r="F46" s="23"/>
      <c r="G46" s="29"/>
      <c r="H46" s="22"/>
      <c r="I46" s="23"/>
      <c r="J46" s="21"/>
      <c r="K46" s="24"/>
      <c r="L46" s="22"/>
      <c r="M46" s="22"/>
      <c r="N46" s="22"/>
      <c r="O46" s="29">
        <v>1600.0</v>
      </c>
      <c r="P46" s="25">
        <v>1600.0</v>
      </c>
      <c r="Q46" s="26">
        <f t="shared" si="1"/>
        <v>0</v>
      </c>
      <c r="R46" s="25"/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8">
        <v>45539.0</v>
      </c>
      <c r="C47" s="18" t="s">
        <v>327</v>
      </c>
      <c r="D47" s="19">
        <v>39317.0</v>
      </c>
      <c r="E47" s="20" t="s">
        <v>112</v>
      </c>
      <c r="F47" s="23"/>
      <c r="G47" s="22"/>
      <c r="H47" s="22"/>
      <c r="I47" s="21"/>
      <c r="J47" s="23"/>
      <c r="K47" s="37"/>
      <c r="L47" s="22"/>
      <c r="M47" s="22"/>
      <c r="N47" s="22"/>
      <c r="O47" s="29">
        <v>5200.0</v>
      </c>
      <c r="P47" s="25">
        <v>5200.0</v>
      </c>
      <c r="Q47" s="26">
        <f t="shared" si="1"/>
        <v>0</v>
      </c>
      <c r="R47" s="25"/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8">
        <v>45539.0</v>
      </c>
      <c r="C48" s="18" t="s">
        <v>328</v>
      </c>
      <c r="D48" s="19">
        <v>51697.0</v>
      </c>
      <c r="E48" s="20" t="s">
        <v>303</v>
      </c>
      <c r="F48" s="23"/>
      <c r="G48" s="29"/>
      <c r="H48" s="22"/>
      <c r="I48" s="23"/>
      <c r="J48" s="23"/>
      <c r="K48" s="24"/>
      <c r="L48" s="22"/>
      <c r="M48" s="29"/>
      <c r="N48" s="22"/>
      <c r="O48" s="29">
        <v>1200.0</v>
      </c>
      <c r="P48" s="25">
        <v>1200.0</v>
      </c>
      <c r="Q48" s="26">
        <f t="shared" si="1"/>
        <v>0</v>
      </c>
      <c r="R48" s="25"/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8">
        <v>45539.0</v>
      </c>
      <c r="C49" s="18" t="s">
        <v>329</v>
      </c>
      <c r="D49" s="19">
        <v>52585.0</v>
      </c>
      <c r="E49" s="20" t="s">
        <v>330</v>
      </c>
      <c r="F49" s="23"/>
      <c r="G49" s="29"/>
      <c r="H49" s="22"/>
      <c r="I49" s="23"/>
      <c r="J49" s="21"/>
      <c r="K49" s="37">
        <v>27.5</v>
      </c>
      <c r="L49" s="22"/>
      <c r="M49" s="22"/>
      <c r="N49" s="22"/>
      <c r="O49" s="29">
        <v>1172.5</v>
      </c>
      <c r="P49" s="25">
        <v>1200.0</v>
      </c>
      <c r="Q49" s="26">
        <f t="shared" si="1"/>
        <v>0</v>
      </c>
      <c r="R49" s="25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/>
      <c r="B50" s="28"/>
      <c r="C50" s="18"/>
      <c r="D50" s="19"/>
      <c r="E50" s="20"/>
      <c r="F50" s="23"/>
      <c r="G50" s="22"/>
      <c r="H50" s="29"/>
      <c r="I50" s="23"/>
      <c r="J50" s="23"/>
      <c r="K50" s="24"/>
      <c r="L50" s="22"/>
      <c r="M50" s="22"/>
      <c r="N50" s="22"/>
      <c r="O50" s="22"/>
      <c r="P50" s="25"/>
      <c r="Q50" s="26">
        <f t="shared" si="1"/>
        <v>0</v>
      </c>
      <c r="R50" s="50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/>
      <c r="B51" s="28"/>
      <c r="C51" s="18"/>
      <c r="D51" s="19"/>
      <c r="E51" s="20"/>
      <c r="F51" s="23"/>
      <c r="G51" s="22"/>
      <c r="H51" s="29"/>
      <c r="I51" s="23"/>
      <c r="J51" s="23"/>
      <c r="K51" s="24"/>
      <c r="L51" s="22"/>
      <c r="M51" s="22"/>
      <c r="N51" s="22"/>
      <c r="O51" s="22"/>
      <c r="P51" s="25"/>
      <c r="Q51" s="26">
        <f t="shared" si="1"/>
        <v>0</v>
      </c>
      <c r="R51" s="50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7.5" customHeight="1">
      <c r="A52" s="16"/>
      <c r="B52" s="51"/>
      <c r="C52" s="52"/>
      <c r="D52" s="53" t="s">
        <v>149</v>
      </c>
      <c r="E52" s="54"/>
      <c r="F52" s="55">
        <f t="shared" ref="F52:P52" si="2">SUM(F5:F51)</f>
        <v>1000</v>
      </c>
      <c r="G52" s="55">
        <f t="shared" si="2"/>
        <v>0</v>
      </c>
      <c r="H52" s="55">
        <f t="shared" si="2"/>
        <v>21000</v>
      </c>
      <c r="I52" s="55">
        <f t="shared" si="2"/>
        <v>147338</v>
      </c>
      <c r="J52" s="55">
        <f t="shared" si="2"/>
        <v>29508</v>
      </c>
      <c r="K52" s="55">
        <f t="shared" si="2"/>
        <v>14071.5</v>
      </c>
      <c r="L52" s="55">
        <f t="shared" si="2"/>
        <v>0</v>
      </c>
      <c r="M52" s="55">
        <f t="shared" si="2"/>
        <v>5150</v>
      </c>
      <c r="N52" s="55">
        <f t="shared" si="2"/>
        <v>0</v>
      </c>
      <c r="O52" s="55">
        <f t="shared" si="2"/>
        <v>29172.5</v>
      </c>
      <c r="P52" s="55">
        <f t="shared" si="2"/>
        <v>247240</v>
      </c>
      <c r="Q52" s="56">
        <v>0.0</v>
      </c>
      <c r="R52" s="57"/>
      <c r="S52" s="27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</row>
    <row r="53" ht="58.5" customHeight="1">
      <c r="A53" s="58"/>
      <c r="B53" s="58"/>
      <c r="C53" s="59"/>
      <c r="D53" s="58"/>
      <c r="E53" s="58"/>
      <c r="F53" s="60">
        <f>F52+G52+H52+I52+J52+K52+L52+M52+N52+O52</f>
        <v>247240</v>
      </c>
      <c r="P53" s="61"/>
      <c r="Q53" s="61"/>
      <c r="R53" s="58"/>
      <c r="S53" s="58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3" t="s">
        <v>149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2"/>
      <c r="D57" s="4"/>
      <c r="E57" s="64" t="s">
        <v>150</v>
      </c>
      <c r="F57" s="65" t="s">
        <v>254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62"/>
      <c r="D58" s="4"/>
      <c r="E58" s="66" t="s">
        <v>152</v>
      </c>
      <c r="F58" s="65" t="s">
        <v>254</v>
      </c>
      <c r="G58" s="4"/>
      <c r="H58" s="4"/>
      <c r="I58" s="4"/>
      <c r="J58" s="4"/>
      <c r="K58" s="4"/>
      <c r="L58" s="4"/>
      <c r="M58" s="4"/>
      <c r="N58" s="4"/>
      <c r="O58" s="67" t="s">
        <v>149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2"/>
      <c r="D59" s="4"/>
      <c r="E59" s="66" t="s">
        <v>154</v>
      </c>
      <c r="F59" s="65" t="s">
        <v>151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2"/>
      <c r="D60" s="4"/>
      <c r="E60" s="66" t="s">
        <v>156</v>
      </c>
      <c r="F60" s="65" t="s">
        <v>151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2"/>
      <c r="D61" s="4"/>
      <c r="E61" s="66" t="s">
        <v>157</v>
      </c>
      <c r="F61" s="65" t="s">
        <v>151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62"/>
      <c r="D62" s="4"/>
      <c r="E62" s="66" t="s">
        <v>331</v>
      </c>
      <c r="F62" s="65" t="s">
        <v>151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62"/>
      <c r="D63" s="4"/>
      <c r="E63" s="66" t="s">
        <v>160</v>
      </c>
      <c r="F63" s="65" t="s">
        <v>151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62"/>
      <c r="D64" s="4"/>
      <c r="E64" s="66" t="s">
        <v>161</v>
      </c>
      <c r="F64" s="68" t="s">
        <v>162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67" t="s">
        <v>149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 t="str">
        <f>I72452</f>
        <v/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69"/>
      <c r="G72" s="4"/>
      <c r="H72" s="4"/>
      <c r="I72" s="67" t="s">
        <v>163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>
        <v>7.0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7">
    <mergeCell ref="R2:R4"/>
    <mergeCell ref="S2:S4"/>
    <mergeCell ref="F3:F4"/>
    <mergeCell ref="G3:H3"/>
    <mergeCell ref="I3:J3"/>
    <mergeCell ref="K3:K4"/>
    <mergeCell ref="F53:O5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45539.0</v>
      </c>
      <c r="C5" s="18" t="s">
        <v>333</v>
      </c>
      <c r="D5" s="19">
        <v>77765.0</v>
      </c>
      <c r="E5" s="20" t="s">
        <v>334</v>
      </c>
      <c r="F5" s="21"/>
      <c r="G5" s="22"/>
      <c r="H5" s="23"/>
      <c r="I5" s="37"/>
      <c r="J5" s="37">
        <v>2650.0</v>
      </c>
      <c r="K5" s="22"/>
      <c r="L5" s="22"/>
      <c r="M5" s="23"/>
      <c r="N5" s="22"/>
      <c r="O5" s="22"/>
      <c r="P5" s="25">
        <v>2650.0</v>
      </c>
      <c r="Q5" s="26">
        <f t="shared" ref="Q5:Q55" si="1">F5+G5+H5+I5+J5+K5+L5+M5+N5+O5-P5</f>
        <v>0</v>
      </c>
      <c r="R5" s="25" t="s">
        <v>33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45539.0</v>
      </c>
      <c r="C6" s="18" t="s">
        <v>335</v>
      </c>
      <c r="D6" s="19">
        <v>58257.0</v>
      </c>
      <c r="E6" s="20" t="s">
        <v>314</v>
      </c>
      <c r="F6" s="23"/>
      <c r="G6" s="22"/>
      <c r="H6" s="22"/>
      <c r="I6" s="21">
        <v>150.0</v>
      </c>
      <c r="J6" s="29"/>
      <c r="K6" s="29"/>
      <c r="L6" s="22"/>
      <c r="M6" s="21"/>
      <c r="N6" s="22"/>
      <c r="O6" s="22"/>
      <c r="P6" s="25">
        <v>150.0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45539.0</v>
      </c>
      <c r="C7" s="18" t="s">
        <v>336</v>
      </c>
      <c r="D7" s="19">
        <v>51939.0</v>
      </c>
      <c r="E7" s="20" t="s">
        <v>305</v>
      </c>
      <c r="F7" s="22"/>
      <c r="G7" s="22"/>
      <c r="H7" s="23"/>
      <c r="I7" s="21">
        <v>0.0</v>
      </c>
      <c r="J7" s="24"/>
      <c r="K7" s="22"/>
      <c r="L7" s="22"/>
      <c r="M7" s="22"/>
      <c r="N7" s="22"/>
      <c r="O7" s="22"/>
      <c r="P7" s="25">
        <v>14950.0</v>
      </c>
      <c r="Q7" s="26">
        <f t="shared" si="1"/>
        <v>-14950</v>
      </c>
      <c r="R7" s="25" t="s">
        <v>43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45539.0</v>
      </c>
      <c r="C8" s="18" t="s">
        <v>337</v>
      </c>
      <c r="D8" s="19">
        <v>50436.0</v>
      </c>
      <c r="E8" s="20" t="s">
        <v>338</v>
      </c>
      <c r="F8" s="22"/>
      <c r="G8" s="22"/>
      <c r="H8" s="22"/>
      <c r="I8" s="21">
        <v>600.0</v>
      </c>
      <c r="J8" s="21"/>
      <c r="K8" s="29"/>
      <c r="L8" s="22"/>
      <c r="M8" s="22"/>
      <c r="N8" s="22"/>
      <c r="O8" s="22"/>
      <c r="P8" s="25">
        <v>600.0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45540.0</v>
      </c>
      <c r="C9" s="18" t="s">
        <v>339</v>
      </c>
      <c r="D9" s="19">
        <v>30248.0</v>
      </c>
      <c r="E9" s="20" t="s">
        <v>340</v>
      </c>
      <c r="F9" s="22"/>
      <c r="G9" s="22"/>
      <c r="H9" s="22"/>
      <c r="I9" s="21">
        <v>1350.0</v>
      </c>
      <c r="J9" s="21"/>
      <c r="K9" s="22"/>
      <c r="L9" s="22"/>
      <c r="M9" s="23"/>
      <c r="N9" s="22"/>
      <c r="O9" s="22"/>
      <c r="P9" s="25">
        <v>1350.0</v>
      </c>
      <c r="Q9" s="26">
        <f t="shared" si="1"/>
        <v>0</v>
      </c>
      <c r="R9" s="25" t="s">
        <v>30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45540.0</v>
      </c>
      <c r="C10" s="18" t="s">
        <v>341</v>
      </c>
      <c r="D10" s="19">
        <v>67621.0</v>
      </c>
      <c r="E10" s="20" t="s">
        <v>216</v>
      </c>
      <c r="F10" s="22"/>
      <c r="G10" s="22"/>
      <c r="H10" s="22"/>
      <c r="I10" s="21">
        <v>10000.0</v>
      </c>
      <c r="J10" s="21"/>
      <c r="K10" s="22"/>
      <c r="L10" s="22"/>
      <c r="M10" s="23"/>
      <c r="N10" s="22"/>
      <c r="O10" s="22"/>
      <c r="P10" s="25">
        <v>10000.0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45540.0</v>
      </c>
      <c r="C11" s="18" t="s">
        <v>342</v>
      </c>
      <c r="D11" s="19">
        <v>32857.0</v>
      </c>
      <c r="E11" s="20" t="s">
        <v>343</v>
      </c>
      <c r="F11" s="22"/>
      <c r="G11" s="22"/>
      <c r="H11" s="29"/>
      <c r="I11" s="21">
        <v>2550.0</v>
      </c>
      <c r="J11" s="21"/>
      <c r="K11" s="29"/>
      <c r="L11" s="22"/>
      <c r="M11" s="23"/>
      <c r="N11" s="22"/>
      <c r="O11" s="22"/>
      <c r="P11" s="25">
        <v>2550.0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45540.0</v>
      </c>
      <c r="C12" s="18" t="s">
        <v>344</v>
      </c>
      <c r="D12" s="19">
        <v>80378.0</v>
      </c>
      <c r="E12" s="20" t="s">
        <v>345</v>
      </c>
      <c r="F12" s="22"/>
      <c r="G12" s="22"/>
      <c r="H12" s="29"/>
      <c r="I12" s="21">
        <v>9500.0</v>
      </c>
      <c r="J12" s="21"/>
      <c r="K12" s="22"/>
      <c r="L12" s="22"/>
      <c r="M12" s="23"/>
      <c r="N12" s="22"/>
      <c r="O12" s="22"/>
      <c r="P12" s="25">
        <v>9500.0</v>
      </c>
      <c r="Q12" s="26">
        <f t="shared" si="1"/>
        <v>0</v>
      </c>
      <c r="R12" s="25" t="s">
        <v>25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45540.0</v>
      </c>
      <c r="C13" s="32" t="s">
        <v>346</v>
      </c>
      <c r="D13" s="33">
        <v>50697.0</v>
      </c>
      <c r="E13" s="34" t="s">
        <v>347</v>
      </c>
      <c r="F13" s="22"/>
      <c r="G13" s="22"/>
      <c r="H13" s="22"/>
      <c r="I13" s="21"/>
      <c r="J13" s="21">
        <v>5150.0</v>
      </c>
      <c r="K13" s="22"/>
      <c r="L13" s="22"/>
      <c r="M13" s="23"/>
      <c r="N13" s="22"/>
      <c r="O13" s="22"/>
      <c r="P13" s="35">
        <v>5150.0</v>
      </c>
      <c r="Q13" s="26">
        <f t="shared" si="1"/>
        <v>0</v>
      </c>
      <c r="R13" s="35" t="s">
        <v>30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45540.0</v>
      </c>
      <c r="C14" s="18" t="s">
        <v>348</v>
      </c>
      <c r="D14" s="19">
        <v>10837.0</v>
      </c>
      <c r="E14" s="20" t="s">
        <v>349</v>
      </c>
      <c r="F14" s="22"/>
      <c r="G14" s="22"/>
      <c r="H14" s="22"/>
      <c r="I14" s="21">
        <v>4500.0</v>
      </c>
      <c r="J14" s="21"/>
      <c r="K14" s="22"/>
      <c r="L14" s="22"/>
      <c r="M14" s="23"/>
      <c r="N14" s="22"/>
      <c r="O14" s="22"/>
      <c r="P14" s="25">
        <v>4500.0</v>
      </c>
      <c r="Q14" s="26">
        <f t="shared" si="1"/>
        <v>0</v>
      </c>
      <c r="R14" s="25" t="s">
        <v>30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45540.0</v>
      </c>
      <c r="C15" s="18" t="s">
        <v>350</v>
      </c>
      <c r="D15" s="19">
        <v>26350.0</v>
      </c>
      <c r="E15" s="20" t="s">
        <v>351</v>
      </c>
      <c r="F15" s="22"/>
      <c r="G15" s="22"/>
      <c r="H15" s="22"/>
      <c r="I15" s="21">
        <v>4500.0</v>
      </c>
      <c r="J15" s="23"/>
      <c r="K15" s="22"/>
      <c r="L15" s="22"/>
      <c r="M15" s="23"/>
      <c r="N15" s="22"/>
      <c r="O15" s="22"/>
      <c r="P15" s="25">
        <v>4500.0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45540.0</v>
      </c>
      <c r="C16" s="18" t="s">
        <v>352</v>
      </c>
      <c r="D16" s="19">
        <v>27066.0</v>
      </c>
      <c r="E16" s="20" t="s">
        <v>353</v>
      </c>
      <c r="F16" s="22"/>
      <c r="G16" s="22"/>
      <c r="H16" s="22"/>
      <c r="I16" s="21">
        <v>9500.0</v>
      </c>
      <c r="J16" s="21"/>
      <c r="K16" s="22"/>
      <c r="L16" s="22"/>
      <c r="M16" s="23"/>
      <c r="N16" s="22"/>
      <c r="O16" s="22"/>
      <c r="P16" s="25">
        <v>9500.0</v>
      </c>
      <c r="Q16" s="26">
        <f t="shared" si="1"/>
        <v>0</v>
      </c>
      <c r="R16" s="25" t="s">
        <v>33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45540.0</v>
      </c>
      <c r="C17" s="18" t="s">
        <v>354</v>
      </c>
      <c r="D17" s="19">
        <v>42046.0</v>
      </c>
      <c r="E17" s="20" t="s">
        <v>84</v>
      </c>
      <c r="F17" s="22"/>
      <c r="G17" s="22"/>
      <c r="H17" s="22"/>
      <c r="I17" s="21">
        <v>1500.0</v>
      </c>
      <c r="J17" s="23"/>
      <c r="K17" s="22"/>
      <c r="L17" s="22"/>
      <c r="M17" s="23"/>
      <c r="N17" s="22"/>
      <c r="O17" s="22"/>
      <c r="P17" s="25">
        <v>1500.0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45540.0</v>
      </c>
      <c r="C18" s="18" t="s">
        <v>355</v>
      </c>
      <c r="D18" s="19">
        <v>50436.0</v>
      </c>
      <c r="E18" s="20" t="s">
        <v>338</v>
      </c>
      <c r="F18" s="22"/>
      <c r="G18" s="22"/>
      <c r="H18" s="22"/>
      <c r="I18" s="21">
        <v>4500.0</v>
      </c>
      <c r="J18" s="23"/>
      <c r="K18" s="22"/>
      <c r="L18" s="22"/>
      <c r="M18" s="22"/>
      <c r="N18" s="22"/>
      <c r="O18" s="22"/>
      <c r="P18" s="25">
        <v>4500.0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45540.0</v>
      </c>
      <c r="C19" s="32" t="s">
        <v>356</v>
      </c>
      <c r="D19" s="33">
        <v>79692.0</v>
      </c>
      <c r="E19" s="34" t="s">
        <v>357</v>
      </c>
      <c r="F19" s="22"/>
      <c r="G19" s="22"/>
      <c r="H19" s="22"/>
      <c r="I19" s="21"/>
      <c r="J19" s="21">
        <v>10000.0</v>
      </c>
      <c r="K19" s="22"/>
      <c r="L19" s="22"/>
      <c r="M19" s="23"/>
      <c r="N19" s="22"/>
      <c r="O19" s="22"/>
      <c r="P19" s="35">
        <v>10000.0</v>
      </c>
      <c r="Q19" s="26">
        <f t="shared" si="1"/>
        <v>0</v>
      </c>
      <c r="R19" s="35" t="s">
        <v>43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45540.0</v>
      </c>
      <c r="C20" s="18" t="s">
        <v>358</v>
      </c>
      <c r="D20" s="19">
        <v>19688.0</v>
      </c>
      <c r="E20" s="20" t="s">
        <v>359</v>
      </c>
      <c r="F20" s="22"/>
      <c r="G20" s="22"/>
      <c r="H20" s="22"/>
      <c r="I20" s="37"/>
      <c r="J20" s="37">
        <v>5150.0</v>
      </c>
      <c r="K20" s="22"/>
      <c r="L20" s="22"/>
      <c r="M20" s="22"/>
      <c r="N20" s="22"/>
      <c r="O20" s="22"/>
      <c r="P20" s="25">
        <v>5150.0</v>
      </c>
      <c r="Q20" s="26">
        <f t="shared" si="1"/>
        <v>0</v>
      </c>
      <c r="R20" s="25" t="s">
        <v>33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45540.0</v>
      </c>
      <c r="C21" s="18" t="s">
        <v>360</v>
      </c>
      <c r="D21" s="19">
        <v>49890.0</v>
      </c>
      <c r="E21" s="20" t="s">
        <v>361</v>
      </c>
      <c r="F21" s="23"/>
      <c r="G21" s="22"/>
      <c r="H21" s="22"/>
      <c r="I21" s="45"/>
      <c r="J21" s="29">
        <v>850.0</v>
      </c>
      <c r="K21" s="39"/>
      <c r="L21" s="22"/>
      <c r="M21" s="22"/>
      <c r="N21" s="22"/>
      <c r="O21" s="22"/>
      <c r="P21" s="25">
        <v>850.0</v>
      </c>
      <c r="Q21" s="26">
        <f t="shared" si="1"/>
        <v>0</v>
      </c>
      <c r="R21" s="25" t="s">
        <v>33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45540.0</v>
      </c>
      <c r="C22" s="18" t="s">
        <v>362</v>
      </c>
      <c r="D22" s="19">
        <v>80700.0</v>
      </c>
      <c r="E22" s="20" t="s">
        <v>363</v>
      </c>
      <c r="F22" s="23"/>
      <c r="G22" s="22"/>
      <c r="H22" s="22"/>
      <c r="I22" s="21"/>
      <c r="J22" s="29">
        <v>10000.0</v>
      </c>
      <c r="K22" s="23"/>
      <c r="L22" s="22"/>
      <c r="M22" s="22"/>
      <c r="N22" s="22"/>
      <c r="O22" s="22"/>
      <c r="P22" s="25">
        <v>10000.0</v>
      </c>
      <c r="Q22" s="26">
        <f t="shared" si="1"/>
        <v>0</v>
      </c>
      <c r="R22" s="25" t="s">
        <v>33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45540.0</v>
      </c>
      <c r="C23" s="41" t="s">
        <v>364</v>
      </c>
      <c r="D23" s="42">
        <v>54763.0</v>
      </c>
      <c r="E23" s="43" t="s">
        <v>219</v>
      </c>
      <c r="F23" s="38"/>
      <c r="G23" s="44"/>
      <c r="H23" s="44"/>
      <c r="I23" s="45">
        <v>1400.0</v>
      </c>
      <c r="J23" s="45"/>
      <c r="K23" s="46"/>
      <c r="L23" s="44"/>
      <c r="M23" s="44"/>
      <c r="N23" s="44"/>
      <c r="O23" s="44"/>
      <c r="P23" s="47">
        <v>1400.0</v>
      </c>
      <c r="Q23" s="26">
        <f t="shared" si="1"/>
        <v>0</v>
      </c>
      <c r="R23" s="47" t="s">
        <v>43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45540.0</v>
      </c>
      <c r="C24" s="18" t="s">
        <v>365</v>
      </c>
      <c r="D24" s="19">
        <v>51512.0</v>
      </c>
      <c r="E24" s="20" t="s">
        <v>366</v>
      </c>
      <c r="F24" s="23"/>
      <c r="G24" s="22"/>
      <c r="H24" s="22"/>
      <c r="I24" s="21"/>
      <c r="J24" s="29">
        <v>6050.0</v>
      </c>
      <c r="K24" s="39"/>
      <c r="L24" s="22"/>
      <c r="M24" s="22"/>
      <c r="N24" s="22"/>
      <c r="O24" s="22"/>
      <c r="P24" s="25">
        <v>6050.0</v>
      </c>
      <c r="Q24" s="26">
        <f t="shared" si="1"/>
        <v>0</v>
      </c>
      <c r="R24" s="25" t="s">
        <v>43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45540.0</v>
      </c>
      <c r="C25" s="18" t="s">
        <v>367</v>
      </c>
      <c r="D25" s="19">
        <v>45227.0</v>
      </c>
      <c r="E25" s="20" t="s">
        <v>368</v>
      </c>
      <c r="F25" s="23"/>
      <c r="G25" s="22"/>
      <c r="H25" s="29">
        <v>19500.0</v>
      </c>
      <c r="I25" s="21"/>
      <c r="J25" s="21"/>
      <c r="K25" s="39"/>
      <c r="L25" s="22"/>
      <c r="M25" s="22"/>
      <c r="N25" s="22"/>
      <c r="O25" s="22"/>
      <c r="P25" s="25">
        <v>19500.0</v>
      </c>
      <c r="Q25" s="26">
        <f t="shared" si="1"/>
        <v>0</v>
      </c>
      <c r="R25" s="25" t="s">
        <v>33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45540.0</v>
      </c>
      <c r="C26" s="18" t="s">
        <v>369</v>
      </c>
      <c r="D26" s="19">
        <v>57499.0</v>
      </c>
      <c r="E26" s="20" t="s">
        <v>38</v>
      </c>
      <c r="F26" s="23"/>
      <c r="G26" s="22"/>
      <c r="H26" s="22"/>
      <c r="I26" s="49">
        <v>5000.0</v>
      </c>
      <c r="J26" s="21"/>
      <c r="K26" s="39"/>
      <c r="L26" s="22"/>
      <c r="M26" s="22"/>
      <c r="N26" s="22"/>
      <c r="O26" s="22"/>
      <c r="P26" s="25">
        <v>5000.0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45540.0</v>
      </c>
      <c r="C27" s="18" t="s">
        <v>370</v>
      </c>
      <c r="D27" s="19">
        <v>10271.0</v>
      </c>
      <c r="E27" s="20" t="s">
        <v>371</v>
      </c>
      <c r="F27" s="23"/>
      <c r="G27" s="22"/>
      <c r="H27" s="22"/>
      <c r="I27" s="21"/>
      <c r="J27" s="21">
        <v>1250.0</v>
      </c>
      <c r="K27" s="37"/>
      <c r="L27" s="22"/>
      <c r="M27" s="22"/>
      <c r="N27" s="22"/>
      <c r="O27" s="22"/>
      <c r="P27" s="25">
        <v>1250.0</v>
      </c>
      <c r="Q27" s="26">
        <f t="shared" si="1"/>
        <v>0</v>
      </c>
      <c r="R27" s="25" t="s">
        <v>33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45540.0</v>
      </c>
      <c r="C28" s="18" t="s">
        <v>372</v>
      </c>
      <c r="D28" s="19">
        <v>52373.0</v>
      </c>
      <c r="E28" s="20" t="s">
        <v>373</v>
      </c>
      <c r="F28" s="23"/>
      <c r="G28" s="22"/>
      <c r="H28" s="22"/>
      <c r="I28" s="21"/>
      <c r="J28" s="21">
        <v>10000.0</v>
      </c>
      <c r="K28" s="24"/>
      <c r="L28" s="22"/>
      <c r="M28" s="29"/>
      <c r="N28" s="22"/>
      <c r="O28" s="22"/>
      <c r="P28" s="25">
        <v>10000.0</v>
      </c>
      <c r="Q28" s="26">
        <f t="shared" si="1"/>
        <v>0</v>
      </c>
      <c r="R28" s="25" t="s">
        <v>30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45540.0</v>
      </c>
      <c r="C29" s="18" t="s">
        <v>374</v>
      </c>
      <c r="D29" s="19">
        <v>84114.0</v>
      </c>
      <c r="E29" s="20" t="s">
        <v>375</v>
      </c>
      <c r="F29" s="21"/>
      <c r="G29" s="22"/>
      <c r="H29" s="29"/>
      <c r="I29" s="21">
        <v>5150.0</v>
      </c>
      <c r="J29" s="21"/>
      <c r="K29" s="24"/>
      <c r="L29" s="22"/>
      <c r="M29" s="29"/>
      <c r="N29" s="22"/>
      <c r="O29" s="22"/>
      <c r="P29" s="25">
        <v>5150.0</v>
      </c>
      <c r="Q29" s="26">
        <f t="shared" si="1"/>
        <v>0</v>
      </c>
      <c r="R29" s="25" t="s">
        <v>30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45540.0</v>
      </c>
      <c r="C30" s="18" t="s">
        <v>376</v>
      </c>
      <c r="D30" s="19">
        <v>69346.0</v>
      </c>
      <c r="E30" s="20" t="s">
        <v>67</v>
      </c>
      <c r="F30" s="23"/>
      <c r="G30" s="22"/>
      <c r="H30" s="29"/>
      <c r="I30" s="21">
        <v>9500.0</v>
      </c>
      <c r="J30" s="21"/>
      <c r="K30" s="24"/>
      <c r="L30" s="22"/>
      <c r="M30" s="22"/>
      <c r="N30" s="22"/>
      <c r="O30" s="22"/>
      <c r="P30" s="25">
        <v>9500.0</v>
      </c>
      <c r="Q30" s="26">
        <f t="shared" si="1"/>
        <v>0</v>
      </c>
      <c r="R30" s="25" t="s">
        <v>33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45540.0</v>
      </c>
      <c r="C31" s="18" t="s">
        <v>377</v>
      </c>
      <c r="D31" s="19">
        <v>53249.0</v>
      </c>
      <c r="E31" s="20" t="s">
        <v>192</v>
      </c>
      <c r="F31" s="23"/>
      <c r="G31" s="22"/>
      <c r="H31" s="22"/>
      <c r="I31" s="21">
        <v>19500.0</v>
      </c>
      <c r="J31" s="21"/>
      <c r="K31" s="24"/>
      <c r="L31" s="22"/>
      <c r="M31" s="22"/>
      <c r="N31" s="22"/>
      <c r="O31" s="22"/>
      <c r="P31" s="25">
        <v>19500.0</v>
      </c>
      <c r="Q31" s="26">
        <f t="shared" si="1"/>
        <v>0</v>
      </c>
      <c r="R31" s="25" t="s">
        <v>33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45540.0</v>
      </c>
      <c r="C32" s="18" t="s">
        <v>378</v>
      </c>
      <c r="D32" s="19">
        <v>36769.0</v>
      </c>
      <c r="E32" s="20" t="s">
        <v>379</v>
      </c>
      <c r="F32" s="21"/>
      <c r="G32" s="22"/>
      <c r="H32" s="22"/>
      <c r="I32" s="21">
        <v>15000.0</v>
      </c>
      <c r="J32" s="23"/>
      <c r="K32" s="24"/>
      <c r="L32" s="22"/>
      <c r="M32" s="22"/>
      <c r="N32" s="22"/>
      <c r="O32" s="22"/>
      <c r="P32" s="25">
        <v>15000.0</v>
      </c>
      <c r="Q32" s="26">
        <f t="shared" si="1"/>
        <v>0</v>
      </c>
      <c r="R32" s="25" t="s">
        <v>30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45540.0</v>
      </c>
      <c r="C33" s="18" t="s">
        <v>380</v>
      </c>
      <c r="D33" s="19">
        <v>51512.0</v>
      </c>
      <c r="E33" s="20" t="s">
        <v>366</v>
      </c>
      <c r="F33" s="23"/>
      <c r="G33" s="22"/>
      <c r="H33" s="22"/>
      <c r="I33" s="21">
        <v>5180.0</v>
      </c>
      <c r="J33" s="21"/>
      <c r="K33" s="37"/>
      <c r="L33" s="22"/>
      <c r="M33" s="22"/>
      <c r="N33" s="22"/>
      <c r="O33" s="22"/>
      <c r="P33" s="25">
        <v>5180.0</v>
      </c>
      <c r="Q33" s="26">
        <f t="shared" si="1"/>
        <v>0</v>
      </c>
      <c r="R33" s="25" t="s">
        <v>30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45540.0</v>
      </c>
      <c r="C34" s="18" t="s">
        <v>381</v>
      </c>
      <c r="D34" s="19">
        <v>80859.0</v>
      </c>
      <c r="E34" s="20" t="s">
        <v>382</v>
      </c>
      <c r="F34" s="23"/>
      <c r="G34" s="22"/>
      <c r="H34" s="22"/>
      <c r="I34" s="21"/>
      <c r="J34" s="21">
        <v>10000.0</v>
      </c>
      <c r="K34" s="37"/>
      <c r="L34" s="22"/>
      <c r="M34" s="22"/>
      <c r="N34" s="22"/>
      <c r="O34" s="22"/>
      <c r="P34" s="25">
        <v>10000.0</v>
      </c>
      <c r="Q34" s="26">
        <f t="shared" si="1"/>
        <v>0</v>
      </c>
      <c r="R34" s="25" t="s">
        <v>30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45540.0</v>
      </c>
      <c r="C35" s="18" t="s">
        <v>383</v>
      </c>
      <c r="D35" s="19">
        <v>61445.0</v>
      </c>
      <c r="E35" s="20" t="s">
        <v>384</v>
      </c>
      <c r="F35" s="23"/>
      <c r="G35" s="22"/>
      <c r="H35" s="29"/>
      <c r="I35" s="21">
        <v>1200.0</v>
      </c>
      <c r="J35" s="23"/>
      <c r="K35" s="24"/>
      <c r="L35" s="22"/>
      <c r="M35" s="22"/>
      <c r="N35" s="22"/>
      <c r="O35" s="22"/>
      <c r="P35" s="25">
        <v>1200.0</v>
      </c>
      <c r="Q35" s="26">
        <f t="shared" si="1"/>
        <v>0</v>
      </c>
      <c r="R35" s="25" t="s">
        <v>25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45540.0</v>
      </c>
      <c r="C36" s="18" t="s">
        <v>385</v>
      </c>
      <c r="D36" s="19">
        <v>52240.0</v>
      </c>
      <c r="E36" s="20" t="s">
        <v>202</v>
      </c>
      <c r="F36" s="23"/>
      <c r="G36" s="22"/>
      <c r="H36" s="22"/>
      <c r="I36" s="21"/>
      <c r="J36" s="21">
        <v>10200.0</v>
      </c>
      <c r="K36" s="24"/>
      <c r="L36" s="22"/>
      <c r="M36" s="22"/>
      <c r="N36" s="22"/>
      <c r="O36" s="29"/>
      <c r="P36" s="25">
        <v>10200.0</v>
      </c>
      <c r="Q36" s="26">
        <f t="shared" si="1"/>
        <v>0</v>
      </c>
      <c r="R36" s="25" t="s">
        <v>25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45540.0</v>
      </c>
      <c r="C37" s="18" t="s">
        <v>386</v>
      </c>
      <c r="D37" s="19">
        <v>54763.0</v>
      </c>
      <c r="E37" s="20" t="s">
        <v>219</v>
      </c>
      <c r="F37" s="23"/>
      <c r="G37" s="22"/>
      <c r="H37" s="22"/>
      <c r="I37" s="21">
        <v>1250.0</v>
      </c>
      <c r="J37" s="23"/>
      <c r="K37" s="37"/>
      <c r="L37" s="22"/>
      <c r="M37" s="29"/>
      <c r="N37" s="22"/>
      <c r="O37" s="22"/>
      <c r="P37" s="25">
        <v>1250.0</v>
      </c>
      <c r="Q37" s="26">
        <f t="shared" si="1"/>
        <v>0</v>
      </c>
      <c r="R37" s="25" t="s">
        <v>25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45540.0</v>
      </c>
      <c r="C38" s="18" t="s">
        <v>387</v>
      </c>
      <c r="D38" s="19">
        <v>21384.0</v>
      </c>
      <c r="E38" s="20" t="s">
        <v>388</v>
      </c>
      <c r="F38" s="23"/>
      <c r="G38" s="22"/>
      <c r="H38" s="29"/>
      <c r="I38" s="21"/>
      <c r="J38" s="23"/>
      <c r="K38" s="21">
        <v>4500.0</v>
      </c>
      <c r="L38" s="22"/>
      <c r="M38" s="22"/>
      <c r="N38" s="22"/>
      <c r="O38" s="22"/>
      <c r="P38" s="25">
        <v>4500.0</v>
      </c>
      <c r="Q38" s="26">
        <f t="shared" si="1"/>
        <v>0</v>
      </c>
      <c r="R38" s="25" t="s">
        <v>43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45540.0</v>
      </c>
      <c r="C39" s="18" t="s">
        <v>389</v>
      </c>
      <c r="D39" s="19">
        <v>53144.0</v>
      </c>
      <c r="E39" s="20" t="s">
        <v>390</v>
      </c>
      <c r="F39" s="23"/>
      <c r="G39" s="22"/>
      <c r="H39" s="22"/>
      <c r="I39" s="21">
        <v>7650.0</v>
      </c>
      <c r="J39" s="23"/>
      <c r="K39" s="24"/>
      <c r="L39" s="22"/>
      <c r="M39" s="22"/>
      <c r="N39" s="22"/>
      <c r="O39" s="29"/>
      <c r="P39" s="25">
        <v>7650.0</v>
      </c>
      <c r="Q39" s="26">
        <f t="shared" si="1"/>
        <v>0</v>
      </c>
      <c r="R39" s="25" t="s">
        <v>25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45540.0</v>
      </c>
      <c r="C40" s="18" t="s">
        <v>391</v>
      </c>
      <c r="D40" s="19">
        <v>52083.0</v>
      </c>
      <c r="E40" s="20" t="s">
        <v>71</v>
      </c>
      <c r="F40" s="23"/>
      <c r="G40" s="22"/>
      <c r="H40" s="22"/>
      <c r="I40" s="21">
        <v>8100.0</v>
      </c>
      <c r="J40" s="23"/>
      <c r="K40" s="37"/>
      <c r="L40" s="22"/>
      <c r="M40" s="22"/>
      <c r="N40" s="22"/>
      <c r="O40" s="29"/>
      <c r="P40" s="25">
        <v>8100.0</v>
      </c>
      <c r="Q40" s="26">
        <f t="shared" si="1"/>
        <v>0</v>
      </c>
      <c r="R40" s="25" t="s">
        <v>25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45540.0</v>
      </c>
      <c r="C41" s="18" t="s">
        <v>392</v>
      </c>
      <c r="D41" s="19">
        <v>81378.0</v>
      </c>
      <c r="E41" s="20" t="s">
        <v>393</v>
      </c>
      <c r="F41" s="23"/>
      <c r="G41" s="22"/>
      <c r="H41" s="22"/>
      <c r="I41" s="21"/>
      <c r="J41" s="21">
        <v>8200.0</v>
      </c>
      <c r="K41" s="37"/>
      <c r="L41" s="22"/>
      <c r="M41" s="22"/>
      <c r="N41" s="22"/>
      <c r="O41" s="22"/>
      <c r="P41" s="25">
        <v>8200.0</v>
      </c>
      <c r="Q41" s="26">
        <f t="shared" si="1"/>
        <v>0</v>
      </c>
      <c r="R41" s="25" t="s">
        <v>25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45540.0</v>
      </c>
      <c r="C42" s="18" t="s">
        <v>394</v>
      </c>
      <c r="D42" s="19">
        <v>35220.0</v>
      </c>
      <c r="E42" s="20" t="s">
        <v>395</v>
      </c>
      <c r="F42" s="23"/>
      <c r="G42" s="29"/>
      <c r="H42" s="22"/>
      <c r="I42" s="21"/>
      <c r="J42" s="23"/>
      <c r="K42" s="37">
        <v>1000.0</v>
      </c>
      <c r="L42" s="22"/>
      <c r="M42" s="22"/>
      <c r="N42" s="22"/>
      <c r="O42" s="22"/>
      <c r="P42" s="25">
        <v>1000.0</v>
      </c>
      <c r="Q42" s="26">
        <f t="shared" si="1"/>
        <v>0</v>
      </c>
      <c r="R42" s="25" t="s">
        <v>33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45540.0</v>
      </c>
      <c r="C43" s="18" t="s">
        <v>396</v>
      </c>
      <c r="D43" s="19">
        <v>52247.0</v>
      </c>
      <c r="E43" s="20" t="s">
        <v>397</v>
      </c>
      <c r="F43" s="23"/>
      <c r="G43" s="29"/>
      <c r="H43" s="22"/>
      <c r="I43" s="21">
        <v>15250.0</v>
      </c>
      <c r="J43" s="23"/>
      <c r="K43" s="24"/>
      <c r="L43" s="22"/>
      <c r="M43" s="22"/>
      <c r="N43" s="22"/>
      <c r="O43" s="29"/>
      <c r="P43" s="25">
        <v>15250.0</v>
      </c>
      <c r="Q43" s="26">
        <f t="shared" si="1"/>
        <v>0</v>
      </c>
      <c r="R43" s="25" t="s">
        <v>43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45539.0</v>
      </c>
      <c r="C44" s="18" t="s">
        <v>398</v>
      </c>
      <c r="D44" s="19">
        <v>55446.0</v>
      </c>
      <c r="E44" s="20" t="s">
        <v>399</v>
      </c>
      <c r="F44" s="23"/>
      <c r="G44" s="22"/>
      <c r="H44" s="22"/>
      <c r="I44" s="21"/>
      <c r="J44" s="23"/>
      <c r="K44" s="37"/>
      <c r="L44" s="22"/>
      <c r="M44" s="22"/>
      <c r="N44" s="22"/>
      <c r="O44" s="29">
        <v>1200.0</v>
      </c>
      <c r="P44" s="25">
        <v>1200.0</v>
      </c>
      <c r="Q44" s="26">
        <f t="shared" si="1"/>
        <v>0</v>
      </c>
      <c r="R44" s="25"/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8">
        <v>45540.0</v>
      </c>
      <c r="C45" s="18" t="s">
        <v>400</v>
      </c>
      <c r="D45" s="19">
        <v>51782.0</v>
      </c>
      <c r="E45" s="20" t="s">
        <v>401</v>
      </c>
      <c r="F45" s="23"/>
      <c r="G45" s="22"/>
      <c r="H45" s="29">
        <v>2500.0</v>
      </c>
      <c r="I45" s="21"/>
      <c r="J45" s="21"/>
      <c r="K45" s="24"/>
      <c r="L45" s="22"/>
      <c r="M45" s="22"/>
      <c r="N45" s="22"/>
      <c r="O45" s="29"/>
      <c r="P45" s="25">
        <v>2500.0</v>
      </c>
      <c r="Q45" s="26">
        <f t="shared" si="1"/>
        <v>0</v>
      </c>
      <c r="R45" s="25"/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8">
        <v>45540.0</v>
      </c>
      <c r="C46" s="18" t="s">
        <v>402</v>
      </c>
      <c r="D46" s="19">
        <v>42052.0</v>
      </c>
      <c r="E46" s="20" t="s">
        <v>118</v>
      </c>
      <c r="F46" s="23"/>
      <c r="G46" s="29"/>
      <c r="H46" s="22"/>
      <c r="I46" s="23"/>
      <c r="J46" s="21"/>
      <c r="K46" s="37">
        <v>294.5</v>
      </c>
      <c r="L46" s="22"/>
      <c r="M46" s="22"/>
      <c r="N46" s="22"/>
      <c r="O46" s="29">
        <v>2105.5</v>
      </c>
      <c r="P46" s="25">
        <v>2400.0</v>
      </c>
      <c r="Q46" s="26">
        <f t="shared" si="1"/>
        <v>0</v>
      </c>
      <c r="R46" s="25"/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8">
        <v>45540.0</v>
      </c>
      <c r="C47" s="18" t="s">
        <v>403</v>
      </c>
      <c r="D47" s="19">
        <v>72839.0</v>
      </c>
      <c r="E47" s="20" t="s">
        <v>404</v>
      </c>
      <c r="F47" s="23"/>
      <c r="G47" s="22"/>
      <c r="H47" s="22"/>
      <c r="I47" s="21"/>
      <c r="J47" s="23"/>
      <c r="K47" s="37"/>
      <c r="L47" s="22"/>
      <c r="M47" s="29">
        <v>300.0</v>
      </c>
      <c r="N47" s="22"/>
      <c r="O47" s="29"/>
      <c r="P47" s="25">
        <v>300.0</v>
      </c>
      <c r="Q47" s="26">
        <f t="shared" si="1"/>
        <v>0</v>
      </c>
      <c r="R47" s="25"/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8">
        <v>45540.0</v>
      </c>
      <c r="C48" s="18" t="s">
        <v>405</v>
      </c>
      <c r="D48" s="19">
        <v>72839.0</v>
      </c>
      <c r="E48" s="20" t="s">
        <v>404</v>
      </c>
      <c r="F48" s="23"/>
      <c r="G48" s="29"/>
      <c r="H48" s="29">
        <v>20000.0</v>
      </c>
      <c r="I48" s="23"/>
      <c r="J48" s="23"/>
      <c r="K48" s="24"/>
      <c r="L48" s="22"/>
      <c r="M48" s="29"/>
      <c r="N48" s="22"/>
      <c r="O48" s="29"/>
      <c r="P48" s="25">
        <v>20000.0</v>
      </c>
      <c r="Q48" s="26">
        <f t="shared" si="1"/>
        <v>0</v>
      </c>
      <c r="R48" s="25"/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8">
        <v>45540.0</v>
      </c>
      <c r="C49" s="18" t="s">
        <v>406</v>
      </c>
      <c r="D49" s="19">
        <v>72839.0</v>
      </c>
      <c r="E49" s="20" t="s">
        <v>404</v>
      </c>
      <c r="F49" s="23"/>
      <c r="G49" s="29"/>
      <c r="H49" s="29">
        <v>7000.0</v>
      </c>
      <c r="I49" s="23"/>
      <c r="J49" s="21"/>
      <c r="K49" s="37"/>
      <c r="L49" s="22"/>
      <c r="M49" s="22"/>
      <c r="N49" s="22"/>
      <c r="O49" s="29"/>
      <c r="P49" s="25">
        <v>7000.0</v>
      </c>
      <c r="Q49" s="26">
        <f t="shared" si="1"/>
        <v>0</v>
      </c>
      <c r="R49" s="25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8">
        <v>45540.0</v>
      </c>
      <c r="C50" s="18" t="s">
        <v>407</v>
      </c>
      <c r="D50" s="19">
        <v>37642.0</v>
      </c>
      <c r="E50" s="20" t="s">
        <v>107</v>
      </c>
      <c r="F50" s="23"/>
      <c r="G50" s="29"/>
      <c r="H50" s="22"/>
      <c r="I50" s="23"/>
      <c r="J50" s="21"/>
      <c r="K50" s="37"/>
      <c r="L50" s="22"/>
      <c r="M50" s="29">
        <v>10000.0</v>
      </c>
      <c r="N50" s="22"/>
      <c r="O50" s="29"/>
      <c r="P50" s="25">
        <v>10000.0</v>
      </c>
      <c r="Q50" s="26">
        <f t="shared" si="1"/>
        <v>0</v>
      </c>
      <c r="R50" s="25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8">
        <v>45540.0</v>
      </c>
      <c r="C51" s="18" t="s">
        <v>408</v>
      </c>
      <c r="D51" s="19">
        <v>52373.0</v>
      </c>
      <c r="E51" s="20" t="s">
        <v>373</v>
      </c>
      <c r="F51" s="23"/>
      <c r="G51" s="29"/>
      <c r="H51" s="22"/>
      <c r="I51" s="23"/>
      <c r="J51" s="21"/>
      <c r="K51" s="37"/>
      <c r="L51" s="22"/>
      <c r="M51" s="22"/>
      <c r="N51" s="22"/>
      <c r="O51" s="29">
        <v>4400.0</v>
      </c>
      <c r="P51" s="25">
        <v>4400.0</v>
      </c>
      <c r="Q51" s="26">
        <f t="shared" si="1"/>
        <v>0</v>
      </c>
      <c r="R51" s="25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8">
        <v>45540.0</v>
      </c>
      <c r="C52" s="18" t="s">
        <v>409</v>
      </c>
      <c r="D52" s="19">
        <v>12102.0</v>
      </c>
      <c r="E52" s="20" t="s">
        <v>410</v>
      </c>
      <c r="F52" s="23"/>
      <c r="G52" s="29"/>
      <c r="H52" s="29">
        <v>10450.0</v>
      </c>
      <c r="I52" s="23"/>
      <c r="J52" s="21"/>
      <c r="K52" s="37"/>
      <c r="L52" s="22"/>
      <c r="M52" s="22"/>
      <c r="N52" s="22"/>
      <c r="O52" s="29"/>
      <c r="P52" s="25">
        <v>10450.0</v>
      </c>
      <c r="Q52" s="26">
        <f t="shared" si="1"/>
        <v>0</v>
      </c>
      <c r="R52" s="25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8">
        <v>45540.0</v>
      </c>
      <c r="C53" s="18" t="s">
        <v>411</v>
      </c>
      <c r="D53" s="19">
        <v>61445.0</v>
      </c>
      <c r="E53" s="20" t="s">
        <v>384</v>
      </c>
      <c r="F53" s="23"/>
      <c r="G53" s="29"/>
      <c r="H53" s="22"/>
      <c r="I53" s="23"/>
      <c r="J53" s="21"/>
      <c r="K53" s="37"/>
      <c r="L53" s="22"/>
      <c r="M53" s="22"/>
      <c r="N53" s="22"/>
      <c r="O53" s="29">
        <v>8800.0</v>
      </c>
      <c r="P53" s="25">
        <v>8800.0</v>
      </c>
      <c r="Q53" s="26">
        <f t="shared" si="1"/>
        <v>0</v>
      </c>
      <c r="R53" s="25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8">
        <v>45540.0</v>
      </c>
      <c r="C54" s="18" t="s">
        <v>412</v>
      </c>
      <c r="D54" s="19">
        <v>51017.0</v>
      </c>
      <c r="E54" s="20" t="s">
        <v>241</v>
      </c>
      <c r="F54" s="23"/>
      <c r="G54" s="22"/>
      <c r="H54" s="29">
        <v>20000.0</v>
      </c>
      <c r="I54" s="23"/>
      <c r="J54" s="23"/>
      <c r="K54" s="24"/>
      <c r="L54" s="22"/>
      <c r="M54" s="22"/>
      <c r="N54" s="22"/>
      <c r="O54" s="22"/>
      <c r="P54" s="25">
        <v>20000.0</v>
      </c>
      <c r="Q54" s="26">
        <f t="shared" si="1"/>
        <v>0</v>
      </c>
      <c r="R54" s="50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/>
      <c r="B55" s="28"/>
      <c r="C55" s="18"/>
      <c r="D55" s="19"/>
      <c r="E55" s="20"/>
      <c r="F55" s="23"/>
      <c r="G55" s="22"/>
      <c r="H55" s="29"/>
      <c r="I55" s="23"/>
      <c r="J55" s="23"/>
      <c r="K55" s="24"/>
      <c r="L55" s="22"/>
      <c r="M55" s="22"/>
      <c r="N55" s="22"/>
      <c r="O55" s="22"/>
      <c r="P55" s="25"/>
      <c r="Q55" s="26">
        <f t="shared" si="1"/>
        <v>0</v>
      </c>
      <c r="R55" s="50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7.5" customHeight="1">
      <c r="A56" s="16"/>
      <c r="B56" s="51"/>
      <c r="C56" s="52"/>
      <c r="D56" s="53" t="s">
        <v>149</v>
      </c>
      <c r="E56" s="54"/>
      <c r="F56" s="55">
        <f t="shared" ref="F56:P56" si="2">SUM(F5:F55)</f>
        <v>0</v>
      </c>
      <c r="G56" s="55">
        <f t="shared" si="2"/>
        <v>0</v>
      </c>
      <c r="H56" s="55">
        <f t="shared" si="2"/>
        <v>79450</v>
      </c>
      <c r="I56" s="55">
        <f t="shared" si="2"/>
        <v>142830</v>
      </c>
      <c r="J56" s="55">
        <f t="shared" si="2"/>
        <v>79500</v>
      </c>
      <c r="K56" s="55">
        <f t="shared" si="2"/>
        <v>5794.5</v>
      </c>
      <c r="L56" s="55">
        <f t="shared" si="2"/>
        <v>0</v>
      </c>
      <c r="M56" s="55">
        <f t="shared" si="2"/>
        <v>10300</v>
      </c>
      <c r="N56" s="55">
        <f t="shared" si="2"/>
        <v>0</v>
      </c>
      <c r="O56" s="55">
        <f t="shared" si="2"/>
        <v>16505.5</v>
      </c>
      <c r="P56" s="55">
        <f t="shared" si="2"/>
        <v>349330</v>
      </c>
      <c r="Q56" s="56">
        <v>0.0</v>
      </c>
      <c r="R56" s="57"/>
      <c r="S56" s="27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 ht="58.5" customHeight="1">
      <c r="A57" s="58"/>
      <c r="B57" s="58"/>
      <c r="C57" s="59"/>
      <c r="D57" s="58"/>
      <c r="E57" s="58"/>
      <c r="F57" s="60">
        <f>F56+G56+H56+I56+J56+K56+L56+M56+N56+O56</f>
        <v>334380</v>
      </c>
      <c r="P57" s="61"/>
      <c r="Q57" s="61"/>
      <c r="R57" s="58"/>
      <c r="S57" s="58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3" t="s">
        <v>149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2"/>
      <c r="D61" s="4"/>
      <c r="E61" s="64" t="s">
        <v>150</v>
      </c>
      <c r="F61" s="65" t="s">
        <v>151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62"/>
      <c r="D62" s="4"/>
      <c r="E62" s="66" t="s">
        <v>152</v>
      </c>
      <c r="F62" s="65" t="s">
        <v>255</v>
      </c>
      <c r="G62" s="4"/>
      <c r="H62" s="4"/>
      <c r="I62" s="4"/>
      <c r="J62" s="4"/>
      <c r="K62" s="4"/>
      <c r="L62" s="4"/>
      <c r="M62" s="4"/>
      <c r="N62" s="4"/>
      <c r="O62" s="67" t="s">
        <v>149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62"/>
      <c r="D63" s="4"/>
      <c r="E63" s="66" t="s">
        <v>154</v>
      </c>
      <c r="F63" s="65" t="s">
        <v>155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62"/>
      <c r="D64" s="4"/>
      <c r="E64" s="66" t="s">
        <v>156</v>
      </c>
      <c r="F64" s="65" t="s">
        <v>151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62"/>
      <c r="D65" s="4"/>
      <c r="E65" s="66" t="s">
        <v>157</v>
      </c>
      <c r="F65" s="65" t="s">
        <v>151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62"/>
      <c r="D66" s="4"/>
      <c r="E66" s="66" t="s">
        <v>413</v>
      </c>
      <c r="F66" s="65" t="s">
        <v>151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62"/>
      <c r="D67" s="4"/>
      <c r="E67" s="66" t="s">
        <v>160</v>
      </c>
      <c r="F67" s="65" t="s">
        <v>155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62"/>
      <c r="D68" s="4"/>
      <c r="E68" s="66" t="s">
        <v>161</v>
      </c>
      <c r="F68" s="68" t="s">
        <v>162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67" t="s">
        <v>149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 t="str">
        <f>I72456</f>
        <v/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69"/>
      <c r="G76" s="4"/>
      <c r="H76" s="4"/>
      <c r="I76" s="67" t="s">
        <v>163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>
        <v>7.0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7">
    <mergeCell ref="R2:R4"/>
    <mergeCell ref="S2:S4"/>
    <mergeCell ref="F3:F4"/>
    <mergeCell ref="G3:H3"/>
    <mergeCell ref="I3:J3"/>
    <mergeCell ref="K3:K4"/>
    <mergeCell ref="F57:O5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414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45540.0</v>
      </c>
      <c r="C5" s="18" t="s">
        <v>415</v>
      </c>
      <c r="D5" s="19">
        <v>52247.0</v>
      </c>
      <c r="E5" s="20" t="s">
        <v>397</v>
      </c>
      <c r="F5" s="21"/>
      <c r="G5" s="22"/>
      <c r="H5" s="23"/>
      <c r="I5" s="37">
        <v>150.0</v>
      </c>
      <c r="J5" s="37"/>
      <c r="K5" s="22"/>
      <c r="L5" s="22"/>
      <c r="M5" s="23"/>
      <c r="N5" s="22"/>
      <c r="O5" s="22"/>
      <c r="P5" s="25">
        <v>150.0</v>
      </c>
      <c r="Q5" s="26">
        <f t="shared" ref="Q5:Q41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45540.0</v>
      </c>
      <c r="C6" s="18" t="s">
        <v>416</v>
      </c>
      <c r="D6" s="19">
        <v>52247.0</v>
      </c>
      <c r="E6" s="20" t="s">
        <v>397</v>
      </c>
      <c r="F6" s="23"/>
      <c r="G6" s="22"/>
      <c r="H6" s="22"/>
      <c r="I6" s="21">
        <v>100.0</v>
      </c>
      <c r="J6" s="29"/>
      <c r="K6" s="29"/>
      <c r="L6" s="22"/>
      <c r="M6" s="21"/>
      <c r="N6" s="22"/>
      <c r="O6" s="22"/>
      <c r="P6" s="25">
        <v>100.0</v>
      </c>
      <c r="Q6" s="26">
        <f t="shared" si="1"/>
        <v>0</v>
      </c>
      <c r="R6" s="25" t="s">
        <v>43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45540.0</v>
      </c>
      <c r="C7" s="18" t="s">
        <v>417</v>
      </c>
      <c r="D7" s="19">
        <v>84745.0</v>
      </c>
      <c r="E7" s="20" t="s">
        <v>418</v>
      </c>
      <c r="F7" s="22"/>
      <c r="G7" s="22"/>
      <c r="H7" s="23"/>
      <c r="I7" s="21">
        <v>300.0</v>
      </c>
      <c r="J7" s="24"/>
      <c r="K7" s="22"/>
      <c r="L7" s="22"/>
      <c r="M7" s="22"/>
      <c r="N7" s="22"/>
      <c r="O7" s="22"/>
      <c r="P7" s="25">
        <v>300.0</v>
      </c>
      <c r="Q7" s="26">
        <f t="shared" si="1"/>
        <v>0</v>
      </c>
      <c r="R7" s="25" t="s">
        <v>43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45540.0</v>
      </c>
      <c r="C8" s="18" t="s">
        <v>419</v>
      </c>
      <c r="D8" s="19">
        <v>52418.0</v>
      </c>
      <c r="E8" s="20" t="s">
        <v>420</v>
      </c>
      <c r="F8" s="22"/>
      <c r="G8" s="22"/>
      <c r="H8" s="22"/>
      <c r="I8" s="21"/>
      <c r="J8" s="21">
        <v>5150.0</v>
      </c>
      <c r="K8" s="29"/>
      <c r="L8" s="22"/>
      <c r="M8" s="22"/>
      <c r="N8" s="22"/>
      <c r="O8" s="22"/>
      <c r="P8" s="25">
        <v>5150.0</v>
      </c>
      <c r="Q8" s="26">
        <f t="shared" si="1"/>
        <v>0</v>
      </c>
      <c r="R8" s="25" t="s">
        <v>43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45541.0</v>
      </c>
      <c r="C9" s="18" t="s">
        <v>421</v>
      </c>
      <c r="D9" s="19">
        <v>45227.0</v>
      </c>
      <c r="E9" s="20" t="s">
        <v>368</v>
      </c>
      <c r="F9" s="22"/>
      <c r="G9" s="22"/>
      <c r="H9" s="22"/>
      <c r="I9" s="21">
        <v>1250.0</v>
      </c>
      <c r="J9" s="21"/>
      <c r="K9" s="22"/>
      <c r="L9" s="22"/>
      <c r="M9" s="23"/>
      <c r="N9" s="22"/>
      <c r="O9" s="22"/>
      <c r="P9" s="25">
        <v>1250.0</v>
      </c>
      <c r="Q9" s="26">
        <f t="shared" si="1"/>
        <v>0</v>
      </c>
      <c r="R9" s="25" t="s">
        <v>30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45541.0</v>
      </c>
      <c r="C10" s="18" t="s">
        <v>422</v>
      </c>
      <c r="D10" s="19">
        <v>10250.0</v>
      </c>
      <c r="E10" s="20" t="s">
        <v>423</v>
      </c>
      <c r="F10" s="22"/>
      <c r="G10" s="22"/>
      <c r="H10" s="22"/>
      <c r="I10" s="21">
        <v>2000.0</v>
      </c>
      <c r="J10" s="21"/>
      <c r="K10" s="22"/>
      <c r="L10" s="22"/>
      <c r="M10" s="23"/>
      <c r="N10" s="22"/>
      <c r="O10" s="22"/>
      <c r="P10" s="25">
        <v>2000.0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45541.0</v>
      </c>
      <c r="C11" s="18" t="s">
        <v>424</v>
      </c>
      <c r="D11" s="19">
        <v>83640.0</v>
      </c>
      <c r="E11" s="20" t="s">
        <v>425</v>
      </c>
      <c r="F11" s="22"/>
      <c r="G11" s="22"/>
      <c r="H11" s="29"/>
      <c r="I11" s="21">
        <v>5750.0</v>
      </c>
      <c r="J11" s="21"/>
      <c r="K11" s="29"/>
      <c r="L11" s="22"/>
      <c r="M11" s="23"/>
      <c r="N11" s="22"/>
      <c r="O11" s="22"/>
      <c r="P11" s="25">
        <v>5750.0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45541.0</v>
      </c>
      <c r="C12" s="18" t="s">
        <v>426</v>
      </c>
      <c r="D12" s="19">
        <v>44149.0</v>
      </c>
      <c r="E12" s="20" t="s">
        <v>264</v>
      </c>
      <c r="F12" s="22"/>
      <c r="G12" s="22"/>
      <c r="H12" s="29"/>
      <c r="I12" s="21">
        <v>2500.0</v>
      </c>
      <c r="J12" s="21"/>
      <c r="K12" s="22"/>
      <c r="L12" s="22"/>
      <c r="M12" s="23"/>
      <c r="N12" s="22"/>
      <c r="O12" s="22"/>
      <c r="P12" s="25">
        <v>2500.0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45541.0</v>
      </c>
      <c r="C13" s="32" t="s">
        <v>427</v>
      </c>
      <c r="D13" s="33">
        <v>36555.0</v>
      </c>
      <c r="E13" s="34" t="s">
        <v>65</v>
      </c>
      <c r="F13" s="22"/>
      <c r="G13" s="22"/>
      <c r="H13" s="22"/>
      <c r="I13" s="21">
        <v>150.0</v>
      </c>
      <c r="J13" s="21"/>
      <c r="K13" s="22"/>
      <c r="L13" s="22"/>
      <c r="M13" s="23"/>
      <c r="N13" s="22"/>
      <c r="O13" s="22"/>
      <c r="P13" s="35">
        <v>150.0</v>
      </c>
      <c r="Q13" s="26">
        <f t="shared" si="1"/>
        <v>0</v>
      </c>
      <c r="R13" s="35" t="s">
        <v>25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45541.0</v>
      </c>
      <c r="C14" s="18" t="s">
        <v>428</v>
      </c>
      <c r="D14" s="19">
        <v>36555.0</v>
      </c>
      <c r="E14" s="20" t="s">
        <v>65</v>
      </c>
      <c r="F14" s="22"/>
      <c r="G14" s="22"/>
      <c r="H14" s="22"/>
      <c r="I14" s="21">
        <v>3000.0</v>
      </c>
      <c r="J14" s="21"/>
      <c r="K14" s="22"/>
      <c r="L14" s="22"/>
      <c r="M14" s="23"/>
      <c r="N14" s="22"/>
      <c r="O14" s="22"/>
      <c r="P14" s="25">
        <v>3000.0</v>
      </c>
      <c r="Q14" s="26">
        <f t="shared" si="1"/>
        <v>0</v>
      </c>
      <c r="R14" s="25" t="s">
        <v>43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45541.0</v>
      </c>
      <c r="C15" s="18" t="s">
        <v>429</v>
      </c>
      <c r="D15" s="19">
        <v>84743.0</v>
      </c>
      <c r="E15" s="20" t="s">
        <v>430</v>
      </c>
      <c r="F15" s="22"/>
      <c r="G15" s="22"/>
      <c r="H15" s="22"/>
      <c r="I15" s="21">
        <v>300.0</v>
      </c>
      <c r="J15" s="23"/>
      <c r="K15" s="22"/>
      <c r="L15" s="22"/>
      <c r="M15" s="23"/>
      <c r="N15" s="22"/>
      <c r="O15" s="22"/>
      <c r="P15" s="25">
        <v>300.0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45541.0</v>
      </c>
      <c r="C16" s="18" t="s">
        <v>431</v>
      </c>
      <c r="D16" s="19">
        <v>20701.0</v>
      </c>
      <c r="E16" s="20" t="s">
        <v>432</v>
      </c>
      <c r="F16" s="22"/>
      <c r="G16" s="22"/>
      <c r="H16" s="22"/>
      <c r="I16" s="21"/>
      <c r="J16" s="21">
        <v>4650.0</v>
      </c>
      <c r="K16" s="22"/>
      <c r="L16" s="22"/>
      <c r="M16" s="23"/>
      <c r="N16" s="22"/>
      <c r="O16" s="22"/>
      <c r="P16" s="25">
        <v>4650.0</v>
      </c>
      <c r="Q16" s="26">
        <f t="shared" si="1"/>
        <v>0</v>
      </c>
      <c r="R16" s="25" t="s">
        <v>43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45541.0</v>
      </c>
      <c r="C17" s="18" t="s">
        <v>433</v>
      </c>
      <c r="D17" s="19">
        <v>10684.0</v>
      </c>
      <c r="E17" s="20" t="s">
        <v>434</v>
      </c>
      <c r="F17" s="22"/>
      <c r="G17" s="22"/>
      <c r="H17" s="22"/>
      <c r="I17" s="21">
        <v>2000.0</v>
      </c>
      <c r="J17" s="23"/>
      <c r="K17" s="22"/>
      <c r="L17" s="22"/>
      <c r="M17" s="23"/>
      <c r="N17" s="22"/>
      <c r="O17" s="22"/>
      <c r="P17" s="25">
        <v>2000.0</v>
      </c>
      <c r="Q17" s="26">
        <f t="shared" si="1"/>
        <v>0</v>
      </c>
      <c r="R17" s="25" t="s">
        <v>33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45541.0</v>
      </c>
      <c r="C18" s="18" t="s">
        <v>435</v>
      </c>
      <c r="D18" s="19">
        <v>81627.0</v>
      </c>
      <c r="E18" s="20" t="s">
        <v>436</v>
      </c>
      <c r="F18" s="22"/>
      <c r="G18" s="22"/>
      <c r="H18" s="22"/>
      <c r="I18" s="21"/>
      <c r="J18" s="21">
        <v>2650.0</v>
      </c>
      <c r="K18" s="22"/>
      <c r="L18" s="22"/>
      <c r="M18" s="22"/>
      <c r="N18" s="22"/>
      <c r="O18" s="22"/>
      <c r="P18" s="25">
        <v>2650.0</v>
      </c>
      <c r="Q18" s="26">
        <f t="shared" si="1"/>
        <v>0</v>
      </c>
      <c r="R18" s="25" t="s">
        <v>43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45541.0</v>
      </c>
      <c r="C19" s="32" t="s">
        <v>437</v>
      </c>
      <c r="D19" s="33">
        <v>28414.0</v>
      </c>
      <c r="E19" s="34" t="s">
        <v>438</v>
      </c>
      <c r="F19" s="22"/>
      <c r="G19" s="22"/>
      <c r="H19" s="22"/>
      <c r="I19" s="21">
        <v>2000.0</v>
      </c>
      <c r="J19" s="21"/>
      <c r="K19" s="22"/>
      <c r="L19" s="22"/>
      <c r="M19" s="23"/>
      <c r="N19" s="22"/>
      <c r="O19" s="22"/>
      <c r="P19" s="35">
        <v>2000.0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45541.0</v>
      </c>
      <c r="C20" s="18" t="s">
        <v>439</v>
      </c>
      <c r="D20" s="19">
        <v>81108.0</v>
      </c>
      <c r="E20" s="20" t="s">
        <v>209</v>
      </c>
      <c r="F20" s="22"/>
      <c r="G20" s="22"/>
      <c r="H20" s="22"/>
      <c r="I20" s="37">
        <v>23950.0</v>
      </c>
      <c r="J20" s="37"/>
      <c r="K20" s="22"/>
      <c r="L20" s="22"/>
      <c r="M20" s="22"/>
      <c r="N20" s="22"/>
      <c r="O20" s="22"/>
      <c r="P20" s="25">
        <v>23950.0</v>
      </c>
      <c r="Q20" s="26">
        <f t="shared" si="1"/>
        <v>0</v>
      </c>
      <c r="R20" s="25" t="s">
        <v>36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45541.0</v>
      </c>
      <c r="C21" s="18" t="s">
        <v>440</v>
      </c>
      <c r="D21" s="19">
        <v>14343.0</v>
      </c>
      <c r="E21" s="20" t="s">
        <v>441</v>
      </c>
      <c r="F21" s="23"/>
      <c r="G21" s="22"/>
      <c r="H21" s="22"/>
      <c r="I21" s="45">
        <v>12000.0</v>
      </c>
      <c r="J21" s="29"/>
      <c r="K21" s="39"/>
      <c r="L21" s="22"/>
      <c r="M21" s="22"/>
      <c r="N21" s="22"/>
      <c r="O21" s="22"/>
      <c r="P21" s="25">
        <v>12000.0</v>
      </c>
      <c r="Q21" s="26">
        <f t="shared" si="1"/>
        <v>0</v>
      </c>
      <c r="R21" s="25" t="s">
        <v>33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45541.0</v>
      </c>
      <c r="C22" s="18" t="s">
        <v>442</v>
      </c>
      <c r="D22" s="19">
        <v>62815.0</v>
      </c>
      <c r="E22" s="20" t="s">
        <v>93</v>
      </c>
      <c r="F22" s="23"/>
      <c r="G22" s="22"/>
      <c r="H22" s="22"/>
      <c r="I22" s="21">
        <v>15000.0</v>
      </c>
      <c r="J22" s="29"/>
      <c r="K22" s="23"/>
      <c r="L22" s="22"/>
      <c r="M22" s="22"/>
      <c r="N22" s="22"/>
      <c r="O22" s="22"/>
      <c r="P22" s="25">
        <v>15000.0</v>
      </c>
      <c r="Q22" s="26">
        <f t="shared" si="1"/>
        <v>0</v>
      </c>
      <c r="R22" s="25" t="s">
        <v>36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45541.0</v>
      </c>
      <c r="C23" s="41" t="s">
        <v>443</v>
      </c>
      <c r="D23" s="42">
        <v>26831.0</v>
      </c>
      <c r="E23" s="43" t="s">
        <v>40</v>
      </c>
      <c r="F23" s="38"/>
      <c r="G23" s="44"/>
      <c r="H23" s="44"/>
      <c r="I23" s="45"/>
      <c r="J23" s="45">
        <v>6050.0</v>
      </c>
      <c r="K23" s="46"/>
      <c r="L23" s="44"/>
      <c r="M23" s="44"/>
      <c r="N23" s="44"/>
      <c r="O23" s="44"/>
      <c r="P23" s="47">
        <v>6050.0</v>
      </c>
      <c r="Q23" s="26">
        <f t="shared" si="1"/>
        <v>0</v>
      </c>
      <c r="R23" s="47" t="s">
        <v>33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45541.0</v>
      </c>
      <c r="C24" s="18" t="s">
        <v>444</v>
      </c>
      <c r="D24" s="19">
        <v>64809.0</v>
      </c>
      <c r="E24" s="20" t="s">
        <v>445</v>
      </c>
      <c r="F24" s="23"/>
      <c r="G24" s="22"/>
      <c r="H24" s="22"/>
      <c r="I24" s="21">
        <v>4650.0</v>
      </c>
      <c r="J24" s="29"/>
      <c r="K24" s="39"/>
      <c r="L24" s="22"/>
      <c r="M24" s="22"/>
      <c r="N24" s="22"/>
      <c r="O24" s="22"/>
      <c r="P24" s="25">
        <v>4650.0</v>
      </c>
      <c r="Q24" s="26">
        <f t="shared" si="1"/>
        <v>0</v>
      </c>
      <c r="R24" s="25" t="s">
        <v>33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45541.0</v>
      </c>
      <c r="C25" s="18" t="s">
        <v>446</v>
      </c>
      <c r="D25" s="19">
        <v>77460.0</v>
      </c>
      <c r="E25" s="20" t="s">
        <v>447</v>
      </c>
      <c r="F25" s="23"/>
      <c r="G25" s="22"/>
      <c r="H25" s="29"/>
      <c r="I25" s="21"/>
      <c r="J25" s="21"/>
      <c r="K25" s="49">
        <v>10000.0</v>
      </c>
      <c r="L25" s="22"/>
      <c r="M25" s="22"/>
      <c r="N25" s="22"/>
      <c r="O25" s="22"/>
      <c r="P25" s="25">
        <v>10000.0</v>
      </c>
      <c r="Q25" s="26">
        <f t="shared" si="1"/>
        <v>0</v>
      </c>
      <c r="R25" s="25" t="s">
        <v>33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45541.0</v>
      </c>
      <c r="C26" s="18" t="s">
        <v>448</v>
      </c>
      <c r="D26" s="19">
        <v>56980.0</v>
      </c>
      <c r="E26" s="20" t="s">
        <v>449</v>
      </c>
      <c r="F26" s="23"/>
      <c r="G26" s="22"/>
      <c r="H26" s="22"/>
      <c r="I26" s="49"/>
      <c r="J26" s="21"/>
      <c r="K26" s="49">
        <v>5000.0</v>
      </c>
      <c r="L26" s="22"/>
      <c r="M26" s="22"/>
      <c r="N26" s="22"/>
      <c r="O26" s="22"/>
      <c r="P26" s="25">
        <v>5000.0</v>
      </c>
      <c r="Q26" s="26">
        <f t="shared" si="1"/>
        <v>0</v>
      </c>
      <c r="R26" s="25" t="s">
        <v>25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45541.0</v>
      </c>
      <c r="C27" s="18" t="s">
        <v>450</v>
      </c>
      <c r="D27" s="19">
        <v>35220.0</v>
      </c>
      <c r="E27" s="20" t="s">
        <v>395</v>
      </c>
      <c r="F27" s="23"/>
      <c r="G27" s="22"/>
      <c r="H27" s="22"/>
      <c r="I27" s="21"/>
      <c r="J27" s="21"/>
      <c r="K27" s="37">
        <v>440.0</v>
      </c>
      <c r="L27" s="22"/>
      <c r="M27" s="22"/>
      <c r="N27" s="22"/>
      <c r="O27" s="22"/>
      <c r="P27" s="25">
        <v>440.0</v>
      </c>
      <c r="Q27" s="26">
        <f t="shared" si="1"/>
        <v>0</v>
      </c>
      <c r="R27" s="25" t="s">
        <v>36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45541.0</v>
      </c>
      <c r="C28" s="18" t="s">
        <v>451</v>
      </c>
      <c r="D28" s="19">
        <v>57426.0</v>
      </c>
      <c r="E28" s="20" t="s">
        <v>452</v>
      </c>
      <c r="F28" s="23"/>
      <c r="G28" s="22"/>
      <c r="H28" s="22"/>
      <c r="I28" s="21"/>
      <c r="J28" s="21">
        <v>9800.0</v>
      </c>
      <c r="K28" s="24"/>
      <c r="L28" s="22"/>
      <c r="M28" s="29"/>
      <c r="N28" s="22"/>
      <c r="O28" s="22"/>
      <c r="P28" s="25">
        <v>9800.0</v>
      </c>
      <c r="Q28" s="26">
        <f t="shared" si="1"/>
        <v>0</v>
      </c>
      <c r="R28" s="25" t="s">
        <v>43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45541.0</v>
      </c>
      <c r="C29" s="18" t="s">
        <v>453</v>
      </c>
      <c r="D29" s="19">
        <v>52083.0</v>
      </c>
      <c r="E29" s="20" t="s">
        <v>71</v>
      </c>
      <c r="F29" s="21"/>
      <c r="G29" s="22"/>
      <c r="H29" s="29"/>
      <c r="I29" s="21">
        <v>5000.0</v>
      </c>
      <c r="J29" s="21"/>
      <c r="K29" s="24"/>
      <c r="L29" s="22"/>
      <c r="M29" s="29"/>
      <c r="N29" s="22"/>
      <c r="O29" s="22"/>
      <c r="P29" s="25">
        <v>5000.0</v>
      </c>
      <c r="Q29" s="26">
        <f t="shared" si="1"/>
        <v>0</v>
      </c>
      <c r="R29" s="25" t="s">
        <v>25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45541.0</v>
      </c>
      <c r="C30" s="18" t="s">
        <v>454</v>
      </c>
      <c r="D30" s="19">
        <v>47787.0</v>
      </c>
      <c r="E30" s="20" t="s">
        <v>455</v>
      </c>
      <c r="F30" s="23"/>
      <c r="G30" s="22"/>
      <c r="H30" s="29"/>
      <c r="I30" s="21"/>
      <c r="J30" s="21"/>
      <c r="K30" s="24"/>
      <c r="L30" s="22"/>
      <c r="M30" s="29">
        <v>150.0</v>
      </c>
      <c r="N30" s="22"/>
      <c r="O30" s="22"/>
      <c r="P30" s="25">
        <v>150.0</v>
      </c>
      <c r="Q30" s="26">
        <f t="shared" si="1"/>
        <v>0</v>
      </c>
      <c r="R30" s="25" t="s">
        <v>25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45541.0</v>
      </c>
      <c r="C31" s="18" t="s">
        <v>456</v>
      </c>
      <c r="D31" s="19">
        <v>14329.0</v>
      </c>
      <c r="E31" s="20" t="s">
        <v>29</v>
      </c>
      <c r="F31" s="23"/>
      <c r="G31" s="22"/>
      <c r="H31" s="22"/>
      <c r="I31" s="21">
        <v>450.0</v>
      </c>
      <c r="J31" s="21"/>
      <c r="K31" s="24"/>
      <c r="L31" s="22"/>
      <c r="M31" s="22"/>
      <c r="N31" s="22"/>
      <c r="O31" s="22"/>
      <c r="P31" s="25">
        <v>450.0</v>
      </c>
      <c r="Q31" s="26">
        <f t="shared" si="1"/>
        <v>0</v>
      </c>
      <c r="R31" s="25" t="s">
        <v>30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45541.0</v>
      </c>
      <c r="C32" s="18" t="s">
        <v>457</v>
      </c>
      <c r="D32" s="19">
        <v>22341.0</v>
      </c>
      <c r="E32" s="20" t="s">
        <v>69</v>
      </c>
      <c r="F32" s="21"/>
      <c r="G32" s="22"/>
      <c r="H32" s="22"/>
      <c r="I32" s="21">
        <v>5150.0</v>
      </c>
      <c r="J32" s="23"/>
      <c r="K32" s="24"/>
      <c r="L32" s="22"/>
      <c r="M32" s="22"/>
      <c r="N32" s="22"/>
      <c r="O32" s="22"/>
      <c r="P32" s="25">
        <v>5150.0</v>
      </c>
      <c r="Q32" s="26">
        <f t="shared" si="1"/>
        <v>0</v>
      </c>
      <c r="R32" s="25" t="s">
        <v>25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45541.0</v>
      </c>
      <c r="C33" s="18" t="s">
        <v>458</v>
      </c>
      <c r="D33" s="19">
        <v>46927.0</v>
      </c>
      <c r="E33" s="20" t="s">
        <v>75</v>
      </c>
      <c r="F33" s="23"/>
      <c r="G33" s="22"/>
      <c r="H33" s="22"/>
      <c r="I33" s="21">
        <v>2650.0</v>
      </c>
      <c r="J33" s="21"/>
      <c r="K33" s="37"/>
      <c r="L33" s="22"/>
      <c r="M33" s="22"/>
      <c r="N33" s="22"/>
      <c r="O33" s="22"/>
      <c r="P33" s="25">
        <v>2650.0</v>
      </c>
      <c r="Q33" s="26">
        <f t="shared" si="1"/>
        <v>0</v>
      </c>
      <c r="R33" s="25" t="s">
        <v>43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45541.0</v>
      </c>
      <c r="C34" s="18" t="s">
        <v>459</v>
      </c>
      <c r="D34" s="19">
        <v>51017.0</v>
      </c>
      <c r="E34" s="20" t="s">
        <v>241</v>
      </c>
      <c r="F34" s="23"/>
      <c r="G34" s="22"/>
      <c r="H34" s="29">
        <v>9500.0</v>
      </c>
      <c r="I34" s="21"/>
      <c r="J34" s="21"/>
      <c r="K34" s="37"/>
      <c r="L34" s="22"/>
      <c r="M34" s="22"/>
      <c r="N34" s="22"/>
      <c r="O34" s="22"/>
      <c r="P34" s="25">
        <v>9500.0</v>
      </c>
      <c r="Q34" s="26">
        <f t="shared" si="1"/>
        <v>0</v>
      </c>
      <c r="R34" s="25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45541.0</v>
      </c>
      <c r="C35" s="18" t="s">
        <v>460</v>
      </c>
      <c r="D35" s="19">
        <v>50148.0</v>
      </c>
      <c r="E35" s="20" t="s">
        <v>461</v>
      </c>
      <c r="F35" s="23"/>
      <c r="G35" s="22"/>
      <c r="H35" s="29"/>
      <c r="I35" s="21"/>
      <c r="J35" s="23"/>
      <c r="K35" s="37">
        <v>10000.0</v>
      </c>
      <c r="L35" s="22"/>
      <c r="M35" s="22"/>
      <c r="N35" s="22"/>
      <c r="O35" s="22"/>
      <c r="P35" s="25">
        <v>10000.0</v>
      </c>
      <c r="Q35" s="26">
        <f t="shared" si="1"/>
        <v>0</v>
      </c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45541.0</v>
      </c>
      <c r="C36" s="18" t="s">
        <v>462</v>
      </c>
      <c r="D36" s="19">
        <v>37642.0</v>
      </c>
      <c r="E36" s="20" t="s">
        <v>107</v>
      </c>
      <c r="F36" s="23"/>
      <c r="G36" s="22"/>
      <c r="H36" s="22"/>
      <c r="I36" s="21"/>
      <c r="J36" s="21"/>
      <c r="K36" s="24"/>
      <c r="L36" s="22"/>
      <c r="M36" s="22"/>
      <c r="N36" s="22"/>
      <c r="O36" s="29">
        <v>1200.0</v>
      </c>
      <c r="P36" s="25">
        <v>1200.0</v>
      </c>
      <c r="Q36" s="26">
        <f t="shared" si="1"/>
        <v>0</v>
      </c>
      <c r="R36" s="25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45541.0</v>
      </c>
      <c r="C37" s="18" t="s">
        <v>463</v>
      </c>
      <c r="D37" s="19">
        <v>38188.0</v>
      </c>
      <c r="E37" s="20" t="s">
        <v>464</v>
      </c>
      <c r="F37" s="23"/>
      <c r="G37" s="22"/>
      <c r="H37" s="22"/>
      <c r="I37" s="21"/>
      <c r="J37" s="23"/>
      <c r="K37" s="37"/>
      <c r="L37" s="22"/>
      <c r="M37" s="29"/>
      <c r="N37" s="22"/>
      <c r="O37" s="29">
        <v>1200.0</v>
      </c>
      <c r="P37" s="25">
        <v>1200.0</v>
      </c>
      <c r="Q37" s="26">
        <f t="shared" si="1"/>
        <v>0</v>
      </c>
      <c r="R37" s="25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45541.0</v>
      </c>
      <c r="C38" s="18" t="s">
        <v>465</v>
      </c>
      <c r="D38" s="19">
        <v>57876.0</v>
      </c>
      <c r="E38" s="20" t="s">
        <v>466</v>
      </c>
      <c r="F38" s="23"/>
      <c r="G38" s="22"/>
      <c r="H38" s="29"/>
      <c r="I38" s="21"/>
      <c r="J38" s="23"/>
      <c r="K38" s="21"/>
      <c r="L38" s="22"/>
      <c r="M38" s="22"/>
      <c r="N38" s="22"/>
      <c r="O38" s="29">
        <v>6000.0</v>
      </c>
      <c r="P38" s="25">
        <v>6000.0</v>
      </c>
      <c r="Q38" s="26">
        <f t="shared" si="1"/>
        <v>0</v>
      </c>
      <c r="R38" s="25"/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45541.0</v>
      </c>
      <c r="C39" s="18" t="s">
        <v>467</v>
      </c>
      <c r="D39" s="19">
        <v>31927.0</v>
      </c>
      <c r="E39" s="20" t="s">
        <v>136</v>
      </c>
      <c r="F39" s="23"/>
      <c r="G39" s="22"/>
      <c r="H39" s="22"/>
      <c r="I39" s="21"/>
      <c r="J39" s="23"/>
      <c r="K39" s="37">
        <v>990.0</v>
      </c>
      <c r="L39" s="22"/>
      <c r="M39" s="22"/>
      <c r="N39" s="22"/>
      <c r="O39" s="29">
        <v>210.0</v>
      </c>
      <c r="P39" s="25">
        <v>1200.0</v>
      </c>
      <c r="Q39" s="26">
        <f t="shared" si="1"/>
        <v>0</v>
      </c>
      <c r="R39" s="25"/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45541.0</v>
      </c>
      <c r="C40" s="18" t="s">
        <v>468</v>
      </c>
      <c r="D40" s="19">
        <v>82935.0</v>
      </c>
      <c r="E40" s="20" t="s">
        <v>469</v>
      </c>
      <c r="F40" s="23"/>
      <c r="G40" s="22"/>
      <c r="H40" s="29"/>
      <c r="I40" s="21"/>
      <c r="J40" s="23"/>
      <c r="K40" s="37"/>
      <c r="L40" s="22"/>
      <c r="M40" s="29">
        <v>7000.0</v>
      </c>
      <c r="N40" s="22"/>
      <c r="O40" s="29"/>
      <c r="P40" s="25">
        <v>7000.0</v>
      </c>
      <c r="Q40" s="26">
        <f t="shared" si="1"/>
        <v>0</v>
      </c>
      <c r="R40" s="25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/>
      <c r="B41" s="28"/>
      <c r="C41" s="18"/>
      <c r="D41" s="19"/>
      <c r="E41" s="20"/>
      <c r="F41" s="23"/>
      <c r="G41" s="22"/>
      <c r="H41" s="29"/>
      <c r="I41" s="23"/>
      <c r="J41" s="23"/>
      <c r="K41" s="24"/>
      <c r="L41" s="22"/>
      <c r="M41" s="22"/>
      <c r="N41" s="22"/>
      <c r="O41" s="22"/>
      <c r="P41" s="25"/>
      <c r="Q41" s="26">
        <f t="shared" si="1"/>
        <v>0</v>
      </c>
      <c r="R41" s="50"/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7.5" customHeight="1">
      <c r="A42" s="16"/>
      <c r="B42" s="51"/>
      <c r="C42" s="52"/>
      <c r="D42" s="53" t="s">
        <v>149</v>
      </c>
      <c r="E42" s="54"/>
      <c r="F42" s="55">
        <f t="shared" ref="F42:P42" si="2">SUM(F5:F41)</f>
        <v>0</v>
      </c>
      <c r="G42" s="55">
        <f t="shared" si="2"/>
        <v>0</v>
      </c>
      <c r="H42" s="55">
        <f t="shared" si="2"/>
        <v>9500</v>
      </c>
      <c r="I42" s="55">
        <f t="shared" si="2"/>
        <v>88350</v>
      </c>
      <c r="J42" s="55">
        <f t="shared" si="2"/>
        <v>28300</v>
      </c>
      <c r="K42" s="55">
        <f t="shared" si="2"/>
        <v>26430</v>
      </c>
      <c r="L42" s="55">
        <f t="shared" si="2"/>
        <v>0</v>
      </c>
      <c r="M42" s="55">
        <f t="shared" si="2"/>
        <v>7150</v>
      </c>
      <c r="N42" s="55">
        <f t="shared" si="2"/>
        <v>0</v>
      </c>
      <c r="O42" s="55">
        <f t="shared" si="2"/>
        <v>8610</v>
      </c>
      <c r="P42" s="55">
        <f t="shared" si="2"/>
        <v>168340</v>
      </c>
      <c r="Q42" s="56">
        <v>0.0</v>
      </c>
      <c r="R42" s="57"/>
      <c r="S42" s="27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58.5" customHeight="1">
      <c r="A43" s="58"/>
      <c r="B43" s="58"/>
      <c r="C43" s="59"/>
      <c r="D43" s="58"/>
      <c r="E43" s="58"/>
      <c r="F43" s="60">
        <f>F42+G42+H42+I42+J42+K42+L42+M42+N42+O42</f>
        <v>168340</v>
      </c>
      <c r="P43" s="61"/>
      <c r="Q43" s="61"/>
      <c r="R43" s="58"/>
      <c r="S43" s="58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ht="15.75" customHeight="1">
      <c r="A44" s="4"/>
      <c r="B44" s="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3" t="s">
        <v>149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4" t="s">
        <v>150</v>
      </c>
      <c r="F47" s="65" t="s">
        <v>254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152</v>
      </c>
      <c r="F48" s="65" t="s">
        <v>254</v>
      </c>
      <c r="G48" s="4"/>
      <c r="H48" s="4"/>
      <c r="I48" s="4"/>
      <c r="J48" s="4"/>
      <c r="K48" s="4"/>
      <c r="L48" s="4"/>
      <c r="M48" s="4"/>
      <c r="N48" s="4"/>
      <c r="O48" s="67" t="s">
        <v>149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154</v>
      </c>
      <c r="F49" s="65" t="s">
        <v>155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66" t="s">
        <v>156</v>
      </c>
      <c r="F50" s="65" t="s">
        <v>155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66" t="s">
        <v>157</v>
      </c>
      <c r="F51" s="65" t="s">
        <v>254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66" t="s">
        <v>470</v>
      </c>
      <c r="F52" s="65" t="s">
        <v>155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66" t="s">
        <v>160</v>
      </c>
      <c r="F53" s="65" t="s">
        <v>155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2"/>
      <c r="D54" s="4"/>
      <c r="E54" s="66" t="s">
        <v>161</v>
      </c>
      <c r="F54" s="68" t="s">
        <v>162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67" t="s">
        <v>149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 t="str">
        <f>I72442</f>
        <v/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69"/>
      <c r="G62" s="4"/>
      <c r="H62" s="4"/>
      <c r="I62" s="67" t="s">
        <v>163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>
        <v>7.0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7">
    <mergeCell ref="R2:R4"/>
    <mergeCell ref="S2:S4"/>
    <mergeCell ref="F3:F4"/>
    <mergeCell ref="G3:H3"/>
    <mergeCell ref="I3:J3"/>
    <mergeCell ref="K3:K4"/>
    <mergeCell ref="F43:O4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45541.0</v>
      </c>
      <c r="C5" s="18" t="s">
        <v>472</v>
      </c>
      <c r="D5" s="19">
        <v>48699.0</v>
      </c>
      <c r="E5" s="20" t="s">
        <v>473</v>
      </c>
      <c r="F5" s="21"/>
      <c r="G5" s="22"/>
      <c r="H5" s="23"/>
      <c r="I5" s="37"/>
      <c r="J5" s="37">
        <v>2650.0</v>
      </c>
      <c r="K5" s="22"/>
      <c r="L5" s="22"/>
      <c r="M5" s="23"/>
      <c r="N5" s="22"/>
      <c r="O5" s="22"/>
      <c r="P5" s="25">
        <v>2650.0</v>
      </c>
      <c r="Q5" s="26">
        <f t="shared" ref="Q5:Q32" si="1">F5+G5+H5+I5+J5+K5+L5+M5+N5+O5-P5</f>
        <v>0</v>
      </c>
      <c r="R5" s="25" t="s">
        <v>43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45542.0</v>
      </c>
      <c r="C6" s="18" t="s">
        <v>474</v>
      </c>
      <c r="D6" s="19">
        <v>62809.0</v>
      </c>
      <c r="E6" s="20" t="s">
        <v>475</v>
      </c>
      <c r="F6" s="23"/>
      <c r="G6" s="22"/>
      <c r="H6" s="22"/>
      <c r="I6" s="21">
        <v>2500.0</v>
      </c>
      <c r="J6" s="29"/>
      <c r="K6" s="29"/>
      <c r="L6" s="22"/>
      <c r="M6" s="21"/>
      <c r="N6" s="22"/>
      <c r="O6" s="22"/>
      <c r="P6" s="25">
        <v>2500.0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45542.0</v>
      </c>
      <c r="C7" s="18" t="s">
        <v>476</v>
      </c>
      <c r="D7" s="19">
        <v>84762.0</v>
      </c>
      <c r="E7" s="20" t="s">
        <v>477</v>
      </c>
      <c r="F7" s="22"/>
      <c r="G7" s="22"/>
      <c r="H7" s="23"/>
      <c r="I7" s="21"/>
      <c r="J7" s="37">
        <v>6050.0</v>
      </c>
      <c r="K7" s="22"/>
      <c r="L7" s="22"/>
      <c r="M7" s="22"/>
      <c r="N7" s="22"/>
      <c r="O7" s="22"/>
      <c r="P7" s="25">
        <v>6050.0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45542.0</v>
      </c>
      <c r="C8" s="18" t="s">
        <v>478</v>
      </c>
      <c r="D8" s="19">
        <v>84763.0</v>
      </c>
      <c r="E8" s="20" t="s">
        <v>479</v>
      </c>
      <c r="F8" s="22"/>
      <c r="G8" s="22"/>
      <c r="H8" s="22"/>
      <c r="I8" s="21"/>
      <c r="J8" s="21">
        <v>7300.0</v>
      </c>
      <c r="K8" s="29"/>
      <c r="L8" s="22"/>
      <c r="M8" s="22"/>
      <c r="N8" s="22"/>
      <c r="O8" s="22"/>
      <c r="P8" s="25">
        <v>7300.0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45542.0</v>
      </c>
      <c r="C9" s="18" t="s">
        <v>480</v>
      </c>
      <c r="D9" s="19">
        <v>67797.0</v>
      </c>
      <c r="E9" s="20" t="s">
        <v>481</v>
      </c>
      <c r="F9" s="22"/>
      <c r="G9" s="22"/>
      <c r="H9" s="22"/>
      <c r="I9" s="21"/>
      <c r="J9" s="21">
        <v>37500.0</v>
      </c>
      <c r="K9" s="22"/>
      <c r="L9" s="22"/>
      <c r="M9" s="23"/>
      <c r="N9" s="22"/>
      <c r="O9" s="22"/>
      <c r="P9" s="25">
        <v>37500.0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45542.0</v>
      </c>
      <c r="C10" s="18" t="s">
        <v>482</v>
      </c>
      <c r="D10" s="19">
        <v>50979.0</v>
      </c>
      <c r="E10" s="20" t="s">
        <v>483</v>
      </c>
      <c r="F10" s="22"/>
      <c r="G10" s="22"/>
      <c r="H10" s="22"/>
      <c r="I10" s="21"/>
      <c r="J10" s="21">
        <v>25290.0</v>
      </c>
      <c r="K10" s="22"/>
      <c r="L10" s="22"/>
      <c r="M10" s="23"/>
      <c r="N10" s="22"/>
      <c r="O10" s="22"/>
      <c r="P10" s="25">
        <v>25290.0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45542.0</v>
      </c>
      <c r="C11" s="18" t="s">
        <v>484</v>
      </c>
      <c r="D11" s="19">
        <v>59244.0</v>
      </c>
      <c r="E11" s="20" t="s">
        <v>485</v>
      </c>
      <c r="F11" s="22"/>
      <c r="G11" s="22"/>
      <c r="H11" s="29"/>
      <c r="I11" s="21">
        <v>6050.0</v>
      </c>
      <c r="J11" s="21"/>
      <c r="K11" s="29"/>
      <c r="L11" s="22"/>
      <c r="M11" s="23"/>
      <c r="N11" s="22"/>
      <c r="O11" s="22"/>
      <c r="P11" s="25">
        <v>6050.0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45542.0</v>
      </c>
      <c r="C12" s="18" t="s">
        <v>486</v>
      </c>
      <c r="D12" s="19">
        <v>58074.0</v>
      </c>
      <c r="E12" s="20" t="s">
        <v>101</v>
      </c>
      <c r="F12" s="22"/>
      <c r="G12" s="22"/>
      <c r="H12" s="29"/>
      <c r="I12" s="21">
        <v>2850.0</v>
      </c>
      <c r="J12" s="21"/>
      <c r="K12" s="29">
        <v>250.0</v>
      </c>
      <c r="L12" s="22"/>
      <c r="M12" s="23"/>
      <c r="N12" s="22"/>
      <c r="O12" s="22"/>
      <c r="P12" s="25">
        <v>3100.0</v>
      </c>
      <c r="Q12" s="26">
        <f t="shared" si="1"/>
        <v>0</v>
      </c>
      <c r="R12" s="25" t="s">
        <v>25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45542.0</v>
      </c>
      <c r="C13" s="32" t="s">
        <v>487</v>
      </c>
      <c r="D13" s="33">
        <v>52973.0</v>
      </c>
      <c r="E13" s="34" t="s">
        <v>488</v>
      </c>
      <c r="F13" s="29">
        <v>1200.0</v>
      </c>
      <c r="G13" s="22"/>
      <c r="H13" s="22"/>
      <c r="I13" s="21"/>
      <c r="J13" s="21"/>
      <c r="K13" s="22"/>
      <c r="L13" s="22"/>
      <c r="M13" s="23"/>
      <c r="N13" s="22"/>
      <c r="O13" s="22"/>
      <c r="P13" s="35">
        <v>1200.0</v>
      </c>
      <c r="Q13" s="26">
        <f t="shared" si="1"/>
        <v>0</v>
      </c>
      <c r="R13" s="35" t="s">
        <v>36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45542.0</v>
      </c>
      <c r="C14" s="18" t="s">
        <v>489</v>
      </c>
      <c r="D14" s="19">
        <v>19688.0</v>
      </c>
      <c r="E14" s="20" t="s">
        <v>359</v>
      </c>
      <c r="F14" s="22"/>
      <c r="G14" s="22"/>
      <c r="H14" s="22"/>
      <c r="I14" s="21">
        <v>2650.0</v>
      </c>
      <c r="J14" s="21"/>
      <c r="K14" s="22"/>
      <c r="L14" s="22"/>
      <c r="M14" s="23"/>
      <c r="N14" s="22"/>
      <c r="O14" s="22"/>
      <c r="P14" s="25">
        <v>2650.0</v>
      </c>
      <c r="Q14" s="26">
        <f t="shared" si="1"/>
        <v>0</v>
      </c>
      <c r="R14" s="25" t="s">
        <v>43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45542.0</v>
      </c>
      <c r="C15" s="18" t="s">
        <v>490</v>
      </c>
      <c r="D15" s="19">
        <v>54325.0</v>
      </c>
      <c r="E15" s="20" t="s">
        <v>491</v>
      </c>
      <c r="F15" s="22"/>
      <c r="G15" s="22"/>
      <c r="H15" s="22"/>
      <c r="I15" s="21"/>
      <c r="J15" s="21">
        <v>5000.0</v>
      </c>
      <c r="K15" s="22"/>
      <c r="L15" s="22"/>
      <c r="M15" s="23"/>
      <c r="N15" s="22"/>
      <c r="O15" s="22"/>
      <c r="P15" s="25">
        <v>5000.0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45542.0</v>
      </c>
      <c r="C16" s="18" t="s">
        <v>492</v>
      </c>
      <c r="D16" s="19">
        <v>54325.0</v>
      </c>
      <c r="E16" s="20" t="s">
        <v>491</v>
      </c>
      <c r="F16" s="22"/>
      <c r="G16" s="22"/>
      <c r="H16" s="22"/>
      <c r="I16" s="21"/>
      <c r="J16" s="21">
        <v>5000.0</v>
      </c>
      <c r="K16" s="22"/>
      <c r="L16" s="22"/>
      <c r="M16" s="23"/>
      <c r="N16" s="22"/>
      <c r="O16" s="22"/>
      <c r="P16" s="25">
        <v>5000.0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45542.0</v>
      </c>
      <c r="C17" s="18" t="s">
        <v>493</v>
      </c>
      <c r="D17" s="19">
        <v>54325.0</v>
      </c>
      <c r="E17" s="20" t="s">
        <v>491</v>
      </c>
      <c r="F17" s="22"/>
      <c r="G17" s="22"/>
      <c r="H17" s="22"/>
      <c r="I17" s="21"/>
      <c r="J17" s="21">
        <v>5000.0</v>
      </c>
      <c r="K17" s="22"/>
      <c r="L17" s="22"/>
      <c r="M17" s="23"/>
      <c r="N17" s="22"/>
      <c r="O17" s="22"/>
      <c r="P17" s="25">
        <v>5000.0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45542.0</v>
      </c>
      <c r="C18" s="18" t="s">
        <v>494</v>
      </c>
      <c r="D18" s="19">
        <v>83030.0</v>
      </c>
      <c r="E18" s="20" t="s">
        <v>495</v>
      </c>
      <c r="F18" s="22"/>
      <c r="G18" s="22"/>
      <c r="H18" s="22"/>
      <c r="I18" s="21"/>
      <c r="J18" s="21">
        <v>75002.0</v>
      </c>
      <c r="K18" s="29">
        <v>9998.0</v>
      </c>
      <c r="L18" s="22"/>
      <c r="M18" s="22"/>
      <c r="N18" s="22"/>
      <c r="O18" s="22"/>
      <c r="P18" s="25">
        <v>85000.0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45542.0</v>
      </c>
      <c r="C19" s="32" t="s">
        <v>496</v>
      </c>
      <c r="D19" s="33">
        <v>62508.0</v>
      </c>
      <c r="E19" s="34" t="s">
        <v>497</v>
      </c>
      <c r="F19" s="22"/>
      <c r="G19" s="22"/>
      <c r="H19" s="22"/>
      <c r="I19" s="21">
        <v>8400.0</v>
      </c>
      <c r="J19" s="21"/>
      <c r="K19" s="22"/>
      <c r="L19" s="22"/>
      <c r="M19" s="23"/>
      <c r="N19" s="22"/>
      <c r="O19" s="22"/>
      <c r="P19" s="35">
        <v>8400.0</v>
      </c>
      <c r="Q19" s="26">
        <f t="shared" si="1"/>
        <v>0</v>
      </c>
      <c r="R19" s="35" t="s">
        <v>43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45542.0</v>
      </c>
      <c r="C20" s="18" t="s">
        <v>498</v>
      </c>
      <c r="D20" s="19">
        <v>35245.0</v>
      </c>
      <c r="E20" s="20" t="s">
        <v>177</v>
      </c>
      <c r="F20" s="22"/>
      <c r="G20" s="22"/>
      <c r="H20" s="22"/>
      <c r="I20" s="37"/>
      <c r="J20" s="37"/>
      <c r="K20" s="29">
        <v>19500.0</v>
      </c>
      <c r="L20" s="22"/>
      <c r="M20" s="22"/>
      <c r="N20" s="22"/>
      <c r="O20" s="22"/>
      <c r="P20" s="25">
        <v>19500.0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45542.0</v>
      </c>
      <c r="C21" s="18" t="s">
        <v>499</v>
      </c>
      <c r="D21" s="19">
        <v>48631.0</v>
      </c>
      <c r="E21" s="20" t="s">
        <v>116</v>
      </c>
      <c r="F21" s="23"/>
      <c r="G21" s="22"/>
      <c r="H21" s="22"/>
      <c r="I21" s="45">
        <v>1250.0</v>
      </c>
      <c r="J21" s="29"/>
      <c r="K21" s="39"/>
      <c r="L21" s="22"/>
      <c r="M21" s="22"/>
      <c r="N21" s="22"/>
      <c r="O21" s="22"/>
      <c r="P21" s="25">
        <v>1250.0</v>
      </c>
      <c r="Q21" s="26">
        <f t="shared" si="1"/>
        <v>0</v>
      </c>
      <c r="R21" s="25" t="s">
        <v>25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45542.0</v>
      </c>
      <c r="C22" s="18" t="s">
        <v>500</v>
      </c>
      <c r="D22" s="19">
        <v>52585.0</v>
      </c>
      <c r="E22" s="20" t="s">
        <v>330</v>
      </c>
      <c r="F22" s="23"/>
      <c r="G22" s="22"/>
      <c r="H22" s="22"/>
      <c r="I22" s="21"/>
      <c r="J22" s="29">
        <v>715.0</v>
      </c>
      <c r="K22" s="21">
        <v>1935.0</v>
      </c>
      <c r="L22" s="22"/>
      <c r="M22" s="22"/>
      <c r="N22" s="22"/>
      <c r="O22" s="22"/>
      <c r="P22" s="25">
        <v>2650.0</v>
      </c>
      <c r="Q22" s="26">
        <f t="shared" si="1"/>
        <v>0</v>
      </c>
      <c r="R22" s="25" t="s">
        <v>25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45542.0</v>
      </c>
      <c r="C23" s="41" t="s">
        <v>501</v>
      </c>
      <c r="D23" s="42">
        <v>51195.0</v>
      </c>
      <c r="E23" s="43" t="s">
        <v>502</v>
      </c>
      <c r="F23" s="38"/>
      <c r="G23" s="44"/>
      <c r="H23" s="44"/>
      <c r="I23" s="45">
        <v>8250.0</v>
      </c>
      <c r="J23" s="45"/>
      <c r="K23" s="46"/>
      <c r="L23" s="44"/>
      <c r="M23" s="44"/>
      <c r="N23" s="44"/>
      <c r="O23" s="44"/>
      <c r="P23" s="47">
        <v>8250.0</v>
      </c>
      <c r="Q23" s="26">
        <f t="shared" si="1"/>
        <v>0</v>
      </c>
      <c r="R23" s="47" t="s">
        <v>25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45542.0</v>
      </c>
      <c r="C24" s="18" t="s">
        <v>503</v>
      </c>
      <c r="D24" s="19">
        <v>51309.0</v>
      </c>
      <c r="E24" s="20" t="s">
        <v>504</v>
      </c>
      <c r="F24" s="23"/>
      <c r="G24" s="22"/>
      <c r="H24" s="22"/>
      <c r="I24" s="21">
        <v>600.0</v>
      </c>
      <c r="J24" s="29"/>
      <c r="K24" s="39"/>
      <c r="L24" s="22"/>
      <c r="M24" s="22"/>
      <c r="N24" s="22"/>
      <c r="O24" s="22"/>
      <c r="P24" s="25">
        <v>600.0</v>
      </c>
      <c r="Q24" s="26">
        <f t="shared" si="1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45542.0</v>
      </c>
      <c r="C25" s="18" t="s">
        <v>505</v>
      </c>
      <c r="D25" s="19">
        <v>83056.0</v>
      </c>
      <c r="E25" s="20" t="s">
        <v>506</v>
      </c>
      <c r="F25" s="23"/>
      <c r="G25" s="22"/>
      <c r="H25" s="29"/>
      <c r="I25" s="21"/>
      <c r="J25" s="21"/>
      <c r="K25" s="49"/>
      <c r="L25" s="22"/>
      <c r="M25" s="29">
        <v>2000.0</v>
      </c>
      <c r="N25" s="22"/>
      <c r="O25" s="22"/>
      <c r="P25" s="25">
        <v>2000.0</v>
      </c>
      <c r="Q25" s="26">
        <f t="shared" si="1"/>
        <v>0</v>
      </c>
      <c r="R25" s="25" t="s">
        <v>25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45542.0</v>
      </c>
      <c r="C26" s="18" t="s">
        <v>507</v>
      </c>
      <c r="D26" s="19">
        <v>75222.0</v>
      </c>
      <c r="E26" s="20" t="s">
        <v>508</v>
      </c>
      <c r="F26" s="23"/>
      <c r="G26" s="22"/>
      <c r="H26" s="22"/>
      <c r="I26" s="49">
        <v>1850.0</v>
      </c>
      <c r="J26" s="21"/>
      <c r="K26" s="49"/>
      <c r="L26" s="22"/>
      <c r="M26" s="22"/>
      <c r="N26" s="22"/>
      <c r="O26" s="22"/>
      <c r="P26" s="25">
        <v>1850.0</v>
      </c>
      <c r="Q26" s="26">
        <f t="shared" si="1"/>
        <v>0</v>
      </c>
      <c r="R26" s="25" t="s">
        <v>43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45542.0</v>
      </c>
      <c r="C27" s="18" t="s">
        <v>509</v>
      </c>
      <c r="D27" s="19">
        <v>58074.0</v>
      </c>
      <c r="E27" s="20" t="s">
        <v>101</v>
      </c>
      <c r="F27" s="23"/>
      <c r="G27" s="22"/>
      <c r="H27" s="22"/>
      <c r="I27" s="21">
        <v>2550.0</v>
      </c>
      <c r="J27" s="21"/>
      <c r="K27" s="37"/>
      <c r="L27" s="22"/>
      <c r="M27" s="22"/>
      <c r="N27" s="22"/>
      <c r="O27" s="22"/>
      <c r="P27" s="25">
        <v>2550.0</v>
      </c>
      <c r="Q27" s="26">
        <f t="shared" si="1"/>
        <v>0</v>
      </c>
      <c r="R27" s="25" t="s">
        <v>43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45542.0</v>
      </c>
      <c r="C28" s="18" t="s">
        <v>510</v>
      </c>
      <c r="D28" s="19">
        <v>59244.0</v>
      </c>
      <c r="E28" s="20" t="s">
        <v>485</v>
      </c>
      <c r="F28" s="23"/>
      <c r="G28" s="22"/>
      <c r="H28" s="22"/>
      <c r="I28" s="21">
        <v>15000.0</v>
      </c>
      <c r="J28" s="21"/>
      <c r="K28" s="24"/>
      <c r="L28" s="22"/>
      <c r="M28" s="29"/>
      <c r="N28" s="22"/>
      <c r="O28" s="22"/>
      <c r="P28" s="25">
        <v>15000.0</v>
      </c>
      <c r="Q28" s="26">
        <f t="shared" si="1"/>
        <v>0</v>
      </c>
      <c r="R28" s="25" t="s">
        <v>30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45542.0</v>
      </c>
      <c r="C29" s="18" t="s">
        <v>511</v>
      </c>
      <c r="D29" s="19">
        <v>51017.0</v>
      </c>
      <c r="E29" s="20" t="s">
        <v>241</v>
      </c>
      <c r="F29" s="21"/>
      <c r="G29" s="22"/>
      <c r="H29" s="29">
        <v>13750.0</v>
      </c>
      <c r="I29" s="21"/>
      <c r="J29" s="21"/>
      <c r="K29" s="24"/>
      <c r="L29" s="22"/>
      <c r="M29" s="29"/>
      <c r="N29" s="22"/>
      <c r="O29" s="22"/>
      <c r="P29" s="25">
        <v>13750.0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45542.0</v>
      </c>
      <c r="C30" s="18" t="s">
        <v>512</v>
      </c>
      <c r="D30" s="19">
        <v>10250.0</v>
      </c>
      <c r="E30" s="20" t="s">
        <v>423</v>
      </c>
      <c r="F30" s="23"/>
      <c r="G30" s="22"/>
      <c r="H30" s="29">
        <v>19000.0</v>
      </c>
      <c r="I30" s="21"/>
      <c r="J30" s="21"/>
      <c r="K30" s="24"/>
      <c r="L30" s="22"/>
      <c r="M30" s="29"/>
      <c r="N30" s="22"/>
      <c r="O30" s="22"/>
      <c r="P30" s="25">
        <v>19000.0</v>
      </c>
      <c r="Q30" s="26">
        <f t="shared" si="1"/>
        <v>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45542.0</v>
      </c>
      <c r="C31" s="18" t="s">
        <v>513</v>
      </c>
      <c r="D31" s="19">
        <v>51166.0</v>
      </c>
      <c r="E31" s="20" t="s">
        <v>514</v>
      </c>
      <c r="F31" s="23"/>
      <c r="G31" s="22"/>
      <c r="H31" s="29">
        <v>5000.0</v>
      </c>
      <c r="I31" s="21"/>
      <c r="J31" s="21"/>
      <c r="K31" s="24"/>
      <c r="L31" s="22"/>
      <c r="M31" s="22"/>
      <c r="N31" s="22"/>
      <c r="O31" s="22"/>
      <c r="P31" s="25">
        <v>5000.0</v>
      </c>
      <c r="Q31" s="26">
        <f t="shared" si="1"/>
        <v>0</v>
      </c>
      <c r="R31" s="25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/>
      <c r="B32" s="28"/>
      <c r="C32" s="18"/>
      <c r="D32" s="19"/>
      <c r="E32" s="20"/>
      <c r="F32" s="23"/>
      <c r="G32" s="22"/>
      <c r="H32" s="29"/>
      <c r="I32" s="23"/>
      <c r="J32" s="23"/>
      <c r="K32" s="24"/>
      <c r="L32" s="22"/>
      <c r="M32" s="22"/>
      <c r="N32" s="22"/>
      <c r="O32" s="22"/>
      <c r="P32" s="25"/>
      <c r="Q32" s="26">
        <f t="shared" si="1"/>
        <v>0</v>
      </c>
      <c r="R32" s="50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7.5" customHeight="1">
      <c r="A33" s="16"/>
      <c r="B33" s="51"/>
      <c r="C33" s="52"/>
      <c r="D33" s="53" t="s">
        <v>149</v>
      </c>
      <c r="E33" s="54"/>
      <c r="F33" s="55">
        <f t="shared" ref="F33:P33" si="2">SUM(F5:F32)</f>
        <v>1200</v>
      </c>
      <c r="G33" s="55">
        <f t="shared" si="2"/>
        <v>0</v>
      </c>
      <c r="H33" s="55">
        <f t="shared" si="2"/>
        <v>37750</v>
      </c>
      <c r="I33" s="55">
        <f t="shared" si="2"/>
        <v>51950</v>
      </c>
      <c r="J33" s="55">
        <f t="shared" si="2"/>
        <v>169507</v>
      </c>
      <c r="K33" s="55">
        <f t="shared" si="2"/>
        <v>31683</v>
      </c>
      <c r="L33" s="55">
        <f t="shared" si="2"/>
        <v>0</v>
      </c>
      <c r="M33" s="55">
        <f t="shared" si="2"/>
        <v>2000</v>
      </c>
      <c r="N33" s="55">
        <f t="shared" si="2"/>
        <v>0</v>
      </c>
      <c r="O33" s="55">
        <f t="shared" si="2"/>
        <v>0</v>
      </c>
      <c r="P33" s="55">
        <f t="shared" si="2"/>
        <v>294090</v>
      </c>
      <c r="Q33" s="56">
        <v>0.0</v>
      </c>
      <c r="R33" s="57"/>
      <c r="S33" s="27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58.5" customHeight="1">
      <c r="A34" s="58"/>
      <c r="B34" s="58"/>
      <c r="C34" s="59"/>
      <c r="D34" s="58"/>
      <c r="E34" s="58"/>
      <c r="F34" s="60">
        <f>F33+G33+H33+I33+J33+K33+L33+M33+N33+O33</f>
        <v>294090</v>
      </c>
      <c r="P34" s="61"/>
      <c r="Q34" s="61"/>
      <c r="R34" s="58"/>
      <c r="S34" s="58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ht="15.75" customHeight="1">
      <c r="A35" s="4"/>
      <c r="B35" s="4"/>
      <c r="C35" s="6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3" t="s">
        <v>149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2"/>
      <c r="D38" s="4"/>
      <c r="E38" s="64" t="s">
        <v>150</v>
      </c>
      <c r="F38" s="65" t="s">
        <v>162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2"/>
      <c r="D39" s="4"/>
      <c r="E39" s="66" t="s">
        <v>152</v>
      </c>
      <c r="F39" s="65" t="s">
        <v>254</v>
      </c>
      <c r="G39" s="4"/>
      <c r="H39" s="4"/>
      <c r="I39" s="4"/>
      <c r="J39" s="4"/>
      <c r="K39" s="4"/>
      <c r="L39" s="4"/>
      <c r="M39" s="4"/>
      <c r="N39" s="4"/>
      <c r="O39" s="67" t="s">
        <v>149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66" t="s">
        <v>154</v>
      </c>
      <c r="F40" s="65" t="s">
        <v>155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2"/>
      <c r="D41" s="4"/>
      <c r="E41" s="66" t="s">
        <v>156</v>
      </c>
      <c r="F41" s="65" t="s">
        <v>254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6" t="s">
        <v>157</v>
      </c>
      <c r="F42" s="65" t="s">
        <v>515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516</v>
      </c>
      <c r="F43" s="65" t="s">
        <v>155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160</v>
      </c>
      <c r="F44" s="65" t="s">
        <v>155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161</v>
      </c>
      <c r="F45" s="68" t="s">
        <v>162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67" t="s">
        <v>149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4"/>
      <c r="F46" s="4"/>
      <c r="G46" s="4"/>
      <c r="H46" s="4"/>
      <c r="I46" s="4"/>
      <c r="J46" s="4"/>
      <c r="K46" s="4" t="str">
        <f>I72433</f>
        <v/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69"/>
      <c r="G53" s="4"/>
      <c r="H53" s="4"/>
      <c r="I53" s="67" t="s">
        <v>163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>
        <v>7.0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7">
    <mergeCell ref="R2:R4"/>
    <mergeCell ref="S2:S4"/>
    <mergeCell ref="F3:F4"/>
    <mergeCell ref="G3:H3"/>
    <mergeCell ref="I3:J3"/>
    <mergeCell ref="K3:K4"/>
    <mergeCell ref="F34:O3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517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45543.0</v>
      </c>
      <c r="C5" s="18" t="s">
        <v>518</v>
      </c>
      <c r="D5" s="19">
        <v>22727.0</v>
      </c>
      <c r="E5" s="20" t="s">
        <v>519</v>
      </c>
      <c r="F5" s="21"/>
      <c r="G5" s="22"/>
      <c r="H5" s="23"/>
      <c r="I5" s="37"/>
      <c r="J5" s="37">
        <v>350.0</v>
      </c>
      <c r="K5" s="22"/>
      <c r="L5" s="22"/>
      <c r="M5" s="23"/>
      <c r="N5" s="22"/>
      <c r="O5" s="22"/>
      <c r="P5" s="25">
        <v>350.0</v>
      </c>
      <c r="Q5" s="26">
        <f t="shared" ref="Q5:Q22" si="1">F5+G5+H5+I5+J5+K5+L5+M5+N5+O5-P5</f>
        <v>0</v>
      </c>
      <c r="R5" s="25" t="s">
        <v>36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45543.0</v>
      </c>
      <c r="C6" s="18" t="s">
        <v>520</v>
      </c>
      <c r="D6" s="19">
        <v>58068.0</v>
      </c>
      <c r="E6" s="20" t="s">
        <v>521</v>
      </c>
      <c r="F6" s="23"/>
      <c r="G6" s="22"/>
      <c r="H6" s="22"/>
      <c r="I6" s="21">
        <v>5150.0</v>
      </c>
      <c r="J6" s="29"/>
      <c r="K6" s="29"/>
      <c r="L6" s="22"/>
      <c r="M6" s="21"/>
      <c r="N6" s="22"/>
      <c r="O6" s="22"/>
      <c r="P6" s="25">
        <v>5150.0</v>
      </c>
      <c r="Q6" s="26">
        <f t="shared" si="1"/>
        <v>0</v>
      </c>
      <c r="R6" s="25" t="s">
        <v>43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45543.0</v>
      </c>
      <c r="C7" s="18" t="s">
        <v>522</v>
      </c>
      <c r="D7" s="19">
        <v>84024.0</v>
      </c>
      <c r="E7" s="20" t="s">
        <v>523</v>
      </c>
      <c r="F7" s="22"/>
      <c r="G7" s="22"/>
      <c r="H7" s="23"/>
      <c r="I7" s="21"/>
      <c r="J7" s="37"/>
      <c r="K7" s="22"/>
      <c r="L7" s="22"/>
      <c r="M7" s="29">
        <v>2500.0</v>
      </c>
      <c r="N7" s="22"/>
      <c r="O7" s="22"/>
      <c r="P7" s="25">
        <v>2500.0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45543.0</v>
      </c>
      <c r="C8" s="18" t="s">
        <v>524</v>
      </c>
      <c r="D8" s="19">
        <v>55969.0</v>
      </c>
      <c r="E8" s="20" t="s">
        <v>525</v>
      </c>
      <c r="F8" s="22"/>
      <c r="G8" s="22"/>
      <c r="H8" s="22"/>
      <c r="I8" s="21">
        <v>30000.0</v>
      </c>
      <c r="J8" s="21"/>
      <c r="K8" s="29"/>
      <c r="L8" s="22"/>
      <c r="M8" s="22"/>
      <c r="N8" s="22"/>
      <c r="O8" s="22"/>
      <c r="P8" s="25">
        <v>30000.0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45543.0</v>
      </c>
      <c r="C9" s="18" t="s">
        <v>526</v>
      </c>
      <c r="D9" s="19">
        <v>67621.0</v>
      </c>
      <c r="E9" s="20" t="s">
        <v>216</v>
      </c>
      <c r="F9" s="22"/>
      <c r="G9" s="22"/>
      <c r="H9" s="22"/>
      <c r="I9" s="21">
        <v>7000.0</v>
      </c>
      <c r="J9" s="21"/>
      <c r="K9" s="22"/>
      <c r="L9" s="22"/>
      <c r="M9" s="23"/>
      <c r="N9" s="22"/>
      <c r="O9" s="22"/>
      <c r="P9" s="25">
        <v>7000.0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45543.0</v>
      </c>
      <c r="C10" s="18" t="s">
        <v>527</v>
      </c>
      <c r="D10" s="19">
        <v>55448.0</v>
      </c>
      <c r="E10" s="20" t="s">
        <v>528</v>
      </c>
      <c r="F10" s="22"/>
      <c r="G10" s="22"/>
      <c r="H10" s="22"/>
      <c r="I10" s="21">
        <v>15000.0</v>
      </c>
      <c r="J10" s="21"/>
      <c r="K10" s="22"/>
      <c r="L10" s="22"/>
      <c r="M10" s="23"/>
      <c r="N10" s="22"/>
      <c r="O10" s="22"/>
      <c r="P10" s="25">
        <v>15000.0</v>
      </c>
      <c r="Q10" s="26">
        <f t="shared" si="1"/>
        <v>0</v>
      </c>
      <c r="R10" s="25" t="s">
        <v>43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45543.0</v>
      </c>
      <c r="C11" s="18" t="s">
        <v>529</v>
      </c>
      <c r="D11" s="19">
        <v>28414.0</v>
      </c>
      <c r="E11" s="20" t="s">
        <v>438</v>
      </c>
      <c r="F11" s="22"/>
      <c r="G11" s="22"/>
      <c r="H11" s="29"/>
      <c r="I11" s="21">
        <v>4500.0</v>
      </c>
      <c r="J11" s="21"/>
      <c r="K11" s="29"/>
      <c r="L11" s="22"/>
      <c r="M11" s="23"/>
      <c r="N11" s="22"/>
      <c r="O11" s="22"/>
      <c r="P11" s="25">
        <v>4500.0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45543.0</v>
      </c>
      <c r="C12" s="18" t="s">
        <v>530</v>
      </c>
      <c r="D12" s="19">
        <v>51309.0</v>
      </c>
      <c r="E12" s="20" t="s">
        <v>504</v>
      </c>
      <c r="F12" s="22"/>
      <c r="G12" s="22"/>
      <c r="H12" s="29"/>
      <c r="I12" s="21">
        <v>600.0</v>
      </c>
      <c r="J12" s="21"/>
      <c r="K12" s="29"/>
      <c r="L12" s="22"/>
      <c r="M12" s="23"/>
      <c r="N12" s="22"/>
      <c r="O12" s="22"/>
      <c r="P12" s="25">
        <v>600.0</v>
      </c>
      <c r="Q12" s="26">
        <f t="shared" si="1"/>
        <v>0</v>
      </c>
      <c r="R12" s="25" t="s">
        <v>43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45543.0</v>
      </c>
      <c r="C13" s="32" t="s">
        <v>531</v>
      </c>
      <c r="D13" s="33">
        <v>84777.0</v>
      </c>
      <c r="E13" s="34" t="s">
        <v>532</v>
      </c>
      <c r="F13" s="29"/>
      <c r="G13" s="22"/>
      <c r="H13" s="22"/>
      <c r="I13" s="21"/>
      <c r="J13" s="21">
        <v>7300.0</v>
      </c>
      <c r="K13" s="22"/>
      <c r="L13" s="22"/>
      <c r="M13" s="23"/>
      <c r="N13" s="22"/>
      <c r="O13" s="22"/>
      <c r="P13" s="35">
        <v>7300.0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45543.0</v>
      </c>
      <c r="C14" s="18" t="s">
        <v>533</v>
      </c>
      <c r="D14" s="19">
        <v>36769.0</v>
      </c>
      <c r="E14" s="20" t="s">
        <v>379</v>
      </c>
      <c r="F14" s="22"/>
      <c r="G14" s="22"/>
      <c r="H14" s="22"/>
      <c r="I14" s="21">
        <v>46500.0</v>
      </c>
      <c r="J14" s="21"/>
      <c r="K14" s="22"/>
      <c r="L14" s="22"/>
      <c r="M14" s="23"/>
      <c r="N14" s="22"/>
      <c r="O14" s="22"/>
      <c r="P14" s="25">
        <v>46500.0</v>
      </c>
      <c r="Q14" s="26">
        <f t="shared" si="1"/>
        <v>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45543.0</v>
      </c>
      <c r="C15" s="18" t="s">
        <v>534</v>
      </c>
      <c r="D15" s="19">
        <v>80924.0</v>
      </c>
      <c r="E15" s="20" t="s">
        <v>535</v>
      </c>
      <c r="F15" s="22"/>
      <c r="G15" s="22"/>
      <c r="H15" s="22"/>
      <c r="I15" s="21"/>
      <c r="J15" s="21"/>
      <c r="K15" s="22"/>
      <c r="L15" s="22"/>
      <c r="M15" s="21">
        <v>480.0</v>
      </c>
      <c r="N15" s="22"/>
      <c r="O15" s="22"/>
      <c r="P15" s="25">
        <v>480.0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45543.0</v>
      </c>
      <c r="C16" s="18" t="s">
        <v>536</v>
      </c>
      <c r="D16" s="19">
        <v>13762.0</v>
      </c>
      <c r="E16" s="20" t="s">
        <v>24</v>
      </c>
      <c r="F16" s="22"/>
      <c r="G16" s="22"/>
      <c r="H16" s="22"/>
      <c r="I16" s="21"/>
      <c r="J16" s="21">
        <v>25000.0</v>
      </c>
      <c r="K16" s="22"/>
      <c r="L16" s="22"/>
      <c r="M16" s="23"/>
      <c r="N16" s="22"/>
      <c r="O16" s="22"/>
      <c r="P16" s="25">
        <v>25000.0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45542.0</v>
      </c>
      <c r="C17" s="18" t="s">
        <v>537</v>
      </c>
      <c r="D17" s="19">
        <v>79382.0</v>
      </c>
      <c r="E17" s="20" t="s">
        <v>538</v>
      </c>
      <c r="F17" s="22"/>
      <c r="G17" s="22"/>
      <c r="H17" s="22"/>
      <c r="I17" s="21"/>
      <c r="J17" s="21"/>
      <c r="K17" s="22"/>
      <c r="L17" s="22"/>
      <c r="M17" s="21">
        <v>5150.0</v>
      </c>
      <c r="N17" s="22"/>
      <c r="O17" s="22"/>
      <c r="P17" s="25">
        <v>5150.0</v>
      </c>
      <c r="Q17" s="26">
        <f t="shared" si="1"/>
        <v>0</v>
      </c>
      <c r="R17" s="25"/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45542.0</v>
      </c>
      <c r="C18" s="18" t="s">
        <v>539</v>
      </c>
      <c r="D18" s="19">
        <v>51017.0</v>
      </c>
      <c r="E18" s="20" t="s">
        <v>241</v>
      </c>
      <c r="F18" s="22"/>
      <c r="G18" s="22"/>
      <c r="H18" s="29">
        <v>16250.0</v>
      </c>
      <c r="I18" s="21"/>
      <c r="J18" s="21"/>
      <c r="K18" s="29"/>
      <c r="L18" s="22"/>
      <c r="M18" s="22"/>
      <c r="N18" s="22"/>
      <c r="O18" s="22"/>
      <c r="P18" s="25">
        <v>16250.0</v>
      </c>
      <c r="Q18" s="26">
        <f t="shared" si="1"/>
        <v>0</v>
      </c>
      <c r="R18" s="25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45543.0</v>
      </c>
      <c r="C19" s="32" t="s">
        <v>540</v>
      </c>
      <c r="D19" s="33">
        <v>57328.0</v>
      </c>
      <c r="E19" s="34" t="s">
        <v>541</v>
      </c>
      <c r="F19" s="22"/>
      <c r="G19" s="22"/>
      <c r="H19" s="29">
        <v>2950.0</v>
      </c>
      <c r="I19" s="21"/>
      <c r="J19" s="21"/>
      <c r="K19" s="22"/>
      <c r="L19" s="22"/>
      <c r="M19" s="23"/>
      <c r="N19" s="22"/>
      <c r="O19" s="22"/>
      <c r="P19" s="35">
        <v>2950.0</v>
      </c>
      <c r="Q19" s="26">
        <f t="shared" si="1"/>
        <v>0</v>
      </c>
      <c r="R19" s="35"/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45543.0</v>
      </c>
      <c r="C20" s="18" t="s">
        <v>542</v>
      </c>
      <c r="D20" s="19">
        <v>68284.0</v>
      </c>
      <c r="E20" s="20" t="s">
        <v>543</v>
      </c>
      <c r="F20" s="22"/>
      <c r="G20" s="22"/>
      <c r="H20" s="29">
        <v>12000.0</v>
      </c>
      <c r="I20" s="37"/>
      <c r="J20" s="37"/>
      <c r="K20" s="29"/>
      <c r="L20" s="22"/>
      <c r="M20" s="22"/>
      <c r="N20" s="22"/>
      <c r="O20" s="22"/>
      <c r="P20" s="25">
        <v>12000.0</v>
      </c>
      <c r="Q20" s="26">
        <f t="shared" si="1"/>
        <v>0</v>
      </c>
      <c r="R20" s="25"/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45543.0</v>
      </c>
      <c r="C21" s="18" t="s">
        <v>544</v>
      </c>
      <c r="D21" s="19">
        <v>68284.0</v>
      </c>
      <c r="E21" s="20" t="s">
        <v>543</v>
      </c>
      <c r="F21" s="23"/>
      <c r="G21" s="22"/>
      <c r="H21" s="22"/>
      <c r="I21" s="45"/>
      <c r="J21" s="29"/>
      <c r="K21" s="39"/>
      <c r="L21" s="22"/>
      <c r="M21" s="22"/>
      <c r="N21" s="22"/>
      <c r="O21" s="29">
        <v>1200.0</v>
      </c>
      <c r="P21" s="25">
        <v>1200.0</v>
      </c>
      <c r="Q21" s="26">
        <f t="shared" si="1"/>
        <v>0</v>
      </c>
      <c r="R21" s="25"/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/>
      <c r="B22" s="28"/>
      <c r="C22" s="18"/>
      <c r="D22" s="19"/>
      <c r="E22" s="20"/>
      <c r="F22" s="23"/>
      <c r="G22" s="22"/>
      <c r="H22" s="29"/>
      <c r="I22" s="23"/>
      <c r="J22" s="23"/>
      <c r="K22" s="24"/>
      <c r="L22" s="22"/>
      <c r="M22" s="22"/>
      <c r="N22" s="22"/>
      <c r="O22" s="22"/>
      <c r="P22" s="25"/>
      <c r="Q22" s="26">
        <f t="shared" si="1"/>
        <v>0</v>
      </c>
      <c r="R22" s="50"/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7.5" customHeight="1">
      <c r="A23" s="16"/>
      <c r="B23" s="51"/>
      <c r="C23" s="52"/>
      <c r="D23" s="53" t="s">
        <v>149</v>
      </c>
      <c r="E23" s="54"/>
      <c r="F23" s="55">
        <f t="shared" ref="F23:P23" si="2">SUM(F5:F22)</f>
        <v>0</v>
      </c>
      <c r="G23" s="55">
        <f t="shared" si="2"/>
        <v>0</v>
      </c>
      <c r="H23" s="55">
        <f t="shared" si="2"/>
        <v>31200</v>
      </c>
      <c r="I23" s="55">
        <f t="shared" si="2"/>
        <v>108750</v>
      </c>
      <c r="J23" s="55">
        <f t="shared" si="2"/>
        <v>32650</v>
      </c>
      <c r="K23" s="55">
        <f t="shared" si="2"/>
        <v>0</v>
      </c>
      <c r="L23" s="55">
        <f t="shared" si="2"/>
        <v>0</v>
      </c>
      <c r="M23" s="55">
        <f t="shared" si="2"/>
        <v>8130</v>
      </c>
      <c r="N23" s="55">
        <f t="shared" si="2"/>
        <v>0</v>
      </c>
      <c r="O23" s="55">
        <f t="shared" si="2"/>
        <v>1200</v>
      </c>
      <c r="P23" s="55">
        <f t="shared" si="2"/>
        <v>181930</v>
      </c>
      <c r="Q23" s="56">
        <v>0.0</v>
      </c>
      <c r="R23" s="57"/>
      <c r="S23" s="27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ht="58.5" customHeight="1">
      <c r="A24" s="58"/>
      <c r="B24" s="58"/>
      <c r="C24" s="59"/>
      <c r="D24" s="58"/>
      <c r="E24" s="58"/>
      <c r="F24" s="60">
        <f>F23+G23+H23+I23+J23+K23+L23+M23+N23+O23</f>
        <v>181930</v>
      </c>
      <c r="P24" s="61"/>
      <c r="Q24" s="61"/>
      <c r="R24" s="58"/>
      <c r="S24" s="58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ht="15.75" customHeight="1">
      <c r="A25" s="4"/>
      <c r="B25" s="4"/>
      <c r="C25" s="6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3" t="s">
        <v>149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2"/>
      <c r="D28" s="4"/>
      <c r="E28" s="64" t="s">
        <v>150</v>
      </c>
      <c r="F28" s="65" t="s">
        <v>162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2"/>
      <c r="D29" s="4"/>
      <c r="E29" s="66" t="s">
        <v>152</v>
      </c>
      <c r="F29" s="65" t="s">
        <v>255</v>
      </c>
      <c r="G29" s="4"/>
      <c r="H29" s="4"/>
      <c r="I29" s="4"/>
      <c r="J29" s="4"/>
      <c r="K29" s="4"/>
      <c r="L29" s="4"/>
      <c r="M29" s="4"/>
      <c r="N29" s="4"/>
      <c r="O29" s="67" t="s">
        <v>149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2"/>
      <c r="D30" s="4"/>
      <c r="E30" s="66" t="s">
        <v>154</v>
      </c>
      <c r="F30" s="65" t="s">
        <v>155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2"/>
      <c r="D31" s="4"/>
      <c r="E31" s="66" t="s">
        <v>156</v>
      </c>
      <c r="F31" s="65" t="s">
        <v>254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2"/>
      <c r="D32" s="4"/>
      <c r="E32" s="66" t="s">
        <v>157</v>
      </c>
      <c r="F32" s="65" t="s">
        <v>254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2"/>
      <c r="D33" s="4"/>
      <c r="E33" s="66" t="s">
        <v>545</v>
      </c>
      <c r="F33" s="65" t="s">
        <v>155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2"/>
      <c r="D34" s="4"/>
      <c r="E34" s="66" t="s">
        <v>160</v>
      </c>
      <c r="F34" s="65" t="s">
        <v>155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2"/>
      <c r="D35" s="4"/>
      <c r="E35" s="66" t="s">
        <v>161</v>
      </c>
      <c r="F35" s="68" t="s">
        <v>162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67" t="s">
        <v>149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2"/>
      <c r="D36" s="4"/>
      <c r="E36" s="4"/>
      <c r="F36" s="4"/>
      <c r="G36" s="4"/>
      <c r="H36" s="4"/>
      <c r="I36" s="4"/>
      <c r="J36" s="4"/>
      <c r="K36" s="4" t="str">
        <f>I72423</f>
        <v/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2"/>
      <c r="D43" s="4"/>
      <c r="E43" s="4"/>
      <c r="F43" s="69"/>
      <c r="G43" s="4"/>
      <c r="H43" s="4"/>
      <c r="I43" s="67" t="s">
        <v>163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>
        <v>7.0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7">
    <mergeCell ref="R2:R4"/>
    <mergeCell ref="S2:S4"/>
    <mergeCell ref="F3:F4"/>
    <mergeCell ref="G3:H3"/>
    <mergeCell ref="I3:J3"/>
    <mergeCell ref="K3:K4"/>
    <mergeCell ref="F24:O2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546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45544.0</v>
      </c>
      <c r="C5" s="18" t="s">
        <v>547</v>
      </c>
      <c r="D5" s="19">
        <v>46778.0</v>
      </c>
      <c r="E5" s="20" t="s">
        <v>261</v>
      </c>
      <c r="F5" s="21"/>
      <c r="G5" s="22"/>
      <c r="H5" s="23"/>
      <c r="I5" s="37"/>
      <c r="J5" s="37">
        <v>3550.0</v>
      </c>
      <c r="K5" s="22"/>
      <c r="L5" s="22"/>
      <c r="M5" s="23"/>
      <c r="N5" s="22"/>
      <c r="O5" s="22"/>
      <c r="P5" s="25">
        <v>3550.0</v>
      </c>
      <c r="Q5" s="26">
        <f t="shared" ref="Q5:Q46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45544.0</v>
      </c>
      <c r="C6" s="18" t="s">
        <v>548</v>
      </c>
      <c r="D6" s="19">
        <v>64857.0</v>
      </c>
      <c r="E6" s="20" t="s">
        <v>549</v>
      </c>
      <c r="F6" s="23"/>
      <c r="G6" s="22"/>
      <c r="H6" s="22"/>
      <c r="I6" s="21">
        <v>8000.0</v>
      </c>
      <c r="J6" s="29"/>
      <c r="K6" s="29"/>
      <c r="L6" s="22"/>
      <c r="M6" s="21"/>
      <c r="N6" s="22"/>
      <c r="O6" s="22"/>
      <c r="P6" s="25">
        <v>8000.0</v>
      </c>
      <c r="Q6" s="26">
        <f t="shared" si="1"/>
        <v>0</v>
      </c>
      <c r="R6" s="25" t="s">
        <v>43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45544.0</v>
      </c>
      <c r="C7" s="18" t="s">
        <v>550</v>
      </c>
      <c r="D7" s="19">
        <v>54280.0</v>
      </c>
      <c r="E7" s="20" t="s">
        <v>175</v>
      </c>
      <c r="F7" s="22"/>
      <c r="G7" s="22"/>
      <c r="H7" s="23"/>
      <c r="I7" s="21">
        <v>2650.0</v>
      </c>
      <c r="J7" s="37"/>
      <c r="K7" s="22"/>
      <c r="L7" s="22"/>
      <c r="M7" s="22"/>
      <c r="N7" s="22"/>
      <c r="O7" s="22"/>
      <c r="P7" s="25">
        <v>2650.0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45544.0</v>
      </c>
      <c r="C8" s="18" t="s">
        <v>551</v>
      </c>
      <c r="D8" s="19">
        <v>77886.0</v>
      </c>
      <c r="E8" s="20" t="s">
        <v>291</v>
      </c>
      <c r="F8" s="22"/>
      <c r="G8" s="22"/>
      <c r="H8" s="22"/>
      <c r="I8" s="21">
        <v>4500.0</v>
      </c>
      <c r="J8" s="21"/>
      <c r="K8" s="29"/>
      <c r="L8" s="22"/>
      <c r="M8" s="22"/>
      <c r="N8" s="22"/>
      <c r="O8" s="22"/>
      <c r="P8" s="25">
        <v>4500.0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45544.0</v>
      </c>
      <c r="C9" s="18" t="s">
        <v>552</v>
      </c>
      <c r="D9" s="19">
        <v>77886.0</v>
      </c>
      <c r="E9" s="20" t="s">
        <v>291</v>
      </c>
      <c r="F9" s="22"/>
      <c r="G9" s="22"/>
      <c r="H9" s="22"/>
      <c r="I9" s="21">
        <v>4500.0</v>
      </c>
      <c r="J9" s="21"/>
      <c r="K9" s="22"/>
      <c r="L9" s="22"/>
      <c r="M9" s="23"/>
      <c r="N9" s="22"/>
      <c r="O9" s="22"/>
      <c r="P9" s="25">
        <v>4500.0</v>
      </c>
      <c r="Q9" s="26">
        <f t="shared" si="1"/>
        <v>0</v>
      </c>
      <c r="R9" s="25" t="s">
        <v>30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45544.0</v>
      </c>
      <c r="C10" s="18" t="s">
        <v>553</v>
      </c>
      <c r="D10" s="19">
        <v>77886.0</v>
      </c>
      <c r="E10" s="20" t="s">
        <v>291</v>
      </c>
      <c r="F10" s="22"/>
      <c r="G10" s="22"/>
      <c r="H10" s="22"/>
      <c r="I10" s="21">
        <v>650.0</v>
      </c>
      <c r="J10" s="21"/>
      <c r="K10" s="22"/>
      <c r="L10" s="22"/>
      <c r="M10" s="23"/>
      <c r="N10" s="22"/>
      <c r="O10" s="22"/>
      <c r="P10" s="25">
        <v>650.0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45544.0</v>
      </c>
      <c r="C11" s="18" t="s">
        <v>554</v>
      </c>
      <c r="D11" s="19">
        <v>43134.0</v>
      </c>
      <c r="E11" s="20" t="s">
        <v>555</v>
      </c>
      <c r="F11" s="22"/>
      <c r="G11" s="22"/>
      <c r="H11" s="29"/>
      <c r="I11" s="21">
        <v>9500.0</v>
      </c>
      <c r="J11" s="21"/>
      <c r="K11" s="29"/>
      <c r="L11" s="22"/>
      <c r="M11" s="23"/>
      <c r="N11" s="22"/>
      <c r="O11" s="22"/>
      <c r="P11" s="25">
        <v>9500.0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45544.0</v>
      </c>
      <c r="C12" s="18" t="s">
        <v>556</v>
      </c>
      <c r="D12" s="19">
        <v>50697.0</v>
      </c>
      <c r="E12" s="20" t="s">
        <v>347</v>
      </c>
      <c r="F12" s="22"/>
      <c r="G12" s="22"/>
      <c r="H12" s="29"/>
      <c r="I12" s="21">
        <v>5150.0</v>
      </c>
      <c r="J12" s="21"/>
      <c r="K12" s="29"/>
      <c r="L12" s="22"/>
      <c r="M12" s="23"/>
      <c r="N12" s="22"/>
      <c r="O12" s="22"/>
      <c r="P12" s="25">
        <v>5150.0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45544.0</v>
      </c>
      <c r="C13" s="18" t="s">
        <v>557</v>
      </c>
      <c r="D13" s="19">
        <v>52776.0</v>
      </c>
      <c r="E13" s="20" t="s">
        <v>558</v>
      </c>
      <c r="F13" s="22"/>
      <c r="G13" s="22"/>
      <c r="H13" s="29"/>
      <c r="I13" s="21"/>
      <c r="J13" s="21">
        <v>20000.0</v>
      </c>
      <c r="K13" s="29"/>
      <c r="L13" s="22"/>
      <c r="M13" s="23"/>
      <c r="N13" s="22"/>
      <c r="O13" s="22"/>
      <c r="P13" s="25">
        <v>20000.0</v>
      </c>
      <c r="Q13" s="26">
        <f t="shared" si="1"/>
        <v>0</v>
      </c>
      <c r="R13" s="25" t="s">
        <v>33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8">
        <v>45544.0</v>
      </c>
      <c r="C14" s="18" t="s">
        <v>559</v>
      </c>
      <c r="D14" s="19">
        <v>50871.0</v>
      </c>
      <c r="E14" s="20" t="s">
        <v>560</v>
      </c>
      <c r="F14" s="22"/>
      <c r="G14" s="22"/>
      <c r="H14" s="29"/>
      <c r="I14" s="21">
        <v>5450.0</v>
      </c>
      <c r="J14" s="21"/>
      <c r="K14" s="29"/>
      <c r="L14" s="22"/>
      <c r="M14" s="23"/>
      <c r="N14" s="22"/>
      <c r="O14" s="22"/>
      <c r="P14" s="25">
        <v>5450.0</v>
      </c>
      <c r="Q14" s="26">
        <f t="shared" si="1"/>
        <v>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45544.0</v>
      </c>
      <c r="C15" s="18" t="s">
        <v>561</v>
      </c>
      <c r="D15" s="19">
        <v>81108.0</v>
      </c>
      <c r="E15" s="20" t="s">
        <v>209</v>
      </c>
      <c r="F15" s="22"/>
      <c r="G15" s="22"/>
      <c r="H15" s="29"/>
      <c r="I15" s="21">
        <v>14000.0</v>
      </c>
      <c r="J15" s="21"/>
      <c r="K15" s="29"/>
      <c r="L15" s="22"/>
      <c r="M15" s="23"/>
      <c r="N15" s="22"/>
      <c r="O15" s="22"/>
      <c r="P15" s="25">
        <v>14000.0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45544.0</v>
      </c>
      <c r="C16" s="18" t="s">
        <v>562</v>
      </c>
      <c r="D16" s="19">
        <v>10249.0</v>
      </c>
      <c r="E16" s="20" t="s">
        <v>126</v>
      </c>
      <c r="F16" s="22"/>
      <c r="G16" s="22"/>
      <c r="H16" s="29"/>
      <c r="I16" s="21"/>
      <c r="J16" s="21">
        <v>5000.0</v>
      </c>
      <c r="K16" s="29"/>
      <c r="L16" s="22"/>
      <c r="M16" s="23"/>
      <c r="N16" s="22"/>
      <c r="O16" s="22"/>
      <c r="P16" s="25">
        <v>5000.0</v>
      </c>
      <c r="Q16" s="26">
        <f t="shared" si="1"/>
        <v>0</v>
      </c>
      <c r="R16" s="25" t="s">
        <v>43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45544.0</v>
      </c>
      <c r="C17" s="18" t="s">
        <v>563</v>
      </c>
      <c r="D17" s="19">
        <v>10249.0</v>
      </c>
      <c r="E17" s="20" t="s">
        <v>126</v>
      </c>
      <c r="F17" s="22"/>
      <c r="G17" s="22"/>
      <c r="H17" s="29"/>
      <c r="I17" s="21"/>
      <c r="J17" s="21">
        <v>4500.0</v>
      </c>
      <c r="K17" s="29"/>
      <c r="L17" s="22"/>
      <c r="M17" s="23"/>
      <c r="N17" s="22"/>
      <c r="O17" s="22"/>
      <c r="P17" s="25">
        <v>4500.0</v>
      </c>
      <c r="Q17" s="26">
        <f t="shared" si="1"/>
        <v>0</v>
      </c>
      <c r="R17" s="25" t="s">
        <v>43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45544.0</v>
      </c>
      <c r="C18" s="18" t="s">
        <v>564</v>
      </c>
      <c r="D18" s="19">
        <v>46927.0</v>
      </c>
      <c r="E18" s="20" t="s">
        <v>75</v>
      </c>
      <c r="F18" s="22"/>
      <c r="G18" s="22"/>
      <c r="H18" s="29"/>
      <c r="I18" s="21">
        <v>8050.0</v>
      </c>
      <c r="J18" s="21"/>
      <c r="K18" s="29"/>
      <c r="L18" s="22"/>
      <c r="M18" s="23"/>
      <c r="N18" s="22"/>
      <c r="O18" s="22"/>
      <c r="P18" s="25">
        <v>8050.0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45544.0</v>
      </c>
      <c r="C19" s="18" t="s">
        <v>565</v>
      </c>
      <c r="D19" s="19">
        <v>64740.0</v>
      </c>
      <c r="E19" s="20" t="s">
        <v>566</v>
      </c>
      <c r="F19" s="22"/>
      <c r="G19" s="22"/>
      <c r="H19" s="29"/>
      <c r="I19" s="21"/>
      <c r="J19" s="21">
        <v>9500.0</v>
      </c>
      <c r="K19" s="29"/>
      <c r="L19" s="22"/>
      <c r="M19" s="23"/>
      <c r="N19" s="22"/>
      <c r="O19" s="22"/>
      <c r="P19" s="25">
        <v>9500.0</v>
      </c>
      <c r="Q19" s="26">
        <f t="shared" si="1"/>
        <v>0</v>
      </c>
      <c r="R19" s="25" t="s">
        <v>33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8">
        <v>45544.0</v>
      </c>
      <c r="C20" s="18" t="s">
        <v>567</v>
      </c>
      <c r="D20" s="19">
        <v>42050.0</v>
      </c>
      <c r="E20" s="20" t="s">
        <v>568</v>
      </c>
      <c r="F20" s="70"/>
      <c r="G20" s="22"/>
      <c r="H20" s="29"/>
      <c r="I20" s="21">
        <v>1350.0</v>
      </c>
      <c r="J20" s="21"/>
      <c r="K20" s="29"/>
      <c r="L20" s="22"/>
      <c r="M20" s="23"/>
      <c r="N20" s="22"/>
      <c r="O20" s="22"/>
      <c r="P20" s="25">
        <v>1350.0</v>
      </c>
      <c r="Q20" s="26">
        <f t="shared" si="1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45544.0</v>
      </c>
      <c r="C21" s="18" t="s">
        <v>569</v>
      </c>
      <c r="D21" s="19">
        <v>28414.0</v>
      </c>
      <c r="E21" s="20" t="s">
        <v>438</v>
      </c>
      <c r="F21" s="70"/>
      <c r="G21" s="22"/>
      <c r="H21" s="29"/>
      <c r="I21" s="21">
        <v>15000.0</v>
      </c>
      <c r="J21" s="21"/>
      <c r="K21" s="29"/>
      <c r="L21" s="22"/>
      <c r="M21" s="23"/>
      <c r="N21" s="22"/>
      <c r="O21" s="22"/>
      <c r="P21" s="25">
        <v>15000.0</v>
      </c>
      <c r="Q21" s="26">
        <f t="shared" si="1"/>
        <v>0</v>
      </c>
      <c r="R21" s="25" t="s">
        <v>43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45544.0</v>
      </c>
      <c r="C22" s="18" t="s">
        <v>570</v>
      </c>
      <c r="D22" s="19">
        <v>42833.0</v>
      </c>
      <c r="E22" s="20" t="s">
        <v>571</v>
      </c>
      <c r="F22" s="22"/>
      <c r="G22" s="22"/>
      <c r="H22" s="29"/>
      <c r="I22" s="21">
        <v>2650.0</v>
      </c>
      <c r="J22" s="21"/>
      <c r="K22" s="29"/>
      <c r="L22" s="22"/>
      <c r="M22" s="23"/>
      <c r="N22" s="22"/>
      <c r="O22" s="22"/>
      <c r="P22" s="25">
        <v>2650.0</v>
      </c>
      <c r="Q22" s="26">
        <f t="shared" si="1"/>
        <v>0</v>
      </c>
      <c r="R22" s="25" t="s">
        <v>43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8">
        <v>45544.0</v>
      </c>
      <c r="C23" s="18" t="s">
        <v>572</v>
      </c>
      <c r="D23" s="19">
        <v>36555.0</v>
      </c>
      <c r="E23" s="20" t="s">
        <v>65</v>
      </c>
      <c r="F23" s="22"/>
      <c r="G23" s="22"/>
      <c r="H23" s="29"/>
      <c r="I23" s="21">
        <v>1087.0</v>
      </c>
      <c r="J23" s="21"/>
      <c r="K23" s="29">
        <v>3563.0</v>
      </c>
      <c r="L23" s="22"/>
      <c r="M23" s="23"/>
      <c r="N23" s="22"/>
      <c r="O23" s="22"/>
      <c r="P23" s="25">
        <v>4650.0</v>
      </c>
      <c r="Q23" s="26">
        <f t="shared" si="1"/>
        <v>0</v>
      </c>
      <c r="R23" s="25" t="s">
        <v>33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8">
        <v>45544.0</v>
      </c>
      <c r="C24" s="18" t="s">
        <v>573</v>
      </c>
      <c r="D24" s="19">
        <v>78454.0</v>
      </c>
      <c r="E24" s="20" t="s">
        <v>574</v>
      </c>
      <c r="F24" s="22"/>
      <c r="G24" s="22"/>
      <c r="H24" s="29"/>
      <c r="I24" s="21">
        <v>2650.0</v>
      </c>
      <c r="J24" s="21"/>
      <c r="K24" s="29"/>
      <c r="L24" s="22"/>
      <c r="M24" s="23"/>
      <c r="N24" s="22"/>
      <c r="O24" s="22"/>
      <c r="P24" s="25">
        <v>2650.0</v>
      </c>
      <c r="Q24" s="26">
        <f t="shared" si="1"/>
        <v>0</v>
      </c>
      <c r="R24" s="25" t="s">
        <v>30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45544.0</v>
      </c>
      <c r="C25" s="18" t="s">
        <v>575</v>
      </c>
      <c r="D25" s="19">
        <v>79389.0</v>
      </c>
      <c r="E25" s="20" t="s">
        <v>576</v>
      </c>
      <c r="F25" s="22"/>
      <c r="G25" s="22"/>
      <c r="H25" s="29"/>
      <c r="I25" s="21">
        <v>12500.0</v>
      </c>
      <c r="J25" s="21"/>
      <c r="K25" s="29"/>
      <c r="L25" s="22"/>
      <c r="M25" s="23"/>
      <c r="N25" s="22"/>
      <c r="O25" s="22"/>
      <c r="P25" s="25">
        <v>12500.0</v>
      </c>
      <c r="Q25" s="26">
        <f t="shared" si="1"/>
        <v>0</v>
      </c>
      <c r="R25" s="25" t="s">
        <v>43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45544.0</v>
      </c>
      <c r="C26" s="18" t="s">
        <v>577</v>
      </c>
      <c r="D26" s="19">
        <v>28414.0</v>
      </c>
      <c r="E26" s="20" t="s">
        <v>438</v>
      </c>
      <c r="F26" s="22"/>
      <c r="G26" s="22"/>
      <c r="H26" s="29"/>
      <c r="I26" s="21">
        <v>2650.0</v>
      </c>
      <c r="J26" s="21"/>
      <c r="K26" s="29"/>
      <c r="L26" s="22"/>
      <c r="M26" s="23"/>
      <c r="N26" s="22"/>
      <c r="O26" s="22"/>
      <c r="P26" s="25">
        <v>2650.0</v>
      </c>
      <c r="Q26" s="26">
        <f t="shared" si="1"/>
        <v>0</v>
      </c>
      <c r="R26" s="25" t="s">
        <v>30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45544.0</v>
      </c>
      <c r="C27" s="18" t="s">
        <v>578</v>
      </c>
      <c r="D27" s="19">
        <v>84114.0</v>
      </c>
      <c r="E27" s="20" t="s">
        <v>375</v>
      </c>
      <c r="F27" s="22"/>
      <c r="G27" s="22"/>
      <c r="H27" s="29"/>
      <c r="I27" s="21">
        <v>5000.0</v>
      </c>
      <c r="J27" s="21"/>
      <c r="K27" s="29"/>
      <c r="L27" s="22"/>
      <c r="M27" s="23"/>
      <c r="N27" s="22"/>
      <c r="O27" s="22"/>
      <c r="P27" s="25">
        <v>5000.0</v>
      </c>
      <c r="Q27" s="26">
        <f t="shared" si="1"/>
        <v>0</v>
      </c>
      <c r="R27" s="25" t="s">
        <v>33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45544.0</v>
      </c>
      <c r="C28" s="18" t="s">
        <v>579</v>
      </c>
      <c r="D28" s="19">
        <v>84114.0</v>
      </c>
      <c r="E28" s="20" t="s">
        <v>375</v>
      </c>
      <c r="F28" s="22"/>
      <c r="G28" s="22"/>
      <c r="H28" s="29"/>
      <c r="I28" s="21">
        <v>50.0</v>
      </c>
      <c r="J28" s="21"/>
      <c r="K28" s="29"/>
      <c r="L28" s="22"/>
      <c r="M28" s="23"/>
      <c r="N28" s="22"/>
      <c r="O28" s="22"/>
      <c r="P28" s="25">
        <v>50.0</v>
      </c>
      <c r="Q28" s="26">
        <f t="shared" si="1"/>
        <v>0</v>
      </c>
      <c r="R28" s="25" t="s">
        <v>33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31">
        <v>45544.0</v>
      </c>
      <c r="C29" s="32" t="s">
        <v>580</v>
      </c>
      <c r="D29" s="33">
        <v>54226.0</v>
      </c>
      <c r="E29" s="34" t="s">
        <v>166</v>
      </c>
      <c r="F29" s="29"/>
      <c r="G29" s="22"/>
      <c r="H29" s="22"/>
      <c r="I29" s="21"/>
      <c r="J29" s="21">
        <v>8850.0</v>
      </c>
      <c r="K29" s="22"/>
      <c r="L29" s="22"/>
      <c r="M29" s="23"/>
      <c r="N29" s="22"/>
      <c r="O29" s="22"/>
      <c r="P29" s="35">
        <v>8850.0</v>
      </c>
      <c r="Q29" s="26">
        <f t="shared" si="1"/>
        <v>0</v>
      </c>
      <c r="R29" s="35" t="s">
        <v>33</v>
      </c>
      <c r="S29" s="27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ht="34.5" customHeight="1">
      <c r="A30" s="16">
        <v>26.0</v>
      </c>
      <c r="B30" s="28">
        <v>45544.0</v>
      </c>
      <c r="C30" s="18" t="s">
        <v>581</v>
      </c>
      <c r="D30" s="19">
        <v>52247.0</v>
      </c>
      <c r="E30" s="20" t="s">
        <v>397</v>
      </c>
      <c r="F30" s="22"/>
      <c r="G30" s="22"/>
      <c r="H30" s="22"/>
      <c r="I30" s="21"/>
      <c r="J30" s="21">
        <v>8000.0</v>
      </c>
      <c r="K30" s="22"/>
      <c r="L30" s="22"/>
      <c r="M30" s="23"/>
      <c r="N30" s="22"/>
      <c r="O30" s="22"/>
      <c r="P30" s="25">
        <v>8000.0</v>
      </c>
      <c r="Q30" s="26">
        <f t="shared" si="1"/>
        <v>0</v>
      </c>
      <c r="R30" s="25" t="s">
        <v>25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45544.0</v>
      </c>
      <c r="C31" s="18" t="s">
        <v>582</v>
      </c>
      <c r="D31" s="19">
        <v>67621.0</v>
      </c>
      <c r="E31" s="20" t="s">
        <v>216</v>
      </c>
      <c r="F31" s="22"/>
      <c r="G31" s="22"/>
      <c r="H31" s="22"/>
      <c r="I31" s="21">
        <v>1400.0</v>
      </c>
      <c r="J31" s="21"/>
      <c r="K31" s="22"/>
      <c r="L31" s="22"/>
      <c r="M31" s="23"/>
      <c r="N31" s="22"/>
      <c r="O31" s="22"/>
      <c r="P31" s="25">
        <v>1400.0</v>
      </c>
      <c r="Q31" s="26">
        <f t="shared" si="1"/>
        <v>0</v>
      </c>
      <c r="R31" s="25" t="s">
        <v>30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45544.0</v>
      </c>
      <c r="C32" s="18" t="s">
        <v>583</v>
      </c>
      <c r="D32" s="19">
        <v>21971.0</v>
      </c>
      <c r="E32" s="20" t="s">
        <v>584</v>
      </c>
      <c r="F32" s="22"/>
      <c r="G32" s="22"/>
      <c r="H32" s="22"/>
      <c r="I32" s="21">
        <v>4650.0</v>
      </c>
      <c r="J32" s="21"/>
      <c r="K32" s="22"/>
      <c r="L32" s="22"/>
      <c r="M32" s="23"/>
      <c r="N32" s="22"/>
      <c r="O32" s="22"/>
      <c r="P32" s="25">
        <v>4650.0</v>
      </c>
      <c r="Q32" s="26">
        <f t="shared" si="1"/>
        <v>0</v>
      </c>
      <c r="R32" s="25" t="s">
        <v>25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45544.0</v>
      </c>
      <c r="C33" s="18" t="s">
        <v>585</v>
      </c>
      <c r="D33" s="19">
        <v>84015.0</v>
      </c>
      <c r="E33" s="20" t="s">
        <v>586</v>
      </c>
      <c r="F33" s="22"/>
      <c r="G33" s="22"/>
      <c r="H33" s="22"/>
      <c r="I33" s="21">
        <v>900.0</v>
      </c>
      <c r="J33" s="21"/>
      <c r="K33" s="22"/>
      <c r="L33" s="22"/>
      <c r="M33" s="23"/>
      <c r="N33" s="22"/>
      <c r="O33" s="22"/>
      <c r="P33" s="25">
        <v>900.0</v>
      </c>
      <c r="Q33" s="26">
        <f t="shared" si="1"/>
        <v>0</v>
      </c>
      <c r="R33" s="25" t="s">
        <v>25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45544.0</v>
      </c>
      <c r="C34" s="18" t="s">
        <v>587</v>
      </c>
      <c r="D34" s="19">
        <v>48854.0</v>
      </c>
      <c r="E34" s="20" t="s">
        <v>588</v>
      </c>
      <c r="F34" s="22"/>
      <c r="G34" s="22"/>
      <c r="H34" s="22"/>
      <c r="I34" s="21">
        <v>9500.0</v>
      </c>
      <c r="J34" s="21"/>
      <c r="K34" s="29"/>
      <c r="L34" s="22"/>
      <c r="M34" s="22"/>
      <c r="N34" s="22"/>
      <c r="O34" s="22"/>
      <c r="P34" s="25">
        <v>9500.0</v>
      </c>
      <c r="Q34" s="26">
        <f t="shared" si="1"/>
        <v>0</v>
      </c>
      <c r="R34" s="25" t="s">
        <v>33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31">
        <v>45544.0</v>
      </c>
      <c r="C35" s="32" t="s">
        <v>589</v>
      </c>
      <c r="D35" s="33">
        <v>48657.0</v>
      </c>
      <c r="E35" s="34" t="s">
        <v>590</v>
      </c>
      <c r="F35" s="22"/>
      <c r="G35" s="22"/>
      <c r="H35" s="22"/>
      <c r="I35" s="21">
        <v>2650.0</v>
      </c>
      <c r="J35" s="21"/>
      <c r="K35" s="22"/>
      <c r="L35" s="22"/>
      <c r="M35" s="23"/>
      <c r="N35" s="22"/>
      <c r="O35" s="22"/>
      <c r="P35" s="35">
        <v>2650.0</v>
      </c>
      <c r="Q35" s="26">
        <f t="shared" si="1"/>
        <v>0</v>
      </c>
      <c r="R35" s="35" t="s">
        <v>43</v>
      </c>
      <c r="S35" s="27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ht="34.5" customHeight="1">
      <c r="A36" s="16">
        <v>32.0</v>
      </c>
      <c r="B36" s="28">
        <v>45544.0</v>
      </c>
      <c r="C36" s="18" t="s">
        <v>591</v>
      </c>
      <c r="D36" s="19">
        <v>13781.0</v>
      </c>
      <c r="E36" s="20" t="s">
        <v>592</v>
      </c>
      <c r="F36" s="22"/>
      <c r="G36" s="29">
        <v>2900.0</v>
      </c>
      <c r="H36" s="22"/>
      <c r="I36" s="37"/>
      <c r="J36" s="37"/>
      <c r="K36" s="29"/>
      <c r="L36" s="22"/>
      <c r="M36" s="22"/>
      <c r="N36" s="22"/>
      <c r="O36" s="22"/>
      <c r="P36" s="25">
        <v>2900.0</v>
      </c>
      <c r="Q36" s="26">
        <f t="shared" si="1"/>
        <v>0</v>
      </c>
      <c r="R36" s="25" t="s">
        <v>25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45544.0</v>
      </c>
      <c r="C37" s="18" t="s">
        <v>593</v>
      </c>
      <c r="D37" s="19">
        <v>15837.0</v>
      </c>
      <c r="E37" s="20" t="s">
        <v>594</v>
      </c>
      <c r="F37" s="23"/>
      <c r="G37" s="29">
        <v>4500.0</v>
      </c>
      <c r="H37" s="22"/>
      <c r="I37" s="45"/>
      <c r="J37" s="29"/>
      <c r="K37" s="39"/>
      <c r="L37" s="22"/>
      <c r="M37" s="22"/>
      <c r="N37" s="22"/>
      <c r="O37" s="22"/>
      <c r="P37" s="25">
        <v>4500.0</v>
      </c>
      <c r="Q37" s="26">
        <f t="shared" si="1"/>
        <v>0</v>
      </c>
      <c r="R37" s="25" t="s">
        <v>25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45544.0</v>
      </c>
      <c r="C38" s="18" t="s">
        <v>595</v>
      </c>
      <c r="D38" s="19">
        <v>13781.0</v>
      </c>
      <c r="E38" s="20" t="s">
        <v>592</v>
      </c>
      <c r="F38" s="23"/>
      <c r="G38" s="29">
        <v>1400.0</v>
      </c>
      <c r="H38" s="22"/>
      <c r="I38" s="21"/>
      <c r="J38" s="29"/>
      <c r="K38" s="21"/>
      <c r="L38" s="22"/>
      <c r="M38" s="22"/>
      <c r="N38" s="22"/>
      <c r="O38" s="22"/>
      <c r="P38" s="25">
        <v>1400.0</v>
      </c>
      <c r="Q38" s="26">
        <f t="shared" si="1"/>
        <v>0</v>
      </c>
      <c r="R38" s="25" t="s">
        <v>25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40">
        <v>45543.0</v>
      </c>
      <c r="C39" s="41" t="s">
        <v>596</v>
      </c>
      <c r="D39" s="42">
        <v>51017.0</v>
      </c>
      <c r="E39" s="43" t="s">
        <v>241</v>
      </c>
      <c r="F39" s="38"/>
      <c r="G39" s="44"/>
      <c r="H39" s="71">
        <v>15000.0</v>
      </c>
      <c r="I39" s="45"/>
      <c r="J39" s="45"/>
      <c r="K39" s="46"/>
      <c r="L39" s="44"/>
      <c r="M39" s="44"/>
      <c r="N39" s="44"/>
      <c r="O39" s="44"/>
      <c r="P39" s="47">
        <v>15000.0</v>
      </c>
      <c r="Q39" s="26">
        <f t="shared" si="1"/>
        <v>0</v>
      </c>
      <c r="R39" s="47"/>
      <c r="S39" s="27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ht="34.5" customHeight="1">
      <c r="A40" s="16">
        <v>36.0</v>
      </c>
      <c r="B40" s="28">
        <v>45544.0</v>
      </c>
      <c r="C40" s="18" t="s">
        <v>597</v>
      </c>
      <c r="D40" s="19">
        <v>56466.0</v>
      </c>
      <c r="E40" s="20" t="s">
        <v>598</v>
      </c>
      <c r="F40" s="23"/>
      <c r="G40" s="22"/>
      <c r="H40" s="22"/>
      <c r="I40" s="21"/>
      <c r="J40" s="29"/>
      <c r="K40" s="39"/>
      <c r="L40" s="22"/>
      <c r="M40" s="22"/>
      <c r="N40" s="22"/>
      <c r="O40" s="29">
        <v>4800.0</v>
      </c>
      <c r="P40" s="25">
        <v>4800.0</v>
      </c>
      <c r="Q40" s="26">
        <f t="shared" si="1"/>
        <v>0</v>
      </c>
      <c r="R40" s="25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45544.0</v>
      </c>
      <c r="C41" s="18" t="s">
        <v>599</v>
      </c>
      <c r="D41" s="19">
        <v>73323.0</v>
      </c>
      <c r="E41" s="20" t="s">
        <v>600</v>
      </c>
      <c r="F41" s="23"/>
      <c r="G41" s="22"/>
      <c r="H41" s="29"/>
      <c r="I41" s="21"/>
      <c r="J41" s="21"/>
      <c r="K41" s="49"/>
      <c r="L41" s="22"/>
      <c r="M41" s="29"/>
      <c r="N41" s="22"/>
      <c r="O41" s="29">
        <v>3600.0</v>
      </c>
      <c r="P41" s="25">
        <v>3600.0</v>
      </c>
      <c r="Q41" s="26">
        <f t="shared" si="1"/>
        <v>0</v>
      </c>
      <c r="R41" s="25"/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45544.0</v>
      </c>
      <c r="C42" s="18" t="s">
        <v>601</v>
      </c>
      <c r="D42" s="19">
        <v>46927.0</v>
      </c>
      <c r="E42" s="20" t="s">
        <v>75</v>
      </c>
      <c r="F42" s="23"/>
      <c r="G42" s="22"/>
      <c r="H42" s="22"/>
      <c r="I42" s="49"/>
      <c r="J42" s="21"/>
      <c r="K42" s="49">
        <v>90.0</v>
      </c>
      <c r="L42" s="22"/>
      <c r="M42" s="22"/>
      <c r="N42" s="22"/>
      <c r="O42" s="29">
        <v>1110.0</v>
      </c>
      <c r="P42" s="25">
        <v>1200.0</v>
      </c>
      <c r="Q42" s="26">
        <f t="shared" si="1"/>
        <v>0</v>
      </c>
      <c r="R42" s="25"/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45544.0</v>
      </c>
      <c r="C43" s="18" t="s">
        <v>602</v>
      </c>
      <c r="D43" s="19">
        <v>64740.0</v>
      </c>
      <c r="E43" s="20" t="s">
        <v>566</v>
      </c>
      <c r="F43" s="23"/>
      <c r="G43" s="22"/>
      <c r="H43" s="22"/>
      <c r="I43" s="21"/>
      <c r="J43" s="21"/>
      <c r="K43" s="37"/>
      <c r="L43" s="22"/>
      <c r="M43" s="22"/>
      <c r="N43" s="22"/>
      <c r="O43" s="29">
        <v>800.0</v>
      </c>
      <c r="P43" s="25">
        <v>800.0</v>
      </c>
      <c r="Q43" s="26">
        <f t="shared" si="1"/>
        <v>0</v>
      </c>
      <c r="R43" s="25"/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45544.0</v>
      </c>
      <c r="C44" s="18" t="s">
        <v>603</v>
      </c>
      <c r="D44" s="19">
        <v>15837.0</v>
      </c>
      <c r="E44" s="20" t="s">
        <v>594</v>
      </c>
      <c r="F44" s="23"/>
      <c r="G44" s="22"/>
      <c r="H44" s="22"/>
      <c r="I44" s="21"/>
      <c r="J44" s="21"/>
      <c r="K44" s="24"/>
      <c r="L44" s="22"/>
      <c r="M44" s="29"/>
      <c r="N44" s="22"/>
      <c r="O44" s="29">
        <v>2400.0</v>
      </c>
      <c r="P44" s="25">
        <v>2400.0</v>
      </c>
      <c r="Q44" s="26">
        <f t="shared" si="1"/>
        <v>0</v>
      </c>
      <c r="R44" s="25"/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/>
      <c r="B45" s="28"/>
      <c r="C45" s="18"/>
      <c r="D45" s="19"/>
      <c r="E45" s="20"/>
      <c r="F45" s="23"/>
      <c r="G45" s="22"/>
      <c r="H45" s="29"/>
      <c r="I45" s="21"/>
      <c r="J45" s="21"/>
      <c r="K45" s="24"/>
      <c r="L45" s="22"/>
      <c r="M45" s="22"/>
      <c r="N45" s="22"/>
      <c r="O45" s="22"/>
      <c r="P45" s="25"/>
      <c r="Q45" s="26">
        <f t="shared" si="1"/>
        <v>0</v>
      </c>
      <c r="R45" s="25"/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/>
      <c r="B46" s="28"/>
      <c r="C46" s="18"/>
      <c r="D46" s="19"/>
      <c r="E46" s="20"/>
      <c r="F46" s="23"/>
      <c r="G46" s="22"/>
      <c r="H46" s="29"/>
      <c r="I46" s="23"/>
      <c r="J46" s="23"/>
      <c r="K46" s="24"/>
      <c r="L46" s="22"/>
      <c r="M46" s="22"/>
      <c r="N46" s="22"/>
      <c r="O46" s="22"/>
      <c r="P46" s="25"/>
      <c r="Q46" s="26">
        <f t="shared" si="1"/>
        <v>0</v>
      </c>
      <c r="R46" s="50"/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7.5" customHeight="1">
      <c r="A47" s="16"/>
      <c r="B47" s="51"/>
      <c r="C47" s="52"/>
      <c r="D47" s="53" t="s">
        <v>149</v>
      </c>
      <c r="E47" s="54"/>
      <c r="F47" s="55">
        <f t="shared" ref="F47:P47" si="2">SUM(F5:F46)</f>
        <v>0</v>
      </c>
      <c r="G47" s="55">
        <f t="shared" si="2"/>
        <v>8800</v>
      </c>
      <c r="H47" s="55">
        <f t="shared" si="2"/>
        <v>15000</v>
      </c>
      <c r="I47" s="55">
        <f t="shared" si="2"/>
        <v>124487</v>
      </c>
      <c r="J47" s="55">
        <f t="shared" si="2"/>
        <v>59400</v>
      </c>
      <c r="K47" s="55">
        <f t="shared" si="2"/>
        <v>3653</v>
      </c>
      <c r="L47" s="55">
        <f t="shared" si="2"/>
        <v>0</v>
      </c>
      <c r="M47" s="55">
        <f t="shared" si="2"/>
        <v>0</v>
      </c>
      <c r="N47" s="55">
        <f t="shared" si="2"/>
        <v>0</v>
      </c>
      <c r="O47" s="55">
        <f t="shared" si="2"/>
        <v>12710</v>
      </c>
      <c r="P47" s="55">
        <f t="shared" si="2"/>
        <v>224050</v>
      </c>
      <c r="Q47" s="56">
        <v>0.0</v>
      </c>
      <c r="R47" s="57"/>
      <c r="S47" s="27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ht="58.5" customHeight="1">
      <c r="A48" s="58"/>
      <c r="B48" s="58"/>
      <c r="C48" s="59"/>
      <c r="D48" s="58"/>
      <c r="E48" s="58"/>
      <c r="F48" s="60">
        <f>F47+G47+H47+I47+J47+K47+L47+M47+N47+O47</f>
        <v>224050</v>
      </c>
      <c r="P48" s="61"/>
      <c r="Q48" s="61"/>
      <c r="R48" s="58"/>
      <c r="S48" s="58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3" t="s">
        <v>149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64" t="s">
        <v>150</v>
      </c>
      <c r="F52" s="65" t="s">
        <v>255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66" t="s">
        <v>152</v>
      </c>
      <c r="F53" s="65" t="s">
        <v>604</v>
      </c>
      <c r="G53" s="4"/>
      <c r="H53" s="4"/>
      <c r="I53" s="4"/>
      <c r="J53" s="4"/>
      <c r="K53" s="4"/>
      <c r="L53" s="4"/>
      <c r="M53" s="4"/>
      <c r="N53" s="4"/>
      <c r="O53" s="67" t="s">
        <v>149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2"/>
      <c r="D54" s="4"/>
      <c r="E54" s="66" t="s">
        <v>154</v>
      </c>
      <c r="F54" s="65" t="s">
        <v>155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66" t="s">
        <v>156</v>
      </c>
      <c r="F55" s="65" t="s">
        <v>155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2"/>
      <c r="D56" s="4"/>
      <c r="E56" s="66" t="s">
        <v>157</v>
      </c>
      <c r="F56" s="65" t="s">
        <v>605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2"/>
      <c r="D57" s="4"/>
      <c r="E57" s="66" t="s">
        <v>606</v>
      </c>
      <c r="F57" s="65" t="s">
        <v>155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62"/>
      <c r="D58" s="4"/>
      <c r="E58" s="66" t="s">
        <v>160</v>
      </c>
      <c r="F58" s="65" t="s">
        <v>155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2"/>
      <c r="D59" s="4"/>
      <c r="E59" s="66" t="s">
        <v>161</v>
      </c>
      <c r="F59" s="68" t="s">
        <v>162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67" t="s">
        <v>149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 t="str">
        <f>I72447</f>
        <v/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69"/>
      <c r="G67" s="4"/>
      <c r="H67" s="4"/>
      <c r="I67" s="67" t="s">
        <v>163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>
        <v>7.0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7">
    <mergeCell ref="R2:R4"/>
    <mergeCell ref="S2:S4"/>
    <mergeCell ref="F3:F4"/>
    <mergeCell ref="G3:H3"/>
    <mergeCell ref="I3:J3"/>
    <mergeCell ref="K3:K4"/>
    <mergeCell ref="F48:O4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607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45545.0</v>
      </c>
      <c r="C5" s="18" t="s">
        <v>608</v>
      </c>
      <c r="D5" s="19">
        <v>59904.0</v>
      </c>
      <c r="E5" s="20" t="s">
        <v>609</v>
      </c>
      <c r="F5" s="21"/>
      <c r="G5" s="22"/>
      <c r="H5" s="23"/>
      <c r="I5" s="37">
        <v>2500.0</v>
      </c>
      <c r="J5" s="37"/>
      <c r="K5" s="22"/>
      <c r="L5" s="22"/>
      <c r="M5" s="23"/>
      <c r="N5" s="22"/>
      <c r="O5" s="22"/>
      <c r="P5" s="25">
        <v>2500.0</v>
      </c>
      <c r="Q5" s="26">
        <f t="shared" ref="Q5:Q15" si="1">F5+G5+H5+I5+J5+K5+L5+M5+N5+O5-P5</f>
        <v>0</v>
      </c>
      <c r="R5" s="25" t="s">
        <v>30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45545.0</v>
      </c>
      <c r="C6" s="18" t="s">
        <v>610</v>
      </c>
      <c r="D6" s="19">
        <v>10250.0</v>
      </c>
      <c r="E6" s="20" t="s">
        <v>423</v>
      </c>
      <c r="F6" s="23"/>
      <c r="G6" s="22"/>
      <c r="H6" s="22"/>
      <c r="I6" s="21">
        <v>2400.0</v>
      </c>
      <c r="J6" s="29"/>
      <c r="K6" s="29"/>
      <c r="L6" s="22"/>
      <c r="M6" s="21"/>
      <c r="N6" s="22"/>
      <c r="O6" s="22"/>
      <c r="P6" s="25">
        <v>2400.0</v>
      </c>
      <c r="Q6" s="26">
        <f t="shared" si="1"/>
        <v>0</v>
      </c>
      <c r="R6" s="25" t="s">
        <v>25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45545.0</v>
      </c>
      <c r="C7" s="18" t="s">
        <v>611</v>
      </c>
      <c r="D7" s="19">
        <v>46629.0</v>
      </c>
      <c r="E7" s="20" t="s">
        <v>612</v>
      </c>
      <c r="F7" s="22"/>
      <c r="G7" s="22"/>
      <c r="H7" s="23"/>
      <c r="I7" s="21">
        <v>5000.0</v>
      </c>
      <c r="J7" s="37"/>
      <c r="K7" s="22"/>
      <c r="L7" s="22"/>
      <c r="M7" s="22"/>
      <c r="N7" s="22"/>
      <c r="O7" s="22"/>
      <c r="P7" s="25">
        <v>5000.0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45545.0</v>
      </c>
      <c r="C8" s="18" t="s">
        <v>613</v>
      </c>
      <c r="D8" s="19">
        <v>46629.0</v>
      </c>
      <c r="E8" s="20" t="s">
        <v>612</v>
      </c>
      <c r="F8" s="22"/>
      <c r="G8" s="22"/>
      <c r="H8" s="22"/>
      <c r="I8" s="21">
        <v>5000.0</v>
      </c>
      <c r="J8" s="21"/>
      <c r="K8" s="29"/>
      <c r="L8" s="22"/>
      <c r="M8" s="22"/>
      <c r="N8" s="22"/>
      <c r="O8" s="22"/>
      <c r="P8" s="25">
        <v>5000.0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45545.0</v>
      </c>
      <c r="C9" s="18" t="s">
        <v>614</v>
      </c>
      <c r="D9" s="19">
        <v>83882.0</v>
      </c>
      <c r="E9" s="20" t="s">
        <v>615</v>
      </c>
      <c r="F9" s="22"/>
      <c r="G9" s="22"/>
      <c r="H9" s="22"/>
      <c r="I9" s="21">
        <v>2550.0</v>
      </c>
      <c r="J9" s="21"/>
      <c r="K9" s="22"/>
      <c r="L9" s="22"/>
      <c r="M9" s="23"/>
      <c r="N9" s="22"/>
      <c r="O9" s="22"/>
      <c r="P9" s="25">
        <v>2550.0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45545.0</v>
      </c>
      <c r="C10" s="18" t="s">
        <v>616</v>
      </c>
      <c r="D10" s="19">
        <v>46629.0</v>
      </c>
      <c r="E10" s="20" t="s">
        <v>612</v>
      </c>
      <c r="F10" s="22"/>
      <c r="G10" s="22"/>
      <c r="H10" s="22"/>
      <c r="I10" s="21">
        <v>4500.0</v>
      </c>
      <c r="J10" s="21"/>
      <c r="K10" s="22"/>
      <c r="L10" s="22"/>
      <c r="M10" s="23"/>
      <c r="N10" s="22"/>
      <c r="O10" s="22"/>
      <c r="P10" s="25">
        <v>4500.0</v>
      </c>
      <c r="Q10" s="26">
        <f t="shared" si="1"/>
        <v>0</v>
      </c>
      <c r="R10" s="25" t="s">
        <v>25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45545.0</v>
      </c>
      <c r="C11" s="18" t="s">
        <v>617</v>
      </c>
      <c r="D11" s="19">
        <v>59244.0</v>
      </c>
      <c r="E11" s="20" t="s">
        <v>485</v>
      </c>
      <c r="F11" s="22"/>
      <c r="G11" s="22"/>
      <c r="H11" s="29"/>
      <c r="I11" s="21">
        <v>4500.0</v>
      </c>
      <c r="J11" s="21"/>
      <c r="K11" s="29"/>
      <c r="L11" s="22"/>
      <c r="M11" s="23"/>
      <c r="N11" s="22"/>
      <c r="O11" s="22"/>
      <c r="P11" s="25">
        <v>4500.0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45545.0</v>
      </c>
      <c r="C12" s="18" t="s">
        <v>618</v>
      </c>
      <c r="D12" s="19">
        <v>79308.0</v>
      </c>
      <c r="E12" s="20" t="s">
        <v>619</v>
      </c>
      <c r="F12" s="22"/>
      <c r="G12" s="22"/>
      <c r="H12" s="29"/>
      <c r="I12" s="21">
        <v>5150.0</v>
      </c>
      <c r="J12" s="21"/>
      <c r="K12" s="29"/>
      <c r="L12" s="22"/>
      <c r="M12" s="23"/>
      <c r="N12" s="22"/>
      <c r="O12" s="22"/>
      <c r="P12" s="25">
        <v>5150.0</v>
      </c>
      <c r="Q12" s="26">
        <f t="shared" si="1"/>
        <v>0</v>
      </c>
      <c r="R12" s="25" t="s">
        <v>25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45545.0</v>
      </c>
      <c r="C13" s="18" t="s">
        <v>620</v>
      </c>
      <c r="D13" s="19">
        <v>70472.0</v>
      </c>
      <c r="E13" s="20" t="s">
        <v>621</v>
      </c>
      <c r="F13" s="22"/>
      <c r="G13" s="22"/>
      <c r="H13" s="29"/>
      <c r="I13" s="21">
        <v>15000.0</v>
      </c>
      <c r="J13" s="21"/>
      <c r="K13" s="29"/>
      <c r="L13" s="22"/>
      <c r="M13" s="23"/>
      <c r="N13" s="22"/>
      <c r="O13" s="22"/>
      <c r="P13" s="25">
        <v>15000.0</v>
      </c>
      <c r="Q13" s="26">
        <f t="shared" si="1"/>
        <v>0</v>
      </c>
      <c r="R13" s="25" t="s">
        <v>30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28">
        <v>45545.0</v>
      </c>
      <c r="C14" s="18" t="s">
        <v>622</v>
      </c>
      <c r="D14" s="19">
        <v>52083.0</v>
      </c>
      <c r="E14" s="20" t="s">
        <v>71</v>
      </c>
      <c r="F14" s="22"/>
      <c r="G14" s="22"/>
      <c r="H14" s="29"/>
      <c r="I14" s="21">
        <v>8500.0</v>
      </c>
      <c r="J14" s="21"/>
      <c r="K14" s="29"/>
      <c r="L14" s="22"/>
      <c r="M14" s="23"/>
      <c r="N14" s="22"/>
      <c r="O14" s="22"/>
      <c r="P14" s="25">
        <v>8500.0</v>
      </c>
      <c r="Q14" s="26">
        <f t="shared" si="1"/>
        <v>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45545.0</v>
      </c>
      <c r="C15" s="18" t="s">
        <v>623</v>
      </c>
      <c r="D15" s="19">
        <v>84793.0</v>
      </c>
      <c r="E15" s="20" t="s">
        <v>624</v>
      </c>
      <c r="F15" s="22"/>
      <c r="G15" s="22"/>
      <c r="H15" s="29"/>
      <c r="I15" s="21">
        <v>7300.0</v>
      </c>
      <c r="J15" s="21"/>
      <c r="K15" s="29"/>
      <c r="L15" s="22"/>
      <c r="M15" s="23"/>
      <c r="N15" s="22"/>
      <c r="O15" s="22"/>
      <c r="P15" s="25">
        <v>7300.0</v>
      </c>
      <c r="Q15" s="26">
        <f t="shared" si="1"/>
        <v>0</v>
      </c>
      <c r="R15" s="25" t="s">
        <v>43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45545.0</v>
      </c>
      <c r="C16" s="18" t="s">
        <v>625</v>
      </c>
      <c r="D16" s="19">
        <v>69659.0</v>
      </c>
      <c r="E16" s="20" t="s">
        <v>626</v>
      </c>
      <c r="F16" s="29" t="s">
        <v>627</v>
      </c>
      <c r="G16" s="22"/>
      <c r="H16" s="29"/>
      <c r="I16" s="21">
        <v>1450.0</v>
      </c>
      <c r="J16" s="21"/>
      <c r="K16" s="29"/>
      <c r="L16" s="22"/>
      <c r="M16" s="23"/>
      <c r="N16" s="22"/>
      <c r="O16" s="22"/>
      <c r="P16" s="25">
        <v>1450.0</v>
      </c>
      <c r="Q16" s="72">
        <v>0.0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45545.0</v>
      </c>
      <c r="C17" s="18" t="s">
        <v>628</v>
      </c>
      <c r="D17" s="19">
        <v>10249.0</v>
      </c>
      <c r="E17" s="20" t="s">
        <v>126</v>
      </c>
      <c r="F17" s="22"/>
      <c r="G17" s="22"/>
      <c r="H17" s="29"/>
      <c r="I17" s="21"/>
      <c r="J17" s="21">
        <v>300.0</v>
      </c>
      <c r="K17" s="29"/>
      <c r="L17" s="22"/>
      <c r="M17" s="23"/>
      <c r="N17" s="22"/>
      <c r="O17" s="22"/>
      <c r="P17" s="25">
        <v>300.0</v>
      </c>
      <c r="Q17" s="26">
        <f t="shared" ref="Q17:Q29" si="2">F17+G17+H17+I17+J17+K17+L17+M17+N17+O17-P17</f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45545.0</v>
      </c>
      <c r="C18" s="18" t="s">
        <v>629</v>
      </c>
      <c r="D18" s="19">
        <v>84719.0</v>
      </c>
      <c r="E18" s="20" t="s">
        <v>630</v>
      </c>
      <c r="F18" s="22"/>
      <c r="G18" s="22"/>
      <c r="H18" s="29"/>
      <c r="I18" s="21"/>
      <c r="J18" s="21">
        <v>5750.0</v>
      </c>
      <c r="K18" s="29"/>
      <c r="L18" s="22"/>
      <c r="M18" s="23"/>
      <c r="N18" s="22"/>
      <c r="O18" s="22"/>
      <c r="P18" s="25">
        <v>5750.0</v>
      </c>
      <c r="Q18" s="26">
        <f t="shared" si="2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45545.0</v>
      </c>
      <c r="C19" s="18" t="s">
        <v>631</v>
      </c>
      <c r="D19" s="19">
        <v>19122.0</v>
      </c>
      <c r="E19" s="20" t="s">
        <v>632</v>
      </c>
      <c r="F19" s="22"/>
      <c r="G19" s="22"/>
      <c r="H19" s="29"/>
      <c r="I19" s="21">
        <v>1400.0</v>
      </c>
      <c r="J19" s="21"/>
      <c r="K19" s="29"/>
      <c r="L19" s="22"/>
      <c r="M19" s="23"/>
      <c r="N19" s="22"/>
      <c r="O19" s="22"/>
      <c r="P19" s="25">
        <v>1400.0</v>
      </c>
      <c r="Q19" s="26">
        <f t="shared" si="2"/>
        <v>0</v>
      </c>
      <c r="R19" s="25" t="s">
        <v>30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28">
        <v>45545.0</v>
      </c>
      <c r="C20" s="18" t="s">
        <v>633</v>
      </c>
      <c r="D20" s="19">
        <v>84033.0</v>
      </c>
      <c r="E20" s="20" t="s">
        <v>634</v>
      </c>
      <c r="F20" s="70"/>
      <c r="G20" s="22"/>
      <c r="H20" s="29"/>
      <c r="I20" s="21">
        <v>1000.0</v>
      </c>
      <c r="J20" s="21"/>
      <c r="K20" s="29"/>
      <c r="L20" s="22"/>
      <c r="M20" s="23"/>
      <c r="N20" s="22"/>
      <c r="O20" s="22"/>
      <c r="P20" s="25">
        <v>1000.0</v>
      </c>
      <c r="Q20" s="26">
        <f t="shared" si="2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45545.0</v>
      </c>
      <c r="C21" s="18" t="s">
        <v>635</v>
      </c>
      <c r="D21" s="19">
        <v>78544.0</v>
      </c>
      <c r="E21" s="20" t="s">
        <v>636</v>
      </c>
      <c r="F21" s="70"/>
      <c r="G21" s="22"/>
      <c r="H21" s="29"/>
      <c r="I21" s="21">
        <v>2650.0</v>
      </c>
      <c r="J21" s="21"/>
      <c r="K21" s="29"/>
      <c r="L21" s="22"/>
      <c r="M21" s="23"/>
      <c r="N21" s="22"/>
      <c r="O21" s="22"/>
      <c r="P21" s="25">
        <v>2650.0</v>
      </c>
      <c r="Q21" s="26">
        <f t="shared" si="2"/>
        <v>0</v>
      </c>
      <c r="R21" s="25" t="s">
        <v>43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45545.0</v>
      </c>
      <c r="C22" s="18" t="s">
        <v>637</v>
      </c>
      <c r="D22" s="19">
        <v>54899.0</v>
      </c>
      <c r="E22" s="20" t="s">
        <v>638</v>
      </c>
      <c r="F22" s="22"/>
      <c r="G22" s="22"/>
      <c r="H22" s="29"/>
      <c r="I22" s="21">
        <v>5000.0</v>
      </c>
      <c r="J22" s="21"/>
      <c r="K22" s="29"/>
      <c r="L22" s="22"/>
      <c r="M22" s="23"/>
      <c r="N22" s="22"/>
      <c r="O22" s="22"/>
      <c r="P22" s="25">
        <v>5000.0</v>
      </c>
      <c r="Q22" s="26">
        <f t="shared" si="2"/>
        <v>0</v>
      </c>
      <c r="R22" s="25" t="s">
        <v>43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8">
        <v>45545.0</v>
      </c>
      <c r="C23" s="18" t="s">
        <v>639</v>
      </c>
      <c r="D23" s="19">
        <v>84795.0</v>
      </c>
      <c r="E23" s="20" t="s">
        <v>640</v>
      </c>
      <c r="F23" s="22"/>
      <c r="G23" s="22"/>
      <c r="H23" s="29"/>
      <c r="I23" s="21"/>
      <c r="J23" s="21">
        <v>300.0</v>
      </c>
      <c r="K23" s="29"/>
      <c r="L23" s="22"/>
      <c r="M23" s="23"/>
      <c r="N23" s="22"/>
      <c r="O23" s="22"/>
      <c r="P23" s="25">
        <v>300.0</v>
      </c>
      <c r="Q23" s="26">
        <f t="shared" si="2"/>
        <v>0</v>
      </c>
      <c r="R23" s="25" t="s">
        <v>25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8">
        <v>45545.0</v>
      </c>
      <c r="C24" s="18" t="s">
        <v>641</v>
      </c>
      <c r="D24" s="19">
        <v>59904.0</v>
      </c>
      <c r="E24" s="20" t="s">
        <v>609</v>
      </c>
      <c r="F24" s="22"/>
      <c r="G24" s="22"/>
      <c r="H24" s="29"/>
      <c r="I24" s="21">
        <v>450.0</v>
      </c>
      <c r="J24" s="21"/>
      <c r="K24" s="29"/>
      <c r="L24" s="22"/>
      <c r="M24" s="23"/>
      <c r="N24" s="22"/>
      <c r="O24" s="22"/>
      <c r="P24" s="25">
        <v>450.0</v>
      </c>
      <c r="Q24" s="26">
        <f t="shared" si="2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45545.0</v>
      </c>
      <c r="C25" s="18" t="s">
        <v>642</v>
      </c>
      <c r="D25" s="19">
        <v>66129.0</v>
      </c>
      <c r="E25" s="20" t="s">
        <v>643</v>
      </c>
      <c r="F25" s="22"/>
      <c r="G25" s="22"/>
      <c r="H25" s="29"/>
      <c r="I25" s="21">
        <v>42000.0</v>
      </c>
      <c r="J25" s="21"/>
      <c r="K25" s="29"/>
      <c r="L25" s="22"/>
      <c r="M25" s="23"/>
      <c r="N25" s="22"/>
      <c r="O25" s="22"/>
      <c r="P25" s="25">
        <v>42000.0</v>
      </c>
      <c r="Q25" s="26">
        <f t="shared" si="2"/>
        <v>0</v>
      </c>
      <c r="R25" s="25" t="s">
        <v>43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45545.0</v>
      </c>
      <c r="C26" s="18" t="s">
        <v>644</v>
      </c>
      <c r="D26" s="19">
        <v>81665.0</v>
      </c>
      <c r="E26" s="20" t="s">
        <v>645</v>
      </c>
      <c r="F26" s="22"/>
      <c r="G26" s="22"/>
      <c r="H26" s="29"/>
      <c r="I26" s="21">
        <v>5400.0</v>
      </c>
      <c r="J26" s="21"/>
      <c r="K26" s="29"/>
      <c r="L26" s="22"/>
      <c r="M26" s="23"/>
      <c r="N26" s="22"/>
      <c r="O26" s="22"/>
      <c r="P26" s="25">
        <v>5400.0</v>
      </c>
      <c r="Q26" s="26">
        <f t="shared" si="2"/>
        <v>0</v>
      </c>
      <c r="R26" s="25" t="s">
        <v>43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45545.0</v>
      </c>
      <c r="C27" s="18" t="s">
        <v>646</v>
      </c>
      <c r="D27" s="19">
        <v>52771.0</v>
      </c>
      <c r="E27" s="20" t="s">
        <v>647</v>
      </c>
      <c r="F27" s="22"/>
      <c r="G27" s="22"/>
      <c r="H27" s="29"/>
      <c r="I27" s="21"/>
      <c r="J27" s="21">
        <v>10000.0</v>
      </c>
      <c r="K27" s="29"/>
      <c r="L27" s="22"/>
      <c r="M27" s="23"/>
      <c r="N27" s="22"/>
      <c r="O27" s="22"/>
      <c r="P27" s="25">
        <v>10000.0</v>
      </c>
      <c r="Q27" s="26">
        <f t="shared" si="2"/>
        <v>0</v>
      </c>
      <c r="R27" s="25" t="s">
        <v>30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45545.0</v>
      </c>
      <c r="C28" s="18" t="s">
        <v>648</v>
      </c>
      <c r="D28" s="19">
        <v>11136.0</v>
      </c>
      <c r="E28" s="20" t="s">
        <v>649</v>
      </c>
      <c r="F28" s="22"/>
      <c r="G28" s="22"/>
      <c r="H28" s="29"/>
      <c r="I28" s="21">
        <v>1450.0</v>
      </c>
      <c r="J28" s="21"/>
      <c r="K28" s="29"/>
      <c r="L28" s="22"/>
      <c r="M28" s="23"/>
      <c r="N28" s="22"/>
      <c r="O28" s="22"/>
      <c r="P28" s="25">
        <v>1450.0</v>
      </c>
      <c r="Q28" s="26">
        <f t="shared" si="2"/>
        <v>0</v>
      </c>
      <c r="R28" s="25" t="s">
        <v>30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31">
        <v>45545.0</v>
      </c>
      <c r="C29" s="32" t="s">
        <v>650</v>
      </c>
      <c r="D29" s="33">
        <v>50461.0</v>
      </c>
      <c r="E29" s="34" t="s">
        <v>651</v>
      </c>
      <c r="F29" s="29"/>
      <c r="G29" s="22"/>
      <c r="H29" s="22"/>
      <c r="I29" s="21">
        <v>2500.0</v>
      </c>
      <c r="J29" s="21"/>
      <c r="K29" s="22"/>
      <c r="L29" s="22"/>
      <c r="M29" s="23"/>
      <c r="N29" s="22"/>
      <c r="O29" s="22"/>
      <c r="P29" s="35">
        <v>2500.0</v>
      </c>
      <c r="Q29" s="26">
        <f t="shared" si="2"/>
        <v>0</v>
      </c>
      <c r="R29" s="35" t="s">
        <v>43</v>
      </c>
      <c r="S29" s="27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ht="34.5" customHeight="1">
      <c r="A30" s="16">
        <v>26.0</v>
      </c>
      <c r="B30" s="28">
        <v>45545.0</v>
      </c>
      <c r="C30" s="18" t="s">
        <v>652</v>
      </c>
      <c r="D30" s="19">
        <v>21828.0</v>
      </c>
      <c r="E30" s="20" t="s">
        <v>144</v>
      </c>
      <c r="F30" s="29">
        <v>6000.0</v>
      </c>
      <c r="G30" s="22"/>
      <c r="H30" s="22"/>
      <c r="I30" s="21" t="s">
        <v>149</v>
      </c>
      <c r="J30" s="21"/>
      <c r="K30" s="29">
        <v>1500.0</v>
      </c>
      <c r="L30" s="22"/>
      <c r="M30" s="23"/>
      <c r="N30" s="22"/>
      <c r="O30" s="22"/>
      <c r="P30" s="25">
        <v>7500.0</v>
      </c>
      <c r="Q30" s="72">
        <v>0.0</v>
      </c>
      <c r="R30" s="25" t="s">
        <v>43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45545.0</v>
      </c>
      <c r="C31" s="18" t="s">
        <v>653</v>
      </c>
      <c r="D31" s="19">
        <v>52885.0</v>
      </c>
      <c r="E31" s="20" t="s">
        <v>654</v>
      </c>
      <c r="F31" s="29"/>
      <c r="G31" s="22"/>
      <c r="H31" s="22"/>
      <c r="I31" s="21"/>
      <c r="J31" s="21">
        <v>15000.0</v>
      </c>
      <c r="K31" s="29"/>
      <c r="L31" s="22"/>
      <c r="M31" s="23"/>
      <c r="N31" s="22"/>
      <c r="O31" s="22"/>
      <c r="P31" s="25">
        <v>15000.0</v>
      </c>
      <c r="Q31" s="26">
        <f t="shared" ref="Q31:Q56" si="3">F31+G31+H31+I31+J31+K31+L31+M31+N31+O31-P31</f>
        <v>0</v>
      </c>
      <c r="R31" s="25" t="s">
        <v>25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45545.0</v>
      </c>
      <c r="C32" s="18" t="s">
        <v>655</v>
      </c>
      <c r="D32" s="19">
        <v>44335.0</v>
      </c>
      <c r="E32" s="20" t="s">
        <v>656</v>
      </c>
      <c r="F32" s="22"/>
      <c r="G32" s="22"/>
      <c r="H32" s="22"/>
      <c r="I32" s="21">
        <v>4650.0</v>
      </c>
      <c r="J32" s="21"/>
      <c r="K32" s="22"/>
      <c r="L32" s="22"/>
      <c r="M32" s="23"/>
      <c r="N32" s="22"/>
      <c r="O32" s="22"/>
      <c r="P32" s="25">
        <v>4650.0</v>
      </c>
      <c r="Q32" s="26">
        <f t="shared" si="3"/>
        <v>0</v>
      </c>
      <c r="R32" s="25" t="s">
        <v>25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45545.0</v>
      </c>
      <c r="C33" s="18" t="s">
        <v>657</v>
      </c>
      <c r="D33" s="19">
        <v>44335.0</v>
      </c>
      <c r="E33" s="20" t="s">
        <v>656</v>
      </c>
      <c r="F33" s="22"/>
      <c r="G33" s="22"/>
      <c r="H33" s="22"/>
      <c r="I33" s="21">
        <v>450.0</v>
      </c>
      <c r="J33" s="21"/>
      <c r="K33" s="22"/>
      <c r="L33" s="22"/>
      <c r="M33" s="23"/>
      <c r="N33" s="22"/>
      <c r="O33" s="22"/>
      <c r="P33" s="25">
        <v>450.0</v>
      </c>
      <c r="Q33" s="26">
        <f t="shared" si="3"/>
        <v>0</v>
      </c>
      <c r="R33" s="25" t="s">
        <v>25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45545.0</v>
      </c>
      <c r="C34" s="18" t="s">
        <v>658</v>
      </c>
      <c r="D34" s="19">
        <v>84733.0</v>
      </c>
      <c r="E34" s="20" t="s">
        <v>298</v>
      </c>
      <c r="F34" s="22"/>
      <c r="G34" s="22"/>
      <c r="H34" s="22"/>
      <c r="I34" s="21"/>
      <c r="J34" s="21"/>
      <c r="K34" s="29"/>
      <c r="L34" s="22"/>
      <c r="M34" s="29">
        <v>1580.0</v>
      </c>
      <c r="N34" s="22"/>
      <c r="O34" s="22"/>
      <c r="P34" s="25">
        <v>1580.0</v>
      </c>
      <c r="Q34" s="26">
        <f t="shared" si="3"/>
        <v>0</v>
      </c>
      <c r="R34" s="25" t="s">
        <v>25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31">
        <v>45545.0</v>
      </c>
      <c r="C35" s="32" t="s">
        <v>659</v>
      </c>
      <c r="D35" s="33">
        <v>48072.0</v>
      </c>
      <c r="E35" s="34" t="s">
        <v>660</v>
      </c>
      <c r="F35" s="22"/>
      <c r="G35" s="22"/>
      <c r="H35" s="22"/>
      <c r="I35" s="21">
        <v>10000.0</v>
      </c>
      <c r="J35" s="21"/>
      <c r="K35" s="22"/>
      <c r="L35" s="22"/>
      <c r="M35" s="23"/>
      <c r="N35" s="22"/>
      <c r="O35" s="22"/>
      <c r="P35" s="35">
        <v>10000.0</v>
      </c>
      <c r="Q35" s="26">
        <f t="shared" si="3"/>
        <v>0</v>
      </c>
      <c r="R35" s="35" t="s">
        <v>43</v>
      </c>
      <c r="S35" s="27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ht="34.5" customHeight="1">
      <c r="A36" s="16">
        <v>32.0</v>
      </c>
      <c r="B36" s="28">
        <v>45545.0</v>
      </c>
      <c r="C36" s="18" t="s">
        <v>661</v>
      </c>
      <c r="D36" s="19">
        <v>84792.0</v>
      </c>
      <c r="E36" s="20" t="s">
        <v>662</v>
      </c>
      <c r="F36" s="22"/>
      <c r="G36" s="29"/>
      <c r="H36" s="22"/>
      <c r="I36" s="37"/>
      <c r="J36" s="37"/>
      <c r="K36" s="29"/>
      <c r="L36" s="22"/>
      <c r="M36" s="29">
        <v>7000.0</v>
      </c>
      <c r="N36" s="22"/>
      <c r="O36" s="22"/>
      <c r="P36" s="25">
        <v>7000.0</v>
      </c>
      <c r="Q36" s="26">
        <f t="shared" si="3"/>
        <v>0</v>
      </c>
      <c r="R36" s="25" t="s">
        <v>25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45545.0</v>
      </c>
      <c r="C37" s="18" t="s">
        <v>663</v>
      </c>
      <c r="D37" s="19">
        <v>82764.0</v>
      </c>
      <c r="E37" s="20" t="s">
        <v>664</v>
      </c>
      <c r="F37" s="23"/>
      <c r="G37" s="29"/>
      <c r="H37" s="22"/>
      <c r="I37" s="45">
        <v>7000.0</v>
      </c>
      <c r="J37" s="29"/>
      <c r="K37" s="39"/>
      <c r="L37" s="22"/>
      <c r="M37" s="22"/>
      <c r="N37" s="22"/>
      <c r="O37" s="22"/>
      <c r="P37" s="25">
        <v>7000.0</v>
      </c>
      <c r="Q37" s="26">
        <f t="shared" si="3"/>
        <v>0</v>
      </c>
      <c r="R37" s="25" t="s">
        <v>43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45545.0</v>
      </c>
      <c r="C38" s="18" t="s">
        <v>665</v>
      </c>
      <c r="D38" s="19">
        <v>67430.0</v>
      </c>
      <c r="E38" s="20" t="s">
        <v>666</v>
      </c>
      <c r="F38" s="21">
        <v>1600.0</v>
      </c>
      <c r="G38" s="29"/>
      <c r="H38" s="22"/>
      <c r="I38" s="21"/>
      <c r="J38" s="29"/>
      <c r="K38" s="21"/>
      <c r="L38" s="22"/>
      <c r="M38" s="22"/>
      <c r="N38" s="22"/>
      <c r="O38" s="22"/>
      <c r="P38" s="25">
        <v>1600.0</v>
      </c>
      <c r="Q38" s="26">
        <f t="shared" si="3"/>
        <v>0</v>
      </c>
      <c r="R38" s="25" t="s">
        <v>25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40">
        <v>45545.0</v>
      </c>
      <c r="C39" s="41" t="s">
        <v>667</v>
      </c>
      <c r="D39" s="42">
        <v>54763.0</v>
      </c>
      <c r="E39" s="43" t="s">
        <v>219</v>
      </c>
      <c r="F39" s="38"/>
      <c r="G39" s="44"/>
      <c r="H39" s="71"/>
      <c r="I39" s="45">
        <v>4500.0</v>
      </c>
      <c r="J39" s="45"/>
      <c r="K39" s="46"/>
      <c r="L39" s="44"/>
      <c r="M39" s="44"/>
      <c r="N39" s="44"/>
      <c r="O39" s="44"/>
      <c r="P39" s="47">
        <v>4500.0</v>
      </c>
      <c r="Q39" s="26">
        <f t="shared" si="3"/>
        <v>0</v>
      </c>
      <c r="R39" s="47" t="s">
        <v>43</v>
      </c>
      <c r="S39" s="27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ht="34.5" customHeight="1">
      <c r="A40" s="16">
        <v>36.0</v>
      </c>
      <c r="B40" s="40">
        <v>45545.0</v>
      </c>
      <c r="C40" s="41" t="s">
        <v>668</v>
      </c>
      <c r="D40" s="42">
        <v>54764.0</v>
      </c>
      <c r="E40" s="43" t="s">
        <v>221</v>
      </c>
      <c r="F40" s="38"/>
      <c r="G40" s="44"/>
      <c r="H40" s="71"/>
      <c r="I40" s="45">
        <v>4500.0</v>
      </c>
      <c r="J40" s="45"/>
      <c r="K40" s="46"/>
      <c r="L40" s="44"/>
      <c r="M40" s="44"/>
      <c r="N40" s="44"/>
      <c r="O40" s="44"/>
      <c r="P40" s="47">
        <v>4500.0</v>
      </c>
      <c r="Q40" s="26">
        <f t="shared" si="3"/>
        <v>0</v>
      </c>
      <c r="R40" s="47" t="s">
        <v>43</v>
      </c>
      <c r="S40" s="27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</row>
    <row r="41" ht="34.5" customHeight="1">
      <c r="A41" s="16">
        <v>37.0</v>
      </c>
      <c r="B41" s="40">
        <v>45545.0</v>
      </c>
      <c r="C41" s="41" t="s">
        <v>669</v>
      </c>
      <c r="D41" s="42">
        <v>76812.0</v>
      </c>
      <c r="E41" s="43" t="s">
        <v>670</v>
      </c>
      <c r="F41" s="38"/>
      <c r="G41" s="44"/>
      <c r="H41" s="71"/>
      <c r="I41" s="45">
        <v>2650.0</v>
      </c>
      <c r="J41" s="45"/>
      <c r="K41" s="46"/>
      <c r="L41" s="44"/>
      <c r="M41" s="44"/>
      <c r="N41" s="44"/>
      <c r="O41" s="44"/>
      <c r="P41" s="47">
        <v>2650.0</v>
      </c>
      <c r="Q41" s="26">
        <f t="shared" si="3"/>
        <v>0</v>
      </c>
      <c r="R41" s="47" t="s">
        <v>25</v>
      </c>
      <c r="S41" s="27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</row>
    <row r="42" ht="34.5" customHeight="1">
      <c r="A42" s="16">
        <v>38.0</v>
      </c>
      <c r="B42" s="40">
        <v>45545.0</v>
      </c>
      <c r="C42" s="41" t="s">
        <v>671</v>
      </c>
      <c r="D42" s="42">
        <v>84792.0</v>
      </c>
      <c r="E42" s="43" t="s">
        <v>662</v>
      </c>
      <c r="F42" s="38"/>
      <c r="G42" s="44"/>
      <c r="H42" s="71"/>
      <c r="I42" s="45">
        <v>300.0</v>
      </c>
      <c r="J42" s="45"/>
      <c r="K42" s="46"/>
      <c r="L42" s="44"/>
      <c r="M42" s="44"/>
      <c r="N42" s="44"/>
      <c r="O42" s="44"/>
      <c r="P42" s="47">
        <v>300.0</v>
      </c>
      <c r="Q42" s="26">
        <f t="shared" si="3"/>
        <v>0</v>
      </c>
      <c r="R42" s="47" t="s">
        <v>25</v>
      </c>
      <c r="S42" s="27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</row>
    <row r="43" ht="34.5" customHeight="1">
      <c r="A43" s="16">
        <v>39.0</v>
      </c>
      <c r="B43" s="40">
        <v>45545.0</v>
      </c>
      <c r="C43" s="41" t="s">
        <v>672</v>
      </c>
      <c r="D43" s="42">
        <v>84792.0</v>
      </c>
      <c r="E43" s="43" t="s">
        <v>662</v>
      </c>
      <c r="F43" s="38"/>
      <c r="G43" s="44"/>
      <c r="H43" s="71"/>
      <c r="I43" s="45"/>
      <c r="J43" s="45"/>
      <c r="K43" s="46"/>
      <c r="L43" s="44"/>
      <c r="M43" s="71">
        <v>10000.0</v>
      </c>
      <c r="N43" s="44"/>
      <c r="O43" s="44"/>
      <c r="P43" s="47">
        <v>10000.0</v>
      </c>
      <c r="Q43" s="26">
        <f t="shared" si="3"/>
        <v>0</v>
      </c>
      <c r="R43" s="47" t="s">
        <v>25</v>
      </c>
      <c r="S43" s="27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</row>
    <row r="44" ht="34.5" customHeight="1">
      <c r="A44" s="16">
        <v>40.0</v>
      </c>
      <c r="B44" s="40">
        <v>45545.0</v>
      </c>
      <c r="C44" s="41" t="s">
        <v>673</v>
      </c>
      <c r="D44" s="42">
        <v>84733.0</v>
      </c>
      <c r="E44" s="43" t="s">
        <v>298</v>
      </c>
      <c r="F44" s="45">
        <v>200.0</v>
      </c>
      <c r="G44" s="44"/>
      <c r="H44" s="71"/>
      <c r="I44" s="45"/>
      <c r="J44" s="45"/>
      <c r="K44" s="46"/>
      <c r="L44" s="44"/>
      <c r="M44" s="44"/>
      <c r="N44" s="44"/>
      <c r="O44" s="44"/>
      <c r="P44" s="47">
        <v>200.0</v>
      </c>
      <c r="Q44" s="26">
        <f t="shared" si="3"/>
        <v>0</v>
      </c>
      <c r="R44" s="47" t="s">
        <v>25</v>
      </c>
      <c r="S44" s="27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ht="34.5" customHeight="1">
      <c r="A45" s="16">
        <v>41.0</v>
      </c>
      <c r="B45" s="40">
        <v>45544.0</v>
      </c>
      <c r="C45" s="41" t="s">
        <v>674</v>
      </c>
      <c r="D45" s="42">
        <v>57201.0</v>
      </c>
      <c r="E45" s="43" t="s">
        <v>148</v>
      </c>
      <c r="F45" s="38"/>
      <c r="G45" s="44"/>
      <c r="H45" s="71">
        <v>9500.0</v>
      </c>
      <c r="I45" s="45"/>
      <c r="J45" s="45"/>
      <c r="K45" s="46"/>
      <c r="L45" s="44"/>
      <c r="M45" s="44"/>
      <c r="N45" s="44"/>
      <c r="O45" s="44"/>
      <c r="P45" s="47">
        <v>9500.0</v>
      </c>
      <c r="Q45" s="26">
        <f t="shared" si="3"/>
        <v>0</v>
      </c>
      <c r="R45" s="47"/>
      <c r="S45" s="27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ht="34.5" customHeight="1">
      <c r="A46" s="16">
        <v>42.0</v>
      </c>
      <c r="B46" s="40">
        <v>45545.0</v>
      </c>
      <c r="C46" s="41" t="s">
        <v>675</v>
      </c>
      <c r="D46" s="42">
        <v>43380.0</v>
      </c>
      <c r="E46" s="43" t="s">
        <v>124</v>
      </c>
      <c r="F46" s="38"/>
      <c r="G46" s="44"/>
      <c r="H46" s="71">
        <v>29500.0</v>
      </c>
      <c r="I46" s="45"/>
      <c r="J46" s="45"/>
      <c r="K46" s="46"/>
      <c r="L46" s="44"/>
      <c r="M46" s="44"/>
      <c r="N46" s="44"/>
      <c r="O46" s="44"/>
      <c r="P46" s="47">
        <v>29500.0</v>
      </c>
      <c r="Q46" s="26">
        <f t="shared" si="3"/>
        <v>0</v>
      </c>
      <c r="R46" s="47"/>
      <c r="S46" s="27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ht="34.5" customHeight="1">
      <c r="A47" s="16">
        <v>43.0</v>
      </c>
      <c r="B47" s="40">
        <v>45545.0</v>
      </c>
      <c r="C47" s="41" t="s">
        <v>676</v>
      </c>
      <c r="D47" s="42">
        <v>10249.0</v>
      </c>
      <c r="E47" s="43" t="s">
        <v>126</v>
      </c>
      <c r="F47" s="38"/>
      <c r="G47" s="44"/>
      <c r="H47" s="71"/>
      <c r="I47" s="45"/>
      <c r="J47" s="45"/>
      <c r="K47" s="73">
        <v>3950.0</v>
      </c>
      <c r="L47" s="44"/>
      <c r="M47" s="44"/>
      <c r="N47" s="44"/>
      <c r="O47" s="44"/>
      <c r="P47" s="47">
        <v>3950.0</v>
      </c>
      <c r="Q47" s="26">
        <f t="shared" si="3"/>
        <v>0</v>
      </c>
      <c r="R47" s="47"/>
      <c r="S47" s="27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ht="34.5" customHeight="1">
      <c r="A48" s="16">
        <v>44.0</v>
      </c>
      <c r="B48" s="40">
        <v>45545.0</v>
      </c>
      <c r="C48" s="41" t="s">
        <v>677</v>
      </c>
      <c r="D48" s="42">
        <v>43380.0</v>
      </c>
      <c r="E48" s="43" t="s">
        <v>124</v>
      </c>
      <c r="F48" s="38"/>
      <c r="G48" s="44"/>
      <c r="H48" s="71">
        <v>10000.0</v>
      </c>
      <c r="I48" s="45"/>
      <c r="J48" s="45"/>
      <c r="K48" s="46"/>
      <c r="L48" s="44"/>
      <c r="M48" s="44"/>
      <c r="N48" s="44"/>
      <c r="O48" s="44"/>
      <c r="P48" s="47">
        <v>10000.0</v>
      </c>
      <c r="Q48" s="26">
        <f t="shared" si="3"/>
        <v>0</v>
      </c>
      <c r="R48" s="47"/>
      <c r="S48" s="27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ht="34.5" customHeight="1">
      <c r="A49" s="16">
        <v>45.0</v>
      </c>
      <c r="B49" s="40">
        <v>45545.0</v>
      </c>
      <c r="C49" s="41" t="s">
        <v>678</v>
      </c>
      <c r="D49" s="42">
        <v>84796.0</v>
      </c>
      <c r="E49" s="43" t="s">
        <v>679</v>
      </c>
      <c r="F49" s="38"/>
      <c r="G49" s="44"/>
      <c r="H49" s="71"/>
      <c r="I49" s="45"/>
      <c r="J49" s="45"/>
      <c r="K49" s="73">
        <v>7300.0</v>
      </c>
      <c r="L49" s="44"/>
      <c r="M49" s="44"/>
      <c r="N49" s="44"/>
      <c r="O49" s="44"/>
      <c r="P49" s="47">
        <v>7300.0</v>
      </c>
      <c r="Q49" s="26">
        <f t="shared" si="3"/>
        <v>0</v>
      </c>
      <c r="R49" s="47"/>
      <c r="S49" s="27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</row>
    <row r="50" ht="34.5" customHeight="1">
      <c r="A50" s="16">
        <v>46.0</v>
      </c>
      <c r="B50" s="28">
        <v>45545.0</v>
      </c>
      <c r="C50" s="18" t="s">
        <v>680</v>
      </c>
      <c r="D50" s="19">
        <v>84797.0</v>
      </c>
      <c r="E50" s="20" t="s">
        <v>681</v>
      </c>
      <c r="F50" s="23"/>
      <c r="G50" s="22"/>
      <c r="H50" s="22"/>
      <c r="I50" s="21"/>
      <c r="J50" s="29"/>
      <c r="K50" s="49">
        <v>7300.0</v>
      </c>
      <c r="L50" s="22"/>
      <c r="M50" s="22"/>
      <c r="N50" s="22"/>
      <c r="O50" s="29"/>
      <c r="P50" s="25">
        <v>7300.0</v>
      </c>
      <c r="Q50" s="26">
        <f t="shared" si="3"/>
        <v>0</v>
      </c>
      <c r="R50" s="25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8">
        <v>45545.0</v>
      </c>
      <c r="C51" s="18" t="s">
        <v>682</v>
      </c>
      <c r="D51" s="19">
        <v>84798.0</v>
      </c>
      <c r="E51" s="20" t="s">
        <v>683</v>
      </c>
      <c r="F51" s="23"/>
      <c r="G51" s="22"/>
      <c r="H51" s="29"/>
      <c r="I51" s="21"/>
      <c r="J51" s="21"/>
      <c r="K51" s="49">
        <v>7300.0</v>
      </c>
      <c r="L51" s="22"/>
      <c r="M51" s="29"/>
      <c r="N51" s="22"/>
      <c r="O51" s="29"/>
      <c r="P51" s="25">
        <v>7300.0</v>
      </c>
      <c r="Q51" s="26">
        <f t="shared" si="3"/>
        <v>0</v>
      </c>
      <c r="R51" s="25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8">
        <v>45545.0</v>
      </c>
      <c r="C52" s="18" t="s">
        <v>684</v>
      </c>
      <c r="D52" s="19">
        <v>84799.0</v>
      </c>
      <c r="E52" s="20" t="s">
        <v>685</v>
      </c>
      <c r="F52" s="23"/>
      <c r="G52" s="22"/>
      <c r="H52" s="22"/>
      <c r="I52" s="49"/>
      <c r="J52" s="21"/>
      <c r="K52" s="49">
        <v>7300.0</v>
      </c>
      <c r="L52" s="22"/>
      <c r="M52" s="22"/>
      <c r="N52" s="22"/>
      <c r="O52" s="29"/>
      <c r="P52" s="25">
        <v>7300.0</v>
      </c>
      <c r="Q52" s="26">
        <f t="shared" si="3"/>
        <v>0</v>
      </c>
      <c r="R52" s="25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8">
        <v>45545.0</v>
      </c>
      <c r="C53" s="18" t="s">
        <v>686</v>
      </c>
      <c r="D53" s="19">
        <v>84801.0</v>
      </c>
      <c r="E53" s="20" t="s">
        <v>687</v>
      </c>
      <c r="F53" s="23"/>
      <c r="G53" s="22"/>
      <c r="H53" s="22"/>
      <c r="I53" s="21"/>
      <c r="J53" s="21"/>
      <c r="K53" s="37">
        <v>7300.0</v>
      </c>
      <c r="L53" s="22"/>
      <c r="M53" s="22"/>
      <c r="N53" s="22"/>
      <c r="O53" s="29"/>
      <c r="P53" s="25">
        <v>7300.0</v>
      </c>
      <c r="Q53" s="26">
        <f t="shared" si="3"/>
        <v>0</v>
      </c>
      <c r="R53" s="25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/>
      <c r="B54" s="28"/>
      <c r="C54" s="18"/>
      <c r="D54" s="19"/>
      <c r="E54" s="20"/>
      <c r="F54" s="23"/>
      <c r="G54" s="22"/>
      <c r="H54" s="22"/>
      <c r="I54" s="21"/>
      <c r="J54" s="21"/>
      <c r="K54" s="24"/>
      <c r="L54" s="22"/>
      <c r="M54" s="29"/>
      <c r="N54" s="22"/>
      <c r="O54" s="29"/>
      <c r="P54" s="25"/>
      <c r="Q54" s="26">
        <f t="shared" si="3"/>
        <v>0</v>
      </c>
      <c r="R54" s="25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/>
      <c r="B55" s="28"/>
      <c r="C55" s="18"/>
      <c r="D55" s="19"/>
      <c r="E55" s="20"/>
      <c r="F55" s="23"/>
      <c r="G55" s="22"/>
      <c r="H55" s="29"/>
      <c r="I55" s="21"/>
      <c r="J55" s="21"/>
      <c r="K55" s="24"/>
      <c r="L55" s="22"/>
      <c r="M55" s="22"/>
      <c r="N55" s="22"/>
      <c r="O55" s="22"/>
      <c r="P55" s="25"/>
      <c r="Q55" s="26">
        <f t="shared" si="3"/>
        <v>0</v>
      </c>
      <c r="R55" s="25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/>
      <c r="B56" s="28"/>
      <c r="C56" s="18"/>
      <c r="D56" s="19"/>
      <c r="E56" s="20"/>
      <c r="F56" s="23"/>
      <c r="G56" s="22"/>
      <c r="H56" s="29"/>
      <c r="I56" s="23"/>
      <c r="J56" s="23"/>
      <c r="K56" s="24"/>
      <c r="L56" s="22"/>
      <c r="M56" s="22"/>
      <c r="N56" s="22"/>
      <c r="O56" s="22"/>
      <c r="P56" s="25"/>
      <c r="Q56" s="26">
        <f t="shared" si="3"/>
        <v>0</v>
      </c>
      <c r="R56" s="50"/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7.5" customHeight="1">
      <c r="A57" s="16"/>
      <c r="B57" s="51"/>
      <c r="C57" s="52"/>
      <c r="D57" s="53" t="s">
        <v>149</v>
      </c>
      <c r="E57" s="54"/>
      <c r="F57" s="55">
        <f t="shared" ref="F57:P57" si="4">SUM(F5:F56)</f>
        <v>7800</v>
      </c>
      <c r="G57" s="55">
        <f t="shared" si="4"/>
        <v>0</v>
      </c>
      <c r="H57" s="55">
        <f t="shared" si="4"/>
        <v>49000</v>
      </c>
      <c r="I57" s="55">
        <f t="shared" si="4"/>
        <v>159750</v>
      </c>
      <c r="J57" s="55">
        <f t="shared" si="4"/>
        <v>31350</v>
      </c>
      <c r="K57" s="55">
        <f t="shared" si="4"/>
        <v>41950</v>
      </c>
      <c r="L57" s="55">
        <f t="shared" si="4"/>
        <v>0</v>
      </c>
      <c r="M57" s="55">
        <f t="shared" si="4"/>
        <v>18580</v>
      </c>
      <c r="N57" s="55">
        <f t="shared" si="4"/>
        <v>0</v>
      </c>
      <c r="O57" s="55">
        <f t="shared" si="4"/>
        <v>0</v>
      </c>
      <c r="P57" s="55">
        <f t="shared" si="4"/>
        <v>308430</v>
      </c>
      <c r="Q57" s="56">
        <v>0.0</v>
      </c>
      <c r="R57" s="57"/>
      <c r="S57" s="27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</row>
    <row r="58" ht="58.5" customHeight="1">
      <c r="A58" s="58"/>
      <c r="B58" s="58"/>
      <c r="C58" s="59"/>
      <c r="D58" s="58"/>
      <c r="E58" s="58"/>
      <c r="F58" s="60">
        <f>F57+G57+H57+I57+J57+K57+L57+M57+N57+O57</f>
        <v>308430</v>
      </c>
      <c r="P58" s="61"/>
      <c r="Q58" s="61"/>
      <c r="R58" s="58"/>
      <c r="S58" s="58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3" t="s">
        <v>149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62"/>
      <c r="D62" s="4"/>
      <c r="E62" s="64" t="s">
        <v>150</v>
      </c>
      <c r="F62" s="65" t="s">
        <v>255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62"/>
      <c r="D63" s="4"/>
      <c r="E63" s="66" t="s">
        <v>152</v>
      </c>
      <c r="F63" s="65" t="s">
        <v>604</v>
      </c>
      <c r="G63" s="4"/>
      <c r="H63" s="4"/>
      <c r="I63" s="4"/>
      <c r="J63" s="4"/>
      <c r="K63" s="4"/>
      <c r="L63" s="4"/>
      <c r="M63" s="4"/>
      <c r="N63" s="4"/>
      <c r="O63" s="67" t="s">
        <v>149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62"/>
      <c r="D64" s="4"/>
      <c r="E64" s="66" t="s">
        <v>154</v>
      </c>
      <c r="F64" s="65" t="s">
        <v>155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62"/>
      <c r="D65" s="4"/>
      <c r="E65" s="66" t="s">
        <v>156</v>
      </c>
      <c r="F65" s="65" t="s">
        <v>155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62"/>
      <c r="D66" s="4"/>
      <c r="E66" s="66" t="s">
        <v>157</v>
      </c>
      <c r="F66" s="65" t="s">
        <v>688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62"/>
      <c r="D67" s="4"/>
      <c r="E67" s="66" t="s">
        <v>689</v>
      </c>
      <c r="F67" s="65" t="s">
        <v>155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62"/>
      <c r="D68" s="4"/>
      <c r="E68" s="66" t="s">
        <v>160</v>
      </c>
      <c r="F68" s="65" t="s">
        <v>155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62"/>
      <c r="D69" s="4"/>
      <c r="E69" s="66" t="s">
        <v>161</v>
      </c>
      <c r="F69" s="68" t="s">
        <v>162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67" t="s">
        <v>149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 t="str">
        <f>I72457</f>
        <v/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26.2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69"/>
      <c r="G77" s="4"/>
      <c r="H77" s="4"/>
      <c r="I77" s="67" t="s">
        <v>163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>
        <v>7.0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6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R2:R4"/>
    <mergeCell ref="S2:S4"/>
    <mergeCell ref="F3:F4"/>
    <mergeCell ref="G3:H3"/>
    <mergeCell ref="I3:J3"/>
    <mergeCell ref="K3:K4"/>
    <mergeCell ref="F58:O5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690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45545.0</v>
      </c>
      <c r="C5" s="18" t="s">
        <v>691</v>
      </c>
      <c r="D5" s="19">
        <v>55446.0</v>
      </c>
      <c r="E5" s="20" t="s">
        <v>399</v>
      </c>
      <c r="F5" s="21"/>
      <c r="G5" s="29">
        <v>1200.0</v>
      </c>
      <c r="H5" s="23"/>
      <c r="I5" s="37"/>
      <c r="J5" s="37"/>
      <c r="K5" s="22"/>
      <c r="L5" s="22"/>
      <c r="M5" s="23"/>
      <c r="N5" s="22"/>
      <c r="O5" s="22"/>
      <c r="P5" s="25">
        <v>1200.0</v>
      </c>
      <c r="Q5" s="26">
        <f t="shared" ref="Q5:Q63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45546.0</v>
      </c>
      <c r="C6" s="18" t="s">
        <v>692</v>
      </c>
      <c r="D6" s="19">
        <v>52669.0</v>
      </c>
      <c r="E6" s="20" t="s">
        <v>170</v>
      </c>
      <c r="F6" s="23"/>
      <c r="G6" s="22"/>
      <c r="H6" s="22"/>
      <c r="I6" s="21">
        <v>2500.0</v>
      </c>
      <c r="J6" s="29"/>
      <c r="K6" s="29"/>
      <c r="L6" s="22"/>
      <c r="M6" s="21"/>
      <c r="N6" s="22"/>
      <c r="O6" s="22"/>
      <c r="P6" s="25">
        <v>2500.0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45546.0</v>
      </c>
      <c r="C7" s="18" t="s">
        <v>693</v>
      </c>
      <c r="D7" s="19">
        <v>62146.0</v>
      </c>
      <c r="E7" s="20" t="s">
        <v>189</v>
      </c>
      <c r="F7" s="22"/>
      <c r="G7" s="22"/>
      <c r="H7" s="23"/>
      <c r="I7" s="21">
        <v>50.0</v>
      </c>
      <c r="J7" s="24"/>
      <c r="K7" s="22"/>
      <c r="L7" s="22"/>
      <c r="M7" s="22"/>
      <c r="N7" s="22"/>
      <c r="O7" s="22"/>
      <c r="P7" s="25">
        <v>50.0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45546.0</v>
      </c>
      <c r="C8" s="18" t="s">
        <v>694</v>
      </c>
      <c r="D8" s="19">
        <v>65340.0</v>
      </c>
      <c r="E8" s="20" t="s">
        <v>695</v>
      </c>
      <c r="F8" s="22"/>
      <c r="G8" s="22"/>
      <c r="H8" s="22"/>
      <c r="I8" s="21">
        <v>5000.0</v>
      </c>
      <c r="J8" s="21"/>
      <c r="K8" s="29"/>
      <c r="L8" s="22"/>
      <c r="M8" s="22"/>
      <c r="N8" s="22"/>
      <c r="O8" s="22"/>
      <c r="P8" s="25">
        <v>5000.0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45546.0</v>
      </c>
      <c r="C9" s="18" t="s">
        <v>696</v>
      </c>
      <c r="D9" s="19">
        <v>65340.0</v>
      </c>
      <c r="E9" s="20" t="s">
        <v>695</v>
      </c>
      <c r="F9" s="22"/>
      <c r="G9" s="22"/>
      <c r="H9" s="22"/>
      <c r="I9" s="21">
        <v>5000.0</v>
      </c>
      <c r="J9" s="21"/>
      <c r="K9" s="22"/>
      <c r="L9" s="22"/>
      <c r="M9" s="23"/>
      <c r="N9" s="22"/>
      <c r="O9" s="22"/>
      <c r="P9" s="25">
        <v>5000.0</v>
      </c>
      <c r="Q9" s="26">
        <f t="shared" si="1"/>
        <v>0</v>
      </c>
      <c r="R9" s="25" t="s">
        <v>30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45546.0</v>
      </c>
      <c r="C10" s="18" t="s">
        <v>697</v>
      </c>
      <c r="D10" s="19">
        <v>65340.0</v>
      </c>
      <c r="E10" s="20" t="s">
        <v>695</v>
      </c>
      <c r="F10" s="22"/>
      <c r="G10" s="22"/>
      <c r="H10" s="22"/>
      <c r="I10" s="21">
        <v>5000.0</v>
      </c>
      <c r="J10" s="21"/>
      <c r="K10" s="22"/>
      <c r="L10" s="22"/>
      <c r="M10" s="23"/>
      <c r="N10" s="22"/>
      <c r="O10" s="22"/>
      <c r="P10" s="25">
        <v>5000.0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45546.0</v>
      </c>
      <c r="C11" s="18" t="s">
        <v>698</v>
      </c>
      <c r="D11" s="19">
        <v>48973.0</v>
      </c>
      <c r="E11" s="20" t="s">
        <v>61</v>
      </c>
      <c r="F11" s="22"/>
      <c r="G11" s="22"/>
      <c r="H11" s="29"/>
      <c r="I11" s="21">
        <v>4650.0</v>
      </c>
      <c r="J11" s="21"/>
      <c r="K11" s="29"/>
      <c r="L11" s="22"/>
      <c r="M11" s="23"/>
      <c r="N11" s="22"/>
      <c r="O11" s="22"/>
      <c r="P11" s="25">
        <v>4650.0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45546.0</v>
      </c>
      <c r="C12" s="18" t="s">
        <v>699</v>
      </c>
      <c r="D12" s="19">
        <v>59244.0</v>
      </c>
      <c r="E12" s="20" t="s">
        <v>485</v>
      </c>
      <c r="F12" s="22"/>
      <c r="G12" s="22"/>
      <c r="H12" s="29"/>
      <c r="I12" s="21">
        <v>19500.0</v>
      </c>
      <c r="J12" s="21"/>
      <c r="K12" s="22"/>
      <c r="L12" s="22"/>
      <c r="M12" s="23"/>
      <c r="N12" s="22"/>
      <c r="O12" s="22"/>
      <c r="P12" s="25">
        <v>19500.0</v>
      </c>
      <c r="Q12" s="26">
        <f t="shared" si="1"/>
        <v>0</v>
      </c>
      <c r="R12" s="25" t="s">
        <v>25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45546.0</v>
      </c>
      <c r="C13" s="32" t="s">
        <v>700</v>
      </c>
      <c r="D13" s="33">
        <v>30894.0</v>
      </c>
      <c r="E13" s="34" t="s">
        <v>701</v>
      </c>
      <c r="F13" s="22"/>
      <c r="G13" s="22"/>
      <c r="H13" s="22"/>
      <c r="I13" s="21">
        <v>4500.0</v>
      </c>
      <c r="J13" s="21"/>
      <c r="K13" s="22"/>
      <c r="L13" s="22"/>
      <c r="M13" s="23"/>
      <c r="N13" s="22"/>
      <c r="O13" s="22"/>
      <c r="P13" s="35">
        <v>4500.0</v>
      </c>
      <c r="Q13" s="26">
        <f t="shared" si="1"/>
        <v>0</v>
      </c>
      <c r="R13" s="35" t="s">
        <v>30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45546.0</v>
      </c>
      <c r="C14" s="18" t="s">
        <v>702</v>
      </c>
      <c r="D14" s="19">
        <v>30894.0</v>
      </c>
      <c r="E14" s="20" t="s">
        <v>701</v>
      </c>
      <c r="F14" s="22"/>
      <c r="G14" s="22"/>
      <c r="H14" s="22"/>
      <c r="I14" s="21">
        <v>4500.0</v>
      </c>
      <c r="J14" s="21"/>
      <c r="K14" s="22"/>
      <c r="L14" s="22"/>
      <c r="M14" s="23"/>
      <c r="N14" s="22"/>
      <c r="O14" s="22"/>
      <c r="P14" s="25">
        <v>4500.0</v>
      </c>
      <c r="Q14" s="26">
        <f t="shared" si="1"/>
        <v>0</v>
      </c>
      <c r="R14" s="25" t="s">
        <v>30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45546.0</v>
      </c>
      <c r="C15" s="18" t="s">
        <v>703</v>
      </c>
      <c r="D15" s="19">
        <v>51876.0</v>
      </c>
      <c r="E15" s="20" t="s">
        <v>704</v>
      </c>
      <c r="F15" s="22"/>
      <c r="G15" s="22"/>
      <c r="H15" s="22"/>
      <c r="I15" s="21">
        <v>7600.0</v>
      </c>
      <c r="J15" s="23"/>
      <c r="K15" s="22"/>
      <c r="L15" s="22"/>
      <c r="M15" s="23"/>
      <c r="N15" s="22"/>
      <c r="O15" s="22"/>
      <c r="P15" s="25">
        <v>7600.0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45546.0</v>
      </c>
      <c r="C16" s="18" t="s">
        <v>705</v>
      </c>
      <c r="D16" s="19">
        <v>39317.0</v>
      </c>
      <c r="E16" s="20" t="s">
        <v>112</v>
      </c>
      <c r="F16" s="22"/>
      <c r="G16" s="22"/>
      <c r="H16" s="22"/>
      <c r="I16" s="21"/>
      <c r="J16" s="21">
        <v>19500.0</v>
      </c>
      <c r="K16" s="22"/>
      <c r="L16" s="22"/>
      <c r="M16" s="23"/>
      <c r="N16" s="22"/>
      <c r="O16" s="22"/>
      <c r="P16" s="25">
        <v>19500.0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45546.0</v>
      </c>
      <c r="C17" s="18" t="s">
        <v>706</v>
      </c>
      <c r="D17" s="19">
        <v>77605.0</v>
      </c>
      <c r="E17" s="20" t="s">
        <v>707</v>
      </c>
      <c r="F17" s="22"/>
      <c r="G17" s="22"/>
      <c r="H17" s="22"/>
      <c r="I17" s="21"/>
      <c r="J17" s="21">
        <v>840.0</v>
      </c>
      <c r="K17" s="22"/>
      <c r="L17" s="22"/>
      <c r="M17" s="23"/>
      <c r="N17" s="22"/>
      <c r="O17" s="22"/>
      <c r="P17" s="25">
        <v>840.0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45546.0</v>
      </c>
      <c r="C18" s="18" t="s">
        <v>708</v>
      </c>
      <c r="D18" s="19">
        <v>74342.0</v>
      </c>
      <c r="E18" s="20" t="s">
        <v>709</v>
      </c>
      <c r="F18" s="22"/>
      <c r="G18" s="22"/>
      <c r="H18" s="22"/>
      <c r="I18" s="21"/>
      <c r="J18" s="21">
        <v>430.0</v>
      </c>
      <c r="K18" s="22"/>
      <c r="L18" s="22"/>
      <c r="M18" s="22"/>
      <c r="N18" s="22"/>
      <c r="O18" s="22"/>
      <c r="P18" s="25">
        <v>430.0</v>
      </c>
      <c r="Q18" s="26">
        <f t="shared" si="1"/>
        <v>0</v>
      </c>
      <c r="R18" s="25" t="s">
        <v>30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45546.0</v>
      </c>
      <c r="C19" s="32" t="s">
        <v>710</v>
      </c>
      <c r="D19" s="33">
        <v>59904.0</v>
      </c>
      <c r="E19" s="34" t="s">
        <v>609</v>
      </c>
      <c r="F19" s="22"/>
      <c r="G19" s="22"/>
      <c r="H19" s="22"/>
      <c r="I19" s="21">
        <v>2950.0</v>
      </c>
      <c r="J19" s="21"/>
      <c r="K19" s="22"/>
      <c r="L19" s="22"/>
      <c r="M19" s="23"/>
      <c r="N19" s="22"/>
      <c r="O19" s="22"/>
      <c r="P19" s="35">
        <v>2950.0</v>
      </c>
      <c r="Q19" s="26">
        <f t="shared" si="1"/>
        <v>0</v>
      </c>
      <c r="R19" s="35" t="s">
        <v>43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45546.0</v>
      </c>
      <c r="C20" s="18" t="s">
        <v>711</v>
      </c>
      <c r="D20" s="19">
        <v>36080.0</v>
      </c>
      <c r="E20" s="20" t="s">
        <v>712</v>
      </c>
      <c r="F20" s="22"/>
      <c r="G20" s="22"/>
      <c r="H20" s="22"/>
      <c r="I20" s="37">
        <v>9500.0</v>
      </c>
      <c r="J20" s="37"/>
      <c r="K20" s="22"/>
      <c r="L20" s="22"/>
      <c r="M20" s="22"/>
      <c r="N20" s="22"/>
      <c r="O20" s="22"/>
      <c r="P20" s="25">
        <v>9500.0</v>
      </c>
      <c r="Q20" s="26">
        <f t="shared" si="1"/>
        <v>0</v>
      </c>
      <c r="R20" s="25" t="s">
        <v>33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45546.0</v>
      </c>
      <c r="C21" s="18" t="s">
        <v>713</v>
      </c>
      <c r="D21" s="19">
        <v>46927.0</v>
      </c>
      <c r="E21" s="20" t="s">
        <v>75</v>
      </c>
      <c r="F21" s="23"/>
      <c r="G21" s="22"/>
      <c r="H21" s="22"/>
      <c r="I21" s="45">
        <v>6050.0</v>
      </c>
      <c r="J21" s="29"/>
      <c r="K21" s="39"/>
      <c r="L21" s="22"/>
      <c r="M21" s="22"/>
      <c r="N21" s="22"/>
      <c r="O21" s="22"/>
      <c r="P21" s="25">
        <v>6050.0</v>
      </c>
      <c r="Q21" s="26">
        <f t="shared" si="1"/>
        <v>0</v>
      </c>
      <c r="R21" s="25" t="s">
        <v>33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45546.0</v>
      </c>
      <c r="C22" s="18" t="s">
        <v>714</v>
      </c>
      <c r="D22" s="19">
        <v>69346.0</v>
      </c>
      <c r="E22" s="20" t="s">
        <v>67</v>
      </c>
      <c r="F22" s="23"/>
      <c r="G22" s="22"/>
      <c r="H22" s="22"/>
      <c r="I22" s="21">
        <v>10000.0</v>
      </c>
      <c r="J22" s="29"/>
      <c r="K22" s="23"/>
      <c r="L22" s="22"/>
      <c r="M22" s="22"/>
      <c r="N22" s="22"/>
      <c r="O22" s="22"/>
      <c r="P22" s="25">
        <v>10000.0</v>
      </c>
      <c r="Q22" s="26">
        <f t="shared" si="1"/>
        <v>0</v>
      </c>
      <c r="R22" s="25" t="s">
        <v>25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45546.0</v>
      </c>
      <c r="C23" s="41" t="s">
        <v>715</v>
      </c>
      <c r="D23" s="42">
        <v>84807.0</v>
      </c>
      <c r="E23" s="43" t="s">
        <v>716</v>
      </c>
      <c r="F23" s="38"/>
      <c r="G23" s="44"/>
      <c r="H23" s="44"/>
      <c r="I23" s="45">
        <v>7300.0</v>
      </c>
      <c r="J23" s="45"/>
      <c r="K23" s="46"/>
      <c r="L23" s="44"/>
      <c r="M23" s="44"/>
      <c r="N23" s="44"/>
      <c r="O23" s="44"/>
      <c r="P23" s="47">
        <v>7300.0</v>
      </c>
      <c r="Q23" s="26">
        <f t="shared" si="1"/>
        <v>0</v>
      </c>
      <c r="R23" s="47" t="s">
        <v>33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45546.0</v>
      </c>
      <c r="C24" s="18" t="s">
        <v>717</v>
      </c>
      <c r="D24" s="19">
        <v>84114.0</v>
      </c>
      <c r="E24" s="20" t="s">
        <v>375</v>
      </c>
      <c r="F24" s="23"/>
      <c r="G24" s="22"/>
      <c r="H24" s="22"/>
      <c r="I24" s="21">
        <v>150.0</v>
      </c>
      <c r="J24" s="29"/>
      <c r="K24" s="39"/>
      <c r="L24" s="22"/>
      <c r="M24" s="22"/>
      <c r="N24" s="22"/>
      <c r="O24" s="22"/>
      <c r="P24" s="25">
        <v>150.0</v>
      </c>
      <c r="Q24" s="26">
        <f t="shared" si="1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45546.0</v>
      </c>
      <c r="C25" s="18" t="s">
        <v>718</v>
      </c>
      <c r="D25" s="19">
        <v>14343.0</v>
      </c>
      <c r="E25" s="20" t="s">
        <v>441</v>
      </c>
      <c r="F25" s="23"/>
      <c r="G25" s="22"/>
      <c r="H25" s="29"/>
      <c r="I25" s="21">
        <v>2650.0</v>
      </c>
      <c r="J25" s="21"/>
      <c r="K25" s="49"/>
      <c r="L25" s="22"/>
      <c r="M25" s="22"/>
      <c r="N25" s="22"/>
      <c r="O25" s="22"/>
      <c r="P25" s="25">
        <v>2650.0</v>
      </c>
      <c r="Q25" s="26">
        <f t="shared" si="1"/>
        <v>0</v>
      </c>
      <c r="R25" s="25" t="s">
        <v>33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45546.0</v>
      </c>
      <c r="C26" s="18" t="s">
        <v>719</v>
      </c>
      <c r="D26" s="19">
        <v>84809.0</v>
      </c>
      <c r="E26" s="20" t="s">
        <v>720</v>
      </c>
      <c r="F26" s="23"/>
      <c r="G26" s="22"/>
      <c r="H26" s="22"/>
      <c r="I26" s="49">
        <v>7300.0</v>
      </c>
      <c r="J26" s="21"/>
      <c r="K26" s="49"/>
      <c r="L26" s="22"/>
      <c r="M26" s="22"/>
      <c r="N26" s="22"/>
      <c r="O26" s="22"/>
      <c r="P26" s="25">
        <v>7300.0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45546.0</v>
      </c>
      <c r="C27" s="18" t="s">
        <v>721</v>
      </c>
      <c r="D27" s="19">
        <v>24368.0</v>
      </c>
      <c r="E27" s="20" t="s">
        <v>722</v>
      </c>
      <c r="F27" s="23"/>
      <c r="G27" s="22"/>
      <c r="H27" s="22"/>
      <c r="I27" s="21"/>
      <c r="J27" s="21"/>
      <c r="K27" s="37">
        <v>1200.0</v>
      </c>
      <c r="L27" s="22"/>
      <c r="M27" s="22"/>
      <c r="N27" s="22"/>
      <c r="O27" s="22"/>
      <c r="P27" s="25">
        <v>1200.0</v>
      </c>
      <c r="Q27" s="26">
        <f t="shared" si="1"/>
        <v>0</v>
      </c>
      <c r="R27" s="25" t="s">
        <v>43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45546.0</v>
      </c>
      <c r="C28" s="18" t="s">
        <v>723</v>
      </c>
      <c r="D28" s="19">
        <v>53249.0</v>
      </c>
      <c r="E28" s="20" t="s">
        <v>192</v>
      </c>
      <c r="F28" s="23"/>
      <c r="G28" s="22"/>
      <c r="H28" s="22"/>
      <c r="I28" s="21">
        <v>31000.0</v>
      </c>
      <c r="J28" s="21"/>
      <c r="K28" s="24"/>
      <c r="L28" s="22"/>
      <c r="M28" s="29"/>
      <c r="N28" s="22"/>
      <c r="O28" s="22"/>
      <c r="P28" s="25">
        <v>31000.0</v>
      </c>
      <c r="Q28" s="26">
        <f t="shared" si="1"/>
        <v>0</v>
      </c>
      <c r="R28" s="25" t="s">
        <v>33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45546.0</v>
      </c>
      <c r="C29" s="18" t="s">
        <v>724</v>
      </c>
      <c r="D29" s="19">
        <v>22332.0</v>
      </c>
      <c r="E29" s="20" t="s">
        <v>79</v>
      </c>
      <c r="F29" s="23"/>
      <c r="G29" s="22"/>
      <c r="H29" s="22"/>
      <c r="I29" s="21">
        <v>150.0</v>
      </c>
      <c r="J29" s="21"/>
      <c r="K29" s="24"/>
      <c r="L29" s="22"/>
      <c r="M29" s="29"/>
      <c r="N29" s="22"/>
      <c r="O29" s="22"/>
      <c r="P29" s="25">
        <v>150.0</v>
      </c>
      <c r="Q29" s="26">
        <f t="shared" si="1"/>
        <v>0</v>
      </c>
      <c r="R29" s="25" t="s">
        <v>43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45546.0</v>
      </c>
      <c r="C30" s="18" t="s">
        <v>725</v>
      </c>
      <c r="D30" s="19">
        <v>21818.0</v>
      </c>
      <c r="E30" s="20" t="s">
        <v>103</v>
      </c>
      <c r="F30" s="23"/>
      <c r="G30" s="22"/>
      <c r="H30" s="22"/>
      <c r="I30" s="21"/>
      <c r="J30" s="21"/>
      <c r="K30" s="37">
        <v>1400.0</v>
      </c>
      <c r="L30" s="22"/>
      <c r="M30" s="29"/>
      <c r="N30" s="22"/>
      <c r="O30" s="22"/>
      <c r="P30" s="25">
        <v>1400.0</v>
      </c>
      <c r="Q30" s="26">
        <f t="shared" si="1"/>
        <v>0</v>
      </c>
      <c r="R30" s="25" t="s">
        <v>33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45546.0</v>
      </c>
      <c r="C31" s="18" t="s">
        <v>726</v>
      </c>
      <c r="D31" s="19">
        <v>28414.0</v>
      </c>
      <c r="E31" s="20" t="s">
        <v>438</v>
      </c>
      <c r="F31" s="23"/>
      <c r="G31" s="22"/>
      <c r="H31" s="22"/>
      <c r="I31" s="21">
        <v>900.0</v>
      </c>
      <c r="J31" s="21"/>
      <c r="K31" s="24"/>
      <c r="L31" s="22"/>
      <c r="M31" s="29"/>
      <c r="N31" s="22"/>
      <c r="O31" s="22"/>
      <c r="P31" s="25">
        <v>900.0</v>
      </c>
      <c r="Q31" s="26">
        <f t="shared" si="1"/>
        <v>0</v>
      </c>
      <c r="R31" s="25" t="s">
        <v>33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45546.0</v>
      </c>
      <c r="C32" s="18" t="s">
        <v>727</v>
      </c>
      <c r="D32" s="19">
        <v>58074.0</v>
      </c>
      <c r="E32" s="20" t="s">
        <v>101</v>
      </c>
      <c r="F32" s="23"/>
      <c r="G32" s="22"/>
      <c r="H32" s="22"/>
      <c r="I32" s="21">
        <v>2400.0</v>
      </c>
      <c r="J32" s="21"/>
      <c r="K32" s="24"/>
      <c r="L32" s="22"/>
      <c r="M32" s="29"/>
      <c r="N32" s="22"/>
      <c r="O32" s="22"/>
      <c r="P32" s="25">
        <v>2400.0</v>
      </c>
      <c r="Q32" s="26">
        <f t="shared" si="1"/>
        <v>0</v>
      </c>
      <c r="R32" s="25" t="s">
        <v>33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45546.0</v>
      </c>
      <c r="C33" s="18" t="s">
        <v>728</v>
      </c>
      <c r="D33" s="19">
        <v>53249.0</v>
      </c>
      <c r="E33" s="20" t="s">
        <v>192</v>
      </c>
      <c r="F33" s="23"/>
      <c r="G33" s="22"/>
      <c r="H33" s="22"/>
      <c r="I33" s="21">
        <v>15000.0</v>
      </c>
      <c r="J33" s="21"/>
      <c r="K33" s="24"/>
      <c r="L33" s="22"/>
      <c r="M33" s="29"/>
      <c r="N33" s="22"/>
      <c r="O33" s="22"/>
      <c r="P33" s="25">
        <v>15000.0</v>
      </c>
      <c r="Q33" s="26">
        <f t="shared" si="1"/>
        <v>0</v>
      </c>
      <c r="R33" s="25" t="s">
        <v>33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45546.0</v>
      </c>
      <c r="C34" s="18" t="s">
        <v>729</v>
      </c>
      <c r="D34" s="19">
        <v>83056.0</v>
      </c>
      <c r="E34" s="20" t="s">
        <v>506</v>
      </c>
      <c r="F34" s="23"/>
      <c r="G34" s="22"/>
      <c r="H34" s="22"/>
      <c r="I34" s="21"/>
      <c r="J34" s="21"/>
      <c r="K34" s="24"/>
      <c r="L34" s="22"/>
      <c r="M34" s="29">
        <v>1000.0</v>
      </c>
      <c r="N34" s="22"/>
      <c r="O34" s="22"/>
      <c r="P34" s="25">
        <v>1000.0</v>
      </c>
      <c r="Q34" s="26">
        <f t="shared" si="1"/>
        <v>0</v>
      </c>
      <c r="R34" s="25" t="s">
        <v>43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45546.0</v>
      </c>
      <c r="C35" s="18" t="s">
        <v>730</v>
      </c>
      <c r="D35" s="19">
        <v>21818.0</v>
      </c>
      <c r="E35" s="20" t="s">
        <v>103</v>
      </c>
      <c r="F35" s="23"/>
      <c r="G35" s="22"/>
      <c r="H35" s="22"/>
      <c r="I35" s="21"/>
      <c r="J35" s="21"/>
      <c r="K35" s="37">
        <v>4500.0</v>
      </c>
      <c r="L35" s="22"/>
      <c r="M35" s="29"/>
      <c r="N35" s="22"/>
      <c r="O35" s="22"/>
      <c r="P35" s="25">
        <v>4500.0</v>
      </c>
      <c r="Q35" s="26">
        <f t="shared" si="1"/>
        <v>0</v>
      </c>
      <c r="R35" s="25" t="s">
        <v>25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45546.0</v>
      </c>
      <c r="C36" s="18" t="s">
        <v>731</v>
      </c>
      <c r="D36" s="19">
        <v>21818.0</v>
      </c>
      <c r="E36" s="20" t="s">
        <v>103</v>
      </c>
      <c r="F36" s="23"/>
      <c r="G36" s="22"/>
      <c r="H36" s="22"/>
      <c r="I36" s="21"/>
      <c r="J36" s="21"/>
      <c r="K36" s="37">
        <v>4500.0</v>
      </c>
      <c r="L36" s="22"/>
      <c r="M36" s="29"/>
      <c r="N36" s="22"/>
      <c r="O36" s="22"/>
      <c r="P36" s="25">
        <v>4500.0</v>
      </c>
      <c r="Q36" s="26">
        <f t="shared" si="1"/>
        <v>0</v>
      </c>
      <c r="R36" s="25" t="s">
        <v>25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45546.0</v>
      </c>
      <c r="C37" s="18" t="s">
        <v>732</v>
      </c>
      <c r="D37" s="19">
        <v>21818.0</v>
      </c>
      <c r="E37" s="20" t="s">
        <v>103</v>
      </c>
      <c r="F37" s="23"/>
      <c r="G37" s="22"/>
      <c r="H37" s="22"/>
      <c r="I37" s="21"/>
      <c r="J37" s="21"/>
      <c r="K37" s="37">
        <v>7200.0</v>
      </c>
      <c r="L37" s="22"/>
      <c r="M37" s="29"/>
      <c r="N37" s="22"/>
      <c r="O37" s="22"/>
      <c r="P37" s="25">
        <v>7200.0</v>
      </c>
      <c r="Q37" s="26">
        <f t="shared" si="1"/>
        <v>0</v>
      </c>
      <c r="R37" s="25" t="s">
        <v>25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45546.0</v>
      </c>
      <c r="C38" s="18" t="s">
        <v>733</v>
      </c>
      <c r="D38" s="19">
        <v>84811.0</v>
      </c>
      <c r="E38" s="20" t="s">
        <v>734</v>
      </c>
      <c r="F38" s="23"/>
      <c r="G38" s="22"/>
      <c r="H38" s="22"/>
      <c r="I38" s="21">
        <v>6050.0</v>
      </c>
      <c r="J38" s="21"/>
      <c r="K38" s="24"/>
      <c r="L38" s="22"/>
      <c r="M38" s="29"/>
      <c r="N38" s="22"/>
      <c r="O38" s="22"/>
      <c r="P38" s="25">
        <v>6050.0</v>
      </c>
      <c r="Q38" s="26">
        <f t="shared" si="1"/>
        <v>0</v>
      </c>
      <c r="R38" s="25" t="s">
        <v>30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45546.0</v>
      </c>
      <c r="C39" s="18" t="s">
        <v>735</v>
      </c>
      <c r="D39" s="19">
        <v>83056.0</v>
      </c>
      <c r="E39" s="20" t="s">
        <v>506</v>
      </c>
      <c r="F39" s="23"/>
      <c r="G39" s="22"/>
      <c r="H39" s="22"/>
      <c r="I39" s="21"/>
      <c r="J39" s="21"/>
      <c r="K39" s="24"/>
      <c r="L39" s="22"/>
      <c r="M39" s="29">
        <v>1000.0</v>
      </c>
      <c r="N39" s="22"/>
      <c r="O39" s="22"/>
      <c r="P39" s="25">
        <v>1000.0</v>
      </c>
      <c r="Q39" s="26">
        <f t="shared" si="1"/>
        <v>0</v>
      </c>
      <c r="R39" s="25" t="s">
        <v>25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45546.0</v>
      </c>
      <c r="C40" s="18" t="s">
        <v>736</v>
      </c>
      <c r="D40" s="19">
        <v>67621.0</v>
      </c>
      <c r="E40" s="20" t="s">
        <v>216</v>
      </c>
      <c r="F40" s="23"/>
      <c r="G40" s="22"/>
      <c r="H40" s="22"/>
      <c r="I40" s="21">
        <v>5000.0</v>
      </c>
      <c r="J40" s="21"/>
      <c r="K40" s="24"/>
      <c r="L40" s="22"/>
      <c r="M40" s="29"/>
      <c r="N40" s="22"/>
      <c r="O40" s="22"/>
      <c r="P40" s="25">
        <v>5000.0</v>
      </c>
      <c r="Q40" s="26">
        <f t="shared" si="1"/>
        <v>0</v>
      </c>
      <c r="R40" s="25" t="s">
        <v>30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45546.0</v>
      </c>
      <c r="C41" s="18" t="s">
        <v>737</v>
      </c>
      <c r="D41" s="19">
        <v>36918.0</v>
      </c>
      <c r="E41" s="20" t="s">
        <v>738</v>
      </c>
      <c r="F41" s="23"/>
      <c r="G41" s="22"/>
      <c r="H41" s="22"/>
      <c r="I41" s="21">
        <v>2500.0</v>
      </c>
      <c r="J41" s="21"/>
      <c r="K41" s="24"/>
      <c r="L41" s="22"/>
      <c r="M41" s="29"/>
      <c r="N41" s="22"/>
      <c r="O41" s="22"/>
      <c r="P41" s="25">
        <v>2500.0</v>
      </c>
      <c r="Q41" s="26">
        <f t="shared" si="1"/>
        <v>0</v>
      </c>
      <c r="R41" s="25" t="s">
        <v>43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45546.0</v>
      </c>
      <c r="C42" s="18" t="s">
        <v>739</v>
      </c>
      <c r="D42" s="19">
        <v>43955.0</v>
      </c>
      <c r="E42" s="20" t="s">
        <v>268</v>
      </c>
      <c r="F42" s="23"/>
      <c r="G42" s="22"/>
      <c r="H42" s="22"/>
      <c r="I42" s="21">
        <v>80.0</v>
      </c>
      <c r="J42" s="21"/>
      <c r="K42" s="24"/>
      <c r="L42" s="22"/>
      <c r="M42" s="29"/>
      <c r="N42" s="22"/>
      <c r="O42" s="22"/>
      <c r="P42" s="25">
        <v>80.0</v>
      </c>
      <c r="Q42" s="26">
        <f t="shared" si="1"/>
        <v>0</v>
      </c>
      <c r="R42" s="25" t="s">
        <v>25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45546.0</v>
      </c>
      <c r="C43" s="18" t="s">
        <v>740</v>
      </c>
      <c r="D43" s="19">
        <v>10006.0</v>
      </c>
      <c r="E43" s="20" t="s">
        <v>130</v>
      </c>
      <c r="F43" s="23"/>
      <c r="G43" s="22"/>
      <c r="H43" s="22"/>
      <c r="I43" s="21"/>
      <c r="J43" s="21"/>
      <c r="K43" s="37">
        <v>400.0</v>
      </c>
      <c r="L43" s="22"/>
      <c r="M43" s="29"/>
      <c r="N43" s="22"/>
      <c r="O43" s="22"/>
      <c r="P43" s="25">
        <v>400.0</v>
      </c>
      <c r="Q43" s="26">
        <f t="shared" si="1"/>
        <v>0</v>
      </c>
      <c r="R43" s="25" t="s">
        <v>43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45546.0</v>
      </c>
      <c r="C44" s="18" t="s">
        <v>741</v>
      </c>
      <c r="D44" s="19">
        <v>84812.0</v>
      </c>
      <c r="E44" s="20" t="s">
        <v>742</v>
      </c>
      <c r="F44" s="23"/>
      <c r="G44" s="22"/>
      <c r="H44" s="22"/>
      <c r="I44" s="21"/>
      <c r="J44" s="21">
        <v>900.0</v>
      </c>
      <c r="K44" s="37"/>
      <c r="L44" s="22"/>
      <c r="M44" s="29"/>
      <c r="N44" s="22"/>
      <c r="O44" s="22"/>
      <c r="P44" s="25">
        <v>900.0</v>
      </c>
      <c r="Q44" s="26">
        <f t="shared" si="1"/>
        <v>0</v>
      </c>
      <c r="R44" s="25" t="s">
        <v>43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8">
        <v>45546.0</v>
      </c>
      <c r="C45" s="18" t="s">
        <v>743</v>
      </c>
      <c r="D45" s="19">
        <v>21818.0</v>
      </c>
      <c r="E45" s="20" t="s">
        <v>103</v>
      </c>
      <c r="F45" s="23"/>
      <c r="G45" s="22"/>
      <c r="H45" s="22"/>
      <c r="I45" s="21"/>
      <c r="J45" s="21"/>
      <c r="K45" s="37">
        <v>3900.0</v>
      </c>
      <c r="L45" s="22"/>
      <c r="M45" s="29"/>
      <c r="N45" s="22"/>
      <c r="O45" s="22"/>
      <c r="P45" s="25">
        <v>3900.0</v>
      </c>
      <c r="Q45" s="26">
        <f t="shared" si="1"/>
        <v>0</v>
      </c>
      <c r="R45" s="25" t="s">
        <v>25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8">
        <v>45546.0</v>
      </c>
      <c r="C46" s="18" t="s">
        <v>744</v>
      </c>
      <c r="D46" s="19">
        <v>33507.0</v>
      </c>
      <c r="E46" s="20" t="s">
        <v>745</v>
      </c>
      <c r="F46" s="23"/>
      <c r="G46" s="22"/>
      <c r="H46" s="22"/>
      <c r="I46" s="21">
        <v>2650.0</v>
      </c>
      <c r="J46" s="21"/>
      <c r="K46" s="24"/>
      <c r="L46" s="22"/>
      <c r="M46" s="29"/>
      <c r="N46" s="22"/>
      <c r="O46" s="22"/>
      <c r="P46" s="25">
        <v>2650.0</v>
      </c>
      <c r="Q46" s="26">
        <f t="shared" si="1"/>
        <v>0</v>
      </c>
      <c r="R46" s="25" t="s">
        <v>30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8">
        <v>45546.0</v>
      </c>
      <c r="C47" s="18" t="s">
        <v>746</v>
      </c>
      <c r="D47" s="19">
        <v>21821.0</v>
      </c>
      <c r="E47" s="20" t="s">
        <v>747</v>
      </c>
      <c r="F47" s="23"/>
      <c r="G47" s="22"/>
      <c r="H47" s="22"/>
      <c r="I47" s="21"/>
      <c r="J47" s="21"/>
      <c r="K47" s="24"/>
      <c r="L47" s="22"/>
      <c r="M47" s="29">
        <v>300.0</v>
      </c>
      <c r="N47" s="22"/>
      <c r="O47" s="22"/>
      <c r="P47" s="25">
        <v>300.0</v>
      </c>
      <c r="Q47" s="26">
        <f t="shared" si="1"/>
        <v>0</v>
      </c>
      <c r="R47" s="25" t="s">
        <v>25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8">
        <v>45546.0</v>
      </c>
      <c r="C48" s="18" t="s">
        <v>748</v>
      </c>
      <c r="D48" s="19">
        <v>83038.0</v>
      </c>
      <c r="E48" s="20" t="s">
        <v>749</v>
      </c>
      <c r="F48" s="23"/>
      <c r="G48" s="22"/>
      <c r="H48" s="22"/>
      <c r="I48" s="21"/>
      <c r="J48" s="21"/>
      <c r="K48" s="24"/>
      <c r="L48" s="22"/>
      <c r="M48" s="29">
        <v>280.0</v>
      </c>
      <c r="N48" s="22"/>
      <c r="O48" s="22"/>
      <c r="P48" s="25">
        <v>280.0</v>
      </c>
      <c r="Q48" s="26">
        <f t="shared" si="1"/>
        <v>0</v>
      </c>
      <c r="R48" s="25" t="s">
        <v>25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8">
        <v>45546.0</v>
      </c>
      <c r="C49" s="18" t="s">
        <v>750</v>
      </c>
      <c r="D49" s="19">
        <v>21821.0</v>
      </c>
      <c r="E49" s="20" t="s">
        <v>747</v>
      </c>
      <c r="F49" s="21"/>
      <c r="G49" s="29">
        <v>800.0</v>
      </c>
      <c r="H49" s="29"/>
      <c r="I49" s="21"/>
      <c r="J49" s="21"/>
      <c r="K49" s="24"/>
      <c r="L49" s="22"/>
      <c r="M49" s="29"/>
      <c r="N49" s="22"/>
      <c r="O49" s="22"/>
      <c r="P49" s="25">
        <v>800.0</v>
      </c>
      <c r="Q49" s="26">
        <f t="shared" si="1"/>
        <v>0</v>
      </c>
      <c r="R49" s="25" t="s">
        <v>25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8">
        <v>45546.0</v>
      </c>
      <c r="C50" s="18" t="s">
        <v>751</v>
      </c>
      <c r="D50" s="19">
        <v>67621.0</v>
      </c>
      <c r="E50" s="20" t="s">
        <v>216</v>
      </c>
      <c r="F50" s="23"/>
      <c r="G50" s="22"/>
      <c r="H50" s="29"/>
      <c r="I50" s="21">
        <v>1500.0</v>
      </c>
      <c r="J50" s="21"/>
      <c r="K50" s="24"/>
      <c r="L50" s="22"/>
      <c r="M50" s="29"/>
      <c r="N50" s="22"/>
      <c r="O50" s="22"/>
      <c r="P50" s="25">
        <v>1500.0</v>
      </c>
      <c r="Q50" s="26">
        <f t="shared" si="1"/>
        <v>0</v>
      </c>
      <c r="R50" s="25" t="s">
        <v>43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8">
        <v>45545.0</v>
      </c>
      <c r="C51" s="18" t="s">
        <v>752</v>
      </c>
      <c r="D51" s="19">
        <v>51017.0</v>
      </c>
      <c r="E51" s="20" t="s">
        <v>241</v>
      </c>
      <c r="F51" s="23"/>
      <c r="G51" s="22"/>
      <c r="H51" s="29">
        <v>25000.0</v>
      </c>
      <c r="I51" s="21"/>
      <c r="J51" s="21"/>
      <c r="K51" s="24"/>
      <c r="L51" s="22"/>
      <c r="M51" s="22"/>
      <c r="N51" s="22"/>
      <c r="O51" s="22"/>
      <c r="P51" s="25">
        <v>25000.0</v>
      </c>
      <c r="Q51" s="26">
        <f t="shared" si="1"/>
        <v>0</v>
      </c>
      <c r="R51" s="25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8">
        <v>45546.0</v>
      </c>
      <c r="C52" s="18" t="s">
        <v>753</v>
      </c>
      <c r="D52" s="19">
        <v>51876.0</v>
      </c>
      <c r="E52" s="20" t="s">
        <v>704</v>
      </c>
      <c r="F52" s="21"/>
      <c r="G52" s="22"/>
      <c r="H52" s="22"/>
      <c r="I52" s="21"/>
      <c r="J52" s="23"/>
      <c r="K52" s="24"/>
      <c r="L52" s="22"/>
      <c r="M52" s="22"/>
      <c r="N52" s="22"/>
      <c r="O52" s="29">
        <v>2400.0</v>
      </c>
      <c r="P52" s="25">
        <v>2400.0</v>
      </c>
      <c r="Q52" s="26">
        <f t="shared" si="1"/>
        <v>0</v>
      </c>
      <c r="R52" s="25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8">
        <v>45546.0</v>
      </c>
      <c r="C53" s="18" t="s">
        <v>754</v>
      </c>
      <c r="D53" s="19">
        <v>25541.0</v>
      </c>
      <c r="E53" s="20" t="s">
        <v>755</v>
      </c>
      <c r="F53" s="23"/>
      <c r="G53" s="22"/>
      <c r="H53" s="22"/>
      <c r="I53" s="21"/>
      <c r="J53" s="21"/>
      <c r="K53" s="37">
        <v>4500.0</v>
      </c>
      <c r="L53" s="22"/>
      <c r="M53" s="22"/>
      <c r="N53" s="22"/>
      <c r="O53" s="22"/>
      <c r="P53" s="25">
        <v>4500.0</v>
      </c>
      <c r="Q53" s="26">
        <f t="shared" si="1"/>
        <v>0</v>
      </c>
      <c r="R53" s="25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8">
        <v>45546.0</v>
      </c>
      <c r="C54" s="18" t="s">
        <v>756</v>
      </c>
      <c r="D54" s="19">
        <v>25542.0</v>
      </c>
      <c r="E54" s="20" t="s">
        <v>757</v>
      </c>
      <c r="F54" s="23"/>
      <c r="G54" s="22"/>
      <c r="H54" s="29">
        <v>4500.0</v>
      </c>
      <c r="I54" s="21"/>
      <c r="J54" s="21"/>
      <c r="K54" s="37"/>
      <c r="L54" s="22"/>
      <c r="M54" s="22"/>
      <c r="N54" s="22"/>
      <c r="O54" s="22"/>
      <c r="P54" s="25">
        <v>4500.0</v>
      </c>
      <c r="Q54" s="26">
        <f t="shared" si="1"/>
        <v>0</v>
      </c>
      <c r="R54" s="25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8">
        <v>45546.0</v>
      </c>
      <c r="C55" s="18" t="s">
        <v>758</v>
      </c>
      <c r="D55" s="19">
        <v>74342.0</v>
      </c>
      <c r="E55" s="20" t="s">
        <v>709</v>
      </c>
      <c r="F55" s="23"/>
      <c r="G55" s="22"/>
      <c r="H55" s="29"/>
      <c r="I55" s="21"/>
      <c r="J55" s="23"/>
      <c r="K55" s="37"/>
      <c r="L55" s="22"/>
      <c r="M55" s="22"/>
      <c r="N55" s="22"/>
      <c r="O55" s="29">
        <v>1200.0</v>
      </c>
      <c r="P55" s="25">
        <v>1200.0</v>
      </c>
      <c r="Q55" s="26">
        <f t="shared" si="1"/>
        <v>0</v>
      </c>
      <c r="R55" s="25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8">
        <v>45546.0</v>
      </c>
      <c r="C56" s="18" t="s">
        <v>759</v>
      </c>
      <c r="D56" s="19">
        <v>69346.0</v>
      </c>
      <c r="E56" s="20" t="s">
        <v>67</v>
      </c>
      <c r="F56" s="23"/>
      <c r="G56" s="22"/>
      <c r="H56" s="22"/>
      <c r="I56" s="21"/>
      <c r="J56" s="21"/>
      <c r="K56" s="24"/>
      <c r="L56" s="22"/>
      <c r="M56" s="22"/>
      <c r="N56" s="22"/>
      <c r="O56" s="29">
        <v>5600.0</v>
      </c>
      <c r="P56" s="25">
        <v>5600.0</v>
      </c>
      <c r="Q56" s="26">
        <f t="shared" si="1"/>
        <v>0</v>
      </c>
      <c r="R56" s="25"/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8">
        <v>45546.0</v>
      </c>
      <c r="C57" s="18" t="s">
        <v>760</v>
      </c>
      <c r="D57" s="19">
        <v>24368.0</v>
      </c>
      <c r="E57" s="20" t="s">
        <v>722</v>
      </c>
      <c r="F57" s="23"/>
      <c r="G57" s="22"/>
      <c r="H57" s="22"/>
      <c r="I57" s="21"/>
      <c r="J57" s="23"/>
      <c r="K57" s="37">
        <v>4500.0</v>
      </c>
      <c r="L57" s="22"/>
      <c r="M57" s="29"/>
      <c r="N57" s="22"/>
      <c r="O57" s="29"/>
      <c r="P57" s="25">
        <v>4500.0</v>
      </c>
      <c r="Q57" s="26">
        <f t="shared" si="1"/>
        <v>0</v>
      </c>
      <c r="R57" s="25"/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8">
        <v>45546.0</v>
      </c>
      <c r="C58" s="18" t="s">
        <v>761</v>
      </c>
      <c r="D58" s="19">
        <v>10250.0</v>
      </c>
      <c r="E58" s="20" t="s">
        <v>423</v>
      </c>
      <c r="F58" s="23"/>
      <c r="G58" s="22"/>
      <c r="H58" s="29">
        <v>19000.0</v>
      </c>
      <c r="I58" s="21"/>
      <c r="J58" s="23"/>
      <c r="K58" s="21"/>
      <c r="L58" s="22"/>
      <c r="M58" s="22"/>
      <c r="N58" s="22"/>
      <c r="O58" s="29"/>
      <c r="P58" s="25">
        <v>19000.0</v>
      </c>
      <c r="Q58" s="26">
        <f t="shared" si="1"/>
        <v>0</v>
      </c>
      <c r="R58" s="25"/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28">
        <v>45546.0</v>
      </c>
      <c r="C59" s="18" t="s">
        <v>762</v>
      </c>
      <c r="D59" s="19">
        <v>83056.0</v>
      </c>
      <c r="E59" s="20" t="s">
        <v>506</v>
      </c>
      <c r="F59" s="23"/>
      <c r="G59" s="22"/>
      <c r="H59" s="29"/>
      <c r="I59" s="21"/>
      <c r="J59" s="23"/>
      <c r="K59" s="21">
        <v>4790.0</v>
      </c>
      <c r="L59" s="22"/>
      <c r="M59" s="22"/>
      <c r="N59" s="22"/>
      <c r="O59" s="29"/>
      <c r="P59" s="25">
        <v>4790.0</v>
      </c>
      <c r="Q59" s="26">
        <f t="shared" si="1"/>
        <v>0</v>
      </c>
      <c r="R59" s="25"/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28">
        <v>45546.0</v>
      </c>
      <c r="C60" s="18" t="s">
        <v>763</v>
      </c>
      <c r="D60" s="19">
        <v>51782.0</v>
      </c>
      <c r="E60" s="20" t="s">
        <v>401</v>
      </c>
      <c r="F60" s="23"/>
      <c r="G60" s="22"/>
      <c r="H60" s="29">
        <v>2500.0</v>
      </c>
      <c r="I60" s="21"/>
      <c r="J60" s="23"/>
      <c r="K60" s="21"/>
      <c r="L60" s="22"/>
      <c r="M60" s="22"/>
      <c r="N60" s="22"/>
      <c r="O60" s="29"/>
      <c r="P60" s="25">
        <v>2500.0</v>
      </c>
      <c r="Q60" s="26">
        <f t="shared" si="1"/>
        <v>0</v>
      </c>
      <c r="R60" s="25"/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28">
        <v>45546.0</v>
      </c>
      <c r="C61" s="18" t="s">
        <v>764</v>
      </c>
      <c r="D61" s="19">
        <v>77283.0</v>
      </c>
      <c r="E61" s="20" t="s">
        <v>311</v>
      </c>
      <c r="F61" s="23"/>
      <c r="G61" s="22"/>
      <c r="H61" s="22"/>
      <c r="I61" s="21"/>
      <c r="J61" s="23"/>
      <c r="K61" s="37"/>
      <c r="L61" s="22"/>
      <c r="M61" s="29">
        <v>5150.0</v>
      </c>
      <c r="N61" s="22"/>
      <c r="O61" s="29"/>
      <c r="P61" s="25">
        <v>5150.0</v>
      </c>
      <c r="Q61" s="26">
        <f t="shared" si="1"/>
        <v>0</v>
      </c>
      <c r="R61" s="25"/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28">
        <v>45546.0</v>
      </c>
      <c r="C62" s="18" t="s">
        <v>765</v>
      </c>
      <c r="D62" s="19">
        <v>51017.0</v>
      </c>
      <c r="E62" s="20" t="s">
        <v>241</v>
      </c>
      <c r="F62" s="23"/>
      <c r="G62" s="22"/>
      <c r="H62" s="29">
        <v>18750.0</v>
      </c>
      <c r="I62" s="21"/>
      <c r="J62" s="23"/>
      <c r="K62" s="37"/>
      <c r="L62" s="22"/>
      <c r="M62" s="29"/>
      <c r="N62" s="22"/>
      <c r="O62" s="29"/>
      <c r="P62" s="25">
        <v>18750.0</v>
      </c>
      <c r="Q62" s="26">
        <f t="shared" si="1"/>
        <v>0</v>
      </c>
      <c r="R62" s="25"/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/>
      <c r="B63" s="28"/>
      <c r="C63" s="18"/>
      <c r="D63" s="19"/>
      <c r="E63" s="20"/>
      <c r="F63" s="23"/>
      <c r="G63" s="22"/>
      <c r="H63" s="29"/>
      <c r="I63" s="23"/>
      <c r="J63" s="23"/>
      <c r="K63" s="24"/>
      <c r="L63" s="22"/>
      <c r="M63" s="22"/>
      <c r="N63" s="22"/>
      <c r="O63" s="22"/>
      <c r="P63" s="25"/>
      <c r="Q63" s="26">
        <f t="shared" si="1"/>
        <v>0</v>
      </c>
      <c r="R63" s="50"/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7.5" customHeight="1">
      <c r="A64" s="16"/>
      <c r="B64" s="51"/>
      <c r="C64" s="52"/>
      <c r="D64" s="53" t="s">
        <v>149</v>
      </c>
      <c r="E64" s="54"/>
      <c r="F64" s="55">
        <f t="shared" ref="F64:P64" si="2">SUM(F5:F63)</f>
        <v>0</v>
      </c>
      <c r="G64" s="55">
        <f t="shared" si="2"/>
        <v>2000</v>
      </c>
      <c r="H64" s="55">
        <f t="shared" si="2"/>
        <v>69750</v>
      </c>
      <c r="I64" s="55">
        <f t="shared" si="2"/>
        <v>171430</v>
      </c>
      <c r="J64" s="55">
        <f t="shared" si="2"/>
        <v>21670</v>
      </c>
      <c r="K64" s="55">
        <f t="shared" si="2"/>
        <v>36890</v>
      </c>
      <c r="L64" s="55">
        <f t="shared" si="2"/>
        <v>0</v>
      </c>
      <c r="M64" s="55">
        <f t="shared" si="2"/>
        <v>7730</v>
      </c>
      <c r="N64" s="55">
        <f t="shared" si="2"/>
        <v>0</v>
      </c>
      <c r="O64" s="55">
        <f t="shared" si="2"/>
        <v>9200</v>
      </c>
      <c r="P64" s="55">
        <f t="shared" si="2"/>
        <v>318670</v>
      </c>
      <c r="Q64" s="56">
        <v>0.0</v>
      </c>
      <c r="R64" s="57"/>
      <c r="S64" s="27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ht="58.5" customHeight="1">
      <c r="A65" s="58"/>
      <c r="B65" s="58"/>
      <c r="C65" s="59"/>
      <c r="D65" s="58"/>
      <c r="E65" s="58"/>
      <c r="F65" s="60">
        <f>F64+G64+H64+I64+J64+K64+L64+M64+N64+O64</f>
        <v>318670</v>
      </c>
      <c r="P65" s="61"/>
      <c r="Q65" s="61"/>
      <c r="R65" s="58"/>
      <c r="S65" s="58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63" t="s">
        <v>149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62"/>
      <c r="D69" s="4"/>
      <c r="E69" s="64" t="s">
        <v>150</v>
      </c>
      <c r="F69" s="65" t="s">
        <v>155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62"/>
      <c r="D70" s="4"/>
      <c r="E70" s="66" t="s">
        <v>152</v>
      </c>
      <c r="F70" s="65" t="s">
        <v>255</v>
      </c>
      <c r="G70" s="4"/>
      <c r="H70" s="4"/>
      <c r="I70" s="4"/>
      <c r="J70" s="4"/>
      <c r="K70" s="4"/>
      <c r="L70" s="4"/>
      <c r="M70" s="4"/>
      <c r="N70" s="4"/>
      <c r="O70" s="67" t="s">
        <v>149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26.25" customHeight="1">
      <c r="A71" s="4"/>
      <c r="B71" s="4"/>
      <c r="C71" s="62"/>
      <c r="D71" s="4"/>
      <c r="E71" s="66" t="s">
        <v>154</v>
      </c>
      <c r="F71" s="65" t="s">
        <v>155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26.25" customHeight="1">
      <c r="A72" s="4"/>
      <c r="B72" s="4"/>
      <c r="C72" s="62"/>
      <c r="D72" s="4"/>
      <c r="E72" s="66" t="s">
        <v>156</v>
      </c>
      <c r="F72" s="65" t="s">
        <v>155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26.25" customHeight="1">
      <c r="A73" s="4"/>
      <c r="B73" s="4"/>
      <c r="C73" s="62"/>
      <c r="D73" s="4"/>
      <c r="E73" s="66" t="s">
        <v>157</v>
      </c>
      <c r="F73" s="65" t="s">
        <v>766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26.25" customHeight="1">
      <c r="A74" s="4"/>
      <c r="B74" s="4"/>
      <c r="C74" s="62"/>
      <c r="D74" s="4"/>
      <c r="E74" s="66" t="s">
        <v>767</v>
      </c>
      <c r="F74" s="65" t="s">
        <v>155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26.25" customHeight="1">
      <c r="A75" s="4"/>
      <c r="B75" s="4"/>
      <c r="C75" s="62"/>
      <c r="D75" s="4"/>
      <c r="E75" s="66" t="s">
        <v>160</v>
      </c>
      <c r="F75" s="65" t="s">
        <v>155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26.25" customHeight="1">
      <c r="A76" s="4"/>
      <c r="B76" s="4"/>
      <c r="C76" s="62"/>
      <c r="D76" s="4"/>
      <c r="E76" s="66" t="s">
        <v>161</v>
      </c>
      <c r="F76" s="68" t="s">
        <v>162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67" t="s">
        <v>149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26.2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 t="str">
        <f>I72464</f>
        <v/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26.2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69"/>
      <c r="G84" s="4"/>
      <c r="H84" s="4"/>
      <c r="I84" s="67" t="s">
        <v>163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>
        <v>7.0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6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6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6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6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6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6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6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6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7">
    <mergeCell ref="R2:R4"/>
    <mergeCell ref="S2:S4"/>
    <mergeCell ref="F3:F4"/>
    <mergeCell ref="G3:H3"/>
    <mergeCell ref="I3:J3"/>
    <mergeCell ref="K3:K4"/>
    <mergeCell ref="F65:O6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768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45547.0</v>
      </c>
      <c r="C5" s="18" t="s">
        <v>769</v>
      </c>
      <c r="D5" s="19">
        <v>53160.0</v>
      </c>
      <c r="E5" s="20" t="s">
        <v>770</v>
      </c>
      <c r="F5" s="21"/>
      <c r="G5" s="29"/>
      <c r="H5" s="23"/>
      <c r="I5" s="37">
        <v>2650.0</v>
      </c>
      <c r="J5" s="37"/>
      <c r="K5" s="22"/>
      <c r="L5" s="22"/>
      <c r="M5" s="23"/>
      <c r="N5" s="22"/>
      <c r="O5" s="22"/>
      <c r="P5" s="25">
        <v>2650.0</v>
      </c>
      <c r="Q5" s="26">
        <f t="shared" ref="Q5:Q36" si="1">F5+G5+H5+I5+J5+K5+L5+M5+N5+O5-P5</f>
        <v>0</v>
      </c>
      <c r="R5" s="25" t="s">
        <v>30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45547.0</v>
      </c>
      <c r="C6" s="18" t="s">
        <v>771</v>
      </c>
      <c r="D6" s="19">
        <v>46927.0</v>
      </c>
      <c r="E6" s="20" t="s">
        <v>75</v>
      </c>
      <c r="F6" s="23"/>
      <c r="G6" s="22"/>
      <c r="H6" s="22"/>
      <c r="I6" s="21">
        <v>229.0</v>
      </c>
      <c r="J6" s="29"/>
      <c r="K6" s="29">
        <v>71.0</v>
      </c>
      <c r="L6" s="22"/>
      <c r="M6" s="21"/>
      <c r="N6" s="22"/>
      <c r="O6" s="22"/>
      <c r="P6" s="25">
        <v>300.0</v>
      </c>
      <c r="Q6" s="26">
        <f t="shared" si="1"/>
        <v>0</v>
      </c>
      <c r="R6" s="25" t="s">
        <v>772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45547.0</v>
      </c>
      <c r="C7" s="18" t="s">
        <v>773</v>
      </c>
      <c r="D7" s="19">
        <v>77886.0</v>
      </c>
      <c r="E7" s="20" t="s">
        <v>291</v>
      </c>
      <c r="F7" s="22"/>
      <c r="G7" s="22"/>
      <c r="H7" s="23"/>
      <c r="I7" s="21">
        <v>350.0</v>
      </c>
      <c r="J7" s="24"/>
      <c r="K7" s="29"/>
      <c r="L7" s="22"/>
      <c r="M7" s="22"/>
      <c r="N7" s="22"/>
      <c r="O7" s="22"/>
      <c r="P7" s="25">
        <v>350.0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45547.0</v>
      </c>
      <c r="C8" s="18" t="s">
        <v>774</v>
      </c>
      <c r="D8" s="19">
        <v>78454.0</v>
      </c>
      <c r="E8" s="20" t="s">
        <v>574</v>
      </c>
      <c r="F8" s="22"/>
      <c r="G8" s="22"/>
      <c r="H8" s="22"/>
      <c r="I8" s="21">
        <v>2650.0</v>
      </c>
      <c r="J8" s="21"/>
      <c r="K8" s="29"/>
      <c r="L8" s="22"/>
      <c r="M8" s="22"/>
      <c r="N8" s="22"/>
      <c r="O8" s="22"/>
      <c r="P8" s="25">
        <v>2650.0</v>
      </c>
      <c r="Q8" s="26">
        <f t="shared" si="1"/>
        <v>0</v>
      </c>
      <c r="R8" s="25" t="s">
        <v>772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45547.0</v>
      </c>
      <c r="C9" s="18" t="s">
        <v>775</v>
      </c>
      <c r="D9" s="19">
        <v>46927.0</v>
      </c>
      <c r="E9" s="20" t="s">
        <v>75</v>
      </c>
      <c r="F9" s="22"/>
      <c r="G9" s="22"/>
      <c r="H9" s="22"/>
      <c r="I9" s="21">
        <v>5850.0</v>
      </c>
      <c r="J9" s="21"/>
      <c r="K9" s="22"/>
      <c r="L9" s="22"/>
      <c r="M9" s="23"/>
      <c r="N9" s="22"/>
      <c r="O9" s="22"/>
      <c r="P9" s="25">
        <v>5850.0</v>
      </c>
      <c r="Q9" s="26">
        <f t="shared" si="1"/>
        <v>0</v>
      </c>
      <c r="R9" s="25" t="s">
        <v>772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45547.0</v>
      </c>
      <c r="C10" s="18" t="s">
        <v>776</v>
      </c>
      <c r="D10" s="19">
        <v>66969.0</v>
      </c>
      <c r="E10" s="20" t="s">
        <v>777</v>
      </c>
      <c r="F10" s="22"/>
      <c r="G10" s="22"/>
      <c r="H10" s="22"/>
      <c r="I10" s="21">
        <v>5000.0</v>
      </c>
      <c r="J10" s="21"/>
      <c r="K10" s="22"/>
      <c r="L10" s="22"/>
      <c r="M10" s="23"/>
      <c r="N10" s="22"/>
      <c r="O10" s="22"/>
      <c r="P10" s="25">
        <v>5000.0</v>
      </c>
      <c r="Q10" s="26">
        <f t="shared" si="1"/>
        <v>0</v>
      </c>
      <c r="R10" s="25" t="s">
        <v>772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45547.0</v>
      </c>
      <c r="C11" s="18" t="s">
        <v>778</v>
      </c>
      <c r="D11" s="19">
        <v>81739.0</v>
      </c>
      <c r="E11" s="20" t="s">
        <v>779</v>
      </c>
      <c r="F11" s="22"/>
      <c r="G11" s="22"/>
      <c r="H11" s="29"/>
      <c r="I11" s="21"/>
      <c r="J11" s="21">
        <v>1998.0</v>
      </c>
      <c r="K11" s="29"/>
      <c r="L11" s="22"/>
      <c r="M11" s="23"/>
      <c r="N11" s="22"/>
      <c r="O11" s="22"/>
      <c r="P11" s="25">
        <v>1998.0</v>
      </c>
      <c r="Q11" s="26">
        <f t="shared" si="1"/>
        <v>0</v>
      </c>
      <c r="R11" s="25" t="s">
        <v>25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45547.0</v>
      </c>
      <c r="C12" s="18" t="s">
        <v>780</v>
      </c>
      <c r="D12" s="19">
        <v>81108.0</v>
      </c>
      <c r="E12" s="20" t="s">
        <v>209</v>
      </c>
      <c r="F12" s="22"/>
      <c r="G12" s="22"/>
      <c r="H12" s="29"/>
      <c r="I12" s="21">
        <v>19000.0</v>
      </c>
      <c r="J12" s="21"/>
      <c r="K12" s="22"/>
      <c r="L12" s="22"/>
      <c r="M12" s="23"/>
      <c r="N12" s="22"/>
      <c r="O12" s="22"/>
      <c r="P12" s="25">
        <v>19000.0</v>
      </c>
      <c r="Q12" s="26">
        <f t="shared" si="1"/>
        <v>0</v>
      </c>
      <c r="R12" s="25" t="s">
        <v>772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45547.0</v>
      </c>
      <c r="C13" s="32" t="s">
        <v>781</v>
      </c>
      <c r="D13" s="33">
        <v>61420.0</v>
      </c>
      <c r="E13" s="34" t="s">
        <v>782</v>
      </c>
      <c r="F13" s="22"/>
      <c r="G13" s="22"/>
      <c r="H13" s="22"/>
      <c r="I13" s="21">
        <v>150.0</v>
      </c>
      <c r="J13" s="21"/>
      <c r="K13" s="22"/>
      <c r="L13" s="22"/>
      <c r="M13" s="23"/>
      <c r="N13" s="22"/>
      <c r="O13" s="22"/>
      <c r="P13" s="35">
        <v>150.0</v>
      </c>
      <c r="Q13" s="26">
        <f t="shared" si="1"/>
        <v>0</v>
      </c>
      <c r="R13" s="35" t="s">
        <v>25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45547.0</v>
      </c>
      <c r="C14" s="18" t="s">
        <v>783</v>
      </c>
      <c r="D14" s="19">
        <v>57499.0</v>
      </c>
      <c r="E14" s="20" t="s">
        <v>38</v>
      </c>
      <c r="F14" s="22"/>
      <c r="G14" s="22"/>
      <c r="H14" s="22"/>
      <c r="I14" s="21">
        <v>8000.0</v>
      </c>
      <c r="J14" s="21"/>
      <c r="K14" s="22"/>
      <c r="L14" s="22"/>
      <c r="M14" s="23"/>
      <c r="N14" s="22"/>
      <c r="O14" s="22"/>
      <c r="P14" s="25">
        <v>8000.0</v>
      </c>
      <c r="Q14" s="26">
        <f t="shared" si="1"/>
        <v>0</v>
      </c>
      <c r="R14" s="25" t="s">
        <v>30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45547.0</v>
      </c>
      <c r="C15" s="18" t="s">
        <v>784</v>
      </c>
      <c r="D15" s="19">
        <v>44149.0</v>
      </c>
      <c r="E15" s="20" t="s">
        <v>264</v>
      </c>
      <c r="F15" s="22"/>
      <c r="G15" s="22"/>
      <c r="H15" s="22"/>
      <c r="I15" s="21">
        <v>7650.0</v>
      </c>
      <c r="J15" s="23"/>
      <c r="K15" s="22"/>
      <c r="L15" s="22"/>
      <c r="M15" s="23"/>
      <c r="N15" s="22"/>
      <c r="O15" s="22"/>
      <c r="P15" s="25">
        <v>7650.0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45547.0</v>
      </c>
      <c r="C16" s="18" t="s">
        <v>785</v>
      </c>
      <c r="D16" s="19">
        <v>14343.0</v>
      </c>
      <c r="E16" s="20" t="s">
        <v>441</v>
      </c>
      <c r="F16" s="22"/>
      <c r="G16" s="22"/>
      <c r="H16" s="22"/>
      <c r="I16" s="21">
        <v>2650.0</v>
      </c>
      <c r="J16" s="21"/>
      <c r="K16" s="22"/>
      <c r="L16" s="22"/>
      <c r="M16" s="23"/>
      <c r="N16" s="22"/>
      <c r="O16" s="22"/>
      <c r="P16" s="25">
        <v>2650.0</v>
      </c>
      <c r="Q16" s="26">
        <f t="shared" si="1"/>
        <v>0</v>
      </c>
      <c r="R16" s="25" t="s">
        <v>772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45547.0</v>
      </c>
      <c r="C17" s="18" t="s">
        <v>786</v>
      </c>
      <c r="D17" s="19">
        <v>26831.0</v>
      </c>
      <c r="E17" s="20" t="s">
        <v>40</v>
      </c>
      <c r="F17" s="22"/>
      <c r="G17" s="22"/>
      <c r="H17" s="22"/>
      <c r="I17" s="21"/>
      <c r="J17" s="21">
        <v>3550.0</v>
      </c>
      <c r="K17" s="22"/>
      <c r="L17" s="22"/>
      <c r="M17" s="23"/>
      <c r="N17" s="22"/>
      <c r="O17" s="22"/>
      <c r="P17" s="25">
        <v>3550.0</v>
      </c>
      <c r="Q17" s="26">
        <f t="shared" si="1"/>
        <v>0</v>
      </c>
      <c r="R17" s="25" t="s">
        <v>30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45547.0</v>
      </c>
      <c r="C18" s="18" t="s">
        <v>787</v>
      </c>
      <c r="D18" s="19">
        <v>28414.0</v>
      </c>
      <c r="E18" s="20" t="s">
        <v>438</v>
      </c>
      <c r="F18" s="22"/>
      <c r="G18" s="22"/>
      <c r="H18" s="22"/>
      <c r="I18" s="21">
        <v>150.0</v>
      </c>
      <c r="J18" s="21"/>
      <c r="K18" s="29">
        <v>10350.0</v>
      </c>
      <c r="L18" s="22"/>
      <c r="M18" s="22"/>
      <c r="N18" s="22"/>
      <c r="O18" s="22"/>
      <c r="P18" s="25">
        <v>10500.0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45547.0</v>
      </c>
      <c r="C19" s="32" t="s">
        <v>788</v>
      </c>
      <c r="D19" s="33">
        <v>39317.0</v>
      </c>
      <c r="E19" s="34" t="s">
        <v>112</v>
      </c>
      <c r="F19" s="22"/>
      <c r="G19" s="22"/>
      <c r="H19" s="22"/>
      <c r="I19" s="21"/>
      <c r="J19" s="21">
        <v>5150.0</v>
      </c>
      <c r="K19" s="22"/>
      <c r="L19" s="22"/>
      <c r="M19" s="23"/>
      <c r="N19" s="22"/>
      <c r="O19" s="22"/>
      <c r="P19" s="35">
        <v>5150.0</v>
      </c>
      <c r="Q19" s="26">
        <f t="shared" si="1"/>
        <v>0</v>
      </c>
      <c r="R19" s="35" t="s">
        <v>30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45547.0</v>
      </c>
      <c r="C20" s="18" t="s">
        <v>789</v>
      </c>
      <c r="D20" s="19">
        <v>10249.0</v>
      </c>
      <c r="E20" s="20" t="s">
        <v>126</v>
      </c>
      <c r="F20" s="22"/>
      <c r="G20" s="22"/>
      <c r="H20" s="22"/>
      <c r="I20" s="37"/>
      <c r="J20" s="37">
        <v>15965.0</v>
      </c>
      <c r="K20" s="22"/>
      <c r="L20" s="22"/>
      <c r="M20" s="22"/>
      <c r="N20" s="22"/>
      <c r="O20" s="22"/>
      <c r="P20" s="25">
        <v>15965.0</v>
      </c>
      <c r="Q20" s="26">
        <f t="shared" si="1"/>
        <v>0</v>
      </c>
      <c r="R20" s="25" t="s">
        <v>772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45547.0</v>
      </c>
      <c r="C21" s="18" t="s">
        <v>790</v>
      </c>
      <c r="D21" s="19">
        <v>53249.0</v>
      </c>
      <c r="E21" s="20" t="s">
        <v>192</v>
      </c>
      <c r="F21" s="23"/>
      <c r="G21" s="22"/>
      <c r="H21" s="22"/>
      <c r="I21" s="45">
        <v>31300.0</v>
      </c>
      <c r="J21" s="29"/>
      <c r="K21" s="39"/>
      <c r="L21" s="22"/>
      <c r="M21" s="22"/>
      <c r="N21" s="22"/>
      <c r="O21" s="22"/>
      <c r="P21" s="25">
        <v>31300.0</v>
      </c>
      <c r="Q21" s="26">
        <f t="shared" si="1"/>
        <v>0</v>
      </c>
      <c r="R21" s="25" t="s">
        <v>25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45547.0</v>
      </c>
      <c r="C22" s="18" t="s">
        <v>791</v>
      </c>
      <c r="D22" s="19">
        <v>62815.0</v>
      </c>
      <c r="E22" s="20" t="s">
        <v>93</v>
      </c>
      <c r="F22" s="23"/>
      <c r="G22" s="22"/>
      <c r="H22" s="22"/>
      <c r="I22" s="21">
        <v>20000.0</v>
      </c>
      <c r="J22" s="29"/>
      <c r="K22" s="23"/>
      <c r="L22" s="22"/>
      <c r="M22" s="22"/>
      <c r="N22" s="22"/>
      <c r="O22" s="22"/>
      <c r="P22" s="25">
        <v>20000.0</v>
      </c>
      <c r="Q22" s="26">
        <f t="shared" si="1"/>
        <v>0</v>
      </c>
      <c r="R22" s="25" t="s">
        <v>30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45547.0</v>
      </c>
      <c r="C23" s="41" t="s">
        <v>792</v>
      </c>
      <c r="D23" s="42">
        <v>70142.0</v>
      </c>
      <c r="E23" s="43" t="s">
        <v>793</v>
      </c>
      <c r="F23" s="38"/>
      <c r="G23" s="44"/>
      <c r="H23" s="44"/>
      <c r="I23" s="45">
        <v>2650.0</v>
      </c>
      <c r="J23" s="45"/>
      <c r="K23" s="46"/>
      <c r="L23" s="44"/>
      <c r="M23" s="44"/>
      <c r="N23" s="44"/>
      <c r="O23" s="44"/>
      <c r="P23" s="47">
        <v>2650.0</v>
      </c>
      <c r="Q23" s="26">
        <f t="shared" si="1"/>
        <v>0</v>
      </c>
      <c r="R23" s="47" t="s">
        <v>25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45547.0</v>
      </c>
      <c r="C24" s="18" t="s">
        <v>794</v>
      </c>
      <c r="D24" s="19">
        <v>36769.0</v>
      </c>
      <c r="E24" s="20" t="s">
        <v>379</v>
      </c>
      <c r="F24" s="23"/>
      <c r="G24" s="22"/>
      <c r="H24" s="22"/>
      <c r="I24" s="21">
        <v>15200.0</v>
      </c>
      <c r="J24" s="29"/>
      <c r="K24" s="39"/>
      <c r="L24" s="22"/>
      <c r="M24" s="22"/>
      <c r="N24" s="22"/>
      <c r="O24" s="22"/>
      <c r="P24" s="25">
        <v>15200.0</v>
      </c>
      <c r="Q24" s="26">
        <f t="shared" si="1"/>
        <v>0</v>
      </c>
      <c r="R24" s="25" t="s">
        <v>772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45547.0</v>
      </c>
      <c r="C25" s="18" t="s">
        <v>795</v>
      </c>
      <c r="D25" s="19">
        <v>84820.0</v>
      </c>
      <c r="E25" s="20" t="s">
        <v>796</v>
      </c>
      <c r="F25" s="23"/>
      <c r="G25" s="22"/>
      <c r="H25" s="29"/>
      <c r="I25" s="21">
        <v>300.0</v>
      </c>
      <c r="J25" s="21"/>
      <c r="K25" s="49"/>
      <c r="L25" s="22"/>
      <c r="M25" s="22"/>
      <c r="N25" s="22"/>
      <c r="O25" s="22"/>
      <c r="P25" s="25">
        <v>300.0</v>
      </c>
      <c r="Q25" s="26">
        <f t="shared" si="1"/>
        <v>0</v>
      </c>
      <c r="R25" s="25" t="s">
        <v>772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45547.0</v>
      </c>
      <c r="C26" s="18" t="s">
        <v>797</v>
      </c>
      <c r="D26" s="19">
        <v>37642.0</v>
      </c>
      <c r="E26" s="20" t="s">
        <v>107</v>
      </c>
      <c r="F26" s="23"/>
      <c r="G26" s="22"/>
      <c r="H26" s="29">
        <v>25000.0</v>
      </c>
      <c r="I26" s="21"/>
      <c r="J26" s="21"/>
      <c r="K26" s="24"/>
      <c r="L26" s="22"/>
      <c r="M26" s="29"/>
      <c r="N26" s="22"/>
      <c r="O26" s="22"/>
      <c r="P26" s="25">
        <v>25000.0</v>
      </c>
      <c r="Q26" s="26">
        <f t="shared" si="1"/>
        <v>0</v>
      </c>
      <c r="R26" s="25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45547.0</v>
      </c>
      <c r="C27" s="18" t="s">
        <v>798</v>
      </c>
      <c r="D27" s="19">
        <v>81739.0</v>
      </c>
      <c r="E27" s="20" t="s">
        <v>779</v>
      </c>
      <c r="F27" s="23"/>
      <c r="G27" s="22"/>
      <c r="H27" s="22"/>
      <c r="I27" s="21"/>
      <c r="J27" s="21"/>
      <c r="K27" s="37"/>
      <c r="L27" s="22"/>
      <c r="M27" s="29"/>
      <c r="N27" s="22"/>
      <c r="O27" s="29">
        <v>1200.0</v>
      </c>
      <c r="P27" s="25">
        <v>1200.0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45547.0</v>
      </c>
      <c r="C28" s="18" t="s">
        <v>799</v>
      </c>
      <c r="D28" s="19">
        <v>50436.0</v>
      </c>
      <c r="E28" s="20" t="s">
        <v>338</v>
      </c>
      <c r="F28" s="23"/>
      <c r="G28" s="22"/>
      <c r="H28" s="22"/>
      <c r="I28" s="21"/>
      <c r="J28" s="21"/>
      <c r="K28" s="37">
        <v>92.5</v>
      </c>
      <c r="L28" s="22"/>
      <c r="M28" s="29"/>
      <c r="N28" s="22"/>
      <c r="O28" s="29">
        <v>1107.5</v>
      </c>
      <c r="P28" s="25">
        <v>1200.0</v>
      </c>
      <c r="Q28" s="26">
        <f t="shared" si="1"/>
        <v>0</v>
      </c>
      <c r="R28" s="25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45547.0</v>
      </c>
      <c r="C29" s="18" t="s">
        <v>800</v>
      </c>
      <c r="D29" s="19">
        <v>61420.0</v>
      </c>
      <c r="E29" s="20" t="s">
        <v>782</v>
      </c>
      <c r="F29" s="23"/>
      <c r="G29" s="22"/>
      <c r="H29" s="22"/>
      <c r="I29" s="21"/>
      <c r="J29" s="21"/>
      <c r="K29" s="24"/>
      <c r="L29" s="22"/>
      <c r="M29" s="29"/>
      <c r="N29" s="22"/>
      <c r="O29" s="29">
        <v>1200.0</v>
      </c>
      <c r="P29" s="25">
        <v>1200.0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45547.0</v>
      </c>
      <c r="C30" s="18" t="s">
        <v>801</v>
      </c>
      <c r="D30" s="19">
        <v>31927.0</v>
      </c>
      <c r="E30" s="20" t="s">
        <v>136</v>
      </c>
      <c r="F30" s="23"/>
      <c r="G30" s="22"/>
      <c r="H30" s="29"/>
      <c r="I30" s="21"/>
      <c r="J30" s="21"/>
      <c r="K30" s="24"/>
      <c r="L30" s="22"/>
      <c r="M30" s="29">
        <v>450.0</v>
      </c>
      <c r="N30" s="22"/>
      <c r="O30" s="22"/>
      <c r="P30" s="25">
        <v>450.0</v>
      </c>
      <c r="Q30" s="26">
        <f t="shared" si="1"/>
        <v>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45547.0</v>
      </c>
      <c r="C31" s="18" t="s">
        <v>802</v>
      </c>
      <c r="D31" s="19">
        <v>50148.0</v>
      </c>
      <c r="E31" s="20" t="s">
        <v>461</v>
      </c>
      <c r="F31" s="23"/>
      <c r="G31" s="22"/>
      <c r="H31" s="29">
        <v>2950.0</v>
      </c>
      <c r="I31" s="21"/>
      <c r="J31" s="21"/>
      <c r="K31" s="24"/>
      <c r="L31" s="22"/>
      <c r="M31" s="29"/>
      <c r="N31" s="22"/>
      <c r="O31" s="22"/>
      <c r="P31" s="25">
        <v>2950.0</v>
      </c>
      <c r="Q31" s="26">
        <f t="shared" si="1"/>
        <v>0</v>
      </c>
      <c r="R31" s="25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45547.0</v>
      </c>
      <c r="C32" s="18" t="s">
        <v>803</v>
      </c>
      <c r="D32" s="19">
        <v>52026.0</v>
      </c>
      <c r="E32" s="20" t="s">
        <v>804</v>
      </c>
      <c r="F32" s="23"/>
      <c r="G32" s="22"/>
      <c r="H32" s="22"/>
      <c r="I32" s="21"/>
      <c r="J32" s="21"/>
      <c r="K32" s="37"/>
      <c r="L32" s="22"/>
      <c r="M32" s="29"/>
      <c r="N32" s="22"/>
      <c r="O32" s="29">
        <v>4000.0</v>
      </c>
      <c r="P32" s="25">
        <v>4000.0</v>
      </c>
      <c r="Q32" s="26">
        <f t="shared" si="1"/>
        <v>0</v>
      </c>
      <c r="R32" s="25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45547.0</v>
      </c>
      <c r="C33" s="18" t="s">
        <v>805</v>
      </c>
      <c r="D33" s="19">
        <v>52020.0</v>
      </c>
      <c r="E33" s="20" t="s">
        <v>806</v>
      </c>
      <c r="F33" s="23"/>
      <c r="G33" s="22"/>
      <c r="H33" s="22"/>
      <c r="I33" s="21"/>
      <c r="J33" s="21"/>
      <c r="K33" s="37"/>
      <c r="L33" s="22"/>
      <c r="M33" s="29"/>
      <c r="N33" s="22"/>
      <c r="O33" s="29">
        <v>3600.0</v>
      </c>
      <c r="P33" s="25">
        <v>3600.0</v>
      </c>
      <c r="Q33" s="26">
        <f t="shared" si="1"/>
        <v>0</v>
      </c>
      <c r="R33" s="25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45547.0</v>
      </c>
      <c r="C34" s="18" t="s">
        <v>807</v>
      </c>
      <c r="D34" s="19">
        <v>81179.0</v>
      </c>
      <c r="E34" s="20" t="s">
        <v>808</v>
      </c>
      <c r="F34" s="23"/>
      <c r="G34" s="22"/>
      <c r="H34" s="29"/>
      <c r="I34" s="21"/>
      <c r="J34" s="21"/>
      <c r="K34" s="37"/>
      <c r="L34" s="22"/>
      <c r="M34" s="29">
        <v>3150.0</v>
      </c>
      <c r="N34" s="22"/>
      <c r="O34" s="22"/>
      <c r="P34" s="25">
        <v>3150.0</v>
      </c>
      <c r="Q34" s="26">
        <f t="shared" si="1"/>
        <v>0</v>
      </c>
      <c r="R34" s="25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/>
      <c r="B35" s="28"/>
      <c r="C35" s="18"/>
      <c r="D35" s="19"/>
      <c r="E35" s="20"/>
      <c r="F35" s="23"/>
      <c r="G35" s="22"/>
      <c r="H35" s="29"/>
      <c r="I35" s="21"/>
      <c r="J35" s="23"/>
      <c r="K35" s="37"/>
      <c r="L35" s="22"/>
      <c r="M35" s="29"/>
      <c r="N35" s="22"/>
      <c r="O35" s="29"/>
      <c r="P35" s="25"/>
      <c r="Q35" s="26">
        <f t="shared" si="1"/>
        <v>0</v>
      </c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/>
      <c r="B36" s="28"/>
      <c r="C36" s="18"/>
      <c r="D36" s="19"/>
      <c r="E36" s="20"/>
      <c r="F36" s="23"/>
      <c r="G36" s="22"/>
      <c r="H36" s="29"/>
      <c r="I36" s="23"/>
      <c r="J36" s="23"/>
      <c r="K36" s="24"/>
      <c r="L36" s="22"/>
      <c r="M36" s="22"/>
      <c r="N36" s="22"/>
      <c r="O36" s="22"/>
      <c r="P36" s="25"/>
      <c r="Q36" s="26">
        <f t="shared" si="1"/>
        <v>0</v>
      </c>
      <c r="R36" s="50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7.5" customHeight="1">
      <c r="A37" s="16"/>
      <c r="B37" s="51"/>
      <c r="C37" s="52"/>
      <c r="D37" s="53" t="s">
        <v>149</v>
      </c>
      <c r="E37" s="54"/>
      <c r="F37" s="55">
        <f t="shared" ref="F37:P37" si="2">SUM(F5:F36)</f>
        <v>0</v>
      </c>
      <c r="G37" s="55">
        <f t="shared" si="2"/>
        <v>0</v>
      </c>
      <c r="H37" s="55">
        <f t="shared" si="2"/>
        <v>27950</v>
      </c>
      <c r="I37" s="55">
        <f t="shared" si="2"/>
        <v>123779</v>
      </c>
      <c r="J37" s="55">
        <f t="shared" si="2"/>
        <v>26663</v>
      </c>
      <c r="K37" s="55">
        <f t="shared" si="2"/>
        <v>10513.5</v>
      </c>
      <c r="L37" s="55">
        <f t="shared" si="2"/>
        <v>0</v>
      </c>
      <c r="M37" s="55">
        <f t="shared" si="2"/>
        <v>3600</v>
      </c>
      <c r="N37" s="55">
        <f t="shared" si="2"/>
        <v>0</v>
      </c>
      <c r="O37" s="55">
        <f t="shared" si="2"/>
        <v>11107.5</v>
      </c>
      <c r="P37" s="55">
        <f t="shared" si="2"/>
        <v>203613</v>
      </c>
      <c r="Q37" s="56">
        <v>0.0</v>
      </c>
      <c r="R37" s="57"/>
      <c r="S37" s="27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58.5" customHeight="1">
      <c r="A38" s="58"/>
      <c r="B38" s="58"/>
      <c r="C38" s="59"/>
      <c r="D38" s="58"/>
      <c r="E38" s="58"/>
      <c r="F38" s="60">
        <f>F37+G37+H37+I37+J37+K37+L37+M37+N37+O37</f>
        <v>203613</v>
      </c>
      <c r="P38" s="61"/>
      <c r="Q38" s="61"/>
      <c r="R38" s="58"/>
      <c r="S38" s="58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15.75" customHeight="1">
      <c r="A39" s="4"/>
      <c r="B39" s="4"/>
      <c r="C39" s="6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3" t="s">
        <v>149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4" t="s">
        <v>150</v>
      </c>
      <c r="F42" s="65" t="s">
        <v>809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152</v>
      </c>
      <c r="F43" s="65" t="s">
        <v>810</v>
      </c>
      <c r="G43" s="4"/>
      <c r="H43" s="4"/>
      <c r="I43" s="4"/>
      <c r="J43" s="4"/>
      <c r="K43" s="4"/>
      <c r="L43" s="4"/>
      <c r="M43" s="4"/>
      <c r="N43" s="4"/>
      <c r="O43" s="67" t="s">
        <v>149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154</v>
      </c>
      <c r="F44" s="65" t="s">
        <v>155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156</v>
      </c>
      <c r="F45" s="65" t="s">
        <v>155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157</v>
      </c>
      <c r="F46" s="65" t="s">
        <v>809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811</v>
      </c>
      <c r="F47" s="65" t="s">
        <v>155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160</v>
      </c>
      <c r="F48" s="65" t="s">
        <v>155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161</v>
      </c>
      <c r="F49" s="68" t="s">
        <v>162</v>
      </c>
      <c r="G49" s="4"/>
      <c r="H49" s="4"/>
      <c r="I49" s="4"/>
      <c r="J49" s="4"/>
      <c r="K49" s="4"/>
      <c r="L49" s="4"/>
      <c r="M49" s="69" t="s">
        <v>812</v>
      </c>
      <c r="N49" s="4"/>
      <c r="O49" s="4"/>
      <c r="P49" s="4"/>
      <c r="Q49" s="4"/>
      <c r="R49" s="4"/>
      <c r="S49" s="4"/>
      <c r="T49" s="4"/>
      <c r="U49" s="67" t="s">
        <v>149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 t="str">
        <f>I72437</f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69"/>
      <c r="G57" s="4"/>
      <c r="H57" s="4"/>
      <c r="I57" s="67" t="s">
        <v>163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>
        <v>7.0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7">
    <mergeCell ref="R2:R4"/>
    <mergeCell ref="S2:S4"/>
    <mergeCell ref="F3:F4"/>
    <mergeCell ref="G3:H3"/>
    <mergeCell ref="I3:J3"/>
    <mergeCell ref="K3:K4"/>
    <mergeCell ref="F38:O3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813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45547.0</v>
      </c>
      <c r="C5" s="18" t="s">
        <v>814</v>
      </c>
      <c r="D5" s="19">
        <v>69554.0</v>
      </c>
      <c r="E5" s="20" t="s">
        <v>815</v>
      </c>
      <c r="F5" s="21"/>
      <c r="G5" s="29"/>
      <c r="H5" s="23"/>
      <c r="I5" s="37">
        <v>1250.0</v>
      </c>
      <c r="J5" s="37"/>
      <c r="K5" s="22"/>
      <c r="L5" s="22"/>
      <c r="M5" s="23"/>
      <c r="N5" s="22"/>
      <c r="O5" s="22"/>
      <c r="P5" s="25">
        <v>1250.0</v>
      </c>
      <c r="Q5" s="26">
        <f t="shared" ref="Q5:Q34" si="1">F5+G5+H5+I5+J5+K5+L5+M5+N5+O5-P5</f>
        <v>0</v>
      </c>
      <c r="R5" s="25" t="s">
        <v>30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45548.0</v>
      </c>
      <c r="C6" s="18" t="s">
        <v>816</v>
      </c>
      <c r="D6" s="19">
        <v>79991.0</v>
      </c>
      <c r="E6" s="20" t="s">
        <v>817</v>
      </c>
      <c r="F6" s="23"/>
      <c r="G6" s="22"/>
      <c r="H6" s="22"/>
      <c r="I6" s="21"/>
      <c r="J6" s="29">
        <v>14000.0</v>
      </c>
      <c r="K6" s="29"/>
      <c r="L6" s="22"/>
      <c r="M6" s="21"/>
      <c r="N6" s="22"/>
      <c r="O6" s="22"/>
      <c r="P6" s="25">
        <v>14000.0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45548.0</v>
      </c>
      <c r="C7" s="18" t="s">
        <v>818</v>
      </c>
      <c r="D7" s="19">
        <v>81836.0</v>
      </c>
      <c r="E7" s="20" t="s">
        <v>819</v>
      </c>
      <c r="F7" s="22"/>
      <c r="G7" s="22"/>
      <c r="H7" s="23"/>
      <c r="I7" s="21"/>
      <c r="J7" s="37">
        <v>9500.0</v>
      </c>
      <c r="K7" s="29"/>
      <c r="L7" s="22"/>
      <c r="M7" s="22"/>
      <c r="N7" s="22"/>
      <c r="O7" s="22"/>
      <c r="P7" s="25">
        <v>9500.0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45548.0</v>
      </c>
      <c r="C8" s="18" t="s">
        <v>820</v>
      </c>
      <c r="D8" s="19">
        <v>71269.0</v>
      </c>
      <c r="E8" s="20" t="s">
        <v>821</v>
      </c>
      <c r="F8" s="22"/>
      <c r="G8" s="22"/>
      <c r="H8" s="22"/>
      <c r="I8" s="21">
        <v>4500.0</v>
      </c>
      <c r="J8" s="21"/>
      <c r="K8" s="29"/>
      <c r="L8" s="22"/>
      <c r="M8" s="22"/>
      <c r="N8" s="22"/>
      <c r="O8" s="22"/>
      <c r="P8" s="25">
        <v>4500.0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45548.0</v>
      </c>
      <c r="C9" s="18" t="s">
        <v>822</v>
      </c>
      <c r="D9" s="19">
        <v>66932.0</v>
      </c>
      <c r="E9" s="20" t="s">
        <v>823</v>
      </c>
      <c r="F9" s="22"/>
      <c r="G9" s="22"/>
      <c r="H9" s="22"/>
      <c r="I9" s="21">
        <v>10840.0</v>
      </c>
      <c r="J9" s="21"/>
      <c r="K9" s="22"/>
      <c r="L9" s="22"/>
      <c r="M9" s="23"/>
      <c r="N9" s="22"/>
      <c r="O9" s="22"/>
      <c r="P9" s="25">
        <v>10840.0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45548.0</v>
      </c>
      <c r="C10" s="18" t="s">
        <v>824</v>
      </c>
      <c r="D10" s="19">
        <v>48631.0</v>
      </c>
      <c r="E10" s="20" t="s">
        <v>116</v>
      </c>
      <c r="F10" s="22"/>
      <c r="G10" s="22"/>
      <c r="H10" s="22"/>
      <c r="I10" s="21"/>
      <c r="J10" s="21"/>
      <c r="K10" s="29">
        <v>1250.0</v>
      </c>
      <c r="L10" s="22"/>
      <c r="M10" s="23"/>
      <c r="N10" s="22"/>
      <c r="O10" s="22"/>
      <c r="P10" s="25">
        <v>1250.0</v>
      </c>
      <c r="Q10" s="26">
        <f t="shared" si="1"/>
        <v>0</v>
      </c>
      <c r="R10" s="25" t="s">
        <v>33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45548.0</v>
      </c>
      <c r="C11" s="18" t="s">
        <v>825</v>
      </c>
      <c r="D11" s="19">
        <v>84823.0</v>
      </c>
      <c r="E11" s="20" t="s">
        <v>826</v>
      </c>
      <c r="F11" s="22"/>
      <c r="G11" s="22"/>
      <c r="H11" s="29"/>
      <c r="I11" s="21"/>
      <c r="J11" s="21">
        <v>7300.0</v>
      </c>
      <c r="K11" s="29"/>
      <c r="L11" s="22"/>
      <c r="M11" s="23"/>
      <c r="N11" s="22"/>
      <c r="O11" s="22"/>
      <c r="P11" s="25">
        <v>7300.0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45548.0</v>
      </c>
      <c r="C12" s="18" t="s">
        <v>827</v>
      </c>
      <c r="D12" s="19">
        <v>48854.0</v>
      </c>
      <c r="E12" s="20" t="s">
        <v>588</v>
      </c>
      <c r="F12" s="22"/>
      <c r="G12" s="22"/>
      <c r="H12" s="29"/>
      <c r="I12" s="21"/>
      <c r="J12" s="21">
        <v>4500.0</v>
      </c>
      <c r="K12" s="22"/>
      <c r="L12" s="22"/>
      <c r="M12" s="23"/>
      <c r="N12" s="22"/>
      <c r="O12" s="22"/>
      <c r="P12" s="25">
        <v>4500.0</v>
      </c>
      <c r="Q12" s="26">
        <f t="shared" si="1"/>
        <v>0</v>
      </c>
      <c r="R12" s="25" t="s">
        <v>36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45548.0</v>
      </c>
      <c r="C13" s="32" t="s">
        <v>828</v>
      </c>
      <c r="D13" s="33">
        <v>57355.0</v>
      </c>
      <c r="E13" s="34" t="s">
        <v>829</v>
      </c>
      <c r="F13" s="22"/>
      <c r="G13" s="22"/>
      <c r="H13" s="22"/>
      <c r="I13" s="21"/>
      <c r="J13" s="21">
        <v>2650.0</v>
      </c>
      <c r="K13" s="22"/>
      <c r="L13" s="22"/>
      <c r="M13" s="23"/>
      <c r="N13" s="22"/>
      <c r="O13" s="22"/>
      <c r="P13" s="35">
        <v>2650.0</v>
      </c>
      <c r="Q13" s="26">
        <f t="shared" si="1"/>
        <v>0</v>
      </c>
      <c r="R13" s="35" t="s">
        <v>36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45548.0</v>
      </c>
      <c r="C14" s="18" t="s">
        <v>830</v>
      </c>
      <c r="D14" s="19">
        <v>51939.0</v>
      </c>
      <c r="E14" s="20" t="s">
        <v>305</v>
      </c>
      <c r="F14" s="22"/>
      <c r="G14" s="22"/>
      <c r="H14" s="22"/>
      <c r="I14" s="21">
        <v>5000.0</v>
      </c>
      <c r="J14" s="21"/>
      <c r="K14" s="22"/>
      <c r="L14" s="22"/>
      <c r="M14" s="23"/>
      <c r="N14" s="22"/>
      <c r="O14" s="22"/>
      <c r="P14" s="25">
        <v>5000.0</v>
      </c>
      <c r="Q14" s="26">
        <f t="shared" si="1"/>
        <v>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45548.0</v>
      </c>
      <c r="C15" s="18" t="s">
        <v>831</v>
      </c>
      <c r="D15" s="19">
        <v>59627.0</v>
      </c>
      <c r="E15" s="20" t="s">
        <v>832</v>
      </c>
      <c r="F15" s="22"/>
      <c r="G15" s="22"/>
      <c r="H15" s="22"/>
      <c r="I15" s="21">
        <v>4650.0</v>
      </c>
      <c r="J15" s="23"/>
      <c r="K15" s="22"/>
      <c r="L15" s="22"/>
      <c r="M15" s="23"/>
      <c r="N15" s="22"/>
      <c r="O15" s="22"/>
      <c r="P15" s="25">
        <v>4650.0</v>
      </c>
      <c r="Q15" s="26">
        <f t="shared" si="1"/>
        <v>0</v>
      </c>
      <c r="R15" s="25" t="s">
        <v>36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45548.0</v>
      </c>
      <c r="C16" s="18" t="s">
        <v>833</v>
      </c>
      <c r="D16" s="19">
        <v>72414.0</v>
      </c>
      <c r="E16" s="20" t="s">
        <v>834</v>
      </c>
      <c r="F16" s="22"/>
      <c r="G16" s="22"/>
      <c r="H16" s="22"/>
      <c r="I16" s="21"/>
      <c r="J16" s="21">
        <v>2650.0</v>
      </c>
      <c r="K16" s="22"/>
      <c r="L16" s="22"/>
      <c r="M16" s="23"/>
      <c r="N16" s="22"/>
      <c r="O16" s="22"/>
      <c r="P16" s="25">
        <v>2650.0</v>
      </c>
      <c r="Q16" s="26">
        <f t="shared" si="1"/>
        <v>0</v>
      </c>
      <c r="R16" s="25" t="s">
        <v>30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45548.0</v>
      </c>
      <c r="C17" s="18" t="s">
        <v>835</v>
      </c>
      <c r="D17" s="19">
        <v>60011.0</v>
      </c>
      <c r="E17" s="20" t="s">
        <v>836</v>
      </c>
      <c r="F17" s="22"/>
      <c r="G17" s="22"/>
      <c r="H17" s="22"/>
      <c r="I17" s="21">
        <v>20000.0</v>
      </c>
      <c r="J17" s="21"/>
      <c r="K17" s="29">
        <v>30000.0</v>
      </c>
      <c r="L17" s="22"/>
      <c r="M17" s="23"/>
      <c r="N17" s="22"/>
      <c r="O17" s="22"/>
      <c r="P17" s="25">
        <v>50000.0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45548.0</v>
      </c>
      <c r="C18" s="18" t="s">
        <v>837</v>
      </c>
      <c r="D18" s="19">
        <v>49831.0</v>
      </c>
      <c r="E18" s="20" t="s">
        <v>838</v>
      </c>
      <c r="F18" s="22"/>
      <c r="G18" s="22"/>
      <c r="H18" s="22"/>
      <c r="I18" s="21"/>
      <c r="J18" s="21">
        <v>2650.0</v>
      </c>
      <c r="K18" s="29"/>
      <c r="L18" s="22"/>
      <c r="M18" s="22"/>
      <c r="N18" s="22"/>
      <c r="O18" s="22"/>
      <c r="P18" s="25">
        <v>2650.0</v>
      </c>
      <c r="Q18" s="26">
        <f t="shared" si="1"/>
        <v>0</v>
      </c>
      <c r="R18" s="25" t="s">
        <v>36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45548.0</v>
      </c>
      <c r="C19" s="32" t="s">
        <v>839</v>
      </c>
      <c r="D19" s="33">
        <v>48854.0</v>
      </c>
      <c r="E19" s="34" t="s">
        <v>588</v>
      </c>
      <c r="F19" s="22"/>
      <c r="G19" s="22"/>
      <c r="H19" s="22"/>
      <c r="I19" s="21">
        <v>9500.0</v>
      </c>
      <c r="J19" s="21"/>
      <c r="K19" s="22"/>
      <c r="L19" s="22"/>
      <c r="M19" s="23"/>
      <c r="N19" s="22"/>
      <c r="O19" s="22"/>
      <c r="P19" s="35">
        <v>9500.0</v>
      </c>
      <c r="Q19" s="26">
        <f t="shared" si="1"/>
        <v>0</v>
      </c>
      <c r="R19" s="35" t="s">
        <v>25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45548.0</v>
      </c>
      <c r="C20" s="18" t="s">
        <v>840</v>
      </c>
      <c r="D20" s="19">
        <v>76396.0</v>
      </c>
      <c r="E20" s="20" t="s">
        <v>841</v>
      </c>
      <c r="F20" s="22"/>
      <c r="G20" s="22"/>
      <c r="H20" s="22"/>
      <c r="I20" s="37">
        <v>2500.0</v>
      </c>
      <c r="J20" s="37"/>
      <c r="K20" s="22"/>
      <c r="L20" s="22"/>
      <c r="M20" s="22"/>
      <c r="N20" s="22"/>
      <c r="O20" s="22"/>
      <c r="P20" s="25">
        <v>2500.0</v>
      </c>
      <c r="Q20" s="26">
        <f t="shared" si="1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45548.0</v>
      </c>
      <c r="C21" s="18" t="s">
        <v>842</v>
      </c>
      <c r="D21" s="19">
        <v>32700.0</v>
      </c>
      <c r="E21" s="20" t="s">
        <v>843</v>
      </c>
      <c r="F21" s="23"/>
      <c r="G21" s="22"/>
      <c r="H21" s="22"/>
      <c r="I21" s="45"/>
      <c r="J21" s="29">
        <v>10000.0</v>
      </c>
      <c r="K21" s="39"/>
      <c r="L21" s="22"/>
      <c r="M21" s="22"/>
      <c r="N21" s="22"/>
      <c r="O21" s="22"/>
      <c r="P21" s="25">
        <v>10000.0</v>
      </c>
      <c r="Q21" s="26">
        <f t="shared" si="1"/>
        <v>0</v>
      </c>
      <c r="R21" s="25" t="s">
        <v>36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45548.0</v>
      </c>
      <c r="C22" s="18" t="s">
        <v>844</v>
      </c>
      <c r="D22" s="19">
        <v>84824.0</v>
      </c>
      <c r="E22" s="20" t="s">
        <v>845</v>
      </c>
      <c r="F22" s="23"/>
      <c r="G22" s="22"/>
      <c r="H22" s="22"/>
      <c r="I22" s="21">
        <v>300.0</v>
      </c>
      <c r="J22" s="29"/>
      <c r="K22" s="23"/>
      <c r="L22" s="22"/>
      <c r="M22" s="22"/>
      <c r="N22" s="22"/>
      <c r="O22" s="22"/>
      <c r="P22" s="25">
        <v>300.0</v>
      </c>
      <c r="Q22" s="26">
        <f t="shared" si="1"/>
        <v>0</v>
      </c>
      <c r="R22" s="25" t="s">
        <v>36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45548.0</v>
      </c>
      <c r="C23" s="41" t="s">
        <v>846</v>
      </c>
      <c r="D23" s="42">
        <v>43955.0</v>
      </c>
      <c r="E23" s="43" t="s">
        <v>268</v>
      </c>
      <c r="F23" s="38"/>
      <c r="G23" s="44"/>
      <c r="H23" s="44"/>
      <c r="I23" s="45">
        <v>1450.0</v>
      </c>
      <c r="J23" s="45"/>
      <c r="K23" s="46"/>
      <c r="L23" s="44"/>
      <c r="M23" s="44"/>
      <c r="N23" s="44"/>
      <c r="O23" s="44"/>
      <c r="P23" s="47">
        <v>1450.0</v>
      </c>
      <c r="Q23" s="26">
        <f t="shared" si="1"/>
        <v>0</v>
      </c>
      <c r="R23" s="47" t="s">
        <v>36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45548.0</v>
      </c>
      <c r="C24" s="18" t="s">
        <v>847</v>
      </c>
      <c r="D24" s="19">
        <v>31927.0</v>
      </c>
      <c r="E24" s="20" t="s">
        <v>136</v>
      </c>
      <c r="F24" s="23"/>
      <c r="G24" s="22"/>
      <c r="H24" s="22"/>
      <c r="I24" s="21">
        <v>4500.0</v>
      </c>
      <c r="J24" s="29"/>
      <c r="K24" s="39"/>
      <c r="L24" s="22"/>
      <c r="M24" s="22"/>
      <c r="N24" s="22"/>
      <c r="O24" s="22"/>
      <c r="P24" s="25">
        <v>4500.0</v>
      </c>
      <c r="Q24" s="26">
        <f t="shared" si="1"/>
        <v>0</v>
      </c>
      <c r="R24" s="25" t="s">
        <v>30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45548.0</v>
      </c>
      <c r="C25" s="18" t="s">
        <v>848</v>
      </c>
      <c r="D25" s="19">
        <v>82268.0</v>
      </c>
      <c r="E25" s="20" t="s">
        <v>849</v>
      </c>
      <c r="F25" s="23"/>
      <c r="G25" s="22"/>
      <c r="H25" s="29"/>
      <c r="I25" s="21">
        <v>9000.0</v>
      </c>
      <c r="J25" s="21"/>
      <c r="K25" s="49"/>
      <c r="L25" s="22"/>
      <c r="M25" s="22"/>
      <c r="N25" s="22"/>
      <c r="O25" s="22"/>
      <c r="P25" s="25">
        <v>9000.0</v>
      </c>
      <c r="Q25" s="26">
        <f t="shared" si="1"/>
        <v>0</v>
      </c>
      <c r="R25" s="25" t="s">
        <v>30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45548.0</v>
      </c>
      <c r="C26" s="18" t="s">
        <v>850</v>
      </c>
      <c r="D26" s="19">
        <v>51512.0</v>
      </c>
      <c r="E26" s="20" t="s">
        <v>366</v>
      </c>
      <c r="F26" s="23"/>
      <c r="G26" s="22"/>
      <c r="H26" s="29"/>
      <c r="I26" s="21"/>
      <c r="J26" s="21">
        <v>5600.0</v>
      </c>
      <c r="K26" s="24"/>
      <c r="L26" s="22"/>
      <c r="M26" s="29"/>
      <c r="N26" s="22"/>
      <c r="O26" s="22"/>
      <c r="P26" s="25">
        <v>5600.0</v>
      </c>
      <c r="Q26" s="26">
        <f t="shared" si="1"/>
        <v>0</v>
      </c>
      <c r="R26" s="25" t="s">
        <v>30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45548.0</v>
      </c>
      <c r="C27" s="18" t="s">
        <v>851</v>
      </c>
      <c r="D27" s="19">
        <v>52083.0</v>
      </c>
      <c r="E27" s="20" t="s">
        <v>71</v>
      </c>
      <c r="F27" s="23"/>
      <c r="G27" s="22"/>
      <c r="H27" s="22"/>
      <c r="I27" s="21">
        <v>3500.0</v>
      </c>
      <c r="J27" s="21"/>
      <c r="K27" s="37"/>
      <c r="L27" s="22"/>
      <c r="M27" s="29"/>
      <c r="N27" s="22"/>
      <c r="O27" s="29"/>
      <c r="P27" s="25">
        <v>3500.0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45548.0</v>
      </c>
      <c r="C28" s="18" t="s">
        <v>852</v>
      </c>
      <c r="D28" s="19">
        <v>37078.0</v>
      </c>
      <c r="E28" s="20" t="s">
        <v>853</v>
      </c>
      <c r="F28" s="23"/>
      <c r="G28" s="22"/>
      <c r="H28" s="22"/>
      <c r="I28" s="21">
        <v>1350.0</v>
      </c>
      <c r="J28" s="21"/>
      <c r="K28" s="37"/>
      <c r="L28" s="22"/>
      <c r="M28" s="29"/>
      <c r="N28" s="22"/>
      <c r="O28" s="29"/>
      <c r="P28" s="25">
        <v>1350.0</v>
      </c>
      <c r="Q28" s="26">
        <f t="shared" si="1"/>
        <v>0</v>
      </c>
      <c r="R28" s="25" t="s">
        <v>25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45548.0</v>
      </c>
      <c r="C29" s="18" t="s">
        <v>854</v>
      </c>
      <c r="D29" s="19">
        <v>81248.0</v>
      </c>
      <c r="E29" s="20" t="s">
        <v>855</v>
      </c>
      <c r="F29" s="23"/>
      <c r="G29" s="22"/>
      <c r="H29" s="22"/>
      <c r="I29" s="21"/>
      <c r="J29" s="21"/>
      <c r="K29" s="24"/>
      <c r="L29" s="22"/>
      <c r="M29" s="29">
        <v>1400.0</v>
      </c>
      <c r="N29" s="22"/>
      <c r="O29" s="29"/>
      <c r="P29" s="25">
        <v>1400.0</v>
      </c>
      <c r="Q29" s="26">
        <f t="shared" si="1"/>
        <v>0</v>
      </c>
      <c r="R29" s="25" t="s">
        <v>25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45548.0</v>
      </c>
      <c r="C30" s="18" t="s">
        <v>856</v>
      </c>
      <c r="D30" s="19">
        <v>32886.0</v>
      </c>
      <c r="E30" s="20" t="s">
        <v>857</v>
      </c>
      <c r="F30" s="23"/>
      <c r="G30" s="22"/>
      <c r="H30" s="29"/>
      <c r="I30" s="21">
        <v>4350.0</v>
      </c>
      <c r="J30" s="21"/>
      <c r="K30" s="24"/>
      <c r="L30" s="22"/>
      <c r="M30" s="29"/>
      <c r="N30" s="22"/>
      <c r="O30" s="22"/>
      <c r="P30" s="25">
        <v>4350.0</v>
      </c>
      <c r="Q30" s="26">
        <f t="shared" si="1"/>
        <v>0</v>
      </c>
      <c r="R30" s="25" t="s">
        <v>25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45548.0</v>
      </c>
      <c r="C31" s="18" t="s">
        <v>858</v>
      </c>
      <c r="D31" s="19">
        <v>52247.0</v>
      </c>
      <c r="E31" s="20" t="s">
        <v>397</v>
      </c>
      <c r="F31" s="23"/>
      <c r="G31" s="22"/>
      <c r="H31" s="29"/>
      <c r="I31" s="21">
        <v>1600.0</v>
      </c>
      <c r="J31" s="21"/>
      <c r="K31" s="24"/>
      <c r="L31" s="22"/>
      <c r="M31" s="29"/>
      <c r="N31" s="22"/>
      <c r="O31" s="22"/>
      <c r="P31" s="25">
        <v>1600.0</v>
      </c>
      <c r="Q31" s="26">
        <f t="shared" si="1"/>
        <v>0</v>
      </c>
      <c r="R31" s="25" t="s">
        <v>25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45548.0</v>
      </c>
      <c r="C32" s="18" t="s">
        <v>859</v>
      </c>
      <c r="D32" s="19">
        <v>21818.0</v>
      </c>
      <c r="E32" s="20" t="s">
        <v>103</v>
      </c>
      <c r="F32" s="23"/>
      <c r="G32" s="22"/>
      <c r="H32" s="22"/>
      <c r="I32" s="21"/>
      <c r="J32" s="21"/>
      <c r="K32" s="37">
        <v>700.0</v>
      </c>
      <c r="L32" s="22"/>
      <c r="M32" s="29"/>
      <c r="N32" s="22"/>
      <c r="O32" s="29"/>
      <c r="P32" s="25">
        <v>700.0</v>
      </c>
      <c r="Q32" s="26">
        <f t="shared" si="1"/>
        <v>0</v>
      </c>
      <c r="R32" s="25" t="s">
        <v>36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45548.0</v>
      </c>
      <c r="C33" s="18" t="s">
        <v>860</v>
      </c>
      <c r="D33" s="19">
        <v>59812.0</v>
      </c>
      <c r="E33" s="20" t="s">
        <v>861</v>
      </c>
      <c r="F33" s="23"/>
      <c r="G33" s="22"/>
      <c r="H33" s="22"/>
      <c r="I33" s="21">
        <v>7650.0</v>
      </c>
      <c r="J33" s="21"/>
      <c r="K33" s="37"/>
      <c r="L33" s="22"/>
      <c r="M33" s="29"/>
      <c r="N33" s="22"/>
      <c r="O33" s="29"/>
      <c r="P33" s="25">
        <v>7650.0</v>
      </c>
      <c r="Q33" s="26">
        <f t="shared" si="1"/>
        <v>0</v>
      </c>
      <c r="R33" s="25" t="s">
        <v>36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45548.0</v>
      </c>
      <c r="C34" s="18" t="s">
        <v>862</v>
      </c>
      <c r="D34" s="19">
        <v>78620.0</v>
      </c>
      <c r="E34" s="20" t="s">
        <v>863</v>
      </c>
      <c r="F34" s="23"/>
      <c r="G34" s="22"/>
      <c r="H34" s="29"/>
      <c r="I34" s="21">
        <v>2650.0</v>
      </c>
      <c r="J34" s="21"/>
      <c r="K34" s="37"/>
      <c r="L34" s="22"/>
      <c r="M34" s="29"/>
      <c r="N34" s="22"/>
      <c r="O34" s="22"/>
      <c r="P34" s="25">
        <v>2650.0</v>
      </c>
      <c r="Q34" s="26">
        <f t="shared" si="1"/>
        <v>0</v>
      </c>
      <c r="R34" s="25" t="s">
        <v>36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45548.0</v>
      </c>
      <c r="C35" s="18" t="s">
        <v>864</v>
      </c>
      <c r="D35" s="19">
        <v>21821.0</v>
      </c>
      <c r="E35" s="20" t="s">
        <v>747</v>
      </c>
      <c r="F35" s="23"/>
      <c r="G35" s="22"/>
      <c r="H35" s="29"/>
      <c r="I35" s="21"/>
      <c r="J35" s="23"/>
      <c r="K35" s="37">
        <v>98550.0</v>
      </c>
      <c r="L35" s="22"/>
      <c r="M35" s="29"/>
      <c r="N35" s="22"/>
      <c r="O35" s="29"/>
      <c r="P35" s="25">
        <v>98550.0</v>
      </c>
      <c r="Q35" s="26"/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45548.0</v>
      </c>
      <c r="C36" s="18" t="s">
        <v>865</v>
      </c>
      <c r="D36" s="19">
        <v>83997.0</v>
      </c>
      <c r="E36" s="20" t="s">
        <v>866</v>
      </c>
      <c r="F36" s="23"/>
      <c r="G36" s="22"/>
      <c r="H36" s="29"/>
      <c r="I36" s="21">
        <v>43.0</v>
      </c>
      <c r="J36" s="23"/>
      <c r="K36" s="37">
        <v>36057.0</v>
      </c>
      <c r="L36" s="22"/>
      <c r="M36" s="29"/>
      <c r="N36" s="22"/>
      <c r="O36" s="29"/>
      <c r="P36" s="25">
        <v>36100.0</v>
      </c>
      <c r="Q36" s="26"/>
      <c r="R36" s="25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45547.0</v>
      </c>
      <c r="C37" s="18" t="s">
        <v>867</v>
      </c>
      <c r="D37" s="19">
        <v>51017.0</v>
      </c>
      <c r="E37" s="20" t="s">
        <v>241</v>
      </c>
      <c r="F37" s="23"/>
      <c r="G37" s="22"/>
      <c r="H37" s="29">
        <v>32000.0</v>
      </c>
      <c r="I37" s="21"/>
      <c r="J37" s="23"/>
      <c r="K37" s="37"/>
      <c r="L37" s="22"/>
      <c r="M37" s="29"/>
      <c r="N37" s="22"/>
      <c r="O37" s="29"/>
      <c r="P37" s="25">
        <v>32000.0</v>
      </c>
      <c r="Q37" s="26"/>
      <c r="R37" s="25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45548.0</v>
      </c>
      <c r="C38" s="18" t="s">
        <v>868</v>
      </c>
      <c r="D38" s="19">
        <v>78090.0</v>
      </c>
      <c r="E38" s="20" t="s">
        <v>869</v>
      </c>
      <c r="F38" s="23"/>
      <c r="G38" s="22"/>
      <c r="H38" s="29"/>
      <c r="I38" s="21"/>
      <c r="J38" s="23"/>
      <c r="K38" s="37"/>
      <c r="L38" s="22"/>
      <c r="M38" s="29">
        <v>5150.0</v>
      </c>
      <c r="N38" s="22"/>
      <c r="O38" s="29"/>
      <c r="P38" s="25">
        <v>5150.0</v>
      </c>
      <c r="Q38" s="26"/>
      <c r="R38" s="25"/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45548.0</v>
      </c>
      <c r="C39" s="18" t="s">
        <v>870</v>
      </c>
      <c r="D39" s="19">
        <v>50148.0</v>
      </c>
      <c r="E39" s="20" t="s">
        <v>461</v>
      </c>
      <c r="F39" s="23"/>
      <c r="G39" s="22"/>
      <c r="H39" s="29"/>
      <c r="I39" s="21"/>
      <c r="J39" s="23"/>
      <c r="K39" s="37">
        <v>10000.0</v>
      </c>
      <c r="L39" s="22"/>
      <c r="M39" s="29" t="s">
        <v>871</v>
      </c>
      <c r="N39" s="22"/>
      <c r="O39" s="29"/>
      <c r="P39" s="25">
        <v>10000.0</v>
      </c>
      <c r="Q39" s="26"/>
      <c r="R39" s="25"/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45548.0</v>
      </c>
      <c r="C40" s="18" t="s">
        <v>872</v>
      </c>
      <c r="D40" s="19">
        <v>49217.0</v>
      </c>
      <c r="E40" s="20" t="s">
        <v>873</v>
      </c>
      <c r="F40" s="23"/>
      <c r="G40" s="22"/>
      <c r="H40" s="29"/>
      <c r="I40" s="21"/>
      <c r="J40" s="23"/>
      <c r="K40" s="37">
        <v>200.0</v>
      </c>
      <c r="L40" s="22"/>
      <c r="M40" s="29"/>
      <c r="N40" s="22"/>
      <c r="O40" s="29">
        <v>1000.0</v>
      </c>
      <c r="P40" s="25">
        <v>1200.0</v>
      </c>
      <c r="Q40" s="26"/>
      <c r="R40" s="25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45548.0</v>
      </c>
      <c r="C41" s="18" t="s">
        <v>874</v>
      </c>
      <c r="D41" s="19">
        <v>57328.0</v>
      </c>
      <c r="E41" s="20" t="s">
        <v>541</v>
      </c>
      <c r="F41" s="23"/>
      <c r="G41" s="22"/>
      <c r="H41" s="29">
        <v>2500.0</v>
      </c>
      <c r="I41" s="21"/>
      <c r="J41" s="23"/>
      <c r="K41" s="37"/>
      <c r="L41" s="22"/>
      <c r="M41" s="29"/>
      <c r="N41" s="22"/>
      <c r="O41" s="29"/>
      <c r="P41" s="25">
        <v>2500.0</v>
      </c>
      <c r="Q41" s="26"/>
      <c r="R41" s="25"/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/>
      <c r="B42" s="28"/>
      <c r="C42" s="18"/>
      <c r="D42" s="19"/>
      <c r="E42" s="20"/>
      <c r="F42" s="23"/>
      <c r="G42" s="22"/>
      <c r="H42" s="29"/>
      <c r="I42" s="21"/>
      <c r="J42" s="23"/>
      <c r="K42" s="37"/>
      <c r="L42" s="22"/>
      <c r="M42" s="29"/>
      <c r="N42" s="22"/>
      <c r="O42" s="29"/>
      <c r="P42" s="25"/>
      <c r="Q42" s="26"/>
      <c r="R42" s="25"/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/>
      <c r="B43" s="28"/>
      <c r="C43" s="18"/>
      <c r="D43" s="19"/>
      <c r="E43" s="20"/>
      <c r="F43" s="23"/>
      <c r="G43" s="22"/>
      <c r="H43" s="29"/>
      <c r="I43" s="21"/>
      <c r="J43" s="23"/>
      <c r="K43" s="37"/>
      <c r="L43" s="22"/>
      <c r="M43" s="29"/>
      <c r="N43" s="22"/>
      <c r="O43" s="29"/>
      <c r="P43" s="25"/>
      <c r="Q43" s="26"/>
      <c r="R43" s="25"/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/>
      <c r="B44" s="28"/>
      <c r="C44" s="18"/>
      <c r="D44" s="19"/>
      <c r="E44" s="20"/>
      <c r="F44" s="23"/>
      <c r="G44" s="22"/>
      <c r="H44" s="29"/>
      <c r="I44" s="21"/>
      <c r="J44" s="23"/>
      <c r="K44" s="37"/>
      <c r="L44" s="22"/>
      <c r="M44" s="29"/>
      <c r="N44" s="22"/>
      <c r="O44" s="29"/>
      <c r="P44" s="25"/>
      <c r="Q44" s="26"/>
      <c r="R44" s="25"/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7.5" customHeight="1">
      <c r="A45" s="16"/>
      <c r="B45" s="28"/>
      <c r="C45" s="18"/>
      <c r="D45" s="19"/>
      <c r="E45" s="20"/>
      <c r="F45" s="55">
        <f t="shared" ref="F45:P45" si="2">SUM(F5:F44)</f>
        <v>0</v>
      </c>
      <c r="G45" s="55">
        <f t="shared" si="2"/>
        <v>0</v>
      </c>
      <c r="H45" s="55">
        <f t="shared" si="2"/>
        <v>34500</v>
      </c>
      <c r="I45" s="55">
        <f t="shared" si="2"/>
        <v>94633</v>
      </c>
      <c r="J45" s="55">
        <f t="shared" si="2"/>
        <v>58850</v>
      </c>
      <c r="K45" s="55">
        <f t="shared" si="2"/>
        <v>176757</v>
      </c>
      <c r="L45" s="55">
        <f t="shared" si="2"/>
        <v>0</v>
      </c>
      <c r="M45" s="55">
        <f t="shared" si="2"/>
        <v>6550</v>
      </c>
      <c r="N45" s="55">
        <f t="shared" si="2"/>
        <v>0</v>
      </c>
      <c r="O45" s="55">
        <f t="shared" si="2"/>
        <v>1000</v>
      </c>
      <c r="P45" s="55">
        <f t="shared" si="2"/>
        <v>372290</v>
      </c>
      <c r="Q45" s="56">
        <v>0.0</v>
      </c>
      <c r="R45" s="57"/>
      <c r="S45" s="27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58.5" customHeight="1">
      <c r="A46" s="58"/>
      <c r="B46" s="74"/>
      <c r="C46" s="75"/>
      <c r="D46" s="76"/>
      <c r="E46" s="76"/>
      <c r="F46" s="60">
        <f>F45+G45+H45+I45+J45+K45+L45+M45+N45+O45</f>
        <v>372290</v>
      </c>
      <c r="P46" s="61"/>
      <c r="Q46" s="61"/>
      <c r="R46" s="58"/>
      <c r="S46" s="58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</row>
    <row r="47" ht="15.75" customHeight="1">
      <c r="A47" s="4"/>
      <c r="B47" s="77"/>
      <c r="C47" s="78"/>
      <c r="D47" s="69"/>
      <c r="E47" s="6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77"/>
      <c r="C48" s="78"/>
      <c r="D48" s="69"/>
      <c r="E48" s="6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77"/>
      <c r="C49" s="79"/>
      <c r="D49" s="69"/>
      <c r="E49" s="6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64" t="s">
        <v>150</v>
      </c>
      <c r="F50" s="65" t="s">
        <v>254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66" t="s">
        <v>152</v>
      </c>
      <c r="F51" s="65" t="s">
        <v>254</v>
      </c>
      <c r="G51" s="4"/>
      <c r="H51" s="4"/>
      <c r="I51" s="4"/>
      <c r="J51" s="4"/>
      <c r="K51" s="4"/>
      <c r="L51" s="4"/>
      <c r="M51" s="4"/>
      <c r="N51" s="4"/>
      <c r="O51" s="67" t="s">
        <v>149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66" t="s">
        <v>154</v>
      </c>
      <c r="F52" s="65" t="s">
        <v>155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66" t="s">
        <v>156</v>
      </c>
      <c r="F53" s="65" t="s">
        <v>254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2"/>
      <c r="D54" s="4"/>
      <c r="E54" s="66" t="s">
        <v>157</v>
      </c>
      <c r="F54" s="65" t="s">
        <v>254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66" t="s">
        <v>875</v>
      </c>
      <c r="F55" s="65" t="s">
        <v>155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2"/>
      <c r="D56" s="4"/>
      <c r="E56" s="66" t="s">
        <v>160</v>
      </c>
      <c r="F56" s="65" t="s">
        <v>155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2"/>
      <c r="D57" s="4"/>
      <c r="E57" s="66" t="s">
        <v>161</v>
      </c>
      <c r="F57" s="68" t="s">
        <v>162</v>
      </c>
      <c r="G57" s="4"/>
      <c r="H57" s="4"/>
      <c r="I57" s="4"/>
      <c r="J57" s="4"/>
      <c r="K57" s="4"/>
      <c r="L57" s="4"/>
      <c r="M57" s="69" t="s">
        <v>812</v>
      </c>
      <c r="N57" s="4"/>
      <c r="O57" s="4"/>
      <c r="P57" s="4"/>
      <c r="Q57" s="4"/>
      <c r="R57" s="4"/>
      <c r="S57" s="4"/>
      <c r="T57" s="4"/>
      <c r="U57" s="67" t="s">
        <v>149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 t="str">
        <f>I72445</f>
        <v/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69"/>
      <c r="G65" s="4"/>
      <c r="H65" s="4"/>
      <c r="I65" s="67" t="s">
        <v>163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>
        <v>7.0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7">
    <mergeCell ref="R2:R4"/>
    <mergeCell ref="S2:S4"/>
    <mergeCell ref="F3:F4"/>
    <mergeCell ref="G3:H3"/>
    <mergeCell ref="I3:J3"/>
    <mergeCell ref="K3:K4"/>
    <mergeCell ref="F46:O4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876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3.0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0">
        <v>1.0</v>
      </c>
      <c r="B5" s="28">
        <v>45549.0</v>
      </c>
      <c r="C5" s="18" t="s">
        <v>877</v>
      </c>
      <c r="D5" s="19">
        <v>48854.0</v>
      </c>
      <c r="E5" s="20" t="s">
        <v>588</v>
      </c>
      <c r="F5" s="23"/>
      <c r="G5" s="22"/>
      <c r="H5" s="22"/>
      <c r="I5" s="21"/>
      <c r="J5" s="29">
        <v>9800.0</v>
      </c>
      <c r="K5" s="29"/>
      <c r="L5" s="22"/>
      <c r="M5" s="21"/>
      <c r="N5" s="22"/>
      <c r="O5" s="22"/>
      <c r="P5" s="19">
        <v>9800.0</v>
      </c>
      <c r="Q5" s="26">
        <f t="shared" ref="Q5:Q29" si="1">F5+G5+H5+I5+J5+K5+L5+M5+N5+O5-P5</f>
        <v>0</v>
      </c>
      <c r="R5" s="25" t="s">
        <v>43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0">
        <v>2.0</v>
      </c>
      <c r="B6" s="28">
        <v>45549.0</v>
      </c>
      <c r="C6" s="18" t="s">
        <v>878</v>
      </c>
      <c r="D6" s="19">
        <v>84826.0</v>
      </c>
      <c r="E6" s="20" t="s">
        <v>879</v>
      </c>
      <c r="F6" s="22"/>
      <c r="G6" s="22"/>
      <c r="H6" s="23"/>
      <c r="I6" s="21">
        <v>300.0</v>
      </c>
      <c r="J6" s="37"/>
      <c r="K6" s="29"/>
      <c r="L6" s="22"/>
      <c r="M6" s="22"/>
      <c r="N6" s="22"/>
      <c r="O6" s="22"/>
      <c r="P6" s="19">
        <v>300.0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0">
        <v>3.0</v>
      </c>
      <c r="B7" s="28">
        <v>45549.0</v>
      </c>
      <c r="C7" s="18" t="s">
        <v>880</v>
      </c>
      <c r="D7" s="19">
        <v>52206.0</v>
      </c>
      <c r="E7" s="20" t="s">
        <v>881</v>
      </c>
      <c r="F7" s="22"/>
      <c r="G7" s="22"/>
      <c r="H7" s="22"/>
      <c r="I7" s="21">
        <v>400.0</v>
      </c>
      <c r="J7" s="21"/>
      <c r="K7" s="29"/>
      <c r="L7" s="22"/>
      <c r="M7" s="22"/>
      <c r="N7" s="22"/>
      <c r="O7" s="22"/>
      <c r="P7" s="19">
        <v>400.0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0">
        <v>4.0</v>
      </c>
      <c r="B8" s="28">
        <v>45549.0</v>
      </c>
      <c r="C8" s="18" t="s">
        <v>882</v>
      </c>
      <c r="D8" s="19">
        <v>50436.0</v>
      </c>
      <c r="E8" s="20" t="s">
        <v>338</v>
      </c>
      <c r="F8" s="22"/>
      <c r="G8" s="22"/>
      <c r="H8" s="22"/>
      <c r="I8" s="21">
        <v>11450.0</v>
      </c>
      <c r="J8" s="21"/>
      <c r="K8" s="22"/>
      <c r="L8" s="22"/>
      <c r="M8" s="23"/>
      <c r="N8" s="22"/>
      <c r="O8" s="22"/>
      <c r="P8" s="19">
        <v>11450.0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0">
        <v>5.0</v>
      </c>
      <c r="B9" s="28">
        <v>45549.0</v>
      </c>
      <c r="C9" s="18" t="s">
        <v>883</v>
      </c>
      <c r="D9" s="19">
        <v>84828.0</v>
      </c>
      <c r="E9" s="20" t="s">
        <v>884</v>
      </c>
      <c r="F9" s="22"/>
      <c r="G9" s="22"/>
      <c r="H9" s="22"/>
      <c r="I9" s="21"/>
      <c r="J9" s="21">
        <v>6050.0</v>
      </c>
      <c r="K9" s="29"/>
      <c r="L9" s="22"/>
      <c r="M9" s="23"/>
      <c r="N9" s="22"/>
      <c r="O9" s="22"/>
      <c r="P9" s="19">
        <v>6050.0</v>
      </c>
      <c r="Q9" s="26">
        <f t="shared" si="1"/>
        <v>0</v>
      </c>
      <c r="R9" s="25" t="s">
        <v>43</v>
      </c>
      <c r="S9" s="30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0">
        <v>6.0</v>
      </c>
      <c r="B10" s="28">
        <v>45549.0</v>
      </c>
      <c r="C10" s="18" t="s">
        <v>885</v>
      </c>
      <c r="D10" s="19">
        <v>33065.0</v>
      </c>
      <c r="E10" s="20" t="s">
        <v>886</v>
      </c>
      <c r="F10" s="22"/>
      <c r="G10" s="22"/>
      <c r="H10" s="29"/>
      <c r="I10" s="21">
        <v>5600.0</v>
      </c>
      <c r="J10" s="21"/>
      <c r="K10" s="29"/>
      <c r="L10" s="22"/>
      <c r="M10" s="23"/>
      <c r="N10" s="22"/>
      <c r="O10" s="22"/>
      <c r="P10" s="19">
        <v>5600.0</v>
      </c>
      <c r="Q10" s="26">
        <f t="shared" si="1"/>
        <v>0</v>
      </c>
      <c r="R10" s="25" t="s">
        <v>36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0">
        <v>7.0</v>
      </c>
      <c r="B11" s="28">
        <v>45549.0</v>
      </c>
      <c r="C11" s="18" t="s">
        <v>887</v>
      </c>
      <c r="D11" s="19">
        <v>10249.0</v>
      </c>
      <c r="E11" s="20" t="s">
        <v>126</v>
      </c>
      <c r="F11" s="22"/>
      <c r="G11" s="22"/>
      <c r="H11" s="29"/>
      <c r="I11" s="21"/>
      <c r="J11" s="21">
        <v>7600.0</v>
      </c>
      <c r="K11" s="22"/>
      <c r="L11" s="22"/>
      <c r="M11" s="23"/>
      <c r="N11" s="22"/>
      <c r="O11" s="22"/>
      <c r="P11" s="19">
        <v>7600.0</v>
      </c>
      <c r="Q11" s="26">
        <f t="shared" si="1"/>
        <v>0</v>
      </c>
      <c r="R11" s="25" t="s">
        <v>43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0">
        <v>8.0</v>
      </c>
      <c r="B12" s="31">
        <v>45549.0</v>
      </c>
      <c r="C12" s="32" t="s">
        <v>888</v>
      </c>
      <c r="D12" s="33">
        <v>84829.0</v>
      </c>
      <c r="E12" s="34" t="s">
        <v>889</v>
      </c>
      <c r="F12" s="22"/>
      <c r="G12" s="22"/>
      <c r="H12" s="22"/>
      <c r="I12" s="21">
        <v>6050.0</v>
      </c>
      <c r="J12" s="21"/>
      <c r="K12" s="22"/>
      <c r="L12" s="22"/>
      <c r="M12" s="23"/>
      <c r="N12" s="22"/>
      <c r="O12" s="22"/>
      <c r="P12" s="19">
        <v>6050.0</v>
      </c>
      <c r="Q12" s="26">
        <f t="shared" si="1"/>
        <v>0</v>
      </c>
      <c r="R12" s="35" t="s">
        <v>30</v>
      </c>
      <c r="S12" s="27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ht="34.5" customHeight="1">
      <c r="A13" s="80">
        <v>9.0</v>
      </c>
      <c r="B13" s="28">
        <v>45549.0</v>
      </c>
      <c r="C13" s="18" t="s">
        <v>890</v>
      </c>
      <c r="D13" s="19">
        <v>58818.0</v>
      </c>
      <c r="E13" s="20" t="s">
        <v>891</v>
      </c>
      <c r="F13" s="22"/>
      <c r="G13" s="22"/>
      <c r="H13" s="22"/>
      <c r="I13" s="21">
        <v>2400.0</v>
      </c>
      <c r="J13" s="21"/>
      <c r="K13" s="22"/>
      <c r="L13" s="22"/>
      <c r="M13" s="23"/>
      <c r="N13" s="22"/>
      <c r="O13" s="22"/>
      <c r="P13" s="19">
        <v>2400.0</v>
      </c>
      <c r="Q13" s="26">
        <f t="shared" si="1"/>
        <v>0</v>
      </c>
      <c r="R13" s="25" t="s">
        <v>30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0">
        <v>10.0</v>
      </c>
      <c r="B14" s="28">
        <v>45549.0</v>
      </c>
      <c r="C14" s="18" t="s">
        <v>892</v>
      </c>
      <c r="D14" s="19">
        <v>27880.0</v>
      </c>
      <c r="E14" s="20" t="s">
        <v>893</v>
      </c>
      <c r="F14" s="22"/>
      <c r="G14" s="29">
        <v>5250.0</v>
      </c>
      <c r="H14" s="22"/>
      <c r="I14" s="21"/>
      <c r="J14" s="23"/>
      <c r="K14" s="22"/>
      <c r="L14" s="22"/>
      <c r="M14" s="23"/>
      <c r="N14" s="22"/>
      <c r="O14" s="22"/>
      <c r="P14" s="19">
        <v>5250.0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0">
        <v>11.0</v>
      </c>
      <c r="B15" s="28">
        <v>45549.0</v>
      </c>
      <c r="C15" s="18" t="s">
        <v>894</v>
      </c>
      <c r="D15" s="19">
        <v>81108.0</v>
      </c>
      <c r="E15" s="20" t="s">
        <v>209</v>
      </c>
      <c r="F15" s="22"/>
      <c r="G15" s="22"/>
      <c r="H15" s="22"/>
      <c r="I15" s="21">
        <v>19000.0</v>
      </c>
      <c r="J15" s="21"/>
      <c r="K15" s="22"/>
      <c r="L15" s="22"/>
      <c r="M15" s="23"/>
      <c r="N15" s="22"/>
      <c r="O15" s="22"/>
      <c r="P15" s="19">
        <v>19000.0</v>
      </c>
      <c r="Q15" s="26">
        <f t="shared" si="1"/>
        <v>0</v>
      </c>
      <c r="R15" s="25" t="s">
        <v>33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80">
        <v>12.0</v>
      </c>
      <c r="B16" s="28">
        <v>45549.0</v>
      </c>
      <c r="C16" s="18" t="s">
        <v>895</v>
      </c>
      <c r="D16" s="19">
        <v>22341.0</v>
      </c>
      <c r="E16" s="20" t="s">
        <v>69</v>
      </c>
      <c r="F16" s="22"/>
      <c r="G16" s="22"/>
      <c r="H16" s="22"/>
      <c r="I16" s="21">
        <v>6500.0</v>
      </c>
      <c r="J16" s="21"/>
      <c r="K16" s="29"/>
      <c r="L16" s="22"/>
      <c r="M16" s="23"/>
      <c r="N16" s="22"/>
      <c r="O16" s="22"/>
      <c r="P16" s="19">
        <v>6500.0</v>
      </c>
      <c r="Q16" s="26">
        <f t="shared" si="1"/>
        <v>0</v>
      </c>
      <c r="R16" s="25" t="s">
        <v>36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80">
        <v>13.0</v>
      </c>
      <c r="B17" s="28">
        <v>45549.0</v>
      </c>
      <c r="C17" s="18" t="s">
        <v>896</v>
      </c>
      <c r="D17" s="19">
        <v>75045.0</v>
      </c>
      <c r="E17" s="20" t="s">
        <v>897</v>
      </c>
      <c r="F17" s="29">
        <v>4500.0</v>
      </c>
      <c r="G17" s="22"/>
      <c r="H17" s="22"/>
      <c r="I17" s="21"/>
      <c r="J17" s="21"/>
      <c r="K17" s="29"/>
      <c r="L17" s="22"/>
      <c r="M17" s="22"/>
      <c r="N17" s="22"/>
      <c r="O17" s="22"/>
      <c r="P17" s="19">
        <v>4500.0</v>
      </c>
      <c r="Q17" s="26">
        <f t="shared" si="1"/>
        <v>0</v>
      </c>
      <c r="R17" s="25" t="s">
        <v>30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0">
        <v>14.0</v>
      </c>
      <c r="B18" s="31">
        <v>45549.0</v>
      </c>
      <c r="C18" s="32" t="s">
        <v>898</v>
      </c>
      <c r="D18" s="33">
        <v>75045.0</v>
      </c>
      <c r="E18" s="34" t="s">
        <v>897</v>
      </c>
      <c r="F18" s="29">
        <v>7400.0</v>
      </c>
      <c r="G18" s="22"/>
      <c r="H18" s="22"/>
      <c r="I18" s="21"/>
      <c r="J18" s="21"/>
      <c r="K18" s="22"/>
      <c r="L18" s="22"/>
      <c r="M18" s="23"/>
      <c r="N18" s="22"/>
      <c r="O18" s="22"/>
      <c r="P18" s="19">
        <v>7400.0</v>
      </c>
      <c r="Q18" s="26">
        <f t="shared" si="1"/>
        <v>0</v>
      </c>
      <c r="R18" s="35" t="s">
        <v>30</v>
      </c>
      <c r="S18" s="27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ht="34.5" customHeight="1">
      <c r="A19" s="80">
        <v>15.0</v>
      </c>
      <c r="B19" s="28">
        <v>45549.0</v>
      </c>
      <c r="C19" s="18" t="s">
        <v>899</v>
      </c>
      <c r="D19" s="19">
        <v>82780.0</v>
      </c>
      <c r="E19" s="20" t="s">
        <v>900</v>
      </c>
      <c r="F19" s="22"/>
      <c r="G19" s="22"/>
      <c r="H19" s="22"/>
      <c r="I19" s="37"/>
      <c r="J19" s="37"/>
      <c r="K19" s="22"/>
      <c r="L19" s="22"/>
      <c r="M19" s="29">
        <v>4500.0</v>
      </c>
      <c r="N19" s="22"/>
      <c r="O19" s="22"/>
      <c r="P19" s="19">
        <v>4500.0</v>
      </c>
      <c r="Q19" s="26">
        <f t="shared" si="1"/>
        <v>0</v>
      </c>
      <c r="R19" s="25" t="s">
        <v>30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0">
        <v>16.0</v>
      </c>
      <c r="B20" s="28">
        <v>45549.0</v>
      </c>
      <c r="C20" s="18" t="s">
        <v>901</v>
      </c>
      <c r="D20" s="19">
        <v>55969.0</v>
      </c>
      <c r="E20" s="20" t="s">
        <v>525</v>
      </c>
      <c r="F20" s="23"/>
      <c r="G20" s="22"/>
      <c r="H20" s="22"/>
      <c r="I20" s="45">
        <v>19700.0</v>
      </c>
      <c r="J20" s="29"/>
      <c r="K20" s="39"/>
      <c r="L20" s="22"/>
      <c r="M20" s="22"/>
      <c r="N20" s="22"/>
      <c r="O20" s="22"/>
      <c r="P20" s="19">
        <v>19700.0</v>
      </c>
      <c r="Q20" s="26">
        <f t="shared" si="1"/>
        <v>0</v>
      </c>
      <c r="R20" s="25" t="s">
        <v>36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0">
        <v>17.0</v>
      </c>
      <c r="B21" s="28">
        <v>45549.0</v>
      </c>
      <c r="C21" s="18" t="s">
        <v>902</v>
      </c>
      <c r="D21" s="19">
        <v>39317.0</v>
      </c>
      <c r="E21" s="20" t="s">
        <v>112</v>
      </c>
      <c r="F21" s="23"/>
      <c r="G21" s="22"/>
      <c r="H21" s="22"/>
      <c r="I21" s="21"/>
      <c r="J21" s="29">
        <v>2650.0</v>
      </c>
      <c r="K21" s="23"/>
      <c r="L21" s="22"/>
      <c r="M21" s="22"/>
      <c r="N21" s="22"/>
      <c r="O21" s="22"/>
      <c r="P21" s="19">
        <v>2650.0</v>
      </c>
      <c r="Q21" s="26">
        <f t="shared" si="1"/>
        <v>0</v>
      </c>
      <c r="R21" s="25" t="s">
        <v>43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0">
        <v>18.0</v>
      </c>
      <c r="B22" s="40">
        <v>45549.0</v>
      </c>
      <c r="C22" s="41" t="s">
        <v>903</v>
      </c>
      <c r="D22" s="42">
        <v>59244.0</v>
      </c>
      <c r="E22" s="43" t="s">
        <v>485</v>
      </c>
      <c r="F22" s="38"/>
      <c r="G22" s="44"/>
      <c r="H22" s="44"/>
      <c r="I22" s="45">
        <v>15000.0</v>
      </c>
      <c r="J22" s="45"/>
      <c r="K22" s="46"/>
      <c r="L22" s="44"/>
      <c r="M22" s="44"/>
      <c r="N22" s="44"/>
      <c r="O22" s="44"/>
      <c r="P22" s="19">
        <v>15000.0</v>
      </c>
      <c r="Q22" s="26">
        <f t="shared" si="1"/>
        <v>0</v>
      </c>
      <c r="R22" s="47" t="s">
        <v>30</v>
      </c>
      <c r="S22" s="2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</row>
    <row r="23" ht="34.5" customHeight="1">
      <c r="A23" s="80">
        <v>19.0</v>
      </c>
      <c r="B23" s="28">
        <v>45549.0</v>
      </c>
      <c r="C23" s="18" t="s">
        <v>904</v>
      </c>
      <c r="D23" s="19">
        <v>53067.0</v>
      </c>
      <c r="E23" s="20" t="s">
        <v>905</v>
      </c>
      <c r="F23" s="23"/>
      <c r="G23" s="22"/>
      <c r="H23" s="22"/>
      <c r="I23" s="21"/>
      <c r="J23" s="29">
        <v>600.0</v>
      </c>
      <c r="K23" s="39"/>
      <c r="L23" s="22"/>
      <c r="M23" s="22"/>
      <c r="N23" s="22"/>
      <c r="O23" s="22"/>
      <c r="P23" s="19">
        <v>600.0</v>
      </c>
      <c r="Q23" s="26">
        <f t="shared" si="1"/>
        <v>0</v>
      </c>
      <c r="R23" s="25" t="s">
        <v>43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0">
        <v>20.0</v>
      </c>
      <c r="B24" s="28">
        <v>45549.0</v>
      </c>
      <c r="C24" s="18" t="s">
        <v>906</v>
      </c>
      <c r="D24" s="19">
        <v>48631.0</v>
      </c>
      <c r="E24" s="20" t="s">
        <v>116</v>
      </c>
      <c r="F24" s="23"/>
      <c r="G24" s="22"/>
      <c r="H24" s="29"/>
      <c r="I24" s="21"/>
      <c r="J24" s="21"/>
      <c r="K24" s="49">
        <v>2500.0</v>
      </c>
      <c r="L24" s="22"/>
      <c r="M24" s="22"/>
      <c r="N24" s="22"/>
      <c r="O24" s="22"/>
      <c r="P24" s="19">
        <v>2500.0</v>
      </c>
      <c r="Q24" s="26">
        <f t="shared" si="1"/>
        <v>0</v>
      </c>
      <c r="R24" s="25" t="s">
        <v>43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0">
        <v>21.0</v>
      </c>
      <c r="B25" s="28">
        <v>45549.0</v>
      </c>
      <c r="C25" s="18" t="s">
        <v>907</v>
      </c>
      <c r="D25" s="19">
        <v>84024.0</v>
      </c>
      <c r="E25" s="20" t="s">
        <v>523</v>
      </c>
      <c r="F25" s="23"/>
      <c r="G25" s="29">
        <v>2500.0</v>
      </c>
      <c r="H25" s="29"/>
      <c r="I25" s="21"/>
      <c r="J25" s="21"/>
      <c r="K25" s="24"/>
      <c r="L25" s="22"/>
      <c r="M25" s="29"/>
      <c r="N25" s="22"/>
      <c r="O25" s="22"/>
      <c r="P25" s="19">
        <v>2500.0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0">
        <v>22.0</v>
      </c>
      <c r="B26" s="28">
        <v>45549.0</v>
      </c>
      <c r="C26" s="18" t="s">
        <v>908</v>
      </c>
      <c r="D26" s="19">
        <v>52884.0</v>
      </c>
      <c r="E26" s="20" t="s">
        <v>909</v>
      </c>
      <c r="F26" s="23"/>
      <c r="G26" s="22"/>
      <c r="H26" s="22"/>
      <c r="I26" s="21">
        <v>9500.0</v>
      </c>
      <c r="J26" s="21"/>
      <c r="K26" s="37"/>
      <c r="L26" s="22"/>
      <c r="M26" s="29"/>
      <c r="N26" s="22"/>
      <c r="O26" s="29"/>
      <c r="P26" s="19">
        <v>9500.0</v>
      </c>
      <c r="Q26" s="26">
        <f t="shared" si="1"/>
        <v>0</v>
      </c>
      <c r="R26" s="25" t="s">
        <v>30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0">
        <v>23.0</v>
      </c>
      <c r="B27" s="28">
        <v>45549.0</v>
      </c>
      <c r="C27" s="18" t="s">
        <v>910</v>
      </c>
      <c r="D27" s="19">
        <v>51814.0</v>
      </c>
      <c r="E27" s="20" t="s">
        <v>911</v>
      </c>
      <c r="F27" s="23"/>
      <c r="G27" s="22"/>
      <c r="H27" s="22"/>
      <c r="I27" s="21">
        <v>5150.0</v>
      </c>
      <c r="J27" s="21"/>
      <c r="K27" s="37"/>
      <c r="L27" s="22"/>
      <c r="M27" s="29"/>
      <c r="N27" s="22"/>
      <c r="O27" s="29"/>
      <c r="P27" s="19">
        <v>5150.0</v>
      </c>
      <c r="Q27" s="26">
        <f t="shared" si="1"/>
        <v>0</v>
      </c>
      <c r="R27" s="25" t="s">
        <v>36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0">
        <v>24.0</v>
      </c>
      <c r="B28" s="28">
        <v>45549.0</v>
      </c>
      <c r="C28" s="18" t="s">
        <v>912</v>
      </c>
      <c r="D28" s="19">
        <v>84830.0</v>
      </c>
      <c r="E28" s="20" t="s">
        <v>913</v>
      </c>
      <c r="F28" s="23"/>
      <c r="G28" s="22"/>
      <c r="H28" s="22"/>
      <c r="I28" s="21"/>
      <c r="J28" s="21">
        <v>6650.0</v>
      </c>
      <c r="K28" s="24"/>
      <c r="L28" s="22"/>
      <c r="M28" s="29"/>
      <c r="N28" s="22"/>
      <c r="O28" s="29"/>
      <c r="P28" s="19">
        <v>6650.0</v>
      </c>
      <c r="Q28" s="26">
        <f t="shared" si="1"/>
        <v>0</v>
      </c>
      <c r="R28" s="25" t="s">
        <v>43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0">
        <v>25.0</v>
      </c>
      <c r="B29" s="28">
        <v>45549.0</v>
      </c>
      <c r="C29" s="18" t="s">
        <v>914</v>
      </c>
      <c r="D29" s="19">
        <v>77864.0</v>
      </c>
      <c r="E29" s="20" t="s">
        <v>915</v>
      </c>
      <c r="F29" s="23"/>
      <c r="G29" s="29"/>
      <c r="H29" s="29"/>
      <c r="I29" s="21"/>
      <c r="J29" s="21">
        <v>17500.0</v>
      </c>
      <c r="K29" s="24"/>
      <c r="L29" s="22"/>
      <c r="M29" s="29"/>
      <c r="N29" s="22"/>
      <c r="O29" s="22"/>
      <c r="P29" s="19">
        <v>17500.0</v>
      </c>
      <c r="Q29" s="26">
        <f t="shared" si="1"/>
        <v>0</v>
      </c>
      <c r="R29" s="25" t="s">
        <v>30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0">
        <v>26.0</v>
      </c>
      <c r="B30" s="28">
        <v>45549.0</v>
      </c>
      <c r="C30" s="18" t="s">
        <v>916</v>
      </c>
      <c r="D30" s="19">
        <v>10001.0</v>
      </c>
      <c r="E30" s="20" t="s">
        <v>917</v>
      </c>
      <c r="F30" s="21">
        <v>129.0</v>
      </c>
      <c r="G30" s="29" t="s">
        <v>149</v>
      </c>
      <c r="H30" s="29"/>
      <c r="I30" s="21"/>
      <c r="J30" s="21"/>
      <c r="K30" s="24"/>
      <c r="L30" s="22"/>
      <c r="M30" s="29"/>
      <c r="N30" s="22"/>
      <c r="O30" s="22"/>
      <c r="P30" s="19">
        <v>129.0</v>
      </c>
      <c r="Q30" s="72">
        <v>0.0</v>
      </c>
      <c r="R30" s="25" t="s">
        <v>33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0">
        <v>27.0</v>
      </c>
      <c r="B31" s="28">
        <v>45549.0</v>
      </c>
      <c r="C31" s="18" t="s">
        <v>918</v>
      </c>
      <c r="D31" s="19">
        <v>82292.0</v>
      </c>
      <c r="E31" s="20" t="s">
        <v>919</v>
      </c>
      <c r="F31" s="23"/>
      <c r="G31" s="22"/>
      <c r="H31" s="22"/>
      <c r="I31" s="21">
        <v>5150.0</v>
      </c>
      <c r="J31" s="21"/>
      <c r="K31" s="37"/>
      <c r="L31" s="22"/>
      <c r="M31" s="29"/>
      <c r="N31" s="22"/>
      <c r="O31" s="29"/>
      <c r="P31" s="19">
        <v>5150.0</v>
      </c>
      <c r="Q31" s="26">
        <f t="shared" ref="Q31:Q36" si="2">F31+G31+H31+I31+J31+K31+L31+M31+N31+O31-P31</f>
        <v>0</v>
      </c>
      <c r="R31" s="25" t="s">
        <v>43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0">
        <v>28.0</v>
      </c>
      <c r="B32" s="28">
        <v>45548.0</v>
      </c>
      <c r="C32" s="18" t="s">
        <v>920</v>
      </c>
      <c r="D32" s="19">
        <v>36555.0</v>
      </c>
      <c r="E32" s="20" t="s">
        <v>65</v>
      </c>
      <c r="F32" s="23"/>
      <c r="G32" s="22"/>
      <c r="H32" s="22"/>
      <c r="I32" s="21"/>
      <c r="J32" s="21"/>
      <c r="K32" s="37">
        <v>200.0</v>
      </c>
      <c r="L32" s="22"/>
      <c r="M32" s="29"/>
      <c r="N32" s="22"/>
      <c r="O32" s="29">
        <v>1000.0</v>
      </c>
      <c r="P32" s="19">
        <v>1200.0</v>
      </c>
      <c r="Q32" s="26">
        <f t="shared" si="2"/>
        <v>0</v>
      </c>
      <c r="R32" s="25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0">
        <v>29.0</v>
      </c>
      <c r="B33" s="28">
        <v>45548.0</v>
      </c>
      <c r="C33" s="18" t="s">
        <v>921</v>
      </c>
      <c r="D33" s="19">
        <v>51017.0</v>
      </c>
      <c r="E33" s="20" t="s">
        <v>241</v>
      </c>
      <c r="F33" s="23"/>
      <c r="G33" s="22"/>
      <c r="H33" s="29">
        <v>10000.0</v>
      </c>
      <c r="I33" s="21"/>
      <c r="J33" s="21"/>
      <c r="K33" s="37"/>
      <c r="L33" s="22"/>
      <c r="M33" s="29"/>
      <c r="N33" s="22"/>
      <c r="O33" s="22"/>
      <c r="P33" s="19">
        <v>10000.0</v>
      </c>
      <c r="Q33" s="26">
        <f t="shared" si="2"/>
        <v>0</v>
      </c>
      <c r="R33" s="25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0">
        <v>30.0</v>
      </c>
      <c r="B34" s="28">
        <v>45548.0</v>
      </c>
      <c r="C34" s="18" t="s">
        <v>922</v>
      </c>
      <c r="D34" s="19">
        <v>51017.0</v>
      </c>
      <c r="E34" s="20" t="s">
        <v>241</v>
      </c>
      <c r="F34" s="23"/>
      <c r="G34" s="22"/>
      <c r="H34" s="29">
        <v>17000.0</v>
      </c>
      <c r="I34" s="21"/>
      <c r="J34" s="23"/>
      <c r="K34" s="37"/>
      <c r="L34" s="22"/>
      <c r="M34" s="29"/>
      <c r="N34" s="22"/>
      <c r="O34" s="29"/>
      <c r="P34" s="19">
        <v>17000.0</v>
      </c>
      <c r="Q34" s="26">
        <f t="shared" si="2"/>
        <v>0</v>
      </c>
      <c r="R34" s="25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0">
        <v>31.0</v>
      </c>
      <c r="B35" s="28">
        <v>45549.0</v>
      </c>
      <c r="C35" s="18" t="s">
        <v>923</v>
      </c>
      <c r="D35" s="19">
        <v>50148.0</v>
      </c>
      <c r="E35" s="20" t="s">
        <v>461</v>
      </c>
      <c r="F35" s="23"/>
      <c r="G35" s="22"/>
      <c r="H35" s="29">
        <v>450.0</v>
      </c>
      <c r="I35" s="21"/>
      <c r="J35" s="23"/>
      <c r="K35" s="37"/>
      <c r="L35" s="22"/>
      <c r="M35" s="29"/>
      <c r="N35" s="22"/>
      <c r="O35" s="29"/>
      <c r="P35" s="19">
        <v>450.0</v>
      </c>
      <c r="Q35" s="26">
        <f t="shared" si="2"/>
        <v>0</v>
      </c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0">
        <v>32.0</v>
      </c>
      <c r="B36" s="28">
        <v>45549.0</v>
      </c>
      <c r="C36" s="18" t="s">
        <v>924</v>
      </c>
      <c r="D36" s="19">
        <v>51565.0</v>
      </c>
      <c r="E36" s="20" t="s">
        <v>925</v>
      </c>
      <c r="F36" s="23"/>
      <c r="G36" s="22"/>
      <c r="H36" s="29"/>
      <c r="I36" s="21"/>
      <c r="J36" s="23"/>
      <c r="K36" s="37"/>
      <c r="L36" s="22"/>
      <c r="M36" s="29"/>
      <c r="N36" s="22"/>
      <c r="O36" s="29">
        <v>2000.0</v>
      </c>
      <c r="P36" s="19">
        <v>2000.0</v>
      </c>
      <c r="Q36" s="26">
        <f t="shared" si="2"/>
        <v>0</v>
      </c>
      <c r="R36" s="25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0">
        <v>33.0</v>
      </c>
      <c r="B37" s="28">
        <v>45549.0</v>
      </c>
      <c r="C37" s="18" t="s">
        <v>926</v>
      </c>
      <c r="D37" s="19">
        <v>36768.0</v>
      </c>
      <c r="E37" s="20" t="s">
        <v>927</v>
      </c>
      <c r="F37" s="23"/>
      <c r="G37" s="22"/>
      <c r="H37" s="29"/>
      <c r="I37" s="21"/>
      <c r="J37" s="23"/>
      <c r="K37" s="37"/>
      <c r="L37" s="22"/>
      <c r="M37" s="29"/>
      <c r="N37" s="22"/>
      <c r="O37" s="29">
        <v>4000.0</v>
      </c>
      <c r="P37" s="19">
        <v>4000.0</v>
      </c>
      <c r="Q37" s="72">
        <v>0.0</v>
      </c>
      <c r="R37" s="25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0">
        <v>34.0</v>
      </c>
      <c r="B38" s="28">
        <v>45549.0</v>
      </c>
      <c r="C38" s="18" t="s">
        <v>928</v>
      </c>
      <c r="D38" s="19">
        <v>43380.0</v>
      </c>
      <c r="E38" s="20" t="s">
        <v>124</v>
      </c>
      <c r="F38" s="23"/>
      <c r="G38" s="22"/>
      <c r="H38" s="29">
        <v>14500.0</v>
      </c>
      <c r="I38" s="21"/>
      <c r="J38" s="23"/>
      <c r="K38" s="37"/>
      <c r="L38" s="22"/>
      <c r="M38" s="29"/>
      <c r="N38" s="22"/>
      <c r="O38" s="29"/>
      <c r="P38" s="19">
        <v>14500.0</v>
      </c>
      <c r="Q38" s="26">
        <f t="shared" ref="Q38:Q39" si="3">F38+G38+H38+I38+J38+K38+L38+M38+N38+O38-P38</f>
        <v>0</v>
      </c>
      <c r="R38" s="25"/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0">
        <v>35.0</v>
      </c>
      <c r="B39" s="28">
        <v>45549.0</v>
      </c>
      <c r="C39" s="18" t="s">
        <v>929</v>
      </c>
      <c r="D39" s="19">
        <v>25650.0</v>
      </c>
      <c r="E39" s="20" t="s">
        <v>930</v>
      </c>
      <c r="F39" s="23"/>
      <c r="G39" s="22"/>
      <c r="H39" s="29"/>
      <c r="I39" s="21"/>
      <c r="J39" s="23"/>
      <c r="K39" s="37"/>
      <c r="L39" s="22"/>
      <c r="M39" s="29">
        <v>5000.0</v>
      </c>
      <c r="N39" s="22"/>
      <c r="O39" s="29"/>
      <c r="P39" s="19">
        <v>5000.0</v>
      </c>
      <c r="Q39" s="26">
        <f t="shared" si="3"/>
        <v>0</v>
      </c>
      <c r="R39" s="25"/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/>
      <c r="B40" s="28"/>
      <c r="C40" s="18"/>
      <c r="D40" s="19"/>
      <c r="E40" s="20"/>
      <c r="F40" s="23"/>
      <c r="G40" s="22"/>
      <c r="H40" s="29"/>
      <c r="I40" s="21"/>
      <c r="J40" s="23"/>
      <c r="K40" s="37"/>
      <c r="L40" s="22"/>
      <c r="M40" s="29"/>
      <c r="N40" s="22"/>
      <c r="O40" s="29"/>
      <c r="P40" s="19"/>
      <c r="Q40" s="26"/>
      <c r="R40" s="25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7.5" customHeight="1">
      <c r="A41" s="16"/>
      <c r="B41" s="28"/>
      <c r="C41" s="18"/>
      <c r="D41" s="19"/>
      <c r="E41" s="20"/>
      <c r="F41" s="55">
        <f t="shared" ref="F41:P41" si="4">SUM(F5:F40)</f>
        <v>12029</v>
      </c>
      <c r="G41" s="55">
        <f t="shared" si="4"/>
        <v>7750</v>
      </c>
      <c r="H41" s="55">
        <f t="shared" si="4"/>
        <v>41950</v>
      </c>
      <c r="I41" s="55">
        <f t="shared" si="4"/>
        <v>106200</v>
      </c>
      <c r="J41" s="55">
        <f t="shared" si="4"/>
        <v>50850</v>
      </c>
      <c r="K41" s="55">
        <f t="shared" si="4"/>
        <v>2700</v>
      </c>
      <c r="L41" s="55">
        <f t="shared" si="4"/>
        <v>0</v>
      </c>
      <c r="M41" s="55">
        <f t="shared" si="4"/>
        <v>9500</v>
      </c>
      <c r="N41" s="55">
        <f t="shared" si="4"/>
        <v>0</v>
      </c>
      <c r="O41" s="55">
        <f t="shared" si="4"/>
        <v>7000</v>
      </c>
      <c r="P41" s="55">
        <f t="shared" si="4"/>
        <v>237979</v>
      </c>
      <c r="Q41" s="56">
        <v>0.0</v>
      </c>
      <c r="R41" s="57"/>
      <c r="S41" s="27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58.5" customHeight="1">
      <c r="A42" s="58"/>
      <c r="B42" s="74"/>
      <c r="C42" s="75"/>
      <c r="D42" s="76"/>
      <c r="E42" s="76"/>
      <c r="F42" s="60">
        <f>F41+G41+H41+I41+J41+K41+L41+M41+N41+O41</f>
        <v>237979</v>
      </c>
      <c r="P42" s="61"/>
      <c r="Q42" s="61"/>
      <c r="R42" s="58"/>
      <c r="S42" s="5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15.75" customHeight="1">
      <c r="A43" s="4"/>
      <c r="B43" s="77"/>
      <c r="C43" s="78"/>
      <c r="D43" s="69"/>
      <c r="E43" s="6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4" t="s">
        <v>150</v>
      </c>
      <c r="F44" s="65" t="s">
        <v>162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152</v>
      </c>
      <c r="F45" s="65" t="s">
        <v>255</v>
      </c>
      <c r="G45" s="4"/>
      <c r="H45" s="4"/>
      <c r="I45" s="4"/>
      <c r="J45" s="4"/>
      <c r="K45" s="4"/>
      <c r="L45" s="4"/>
      <c r="M45" s="4"/>
      <c r="N45" s="4"/>
      <c r="O45" s="67" t="s">
        <v>149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154</v>
      </c>
      <c r="F46" s="65" t="s">
        <v>151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156</v>
      </c>
      <c r="F47" s="65" t="s">
        <v>254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157</v>
      </c>
      <c r="F48" s="65" t="s">
        <v>931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932</v>
      </c>
      <c r="F49" s="65" t="s">
        <v>151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66" t="s">
        <v>160</v>
      </c>
      <c r="F50" s="65" t="s">
        <v>155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66" t="s">
        <v>161</v>
      </c>
      <c r="F51" s="68" t="s">
        <v>162</v>
      </c>
      <c r="G51" s="4"/>
      <c r="H51" s="4"/>
      <c r="I51" s="4"/>
      <c r="J51" s="4"/>
      <c r="K51" s="4"/>
      <c r="L51" s="4"/>
      <c r="M51" s="69" t="s">
        <v>812</v>
      </c>
      <c r="N51" s="4"/>
      <c r="O51" s="4"/>
      <c r="P51" s="4"/>
      <c r="Q51" s="4"/>
      <c r="R51" s="4"/>
      <c r="S51" s="4"/>
      <c r="T51" s="4"/>
      <c r="U51" s="67" t="s">
        <v>149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69"/>
      <c r="G59" s="4"/>
      <c r="H59" s="4"/>
      <c r="I59" s="67" t="s">
        <v>163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>
        <v>7.0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7">
    <mergeCell ref="R2:R4"/>
    <mergeCell ref="S2:S4"/>
    <mergeCell ref="F3:F4"/>
    <mergeCell ref="G3:H3"/>
    <mergeCell ref="I3:J3"/>
    <mergeCell ref="K3:K4"/>
    <mergeCell ref="F42:O4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32.63"/>
    <col customWidth="1" min="7" max="7" width="20.25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933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33.0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0">
        <v>1.0</v>
      </c>
      <c r="B5" s="28">
        <v>45549.0</v>
      </c>
      <c r="C5" s="18" t="s">
        <v>934</v>
      </c>
      <c r="D5" s="19">
        <v>13781.0</v>
      </c>
      <c r="E5" s="20" t="s">
        <v>592</v>
      </c>
      <c r="F5" s="23"/>
      <c r="G5" s="29">
        <v>4500.0</v>
      </c>
      <c r="H5" s="22"/>
      <c r="I5" s="21"/>
      <c r="J5" s="29"/>
      <c r="K5" s="29"/>
      <c r="L5" s="22"/>
      <c r="M5" s="21"/>
      <c r="N5" s="22"/>
      <c r="O5" s="22"/>
      <c r="P5" s="19">
        <v>4500.0</v>
      </c>
      <c r="Q5" s="26">
        <f t="shared" ref="Q5:Q29" si="1">F5+G5+H5+I5+J5+K5+L5+M5+N5+O5-P5</f>
        <v>0</v>
      </c>
      <c r="R5" s="25" t="s">
        <v>36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0">
        <v>2.0</v>
      </c>
      <c r="B6" s="28">
        <v>45549.0</v>
      </c>
      <c r="C6" s="18" t="s">
        <v>935</v>
      </c>
      <c r="D6" s="19">
        <v>77872.0</v>
      </c>
      <c r="E6" s="20" t="s">
        <v>936</v>
      </c>
      <c r="F6" s="22"/>
      <c r="G6" s="22"/>
      <c r="H6" s="23"/>
      <c r="I6" s="21">
        <v>10450.0</v>
      </c>
      <c r="J6" s="37"/>
      <c r="K6" s="29"/>
      <c r="L6" s="22"/>
      <c r="M6" s="22"/>
      <c r="N6" s="22"/>
      <c r="O6" s="22"/>
      <c r="P6" s="19">
        <v>10450.0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0">
        <v>3.0</v>
      </c>
      <c r="B7" s="28">
        <v>45549.0</v>
      </c>
      <c r="C7" s="18" t="s">
        <v>937</v>
      </c>
      <c r="D7" s="19">
        <v>10001.0</v>
      </c>
      <c r="E7" s="20" t="s">
        <v>917</v>
      </c>
      <c r="F7" s="29">
        <v>387.0</v>
      </c>
      <c r="G7" s="22"/>
      <c r="H7" s="22"/>
      <c r="I7" s="21"/>
      <c r="J7" s="21"/>
      <c r="K7" s="29"/>
      <c r="L7" s="22"/>
      <c r="M7" s="22"/>
      <c r="N7" s="22"/>
      <c r="O7" s="22"/>
      <c r="P7" s="19">
        <v>387.0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0">
        <v>4.0</v>
      </c>
      <c r="B8" s="28">
        <v>45549.0</v>
      </c>
      <c r="C8" s="18" t="s">
        <v>938</v>
      </c>
      <c r="D8" s="19">
        <v>42278.0</v>
      </c>
      <c r="E8" s="20" t="s">
        <v>939</v>
      </c>
      <c r="F8" s="29">
        <v>645.0</v>
      </c>
      <c r="G8" s="22"/>
      <c r="H8" s="22"/>
      <c r="I8" s="21"/>
      <c r="J8" s="21"/>
      <c r="K8" s="22"/>
      <c r="L8" s="22"/>
      <c r="M8" s="23"/>
      <c r="N8" s="22"/>
      <c r="O8" s="22"/>
      <c r="P8" s="19">
        <v>645.0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0">
        <v>5.0</v>
      </c>
      <c r="B9" s="28">
        <v>45550.0</v>
      </c>
      <c r="C9" s="18" t="s">
        <v>940</v>
      </c>
      <c r="D9" s="19">
        <v>77703.0</v>
      </c>
      <c r="E9" s="20" t="s">
        <v>941</v>
      </c>
      <c r="F9" s="22"/>
      <c r="G9" s="22"/>
      <c r="H9" s="22"/>
      <c r="I9" s="21">
        <v>14500.0</v>
      </c>
      <c r="J9" s="21"/>
      <c r="K9" s="29"/>
      <c r="L9" s="22"/>
      <c r="M9" s="23"/>
      <c r="N9" s="22"/>
      <c r="O9" s="22"/>
      <c r="P9" s="19">
        <v>14500.0</v>
      </c>
      <c r="Q9" s="26">
        <f t="shared" si="1"/>
        <v>0</v>
      </c>
      <c r="R9" s="25" t="s">
        <v>36</v>
      </c>
      <c r="S9" s="30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0">
        <v>6.0</v>
      </c>
      <c r="B10" s="28">
        <v>45550.0</v>
      </c>
      <c r="C10" s="18" t="s">
        <v>942</v>
      </c>
      <c r="D10" s="19">
        <v>84835.0</v>
      </c>
      <c r="E10" s="20" t="s">
        <v>943</v>
      </c>
      <c r="F10" s="22"/>
      <c r="G10" s="22"/>
      <c r="H10" s="29"/>
      <c r="I10" s="21"/>
      <c r="J10" s="21">
        <v>6050.0</v>
      </c>
      <c r="K10" s="29"/>
      <c r="L10" s="22"/>
      <c r="M10" s="23"/>
      <c r="N10" s="22"/>
      <c r="O10" s="22"/>
      <c r="P10" s="19">
        <v>6050.0</v>
      </c>
      <c r="Q10" s="26">
        <f t="shared" si="1"/>
        <v>0</v>
      </c>
      <c r="R10" s="25" t="s">
        <v>43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0">
        <v>7.0</v>
      </c>
      <c r="B11" s="28">
        <v>45550.0</v>
      </c>
      <c r="C11" s="18" t="s">
        <v>944</v>
      </c>
      <c r="D11" s="19">
        <v>67621.0</v>
      </c>
      <c r="E11" s="20" t="s">
        <v>216</v>
      </c>
      <c r="F11" s="22"/>
      <c r="G11" s="22"/>
      <c r="H11" s="29"/>
      <c r="I11" s="21">
        <v>5000.0</v>
      </c>
      <c r="J11" s="21"/>
      <c r="K11" s="22"/>
      <c r="L11" s="22"/>
      <c r="M11" s="23"/>
      <c r="N11" s="22"/>
      <c r="O11" s="22"/>
      <c r="P11" s="19">
        <v>5000.0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0">
        <v>8.0</v>
      </c>
      <c r="B12" s="31">
        <v>45550.0</v>
      </c>
      <c r="C12" s="32" t="s">
        <v>945</v>
      </c>
      <c r="D12" s="33">
        <v>50436.0</v>
      </c>
      <c r="E12" s="34" t="s">
        <v>338</v>
      </c>
      <c r="F12" s="22"/>
      <c r="G12" s="22"/>
      <c r="H12" s="22"/>
      <c r="I12" s="21">
        <v>5000.0</v>
      </c>
      <c r="J12" s="21"/>
      <c r="K12" s="22"/>
      <c r="L12" s="22"/>
      <c r="M12" s="23"/>
      <c r="N12" s="22"/>
      <c r="O12" s="22"/>
      <c r="P12" s="19">
        <v>5000.0</v>
      </c>
      <c r="Q12" s="26">
        <f t="shared" si="1"/>
        <v>0</v>
      </c>
      <c r="R12" s="35" t="s">
        <v>36</v>
      </c>
      <c r="S12" s="27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ht="34.5" customHeight="1">
      <c r="A13" s="80">
        <v>9.0</v>
      </c>
      <c r="B13" s="28">
        <v>45550.0</v>
      </c>
      <c r="C13" s="18" t="s">
        <v>946</v>
      </c>
      <c r="D13" s="19">
        <v>21818.0</v>
      </c>
      <c r="E13" s="20" t="s">
        <v>103</v>
      </c>
      <c r="F13" s="22"/>
      <c r="G13" s="22"/>
      <c r="H13" s="22"/>
      <c r="I13" s="21"/>
      <c r="J13" s="21"/>
      <c r="K13" s="29">
        <v>4440.0</v>
      </c>
      <c r="L13" s="22"/>
      <c r="M13" s="23"/>
      <c r="N13" s="22"/>
      <c r="O13" s="22"/>
      <c r="P13" s="19">
        <v>4440.0</v>
      </c>
      <c r="Q13" s="26">
        <f t="shared" si="1"/>
        <v>0</v>
      </c>
      <c r="R13" s="25" t="s">
        <v>25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0">
        <v>10.0</v>
      </c>
      <c r="B14" s="28">
        <v>45550.0</v>
      </c>
      <c r="C14" s="18" t="s">
        <v>947</v>
      </c>
      <c r="D14" s="19">
        <v>67966.0</v>
      </c>
      <c r="E14" s="20" t="s">
        <v>948</v>
      </c>
      <c r="F14" s="22"/>
      <c r="G14" s="29"/>
      <c r="H14" s="22"/>
      <c r="I14" s="21"/>
      <c r="J14" s="21">
        <v>7000.0</v>
      </c>
      <c r="K14" s="22"/>
      <c r="L14" s="22"/>
      <c r="M14" s="23"/>
      <c r="N14" s="22"/>
      <c r="O14" s="22"/>
      <c r="P14" s="19">
        <v>7000.0</v>
      </c>
      <c r="Q14" s="26">
        <f t="shared" si="1"/>
        <v>0</v>
      </c>
      <c r="R14" s="25" t="s">
        <v>43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0">
        <v>11.0</v>
      </c>
      <c r="B15" s="28">
        <v>45550.0</v>
      </c>
      <c r="C15" s="18" t="s">
        <v>949</v>
      </c>
      <c r="D15" s="19">
        <v>35227.0</v>
      </c>
      <c r="E15" s="20" t="s">
        <v>301</v>
      </c>
      <c r="F15" s="22"/>
      <c r="G15" s="22"/>
      <c r="H15" s="22"/>
      <c r="I15" s="21">
        <v>450.0</v>
      </c>
      <c r="J15" s="21"/>
      <c r="K15" s="22"/>
      <c r="L15" s="22"/>
      <c r="M15" s="23"/>
      <c r="N15" s="22"/>
      <c r="O15" s="22"/>
      <c r="P15" s="19">
        <v>450.0</v>
      </c>
      <c r="Q15" s="26">
        <f t="shared" si="1"/>
        <v>0</v>
      </c>
      <c r="R15" s="25" t="s">
        <v>36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80">
        <v>12.0</v>
      </c>
      <c r="B16" s="28">
        <v>45550.0</v>
      </c>
      <c r="C16" s="18" t="s">
        <v>950</v>
      </c>
      <c r="D16" s="19">
        <v>80715.0</v>
      </c>
      <c r="E16" s="20" t="s">
        <v>951</v>
      </c>
      <c r="F16" s="22"/>
      <c r="G16" s="22"/>
      <c r="H16" s="22"/>
      <c r="I16" s="21">
        <v>2650.0</v>
      </c>
      <c r="J16" s="21"/>
      <c r="K16" s="29"/>
      <c r="L16" s="22"/>
      <c r="M16" s="23"/>
      <c r="N16" s="22"/>
      <c r="O16" s="22"/>
      <c r="P16" s="19">
        <v>2650.0</v>
      </c>
      <c r="Q16" s="26">
        <f t="shared" si="1"/>
        <v>0</v>
      </c>
      <c r="R16" s="25" t="s">
        <v>43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80">
        <v>13.0</v>
      </c>
      <c r="B17" s="28">
        <v>45550.0</v>
      </c>
      <c r="C17" s="18" t="s">
        <v>952</v>
      </c>
      <c r="D17" s="19">
        <v>73862.0</v>
      </c>
      <c r="E17" s="20" t="s">
        <v>953</v>
      </c>
      <c r="F17" s="29"/>
      <c r="G17" s="22"/>
      <c r="H17" s="22"/>
      <c r="I17" s="21">
        <v>2650.0</v>
      </c>
      <c r="J17" s="21"/>
      <c r="K17" s="29"/>
      <c r="L17" s="22"/>
      <c r="M17" s="22"/>
      <c r="N17" s="22"/>
      <c r="O17" s="22"/>
      <c r="P17" s="19">
        <v>2650.0</v>
      </c>
      <c r="Q17" s="26">
        <f t="shared" si="1"/>
        <v>0</v>
      </c>
      <c r="R17" s="25" t="s">
        <v>36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0">
        <v>14.0</v>
      </c>
      <c r="B18" s="31">
        <v>45550.0</v>
      </c>
      <c r="C18" s="32" t="s">
        <v>954</v>
      </c>
      <c r="D18" s="33">
        <v>58074.0</v>
      </c>
      <c r="E18" s="34" t="s">
        <v>101</v>
      </c>
      <c r="F18" s="29"/>
      <c r="G18" s="22"/>
      <c r="H18" s="22"/>
      <c r="I18" s="21">
        <v>2650.0</v>
      </c>
      <c r="J18" s="21"/>
      <c r="K18" s="22"/>
      <c r="L18" s="22"/>
      <c r="M18" s="23"/>
      <c r="N18" s="22"/>
      <c r="O18" s="22"/>
      <c r="P18" s="19">
        <v>2650.0</v>
      </c>
      <c r="Q18" s="26">
        <f t="shared" si="1"/>
        <v>0</v>
      </c>
      <c r="R18" s="35" t="s">
        <v>36</v>
      </c>
      <c r="S18" s="27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ht="34.5" customHeight="1">
      <c r="A19" s="80">
        <v>15.0</v>
      </c>
      <c r="B19" s="28">
        <v>45550.0</v>
      </c>
      <c r="C19" s="18" t="s">
        <v>955</v>
      </c>
      <c r="D19" s="19">
        <v>84836.0</v>
      </c>
      <c r="E19" s="20" t="s">
        <v>956</v>
      </c>
      <c r="F19" s="22"/>
      <c r="G19" s="22"/>
      <c r="H19" s="22"/>
      <c r="I19" s="37">
        <v>300.0</v>
      </c>
      <c r="J19" s="37"/>
      <c r="K19" s="22"/>
      <c r="L19" s="22"/>
      <c r="M19" s="29"/>
      <c r="N19" s="22"/>
      <c r="O19" s="22"/>
      <c r="P19" s="19">
        <v>300.0</v>
      </c>
      <c r="Q19" s="26">
        <f t="shared" si="1"/>
        <v>0</v>
      </c>
      <c r="R19" s="25" t="s">
        <v>36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0">
        <v>16.0</v>
      </c>
      <c r="B20" s="28">
        <v>45550.0</v>
      </c>
      <c r="C20" s="18" t="s">
        <v>957</v>
      </c>
      <c r="D20" s="19">
        <v>52611.0</v>
      </c>
      <c r="E20" s="20" t="s">
        <v>293</v>
      </c>
      <c r="F20" s="23"/>
      <c r="G20" s="22"/>
      <c r="H20" s="22"/>
      <c r="I20" s="45"/>
      <c r="J20" s="29">
        <v>2650.0</v>
      </c>
      <c r="K20" s="39"/>
      <c r="L20" s="22"/>
      <c r="M20" s="22"/>
      <c r="N20" s="22"/>
      <c r="O20" s="22"/>
      <c r="P20" s="19">
        <v>2650.0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0">
        <v>17.0</v>
      </c>
      <c r="B21" s="28">
        <v>45550.0</v>
      </c>
      <c r="C21" s="18" t="s">
        <v>958</v>
      </c>
      <c r="D21" s="19">
        <v>51697.0</v>
      </c>
      <c r="E21" s="20" t="s">
        <v>303</v>
      </c>
      <c r="F21" s="23"/>
      <c r="G21" s="22"/>
      <c r="H21" s="22"/>
      <c r="I21" s="21"/>
      <c r="J21" s="29">
        <v>828.0</v>
      </c>
      <c r="K21" s="21">
        <v>672.0</v>
      </c>
      <c r="L21" s="22"/>
      <c r="M21" s="22"/>
      <c r="N21" s="22"/>
      <c r="O21" s="22"/>
      <c r="P21" s="19">
        <v>1500.0</v>
      </c>
      <c r="Q21" s="26">
        <f t="shared" si="1"/>
        <v>0</v>
      </c>
      <c r="R21" s="25" t="s">
        <v>25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0">
        <v>18.0</v>
      </c>
      <c r="B22" s="40">
        <v>45550.0</v>
      </c>
      <c r="C22" s="41" t="s">
        <v>959</v>
      </c>
      <c r="D22" s="42">
        <v>50739.0</v>
      </c>
      <c r="E22" s="43" t="s">
        <v>960</v>
      </c>
      <c r="F22" s="38"/>
      <c r="G22" s="44"/>
      <c r="H22" s="44"/>
      <c r="I22" s="45">
        <v>2500.0</v>
      </c>
      <c r="J22" s="45"/>
      <c r="K22" s="46"/>
      <c r="L22" s="44"/>
      <c r="M22" s="44"/>
      <c r="N22" s="44"/>
      <c r="O22" s="44"/>
      <c r="P22" s="19">
        <v>2500.0</v>
      </c>
      <c r="Q22" s="26">
        <f t="shared" si="1"/>
        <v>0</v>
      </c>
      <c r="R22" s="47" t="s">
        <v>43</v>
      </c>
      <c r="S22" s="2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</row>
    <row r="23" ht="34.5" customHeight="1">
      <c r="A23" s="80">
        <v>19.0</v>
      </c>
      <c r="B23" s="28">
        <v>45550.0</v>
      </c>
      <c r="C23" s="18" t="s">
        <v>961</v>
      </c>
      <c r="D23" s="19">
        <v>10008.0</v>
      </c>
      <c r="E23" s="20" t="s">
        <v>32</v>
      </c>
      <c r="F23" s="23"/>
      <c r="G23" s="29">
        <v>4500.0</v>
      </c>
      <c r="H23" s="22"/>
      <c r="I23" s="21"/>
      <c r="J23" s="29"/>
      <c r="K23" s="39"/>
      <c r="L23" s="22"/>
      <c r="M23" s="22"/>
      <c r="N23" s="22"/>
      <c r="O23" s="22"/>
      <c r="P23" s="19">
        <v>4500.0</v>
      </c>
      <c r="Q23" s="26">
        <f t="shared" si="1"/>
        <v>0</v>
      </c>
      <c r="R23" s="25" t="s">
        <v>25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0">
        <v>20.0</v>
      </c>
      <c r="B24" s="28">
        <v>45550.0</v>
      </c>
      <c r="C24" s="18" t="s">
        <v>962</v>
      </c>
      <c r="D24" s="19">
        <v>10008.0</v>
      </c>
      <c r="E24" s="20" t="s">
        <v>32</v>
      </c>
      <c r="F24" s="23"/>
      <c r="G24" s="29">
        <v>8000.0</v>
      </c>
      <c r="H24" s="29"/>
      <c r="I24" s="21"/>
      <c r="J24" s="21"/>
      <c r="K24" s="49"/>
      <c r="L24" s="22"/>
      <c r="M24" s="22"/>
      <c r="N24" s="22"/>
      <c r="O24" s="22"/>
      <c r="P24" s="19">
        <v>8000.0</v>
      </c>
      <c r="Q24" s="26">
        <f t="shared" si="1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0">
        <v>21.0</v>
      </c>
      <c r="B25" s="28">
        <v>45550.0</v>
      </c>
      <c r="C25" s="18" t="s">
        <v>963</v>
      </c>
      <c r="D25" s="19">
        <v>50306.0</v>
      </c>
      <c r="E25" s="20" t="s">
        <v>964</v>
      </c>
      <c r="F25" s="23"/>
      <c r="G25" s="29"/>
      <c r="H25" s="29"/>
      <c r="I25" s="21">
        <v>2600.0</v>
      </c>
      <c r="J25" s="21"/>
      <c r="K25" s="24"/>
      <c r="L25" s="22"/>
      <c r="M25" s="29"/>
      <c r="N25" s="22"/>
      <c r="O25" s="22"/>
      <c r="P25" s="19">
        <v>2600.0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0">
        <v>22.0</v>
      </c>
      <c r="B26" s="28">
        <v>45550.0</v>
      </c>
      <c r="C26" s="18" t="s">
        <v>965</v>
      </c>
      <c r="D26" s="19">
        <v>72839.0</v>
      </c>
      <c r="E26" s="20" t="s">
        <v>404</v>
      </c>
      <c r="F26" s="21">
        <v>5200.0</v>
      </c>
      <c r="G26" s="22"/>
      <c r="H26" s="22"/>
      <c r="I26" s="21"/>
      <c r="J26" s="21"/>
      <c r="K26" s="37"/>
      <c r="L26" s="22"/>
      <c r="M26" s="29"/>
      <c r="N26" s="22"/>
      <c r="O26" s="29"/>
      <c r="P26" s="19">
        <v>5200.0</v>
      </c>
      <c r="Q26" s="26">
        <f t="shared" si="1"/>
        <v>0</v>
      </c>
      <c r="R26" s="25" t="s">
        <v>25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0">
        <v>23.0</v>
      </c>
      <c r="B27" s="28">
        <v>45550.0</v>
      </c>
      <c r="C27" s="18" t="s">
        <v>966</v>
      </c>
      <c r="D27" s="19">
        <v>21818.0</v>
      </c>
      <c r="E27" s="20" t="s">
        <v>103</v>
      </c>
      <c r="F27" s="23"/>
      <c r="G27" s="22"/>
      <c r="H27" s="22"/>
      <c r="I27" s="21"/>
      <c r="J27" s="21"/>
      <c r="K27" s="37">
        <v>3000.0</v>
      </c>
      <c r="L27" s="22"/>
      <c r="M27" s="29"/>
      <c r="N27" s="22"/>
      <c r="O27" s="29"/>
      <c r="P27" s="19">
        <v>3000.0</v>
      </c>
      <c r="Q27" s="26">
        <f t="shared" si="1"/>
        <v>0</v>
      </c>
      <c r="R27" s="25" t="s">
        <v>36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0">
        <v>24.0</v>
      </c>
      <c r="B28" s="28">
        <v>45550.0</v>
      </c>
      <c r="C28" s="18" t="s">
        <v>967</v>
      </c>
      <c r="D28" s="19">
        <v>10008.0</v>
      </c>
      <c r="E28" s="20" t="s">
        <v>32</v>
      </c>
      <c r="F28" s="21"/>
      <c r="G28" s="29">
        <v>3590.0</v>
      </c>
      <c r="H28" s="22"/>
      <c r="I28" s="21"/>
      <c r="J28" s="21"/>
      <c r="K28" s="24"/>
      <c r="L28" s="22"/>
      <c r="M28" s="29"/>
      <c r="N28" s="22"/>
      <c r="O28" s="29"/>
      <c r="P28" s="19">
        <v>3590.0</v>
      </c>
      <c r="Q28" s="26">
        <f t="shared" si="1"/>
        <v>0</v>
      </c>
      <c r="R28" s="25" t="s">
        <v>25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0">
        <v>25.0</v>
      </c>
      <c r="B29" s="28">
        <v>45550.0</v>
      </c>
      <c r="C29" s="18" t="s">
        <v>968</v>
      </c>
      <c r="D29" s="19">
        <v>26005.0</v>
      </c>
      <c r="E29" s="20" t="s">
        <v>969</v>
      </c>
      <c r="F29" s="23"/>
      <c r="G29" s="29"/>
      <c r="H29" s="29"/>
      <c r="I29" s="21">
        <v>4500.0</v>
      </c>
      <c r="J29" s="21"/>
      <c r="K29" s="24"/>
      <c r="L29" s="22"/>
      <c r="M29" s="29"/>
      <c r="N29" s="22"/>
      <c r="O29" s="22"/>
      <c r="P29" s="19">
        <v>4500.0</v>
      </c>
      <c r="Q29" s="26">
        <f t="shared" si="1"/>
        <v>0</v>
      </c>
      <c r="R29" s="25" t="s">
        <v>43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0">
        <v>26.0</v>
      </c>
      <c r="B30" s="28">
        <v>45550.0</v>
      </c>
      <c r="C30" s="18" t="s">
        <v>970</v>
      </c>
      <c r="D30" s="19">
        <v>83058.0</v>
      </c>
      <c r="E30" s="20" t="s">
        <v>971</v>
      </c>
      <c r="F30" s="21"/>
      <c r="G30" s="29"/>
      <c r="H30" s="29"/>
      <c r="I30" s="21"/>
      <c r="J30" s="21"/>
      <c r="K30" s="37">
        <v>1000.0</v>
      </c>
      <c r="L30" s="22"/>
      <c r="M30" s="29"/>
      <c r="N30" s="22"/>
      <c r="O30" s="22"/>
      <c r="P30" s="19">
        <v>1000.0</v>
      </c>
      <c r="Q30" s="72">
        <v>0.0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0">
        <v>27.0</v>
      </c>
      <c r="B31" s="28">
        <v>45550.0</v>
      </c>
      <c r="C31" s="18" t="s">
        <v>972</v>
      </c>
      <c r="D31" s="19">
        <v>51017.0</v>
      </c>
      <c r="E31" s="20" t="s">
        <v>241</v>
      </c>
      <c r="F31" s="23"/>
      <c r="G31" s="22"/>
      <c r="H31" s="29">
        <v>42500.0</v>
      </c>
      <c r="I31" s="21"/>
      <c r="J31" s="21"/>
      <c r="K31" s="37"/>
      <c r="L31" s="22"/>
      <c r="M31" s="29"/>
      <c r="N31" s="22"/>
      <c r="O31" s="29"/>
      <c r="P31" s="19">
        <v>42500.0</v>
      </c>
      <c r="Q31" s="26">
        <f t="shared" ref="Q31:Q34" si="2">F31+G31+H31+I31+J31+K31+L31+M31+N31+O31-P31</f>
        <v>0</v>
      </c>
      <c r="R31" s="25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0">
        <v>28.0</v>
      </c>
      <c r="B32" s="28">
        <v>45550.0</v>
      </c>
      <c r="C32" s="18" t="s">
        <v>973</v>
      </c>
      <c r="D32" s="19">
        <v>56408.0</v>
      </c>
      <c r="E32" s="20" t="s">
        <v>974</v>
      </c>
      <c r="F32" s="23"/>
      <c r="G32" s="22"/>
      <c r="H32" s="29">
        <v>32500.0</v>
      </c>
      <c r="I32" s="21"/>
      <c r="J32" s="21"/>
      <c r="K32" s="37"/>
      <c r="L32" s="22"/>
      <c r="M32" s="29"/>
      <c r="N32" s="22"/>
      <c r="O32" s="29"/>
      <c r="P32" s="19">
        <v>32500.0</v>
      </c>
      <c r="Q32" s="26">
        <f t="shared" si="2"/>
        <v>0</v>
      </c>
      <c r="R32" s="25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0">
        <v>29.0</v>
      </c>
      <c r="B33" s="28">
        <v>45550.0</v>
      </c>
      <c r="C33" s="18" t="s">
        <v>975</v>
      </c>
      <c r="D33" s="19">
        <v>10008.0</v>
      </c>
      <c r="E33" s="20" t="s">
        <v>32</v>
      </c>
      <c r="F33" s="23"/>
      <c r="G33" s="22"/>
      <c r="H33" s="29"/>
      <c r="I33" s="21"/>
      <c r="J33" s="21"/>
      <c r="K33" s="37">
        <v>365.0</v>
      </c>
      <c r="L33" s="22"/>
      <c r="M33" s="29"/>
      <c r="N33" s="22"/>
      <c r="O33" s="29">
        <v>2035.0</v>
      </c>
      <c r="P33" s="19">
        <v>2400.0</v>
      </c>
      <c r="Q33" s="26">
        <f t="shared" si="2"/>
        <v>0</v>
      </c>
      <c r="R33" s="25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0">
        <v>30.0</v>
      </c>
      <c r="B34" s="28">
        <v>45550.0</v>
      </c>
      <c r="C34" s="18" t="s">
        <v>976</v>
      </c>
      <c r="D34" s="19">
        <v>84527.0</v>
      </c>
      <c r="E34" s="20" t="s">
        <v>977</v>
      </c>
      <c r="F34" s="23"/>
      <c r="G34" s="22"/>
      <c r="H34" s="29"/>
      <c r="I34" s="21"/>
      <c r="J34" s="23"/>
      <c r="K34" s="37"/>
      <c r="L34" s="22"/>
      <c r="M34" s="29"/>
      <c r="N34" s="22"/>
      <c r="O34" s="29">
        <v>3600.0</v>
      </c>
      <c r="P34" s="19">
        <v>3600.0</v>
      </c>
      <c r="Q34" s="26">
        <f t="shared" si="2"/>
        <v>0</v>
      </c>
      <c r="R34" s="25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0"/>
      <c r="B35" s="28"/>
      <c r="C35" s="18"/>
      <c r="D35" s="19"/>
      <c r="E35" s="20"/>
      <c r="F35" s="23"/>
      <c r="G35" s="22"/>
      <c r="H35" s="29"/>
      <c r="I35" s="21"/>
      <c r="J35" s="23"/>
      <c r="K35" s="37"/>
      <c r="L35" s="22"/>
      <c r="M35" s="29"/>
      <c r="N35" s="22"/>
      <c r="O35" s="29"/>
      <c r="P35" s="19"/>
      <c r="Q35" s="26"/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/>
      <c r="B36" s="28"/>
      <c r="C36" s="18"/>
      <c r="D36" s="19"/>
      <c r="E36" s="20"/>
      <c r="F36" s="23"/>
      <c r="G36" s="22"/>
      <c r="H36" s="29"/>
      <c r="I36" s="21"/>
      <c r="J36" s="23"/>
      <c r="K36" s="37"/>
      <c r="L36" s="22"/>
      <c r="M36" s="29"/>
      <c r="N36" s="22"/>
      <c r="O36" s="29"/>
      <c r="P36" s="19"/>
      <c r="Q36" s="26"/>
      <c r="R36" s="25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7.5" customHeight="1">
      <c r="A37" s="16"/>
      <c r="B37" s="28"/>
      <c r="C37" s="18"/>
      <c r="D37" s="19"/>
      <c r="E37" s="20"/>
      <c r="F37" s="55">
        <f t="shared" ref="F37:P37" si="3">SUM(F5:F36)</f>
        <v>6232</v>
      </c>
      <c r="G37" s="55">
        <f t="shared" si="3"/>
        <v>20590</v>
      </c>
      <c r="H37" s="55">
        <f t="shared" si="3"/>
        <v>75000</v>
      </c>
      <c r="I37" s="55">
        <f t="shared" si="3"/>
        <v>53250</v>
      </c>
      <c r="J37" s="55">
        <f t="shared" si="3"/>
        <v>16528</v>
      </c>
      <c r="K37" s="55">
        <f t="shared" si="3"/>
        <v>9477</v>
      </c>
      <c r="L37" s="55">
        <f t="shared" si="3"/>
        <v>0</v>
      </c>
      <c r="M37" s="55">
        <f t="shared" si="3"/>
        <v>0</v>
      </c>
      <c r="N37" s="55">
        <f t="shared" si="3"/>
        <v>0</v>
      </c>
      <c r="O37" s="55">
        <f t="shared" si="3"/>
        <v>5635</v>
      </c>
      <c r="P37" s="55">
        <f t="shared" si="3"/>
        <v>186712</v>
      </c>
      <c r="Q37" s="56">
        <v>0.0</v>
      </c>
      <c r="R37" s="57"/>
      <c r="S37" s="27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58.5" customHeight="1">
      <c r="A38" s="58"/>
      <c r="B38" s="74"/>
      <c r="C38" s="75"/>
      <c r="D38" s="76"/>
      <c r="E38" s="76"/>
      <c r="F38" s="60">
        <f>F37+G37+H37+I37+J37+K37+L37+M37+N37+O37</f>
        <v>186712</v>
      </c>
      <c r="P38" s="61"/>
      <c r="Q38" s="61"/>
      <c r="R38" s="58"/>
      <c r="S38" s="58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15.75" customHeight="1">
      <c r="A39" s="4"/>
      <c r="B39" s="77"/>
      <c r="C39" s="78"/>
      <c r="D39" s="69"/>
      <c r="E39" s="6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64" t="s">
        <v>150</v>
      </c>
      <c r="F40" s="65" t="s">
        <v>162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2"/>
      <c r="D41" s="4"/>
      <c r="E41" s="66" t="s">
        <v>152</v>
      </c>
      <c r="F41" s="65" t="s">
        <v>255</v>
      </c>
      <c r="G41" s="4"/>
      <c r="H41" s="4"/>
      <c r="I41" s="4"/>
      <c r="J41" s="4"/>
      <c r="K41" s="4"/>
      <c r="L41" s="4"/>
      <c r="M41" s="4"/>
      <c r="N41" s="4"/>
      <c r="O41" s="67" t="s">
        <v>149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6" t="s">
        <v>154</v>
      </c>
      <c r="F42" s="65" t="s">
        <v>155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156</v>
      </c>
      <c r="F43" s="65" t="s">
        <v>254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157</v>
      </c>
      <c r="F44" s="81" t="s">
        <v>978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979</v>
      </c>
      <c r="F45" s="65" t="s">
        <v>155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160</v>
      </c>
      <c r="F46" s="65" t="s">
        <v>155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161</v>
      </c>
      <c r="F47" s="68" t="s">
        <v>162</v>
      </c>
      <c r="G47" s="4"/>
      <c r="H47" s="4"/>
      <c r="I47" s="4"/>
      <c r="J47" s="4"/>
      <c r="K47" s="4"/>
      <c r="L47" s="4"/>
      <c r="M47" s="69" t="s">
        <v>812</v>
      </c>
      <c r="N47" s="4"/>
      <c r="O47" s="4"/>
      <c r="P47" s="4"/>
      <c r="Q47" s="4"/>
      <c r="R47" s="4"/>
      <c r="S47" s="4"/>
      <c r="T47" s="4"/>
      <c r="U47" s="67" t="s">
        <v>149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4"/>
      <c r="F48" s="4"/>
      <c r="G48" s="4"/>
      <c r="H48" s="4"/>
      <c r="I48" s="69" t="s">
        <v>149</v>
      </c>
      <c r="J48" s="4"/>
      <c r="K48" s="4" t="str">
        <f>I72435</f>
        <v/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69"/>
      <c r="G55" s="4"/>
      <c r="H55" s="4"/>
      <c r="I55" s="67" t="s">
        <v>163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>
        <v>7.0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7">
    <mergeCell ref="R2:R4"/>
    <mergeCell ref="S2:S4"/>
    <mergeCell ref="F3:F4"/>
    <mergeCell ref="G3:H3"/>
    <mergeCell ref="I3:J3"/>
    <mergeCell ref="K3:K4"/>
    <mergeCell ref="F38:O3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980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45551.0</v>
      </c>
      <c r="C5" s="18" t="s">
        <v>981</v>
      </c>
      <c r="D5" s="19">
        <v>54226.0</v>
      </c>
      <c r="E5" s="20" t="s">
        <v>166</v>
      </c>
      <c r="F5" s="21"/>
      <c r="G5" s="29"/>
      <c r="H5" s="23"/>
      <c r="I5" s="37">
        <v>9500.0</v>
      </c>
      <c r="J5" s="37"/>
      <c r="K5" s="22"/>
      <c r="L5" s="22"/>
      <c r="M5" s="23"/>
      <c r="N5" s="22"/>
      <c r="O5" s="22"/>
      <c r="P5" s="25">
        <v>9500.0</v>
      </c>
      <c r="Q5" s="26">
        <f t="shared" ref="Q5:Q31" si="1">F5+G5+H5+I5+J5+K5+L5+M5+N5+O5-P5</f>
        <v>0</v>
      </c>
      <c r="R5" s="25" t="s">
        <v>30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45551.0</v>
      </c>
      <c r="C6" s="18" t="s">
        <v>982</v>
      </c>
      <c r="D6" s="19">
        <v>68976.0</v>
      </c>
      <c r="E6" s="20" t="s">
        <v>983</v>
      </c>
      <c r="F6" s="23"/>
      <c r="G6" s="22"/>
      <c r="H6" s="22"/>
      <c r="I6" s="21">
        <v>5150.0</v>
      </c>
      <c r="J6" s="29"/>
      <c r="K6" s="29"/>
      <c r="L6" s="22"/>
      <c r="M6" s="21"/>
      <c r="N6" s="22"/>
      <c r="O6" s="22"/>
      <c r="P6" s="25">
        <v>5150.0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45551.0</v>
      </c>
      <c r="C7" s="18" t="s">
        <v>984</v>
      </c>
      <c r="D7" s="19">
        <v>42046.0</v>
      </c>
      <c r="E7" s="20" t="s">
        <v>84</v>
      </c>
      <c r="F7" s="22"/>
      <c r="G7" s="22"/>
      <c r="H7" s="23"/>
      <c r="I7" s="21">
        <v>4750.0</v>
      </c>
      <c r="J7" s="24"/>
      <c r="K7" s="29"/>
      <c r="L7" s="22"/>
      <c r="M7" s="22"/>
      <c r="N7" s="22"/>
      <c r="O7" s="22"/>
      <c r="P7" s="25">
        <v>4750.0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45551.0</v>
      </c>
      <c r="C8" s="18" t="s">
        <v>985</v>
      </c>
      <c r="D8" s="19">
        <v>52206.0</v>
      </c>
      <c r="E8" s="20" t="s">
        <v>881</v>
      </c>
      <c r="F8" s="22"/>
      <c r="G8" s="22"/>
      <c r="H8" s="22"/>
      <c r="I8" s="21">
        <v>5450.0</v>
      </c>
      <c r="J8" s="21"/>
      <c r="K8" s="29"/>
      <c r="L8" s="22"/>
      <c r="M8" s="22"/>
      <c r="N8" s="22"/>
      <c r="O8" s="22"/>
      <c r="P8" s="25">
        <v>5450.0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45551.0</v>
      </c>
      <c r="C9" s="18" t="s">
        <v>986</v>
      </c>
      <c r="D9" s="19">
        <v>51814.0</v>
      </c>
      <c r="E9" s="20" t="s">
        <v>911</v>
      </c>
      <c r="F9" s="22"/>
      <c r="G9" s="22"/>
      <c r="H9" s="22"/>
      <c r="I9" s="21">
        <v>7650.0</v>
      </c>
      <c r="J9" s="21"/>
      <c r="K9" s="22"/>
      <c r="L9" s="22"/>
      <c r="M9" s="23"/>
      <c r="N9" s="22"/>
      <c r="O9" s="22"/>
      <c r="P9" s="25">
        <v>7650.0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45551.0</v>
      </c>
      <c r="C10" s="18" t="s">
        <v>987</v>
      </c>
      <c r="D10" s="19">
        <v>51814.0</v>
      </c>
      <c r="E10" s="20" t="s">
        <v>911</v>
      </c>
      <c r="F10" s="22"/>
      <c r="G10" s="22"/>
      <c r="H10" s="22"/>
      <c r="I10" s="21">
        <v>150.0</v>
      </c>
      <c r="J10" s="21"/>
      <c r="K10" s="22"/>
      <c r="L10" s="22"/>
      <c r="M10" s="23"/>
      <c r="N10" s="22"/>
      <c r="O10" s="22"/>
      <c r="P10" s="25">
        <v>150.0</v>
      </c>
      <c r="Q10" s="26">
        <f t="shared" si="1"/>
        <v>0</v>
      </c>
      <c r="R10" s="25" t="s">
        <v>43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45551.0</v>
      </c>
      <c r="C11" s="18" t="s">
        <v>988</v>
      </c>
      <c r="D11" s="19">
        <v>81859.0</v>
      </c>
      <c r="E11" s="20" t="s">
        <v>989</v>
      </c>
      <c r="F11" s="22"/>
      <c r="G11" s="22"/>
      <c r="H11" s="29"/>
      <c r="I11" s="21"/>
      <c r="J11" s="21">
        <v>5150.0</v>
      </c>
      <c r="K11" s="29"/>
      <c r="L11" s="22"/>
      <c r="M11" s="23"/>
      <c r="N11" s="22"/>
      <c r="O11" s="22"/>
      <c r="P11" s="25">
        <v>5150.0</v>
      </c>
      <c r="Q11" s="26">
        <f t="shared" si="1"/>
        <v>0</v>
      </c>
      <c r="R11" s="25" t="s">
        <v>43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45551.0</v>
      </c>
      <c r="C12" s="18" t="s">
        <v>990</v>
      </c>
      <c r="D12" s="19">
        <v>48192.0</v>
      </c>
      <c r="E12" s="20" t="s">
        <v>991</v>
      </c>
      <c r="F12" s="22"/>
      <c r="G12" s="22"/>
      <c r="H12" s="29"/>
      <c r="I12" s="21">
        <v>4849.0</v>
      </c>
      <c r="J12" s="21"/>
      <c r="K12" s="22"/>
      <c r="L12" s="22"/>
      <c r="M12" s="23"/>
      <c r="N12" s="22"/>
      <c r="O12" s="22"/>
      <c r="P12" s="25">
        <v>4849.0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45551.0</v>
      </c>
      <c r="C13" s="32" t="s">
        <v>992</v>
      </c>
      <c r="D13" s="33">
        <v>52373.0</v>
      </c>
      <c r="E13" s="34" t="s">
        <v>373</v>
      </c>
      <c r="F13" s="22"/>
      <c r="G13" s="22"/>
      <c r="H13" s="22"/>
      <c r="I13" s="21"/>
      <c r="J13" s="21">
        <v>15000.0</v>
      </c>
      <c r="K13" s="22"/>
      <c r="L13" s="22"/>
      <c r="M13" s="23"/>
      <c r="N13" s="22"/>
      <c r="O13" s="22"/>
      <c r="P13" s="35">
        <v>15000.0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45551.0</v>
      </c>
      <c r="C14" s="18" t="s">
        <v>993</v>
      </c>
      <c r="D14" s="19">
        <v>52083.0</v>
      </c>
      <c r="E14" s="20" t="s">
        <v>71</v>
      </c>
      <c r="F14" s="22"/>
      <c r="G14" s="22"/>
      <c r="H14" s="22"/>
      <c r="I14" s="21">
        <v>10700.0</v>
      </c>
      <c r="J14" s="21"/>
      <c r="K14" s="22"/>
      <c r="L14" s="22"/>
      <c r="M14" s="23"/>
      <c r="N14" s="22"/>
      <c r="O14" s="22"/>
      <c r="P14" s="25">
        <v>10700.0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45551.0</v>
      </c>
      <c r="C15" s="18" t="s">
        <v>994</v>
      </c>
      <c r="D15" s="19">
        <v>22727.0</v>
      </c>
      <c r="E15" s="20" t="s">
        <v>519</v>
      </c>
      <c r="F15" s="22"/>
      <c r="G15" s="22"/>
      <c r="H15" s="22"/>
      <c r="I15" s="21">
        <v>2500.0</v>
      </c>
      <c r="J15" s="23"/>
      <c r="K15" s="22"/>
      <c r="L15" s="22"/>
      <c r="M15" s="23"/>
      <c r="N15" s="22"/>
      <c r="O15" s="22"/>
      <c r="P15" s="25">
        <v>2500.0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45551.0</v>
      </c>
      <c r="C16" s="18" t="s">
        <v>995</v>
      </c>
      <c r="D16" s="19">
        <v>66932.0</v>
      </c>
      <c r="E16" s="20" t="s">
        <v>823</v>
      </c>
      <c r="F16" s="22"/>
      <c r="G16" s="22"/>
      <c r="H16" s="22"/>
      <c r="I16" s="21">
        <v>3100.0</v>
      </c>
      <c r="J16" s="21"/>
      <c r="K16" s="22"/>
      <c r="L16" s="22"/>
      <c r="M16" s="23"/>
      <c r="N16" s="22"/>
      <c r="O16" s="22"/>
      <c r="P16" s="25">
        <v>3100.0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45551.0</v>
      </c>
      <c r="C17" s="18" t="s">
        <v>996</v>
      </c>
      <c r="D17" s="19">
        <v>22341.0</v>
      </c>
      <c r="E17" s="20" t="s">
        <v>69</v>
      </c>
      <c r="F17" s="22"/>
      <c r="G17" s="22"/>
      <c r="H17" s="22"/>
      <c r="I17" s="21">
        <v>1400.0</v>
      </c>
      <c r="J17" s="21"/>
      <c r="K17" s="22"/>
      <c r="L17" s="22"/>
      <c r="M17" s="23"/>
      <c r="N17" s="22"/>
      <c r="O17" s="22"/>
      <c r="P17" s="25">
        <v>1400.0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45551.0</v>
      </c>
      <c r="C18" s="18" t="s">
        <v>997</v>
      </c>
      <c r="D18" s="19">
        <v>22332.0</v>
      </c>
      <c r="E18" s="20" t="s">
        <v>79</v>
      </c>
      <c r="F18" s="22"/>
      <c r="G18" s="22"/>
      <c r="H18" s="22"/>
      <c r="I18" s="21">
        <v>29500.0</v>
      </c>
      <c r="J18" s="21"/>
      <c r="K18" s="29"/>
      <c r="L18" s="22"/>
      <c r="M18" s="22"/>
      <c r="N18" s="22"/>
      <c r="O18" s="22"/>
      <c r="P18" s="25">
        <v>29500.0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45551.0</v>
      </c>
      <c r="C19" s="32" t="s">
        <v>998</v>
      </c>
      <c r="D19" s="33">
        <v>67621.0</v>
      </c>
      <c r="E19" s="34" t="s">
        <v>216</v>
      </c>
      <c r="F19" s="22"/>
      <c r="G19" s="22"/>
      <c r="H19" s="22"/>
      <c r="I19" s="21">
        <v>2400.0</v>
      </c>
      <c r="J19" s="21"/>
      <c r="K19" s="22"/>
      <c r="L19" s="22"/>
      <c r="M19" s="23"/>
      <c r="N19" s="22"/>
      <c r="O19" s="22"/>
      <c r="P19" s="35">
        <v>2400.0</v>
      </c>
      <c r="Q19" s="26">
        <f t="shared" si="1"/>
        <v>0</v>
      </c>
      <c r="R19" s="35" t="s">
        <v>30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45551.0</v>
      </c>
      <c r="C20" s="18" t="s">
        <v>999</v>
      </c>
      <c r="D20" s="19">
        <v>55106.0</v>
      </c>
      <c r="E20" s="20" t="s">
        <v>1000</v>
      </c>
      <c r="F20" s="22"/>
      <c r="G20" s="22"/>
      <c r="H20" s="22"/>
      <c r="I20" s="37"/>
      <c r="J20" s="37">
        <v>5150.0</v>
      </c>
      <c r="K20" s="22"/>
      <c r="L20" s="22"/>
      <c r="M20" s="22"/>
      <c r="N20" s="22"/>
      <c r="O20" s="22"/>
      <c r="P20" s="25">
        <v>5150.0</v>
      </c>
      <c r="Q20" s="26">
        <f t="shared" si="1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45551.0</v>
      </c>
      <c r="C21" s="18" t="s">
        <v>1001</v>
      </c>
      <c r="D21" s="19">
        <v>65690.0</v>
      </c>
      <c r="E21" s="20" t="s">
        <v>1002</v>
      </c>
      <c r="F21" s="23"/>
      <c r="G21" s="22"/>
      <c r="H21" s="22"/>
      <c r="I21" s="45">
        <v>2930.0</v>
      </c>
      <c r="J21" s="29"/>
      <c r="K21" s="39"/>
      <c r="L21" s="22"/>
      <c r="M21" s="22"/>
      <c r="N21" s="22"/>
      <c r="O21" s="22"/>
      <c r="P21" s="25">
        <v>2930.0</v>
      </c>
      <c r="Q21" s="26">
        <f t="shared" si="1"/>
        <v>0</v>
      </c>
      <c r="R21" s="25" t="s">
        <v>43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45551.0</v>
      </c>
      <c r="C22" s="18" t="s">
        <v>1003</v>
      </c>
      <c r="D22" s="19">
        <v>52206.0</v>
      </c>
      <c r="E22" s="20" t="s">
        <v>881</v>
      </c>
      <c r="F22" s="23"/>
      <c r="G22" s="22"/>
      <c r="H22" s="22"/>
      <c r="I22" s="21">
        <v>1050.0</v>
      </c>
      <c r="J22" s="29"/>
      <c r="K22" s="23"/>
      <c r="L22" s="22"/>
      <c r="M22" s="22"/>
      <c r="N22" s="22"/>
      <c r="O22" s="22"/>
      <c r="P22" s="25">
        <v>1050.0</v>
      </c>
      <c r="Q22" s="26">
        <f t="shared" si="1"/>
        <v>0</v>
      </c>
      <c r="R22" s="25" t="s">
        <v>43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45551.0</v>
      </c>
      <c r="C23" s="41" t="s">
        <v>1004</v>
      </c>
      <c r="D23" s="42">
        <v>39317.0</v>
      </c>
      <c r="E23" s="43" t="s">
        <v>112</v>
      </c>
      <c r="F23" s="38"/>
      <c r="G23" s="44"/>
      <c r="H23" s="44"/>
      <c r="I23" s="45"/>
      <c r="J23" s="45">
        <v>12500.0</v>
      </c>
      <c r="K23" s="46"/>
      <c r="L23" s="44"/>
      <c r="M23" s="44"/>
      <c r="N23" s="44"/>
      <c r="O23" s="44"/>
      <c r="P23" s="47">
        <v>12500.0</v>
      </c>
      <c r="Q23" s="26">
        <f t="shared" si="1"/>
        <v>0</v>
      </c>
      <c r="R23" s="47" t="s">
        <v>43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45551.0</v>
      </c>
      <c r="C24" s="18" t="s">
        <v>1005</v>
      </c>
      <c r="D24" s="19">
        <v>10006.0</v>
      </c>
      <c r="E24" s="20" t="s">
        <v>130</v>
      </c>
      <c r="F24" s="23"/>
      <c r="G24" s="29">
        <v>1000.0</v>
      </c>
      <c r="H24" s="22"/>
      <c r="I24" s="21"/>
      <c r="J24" s="29"/>
      <c r="K24" s="39"/>
      <c r="L24" s="22"/>
      <c r="M24" s="22"/>
      <c r="N24" s="22"/>
      <c r="O24" s="22"/>
      <c r="P24" s="25">
        <v>1000.0</v>
      </c>
      <c r="Q24" s="26">
        <f t="shared" si="1"/>
        <v>0</v>
      </c>
      <c r="R24" s="25" t="s">
        <v>36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45551.0</v>
      </c>
      <c r="C25" s="18" t="s">
        <v>1006</v>
      </c>
      <c r="D25" s="19">
        <v>84843.0</v>
      </c>
      <c r="E25" s="20" t="s">
        <v>1007</v>
      </c>
      <c r="F25" s="23"/>
      <c r="G25" s="22"/>
      <c r="H25" s="29"/>
      <c r="I25" s="21">
        <v>7300.0</v>
      </c>
      <c r="J25" s="21"/>
      <c r="K25" s="49"/>
      <c r="L25" s="22"/>
      <c r="M25" s="22"/>
      <c r="N25" s="22"/>
      <c r="O25" s="22"/>
      <c r="P25" s="25">
        <v>7300.0</v>
      </c>
      <c r="Q25" s="26">
        <f t="shared" si="1"/>
        <v>0</v>
      </c>
      <c r="R25" s="25" t="s">
        <v>30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45551.0</v>
      </c>
      <c r="C26" s="18" t="s">
        <v>1008</v>
      </c>
      <c r="D26" s="19">
        <v>21828.0</v>
      </c>
      <c r="E26" s="20" t="s">
        <v>144</v>
      </c>
      <c r="F26" s="23"/>
      <c r="G26" s="22"/>
      <c r="H26" s="29"/>
      <c r="I26" s="21"/>
      <c r="J26" s="21"/>
      <c r="K26" s="37">
        <v>2500.0</v>
      </c>
      <c r="L26" s="22"/>
      <c r="M26" s="29"/>
      <c r="N26" s="22"/>
      <c r="O26" s="22"/>
      <c r="P26" s="25">
        <v>2500.0</v>
      </c>
      <c r="Q26" s="26">
        <f t="shared" si="1"/>
        <v>0</v>
      </c>
      <c r="R26" s="25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45551.0</v>
      </c>
      <c r="C27" s="18" t="s">
        <v>1009</v>
      </c>
      <c r="D27" s="19">
        <v>51017.0</v>
      </c>
      <c r="E27" s="20" t="s">
        <v>241</v>
      </c>
      <c r="F27" s="23"/>
      <c r="G27" s="22"/>
      <c r="H27" s="29">
        <v>9000.0</v>
      </c>
      <c r="I27" s="21"/>
      <c r="J27" s="21"/>
      <c r="K27" s="37"/>
      <c r="L27" s="22"/>
      <c r="M27" s="29"/>
      <c r="N27" s="22"/>
      <c r="O27" s="29"/>
      <c r="P27" s="25">
        <v>9000.0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45551.0</v>
      </c>
      <c r="C28" s="18" t="s">
        <v>1010</v>
      </c>
      <c r="D28" s="19">
        <v>30909.0</v>
      </c>
      <c r="E28" s="20" t="s">
        <v>1011</v>
      </c>
      <c r="F28" s="23"/>
      <c r="G28" s="22"/>
      <c r="H28" s="29">
        <v>2600.0</v>
      </c>
      <c r="I28" s="21"/>
      <c r="J28" s="21"/>
      <c r="K28" s="37"/>
      <c r="L28" s="22"/>
      <c r="M28" s="29"/>
      <c r="N28" s="22"/>
      <c r="O28" s="29"/>
      <c r="P28" s="25">
        <v>2600.0</v>
      </c>
      <c r="Q28" s="26">
        <f t="shared" si="1"/>
        <v>0</v>
      </c>
      <c r="R28" s="25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/>
      <c r="B29" s="28"/>
      <c r="C29" s="18"/>
      <c r="D29" s="19"/>
      <c r="E29" s="20"/>
      <c r="F29" s="23"/>
      <c r="G29" s="22"/>
      <c r="H29" s="22"/>
      <c r="I29" s="21"/>
      <c r="J29" s="21"/>
      <c r="K29" s="24"/>
      <c r="L29" s="22"/>
      <c r="M29" s="29"/>
      <c r="N29" s="22"/>
      <c r="O29" s="29"/>
      <c r="P29" s="25"/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/>
      <c r="B30" s="28"/>
      <c r="C30" s="18"/>
      <c r="D30" s="19"/>
      <c r="E30" s="20"/>
      <c r="F30" s="23"/>
      <c r="G30" s="22"/>
      <c r="H30" s="29"/>
      <c r="I30" s="21"/>
      <c r="J30" s="23"/>
      <c r="K30" s="37"/>
      <c r="L30" s="22"/>
      <c r="M30" s="29"/>
      <c r="N30" s="22"/>
      <c r="O30" s="29"/>
      <c r="P30" s="25"/>
      <c r="Q30" s="26">
        <f t="shared" si="1"/>
        <v>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/>
      <c r="B31" s="28"/>
      <c r="C31" s="18"/>
      <c r="D31" s="19"/>
      <c r="E31" s="20"/>
      <c r="F31" s="23"/>
      <c r="G31" s="22"/>
      <c r="H31" s="29"/>
      <c r="I31" s="23"/>
      <c r="J31" s="23"/>
      <c r="K31" s="24"/>
      <c r="L31" s="22"/>
      <c r="M31" s="22"/>
      <c r="N31" s="22"/>
      <c r="O31" s="22"/>
      <c r="P31" s="25"/>
      <c r="Q31" s="26">
        <f t="shared" si="1"/>
        <v>0</v>
      </c>
      <c r="R31" s="50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7.5" customHeight="1">
      <c r="A32" s="16"/>
      <c r="B32" s="51"/>
      <c r="C32" s="52"/>
      <c r="D32" s="53" t="s">
        <v>149</v>
      </c>
      <c r="E32" s="54"/>
      <c r="F32" s="55">
        <f t="shared" ref="F32:P32" si="2">SUM(F5:F31)</f>
        <v>0</v>
      </c>
      <c r="G32" s="55">
        <f t="shared" si="2"/>
        <v>1000</v>
      </c>
      <c r="H32" s="55">
        <f t="shared" si="2"/>
        <v>11600</v>
      </c>
      <c r="I32" s="55">
        <f t="shared" si="2"/>
        <v>98379</v>
      </c>
      <c r="J32" s="55">
        <f t="shared" si="2"/>
        <v>37800</v>
      </c>
      <c r="K32" s="55">
        <f t="shared" si="2"/>
        <v>2500</v>
      </c>
      <c r="L32" s="55">
        <f t="shared" si="2"/>
        <v>0</v>
      </c>
      <c r="M32" s="55">
        <f t="shared" si="2"/>
        <v>0</v>
      </c>
      <c r="N32" s="55">
        <f t="shared" si="2"/>
        <v>0</v>
      </c>
      <c r="O32" s="55">
        <f t="shared" si="2"/>
        <v>0</v>
      </c>
      <c r="P32" s="55">
        <f t="shared" si="2"/>
        <v>151279</v>
      </c>
      <c r="Q32" s="56">
        <v>0.0</v>
      </c>
      <c r="R32" s="57"/>
      <c r="S32" s="27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58.5" customHeight="1">
      <c r="A33" s="58"/>
      <c r="B33" s="58"/>
      <c r="C33" s="59"/>
      <c r="D33" s="58"/>
      <c r="E33" s="58"/>
      <c r="F33" s="60">
        <f>F32+G32+H32+I32+J32+K32+L32+M32+N32+O32</f>
        <v>151279</v>
      </c>
      <c r="P33" s="61"/>
      <c r="Q33" s="61"/>
      <c r="R33" s="58"/>
      <c r="S33" s="58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15.75" customHeight="1">
      <c r="A34" s="4"/>
      <c r="B34" s="4"/>
      <c r="C34" s="6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3" t="s">
        <v>149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2"/>
      <c r="D37" s="4"/>
      <c r="E37" s="64" t="s">
        <v>150</v>
      </c>
      <c r="F37" s="65" t="s">
        <v>254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2"/>
      <c r="D38" s="4"/>
      <c r="E38" s="66" t="s">
        <v>152</v>
      </c>
      <c r="F38" s="65" t="s">
        <v>255</v>
      </c>
      <c r="G38" s="4"/>
      <c r="H38" s="4"/>
      <c r="I38" s="4"/>
      <c r="J38" s="4"/>
      <c r="K38" s="4"/>
      <c r="L38" s="4"/>
      <c r="M38" s="4"/>
      <c r="N38" s="4"/>
      <c r="O38" s="67" t="s">
        <v>149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2"/>
      <c r="D39" s="4"/>
      <c r="E39" s="66" t="s">
        <v>154</v>
      </c>
      <c r="F39" s="65" t="s">
        <v>155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66" t="s">
        <v>156</v>
      </c>
      <c r="F40" s="65" t="s">
        <v>155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2"/>
      <c r="D41" s="4"/>
      <c r="E41" s="66" t="s">
        <v>157</v>
      </c>
      <c r="F41" s="65" t="s">
        <v>1012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6" t="s">
        <v>1013</v>
      </c>
      <c r="F42" s="65" t="s">
        <v>155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160</v>
      </c>
      <c r="F43" s="65" t="s">
        <v>155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161</v>
      </c>
      <c r="F44" s="68" t="s">
        <v>162</v>
      </c>
      <c r="G44" s="4"/>
      <c r="H44" s="4"/>
      <c r="I44" s="4"/>
      <c r="J44" s="4"/>
      <c r="K44" s="4"/>
      <c r="L44" s="4"/>
      <c r="M44" s="69" t="s">
        <v>812</v>
      </c>
      <c r="N44" s="4"/>
      <c r="O44" s="4"/>
      <c r="P44" s="4"/>
      <c r="Q44" s="4"/>
      <c r="R44" s="4"/>
      <c r="S44" s="4"/>
      <c r="T44" s="4"/>
      <c r="U44" s="67" t="s">
        <v>149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4"/>
      <c r="F45" s="4"/>
      <c r="G45" s="4"/>
      <c r="H45" s="4"/>
      <c r="I45" s="4"/>
      <c r="J45" s="4"/>
      <c r="K45" s="4" t="str">
        <f>I72432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69"/>
      <c r="G52" s="4"/>
      <c r="H52" s="4"/>
      <c r="I52" s="67" t="s">
        <v>163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>
        <v>7.0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7">
    <mergeCell ref="R2:R4"/>
    <mergeCell ref="S2:S4"/>
    <mergeCell ref="F3:F4"/>
    <mergeCell ref="G3:H3"/>
    <mergeCell ref="I3:J3"/>
    <mergeCell ref="K3:K4"/>
    <mergeCell ref="F33:O3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1014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45551.0</v>
      </c>
      <c r="C5" s="18" t="s">
        <v>1015</v>
      </c>
      <c r="D5" s="19">
        <v>76556.0</v>
      </c>
      <c r="E5" s="20" t="s">
        <v>1016</v>
      </c>
      <c r="F5" s="21"/>
      <c r="G5" s="29"/>
      <c r="H5" s="23"/>
      <c r="I5" s="37"/>
      <c r="J5" s="37"/>
      <c r="K5" s="22"/>
      <c r="L5" s="22"/>
      <c r="M5" s="21">
        <v>1800.0</v>
      </c>
      <c r="N5" s="22"/>
      <c r="O5" s="22"/>
      <c r="P5" s="25">
        <v>1800.0</v>
      </c>
      <c r="Q5" s="26">
        <f t="shared" ref="Q5:Q36" si="1">F5+G5+H5+I5+J5+K5+L5+M5+N5+O5-P5</f>
        <v>0</v>
      </c>
      <c r="R5" s="25" t="s">
        <v>36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45552.0</v>
      </c>
      <c r="C6" s="18" t="s">
        <v>1017</v>
      </c>
      <c r="D6" s="19">
        <v>45227.0</v>
      </c>
      <c r="E6" s="20" t="s">
        <v>368</v>
      </c>
      <c r="F6" s="23"/>
      <c r="G6" s="22"/>
      <c r="H6" s="22"/>
      <c r="I6" s="21">
        <v>2500.0</v>
      </c>
      <c r="J6" s="29"/>
      <c r="K6" s="29"/>
      <c r="L6" s="22"/>
      <c r="M6" s="21"/>
      <c r="N6" s="22"/>
      <c r="O6" s="22"/>
      <c r="P6" s="25">
        <v>2500.0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45552.0</v>
      </c>
      <c r="C7" s="18" t="s">
        <v>1018</v>
      </c>
      <c r="D7" s="19">
        <v>78454.0</v>
      </c>
      <c r="E7" s="20" t="s">
        <v>574</v>
      </c>
      <c r="F7" s="22"/>
      <c r="G7" s="22"/>
      <c r="H7" s="23"/>
      <c r="I7" s="21">
        <v>5150.0</v>
      </c>
      <c r="J7" s="24"/>
      <c r="K7" s="29"/>
      <c r="L7" s="22"/>
      <c r="M7" s="22"/>
      <c r="N7" s="22"/>
      <c r="O7" s="22"/>
      <c r="P7" s="25">
        <v>5150.0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45552.0</v>
      </c>
      <c r="C8" s="18" t="s">
        <v>1019</v>
      </c>
      <c r="D8" s="19">
        <v>51309.0</v>
      </c>
      <c r="E8" s="20" t="s">
        <v>504</v>
      </c>
      <c r="F8" s="22"/>
      <c r="G8" s="22"/>
      <c r="H8" s="22"/>
      <c r="I8" s="21">
        <v>3350.0</v>
      </c>
      <c r="J8" s="21"/>
      <c r="K8" s="29"/>
      <c r="L8" s="22"/>
      <c r="M8" s="22"/>
      <c r="N8" s="22"/>
      <c r="O8" s="22"/>
      <c r="P8" s="25">
        <v>3350.0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45552.0</v>
      </c>
      <c r="C9" s="18" t="s">
        <v>1020</v>
      </c>
      <c r="D9" s="19">
        <v>81108.0</v>
      </c>
      <c r="E9" s="20" t="s">
        <v>209</v>
      </c>
      <c r="F9" s="22"/>
      <c r="G9" s="22"/>
      <c r="H9" s="22"/>
      <c r="I9" s="21">
        <v>19000.0</v>
      </c>
      <c r="J9" s="21"/>
      <c r="K9" s="22"/>
      <c r="L9" s="22"/>
      <c r="M9" s="23"/>
      <c r="N9" s="22"/>
      <c r="O9" s="22"/>
      <c r="P9" s="25">
        <v>19000.0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45552.0</v>
      </c>
      <c r="C10" s="18" t="s">
        <v>1021</v>
      </c>
      <c r="D10" s="19">
        <v>55446.0</v>
      </c>
      <c r="E10" s="20" t="s">
        <v>399</v>
      </c>
      <c r="F10" s="22"/>
      <c r="G10" s="29">
        <v>1200.0</v>
      </c>
      <c r="H10" s="22"/>
      <c r="I10" s="21"/>
      <c r="J10" s="21"/>
      <c r="K10" s="22"/>
      <c r="L10" s="22"/>
      <c r="M10" s="23"/>
      <c r="N10" s="22"/>
      <c r="O10" s="22"/>
      <c r="P10" s="25">
        <v>1200.0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45552.0</v>
      </c>
      <c r="C11" s="18" t="s">
        <v>1022</v>
      </c>
      <c r="D11" s="19">
        <v>44149.0</v>
      </c>
      <c r="E11" s="20" t="s">
        <v>264</v>
      </c>
      <c r="F11" s="22"/>
      <c r="G11" s="22"/>
      <c r="H11" s="29"/>
      <c r="I11" s="21">
        <v>20000.0</v>
      </c>
      <c r="J11" s="21"/>
      <c r="K11" s="29"/>
      <c r="L11" s="22"/>
      <c r="M11" s="23"/>
      <c r="N11" s="22"/>
      <c r="O11" s="22"/>
      <c r="P11" s="25">
        <v>20000.0</v>
      </c>
      <c r="Q11" s="26">
        <f t="shared" si="1"/>
        <v>0</v>
      </c>
      <c r="R11" s="25" t="s">
        <v>43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45552.0</v>
      </c>
      <c r="C12" s="18" t="s">
        <v>1023</v>
      </c>
      <c r="D12" s="19">
        <v>22332.0</v>
      </c>
      <c r="E12" s="20" t="s">
        <v>79</v>
      </c>
      <c r="F12" s="22"/>
      <c r="G12" s="22"/>
      <c r="H12" s="29"/>
      <c r="I12" s="21">
        <v>1050.0</v>
      </c>
      <c r="J12" s="21"/>
      <c r="K12" s="29">
        <v>2050.0</v>
      </c>
      <c r="L12" s="22"/>
      <c r="M12" s="23"/>
      <c r="N12" s="22"/>
      <c r="O12" s="22"/>
      <c r="P12" s="25">
        <v>3100.0</v>
      </c>
      <c r="Q12" s="26">
        <f t="shared" si="1"/>
        <v>0</v>
      </c>
      <c r="R12" s="25" t="s">
        <v>25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45552.0</v>
      </c>
      <c r="C13" s="32" t="s">
        <v>1024</v>
      </c>
      <c r="D13" s="33">
        <v>68939.0</v>
      </c>
      <c r="E13" s="34" t="s">
        <v>1025</v>
      </c>
      <c r="F13" s="22"/>
      <c r="G13" s="22"/>
      <c r="H13" s="22"/>
      <c r="I13" s="21">
        <v>5150.0</v>
      </c>
      <c r="J13" s="21"/>
      <c r="K13" s="22"/>
      <c r="L13" s="22"/>
      <c r="M13" s="23"/>
      <c r="N13" s="22"/>
      <c r="O13" s="22"/>
      <c r="P13" s="35">
        <v>5150.0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45552.0</v>
      </c>
      <c r="C14" s="18" t="s">
        <v>1026</v>
      </c>
      <c r="D14" s="19">
        <v>67621.0</v>
      </c>
      <c r="E14" s="20" t="s">
        <v>216</v>
      </c>
      <c r="F14" s="22"/>
      <c r="G14" s="22"/>
      <c r="H14" s="22"/>
      <c r="I14" s="21">
        <v>5000.0</v>
      </c>
      <c r="J14" s="21"/>
      <c r="K14" s="22"/>
      <c r="L14" s="22"/>
      <c r="M14" s="23"/>
      <c r="N14" s="22"/>
      <c r="O14" s="22"/>
      <c r="P14" s="25">
        <v>5000.0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45552.0</v>
      </c>
      <c r="C15" s="18" t="s">
        <v>1027</v>
      </c>
      <c r="D15" s="19">
        <v>36555.0</v>
      </c>
      <c r="E15" s="20" t="s">
        <v>65</v>
      </c>
      <c r="F15" s="22"/>
      <c r="G15" s="22"/>
      <c r="H15" s="22"/>
      <c r="I15" s="21">
        <v>8800.0</v>
      </c>
      <c r="J15" s="23"/>
      <c r="K15" s="29">
        <v>700.0</v>
      </c>
      <c r="L15" s="22"/>
      <c r="M15" s="23"/>
      <c r="N15" s="22"/>
      <c r="O15" s="22"/>
      <c r="P15" s="25">
        <v>9500.0</v>
      </c>
      <c r="Q15" s="26">
        <f t="shared" si="1"/>
        <v>0</v>
      </c>
      <c r="R15" s="25" t="s">
        <v>43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45552.0</v>
      </c>
      <c r="C16" s="18" t="s">
        <v>1028</v>
      </c>
      <c r="D16" s="19">
        <v>10250.0</v>
      </c>
      <c r="E16" s="20" t="s">
        <v>423</v>
      </c>
      <c r="F16" s="22"/>
      <c r="G16" s="22"/>
      <c r="H16" s="22"/>
      <c r="I16" s="21">
        <v>10000.0</v>
      </c>
      <c r="J16" s="21"/>
      <c r="K16" s="22"/>
      <c r="L16" s="22"/>
      <c r="M16" s="23"/>
      <c r="N16" s="22"/>
      <c r="O16" s="22"/>
      <c r="P16" s="25">
        <v>10000.0</v>
      </c>
      <c r="Q16" s="26">
        <f t="shared" si="1"/>
        <v>0</v>
      </c>
      <c r="R16" s="25" t="s">
        <v>36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45552.0</v>
      </c>
      <c r="C17" s="18" t="s">
        <v>1029</v>
      </c>
      <c r="D17" s="19">
        <v>48052.0</v>
      </c>
      <c r="E17" s="20" t="s">
        <v>1030</v>
      </c>
      <c r="F17" s="22"/>
      <c r="G17" s="22"/>
      <c r="H17" s="22"/>
      <c r="I17" s="21">
        <v>2500.0</v>
      </c>
      <c r="J17" s="21"/>
      <c r="K17" s="22"/>
      <c r="L17" s="22"/>
      <c r="M17" s="23"/>
      <c r="N17" s="22"/>
      <c r="O17" s="22"/>
      <c r="P17" s="25">
        <v>2500.0</v>
      </c>
      <c r="Q17" s="26">
        <f t="shared" si="1"/>
        <v>0</v>
      </c>
      <c r="R17" s="25" t="s">
        <v>30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45552.0</v>
      </c>
      <c r="C18" s="18" t="s">
        <v>1031</v>
      </c>
      <c r="D18" s="19">
        <v>78454.0</v>
      </c>
      <c r="E18" s="20" t="s">
        <v>574</v>
      </c>
      <c r="F18" s="22"/>
      <c r="G18" s="22"/>
      <c r="H18" s="22"/>
      <c r="I18" s="21">
        <v>1250.0</v>
      </c>
      <c r="J18" s="21"/>
      <c r="K18" s="29"/>
      <c r="L18" s="22"/>
      <c r="M18" s="22"/>
      <c r="N18" s="22"/>
      <c r="O18" s="22"/>
      <c r="P18" s="25">
        <v>1250.0</v>
      </c>
      <c r="Q18" s="26">
        <f t="shared" si="1"/>
        <v>0</v>
      </c>
      <c r="R18" s="25" t="s">
        <v>36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45552.0</v>
      </c>
      <c r="C19" s="32" t="s">
        <v>1032</v>
      </c>
      <c r="D19" s="33">
        <v>17429.0</v>
      </c>
      <c r="E19" s="34" t="s">
        <v>1033</v>
      </c>
      <c r="F19" s="22"/>
      <c r="G19" s="29">
        <v>2250.0</v>
      </c>
      <c r="H19" s="22"/>
      <c r="I19" s="21"/>
      <c r="J19" s="21"/>
      <c r="K19" s="22"/>
      <c r="L19" s="22"/>
      <c r="M19" s="23"/>
      <c r="N19" s="22"/>
      <c r="O19" s="22"/>
      <c r="P19" s="35">
        <v>2250.0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45552.0</v>
      </c>
      <c r="C20" s="18" t="s">
        <v>1034</v>
      </c>
      <c r="D20" s="19">
        <v>46927.0</v>
      </c>
      <c r="E20" s="20" t="s">
        <v>75</v>
      </c>
      <c r="F20" s="22"/>
      <c r="G20" s="22"/>
      <c r="H20" s="22"/>
      <c r="I20" s="37">
        <v>5950.0</v>
      </c>
      <c r="J20" s="37"/>
      <c r="K20" s="22"/>
      <c r="L20" s="22"/>
      <c r="M20" s="22"/>
      <c r="N20" s="22"/>
      <c r="O20" s="22"/>
      <c r="P20" s="25">
        <v>5950.0</v>
      </c>
      <c r="Q20" s="26">
        <f t="shared" si="1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45552.0</v>
      </c>
      <c r="C21" s="18" t="s">
        <v>1035</v>
      </c>
      <c r="D21" s="19">
        <v>19688.0</v>
      </c>
      <c r="E21" s="20" t="s">
        <v>359</v>
      </c>
      <c r="F21" s="23"/>
      <c r="G21" s="22"/>
      <c r="H21" s="22"/>
      <c r="I21" s="45">
        <v>2650.0</v>
      </c>
      <c r="J21" s="29"/>
      <c r="K21" s="39"/>
      <c r="L21" s="22"/>
      <c r="M21" s="22"/>
      <c r="N21" s="22"/>
      <c r="O21" s="22"/>
      <c r="P21" s="25">
        <v>2650.0</v>
      </c>
      <c r="Q21" s="26">
        <f t="shared" si="1"/>
        <v>0</v>
      </c>
      <c r="R21" s="25" t="s">
        <v>33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45552.0</v>
      </c>
      <c r="C22" s="18" t="s">
        <v>1036</v>
      </c>
      <c r="D22" s="19">
        <v>52240.0</v>
      </c>
      <c r="E22" s="20" t="s">
        <v>202</v>
      </c>
      <c r="F22" s="23"/>
      <c r="G22" s="22"/>
      <c r="H22" s="22"/>
      <c r="I22" s="21"/>
      <c r="J22" s="29">
        <v>10000.0</v>
      </c>
      <c r="K22" s="23"/>
      <c r="L22" s="22"/>
      <c r="M22" s="22"/>
      <c r="N22" s="22"/>
      <c r="O22" s="22"/>
      <c r="P22" s="25">
        <v>10000.0</v>
      </c>
      <c r="Q22" s="26">
        <f t="shared" si="1"/>
        <v>0</v>
      </c>
      <c r="R22" s="25" t="s">
        <v>30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45552.0</v>
      </c>
      <c r="C23" s="41" t="s">
        <v>1037</v>
      </c>
      <c r="D23" s="42">
        <v>53283.0</v>
      </c>
      <c r="E23" s="43" t="s">
        <v>1038</v>
      </c>
      <c r="F23" s="38"/>
      <c r="G23" s="44"/>
      <c r="H23" s="44"/>
      <c r="I23" s="45">
        <v>5000.0</v>
      </c>
      <c r="J23" s="45"/>
      <c r="K23" s="46"/>
      <c r="L23" s="44"/>
      <c r="M23" s="44"/>
      <c r="N23" s="44"/>
      <c r="O23" s="44"/>
      <c r="P23" s="47">
        <v>5000.0</v>
      </c>
      <c r="Q23" s="26">
        <f t="shared" si="1"/>
        <v>0</v>
      </c>
      <c r="R23" s="47" t="s">
        <v>30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45552.0</v>
      </c>
      <c r="C24" s="18" t="s">
        <v>1039</v>
      </c>
      <c r="D24" s="19">
        <v>84114.0</v>
      </c>
      <c r="E24" s="20" t="s">
        <v>375</v>
      </c>
      <c r="F24" s="23"/>
      <c r="G24" s="29"/>
      <c r="H24" s="22"/>
      <c r="I24" s="21">
        <v>5150.0</v>
      </c>
      <c r="J24" s="29"/>
      <c r="K24" s="39"/>
      <c r="L24" s="22"/>
      <c r="M24" s="22"/>
      <c r="N24" s="22"/>
      <c r="O24" s="22"/>
      <c r="P24" s="25">
        <v>5150.0</v>
      </c>
      <c r="Q24" s="26">
        <f t="shared" si="1"/>
        <v>0</v>
      </c>
      <c r="R24" s="25" t="s">
        <v>36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45552.0</v>
      </c>
      <c r="C25" s="18" t="s">
        <v>1040</v>
      </c>
      <c r="D25" s="19">
        <v>46927.0</v>
      </c>
      <c r="E25" s="20" t="s">
        <v>75</v>
      </c>
      <c r="F25" s="23"/>
      <c r="G25" s="22"/>
      <c r="H25" s="29"/>
      <c r="I25" s="21">
        <v>300.0</v>
      </c>
      <c r="J25" s="21"/>
      <c r="K25" s="49"/>
      <c r="L25" s="22"/>
      <c r="M25" s="22"/>
      <c r="N25" s="22"/>
      <c r="O25" s="22"/>
      <c r="P25" s="25">
        <v>300.0</v>
      </c>
      <c r="Q25" s="26">
        <f t="shared" si="1"/>
        <v>0</v>
      </c>
      <c r="R25" s="25" t="s">
        <v>30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45552.0</v>
      </c>
      <c r="C26" s="18" t="s">
        <v>1041</v>
      </c>
      <c r="D26" s="19">
        <v>83049.0</v>
      </c>
      <c r="E26" s="20" t="s">
        <v>1042</v>
      </c>
      <c r="F26" s="23"/>
      <c r="G26" s="22"/>
      <c r="H26" s="29"/>
      <c r="I26" s="21">
        <v>2650.0</v>
      </c>
      <c r="J26" s="21"/>
      <c r="K26" s="37"/>
      <c r="L26" s="22"/>
      <c r="M26" s="29"/>
      <c r="N26" s="22"/>
      <c r="O26" s="22"/>
      <c r="P26" s="25">
        <v>2650.0</v>
      </c>
      <c r="Q26" s="26">
        <f t="shared" si="1"/>
        <v>0</v>
      </c>
      <c r="R26" s="25" t="s">
        <v>30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45552.0</v>
      </c>
      <c r="C27" s="18" t="s">
        <v>1043</v>
      </c>
      <c r="D27" s="19">
        <v>52083.0</v>
      </c>
      <c r="E27" s="20" t="s">
        <v>71</v>
      </c>
      <c r="F27" s="23"/>
      <c r="G27" s="22"/>
      <c r="H27" s="29"/>
      <c r="I27" s="21">
        <v>5550.0</v>
      </c>
      <c r="J27" s="21"/>
      <c r="K27" s="37"/>
      <c r="L27" s="22"/>
      <c r="M27" s="29"/>
      <c r="N27" s="22"/>
      <c r="O27" s="29"/>
      <c r="P27" s="25">
        <v>5550.0</v>
      </c>
      <c r="Q27" s="26">
        <f t="shared" si="1"/>
        <v>0</v>
      </c>
      <c r="R27" s="25" t="s">
        <v>36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45552.0</v>
      </c>
      <c r="C28" s="18" t="s">
        <v>1044</v>
      </c>
      <c r="D28" s="19">
        <v>19688.0</v>
      </c>
      <c r="E28" s="20" t="s">
        <v>359</v>
      </c>
      <c r="F28" s="23"/>
      <c r="G28" s="22"/>
      <c r="H28" s="29"/>
      <c r="I28" s="21">
        <v>2650.0</v>
      </c>
      <c r="J28" s="21"/>
      <c r="K28" s="37"/>
      <c r="L28" s="22"/>
      <c r="M28" s="29"/>
      <c r="N28" s="22"/>
      <c r="O28" s="29"/>
      <c r="P28" s="25">
        <v>2650.0</v>
      </c>
      <c r="Q28" s="26">
        <f t="shared" si="1"/>
        <v>0</v>
      </c>
      <c r="R28" s="25" t="s">
        <v>33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45552.0</v>
      </c>
      <c r="C29" s="18" t="s">
        <v>1045</v>
      </c>
      <c r="D29" s="19">
        <v>45227.0</v>
      </c>
      <c r="E29" s="20" t="s">
        <v>368</v>
      </c>
      <c r="F29" s="23"/>
      <c r="G29" s="22"/>
      <c r="H29" s="29"/>
      <c r="I29" s="21">
        <v>1250.0</v>
      </c>
      <c r="J29" s="21"/>
      <c r="K29" s="37"/>
      <c r="L29" s="22"/>
      <c r="M29" s="29"/>
      <c r="N29" s="22"/>
      <c r="O29" s="29"/>
      <c r="P29" s="25">
        <v>1250.0</v>
      </c>
      <c r="Q29" s="26">
        <f t="shared" si="1"/>
        <v>0</v>
      </c>
      <c r="R29" s="25" t="s">
        <v>36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45552.0</v>
      </c>
      <c r="C30" s="18" t="s">
        <v>1046</v>
      </c>
      <c r="D30" s="19">
        <v>48854.0</v>
      </c>
      <c r="E30" s="20" t="s">
        <v>588</v>
      </c>
      <c r="F30" s="23"/>
      <c r="G30" s="22"/>
      <c r="H30" s="29"/>
      <c r="I30" s="21"/>
      <c r="J30" s="21">
        <v>2700.0</v>
      </c>
      <c r="K30" s="37"/>
      <c r="L30" s="22"/>
      <c r="M30" s="29"/>
      <c r="N30" s="22"/>
      <c r="O30" s="29"/>
      <c r="P30" s="25">
        <v>2700.0</v>
      </c>
      <c r="Q30" s="26">
        <f t="shared" si="1"/>
        <v>0</v>
      </c>
      <c r="R30" s="25" t="s">
        <v>30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45551.0</v>
      </c>
      <c r="C31" s="18" t="s">
        <v>1047</v>
      </c>
      <c r="D31" s="19">
        <v>25650.0</v>
      </c>
      <c r="E31" s="20" t="s">
        <v>930</v>
      </c>
      <c r="F31" s="23"/>
      <c r="G31" s="22"/>
      <c r="H31" s="29"/>
      <c r="I31" s="21"/>
      <c r="J31" s="21"/>
      <c r="K31" s="37"/>
      <c r="L31" s="22"/>
      <c r="M31" s="29">
        <v>5000.0</v>
      </c>
      <c r="N31" s="22"/>
      <c r="O31" s="29"/>
      <c r="P31" s="25">
        <v>5000.0</v>
      </c>
      <c r="Q31" s="26">
        <f t="shared" si="1"/>
        <v>0</v>
      </c>
      <c r="R31" s="25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45552.0</v>
      </c>
      <c r="C32" s="18" t="s">
        <v>1048</v>
      </c>
      <c r="D32" s="19">
        <v>52669.0</v>
      </c>
      <c r="E32" s="20" t="s">
        <v>170</v>
      </c>
      <c r="F32" s="23"/>
      <c r="G32" s="22"/>
      <c r="H32" s="29">
        <v>32000.0</v>
      </c>
      <c r="I32" s="21"/>
      <c r="J32" s="21"/>
      <c r="K32" s="37"/>
      <c r="L32" s="22"/>
      <c r="M32" s="29"/>
      <c r="N32" s="22"/>
      <c r="O32" s="29"/>
      <c r="P32" s="25">
        <v>32000.0</v>
      </c>
      <c r="Q32" s="26">
        <f t="shared" si="1"/>
        <v>0</v>
      </c>
      <c r="R32" s="25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45552.0</v>
      </c>
      <c r="C33" s="18" t="s">
        <v>1049</v>
      </c>
      <c r="D33" s="19">
        <v>37642.0</v>
      </c>
      <c r="E33" s="20" t="s">
        <v>107</v>
      </c>
      <c r="F33" s="23"/>
      <c r="G33" s="22"/>
      <c r="H33" s="29">
        <v>10000.0</v>
      </c>
      <c r="I33" s="21"/>
      <c r="J33" s="21"/>
      <c r="K33" s="37"/>
      <c r="L33" s="22"/>
      <c r="M33" s="29"/>
      <c r="N33" s="22"/>
      <c r="O33" s="29"/>
      <c r="P33" s="25">
        <v>10000.0</v>
      </c>
      <c r="Q33" s="26">
        <f t="shared" si="1"/>
        <v>0</v>
      </c>
      <c r="R33" s="25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45552.0</v>
      </c>
      <c r="C34" s="18" t="s">
        <v>1050</v>
      </c>
      <c r="D34" s="19">
        <v>78287.0</v>
      </c>
      <c r="E34" s="20" t="s">
        <v>1051</v>
      </c>
      <c r="F34" s="23"/>
      <c r="G34" s="22"/>
      <c r="H34" s="29"/>
      <c r="I34" s="21"/>
      <c r="J34" s="21"/>
      <c r="K34" s="37">
        <v>4500.0</v>
      </c>
      <c r="L34" s="22"/>
      <c r="M34" s="29"/>
      <c r="N34" s="22"/>
      <c r="O34" s="29"/>
      <c r="P34" s="25">
        <v>4500.0</v>
      </c>
      <c r="Q34" s="26">
        <f t="shared" si="1"/>
        <v>0</v>
      </c>
      <c r="R34" s="25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45552.0</v>
      </c>
      <c r="C35" s="18" t="s">
        <v>1052</v>
      </c>
      <c r="D35" s="19">
        <v>57328.0</v>
      </c>
      <c r="E35" s="20" t="s">
        <v>541</v>
      </c>
      <c r="F35" s="23"/>
      <c r="G35" s="22"/>
      <c r="H35" s="29">
        <v>5000.0</v>
      </c>
      <c r="I35" s="21"/>
      <c r="J35" s="21"/>
      <c r="K35" s="37"/>
      <c r="L35" s="22"/>
      <c r="M35" s="29"/>
      <c r="N35" s="22"/>
      <c r="O35" s="29"/>
      <c r="P35" s="25">
        <v>5000.0</v>
      </c>
      <c r="Q35" s="26">
        <f t="shared" si="1"/>
        <v>0</v>
      </c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45552.0</v>
      </c>
      <c r="C36" s="18" t="s">
        <v>1053</v>
      </c>
      <c r="D36" s="19">
        <v>51017.0</v>
      </c>
      <c r="E36" s="20" t="s">
        <v>241</v>
      </c>
      <c r="F36" s="23"/>
      <c r="G36" s="22"/>
      <c r="H36" s="29">
        <v>12000.0</v>
      </c>
      <c r="I36" s="21"/>
      <c r="J36" s="21"/>
      <c r="K36" s="37"/>
      <c r="L36" s="22"/>
      <c r="M36" s="29"/>
      <c r="N36" s="22"/>
      <c r="O36" s="29"/>
      <c r="P36" s="25">
        <v>12000.0</v>
      </c>
      <c r="Q36" s="26">
        <f t="shared" si="1"/>
        <v>0</v>
      </c>
      <c r="R36" s="25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7.5" customHeight="1">
      <c r="A37" s="16"/>
      <c r="B37" s="51"/>
      <c r="C37" s="52"/>
      <c r="D37" s="53" t="s">
        <v>149</v>
      </c>
      <c r="E37" s="54"/>
      <c r="F37" s="55">
        <f t="shared" ref="F37:P37" si="2">SUM(F5:F36)</f>
        <v>0</v>
      </c>
      <c r="G37" s="55">
        <f t="shared" si="2"/>
        <v>3450</v>
      </c>
      <c r="H37" s="55">
        <f t="shared" si="2"/>
        <v>59000</v>
      </c>
      <c r="I37" s="55">
        <f t="shared" si="2"/>
        <v>114900</v>
      </c>
      <c r="J37" s="55">
        <f t="shared" si="2"/>
        <v>12700</v>
      </c>
      <c r="K37" s="55">
        <f t="shared" si="2"/>
        <v>7250</v>
      </c>
      <c r="L37" s="55">
        <f t="shared" si="2"/>
        <v>0</v>
      </c>
      <c r="M37" s="55">
        <f t="shared" si="2"/>
        <v>6800</v>
      </c>
      <c r="N37" s="55">
        <f t="shared" si="2"/>
        <v>0</v>
      </c>
      <c r="O37" s="55">
        <f t="shared" si="2"/>
        <v>0</v>
      </c>
      <c r="P37" s="55">
        <f t="shared" si="2"/>
        <v>204100</v>
      </c>
      <c r="Q37" s="56">
        <v>0.0</v>
      </c>
      <c r="R37" s="82">
        <f>SUM(R5:R36)</f>
        <v>0</v>
      </c>
      <c r="S37" s="57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58.5" customHeight="1">
      <c r="A38" s="58"/>
      <c r="B38" s="58"/>
      <c r="C38" s="59"/>
      <c r="D38" s="58"/>
      <c r="E38" s="58"/>
      <c r="F38" s="60">
        <f>F37+G37+H37+I37+J37+K37+L37+M37+N37+O37</f>
        <v>204100</v>
      </c>
      <c r="P38" s="61"/>
      <c r="Q38" s="61"/>
      <c r="R38" s="58"/>
      <c r="S38" s="58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15.75" customHeight="1">
      <c r="A39" s="4"/>
      <c r="B39" s="4"/>
      <c r="C39" s="6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3" t="s">
        <v>149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4" t="s">
        <v>150</v>
      </c>
      <c r="F42" s="65" t="s">
        <v>254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152</v>
      </c>
      <c r="F43" s="65" t="s">
        <v>255</v>
      </c>
      <c r="G43" s="4"/>
      <c r="H43" s="4"/>
      <c r="I43" s="4"/>
      <c r="J43" s="4"/>
      <c r="K43" s="4"/>
      <c r="L43" s="4"/>
      <c r="M43" s="4"/>
      <c r="N43" s="4"/>
      <c r="O43" s="67" t="s">
        <v>149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154</v>
      </c>
      <c r="F44" s="65" t="s">
        <v>151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156</v>
      </c>
      <c r="F45" s="65" t="s">
        <v>151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157</v>
      </c>
      <c r="F46" s="65" t="s">
        <v>254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1054</v>
      </c>
      <c r="F47" s="65" t="s">
        <v>151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160</v>
      </c>
      <c r="F48" s="65" t="s">
        <v>155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161</v>
      </c>
      <c r="F49" s="68" t="s">
        <v>162</v>
      </c>
      <c r="G49" s="4"/>
      <c r="H49" s="4"/>
      <c r="I49" s="4"/>
      <c r="J49" s="4"/>
      <c r="K49" s="4"/>
      <c r="L49" s="4"/>
      <c r="M49" s="69" t="s">
        <v>812</v>
      </c>
      <c r="N49" s="4"/>
      <c r="O49" s="4"/>
      <c r="P49" s="4"/>
      <c r="Q49" s="4"/>
      <c r="R49" s="4"/>
      <c r="S49" s="4"/>
      <c r="T49" s="4"/>
      <c r="U49" s="67" t="s">
        <v>149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 t="str">
        <f>I72437</f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69"/>
      <c r="G57" s="4"/>
      <c r="H57" s="4"/>
      <c r="I57" s="67" t="s">
        <v>163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>
        <v>7.0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7">
    <mergeCell ref="R2:R4"/>
    <mergeCell ref="S2:S4"/>
    <mergeCell ref="F3:F4"/>
    <mergeCell ref="G3:H3"/>
    <mergeCell ref="I3:J3"/>
    <mergeCell ref="K3:K4"/>
    <mergeCell ref="F38:O3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1055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45553.0</v>
      </c>
      <c r="C5" s="18" t="s">
        <v>1056</v>
      </c>
      <c r="D5" s="19">
        <v>41079.0</v>
      </c>
      <c r="E5" s="20" t="s">
        <v>1057</v>
      </c>
      <c r="F5" s="21"/>
      <c r="G5" s="29"/>
      <c r="H5" s="23"/>
      <c r="I5" s="37">
        <v>10000.0</v>
      </c>
      <c r="J5" s="37"/>
      <c r="K5" s="22"/>
      <c r="L5" s="22"/>
      <c r="M5" s="21"/>
      <c r="N5" s="22"/>
      <c r="O5" s="22"/>
      <c r="P5" s="25">
        <v>10000.0</v>
      </c>
      <c r="Q5" s="26">
        <f t="shared" ref="Q5:Q29" si="1">F5+G5+H5+I5+J5+K5+L5+M5+N5+O5-P5</f>
        <v>0</v>
      </c>
      <c r="R5" s="25" t="s">
        <v>30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45553.0</v>
      </c>
      <c r="C6" s="18" t="s">
        <v>1058</v>
      </c>
      <c r="D6" s="19">
        <v>69334.0</v>
      </c>
      <c r="E6" s="20" t="s">
        <v>1059</v>
      </c>
      <c r="F6" s="23"/>
      <c r="G6" s="22"/>
      <c r="H6" s="22"/>
      <c r="I6" s="21"/>
      <c r="J6" s="29">
        <v>600.0</v>
      </c>
      <c r="K6" s="29"/>
      <c r="L6" s="22"/>
      <c r="M6" s="21"/>
      <c r="N6" s="22"/>
      <c r="O6" s="22"/>
      <c r="P6" s="25">
        <v>600.0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45553.0</v>
      </c>
      <c r="C7" s="18" t="s">
        <v>1060</v>
      </c>
      <c r="D7" s="19">
        <v>30762.0</v>
      </c>
      <c r="E7" s="20" t="s">
        <v>1061</v>
      </c>
      <c r="F7" s="22"/>
      <c r="G7" s="22"/>
      <c r="H7" s="23"/>
      <c r="I7" s="21"/>
      <c r="J7" s="37">
        <v>3100.0</v>
      </c>
      <c r="K7" s="29"/>
      <c r="L7" s="22"/>
      <c r="M7" s="22"/>
      <c r="N7" s="22"/>
      <c r="O7" s="22"/>
      <c r="P7" s="25">
        <v>3100.0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45553.0</v>
      </c>
      <c r="C8" s="18" t="s">
        <v>1062</v>
      </c>
      <c r="D8" s="19">
        <v>58050.0</v>
      </c>
      <c r="E8" s="20" t="s">
        <v>275</v>
      </c>
      <c r="F8" s="22"/>
      <c r="G8" s="22"/>
      <c r="H8" s="22"/>
      <c r="I8" s="21">
        <v>2650.0</v>
      </c>
      <c r="J8" s="21"/>
      <c r="K8" s="29"/>
      <c r="L8" s="22"/>
      <c r="M8" s="22"/>
      <c r="N8" s="22"/>
      <c r="O8" s="22"/>
      <c r="P8" s="25">
        <v>2650.0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45553.0</v>
      </c>
      <c r="C9" s="18" t="s">
        <v>1063</v>
      </c>
      <c r="D9" s="19">
        <v>48052.0</v>
      </c>
      <c r="E9" s="20" t="s">
        <v>1030</v>
      </c>
      <c r="F9" s="22"/>
      <c r="G9" s="22"/>
      <c r="H9" s="22"/>
      <c r="I9" s="21">
        <v>8500.0</v>
      </c>
      <c r="J9" s="21"/>
      <c r="K9" s="22"/>
      <c r="L9" s="22"/>
      <c r="M9" s="23"/>
      <c r="N9" s="22"/>
      <c r="O9" s="22"/>
      <c r="P9" s="25">
        <v>8500.0</v>
      </c>
      <c r="Q9" s="26">
        <f t="shared" si="1"/>
        <v>0</v>
      </c>
      <c r="R9" s="25" t="s">
        <v>36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45553.0</v>
      </c>
      <c r="C10" s="18" t="s">
        <v>1064</v>
      </c>
      <c r="D10" s="19">
        <v>81107.0</v>
      </c>
      <c r="E10" s="20" t="s">
        <v>1065</v>
      </c>
      <c r="F10" s="22"/>
      <c r="G10" s="29"/>
      <c r="H10" s="22"/>
      <c r="I10" s="21">
        <v>14500.0</v>
      </c>
      <c r="J10" s="21"/>
      <c r="K10" s="22"/>
      <c r="L10" s="22"/>
      <c r="M10" s="23"/>
      <c r="N10" s="22"/>
      <c r="O10" s="22"/>
      <c r="P10" s="25">
        <v>14500.0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45553.0</v>
      </c>
      <c r="C11" s="18" t="s">
        <v>1066</v>
      </c>
      <c r="D11" s="19">
        <v>83637.0</v>
      </c>
      <c r="E11" s="20" t="s">
        <v>1067</v>
      </c>
      <c r="F11" s="22"/>
      <c r="G11" s="22"/>
      <c r="H11" s="29"/>
      <c r="I11" s="21">
        <v>9800.0</v>
      </c>
      <c r="J11" s="21"/>
      <c r="K11" s="29"/>
      <c r="L11" s="22"/>
      <c r="M11" s="23"/>
      <c r="N11" s="22"/>
      <c r="O11" s="22"/>
      <c r="P11" s="25">
        <v>9800.0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45553.0</v>
      </c>
      <c r="C12" s="18" t="s">
        <v>1068</v>
      </c>
      <c r="D12" s="19">
        <v>51939.0</v>
      </c>
      <c r="E12" s="20" t="s">
        <v>305</v>
      </c>
      <c r="F12" s="22"/>
      <c r="G12" s="22"/>
      <c r="H12" s="29"/>
      <c r="I12" s="21">
        <v>10900.0</v>
      </c>
      <c r="J12" s="21"/>
      <c r="K12" s="29"/>
      <c r="L12" s="22"/>
      <c r="M12" s="23"/>
      <c r="N12" s="22"/>
      <c r="O12" s="22"/>
      <c r="P12" s="25">
        <v>10900.0</v>
      </c>
      <c r="Q12" s="26">
        <f t="shared" si="1"/>
        <v>0</v>
      </c>
      <c r="R12" s="25" t="s">
        <v>36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45553.0</v>
      </c>
      <c r="C13" s="32" t="s">
        <v>1069</v>
      </c>
      <c r="D13" s="33">
        <v>74087.0</v>
      </c>
      <c r="E13" s="34" t="s">
        <v>1070</v>
      </c>
      <c r="F13" s="22"/>
      <c r="G13" s="22"/>
      <c r="H13" s="22"/>
      <c r="I13" s="21"/>
      <c r="J13" s="21">
        <v>8950.0</v>
      </c>
      <c r="K13" s="22"/>
      <c r="L13" s="22"/>
      <c r="M13" s="23"/>
      <c r="N13" s="22"/>
      <c r="O13" s="22"/>
      <c r="P13" s="35">
        <v>8950.0</v>
      </c>
      <c r="Q13" s="26">
        <f t="shared" si="1"/>
        <v>0</v>
      </c>
      <c r="R13" s="35" t="s">
        <v>33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45553.0</v>
      </c>
      <c r="C14" s="18" t="s">
        <v>1071</v>
      </c>
      <c r="D14" s="19">
        <v>61445.0</v>
      </c>
      <c r="E14" s="20" t="s">
        <v>384</v>
      </c>
      <c r="F14" s="22"/>
      <c r="G14" s="22"/>
      <c r="H14" s="22"/>
      <c r="I14" s="21">
        <v>6550.0</v>
      </c>
      <c r="J14" s="21"/>
      <c r="K14" s="22"/>
      <c r="L14" s="22"/>
      <c r="M14" s="23"/>
      <c r="N14" s="22"/>
      <c r="O14" s="22"/>
      <c r="P14" s="25">
        <v>6550.0</v>
      </c>
      <c r="Q14" s="26">
        <f t="shared" si="1"/>
        <v>0</v>
      </c>
      <c r="R14" s="25" t="s">
        <v>33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45553.0</v>
      </c>
      <c r="C15" s="18" t="s">
        <v>1072</v>
      </c>
      <c r="D15" s="19">
        <v>84855.0</v>
      </c>
      <c r="E15" s="20" t="s">
        <v>1073</v>
      </c>
      <c r="F15" s="22"/>
      <c r="G15" s="22"/>
      <c r="H15" s="22"/>
      <c r="I15" s="21">
        <v>6050.0</v>
      </c>
      <c r="J15" s="23"/>
      <c r="K15" s="29"/>
      <c r="L15" s="22"/>
      <c r="M15" s="23"/>
      <c r="N15" s="22"/>
      <c r="O15" s="22"/>
      <c r="P15" s="25">
        <v>6050.0</v>
      </c>
      <c r="Q15" s="26">
        <f t="shared" si="1"/>
        <v>0</v>
      </c>
      <c r="R15" s="25" t="s">
        <v>43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45553.0</v>
      </c>
      <c r="C16" s="18" t="s">
        <v>1074</v>
      </c>
      <c r="D16" s="19">
        <v>60149.0</v>
      </c>
      <c r="E16" s="20" t="s">
        <v>1075</v>
      </c>
      <c r="F16" s="22"/>
      <c r="G16" s="22"/>
      <c r="H16" s="22"/>
      <c r="I16" s="21"/>
      <c r="J16" s="21">
        <v>2650.0</v>
      </c>
      <c r="K16" s="22"/>
      <c r="L16" s="22"/>
      <c r="M16" s="23"/>
      <c r="N16" s="22"/>
      <c r="O16" s="22"/>
      <c r="P16" s="25">
        <v>2650.0</v>
      </c>
      <c r="Q16" s="26">
        <f t="shared" si="1"/>
        <v>0</v>
      </c>
      <c r="R16" s="25" t="s">
        <v>30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45553.0</v>
      </c>
      <c r="C17" s="18" t="s">
        <v>1076</v>
      </c>
      <c r="D17" s="19">
        <v>58074.0</v>
      </c>
      <c r="E17" s="20" t="s">
        <v>101</v>
      </c>
      <c r="F17" s="22"/>
      <c r="G17" s="22"/>
      <c r="H17" s="22"/>
      <c r="I17" s="21">
        <v>3850.0</v>
      </c>
      <c r="J17" s="21"/>
      <c r="K17" s="22"/>
      <c r="L17" s="22"/>
      <c r="M17" s="23"/>
      <c r="N17" s="22"/>
      <c r="O17" s="22"/>
      <c r="P17" s="25">
        <v>3850.0</v>
      </c>
      <c r="Q17" s="26">
        <f t="shared" si="1"/>
        <v>0</v>
      </c>
      <c r="R17" s="25" t="s">
        <v>36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45553.0</v>
      </c>
      <c r="C18" s="18" t="s">
        <v>1077</v>
      </c>
      <c r="D18" s="19">
        <v>10001.0</v>
      </c>
      <c r="E18" s="20" t="s">
        <v>917</v>
      </c>
      <c r="F18" s="22"/>
      <c r="G18" s="22"/>
      <c r="H18" s="22"/>
      <c r="I18" s="21">
        <v>3600.0</v>
      </c>
      <c r="J18" s="21"/>
      <c r="K18" s="29"/>
      <c r="L18" s="22"/>
      <c r="M18" s="22"/>
      <c r="N18" s="22"/>
      <c r="O18" s="22"/>
      <c r="P18" s="25">
        <v>3600.0</v>
      </c>
      <c r="Q18" s="26">
        <f t="shared" si="1"/>
        <v>0</v>
      </c>
      <c r="R18" s="25" t="s">
        <v>33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45553.0</v>
      </c>
      <c r="C19" s="32" t="s">
        <v>1078</v>
      </c>
      <c r="D19" s="33">
        <v>46778.0</v>
      </c>
      <c r="E19" s="34" t="s">
        <v>261</v>
      </c>
      <c r="F19" s="22"/>
      <c r="G19" s="29"/>
      <c r="H19" s="22"/>
      <c r="I19" s="21"/>
      <c r="J19" s="21">
        <v>2650.0</v>
      </c>
      <c r="K19" s="22"/>
      <c r="L19" s="22"/>
      <c r="M19" s="23"/>
      <c r="N19" s="22"/>
      <c r="O19" s="22"/>
      <c r="P19" s="35">
        <v>2650.0</v>
      </c>
      <c r="Q19" s="26">
        <f t="shared" si="1"/>
        <v>0</v>
      </c>
      <c r="R19" s="35" t="s">
        <v>30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45553.0</v>
      </c>
      <c r="C20" s="18" t="s">
        <v>1079</v>
      </c>
      <c r="D20" s="19">
        <v>80132.0</v>
      </c>
      <c r="E20" s="20" t="s">
        <v>1080</v>
      </c>
      <c r="F20" s="22"/>
      <c r="G20" s="22"/>
      <c r="H20" s="22"/>
      <c r="I20" s="37"/>
      <c r="J20" s="37">
        <v>10000.0</v>
      </c>
      <c r="K20" s="22"/>
      <c r="L20" s="22"/>
      <c r="M20" s="22"/>
      <c r="N20" s="22"/>
      <c r="O20" s="22"/>
      <c r="P20" s="25">
        <v>10000.0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45553.0</v>
      </c>
      <c r="C21" s="18" t="s">
        <v>1081</v>
      </c>
      <c r="D21" s="19">
        <v>52669.0</v>
      </c>
      <c r="E21" s="20" t="s">
        <v>170</v>
      </c>
      <c r="F21" s="23"/>
      <c r="G21" s="22"/>
      <c r="H21" s="22"/>
      <c r="I21" s="45">
        <v>1550.0</v>
      </c>
      <c r="J21" s="29"/>
      <c r="K21" s="39"/>
      <c r="L21" s="22"/>
      <c r="M21" s="22"/>
      <c r="N21" s="22"/>
      <c r="O21" s="22"/>
      <c r="P21" s="25">
        <v>1550.0</v>
      </c>
      <c r="Q21" s="26">
        <f t="shared" si="1"/>
        <v>0</v>
      </c>
      <c r="R21" s="25" t="s">
        <v>36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45553.0</v>
      </c>
      <c r="C22" s="18" t="s">
        <v>1082</v>
      </c>
      <c r="D22" s="19">
        <v>50436.0</v>
      </c>
      <c r="E22" s="20" t="s">
        <v>338</v>
      </c>
      <c r="F22" s="23"/>
      <c r="G22" s="22"/>
      <c r="H22" s="22"/>
      <c r="I22" s="21">
        <v>600.0</v>
      </c>
      <c r="J22" s="29"/>
      <c r="K22" s="23"/>
      <c r="L22" s="22"/>
      <c r="M22" s="22"/>
      <c r="N22" s="22"/>
      <c r="O22" s="22"/>
      <c r="P22" s="25">
        <v>600.0</v>
      </c>
      <c r="Q22" s="26">
        <f t="shared" si="1"/>
        <v>0</v>
      </c>
      <c r="R22" s="25" t="s">
        <v>36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45553.0</v>
      </c>
      <c r="C23" s="41" t="s">
        <v>1083</v>
      </c>
      <c r="D23" s="42">
        <v>19688.0</v>
      </c>
      <c r="E23" s="43" t="s">
        <v>359</v>
      </c>
      <c r="F23" s="38"/>
      <c r="G23" s="44"/>
      <c r="H23" s="44"/>
      <c r="I23" s="45">
        <v>2650.0</v>
      </c>
      <c r="J23" s="45"/>
      <c r="K23" s="46"/>
      <c r="L23" s="44"/>
      <c r="M23" s="44"/>
      <c r="N23" s="44"/>
      <c r="O23" s="44"/>
      <c r="P23" s="47">
        <v>2650.0</v>
      </c>
      <c r="Q23" s="26">
        <f t="shared" si="1"/>
        <v>0</v>
      </c>
      <c r="R23" s="47" t="s">
        <v>36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45553.0</v>
      </c>
      <c r="C24" s="18" t="s">
        <v>1084</v>
      </c>
      <c r="D24" s="19">
        <v>54763.0</v>
      </c>
      <c r="E24" s="20" t="s">
        <v>219</v>
      </c>
      <c r="F24" s="23"/>
      <c r="G24" s="29"/>
      <c r="H24" s="22"/>
      <c r="I24" s="21">
        <v>1800.0</v>
      </c>
      <c r="J24" s="29"/>
      <c r="K24" s="39"/>
      <c r="L24" s="22"/>
      <c r="M24" s="22"/>
      <c r="N24" s="22"/>
      <c r="O24" s="22"/>
      <c r="P24" s="25">
        <v>1800.0</v>
      </c>
      <c r="Q24" s="26">
        <f t="shared" si="1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45553.0</v>
      </c>
      <c r="C25" s="18" t="s">
        <v>1085</v>
      </c>
      <c r="D25" s="19">
        <v>52083.0</v>
      </c>
      <c r="E25" s="20" t="s">
        <v>71</v>
      </c>
      <c r="F25" s="23"/>
      <c r="G25" s="22"/>
      <c r="H25" s="29"/>
      <c r="I25" s="21">
        <v>2550.0</v>
      </c>
      <c r="J25" s="21"/>
      <c r="K25" s="49"/>
      <c r="L25" s="22"/>
      <c r="M25" s="22"/>
      <c r="N25" s="22"/>
      <c r="O25" s="22"/>
      <c r="P25" s="25">
        <v>2550.0</v>
      </c>
      <c r="Q25" s="26">
        <f t="shared" si="1"/>
        <v>0</v>
      </c>
      <c r="R25" s="25" t="s">
        <v>25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45553.0</v>
      </c>
      <c r="C26" s="18" t="s">
        <v>1086</v>
      </c>
      <c r="D26" s="19">
        <v>77283.0</v>
      </c>
      <c r="E26" s="20" t="s">
        <v>311</v>
      </c>
      <c r="F26" s="23"/>
      <c r="G26" s="22"/>
      <c r="H26" s="29"/>
      <c r="I26" s="21"/>
      <c r="J26" s="21"/>
      <c r="K26" s="37"/>
      <c r="L26" s="22"/>
      <c r="M26" s="29">
        <v>5400.0</v>
      </c>
      <c r="N26" s="22"/>
      <c r="O26" s="22"/>
      <c r="P26" s="25">
        <v>5400.0</v>
      </c>
      <c r="Q26" s="26">
        <f t="shared" si="1"/>
        <v>0</v>
      </c>
      <c r="R26" s="25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45553.0</v>
      </c>
      <c r="C27" s="18" t="s">
        <v>1087</v>
      </c>
      <c r="D27" s="19">
        <v>35220.0</v>
      </c>
      <c r="E27" s="20" t="s">
        <v>395</v>
      </c>
      <c r="F27" s="23"/>
      <c r="G27" s="22"/>
      <c r="H27" s="29">
        <v>140.0</v>
      </c>
      <c r="I27" s="21"/>
      <c r="J27" s="21"/>
      <c r="K27" s="37"/>
      <c r="L27" s="22"/>
      <c r="M27" s="29"/>
      <c r="N27" s="22"/>
      <c r="O27" s="29"/>
      <c r="P27" s="25">
        <v>140.0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45553.0</v>
      </c>
      <c r="C28" s="18" t="s">
        <v>1088</v>
      </c>
      <c r="D28" s="19">
        <v>50595.0</v>
      </c>
      <c r="E28" s="20" t="s">
        <v>86</v>
      </c>
      <c r="F28" s="23"/>
      <c r="G28" s="22"/>
      <c r="H28" s="29">
        <v>25000.0</v>
      </c>
      <c r="I28" s="21"/>
      <c r="J28" s="21"/>
      <c r="K28" s="37"/>
      <c r="L28" s="22"/>
      <c r="M28" s="29"/>
      <c r="N28" s="22"/>
      <c r="O28" s="29"/>
      <c r="P28" s="25">
        <v>25000.0</v>
      </c>
      <c r="Q28" s="26">
        <f t="shared" si="1"/>
        <v>0</v>
      </c>
      <c r="R28" s="25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45553.0</v>
      </c>
      <c r="C29" s="18" t="s">
        <v>1089</v>
      </c>
      <c r="D29" s="19">
        <v>62447.0</v>
      </c>
      <c r="E29" s="20" t="s">
        <v>1090</v>
      </c>
      <c r="F29" s="23"/>
      <c r="G29" s="22"/>
      <c r="H29" s="29"/>
      <c r="I29" s="21"/>
      <c r="J29" s="21"/>
      <c r="K29" s="37">
        <v>5000.0</v>
      </c>
      <c r="L29" s="22"/>
      <c r="M29" s="29"/>
      <c r="N29" s="22"/>
      <c r="O29" s="29"/>
      <c r="P29" s="25">
        <v>5000.0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7.5" customHeight="1">
      <c r="A30" s="16"/>
      <c r="B30" s="51"/>
      <c r="C30" s="52"/>
      <c r="D30" s="53" t="s">
        <v>149</v>
      </c>
      <c r="E30" s="54"/>
      <c r="F30" s="55">
        <f t="shared" ref="F30:P30" si="2">SUM(F5:F29)</f>
        <v>0</v>
      </c>
      <c r="G30" s="55">
        <f t="shared" si="2"/>
        <v>0</v>
      </c>
      <c r="H30" s="55">
        <f t="shared" si="2"/>
        <v>25140</v>
      </c>
      <c r="I30" s="55">
        <f t="shared" si="2"/>
        <v>85550</v>
      </c>
      <c r="J30" s="55">
        <f t="shared" si="2"/>
        <v>27950</v>
      </c>
      <c r="K30" s="55">
        <f t="shared" si="2"/>
        <v>5000</v>
      </c>
      <c r="L30" s="55">
        <f t="shared" si="2"/>
        <v>0</v>
      </c>
      <c r="M30" s="55">
        <f t="shared" si="2"/>
        <v>5400</v>
      </c>
      <c r="N30" s="55">
        <f t="shared" si="2"/>
        <v>0</v>
      </c>
      <c r="O30" s="55">
        <f t="shared" si="2"/>
        <v>0</v>
      </c>
      <c r="P30" s="55">
        <f t="shared" si="2"/>
        <v>149040</v>
      </c>
      <c r="Q30" s="56">
        <v>0.0</v>
      </c>
      <c r="R30" s="82">
        <f>SUM(R5:R29)</f>
        <v>0</v>
      </c>
      <c r="S30" s="57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ht="58.5" customHeight="1">
      <c r="A31" s="58"/>
      <c r="B31" s="58"/>
      <c r="C31" s="59"/>
      <c r="D31" s="58"/>
      <c r="E31" s="58"/>
      <c r="F31" s="60">
        <f>F30+G30+H30+I30+J30+K30+L30+M30+N30+O30</f>
        <v>149040</v>
      </c>
      <c r="P31" s="61"/>
      <c r="Q31" s="61"/>
      <c r="R31" s="58"/>
      <c r="S31" s="58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ht="15.75" customHeight="1">
      <c r="A32" s="4"/>
      <c r="B32" s="4"/>
      <c r="C32" s="6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3" t="s">
        <v>149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2"/>
      <c r="D35" s="4"/>
      <c r="E35" s="64" t="s">
        <v>150</v>
      </c>
      <c r="F35" s="65" t="s">
        <v>254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2"/>
      <c r="D36" s="4"/>
      <c r="E36" s="66" t="s">
        <v>152</v>
      </c>
      <c r="F36" s="65" t="s">
        <v>254</v>
      </c>
      <c r="G36" s="4"/>
      <c r="H36" s="4"/>
      <c r="I36" s="4"/>
      <c r="J36" s="4"/>
      <c r="K36" s="4"/>
      <c r="L36" s="4"/>
      <c r="M36" s="4"/>
      <c r="N36" s="4"/>
      <c r="O36" s="67" t="s">
        <v>149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2"/>
      <c r="D37" s="4"/>
      <c r="E37" s="66" t="s">
        <v>154</v>
      </c>
      <c r="F37" s="65" t="s">
        <v>151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2"/>
      <c r="D38" s="4"/>
      <c r="E38" s="66" t="s">
        <v>156</v>
      </c>
      <c r="F38" s="65" t="s">
        <v>151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2"/>
      <c r="D39" s="4"/>
      <c r="E39" s="66" t="s">
        <v>157</v>
      </c>
      <c r="F39" s="65" t="s">
        <v>1091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66" t="s">
        <v>1092</v>
      </c>
      <c r="F40" s="65" t="s">
        <v>151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2"/>
      <c r="D41" s="4"/>
      <c r="E41" s="66" t="s">
        <v>160</v>
      </c>
      <c r="F41" s="65" t="s">
        <v>155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6" t="s">
        <v>161</v>
      </c>
      <c r="F42" s="68" t="s">
        <v>162</v>
      </c>
      <c r="G42" s="4"/>
      <c r="H42" s="4"/>
      <c r="I42" s="4"/>
      <c r="J42" s="4"/>
      <c r="K42" s="4"/>
      <c r="L42" s="4"/>
      <c r="M42" s="69" t="s">
        <v>812</v>
      </c>
      <c r="N42" s="4"/>
      <c r="O42" s="4"/>
      <c r="P42" s="4"/>
      <c r="Q42" s="4"/>
      <c r="R42" s="4"/>
      <c r="S42" s="4"/>
      <c r="T42" s="4"/>
      <c r="U42" s="67" t="s">
        <v>149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4"/>
      <c r="F43" s="4"/>
      <c r="G43" s="4"/>
      <c r="H43" s="4"/>
      <c r="I43" s="4"/>
      <c r="J43" s="4"/>
      <c r="K43" s="4" t="str">
        <f>I72430</f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2"/>
      <c r="D50" s="4"/>
      <c r="E50" s="4"/>
      <c r="F50" s="69"/>
      <c r="G50" s="4"/>
      <c r="H50" s="4"/>
      <c r="I50" s="67" t="s">
        <v>163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>
        <v>7.0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7">
    <mergeCell ref="R2:R4"/>
    <mergeCell ref="S2:S4"/>
    <mergeCell ref="F3:F4"/>
    <mergeCell ref="G3:H3"/>
    <mergeCell ref="I3:J3"/>
    <mergeCell ref="K3:K4"/>
    <mergeCell ref="F31:O3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1093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45553.0</v>
      </c>
      <c r="C5" s="18" t="s">
        <v>1094</v>
      </c>
      <c r="D5" s="19">
        <v>55446.0</v>
      </c>
      <c r="E5" s="20" t="s">
        <v>399</v>
      </c>
      <c r="F5" s="21"/>
      <c r="G5" s="29">
        <v>300.0</v>
      </c>
      <c r="H5" s="23"/>
      <c r="I5" s="37"/>
      <c r="J5" s="37"/>
      <c r="K5" s="22"/>
      <c r="L5" s="22"/>
      <c r="M5" s="21"/>
      <c r="N5" s="22"/>
      <c r="O5" s="22"/>
      <c r="P5" s="25">
        <v>300.0</v>
      </c>
      <c r="Q5" s="26">
        <f t="shared" ref="Q5:Q45" si="1">F5+G5+H5+I5+J5+K5+L5+M5+N5+O5-P5</f>
        <v>0</v>
      </c>
      <c r="R5" s="25" t="s">
        <v>36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45554.0</v>
      </c>
      <c r="C6" s="18" t="s">
        <v>1095</v>
      </c>
      <c r="D6" s="19">
        <v>52727.0</v>
      </c>
      <c r="E6" s="20" t="s">
        <v>1096</v>
      </c>
      <c r="F6" s="23"/>
      <c r="G6" s="22"/>
      <c r="H6" s="22"/>
      <c r="I6" s="21">
        <v>2650.0</v>
      </c>
      <c r="J6" s="29"/>
      <c r="K6" s="29"/>
      <c r="L6" s="22"/>
      <c r="M6" s="21"/>
      <c r="N6" s="22"/>
      <c r="O6" s="22"/>
      <c r="P6" s="25">
        <v>2650.0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45554.0</v>
      </c>
      <c r="C7" s="18" t="s">
        <v>1097</v>
      </c>
      <c r="D7" s="19">
        <v>83522.0</v>
      </c>
      <c r="E7" s="20" t="s">
        <v>1098</v>
      </c>
      <c r="F7" s="22"/>
      <c r="G7" s="22"/>
      <c r="H7" s="23"/>
      <c r="I7" s="21">
        <v>3900.0</v>
      </c>
      <c r="J7" s="37"/>
      <c r="K7" s="29"/>
      <c r="L7" s="22"/>
      <c r="M7" s="22"/>
      <c r="N7" s="22"/>
      <c r="O7" s="22"/>
      <c r="P7" s="25">
        <v>3900.0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45554.0</v>
      </c>
      <c r="C8" s="18" t="s">
        <v>1099</v>
      </c>
      <c r="D8" s="19">
        <v>26005.0</v>
      </c>
      <c r="E8" s="20" t="s">
        <v>969</v>
      </c>
      <c r="F8" s="22"/>
      <c r="G8" s="22"/>
      <c r="H8" s="22"/>
      <c r="I8" s="21">
        <v>1050.0</v>
      </c>
      <c r="J8" s="21"/>
      <c r="K8" s="29"/>
      <c r="L8" s="22"/>
      <c r="M8" s="22"/>
      <c r="N8" s="22"/>
      <c r="O8" s="22"/>
      <c r="P8" s="25">
        <v>1050.0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45554.0</v>
      </c>
      <c r="C9" s="18" t="s">
        <v>1100</v>
      </c>
      <c r="D9" s="19">
        <v>74468.0</v>
      </c>
      <c r="E9" s="20" t="s">
        <v>1101</v>
      </c>
      <c r="F9" s="22"/>
      <c r="G9" s="22"/>
      <c r="H9" s="22"/>
      <c r="I9" s="21">
        <v>4650.0</v>
      </c>
      <c r="J9" s="21"/>
      <c r="K9" s="22"/>
      <c r="L9" s="22"/>
      <c r="M9" s="23"/>
      <c r="N9" s="22"/>
      <c r="O9" s="22"/>
      <c r="P9" s="25">
        <v>4650.0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45554.0</v>
      </c>
      <c r="C10" s="18" t="s">
        <v>1102</v>
      </c>
      <c r="D10" s="19">
        <v>42095.0</v>
      </c>
      <c r="E10" s="20" t="s">
        <v>1103</v>
      </c>
      <c r="F10" s="22"/>
      <c r="G10" s="29"/>
      <c r="H10" s="22"/>
      <c r="I10" s="21">
        <v>8700.0</v>
      </c>
      <c r="J10" s="21"/>
      <c r="K10" s="22"/>
      <c r="L10" s="22"/>
      <c r="M10" s="23"/>
      <c r="N10" s="22"/>
      <c r="O10" s="22"/>
      <c r="P10" s="25">
        <v>8700.0</v>
      </c>
      <c r="Q10" s="26">
        <f t="shared" si="1"/>
        <v>0</v>
      </c>
      <c r="R10" s="25" t="s">
        <v>25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45554.0</v>
      </c>
      <c r="C11" s="18" t="s">
        <v>1104</v>
      </c>
      <c r="D11" s="19">
        <v>54226.0</v>
      </c>
      <c r="E11" s="20" t="s">
        <v>166</v>
      </c>
      <c r="F11" s="22"/>
      <c r="G11" s="22"/>
      <c r="H11" s="29"/>
      <c r="I11" s="21"/>
      <c r="J11" s="21">
        <v>5150.0</v>
      </c>
      <c r="K11" s="29"/>
      <c r="L11" s="22"/>
      <c r="M11" s="23"/>
      <c r="N11" s="22"/>
      <c r="O11" s="22"/>
      <c r="P11" s="25">
        <v>5150.0</v>
      </c>
      <c r="Q11" s="26">
        <f t="shared" si="1"/>
        <v>0</v>
      </c>
      <c r="R11" s="25" t="s">
        <v>25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45554.0</v>
      </c>
      <c r="C12" s="18" t="s">
        <v>1105</v>
      </c>
      <c r="D12" s="19">
        <v>56747.0</v>
      </c>
      <c r="E12" s="20" t="s">
        <v>214</v>
      </c>
      <c r="F12" s="22"/>
      <c r="G12" s="22"/>
      <c r="H12" s="29"/>
      <c r="I12" s="21"/>
      <c r="J12" s="21">
        <v>1550.0</v>
      </c>
      <c r="K12" s="29"/>
      <c r="L12" s="22"/>
      <c r="M12" s="23"/>
      <c r="N12" s="22"/>
      <c r="O12" s="22"/>
      <c r="P12" s="25">
        <v>1550.0</v>
      </c>
      <c r="Q12" s="26">
        <f t="shared" si="1"/>
        <v>0</v>
      </c>
      <c r="R12" s="25" t="s">
        <v>25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45554.0</v>
      </c>
      <c r="C13" s="32" t="s">
        <v>1106</v>
      </c>
      <c r="D13" s="33">
        <v>50596.0</v>
      </c>
      <c r="E13" s="34" t="s">
        <v>1107</v>
      </c>
      <c r="F13" s="22"/>
      <c r="G13" s="22"/>
      <c r="H13" s="22"/>
      <c r="I13" s="21">
        <v>5000.0</v>
      </c>
      <c r="J13" s="21"/>
      <c r="K13" s="22"/>
      <c r="L13" s="22"/>
      <c r="M13" s="23"/>
      <c r="N13" s="22"/>
      <c r="O13" s="22"/>
      <c r="P13" s="35">
        <v>5000.0</v>
      </c>
      <c r="Q13" s="26">
        <f t="shared" si="1"/>
        <v>0</v>
      </c>
      <c r="R13" s="35" t="s">
        <v>33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45554.0</v>
      </c>
      <c r="C14" s="18" t="s">
        <v>1108</v>
      </c>
      <c r="D14" s="19">
        <v>56747.0</v>
      </c>
      <c r="E14" s="20" t="s">
        <v>214</v>
      </c>
      <c r="F14" s="22"/>
      <c r="G14" s="22"/>
      <c r="H14" s="22"/>
      <c r="I14" s="21"/>
      <c r="J14" s="21">
        <v>5150.0</v>
      </c>
      <c r="K14" s="22"/>
      <c r="L14" s="22"/>
      <c r="M14" s="23"/>
      <c r="N14" s="22"/>
      <c r="O14" s="22"/>
      <c r="P14" s="25">
        <v>5150.0</v>
      </c>
      <c r="Q14" s="26">
        <f t="shared" si="1"/>
        <v>0</v>
      </c>
      <c r="R14" s="25" t="s">
        <v>30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45554.0</v>
      </c>
      <c r="C15" s="18" t="s">
        <v>1109</v>
      </c>
      <c r="D15" s="19">
        <v>51512.0</v>
      </c>
      <c r="E15" s="20" t="s">
        <v>366</v>
      </c>
      <c r="F15" s="22"/>
      <c r="G15" s="22"/>
      <c r="H15" s="22"/>
      <c r="I15" s="21"/>
      <c r="J15" s="21">
        <v>5150.0</v>
      </c>
      <c r="K15" s="29"/>
      <c r="L15" s="22"/>
      <c r="M15" s="23"/>
      <c r="N15" s="22"/>
      <c r="O15" s="22"/>
      <c r="P15" s="25">
        <v>5150.0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45554.0</v>
      </c>
      <c r="C16" s="18" t="s">
        <v>1110</v>
      </c>
      <c r="D16" s="19">
        <v>83970.0</v>
      </c>
      <c r="E16" s="20" t="s">
        <v>1111</v>
      </c>
      <c r="F16" s="22"/>
      <c r="G16" s="22"/>
      <c r="H16" s="22"/>
      <c r="I16" s="21">
        <v>7150.0</v>
      </c>
      <c r="J16" s="21"/>
      <c r="K16" s="22"/>
      <c r="L16" s="22"/>
      <c r="M16" s="23"/>
      <c r="N16" s="22"/>
      <c r="O16" s="22"/>
      <c r="P16" s="25">
        <v>7150.0</v>
      </c>
      <c r="Q16" s="26">
        <f t="shared" si="1"/>
        <v>0</v>
      </c>
      <c r="R16" s="25" t="s">
        <v>33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45554.0</v>
      </c>
      <c r="C17" s="18" t="s">
        <v>1112</v>
      </c>
      <c r="D17" s="19">
        <v>19688.0</v>
      </c>
      <c r="E17" s="20" t="s">
        <v>359</v>
      </c>
      <c r="F17" s="22"/>
      <c r="G17" s="22"/>
      <c r="H17" s="22"/>
      <c r="I17" s="21">
        <v>4450.0</v>
      </c>
      <c r="J17" s="21"/>
      <c r="K17" s="22"/>
      <c r="L17" s="22"/>
      <c r="M17" s="23"/>
      <c r="N17" s="22"/>
      <c r="O17" s="22"/>
      <c r="P17" s="25">
        <v>4450.0</v>
      </c>
      <c r="Q17" s="26">
        <f t="shared" si="1"/>
        <v>0</v>
      </c>
      <c r="R17" s="25" t="s">
        <v>30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45554.0</v>
      </c>
      <c r="C18" s="18" t="s">
        <v>1113</v>
      </c>
      <c r="D18" s="19">
        <v>48910.0</v>
      </c>
      <c r="E18" s="20" t="s">
        <v>1114</v>
      </c>
      <c r="F18" s="22"/>
      <c r="G18" s="22"/>
      <c r="H18" s="22"/>
      <c r="I18" s="21"/>
      <c r="J18" s="21">
        <v>1950.0</v>
      </c>
      <c r="K18" s="29"/>
      <c r="L18" s="22"/>
      <c r="M18" s="22"/>
      <c r="N18" s="22"/>
      <c r="O18" s="22"/>
      <c r="P18" s="25">
        <v>1950.0</v>
      </c>
      <c r="Q18" s="26">
        <f t="shared" si="1"/>
        <v>0</v>
      </c>
      <c r="R18" s="25" t="s">
        <v>33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45554.0</v>
      </c>
      <c r="C19" s="32" t="s">
        <v>1115</v>
      </c>
      <c r="D19" s="33">
        <v>51686.0</v>
      </c>
      <c r="E19" s="34" t="s">
        <v>1116</v>
      </c>
      <c r="F19" s="22"/>
      <c r="G19" s="29"/>
      <c r="H19" s="22"/>
      <c r="I19" s="21"/>
      <c r="J19" s="21"/>
      <c r="K19" s="22"/>
      <c r="L19" s="22"/>
      <c r="M19" s="21">
        <v>2500.0</v>
      </c>
      <c r="N19" s="22"/>
      <c r="O19" s="22"/>
      <c r="P19" s="35">
        <v>2500.0</v>
      </c>
      <c r="Q19" s="26">
        <f t="shared" si="1"/>
        <v>0</v>
      </c>
      <c r="R19" s="35" t="s">
        <v>25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45554.0</v>
      </c>
      <c r="C20" s="18" t="s">
        <v>1117</v>
      </c>
      <c r="D20" s="19">
        <v>50436.0</v>
      </c>
      <c r="E20" s="20" t="s">
        <v>338</v>
      </c>
      <c r="F20" s="22"/>
      <c r="G20" s="22"/>
      <c r="H20" s="22"/>
      <c r="I20" s="37">
        <v>5000.0</v>
      </c>
      <c r="J20" s="37"/>
      <c r="K20" s="22"/>
      <c r="L20" s="22"/>
      <c r="M20" s="22"/>
      <c r="N20" s="22"/>
      <c r="O20" s="22"/>
      <c r="P20" s="25">
        <v>5000.0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45554.0</v>
      </c>
      <c r="C21" s="18" t="s">
        <v>1118</v>
      </c>
      <c r="D21" s="19">
        <v>51686.0</v>
      </c>
      <c r="E21" s="20" t="s">
        <v>1116</v>
      </c>
      <c r="F21" s="21">
        <v>100.0</v>
      </c>
      <c r="G21" s="22"/>
      <c r="H21" s="22"/>
      <c r="I21" s="45"/>
      <c r="J21" s="29"/>
      <c r="K21" s="39"/>
      <c r="L21" s="22"/>
      <c r="M21" s="22"/>
      <c r="N21" s="22"/>
      <c r="O21" s="22"/>
      <c r="P21" s="25">
        <v>100.0</v>
      </c>
      <c r="Q21" s="26">
        <f t="shared" si="1"/>
        <v>0</v>
      </c>
      <c r="R21" s="25" t="s">
        <v>25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45554.0</v>
      </c>
      <c r="C22" s="18" t="s">
        <v>1119</v>
      </c>
      <c r="D22" s="19">
        <v>16390.0</v>
      </c>
      <c r="E22" s="20" t="s">
        <v>1120</v>
      </c>
      <c r="F22" s="23"/>
      <c r="G22" s="22"/>
      <c r="H22" s="22"/>
      <c r="I22" s="21">
        <v>2650.0</v>
      </c>
      <c r="J22" s="29"/>
      <c r="K22" s="23"/>
      <c r="L22" s="22"/>
      <c r="M22" s="22"/>
      <c r="N22" s="22"/>
      <c r="O22" s="22"/>
      <c r="P22" s="25">
        <v>2650.0</v>
      </c>
      <c r="Q22" s="26">
        <f t="shared" si="1"/>
        <v>0</v>
      </c>
      <c r="R22" s="25" t="s">
        <v>33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45554.0</v>
      </c>
      <c r="C23" s="41" t="s">
        <v>1121</v>
      </c>
      <c r="D23" s="42">
        <v>43955.0</v>
      </c>
      <c r="E23" s="43" t="s">
        <v>268</v>
      </c>
      <c r="F23" s="38"/>
      <c r="G23" s="44"/>
      <c r="H23" s="44"/>
      <c r="I23" s="45"/>
      <c r="J23" s="45">
        <v>2650.0</v>
      </c>
      <c r="K23" s="46"/>
      <c r="L23" s="44"/>
      <c r="M23" s="44"/>
      <c r="N23" s="44"/>
      <c r="O23" s="44"/>
      <c r="P23" s="47">
        <v>2650.0</v>
      </c>
      <c r="Q23" s="26">
        <f t="shared" si="1"/>
        <v>0</v>
      </c>
      <c r="R23" s="47" t="s">
        <v>33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45554.0</v>
      </c>
      <c r="C24" s="18" t="s">
        <v>1122</v>
      </c>
      <c r="D24" s="19">
        <v>36918.0</v>
      </c>
      <c r="E24" s="20" t="s">
        <v>738</v>
      </c>
      <c r="F24" s="23"/>
      <c r="G24" s="29"/>
      <c r="H24" s="22"/>
      <c r="I24" s="21">
        <v>5000.0</v>
      </c>
      <c r="J24" s="29"/>
      <c r="K24" s="39"/>
      <c r="L24" s="22"/>
      <c r="M24" s="22"/>
      <c r="N24" s="22"/>
      <c r="O24" s="22"/>
      <c r="P24" s="25">
        <v>5000.0</v>
      </c>
      <c r="Q24" s="26">
        <f t="shared" si="1"/>
        <v>0</v>
      </c>
      <c r="R24" s="25" t="s">
        <v>30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45554.0</v>
      </c>
      <c r="C25" s="18" t="s">
        <v>1123</v>
      </c>
      <c r="D25" s="19">
        <v>51697.0</v>
      </c>
      <c r="E25" s="20" t="s">
        <v>303</v>
      </c>
      <c r="F25" s="23"/>
      <c r="G25" s="22"/>
      <c r="H25" s="29"/>
      <c r="I25" s="21"/>
      <c r="J25" s="21"/>
      <c r="K25" s="49">
        <v>2790.0</v>
      </c>
      <c r="L25" s="22"/>
      <c r="M25" s="22"/>
      <c r="N25" s="22"/>
      <c r="O25" s="22"/>
      <c r="P25" s="25">
        <v>2790.0</v>
      </c>
      <c r="Q25" s="26">
        <f t="shared" si="1"/>
        <v>0</v>
      </c>
      <c r="R25" s="25" t="s">
        <v>33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45554.0</v>
      </c>
      <c r="C26" s="18" t="s">
        <v>1124</v>
      </c>
      <c r="D26" s="19">
        <v>21818.0</v>
      </c>
      <c r="E26" s="20" t="s">
        <v>103</v>
      </c>
      <c r="F26" s="23"/>
      <c r="G26" s="22"/>
      <c r="H26" s="29"/>
      <c r="I26" s="21"/>
      <c r="J26" s="21"/>
      <c r="K26" s="37">
        <v>1000.0</v>
      </c>
      <c r="L26" s="22"/>
      <c r="M26" s="29"/>
      <c r="N26" s="22"/>
      <c r="O26" s="22"/>
      <c r="P26" s="25">
        <v>1000.0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45554.0</v>
      </c>
      <c r="C27" s="18" t="s">
        <v>1125</v>
      </c>
      <c r="D27" s="19">
        <v>24609.0</v>
      </c>
      <c r="E27" s="20" t="s">
        <v>1126</v>
      </c>
      <c r="F27" s="23"/>
      <c r="G27" s="22"/>
      <c r="H27" s="29"/>
      <c r="I27" s="21">
        <v>1850.0</v>
      </c>
      <c r="J27" s="21"/>
      <c r="K27" s="37"/>
      <c r="L27" s="22"/>
      <c r="M27" s="29"/>
      <c r="N27" s="22"/>
      <c r="O27" s="29"/>
      <c r="P27" s="25">
        <v>1850.0</v>
      </c>
      <c r="Q27" s="26">
        <f t="shared" si="1"/>
        <v>0</v>
      </c>
      <c r="R27" s="25" t="s">
        <v>30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45554.0</v>
      </c>
      <c r="C28" s="18" t="s">
        <v>1127</v>
      </c>
      <c r="D28" s="19">
        <v>24368.0</v>
      </c>
      <c r="E28" s="20" t="s">
        <v>722</v>
      </c>
      <c r="F28" s="23"/>
      <c r="G28" s="22"/>
      <c r="H28" s="29"/>
      <c r="I28" s="21"/>
      <c r="J28" s="21"/>
      <c r="K28" s="37">
        <v>3100.0</v>
      </c>
      <c r="L28" s="22"/>
      <c r="M28" s="29"/>
      <c r="N28" s="22"/>
      <c r="O28" s="29"/>
      <c r="P28" s="25">
        <v>3100.0</v>
      </c>
      <c r="Q28" s="26">
        <f t="shared" si="1"/>
        <v>0</v>
      </c>
      <c r="R28" s="25" t="s">
        <v>25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45554.0</v>
      </c>
      <c r="C29" s="18" t="s">
        <v>1128</v>
      </c>
      <c r="D29" s="19">
        <v>54750.0</v>
      </c>
      <c r="E29" s="20" t="s">
        <v>1129</v>
      </c>
      <c r="F29" s="23"/>
      <c r="G29" s="22"/>
      <c r="H29" s="29"/>
      <c r="I29" s="21">
        <v>2650.0</v>
      </c>
      <c r="J29" s="21"/>
      <c r="K29" s="37"/>
      <c r="L29" s="22"/>
      <c r="M29" s="29"/>
      <c r="N29" s="22"/>
      <c r="O29" s="29"/>
      <c r="P29" s="25">
        <v>2650.0</v>
      </c>
      <c r="Q29" s="26">
        <f t="shared" si="1"/>
        <v>0</v>
      </c>
      <c r="R29" s="25" t="s">
        <v>25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45554.0</v>
      </c>
      <c r="C30" s="18" t="s">
        <v>1130</v>
      </c>
      <c r="D30" s="19">
        <v>59244.0</v>
      </c>
      <c r="E30" s="20" t="s">
        <v>485</v>
      </c>
      <c r="F30" s="23"/>
      <c r="G30" s="22"/>
      <c r="H30" s="29"/>
      <c r="I30" s="21">
        <v>15000.0</v>
      </c>
      <c r="J30" s="21"/>
      <c r="K30" s="37"/>
      <c r="L30" s="22"/>
      <c r="M30" s="29"/>
      <c r="N30" s="22"/>
      <c r="O30" s="29"/>
      <c r="P30" s="25">
        <v>15000.0</v>
      </c>
      <c r="Q30" s="26">
        <f t="shared" si="1"/>
        <v>0</v>
      </c>
      <c r="R30" s="25" t="s">
        <v>25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45554.0</v>
      </c>
      <c r="C31" s="18" t="s">
        <v>1131</v>
      </c>
      <c r="D31" s="19">
        <v>53862.0</v>
      </c>
      <c r="E31" s="20" t="s">
        <v>1132</v>
      </c>
      <c r="F31" s="23"/>
      <c r="G31" s="22"/>
      <c r="H31" s="29"/>
      <c r="I31" s="21">
        <v>10000.0</v>
      </c>
      <c r="J31" s="21"/>
      <c r="K31" s="37"/>
      <c r="L31" s="22"/>
      <c r="M31" s="29"/>
      <c r="N31" s="22"/>
      <c r="O31" s="29"/>
      <c r="P31" s="25">
        <v>10000.0</v>
      </c>
      <c r="Q31" s="26">
        <f t="shared" si="1"/>
        <v>0</v>
      </c>
      <c r="R31" s="25" t="s">
        <v>30</v>
      </c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45554.0</v>
      </c>
      <c r="C32" s="18" t="s">
        <v>1133</v>
      </c>
      <c r="D32" s="19">
        <v>55446.0</v>
      </c>
      <c r="E32" s="20" t="s">
        <v>399</v>
      </c>
      <c r="F32" s="23"/>
      <c r="G32" s="22"/>
      <c r="H32" s="29"/>
      <c r="I32" s="21"/>
      <c r="J32" s="21"/>
      <c r="K32" s="37"/>
      <c r="L32" s="22"/>
      <c r="M32" s="29">
        <v>600.0</v>
      </c>
      <c r="N32" s="22"/>
      <c r="O32" s="29"/>
      <c r="P32" s="25">
        <v>600.0</v>
      </c>
      <c r="Q32" s="26">
        <f t="shared" si="1"/>
        <v>0</v>
      </c>
      <c r="R32" s="25" t="s">
        <v>25</v>
      </c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45554.0</v>
      </c>
      <c r="C33" s="18" t="s">
        <v>1134</v>
      </c>
      <c r="D33" s="19">
        <v>53249.0</v>
      </c>
      <c r="E33" s="20" t="s">
        <v>192</v>
      </c>
      <c r="F33" s="23"/>
      <c r="G33" s="22"/>
      <c r="H33" s="29"/>
      <c r="I33" s="21">
        <v>30000.0</v>
      </c>
      <c r="J33" s="21"/>
      <c r="K33" s="37"/>
      <c r="L33" s="22"/>
      <c r="M33" s="29"/>
      <c r="N33" s="22"/>
      <c r="O33" s="29"/>
      <c r="P33" s="25">
        <v>30000.0</v>
      </c>
      <c r="Q33" s="26">
        <f t="shared" si="1"/>
        <v>0</v>
      </c>
      <c r="R33" s="25" t="s">
        <v>25</v>
      </c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45554.0</v>
      </c>
      <c r="C34" s="18" t="s">
        <v>1135</v>
      </c>
      <c r="D34" s="19">
        <v>10249.0</v>
      </c>
      <c r="E34" s="20" t="s">
        <v>126</v>
      </c>
      <c r="F34" s="23"/>
      <c r="G34" s="22"/>
      <c r="H34" s="29"/>
      <c r="I34" s="21"/>
      <c r="J34" s="21">
        <v>29800.0</v>
      </c>
      <c r="K34" s="37"/>
      <c r="L34" s="22"/>
      <c r="M34" s="29"/>
      <c r="N34" s="22"/>
      <c r="O34" s="29"/>
      <c r="P34" s="25">
        <v>29800.0</v>
      </c>
      <c r="Q34" s="26">
        <f t="shared" si="1"/>
        <v>0</v>
      </c>
      <c r="R34" s="25" t="s">
        <v>33</v>
      </c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45554.0</v>
      </c>
      <c r="C35" s="18" t="s">
        <v>1136</v>
      </c>
      <c r="D35" s="19">
        <v>84857.0</v>
      </c>
      <c r="E35" s="20" t="s">
        <v>1137</v>
      </c>
      <c r="F35" s="23"/>
      <c r="G35" s="22"/>
      <c r="H35" s="29"/>
      <c r="I35" s="21">
        <v>300.0</v>
      </c>
      <c r="J35" s="21"/>
      <c r="K35" s="37"/>
      <c r="L35" s="22"/>
      <c r="M35" s="29"/>
      <c r="N35" s="22"/>
      <c r="O35" s="29"/>
      <c r="P35" s="25">
        <v>300.0</v>
      </c>
      <c r="Q35" s="26">
        <f t="shared" si="1"/>
        <v>0</v>
      </c>
      <c r="R35" s="25" t="s">
        <v>25</v>
      </c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45554.0</v>
      </c>
      <c r="C36" s="18" t="s">
        <v>1138</v>
      </c>
      <c r="D36" s="19">
        <v>84859.0</v>
      </c>
      <c r="E36" s="20" t="s">
        <v>1139</v>
      </c>
      <c r="F36" s="23"/>
      <c r="G36" s="22"/>
      <c r="H36" s="29"/>
      <c r="I36" s="21">
        <v>300.0</v>
      </c>
      <c r="J36" s="21"/>
      <c r="K36" s="37"/>
      <c r="L36" s="22"/>
      <c r="M36" s="29"/>
      <c r="N36" s="22"/>
      <c r="O36" s="29"/>
      <c r="P36" s="25">
        <v>300.0</v>
      </c>
      <c r="Q36" s="26">
        <f t="shared" si="1"/>
        <v>0</v>
      </c>
      <c r="R36" s="25" t="s">
        <v>25</v>
      </c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45554.0</v>
      </c>
      <c r="C37" s="18" t="s">
        <v>1140</v>
      </c>
      <c r="D37" s="19">
        <v>84866.0</v>
      </c>
      <c r="E37" s="20" t="s">
        <v>1141</v>
      </c>
      <c r="F37" s="23"/>
      <c r="G37" s="22"/>
      <c r="H37" s="29"/>
      <c r="I37" s="21">
        <v>300.0</v>
      </c>
      <c r="J37" s="21"/>
      <c r="K37" s="37"/>
      <c r="L37" s="22"/>
      <c r="M37" s="29"/>
      <c r="N37" s="22"/>
      <c r="O37" s="29"/>
      <c r="P37" s="25">
        <v>300.0</v>
      </c>
      <c r="Q37" s="26">
        <f t="shared" si="1"/>
        <v>0</v>
      </c>
      <c r="R37" s="25" t="s">
        <v>33</v>
      </c>
      <c r="S37" s="5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45554.0</v>
      </c>
      <c r="C38" s="18" t="s">
        <v>1142</v>
      </c>
      <c r="D38" s="19">
        <v>84858.0</v>
      </c>
      <c r="E38" s="20" t="s">
        <v>1143</v>
      </c>
      <c r="F38" s="23"/>
      <c r="G38" s="22"/>
      <c r="H38" s="29"/>
      <c r="I38" s="21">
        <v>300.0</v>
      </c>
      <c r="J38" s="21"/>
      <c r="K38" s="37"/>
      <c r="L38" s="22"/>
      <c r="M38" s="29"/>
      <c r="N38" s="22"/>
      <c r="O38" s="29"/>
      <c r="P38" s="25">
        <v>300.0</v>
      </c>
      <c r="Q38" s="26">
        <f t="shared" si="1"/>
        <v>0</v>
      </c>
      <c r="R38" s="25" t="s">
        <v>25</v>
      </c>
      <c r="S38" s="5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45554.0</v>
      </c>
      <c r="C39" s="18" t="s">
        <v>1144</v>
      </c>
      <c r="D39" s="19">
        <v>84112.0</v>
      </c>
      <c r="E39" s="20" t="s">
        <v>1145</v>
      </c>
      <c r="F39" s="23"/>
      <c r="G39" s="22"/>
      <c r="H39" s="29"/>
      <c r="I39" s="21">
        <v>2650.0</v>
      </c>
      <c r="J39" s="21"/>
      <c r="K39" s="37"/>
      <c r="L39" s="22"/>
      <c r="M39" s="29"/>
      <c r="N39" s="22"/>
      <c r="O39" s="29"/>
      <c r="P39" s="25">
        <v>2650.0</v>
      </c>
      <c r="Q39" s="26">
        <f t="shared" si="1"/>
        <v>0</v>
      </c>
      <c r="R39" s="25" t="s">
        <v>25</v>
      </c>
      <c r="S39" s="5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45554.0</v>
      </c>
      <c r="C40" s="18" t="s">
        <v>1146</v>
      </c>
      <c r="D40" s="19">
        <v>52083.0</v>
      </c>
      <c r="E40" s="20" t="s">
        <v>71</v>
      </c>
      <c r="F40" s="23"/>
      <c r="G40" s="22"/>
      <c r="H40" s="29"/>
      <c r="I40" s="21">
        <v>850.0</v>
      </c>
      <c r="J40" s="21"/>
      <c r="K40" s="37"/>
      <c r="L40" s="22"/>
      <c r="M40" s="29"/>
      <c r="N40" s="22"/>
      <c r="O40" s="29"/>
      <c r="P40" s="25">
        <v>850.0</v>
      </c>
      <c r="Q40" s="26">
        <f t="shared" si="1"/>
        <v>0</v>
      </c>
      <c r="R40" s="25" t="s">
        <v>33</v>
      </c>
      <c r="S40" s="5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45554.0</v>
      </c>
      <c r="C41" s="18" t="s">
        <v>1147</v>
      </c>
      <c r="D41" s="19">
        <v>84862.0</v>
      </c>
      <c r="E41" s="20" t="s">
        <v>1148</v>
      </c>
      <c r="F41" s="23"/>
      <c r="G41" s="22"/>
      <c r="H41" s="29">
        <v>4850.0</v>
      </c>
      <c r="I41" s="21"/>
      <c r="J41" s="21"/>
      <c r="K41" s="37"/>
      <c r="L41" s="22"/>
      <c r="M41" s="29"/>
      <c r="N41" s="22"/>
      <c r="O41" s="29"/>
      <c r="P41" s="25">
        <v>4850.0</v>
      </c>
      <c r="Q41" s="26">
        <f t="shared" si="1"/>
        <v>0</v>
      </c>
      <c r="R41" s="25"/>
      <c r="S41" s="5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45554.0</v>
      </c>
      <c r="C42" s="18" t="s">
        <v>1149</v>
      </c>
      <c r="D42" s="19">
        <v>21828.0</v>
      </c>
      <c r="E42" s="20" t="s">
        <v>144</v>
      </c>
      <c r="F42" s="23"/>
      <c r="G42" s="22"/>
      <c r="H42" s="29"/>
      <c r="I42" s="21"/>
      <c r="J42" s="21"/>
      <c r="K42" s="37">
        <v>2500.0</v>
      </c>
      <c r="L42" s="22"/>
      <c r="M42" s="29"/>
      <c r="N42" s="22"/>
      <c r="O42" s="29"/>
      <c r="P42" s="25">
        <v>2500.0</v>
      </c>
      <c r="Q42" s="26">
        <f t="shared" si="1"/>
        <v>0</v>
      </c>
      <c r="R42" s="25"/>
      <c r="S42" s="5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45554.0</v>
      </c>
      <c r="C43" s="18" t="s">
        <v>1150</v>
      </c>
      <c r="D43" s="19">
        <v>21384.0</v>
      </c>
      <c r="E43" s="20" t="s">
        <v>388</v>
      </c>
      <c r="F43" s="23"/>
      <c r="G43" s="22"/>
      <c r="H43" s="29">
        <v>1000.0</v>
      </c>
      <c r="I43" s="21"/>
      <c r="J43" s="21"/>
      <c r="K43" s="37"/>
      <c r="L43" s="22"/>
      <c r="M43" s="29"/>
      <c r="N43" s="22"/>
      <c r="O43" s="29"/>
      <c r="P43" s="25">
        <v>1000.0</v>
      </c>
      <c r="Q43" s="26">
        <f t="shared" si="1"/>
        <v>0</v>
      </c>
      <c r="R43" s="25"/>
      <c r="S43" s="5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45554.0</v>
      </c>
      <c r="C44" s="18" t="s">
        <v>1151</v>
      </c>
      <c r="D44" s="19">
        <v>38299.0</v>
      </c>
      <c r="E44" s="20" t="s">
        <v>1152</v>
      </c>
      <c r="F44" s="23"/>
      <c r="G44" s="22"/>
      <c r="H44" s="29"/>
      <c r="I44" s="21"/>
      <c r="J44" s="21"/>
      <c r="K44" s="37">
        <v>13500.0</v>
      </c>
      <c r="L44" s="22"/>
      <c r="M44" s="29"/>
      <c r="N44" s="22"/>
      <c r="O44" s="29"/>
      <c r="P44" s="25">
        <v>13500.0</v>
      </c>
      <c r="Q44" s="26">
        <f t="shared" si="1"/>
        <v>0</v>
      </c>
      <c r="R44" s="25"/>
      <c r="S44" s="5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8">
        <v>45554.0</v>
      </c>
      <c r="C45" s="18" t="s">
        <v>1153</v>
      </c>
      <c r="D45" s="19">
        <v>80515.0</v>
      </c>
      <c r="E45" s="20" t="s">
        <v>1154</v>
      </c>
      <c r="F45" s="23"/>
      <c r="G45" s="22"/>
      <c r="H45" s="29">
        <v>9500.0</v>
      </c>
      <c r="I45" s="21"/>
      <c r="J45" s="21"/>
      <c r="K45" s="37"/>
      <c r="L45" s="22"/>
      <c r="M45" s="29"/>
      <c r="N45" s="22"/>
      <c r="O45" s="29"/>
      <c r="P45" s="25">
        <v>9500.0</v>
      </c>
      <c r="Q45" s="26">
        <f t="shared" si="1"/>
        <v>0</v>
      </c>
      <c r="R45" s="25"/>
      <c r="S45" s="5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/>
      <c r="B46" s="28"/>
      <c r="C46" s="18"/>
      <c r="D46" s="19"/>
      <c r="E46" s="20"/>
      <c r="F46" s="23"/>
      <c r="G46" s="22"/>
      <c r="H46" s="29"/>
      <c r="I46" s="21"/>
      <c r="J46" s="21"/>
      <c r="K46" s="37"/>
      <c r="L46" s="22"/>
      <c r="M46" s="29"/>
      <c r="N46" s="22"/>
      <c r="O46" s="29"/>
      <c r="P46" s="25"/>
      <c r="Q46" s="26"/>
      <c r="R46" s="25"/>
      <c r="S46" s="5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7.5" customHeight="1">
      <c r="A47" s="16"/>
      <c r="B47" s="51"/>
      <c r="C47" s="52"/>
      <c r="D47" s="53" t="s">
        <v>149</v>
      </c>
      <c r="E47" s="54"/>
      <c r="F47" s="55">
        <f>SUM(F5:F46)</f>
        <v>100</v>
      </c>
      <c r="G47" s="55">
        <f>SUM(G5:G29)</f>
        <v>300</v>
      </c>
      <c r="H47" s="55">
        <f>SUM(H5:H45)</f>
        <v>15350</v>
      </c>
      <c r="I47" s="55">
        <f t="shared" ref="I47:K47" si="2">SUM(I5:I46)</f>
        <v>114400</v>
      </c>
      <c r="J47" s="55">
        <f t="shared" si="2"/>
        <v>51400</v>
      </c>
      <c r="K47" s="55">
        <f t="shared" si="2"/>
        <v>22890</v>
      </c>
      <c r="L47" s="55">
        <f>SUM(L5:L29)</f>
        <v>0</v>
      </c>
      <c r="M47" s="55">
        <f>SUM(M5:M46)</f>
        <v>3100</v>
      </c>
      <c r="N47" s="55">
        <f t="shared" ref="N47:O47" si="3">SUM(N5:N29)</f>
        <v>0</v>
      </c>
      <c r="O47" s="55">
        <f t="shared" si="3"/>
        <v>0</v>
      </c>
      <c r="P47" s="55">
        <f>SUM(P5:P46)</f>
        <v>207540</v>
      </c>
      <c r="Q47" s="56">
        <v>0.0</v>
      </c>
      <c r="R47" s="82">
        <f>SUM(R5:R29)</f>
        <v>0</v>
      </c>
      <c r="S47" s="57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ht="58.5" customHeight="1">
      <c r="A48" s="58"/>
      <c r="B48" s="58"/>
      <c r="C48" s="59"/>
      <c r="D48" s="58"/>
      <c r="E48" s="58"/>
      <c r="F48" s="60">
        <f>F47+G47+H47+I47+J47+K47+L47+M47+N47+O47</f>
        <v>207540</v>
      </c>
      <c r="P48" s="61"/>
      <c r="Q48" s="61"/>
      <c r="R48" s="58"/>
      <c r="S48" s="58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3" t="s">
        <v>149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64" t="s">
        <v>150</v>
      </c>
      <c r="F52" s="65" t="s">
        <v>151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66" t="s">
        <v>152</v>
      </c>
      <c r="F53" s="65" t="s">
        <v>151</v>
      </c>
      <c r="G53" s="4"/>
      <c r="H53" s="4"/>
      <c r="I53" s="4"/>
      <c r="J53" s="4"/>
      <c r="K53" s="4"/>
      <c r="L53" s="4"/>
      <c r="M53" s="4"/>
      <c r="N53" s="4"/>
      <c r="O53" s="67" t="s">
        <v>149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2"/>
      <c r="D54" s="4"/>
      <c r="E54" s="66" t="s">
        <v>154</v>
      </c>
      <c r="F54" s="65" t="s">
        <v>151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66" t="s">
        <v>156</v>
      </c>
      <c r="F55" s="65" t="s">
        <v>151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2"/>
      <c r="D56" s="4"/>
      <c r="E56" s="66" t="s">
        <v>157</v>
      </c>
      <c r="F56" s="65" t="s">
        <v>151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2"/>
      <c r="D57" s="4"/>
      <c r="E57" s="66" t="s">
        <v>1155</v>
      </c>
      <c r="F57" s="65" t="s">
        <v>151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62"/>
      <c r="D58" s="4"/>
      <c r="E58" s="66" t="s">
        <v>160</v>
      </c>
      <c r="F58" s="65" t="s">
        <v>155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2"/>
      <c r="D59" s="4"/>
      <c r="E59" s="66" t="s">
        <v>161</v>
      </c>
      <c r="F59" s="68" t="s">
        <v>162</v>
      </c>
      <c r="G59" s="4"/>
      <c r="H59" s="4"/>
      <c r="I59" s="4"/>
      <c r="J59" s="4"/>
      <c r="K59" s="4"/>
      <c r="L59" s="4"/>
      <c r="M59" s="69" t="s">
        <v>812</v>
      </c>
      <c r="N59" s="4"/>
      <c r="O59" s="4"/>
      <c r="P59" s="4"/>
      <c r="Q59" s="4"/>
      <c r="R59" s="4"/>
      <c r="S59" s="4"/>
      <c r="T59" s="4"/>
      <c r="U59" s="67" t="s">
        <v>149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 t="str">
        <f>I72447</f>
        <v/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69"/>
      <c r="G67" s="4"/>
      <c r="H67" s="4"/>
      <c r="I67" s="67" t="s">
        <v>163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>
        <v>7.0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7">
    <mergeCell ref="R2:R4"/>
    <mergeCell ref="S2:S4"/>
    <mergeCell ref="F3:F4"/>
    <mergeCell ref="G3:H3"/>
    <mergeCell ref="I3:J3"/>
    <mergeCell ref="K3:K4"/>
    <mergeCell ref="F48:O4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45555.0</v>
      </c>
      <c r="C5" s="18" t="s">
        <v>1157</v>
      </c>
      <c r="D5" s="19">
        <v>56504.0</v>
      </c>
      <c r="E5" s="20" t="s">
        <v>1158</v>
      </c>
      <c r="F5" s="21"/>
      <c r="G5" s="29"/>
      <c r="H5" s="23"/>
      <c r="I5" s="37">
        <v>6050.0</v>
      </c>
      <c r="J5" s="37"/>
      <c r="K5" s="22"/>
      <c r="L5" s="22"/>
      <c r="M5" s="21"/>
      <c r="N5" s="22"/>
      <c r="O5" s="22"/>
      <c r="P5" s="25">
        <v>6050.0</v>
      </c>
      <c r="Q5" s="26">
        <f t="shared" ref="Q5:Q29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45555.0</v>
      </c>
      <c r="C6" s="18" t="s">
        <v>1159</v>
      </c>
      <c r="D6" s="19">
        <v>51946.0</v>
      </c>
      <c r="E6" s="20" t="s">
        <v>52</v>
      </c>
      <c r="F6" s="23"/>
      <c r="G6" s="22"/>
      <c r="H6" s="22"/>
      <c r="I6" s="21">
        <v>9500.0</v>
      </c>
      <c r="J6" s="29"/>
      <c r="K6" s="29"/>
      <c r="L6" s="22"/>
      <c r="M6" s="21"/>
      <c r="N6" s="22"/>
      <c r="O6" s="22"/>
      <c r="P6" s="25">
        <v>9500.0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45555.0</v>
      </c>
      <c r="C7" s="18" t="s">
        <v>1160</v>
      </c>
      <c r="D7" s="19">
        <v>77886.0</v>
      </c>
      <c r="E7" s="20" t="s">
        <v>291</v>
      </c>
      <c r="F7" s="22"/>
      <c r="G7" s="22"/>
      <c r="H7" s="23"/>
      <c r="I7" s="21">
        <v>4500.0</v>
      </c>
      <c r="J7" s="37"/>
      <c r="K7" s="29"/>
      <c r="L7" s="22"/>
      <c r="M7" s="22"/>
      <c r="N7" s="22"/>
      <c r="O7" s="22"/>
      <c r="P7" s="25">
        <v>4500.0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45555.0</v>
      </c>
      <c r="C8" s="18" t="s">
        <v>1161</v>
      </c>
      <c r="D8" s="19">
        <v>81108.0</v>
      </c>
      <c r="E8" s="20" t="s">
        <v>209</v>
      </c>
      <c r="F8" s="22"/>
      <c r="G8" s="22"/>
      <c r="H8" s="22"/>
      <c r="I8" s="21">
        <v>14000.0</v>
      </c>
      <c r="J8" s="21"/>
      <c r="K8" s="29"/>
      <c r="L8" s="22"/>
      <c r="M8" s="22"/>
      <c r="N8" s="22"/>
      <c r="O8" s="22"/>
      <c r="P8" s="25">
        <v>14000.0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45555.0</v>
      </c>
      <c r="C9" s="18" t="s">
        <v>1162</v>
      </c>
      <c r="D9" s="19">
        <v>80339.0</v>
      </c>
      <c r="E9" s="20" t="s">
        <v>1163</v>
      </c>
      <c r="F9" s="22"/>
      <c r="G9" s="22"/>
      <c r="H9" s="22"/>
      <c r="I9" s="21">
        <v>570.0</v>
      </c>
      <c r="J9" s="21"/>
      <c r="K9" s="22"/>
      <c r="L9" s="22"/>
      <c r="M9" s="23"/>
      <c r="N9" s="22"/>
      <c r="O9" s="22"/>
      <c r="P9" s="25">
        <v>570.0</v>
      </c>
      <c r="Q9" s="26">
        <f t="shared" si="1"/>
        <v>0</v>
      </c>
      <c r="R9" s="25" t="s">
        <v>33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45555.0</v>
      </c>
      <c r="C10" s="18" t="s">
        <v>1164</v>
      </c>
      <c r="D10" s="19">
        <v>42046.0</v>
      </c>
      <c r="E10" s="20" t="s">
        <v>84</v>
      </c>
      <c r="F10" s="22"/>
      <c r="G10" s="29"/>
      <c r="H10" s="22"/>
      <c r="I10" s="21">
        <v>3800.0</v>
      </c>
      <c r="J10" s="21"/>
      <c r="K10" s="22"/>
      <c r="L10" s="22"/>
      <c r="M10" s="23"/>
      <c r="N10" s="22"/>
      <c r="O10" s="22"/>
      <c r="P10" s="25">
        <v>3800.0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45555.0</v>
      </c>
      <c r="C11" s="18" t="s">
        <v>1165</v>
      </c>
      <c r="D11" s="19">
        <v>52776.0</v>
      </c>
      <c r="E11" s="20" t="s">
        <v>558</v>
      </c>
      <c r="F11" s="22"/>
      <c r="G11" s="22"/>
      <c r="H11" s="29"/>
      <c r="I11" s="21"/>
      <c r="J11" s="21">
        <v>11900.0</v>
      </c>
      <c r="K11" s="29"/>
      <c r="L11" s="22"/>
      <c r="M11" s="23"/>
      <c r="N11" s="22"/>
      <c r="O11" s="22"/>
      <c r="P11" s="25">
        <v>11900.0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45555.0</v>
      </c>
      <c r="C12" s="18" t="s">
        <v>1166</v>
      </c>
      <c r="D12" s="19">
        <v>10744.0</v>
      </c>
      <c r="E12" s="20" t="s">
        <v>1167</v>
      </c>
      <c r="F12" s="22"/>
      <c r="G12" s="22"/>
      <c r="H12" s="29"/>
      <c r="I12" s="21">
        <v>10000.0</v>
      </c>
      <c r="J12" s="21"/>
      <c r="K12" s="29"/>
      <c r="L12" s="22"/>
      <c r="M12" s="23"/>
      <c r="N12" s="22"/>
      <c r="O12" s="22"/>
      <c r="P12" s="25">
        <v>10000.0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45555.0</v>
      </c>
      <c r="C13" s="32" t="s">
        <v>1168</v>
      </c>
      <c r="D13" s="33">
        <v>22332.0</v>
      </c>
      <c r="E13" s="34" t="s">
        <v>79</v>
      </c>
      <c r="F13" s="22"/>
      <c r="G13" s="22"/>
      <c r="H13" s="22"/>
      <c r="I13" s="21">
        <v>2650.0</v>
      </c>
      <c r="J13" s="21"/>
      <c r="K13" s="22"/>
      <c r="L13" s="22"/>
      <c r="M13" s="23"/>
      <c r="N13" s="22"/>
      <c r="O13" s="22"/>
      <c r="P13" s="35">
        <v>2650.0</v>
      </c>
      <c r="Q13" s="26">
        <f t="shared" si="1"/>
        <v>0</v>
      </c>
      <c r="R13" s="35" t="s">
        <v>25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45555.0</v>
      </c>
      <c r="C14" s="18" t="s">
        <v>1169</v>
      </c>
      <c r="D14" s="19">
        <v>62815.0</v>
      </c>
      <c r="E14" s="20" t="s">
        <v>93</v>
      </c>
      <c r="F14" s="22"/>
      <c r="G14" s="22"/>
      <c r="H14" s="22"/>
      <c r="I14" s="21">
        <v>20000.0</v>
      </c>
      <c r="J14" s="21"/>
      <c r="K14" s="22"/>
      <c r="L14" s="22"/>
      <c r="M14" s="23"/>
      <c r="N14" s="22"/>
      <c r="O14" s="22"/>
      <c r="P14" s="25">
        <v>20000.0</v>
      </c>
      <c r="Q14" s="26">
        <f t="shared" si="1"/>
        <v>0</v>
      </c>
      <c r="R14" s="25" t="s">
        <v>30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45555.0</v>
      </c>
      <c r="C15" s="18" t="s">
        <v>1170</v>
      </c>
      <c r="D15" s="19">
        <v>51939.0</v>
      </c>
      <c r="E15" s="20" t="s">
        <v>305</v>
      </c>
      <c r="F15" s="22"/>
      <c r="G15" s="22"/>
      <c r="H15" s="22"/>
      <c r="I15" s="21">
        <v>5900.0</v>
      </c>
      <c r="J15" s="21"/>
      <c r="K15" s="29"/>
      <c r="L15" s="22"/>
      <c r="M15" s="23"/>
      <c r="N15" s="22"/>
      <c r="O15" s="22"/>
      <c r="P15" s="25">
        <v>5900.0</v>
      </c>
      <c r="Q15" s="26">
        <f t="shared" si="1"/>
        <v>0</v>
      </c>
      <c r="R15" s="25" t="s">
        <v>36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45555.0</v>
      </c>
      <c r="C16" s="18" t="s">
        <v>1171</v>
      </c>
      <c r="D16" s="19">
        <v>39832.0</v>
      </c>
      <c r="E16" s="20" t="s">
        <v>1172</v>
      </c>
      <c r="F16" s="22"/>
      <c r="G16" s="22"/>
      <c r="H16" s="22"/>
      <c r="I16" s="21"/>
      <c r="J16" s="21"/>
      <c r="K16" s="22"/>
      <c r="L16" s="22"/>
      <c r="M16" s="21">
        <v>450.0</v>
      </c>
      <c r="N16" s="22"/>
      <c r="O16" s="22"/>
      <c r="P16" s="25">
        <v>450.0</v>
      </c>
      <c r="Q16" s="26">
        <f t="shared" si="1"/>
        <v>0</v>
      </c>
      <c r="R16" s="25" t="s">
        <v>36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45555.0</v>
      </c>
      <c r="C17" s="18" t="s">
        <v>1173</v>
      </c>
      <c r="D17" s="19">
        <v>39832.0</v>
      </c>
      <c r="E17" s="20" t="s">
        <v>1172</v>
      </c>
      <c r="F17" s="22"/>
      <c r="G17" s="22"/>
      <c r="H17" s="22"/>
      <c r="I17" s="21"/>
      <c r="J17" s="21"/>
      <c r="K17" s="22"/>
      <c r="L17" s="22"/>
      <c r="M17" s="21">
        <v>199.0</v>
      </c>
      <c r="N17" s="22"/>
      <c r="O17" s="22"/>
      <c r="P17" s="25">
        <v>199.0</v>
      </c>
      <c r="Q17" s="26">
        <f t="shared" si="1"/>
        <v>0</v>
      </c>
      <c r="R17" s="25" t="s">
        <v>36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45555.0</v>
      </c>
      <c r="C18" s="18" t="s">
        <v>1174</v>
      </c>
      <c r="D18" s="19">
        <v>66932.0</v>
      </c>
      <c r="E18" s="20" t="s">
        <v>823</v>
      </c>
      <c r="F18" s="22"/>
      <c r="G18" s="22"/>
      <c r="H18" s="22"/>
      <c r="I18" s="21">
        <v>14000.0</v>
      </c>
      <c r="J18" s="21"/>
      <c r="K18" s="29"/>
      <c r="L18" s="22"/>
      <c r="M18" s="22"/>
      <c r="N18" s="22"/>
      <c r="O18" s="22"/>
      <c r="P18" s="25">
        <v>14000.0</v>
      </c>
      <c r="Q18" s="26">
        <f t="shared" si="1"/>
        <v>0</v>
      </c>
      <c r="R18" s="25" t="s">
        <v>30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45555.0</v>
      </c>
      <c r="C19" s="32" t="s">
        <v>1175</v>
      </c>
      <c r="D19" s="33">
        <v>35227.0</v>
      </c>
      <c r="E19" s="34" t="s">
        <v>301</v>
      </c>
      <c r="F19" s="22"/>
      <c r="G19" s="29"/>
      <c r="H19" s="22"/>
      <c r="I19" s="21">
        <v>300.0</v>
      </c>
      <c r="J19" s="21"/>
      <c r="K19" s="22"/>
      <c r="L19" s="22"/>
      <c r="M19" s="21"/>
      <c r="N19" s="22"/>
      <c r="O19" s="22"/>
      <c r="P19" s="35">
        <v>300.0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45555.0</v>
      </c>
      <c r="C20" s="18" t="s">
        <v>1176</v>
      </c>
      <c r="D20" s="19">
        <v>84878.0</v>
      </c>
      <c r="E20" s="20" t="s">
        <v>1177</v>
      </c>
      <c r="F20" s="22"/>
      <c r="G20" s="22"/>
      <c r="H20" s="22"/>
      <c r="I20" s="37">
        <v>300.0</v>
      </c>
      <c r="J20" s="37"/>
      <c r="K20" s="22"/>
      <c r="L20" s="22"/>
      <c r="M20" s="22"/>
      <c r="N20" s="22"/>
      <c r="O20" s="22"/>
      <c r="P20" s="25">
        <v>300.0</v>
      </c>
      <c r="Q20" s="26">
        <f t="shared" si="1"/>
        <v>0</v>
      </c>
      <c r="R20" s="25" t="s">
        <v>33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45555.0</v>
      </c>
      <c r="C21" s="18" t="s">
        <v>1178</v>
      </c>
      <c r="D21" s="19">
        <v>74492.0</v>
      </c>
      <c r="E21" s="20" t="s">
        <v>1179</v>
      </c>
      <c r="F21" s="21"/>
      <c r="G21" s="22"/>
      <c r="H21" s="22"/>
      <c r="I21" s="45">
        <v>2650.0</v>
      </c>
      <c r="J21" s="29"/>
      <c r="K21" s="39"/>
      <c r="L21" s="22"/>
      <c r="M21" s="22"/>
      <c r="N21" s="22"/>
      <c r="O21" s="22"/>
      <c r="P21" s="25">
        <v>2650.0</v>
      </c>
      <c r="Q21" s="26">
        <f t="shared" si="1"/>
        <v>0</v>
      </c>
      <c r="R21" s="25" t="s">
        <v>33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45555.0</v>
      </c>
      <c r="C22" s="18" t="s">
        <v>1180</v>
      </c>
      <c r="D22" s="19">
        <v>80339.0</v>
      </c>
      <c r="E22" s="20" t="s">
        <v>1163</v>
      </c>
      <c r="F22" s="23"/>
      <c r="G22" s="22"/>
      <c r="H22" s="22"/>
      <c r="I22" s="21">
        <v>140.0</v>
      </c>
      <c r="J22" s="29"/>
      <c r="K22" s="23"/>
      <c r="L22" s="22"/>
      <c r="M22" s="22"/>
      <c r="N22" s="22"/>
      <c r="O22" s="22"/>
      <c r="P22" s="25">
        <v>140.0</v>
      </c>
      <c r="Q22" s="26">
        <f t="shared" si="1"/>
        <v>0</v>
      </c>
      <c r="R22" s="25" t="s">
        <v>33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45555.0</v>
      </c>
      <c r="C23" s="41" t="s">
        <v>1181</v>
      </c>
      <c r="D23" s="42">
        <v>35227.0</v>
      </c>
      <c r="E23" s="43" t="s">
        <v>301</v>
      </c>
      <c r="F23" s="38"/>
      <c r="G23" s="44"/>
      <c r="H23" s="44"/>
      <c r="I23" s="45">
        <v>1000.0</v>
      </c>
      <c r="J23" s="45"/>
      <c r="K23" s="46"/>
      <c r="L23" s="44"/>
      <c r="M23" s="44"/>
      <c r="N23" s="44"/>
      <c r="O23" s="44"/>
      <c r="P23" s="47">
        <v>1000.0</v>
      </c>
      <c r="Q23" s="26">
        <f t="shared" si="1"/>
        <v>0</v>
      </c>
      <c r="R23" s="47" t="s">
        <v>36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45555.0</v>
      </c>
      <c r="C24" s="18" t="s">
        <v>1182</v>
      </c>
      <c r="D24" s="19">
        <v>52083.0</v>
      </c>
      <c r="E24" s="20" t="s">
        <v>71</v>
      </c>
      <c r="F24" s="23"/>
      <c r="G24" s="29"/>
      <c r="H24" s="22"/>
      <c r="I24" s="21">
        <v>10500.0</v>
      </c>
      <c r="J24" s="29"/>
      <c r="K24" s="39"/>
      <c r="L24" s="22"/>
      <c r="M24" s="22"/>
      <c r="N24" s="22"/>
      <c r="O24" s="22"/>
      <c r="P24" s="25">
        <v>10500.0</v>
      </c>
      <c r="Q24" s="26">
        <f t="shared" si="1"/>
        <v>0</v>
      </c>
      <c r="R24" s="25" t="s">
        <v>36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45555.0</v>
      </c>
      <c r="C25" s="18" t="s">
        <v>1183</v>
      </c>
      <c r="D25" s="19">
        <v>51166.0</v>
      </c>
      <c r="E25" s="20" t="s">
        <v>514</v>
      </c>
      <c r="F25" s="23"/>
      <c r="G25" s="22"/>
      <c r="H25" s="29">
        <v>450.0</v>
      </c>
      <c r="I25" s="21"/>
      <c r="J25" s="21"/>
      <c r="K25" s="49"/>
      <c r="L25" s="22"/>
      <c r="M25" s="22"/>
      <c r="N25" s="22"/>
      <c r="O25" s="22"/>
      <c r="P25" s="25">
        <v>450.0</v>
      </c>
      <c r="Q25" s="26">
        <f t="shared" si="1"/>
        <v>0</v>
      </c>
      <c r="R25" s="25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45555.0</v>
      </c>
      <c r="C26" s="18" t="s">
        <v>1184</v>
      </c>
      <c r="D26" s="19">
        <v>84877.0</v>
      </c>
      <c r="E26" s="20" t="s">
        <v>1185</v>
      </c>
      <c r="F26" s="23"/>
      <c r="G26" s="22"/>
      <c r="H26" s="29"/>
      <c r="I26" s="21"/>
      <c r="J26" s="21"/>
      <c r="K26" s="37">
        <v>7300.0</v>
      </c>
      <c r="L26" s="22"/>
      <c r="M26" s="29"/>
      <c r="N26" s="22"/>
      <c r="O26" s="22"/>
      <c r="P26" s="25">
        <v>7300.0</v>
      </c>
      <c r="Q26" s="26">
        <f t="shared" si="1"/>
        <v>0</v>
      </c>
      <c r="R26" s="25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45555.0</v>
      </c>
      <c r="C27" s="18" t="s">
        <v>1186</v>
      </c>
      <c r="D27" s="19">
        <v>49953.0</v>
      </c>
      <c r="E27" s="20" t="s">
        <v>1187</v>
      </c>
      <c r="F27" s="23"/>
      <c r="G27" s="22"/>
      <c r="H27" s="29">
        <v>2500.0</v>
      </c>
      <c r="I27" s="21"/>
      <c r="J27" s="21"/>
      <c r="K27" s="37"/>
      <c r="L27" s="22"/>
      <c r="M27" s="29"/>
      <c r="N27" s="22"/>
      <c r="O27" s="29"/>
      <c r="P27" s="25">
        <v>2500.0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45555.0</v>
      </c>
      <c r="C28" s="18" t="s">
        <v>1188</v>
      </c>
      <c r="D28" s="19">
        <v>57328.0</v>
      </c>
      <c r="E28" s="20" t="s">
        <v>541</v>
      </c>
      <c r="F28" s="23"/>
      <c r="G28" s="22"/>
      <c r="H28" s="29">
        <v>5000.0</v>
      </c>
      <c r="I28" s="21"/>
      <c r="J28" s="21"/>
      <c r="K28" s="37"/>
      <c r="L28" s="22"/>
      <c r="M28" s="29"/>
      <c r="N28" s="22"/>
      <c r="O28" s="29"/>
      <c r="P28" s="25">
        <v>5000.0</v>
      </c>
      <c r="Q28" s="26">
        <f t="shared" si="1"/>
        <v>0</v>
      </c>
      <c r="R28" s="25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45555.0</v>
      </c>
      <c r="C29" s="18" t="s">
        <v>1189</v>
      </c>
      <c r="D29" s="19">
        <v>21828.0</v>
      </c>
      <c r="E29" s="20" t="s">
        <v>144</v>
      </c>
      <c r="F29" s="23"/>
      <c r="G29" s="22"/>
      <c r="H29" s="29"/>
      <c r="I29" s="21"/>
      <c r="J29" s="21"/>
      <c r="K29" s="37"/>
      <c r="L29" s="22"/>
      <c r="M29" s="29">
        <v>2500.0</v>
      </c>
      <c r="N29" s="22"/>
      <c r="O29" s="29"/>
      <c r="P29" s="25">
        <v>2500.0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/>
      <c r="B30" s="28"/>
      <c r="C30" s="18"/>
      <c r="D30" s="19"/>
      <c r="E30" s="20"/>
      <c r="F30" s="23"/>
      <c r="G30" s="22"/>
      <c r="H30" s="29"/>
      <c r="I30" s="21"/>
      <c r="J30" s="21"/>
      <c r="K30" s="37"/>
      <c r="L30" s="22"/>
      <c r="M30" s="29"/>
      <c r="N30" s="22"/>
      <c r="O30" s="29"/>
      <c r="P30" s="25"/>
      <c r="Q30" s="26"/>
      <c r="R30" s="25"/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7.5" customHeight="1">
      <c r="A31" s="16"/>
      <c r="B31" s="51"/>
      <c r="C31" s="52"/>
      <c r="D31" s="53" t="s">
        <v>149</v>
      </c>
      <c r="E31" s="54"/>
      <c r="F31" s="55">
        <f>SUM(F5:F30)</f>
        <v>0</v>
      </c>
      <c r="G31" s="55">
        <f t="shared" ref="G31:H31" si="2">SUM(G5:G29)</f>
        <v>0</v>
      </c>
      <c r="H31" s="55">
        <f t="shared" si="2"/>
        <v>7950</v>
      </c>
      <c r="I31" s="55">
        <f t="shared" ref="I31:K31" si="3">SUM(I5:I30)</f>
        <v>105860</v>
      </c>
      <c r="J31" s="55">
        <f t="shared" si="3"/>
        <v>11900</v>
      </c>
      <c r="K31" s="55">
        <f t="shared" si="3"/>
        <v>7300</v>
      </c>
      <c r="L31" s="55">
        <f>SUM(L5:L29)</f>
        <v>0</v>
      </c>
      <c r="M31" s="55">
        <f>SUM(M5:M30)</f>
        <v>3149</v>
      </c>
      <c r="N31" s="55">
        <f t="shared" ref="N31:O31" si="4">SUM(N5:N29)</f>
        <v>0</v>
      </c>
      <c r="O31" s="55">
        <f t="shared" si="4"/>
        <v>0</v>
      </c>
      <c r="P31" s="55">
        <f>SUM(P5:P30)</f>
        <v>136159</v>
      </c>
      <c r="Q31" s="56">
        <v>0.0</v>
      </c>
      <c r="R31" s="82">
        <f>SUM(R5:R29)</f>
        <v>0</v>
      </c>
      <c r="S31" s="57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ht="58.5" customHeight="1">
      <c r="A32" s="58"/>
      <c r="B32" s="58"/>
      <c r="C32" s="59"/>
      <c r="D32" s="58"/>
      <c r="E32" s="58"/>
      <c r="F32" s="60">
        <f>F31+G31+H31+I31+J31+K31+L31+M31+N31+O31</f>
        <v>136159</v>
      </c>
      <c r="P32" s="61"/>
      <c r="Q32" s="61"/>
      <c r="R32" s="58"/>
      <c r="S32" s="58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15.75" customHeight="1">
      <c r="A33" s="4"/>
      <c r="B33" s="4"/>
      <c r="C33" s="6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3" t="s">
        <v>149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2"/>
      <c r="D36" s="4"/>
      <c r="E36" s="64" t="s">
        <v>150</v>
      </c>
      <c r="F36" s="65" t="s">
        <v>254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2"/>
      <c r="D37" s="4"/>
      <c r="E37" s="66" t="s">
        <v>152</v>
      </c>
      <c r="F37" s="65" t="s">
        <v>254</v>
      </c>
      <c r="G37" s="4"/>
      <c r="H37" s="4"/>
      <c r="I37" s="4"/>
      <c r="J37" s="4"/>
      <c r="K37" s="4"/>
      <c r="L37" s="4"/>
      <c r="M37" s="4"/>
      <c r="N37" s="4"/>
      <c r="O37" s="67" t="s">
        <v>149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2"/>
      <c r="D38" s="4"/>
      <c r="E38" s="66" t="s">
        <v>154</v>
      </c>
      <c r="F38" s="65" t="s">
        <v>151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2"/>
      <c r="D39" s="4"/>
      <c r="E39" s="66" t="s">
        <v>156</v>
      </c>
      <c r="F39" s="65" t="s">
        <v>151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66" t="s">
        <v>157</v>
      </c>
      <c r="F40" s="65" t="s">
        <v>1091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2"/>
      <c r="D41" s="4"/>
      <c r="E41" s="66" t="s">
        <v>1190</v>
      </c>
      <c r="F41" s="65" t="s">
        <v>151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6" t="s">
        <v>160</v>
      </c>
      <c r="F42" s="65" t="s">
        <v>155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161</v>
      </c>
      <c r="F43" s="68" t="s">
        <v>162</v>
      </c>
      <c r="G43" s="4"/>
      <c r="H43" s="4"/>
      <c r="I43" s="4"/>
      <c r="J43" s="4"/>
      <c r="K43" s="4"/>
      <c r="L43" s="4"/>
      <c r="M43" s="69" t="s">
        <v>812</v>
      </c>
      <c r="N43" s="4"/>
      <c r="O43" s="4"/>
      <c r="P43" s="4"/>
      <c r="Q43" s="4"/>
      <c r="R43" s="4"/>
      <c r="S43" s="4"/>
      <c r="T43" s="4"/>
      <c r="U43" s="67" t="s">
        <v>149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4"/>
      <c r="F44" s="4"/>
      <c r="G44" s="4"/>
      <c r="H44" s="4"/>
      <c r="I44" s="4"/>
      <c r="J44" s="4"/>
      <c r="K44" s="4" t="str">
        <f>I72431</f>
        <v/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69"/>
      <c r="G51" s="4"/>
      <c r="H51" s="4"/>
      <c r="I51" s="67" t="s">
        <v>163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>
        <v>7.0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7">
    <mergeCell ref="R2:R4"/>
    <mergeCell ref="S2:S4"/>
    <mergeCell ref="F3:F4"/>
    <mergeCell ref="G3:H3"/>
    <mergeCell ref="I3:J3"/>
    <mergeCell ref="K3:K4"/>
    <mergeCell ref="F32:O3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45555.0</v>
      </c>
      <c r="C5" s="18" t="s">
        <v>1192</v>
      </c>
      <c r="D5" s="19">
        <v>84881.0</v>
      </c>
      <c r="E5" s="20" t="s">
        <v>1193</v>
      </c>
      <c r="F5" s="21"/>
      <c r="G5" s="29"/>
      <c r="H5" s="23"/>
      <c r="I5" s="37"/>
      <c r="J5" s="37">
        <v>7300.0</v>
      </c>
      <c r="K5" s="22"/>
      <c r="L5" s="22"/>
      <c r="M5" s="21"/>
      <c r="N5" s="22"/>
      <c r="O5" s="22"/>
      <c r="P5" s="25">
        <v>7300.0</v>
      </c>
      <c r="Q5" s="26">
        <f t="shared" ref="Q5:Q35" si="1">F5+G5+H5+I5+J5+K5+L5+M5+N5+O5-P5</f>
        <v>0</v>
      </c>
      <c r="R5" s="25" t="s">
        <v>36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45556.0</v>
      </c>
      <c r="C6" s="18" t="s">
        <v>1194</v>
      </c>
      <c r="D6" s="19">
        <v>76388.0</v>
      </c>
      <c r="E6" s="20" t="s">
        <v>1195</v>
      </c>
      <c r="F6" s="23"/>
      <c r="G6" s="22"/>
      <c r="H6" s="22"/>
      <c r="I6" s="21">
        <v>1150.0</v>
      </c>
      <c r="J6" s="29"/>
      <c r="K6" s="29"/>
      <c r="L6" s="22"/>
      <c r="M6" s="21"/>
      <c r="N6" s="22"/>
      <c r="O6" s="22"/>
      <c r="P6" s="25">
        <v>1150.0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45556.0</v>
      </c>
      <c r="C7" s="18" t="s">
        <v>1196</v>
      </c>
      <c r="D7" s="19">
        <v>79705.0</v>
      </c>
      <c r="E7" s="20" t="s">
        <v>1197</v>
      </c>
      <c r="F7" s="22"/>
      <c r="G7" s="22"/>
      <c r="H7" s="23"/>
      <c r="I7" s="21">
        <v>5150.0</v>
      </c>
      <c r="J7" s="37"/>
      <c r="K7" s="29"/>
      <c r="L7" s="22"/>
      <c r="M7" s="22"/>
      <c r="N7" s="22"/>
      <c r="O7" s="22"/>
      <c r="P7" s="25">
        <v>5150.0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45556.0</v>
      </c>
      <c r="C8" s="18" t="s">
        <v>1198</v>
      </c>
      <c r="D8" s="19">
        <v>55768.0</v>
      </c>
      <c r="E8" s="20" t="s">
        <v>1199</v>
      </c>
      <c r="F8" s="22"/>
      <c r="G8" s="22"/>
      <c r="H8" s="22"/>
      <c r="I8" s="21">
        <v>4000.0</v>
      </c>
      <c r="J8" s="21"/>
      <c r="K8" s="29"/>
      <c r="L8" s="22"/>
      <c r="M8" s="22"/>
      <c r="N8" s="22"/>
      <c r="O8" s="22"/>
      <c r="P8" s="25">
        <v>4000.0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45556.0</v>
      </c>
      <c r="C9" s="18" t="s">
        <v>1200</v>
      </c>
      <c r="D9" s="19">
        <v>67621.0</v>
      </c>
      <c r="E9" s="20" t="s">
        <v>216</v>
      </c>
      <c r="F9" s="22"/>
      <c r="G9" s="22"/>
      <c r="H9" s="22"/>
      <c r="I9" s="21">
        <v>2400.0</v>
      </c>
      <c r="J9" s="21"/>
      <c r="K9" s="22"/>
      <c r="L9" s="22"/>
      <c r="M9" s="23"/>
      <c r="N9" s="22"/>
      <c r="O9" s="22"/>
      <c r="P9" s="25">
        <v>2400.0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45556.0</v>
      </c>
      <c r="C10" s="18" t="s">
        <v>1201</v>
      </c>
      <c r="D10" s="19">
        <v>21743.0</v>
      </c>
      <c r="E10" s="20" t="s">
        <v>1202</v>
      </c>
      <c r="F10" s="22"/>
      <c r="G10" s="29">
        <v>2400.0</v>
      </c>
      <c r="H10" s="22"/>
      <c r="I10" s="21"/>
      <c r="J10" s="21"/>
      <c r="K10" s="22"/>
      <c r="L10" s="22"/>
      <c r="M10" s="23"/>
      <c r="N10" s="22"/>
      <c r="O10" s="22"/>
      <c r="P10" s="25">
        <v>2400.0</v>
      </c>
      <c r="Q10" s="26">
        <f t="shared" si="1"/>
        <v>0</v>
      </c>
      <c r="R10" s="25" t="s">
        <v>33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45556.0</v>
      </c>
      <c r="C11" s="18" t="s">
        <v>1203</v>
      </c>
      <c r="D11" s="19">
        <v>46927.0</v>
      </c>
      <c r="E11" s="20" t="s">
        <v>75</v>
      </c>
      <c r="F11" s="22"/>
      <c r="G11" s="22"/>
      <c r="H11" s="29"/>
      <c r="I11" s="21">
        <v>2650.0</v>
      </c>
      <c r="J11" s="21"/>
      <c r="K11" s="29"/>
      <c r="L11" s="22"/>
      <c r="M11" s="23"/>
      <c r="N11" s="22"/>
      <c r="O11" s="22"/>
      <c r="P11" s="25">
        <v>2650.0</v>
      </c>
      <c r="Q11" s="26">
        <f t="shared" si="1"/>
        <v>0</v>
      </c>
      <c r="R11" s="25" t="s">
        <v>43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45556.0</v>
      </c>
      <c r="C12" s="18" t="s">
        <v>1204</v>
      </c>
      <c r="D12" s="19">
        <v>50436.0</v>
      </c>
      <c r="E12" s="20" t="s">
        <v>338</v>
      </c>
      <c r="F12" s="22"/>
      <c r="G12" s="22"/>
      <c r="H12" s="29"/>
      <c r="I12" s="21">
        <v>9450.0</v>
      </c>
      <c r="J12" s="21"/>
      <c r="K12" s="29"/>
      <c r="L12" s="22"/>
      <c r="M12" s="23"/>
      <c r="N12" s="22"/>
      <c r="O12" s="22"/>
      <c r="P12" s="25">
        <v>9450.0</v>
      </c>
      <c r="Q12" s="26">
        <f t="shared" si="1"/>
        <v>0</v>
      </c>
      <c r="R12" s="25" t="s">
        <v>33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45556.0</v>
      </c>
      <c r="C13" s="32" t="s">
        <v>1205</v>
      </c>
      <c r="D13" s="33">
        <v>21743.0</v>
      </c>
      <c r="E13" s="34" t="s">
        <v>1202</v>
      </c>
      <c r="F13" s="22"/>
      <c r="G13" s="22"/>
      <c r="H13" s="22"/>
      <c r="I13" s="21"/>
      <c r="J13" s="21"/>
      <c r="K13" s="22"/>
      <c r="L13" s="22"/>
      <c r="M13" s="21">
        <v>1290.0</v>
      </c>
      <c r="N13" s="22"/>
      <c r="O13" s="22"/>
      <c r="P13" s="35">
        <v>1290.0</v>
      </c>
      <c r="Q13" s="26">
        <f t="shared" si="1"/>
        <v>0</v>
      </c>
      <c r="R13" s="35" t="s">
        <v>33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45556.0</v>
      </c>
      <c r="C14" s="18" t="s">
        <v>1206</v>
      </c>
      <c r="D14" s="19">
        <v>42278.0</v>
      </c>
      <c r="E14" s="20" t="s">
        <v>939</v>
      </c>
      <c r="F14" s="22"/>
      <c r="G14" s="29">
        <v>5000.0</v>
      </c>
      <c r="H14" s="22"/>
      <c r="I14" s="21"/>
      <c r="J14" s="21"/>
      <c r="K14" s="22"/>
      <c r="L14" s="22"/>
      <c r="M14" s="23"/>
      <c r="N14" s="22"/>
      <c r="O14" s="22"/>
      <c r="P14" s="25">
        <v>5000.0</v>
      </c>
      <c r="Q14" s="26">
        <f t="shared" si="1"/>
        <v>0</v>
      </c>
      <c r="R14" s="25" t="s">
        <v>43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45556.0</v>
      </c>
      <c r="C15" s="18" t="s">
        <v>1207</v>
      </c>
      <c r="D15" s="19">
        <v>59244.0</v>
      </c>
      <c r="E15" s="20" t="s">
        <v>485</v>
      </c>
      <c r="F15" s="22"/>
      <c r="G15" s="22"/>
      <c r="H15" s="22"/>
      <c r="I15" s="21"/>
      <c r="J15" s="21">
        <v>14500.0</v>
      </c>
      <c r="K15" s="29"/>
      <c r="L15" s="22"/>
      <c r="M15" s="23"/>
      <c r="N15" s="22"/>
      <c r="O15" s="22"/>
      <c r="P15" s="25">
        <v>14500.0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45556.0</v>
      </c>
      <c r="C16" s="18" t="s">
        <v>1208</v>
      </c>
      <c r="D16" s="19">
        <v>21818.0</v>
      </c>
      <c r="E16" s="20" t="s">
        <v>103</v>
      </c>
      <c r="F16" s="22"/>
      <c r="G16" s="22"/>
      <c r="H16" s="22"/>
      <c r="I16" s="21"/>
      <c r="J16" s="21"/>
      <c r="K16" s="29">
        <v>11500.0</v>
      </c>
      <c r="L16" s="22"/>
      <c r="M16" s="21"/>
      <c r="N16" s="22"/>
      <c r="O16" s="22"/>
      <c r="P16" s="25">
        <v>11500.0</v>
      </c>
      <c r="Q16" s="26">
        <f t="shared" si="1"/>
        <v>0</v>
      </c>
      <c r="R16" s="25" t="s">
        <v>36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45556.0</v>
      </c>
      <c r="C17" s="18" t="s">
        <v>1209</v>
      </c>
      <c r="D17" s="19">
        <v>27880.0</v>
      </c>
      <c r="E17" s="20" t="s">
        <v>893</v>
      </c>
      <c r="F17" s="22"/>
      <c r="G17" s="22"/>
      <c r="H17" s="29">
        <v>12800.0</v>
      </c>
      <c r="I17" s="21"/>
      <c r="J17" s="21"/>
      <c r="K17" s="22"/>
      <c r="L17" s="22"/>
      <c r="M17" s="21"/>
      <c r="N17" s="22"/>
      <c r="O17" s="22"/>
      <c r="P17" s="25">
        <v>12800.0</v>
      </c>
      <c r="Q17" s="26">
        <f t="shared" si="1"/>
        <v>0</v>
      </c>
      <c r="R17" s="25" t="s">
        <v>33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45556.0</v>
      </c>
      <c r="C18" s="18" t="s">
        <v>1210</v>
      </c>
      <c r="D18" s="19">
        <v>74054.0</v>
      </c>
      <c r="E18" s="20" t="s">
        <v>1211</v>
      </c>
      <c r="F18" s="22"/>
      <c r="G18" s="22"/>
      <c r="H18" s="22"/>
      <c r="I18" s="21"/>
      <c r="J18" s="21">
        <v>2650.0</v>
      </c>
      <c r="K18" s="29"/>
      <c r="L18" s="22"/>
      <c r="M18" s="22"/>
      <c r="N18" s="22"/>
      <c r="O18" s="22"/>
      <c r="P18" s="25">
        <v>2650.0</v>
      </c>
      <c r="Q18" s="26">
        <f t="shared" si="1"/>
        <v>0</v>
      </c>
      <c r="R18" s="25" t="s">
        <v>43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45556.0</v>
      </c>
      <c r="C19" s="32" t="s">
        <v>1212</v>
      </c>
      <c r="D19" s="33">
        <v>51876.0</v>
      </c>
      <c r="E19" s="34" t="s">
        <v>704</v>
      </c>
      <c r="F19" s="22"/>
      <c r="G19" s="29"/>
      <c r="H19" s="22"/>
      <c r="I19" s="21">
        <v>9700.0</v>
      </c>
      <c r="J19" s="21"/>
      <c r="K19" s="22"/>
      <c r="L19" s="22"/>
      <c r="M19" s="21"/>
      <c r="N19" s="22"/>
      <c r="O19" s="22"/>
      <c r="P19" s="35">
        <v>9700.0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45556.0</v>
      </c>
      <c r="C20" s="18" t="s">
        <v>1213</v>
      </c>
      <c r="D20" s="19">
        <v>10001.0</v>
      </c>
      <c r="E20" s="20" t="s">
        <v>917</v>
      </c>
      <c r="F20" s="22"/>
      <c r="G20" s="22"/>
      <c r="H20" s="22"/>
      <c r="I20" s="37"/>
      <c r="J20" s="37"/>
      <c r="K20" s="22"/>
      <c r="L20" s="22"/>
      <c r="M20" s="29">
        <v>350.0</v>
      </c>
      <c r="N20" s="22"/>
      <c r="O20" s="22"/>
      <c r="P20" s="25">
        <v>350.0</v>
      </c>
      <c r="Q20" s="26">
        <f t="shared" si="1"/>
        <v>0</v>
      </c>
      <c r="R20" s="25" t="s">
        <v>33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45556.0</v>
      </c>
      <c r="C21" s="18" t="s">
        <v>1214</v>
      </c>
      <c r="D21" s="19">
        <v>70615.0</v>
      </c>
      <c r="E21" s="20" t="s">
        <v>1215</v>
      </c>
      <c r="F21" s="21"/>
      <c r="G21" s="22"/>
      <c r="H21" s="22"/>
      <c r="I21" s="45">
        <v>5150.0</v>
      </c>
      <c r="J21" s="29"/>
      <c r="K21" s="39"/>
      <c r="L21" s="22"/>
      <c r="M21" s="22"/>
      <c r="N21" s="22"/>
      <c r="O21" s="22"/>
      <c r="P21" s="25">
        <v>5150.0</v>
      </c>
      <c r="Q21" s="26">
        <f t="shared" si="1"/>
        <v>0</v>
      </c>
      <c r="R21" s="25" t="s">
        <v>36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45556.0</v>
      </c>
      <c r="C22" s="18" t="s">
        <v>1216</v>
      </c>
      <c r="D22" s="19">
        <v>74492.0</v>
      </c>
      <c r="E22" s="20" t="s">
        <v>1179</v>
      </c>
      <c r="F22" s="23"/>
      <c r="G22" s="22"/>
      <c r="H22" s="22"/>
      <c r="I22" s="21">
        <v>2650.0</v>
      </c>
      <c r="J22" s="29"/>
      <c r="K22" s="23"/>
      <c r="L22" s="22"/>
      <c r="M22" s="22"/>
      <c r="N22" s="22"/>
      <c r="O22" s="22"/>
      <c r="P22" s="25">
        <v>2650.0</v>
      </c>
      <c r="Q22" s="26">
        <f t="shared" si="1"/>
        <v>0</v>
      </c>
      <c r="R22" s="25" t="s">
        <v>43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45556.0</v>
      </c>
      <c r="C23" s="41" t="s">
        <v>1217</v>
      </c>
      <c r="D23" s="42">
        <v>10271.0</v>
      </c>
      <c r="E23" s="43" t="s">
        <v>371</v>
      </c>
      <c r="F23" s="38"/>
      <c r="G23" s="71">
        <v>4500.0</v>
      </c>
      <c r="H23" s="44"/>
      <c r="I23" s="45"/>
      <c r="J23" s="45"/>
      <c r="K23" s="46"/>
      <c r="L23" s="44"/>
      <c r="M23" s="44"/>
      <c r="N23" s="44"/>
      <c r="O23" s="44"/>
      <c r="P23" s="47">
        <v>4500.0</v>
      </c>
      <c r="Q23" s="26">
        <f t="shared" si="1"/>
        <v>0</v>
      </c>
      <c r="R23" s="47" t="s">
        <v>30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45556.0</v>
      </c>
      <c r="C24" s="18" t="s">
        <v>1218</v>
      </c>
      <c r="D24" s="19">
        <v>10271.0</v>
      </c>
      <c r="E24" s="20" t="s">
        <v>371</v>
      </c>
      <c r="F24" s="23"/>
      <c r="G24" s="29">
        <v>1450.0</v>
      </c>
      <c r="H24" s="22"/>
      <c r="I24" s="21"/>
      <c r="J24" s="29"/>
      <c r="K24" s="39"/>
      <c r="L24" s="22"/>
      <c r="M24" s="22"/>
      <c r="N24" s="22"/>
      <c r="O24" s="22"/>
      <c r="P24" s="25">
        <v>1450.0</v>
      </c>
      <c r="Q24" s="26">
        <f t="shared" si="1"/>
        <v>0</v>
      </c>
      <c r="R24" s="25" t="s">
        <v>30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45556.0</v>
      </c>
      <c r="C25" s="18" t="s">
        <v>1219</v>
      </c>
      <c r="D25" s="19">
        <v>52083.0</v>
      </c>
      <c r="E25" s="20" t="s">
        <v>71</v>
      </c>
      <c r="F25" s="23"/>
      <c r="G25" s="22"/>
      <c r="H25" s="29"/>
      <c r="I25" s="21">
        <v>12200.0</v>
      </c>
      <c r="J25" s="21"/>
      <c r="K25" s="49"/>
      <c r="L25" s="22"/>
      <c r="M25" s="22"/>
      <c r="N25" s="22"/>
      <c r="O25" s="22"/>
      <c r="P25" s="25">
        <v>12200.0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45556.0</v>
      </c>
      <c r="C26" s="18" t="s">
        <v>1220</v>
      </c>
      <c r="D26" s="19">
        <v>55992.0</v>
      </c>
      <c r="E26" s="20" t="s">
        <v>211</v>
      </c>
      <c r="F26" s="23"/>
      <c r="G26" s="22"/>
      <c r="H26" s="29"/>
      <c r="I26" s="21"/>
      <c r="J26" s="21"/>
      <c r="K26" s="37"/>
      <c r="L26" s="22"/>
      <c r="M26" s="29">
        <v>435.0</v>
      </c>
      <c r="N26" s="22"/>
      <c r="O26" s="22"/>
      <c r="P26" s="25">
        <v>435.0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45555.0</v>
      </c>
      <c r="C27" s="18" t="s">
        <v>1221</v>
      </c>
      <c r="D27" s="19">
        <v>69659.0</v>
      </c>
      <c r="E27" s="20" t="s">
        <v>626</v>
      </c>
      <c r="F27" s="23"/>
      <c r="G27" s="22"/>
      <c r="H27" s="29"/>
      <c r="I27" s="21"/>
      <c r="J27" s="21"/>
      <c r="K27" s="37"/>
      <c r="L27" s="22"/>
      <c r="M27" s="29">
        <v>100.0</v>
      </c>
      <c r="N27" s="22"/>
      <c r="O27" s="29"/>
      <c r="P27" s="25">
        <v>100.0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45555.0</v>
      </c>
      <c r="C28" s="18" t="s">
        <v>1222</v>
      </c>
      <c r="D28" s="19">
        <v>51017.0</v>
      </c>
      <c r="E28" s="20" t="s">
        <v>241</v>
      </c>
      <c r="F28" s="23"/>
      <c r="G28" s="22"/>
      <c r="H28" s="29">
        <v>10000.0</v>
      </c>
      <c r="I28" s="21"/>
      <c r="J28" s="21"/>
      <c r="K28" s="37"/>
      <c r="L28" s="22"/>
      <c r="M28" s="29"/>
      <c r="N28" s="22"/>
      <c r="O28" s="29"/>
      <c r="P28" s="25">
        <v>10000.0</v>
      </c>
      <c r="Q28" s="26">
        <f t="shared" si="1"/>
        <v>0</v>
      </c>
      <c r="R28" s="25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45556.0</v>
      </c>
      <c r="C29" s="18" t="s">
        <v>1223</v>
      </c>
      <c r="D29" s="19">
        <v>21828.0</v>
      </c>
      <c r="E29" s="20" t="s">
        <v>144</v>
      </c>
      <c r="F29" s="23"/>
      <c r="G29" s="22"/>
      <c r="H29" s="29"/>
      <c r="I29" s="21"/>
      <c r="J29" s="21"/>
      <c r="K29" s="37"/>
      <c r="L29" s="22"/>
      <c r="M29" s="29">
        <v>450.0</v>
      </c>
      <c r="N29" s="22"/>
      <c r="O29" s="29"/>
      <c r="P29" s="25">
        <v>450.0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45556.0</v>
      </c>
      <c r="C30" s="18" t="s">
        <v>1224</v>
      </c>
      <c r="D30" s="19">
        <v>73356.0</v>
      </c>
      <c r="E30" s="20" t="s">
        <v>1225</v>
      </c>
      <c r="F30" s="23"/>
      <c r="G30" s="22"/>
      <c r="H30" s="29"/>
      <c r="I30" s="21"/>
      <c r="J30" s="21"/>
      <c r="K30" s="37"/>
      <c r="L30" s="22"/>
      <c r="M30" s="29">
        <v>10000.0</v>
      </c>
      <c r="N30" s="22"/>
      <c r="O30" s="29"/>
      <c r="P30" s="25">
        <v>10000.0</v>
      </c>
      <c r="Q30" s="26">
        <f t="shared" si="1"/>
        <v>0</v>
      </c>
      <c r="R30" s="25"/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45556.0</v>
      </c>
      <c r="C31" s="18" t="s">
        <v>1226</v>
      </c>
      <c r="D31" s="19">
        <v>52215.0</v>
      </c>
      <c r="E31" s="20" t="s">
        <v>1227</v>
      </c>
      <c r="F31" s="23"/>
      <c r="G31" s="22"/>
      <c r="H31" s="29">
        <v>9000.0</v>
      </c>
      <c r="I31" s="21"/>
      <c r="J31" s="21"/>
      <c r="K31" s="37"/>
      <c r="L31" s="22"/>
      <c r="M31" s="29"/>
      <c r="N31" s="22"/>
      <c r="O31" s="29"/>
      <c r="P31" s="25">
        <v>9000.0</v>
      </c>
      <c r="Q31" s="26">
        <f t="shared" si="1"/>
        <v>0</v>
      </c>
      <c r="R31" s="25"/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45556.0</v>
      </c>
      <c r="C32" s="18" t="s">
        <v>1228</v>
      </c>
      <c r="D32" s="19">
        <v>72839.0</v>
      </c>
      <c r="E32" s="20" t="s">
        <v>404</v>
      </c>
      <c r="F32" s="23"/>
      <c r="G32" s="22"/>
      <c r="H32" s="29">
        <v>4650.0</v>
      </c>
      <c r="I32" s="21"/>
      <c r="J32" s="21"/>
      <c r="K32" s="37"/>
      <c r="L32" s="22"/>
      <c r="M32" s="29"/>
      <c r="N32" s="22"/>
      <c r="O32" s="29"/>
      <c r="P32" s="25">
        <v>4650.0</v>
      </c>
      <c r="Q32" s="26">
        <f t="shared" si="1"/>
        <v>0</v>
      </c>
      <c r="R32" s="25"/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45556.0</v>
      </c>
      <c r="C33" s="18" t="s">
        <v>1229</v>
      </c>
      <c r="D33" s="19">
        <v>72839.0</v>
      </c>
      <c r="E33" s="20" t="s">
        <v>404</v>
      </c>
      <c r="F33" s="23"/>
      <c r="G33" s="22"/>
      <c r="H33" s="29">
        <v>15000.0</v>
      </c>
      <c r="I33" s="21"/>
      <c r="J33" s="21"/>
      <c r="K33" s="37"/>
      <c r="L33" s="22"/>
      <c r="M33" s="29"/>
      <c r="N33" s="22"/>
      <c r="O33" s="29"/>
      <c r="P33" s="25">
        <v>15000.0</v>
      </c>
      <c r="Q33" s="26">
        <f t="shared" si="1"/>
        <v>0</v>
      </c>
      <c r="R33" s="25"/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45556.0</v>
      </c>
      <c r="C34" s="18" t="s">
        <v>1230</v>
      </c>
      <c r="D34" s="19">
        <v>10288.0</v>
      </c>
      <c r="E34" s="20" t="s">
        <v>246</v>
      </c>
      <c r="F34" s="23"/>
      <c r="G34" s="22"/>
      <c r="H34" s="29">
        <v>15000.0</v>
      </c>
      <c r="I34" s="21"/>
      <c r="J34" s="21"/>
      <c r="K34" s="37"/>
      <c r="L34" s="22"/>
      <c r="M34" s="29"/>
      <c r="N34" s="22"/>
      <c r="O34" s="29"/>
      <c r="P34" s="25">
        <v>15000.0</v>
      </c>
      <c r="Q34" s="26">
        <f t="shared" si="1"/>
        <v>0</v>
      </c>
      <c r="R34" s="25"/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45556.0</v>
      </c>
      <c r="C35" s="18" t="s">
        <v>1231</v>
      </c>
      <c r="D35" s="19">
        <v>10250.0</v>
      </c>
      <c r="E35" s="20" t="s">
        <v>423</v>
      </c>
      <c r="F35" s="23"/>
      <c r="G35" s="22"/>
      <c r="H35" s="29">
        <v>19000.0</v>
      </c>
      <c r="I35" s="21"/>
      <c r="J35" s="21"/>
      <c r="K35" s="37"/>
      <c r="L35" s="22"/>
      <c r="M35" s="29"/>
      <c r="N35" s="22"/>
      <c r="O35" s="29"/>
      <c r="P35" s="25">
        <v>19000.0</v>
      </c>
      <c r="Q35" s="26">
        <f t="shared" si="1"/>
        <v>0</v>
      </c>
      <c r="R35" s="25"/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7.5" customHeight="1">
      <c r="A36" s="16"/>
      <c r="B36" s="51"/>
      <c r="C36" s="52"/>
      <c r="D36" s="53" t="s">
        <v>149</v>
      </c>
      <c r="E36" s="54"/>
      <c r="F36" s="55">
        <f t="shared" ref="F36:P36" si="2">SUM(F5:F35)</f>
        <v>0</v>
      </c>
      <c r="G36" s="55">
        <f t="shared" si="2"/>
        <v>13350</v>
      </c>
      <c r="H36" s="55">
        <f t="shared" si="2"/>
        <v>85450</v>
      </c>
      <c r="I36" s="55">
        <f t="shared" si="2"/>
        <v>54500</v>
      </c>
      <c r="J36" s="55">
        <f t="shared" si="2"/>
        <v>24450</v>
      </c>
      <c r="K36" s="55">
        <f t="shared" si="2"/>
        <v>11500</v>
      </c>
      <c r="L36" s="55">
        <f t="shared" si="2"/>
        <v>0</v>
      </c>
      <c r="M36" s="55">
        <f t="shared" si="2"/>
        <v>12625</v>
      </c>
      <c r="N36" s="55">
        <f t="shared" si="2"/>
        <v>0</v>
      </c>
      <c r="O36" s="55">
        <f t="shared" si="2"/>
        <v>0</v>
      </c>
      <c r="P36" s="55">
        <f t="shared" si="2"/>
        <v>201875</v>
      </c>
      <c r="Q36" s="56">
        <v>0.0</v>
      </c>
      <c r="R36" s="82">
        <f>SUM(R5:R29)</f>
        <v>0</v>
      </c>
      <c r="S36" s="57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58.5" customHeight="1">
      <c r="A37" s="58"/>
      <c r="B37" s="58"/>
      <c r="C37" s="59"/>
      <c r="D37" s="58"/>
      <c r="E37" s="58"/>
      <c r="F37" s="60">
        <f>F36+G36+H36+I36+J36+K36+L36+M36+N36+O36</f>
        <v>201875</v>
      </c>
      <c r="P37" s="61"/>
      <c r="Q37" s="61"/>
      <c r="R37" s="58"/>
      <c r="S37" s="58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15.75" customHeight="1">
      <c r="A38" s="4"/>
      <c r="B38" s="4"/>
      <c r="C38" s="6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3" t="s">
        <v>149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2"/>
      <c r="D41" s="4"/>
      <c r="E41" s="64" t="s">
        <v>150</v>
      </c>
      <c r="F41" s="6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6" t="s">
        <v>152</v>
      </c>
      <c r="F42" s="65" t="s">
        <v>255</v>
      </c>
      <c r="G42" s="4"/>
      <c r="H42" s="4"/>
      <c r="I42" s="4"/>
      <c r="J42" s="4"/>
      <c r="K42" s="4"/>
      <c r="L42" s="4"/>
      <c r="M42" s="4"/>
      <c r="N42" s="4"/>
      <c r="O42" s="67" t="s">
        <v>149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154</v>
      </c>
      <c r="F43" s="65" t="s">
        <v>151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156</v>
      </c>
      <c r="F44" s="65" t="s">
        <v>151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157</v>
      </c>
      <c r="F45" s="65" t="s">
        <v>254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1232</v>
      </c>
      <c r="F46" s="65" t="s">
        <v>151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160</v>
      </c>
      <c r="F47" s="65" t="s">
        <v>155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161</v>
      </c>
      <c r="F48" s="68" t="s">
        <v>162</v>
      </c>
      <c r="G48" s="4"/>
      <c r="H48" s="4"/>
      <c r="I48" s="4"/>
      <c r="J48" s="4"/>
      <c r="K48" s="4"/>
      <c r="L48" s="4"/>
      <c r="M48" s="69" t="s">
        <v>812</v>
      </c>
      <c r="N48" s="4"/>
      <c r="O48" s="4"/>
      <c r="P48" s="4"/>
      <c r="Q48" s="4"/>
      <c r="R48" s="4"/>
      <c r="S48" s="4"/>
      <c r="T48" s="4"/>
      <c r="U48" s="67" t="s">
        <v>149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 t="str">
        <f>I72436</f>
        <v/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69"/>
      <c r="G56" s="4"/>
      <c r="H56" s="4"/>
      <c r="I56" s="67" t="s">
        <v>163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>
        <v>7.0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7">
    <mergeCell ref="R2:R4"/>
    <mergeCell ref="S2:S4"/>
    <mergeCell ref="F3:F4"/>
    <mergeCell ref="G3:H3"/>
    <mergeCell ref="I3:J3"/>
    <mergeCell ref="K3:K4"/>
    <mergeCell ref="F37:O3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45556.0</v>
      </c>
      <c r="C5" s="20" t="s">
        <v>1234</v>
      </c>
      <c r="D5" s="20">
        <v>55446.0</v>
      </c>
      <c r="E5" s="20" t="s">
        <v>399</v>
      </c>
      <c r="F5" s="21"/>
      <c r="G5" s="29"/>
      <c r="H5" s="23"/>
      <c r="I5" s="37">
        <v>1800.0</v>
      </c>
      <c r="J5" s="37"/>
      <c r="K5" s="22"/>
      <c r="L5" s="22"/>
      <c r="M5" s="21">
        <v>150.0</v>
      </c>
      <c r="N5" s="22"/>
      <c r="O5" s="22"/>
      <c r="P5" s="25">
        <v>1950.0</v>
      </c>
      <c r="Q5" s="26">
        <f t="shared" ref="Q5:Q31" si="1">F5+G5+H5+I5+J5+K5+L5+M5+N5+O5-P5</f>
        <v>0</v>
      </c>
      <c r="R5" s="25" t="s">
        <v>30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45556.0</v>
      </c>
      <c r="C6" s="20" t="s">
        <v>1235</v>
      </c>
      <c r="D6" s="20">
        <v>84490.0</v>
      </c>
      <c r="E6" s="20" t="s">
        <v>1236</v>
      </c>
      <c r="F6" s="23"/>
      <c r="G6" s="22"/>
      <c r="H6" s="22"/>
      <c r="I6" s="21"/>
      <c r="J6" s="29"/>
      <c r="K6" s="29"/>
      <c r="L6" s="22"/>
      <c r="M6" s="21">
        <v>199.0</v>
      </c>
      <c r="N6" s="22"/>
      <c r="O6" s="22"/>
      <c r="P6" s="25">
        <v>199.0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45556.0</v>
      </c>
      <c r="C7" s="20" t="s">
        <v>1237</v>
      </c>
      <c r="D7" s="20">
        <v>30895.0</v>
      </c>
      <c r="E7" s="20" t="s">
        <v>114</v>
      </c>
      <c r="F7" s="22"/>
      <c r="G7" s="29">
        <v>4250.0</v>
      </c>
      <c r="H7" s="23"/>
      <c r="I7" s="21"/>
      <c r="J7" s="37"/>
      <c r="K7" s="29"/>
      <c r="L7" s="22"/>
      <c r="M7" s="22"/>
      <c r="N7" s="22"/>
      <c r="O7" s="22"/>
      <c r="P7" s="25">
        <v>4250.0</v>
      </c>
      <c r="Q7" s="26">
        <f t="shared" si="1"/>
        <v>0</v>
      </c>
      <c r="R7" s="25" t="s">
        <v>33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45556.0</v>
      </c>
      <c r="C8" s="20" t="s">
        <v>1238</v>
      </c>
      <c r="D8" s="20">
        <v>30895.0</v>
      </c>
      <c r="E8" s="20" t="s">
        <v>114</v>
      </c>
      <c r="F8" s="22"/>
      <c r="G8" s="29">
        <v>5000.0</v>
      </c>
      <c r="H8" s="22"/>
      <c r="I8" s="21"/>
      <c r="J8" s="21"/>
      <c r="K8" s="29"/>
      <c r="L8" s="22"/>
      <c r="M8" s="22"/>
      <c r="N8" s="22"/>
      <c r="O8" s="22"/>
      <c r="P8" s="25">
        <v>5000.0</v>
      </c>
      <c r="Q8" s="26">
        <f t="shared" si="1"/>
        <v>0</v>
      </c>
      <c r="R8" s="25" t="s">
        <v>33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45556.0</v>
      </c>
      <c r="C9" s="20" t="s">
        <v>1239</v>
      </c>
      <c r="D9" s="20">
        <v>30895.0</v>
      </c>
      <c r="E9" s="20" t="s">
        <v>114</v>
      </c>
      <c r="F9" s="22"/>
      <c r="G9" s="29">
        <v>5000.0</v>
      </c>
      <c r="H9" s="22"/>
      <c r="I9" s="21"/>
      <c r="J9" s="21"/>
      <c r="K9" s="22"/>
      <c r="L9" s="22"/>
      <c r="M9" s="23"/>
      <c r="N9" s="22"/>
      <c r="O9" s="22"/>
      <c r="P9" s="25">
        <v>5000.0</v>
      </c>
      <c r="Q9" s="26">
        <f t="shared" si="1"/>
        <v>0</v>
      </c>
      <c r="R9" s="25" t="s">
        <v>33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45557.0</v>
      </c>
      <c r="C10" s="20" t="s">
        <v>1240</v>
      </c>
      <c r="D10" s="20">
        <v>31927.0</v>
      </c>
      <c r="E10" s="20" t="s">
        <v>136</v>
      </c>
      <c r="F10" s="22"/>
      <c r="G10" s="29"/>
      <c r="H10" s="22"/>
      <c r="I10" s="21">
        <v>450.0</v>
      </c>
      <c r="J10" s="21"/>
      <c r="K10" s="22"/>
      <c r="L10" s="22"/>
      <c r="M10" s="23"/>
      <c r="N10" s="22"/>
      <c r="O10" s="22"/>
      <c r="P10" s="25">
        <v>450.0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45557.0</v>
      </c>
      <c r="C11" s="20" t="s">
        <v>1241</v>
      </c>
      <c r="D11" s="20">
        <v>58074.0</v>
      </c>
      <c r="E11" s="20" t="s">
        <v>101</v>
      </c>
      <c r="F11" s="22"/>
      <c r="G11" s="22"/>
      <c r="H11" s="29"/>
      <c r="I11" s="21">
        <v>2550.0</v>
      </c>
      <c r="J11" s="21"/>
      <c r="K11" s="29"/>
      <c r="L11" s="22"/>
      <c r="M11" s="23"/>
      <c r="N11" s="22"/>
      <c r="O11" s="22"/>
      <c r="P11" s="25">
        <v>2550.0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45557.0</v>
      </c>
      <c r="C12" s="20" t="s">
        <v>1242</v>
      </c>
      <c r="D12" s="20">
        <v>10249.0</v>
      </c>
      <c r="E12" s="20" t="s">
        <v>126</v>
      </c>
      <c r="F12" s="22"/>
      <c r="G12" s="22"/>
      <c r="H12" s="29"/>
      <c r="I12" s="21"/>
      <c r="J12" s="21">
        <v>300.0</v>
      </c>
      <c r="K12" s="29"/>
      <c r="L12" s="22"/>
      <c r="M12" s="23"/>
      <c r="N12" s="22"/>
      <c r="O12" s="22"/>
      <c r="P12" s="25">
        <v>300.0</v>
      </c>
      <c r="Q12" s="26">
        <f t="shared" si="1"/>
        <v>0</v>
      </c>
      <c r="R12" s="25" t="s">
        <v>43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45557.0</v>
      </c>
      <c r="C13" s="20" t="s">
        <v>1243</v>
      </c>
      <c r="D13" s="20">
        <v>48854.0</v>
      </c>
      <c r="E13" s="20" t="s">
        <v>588</v>
      </c>
      <c r="F13" s="22"/>
      <c r="G13" s="22"/>
      <c r="H13" s="22"/>
      <c r="I13" s="21">
        <v>3550.0</v>
      </c>
      <c r="J13" s="21"/>
      <c r="K13" s="22"/>
      <c r="L13" s="22"/>
      <c r="M13" s="21"/>
      <c r="N13" s="22"/>
      <c r="O13" s="22"/>
      <c r="P13" s="35">
        <v>3550.0</v>
      </c>
      <c r="Q13" s="26">
        <f t="shared" si="1"/>
        <v>0</v>
      </c>
      <c r="R13" s="35" t="s">
        <v>25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45557.0</v>
      </c>
      <c r="C14" s="20" t="s">
        <v>1244</v>
      </c>
      <c r="D14" s="20">
        <v>52032.0</v>
      </c>
      <c r="E14" s="20" t="s">
        <v>1245</v>
      </c>
      <c r="F14" s="22"/>
      <c r="G14" s="29"/>
      <c r="H14" s="22"/>
      <c r="I14" s="21">
        <v>350.0</v>
      </c>
      <c r="J14" s="21"/>
      <c r="K14" s="22"/>
      <c r="L14" s="22"/>
      <c r="M14" s="23"/>
      <c r="N14" s="22"/>
      <c r="O14" s="22"/>
      <c r="P14" s="25">
        <v>350.0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45557.0</v>
      </c>
      <c r="C15" s="20" t="s">
        <v>1246</v>
      </c>
      <c r="D15" s="20">
        <v>53067.0</v>
      </c>
      <c r="E15" s="20" t="s">
        <v>905</v>
      </c>
      <c r="F15" s="22"/>
      <c r="G15" s="22"/>
      <c r="H15" s="22"/>
      <c r="I15" s="21">
        <v>1500.0</v>
      </c>
      <c r="J15" s="21"/>
      <c r="K15" s="29"/>
      <c r="L15" s="22"/>
      <c r="M15" s="23"/>
      <c r="N15" s="22"/>
      <c r="O15" s="22"/>
      <c r="P15" s="25">
        <v>1500.0</v>
      </c>
      <c r="Q15" s="26">
        <f t="shared" si="1"/>
        <v>0</v>
      </c>
      <c r="R15" s="25" t="s">
        <v>43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45557.0</v>
      </c>
      <c r="C16" s="20" t="s">
        <v>1247</v>
      </c>
      <c r="D16" s="20">
        <v>66770.0</v>
      </c>
      <c r="E16" s="20" t="s">
        <v>46</v>
      </c>
      <c r="F16" s="22"/>
      <c r="G16" s="22"/>
      <c r="H16" s="22"/>
      <c r="I16" s="21"/>
      <c r="J16" s="21">
        <v>9400.0</v>
      </c>
      <c r="K16" s="29"/>
      <c r="L16" s="22"/>
      <c r="M16" s="21"/>
      <c r="N16" s="22"/>
      <c r="O16" s="22"/>
      <c r="P16" s="25">
        <v>9400.0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45557.0</v>
      </c>
      <c r="C17" s="20" t="s">
        <v>1248</v>
      </c>
      <c r="D17" s="20">
        <v>84025.0</v>
      </c>
      <c r="E17" s="20" t="s">
        <v>1249</v>
      </c>
      <c r="F17" s="22"/>
      <c r="G17" s="22"/>
      <c r="H17" s="29"/>
      <c r="I17" s="21">
        <v>5150.0</v>
      </c>
      <c r="J17" s="21"/>
      <c r="K17" s="22"/>
      <c r="L17" s="22"/>
      <c r="M17" s="21"/>
      <c r="N17" s="22"/>
      <c r="O17" s="22"/>
      <c r="P17" s="25">
        <v>5150.0</v>
      </c>
      <c r="Q17" s="26">
        <f t="shared" si="1"/>
        <v>0</v>
      </c>
      <c r="R17" s="25" t="s">
        <v>36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45557.0</v>
      </c>
      <c r="C18" s="20" t="s">
        <v>1250</v>
      </c>
      <c r="D18" s="20">
        <v>67162.0</v>
      </c>
      <c r="E18" s="20" t="s">
        <v>1251</v>
      </c>
      <c r="F18" s="22"/>
      <c r="G18" s="22"/>
      <c r="H18" s="22"/>
      <c r="I18" s="21"/>
      <c r="J18" s="21">
        <v>6190.0</v>
      </c>
      <c r="K18" s="29"/>
      <c r="L18" s="22"/>
      <c r="M18" s="22"/>
      <c r="N18" s="22"/>
      <c r="O18" s="22"/>
      <c r="P18" s="25">
        <v>6190.0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45557.0</v>
      </c>
      <c r="C19" s="20" t="s">
        <v>1252</v>
      </c>
      <c r="D19" s="20">
        <v>52404.0</v>
      </c>
      <c r="E19" s="20" t="s">
        <v>1253</v>
      </c>
      <c r="F19" s="22"/>
      <c r="G19" s="29"/>
      <c r="H19" s="22"/>
      <c r="I19" s="21">
        <v>5150.0</v>
      </c>
      <c r="J19" s="21"/>
      <c r="K19" s="22"/>
      <c r="L19" s="22"/>
      <c r="M19" s="21"/>
      <c r="N19" s="22"/>
      <c r="O19" s="22"/>
      <c r="P19" s="35">
        <v>5150.0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45557.0</v>
      </c>
      <c r="C20" s="20" t="s">
        <v>1254</v>
      </c>
      <c r="D20" s="20">
        <v>57499.0</v>
      </c>
      <c r="E20" s="20" t="s">
        <v>38</v>
      </c>
      <c r="F20" s="22"/>
      <c r="G20" s="22"/>
      <c r="H20" s="22"/>
      <c r="I20" s="37">
        <v>20750.0</v>
      </c>
      <c r="J20" s="37"/>
      <c r="K20" s="22"/>
      <c r="L20" s="22"/>
      <c r="M20" s="22"/>
      <c r="N20" s="22"/>
      <c r="O20" s="22"/>
      <c r="P20" s="25">
        <v>20750.0</v>
      </c>
      <c r="Q20" s="26">
        <f t="shared" si="1"/>
        <v>0</v>
      </c>
      <c r="R20" s="25" t="s">
        <v>43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45557.0</v>
      </c>
      <c r="C21" s="20" t="s">
        <v>1255</v>
      </c>
      <c r="D21" s="20">
        <v>79860.0</v>
      </c>
      <c r="E21" s="20" t="s">
        <v>1256</v>
      </c>
      <c r="F21" s="21"/>
      <c r="G21" s="22"/>
      <c r="H21" s="22"/>
      <c r="I21" s="45"/>
      <c r="J21" s="29">
        <v>1050.0</v>
      </c>
      <c r="K21" s="39"/>
      <c r="L21" s="22"/>
      <c r="M21" s="22"/>
      <c r="N21" s="22"/>
      <c r="O21" s="22"/>
      <c r="P21" s="25">
        <v>1050.0</v>
      </c>
      <c r="Q21" s="26">
        <f t="shared" si="1"/>
        <v>0</v>
      </c>
      <c r="R21" s="25" t="s">
        <v>36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45557.0</v>
      </c>
      <c r="C22" s="20" t="s">
        <v>1257</v>
      </c>
      <c r="D22" s="20">
        <v>78256.0</v>
      </c>
      <c r="E22" s="20" t="s">
        <v>1258</v>
      </c>
      <c r="F22" s="23"/>
      <c r="G22" s="22"/>
      <c r="H22" s="22"/>
      <c r="I22" s="21">
        <v>5000.0</v>
      </c>
      <c r="J22" s="29"/>
      <c r="K22" s="23"/>
      <c r="L22" s="22"/>
      <c r="M22" s="22"/>
      <c r="N22" s="22"/>
      <c r="O22" s="22"/>
      <c r="P22" s="25">
        <v>5000.0</v>
      </c>
      <c r="Q22" s="26">
        <f t="shared" si="1"/>
        <v>0</v>
      </c>
      <c r="R22" s="25" t="s">
        <v>43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45557.0</v>
      </c>
      <c r="C23" s="20" t="s">
        <v>1259</v>
      </c>
      <c r="D23" s="20">
        <v>36555.0</v>
      </c>
      <c r="E23" s="20" t="s">
        <v>65</v>
      </c>
      <c r="F23" s="38"/>
      <c r="G23" s="71"/>
      <c r="H23" s="44"/>
      <c r="I23" s="45">
        <v>4500.0</v>
      </c>
      <c r="J23" s="45"/>
      <c r="K23" s="46"/>
      <c r="L23" s="44"/>
      <c r="M23" s="44"/>
      <c r="N23" s="44"/>
      <c r="O23" s="44"/>
      <c r="P23" s="47">
        <v>4500.0</v>
      </c>
      <c r="Q23" s="26">
        <f t="shared" si="1"/>
        <v>0</v>
      </c>
      <c r="R23" s="47" t="s">
        <v>36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45557.0</v>
      </c>
      <c r="C24" s="20" t="s">
        <v>1260</v>
      </c>
      <c r="D24" s="20">
        <v>61420.0</v>
      </c>
      <c r="E24" s="20" t="s">
        <v>782</v>
      </c>
      <c r="F24" s="23"/>
      <c r="G24" s="29"/>
      <c r="H24" s="22"/>
      <c r="I24" s="21">
        <v>8100.0</v>
      </c>
      <c r="J24" s="29"/>
      <c r="K24" s="39"/>
      <c r="L24" s="22"/>
      <c r="M24" s="22"/>
      <c r="N24" s="22"/>
      <c r="O24" s="22"/>
      <c r="P24" s="25">
        <v>8100.0</v>
      </c>
      <c r="Q24" s="26">
        <f t="shared" si="1"/>
        <v>0</v>
      </c>
      <c r="R24" s="25" t="s">
        <v>43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45557.0</v>
      </c>
      <c r="C25" s="20" t="s">
        <v>1261</v>
      </c>
      <c r="D25" s="20">
        <v>36769.0</v>
      </c>
      <c r="E25" s="20" t="s">
        <v>379</v>
      </c>
      <c r="F25" s="23"/>
      <c r="G25" s="22"/>
      <c r="H25" s="29"/>
      <c r="I25" s="21">
        <v>5000.0</v>
      </c>
      <c r="J25" s="21"/>
      <c r="K25" s="49"/>
      <c r="L25" s="22"/>
      <c r="M25" s="22"/>
      <c r="N25" s="22"/>
      <c r="O25" s="22"/>
      <c r="P25" s="25">
        <v>5000.0</v>
      </c>
      <c r="Q25" s="26">
        <f t="shared" si="1"/>
        <v>0</v>
      </c>
      <c r="R25" s="25" t="s">
        <v>25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45557.0</v>
      </c>
      <c r="C26" s="20" t="s">
        <v>1262</v>
      </c>
      <c r="D26" s="20">
        <v>75495.0</v>
      </c>
      <c r="E26" s="20" t="s">
        <v>1263</v>
      </c>
      <c r="F26" s="23"/>
      <c r="G26" s="22"/>
      <c r="H26" s="29"/>
      <c r="I26" s="21">
        <v>1550.0</v>
      </c>
      <c r="J26" s="21"/>
      <c r="K26" s="37"/>
      <c r="L26" s="22"/>
      <c r="M26" s="29"/>
      <c r="N26" s="22"/>
      <c r="O26" s="22"/>
      <c r="P26" s="25">
        <v>1550.0</v>
      </c>
      <c r="Q26" s="26">
        <f t="shared" si="1"/>
        <v>0</v>
      </c>
      <c r="R26" s="25" t="s">
        <v>36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45557.0</v>
      </c>
      <c r="C27" s="20" t="s">
        <v>1264</v>
      </c>
      <c r="D27" s="20">
        <v>84341.0</v>
      </c>
      <c r="E27" s="20" t="s">
        <v>1265</v>
      </c>
      <c r="F27" s="23"/>
      <c r="G27" s="22"/>
      <c r="H27" s="29"/>
      <c r="I27" s="21"/>
      <c r="J27" s="21">
        <v>1050.0</v>
      </c>
      <c r="K27" s="37"/>
      <c r="L27" s="22"/>
      <c r="M27" s="29"/>
      <c r="N27" s="22"/>
      <c r="O27" s="29"/>
      <c r="P27" s="25">
        <v>1050.0</v>
      </c>
      <c r="Q27" s="26">
        <f t="shared" si="1"/>
        <v>0</v>
      </c>
      <c r="R27" s="25" t="s">
        <v>43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45557.0</v>
      </c>
      <c r="C28" s="20" t="s">
        <v>1266</v>
      </c>
      <c r="D28" s="20">
        <v>30895.0</v>
      </c>
      <c r="E28" s="20" t="s">
        <v>114</v>
      </c>
      <c r="F28" s="23"/>
      <c r="G28" s="29">
        <v>4500.0</v>
      </c>
      <c r="H28" s="29"/>
      <c r="I28" s="21"/>
      <c r="J28" s="21"/>
      <c r="K28" s="37"/>
      <c r="L28" s="22"/>
      <c r="M28" s="29"/>
      <c r="N28" s="22"/>
      <c r="O28" s="29"/>
      <c r="P28" s="25">
        <v>4500.0</v>
      </c>
      <c r="Q28" s="26">
        <f t="shared" si="1"/>
        <v>0</v>
      </c>
      <c r="R28" s="25" t="s">
        <v>36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45557.0</v>
      </c>
      <c r="C29" s="20" t="s">
        <v>1267</v>
      </c>
      <c r="D29" s="20">
        <v>48657.0</v>
      </c>
      <c r="E29" s="20" t="s">
        <v>590</v>
      </c>
      <c r="F29" s="23"/>
      <c r="G29" s="22"/>
      <c r="H29" s="29"/>
      <c r="I29" s="21">
        <v>2650.0</v>
      </c>
      <c r="J29" s="21"/>
      <c r="K29" s="37"/>
      <c r="L29" s="22"/>
      <c r="M29" s="29"/>
      <c r="N29" s="22"/>
      <c r="O29" s="29"/>
      <c r="P29" s="25">
        <v>2650.0</v>
      </c>
      <c r="Q29" s="26">
        <f t="shared" si="1"/>
        <v>0</v>
      </c>
      <c r="R29" s="25" t="s">
        <v>36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45557.0</v>
      </c>
      <c r="C30" s="20" t="s">
        <v>1268</v>
      </c>
      <c r="D30" s="20">
        <v>84741.0</v>
      </c>
      <c r="E30" s="20" t="s">
        <v>1269</v>
      </c>
      <c r="F30" s="23"/>
      <c r="G30" s="22"/>
      <c r="H30" s="29"/>
      <c r="I30" s="21">
        <v>10000.0</v>
      </c>
      <c r="J30" s="21"/>
      <c r="K30" s="37"/>
      <c r="L30" s="22"/>
      <c r="M30" s="29"/>
      <c r="N30" s="22"/>
      <c r="O30" s="29"/>
      <c r="P30" s="25">
        <v>10000.0</v>
      </c>
      <c r="Q30" s="26">
        <f t="shared" si="1"/>
        <v>0</v>
      </c>
      <c r="R30" s="25" t="s">
        <v>43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45556.0</v>
      </c>
      <c r="C31" s="20" t="s">
        <v>1270</v>
      </c>
      <c r="D31" s="20">
        <v>51017.0</v>
      </c>
      <c r="E31" s="20" t="s">
        <v>241</v>
      </c>
      <c r="F31" s="23"/>
      <c r="G31" s="22"/>
      <c r="H31" s="29">
        <v>10000.0</v>
      </c>
      <c r="I31" s="21"/>
      <c r="J31" s="21"/>
      <c r="K31" s="37"/>
      <c r="L31" s="22"/>
      <c r="M31" s="29"/>
      <c r="N31" s="22"/>
      <c r="O31" s="29"/>
      <c r="P31" s="25">
        <v>10000.0</v>
      </c>
      <c r="Q31" s="26">
        <f t="shared" si="1"/>
        <v>0</v>
      </c>
      <c r="R31" s="25"/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7.5" customHeight="1">
      <c r="A32" s="16"/>
      <c r="B32" s="51"/>
      <c r="C32" s="52"/>
      <c r="D32" s="53" t="s">
        <v>149</v>
      </c>
      <c r="E32" s="54"/>
      <c r="F32" s="55">
        <f t="shared" ref="F32:P32" si="2">SUM(F5:F31)</f>
        <v>0</v>
      </c>
      <c r="G32" s="55">
        <f t="shared" si="2"/>
        <v>18750</v>
      </c>
      <c r="H32" s="55">
        <f t="shared" si="2"/>
        <v>10000</v>
      </c>
      <c r="I32" s="55">
        <f t="shared" si="2"/>
        <v>78050</v>
      </c>
      <c r="J32" s="55">
        <f t="shared" si="2"/>
        <v>17990</v>
      </c>
      <c r="K32" s="55">
        <f t="shared" si="2"/>
        <v>0</v>
      </c>
      <c r="L32" s="55">
        <f t="shared" si="2"/>
        <v>0</v>
      </c>
      <c r="M32" s="55">
        <f t="shared" si="2"/>
        <v>349</v>
      </c>
      <c r="N32" s="55">
        <f t="shared" si="2"/>
        <v>0</v>
      </c>
      <c r="O32" s="55">
        <f t="shared" si="2"/>
        <v>0</v>
      </c>
      <c r="P32" s="55">
        <f t="shared" si="2"/>
        <v>125139</v>
      </c>
      <c r="Q32" s="56">
        <v>0.0</v>
      </c>
      <c r="R32" s="82">
        <f>SUM(R5:R29)</f>
        <v>0</v>
      </c>
      <c r="S32" s="57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58.5" customHeight="1">
      <c r="A33" s="58"/>
      <c r="B33" s="58"/>
      <c r="C33" s="59"/>
      <c r="D33" s="58"/>
      <c r="E33" s="58"/>
      <c r="F33" s="60">
        <f>F32+G32+H32+I32+J32+K32+L32+M32+N32+O32</f>
        <v>125139</v>
      </c>
      <c r="P33" s="61"/>
      <c r="Q33" s="61"/>
      <c r="R33" s="58"/>
      <c r="S33" s="58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15.75" customHeight="1">
      <c r="A34" s="4"/>
      <c r="B34" s="4"/>
      <c r="C34" s="6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3" t="s">
        <v>149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2"/>
      <c r="D37" s="4"/>
      <c r="E37" s="64" t="s">
        <v>150</v>
      </c>
      <c r="F37" s="65" t="s">
        <v>162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2"/>
      <c r="D38" s="4"/>
      <c r="E38" s="66" t="s">
        <v>152</v>
      </c>
      <c r="F38" s="65" t="s">
        <v>255</v>
      </c>
      <c r="G38" s="4"/>
      <c r="H38" s="4"/>
      <c r="I38" s="4"/>
      <c r="J38" s="4"/>
      <c r="K38" s="4"/>
      <c r="L38" s="4"/>
      <c r="M38" s="4"/>
      <c r="N38" s="4"/>
      <c r="O38" s="67" t="s">
        <v>149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2"/>
      <c r="D39" s="4"/>
      <c r="E39" s="66" t="s">
        <v>154</v>
      </c>
      <c r="F39" s="65" t="s">
        <v>155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66" t="s">
        <v>156</v>
      </c>
      <c r="F40" s="65" t="s">
        <v>254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2"/>
      <c r="D41" s="4"/>
      <c r="E41" s="66" t="s">
        <v>157</v>
      </c>
      <c r="F41" s="65" t="s">
        <v>1271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6" t="s">
        <v>1272</v>
      </c>
      <c r="F42" s="65" t="s">
        <v>155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160</v>
      </c>
      <c r="F43" s="65" t="s">
        <v>155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161</v>
      </c>
      <c r="F44" s="68" t="s">
        <v>162</v>
      </c>
      <c r="G44" s="4"/>
      <c r="H44" s="4"/>
      <c r="I44" s="4"/>
      <c r="J44" s="4"/>
      <c r="K44" s="4"/>
      <c r="L44" s="4"/>
      <c r="M44" s="69" t="s">
        <v>812</v>
      </c>
      <c r="N44" s="4"/>
      <c r="O44" s="4"/>
      <c r="P44" s="4"/>
      <c r="Q44" s="4"/>
      <c r="R44" s="4"/>
      <c r="S44" s="4"/>
      <c r="T44" s="4"/>
      <c r="U44" s="67" t="s">
        <v>149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4"/>
      <c r="F45" s="4"/>
      <c r="G45" s="4"/>
      <c r="H45" s="4"/>
      <c r="I45" s="4"/>
      <c r="J45" s="4"/>
      <c r="K45" s="4" t="str">
        <f>I72432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69"/>
      <c r="G52" s="4"/>
      <c r="H52" s="4"/>
      <c r="I52" s="67" t="s">
        <v>163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>
        <v>7.0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7">
    <mergeCell ref="R2:R4"/>
    <mergeCell ref="S2:S4"/>
    <mergeCell ref="F3:F4"/>
    <mergeCell ref="G3:H3"/>
    <mergeCell ref="I3:J3"/>
    <mergeCell ref="K3:K4"/>
    <mergeCell ref="F33:O3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45558.0</v>
      </c>
      <c r="C5" s="20" t="s">
        <v>1274</v>
      </c>
      <c r="D5" s="20">
        <v>54280.0</v>
      </c>
      <c r="E5" s="20" t="s">
        <v>175</v>
      </c>
      <c r="F5" s="21"/>
      <c r="G5" s="29"/>
      <c r="H5" s="23"/>
      <c r="I5" s="37">
        <v>2650.0</v>
      </c>
      <c r="J5" s="37"/>
      <c r="K5" s="22"/>
      <c r="L5" s="22"/>
      <c r="M5" s="21"/>
      <c r="N5" s="22"/>
      <c r="O5" s="22"/>
      <c r="P5" s="25">
        <v>2650.0</v>
      </c>
      <c r="Q5" s="26">
        <f t="shared" ref="Q5:Q36" si="1">F5+G5+H5+I5+J5+K5+L5+M5+N5+O5-P5</f>
        <v>0</v>
      </c>
      <c r="R5" s="25" t="s">
        <v>36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45558.0</v>
      </c>
      <c r="C6" s="20" t="s">
        <v>1275</v>
      </c>
      <c r="D6" s="20">
        <v>67248.0</v>
      </c>
      <c r="E6" s="20" t="s">
        <v>1276</v>
      </c>
      <c r="F6" s="23"/>
      <c r="G6" s="22"/>
      <c r="H6" s="22"/>
      <c r="I6" s="21">
        <v>4650.0</v>
      </c>
      <c r="J6" s="29"/>
      <c r="K6" s="29"/>
      <c r="L6" s="22"/>
      <c r="M6" s="21"/>
      <c r="N6" s="22"/>
      <c r="O6" s="22"/>
      <c r="P6" s="25">
        <v>4650.0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45558.0</v>
      </c>
      <c r="C7" s="20" t="s">
        <v>1277</v>
      </c>
      <c r="D7" s="20">
        <v>62809.0</v>
      </c>
      <c r="E7" s="20" t="s">
        <v>475</v>
      </c>
      <c r="F7" s="22"/>
      <c r="G7" s="29"/>
      <c r="H7" s="23"/>
      <c r="I7" s="21">
        <v>2500.0</v>
      </c>
      <c r="J7" s="37"/>
      <c r="K7" s="29"/>
      <c r="L7" s="22"/>
      <c r="M7" s="22"/>
      <c r="N7" s="22"/>
      <c r="O7" s="22"/>
      <c r="P7" s="25">
        <v>2500.0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45558.0</v>
      </c>
      <c r="C8" s="20" t="s">
        <v>1278</v>
      </c>
      <c r="D8" s="20">
        <v>84893.0</v>
      </c>
      <c r="E8" s="20" t="s">
        <v>1279</v>
      </c>
      <c r="F8" s="22"/>
      <c r="G8" s="29"/>
      <c r="H8" s="22"/>
      <c r="I8" s="21"/>
      <c r="J8" s="21">
        <v>6050.0</v>
      </c>
      <c r="K8" s="29"/>
      <c r="L8" s="22"/>
      <c r="M8" s="22"/>
      <c r="N8" s="22"/>
      <c r="O8" s="22"/>
      <c r="P8" s="25">
        <v>6050.0</v>
      </c>
      <c r="Q8" s="26">
        <f t="shared" si="1"/>
        <v>0</v>
      </c>
      <c r="R8" s="25" t="s">
        <v>43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45558.0</v>
      </c>
      <c r="C9" s="20" t="s">
        <v>1280</v>
      </c>
      <c r="D9" s="20">
        <v>10249.0</v>
      </c>
      <c r="E9" s="20" t="s">
        <v>126</v>
      </c>
      <c r="F9" s="22"/>
      <c r="G9" s="29"/>
      <c r="H9" s="22"/>
      <c r="I9" s="21"/>
      <c r="J9" s="21">
        <v>600.0</v>
      </c>
      <c r="K9" s="22"/>
      <c r="L9" s="22"/>
      <c r="M9" s="23"/>
      <c r="N9" s="22"/>
      <c r="O9" s="22"/>
      <c r="P9" s="25">
        <v>600.0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45558.0</v>
      </c>
      <c r="C10" s="20" t="s">
        <v>1281</v>
      </c>
      <c r="D10" s="20">
        <v>40801.0</v>
      </c>
      <c r="E10" s="20" t="s">
        <v>1282</v>
      </c>
      <c r="F10" s="22"/>
      <c r="G10" s="29"/>
      <c r="H10" s="22"/>
      <c r="I10" s="21"/>
      <c r="J10" s="21">
        <v>4650.0</v>
      </c>
      <c r="K10" s="22"/>
      <c r="L10" s="22"/>
      <c r="M10" s="23"/>
      <c r="N10" s="22"/>
      <c r="O10" s="22"/>
      <c r="P10" s="25">
        <v>4650.0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45558.0</v>
      </c>
      <c r="C11" s="20" t="s">
        <v>1283</v>
      </c>
      <c r="D11" s="20">
        <v>67621.0</v>
      </c>
      <c r="E11" s="20" t="s">
        <v>216</v>
      </c>
      <c r="F11" s="22"/>
      <c r="G11" s="22"/>
      <c r="H11" s="29"/>
      <c r="I11" s="21">
        <v>5000.0</v>
      </c>
      <c r="J11" s="21"/>
      <c r="K11" s="29"/>
      <c r="L11" s="22"/>
      <c r="M11" s="23"/>
      <c r="N11" s="22"/>
      <c r="O11" s="22"/>
      <c r="P11" s="25">
        <v>5000.0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45558.0</v>
      </c>
      <c r="C12" s="20" t="s">
        <v>1284</v>
      </c>
      <c r="D12" s="20">
        <v>56415.0</v>
      </c>
      <c r="E12" s="20" t="s">
        <v>1285</v>
      </c>
      <c r="F12" s="22"/>
      <c r="G12" s="22"/>
      <c r="H12" s="29"/>
      <c r="I12" s="21">
        <v>747.0</v>
      </c>
      <c r="J12" s="21"/>
      <c r="K12" s="29"/>
      <c r="L12" s="22"/>
      <c r="M12" s="23"/>
      <c r="N12" s="22"/>
      <c r="O12" s="22"/>
      <c r="P12" s="25">
        <v>747.0</v>
      </c>
      <c r="Q12" s="26">
        <f t="shared" si="1"/>
        <v>0</v>
      </c>
      <c r="R12" s="25" t="s">
        <v>36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45558.0</v>
      </c>
      <c r="C13" s="20" t="s">
        <v>1286</v>
      </c>
      <c r="D13" s="20">
        <v>70692.0</v>
      </c>
      <c r="E13" s="20" t="s">
        <v>1287</v>
      </c>
      <c r="F13" s="22"/>
      <c r="G13" s="22"/>
      <c r="H13" s="22"/>
      <c r="I13" s="21">
        <v>7000.0</v>
      </c>
      <c r="J13" s="21"/>
      <c r="K13" s="22"/>
      <c r="L13" s="22"/>
      <c r="M13" s="21"/>
      <c r="N13" s="22"/>
      <c r="O13" s="22"/>
      <c r="P13" s="35">
        <v>7000.0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45558.0</v>
      </c>
      <c r="C14" s="20" t="s">
        <v>1288</v>
      </c>
      <c r="D14" s="20">
        <v>59812.0</v>
      </c>
      <c r="E14" s="20" t="s">
        <v>861</v>
      </c>
      <c r="F14" s="22"/>
      <c r="G14" s="29"/>
      <c r="H14" s="22"/>
      <c r="I14" s="21">
        <v>4950.0</v>
      </c>
      <c r="J14" s="21"/>
      <c r="K14" s="22"/>
      <c r="L14" s="22"/>
      <c r="M14" s="23"/>
      <c r="N14" s="22"/>
      <c r="O14" s="22"/>
      <c r="P14" s="25">
        <v>4950.0</v>
      </c>
      <c r="Q14" s="26">
        <f t="shared" si="1"/>
        <v>0</v>
      </c>
      <c r="R14" s="25" t="s">
        <v>43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45558.0</v>
      </c>
      <c r="C15" s="20" t="s">
        <v>1289</v>
      </c>
      <c r="D15" s="20">
        <v>38098.0</v>
      </c>
      <c r="E15" s="20" t="s">
        <v>273</v>
      </c>
      <c r="F15" s="22"/>
      <c r="G15" s="22"/>
      <c r="H15" s="22"/>
      <c r="I15" s="21"/>
      <c r="J15" s="21">
        <v>4640.0</v>
      </c>
      <c r="K15" s="29"/>
      <c r="L15" s="22"/>
      <c r="M15" s="23"/>
      <c r="N15" s="22"/>
      <c r="O15" s="22"/>
      <c r="P15" s="25">
        <v>4640.0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45558.0</v>
      </c>
      <c r="C16" s="20" t="s">
        <v>1290</v>
      </c>
      <c r="D16" s="20">
        <v>46927.0</v>
      </c>
      <c r="E16" s="20" t="s">
        <v>75</v>
      </c>
      <c r="F16" s="22"/>
      <c r="G16" s="22"/>
      <c r="H16" s="22"/>
      <c r="I16" s="21">
        <v>1687.0</v>
      </c>
      <c r="J16" s="21"/>
      <c r="K16" s="29">
        <v>653.0</v>
      </c>
      <c r="L16" s="22"/>
      <c r="M16" s="21"/>
      <c r="N16" s="22"/>
      <c r="O16" s="22"/>
      <c r="P16" s="25">
        <v>2340.0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45558.0</v>
      </c>
      <c r="C17" s="20" t="s">
        <v>1291</v>
      </c>
      <c r="D17" s="20">
        <v>48482.0</v>
      </c>
      <c r="E17" s="20" t="s">
        <v>1292</v>
      </c>
      <c r="F17" s="22"/>
      <c r="G17" s="22"/>
      <c r="H17" s="29"/>
      <c r="I17" s="21"/>
      <c r="J17" s="21">
        <v>4500.0</v>
      </c>
      <c r="K17" s="22"/>
      <c r="L17" s="22"/>
      <c r="M17" s="21"/>
      <c r="N17" s="22"/>
      <c r="O17" s="22"/>
      <c r="P17" s="25">
        <v>4500.0</v>
      </c>
      <c r="Q17" s="26">
        <f t="shared" si="1"/>
        <v>0</v>
      </c>
      <c r="R17" s="25" t="s">
        <v>30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45558.0</v>
      </c>
      <c r="C18" s="20" t="s">
        <v>1293</v>
      </c>
      <c r="D18" s="20">
        <v>81108.0</v>
      </c>
      <c r="E18" s="20" t="s">
        <v>209</v>
      </c>
      <c r="F18" s="22"/>
      <c r="G18" s="22"/>
      <c r="H18" s="22"/>
      <c r="I18" s="21">
        <v>19700.0</v>
      </c>
      <c r="J18" s="21"/>
      <c r="K18" s="29"/>
      <c r="L18" s="22"/>
      <c r="M18" s="22"/>
      <c r="N18" s="22"/>
      <c r="O18" s="22"/>
      <c r="P18" s="25">
        <v>19700.0</v>
      </c>
      <c r="Q18" s="26">
        <f t="shared" si="1"/>
        <v>0</v>
      </c>
      <c r="R18" s="25" t="s">
        <v>36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45558.0</v>
      </c>
      <c r="C19" s="20" t="s">
        <v>1294</v>
      </c>
      <c r="D19" s="20">
        <v>51512.0</v>
      </c>
      <c r="E19" s="20" t="s">
        <v>366</v>
      </c>
      <c r="F19" s="22"/>
      <c r="G19" s="29"/>
      <c r="H19" s="22"/>
      <c r="I19" s="21"/>
      <c r="J19" s="21">
        <v>13200.0</v>
      </c>
      <c r="K19" s="22"/>
      <c r="L19" s="22"/>
      <c r="M19" s="21"/>
      <c r="N19" s="22"/>
      <c r="O19" s="22"/>
      <c r="P19" s="35">
        <v>13200.0</v>
      </c>
      <c r="Q19" s="26">
        <f t="shared" si="1"/>
        <v>0</v>
      </c>
      <c r="R19" s="35" t="s">
        <v>30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45558.0</v>
      </c>
      <c r="C20" s="20" t="s">
        <v>1295</v>
      </c>
      <c r="D20" s="20">
        <v>70142.0</v>
      </c>
      <c r="E20" s="20" t="s">
        <v>793</v>
      </c>
      <c r="F20" s="22"/>
      <c r="G20" s="22"/>
      <c r="H20" s="22"/>
      <c r="I20" s="37"/>
      <c r="J20" s="37">
        <v>8500.0</v>
      </c>
      <c r="K20" s="22"/>
      <c r="L20" s="22"/>
      <c r="M20" s="22"/>
      <c r="N20" s="22"/>
      <c r="O20" s="22"/>
      <c r="P20" s="25">
        <v>8500.0</v>
      </c>
      <c r="Q20" s="26">
        <f t="shared" si="1"/>
        <v>0</v>
      </c>
      <c r="R20" s="25" t="s">
        <v>33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45558.0</v>
      </c>
      <c r="C21" s="20" t="s">
        <v>1296</v>
      </c>
      <c r="D21" s="20">
        <v>19688.0</v>
      </c>
      <c r="E21" s="20" t="s">
        <v>359</v>
      </c>
      <c r="F21" s="21"/>
      <c r="G21" s="22"/>
      <c r="H21" s="22"/>
      <c r="I21" s="45"/>
      <c r="J21" s="29">
        <v>2650.0</v>
      </c>
      <c r="K21" s="39"/>
      <c r="L21" s="22"/>
      <c r="M21" s="22"/>
      <c r="N21" s="22"/>
      <c r="O21" s="22"/>
      <c r="P21" s="25">
        <v>2650.0</v>
      </c>
      <c r="Q21" s="26">
        <f t="shared" si="1"/>
        <v>0</v>
      </c>
      <c r="R21" s="25" t="s">
        <v>25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45558.0</v>
      </c>
      <c r="C22" s="20" t="s">
        <v>1297</v>
      </c>
      <c r="D22" s="20">
        <v>29621.0</v>
      </c>
      <c r="E22" s="20" t="s">
        <v>1298</v>
      </c>
      <c r="F22" s="23"/>
      <c r="G22" s="29">
        <v>5000.0</v>
      </c>
      <c r="H22" s="22"/>
      <c r="I22" s="21"/>
      <c r="J22" s="29"/>
      <c r="K22" s="23"/>
      <c r="L22" s="22"/>
      <c r="M22" s="22"/>
      <c r="N22" s="22"/>
      <c r="O22" s="22"/>
      <c r="P22" s="25">
        <v>5000.0</v>
      </c>
      <c r="Q22" s="26">
        <f t="shared" si="1"/>
        <v>0</v>
      </c>
      <c r="R22" s="25" t="s">
        <v>33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45558.0</v>
      </c>
      <c r="C23" s="20" t="s">
        <v>1299</v>
      </c>
      <c r="D23" s="20">
        <v>24609.0</v>
      </c>
      <c r="E23" s="20" t="s">
        <v>1126</v>
      </c>
      <c r="F23" s="38"/>
      <c r="G23" s="71"/>
      <c r="H23" s="44"/>
      <c r="I23" s="45">
        <v>1850.0</v>
      </c>
      <c r="J23" s="45"/>
      <c r="K23" s="46"/>
      <c r="L23" s="44"/>
      <c r="M23" s="44"/>
      <c r="N23" s="44"/>
      <c r="O23" s="44"/>
      <c r="P23" s="47">
        <v>1850.0</v>
      </c>
      <c r="Q23" s="26">
        <f t="shared" si="1"/>
        <v>0</v>
      </c>
      <c r="R23" s="47" t="s">
        <v>36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45558.0</v>
      </c>
      <c r="C24" s="20" t="s">
        <v>1300</v>
      </c>
      <c r="D24" s="20">
        <v>81086.0</v>
      </c>
      <c r="E24" s="20" t="s">
        <v>1301</v>
      </c>
      <c r="F24" s="23"/>
      <c r="G24" s="29"/>
      <c r="H24" s="22"/>
      <c r="I24" s="21">
        <v>5150.0</v>
      </c>
      <c r="J24" s="29"/>
      <c r="K24" s="39"/>
      <c r="L24" s="22"/>
      <c r="M24" s="22"/>
      <c r="N24" s="22"/>
      <c r="O24" s="22"/>
      <c r="P24" s="25">
        <v>5150.0</v>
      </c>
      <c r="Q24" s="26">
        <f t="shared" si="1"/>
        <v>0</v>
      </c>
      <c r="R24" s="25" t="s">
        <v>43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45558.0</v>
      </c>
      <c r="C25" s="20" t="s">
        <v>1302</v>
      </c>
      <c r="D25" s="20">
        <v>77107.0</v>
      </c>
      <c r="E25" s="20" t="s">
        <v>1303</v>
      </c>
      <c r="F25" s="23"/>
      <c r="G25" s="22"/>
      <c r="H25" s="29"/>
      <c r="I25" s="21"/>
      <c r="J25" s="21">
        <v>2650.0</v>
      </c>
      <c r="K25" s="49"/>
      <c r="L25" s="22"/>
      <c r="M25" s="22"/>
      <c r="N25" s="22"/>
      <c r="O25" s="22"/>
      <c r="P25" s="25">
        <v>2650.0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45558.0</v>
      </c>
      <c r="C26" s="20" t="s">
        <v>1304</v>
      </c>
      <c r="D26" s="20">
        <v>76984.0</v>
      </c>
      <c r="E26" s="20" t="s">
        <v>1305</v>
      </c>
      <c r="F26" s="23"/>
      <c r="G26" s="22"/>
      <c r="H26" s="29"/>
      <c r="I26" s="21"/>
      <c r="J26" s="21">
        <v>5150.0</v>
      </c>
      <c r="K26" s="37"/>
      <c r="L26" s="22"/>
      <c r="M26" s="29"/>
      <c r="N26" s="22"/>
      <c r="O26" s="22"/>
      <c r="P26" s="25">
        <v>5150.0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45558.0</v>
      </c>
      <c r="C27" s="20" t="s">
        <v>1306</v>
      </c>
      <c r="D27" s="20">
        <v>61445.0</v>
      </c>
      <c r="E27" s="20" t="s">
        <v>384</v>
      </c>
      <c r="F27" s="23"/>
      <c r="G27" s="22"/>
      <c r="H27" s="29"/>
      <c r="I27" s="21">
        <v>5000.0</v>
      </c>
      <c r="J27" s="21"/>
      <c r="K27" s="37"/>
      <c r="L27" s="22"/>
      <c r="M27" s="29"/>
      <c r="N27" s="22"/>
      <c r="O27" s="29"/>
      <c r="P27" s="25">
        <v>5000.0</v>
      </c>
      <c r="Q27" s="26">
        <f t="shared" si="1"/>
        <v>0</v>
      </c>
      <c r="R27" s="25" t="s">
        <v>33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45558.0</v>
      </c>
      <c r="C28" s="20" t="s">
        <v>1307</v>
      </c>
      <c r="D28" s="20">
        <v>61445.0</v>
      </c>
      <c r="E28" s="20" t="s">
        <v>384</v>
      </c>
      <c r="F28" s="23"/>
      <c r="G28" s="29"/>
      <c r="H28" s="29"/>
      <c r="I28" s="21">
        <v>2850.0</v>
      </c>
      <c r="J28" s="21"/>
      <c r="K28" s="37"/>
      <c r="L28" s="22"/>
      <c r="M28" s="29"/>
      <c r="N28" s="22"/>
      <c r="O28" s="29"/>
      <c r="P28" s="25">
        <v>2850.0</v>
      </c>
      <c r="Q28" s="26">
        <f t="shared" si="1"/>
        <v>0</v>
      </c>
      <c r="R28" s="25" t="s">
        <v>33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45558.0</v>
      </c>
      <c r="C29" s="20" t="s">
        <v>1308</v>
      </c>
      <c r="D29" s="20">
        <v>52083.0</v>
      </c>
      <c r="E29" s="20" t="s">
        <v>71</v>
      </c>
      <c r="F29" s="23"/>
      <c r="G29" s="22"/>
      <c r="H29" s="29"/>
      <c r="I29" s="21">
        <v>1250.0</v>
      </c>
      <c r="J29" s="21"/>
      <c r="K29" s="37"/>
      <c r="L29" s="22"/>
      <c r="M29" s="29"/>
      <c r="N29" s="22"/>
      <c r="O29" s="29"/>
      <c r="P29" s="25">
        <v>1250.0</v>
      </c>
      <c r="Q29" s="26">
        <f t="shared" si="1"/>
        <v>0</v>
      </c>
      <c r="R29" s="25" t="s">
        <v>25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45558.0</v>
      </c>
      <c r="C30" s="20" t="s">
        <v>1309</v>
      </c>
      <c r="D30" s="20">
        <v>52083.0</v>
      </c>
      <c r="E30" s="20" t="s">
        <v>71</v>
      </c>
      <c r="F30" s="23"/>
      <c r="G30" s="22"/>
      <c r="H30" s="29"/>
      <c r="I30" s="21">
        <v>100.0</v>
      </c>
      <c r="J30" s="21"/>
      <c r="K30" s="37"/>
      <c r="L30" s="22"/>
      <c r="M30" s="29"/>
      <c r="N30" s="22"/>
      <c r="O30" s="29"/>
      <c r="P30" s="25">
        <v>100.0</v>
      </c>
      <c r="Q30" s="26">
        <f t="shared" si="1"/>
        <v>0</v>
      </c>
      <c r="R30" s="25" t="s">
        <v>25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45558.0</v>
      </c>
      <c r="C31" s="20" t="s">
        <v>1310</v>
      </c>
      <c r="D31" s="20">
        <v>52993.0</v>
      </c>
      <c r="E31" s="20" t="s">
        <v>1311</v>
      </c>
      <c r="F31" s="23"/>
      <c r="G31" s="22"/>
      <c r="H31" s="29"/>
      <c r="I31" s="21">
        <v>4800.0</v>
      </c>
      <c r="J31" s="21"/>
      <c r="K31" s="37"/>
      <c r="L31" s="22"/>
      <c r="M31" s="29"/>
      <c r="N31" s="22"/>
      <c r="O31" s="29"/>
      <c r="P31" s="25">
        <v>4800.0</v>
      </c>
      <c r="Q31" s="26">
        <f t="shared" si="1"/>
        <v>0</v>
      </c>
      <c r="R31" s="25" t="s">
        <v>30</v>
      </c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45558.0</v>
      </c>
      <c r="C32" s="20" t="s">
        <v>1312</v>
      </c>
      <c r="D32" s="20">
        <v>21818.0</v>
      </c>
      <c r="E32" s="20" t="s">
        <v>103</v>
      </c>
      <c r="F32" s="23"/>
      <c r="G32" s="22"/>
      <c r="H32" s="29"/>
      <c r="I32" s="21"/>
      <c r="J32" s="21"/>
      <c r="K32" s="37">
        <v>300.0</v>
      </c>
      <c r="L32" s="22"/>
      <c r="M32" s="29"/>
      <c r="N32" s="22"/>
      <c r="O32" s="29"/>
      <c r="P32" s="25">
        <v>300.0</v>
      </c>
      <c r="Q32" s="26">
        <f t="shared" si="1"/>
        <v>0</v>
      </c>
      <c r="R32" s="25" t="s">
        <v>36</v>
      </c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45558.0</v>
      </c>
      <c r="C33" s="20" t="s">
        <v>1313</v>
      </c>
      <c r="D33" s="20">
        <v>56221.0</v>
      </c>
      <c r="E33" s="20" t="s">
        <v>1314</v>
      </c>
      <c r="F33" s="23"/>
      <c r="G33" s="22"/>
      <c r="H33" s="29"/>
      <c r="I33" s="21">
        <v>5050.0</v>
      </c>
      <c r="J33" s="21"/>
      <c r="K33" s="37"/>
      <c r="L33" s="22"/>
      <c r="M33" s="29"/>
      <c r="N33" s="22"/>
      <c r="O33" s="29"/>
      <c r="P33" s="25">
        <v>5050.0</v>
      </c>
      <c r="Q33" s="26">
        <f t="shared" si="1"/>
        <v>0</v>
      </c>
      <c r="R33" s="25" t="s">
        <v>30</v>
      </c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45558.0</v>
      </c>
      <c r="C34" s="20" t="s">
        <v>1315</v>
      </c>
      <c r="D34" s="20">
        <v>36769.0</v>
      </c>
      <c r="E34" s="20" t="s">
        <v>379</v>
      </c>
      <c r="F34" s="23"/>
      <c r="G34" s="22"/>
      <c r="H34" s="29"/>
      <c r="I34" s="21">
        <v>3090.0</v>
      </c>
      <c r="J34" s="21"/>
      <c r="K34" s="37"/>
      <c r="L34" s="22"/>
      <c r="M34" s="29"/>
      <c r="N34" s="22"/>
      <c r="O34" s="29"/>
      <c r="P34" s="25">
        <v>3090.0</v>
      </c>
      <c r="Q34" s="26">
        <f t="shared" si="1"/>
        <v>0</v>
      </c>
      <c r="R34" s="25" t="s">
        <v>25</v>
      </c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45558.0</v>
      </c>
      <c r="C35" s="20" t="s">
        <v>1316</v>
      </c>
      <c r="D35" s="20">
        <v>68284.0</v>
      </c>
      <c r="E35" s="20" t="s">
        <v>543</v>
      </c>
      <c r="F35" s="23"/>
      <c r="G35" s="22"/>
      <c r="H35" s="29">
        <v>11850.0</v>
      </c>
      <c r="I35" s="21"/>
      <c r="J35" s="21"/>
      <c r="K35" s="37"/>
      <c r="L35" s="22"/>
      <c r="M35" s="29"/>
      <c r="N35" s="22"/>
      <c r="O35" s="29"/>
      <c r="P35" s="25">
        <v>11850.0</v>
      </c>
      <c r="Q35" s="26">
        <f t="shared" si="1"/>
        <v>0</v>
      </c>
      <c r="R35" s="25"/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83">
        <v>45558.0</v>
      </c>
      <c r="C36" s="20" t="s">
        <v>1317</v>
      </c>
      <c r="D36" s="20">
        <v>82902.0</v>
      </c>
      <c r="E36" s="20" t="s">
        <v>1318</v>
      </c>
      <c r="F36" s="23"/>
      <c r="G36" s="22"/>
      <c r="H36" s="29"/>
      <c r="I36" s="21"/>
      <c r="J36" s="21"/>
      <c r="K36" s="37"/>
      <c r="L36" s="22"/>
      <c r="M36" s="29">
        <v>5150.0</v>
      </c>
      <c r="N36" s="22"/>
      <c r="O36" s="29"/>
      <c r="P36" s="25">
        <v>5150.0</v>
      </c>
      <c r="Q36" s="26">
        <f t="shared" si="1"/>
        <v>0</v>
      </c>
      <c r="R36" s="25"/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7.5" customHeight="1">
      <c r="A37" s="16"/>
      <c r="B37" s="51"/>
      <c r="C37" s="52"/>
      <c r="D37" s="53" t="s">
        <v>149</v>
      </c>
      <c r="E37" s="54"/>
      <c r="F37" s="55">
        <f>SUM(F5:F31)</f>
        <v>0</v>
      </c>
      <c r="G37" s="55">
        <f t="shared" ref="G37:P37" si="2">SUM(G5:G36)</f>
        <v>5000</v>
      </c>
      <c r="H37" s="55">
        <f t="shared" si="2"/>
        <v>11850</v>
      </c>
      <c r="I37" s="55">
        <f t="shared" si="2"/>
        <v>78024</v>
      </c>
      <c r="J37" s="55">
        <f t="shared" si="2"/>
        <v>52590</v>
      </c>
      <c r="K37" s="55">
        <f t="shared" si="2"/>
        <v>953</v>
      </c>
      <c r="L37" s="55">
        <f t="shared" si="2"/>
        <v>0</v>
      </c>
      <c r="M37" s="55">
        <f t="shared" si="2"/>
        <v>5150</v>
      </c>
      <c r="N37" s="55">
        <f t="shared" si="2"/>
        <v>0</v>
      </c>
      <c r="O37" s="55">
        <f t="shared" si="2"/>
        <v>0</v>
      </c>
      <c r="P37" s="55">
        <f t="shared" si="2"/>
        <v>153567</v>
      </c>
      <c r="Q37" s="56">
        <v>0.0</v>
      </c>
      <c r="R37" s="57"/>
      <c r="S37" s="57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58.5" customHeight="1">
      <c r="A38" s="58"/>
      <c r="B38" s="58"/>
      <c r="C38" s="59"/>
      <c r="D38" s="58"/>
      <c r="E38" s="58"/>
      <c r="F38" s="60">
        <f>SUM(G37:O37)</f>
        <v>153567</v>
      </c>
      <c r="P38" s="61"/>
      <c r="Q38" s="61"/>
      <c r="R38" s="58"/>
      <c r="S38" s="58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15.75" customHeight="1">
      <c r="A39" s="4"/>
      <c r="B39" s="4"/>
      <c r="C39" s="6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3" t="s">
        <v>149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4" t="s">
        <v>150</v>
      </c>
      <c r="F42" s="65" t="s">
        <v>254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152</v>
      </c>
      <c r="F43" s="65" t="s">
        <v>255</v>
      </c>
      <c r="G43" s="4"/>
      <c r="H43" s="4"/>
      <c r="I43" s="4"/>
      <c r="J43" s="4"/>
      <c r="K43" s="4"/>
      <c r="L43" s="4"/>
      <c r="M43" s="4"/>
      <c r="N43" s="4"/>
      <c r="O43" s="67" t="s">
        <v>149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154</v>
      </c>
      <c r="F44" s="65" t="s">
        <v>155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156</v>
      </c>
      <c r="F45" s="65" t="s">
        <v>254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157</v>
      </c>
      <c r="F46" s="65" t="s">
        <v>1319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1320</v>
      </c>
      <c r="F47" s="65" t="s">
        <v>155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160</v>
      </c>
      <c r="F48" s="65" t="s">
        <v>155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161</v>
      </c>
      <c r="F49" s="68" t="s">
        <v>162</v>
      </c>
      <c r="G49" s="4"/>
      <c r="H49" s="4"/>
      <c r="I49" s="4"/>
      <c r="J49" s="4"/>
      <c r="K49" s="4"/>
      <c r="L49" s="4"/>
      <c r="M49" s="69" t="s">
        <v>812</v>
      </c>
      <c r="N49" s="4"/>
      <c r="O49" s="4"/>
      <c r="P49" s="4"/>
      <c r="Q49" s="4"/>
      <c r="R49" s="4"/>
      <c r="S49" s="4"/>
      <c r="T49" s="4"/>
      <c r="U49" s="67" t="s">
        <v>149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 t="str">
        <f>I72437</f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69"/>
      <c r="G57" s="4"/>
      <c r="H57" s="4"/>
      <c r="I57" s="67" t="s">
        <v>163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>
        <v>7.0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7">
    <mergeCell ref="R2:R4"/>
    <mergeCell ref="S2:S4"/>
    <mergeCell ref="F3:F4"/>
    <mergeCell ref="G3:H3"/>
    <mergeCell ref="I3:J3"/>
    <mergeCell ref="K3:K4"/>
    <mergeCell ref="F38:O3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5.88"/>
    <col customWidth="1" min="4" max="4" width="11.25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45558.0</v>
      </c>
      <c r="C5" s="20" t="s">
        <v>1322</v>
      </c>
      <c r="D5" s="20">
        <v>54226.0</v>
      </c>
      <c r="E5" s="20" t="s">
        <v>166</v>
      </c>
      <c r="F5" s="21"/>
      <c r="G5" s="29"/>
      <c r="H5" s="23"/>
      <c r="I5" s="37"/>
      <c r="J5" s="37">
        <v>14300.0</v>
      </c>
      <c r="K5" s="22"/>
      <c r="L5" s="22"/>
      <c r="M5" s="21"/>
      <c r="N5" s="22"/>
      <c r="O5" s="22"/>
      <c r="P5" s="25">
        <v>14300.0</v>
      </c>
      <c r="Q5" s="26">
        <f t="shared" ref="Q5:Q36" si="1">F5+G5+H5+I5+J5+K5+L5+M5+N5+O5-P5</f>
        <v>0</v>
      </c>
      <c r="R5" s="25" t="s">
        <v>30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45559.0</v>
      </c>
      <c r="C6" s="20" t="s">
        <v>1323</v>
      </c>
      <c r="D6" s="20">
        <v>52396.0</v>
      </c>
      <c r="E6" s="20" t="s">
        <v>1324</v>
      </c>
      <c r="F6" s="23"/>
      <c r="G6" s="22"/>
      <c r="H6" s="22"/>
      <c r="I6" s="21"/>
      <c r="J6" s="29">
        <v>5000.0</v>
      </c>
      <c r="K6" s="29"/>
      <c r="L6" s="22"/>
      <c r="M6" s="21"/>
      <c r="N6" s="22"/>
      <c r="O6" s="22"/>
      <c r="P6" s="25">
        <v>5000.0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45559.0</v>
      </c>
      <c r="C7" s="20" t="s">
        <v>1325</v>
      </c>
      <c r="D7" s="20">
        <v>54242.0</v>
      </c>
      <c r="E7" s="20" t="s">
        <v>1326</v>
      </c>
      <c r="F7" s="22"/>
      <c r="G7" s="29"/>
      <c r="H7" s="23"/>
      <c r="I7" s="21"/>
      <c r="J7" s="37">
        <v>5000.0</v>
      </c>
      <c r="K7" s="29"/>
      <c r="L7" s="22"/>
      <c r="M7" s="22"/>
      <c r="N7" s="22"/>
      <c r="O7" s="22"/>
      <c r="P7" s="25">
        <v>5000.0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45559.0</v>
      </c>
      <c r="C8" s="20" t="s">
        <v>1327</v>
      </c>
      <c r="D8" s="20">
        <v>52808.0</v>
      </c>
      <c r="E8" s="20" t="s">
        <v>1328</v>
      </c>
      <c r="F8" s="22"/>
      <c r="G8" s="29"/>
      <c r="H8" s="22"/>
      <c r="I8" s="21"/>
      <c r="J8" s="21">
        <v>5000.0</v>
      </c>
      <c r="K8" s="29"/>
      <c r="L8" s="22"/>
      <c r="M8" s="22"/>
      <c r="N8" s="22"/>
      <c r="O8" s="22"/>
      <c r="P8" s="25">
        <v>5000.0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45559.0</v>
      </c>
      <c r="C9" s="20" t="s">
        <v>1329</v>
      </c>
      <c r="D9" s="20">
        <v>50436.0</v>
      </c>
      <c r="E9" s="20" t="s">
        <v>338</v>
      </c>
      <c r="F9" s="22"/>
      <c r="G9" s="29"/>
      <c r="H9" s="22"/>
      <c r="I9" s="21">
        <v>5000.0</v>
      </c>
      <c r="J9" s="21"/>
      <c r="K9" s="22"/>
      <c r="L9" s="22"/>
      <c r="M9" s="23"/>
      <c r="N9" s="22"/>
      <c r="O9" s="22"/>
      <c r="P9" s="25">
        <v>5000.0</v>
      </c>
      <c r="Q9" s="26">
        <f t="shared" si="1"/>
        <v>0</v>
      </c>
      <c r="R9" s="25" t="s">
        <v>36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45559.0</v>
      </c>
      <c r="C10" s="20" t="s">
        <v>1330</v>
      </c>
      <c r="D10" s="20">
        <v>52247.0</v>
      </c>
      <c r="E10" s="20" t="s">
        <v>397</v>
      </c>
      <c r="F10" s="22"/>
      <c r="G10" s="29"/>
      <c r="H10" s="22"/>
      <c r="I10" s="21">
        <v>3650.0</v>
      </c>
      <c r="J10" s="21"/>
      <c r="K10" s="22"/>
      <c r="L10" s="22"/>
      <c r="M10" s="23"/>
      <c r="N10" s="22"/>
      <c r="O10" s="22"/>
      <c r="P10" s="25">
        <v>3650.0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45559.0</v>
      </c>
      <c r="C11" s="20" t="s">
        <v>1331</v>
      </c>
      <c r="D11" s="20">
        <v>27066.0</v>
      </c>
      <c r="E11" s="20" t="s">
        <v>353</v>
      </c>
      <c r="F11" s="22"/>
      <c r="G11" s="22"/>
      <c r="H11" s="29"/>
      <c r="I11" s="21">
        <v>10450.0</v>
      </c>
      <c r="J11" s="21"/>
      <c r="K11" s="29"/>
      <c r="L11" s="22"/>
      <c r="M11" s="23"/>
      <c r="N11" s="22"/>
      <c r="O11" s="22"/>
      <c r="P11" s="25">
        <v>10450.0</v>
      </c>
      <c r="Q11" s="26">
        <f t="shared" si="1"/>
        <v>0</v>
      </c>
      <c r="R11" s="25" t="s">
        <v>25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45559.0</v>
      </c>
      <c r="C12" s="20" t="s">
        <v>1332</v>
      </c>
      <c r="D12" s="20">
        <v>52083.0</v>
      </c>
      <c r="E12" s="20" t="s">
        <v>71</v>
      </c>
      <c r="F12" s="22"/>
      <c r="G12" s="22"/>
      <c r="H12" s="29"/>
      <c r="I12" s="21">
        <v>5000.0</v>
      </c>
      <c r="J12" s="21"/>
      <c r="K12" s="29"/>
      <c r="L12" s="22"/>
      <c r="M12" s="23"/>
      <c r="N12" s="22"/>
      <c r="O12" s="22"/>
      <c r="P12" s="25">
        <v>5000.0</v>
      </c>
      <c r="Q12" s="26">
        <f t="shared" si="1"/>
        <v>0</v>
      </c>
      <c r="R12" s="25" t="s">
        <v>36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45559.0</v>
      </c>
      <c r="C13" s="20" t="s">
        <v>1333</v>
      </c>
      <c r="D13" s="20">
        <v>10249.0</v>
      </c>
      <c r="E13" s="20" t="s">
        <v>126</v>
      </c>
      <c r="F13" s="22"/>
      <c r="G13" s="22"/>
      <c r="H13" s="22"/>
      <c r="I13" s="21"/>
      <c r="J13" s="21">
        <v>8700.0</v>
      </c>
      <c r="K13" s="22"/>
      <c r="L13" s="22"/>
      <c r="M13" s="21"/>
      <c r="N13" s="22"/>
      <c r="O13" s="22"/>
      <c r="P13" s="35">
        <v>8700.0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45559.0</v>
      </c>
      <c r="C14" s="20" t="s">
        <v>1334</v>
      </c>
      <c r="D14" s="20">
        <v>83606.0</v>
      </c>
      <c r="E14" s="20" t="s">
        <v>1335</v>
      </c>
      <c r="F14" s="22"/>
      <c r="G14" s="29"/>
      <c r="H14" s="22"/>
      <c r="I14" s="21">
        <v>4650.0</v>
      </c>
      <c r="J14" s="21"/>
      <c r="K14" s="22"/>
      <c r="L14" s="22"/>
      <c r="M14" s="23"/>
      <c r="N14" s="22"/>
      <c r="O14" s="22"/>
      <c r="P14" s="25">
        <v>4650.0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45559.0</v>
      </c>
      <c r="C15" s="20" t="s">
        <v>1336</v>
      </c>
      <c r="D15" s="20">
        <v>49658.0</v>
      </c>
      <c r="E15" s="20" t="s">
        <v>1337</v>
      </c>
      <c r="F15" s="22"/>
      <c r="G15" s="22"/>
      <c r="H15" s="22"/>
      <c r="I15" s="21">
        <v>1450.0</v>
      </c>
      <c r="J15" s="21"/>
      <c r="K15" s="29"/>
      <c r="L15" s="22"/>
      <c r="M15" s="23"/>
      <c r="N15" s="22"/>
      <c r="O15" s="22"/>
      <c r="P15" s="25">
        <v>1450.0</v>
      </c>
      <c r="Q15" s="26">
        <f t="shared" si="1"/>
        <v>0</v>
      </c>
      <c r="R15" s="25" t="s">
        <v>33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45559.0</v>
      </c>
      <c r="C16" s="20" t="s">
        <v>1338</v>
      </c>
      <c r="D16" s="20">
        <v>36555.0</v>
      </c>
      <c r="E16" s="20" t="s">
        <v>65</v>
      </c>
      <c r="F16" s="22"/>
      <c r="G16" s="22"/>
      <c r="H16" s="22"/>
      <c r="I16" s="21">
        <v>7500.0</v>
      </c>
      <c r="J16" s="21"/>
      <c r="K16" s="29"/>
      <c r="L16" s="22"/>
      <c r="M16" s="21"/>
      <c r="N16" s="22"/>
      <c r="O16" s="22"/>
      <c r="P16" s="25">
        <v>7500.0</v>
      </c>
      <c r="Q16" s="26">
        <f t="shared" si="1"/>
        <v>0</v>
      </c>
      <c r="R16" s="25" t="s">
        <v>36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45559.0</v>
      </c>
      <c r="C17" s="20" t="s">
        <v>1339</v>
      </c>
      <c r="D17" s="20">
        <v>51678.0</v>
      </c>
      <c r="E17" s="20" t="s">
        <v>235</v>
      </c>
      <c r="F17" s="22"/>
      <c r="G17" s="22"/>
      <c r="H17" s="29"/>
      <c r="I17" s="21">
        <v>2650.0</v>
      </c>
      <c r="J17" s="21"/>
      <c r="K17" s="22"/>
      <c r="L17" s="22"/>
      <c r="M17" s="21"/>
      <c r="N17" s="22"/>
      <c r="O17" s="22"/>
      <c r="P17" s="25">
        <v>2650.0</v>
      </c>
      <c r="Q17" s="26">
        <f t="shared" si="1"/>
        <v>0</v>
      </c>
      <c r="R17" s="25" t="s">
        <v>43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45559.0</v>
      </c>
      <c r="C18" s="20" t="s">
        <v>1340</v>
      </c>
      <c r="D18" s="20">
        <v>35227.0</v>
      </c>
      <c r="E18" s="20" t="s">
        <v>301</v>
      </c>
      <c r="F18" s="22"/>
      <c r="G18" s="22"/>
      <c r="H18" s="22"/>
      <c r="I18" s="21">
        <v>4500.0</v>
      </c>
      <c r="J18" s="21"/>
      <c r="K18" s="29"/>
      <c r="L18" s="22"/>
      <c r="M18" s="22"/>
      <c r="N18" s="22"/>
      <c r="O18" s="22"/>
      <c r="P18" s="25">
        <v>4500.0</v>
      </c>
      <c r="Q18" s="26">
        <f t="shared" si="1"/>
        <v>0</v>
      </c>
      <c r="R18" s="25" t="s">
        <v>43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45559.0</v>
      </c>
      <c r="C19" s="20" t="s">
        <v>1341</v>
      </c>
      <c r="D19" s="20">
        <v>74778.0</v>
      </c>
      <c r="E19" s="20" t="s">
        <v>1342</v>
      </c>
      <c r="F19" s="22"/>
      <c r="G19" s="29"/>
      <c r="H19" s="22"/>
      <c r="I19" s="21">
        <v>5500.0</v>
      </c>
      <c r="J19" s="21"/>
      <c r="K19" s="22"/>
      <c r="L19" s="22"/>
      <c r="M19" s="21"/>
      <c r="N19" s="22"/>
      <c r="O19" s="22"/>
      <c r="P19" s="35">
        <v>5500.0</v>
      </c>
      <c r="Q19" s="26">
        <f t="shared" si="1"/>
        <v>0</v>
      </c>
      <c r="R19" s="35" t="s">
        <v>43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45559.0</v>
      </c>
      <c r="C20" s="20" t="s">
        <v>1343</v>
      </c>
      <c r="D20" s="20">
        <v>22332.0</v>
      </c>
      <c r="E20" s="20" t="s">
        <v>79</v>
      </c>
      <c r="F20" s="22"/>
      <c r="G20" s="22"/>
      <c r="H20" s="22"/>
      <c r="I20" s="37">
        <v>169.0</v>
      </c>
      <c r="J20" s="37"/>
      <c r="K20" s="29">
        <v>4981.0</v>
      </c>
      <c r="L20" s="22"/>
      <c r="M20" s="22"/>
      <c r="N20" s="22"/>
      <c r="O20" s="22"/>
      <c r="P20" s="25">
        <v>5150.0</v>
      </c>
      <c r="Q20" s="26">
        <f t="shared" si="1"/>
        <v>0</v>
      </c>
      <c r="R20" s="25" t="s">
        <v>33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45559.0</v>
      </c>
      <c r="C21" s="20" t="s">
        <v>1344</v>
      </c>
      <c r="D21" s="20">
        <v>53249.0</v>
      </c>
      <c r="E21" s="20" t="s">
        <v>192</v>
      </c>
      <c r="F21" s="21"/>
      <c r="G21" s="22"/>
      <c r="H21" s="22"/>
      <c r="I21" s="45">
        <v>15000.0</v>
      </c>
      <c r="J21" s="29"/>
      <c r="K21" s="39"/>
      <c r="L21" s="22"/>
      <c r="M21" s="22"/>
      <c r="N21" s="22"/>
      <c r="O21" s="22"/>
      <c r="P21" s="25">
        <v>15000.0</v>
      </c>
      <c r="Q21" s="26">
        <f t="shared" si="1"/>
        <v>0</v>
      </c>
      <c r="R21" s="25" t="s">
        <v>33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45559.0</v>
      </c>
      <c r="C22" s="20" t="s">
        <v>1345</v>
      </c>
      <c r="D22" s="20">
        <v>81248.0</v>
      </c>
      <c r="E22" s="20" t="s">
        <v>855</v>
      </c>
      <c r="F22" s="23"/>
      <c r="G22" s="29"/>
      <c r="H22" s="22"/>
      <c r="I22" s="21"/>
      <c r="J22" s="29"/>
      <c r="K22" s="23"/>
      <c r="L22" s="22"/>
      <c r="M22" s="29">
        <v>600.0</v>
      </c>
      <c r="N22" s="22"/>
      <c r="O22" s="22"/>
      <c r="P22" s="25">
        <v>600.0</v>
      </c>
      <c r="Q22" s="26">
        <f t="shared" si="1"/>
        <v>0</v>
      </c>
      <c r="R22" s="25" t="s">
        <v>25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45559.0</v>
      </c>
      <c r="C23" s="20" t="s">
        <v>1346</v>
      </c>
      <c r="D23" s="20">
        <v>10249.0</v>
      </c>
      <c r="E23" s="20" t="s">
        <v>126</v>
      </c>
      <c r="F23" s="38"/>
      <c r="G23" s="71"/>
      <c r="H23" s="44"/>
      <c r="I23" s="45"/>
      <c r="J23" s="45">
        <v>600.0</v>
      </c>
      <c r="K23" s="46"/>
      <c r="L23" s="44"/>
      <c r="M23" s="44"/>
      <c r="N23" s="44"/>
      <c r="O23" s="44"/>
      <c r="P23" s="47">
        <v>600.0</v>
      </c>
      <c r="Q23" s="26">
        <f t="shared" si="1"/>
        <v>0</v>
      </c>
      <c r="R23" s="47" t="s">
        <v>43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45559.0</v>
      </c>
      <c r="C24" s="20" t="s">
        <v>1347</v>
      </c>
      <c r="D24" s="20">
        <v>25650.0</v>
      </c>
      <c r="E24" s="20" t="s">
        <v>930</v>
      </c>
      <c r="F24" s="23"/>
      <c r="G24" s="29"/>
      <c r="H24" s="22"/>
      <c r="I24" s="21"/>
      <c r="J24" s="29"/>
      <c r="K24" s="39"/>
      <c r="L24" s="22"/>
      <c r="M24" s="29">
        <v>2400.0</v>
      </c>
      <c r="N24" s="22"/>
      <c r="O24" s="22"/>
      <c r="P24" s="25">
        <v>2400.0</v>
      </c>
      <c r="Q24" s="26">
        <f t="shared" si="1"/>
        <v>0</v>
      </c>
      <c r="R24" s="25" t="s">
        <v>36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45559.0</v>
      </c>
      <c r="C25" s="20" t="s">
        <v>1348</v>
      </c>
      <c r="D25" s="20">
        <v>84895.0</v>
      </c>
      <c r="E25" s="20" t="s">
        <v>1349</v>
      </c>
      <c r="F25" s="23"/>
      <c r="G25" s="22"/>
      <c r="H25" s="29">
        <v>7000.0</v>
      </c>
      <c r="I25" s="21"/>
      <c r="J25" s="21"/>
      <c r="K25" s="49"/>
      <c r="L25" s="22"/>
      <c r="M25" s="22"/>
      <c r="N25" s="22"/>
      <c r="O25" s="22"/>
      <c r="P25" s="25">
        <v>7000.0</v>
      </c>
      <c r="Q25" s="26">
        <f t="shared" si="1"/>
        <v>0</v>
      </c>
      <c r="R25" s="25" t="s">
        <v>25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45559.0</v>
      </c>
      <c r="C26" s="20" t="s">
        <v>1350</v>
      </c>
      <c r="D26" s="20">
        <v>52585.0</v>
      </c>
      <c r="E26" s="20" t="s">
        <v>330</v>
      </c>
      <c r="F26" s="23"/>
      <c r="G26" s="22"/>
      <c r="H26" s="29"/>
      <c r="I26" s="21"/>
      <c r="J26" s="21">
        <v>7633.0</v>
      </c>
      <c r="K26" s="37">
        <v>427.0</v>
      </c>
      <c r="L26" s="22"/>
      <c r="M26" s="29"/>
      <c r="N26" s="22"/>
      <c r="O26" s="22"/>
      <c r="P26" s="25">
        <v>8060.0</v>
      </c>
      <c r="Q26" s="26">
        <f t="shared" si="1"/>
        <v>0</v>
      </c>
      <c r="R26" s="25" t="s">
        <v>43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45559.0</v>
      </c>
      <c r="C27" s="20" t="s">
        <v>1351</v>
      </c>
      <c r="D27" s="20">
        <v>51040.0</v>
      </c>
      <c r="E27" s="20" t="s">
        <v>42</v>
      </c>
      <c r="F27" s="23"/>
      <c r="G27" s="22"/>
      <c r="H27" s="29"/>
      <c r="I27" s="21"/>
      <c r="J27" s="21"/>
      <c r="K27" s="37">
        <v>15000.0</v>
      </c>
      <c r="L27" s="22"/>
      <c r="M27" s="29"/>
      <c r="N27" s="22"/>
      <c r="O27" s="29"/>
      <c r="P27" s="25">
        <v>15000.0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45559.0</v>
      </c>
      <c r="C28" s="20" t="s">
        <v>1352</v>
      </c>
      <c r="D28" s="20">
        <v>21818.0</v>
      </c>
      <c r="E28" s="20" t="s">
        <v>103</v>
      </c>
      <c r="F28" s="23"/>
      <c r="G28" s="29"/>
      <c r="H28" s="29"/>
      <c r="I28" s="21"/>
      <c r="J28" s="21"/>
      <c r="K28" s="37">
        <v>1450.0</v>
      </c>
      <c r="L28" s="22"/>
      <c r="M28" s="29"/>
      <c r="N28" s="22"/>
      <c r="O28" s="29"/>
      <c r="P28" s="25">
        <v>1450.0</v>
      </c>
      <c r="Q28" s="26">
        <f t="shared" si="1"/>
        <v>0</v>
      </c>
      <c r="R28" s="25" t="s">
        <v>36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45559.0</v>
      </c>
      <c r="C29" s="20" t="s">
        <v>1353</v>
      </c>
      <c r="D29" s="20">
        <v>68939.0</v>
      </c>
      <c r="E29" s="20" t="s">
        <v>1025</v>
      </c>
      <c r="F29" s="23"/>
      <c r="G29" s="22"/>
      <c r="H29" s="29"/>
      <c r="I29" s="21">
        <v>15000.0</v>
      </c>
      <c r="J29" s="21"/>
      <c r="K29" s="37"/>
      <c r="L29" s="22"/>
      <c r="M29" s="29"/>
      <c r="N29" s="22"/>
      <c r="O29" s="29"/>
      <c r="P29" s="25">
        <v>15000.0</v>
      </c>
      <c r="Q29" s="26">
        <f t="shared" si="1"/>
        <v>0</v>
      </c>
      <c r="R29" s="25" t="s">
        <v>33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45559.0</v>
      </c>
      <c r="C30" s="20" t="s">
        <v>1354</v>
      </c>
      <c r="D30" s="20">
        <v>68939.0</v>
      </c>
      <c r="E30" s="20" t="s">
        <v>1025</v>
      </c>
      <c r="F30" s="23"/>
      <c r="G30" s="22"/>
      <c r="H30" s="29"/>
      <c r="I30" s="21">
        <v>5000.0</v>
      </c>
      <c r="J30" s="21"/>
      <c r="K30" s="37"/>
      <c r="L30" s="22"/>
      <c r="M30" s="29"/>
      <c r="N30" s="22"/>
      <c r="O30" s="29"/>
      <c r="P30" s="25">
        <v>5000.0</v>
      </c>
      <c r="Q30" s="26">
        <f t="shared" si="1"/>
        <v>0</v>
      </c>
      <c r="R30" s="25" t="s">
        <v>33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45559.0</v>
      </c>
      <c r="C31" s="20" t="s">
        <v>1355</v>
      </c>
      <c r="D31" s="20">
        <v>68939.0</v>
      </c>
      <c r="E31" s="20" t="s">
        <v>1025</v>
      </c>
      <c r="F31" s="23"/>
      <c r="G31" s="22"/>
      <c r="H31" s="29"/>
      <c r="I31" s="21">
        <v>5000.0</v>
      </c>
      <c r="J31" s="21"/>
      <c r="K31" s="37"/>
      <c r="L31" s="22"/>
      <c r="M31" s="29"/>
      <c r="N31" s="22"/>
      <c r="O31" s="29"/>
      <c r="P31" s="25">
        <v>5000.0</v>
      </c>
      <c r="Q31" s="26">
        <f t="shared" si="1"/>
        <v>0</v>
      </c>
      <c r="R31" s="25" t="s">
        <v>33</v>
      </c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45559.0</v>
      </c>
      <c r="C32" s="20" t="s">
        <v>1356</v>
      </c>
      <c r="D32" s="20">
        <v>56415.0</v>
      </c>
      <c r="E32" s="20" t="s">
        <v>1285</v>
      </c>
      <c r="F32" s="23"/>
      <c r="G32" s="22"/>
      <c r="H32" s="29"/>
      <c r="I32" s="21"/>
      <c r="J32" s="21">
        <v>840.0</v>
      </c>
      <c r="K32" s="37"/>
      <c r="L32" s="22"/>
      <c r="M32" s="29"/>
      <c r="N32" s="22"/>
      <c r="O32" s="29"/>
      <c r="P32" s="25">
        <v>840.0</v>
      </c>
      <c r="Q32" s="26">
        <f t="shared" si="1"/>
        <v>0</v>
      </c>
      <c r="R32" s="25" t="s">
        <v>36</v>
      </c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45559.0</v>
      </c>
      <c r="C33" s="20" t="s">
        <v>1357</v>
      </c>
      <c r="D33" s="20">
        <v>28414.0</v>
      </c>
      <c r="E33" s="20" t="s">
        <v>438</v>
      </c>
      <c r="F33" s="23"/>
      <c r="G33" s="22"/>
      <c r="H33" s="29"/>
      <c r="I33" s="21"/>
      <c r="J33" s="21"/>
      <c r="K33" s="37">
        <v>7949.0</v>
      </c>
      <c r="L33" s="22"/>
      <c r="M33" s="29"/>
      <c r="N33" s="22"/>
      <c r="O33" s="29"/>
      <c r="P33" s="25">
        <v>7949.0</v>
      </c>
      <c r="Q33" s="26">
        <f t="shared" si="1"/>
        <v>0</v>
      </c>
      <c r="R33" s="25" t="s">
        <v>25</v>
      </c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45558.0</v>
      </c>
      <c r="C34" s="20" t="s">
        <v>1358</v>
      </c>
      <c r="D34" s="20">
        <v>51660.0</v>
      </c>
      <c r="E34" s="20" t="s">
        <v>251</v>
      </c>
      <c r="F34" s="23"/>
      <c r="G34" s="22"/>
      <c r="H34" s="29">
        <v>5150.0</v>
      </c>
      <c r="I34" s="21"/>
      <c r="J34" s="21"/>
      <c r="K34" s="37"/>
      <c r="L34" s="22"/>
      <c r="M34" s="29"/>
      <c r="N34" s="22"/>
      <c r="O34" s="29"/>
      <c r="P34" s="25">
        <v>5150.0</v>
      </c>
      <c r="Q34" s="26">
        <f t="shared" si="1"/>
        <v>0</v>
      </c>
      <c r="R34" s="25"/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45559.0</v>
      </c>
      <c r="C35" s="20" t="s">
        <v>1359</v>
      </c>
      <c r="D35" s="20">
        <v>52214.0</v>
      </c>
      <c r="E35" s="20" t="s">
        <v>1360</v>
      </c>
      <c r="F35" s="23"/>
      <c r="G35" s="22"/>
      <c r="H35" s="29">
        <v>5200.0</v>
      </c>
      <c r="I35" s="21"/>
      <c r="J35" s="21"/>
      <c r="K35" s="37"/>
      <c r="L35" s="22"/>
      <c r="M35" s="29"/>
      <c r="N35" s="22"/>
      <c r="O35" s="29"/>
      <c r="P35" s="25">
        <v>5200.0</v>
      </c>
      <c r="Q35" s="26">
        <f t="shared" si="1"/>
        <v>0</v>
      </c>
      <c r="R35" s="25"/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83">
        <v>45559.0</v>
      </c>
      <c r="C36" s="20" t="s">
        <v>1361</v>
      </c>
      <c r="D36" s="20">
        <v>52669.0</v>
      </c>
      <c r="E36" s="20" t="s">
        <v>170</v>
      </c>
      <c r="F36" s="23"/>
      <c r="G36" s="22"/>
      <c r="H36" s="29">
        <v>25800.0</v>
      </c>
      <c r="I36" s="21"/>
      <c r="J36" s="21"/>
      <c r="K36" s="37"/>
      <c r="L36" s="22"/>
      <c r="M36" s="29"/>
      <c r="N36" s="22"/>
      <c r="O36" s="29"/>
      <c r="P36" s="25">
        <v>25800.0</v>
      </c>
      <c r="Q36" s="26">
        <f t="shared" si="1"/>
        <v>0</v>
      </c>
      <c r="R36" s="25"/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83">
        <v>45559.0</v>
      </c>
      <c r="C37" s="20" t="s">
        <v>1362</v>
      </c>
      <c r="D37" s="20">
        <v>30909.0</v>
      </c>
      <c r="E37" s="20" t="s">
        <v>1011</v>
      </c>
      <c r="F37" s="23"/>
      <c r="G37" s="22"/>
      <c r="H37" s="29">
        <v>2500.0</v>
      </c>
      <c r="I37" s="21"/>
      <c r="J37" s="21"/>
      <c r="K37" s="37"/>
      <c r="L37" s="22"/>
      <c r="M37" s="29"/>
      <c r="N37" s="22"/>
      <c r="O37" s="29"/>
      <c r="P37" s="25">
        <v>2500.0</v>
      </c>
      <c r="Q37" s="72">
        <v>0.0</v>
      </c>
      <c r="R37" s="25"/>
      <c r="S37" s="5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83">
        <v>45559.0</v>
      </c>
      <c r="C38" s="20" t="s">
        <v>1363</v>
      </c>
      <c r="D38" s="20">
        <v>80293.0</v>
      </c>
      <c r="E38" s="20" t="s">
        <v>1364</v>
      </c>
      <c r="F38" s="23"/>
      <c r="G38" s="22"/>
      <c r="H38" s="29">
        <v>2650.0</v>
      </c>
      <c r="I38" s="21"/>
      <c r="J38" s="21"/>
      <c r="K38" s="37"/>
      <c r="L38" s="22"/>
      <c r="M38" s="29"/>
      <c r="N38" s="22"/>
      <c r="O38" s="29"/>
      <c r="P38" s="25">
        <v>2650.0</v>
      </c>
      <c r="Q38" s="72">
        <v>0.0</v>
      </c>
      <c r="R38" s="25"/>
      <c r="S38" s="5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/>
      <c r="B39" s="83"/>
      <c r="C39" s="20"/>
      <c r="D39" s="20"/>
      <c r="E39" s="20"/>
      <c r="F39" s="23"/>
      <c r="G39" s="22"/>
      <c r="H39" s="29"/>
      <c r="I39" s="21"/>
      <c r="J39" s="21"/>
      <c r="K39" s="37"/>
      <c r="L39" s="22"/>
      <c r="M39" s="29"/>
      <c r="N39" s="22"/>
      <c r="O39" s="29"/>
      <c r="P39" s="25"/>
      <c r="Q39" s="26"/>
      <c r="R39" s="25"/>
      <c r="S39" s="5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/>
      <c r="B40" s="83"/>
      <c r="C40" s="20"/>
      <c r="D40" s="20"/>
      <c r="E40" s="20"/>
      <c r="F40" s="23"/>
      <c r="G40" s="22"/>
      <c r="H40" s="29"/>
      <c r="I40" s="21"/>
      <c r="J40" s="21"/>
      <c r="K40" s="37"/>
      <c r="L40" s="22"/>
      <c r="M40" s="29"/>
      <c r="N40" s="22"/>
      <c r="O40" s="29"/>
      <c r="P40" s="25"/>
      <c r="Q40" s="26"/>
      <c r="R40" s="25"/>
      <c r="S40" s="5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7.5" customHeight="1">
      <c r="A41" s="16"/>
      <c r="B41" s="28"/>
      <c r="C41" s="18"/>
      <c r="D41" s="19"/>
      <c r="E41" s="20"/>
      <c r="F41" s="55">
        <f t="shared" ref="F41:P41" si="2">SUM(F5:F40)</f>
        <v>0</v>
      </c>
      <c r="G41" s="55">
        <f t="shared" si="2"/>
        <v>0</v>
      </c>
      <c r="H41" s="55">
        <f t="shared" si="2"/>
        <v>48300</v>
      </c>
      <c r="I41" s="55">
        <f t="shared" si="2"/>
        <v>90519</v>
      </c>
      <c r="J41" s="55">
        <f t="shared" si="2"/>
        <v>47073</v>
      </c>
      <c r="K41" s="55">
        <f t="shared" si="2"/>
        <v>29807</v>
      </c>
      <c r="L41" s="55">
        <f t="shared" si="2"/>
        <v>0</v>
      </c>
      <c r="M41" s="55">
        <f t="shared" si="2"/>
        <v>3000</v>
      </c>
      <c r="N41" s="55">
        <f t="shared" si="2"/>
        <v>0</v>
      </c>
      <c r="O41" s="55">
        <f t="shared" si="2"/>
        <v>0</v>
      </c>
      <c r="P41" s="55">
        <f t="shared" si="2"/>
        <v>218699</v>
      </c>
      <c r="Q41" s="56">
        <v>0.0</v>
      </c>
      <c r="R41" s="57"/>
      <c r="S41" s="57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58.5" customHeight="1">
      <c r="A42" s="58"/>
      <c r="B42" s="74"/>
      <c r="C42" s="75"/>
      <c r="D42" s="76"/>
      <c r="E42" s="76"/>
      <c r="F42" s="60">
        <f>SUM(G41:O41)</f>
        <v>218699</v>
      </c>
      <c r="P42" s="61"/>
      <c r="Q42" s="61"/>
      <c r="R42" s="58"/>
      <c r="S42" s="5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15.75" customHeight="1">
      <c r="A43" s="4"/>
      <c r="B43" s="4"/>
      <c r="C43" s="6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3" t="s">
        <v>149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4" t="s">
        <v>150</v>
      </c>
      <c r="F46" s="65" t="s">
        <v>254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152</v>
      </c>
      <c r="F47" s="65" t="s">
        <v>255</v>
      </c>
      <c r="G47" s="4"/>
      <c r="H47" s="4"/>
      <c r="I47" s="4"/>
      <c r="J47" s="4"/>
      <c r="K47" s="4"/>
      <c r="L47" s="4"/>
      <c r="M47" s="4"/>
      <c r="N47" s="4"/>
      <c r="O47" s="67" t="s">
        <v>149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154</v>
      </c>
      <c r="F48" s="65" t="s">
        <v>254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156</v>
      </c>
      <c r="F49" s="65" t="s">
        <v>254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66" t="s">
        <v>157</v>
      </c>
      <c r="F50" s="65" t="s">
        <v>1365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66" t="s">
        <v>1366</v>
      </c>
      <c r="F51" s="65" t="s">
        <v>254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66" t="s">
        <v>160</v>
      </c>
      <c r="F52" s="65" t="s">
        <v>155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66" t="s">
        <v>161</v>
      </c>
      <c r="F53" s="68" t="s">
        <v>162</v>
      </c>
      <c r="G53" s="4"/>
      <c r="H53" s="4"/>
      <c r="I53" s="4"/>
      <c r="J53" s="4"/>
      <c r="K53" s="4"/>
      <c r="L53" s="4"/>
      <c r="M53" s="69" t="s">
        <v>812</v>
      </c>
      <c r="N53" s="4"/>
      <c r="O53" s="4"/>
      <c r="P53" s="4"/>
      <c r="Q53" s="4"/>
      <c r="R53" s="4"/>
      <c r="S53" s="4"/>
      <c r="T53" s="4"/>
      <c r="U53" s="67" t="s">
        <v>149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 t="str">
        <f>I72441</f>
        <v/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69"/>
      <c r="G61" s="4"/>
      <c r="H61" s="4"/>
      <c r="I61" s="67" t="s">
        <v>163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>
        <v>7.0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7">
    <mergeCell ref="R2:R4"/>
    <mergeCell ref="S2:S4"/>
    <mergeCell ref="F3:F4"/>
    <mergeCell ref="G3:H3"/>
    <mergeCell ref="I3:J3"/>
    <mergeCell ref="K3:K4"/>
    <mergeCell ref="F42:O4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4.5"/>
    <col customWidth="1" min="4" max="4" width="9.38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45559.0</v>
      </c>
      <c r="C5" s="20" t="s">
        <v>1368</v>
      </c>
      <c r="D5" s="20">
        <v>22332.0</v>
      </c>
      <c r="E5" s="20" t="s">
        <v>79</v>
      </c>
      <c r="F5" s="21"/>
      <c r="G5" s="29">
        <v>2950.0</v>
      </c>
      <c r="H5" s="23"/>
      <c r="I5" s="37"/>
      <c r="J5" s="37"/>
      <c r="K5" s="22"/>
      <c r="L5" s="22"/>
      <c r="M5" s="21"/>
      <c r="N5" s="22"/>
      <c r="O5" s="22"/>
      <c r="P5" s="25">
        <v>2950.0</v>
      </c>
      <c r="Q5" s="26">
        <f t="shared" ref="Q5:Q36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45559.0</v>
      </c>
      <c r="C6" s="20" t="s">
        <v>1369</v>
      </c>
      <c r="D6" s="20">
        <v>57934.0</v>
      </c>
      <c r="E6" s="20" t="s">
        <v>1370</v>
      </c>
      <c r="F6" s="23"/>
      <c r="G6" s="22"/>
      <c r="H6" s="22"/>
      <c r="I6" s="21">
        <v>5150.0</v>
      </c>
      <c r="J6" s="29"/>
      <c r="K6" s="29"/>
      <c r="L6" s="22"/>
      <c r="M6" s="21"/>
      <c r="N6" s="22"/>
      <c r="O6" s="22"/>
      <c r="P6" s="25">
        <v>5150.0</v>
      </c>
      <c r="Q6" s="26">
        <f t="shared" si="1"/>
        <v>0</v>
      </c>
      <c r="R6" s="25" t="s">
        <v>30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45560.0</v>
      </c>
      <c r="C7" s="20" t="s">
        <v>1371</v>
      </c>
      <c r="D7" s="20">
        <v>52509.0</v>
      </c>
      <c r="E7" s="20" t="s">
        <v>1372</v>
      </c>
      <c r="F7" s="22"/>
      <c r="G7" s="29"/>
      <c r="H7" s="23"/>
      <c r="I7" s="21">
        <v>3350.0</v>
      </c>
      <c r="J7" s="37"/>
      <c r="K7" s="29"/>
      <c r="L7" s="22"/>
      <c r="M7" s="22"/>
      <c r="N7" s="22"/>
      <c r="O7" s="22"/>
      <c r="P7" s="25">
        <v>3350.0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45560.0</v>
      </c>
      <c r="C8" s="20" t="s">
        <v>1373</v>
      </c>
      <c r="D8" s="20">
        <v>36769.0</v>
      </c>
      <c r="E8" s="20" t="s">
        <v>379</v>
      </c>
      <c r="F8" s="22"/>
      <c r="G8" s="29"/>
      <c r="H8" s="22"/>
      <c r="I8" s="21">
        <v>1950.0</v>
      </c>
      <c r="J8" s="21"/>
      <c r="K8" s="29"/>
      <c r="L8" s="22"/>
      <c r="M8" s="22"/>
      <c r="N8" s="22"/>
      <c r="O8" s="22"/>
      <c r="P8" s="25">
        <v>1950.0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45560.0</v>
      </c>
      <c r="C9" s="20" t="s">
        <v>1374</v>
      </c>
      <c r="D9" s="20">
        <v>52083.0</v>
      </c>
      <c r="E9" s="20" t="s">
        <v>71</v>
      </c>
      <c r="F9" s="22"/>
      <c r="G9" s="29"/>
      <c r="H9" s="22"/>
      <c r="I9" s="21">
        <v>5000.0</v>
      </c>
      <c r="J9" s="21"/>
      <c r="K9" s="22"/>
      <c r="L9" s="22"/>
      <c r="M9" s="23"/>
      <c r="N9" s="22"/>
      <c r="O9" s="22"/>
      <c r="P9" s="25">
        <v>5000.0</v>
      </c>
      <c r="Q9" s="26">
        <f t="shared" si="1"/>
        <v>0</v>
      </c>
      <c r="R9" s="25" t="s">
        <v>36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45560.0</v>
      </c>
      <c r="C10" s="20" t="s">
        <v>1375</v>
      </c>
      <c r="D10" s="20">
        <v>80455.0</v>
      </c>
      <c r="E10" s="20" t="s">
        <v>1376</v>
      </c>
      <c r="F10" s="22"/>
      <c r="G10" s="29"/>
      <c r="H10" s="22"/>
      <c r="I10" s="21">
        <v>9500.0</v>
      </c>
      <c r="J10" s="21"/>
      <c r="K10" s="22"/>
      <c r="L10" s="22"/>
      <c r="M10" s="23"/>
      <c r="N10" s="22"/>
      <c r="O10" s="22"/>
      <c r="P10" s="25">
        <v>9500.0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45560.0</v>
      </c>
      <c r="C11" s="20" t="s">
        <v>1377</v>
      </c>
      <c r="D11" s="20">
        <v>76815.0</v>
      </c>
      <c r="E11" s="20" t="s">
        <v>1378</v>
      </c>
      <c r="F11" s="22"/>
      <c r="G11" s="22"/>
      <c r="H11" s="29"/>
      <c r="I11" s="21">
        <v>8600.0</v>
      </c>
      <c r="J11" s="21"/>
      <c r="K11" s="29">
        <v>3900.0</v>
      </c>
      <c r="L11" s="22"/>
      <c r="M11" s="23"/>
      <c r="N11" s="22"/>
      <c r="O11" s="22"/>
      <c r="P11" s="25">
        <v>12500.0</v>
      </c>
      <c r="Q11" s="26">
        <f t="shared" si="1"/>
        <v>0</v>
      </c>
      <c r="R11" s="25" t="s">
        <v>33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45560.0</v>
      </c>
      <c r="C12" s="20" t="s">
        <v>1379</v>
      </c>
      <c r="D12" s="20">
        <v>22727.0</v>
      </c>
      <c r="E12" s="20" t="s">
        <v>519</v>
      </c>
      <c r="F12" s="22"/>
      <c r="G12" s="22"/>
      <c r="H12" s="29"/>
      <c r="I12" s="21">
        <v>3700.0</v>
      </c>
      <c r="J12" s="21"/>
      <c r="K12" s="29"/>
      <c r="L12" s="22"/>
      <c r="M12" s="23"/>
      <c r="N12" s="22"/>
      <c r="O12" s="22"/>
      <c r="P12" s="25">
        <v>3700.0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45560.0</v>
      </c>
      <c r="C13" s="20" t="s">
        <v>1380</v>
      </c>
      <c r="D13" s="20">
        <v>45096.0</v>
      </c>
      <c r="E13" s="20" t="s">
        <v>1381</v>
      </c>
      <c r="F13" s="22"/>
      <c r="G13" s="22"/>
      <c r="H13" s="22"/>
      <c r="I13" s="21">
        <v>8700.0</v>
      </c>
      <c r="J13" s="21"/>
      <c r="K13" s="22"/>
      <c r="L13" s="22"/>
      <c r="M13" s="21"/>
      <c r="N13" s="22"/>
      <c r="O13" s="22"/>
      <c r="P13" s="35">
        <v>8700.0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45560.0</v>
      </c>
      <c r="C14" s="20" t="s">
        <v>1382</v>
      </c>
      <c r="D14" s="20">
        <v>43380.0</v>
      </c>
      <c r="E14" s="20" t="s">
        <v>124</v>
      </c>
      <c r="F14" s="22"/>
      <c r="G14" s="29"/>
      <c r="H14" s="29">
        <v>11400.0</v>
      </c>
      <c r="I14" s="21"/>
      <c r="J14" s="21"/>
      <c r="K14" s="22"/>
      <c r="L14" s="22"/>
      <c r="M14" s="23"/>
      <c r="N14" s="22"/>
      <c r="O14" s="22"/>
      <c r="P14" s="25">
        <v>11400.0</v>
      </c>
      <c r="Q14" s="26">
        <f t="shared" si="1"/>
        <v>0</v>
      </c>
      <c r="R14" s="25" t="s">
        <v>33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45560.0</v>
      </c>
      <c r="C15" s="20" t="s">
        <v>1383</v>
      </c>
      <c r="D15" s="20">
        <v>81108.0</v>
      </c>
      <c r="E15" s="20" t="s">
        <v>209</v>
      </c>
      <c r="F15" s="22"/>
      <c r="G15" s="22"/>
      <c r="H15" s="22"/>
      <c r="I15" s="21">
        <v>14300.0</v>
      </c>
      <c r="J15" s="21"/>
      <c r="K15" s="29"/>
      <c r="L15" s="22"/>
      <c r="M15" s="23"/>
      <c r="N15" s="22"/>
      <c r="O15" s="22"/>
      <c r="P15" s="25">
        <v>14300.0</v>
      </c>
      <c r="Q15" s="26">
        <f t="shared" si="1"/>
        <v>0</v>
      </c>
      <c r="R15" s="25" t="s">
        <v>36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45560.0</v>
      </c>
      <c r="C16" s="20" t="s">
        <v>1384</v>
      </c>
      <c r="D16" s="20">
        <v>22341.0</v>
      </c>
      <c r="E16" s="20" t="s">
        <v>69</v>
      </c>
      <c r="F16" s="22"/>
      <c r="G16" s="22"/>
      <c r="H16" s="22"/>
      <c r="I16" s="21">
        <v>1600.0</v>
      </c>
      <c r="J16" s="21"/>
      <c r="K16" s="29"/>
      <c r="L16" s="22"/>
      <c r="M16" s="21"/>
      <c r="N16" s="22"/>
      <c r="O16" s="22"/>
      <c r="P16" s="25">
        <v>1600.0</v>
      </c>
      <c r="Q16" s="26">
        <f t="shared" si="1"/>
        <v>0</v>
      </c>
      <c r="R16" s="25" t="s">
        <v>30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45560.0</v>
      </c>
      <c r="C17" s="20" t="s">
        <v>1385</v>
      </c>
      <c r="D17" s="20">
        <v>13133.0</v>
      </c>
      <c r="E17" s="20" t="s">
        <v>1386</v>
      </c>
      <c r="F17" s="22"/>
      <c r="G17" s="22"/>
      <c r="H17" s="29"/>
      <c r="I17" s="21"/>
      <c r="J17" s="21">
        <v>5150.0</v>
      </c>
      <c r="K17" s="22"/>
      <c r="L17" s="22"/>
      <c r="M17" s="21"/>
      <c r="N17" s="22"/>
      <c r="O17" s="22"/>
      <c r="P17" s="25">
        <v>5150.0</v>
      </c>
      <c r="Q17" s="26">
        <f t="shared" si="1"/>
        <v>0</v>
      </c>
      <c r="R17" s="25" t="s">
        <v>36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45560.0</v>
      </c>
      <c r="C18" s="20" t="s">
        <v>1387</v>
      </c>
      <c r="D18" s="20">
        <v>33616.0</v>
      </c>
      <c r="E18" s="20" t="s">
        <v>1388</v>
      </c>
      <c r="F18" s="22"/>
      <c r="G18" s="22"/>
      <c r="H18" s="22"/>
      <c r="I18" s="21"/>
      <c r="J18" s="21">
        <v>1600.0</v>
      </c>
      <c r="K18" s="29"/>
      <c r="L18" s="22"/>
      <c r="M18" s="22"/>
      <c r="N18" s="22"/>
      <c r="O18" s="22"/>
      <c r="P18" s="25">
        <v>1600.0</v>
      </c>
      <c r="Q18" s="26">
        <f t="shared" si="1"/>
        <v>0</v>
      </c>
      <c r="R18" s="25" t="s">
        <v>43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45560.0</v>
      </c>
      <c r="C19" s="20" t="s">
        <v>1389</v>
      </c>
      <c r="D19" s="20">
        <v>19122.0</v>
      </c>
      <c r="E19" s="20" t="s">
        <v>632</v>
      </c>
      <c r="F19" s="22"/>
      <c r="G19" s="29"/>
      <c r="H19" s="22"/>
      <c r="I19" s="21">
        <v>1350.0</v>
      </c>
      <c r="J19" s="21"/>
      <c r="K19" s="22"/>
      <c r="L19" s="22"/>
      <c r="M19" s="21"/>
      <c r="N19" s="22"/>
      <c r="O19" s="22"/>
      <c r="P19" s="35">
        <v>1350.0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45560.0</v>
      </c>
      <c r="C20" s="20" t="s">
        <v>1390</v>
      </c>
      <c r="D20" s="20">
        <v>73016.0</v>
      </c>
      <c r="E20" s="20" t="s">
        <v>105</v>
      </c>
      <c r="F20" s="22"/>
      <c r="G20" s="22"/>
      <c r="H20" s="22"/>
      <c r="I20" s="37"/>
      <c r="J20" s="37">
        <v>5150.0</v>
      </c>
      <c r="K20" s="22"/>
      <c r="L20" s="22"/>
      <c r="M20" s="22"/>
      <c r="N20" s="22"/>
      <c r="O20" s="22"/>
      <c r="P20" s="25">
        <v>5150.0</v>
      </c>
      <c r="Q20" s="26">
        <f t="shared" si="1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45560.0</v>
      </c>
      <c r="C21" s="20" t="s">
        <v>1391</v>
      </c>
      <c r="D21" s="20">
        <v>54764.0</v>
      </c>
      <c r="E21" s="20" t="s">
        <v>221</v>
      </c>
      <c r="F21" s="21"/>
      <c r="G21" s="22"/>
      <c r="H21" s="22"/>
      <c r="I21" s="45">
        <v>1150.0</v>
      </c>
      <c r="J21" s="29"/>
      <c r="K21" s="39"/>
      <c r="L21" s="22"/>
      <c r="M21" s="22"/>
      <c r="N21" s="22"/>
      <c r="O21" s="22"/>
      <c r="P21" s="25">
        <v>1150.0</v>
      </c>
      <c r="Q21" s="26">
        <f t="shared" si="1"/>
        <v>0</v>
      </c>
      <c r="R21" s="25" t="s">
        <v>36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45560.0</v>
      </c>
      <c r="C22" s="20" t="s">
        <v>1392</v>
      </c>
      <c r="D22" s="20">
        <v>84907.0</v>
      </c>
      <c r="E22" s="20" t="s">
        <v>1393</v>
      </c>
      <c r="F22" s="23"/>
      <c r="G22" s="29"/>
      <c r="H22" s="22"/>
      <c r="I22" s="21"/>
      <c r="J22" s="29">
        <v>7300.0</v>
      </c>
      <c r="K22" s="23"/>
      <c r="L22" s="22"/>
      <c r="M22" s="22"/>
      <c r="N22" s="22"/>
      <c r="O22" s="22"/>
      <c r="P22" s="25">
        <v>7300.0</v>
      </c>
      <c r="Q22" s="26">
        <f t="shared" si="1"/>
        <v>0</v>
      </c>
      <c r="R22" s="25" t="s">
        <v>33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45560.0</v>
      </c>
      <c r="C23" s="20" t="s">
        <v>1394</v>
      </c>
      <c r="D23" s="20">
        <v>36555.0</v>
      </c>
      <c r="E23" s="20" t="s">
        <v>65</v>
      </c>
      <c r="F23" s="38"/>
      <c r="G23" s="71"/>
      <c r="H23" s="44"/>
      <c r="I23" s="45"/>
      <c r="J23" s="45"/>
      <c r="K23" s="73">
        <v>700.0</v>
      </c>
      <c r="L23" s="44"/>
      <c r="M23" s="44"/>
      <c r="N23" s="44"/>
      <c r="O23" s="44"/>
      <c r="P23" s="47">
        <v>700.0</v>
      </c>
      <c r="Q23" s="26">
        <f t="shared" si="1"/>
        <v>0</v>
      </c>
      <c r="R23" s="47" t="s">
        <v>33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45560.0</v>
      </c>
      <c r="C24" s="20" t="s">
        <v>1395</v>
      </c>
      <c r="D24" s="20">
        <v>13762.0</v>
      </c>
      <c r="E24" s="20" t="s">
        <v>24</v>
      </c>
      <c r="F24" s="23"/>
      <c r="G24" s="29"/>
      <c r="H24" s="22"/>
      <c r="I24" s="21"/>
      <c r="J24" s="29">
        <v>4500.0</v>
      </c>
      <c r="K24" s="39"/>
      <c r="L24" s="22"/>
      <c r="M24" s="22"/>
      <c r="N24" s="22"/>
      <c r="O24" s="22"/>
      <c r="P24" s="25">
        <v>4500.0</v>
      </c>
      <c r="Q24" s="26">
        <f t="shared" si="1"/>
        <v>0</v>
      </c>
      <c r="R24" s="25" t="s">
        <v>33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45560.0</v>
      </c>
      <c r="C25" s="20" t="s">
        <v>1396</v>
      </c>
      <c r="D25" s="20">
        <v>13762.0</v>
      </c>
      <c r="E25" s="20" t="s">
        <v>24</v>
      </c>
      <c r="F25" s="23"/>
      <c r="G25" s="22"/>
      <c r="H25" s="29"/>
      <c r="I25" s="21"/>
      <c r="J25" s="21">
        <v>7550.0</v>
      </c>
      <c r="K25" s="49"/>
      <c r="L25" s="22"/>
      <c r="M25" s="22"/>
      <c r="N25" s="22"/>
      <c r="O25" s="22"/>
      <c r="P25" s="25">
        <v>7550.0</v>
      </c>
      <c r="Q25" s="26">
        <f t="shared" si="1"/>
        <v>0</v>
      </c>
      <c r="R25" s="25" t="s">
        <v>33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45560.0</v>
      </c>
      <c r="C26" s="20" t="s">
        <v>1397</v>
      </c>
      <c r="D26" s="20">
        <v>13762.0</v>
      </c>
      <c r="E26" s="20" t="s">
        <v>24</v>
      </c>
      <c r="F26" s="23"/>
      <c r="G26" s="22"/>
      <c r="H26" s="29"/>
      <c r="I26" s="21"/>
      <c r="J26" s="21">
        <v>5000.0</v>
      </c>
      <c r="K26" s="37"/>
      <c r="L26" s="22"/>
      <c r="M26" s="29"/>
      <c r="N26" s="22"/>
      <c r="O26" s="22"/>
      <c r="P26" s="25">
        <v>5000.0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45560.0</v>
      </c>
      <c r="C27" s="20" t="s">
        <v>1398</v>
      </c>
      <c r="D27" s="20">
        <v>52404.0</v>
      </c>
      <c r="E27" s="20" t="s">
        <v>1253</v>
      </c>
      <c r="F27" s="23"/>
      <c r="G27" s="22"/>
      <c r="H27" s="29"/>
      <c r="I27" s="21">
        <v>2650.0</v>
      </c>
      <c r="J27" s="21"/>
      <c r="K27" s="37"/>
      <c r="L27" s="22"/>
      <c r="M27" s="29"/>
      <c r="N27" s="22"/>
      <c r="O27" s="29"/>
      <c r="P27" s="25">
        <v>2650.0</v>
      </c>
      <c r="Q27" s="26">
        <f t="shared" si="1"/>
        <v>0</v>
      </c>
      <c r="R27" s="25" t="s">
        <v>36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45560.0</v>
      </c>
      <c r="C28" s="20" t="s">
        <v>1399</v>
      </c>
      <c r="D28" s="20">
        <v>10839.0</v>
      </c>
      <c r="E28" s="20" t="s">
        <v>1400</v>
      </c>
      <c r="F28" s="23"/>
      <c r="G28" s="29"/>
      <c r="H28" s="29"/>
      <c r="I28" s="21"/>
      <c r="J28" s="21">
        <v>4650.0</v>
      </c>
      <c r="K28" s="37"/>
      <c r="L28" s="22"/>
      <c r="M28" s="29"/>
      <c r="N28" s="22"/>
      <c r="O28" s="29"/>
      <c r="P28" s="25">
        <v>4650.0</v>
      </c>
      <c r="Q28" s="26">
        <f t="shared" si="1"/>
        <v>0</v>
      </c>
      <c r="R28" s="25" t="s">
        <v>36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45560.0</v>
      </c>
      <c r="C29" s="20" t="s">
        <v>1401</v>
      </c>
      <c r="D29" s="20">
        <v>40901.0</v>
      </c>
      <c r="E29" s="20" t="s">
        <v>1402</v>
      </c>
      <c r="F29" s="23"/>
      <c r="G29" s="22"/>
      <c r="H29" s="29"/>
      <c r="I29" s="21">
        <v>4500.0</v>
      </c>
      <c r="J29" s="21"/>
      <c r="K29" s="37"/>
      <c r="L29" s="22"/>
      <c r="M29" s="29"/>
      <c r="N29" s="22"/>
      <c r="O29" s="29"/>
      <c r="P29" s="25">
        <v>4500.0</v>
      </c>
      <c r="Q29" s="26">
        <f t="shared" si="1"/>
        <v>0</v>
      </c>
      <c r="R29" s="25" t="s">
        <v>36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45560.0</v>
      </c>
      <c r="C30" s="20" t="s">
        <v>1403</v>
      </c>
      <c r="D30" s="20">
        <v>25376.0</v>
      </c>
      <c r="E30" s="20" t="s">
        <v>1404</v>
      </c>
      <c r="F30" s="23"/>
      <c r="G30" s="22"/>
      <c r="H30" s="29"/>
      <c r="I30" s="21"/>
      <c r="J30" s="21">
        <v>12800.0</v>
      </c>
      <c r="K30" s="37"/>
      <c r="L30" s="22"/>
      <c r="M30" s="29"/>
      <c r="N30" s="22"/>
      <c r="O30" s="29"/>
      <c r="P30" s="25">
        <v>12800.0</v>
      </c>
      <c r="Q30" s="26">
        <f t="shared" si="1"/>
        <v>0</v>
      </c>
      <c r="R30" s="25" t="s">
        <v>43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45559.0</v>
      </c>
      <c r="C31" s="20" t="s">
        <v>1405</v>
      </c>
      <c r="D31" s="20">
        <v>51017.0</v>
      </c>
      <c r="E31" s="20" t="s">
        <v>241</v>
      </c>
      <c r="F31" s="23"/>
      <c r="G31" s="22"/>
      <c r="H31" s="29">
        <v>15000.0</v>
      </c>
      <c r="I31" s="21"/>
      <c r="J31" s="21"/>
      <c r="K31" s="37"/>
      <c r="L31" s="22"/>
      <c r="M31" s="29"/>
      <c r="N31" s="22"/>
      <c r="O31" s="29"/>
      <c r="P31" s="25">
        <v>15000.0</v>
      </c>
      <c r="Q31" s="26">
        <f t="shared" si="1"/>
        <v>0</v>
      </c>
      <c r="R31" s="25"/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45560.0</v>
      </c>
      <c r="C32" s="20" t="s">
        <v>1406</v>
      </c>
      <c r="D32" s="20">
        <v>21828.0</v>
      </c>
      <c r="E32" s="20" t="s">
        <v>144</v>
      </c>
      <c r="F32" s="23"/>
      <c r="G32" s="22"/>
      <c r="H32" s="29"/>
      <c r="I32" s="21"/>
      <c r="J32" s="21"/>
      <c r="K32" s="37">
        <v>2500.0</v>
      </c>
      <c r="L32" s="22"/>
      <c r="M32" s="29"/>
      <c r="N32" s="22"/>
      <c r="O32" s="29"/>
      <c r="P32" s="25">
        <v>2500.0</v>
      </c>
      <c r="Q32" s="26">
        <f t="shared" si="1"/>
        <v>0</v>
      </c>
      <c r="R32" s="25"/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45560.0</v>
      </c>
      <c r="C33" s="20" t="s">
        <v>1407</v>
      </c>
      <c r="D33" s="20">
        <v>72839.0</v>
      </c>
      <c r="E33" s="20" t="s">
        <v>404</v>
      </c>
      <c r="F33" s="23"/>
      <c r="G33" s="22"/>
      <c r="H33" s="29">
        <v>25000.0</v>
      </c>
      <c r="I33" s="21"/>
      <c r="J33" s="21"/>
      <c r="K33" s="37"/>
      <c r="L33" s="22"/>
      <c r="M33" s="29"/>
      <c r="N33" s="22"/>
      <c r="O33" s="29"/>
      <c r="P33" s="25">
        <v>25000.0</v>
      </c>
      <c r="Q33" s="26">
        <f t="shared" si="1"/>
        <v>0</v>
      </c>
      <c r="R33" s="25"/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45560.0</v>
      </c>
      <c r="C34" s="20" t="s">
        <v>1408</v>
      </c>
      <c r="D34" s="20">
        <v>36555.0</v>
      </c>
      <c r="E34" s="20" t="s">
        <v>65</v>
      </c>
      <c r="F34" s="23"/>
      <c r="G34" s="22"/>
      <c r="H34" s="29">
        <v>14500.0</v>
      </c>
      <c r="I34" s="21"/>
      <c r="J34" s="21"/>
      <c r="K34" s="37"/>
      <c r="L34" s="22"/>
      <c r="M34" s="29"/>
      <c r="N34" s="22"/>
      <c r="O34" s="29"/>
      <c r="P34" s="25">
        <v>14500.0</v>
      </c>
      <c r="Q34" s="26">
        <f t="shared" si="1"/>
        <v>0</v>
      </c>
      <c r="R34" s="25"/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45560.0</v>
      </c>
      <c r="C35" s="20" t="s">
        <v>1409</v>
      </c>
      <c r="D35" s="20">
        <v>45227.0</v>
      </c>
      <c r="E35" s="20" t="s">
        <v>368</v>
      </c>
      <c r="F35" s="23"/>
      <c r="G35" s="22"/>
      <c r="H35" s="29">
        <v>23250.0</v>
      </c>
      <c r="I35" s="21"/>
      <c r="J35" s="21"/>
      <c r="K35" s="37"/>
      <c r="L35" s="22"/>
      <c r="M35" s="29"/>
      <c r="N35" s="22"/>
      <c r="O35" s="29"/>
      <c r="P35" s="25">
        <v>23250.0</v>
      </c>
      <c r="Q35" s="26">
        <f t="shared" si="1"/>
        <v>0</v>
      </c>
      <c r="R35" s="25"/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83">
        <v>45560.0</v>
      </c>
      <c r="C36" s="20" t="s">
        <v>1410</v>
      </c>
      <c r="D36" s="20">
        <v>21828.0</v>
      </c>
      <c r="E36" s="20" t="s">
        <v>144</v>
      </c>
      <c r="F36" s="23"/>
      <c r="G36" s="22"/>
      <c r="H36" s="29"/>
      <c r="I36" s="21"/>
      <c r="J36" s="21"/>
      <c r="K36" s="37"/>
      <c r="L36" s="22"/>
      <c r="M36" s="29">
        <v>450.0</v>
      </c>
      <c r="N36" s="22"/>
      <c r="O36" s="29"/>
      <c r="P36" s="25">
        <v>450.0</v>
      </c>
      <c r="Q36" s="26">
        <f t="shared" si="1"/>
        <v>0</v>
      </c>
      <c r="R36" s="25"/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7.5" customHeight="1">
      <c r="A37" s="16"/>
      <c r="B37" s="51"/>
      <c r="C37" s="52"/>
      <c r="D37" s="53" t="s">
        <v>149</v>
      </c>
      <c r="E37" s="54"/>
      <c r="F37" s="55">
        <f>SUM(F5:F31)</f>
        <v>0</v>
      </c>
      <c r="G37" s="55">
        <f t="shared" ref="G37:P37" si="2">SUM(G5:G36)</f>
        <v>2950</v>
      </c>
      <c r="H37" s="55">
        <f t="shared" si="2"/>
        <v>89150</v>
      </c>
      <c r="I37" s="55">
        <f t="shared" si="2"/>
        <v>71500</v>
      </c>
      <c r="J37" s="55">
        <f t="shared" si="2"/>
        <v>53700</v>
      </c>
      <c r="K37" s="55">
        <f t="shared" si="2"/>
        <v>7100</v>
      </c>
      <c r="L37" s="55">
        <f t="shared" si="2"/>
        <v>0</v>
      </c>
      <c r="M37" s="55">
        <f t="shared" si="2"/>
        <v>450</v>
      </c>
      <c r="N37" s="55">
        <f t="shared" si="2"/>
        <v>0</v>
      </c>
      <c r="O37" s="55">
        <f t="shared" si="2"/>
        <v>0</v>
      </c>
      <c r="P37" s="55">
        <f t="shared" si="2"/>
        <v>224850</v>
      </c>
      <c r="Q37" s="56">
        <v>0.0</v>
      </c>
      <c r="R37" s="57"/>
      <c r="S37" s="57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58.5" customHeight="1">
      <c r="A38" s="58"/>
      <c r="B38" s="58"/>
      <c r="C38" s="59"/>
      <c r="D38" s="58"/>
      <c r="E38" s="58"/>
      <c r="F38" s="60">
        <f>SUM(G37:O37)</f>
        <v>224850</v>
      </c>
      <c r="P38" s="61"/>
      <c r="Q38" s="61"/>
      <c r="R38" s="58"/>
      <c r="S38" s="58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15.75" customHeight="1">
      <c r="A39" s="4"/>
      <c r="B39" s="4"/>
      <c r="C39" s="6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3" t="s">
        <v>149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/>
      <c r="D42" s="4"/>
      <c r="E42" s="64" t="s">
        <v>150</v>
      </c>
      <c r="F42" s="65" t="s">
        <v>254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/>
      <c r="D43" s="4"/>
      <c r="E43" s="66" t="s">
        <v>152</v>
      </c>
      <c r="F43" s="65" t="s">
        <v>255</v>
      </c>
      <c r="G43" s="4"/>
      <c r="H43" s="4"/>
      <c r="I43" s="4"/>
      <c r="J43" s="4"/>
      <c r="K43" s="4"/>
      <c r="L43" s="4"/>
      <c r="M43" s="4"/>
      <c r="N43" s="4"/>
      <c r="O43" s="67" t="s">
        <v>149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6" t="s">
        <v>154</v>
      </c>
      <c r="F44" s="65" t="s">
        <v>151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156</v>
      </c>
      <c r="F45" s="65" t="s">
        <v>151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157</v>
      </c>
      <c r="F46" s="84" t="s">
        <v>1411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1412</v>
      </c>
      <c r="F47" s="65" t="s">
        <v>151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85" t="s">
        <v>1413</v>
      </c>
      <c r="F48" s="65" t="s">
        <v>604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161</v>
      </c>
      <c r="F49" s="68" t="s">
        <v>162</v>
      </c>
      <c r="G49" s="4"/>
      <c r="H49" s="4"/>
      <c r="I49" s="4"/>
      <c r="J49" s="4"/>
      <c r="K49" s="4"/>
      <c r="L49" s="4"/>
      <c r="M49" s="69" t="s">
        <v>812</v>
      </c>
      <c r="N49" s="4"/>
      <c r="O49" s="4"/>
      <c r="P49" s="4"/>
      <c r="Q49" s="4"/>
      <c r="R49" s="4"/>
      <c r="S49" s="4"/>
      <c r="T49" s="4"/>
      <c r="U49" s="67" t="s">
        <v>149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4"/>
      <c r="F50" s="4"/>
      <c r="G50" s="4"/>
      <c r="H50" s="4"/>
      <c r="I50" s="4"/>
      <c r="J50" s="4"/>
      <c r="K50" s="4" t="str">
        <f>I72437</f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69"/>
      <c r="G57" s="4"/>
      <c r="H57" s="4"/>
      <c r="I57" s="67" t="s">
        <v>163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>
        <v>7.0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7">
    <mergeCell ref="R2:R4"/>
    <mergeCell ref="S2:S4"/>
    <mergeCell ref="F3:F4"/>
    <mergeCell ref="G3:H3"/>
    <mergeCell ref="I3:J3"/>
    <mergeCell ref="K3:K4"/>
    <mergeCell ref="F38:O3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4.5"/>
    <col customWidth="1" min="4" max="4" width="9.38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1414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45560.0</v>
      </c>
      <c r="C5" s="20" t="s">
        <v>1415</v>
      </c>
      <c r="D5" s="20">
        <v>78678.0</v>
      </c>
      <c r="E5" s="20" t="s">
        <v>1416</v>
      </c>
      <c r="F5" s="21"/>
      <c r="G5" s="29"/>
      <c r="H5" s="23"/>
      <c r="I5" s="37"/>
      <c r="J5" s="37">
        <v>300.0</v>
      </c>
      <c r="K5" s="22"/>
      <c r="L5" s="22"/>
      <c r="M5" s="21"/>
      <c r="N5" s="22"/>
      <c r="O5" s="22"/>
      <c r="P5" s="25">
        <v>300.0</v>
      </c>
      <c r="Q5" s="26">
        <f t="shared" ref="Q5:Q40" si="1">F5+G5+H5+I5+J5+K5+L5+M5+N5+O5-P5</f>
        <v>0</v>
      </c>
      <c r="R5" s="25" t="s">
        <v>33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45560.0</v>
      </c>
      <c r="C6" s="20" t="s">
        <v>1417</v>
      </c>
      <c r="D6" s="20">
        <v>79499.0</v>
      </c>
      <c r="E6" s="20" t="s">
        <v>1418</v>
      </c>
      <c r="F6" s="23"/>
      <c r="G6" s="22"/>
      <c r="H6" s="22"/>
      <c r="I6" s="21"/>
      <c r="J6" s="29">
        <v>300.0</v>
      </c>
      <c r="K6" s="29"/>
      <c r="L6" s="22"/>
      <c r="M6" s="21"/>
      <c r="N6" s="22"/>
      <c r="O6" s="22"/>
      <c r="P6" s="25">
        <v>300.0</v>
      </c>
      <c r="Q6" s="26">
        <f t="shared" si="1"/>
        <v>0</v>
      </c>
      <c r="R6" s="25" t="s">
        <v>33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45560.0</v>
      </c>
      <c r="C7" s="20" t="s">
        <v>1419</v>
      </c>
      <c r="D7" s="20">
        <v>84874.0</v>
      </c>
      <c r="E7" s="20" t="s">
        <v>1420</v>
      </c>
      <c r="F7" s="22"/>
      <c r="G7" s="29"/>
      <c r="H7" s="23"/>
      <c r="I7" s="21"/>
      <c r="J7" s="37">
        <v>300.0</v>
      </c>
      <c r="K7" s="29"/>
      <c r="L7" s="22"/>
      <c r="M7" s="22"/>
      <c r="N7" s="22"/>
      <c r="O7" s="22"/>
      <c r="P7" s="25">
        <v>300.0</v>
      </c>
      <c r="Q7" s="26">
        <f t="shared" si="1"/>
        <v>0</v>
      </c>
      <c r="R7" s="25" t="s">
        <v>43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45561.0</v>
      </c>
      <c r="C8" s="20" t="s">
        <v>1421</v>
      </c>
      <c r="D8" s="20">
        <v>48052.0</v>
      </c>
      <c r="E8" s="20" t="s">
        <v>1030</v>
      </c>
      <c r="F8" s="22"/>
      <c r="G8" s="29"/>
      <c r="H8" s="22"/>
      <c r="I8" s="21">
        <v>3050.0</v>
      </c>
      <c r="J8" s="21"/>
      <c r="K8" s="29"/>
      <c r="L8" s="22"/>
      <c r="M8" s="22"/>
      <c r="N8" s="22"/>
      <c r="O8" s="22"/>
      <c r="P8" s="25">
        <v>3050.0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45561.0</v>
      </c>
      <c r="C9" s="20" t="s">
        <v>1422</v>
      </c>
      <c r="D9" s="20">
        <v>10249.0</v>
      </c>
      <c r="E9" s="20" t="s">
        <v>126</v>
      </c>
      <c r="F9" s="22"/>
      <c r="G9" s="29"/>
      <c r="H9" s="22"/>
      <c r="I9" s="21"/>
      <c r="J9" s="21">
        <v>14000.0</v>
      </c>
      <c r="K9" s="22"/>
      <c r="L9" s="22"/>
      <c r="M9" s="23"/>
      <c r="N9" s="22"/>
      <c r="O9" s="22"/>
      <c r="P9" s="25">
        <v>14000.0</v>
      </c>
      <c r="Q9" s="26">
        <f t="shared" si="1"/>
        <v>0</v>
      </c>
      <c r="R9" s="25" t="s">
        <v>30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45561.0</v>
      </c>
      <c r="C10" s="20" t="s">
        <v>1423</v>
      </c>
      <c r="D10" s="20">
        <v>83599.0</v>
      </c>
      <c r="E10" s="20" t="s">
        <v>1424</v>
      </c>
      <c r="F10" s="22"/>
      <c r="G10" s="29"/>
      <c r="H10" s="22"/>
      <c r="I10" s="21">
        <v>5050.0</v>
      </c>
      <c r="J10" s="21"/>
      <c r="K10" s="22"/>
      <c r="L10" s="22"/>
      <c r="M10" s="23"/>
      <c r="N10" s="22"/>
      <c r="O10" s="22"/>
      <c r="P10" s="25">
        <v>5050.0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45561.0</v>
      </c>
      <c r="C11" s="20" t="s">
        <v>1425</v>
      </c>
      <c r="D11" s="20">
        <v>44986.0</v>
      </c>
      <c r="E11" s="20" t="s">
        <v>1426</v>
      </c>
      <c r="F11" s="22"/>
      <c r="G11" s="22"/>
      <c r="H11" s="29"/>
      <c r="I11" s="21">
        <v>5150.0</v>
      </c>
      <c r="J11" s="21"/>
      <c r="K11" s="29"/>
      <c r="L11" s="22"/>
      <c r="M11" s="23"/>
      <c r="N11" s="22"/>
      <c r="O11" s="22"/>
      <c r="P11" s="25">
        <v>5150.0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45561.0</v>
      </c>
      <c r="C12" s="20" t="s">
        <v>1427</v>
      </c>
      <c r="D12" s="20">
        <v>64274.0</v>
      </c>
      <c r="E12" s="20" t="s">
        <v>1428</v>
      </c>
      <c r="F12" s="22"/>
      <c r="G12" s="22"/>
      <c r="H12" s="29"/>
      <c r="I12" s="21">
        <v>1880.0</v>
      </c>
      <c r="J12" s="21"/>
      <c r="K12" s="29"/>
      <c r="L12" s="22"/>
      <c r="M12" s="23"/>
      <c r="N12" s="22"/>
      <c r="O12" s="22"/>
      <c r="P12" s="25">
        <v>1880.0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45561.0</v>
      </c>
      <c r="C13" s="20" t="s">
        <v>1429</v>
      </c>
      <c r="D13" s="20">
        <v>36918.0</v>
      </c>
      <c r="E13" s="20" t="s">
        <v>738</v>
      </c>
      <c r="F13" s="22"/>
      <c r="G13" s="22"/>
      <c r="H13" s="22"/>
      <c r="I13" s="21">
        <v>1000.0</v>
      </c>
      <c r="J13" s="21"/>
      <c r="K13" s="22"/>
      <c r="L13" s="22"/>
      <c r="M13" s="21"/>
      <c r="N13" s="22"/>
      <c r="O13" s="22"/>
      <c r="P13" s="35">
        <v>1000.0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45561.0</v>
      </c>
      <c r="C14" s="20" t="s">
        <v>1430</v>
      </c>
      <c r="D14" s="20">
        <v>25376.0</v>
      </c>
      <c r="E14" s="20" t="s">
        <v>1404</v>
      </c>
      <c r="F14" s="22"/>
      <c r="G14" s="29"/>
      <c r="H14" s="29"/>
      <c r="I14" s="21">
        <v>0.0</v>
      </c>
      <c r="J14" s="21"/>
      <c r="K14" s="22"/>
      <c r="L14" s="22"/>
      <c r="M14" s="23"/>
      <c r="N14" s="22"/>
      <c r="O14" s="22"/>
      <c r="P14" s="25">
        <v>12800.0</v>
      </c>
      <c r="Q14" s="26">
        <f t="shared" si="1"/>
        <v>-12800</v>
      </c>
      <c r="R14" s="25" t="s">
        <v>43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45561.0</v>
      </c>
      <c r="C15" s="20" t="s">
        <v>1431</v>
      </c>
      <c r="D15" s="20">
        <v>58547.0</v>
      </c>
      <c r="E15" s="20" t="s">
        <v>1432</v>
      </c>
      <c r="F15" s="22"/>
      <c r="G15" s="22"/>
      <c r="H15" s="22"/>
      <c r="I15" s="21">
        <v>3550.0</v>
      </c>
      <c r="J15" s="21"/>
      <c r="K15" s="29"/>
      <c r="L15" s="22"/>
      <c r="M15" s="23"/>
      <c r="N15" s="22"/>
      <c r="O15" s="22"/>
      <c r="P15" s="25">
        <v>3550.0</v>
      </c>
      <c r="Q15" s="26">
        <f t="shared" si="1"/>
        <v>0</v>
      </c>
      <c r="R15" s="25" t="s">
        <v>43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45561.0</v>
      </c>
      <c r="C16" s="20" t="s">
        <v>1433</v>
      </c>
      <c r="D16" s="20">
        <v>78454.0</v>
      </c>
      <c r="E16" s="20" t="s">
        <v>574</v>
      </c>
      <c r="F16" s="22"/>
      <c r="G16" s="22"/>
      <c r="H16" s="22"/>
      <c r="I16" s="21">
        <v>600.0</v>
      </c>
      <c r="J16" s="21"/>
      <c r="K16" s="29"/>
      <c r="L16" s="22"/>
      <c r="M16" s="21"/>
      <c r="N16" s="22"/>
      <c r="O16" s="22"/>
      <c r="P16" s="25">
        <v>600.0</v>
      </c>
      <c r="Q16" s="26">
        <f t="shared" si="1"/>
        <v>0</v>
      </c>
      <c r="R16" s="25" t="s">
        <v>43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45561.0</v>
      </c>
      <c r="C17" s="20" t="s">
        <v>1434</v>
      </c>
      <c r="D17" s="20">
        <v>59284.0</v>
      </c>
      <c r="E17" s="20" t="s">
        <v>1435</v>
      </c>
      <c r="F17" s="29">
        <v>15500.0</v>
      </c>
      <c r="G17" s="22"/>
      <c r="H17" s="29"/>
      <c r="I17" s="21"/>
      <c r="J17" s="21"/>
      <c r="K17" s="22"/>
      <c r="L17" s="22"/>
      <c r="M17" s="21"/>
      <c r="N17" s="22"/>
      <c r="O17" s="22"/>
      <c r="P17" s="25">
        <v>15500.0</v>
      </c>
      <c r="Q17" s="26">
        <f t="shared" si="1"/>
        <v>0</v>
      </c>
      <c r="R17" s="25" t="s">
        <v>33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45561.0</v>
      </c>
      <c r="C18" s="20" t="s">
        <v>1436</v>
      </c>
      <c r="D18" s="20">
        <v>82254.0</v>
      </c>
      <c r="E18" s="20" t="s">
        <v>1437</v>
      </c>
      <c r="F18" s="22"/>
      <c r="G18" s="22"/>
      <c r="H18" s="29"/>
      <c r="I18" s="21"/>
      <c r="J18" s="21"/>
      <c r="K18" s="29"/>
      <c r="L18" s="22"/>
      <c r="M18" s="29">
        <v>5150.0</v>
      </c>
      <c r="N18" s="22"/>
      <c r="O18" s="22"/>
      <c r="P18" s="25">
        <v>5150.0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45561.0</v>
      </c>
      <c r="C19" s="20" t="s">
        <v>1438</v>
      </c>
      <c r="D19" s="20">
        <v>80058.0</v>
      </c>
      <c r="E19" s="20" t="s">
        <v>1439</v>
      </c>
      <c r="F19" s="22"/>
      <c r="G19" s="29"/>
      <c r="H19" s="22"/>
      <c r="I19" s="21"/>
      <c r="J19" s="21">
        <v>300.0</v>
      </c>
      <c r="K19" s="22"/>
      <c r="L19" s="22"/>
      <c r="M19" s="21"/>
      <c r="N19" s="22"/>
      <c r="O19" s="22"/>
      <c r="P19" s="35">
        <v>300.0</v>
      </c>
      <c r="Q19" s="26">
        <f t="shared" si="1"/>
        <v>0</v>
      </c>
      <c r="R19" s="35" t="s">
        <v>25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45561.0</v>
      </c>
      <c r="C20" s="20" t="s">
        <v>1440</v>
      </c>
      <c r="D20" s="20">
        <v>84913.0</v>
      </c>
      <c r="E20" s="20" t="s">
        <v>1441</v>
      </c>
      <c r="F20" s="22"/>
      <c r="G20" s="22"/>
      <c r="H20" s="22"/>
      <c r="I20" s="37">
        <v>300.0</v>
      </c>
      <c r="J20" s="37"/>
      <c r="K20" s="22"/>
      <c r="L20" s="22"/>
      <c r="M20" s="22"/>
      <c r="N20" s="22"/>
      <c r="O20" s="22"/>
      <c r="P20" s="25">
        <v>300.0</v>
      </c>
      <c r="Q20" s="26">
        <f t="shared" si="1"/>
        <v>0</v>
      </c>
      <c r="R20" s="25" t="s">
        <v>43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45561.0</v>
      </c>
      <c r="C21" s="20" t="s">
        <v>1442</v>
      </c>
      <c r="D21" s="20">
        <v>84914.0</v>
      </c>
      <c r="E21" s="20" t="s">
        <v>1443</v>
      </c>
      <c r="F21" s="21"/>
      <c r="G21" s="22"/>
      <c r="H21" s="22"/>
      <c r="I21" s="45">
        <v>300.0</v>
      </c>
      <c r="J21" s="29"/>
      <c r="K21" s="39"/>
      <c r="L21" s="22"/>
      <c r="M21" s="22"/>
      <c r="N21" s="22"/>
      <c r="O21" s="22"/>
      <c r="P21" s="25">
        <v>300.0</v>
      </c>
      <c r="Q21" s="26">
        <f t="shared" si="1"/>
        <v>0</v>
      </c>
      <c r="R21" s="25" t="s">
        <v>43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45561.0</v>
      </c>
      <c r="C22" s="20" t="s">
        <v>1444</v>
      </c>
      <c r="D22" s="20">
        <v>79266.0</v>
      </c>
      <c r="E22" s="20" t="s">
        <v>1445</v>
      </c>
      <c r="F22" s="23"/>
      <c r="G22" s="29"/>
      <c r="H22" s="22"/>
      <c r="I22" s="21">
        <v>300.0</v>
      </c>
      <c r="J22" s="29"/>
      <c r="K22" s="23"/>
      <c r="L22" s="22"/>
      <c r="M22" s="22"/>
      <c r="N22" s="22"/>
      <c r="O22" s="22"/>
      <c r="P22" s="25">
        <v>300.0</v>
      </c>
      <c r="Q22" s="26">
        <f t="shared" si="1"/>
        <v>0</v>
      </c>
      <c r="R22" s="25" t="s">
        <v>43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45561.0</v>
      </c>
      <c r="C23" s="20" t="s">
        <v>1446</v>
      </c>
      <c r="D23" s="20">
        <v>21384.0</v>
      </c>
      <c r="E23" s="20" t="s">
        <v>388</v>
      </c>
      <c r="F23" s="38"/>
      <c r="G23" s="71"/>
      <c r="H23" s="44"/>
      <c r="I23" s="45"/>
      <c r="J23" s="45"/>
      <c r="K23" s="73">
        <v>7500.0</v>
      </c>
      <c r="L23" s="44"/>
      <c r="M23" s="44"/>
      <c r="N23" s="44"/>
      <c r="O23" s="44"/>
      <c r="P23" s="47">
        <v>7500.0</v>
      </c>
      <c r="Q23" s="26">
        <f t="shared" si="1"/>
        <v>0</v>
      </c>
      <c r="R23" s="47" t="s">
        <v>25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45561.0</v>
      </c>
      <c r="C24" s="20" t="s">
        <v>1447</v>
      </c>
      <c r="D24" s="20">
        <v>80124.0</v>
      </c>
      <c r="E24" s="20" t="s">
        <v>1448</v>
      </c>
      <c r="F24" s="23"/>
      <c r="G24" s="29"/>
      <c r="H24" s="22"/>
      <c r="I24" s="21">
        <v>600.0</v>
      </c>
      <c r="J24" s="29"/>
      <c r="K24" s="49"/>
      <c r="L24" s="22"/>
      <c r="M24" s="22"/>
      <c r="N24" s="22"/>
      <c r="O24" s="22"/>
      <c r="P24" s="25">
        <v>600.0</v>
      </c>
      <c r="Q24" s="26">
        <f t="shared" si="1"/>
        <v>0</v>
      </c>
      <c r="R24" s="25" t="s">
        <v>43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45561.0</v>
      </c>
      <c r="C25" s="20" t="s">
        <v>1449</v>
      </c>
      <c r="D25" s="20">
        <v>75492.0</v>
      </c>
      <c r="E25" s="20" t="s">
        <v>1450</v>
      </c>
      <c r="F25" s="23"/>
      <c r="G25" s="22"/>
      <c r="H25" s="29"/>
      <c r="I25" s="21">
        <v>300.0</v>
      </c>
      <c r="J25" s="21"/>
      <c r="K25" s="49"/>
      <c r="L25" s="22"/>
      <c r="M25" s="22"/>
      <c r="N25" s="22"/>
      <c r="O25" s="22"/>
      <c r="P25" s="25">
        <v>300.0</v>
      </c>
      <c r="Q25" s="26">
        <f t="shared" si="1"/>
        <v>0</v>
      </c>
      <c r="R25" s="25" t="s">
        <v>43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45561.0</v>
      </c>
      <c r="C26" s="20" t="s">
        <v>1451</v>
      </c>
      <c r="D26" s="20">
        <v>35245.0</v>
      </c>
      <c r="E26" s="20" t="s">
        <v>177</v>
      </c>
      <c r="F26" s="23"/>
      <c r="G26" s="22"/>
      <c r="H26" s="29"/>
      <c r="I26" s="21"/>
      <c r="J26" s="21"/>
      <c r="K26" s="37">
        <v>1000.0</v>
      </c>
      <c r="L26" s="22"/>
      <c r="M26" s="29"/>
      <c r="N26" s="22"/>
      <c r="O26" s="22"/>
      <c r="P26" s="25">
        <v>1000.0</v>
      </c>
      <c r="Q26" s="26">
        <f t="shared" si="1"/>
        <v>0</v>
      </c>
      <c r="R26" s="25" t="s">
        <v>25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45561.0</v>
      </c>
      <c r="C27" s="20" t="s">
        <v>1452</v>
      </c>
      <c r="D27" s="20">
        <v>53054.0</v>
      </c>
      <c r="E27" s="20" t="s">
        <v>91</v>
      </c>
      <c r="F27" s="23"/>
      <c r="G27" s="22"/>
      <c r="H27" s="29"/>
      <c r="I27" s="21">
        <v>5150.0</v>
      </c>
      <c r="J27" s="21"/>
      <c r="K27" s="37"/>
      <c r="L27" s="22"/>
      <c r="M27" s="29"/>
      <c r="N27" s="22"/>
      <c r="O27" s="29"/>
      <c r="P27" s="25">
        <v>5150.0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45561.0</v>
      </c>
      <c r="C28" s="20" t="s">
        <v>1453</v>
      </c>
      <c r="D28" s="20">
        <v>64457.0</v>
      </c>
      <c r="E28" s="20" t="s">
        <v>1454</v>
      </c>
      <c r="F28" s="23"/>
      <c r="G28" s="29"/>
      <c r="H28" s="29"/>
      <c r="I28" s="21">
        <v>4500.0</v>
      </c>
      <c r="J28" s="21"/>
      <c r="K28" s="37"/>
      <c r="L28" s="22"/>
      <c r="M28" s="29"/>
      <c r="N28" s="22"/>
      <c r="O28" s="29"/>
      <c r="P28" s="25">
        <v>4500.0</v>
      </c>
      <c r="Q28" s="26">
        <f t="shared" si="1"/>
        <v>0</v>
      </c>
      <c r="R28" s="25" t="s">
        <v>43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45561.0</v>
      </c>
      <c r="C29" s="20" t="s">
        <v>1455</v>
      </c>
      <c r="D29" s="20">
        <v>64457.0</v>
      </c>
      <c r="E29" s="20" t="s">
        <v>1454</v>
      </c>
      <c r="F29" s="23"/>
      <c r="G29" s="22"/>
      <c r="H29" s="29"/>
      <c r="I29" s="21">
        <v>6400.0</v>
      </c>
      <c r="J29" s="21"/>
      <c r="K29" s="37"/>
      <c r="L29" s="22"/>
      <c r="M29" s="29"/>
      <c r="N29" s="22"/>
      <c r="O29" s="29"/>
      <c r="P29" s="25">
        <v>6400.0</v>
      </c>
      <c r="Q29" s="26">
        <f t="shared" si="1"/>
        <v>0</v>
      </c>
      <c r="R29" s="25" t="s">
        <v>43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45561.0</v>
      </c>
      <c r="C30" s="20" t="s">
        <v>1456</v>
      </c>
      <c r="D30" s="20">
        <v>70695.0</v>
      </c>
      <c r="E30" s="20" t="s">
        <v>1457</v>
      </c>
      <c r="F30" s="23"/>
      <c r="G30" s="22"/>
      <c r="H30" s="29"/>
      <c r="I30" s="21">
        <v>300.0</v>
      </c>
      <c r="J30" s="21"/>
      <c r="K30" s="37"/>
      <c r="L30" s="22"/>
      <c r="M30" s="29"/>
      <c r="N30" s="22"/>
      <c r="O30" s="29"/>
      <c r="P30" s="25">
        <v>300.0</v>
      </c>
      <c r="Q30" s="26">
        <f t="shared" si="1"/>
        <v>0</v>
      </c>
      <c r="R30" s="25" t="s">
        <v>25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45561.0</v>
      </c>
      <c r="C31" s="20" t="s">
        <v>1458</v>
      </c>
      <c r="D31" s="20">
        <v>70695.0</v>
      </c>
      <c r="E31" s="20" t="s">
        <v>1457</v>
      </c>
      <c r="F31" s="23"/>
      <c r="G31" s="22"/>
      <c r="H31" s="29"/>
      <c r="I31" s="21">
        <v>1150.0</v>
      </c>
      <c r="J31" s="21"/>
      <c r="K31" s="37"/>
      <c r="L31" s="22"/>
      <c r="M31" s="29"/>
      <c r="N31" s="22"/>
      <c r="O31" s="29"/>
      <c r="P31" s="25">
        <v>1150.0</v>
      </c>
      <c r="Q31" s="26">
        <f t="shared" si="1"/>
        <v>0</v>
      </c>
      <c r="R31" s="25" t="s">
        <v>25</v>
      </c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45561.0</v>
      </c>
      <c r="C32" s="20" t="s">
        <v>1459</v>
      </c>
      <c r="D32" s="20">
        <v>78671.0</v>
      </c>
      <c r="E32" s="20" t="s">
        <v>1460</v>
      </c>
      <c r="F32" s="23"/>
      <c r="G32" s="22"/>
      <c r="H32" s="29"/>
      <c r="I32" s="21">
        <v>300.0</v>
      </c>
      <c r="J32" s="21"/>
      <c r="K32" s="37"/>
      <c r="L32" s="22"/>
      <c r="M32" s="29"/>
      <c r="N32" s="22"/>
      <c r="O32" s="29"/>
      <c r="P32" s="25">
        <v>300.0</v>
      </c>
      <c r="Q32" s="26">
        <f t="shared" si="1"/>
        <v>0</v>
      </c>
      <c r="R32" s="25" t="s">
        <v>43</v>
      </c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45561.0</v>
      </c>
      <c r="C33" s="20" t="s">
        <v>1461</v>
      </c>
      <c r="D33" s="20">
        <v>31927.0</v>
      </c>
      <c r="E33" s="20" t="s">
        <v>136</v>
      </c>
      <c r="F33" s="23"/>
      <c r="G33" s="22"/>
      <c r="H33" s="29"/>
      <c r="I33" s="21">
        <v>2500.0</v>
      </c>
      <c r="J33" s="21"/>
      <c r="K33" s="37"/>
      <c r="L33" s="22"/>
      <c r="M33" s="29"/>
      <c r="N33" s="22"/>
      <c r="O33" s="29"/>
      <c r="P33" s="25">
        <v>2500.0</v>
      </c>
      <c r="Q33" s="26">
        <f t="shared" si="1"/>
        <v>0</v>
      </c>
      <c r="R33" s="25" t="s">
        <v>43</v>
      </c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45560.0</v>
      </c>
      <c r="C34" s="20" t="s">
        <v>1462</v>
      </c>
      <c r="D34" s="20">
        <v>51017.0</v>
      </c>
      <c r="E34" s="20" t="s">
        <v>241</v>
      </c>
      <c r="F34" s="23"/>
      <c r="G34" s="22"/>
      <c r="H34" s="29">
        <v>10000.0</v>
      </c>
      <c r="I34" s="21"/>
      <c r="J34" s="21"/>
      <c r="K34" s="37"/>
      <c r="L34" s="22"/>
      <c r="M34" s="29"/>
      <c r="N34" s="22"/>
      <c r="O34" s="29"/>
      <c r="P34" s="25">
        <v>10000.0</v>
      </c>
      <c r="Q34" s="26">
        <f t="shared" si="1"/>
        <v>0</v>
      </c>
      <c r="R34" s="25"/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45560.0</v>
      </c>
      <c r="C35" s="20" t="s">
        <v>1463</v>
      </c>
      <c r="D35" s="20">
        <v>10006.0</v>
      </c>
      <c r="E35" s="20" t="s">
        <v>130</v>
      </c>
      <c r="F35" s="23"/>
      <c r="G35" s="22"/>
      <c r="H35" s="29">
        <v>1500.0</v>
      </c>
      <c r="I35" s="21"/>
      <c r="J35" s="21"/>
      <c r="K35" s="37"/>
      <c r="L35" s="22"/>
      <c r="M35" s="29"/>
      <c r="N35" s="22"/>
      <c r="O35" s="29"/>
      <c r="P35" s="25">
        <v>1500.0</v>
      </c>
      <c r="Q35" s="26">
        <f t="shared" si="1"/>
        <v>0</v>
      </c>
      <c r="R35" s="25"/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83">
        <v>45560.0</v>
      </c>
      <c r="C36" s="20" t="s">
        <v>1464</v>
      </c>
      <c r="D36" s="20">
        <v>73864.0</v>
      </c>
      <c r="E36" s="20" t="s">
        <v>266</v>
      </c>
      <c r="F36" s="23"/>
      <c r="G36" s="22"/>
      <c r="H36" s="29">
        <v>4500.0</v>
      </c>
      <c r="I36" s="21"/>
      <c r="J36" s="21"/>
      <c r="K36" s="37"/>
      <c r="L36" s="22"/>
      <c r="M36" s="29"/>
      <c r="N36" s="22"/>
      <c r="O36" s="29"/>
      <c r="P36" s="25">
        <v>4500.0</v>
      </c>
      <c r="Q36" s="26">
        <f t="shared" si="1"/>
        <v>0</v>
      </c>
      <c r="R36" s="25"/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83">
        <v>45560.0</v>
      </c>
      <c r="C37" s="20" t="s">
        <v>1465</v>
      </c>
      <c r="D37" s="20">
        <v>73864.0</v>
      </c>
      <c r="E37" s="20" t="s">
        <v>266</v>
      </c>
      <c r="F37" s="23"/>
      <c r="G37" s="22"/>
      <c r="H37" s="29"/>
      <c r="I37" s="21"/>
      <c r="J37" s="21"/>
      <c r="K37" s="37">
        <v>4500.0</v>
      </c>
      <c r="L37" s="22"/>
      <c r="M37" s="29"/>
      <c r="N37" s="22"/>
      <c r="O37" s="29"/>
      <c r="P37" s="25">
        <v>4500.0</v>
      </c>
      <c r="Q37" s="26">
        <f t="shared" si="1"/>
        <v>0</v>
      </c>
      <c r="R37" s="25"/>
      <c r="S37" s="5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83">
        <v>45561.0</v>
      </c>
      <c r="C38" s="20" t="s">
        <v>1466</v>
      </c>
      <c r="D38" s="20">
        <v>52214.0</v>
      </c>
      <c r="E38" s="20" t="s">
        <v>1360</v>
      </c>
      <c r="F38" s="23"/>
      <c r="G38" s="22"/>
      <c r="H38" s="29"/>
      <c r="I38" s="21"/>
      <c r="J38" s="21"/>
      <c r="K38" s="37"/>
      <c r="L38" s="22"/>
      <c r="M38" s="29">
        <v>450.0</v>
      </c>
      <c r="N38" s="22"/>
      <c r="O38" s="29"/>
      <c r="P38" s="25">
        <v>450.0</v>
      </c>
      <c r="Q38" s="26">
        <f t="shared" si="1"/>
        <v>0</v>
      </c>
      <c r="R38" s="25"/>
      <c r="S38" s="5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83">
        <v>45561.0</v>
      </c>
      <c r="C39" s="20" t="s">
        <v>1467</v>
      </c>
      <c r="D39" s="20">
        <v>36555.0</v>
      </c>
      <c r="E39" s="20" t="s">
        <v>65</v>
      </c>
      <c r="F39" s="23"/>
      <c r="G39" s="22"/>
      <c r="H39" s="29">
        <v>10000.0</v>
      </c>
      <c r="I39" s="21"/>
      <c r="J39" s="21"/>
      <c r="K39" s="37"/>
      <c r="L39" s="22"/>
      <c r="M39" s="29"/>
      <c r="N39" s="22"/>
      <c r="O39" s="29"/>
      <c r="P39" s="25">
        <v>10000.0</v>
      </c>
      <c r="Q39" s="26">
        <f t="shared" si="1"/>
        <v>0</v>
      </c>
      <c r="R39" s="25"/>
      <c r="S39" s="5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83">
        <v>45561.0</v>
      </c>
      <c r="C40" s="20" t="s">
        <v>1468</v>
      </c>
      <c r="D40" s="20">
        <v>19122.0</v>
      </c>
      <c r="E40" s="20" t="s">
        <v>632</v>
      </c>
      <c r="F40" s="23"/>
      <c r="G40" s="22"/>
      <c r="H40" s="29"/>
      <c r="I40" s="21"/>
      <c r="J40" s="21"/>
      <c r="K40" s="37">
        <v>5000.0</v>
      </c>
      <c r="L40" s="22"/>
      <c r="M40" s="29"/>
      <c r="N40" s="22"/>
      <c r="O40" s="29"/>
      <c r="P40" s="25">
        <v>5000.0</v>
      </c>
      <c r="Q40" s="26">
        <f t="shared" si="1"/>
        <v>0</v>
      </c>
      <c r="R40" s="25"/>
      <c r="S40" s="5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7.5" customHeight="1">
      <c r="A41" s="16"/>
      <c r="B41" s="51"/>
      <c r="C41" s="52"/>
      <c r="D41" s="53" t="s">
        <v>149</v>
      </c>
      <c r="E41" s="54"/>
      <c r="F41" s="55">
        <f t="shared" ref="F41:P41" si="2">SUM(F5:F40)</f>
        <v>15500</v>
      </c>
      <c r="G41" s="55">
        <f t="shared" si="2"/>
        <v>0</v>
      </c>
      <c r="H41" s="55">
        <f t="shared" si="2"/>
        <v>26000</v>
      </c>
      <c r="I41" s="55">
        <f t="shared" si="2"/>
        <v>42380</v>
      </c>
      <c r="J41" s="55">
        <f t="shared" si="2"/>
        <v>15200</v>
      </c>
      <c r="K41" s="55">
        <f t="shared" si="2"/>
        <v>18000</v>
      </c>
      <c r="L41" s="55">
        <f t="shared" si="2"/>
        <v>0</v>
      </c>
      <c r="M41" s="55">
        <f t="shared" si="2"/>
        <v>5600</v>
      </c>
      <c r="N41" s="55">
        <f t="shared" si="2"/>
        <v>0</v>
      </c>
      <c r="O41" s="55">
        <f t="shared" si="2"/>
        <v>0</v>
      </c>
      <c r="P41" s="55">
        <f t="shared" si="2"/>
        <v>135480</v>
      </c>
      <c r="Q41" s="56">
        <v>0.0</v>
      </c>
      <c r="R41" s="57"/>
      <c r="S41" s="57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58.5" customHeight="1">
      <c r="A42" s="58"/>
      <c r="B42" s="58"/>
      <c r="C42" s="59"/>
      <c r="D42" s="58"/>
      <c r="E42" s="58"/>
      <c r="F42" s="60">
        <f>F41+G41+H41+I41+J41+K41+L41+M41+N41+O41</f>
        <v>122680</v>
      </c>
      <c r="P42" s="61"/>
      <c r="Q42" s="61"/>
      <c r="R42" s="58"/>
      <c r="S42" s="5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15.75" customHeight="1">
      <c r="A43" s="4"/>
      <c r="B43" s="4"/>
      <c r="C43" s="6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3" t="s">
        <v>149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4" t="s">
        <v>150</v>
      </c>
      <c r="F46" s="65" t="s">
        <v>151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152</v>
      </c>
      <c r="F47" s="65" t="s">
        <v>255</v>
      </c>
      <c r="G47" s="4"/>
      <c r="H47" s="4"/>
      <c r="I47" s="4"/>
      <c r="J47" s="4"/>
      <c r="K47" s="4"/>
      <c r="L47" s="4"/>
      <c r="M47" s="4"/>
      <c r="N47" s="4"/>
      <c r="O47" s="67" t="s">
        <v>149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154</v>
      </c>
      <c r="F48" s="65" t="s">
        <v>155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156</v>
      </c>
      <c r="F49" s="65" t="s">
        <v>151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66" t="s">
        <v>157</v>
      </c>
      <c r="F50" s="65" t="s">
        <v>151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66" t="s">
        <v>1469</v>
      </c>
      <c r="F51" s="65" t="s">
        <v>151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85" t="s">
        <v>1413</v>
      </c>
      <c r="F52" s="65" t="s">
        <v>155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66" t="s">
        <v>161</v>
      </c>
      <c r="F53" s="68" t="s">
        <v>162</v>
      </c>
      <c r="G53" s="4"/>
      <c r="H53" s="4"/>
      <c r="I53" s="4"/>
      <c r="J53" s="4"/>
      <c r="K53" s="4"/>
      <c r="L53" s="4"/>
      <c r="M53" s="69" t="s">
        <v>812</v>
      </c>
      <c r="N53" s="4"/>
      <c r="O53" s="4"/>
      <c r="P53" s="4"/>
      <c r="Q53" s="4"/>
      <c r="R53" s="4"/>
      <c r="S53" s="4"/>
      <c r="T53" s="4"/>
      <c r="U53" s="67" t="s">
        <v>149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 t="str">
        <f>I72441</f>
        <v/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69"/>
      <c r="G61" s="4"/>
      <c r="H61" s="4"/>
      <c r="I61" s="67" t="s">
        <v>163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>
        <v>7.0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7">
    <mergeCell ref="R2:R4"/>
    <mergeCell ref="S2:S4"/>
    <mergeCell ref="F3:F4"/>
    <mergeCell ref="G3:H3"/>
    <mergeCell ref="I3:J3"/>
    <mergeCell ref="K3:K4"/>
    <mergeCell ref="F42:O4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4.5"/>
    <col customWidth="1" min="4" max="4" width="9.38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1470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45561.0</v>
      </c>
      <c r="C5" s="20" t="s">
        <v>1471</v>
      </c>
      <c r="D5" s="20">
        <v>75382.0</v>
      </c>
      <c r="E5" s="20" t="s">
        <v>1472</v>
      </c>
      <c r="F5" s="21"/>
      <c r="G5" s="29"/>
      <c r="H5" s="23"/>
      <c r="I5" s="37">
        <v>300.0</v>
      </c>
      <c r="J5" s="37"/>
      <c r="K5" s="22"/>
      <c r="L5" s="22"/>
      <c r="M5" s="21"/>
      <c r="N5" s="22"/>
      <c r="O5" s="22"/>
      <c r="P5" s="25">
        <v>300.0</v>
      </c>
      <c r="Q5" s="26">
        <f t="shared" ref="Q5:Q41" si="1">F5+G5+H5+I5+J5+K5+L5+M5+N5+O5-P5</f>
        <v>0</v>
      </c>
      <c r="R5" s="25" t="s">
        <v>43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45561.0</v>
      </c>
      <c r="C6" s="20" t="s">
        <v>1473</v>
      </c>
      <c r="D6" s="20">
        <v>51301.0</v>
      </c>
      <c r="E6" s="20" t="s">
        <v>1474</v>
      </c>
      <c r="F6" s="23"/>
      <c r="G6" s="22"/>
      <c r="H6" s="22"/>
      <c r="I6" s="21">
        <v>300.0</v>
      </c>
      <c r="J6" s="29"/>
      <c r="K6" s="29"/>
      <c r="L6" s="22"/>
      <c r="M6" s="21"/>
      <c r="N6" s="22"/>
      <c r="O6" s="22"/>
      <c r="P6" s="25">
        <v>300.0</v>
      </c>
      <c r="Q6" s="26">
        <f t="shared" si="1"/>
        <v>0</v>
      </c>
      <c r="R6" s="25" t="s">
        <v>43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45562.0</v>
      </c>
      <c r="C7" s="20" t="s">
        <v>1475</v>
      </c>
      <c r="D7" s="20">
        <v>10250.0</v>
      </c>
      <c r="E7" s="20" t="s">
        <v>423</v>
      </c>
      <c r="F7" s="22"/>
      <c r="G7" s="29"/>
      <c r="H7" s="23"/>
      <c r="I7" s="21">
        <v>1250.0</v>
      </c>
      <c r="J7" s="37"/>
      <c r="K7" s="29"/>
      <c r="L7" s="22"/>
      <c r="M7" s="22"/>
      <c r="N7" s="22"/>
      <c r="O7" s="22"/>
      <c r="P7" s="25">
        <v>1250.0</v>
      </c>
      <c r="Q7" s="26">
        <f t="shared" si="1"/>
        <v>0</v>
      </c>
      <c r="R7" s="25" t="s">
        <v>30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45562.0</v>
      </c>
      <c r="C8" s="20" t="s">
        <v>1476</v>
      </c>
      <c r="D8" s="20">
        <v>49557.0</v>
      </c>
      <c r="E8" s="20" t="s">
        <v>1477</v>
      </c>
      <c r="F8" s="22"/>
      <c r="G8" s="29"/>
      <c r="H8" s="22"/>
      <c r="I8" s="21">
        <v>2500.0</v>
      </c>
      <c r="J8" s="21"/>
      <c r="K8" s="29"/>
      <c r="L8" s="22"/>
      <c r="M8" s="22"/>
      <c r="N8" s="22"/>
      <c r="O8" s="22"/>
      <c r="P8" s="25">
        <v>2500.0</v>
      </c>
      <c r="Q8" s="26">
        <f t="shared" si="1"/>
        <v>0</v>
      </c>
      <c r="R8" s="25" t="s">
        <v>30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45562.0</v>
      </c>
      <c r="C9" s="20" t="s">
        <v>1478</v>
      </c>
      <c r="D9" s="20">
        <v>80845.0</v>
      </c>
      <c r="E9" s="20" t="s">
        <v>1479</v>
      </c>
      <c r="F9" s="22"/>
      <c r="G9" s="29"/>
      <c r="H9" s="22"/>
      <c r="I9" s="21"/>
      <c r="J9" s="21">
        <v>300.0</v>
      </c>
      <c r="K9" s="22"/>
      <c r="L9" s="22"/>
      <c r="M9" s="23"/>
      <c r="N9" s="22"/>
      <c r="O9" s="22"/>
      <c r="P9" s="25">
        <v>300.0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45562.0</v>
      </c>
      <c r="C10" s="20" t="s">
        <v>1480</v>
      </c>
      <c r="D10" s="20">
        <v>10249.0</v>
      </c>
      <c r="E10" s="20" t="s">
        <v>126</v>
      </c>
      <c r="F10" s="22"/>
      <c r="G10" s="29"/>
      <c r="H10" s="22"/>
      <c r="I10" s="21"/>
      <c r="J10" s="21">
        <v>1500.0</v>
      </c>
      <c r="K10" s="22"/>
      <c r="L10" s="22"/>
      <c r="M10" s="23"/>
      <c r="N10" s="22"/>
      <c r="O10" s="22"/>
      <c r="P10" s="25">
        <v>1500.0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45562.0</v>
      </c>
      <c r="C11" s="20" t="s">
        <v>1481</v>
      </c>
      <c r="D11" s="20">
        <v>44149.0</v>
      </c>
      <c r="E11" s="20" t="s">
        <v>264</v>
      </c>
      <c r="F11" s="22"/>
      <c r="G11" s="22"/>
      <c r="H11" s="29"/>
      <c r="I11" s="21">
        <v>10000.0</v>
      </c>
      <c r="J11" s="21"/>
      <c r="K11" s="29"/>
      <c r="L11" s="22"/>
      <c r="M11" s="23"/>
      <c r="N11" s="22"/>
      <c r="O11" s="22"/>
      <c r="P11" s="25">
        <v>10000.0</v>
      </c>
      <c r="Q11" s="26">
        <f t="shared" si="1"/>
        <v>0</v>
      </c>
      <c r="R11" s="25" t="s">
        <v>25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45562.0</v>
      </c>
      <c r="C12" s="20" t="s">
        <v>1482</v>
      </c>
      <c r="D12" s="20">
        <v>14304.0</v>
      </c>
      <c r="E12" s="20" t="s">
        <v>1483</v>
      </c>
      <c r="F12" s="22"/>
      <c r="G12" s="22"/>
      <c r="H12" s="29"/>
      <c r="I12" s="21">
        <v>5150.0</v>
      </c>
      <c r="J12" s="21"/>
      <c r="K12" s="29"/>
      <c r="L12" s="22"/>
      <c r="M12" s="23"/>
      <c r="N12" s="22"/>
      <c r="O12" s="22"/>
      <c r="P12" s="25">
        <v>5150.0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45562.0</v>
      </c>
      <c r="C13" s="20" t="s">
        <v>1484</v>
      </c>
      <c r="D13" s="20">
        <v>84921.0</v>
      </c>
      <c r="E13" s="20" t="s">
        <v>1485</v>
      </c>
      <c r="F13" s="22"/>
      <c r="G13" s="22"/>
      <c r="H13" s="22"/>
      <c r="I13" s="21">
        <v>7300.0</v>
      </c>
      <c r="J13" s="21"/>
      <c r="K13" s="22"/>
      <c r="L13" s="22"/>
      <c r="M13" s="21"/>
      <c r="N13" s="22"/>
      <c r="O13" s="22"/>
      <c r="P13" s="35">
        <v>7300.0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45562.0</v>
      </c>
      <c r="C14" s="20" t="s">
        <v>1486</v>
      </c>
      <c r="D14" s="20">
        <v>79991.0</v>
      </c>
      <c r="E14" s="20" t="s">
        <v>817</v>
      </c>
      <c r="F14" s="22"/>
      <c r="G14" s="29"/>
      <c r="H14" s="29"/>
      <c r="I14" s="21"/>
      <c r="J14" s="21">
        <v>4650.0</v>
      </c>
      <c r="K14" s="22"/>
      <c r="L14" s="22"/>
      <c r="M14" s="23"/>
      <c r="N14" s="22"/>
      <c r="O14" s="22"/>
      <c r="P14" s="25">
        <v>4650.0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45562.0</v>
      </c>
      <c r="C15" s="20" t="s">
        <v>1487</v>
      </c>
      <c r="D15" s="20">
        <v>46927.0</v>
      </c>
      <c r="E15" s="20" t="s">
        <v>75</v>
      </c>
      <c r="F15" s="22"/>
      <c r="G15" s="22"/>
      <c r="H15" s="22"/>
      <c r="I15" s="21">
        <v>2650.0</v>
      </c>
      <c r="J15" s="21"/>
      <c r="K15" s="29"/>
      <c r="L15" s="22"/>
      <c r="M15" s="23"/>
      <c r="N15" s="22"/>
      <c r="O15" s="22"/>
      <c r="P15" s="25">
        <v>2650.0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45562.0</v>
      </c>
      <c r="C16" s="20" t="s">
        <v>1488</v>
      </c>
      <c r="D16" s="20">
        <v>54338.0</v>
      </c>
      <c r="E16" s="20" t="s">
        <v>1489</v>
      </c>
      <c r="F16" s="22"/>
      <c r="G16" s="22"/>
      <c r="H16" s="22"/>
      <c r="I16" s="21">
        <v>25000.0</v>
      </c>
      <c r="J16" s="21"/>
      <c r="K16" s="29"/>
      <c r="L16" s="22"/>
      <c r="M16" s="21"/>
      <c r="N16" s="22"/>
      <c r="O16" s="22"/>
      <c r="P16" s="25">
        <v>25000.0</v>
      </c>
      <c r="Q16" s="26">
        <f t="shared" si="1"/>
        <v>0</v>
      </c>
      <c r="R16" s="25" t="s">
        <v>43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45562.0</v>
      </c>
      <c r="C17" s="20" t="s">
        <v>1490</v>
      </c>
      <c r="D17" s="20">
        <v>78088.0</v>
      </c>
      <c r="E17" s="20" t="s">
        <v>1491</v>
      </c>
      <c r="F17" s="29"/>
      <c r="G17" s="22"/>
      <c r="H17" s="29"/>
      <c r="I17" s="21">
        <v>4000.0</v>
      </c>
      <c r="J17" s="21"/>
      <c r="K17" s="22"/>
      <c r="L17" s="22"/>
      <c r="M17" s="21"/>
      <c r="N17" s="22"/>
      <c r="O17" s="22"/>
      <c r="P17" s="25">
        <v>4000.0</v>
      </c>
      <c r="Q17" s="26">
        <f t="shared" si="1"/>
        <v>0</v>
      </c>
      <c r="R17" s="25" t="s">
        <v>36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45562.0</v>
      </c>
      <c r="C18" s="20" t="s">
        <v>1492</v>
      </c>
      <c r="D18" s="20">
        <v>52083.0</v>
      </c>
      <c r="E18" s="20" t="s">
        <v>71</v>
      </c>
      <c r="F18" s="22"/>
      <c r="G18" s="22"/>
      <c r="H18" s="29"/>
      <c r="I18" s="21">
        <v>3400.0</v>
      </c>
      <c r="J18" s="21"/>
      <c r="K18" s="29"/>
      <c r="L18" s="22"/>
      <c r="M18" s="29"/>
      <c r="N18" s="22"/>
      <c r="O18" s="22"/>
      <c r="P18" s="25">
        <v>3400.0</v>
      </c>
      <c r="Q18" s="26">
        <f t="shared" si="1"/>
        <v>0</v>
      </c>
      <c r="R18" s="25" t="s">
        <v>36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45562.0</v>
      </c>
      <c r="C19" s="20" t="s">
        <v>1493</v>
      </c>
      <c r="D19" s="20">
        <v>48631.0</v>
      </c>
      <c r="E19" s="20" t="s">
        <v>116</v>
      </c>
      <c r="F19" s="22"/>
      <c r="G19" s="29"/>
      <c r="H19" s="22"/>
      <c r="I19" s="21">
        <v>25000.0</v>
      </c>
      <c r="J19" s="21"/>
      <c r="K19" s="22"/>
      <c r="L19" s="22"/>
      <c r="M19" s="21"/>
      <c r="N19" s="22"/>
      <c r="O19" s="22"/>
      <c r="P19" s="35">
        <v>25000.0</v>
      </c>
      <c r="Q19" s="26">
        <f t="shared" si="1"/>
        <v>0</v>
      </c>
      <c r="R19" s="35" t="s">
        <v>33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45562.0</v>
      </c>
      <c r="C20" s="20" t="s">
        <v>1494</v>
      </c>
      <c r="D20" s="20">
        <v>84304.0</v>
      </c>
      <c r="E20" s="20" t="s">
        <v>1495</v>
      </c>
      <c r="F20" s="22"/>
      <c r="G20" s="22"/>
      <c r="H20" s="22"/>
      <c r="I20" s="37">
        <v>4650.0</v>
      </c>
      <c r="J20" s="37"/>
      <c r="K20" s="22"/>
      <c r="L20" s="22"/>
      <c r="M20" s="22"/>
      <c r="N20" s="22"/>
      <c r="O20" s="22"/>
      <c r="P20" s="25">
        <v>4650.0</v>
      </c>
      <c r="Q20" s="26">
        <f t="shared" si="1"/>
        <v>0</v>
      </c>
      <c r="R20" s="25" t="s">
        <v>36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45562.0</v>
      </c>
      <c r="C21" s="20" t="s">
        <v>1496</v>
      </c>
      <c r="D21" s="20">
        <v>22341.0</v>
      </c>
      <c r="E21" s="20" t="s">
        <v>69</v>
      </c>
      <c r="F21" s="21"/>
      <c r="G21" s="22"/>
      <c r="H21" s="22"/>
      <c r="I21" s="45">
        <v>5900.0</v>
      </c>
      <c r="J21" s="29"/>
      <c r="K21" s="39"/>
      <c r="L21" s="22"/>
      <c r="M21" s="22"/>
      <c r="N21" s="22"/>
      <c r="O21" s="22"/>
      <c r="P21" s="25">
        <v>5900.0</v>
      </c>
      <c r="Q21" s="26">
        <f t="shared" si="1"/>
        <v>0</v>
      </c>
      <c r="R21" s="25" t="s">
        <v>33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45562.0</v>
      </c>
      <c r="C22" s="20" t="s">
        <v>1497</v>
      </c>
      <c r="D22" s="20">
        <v>22332.0</v>
      </c>
      <c r="E22" s="20" t="s">
        <v>79</v>
      </c>
      <c r="F22" s="23"/>
      <c r="G22" s="29"/>
      <c r="H22" s="22"/>
      <c r="I22" s="21">
        <v>6050.0</v>
      </c>
      <c r="J22" s="29"/>
      <c r="K22" s="23"/>
      <c r="L22" s="22"/>
      <c r="M22" s="22"/>
      <c r="N22" s="22"/>
      <c r="O22" s="22"/>
      <c r="P22" s="25">
        <v>6050.0</v>
      </c>
      <c r="Q22" s="26">
        <f t="shared" si="1"/>
        <v>0</v>
      </c>
      <c r="R22" s="25" t="s">
        <v>36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45562.0</v>
      </c>
      <c r="C23" s="20" t="s">
        <v>1498</v>
      </c>
      <c r="D23" s="20">
        <v>53249.0</v>
      </c>
      <c r="E23" s="20" t="s">
        <v>192</v>
      </c>
      <c r="F23" s="38"/>
      <c r="G23" s="71"/>
      <c r="H23" s="44"/>
      <c r="I23" s="45">
        <v>34050.0</v>
      </c>
      <c r="J23" s="45"/>
      <c r="K23" s="73"/>
      <c r="L23" s="44"/>
      <c r="M23" s="44"/>
      <c r="N23" s="44"/>
      <c r="O23" s="44"/>
      <c r="P23" s="47">
        <v>34050.0</v>
      </c>
      <c r="Q23" s="26">
        <f t="shared" si="1"/>
        <v>0</v>
      </c>
      <c r="R23" s="47" t="s">
        <v>33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45562.0</v>
      </c>
      <c r="C24" s="20" t="s">
        <v>1499</v>
      </c>
      <c r="D24" s="20">
        <v>46927.0</v>
      </c>
      <c r="E24" s="20" t="s">
        <v>75</v>
      </c>
      <c r="F24" s="23"/>
      <c r="G24" s="29"/>
      <c r="H24" s="22"/>
      <c r="I24" s="21">
        <v>5250.0</v>
      </c>
      <c r="J24" s="29"/>
      <c r="K24" s="49"/>
      <c r="L24" s="22"/>
      <c r="M24" s="22"/>
      <c r="N24" s="22"/>
      <c r="O24" s="22"/>
      <c r="P24" s="25">
        <v>5250.0</v>
      </c>
      <c r="Q24" s="26">
        <f t="shared" si="1"/>
        <v>0</v>
      </c>
      <c r="R24" s="25" t="s">
        <v>36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45562.0</v>
      </c>
      <c r="C25" s="20" t="s">
        <v>1500</v>
      </c>
      <c r="D25" s="20">
        <v>26831.0</v>
      </c>
      <c r="E25" s="20" t="s">
        <v>40</v>
      </c>
      <c r="F25" s="23"/>
      <c r="G25" s="22"/>
      <c r="H25" s="29"/>
      <c r="I25" s="21"/>
      <c r="J25" s="21">
        <v>12000.0</v>
      </c>
      <c r="K25" s="49"/>
      <c r="L25" s="22"/>
      <c r="M25" s="22"/>
      <c r="N25" s="22"/>
      <c r="O25" s="22"/>
      <c r="P25" s="25">
        <v>12000.0</v>
      </c>
      <c r="Q25" s="26">
        <f t="shared" si="1"/>
        <v>0</v>
      </c>
      <c r="R25" s="25" t="s">
        <v>33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45562.0</v>
      </c>
      <c r="C26" s="20" t="s">
        <v>1501</v>
      </c>
      <c r="D26" s="20">
        <v>81108.0</v>
      </c>
      <c r="E26" s="20" t="s">
        <v>209</v>
      </c>
      <c r="F26" s="23"/>
      <c r="G26" s="22"/>
      <c r="H26" s="29"/>
      <c r="I26" s="21">
        <v>19000.0</v>
      </c>
      <c r="J26" s="21"/>
      <c r="K26" s="37"/>
      <c r="L26" s="22"/>
      <c r="M26" s="29"/>
      <c r="N26" s="22"/>
      <c r="O26" s="22"/>
      <c r="P26" s="25">
        <v>19000.0</v>
      </c>
      <c r="Q26" s="26">
        <f t="shared" si="1"/>
        <v>0</v>
      </c>
      <c r="R26" s="25" t="s">
        <v>36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45562.0</v>
      </c>
      <c r="C27" s="20" t="s">
        <v>1502</v>
      </c>
      <c r="D27" s="20">
        <v>80700.0</v>
      </c>
      <c r="E27" s="20" t="s">
        <v>363</v>
      </c>
      <c r="F27" s="23"/>
      <c r="G27" s="22"/>
      <c r="H27" s="29"/>
      <c r="I27" s="21"/>
      <c r="J27" s="21">
        <v>10000.0</v>
      </c>
      <c r="K27" s="37"/>
      <c r="L27" s="22"/>
      <c r="M27" s="29"/>
      <c r="N27" s="22"/>
      <c r="O27" s="29"/>
      <c r="P27" s="25">
        <v>10000.0</v>
      </c>
      <c r="Q27" s="26">
        <f t="shared" si="1"/>
        <v>0</v>
      </c>
      <c r="R27" s="25" t="s">
        <v>36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45562.0</v>
      </c>
      <c r="C28" s="20" t="s">
        <v>1503</v>
      </c>
      <c r="D28" s="20">
        <v>42046.0</v>
      </c>
      <c r="E28" s="20" t="s">
        <v>84</v>
      </c>
      <c r="F28" s="23"/>
      <c r="G28" s="29"/>
      <c r="H28" s="29"/>
      <c r="I28" s="21">
        <v>1450.0</v>
      </c>
      <c r="J28" s="21"/>
      <c r="K28" s="37"/>
      <c r="L28" s="22"/>
      <c r="M28" s="29"/>
      <c r="N28" s="22"/>
      <c r="O28" s="29"/>
      <c r="P28" s="25">
        <v>1450.0</v>
      </c>
      <c r="Q28" s="26">
        <f t="shared" si="1"/>
        <v>0</v>
      </c>
      <c r="R28" s="25" t="s">
        <v>36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45562.0</v>
      </c>
      <c r="C29" s="20" t="s">
        <v>1504</v>
      </c>
      <c r="D29" s="20">
        <v>58468.0</v>
      </c>
      <c r="E29" s="20" t="s">
        <v>1505</v>
      </c>
      <c r="F29" s="23"/>
      <c r="G29" s="22"/>
      <c r="H29" s="29"/>
      <c r="I29" s="21">
        <v>4500.0</v>
      </c>
      <c r="J29" s="21"/>
      <c r="K29" s="37"/>
      <c r="L29" s="22"/>
      <c r="M29" s="29"/>
      <c r="N29" s="22"/>
      <c r="O29" s="29"/>
      <c r="P29" s="25">
        <v>4500.0</v>
      </c>
      <c r="Q29" s="26">
        <f t="shared" si="1"/>
        <v>0</v>
      </c>
      <c r="R29" s="25" t="s">
        <v>30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45562.0</v>
      </c>
      <c r="C30" s="20" t="s">
        <v>1506</v>
      </c>
      <c r="D30" s="20">
        <v>77191.0</v>
      </c>
      <c r="E30" s="20" t="s">
        <v>1507</v>
      </c>
      <c r="F30" s="23"/>
      <c r="G30" s="22"/>
      <c r="H30" s="29"/>
      <c r="I30" s="21">
        <v>4850.0</v>
      </c>
      <c r="J30" s="21"/>
      <c r="K30" s="37"/>
      <c r="L30" s="22"/>
      <c r="M30" s="29"/>
      <c r="N30" s="22"/>
      <c r="O30" s="29"/>
      <c r="P30" s="25">
        <v>4850.0</v>
      </c>
      <c r="Q30" s="26">
        <f t="shared" si="1"/>
        <v>0</v>
      </c>
      <c r="R30" s="25" t="s">
        <v>36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45562.0</v>
      </c>
      <c r="C31" s="20" t="s">
        <v>1508</v>
      </c>
      <c r="D31" s="20">
        <v>64461.0</v>
      </c>
      <c r="E31" s="20" t="s">
        <v>1509</v>
      </c>
      <c r="F31" s="21">
        <v>5000.0</v>
      </c>
      <c r="G31" s="22"/>
      <c r="H31" s="29"/>
      <c r="I31" s="21"/>
      <c r="J31" s="21"/>
      <c r="K31" s="37"/>
      <c r="L31" s="22"/>
      <c r="M31" s="29"/>
      <c r="N31" s="22"/>
      <c r="O31" s="29"/>
      <c r="P31" s="25">
        <v>5000.0</v>
      </c>
      <c r="Q31" s="26">
        <f t="shared" si="1"/>
        <v>0</v>
      </c>
      <c r="R31" s="25" t="s">
        <v>36</v>
      </c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45562.0</v>
      </c>
      <c r="C32" s="20" t="s">
        <v>1510</v>
      </c>
      <c r="D32" s="20">
        <v>77864.0</v>
      </c>
      <c r="E32" s="20" t="s">
        <v>915</v>
      </c>
      <c r="F32" s="23"/>
      <c r="G32" s="22"/>
      <c r="H32" s="29"/>
      <c r="I32" s="21"/>
      <c r="J32" s="21">
        <v>10000.0</v>
      </c>
      <c r="K32" s="37"/>
      <c r="L32" s="22"/>
      <c r="M32" s="29"/>
      <c r="N32" s="22"/>
      <c r="O32" s="29"/>
      <c r="P32" s="25">
        <v>10000.0</v>
      </c>
      <c r="Q32" s="26">
        <f t="shared" si="1"/>
        <v>0</v>
      </c>
      <c r="R32" s="25" t="s">
        <v>36</v>
      </c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45562.0</v>
      </c>
      <c r="C33" s="20" t="s">
        <v>1511</v>
      </c>
      <c r="D33" s="20">
        <v>52776.0</v>
      </c>
      <c r="E33" s="20" t="s">
        <v>558</v>
      </c>
      <c r="F33" s="23"/>
      <c r="G33" s="22"/>
      <c r="H33" s="29"/>
      <c r="I33" s="21"/>
      <c r="J33" s="21">
        <v>10000.0</v>
      </c>
      <c r="K33" s="37"/>
      <c r="L33" s="22"/>
      <c r="M33" s="29"/>
      <c r="N33" s="22"/>
      <c r="O33" s="29"/>
      <c r="P33" s="25">
        <v>10000.0</v>
      </c>
      <c r="Q33" s="26">
        <f t="shared" si="1"/>
        <v>0</v>
      </c>
      <c r="R33" s="25" t="s">
        <v>36</v>
      </c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45562.0</v>
      </c>
      <c r="C34" s="20" t="s">
        <v>1512</v>
      </c>
      <c r="D34" s="20">
        <v>10249.0</v>
      </c>
      <c r="E34" s="20" t="s">
        <v>126</v>
      </c>
      <c r="F34" s="23"/>
      <c r="G34" s="22"/>
      <c r="H34" s="29"/>
      <c r="I34" s="21"/>
      <c r="J34" s="21">
        <v>600.0</v>
      </c>
      <c r="K34" s="37"/>
      <c r="L34" s="22"/>
      <c r="M34" s="29"/>
      <c r="N34" s="22"/>
      <c r="O34" s="29"/>
      <c r="P34" s="25">
        <v>600.0</v>
      </c>
      <c r="Q34" s="26">
        <f t="shared" si="1"/>
        <v>0</v>
      </c>
      <c r="R34" s="25" t="s">
        <v>36</v>
      </c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45562.0</v>
      </c>
      <c r="C35" s="20" t="s">
        <v>1513</v>
      </c>
      <c r="D35" s="20">
        <v>21971.0</v>
      </c>
      <c r="E35" s="20" t="s">
        <v>584</v>
      </c>
      <c r="F35" s="23"/>
      <c r="G35" s="22"/>
      <c r="H35" s="29"/>
      <c r="I35" s="21">
        <v>9000.0</v>
      </c>
      <c r="J35" s="21"/>
      <c r="K35" s="37"/>
      <c r="L35" s="22"/>
      <c r="M35" s="29"/>
      <c r="N35" s="22"/>
      <c r="O35" s="29"/>
      <c r="P35" s="25">
        <v>9000.0</v>
      </c>
      <c r="Q35" s="26">
        <f t="shared" si="1"/>
        <v>0</v>
      </c>
      <c r="R35" s="25" t="s">
        <v>43</v>
      </c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83">
        <v>45562.0</v>
      </c>
      <c r="C36" s="20" t="s">
        <v>1514</v>
      </c>
      <c r="D36" s="20">
        <v>50136.0</v>
      </c>
      <c r="E36" s="20" t="s">
        <v>1515</v>
      </c>
      <c r="F36" s="23"/>
      <c r="G36" s="22"/>
      <c r="H36" s="29"/>
      <c r="I36" s="21">
        <v>5150.0</v>
      </c>
      <c r="J36" s="21"/>
      <c r="K36" s="37"/>
      <c r="L36" s="22"/>
      <c r="M36" s="29"/>
      <c r="N36" s="22"/>
      <c r="O36" s="29"/>
      <c r="P36" s="25">
        <v>5150.0</v>
      </c>
      <c r="Q36" s="26">
        <f t="shared" si="1"/>
        <v>0</v>
      </c>
      <c r="R36" s="25" t="s">
        <v>25</v>
      </c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83">
        <v>45561.0</v>
      </c>
      <c r="C37" s="20" t="s">
        <v>1516</v>
      </c>
      <c r="D37" s="20">
        <v>51017.0</v>
      </c>
      <c r="E37" s="20" t="s">
        <v>241</v>
      </c>
      <c r="F37" s="23"/>
      <c r="G37" s="22"/>
      <c r="H37" s="29">
        <v>10000.0</v>
      </c>
      <c r="I37" s="21"/>
      <c r="J37" s="21"/>
      <c r="K37" s="37"/>
      <c r="L37" s="22"/>
      <c r="M37" s="29"/>
      <c r="N37" s="22"/>
      <c r="O37" s="29"/>
      <c r="P37" s="25">
        <v>10000.0</v>
      </c>
      <c r="Q37" s="26">
        <f t="shared" si="1"/>
        <v>0</v>
      </c>
      <c r="R37" s="25"/>
      <c r="S37" s="5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83">
        <v>45562.0</v>
      </c>
      <c r="C38" s="20" t="s">
        <v>1517</v>
      </c>
      <c r="D38" s="20">
        <v>21828.0</v>
      </c>
      <c r="E38" s="20" t="s">
        <v>144</v>
      </c>
      <c r="F38" s="23"/>
      <c r="G38" s="22"/>
      <c r="H38" s="29"/>
      <c r="I38" s="21"/>
      <c r="J38" s="21"/>
      <c r="K38" s="37"/>
      <c r="L38" s="22"/>
      <c r="M38" s="29">
        <v>2500.0</v>
      </c>
      <c r="N38" s="22"/>
      <c r="O38" s="29"/>
      <c r="P38" s="25">
        <v>2500.0</v>
      </c>
      <c r="Q38" s="26">
        <f t="shared" si="1"/>
        <v>0</v>
      </c>
      <c r="R38" s="25"/>
      <c r="S38" s="5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83">
        <v>45562.0</v>
      </c>
      <c r="C39" s="20" t="s">
        <v>1518</v>
      </c>
      <c r="D39" s="20">
        <v>10250.0</v>
      </c>
      <c r="E39" s="20" t="s">
        <v>423</v>
      </c>
      <c r="F39" s="23"/>
      <c r="G39" s="22"/>
      <c r="H39" s="29">
        <v>19000.0</v>
      </c>
      <c r="I39" s="21"/>
      <c r="J39" s="21"/>
      <c r="K39" s="37"/>
      <c r="L39" s="22"/>
      <c r="M39" s="29"/>
      <c r="N39" s="22"/>
      <c r="O39" s="29"/>
      <c r="P39" s="25">
        <v>19000.0</v>
      </c>
      <c r="Q39" s="26">
        <f t="shared" si="1"/>
        <v>0</v>
      </c>
      <c r="R39" s="25"/>
      <c r="S39" s="5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83">
        <v>45562.0</v>
      </c>
      <c r="C40" s="20" t="s">
        <v>1519</v>
      </c>
      <c r="D40" s="20">
        <v>84924.0</v>
      </c>
      <c r="E40" s="20" t="s">
        <v>1520</v>
      </c>
      <c r="F40" s="23"/>
      <c r="G40" s="22"/>
      <c r="H40" s="29">
        <v>7000.0</v>
      </c>
      <c r="I40" s="21"/>
      <c r="J40" s="21"/>
      <c r="K40" s="37"/>
      <c r="L40" s="22"/>
      <c r="M40" s="29"/>
      <c r="N40" s="22"/>
      <c r="O40" s="29"/>
      <c r="P40" s="25">
        <v>7000.0</v>
      </c>
      <c r="Q40" s="26">
        <f t="shared" si="1"/>
        <v>0</v>
      </c>
      <c r="R40" s="25"/>
      <c r="S40" s="5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83">
        <v>45562.0</v>
      </c>
      <c r="C41" s="20" t="s">
        <v>1521</v>
      </c>
      <c r="D41" s="20">
        <v>77283.0</v>
      </c>
      <c r="E41" s="20" t="s">
        <v>311</v>
      </c>
      <c r="F41" s="23"/>
      <c r="G41" s="22"/>
      <c r="H41" s="29"/>
      <c r="I41" s="21"/>
      <c r="J41" s="21"/>
      <c r="K41" s="37"/>
      <c r="L41" s="22"/>
      <c r="M41" s="29">
        <v>10000.0</v>
      </c>
      <c r="N41" s="22"/>
      <c r="O41" s="29"/>
      <c r="P41" s="25">
        <v>10000.0</v>
      </c>
      <c r="Q41" s="26">
        <f t="shared" si="1"/>
        <v>0</v>
      </c>
      <c r="R41" s="25"/>
      <c r="S41" s="5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7.5" customHeight="1">
      <c r="A42" s="16"/>
      <c r="B42" s="51"/>
      <c r="C42" s="52"/>
      <c r="D42" s="53" t="s">
        <v>149</v>
      </c>
      <c r="E42" s="54"/>
      <c r="F42" s="55">
        <f t="shared" ref="F42:P42" si="2">SUM(F5:F41)</f>
        <v>5000</v>
      </c>
      <c r="G42" s="55">
        <f t="shared" si="2"/>
        <v>0</v>
      </c>
      <c r="H42" s="55">
        <f t="shared" si="2"/>
        <v>36000</v>
      </c>
      <c r="I42" s="55">
        <f t="shared" si="2"/>
        <v>186700</v>
      </c>
      <c r="J42" s="55">
        <f t="shared" si="2"/>
        <v>49050</v>
      </c>
      <c r="K42" s="55">
        <f t="shared" si="2"/>
        <v>0</v>
      </c>
      <c r="L42" s="55">
        <f t="shared" si="2"/>
        <v>0</v>
      </c>
      <c r="M42" s="55">
        <f t="shared" si="2"/>
        <v>12500</v>
      </c>
      <c r="N42" s="55">
        <f t="shared" si="2"/>
        <v>0</v>
      </c>
      <c r="O42" s="55">
        <f t="shared" si="2"/>
        <v>0</v>
      </c>
      <c r="P42" s="55">
        <f t="shared" si="2"/>
        <v>289250</v>
      </c>
      <c r="Q42" s="56">
        <v>0.0</v>
      </c>
      <c r="R42" s="57"/>
      <c r="S42" s="57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58.5" customHeight="1">
      <c r="A43" s="58"/>
      <c r="B43" s="58"/>
      <c r="C43" s="59"/>
      <c r="D43" s="58"/>
      <c r="E43" s="58"/>
      <c r="F43" s="60">
        <f>F42+G42+H42+I42+J42+K42+L42+M42+N42+O42</f>
        <v>289250</v>
      </c>
      <c r="P43" s="61"/>
      <c r="Q43" s="61"/>
      <c r="R43" s="58"/>
      <c r="S43" s="58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ht="15.75" customHeight="1">
      <c r="A44" s="4"/>
      <c r="B44" s="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3" t="s">
        <v>149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4" t="s">
        <v>150</v>
      </c>
      <c r="F47" s="65" t="s">
        <v>254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152</v>
      </c>
      <c r="F48" s="65" t="s">
        <v>255</v>
      </c>
      <c r="G48" s="4"/>
      <c r="H48" s="4"/>
      <c r="I48" s="4"/>
      <c r="J48" s="4"/>
      <c r="K48" s="4"/>
      <c r="L48" s="4"/>
      <c r="M48" s="4"/>
      <c r="N48" s="4"/>
      <c r="O48" s="67" t="s">
        <v>149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154</v>
      </c>
      <c r="F49" s="65" t="s">
        <v>155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66" t="s">
        <v>156</v>
      </c>
      <c r="F50" s="65" t="s">
        <v>254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66" t="s">
        <v>157</v>
      </c>
      <c r="F51" s="65" t="s">
        <v>1522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66" t="s">
        <v>1523</v>
      </c>
      <c r="F52" s="65" t="s">
        <v>151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85" t="s">
        <v>1413</v>
      </c>
      <c r="F53" s="65" t="s">
        <v>255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2"/>
      <c r="D54" s="4"/>
      <c r="E54" s="66" t="s">
        <v>161</v>
      </c>
      <c r="F54" s="68" t="s">
        <v>162</v>
      </c>
      <c r="G54" s="4"/>
      <c r="H54" s="4"/>
      <c r="I54" s="4"/>
      <c r="J54" s="4"/>
      <c r="K54" s="4"/>
      <c r="L54" s="4"/>
      <c r="M54" s="69" t="s">
        <v>812</v>
      </c>
      <c r="N54" s="4"/>
      <c r="O54" s="4"/>
      <c r="P54" s="4"/>
      <c r="Q54" s="4"/>
      <c r="R54" s="4"/>
      <c r="S54" s="4"/>
      <c r="T54" s="4"/>
      <c r="U54" s="67" t="s">
        <v>149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 t="str">
        <f>I72442</f>
        <v/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69"/>
      <c r="G62" s="4"/>
      <c r="H62" s="4"/>
      <c r="I62" s="67" t="s">
        <v>163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>
        <v>7.0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7">
    <mergeCell ref="R2:R4"/>
    <mergeCell ref="S2:S4"/>
    <mergeCell ref="F3:F4"/>
    <mergeCell ref="G3:H3"/>
    <mergeCell ref="I3:J3"/>
    <mergeCell ref="K3:K4"/>
    <mergeCell ref="F43:O4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4.5"/>
    <col customWidth="1" min="4" max="4" width="9.38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1524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45562.0</v>
      </c>
      <c r="C5" s="20" t="s">
        <v>1525</v>
      </c>
      <c r="D5" s="20">
        <v>78755.0</v>
      </c>
      <c r="E5" s="20" t="s">
        <v>1526</v>
      </c>
      <c r="F5" s="21"/>
      <c r="G5" s="29"/>
      <c r="H5" s="23"/>
      <c r="I5" s="37"/>
      <c r="J5" s="37">
        <v>10000.0</v>
      </c>
      <c r="K5" s="22"/>
      <c r="L5" s="22"/>
      <c r="M5" s="21"/>
      <c r="N5" s="22"/>
      <c r="O5" s="22"/>
      <c r="P5" s="25">
        <v>10000.0</v>
      </c>
      <c r="Q5" s="26">
        <f t="shared" ref="Q5:Q66" si="1">F5+G5+H5+I5+J5+K5+L5+M5+N5+O5-P5</f>
        <v>0</v>
      </c>
      <c r="R5" s="25" t="s">
        <v>43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45563.0</v>
      </c>
      <c r="C6" s="20" t="s">
        <v>1527</v>
      </c>
      <c r="D6" s="20">
        <v>44149.0</v>
      </c>
      <c r="E6" s="20" t="s">
        <v>264</v>
      </c>
      <c r="F6" s="23"/>
      <c r="G6" s="22"/>
      <c r="H6" s="22"/>
      <c r="I6" s="21">
        <v>9500.0</v>
      </c>
      <c r="J6" s="29"/>
      <c r="K6" s="29"/>
      <c r="L6" s="22"/>
      <c r="M6" s="21"/>
      <c r="N6" s="22"/>
      <c r="O6" s="22"/>
      <c r="P6" s="25">
        <v>9500.0</v>
      </c>
      <c r="Q6" s="26">
        <f t="shared" si="1"/>
        <v>0</v>
      </c>
      <c r="R6" s="25" t="s">
        <v>36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45563.0</v>
      </c>
      <c r="C7" s="20" t="s">
        <v>1528</v>
      </c>
      <c r="D7" s="20">
        <v>45227.0</v>
      </c>
      <c r="E7" s="20" t="s">
        <v>368</v>
      </c>
      <c r="F7" s="22"/>
      <c r="G7" s="29"/>
      <c r="H7" s="23"/>
      <c r="I7" s="21">
        <v>1000.0</v>
      </c>
      <c r="J7" s="37"/>
      <c r="K7" s="29"/>
      <c r="L7" s="22"/>
      <c r="M7" s="22"/>
      <c r="N7" s="22"/>
      <c r="O7" s="22"/>
      <c r="P7" s="25">
        <v>1000.0</v>
      </c>
      <c r="Q7" s="26">
        <f t="shared" si="1"/>
        <v>0</v>
      </c>
      <c r="R7" s="25" t="s">
        <v>33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45563.0</v>
      </c>
      <c r="C8" s="20" t="s">
        <v>1529</v>
      </c>
      <c r="D8" s="20">
        <v>43380.0</v>
      </c>
      <c r="E8" s="20" t="s">
        <v>124</v>
      </c>
      <c r="F8" s="22"/>
      <c r="G8" s="29"/>
      <c r="H8" s="22"/>
      <c r="I8" s="21">
        <v>15000.0</v>
      </c>
      <c r="J8" s="21"/>
      <c r="K8" s="29"/>
      <c r="L8" s="22"/>
      <c r="M8" s="22"/>
      <c r="N8" s="22"/>
      <c r="O8" s="22"/>
      <c r="P8" s="25">
        <v>15000.0</v>
      </c>
      <c r="Q8" s="26">
        <f t="shared" si="1"/>
        <v>0</v>
      </c>
      <c r="R8" s="25" t="s">
        <v>33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45563.0</v>
      </c>
      <c r="C9" s="20" t="s">
        <v>1530</v>
      </c>
      <c r="D9" s="20">
        <v>54280.0</v>
      </c>
      <c r="E9" s="20" t="s">
        <v>175</v>
      </c>
      <c r="F9" s="22"/>
      <c r="G9" s="29"/>
      <c r="H9" s="22"/>
      <c r="I9" s="21">
        <v>2750.0</v>
      </c>
      <c r="J9" s="21"/>
      <c r="K9" s="22"/>
      <c r="L9" s="22"/>
      <c r="M9" s="23"/>
      <c r="N9" s="22"/>
      <c r="O9" s="22"/>
      <c r="P9" s="25">
        <v>2750.0</v>
      </c>
      <c r="Q9" s="26">
        <f t="shared" si="1"/>
        <v>0</v>
      </c>
      <c r="R9" s="25" t="s">
        <v>43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45563.0</v>
      </c>
      <c r="C10" s="20" t="s">
        <v>1531</v>
      </c>
      <c r="D10" s="20">
        <v>53283.0</v>
      </c>
      <c r="E10" s="20" t="s">
        <v>1038</v>
      </c>
      <c r="F10" s="22"/>
      <c r="G10" s="29"/>
      <c r="H10" s="22"/>
      <c r="I10" s="21">
        <v>398.0</v>
      </c>
      <c r="J10" s="21"/>
      <c r="K10" s="22"/>
      <c r="L10" s="22"/>
      <c r="M10" s="23"/>
      <c r="N10" s="22"/>
      <c r="O10" s="22"/>
      <c r="P10" s="25">
        <v>398.0</v>
      </c>
      <c r="Q10" s="26">
        <f t="shared" si="1"/>
        <v>0</v>
      </c>
      <c r="R10" s="25" t="s">
        <v>30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45563.0</v>
      </c>
      <c r="C11" s="20" t="s">
        <v>1532</v>
      </c>
      <c r="D11" s="20">
        <v>78256.0</v>
      </c>
      <c r="E11" s="20" t="s">
        <v>1258</v>
      </c>
      <c r="F11" s="22"/>
      <c r="G11" s="22"/>
      <c r="H11" s="29"/>
      <c r="I11" s="21">
        <v>4500.0</v>
      </c>
      <c r="J11" s="21"/>
      <c r="K11" s="29"/>
      <c r="L11" s="22"/>
      <c r="M11" s="23"/>
      <c r="N11" s="22"/>
      <c r="O11" s="22"/>
      <c r="P11" s="25">
        <v>4500.0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45563.0</v>
      </c>
      <c r="C12" s="20" t="s">
        <v>1533</v>
      </c>
      <c r="D12" s="20">
        <v>52373.0</v>
      </c>
      <c r="E12" s="20" t="s">
        <v>373</v>
      </c>
      <c r="F12" s="22"/>
      <c r="G12" s="22"/>
      <c r="H12" s="29"/>
      <c r="I12" s="21"/>
      <c r="J12" s="21">
        <v>10000.0</v>
      </c>
      <c r="K12" s="29"/>
      <c r="L12" s="22"/>
      <c r="M12" s="23"/>
      <c r="N12" s="22"/>
      <c r="O12" s="22"/>
      <c r="P12" s="25">
        <v>10000.0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45563.0</v>
      </c>
      <c r="C13" s="20" t="s">
        <v>1534</v>
      </c>
      <c r="D13" s="20">
        <v>46927.0</v>
      </c>
      <c r="E13" s="20" t="s">
        <v>75</v>
      </c>
      <c r="F13" s="22"/>
      <c r="G13" s="22"/>
      <c r="H13" s="22"/>
      <c r="I13" s="21">
        <v>600.0</v>
      </c>
      <c r="J13" s="21"/>
      <c r="K13" s="22"/>
      <c r="L13" s="22"/>
      <c r="M13" s="21"/>
      <c r="N13" s="22"/>
      <c r="O13" s="22"/>
      <c r="P13" s="35">
        <v>600.0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45563.0</v>
      </c>
      <c r="C14" s="20" t="s">
        <v>1535</v>
      </c>
      <c r="D14" s="20">
        <v>50596.0</v>
      </c>
      <c r="E14" s="20" t="s">
        <v>1107</v>
      </c>
      <c r="F14" s="22"/>
      <c r="G14" s="29"/>
      <c r="H14" s="29"/>
      <c r="I14" s="21">
        <v>5000.0</v>
      </c>
      <c r="J14" s="21"/>
      <c r="K14" s="22"/>
      <c r="L14" s="22"/>
      <c r="M14" s="23"/>
      <c r="N14" s="22"/>
      <c r="O14" s="22"/>
      <c r="P14" s="25">
        <v>5000.0</v>
      </c>
      <c r="Q14" s="26">
        <f t="shared" si="1"/>
        <v>0</v>
      </c>
      <c r="R14" s="25" t="s">
        <v>30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45563.0</v>
      </c>
      <c r="C15" s="20" t="s">
        <v>1536</v>
      </c>
      <c r="D15" s="20">
        <v>25541.0</v>
      </c>
      <c r="E15" s="20" t="s">
        <v>755</v>
      </c>
      <c r="F15" s="22"/>
      <c r="G15" s="29">
        <v>500.0</v>
      </c>
      <c r="H15" s="22"/>
      <c r="I15" s="21"/>
      <c r="J15" s="21"/>
      <c r="K15" s="29"/>
      <c r="L15" s="22"/>
      <c r="M15" s="23"/>
      <c r="N15" s="22"/>
      <c r="O15" s="22"/>
      <c r="P15" s="25">
        <v>500.0</v>
      </c>
      <c r="Q15" s="26">
        <f t="shared" si="1"/>
        <v>0</v>
      </c>
      <c r="R15" s="25" t="s">
        <v>43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45563.0</v>
      </c>
      <c r="C16" s="20" t="s">
        <v>1537</v>
      </c>
      <c r="D16" s="20">
        <v>46927.0</v>
      </c>
      <c r="E16" s="20" t="s">
        <v>75</v>
      </c>
      <c r="F16" s="22"/>
      <c r="G16" s="22"/>
      <c r="H16" s="22"/>
      <c r="I16" s="21">
        <v>5150.0</v>
      </c>
      <c r="J16" s="21"/>
      <c r="K16" s="29"/>
      <c r="L16" s="22"/>
      <c r="M16" s="21"/>
      <c r="N16" s="22"/>
      <c r="O16" s="22"/>
      <c r="P16" s="25">
        <v>5150.0</v>
      </c>
      <c r="Q16" s="26">
        <f t="shared" si="1"/>
        <v>0</v>
      </c>
      <c r="R16" s="25" t="s">
        <v>36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45563.0</v>
      </c>
      <c r="C17" s="20" t="s">
        <v>1538</v>
      </c>
      <c r="D17" s="20">
        <v>28414.0</v>
      </c>
      <c r="E17" s="20" t="s">
        <v>438</v>
      </c>
      <c r="F17" s="29"/>
      <c r="G17" s="22"/>
      <c r="H17" s="29"/>
      <c r="I17" s="21">
        <v>2650.0</v>
      </c>
      <c r="J17" s="21"/>
      <c r="K17" s="22"/>
      <c r="L17" s="22"/>
      <c r="M17" s="21"/>
      <c r="N17" s="22"/>
      <c r="O17" s="22"/>
      <c r="P17" s="25">
        <v>2650.0</v>
      </c>
      <c r="Q17" s="26">
        <f t="shared" si="1"/>
        <v>0</v>
      </c>
      <c r="R17" s="25" t="s">
        <v>30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45563.0</v>
      </c>
      <c r="C18" s="20" t="s">
        <v>1539</v>
      </c>
      <c r="D18" s="20">
        <v>19688.0</v>
      </c>
      <c r="E18" s="20" t="s">
        <v>359</v>
      </c>
      <c r="F18" s="22"/>
      <c r="G18" s="22"/>
      <c r="H18" s="29"/>
      <c r="I18" s="21"/>
      <c r="J18" s="21">
        <v>8600.0</v>
      </c>
      <c r="K18" s="29"/>
      <c r="L18" s="22"/>
      <c r="M18" s="29"/>
      <c r="N18" s="22"/>
      <c r="O18" s="22"/>
      <c r="P18" s="25">
        <v>8600.0</v>
      </c>
      <c r="Q18" s="26">
        <f t="shared" si="1"/>
        <v>0</v>
      </c>
      <c r="R18" s="25" t="s">
        <v>43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45563.0</v>
      </c>
      <c r="C19" s="20" t="s">
        <v>1540</v>
      </c>
      <c r="D19" s="20">
        <v>13781.0</v>
      </c>
      <c r="E19" s="20" t="s">
        <v>592</v>
      </c>
      <c r="F19" s="22"/>
      <c r="G19" s="29">
        <v>20000.0</v>
      </c>
      <c r="H19" s="22"/>
      <c r="I19" s="21"/>
      <c r="J19" s="21"/>
      <c r="K19" s="22"/>
      <c r="L19" s="22"/>
      <c r="M19" s="21"/>
      <c r="N19" s="22"/>
      <c r="O19" s="22"/>
      <c r="P19" s="35">
        <v>20000.0</v>
      </c>
      <c r="Q19" s="26">
        <f t="shared" si="1"/>
        <v>0</v>
      </c>
      <c r="R19" s="35" t="s">
        <v>30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45563.0</v>
      </c>
      <c r="C20" s="20" t="s">
        <v>1541</v>
      </c>
      <c r="D20" s="20">
        <v>15837.0</v>
      </c>
      <c r="E20" s="20" t="s">
        <v>594</v>
      </c>
      <c r="F20" s="22"/>
      <c r="G20" s="29">
        <v>5000.0</v>
      </c>
      <c r="H20" s="22"/>
      <c r="I20" s="37"/>
      <c r="J20" s="37"/>
      <c r="K20" s="22"/>
      <c r="L20" s="22"/>
      <c r="M20" s="22"/>
      <c r="N20" s="22"/>
      <c r="O20" s="22"/>
      <c r="P20" s="25">
        <v>5000.0</v>
      </c>
      <c r="Q20" s="26">
        <f t="shared" si="1"/>
        <v>0</v>
      </c>
      <c r="R20" s="25" t="s">
        <v>30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45563.0</v>
      </c>
      <c r="C21" s="20" t="s">
        <v>1542</v>
      </c>
      <c r="D21" s="20">
        <v>29621.0</v>
      </c>
      <c r="E21" s="20" t="s">
        <v>1298</v>
      </c>
      <c r="F21" s="21"/>
      <c r="G21" s="29">
        <v>1350.0</v>
      </c>
      <c r="H21" s="22"/>
      <c r="I21" s="45"/>
      <c r="J21" s="29"/>
      <c r="K21" s="39"/>
      <c r="L21" s="22"/>
      <c r="M21" s="22"/>
      <c r="N21" s="22"/>
      <c r="O21" s="22"/>
      <c r="P21" s="25">
        <v>1350.0</v>
      </c>
      <c r="Q21" s="26">
        <f t="shared" si="1"/>
        <v>0</v>
      </c>
      <c r="R21" s="25" t="s">
        <v>36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45563.0</v>
      </c>
      <c r="C22" s="20" t="s">
        <v>1543</v>
      </c>
      <c r="D22" s="20">
        <v>60862.0</v>
      </c>
      <c r="E22" s="20" t="s">
        <v>1544</v>
      </c>
      <c r="F22" s="23"/>
      <c r="G22" s="29"/>
      <c r="H22" s="22"/>
      <c r="I22" s="21">
        <v>5150.0</v>
      </c>
      <c r="J22" s="29"/>
      <c r="K22" s="23"/>
      <c r="L22" s="22"/>
      <c r="M22" s="22"/>
      <c r="N22" s="22"/>
      <c r="O22" s="22"/>
      <c r="P22" s="25">
        <v>5150.0</v>
      </c>
      <c r="Q22" s="26">
        <f t="shared" si="1"/>
        <v>0</v>
      </c>
      <c r="R22" s="25" t="s">
        <v>43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45563.0</v>
      </c>
      <c r="C23" s="20" t="s">
        <v>1545</v>
      </c>
      <c r="D23" s="20">
        <v>24609.0</v>
      </c>
      <c r="E23" s="20" t="s">
        <v>1126</v>
      </c>
      <c r="F23" s="38"/>
      <c r="G23" s="71"/>
      <c r="H23" s="44"/>
      <c r="I23" s="45">
        <v>1800.0</v>
      </c>
      <c r="J23" s="45"/>
      <c r="K23" s="73"/>
      <c r="L23" s="44"/>
      <c r="M23" s="44"/>
      <c r="N23" s="44"/>
      <c r="O23" s="44"/>
      <c r="P23" s="47">
        <v>1800.0</v>
      </c>
      <c r="Q23" s="26">
        <f t="shared" si="1"/>
        <v>0</v>
      </c>
      <c r="R23" s="47" t="s">
        <v>30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45563.0</v>
      </c>
      <c r="C24" s="20" t="s">
        <v>1546</v>
      </c>
      <c r="D24" s="20">
        <v>74331.0</v>
      </c>
      <c r="E24" s="20" t="s">
        <v>1547</v>
      </c>
      <c r="F24" s="23"/>
      <c r="G24" s="29"/>
      <c r="H24" s="22"/>
      <c r="I24" s="21">
        <v>6500.0</v>
      </c>
      <c r="J24" s="29"/>
      <c r="K24" s="49"/>
      <c r="L24" s="22"/>
      <c r="M24" s="22"/>
      <c r="N24" s="22"/>
      <c r="O24" s="22"/>
      <c r="P24" s="25">
        <v>6500.0</v>
      </c>
      <c r="Q24" s="26">
        <f t="shared" si="1"/>
        <v>0</v>
      </c>
      <c r="R24" s="25" t="s">
        <v>36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45563.0</v>
      </c>
      <c r="C25" s="20" t="s">
        <v>1548</v>
      </c>
      <c r="D25" s="20">
        <v>53249.0</v>
      </c>
      <c r="E25" s="20" t="s">
        <v>192</v>
      </c>
      <c r="F25" s="23"/>
      <c r="G25" s="22"/>
      <c r="H25" s="29"/>
      <c r="I25" s="21">
        <v>30900.0</v>
      </c>
      <c r="J25" s="21"/>
      <c r="K25" s="49"/>
      <c r="L25" s="22"/>
      <c r="M25" s="22"/>
      <c r="N25" s="22"/>
      <c r="O25" s="22"/>
      <c r="P25" s="25">
        <v>30900.0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45563.0</v>
      </c>
      <c r="C26" s="20" t="s">
        <v>1549</v>
      </c>
      <c r="D26" s="20">
        <v>58818.0</v>
      </c>
      <c r="E26" s="20" t="s">
        <v>891</v>
      </c>
      <c r="F26" s="23"/>
      <c r="G26" s="22"/>
      <c r="H26" s="29"/>
      <c r="I26" s="21">
        <v>5000.0</v>
      </c>
      <c r="J26" s="21"/>
      <c r="K26" s="37"/>
      <c r="L26" s="22"/>
      <c r="M26" s="29"/>
      <c r="N26" s="22"/>
      <c r="O26" s="22"/>
      <c r="P26" s="25">
        <v>5000.0</v>
      </c>
      <c r="Q26" s="26">
        <f t="shared" si="1"/>
        <v>0</v>
      </c>
      <c r="R26" s="25" t="s">
        <v>33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45563.0</v>
      </c>
      <c r="C27" s="20" t="s">
        <v>1550</v>
      </c>
      <c r="D27" s="20">
        <v>84939.0</v>
      </c>
      <c r="E27" s="20" t="s">
        <v>1551</v>
      </c>
      <c r="F27" s="23"/>
      <c r="G27" s="22"/>
      <c r="H27" s="29"/>
      <c r="I27" s="21">
        <v>6050.0</v>
      </c>
      <c r="J27" s="21"/>
      <c r="K27" s="37"/>
      <c r="L27" s="22"/>
      <c r="M27" s="29"/>
      <c r="N27" s="22"/>
      <c r="O27" s="29"/>
      <c r="P27" s="25">
        <v>6050.0</v>
      </c>
      <c r="Q27" s="26">
        <f t="shared" si="1"/>
        <v>0</v>
      </c>
      <c r="R27" s="25" t="s">
        <v>33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45563.0</v>
      </c>
      <c r="C28" s="20" t="s">
        <v>1552</v>
      </c>
      <c r="D28" s="20">
        <v>58818.0</v>
      </c>
      <c r="E28" s="20" t="s">
        <v>891</v>
      </c>
      <c r="F28" s="23"/>
      <c r="G28" s="29"/>
      <c r="H28" s="29"/>
      <c r="I28" s="21">
        <v>5000.0</v>
      </c>
      <c r="J28" s="21"/>
      <c r="K28" s="37"/>
      <c r="L28" s="22"/>
      <c r="M28" s="29"/>
      <c r="N28" s="22"/>
      <c r="O28" s="29"/>
      <c r="P28" s="25">
        <v>5000.0</v>
      </c>
      <c r="Q28" s="26">
        <f t="shared" si="1"/>
        <v>0</v>
      </c>
      <c r="R28" s="25" t="s">
        <v>33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45563.0</v>
      </c>
      <c r="C29" s="20" t="s">
        <v>1553</v>
      </c>
      <c r="D29" s="20">
        <v>48631.0</v>
      </c>
      <c r="E29" s="20" t="s">
        <v>116</v>
      </c>
      <c r="F29" s="23"/>
      <c r="G29" s="22"/>
      <c r="H29" s="29"/>
      <c r="I29" s="21"/>
      <c r="J29" s="21"/>
      <c r="K29" s="37">
        <v>1700.0</v>
      </c>
      <c r="L29" s="22"/>
      <c r="M29" s="29"/>
      <c r="N29" s="22"/>
      <c r="O29" s="29"/>
      <c r="P29" s="25">
        <v>1700.0</v>
      </c>
      <c r="Q29" s="26">
        <f t="shared" si="1"/>
        <v>0</v>
      </c>
      <c r="R29" s="25" t="s">
        <v>36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45563.0</v>
      </c>
      <c r="C30" s="20" t="s">
        <v>1554</v>
      </c>
      <c r="D30" s="20">
        <v>84859.0</v>
      </c>
      <c r="E30" s="20" t="s">
        <v>1139</v>
      </c>
      <c r="F30" s="21">
        <v>200.0</v>
      </c>
      <c r="G30" s="22"/>
      <c r="H30" s="29"/>
      <c r="I30" s="21"/>
      <c r="J30" s="21"/>
      <c r="K30" s="37"/>
      <c r="L30" s="22"/>
      <c r="M30" s="29"/>
      <c r="N30" s="22"/>
      <c r="O30" s="29"/>
      <c r="P30" s="25">
        <v>200.0</v>
      </c>
      <c r="Q30" s="26">
        <f t="shared" si="1"/>
        <v>0</v>
      </c>
      <c r="R30" s="25" t="s">
        <v>36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45563.0</v>
      </c>
      <c r="C31" s="20" t="s">
        <v>1555</v>
      </c>
      <c r="D31" s="20">
        <v>84859.0</v>
      </c>
      <c r="E31" s="20" t="s">
        <v>1139</v>
      </c>
      <c r="F31" s="21">
        <v>350.0</v>
      </c>
      <c r="G31" s="22"/>
      <c r="H31" s="29"/>
      <c r="I31" s="21"/>
      <c r="J31" s="21"/>
      <c r="K31" s="37"/>
      <c r="L31" s="22"/>
      <c r="M31" s="29"/>
      <c r="N31" s="22"/>
      <c r="O31" s="29"/>
      <c r="P31" s="25">
        <v>350.0</v>
      </c>
      <c r="Q31" s="26">
        <f t="shared" si="1"/>
        <v>0</v>
      </c>
      <c r="R31" s="25" t="s">
        <v>36</v>
      </c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45563.0</v>
      </c>
      <c r="C32" s="20" t="s">
        <v>1556</v>
      </c>
      <c r="D32" s="20">
        <v>82780.0</v>
      </c>
      <c r="E32" s="20" t="s">
        <v>900</v>
      </c>
      <c r="F32" s="23"/>
      <c r="G32" s="22"/>
      <c r="H32" s="29"/>
      <c r="I32" s="21"/>
      <c r="J32" s="21"/>
      <c r="K32" s="37"/>
      <c r="L32" s="22"/>
      <c r="M32" s="29">
        <v>1000.0</v>
      </c>
      <c r="N32" s="22"/>
      <c r="O32" s="29"/>
      <c r="P32" s="25">
        <v>1000.0</v>
      </c>
      <c r="Q32" s="26">
        <f t="shared" si="1"/>
        <v>0</v>
      </c>
      <c r="R32" s="25" t="s">
        <v>36</v>
      </c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45563.0</v>
      </c>
      <c r="C33" s="20" t="s">
        <v>1557</v>
      </c>
      <c r="D33" s="20">
        <v>52247.0</v>
      </c>
      <c r="E33" s="20" t="s">
        <v>397</v>
      </c>
      <c r="F33" s="23"/>
      <c r="G33" s="22"/>
      <c r="H33" s="29"/>
      <c r="I33" s="21">
        <v>1000.0</v>
      </c>
      <c r="J33" s="21"/>
      <c r="K33" s="37"/>
      <c r="L33" s="22"/>
      <c r="M33" s="29"/>
      <c r="N33" s="22"/>
      <c r="O33" s="29"/>
      <c r="P33" s="25">
        <v>1000.0</v>
      </c>
      <c r="Q33" s="26">
        <f t="shared" si="1"/>
        <v>0</v>
      </c>
      <c r="R33" s="25" t="s">
        <v>30</v>
      </c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45563.0</v>
      </c>
      <c r="C34" s="20" t="s">
        <v>1558</v>
      </c>
      <c r="D34" s="20">
        <v>83617.0</v>
      </c>
      <c r="E34" s="20" t="s">
        <v>1559</v>
      </c>
      <c r="F34" s="23"/>
      <c r="G34" s="22"/>
      <c r="H34" s="29"/>
      <c r="I34" s="21">
        <v>5000.0</v>
      </c>
      <c r="J34" s="21"/>
      <c r="K34" s="37"/>
      <c r="L34" s="22"/>
      <c r="M34" s="29"/>
      <c r="N34" s="22"/>
      <c r="O34" s="29"/>
      <c r="P34" s="25">
        <v>5000.0</v>
      </c>
      <c r="Q34" s="26">
        <f t="shared" si="1"/>
        <v>0</v>
      </c>
      <c r="R34" s="25" t="s">
        <v>30</v>
      </c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45563.0</v>
      </c>
      <c r="C35" s="20" t="s">
        <v>1560</v>
      </c>
      <c r="D35" s="20">
        <v>82821.0</v>
      </c>
      <c r="E35" s="20" t="s">
        <v>1561</v>
      </c>
      <c r="F35" s="23"/>
      <c r="G35" s="22"/>
      <c r="H35" s="29"/>
      <c r="I35" s="21">
        <v>5000.0</v>
      </c>
      <c r="J35" s="21"/>
      <c r="K35" s="37"/>
      <c r="L35" s="22"/>
      <c r="M35" s="29"/>
      <c r="N35" s="22"/>
      <c r="O35" s="29"/>
      <c r="P35" s="25">
        <v>5000.0</v>
      </c>
      <c r="Q35" s="26">
        <f t="shared" si="1"/>
        <v>0</v>
      </c>
      <c r="R35" s="25" t="s">
        <v>30</v>
      </c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83">
        <v>45563.0</v>
      </c>
      <c r="C36" s="20" t="s">
        <v>1562</v>
      </c>
      <c r="D36" s="20">
        <v>82494.0</v>
      </c>
      <c r="E36" s="20" t="s">
        <v>1563</v>
      </c>
      <c r="F36" s="23"/>
      <c r="G36" s="22"/>
      <c r="H36" s="29"/>
      <c r="I36" s="21">
        <v>5000.0</v>
      </c>
      <c r="J36" s="21"/>
      <c r="K36" s="37"/>
      <c r="L36" s="22"/>
      <c r="M36" s="29"/>
      <c r="N36" s="22"/>
      <c r="O36" s="29"/>
      <c r="P36" s="25">
        <v>5000.0</v>
      </c>
      <c r="Q36" s="26">
        <f t="shared" si="1"/>
        <v>0</v>
      </c>
      <c r="R36" s="25" t="s">
        <v>30</v>
      </c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83">
        <v>45563.0</v>
      </c>
      <c r="C37" s="20" t="s">
        <v>1564</v>
      </c>
      <c r="D37" s="20">
        <v>82231.0</v>
      </c>
      <c r="E37" s="20" t="s">
        <v>1565</v>
      </c>
      <c r="F37" s="23"/>
      <c r="G37" s="22"/>
      <c r="H37" s="29"/>
      <c r="I37" s="21">
        <v>5000.0</v>
      </c>
      <c r="J37" s="21"/>
      <c r="K37" s="37"/>
      <c r="L37" s="22"/>
      <c r="M37" s="29"/>
      <c r="N37" s="22"/>
      <c r="O37" s="29"/>
      <c r="P37" s="25">
        <v>5000.0</v>
      </c>
      <c r="Q37" s="26">
        <f t="shared" si="1"/>
        <v>0</v>
      </c>
      <c r="R37" s="25" t="s">
        <v>30</v>
      </c>
      <c r="S37" s="5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83">
        <v>45563.0</v>
      </c>
      <c r="C38" s="20" t="s">
        <v>1566</v>
      </c>
      <c r="D38" s="20">
        <v>52247.0</v>
      </c>
      <c r="E38" s="20" t="s">
        <v>397</v>
      </c>
      <c r="F38" s="23"/>
      <c r="G38" s="22"/>
      <c r="H38" s="29"/>
      <c r="I38" s="21">
        <v>30000.0</v>
      </c>
      <c r="J38" s="21"/>
      <c r="K38" s="37"/>
      <c r="L38" s="22"/>
      <c r="M38" s="29"/>
      <c r="N38" s="22"/>
      <c r="O38" s="29"/>
      <c r="P38" s="25">
        <v>30000.0</v>
      </c>
      <c r="Q38" s="26">
        <f t="shared" si="1"/>
        <v>0</v>
      </c>
      <c r="R38" s="25" t="s">
        <v>30</v>
      </c>
      <c r="S38" s="5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83">
        <v>45563.0</v>
      </c>
      <c r="C39" s="20" t="s">
        <v>1567</v>
      </c>
      <c r="D39" s="20">
        <v>67621.0</v>
      </c>
      <c r="E39" s="20" t="s">
        <v>216</v>
      </c>
      <c r="F39" s="23"/>
      <c r="G39" s="22"/>
      <c r="H39" s="29"/>
      <c r="I39" s="21">
        <v>1400.0</v>
      </c>
      <c r="J39" s="21"/>
      <c r="K39" s="37"/>
      <c r="L39" s="22"/>
      <c r="M39" s="29"/>
      <c r="N39" s="22"/>
      <c r="O39" s="29"/>
      <c r="P39" s="25">
        <v>1400.0</v>
      </c>
      <c r="Q39" s="26">
        <f t="shared" si="1"/>
        <v>0</v>
      </c>
      <c r="R39" s="25" t="s">
        <v>43</v>
      </c>
      <c r="S39" s="5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83">
        <v>45563.0</v>
      </c>
      <c r="C40" s="20" t="s">
        <v>1568</v>
      </c>
      <c r="D40" s="20">
        <v>67621.0</v>
      </c>
      <c r="E40" s="20" t="s">
        <v>216</v>
      </c>
      <c r="F40" s="23"/>
      <c r="G40" s="22"/>
      <c r="H40" s="29"/>
      <c r="I40" s="21">
        <v>5000.0</v>
      </c>
      <c r="J40" s="21"/>
      <c r="K40" s="37"/>
      <c r="L40" s="22"/>
      <c r="M40" s="29"/>
      <c r="N40" s="22"/>
      <c r="O40" s="29"/>
      <c r="P40" s="25">
        <v>5000.0</v>
      </c>
      <c r="Q40" s="26">
        <f t="shared" si="1"/>
        <v>0</v>
      </c>
      <c r="R40" s="25" t="s">
        <v>43</v>
      </c>
      <c r="S40" s="5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83">
        <v>45563.0</v>
      </c>
      <c r="C41" s="20" t="s">
        <v>1569</v>
      </c>
      <c r="D41" s="20">
        <v>70887.0</v>
      </c>
      <c r="E41" s="20" t="s">
        <v>1570</v>
      </c>
      <c r="F41" s="23"/>
      <c r="G41" s="22"/>
      <c r="H41" s="29"/>
      <c r="I41" s="21">
        <v>2000.0</v>
      </c>
      <c r="J41" s="21"/>
      <c r="K41" s="37"/>
      <c r="L41" s="22"/>
      <c r="M41" s="29"/>
      <c r="N41" s="22"/>
      <c r="O41" s="29"/>
      <c r="P41" s="25">
        <v>2000.0</v>
      </c>
      <c r="Q41" s="26">
        <f t="shared" si="1"/>
        <v>0</v>
      </c>
      <c r="R41" s="25" t="s">
        <v>30</v>
      </c>
      <c r="S41" s="5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83">
        <v>45563.0</v>
      </c>
      <c r="C42" s="20" t="s">
        <v>1571</v>
      </c>
      <c r="D42" s="20">
        <v>52083.0</v>
      </c>
      <c r="E42" s="20" t="s">
        <v>71</v>
      </c>
      <c r="F42" s="23"/>
      <c r="G42" s="22"/>
      <c r="H42" s="29"/>
      <c r="I42" s="21">
        <v>1600.0</v>
      </c>
      <c r="J42" s="21"/>
      <c r="K42" s="37"/>
      <c r="L42" s="22"/>
      <c r="M42" s="29"/>
      <c r="N42" s="22"/>
      <c r="O42" s="29"/>
      <c r="P42" s="25">
        <v>1600.0</v>
      </c>
      <c r="Q42" s="26">
        <f t="shared" si="1"/>
        <v>0</v>
      </c>
      <c r="R42" s="25" t="s">
        <v>36</v>
      </c>
      <c r="S42" s="5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83">
        <v>45563.0</v>
      </c>
      <c r="C43" s="20" t="s">
        <v>1572</v>
      </c>
      <c r="D43" s="20">
        <v>54763.0</v>
      </c>
      <c r="E43" s="20" t="s">
        <v>219</v>
      </c>
      <c r="F43" s="23"/>
      <c r="G43" s="22"/>
      <c r="H43" s="29"/>
      <c r="I43" s="21">
        <v>5000.0</v>
      </c>
      <c r="J43" s="21"/>
      <c r="K43" s="37"/>
      <c r="L43" s="22"/>
      <c r="M43" s="29"/>
      <c r="N43" s="22"/>
      <c r="O43" s="29"/>
      <c r="P43" s="25">
        <v>5000.0</v>
      </c>
      <c r="Q43" s="26">
        <f t="shared" si="1"/>
        <v>0</v>
      </c>
      <c r="R43" s="25" t="s">
        <v>43</v>
      </c>
      <c r="S43" s="5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83">
        <v>45563.0</v>
      </c>
      <c r="C44" s="20" t="s">
        <v>1573</v>
      </c>
      <c r="D44" s="20">
        <v>48854.0</v>
      </c>
      <c r="E44" s="20" t="s">
        <v>588</v>
      </c>
      <c r="F44" s="23"/>
      <c r="G44" s="22"/>
      <c r="H44" s="29"/>
      <c r="I44" s="21">
        <v>2650.0</v>
      </c>
      <c r="J44" s="21"/>
      <c r="K44" s="37"/>
      <c r="L44" s="22"/>
      <c r="M44" s="29"/>
      <c r="N44" s="22"/>
      <c r="O44" s="29"/>
      <c r="P44" s="25">
        <v>2650.0</v>
      </c>
      <c r="Q44" s="26">
        <f t="shared" si="1"/>
        <v>0</v>
      </c>
      <c r="R44" s="25" t="s">
        <v>30</v>
      </c>
      <c r="S44" s="5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83">
        <v>45563.0</v>
      </c>
      <c r="C45" s="20" t="s">
        <v>1574</v>
      </c>
      <c r="D45" s="20">
        <v>30895.0</v>
      </c>
      <c r="E45" s="20" t="s">
        <v>114</v>
      </c>
      <c r="F45" s="23"/>
      <c r="G45" s="29">
        <v>3000.0</v>
      </c>
      <c r="H45" s="29"/>
      <c r="I45" s="21"/>
      <c r="J45" s="21"/>
      <c r="K45" s="37"/>
      <c r="L45" s="22"/>
      <c r="M45" s="29"/>
      <c r="N45" s="22"/>
      <c r="O45" s="29"/>
      <c r="P45" s="25">
        <v>3000.0</v>
      </c>
      <c r="Q45" s="26">
        <f t="shared" si="1"/>
        <v>0</v>
      </c>
      <c r="R45" s="25" t="s">
        <v>33</v>
      </c>
      <c r="S45" s="5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83">
        <v>45563.0</v>
      </c>
      <c r="C46" s="20" t="s">
        <v>1575</v>
      </c>
      <c r="D46" s="20">
        <v>66932.0</v>
      </c>
      <c r="E46" s="20" t="s">
        <v>823</v>
      </c>
      <c r="F46" s="23"/>
      <c r="G46" s="22"/>
      <c r="H46" s="29"/>
      <c r="I46" s="21">
        <v>3900.0</v>
      </c>
      <c r="J46" s="21"/>
      <c r="K46" s="37"/>
      <c r="L46" s="22"/>
      <c r="M46" s="29"/>
      <c r="N46" s="22"/>
      <c r="O46" s="29"/>
      <c r="P46" s="25">
        <v>3900.0</v>
      </c>
      <c r="Q46" s="26">
        <f t="shared" si="1"/>
        <v>0</v>
      </c>
      <c r="R46" s="25" t="s">
        <v>33</v>
      </c>
      <c r="S46" s="5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83">
        <v>45563.0</v>
      </c>
      <c r="C47" s="20" t="s">
        <v>1576</v>
      </c>
      <c r="D47" s="20">
        <v>52083.0</v>
      </c>
      <c r="E47" s="20" t="s">
        <v>71</v>
      </c>
      <c r="F47" s="23"/>
      <c r="G47" s="22"/>
      <c r="H47" s="29"/>
      <c r="I47" s="21">
        <v>1100.0</v>
      </c>
      <c r="J47" s="21"/>
      <c r="K47" s="37"/>
      <c r="L47" s="22"/>
      <c r="M47" s="29"/>
      <c r="N47" s="22"/>
      <c r="O47" s="29"/>
      <c r="P47" s="25">
        <v>1100.0</v>
      </c>
      <c r="Q47" s="26">
        <f t="shared" si="1"/>
        <v>0</v>
      </c>
      <c r="R47" s="25" t="s">
        <v>33</v>
      </c>
      <c r="S47" s="5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83">
        <v>45563.0</v>
      </c>
      <c r="C48" s="20" t="s">
        <v>1577</v>
      </c>
      <c r="D48" s="20">
        <v>84859.0</v>
      </c>
      <c r="E48" s="20" t="s">
        <v>1139</v>
      </c>
      <c r="F48" s="23"/>
      <c r="G48" s="29">
        <v>7000.0</v>
      </c>
      <c r="H48" s="29"/>
      <c r="I48" s="21"/>
      <c r="J48" s="21"/>
      <c r="K48" s="37"/>
      <c r="L48" s="22"/>
      <c r="M48" s="29"/>
      <c r="N48" s="22"/>
      <c r="O48" s="29"/>
      <c r="P48" s="25">
        <v>7000.0</v>
      </c>
      <c r="Q48" s="26">
        <f t="shared" si="1"/>
        <v>0</v>
      </c>
      <c r="R48" s="25" t="s">
        <v>30</v>
      </c>
      <c r="S48" s="5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83">
        <v>45563.0</v>
      </c>
      <c r="C49" s="20" t="s">
        <v>1578</v>
      </c>
      <c r="D49" s="20">
        <v>84490.0</v>
      </c>
      <c r="E49" s="20" t="s">
        <v>1236</v>
      </c>
      <c r="F49" s="23"/>
      <c r="G49" s="22"/>
      <c r="H49" s="29"/>
      <c r="I49" s="21"/>
      <c r="J49" s="21"/>
      <c r="K49" s="37"/>
      <c r="L49" s="22"/>
      <c r="M49" s="29">
        <v>300.0</v>
      </c>
      <c r="N49" s="22"/>
      <c r="O49" s="29"/>
      <c r="P49" s="25">
        <v>300.0</v>
      </c>
      <c r="Q49" s="26">
        <f t="shared" si="1"/>
        <v>0</v>
      </c>
      <c r="R49" s="25" t="s">
        <v>36</v>
      </c>
      <c r="S49" s="5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83">
        <v>45563.0</v>
      </c>
      <c r="C50" s="20" t="s">
        <v>1579</v>
      </c>
      <c r="D50" s="20">
        <v>84859.0</v>
      </c>
      <c r="E50" s="20" t="s">
        <v>1139</v>
      </c>
      <c r="F50" s="23"/>
      <c r="G50" s="22"/>
      <c r="H50" s="29"/>
      <c r="I50" s="21"/>
      <c r="J50" s="21"/>
      <c r="K50" s="37"/>
      <c r="L50" s="22"/>
      <c r="M50" s="29">
        <v>300.0</v>
      </c>
      <c r="N50" s="22"/>
      <c r="O50" s="29"/>
      <c r="P50" s="25">
        <v>300.0</v>
      </c>
      <c r="Q50" s="26">
        <f t="shared" si="1"/>
        <v>0</v>
      </c>
      <c r="R50" s="25" t="s">
        <v>36</v>
      </c>
      <c r="S50" s="5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83">
        <v>45563.0</v>
      </c>
      <c r="C51" s="20" t="s">
        <v>1580</v>
      </c>
      <c r="D51" s="20">
        <v>84490.0</v>
      </c>
      <c r="E51" s="20" t="s">
        <v>1236</v>
      </c>
      <c r="F51" s="23"/>
      <c r="G51" s="22"/>
      <c r="H51" s="29"/>
      <c r="I51" s="21"/>
      <c r="J51" s="21"/>
      <c r="K51" s="37"/>
      <c r="L51" s="22"/>
      <c r="M51" s="29">
        <v>1000.0</v>
      </c>
      <c r="N51" s="22"/>
      <c r="O51" s="29"/>
      <c r="P51" s="25">
        <v>1000.0</v>
      </c>
      <c r="Q51" s="26">
        <f t="shared" si="1"/>
        <v>0</v>
      </c>
      <c r="R51" s="25" t="s">
        <v>43</v>
      </c>
      <c r="S51" s="5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83">
        <v>45562.0</v>
      </c>
      <c r="C52" s="20" t="s">
        <v>1581</v>
      </c>
      <c r="D52" s="20">
        <v>57201.0</v>
      </c>
      <c r="E52" s="20" t="s">
        <v>148</v>
      </c>
      <c r="F52" s="23"/>
      <c r="G52" s="22"/>
      <c r="H52" s="29">
        <v>5200.0</v>
      </c>
      <c r="I52" s="21"/>
      <c r="J52" s="21"/>
      <c r="K52" s="37"/>
      <c r="L52" s="22"/>
      <c r="M52" s="29"/>
      <c r="N52" s="22"/>
      <c r="O52" s="29"/>
      <c r="P52" s="25">
        <v>5200.0</v>
      </c>
      <c r="Q52" s="26">
        <f t="shared" si="1"/>
        <v>0</v>
      </c>
      <c r="R52" s="25"/>
      <c r="S52" s="5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83">
        <v>45562.0</v>
      </c>
      <c r="C53" s="20" t="s">
        <v>1582</v>
      </c>
      <c r="D53" s="20">
        <v>51017.0</v>
      </c>
      <c r="E53" s="20" t="s">
        <v>241</v>
      </c>
      <c r="F53" s="23"/>
      <c r="G53" s="22"/>
      <c r="H53" s="29">
        <v>15000.0</v>
      </c>
      <c r="I53" s="21"/>
      <c r="J53" s="21"/>
      <c r="K53" s="37"/>
      <c r="L53" s="22"/>
      <c r="M53" s="29"/>
      <c r="N53" s="22"/>
      <c r="O53" s="29"/>
      <c r="P53" s="25">
        <v>15000.0</v>
      </c>
      <c r="Q53" s="26">
        <f t="shared" si="1"/>
        <v>0</v>
      </c>
      <c r="R53" s="25"/>
      <c r="S53" s="5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83">
        <v>45562.0</v>
      </c>
      <c r="C54" s="20" t="s">
        <v>1583</v>
      </c>
      <c r="D54" s="20">
        <v>21828.0</v>
      </c>
      <c r="E54" s="20" t="s">
        <v>144</v>
      </c>
      <c r="F54" s="23"/>
      <c r="G54" s="22"/>
      <c r="H54" s="29"/>
      <c r="I54" s="21"/>
      <c r="J54" s="21"/>
      <c r="K54" s="37"/>
      <c r="L54" s="22"/>
      <c r="M54" s="29">
        <v>2500.0</v>
      </c>
      <c r="N54" s="22"/>
      <c r="O54" s="29"/>
      <c r="P54" s="25">
        <v>2500.0</v>
      </c>
      <c r="Q54" s="26">
        <f t="shared" si="1"/>
        <v>0</v>
      </c>
      <c r="R54" s="25"/>
      <c r="S54" s="5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83">
        <v>45562.0</v>
      </c>
      <c r="C55" s="20" t="s">
        <v>1584</v>
      </c>
      <c r="D55" s="20">
        <v>57201.0</v>
      </c>
      <c r="E55" s="20" t="s">
        <v>148</v>
      </c>
      <c r="F55" s="23"/>
      <c r="G55" s="22"/>
      <c r="H55" s="29">
        <v>6800.0</v>
      </c>
      <c r="I55" s="21"/>
      <c r="J55" s="21"/>
      <c r="K55" s="37"/>
      <c r="L55" s="22"/>
      <c r="M55" s="29"/>
      <c r="N55" s="22"/>
      <c r="O55" s="29"/>
      <c r="P55" s="25">
        <v>6800.0</v>
      </c>
      <c r="Q55" s="26">
        <f t="shared" si="1"/>
        <v>0</v>
      </c>
      <c r="R55" s="25"/>
      <c r="S55" s="5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83">
        <v>45563.0</v>
      </c>
      <c r="C56" s="20" t="s">
        <v>1585</v>
      </c>
      <c r="D56" s="20">
        <v>52214.0</v>
      </c>
      <c r="E56" s="20" t="s">
        <v>1360</v>
      </c>
      <c r="F56" s="23"/>
      <c r="G56" s="22"/>
      <c r="H56" s="29"/>
      <c r="I56" s="21"/>
      <c r="J56" s="21"/>
      <c r="K56" s="37"/>
      <c r="L56" s="22"/>
      <c r="M56" s="29">
        <v>650.0</v>
      </c>
      <c r="N56" s="22"/>
      <c r="O56" s="29"/>
      <c r="P56" s="25">
        <v>650.0</v>
      </c>
      <c r="Q56" s="26">
        <f t="shared" si="1"/>
        <v>0</v>
      </c>
      <c r="R56" s="25"/>
      <c r="S56" s="5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83">
        <v>45563.0</v>
      </c>
      <c r="C57" s="20" t="s">
        <v>1586</v>
      </c>
      <c r="D57" s="20">
        <v>43380.0</v>
      </c>
      <c r="E57" s="20" t="s">
        <v>124</v>
      </c>
      <c r="F57" s="23"/>
      <c r="G57" s="22"/>
      <c r="H57" s="29">
        <v>9000.0</v>
      </c>
      <c r="I57" s="21"/>
      <c r="J57" s="21"/>
      <c r="K57" s="37"/>
      <c r="L57" s="22"/>
      <c r="M57" s="29"/>
      <c r="N57" s="22"/>
      <c r="O57" s="29"/>
      <c r="P57" s="25">
        <v>9000.0</v>
      </c>
      <c r="Q57" s="26">
        <f t="shared" si="1"/>
        <v>0</v>
      </c>
      <c r="R57" s="25"/>
      <c r="S57" s="5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83">
        <v>45563.0</v>
      </c>
      <c r="C58" s="20" t="s">
        <v>1587</v>
      </c>
      <c r="D58" s="20">
        <v>83404.0</v>
      </c>
      <c r="E58" s="20" t="s">
        <v>1588</v>
      </c>
      <c r="F58" s="23"/>
      <c r="G58" s="22"/>
      <c r="H58" s="29">
        <v>10000.0</v>
      </c>
      <c r="I58" s="21"/>
      <c r="J58" s="21"/>
      <c r="K58" s="37"/>
      <c r="L58" s="22"/>
      <c r="M58" s="29"/>
      <c r="N58" s="22"/>
      <c r="O58" s="29"/>
      <c r="P58" s="25">
        <v>10000.0</v>
      </c>
      <c r="Q58" s="26">
        <f t="shared" si="1"/>
        <v>0</v>
      </c>
      <c r="R58" s="25"/>
      <c r="S58" s="5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83">
        <v>45563.0</v>
      </c>
      <c r="C59" s="20" t="s">
        <v>1589</v>
      </c>
      <c r="D59" s="20">
        <v>37642.0</v>
      </c>
      <c r="E59" s="20" t="s">
        <v>107</v>
      </c>
      <c r="F59" s="23"/>
      <c r="G59" s="22"/>
      <c r="H59" s="29"/>
      <c r="I59" s="21"/>
      <c r="J59" s="21"/>
      <c r="K59" s="37"/>
      <c r="L59" s="22"/>
      <c r="M59" s="29">
        <v>20000.0</v>
      </c>
      <c r="N59" s="22"/>
      <c r="O59" s="29"/>
      <c r="P59" s="25">
        <v>20000.0</v>
      </c>
      <c r="Q59" s="26">
        <f t="shared" si="1"/>
        <v>0</v>
      </c>
      <c r="R59" s="25"/>
      <c r="S59" s="5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83">
        <v>45563.0</v>
      </c>
      <c r="C60" s="20" t="s">
        <v>1590</v>
      </c>
      <c r="D60" s="20">
        <v>37642.0</v>
      </c>
      <c r="E60" s="20" t="s">
        <v>107</v>
      </c>
      <c r="F60" s="23"/>
      <c r="G60" s="22"/>
      <c r="H60" s="29">
        <v>5000.0</v>
      </c>
      <c r="I60" s="21"/>
      <c r="J60" s="21"/>
      <c r="K60" s="37"/>
      <c r="L60" s="22"/>
      <c r="M60" s="29"/>
      <c r="N60" s="22"/>
      <c r="O60" s="29"/>
      <c r="P60" s="25">
        <v>5000.0</v>
      </c>
      <c r="Q60" s="26">
        <f t="shared" si="1"/>
        <v>0</v>
      </c>
      <c r="R60" s="25"/>
      <c r="S60" s="5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83">
        <v>45563.0</v>
      </c>
      <c r="C61" s="20" t="s">
        <v>1591</v>
      </c>
      <c r="D61" s="20">
        <v>21828.0</v>
      </c>
      <c r="E61" s="20" t="s">
        <v>144</v>
      </c>
      <c r="F61" s="23"/>
      <c r="G61" s="22"/>
      <c r="H61" s="29"/>
      <c r="I61" s="21"/>
      <c r="J61" s="21"/>
      <c r="K61" s="37"/>
      <c r="L61" s="22"/>
      <c r="M61" s="29">
        <v>2500.0</v>
      </c>
      <c r="N61" s="22"/>
      <c r="O61" s="29"/>
      <c r="P61" s="25">
        <v>2500.0</v>
      </c>
      <c r="Q61" s="26">
        <f t="shared" si="1"/>
        <v>0</v>
      </c>
      <c r="R61" s="25"/>
      <c r="S61" s="5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83">
        <v>45563.0</v>
      </c>
      <c r="C62" s="20" t="s">
        <v>1592</v>
      </c>
      <c r="D62" s="20">
        <v>21828.0</v>
      </c>
      <c r="E62" s="20" t="s">
        <v>144</v>
      </c>
      <c r="F62" s="23"/>
      <c r="G62" s="22"/>
      <c r="H62" s="29"/>
      <c r="I62" s="21"/>
      <c r="J62" s="21"/>
      <c r="K62" s="37"/>
      <c r="L62" s="22"/>
      <c r="M62" s="29">
        <v>2500.0</v>
      </c>
      <c r="N62" s="22"/>
      <c r="O62" s="29"/>
      <c r="P62" s="25">
        <v>2500.0</v>
      </c>
      <c r="Q62" s="26">
        <f t="shared" si="1"/>
        <v>0</v>
      </c>
      <c r="R62" s="25"/>
      <c r="S62" s="5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>
        <v>59.0</v>
      </c>
      <c r="B63" s="83">
        <v>45563.0</v>
      </c>
      <c r="C63" s="20" t="s">
        <v>1593</v>
      </c>
      <c r="D63" s="20">
        <v>35220.0</v>
      </c>
      <c r="E63" s="20" t="s">
        <v>395</v>
      </c>
      <c r="F63" s="23"/>
      <c r="G63" s="29"/>
      <c r="H63" s="29">
        <v>7950.0</v>
      </c>
      <c r="I63" s="21"/>
      <c r="J63" s="21"/>
      <c r="K63" s="37"/>
      <c r="L63" s="22"/>
      <c r="M63" s="29"/>
      <c r="N63" s="22"/>
      <c r="O63" s="29"/>
      <c r="P63" s="25">
        <v>7950.0</v>
      </c>
      <c r="Q63" s="26">
        <f t="shared" si="1"/>
        <v>0</v>
      </c>
      <c r="R63" s="25"/>
      <c r="S63" s="5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4.5" customHeight="1">
      <c r="A64" s="16">
        <v>60.0</v>
      </c>
      <c r="B64" s="83">
        <v>45563.0</v>
      </c>
      <c r="C64" s="20" t="s">
        <v>1594</v>
      </c>
      <c r="D64" s="20">
        <v>66838.0</v>
      </c>
      <c r="E64" s="20" t="s">
        <v>1595</v>
      </c>
      <c r="F64" s="23"/>
      <c r="G64" s="29"/>
      <c r="H64" s="29">
        <v>9000.0</v>
      </c>
      <c r="I64" s="21"/>
      <c r="J64" s="21"/>
      <c r="K64" s="37"/>
      <c r="L64" s="22"/>
      <c r="M64" s="29"/>
      <c r="N64" s="22"/>
      <c r="O64" s="29"/>
      <c r="P64" s="25">
        <v>9000.0</v>
      </c>
      <c r="Q64" s="26">
        <f t="shared" si="1"/>
        <v>0</v>
      </c>
      <c r="R64" s="25"/>
      <c r="S64" s="5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34.5" customHeight="1">
      <c r="A65" s="16">
        <v>61.0</v>
      </c>
      <c r="B65" s="83">
        <v>45563.0</v>
      </c>
      <c r="C65" s="20" t="s">
        <v>1596</v>
      </c>
      <c r="D65" s="20">
        <v>50595.0</v>
      </c>
      <c r="E65" s="20" t="s">
        <v>86</v>
      </c>
      <c r="F65" s="23"/>
      <c r="G65" s="29"/>
      <c r="H65" s="29">
        <v>15000.0</v>
      </c>
      <c r="I65" s="21"/>
      <c r="J65" s="21"/>
      <c r="K65" s="37"/>
      <c r="L65" s="22"/>
      <c r="M65" s="29"/>
      <c r="N65" s="22"/>
      <c r="O65" s="29"/>
      <c r="P65" s="25">
        <v>15000.0</v>
      </c>
      <c r="Q65" s="26">
        <f t="shared" si="1"/>
        <v>0</v>
      </c>
      <c r="R65" s="25"/>
      <c r="S65" s="5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34.5" customHeight="1">
      <c r="A66" s="16">
        <v>62.0</v>
      </c>
      <c r="B66" s="83">
        <v>45563.0</v>
      </c>
      <c r="C66" s="20" t="s">
        <v>1597</v>
      </c>
      <c r="D66" s="20">
        <v>50595.0</v>
      </c>
      <c r="E66" s="20" t="s">
        <v>86</v>
      </c>
      <c r="F66" s="23"/>
      <c r="G66" s="29"/>
      <c r="H66" s="29">
        <v>10000.0</v>
      </c>
      <c r="I66" s="21"/>
      <c r="J66" s="21"/>
      <c r="K66" s="37"/>
      <c r="L66" s="22"/>
      <c r="M66" s="29"/>
      <c r="N66" s="22"/>
      <c r="O66" s="29"/>
      <c r="P66" s="25">
        <v>10000.0</v>
      </c>
      <c r="Q66" s="26">
        <f t="shared" si="1"/>
        <v>0</v>
      </c>
      <c r="R66" s="25"/>
      <c r="S66" s="5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37.5" customHeight="1">
      <c r="A67" s="16"/>
      <c r="B67" s="51"/>
      <c r="C67" s="52"/>
      <c r="D67" s="53" t="s">
        <v>149</v>
      </c>
      <c r="E67" s="54"/>
      <c r="F67" s="55">
        <f t="shared" ref="F67:P67" si="2">SUM(F5:F66)</f>
        <v>550</v>
      </c>
      <c r="G67" s="55">
        <f t="shared" si="2"/>
        <v>36850</v>
      </c>
      <c r="H67" s="55">
        <f t="shared" si="2"/>
        <v>92950</v>
      </c>
      <c r="I67" s="55">
        <f t="shared" si="2"/>
        <v>180598</v>
      </c>
      <c r="J67" s="55">
        <f t="shared" si="2"/>
        <v>28600</v>
      </c>
      <c r="K67" s="55">
        <f t="shared" si="2"/>
        <v>1700</v>
      </c>
      <c r="L67" s="55">
        <f t="shared" si="2"/>
        <v>0</v>
      </c>
      <c r="M67" s="55">
        <f t="shared" si="2"/>
        <v>30750</v>
      </c>
      <c r="N67" s="55">
        <f t="shared" si="2"/>
        <v>0</v>
      </c>
      <c r="O67" s="55">
        <f t="shared" si="2"/>
        <v>0</v>
      </c>
      <c r="P67" s="55">
        <f t="shared" si="2"/>
        <v>371998</v>
      </c>
      <c r="Q67" s="56">
        <v>0.0</v>
      </c>
      <c r="R67" s="57"/>
      <c r="S67" s="57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</row>
    <row r="68" ht="58.5" customHeight="1">
      <c r="A68" s="58"/>
      <c r="B68" s="58"/>
      <c r="C68" s="59"/>
      <c r="D68" s="58"/>
      <c r="E68" s="58"/>
      <c r="F68" s="60">
        <f>F67+G67+H67+I67+J67+K67+L67+M67+N67+O67</f>
        <v>371998</v>
      </c>
      <c r="P68" s="61"/>
      <c r="Q68" s="61"/>
      <c r="R68" s="58"/>
      <c r="S68" s="58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26.25" customHeight="1">
      <c r="A71" s="4"/>
      <c r="B71" s="4"/>
      <c r="C71" s="63" t="s">
        <v>149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26.25" customHeight="1">
      <c r="A72" s="4"/>
      <c r="B72" s="4"/>
      <c r="C72" s="62"/>
      <c r="D72" s="4"/>
      <c r="E72" s="64" t="s">
        <v>150</v>
      </c>
      <c r="F72" s="65" t="s">
        <v>1598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26.25" customHeight="1">
      <c r="A73" s="4"/>
      <c r="B73" s="4"/>
      <c r="C73" s="62"/>
      <c r="D73" s="4"/>
      <c r="E73" s="66" t="s">
        <v>152</v>
      </c>
      <c r="F73" s="65" t="s">
        <v>255</v>
      </c>
      <c r="G73" s="4"/>
      <c r="H73" s="4"/>
      <c r="I73" s="4"/>
      <c r="J73" s="4"/>
      <c r="K73" s="4"/>
      <c r="L73" s="4"/>
      <c r="M73" s="4"/>
      <c r="N73" s="4"/>
      <c r="O73" s="67" t="s">
        <v>149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26.25" customHeight="1">
      <c r="A74" s="4"/>
      <c r="B74" s="4"/>
      <c r="C74" s="62"/>
      <c r="D74" s="4"/>
      <c r="E74" s="66" t="s">
        <v>154</v>
      </c>
      <c r="F74" s="65" t="s">
        <v>151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26.25" customHeight="1">
      <c r="A75" s="4"/>
      <c r="B75" s="4"/>
      <c r="C75" s="62"/>
      <c r="D75" s="4"/>
      <c r="E75" s="66" t="s">
        <v>156</v>
      </c>
      <c r="F75" s="65" t="s">
        <v>151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26.25" customHeight="1">
      <c r="A76" s="4"/>
      <c r="B76" s="4"/>
      <c r="C76" s="62"/>
      <c r="D76" s="4"/>
      <c r="E76" s="66" t="s">
        <v>157</v>
      </c>
      <c r="F76" s="86" t="s">
        <v>1599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26.25" customHeight="1">
      <c r="A77" s="4"/>
      <c r="B77" s="4"/>
      <c r="C77" s="62"/>
      <c r="D77" s="4"/>
      <c r="E77" s="66" t="s">
        <v>1600</v>
      </c>
      <c r="F77" s="65" t="s">
        <v>151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26.25" customHeight="1">
      <c r="A78" s="4"/>
      <c r="B78" s="4"/>
      <c r="C78" s="62"/>
      <c r="D78" s="4"/>
      <c r="E78" s="85" t="s">
        <v>1413</v>
      </c>
      <c r="F78" s="65" t="s">
        <v>255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26.25" customHeight="1">
      <c r="A79" s="4"/>
      <c r="B79" s="4"/>
      <c r="C79" s="62"/>
      <c r="D79" s="4"/>
      <c r="E79" s="66" t="s">
        <v>161</v>
      </c>
      <c r="F79" s="68" t="s">
        <v>162</v>
      </c>
      <c r="G79" s="4"/>
      <c r="H79" s="4"/>
      <c r="I79" s="4"/>
      <c r="J79" s="4"/>
      <c r="K79" s="4"/>
      <c r="L79" s="4"/>
      <c r="M79" s="69" t="s">
        <v>812</v>
      </c>
      <c r="N79" s="4"/>
      <c r="O79" s="4"/>
      <c r="P79" s="4"/>
      <c r="Q79" s="4"/>
      <c r="R79" s="4"/>
      <c r="S79" s="4"/>
      <c r="T79" s="4"/>
      <c r="U79" s="67" t="s">
        <v>149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26.2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 t="str">
        <f>I72467</f>
        <v/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26.2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69"/>
      <c r="G87" s="4"/>
      <c r="H87" s="4"/>
      <c r="I87" s="67" t="s">
        <v>163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>
        <v>7.0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6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6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6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6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6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6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6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6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4"/>
      <c r="B300" s="4"/>
      <c r="C300" s="6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4"/>
      <c r="B301" s="4"/>
      <c r="C301" s="6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4"/>
      <c r="B302" s="4"/>
      <c r="C302" s="6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R2:R4"/>
    <mergeCell ref="S2:S4"/>
    <mergeCell ref="F3:F4"/>
    <mergeCell ref="G3:H3"/>
    <mergeCell ref="I3:J3"/>
    <mergeCell ref="K3:K4"/>
    <mergeCell ref="F68:O6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4.5"/>
    <col customWidth="1" min="4" max="4" width="9.38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1601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45563.0</v>
      </c>
      <c r="C5" s="20" t="s">
        <v>1602</v>
      </c>
      <c r="D5" s="20">
        <v>21971.0</v>
      </c>
      <c r="E5" s="20" t="s">
        <v>584</v>
      </c>
      <c r="F5" s="21"/>
      <c r="G5" s="29"/>
      <c r="H5" s="23"/>
      <c r="I5" s="37">
        <v>0.0</v>
      </c>
      <c r="J5" s="37"/>
      <c r="K5" s="22"/>
      <c r="L5" s="22"/>
      <c r="M5" s="21"/>
      <c r="N5" s="22"/>
      <c r="O5" s="22"/>
      <c r="P5" s="25">
        <v>9000.0</v>
      </c>
      <c r="Q5" s="26">
        <f t="shared" ref="Q5:Q40" si="1">F5+G5+H5+I5+J5+K5+L5+M5+N5+O5-P5</f>
        <v>-9000</v>
      </c>
      <c r="R5" s="25" t="s">
        <v>33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45563.0</v>
      </c>
      <c r="C6" s="20" t="s">
        <v>1603</v>
      </c>
      <c r="D6" s="20">
        <v>54280.0</v>
      </c>
      <c r="E6" s="20" t="s">
        <v>175</v>
      </c>
      <c r="F6" s="23"/>
      <c r="G6" s="22"/>
      <c r="H6" s="22"/>
      <c r="I6" s="21">
        <v>0.0</v>
      </c>
      <c r="J6" s="29"/>
      <c r="K6" s="29"/>
      <c r="L6" s="22"/>
      <c r="M6" s="21"/>
      <c r="N6" s="22"/>
      <c r="O6" s="22"/>
      <c r="P6" s="25">
        <v>2750.0</v>
      </c>
      <c r="Q6" s="26">
        <f t="shared" si="1"/>
        <v>-2750</v>
      </c>
      <c r="R6" s="25" t="s">
        <v>43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45564.0</v>
      </c>
      <c r="C7" s="20" t="s">
        <v>1604</v>
      </c>
      <c r="D7" s="20">
        <v>54280.0</v>
      </c>
      <c r="E7" s="20" t="s">
        <v>175</v>
      </c>
      <c r="F7" s="22"/>
      <c r="G7" s="29"/>
      <c r="H7" s="23"/>
      <c r="I7" s="21">
        <v>1050.0</v>
      </c>
      <c r="J7" s="37"/>
      <c r="K7" s="29"/>
      <c r="L7" s="22"/>
      <c r="M7" s="22"/>
      <c r="N7" s="22"/>
      <c r="O7" s="22"/>
      <c r="P7" s="25">
        <v>1050.0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45564.0</v>
      </c>
      <c r="C8" s="20" t="s">
        <v>1605</v>
      </c>
      <c r="D8" s="20">
        <v>59377.0</v>
      </c>
      <c r="E8" s="20" t="s">
        <v>1606</v>
      </c>
      <c r="F8" s="22"/>
      <c r="G8" s="29"/>
      <c r="H8" s="22"/>
      <c r="I8" s="21">
        <v>2970.0</v>
      </c>
      <c r="J8" s="21"/>
      <c r="K8" s="29"/>
      <c r="L8" s="22"/>
      <c r="M8" s="22"/>
      <c r="N8" s="22"/>
      <c r="O8" s="22"/>
      <c r="P8" s="25">
        <v>2970.0</v>
      </c>
      <c r="Q8" s="26">
        <f t="shared" si="1"/>
        <v>0</v>
      </c>
      <c r="R8" s="25" t="s">
        <v>43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45564.0</v>
      </c>
      <c r="C9" s="20" t="s">
        <v>1607</v>
      </c>
      <c r="D9" s="20">
        <v>61420.0</v>
      </c>
      <c r="E9" s="20" t="s">
        <v>782</v>
      </c>
      <c r="F9" s="22"/>
      <c r="G9" s="29"/>
      <c r="H9" s="22"/>
      <c r="I9" s="21">
        <v>5150.0</v>
      </c>
      <c r="J9" s="21"/>
      <c r="K9" s="22"/>
      <c r="L9" s="22"/>
      <c r="M9" s="23"/>
      <c r="N9" s="22"/>
      <c r="O9" s="22"/>
      <c r="P9" s="25">
        <v>5150.0</v>
      </c>
      <c r="Q9" s="26">
        <f t="shared" si="1"/>
        <v>0</v>
      </c>
      <c r="R9" s="25" t="s">
        <v>36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45564.0</v>
      </c>
      <c r="C10" s="20" t="s">
        <v>1608</v>
      </c>
      <c r="D10" s="20">
        <v>10249.0</v>
      </c>
      <c r="E10" s="20" t="s">
        <v>126</v>
      </c>
      <c r="F10" s="22"/>
      <c r="G10" s="29"/>
      <c r="H10" s="22"/>
      <c r="I10" s="21"/>
      <c r="J10" s="21">
        <v>9500.0</v>
      </c>
      <c r="K10" s="22"/>
      <c r="L10" s="22"/>
      <c r="M10" s="23"/>
      <c r="N10" s="22"/>
      <c r="O10" s="22"/>
      <c r="P10" s="25">
        <v>9500.0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45564.0</v>
      </c>
      <c r="C11" s="20" t="s">
        <v>1609</v>
      </c>
      <c r="D11" s="20">
        <v>22341.0</v>
      </c>
      <c r="E11" s="20" t="s">
        <v>69</v>
      </c>
      <c r="F11" s="22"/>
      <c r="G11" s="22"/>
      <c r="H11" s="29"/>
      <c r="I11" s="21">
        <v>2650.0</v>
      </c>
      <c r="J11" s="21"/>
      <c r="K11" s="29"/>
      <c r="L11" s="22"/>
      <c r="M11" s="23"/>
      <c r="N11" s="22"/>
      <c r="O11" s="22"/>
      <c r="P11" s="25">
        <v>2650.0</v>
      </c>
      <c r="Q11" s="26">
        <f t="shared" si="1"/>
        <v>0</v>
      </c>
      <c r="R11" s="25" t="s">
        <v>36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45564.0</v>
      </c>
      <c r="C12" s="20" t="s">
        <v>1610</v>
      </c>
      <c r="D12" s="20">
        <v>54764.0</v>
      </c>
      <c r="E12" s="20" t="s">
        <v>221</v>
      </c>
      <c r="F12" s="29">
        <v>140.0</v>
      </c>
      <c r="G12" s="22"/>
      <c r="H12" s="29"/>
      <c r="I12" s="21"/>
      <c r="J12" s="21"/>
      <c r="K12" s="29"/>
      <c r="L12" s="22"/>
      <c r="M12" s="23"/>
      <c r="N12" s="22"/>
      <c r="O12" s="22"/>
      <c r="P12" s="25">
        <v>140.0</v>
      </c>
      <c r="Q12" s="26">
        <f t="shared" si="1"/>
        <v>0</v>
      </c>
      <c r="R12" s="25" t="s">
        <v>36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45564.0</v>
      </c>
      <c r="C13" s="20" t="s">
        <v>1611</v>
      </c>
      <c r="D13" s="20">
        <v>10271.0</v>
      </c>
      <c r="E13" s="20" t="s">
        <v>371</v>
      </c>
      <c r="F13" s="22"/>
      <c r="G13" s="29">
        <v>3000.0</v>
      </c>
      <c r="H13" s="22"/>
      <c r="I13" s="21"/>
      <c r="J13" s="21"/>
      <c r="K13" s="22"/>
      <c r="L13" s="22"/>
      <c r="M13" s="21"/>
      <c r="N13" s="22"/>
      <c r="O13" s="22"/>
      <c r="P13" s="35">
        <v>3000.0</v>
      </c>
      <c r="Q13" s="26">
        <f t="shared" si="1"/>
        <v>0</v>
      </c>
      <c r="R13" s="35" t="s">
        <v>43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45564.0</v>
      </c>
      <c r="C14" s="20" t="s">
        <v>1612</v>
      </c>
      <c r="D14" s="20">
        <v>48657.0</v>
      </c>
      <c r="E14" s="20" t="s">
        <v>590</v>
      </c>
      <c r="F14" s="22"/>
      <c r="G14" s="29"/>
      <c r="H14" s="29"/>
      <c r="I14" s="21">
        <v>2500.0</v>
      </c>
      <c r="J14" s="21"/>
      <c r="K14" s="22"/>
      <c r="L14" s="22"/>
      <c r="M14" s="23"/>
      <c r="N14" s="22"/>
      <c r="O14" s="22"/>
      <c r="P14" s="25">
        <v>2500.0</v>
      </c>
      <c r="Q14" s="26">
        <f t="shared" si="1"/>
        <v>0</v>
      </c>
      <c r="R14" s="25" t="s">
        <v>36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45564.0</v>
      </c>
      <c r="C15" s="20" t="s">
        <v>1613</v>
      </c>
      <c r="D15" s="20">
        <v>84024.0</v>
      </c>
      <c r="E15" s="20" t="s">
        <v>523</v>
      </c>
      <c r="F15" s="22"/>
      <c r="G15" s="29"/>
      <c r="H15" s="22"/>
      <c r="I15" s="21"/>
      <c r="J15" s="21"/>
      <c r="K15" s="29"/>
      <c r="L15" s="22"/>
      <c r="M15" s="21">
        <v>430.0</v>
      </c>
      <c r="N15" s="22"/>
      <c r="O15" s="22"/>
      <c r="P15" s="25">
        <v>430.0</v>
      </c>
      <c r="Q15" s="26">
        <f t="shared" si="1"/>
        <v>0</v>
      </c>
      <c r="R15" s="25" t="s">
        <v>43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45564.0</v>
      </c>
      <c r="C16" s="20" t="s">
        <v>1614</v>
      </c>
      <c r="D16" s="20">
        <v>52686.0</v>
      </c>
      <c r="E16" s="20" t="s">
        <v>1615</v>
      </c>
      <c r="F16" s="22"/>
      <c r="G16" s="29">
        <v>59000.0</v>
      </c>
      <c r="H16" s="22"/>
      <c r="I16" s="21"/>
      <c r="J16" s="21"/>
      <c r="K16" s="29"/>
      <c r="L16" s="22"/>
      <c r="M16" s="21"/>
      <c r="N16" s="22"/>
      <c r="O16" s="22"/>
      <c r="P16" s="25">
        <v>59000.0</v>
      </c>
      <c r="Q16" s="26">
        <f t="shared" si="1"/>
        <v>0</v>
      </c>
      <c r="R16" s="25" t="s">
        <v>36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45564.0</v>
      </c>
      <c r="C17" s="20" t="s">
        <v>1616</v>
      </c>
      <c r="D17" s="20">
        <v>67621.0</v>
      </c>
      <c r="E17" s="20" t="s">
        <v>216</v>
      </c>
      <c r="F17" s="29"/>
      <c r="G17" s="22"/>
      <c r="H17" s="29"/>
      <c r="I17" s="21">
        <v>200.0</v>
      </c>
      <c r="J17" s="21"/>
      <c r="K17" s="22"/>
      <c r="L17" s="22"/>
      <c r="M17" s="21"/>
      <c r="N17" s="22"/>
      <c r="O17" s="22"/>
      <c r="P17" s="25">
        <v>200.0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45564.0</v>
      </c>
      <c r="C18" s="20" t="s">
        <v>1617</v>
      </c>
      <c r="D18" s="20">
        <v>31738.0</v>
      </c>
      <c r="E18" s="20" t="s">
        <v>1618</v>
      </c>
      <c r="F18" s="22"/>
      <c r="G18" s="22"/>
      <c r="H18" s="29"/>
      <c r="I18" s="21">
        <v>2500.0</v>
      </c>
      <c r="J18" s="21"/>
      <c r="K18" s="29"/>
      <c r="L18" s="22"/>
      <c r="M18" s="29"/>
      <c r="N18" s="22"/>
      <c r="O18" s="22"/>
      <c r="P18" s="25">
        <v>2500.0</v>
      </c>
      <c r="Q18" s="26">
        <f t="shared" si="1"/>
        <v>0</v>
      </c>
      <c r="R18" s="25" t="s">
        <v>36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45564.0</v>
      </c>
      <c r="C19" s="20" t="s">
        <v>1619</v>
      </c>
      <c r="D19" s="20">
        <v>65021.0</v>
      </c>
      <c r="E19" s="20" t="s">
        <v>1620</v>
      </c>
      <c r="F19" s="22"/>
      <c r="G19" s="29"/>
      <c r="H19" s="22"/>
      <c r="I19" s="21"/>
      <c r="J19" s="21"/>
      <c r="K19" s="22"/>
      <c r="L19" s="22"/>
      <c r="M19" s="21">
        <v>5290.0</v>
      </c>
      <c r="N19" s="22"/>
      <c r="O19" s="22"/>
      <c r="P19" s="35">
        <v>5290.0</v>
      </c>
      <c r="Q19" s="26">
        <f t="shared" si="1"/>
        <v>0</v>
      </c>
      <c r="R19" s="35" t="s">
        <v>36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45564.0</v>
      </c>
      <c r="C20" s="20" t="s">
        <v>1621</v>
      </c>
      <c r="D20" s="20">
        <v>35227.0</v>
      </c>
      <c r="E20" s="20" t="s">
        <v>301</v>
      </c>
      <c r="F20" s="29"/>
      <c r="G20" s="29">
        <v>3750.0</v>
      </c>
      <c r="H20" s="22"/>
      <c r="I20" s="37"/>
      <c r="J20" s="37"/>
      <c r="K20" s="22"/>
      <c r="L20" s="22"/>
      <c r="M20" s="22"/>
      <c r="N20" s="22"/>
      <c r="O20" s="22"/>
      <c r="P20" s="25">
        <v>3750.0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45564.0</v>
      </c>
      <c r="C21" s="20" t="s">
        <v>1622</v>
      </c>
      <c r="D21" s="20">
        <v>22332.0</v>
      </c>
      <c r="E21" s="20" t="s">
        <v>79</v>
      </c>
      <c r="F21" s="21"/>
      <c r="G21" s="29"/>
      <c r="H21" s="22"/>
      <c r="I21" s="45"/>
      <c r="J21" s="29"/>
      <c r="K21" s="49">
        <v>1450.0</v>
      </c>
      <c r="L21" s="22"/>
      <c r="M21" s="22"/>
      <c r="N21" s="22"/>
      <c r="O21" s="22"/>
      <c r="P21" s="25">
        <v>1450.0</v>
      </c>
      <c r="Q21" s="26">
        <f t="shared" si="1"/>
        <v>0</v>
      </c>
      <c r="R21" s="25" t="s">
        <v>36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45564.0</v>
      </c>
      <c r="C22" s="20" t="s">
        <v>1623</v>
      </c>
      <c r="D22" s="20">
        <v>28414.0</v>
      </c>
      <c r="E22" s="20" t="s">
        <v>438</v>
      </c>
      <c r="F22" s="21"/>
      <c r="G22" s="29">
        <v>5950.0</v>
      </c>
      <c r="H22" s="22"/>
      <c r="I22" s="21"/>
      <c r="J22" s="29"/>
      <c r="K22" s="23"/>
      <c r="L22" s="22"/>
      <c r="M22" s="22"/>
      <c r="N22" s="22"/>
      <c r="O22" s="22"/>
      <c r="P22" s="25">
        <v>5950.0</v>
      </c>
      <c r="Q22" s="26">
        <f t="shared" si="1"/>
        <v>0</v>
      </c>
      <c r="R22" s="25" t="s">
        <v>25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45564.0</v>
      </c>
      <c r="C23" s="20" t="s">
        <v>1624</v>
      </c>
      <c r="D23" s="20">
        <v>52404.0</v>
      </c>
      <c r="E23" s="20" t="s">
        <v>1253</v>
      </c>
      <c r="F23" s="38"/>
      <c r="G23" s="71"/>
      <c r="H23" s="44"/>
      <c r="I23" s="45">
        <v>1050.0</v>
      </c>
      <c r="J23" s="45"/>
      <c r="K23" s="73"/>
      <c r="L23" s="44"/>
      <c r="M23" s="44"/>
      <c r="N23" s="44"/>
      <c r="O23" s="44"/>
      <c r="P23" s="47">
        <v>1050.0</v>
      </c>
      <c r="Q23" s="26">
        <f t="shared" si="1"/>
        <v>0</v>
      </c>
      <c r="R23" s="47" t="s">
        <v>36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45564.0</v>
      </c>
      <c r="C24" s="20" t="s">
        <v>1625</v>
      </c>
      <c r="D24" s="20">
        <v>38387.0</v>
      </c>
      <c r="E24" s="20" t="s">
        <v>1626</v>
      </c>
      <c r="F24" s="23"/>
      <c r="G24" s="29"/>
      <c r="H24" s="22"/>
      <c r="I24" s="21">
        <v>1000.0</v>
      </c>
      <c r="J24" s="29"/>
      <c r="K24" s="49"/>
      <c r="L24" s="22"/>
      <c r="M24" s="22"/>
      <c r="N24" s="22"/>
      <c r="O24" s="22"/>
      <c r="P24" s="25">
        <v>1000.0</v>
      </c>
      <c r="Q24" s="26">
        <f t="shared" si="1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45564.0</v>
      </c>
      <c r="C25" s="20" t="s">
        <v>1627</v>
      </c>
      <c r="D25" s="20">
        <v>53785.0</v>
      </c>
      <c r="E25" s="20" t="s">
        <v>1628</v>
      </c>
      <c r="F25" s="23"/>
      <c r="G25" s="22"/>
      <c r="H25" s="29"/>
      <c r="I25" s="21">
        <v>10000.0</v>
      </c>
      <c r="J25" s="21"/>
      <c r="K25" s="49"/>
      <c r="L25" s="22"/>
      <c r="M25" s="22"/>
      <c r="N25" s="22"/>
      <c r="O25" s="22"/>
      <c r="P25" s="25">
        <v>10000.0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45564.0</v>
      </c>
      <c r="C26" s="20" t="s">
        <v>1629</v>
      </c>
      <c r="D26" s="20">
        <v>10271.0</v>
      </c>
      <c r="E26" s="20" t="s">
        <v>371</v>
      </c>
      <c r="F26" s="23"/>
      <c r="G26" s="29">
        <v>2500.0</v>
      </c>
      <c r="H26" s="29"/>
      <c r="I26" s="21"/>
      <c r="J26" s="21"/>
      <c r="K26" s="37"/>
      <c r="L26" s="22"/>
      <c r="M26" s="29"/>
      <c r="N26" s="22"/>
      <c r="O26" s="22"/>
      <c r="P26" s="25">
        <v>2500.0</v>
      </c>
      <c r="Q26" s="26">
        <f t="shared" si="1"/>
        <v>0</v>
      </c>
      <c r="R26" s="25" t="s">
        <v>25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45564.0</v>
      </c>
      <c r="C27" s="20" t="s">
        <v>1630</v>
      </c>
      <c r="D27" s="20">
        <v>22727.0</v>
      </c>
      <c r="E27" s="20" t="s">
        <v>519</v>
      </c>
      <c r="F27" s="21"/>
      <c r="G27" s="29"/>
      <c r="H27" s="29"/>
      <c r="I27" s="21">
        <v>2500.0</v>
      </c>
      <c r="J27" s="21"/>
      <c r="K27" s="37"/>
      <c r="L27" s="22"/>
      <c r="M27" s="29"/>
      <c r="N27" s="22"/>
      <c r="O27" s="29"/>
      <c r="P27" s="25">
        <v>2500.0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45564.0</v>
      </c>
      <c r="C28" s="20" t="s">
        <v>1631</v>
      </c>
      <c r="D28" s="20">
        <v>34956.0</v>
      </c>
      <c r="E28" s="20" t="s">
        <v>1632</v>
      </c>
      <c r="F28" s="23"/>
      <c r="G28" s="29"/>
      <c r="H28" s="29"/>
      <c r="I28" s="21">
        <v>5150.0</v>
      </c>
      <c r="J28" s="21"/>
      <c r="K28" s="37"/>
      <c r="L28" s="22"/>
      <c r="M28" s="29"/>
      <c r="N28" s="22"/>
      <c r="O28" s="29"/>
      <c r="P28" s="25">
        <v>5150.0</v>
      </c>
      <c r="Q28" s="26">
        <f t="shared" si="1"/>
        <v>0</v>
      </c>
      <c r="R28" s="25" t="s">
        <v>25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45563.0</v>
      </c>
      <c r="C29" s="20" t="s">
        <v>1633</v>
      </c>
      <c r="D29" s="20">
        <v>79159.0</v>
      </c>
      <c r="E29" s="20" t="s">
        <v>1634</v>
      </c>
      <c r="F29" s="23"/>
      <c r="G29" s="22"/>
      <c r="H29" s="29"/>
      <c r="I29" s="21"/>
      <c r="J29" s="21"/>
      <c r="K29" s="37"/>
      <c r="L29" s="22"/>
      <c r="M29" s="29">
        <v>12700.0</v>
      </c>
      <c r="N29" s="22"/>
      <c r="O29" s="29"/>
      <c r="P29" s="25">
        <v>12700.0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45563.0</v>
      </c>
      <c r="C30" s="20" t="s">
        <v>1635</v>
      </c>
      <c r="D30" s="20">
        <v>35861.0</v>
      </c>
      <c r="E30" s="20" t="s">
        <v>1636</v>
      </c>
      <c r="F30" s="21"/>
      <c r="G30" s="22"/>
      <c r="H30" s="29"/>
      <c r="I30" s="21"/>
      <c r="J30" s="21"/>
      <c r="K30" s="37"/>
      <c r="L30" s="22"/>
      <c r="M30" s="29">
        <v>2650.0</v>
      </c>
      <c r="N30" s="22"/>
      <c r="O30" s="29"/>
      <c r="P30" s="25">
        <v>2650.0</v>
      </c>
      <c r="Q30" s="26">
        <f t="shared" si="1"/>
        <v>0</v>
      </c>
      <c r="R30" s="25"/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45564.0</v>
      </c>
      <c r="C31" s="20" t="s">
        <v>1637</v>
      </c>
      <c r="D31" s="20">
        <v>21828.0</v>
      </c>
      <c r="E31" s="20" t="s">
        <v>144</v>
      </c>
      <c r="F31" s="21"/>
      <c r="G31" s="22"/>
      <c r="H31" s="29"/>
      <c r="I31" s="21"/>
      <c r="J31" s="21"/>
      <c r="K31" s="37"/>
      <c r="L31" s="22"/>
      <c r="M31" s="29">
        <v>2500.0</v>
      </c>
      <c r="N31" s="22"/>
      <c r="O31" s="29"/>
      <c r="P31" s="25">
        <v>2500.0</v>
      </c>
      <c r="Q31" s="26">
        <f t="shared" si="1"/>
        <v>0</v>
      </c>
      <c r="R31" s="25"/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45564.0</v>
      </c>
      <c r="C32" s="20" t="s">
        <v>1638</v>
      </c>
      <c r="D32" s="20">
        <v>78726.0</v>
      </c>
      <c r="E32" s="20" t="s">
        <v>1639</v>
      </c>
      <c r="F32" s="23"/>
      <c r="G32" s="22"/>
      <c r="H32" s="29">
        <v>5000.0</v>
      </c>
      <c r="I32" s="21"/>
      <c r="J32" s="21"/>
      <c r="K32" s="37"/>
      <c r="L32" s="22"/>
      <c r="M32" s="29"/>
      <c r="N32" s="22"/>
      <c r="O32" s="29"/>
      <c r="P32" s="25">
        <v>5000.0</v>
      </c>
      <c r="Q32" s="26">
        <f t="shared" si="1"/>
        <v>0</v>
      </c>
      <c r="R32" s="25"/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45564.0</v>
      </c>
      <c r="C33" s="20" t="s">
        <v>1640</v>
      </c>
      <c r="D33" s="20">
        <v>10288.0</v>
      </c>
      <c r="E33" s="20" t="s">
        <v>246</v>
      </c>
      <c r="F33" s="23"/>
      <c r="G33" s="22"/>
      <c r="H33" s="29">
        <v>4500.0</v>
      </c>
      <c r="I33" s="21"/>
      <c r="J33" s="21"/>
      <c r="K33" s="37"/>
      <c r="L33" s="22"/>
      <c r="M33" s="29"/>
      <c r="N33" s="22"/>
      <c r="O33" s="29"/>
      <c r="P33" s="25">
        <v>4500.0</v>
      </c>
      <c r="Q33" s="26">
        <f t="shared" si="1"/>
        <v>0</v>
      </c>
      <c r="R33" s="25"/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45564.0</v>
      </c>
      <c r="C34" s="20" t="s">
        <v>1641</v>
      </c>
      <c r="D34" s="20">
        <v>21828.0</v>
      </c>
      <c r="E34" s="20" t="s">
        <v>144</v>
      </c>
      <c r="F34" s="23"/>
      <c r="G34" s="22"/>
      <c r="H34" s="29"/>
      <c r="I34" s="21"/>
      <c r="J34" s="21"/>
      <c r="K34" s="37">
        <v>450.0</v>
      </c>
      <c r="L34" s="22"/>
      <c r="M34" s="29"/>
      <c r="N34" s="22"/>
      <c r="O34" s="29"/>
      <c r="P34" s="25">
        <v>450.0</v>
      </c>
      <c r="Q34" s="26">
        <f t="shared" si="1"/>
        <v>0</v>
      </c>
      <c r="R34" s="25"/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45564.0</v>
      </c>
      <c r="C35" s="20" t="s">
        <v>1642</v>
      </c>
      <c r="D35" s="20">
        <v>83404.0</v>
      </c>
      <c r="E35" s="20" t="s">
        <v>1588</v>
      </c>
      <c r="F35" s="23"/>
      <c r="G35" s="22"/>
      <c r="H35" s="29">
        <v>3900.0</v>
      </c>
      <c r="I35" s="21"/>
      <c r="J35" s="21"/>
      <c r="K35" s="37"/>
      <c r="L35" s="22"/>
      <c r="M35" s="29"/>
      <c r="N35" s="22"/>
      <c r="O35" s="29"/>
      <c r="P35" s="25">
        <v>3900.0</v>
      </c>
      <c r="Q35" s="26">
        <f t="shared" si="1"/>
        <v>0</v>
      </c>
      <c r="R35" s="25"/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/>
      <c r="B36" s="83"/>
      <c r="C36" s="20"/>
      <c r="D36" s="20"/>
      <c r="E36" s="20"/>
      <c r="F36" s="23"/>
      <c r="G36" s="22"/>
      <c r="H36" s="29"/>
      <c r="I36" s="21"/>
      <c r="J36" s="21"/>
      <c r="K36" s="37"/>
      <c r="L36" s="22"/>
      <c r="M36" s="29"/>
      <c r="N36" s="22"/>
      <c r="O36" s="29"/>
      <c r="P36" s="25"/>
      <c r="Q36" s="26">
        <f t="shared" si="1"/>
        <v>0</v>
      </c>
      <c r="R36" s="25"/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/>
      <c r="B37" s="83"/>
      <c r="C37" s="20"/>
      <c r="D37" s="20"/>
      <c r="E37" s="20"/>
      <c r="F37" s="23"/>
      <c r="G37" s="29"/>
      <c r="H37" s="29"/>
      <c r="I37" s="21"/>
      <c r="J37" s="21"/>
      <c r="K37" s="37"/>
      <c r="L37" s="22"/>
      <c r="M37" s="29"/>
      <c r="N37" s="22"/>
      <c r="O37" s="29"/>
      <c r="P37" s="25"/>
      <c r="Q37" s="26">
        <f t="shared" si="1"/>
        <v>0</v>
      </c>
      <c r="R37" s="25"/>
      <c r="S37" s="5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/>
      <c r="B38" s="83"/>
      <c r="C38" s="20"/>
      <c r="D38" s="20"/>
      <c r="E38" s="20"/>
      <c r="F38" s="23"/>
      <c r="G38" s="29"/>
      <c r="H38" s="29"/>
      <c r="I38" s="21"/>
      <c r="J38" s="21"/>
      <c r="K38" s="37"/>
      <c r="L38" s="22"/>
      <c r="M38" s="29"/>
      <c r="N38" s="22"/>
      <c r="O38" s="29"/>
      <c r="P38" s="25"/>
      <c r="Q38" s="26">
        <f t="shared" si="1"/>
        <v>0</v>
      </c>
      <c r="R38" s="25"/>
      <c r="S38" s="5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/>
      <c r="B39" s="83"/>
      <c r="C39" s="20"/>
      <c r="D39" s="20"/>
      <c r="E39" s="20"/>
      <c r="F39" s="23"/>
      <c r="G39" s="29"/>
      <c r="H39" s="29"/>
      <c r="I39" s="21"/>
      <c r="J39" s="21"/>
      <c r="K39" s="37"/>
      <c r="L39" s="22"/>
      <c r="M39" s="29"/>
      <c r="N39" s="22"/>
      <c r="O39" s="29"/>
      <c r="P39" s="25"/>
      <c r="Q39" s="26">
        <f t="shared" si="1"/>
        <v>0</v>
      </c>
      <c r="R39" s="25"/>
      <c r="S39" s="5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/>
      <c r="B40" s="83"/>
      <c r="C40" s="20"/>
      <c r="D40" s="20"/>
      <c r="E40" s="20"/>
      <c r="F40" s="23"/>
      <c r="G40" s="29"/>
      <c r="H40" s="29"/>
      <c r="I40" s="21"/>
      <c r="J40" s="21"/>
      <c r="K40" s="37"/>
      <c r="L40" s="22"/>
      <c r="M40" s="29"/>
      <c r="N40" s="22"/>
      <c r="O40" s="29"/>
      <c r="P40" s="25"/>
      <c r="Q40" s="26">
        <f t="shared" si="1"/>
        <v>0</v>
      </c>
      <c r="R40" s="25"/>
      <c r="S40" s="5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7.5" customHeight="1">
      <c r="A41" s="16"/>
      <c r="B41" s="51"/>
      <c r="C41" s="52"/>
      <c r="D41" s="53" t="s">
        <v>149</v>
      </c>
      <c r="E41" s="54"/>
      <c r="F41" s="55">
        <f t="shared" ref="F41:P41" si="2">SUM(F5:F40)</f>
        <v>140</v>
      </c>
      <c r="G41" s="55">
        <f t="shared" si="2"/>
        <v>74200</v>
      </c>
      <c r="H41" s="55">
        <f t="shared" si="2"/>
        <v>13400</v>
      </c>
      <c r="I41" s="55">
        <f t="shared" si="2"/>
        <v>36720</v>
      </c>
      <c r="J41" s="55">
        <f t="shared" si="2"/>
        <v>9500</v>
      </c>
      <c r="K41" s="55">
        <f t="shared" si="2"/>
        <v>1900</v>
      </c>
      <c r="L41" s="55">
        <f t="shared" si="2"/>
        <v>0</v>
      </c>
      <c r="M41" s="55">
        <f t="shared" si="2"/>
        <v>23570</v>
      </c>
      <c r="N41" s="55">
        <f t="shared" si="2"/>
        <v>0</v>
      </c>
      <c r="O41" s="55">
        <f t="shared" si="2"/>
        <v>0</v>
      </c>
      <c r="P41" s="55">
        <f t="shared" si="2"/>
        <v>171180</v>
      </c>
      <c r="Q41" s="56">
        <v>0.0</v>
      </c>
      <c r="R41" s="57"/>
      <c r="S41" s="57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58.5" customHeight="1">
      <c r="A42" s="58"/>
      <c r="B42" s="58"/>
      <c r="C42" s="59"/>
      <c r="D42" s="58"/>
      <c r="E42" s="58"/>
      <c r="F42" s="60">
        <f>F41+G41+H41+I41+J41+K41+L41+M41+N41+O41</f>
        <v>159430</v>
      </c>
      <c r="P42" s="61"/>
      <c r="Q42" s="61"/>
      <c r="R42" s="58"/>
      <c r="S42" s="58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15.75" customHeight="1">
      <c r="A43" s="4"/>
      <c r="B43" s="4"/>
      <c r="C43" s="6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2"/>
      <c r="D44" s="4"/>
      <c r="E44" s="64" t="s">
        <v>150</v>
      </c>
      <c r="F44" s="65" t="s">
        <v>1598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2"/>
      <c r="D45" s="4"/>
      <c r="E45" s="66" t="s">
        <v>152</v>
      </c>
      <c r="F45" s="65" t="s">
        <v>255</v>
      </c>
      <c r="G45" s="4"/>
      <c r="H45" s="4"/>
      <c r="I45" s="4"/>
      <c r="J45" s="4"/>
      <c r="K45" s="4"/>
      <c r="L45" s="4"/>
      <c r="M45" s="4"/>
      <c r="N45" s="4"/>
      <c r="O45" s="67" t="s">
        <v>149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/>
      <c r="D46" s="4"/>
      <c r="E46" s="66" t="s">
        <v>154</v>
      </c>
      <c r="F46" s="65" t="s">
        <v>155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/>
      <c r="D47" s="4"/>
      <c r="E47" s="66" t="s">
        <v>156</v>
      </c>
      <c r="F47" s="65" t="s">
        <v>155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/>
      <c r="D48" s="4"/>
      <c r="E48" s="66" t="s">
        <v>157</v>
      </c>
      <c r="F48" s="87" t="s">
        <v>155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2"/>
      <c r="D49" s="4"/>
      <c r="E49" s="66" t="s">
        <v>1643</v>
      </c>
      <c r="F49" s="65" t="s">
        <v>155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2"/>
      <c r="D50" s="4"/>
      <c r="E50" s="85" t="s">
        <v>1413</v>
      </c>
      <c r="F50" s="65" t="s">
        <v>155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2"/>
      <c r="D51" s="4"/>
      <c r="E51" s="66" t="s">
        <v>161</v>
      </c>
      <c r="F51" s="68" t="s">
        <v>162</v>
      </c>
      <c r="G51" s="4"/>
      <c r="H51" s="4"/>
      <c r="I51" s="4"/>
      <c r="J51" s="4"/>
      <c r="K51" s="4"/>
      <c r="L51" s="4"/>
      <c r="M51" s="69" t="s">
        <v>812</v>
      </c>
      <c r="N51" s="4"/>
      <c r="O51" s="4"/>
      <c r="P51" s="4"/>
      <c r="Q51" s="4"/>
      <c r="R51" s="4"/>
      <c r="S51" s="4"/>
      <c r="T51" s="4"/>
      <c r="U51" s="67" t="s">
        <v>149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2"/>
      <c r="D59" s="4"/>
      <c r="E59" s="4"/>
      <c r="F59" s="69"/>
      <c r="G59" s="4"/>
      <c r="H59" s="4"/>
      <c r="I59" s="67" t="s">
        <v>163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>
        <v>7.0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7">
    <mergeCell ref="R2:R4"/>
    <mergeCell ref="S2:S4"/>
    <mergeCell ref="F3:F4"/>
    <mergeCell ref="G3:H3"/>
    <mergeCell ref="I3:J3"/>
    <mergeCell ref="K3:K4"/>
    <mergeCell ref="F42:O4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34.5"/>
    <col customWidth="1" min="4" max="4" width="9.38"/>
    <col customWidth="1" min="5" max="5" width="87.63"/>
    <col customWidth="1" min="6" max="6" width="26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83">
        <v>45564.0</v>
      </c>
      <c r="C5" s="20" t="s">
        <v>1645</v>
      </c>
      <c r="D5" s="20">
        <v>54763.0</v>
      </c>
      <c r="E5" s="20" t="s">
        <v>219</v>
      </c>
      <c r="F5" s="21"/>
      <c r="G5" s="29"/>
      <c r="H5" s="23"/>
      <c r="I5" s="37">
        <v>1200.0</v>
      </c>
      <c r="J5" s="37"/>
      <c r="K5" s="22"/>
      <c r="L5" s="22"/>
      <c r="M5" s="21"/>
      <c r="N5" s="22"/>
      <c r="O5" s="22"/>
      <c r="P5" s="25">
        <v>1200.0</v>
      </c>
      <c r="Q5" s="26">
        <f t="shared" ref="Q5:Q71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83">
        <v>45564.0</v>
      </c>
      <c r="C6" s="20" t="s">
        <v>1646</v>
      </c>
      <c r="D6" s="20">
        <v>21818.0</v>
      </c>
      <c r="E6" s="20" t="s">
        <v>103</v>
      </c>
      <c r="F6" s="23"/>
      <c r="G6" s="22"/>
      <c r="H6" s="22"/>
      <c r="I6" s="21"/>
      <c r="J6" s="29"/>
      <c r="K6" s="29">
        <v>7050.0</v>
      </c>
      <c r="L6" s="22"/>
      <c r="M6" s="21"/>
      <c r="N6" s="22"/>
      <c r="O6" s="22"/>
      <c r="P6" s="25">
        <v>7050.0</v>
      </c>
      <c r="Q6" s="26">
        <f t="shared" si="1"/>
        <v>0</v>
      </c>
      <c r="R6" s="25" t="s">
        <v>25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83">
        <v>45564.0</v>
      </c>
      <c r="C7" s="20" t="s">
        <v>1647</v>
      </c>
      <c r="D7" s="20">
        <v>55992.0</v>
      </c>
      <c r="E7" s="20" t="s">
        <v>211</v>
      </c>
      <c r="F7" s="22"/>
      <c r="G7" s="29"/>
      <c r="H7" s="23"/>
      <c r="I7" s="21"/>
      <c r="J7" s="37"/>
      <c r="K7" s="29"/>
      <c r="L7" s="22"/>
      <c r="M7" s="29">
        <v>1440.0</v>
      </c>
      <c r="N7" s="22"/>
      <c r="O7" s="22"/>
      <c r="P7" s="25">
        <v>1440.0</v>
      </c>
      <c r="Q7" s="26">
        <f t="shared" si="1"/>
        <v>0</v>
      </c>
      <c r="R7" s="25" t="s">
        <v>36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83">
        <v>45564.0</v>
      </c>
      <c r="C8" s="20" t="s">
        <v>1648</v>
      </c>
      <c r="D8" s="20">
        <v>55446.0</v>
      </c>
      <c r="E8" s="20" t="s">
        <v>399</v>
      </c>
      <c r="F8" s="22"/>
      <c r="G8" s="29">
        <v>2500.0</v>
      </c>
      <c r="H8" s="22"/>
      <c r="I8" s="21"/>
      <c r="J8" s="21"/>
      <c r="K8" s="29"/>
      <c r="L8" s="22"/>
      <c r="M8" s="22"/>
      <c r="N8" s="22"/>
      <c r="O8" s="22"/>
      <c r="P8" s="25">
        <v>2500.0</v>
      </c>
      <c r="Q8" s="26">
        <f t="shared" si="1"/>
        <v>0</v>
      </c>
      <c r="R8" s="25" t="s">
        <v>36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83">
        <v>45564.0</v>
      </c>
      <c r="C9" s="20" t="s">
        <v>1649</v>
      </c>
      <c r="D9" s="20">
        <v>50535.0</v>
      </c>
      <c r="E9" s="20" t="s">
        <v>1650</v>
      </c>
      <c r="F9" s="22"/>
      <c r="G9" s="29"/>
      <c r="H9" s="22"/>
      <c r="I9" s="21"/>
      <c r="J9" s="21"/>
      <c r="K9" s="22"/>
      <c r="L9" s="22"/>
      <c r="M9" s="21">
        <v>780.0</v>
      </c>
      <c r="N9" s="22"/>
      <c r="O9" s="22"/>
      <c r="P9" s="25">
        <v>780.0</v>
      </c>
      <c r="Q9" s="26">
        <f t="shared" si="1"/>
        <v>0</v>
      </c>
      <c r="R9" s="25" t="s">
        <v>36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83">
        <v>45564.0</v>
      </c>
      <c r="C10" s="20" t="s">
        <v>1651</v>
      </c>
      <c r="D10" s="20">
        <v>50535.0</v>
      </c>
      <c r="E10" s="20" t="s">
        <v>1650</v>
      </c>
      <c r="F10" s="22"/>
      <c r="G10" s="29"/>
      <c r="H10" s="22"/>
      <c r="I10" s="21"/>
      <c r="J10" s="21"/>
      <c r="K10" s="22"/>
      <c r="L10" s="22"/>
      <c r="M10" s="21">
        <v>225.0</v>
      </c>
      <c r="N10" s="22"/>
      <c r="O10" s="22"/>
      <c r="P10" s="25">
        <v>225.0</v>
      </c>
      <c r="Q10" s="26">
        <f t="shared" si="1"/>
        <v>0</v>
      </c>
      <c r="R10" s="25" t="s">
        <v>36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83">
        <v>45565.0</v>
      </c>
      <c r="C11" s="20" t="s">
        <v>1652</v>
      </c>
      <c r="D11" s="20">
        <v>31927.0</v>
      </c>
      <c r="E11" s="20" t="s">
        <v>136</v>
      </c>
      <c r="F11" s="22"/>
      <c r="G11" s="22"/>
      <c r="H11" s="29"/>
      <c r="I11" s="21">
        <v>290.0</v>
      </c>
      <c r="J11" s="21"/>
      <c r="K11" s="29"/>
      <c r="L11" s="22"/>
      <c r="M11" s="23"/>
      <c r="N11" s="22"/>
      <c r="O11" s="22"/>
      <c r="P11" s="25">
        <v>290.0</v>
      </c>
      <c r="Q11" s="26">
        <f t="shared" si="1"/>
        <v>0</v>
      </c>
      <c r="R11" s="25" t="s">
        <v>30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83">
        <v>45565.0</v>
      </c>
      <c r="C12" s="20" t="s">
        <v>1653</v>
      </c>
      <c r="D12" s="20">
        <v>48910.0</v>
      </c>
      <c r="E12" s="20" t="s">
        <v>1114</v>
      </c>
      <c r="F12" s="29"/>
      <c r="G12" s="22"/>
      <c r="H12" s="29"/>
      <c r="I12" s="21"/>
      <c r="J12" s="21">
        <v>2650.0</v>
      </c>
      <c r="K12" s="29"/>
      <c r="L12" s="22"/>
      <c r="M12" s="23"/>
      <c r="N12" s="22"/>
      <c r="O12" s="22"/>
      <c r="P12" s="25">
        <v>2650.0</v>
      </c>
      <c r="Q12" s="26">
        <f t="shared" si="1"/>
        <v>0</v>
      </c>
      <c r="R12" s="25" t="s">
        <v>30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83">
        <v>45565.0</v>
      </c>
      <c r="C13" s="20" t="s">
        <v>1654</v>
      </c>
      <c r="D13" s="20">
        <v>70684.0</v>
      </c>
      <c r="E13" s="20" t="s">
        <v>1655</v>
      </c>
      <c r="F13" s="22"/>
      <c r="G13" s="29"/>
      <c r="H13" s="22"/>
      <c r="I13" s="21"/>
      <c r="J13" s="21">
        <v>9500.0</v>
      </c>
      <c r="K13" s="22"/>
      <c r="L13" s="22"/>
      <c r="M13" s="21"/>
      <c r="N13" s="22"/>
      <c r="O13" s="22"/>
      <c r="P13" s="35">
        <v>9500.0</v>
      </c>
      <c r="Q13" s="26">
        <f t="shared" si="1"/>
        <v>0</v>
      </c>
      <c r="R13" s="35" t="s">
        <v>30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83">
        <v>45565.0</v>
      </c>
      <c r="C14" s="20" t="s">
        <v>1656</v>
      </c>
      <c r="D14" s="20">
        <v>54854.0</v>
      </c>
      <c r="E14" s="20" t="s">
        <v>1657</v>
      </c>
      <c r="F14" s="22"/>
      <c r="G14" s="29"/>
      <c r="H14" s="29"/>
      <c r="I14" s="21"/>
      <c r="J14" s="21"/>
      <c r="K14" s="22"/>
      <c r="L14" s="22"/>
      <c r="M14" s="21">
        <v>150.0</v>
      </c>
      <c r="N14" s="22"/>
      <c r="O14" s="22"/>
      <c r="P14" s="25">
        <v>150.0</v>
      </c>
      <c r="Q14" s="26">
        <f t="shared" si="1"/>
        <v>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83">
        <v>45565.0</v>
      </c>
      <c r="C15" s="20" t="s">
        <v>1658</v>
      </c>
      <c r="D15" s="20">
        <v>79311.0</v>
      </c>
      <c r="E15" s="20" t="s">
        <v>1659</v>
      </c>
      <c r="F15" s="22"/>
      <c r="G15" s="29"/>
      <c r="H15" s="22"/>
      <c r="I15" s="21">
        <v>1600.0</v>
      </c>
      <c r="J15" s="21"/>
      <c r="K15" s="29"/>
      <c r="L15" s="22"/>
      <c r="M15" s="21"/>
      <c r="N15" s="22"/>
      <c r="O15" s="22"/>
      <c r="P15" s="25">
        <v>1600.0</v>
      </c>
      <c r="Q15" s="26">
        <f t="shared" si="1"/>
        <v>0</v>
      </c>
      <c r="R15" s="25" t="s">
        <v>30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83">
        <v>45565.0</v>
      </c>
      <c r="C16" s="20" t="s">
        <v>1660</v>
      </c>
      <c r="D16" s="20">
        <v>77020.0</v>
      </c>
      <c r="E16" s="20" t="s">
        <v>77</v>
      </c>
      <c r="F16" s="22"/>
      <c r="G16" s="29"/>
      <c r="H16" s="22"/>
      <c r="I16" s="21">
        <v>10000.0</v>
      </c>
      <c r="J16" s="21"/>
      <c r="K16" s="29"/>
      <c r="L16" s="22"/>
      <c r="M16" s="21"/>
      <c r="N16" s="22"/>
      <c r="O16" s="22"/>
      <c r="P16" s="25">
        <v>10000.0</v>
      </c>
      <c r="Q16" s="26">
        <f t="shared" si="1"/>
        <v>0</v>
      </c>
      <c r="R16" s="25" t="s">
        <v>30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83">
        <v>45565.0</v>
      </c>
      <c r="C17" s="20" t="s">
        <v>1661</v>
      </c>
      <c r="D17" s="20">
        <v>54166.0</v>
      </c>
      <c r="E17" s="20" t="s">
        <v>1662</v>
      </c>
      <c r="F17" s="29"/>
      <c r="G17" s="22"/>
      <c r="H17" s="29"/>
      <c r="I17" s="21">
        <v>2650.0</v>
      </c>
      <c r="J17" s="21"/>
      <c r="K17" s="22"/>
      <c r="L17" s="22"/>
      <c r="M17" s="21"/>
      <c r="N17" s="22"/>
      <c r="O17" s="22"/>
      <c r="P17" s="25">
        <v>2650.0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83">
        <v>45565.0</v>
      </c>
      <c r="C18" s="20" t="s">
        <v>1663</v>
      </c>
      <c r="D18" s="20">
        <v>10734.0</v>
      </c>
      <c r="E18" s="20" t="s">
        <v>1664</v>
      </c>
      <c r="F18" s="22"/>
      <c r="G18" s="22"/>
      <c r="H18" s="29"/>
      <c r="I18" s="21">
        <v>2650.0</v>
      </c>
      <c r="J18" s="21"/>
      <c r="K18" s="29"/>
      <c r="L18" s="22"/>
      <c r="M18" s="29"/>
      <c r="N18" s="22"/>
      <c r="O18" s="22"/>
      <c r="P18" s="25">
        <v>2650.0</v>
      </c>
      <c r="Q18" s="26">
        <f t="shared" si="1"/>
        <v>0</v>
      </c>
      <c r="R18" s="25" t="s">
        <v>30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83">
        <v>45565.0</v>
      </c>
      <c r="C19" s="20" t="s">
        <v>1665</v>
      </c>
      <c r="D19" s="20">
        <v>50697.0</v>
      </c>
      <c r="E19" s="20" t="s">
        <v>347</v>
      </c>
      <c r="F19" s="22"/>
      <c r="G19" s="29"/>
      <c r="H19" s="22"/>
      <c r="I19" s="21"/>
      <c r="J19" s="21">
        <v>5150.0</v>
      </c>
      <c r="K19" s="22"/>
      <c r="L19" s="22"/>
      <c r="M19" s="21"/>
      <c r="N19" s="22"/>
      <c r="O19" s="22"/>
      <c r="P19" s="35">
        <v>5150.0</v>
      </c>
      <c r="Q19" s="26">
        <f t="shared" si="1"/>
        <v>0</v>
      </c>
      <c r="R19" s="35" t="s">
        <v>30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83">
        <v>45565.0</v>
      </c>
      <c r="C20" s="20" t="s">
        <v>1666</v>
      </c>
      <c r="D20" s="20">
        <v>35227.0</v>
      </c>
      <c r="E20" s="20" t="s">
        <v>301</v>
      </c>
      <c r="F20" s="29"/>
      <c r="G20" s="29"/>
      <c r="H20" s="22"/>
      <c r="I20" s="37">
        <v>1900.0</v>
      </c>
      <c r="J20" s="37"/>
      <c r="K20" s="22"/>
      <c r="L20" s="22"/>
      <c r="M20" s="22"/>
      <c r="N20" s="22"/>
      <c r="O20" s="22"/>
      <c r="P20" s="25">
        <v>1900.0</v>
      </c>
      <c r="Q20" s="26">
        <f t="shared" si="1"/>
        <v>0</v>
      </c>
      <c r="R20" s="25" t="s">
        <v>43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83">
        <v>45565.0</v>
      </c>
      <c r="C21" s="20" t="s">
        <v>1667</v>
      </c>
      <c r="D21" s="20">
        <v>52669.0</v>
      </c>
      <c r="E21" s="20" t="s">
        <v>170</v>
      </c>
      <c r="F21" s="21"/>
      <c r="G21" s="29"/>
      <c r="H21" s="22"/>
      <c r="I21" s="45">
        <v>4500.0</v>
      </c>
      <c r="J21" s="29"/>
      <c r="K21" s="49"/>
      <c r="L21" s="22"/>
      <c r="M21" s="22"/>
      <c r="N21" s="22"/>
      <c r="O21" s="22"/>
      <c r="P21" s="25">
        <v>4500.0</v>
      </c>
      <c r="Q21" s="26">
        <f t="shared" si="1"/>
        <v>0</v>
      </c>
      <c r="R21" s="25" t="s">
        <v>25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83">
        <v>45565.0</v>
      </c>
      <c r="C22" s="20" t="s">
        <v>1668</v>
      </c>
      <c r="D22" s="20">
        <v>78167.0</v>
      </c>
      <c r="E22" s="20" t="s">
        <v>1669</v>
      </c>
      <c r="F22" s="21"/>
      <c r="G22" s="29"/>
      <c r="H22" s="22"/>
      <c r="I22" s="21">
        <v>12500.0</v>
      </c>
      <c r="J22" s="29"/>
      <c r="K22" s="23"/>
      <c r="L22" s="22"/>
      <c r="M22" s="22"/>
      <c r="N22" s="22"/>
      <c r="O22" s="22"/>
      <c r="P22" s="25">
        <v>12500.0</v>
      </c>
      <c r="Q22" s="26">
        <f t="shared" si="1"/>
        <v>0</v>
      </c>
      <c r="R22" s="25" t="s">
        <v>36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83">
        <v>45565.0</v>
      </c>
      <c r="C23" s="20" t="s">
        <v>1670</v>
      </c>
      <c r="D23" s="20">
        <v>36555.0</v>
      </c>
      <c r="E23" s="20" t="s">
        <v>65</v>
      </c>
      <c r="F23" s="38"/>
      <c r="G23" s="71"/>
      <c r="H23" s="44"/>
      <c r="I23" s="45">
        <v>1127.0</v>
      </c>
      <c r="J23" s="45"/>
      <c r="K23" s="73">
        <v>3373.0</v>
      </c>
      <c r="L23" s="44"/>
      <c r="M23" s="44"/>
      <c r="N23" s="44"/>
      <c r="O23" s="44"/>
      <c r="P23" s="47">
        <v>4500.0</v>
      </c>
      <c r="Q23" s="26">
        <f t="shared" si="1"/>
        <v>0</v>
      </c>
      <c r="R23" s="47" t="s">
        <v>30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83">
        <v>45565.0</v>
      </c>
      <c r="C24" s="20" t="s">
        <v>1671</v>
      </c>
      <c r="D24" s="20">
        <v>49272.0</v>
      </c>
      <c r="E24" s="20" t="s">
        <v>1672</v>
      </c>
      <c r="F24" s="23"/>
      <c r="G24" s="29"/>
      <c r="H24" s="22"/>
      <c r="I24" s="21">
        <v>10000.0</v>
      </c>
      <c r="J24" s="29"/>
      <c r="K24" s="49"/>
      <c r="L24" s="22"/>
      <c r="M24" s="22"/>
      <c r="N24" s="22"/>
      <c r="O24" s="22"/>
      <c r="P24" s="25">
        <v>10000.0</v>
      </c>
      <c r="Q24" s="26">
        <f t="shared" si="1"/>
        <v>0</v>
      </c>
      <c r="R24" s="25" t="s">
        <v>36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83">
        <v>45565.0</v>
      </c>
      <c r="C25" s="20" t="s">
        <v>1673</v>
      </c>
      <c r="D25" s="20">
        <v>73639.0</v>
      </c>
      <c r="E25" s="20" t="s">
        <v>1674</v>
      </c>
      <c r="F25" s="23"/>
      <c r="G25" s="22"/>
      <c r="H25" s="29"/>
      <c r="I25" s="21">
        <v>10000.0</v>
      </c>
      <c r="J25" s="21"/>
      <c r="K25" s="49"/>
      <c r="L25" s="22"/>
      <c r="M25" s="22"/>
      <c r="N25" s="22"/>
      <c r="O25" s="22"/>
      <c r="P25" s="25">
        <v>10000.0</v>
      </c>
      <c r="Q25" s="26">
        <f t="shared" si="1"/>
        <v>0</v>
      </c>
      <c r="R25" s="25" t="s">
        <v>36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83">
        <v>45565.0</v>
      </c>
      <c r="C26" s="20" t="s">
        <v>1675</v>
      </c>
      <c r="D26" s="20">
        <v>84956.0</v>
      </c>
      <c r="E26" s="20" t="s">
        <v>1676</v>
      </c>
      <c r="F26" s="23"/>
      <c r="G26" s="29"/>
      <c r="H26" s="29"/>
      <c r="I26" s="21">
        <v>300.0</v>
      </c>
      <c r="J26" s="21"/>
      <c r="K26" s="37"/>
      <c r="L26" s="22"/>
      <c r="M26" s="29"/>
      <c r="N26" s="22"/>
      <c r="O26" s="22"/>
      <c r="P26" s="25">
        <v>300.0</v>
      </c>
      <c r="Q26" s="26">
        <f t="shared" si="1"/>
        <v>0</v>
      </c>
      <c r="R26" s="25" t="s">
        <v>43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83">
        <v>45565.0</v>
      </c>
      <c r="C27" s="20" t="s">
        <v>1677</v>
      </c>
      <c r="D27" s="20">
        <v>67899.0</v>
      </c>
      <c r="E27" s="20" t="s">
        <v>1678</v>
      </c>
      <c r="F27" s="21"/>
      <c r="G27" s="29"/>
      <c r="H27" s="29"/>
      <c r="I27" s="21">
        <v>3600.0</v>
      </c>
      <c r="J27" s="21"/>
      <c r="K27" s="37"/>
      <c r="L27" s="22"/>
      <c r="M27" s="29"/>
      <c r="N27" s="22"/>
      <c r="O27" s="29"/>
      <c r="P27" s="25">
        <v>3600.0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83">
        <v>45565.0</v>
      </c>
      <c r="C28" s="20" t="s">
        <v>1679</v>
      </c>
      <c r="D28" s="20">
        <v>81108.0</v>
      </c>
      <c r="E28" s="20" t="s">
        <v>209</v>
      </c>
      <c r="F28" s="23"/>
      <c r="G28" s="29"/>
      <c r="H28" s="29"/>
      <c r="I28" s="21">
        <v>19000.0</v>
      </c>
      <c r="J28" s="21"/>
      <c r="K28" s="37"/>
      <c r="L28" s="22"/>
      <c r="M28" s="29"/>
      <c r="N28" s="22"/>
      <c r="O28" s="29"/>
      <c r="P28" s="25">
        <v>19000.0</v>
      </c>
      <c r="Q28" s="26">
        <f t="shared" si="1"/>
        <v>0</v>
      </c>
      <c r="R28" s="25" t="s">
        <v>36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83">
        <v>45565.0</v>
      </c>
      <c r="C29" s="20" t="s">
        <v>1680</v>
      </c>
      <c r="D29" s="20">
        <v>70020.0</v>
      </c>
      <c r="E29" s="20" t="s">
        <v>1681</v>
      </c>
      <c r="F29" s="23"/>
      <c r="G29" s="22"/>
      <c r="H29" s="29"/>
      <c r="I29" s="21"/>
      <c r="J29" s="21">
        <v>2500.0</v>
      </c>
      <c r="K29" s="37"/>
      <c r="L29" s="22"/>
      <c r="M29" s="29"/>
      <c r="N29" s="22"/>
      <c r="O29" s="29"/>
      <c r="P29" s="25">
        <v>2500.0</v>
      </c>
      <c r="Q29" s="26">
        <f t="shared" si="1"/>
        <v>0</v>
      </c>
      <c r="R29" s="25" t="s">
        <v>30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83">
        <v>45565.0</v>
      </c>
      <c r="C30" s="20" t="s">
        <v>1682</v>
      </c>
      <c r="D30" s="20">
        <v>10701.0</v>
      </c>
      <c r="E30" s="20" t="s">
        <v>1683</v>
      </c>
      <c r="F30" s="21"/>
      <c r="G30" s="22"/>
      <c r="H30" s="29"/>
      <c r="I30" s="21">
        <v>3750.0</v>
      </c>
      <c r="J30" s="21"/>
      <c r="K30" s="37"/>
      <c r="L30" s="22"/>
      <c r="M30" s="29"/>
      <c r="N30" s="22"/>
      <c r="O30" s="29"/>
      <c r="P30" s="25">
        <v>3750.0</v>
      </c>
      <c r="Q30" s="26">
        <f t="shared" si="1"/>
        <v>0</v>
      </c>
      <c r="R30" s="25" t="s">
        <v>30</v>
      </c>
      <c r="S30" s="5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83">
        <v>45565.0</v>
      </c>
      <c r="C31" s="20" t="s">
        <v>1684</v>
      </c>
      <c r="D31" s="20">
        <v>77582.0</v>
      </c>
      <c r="E31" s="20" t="s">
        <v>1685</v>
      </c>
      <c r="F31" s="21"/>
      <c r="G31" s="22"/>
      <c r="H31" s="29"/>
      <c r="I31" s="21"/>
      <c r="J31" s="21">
        <v>2650.0</v>
      </c>
      <c r="K31" s="37"/>
      <c r="L31" s="22"/>
      <c r="M31" s="29"/>
      <c r="N31" s="22"/>
      <c r="O31" s="29"/>
      <c r="P31" s="25">
        <v>2650.0</v>
      </c>
      <c r="Q31" s="26">
        <f t="shared" si="1"/>
        <v>0</v>
      </c>
      <c r="R31" s="25" t="s">
        <v>33</v>
      </c>
      <c r="S31" s="5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83">
        <v>45565.0</v>
      </c>
      <c r="C32" s="20" t="s">
        <v>1686</v>
      </c>
      <c r="D32" s="20">
        <v>59244.0</v>
      </c>
      <c r="E32" s="20" t="s">
        <v>485</v>
      </c>
      <c r="F32" s="23"/>
      <c r="G32" s="22"/>
      <c r="H32" s="29"/>
      <c r="I32" s="21">
        <v>69100.0</v>
      </c>
      <c r="J32" s="21"/>
      <c r="K32" s="37"/>
      <c r="L32" s="22"/>
      <c r="M32" s="29"/>
      <c r="N32" s="22"/>
      <c r="O32" s="29"/>
      <c r="P32" s="25">
        <v>69100.0</v>
      </c>
      <c r="Q32" s="26">
        <f t="shared" si="1"/>
        <v>0</v>
      </c>
      <c r="R32" s="25" t="s">
        <v>25</v>
      </c>
      <c r="S32" s="5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83">
        <v>45565.0</v>
      </c>
      <c r="C33" s="20" t="s">
        <v>1687</v>
      </c>
      <c r="D33" s="20">
        <v>60306.0</v>
      </c>
      <c r="E33" s="20" t="s">
        <v>1688</v>
      </c>
      <c r="F33" s="23"/>
      <c r="G33" s="22"/>
      <c r="H33" s="29"/>
      <c r="I33" s="21">
        <v>3600.0</v>
      </c>
      <c r="J33" s="21"/>
      <c r="K33" s="37"/>
      <c r="L33" s="22"/>
      <c r="M33" s="29"/>
      <c r="N33" s="22"/>
      <c r="O33" s="29"/>
      <c r="P33" s="25">
        <v>3600.0</v>
      </c>
      <c r="Q33" s="26">
        <f t="shared" si="1"/>
        <v>0</v>
      </c>
      <c r="R33" s="25" t="s">
        <v>30</v>
      </c>
      <c r="S33" s="5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83">
        <v>45565.0</v>
      </c>
      <c r="C34" s="20" t="s">
        <v>1689</v>
      </c>
      <c r="D34" s="20">
        <v>51876.0</v>
      </c>
      <c r="E34" s="20" t="s">
        <v>704</v>
      </c>
      <c r="F34" s="23"/>
      <c r="G34" s="22"/>
      <c r="H34" s="29"/>
      <c r="I34" s="21">
        <v>10050.0</v>
      </c>
      <c r="J34" s="21"/>
      <c r="K34" s="37"/>
      <c r="L34" s="22"/>
      <c r="M34" s="29"/>
      <c r="N34" s="22"/>
      <c r="O34" s="29"/>
      <c r="P34" s="25">
        <v>10050.0</v>
      </c>
      <c r="Q34" s="26">
        <f t="shared" si="1"/>
        <v>0</v>
      </c>
      <c r="R34" s="25" t="s">
        <v>36</v>
      </c>
      <c r="S34" s="5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83">
        <v>45565.0</v>
      </c>
      <c r="C35" s="20" t="s">
        <v>1690</v>
      </c>
      <c r="D35" s="20">
        <v>74492.0</v>
      </c>
      <c r="E35" s="20" t="s">
        <v>1179</v>
      </c>
      <c r="F35" s="23"/>
      <c r="G35" s="22"/>
      <c r="H35" s="29"/>
      <c r="I35" s="21">
        <v>10000.0</v>
      </c>
      <c r="J35" s="21"/>
      <c r="K35" s="37"/>
      <c r="L35" s="22"/>
      <c r="M35" s="29"/>
      <c r="N35" s="22"/>
      <c r="O35" s="29"/>
      <c r="P35" s="25">
        <v>10000.0</v>
      </c>
      <c r="Q35" s="26">
        <f t="shared" si="1"/>
        <v>0</v>
      </c>
      <c r="R35" s="25" t="s">
        <v>30</v>
      </c>
      <c r="S35" s="5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83">
        <v>45565.0</v>
      </c>
      <c r="C36" s="20" t="s">
        <v>1691</v>
      </c>
      <c r="D36" s="20">
        <v>84964.0</v>
      </c>
      <c r="E36" s="20" t="s">
        <v>1692</v>
      </c>
      <c r="F36" s="23"/>
      <c r="G36" s="22"/>
      <c r="H36" s="29"/>
      <c r="I36" s="21">
        <v>7300.0</v>
      </c>
      <c r="J36" s="21"/>
      <c r="K36" s="37"/>
      <c r="L36" s="22"/>
      <c r="M36" s="29"/>
      <c r="N36" s="22"/>
      <c r="O36" s="29"/>
      <c r="P36" s="25">
        <v>7300.0</v>
      </c>
      <c r="Q36" s="26">
        <f t="shared" si="1"/>
        <v>0</v>
      </c>
      <c r="R36" s="25" t="s">
        <v>36</v>
      </c>
      <c r="S36" s="5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83">
        <v>45565.0</v>
      </c>
      <c r="C37" s="20" t="s">
        <v>1693</v>
      </c>
      <c r="D37" s="20">
        <v>48053.0</v>
      </c>
      <c r="E37" s="20" t="s">
        <v>1694</v>
      </c>
      <c r="F37" s="23"/>
      <c r="G37" s="29"/>
      <c r="H37" s="29"/>
      <c r="I37" s="21">
        <v>1100.0</v>
      </c>
      <c r="J37" s="21"/>
      <c r="K37" s="37"/>
      <c r="L37" s="22"/>
      <c r="M37" s="29"/>
      <c r="N37" s="22"/>
      <c r="O37" s="29"/>
      <c r="P37" s="25">
        <v>1100.0</v>
      </c>
      <c r="Q37" s="26">
        <f t="shared" si="1"/>
        <v>0</v>
      </c>
      <c r="R37" s="25" t="s">
        <v>30</v>
      </c>
      <c r="S37" s="5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83">
        <v>45565.0</v>
      </c>
      <c r="C38" s="20" t="s">
        <v>1695</v>
      </c>
      <c r="D38" s="20">
        <v>45227.0</v>
      </c>
      <c r="E38" s="20" t="s">
        <v>368</v>
      </c>
      <c r="F38" s="23"/>
      <c r="G38" s="29"/>
      <c r="H38" s="29"/>
      <c r="I38" s="21">
        <v>300.0</v>
      </c>
      <c r="J38" s="21"/>
      <c r="K38" s="37"/>
      <c r="L38" s="22"/>
      <c r="M38" s="29"/>
      <c r="N38" s="22"/>
      <c r="O38" s="29"/>
      <c r="P38" s="25">
        <v>300.0</v>
      </c>
      <c r="Q38" s="26">
        <f t="shared" si="1"/>
        <v>0</v>
      </c>
      <c r="R38" s="25" t="s">
        <v>30</v>
      </c>
      <c r="S38" s="5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83">
        <v>45565.0</v>
      </c>
      <c r="C39" s="20" t="s">
        <v>1696</v>
      </c>
      <c r="D39" s="20">
        <v>36555.0</v>
      </c>
      <c r="E39" s="20" t="s">
        <v>65</v>
      </c>
      <c r="F39" s="23"/>
      <c r="G39" s="29"/>
      <c r="H39" s="29"/>
      <c r="I39" s="21">
        <v>1400.0</v>
      </c>
      <c r="J39" s="21"/>
      <c r="K39" s="37"/>
      <c r="L39" s="22"/>
      <c r="M39" s="29"/>
      <c r="N39" s="22"/>
      <c r="O39" s="29"/>
      <c r="P39" s="25">
        <v>1400.0</v>
      </c>
      <c r="Q39" s="26">
        <f t="shared" si="1"/>
        <v>0</v>
      </c>
      <c r="R39" s="25" t="s">
        <v>33</v>
      </c>
      <c r="S39" s="5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83">
        <v>45565.0</v>
      </c>
      <c r="C40" s="20" t="s">
        <v>1697</v>
      </c>
      <c r="D40" s="20">
        <v>71093.0</v>
      </c>
      <c r="E40" s="20" t="s">
        <v>1698</v>
      </c>
      <c r="F40" s="23"/>
      <c r="G40" s="29"/>
      <c r="H40" s="29"/>
      <c r="I40" s="21"/>
      <c r="J40" s="21"/>
      <c r="K40" s="37"/>
      <c r="L40" s="22"/>
      <c r="M40" s="29">
        <v>2650.0</v>
      </c>
      <c r="N40" s="22"/>
      <c r="O40" s="29"/>
      <c r="P40" s="25">
        <v>2650.0</v>
      </c>
      <c r="Q40" s="26">
        <f t="shared" si="1"/>
        <v>0</v>
      </c>
      <c r="R40" s="25" t="s">
        <v>33</v>
      </c>
      <c r="S40" s="5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83">
        <v>45565.0</v>
      </c>
      <c r="C41" s="20" t="s">
        <v>1699</v>
      </c>
      <c r="D41" s="20">
        <v>62627.0</v>
      </c>
      <c r="E41" s="20" t="s">
        <v>1700</v>
      </c>
      <c r="F41" s="21">
        <v>500.0</v>
      </c>
      <c r="G41" s="29"/>
      <c r="H41" s="29"/>
      <c r="I41" s="21"/>
      <c r="J41" s="21"/>
      <c r="K41" s="37"/>
      <c r="L41" s="22"/>
      <c r="M41" s="29"/>
      <c r="N41" s="22"/>
      <c r="O41" s="29"/>
      <c r="P41" s="25">
        <v>500.0</v>
      </c>
      <c r="Q41" s="26">
        <f t="shared" si="1"/>
        <v>0</v>
      </c>
      <c r="R41" s="25" t="s">
        <v>43</v>
      </c>
      <c r="S41" s="5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83">
        <v>45565.0</v>
      </c>
      <c r="C42" s="20" t="s">
        <v>1701</v>
      </c>
      <c r="D42" s="20">
        <v>29621.0</v>
      </c>
      <c r="E42" s="20" t="s">
        <v>1298</v>
      </c>
      <c r="F42" s="21">
        <v>3750.0</v>
      </c>
      <c r="G42" s="29"/>
      <c r="H42" s="29"/>
      <c r="I42" s="21"/>
      <c r="J42" s="21"/>
      <c r="K42" s="37"/>
      <c r="L42" s="22"/>
      <c r="M42" s="29"/>
      <c r="N42" s="22"/>
      <c r="O42" s="29"/>
      <c r="P42" s="25">
        <v>3750.0</v>
      </c>
      <c r="Q42" s="26">
        <f t="shared" si="1"/>
        <v>0</v>
      </c>
      <c r="R42" s="25" t="s">
        <v>36</v>
      </c>
      <c r="S42" s="5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83">
        <v>45565.0</v>
      </c>
      <c r="C43" s="20" t="s">
        <v>1702</v>
      </c>
      <c r="D43" s="20">
        <v>74610.0</v>
      </c>
      <c r="E43" s="20" t="s">
        <v>1703</v>
      </c>
      <c r="F43" s="23"/>
      <c r="G43" s="29"/>
      <c r="H43" s="29"/>
      <c r="I43" s="21">
        <v>392800.0</v>
      </c>
      <c r="J43" s="21"/>
      <c r="K43" s="37"/>
      <c r="L43" s="22"/>
      <c r="M43" s="29"/>
      <c r="N43" s="22"/>
      <c r="O43" s="29"/>
      <c r="P43" s="25">
        <v>392800.0</v>
      </c>
      <c r="Q43" s="26">
        <f t="shared" si="1"/>
        <v>0</v>
      </c>
      <c r="R43" s="25" t="s">
        <v>33</v>
      </c>
      <c r="S43" s="5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83">
        <v>45565.0</v>
      </c>
      <c r="C44" s="20" t="s">
        <v>1704</v>
      </c>
      <c r="D44" s="20">
        <v>46927.0</v>
      </c>
      <c r="E44" s="20" t="s">
        <v>75</v>
      </c>
      <c r="F44" s="23"/>
      <c r="G44" s="29"/>
      <c r="H44" s="29"/>
      <c r="I44" s="21">
        <v>5150.0</v>
      </c>
      <c r="J44" s="21"/>
      <c r="K44" s="37"/>
      <c r="L44" s="22"/>
      <c r="M44" s="29"/>
      <c r="N44" s="22"/>
      <c r="O44" s="29"/>
      <c r="P44" s="25">
        <v>5150.0</v>
      </c>
      <c r="Q44" s="26">
        <f t="shared" si="1"/>
        <v>0</v>
      </c>
      <c r="R44" s="25" t="s">
        <v>30</v>
      </c>
      <c r="S44" s="5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83">
        <v>45565.0</v>
      </c>
      <c r="C45" s="20" t="s">
        <v>1705</v>
      </c>
      <c r="D45" s="20">
        <v>76971.0</v>
      </c>
      <c r="E45" s="20" t="s">
        <v>1706</v>
      </c>
      <c r="F45" s="23"/>
      <c r="G45" s="29"/>
      <c r="H45" s="29"/>
      <c r="I45" s="21">
        <v>10000.0</v>
      </c>
      <c r="J45" s="21"/>
      <c r="K45" s="37"/>
      <c r="L45" s="22"/>
      <c r="M45" s="29"/>
      <c r="N45" s="22"/>
      <c r="O45" s="29"/>
      <c r="P45" s="25">
        <v>10000.0</v>
      </c>
      <c r="Q45" s="26">
        <f t="shared" si="1"/>
        <v>0</v>
      </c>
      <c r="R45" s="25" t="s">
        <v>30</v>
      </c>
      <c r="S45" s="5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83">
        <v>45565.0</v>
      </c>
      <c r="C46" s="20" t="s">
        <v>1707</v>
      </c>
      <c r="D46" s="20">
        <v>44007.0</v>
      </c>
      <c r="E46" s="20" t="s">
        <v>1708</v>
      </c>
      <c r="F46" s="23"/>
      <c r="G46" s="29"/>
      <c r="H46" s="29"/>
      <c r="I46" s="21"/>
      <c r="J46" s="21">
        <v>4650.0</v>
      </c>
      <c r="K46" s="37"/>
      <c r="L46" s="22"/>
      <c r="M46" s="29"/>
      <c r="N46" s="22"/>
      <c r="O46" s="29"/>
      <c r="P46" s="25">
        <v>4650.0</v>
      </c>
      <c r="Q46" s="26">
        <f t="shared" si="1"/>
        <v>0</v>
      </c>
      <c r="R46" s="25" t="s">
        <v>30</v>
      </c>
      <c r="S46" s="5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83">
        <v>45565.0</v>
      </c>
      <c r="C47" s="20" t="s">
        <v>1709</v>
      </c>
      <c r="D47" s="20">
        <v>84967.0</v>
      </c>
      <c r="E47" s="20" t="s">
        <v>1710</v>
      </c>
      <c r="F47" s="23"/>
      <c r="G47" s="29"/>
      <c r="H47" s="29"/>
      <c r="I47" s="21">
        <v>300.0</v>
      </c>
      <c r="J47" s="21"/>
      <c r="K47" s="37"/>
      <c r="L47" s="22"/>
      <c r="M47" s="29"/>
      <c r="N47" s="22"/>
      <c r="O47" s="29"/>
      <c r="P47" s="25">
        <v>300.0</v>
      </c>
      <c r="Q47" s="26">
        <f t="shared" si="1"/>
        <v>0</v>
      </c>
      <c r="R47" s="25" t="s">
        <v>30</v>
      </c>
      <c r="S47" s="5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83">
        <v>45565.0</v>
      </c>
      <c r="C48" s="20" t="s">
        <v>1711</v>
      </c>
      <c r="D48" s="20">
        <v>69620.0</v>
      </c>
      <c r="E48" s="20" t="s">
        <v>59</v>
      </c>
      <c r="F48" s="23"/>
      <c r="G48" s="29"/>
      <c r="H48" s="29"/>
      <c r="I48" s="21"/>
      <c r="J48" s="21">
        <v>3715.0</v>
      </c>
      <c r="K48" s="37">
        <v>1285.0</v>
      </c>
      <c r="L48" s="22"/>
      <c r="M48" s="29"/>
      <c r="N48" s="22"/>
      <c r="O48" s="29"/>
      <c r="P48" s="25">
        <v>5000.0</v>
      </c>
      <c r="Q48" s="26">
        <f t="shared" si="1"/>
        <v>0</v>
      </c>
      <c r="R48" s="25" t="s">
        <v>43</v>
      </c>
      <c r="S48" s="5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83">
        <v>45565.0</v>
      </c>
      <c r="C49" s="20" t="s">
        <v>1712</v>
      </c>
      <c r="D49" s="20">
        <v>21818.0</v>
      </c>
      <c r="E49" s="20" t="s">
        <v>103</v>
      </c>
      <c r="F49" s="23"/>
      <c r="G49" s="29"/>
      <c r="H49" s="29"/>
      <c r="I49" s="21"/>
      <c r="J49" s="21"/>
      <c r="K49" s="37">
        <v>8000.0</v>
      </c>
      <c r="L49" s="22"/>
      <c r="M49" s="29"/>
      <c r="N49" s="22"/>
      <c r="O49" s="29"/>
      <c r="P49" s="25">
        <v>8000.0</v>
      </c>
      <c r="Q49" s="26">
        <f t="shared" si="1"/>
        <v>0</v>
      </c>
      <c r="R49" s="25" t="s">
        <v>33</v>
      </c>
      <c r="S49" s="5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83">
        <v>45565.0</v>
      </c>
      <c r="C50" s="20" t="s">
        <v>1713</v>
      </c>
      <c r="D50" s="20">
        <v>59103.0</v>
      </c>
      <c r="E50" s="20" t="s">
        <v>95</v>
      </c>
      <c r="F50" s="23"/>
      <c r="G50" s="29"/>
      <c r="H50" s="29"/>
      <c r="I50" s="21"/>
      <c r="J50" s="21"/>
      <c r="K50" s="37">
        <v>15000.0</v>
      </c>
      <c r="L50" s="22"/>
      <c r="M50" s="29"/>
      <c r="N50" s="22"/>
      <c r="O50" s="29"/>
      <c r="P50" s="25">
        <v>15000.0</v>
      </c>
      <c r="Q50" s="26">
        <f t="shared" si="1"/>
        <v>0</v>
      </c>
      <c r="R50" s="25" t="s">
        <v>36</v>
      </c>
      <c r="S50" s="5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83">
        <v>45565.0</v>
      </c>
      <c r="C51" s="20" t="s">
        <v>1714</v>
      </c>
      <c r="D51" s="20">
        <v>22332.0</v>
      </c>
      <c r="E51" s="20" t="s">
        <v>79</v>
      </c>
      <c r="F51" s="23"/>
      <c r="G51" s="29"/>
      <c r="H51" s="29"/>
      <c r="I51" s="21"/>
      <c r="J51" s="21">
        <v>25000.0</v>
      </c>
      <c r="K51" s="37"/>
      <c r="L51" s="22"/>
      <c r="M51" s="29"/>
      <c r="N51" s="22"/>
      <c r="O51" s="29"/>
      <c r="P51" s="25">
        <v>25000.0</v>
      </c>
      <c r="Q51" s="26">
        <f t="shared" si="1"/>
        <v>0</v>
      </c>
      <c r="R51" s="25" t="s">
        <v>33</v>
      </c>
      <c r="S51" s="5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83">
        <v>45565.0</v>
      </c>
      <c r="C52" s="20" t="s">
        <v>1715</v>
      </c>
      <c r="D52" s="20">
        <v>24114.0</v>
      </c>
      <c r="E52" s="20" t="s">
        <v>1716</v>
      </c>
      <c r="F52" s="23"/>
      <c r="G52" s="29"/>
      <c r="H52" s="29"/>
      <c r="I52" s="21">
        <v>3600.0</v>
      </c>
      <c r="J52" s="21"/>
      <c r="K52" s="37"/>
      <c r="L52" s="22"/>
      <c r="M52" s="29"/>
      <c r="N52" s="22"/>
      <c r="O52" s="29"/>
      <c r="P52" s="25">
        <v>3600.0</v>
      </c>
      <c r="Q52" s="26">
        <f t="shared" si="1"/>
        <v>0</v>
      </c>
      <c r="R52" s="25" t="s">
        <v>25</v>
      </c>
      <c r="S52" s="5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83">
        <v>45565.0</v>
      </c>
      <c r="C53" s="20" t="s">
        <v>1717</v>
      </c>
      <c r="D53" s="20">
        <v>10001.0</v>
      </c>
      <c r="E53" s="20" t="s">
        <v>917</v>
      </c>
      <c r="F53" s="23"/>
      <c r="G53" s="29"/>
      <c r="H53" s="29"/>
      <c r="I53" s="21">
        <v>1000.0</v>
      </c>
      <c r="J53" s="21"/>
      <c r="K53" s="37"/>
      <c r="L53" s="22"/>
      <c r="M53" s="29"/>
      <c r="N53" s="22"/>
      <c r="O53" s="29"/>
      <c r="P53" s="25">
        <v>1000.0</v>
      </c>
      <c r="Q53" s="26">
        <f t="shared" si="1"/>
        <v>0</v>
      </c>
      <c r="R53" s="25" t="s">
        <v>25</v>
      </c>
      <c r="S53" s="5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83">
        <v>45565.0</v>
      </c>
      <c r="C54" s="20" t="s">
        <v>1718</v>
      </c>
      <c r="D54" s="20">
        <v>36555.0</v>
      </c>
      <c r="E54" s="20" t="s">
        <v>65</v>
      </c>
      <c r="F54" s="23"/>
      <c r="G54" s="29"/>
      <c r="H54" s="29"/>
      <c r="I54" s="21">
        <v>5000.0</v>
      </c>
      <c r="J54" s="21"/>
      <c r="K54" s="37"/>
      <c r="L54" s="22"/>
      <c r="M54" s="29"/>
      <c r="N54" s="22"/>
      <c r="O54" s="29"/>
      <c r="P54" s="25">
        <v>5000.0</v>
      </c>
      <c r="Q54" s="26">
        <f t="shared" si="1"/>
        <v>0</v>
      </c>
      <c r="R54" s="25" t="s">
        <v>36</v>
      </c>
      <c r="S54" s="5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83">
        <v>45565.0</v>
      </c>
      <c r="C55" s="20" t="s">
        <v>1719</v>
      </c>
      <c r="D55" s="20">
        <v>84971.0</v>
      </c>
      <c r="E55" s="20" t="s">
        <v>1720</v>
      </c>
      <c r="F55" s="23"/>
      <c r="G55" s="29"/>
      <c r="H55" s="29"/>
      <c r="I55" s="21">
        <v>300.0</v>
      </c>
      <c r="J55" s="21"/>
      <c r="K55" s="37"/>
      <c r="L55" s="22"/>
      <c r="M55" s="29"/>
      <c r="N55" s="22"/>
      <c r="O55" s="29"/>
      <c r="P55" s="25">
        <v>300.0</v>
      </c>
      <c r="Q55" s="26">
        <f t="shared" si="1"/>
        <v>0</v>
      </c>
      <c r="R55" s="25" t="s">
        <v>36</v>
      </c>
      <c r="S55" s="5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83">
        <v>45565.0</v>
      </c>
      <c r="C56" s="20" t="s">
        <v>1721</v>
      </c>
      <c r="D56" s="20">
        <v>77864.0</v>
      </c>
      <c r="E56" s="20" t="s">
        <v>915</v>
      </c>
      <c r="F56" s="23"/>
      <c r="G56" s="29"/>
      <c r="H56" s="29"/>
      <c r="I56" s="21"/>
      <c r="J56" s="21">
        <v>5150.0</v>
      </c>
      <c r="K56" s="37"/>
      <c r="L56" s="22"/>
      <c r="M56" s="29"/>
      <c r="N56" s="22"/>
      <c r="O56" s="29"/>
      <c r="P56" s="25">
        <v>5150.0</v>
      </c>
      <c r="Q56" s="26">
        <f t="shared" si="1"/>
        <v>0</v>
      </c>
      <c r="R56" s="25" t="s">
        <v>30</v>
      </c>
      <c r="S56" s="5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83">
        <v>45565.0</v>
      </c>
      <c r="C57" s="20" t="s">
        <v>1722</v>
      </c>
      <c r="D57" s="20">
        <v>26005.0</v>
      </c>
      <c r="E57" s="20" t="s">
        <v>969</v>
      </c>
      <c r="F57" s="23"/>
      <c r="G57" s="29"/>
      <c r="H57" s="29"/>
      <c r="I57" s="21">
        <v>2500.0</v>
      </c>
      <c r="J57" s="21"/>
      <c r="K57" s="37"/>
      <c r="L57" s="22"/>
      <c r="M57" s="29"/>
      <c r="N57" s="22"/>
      <c r="O57" s="29"/>
      <c r="P57" s="25">
        <v>2500.0</v>
      </c>
      <c r="Q57" s="26">
        <f t="shared" si="1"/>
        <v>0</v>
      </c>
      <c r="R57" s="25" t="s">
        <v>36</v>
      </c>
      <c r="S57" s="5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83">
        <v>45565.0</v>
      </c>
      <c r="C58" s="20" t="s">
        <v>1723</v>
      </c>
      <c r="D58" s="20">
        <v>59244.0</v>
      </c>
      <c r="E58" s="20" t="s">
        <v>485</v>
      </c>
      <c r="F58" s="23"/>
      <c r="G58" s="29"/>
      <c r="H58" s="29"/>
      <c r="I58" s="21">
        <v>129100.0</v>
      </c>
      <c r="J58" s="21"/>
      <c r="K58" s="37"/>
      <c r="L58" s="22"/>
      <c r="M58" s="29"/>
      <c r="N58" s="22"/>
      <c r="O58" s="29"/>
      <c r="P58" s="25">
        <v>129100.0</v>
      </c>
      <c r="Q58" s="26">
        <f t="shared" si="1"/>
        <v>0</v>
      </c>
      <c r="R58" s="25" t="s">
        <v>25</v>
      </c>
      <c r="S58" s="5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83">
        <v>45565.0</v>
      </c>
      <c r="C59" s="20" t="s">
        <v>1724</v>
      </c>
      <c r="D59" s="20">
        <v>37642.0</v>
      </c>
      <c r="E59" s="20" t="s">
        <v>107</v>
      </c>
      <c r="F59" s="23"/>
      <c r="G59" s="29">
        <v>5000.0</v>
      </c>
      <c r="H59" s="29"/>
      <c r="I59" s="21">
        <v>5900.0</v>
      </c>
      <c r="J59" s="21"/>
      <c r="K59" s="37"/>
      <c r="L59" s="22"/>
      <c r="M59" s="29"/>
      <c r="N59" s="22"/>
      <c r="O59" s="29"/>
      <c r="P59" s="25">
        <v>10900.0</v>
      </c>
      <c r="Q59" s="26">
        <f t="shared" si="1"/>
        <v>0</v>
      </c>
      <c r="R59" s="25" t="s">
        <v>25</v>
      </c>
      <c r="S59" s="5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83">
        <v>45565.0</v>
      </c>
      <c r="C60" s="20" t="s">
        <v>1725</v>
      </c>
      <c r="D60" s="20">
        <v>36918.0</v>
      </c>
      <c r="E60" s="20" t="s">
        <v>738</v>
      </c>
      <c r="F60" s="23"/>
      <c r="G60" s="29"/>
      <c r="H60" s="29"/>
      <c r="I60" s="21">
        <v>1450.0</v>
      </c>
      <c r="J60" s="21"/>
      <c r="K60" s="37"/>
      <c r="L60" s="22"/>
      <c r="M60" s="29"/>
      <c r="N60" s="22"/>
      <c r="O60" s="29"/>
      <c r="P60" s="25">
        <v>1450.0</v>
      </c>
      <c r="Q60" s="26">
        <f t="shared" si="1"/>
        <v>0</v>
      </c>
      <c r="R60" s="25" t="s">
        <v>43</v>
      </c>
      <c r="S60" s="5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83">
        <v>45565.0</v>
      </c>
      <c r="C61" s="20" t="s">
        <v>1726</v>
      </c>
      <c r="D61" s="20">
        <v>59244.0</v>
      </c>
      <c r="E61" s="20" t="s">
        <v>485</v>
      </c>
      <c r="F61" s="23"/>
      <c r="G61" s="29"/>
      <c r="H61" s="29"/>
      <c r="I61" s="21"/>
      <c r="J61" s="21">
        <v>80500.0</v>
      </c>
      <c r="K61" s="37"/>
      <c r="L61" s="22"/>
      <c r="M61" s="29"/>
      <c r="N61" s="22"/>
      <c r="O61" s="29"/>
      <c r="P61" s="25">
        <v>80500.0</v>
      </c>
      <c r="Q61" s="26">
        <f t="shared" si="1"/>
        <v>0</v>
      </c>
      <c r="R61" s="25" t="s">
        <v>33</v>
      </c>
      <c r="S61" s="5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83">
        <v>45564.0</v>
      </c>
      <c r="C62" s="20" t="s">
        <v>1727</v>
      </c>
      <c r="D62" s="20">
        <v>51017.0</v>
      </c>
      <c r="E62" s="20" t="s">
        <v>241</v>
      </c>
      <c r="F62" s="23"/>
      <c r="G62" s="29"/>
      <c r="H62" s="29">
        <v>15000.0</v>
      </c>
      <c r="I62" s="21"/>
      <c r="J62" s="21"/>
      <c r="K62" s="37"/>
      <c r="L62" s="22"/>
      <c r="M62" s="29"/>
      <c r="N62" s="22"/>
      <c r="O62" s="29"/>
      <c r="P62" s="25">
        <v>15000.0</v>
      </c>
      <c r="Q62" s="26">
        <f t="shared" si="1"/>
        <v>0</v>
      </c>
      <c r="R62" s="25"/>
      <c r="S62" s="5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>
        <v>59.0</v>
      </c>
      <c r="B63" s="83">
        <v>45564.0</v>
      </c>
      <c r="C63" s="20" t="s">
        <v>1728</v>
      </c>
      <c r="D63" s="20">
        <v>51017.0</v>
      </c>
      <c r="E63" s="20" t="s">
        <v>241</v>
      </c>
      <c r="F63" s="23"/>
      <c r="G63" s="29"/>
      <c r="H63" s="29">
        <v>4500.0</v>
      </c>
      <c r="I63" s="21"/>
      <c r="J63" s="21"/>
      <c r="K63" s="37"/>
      <c r="L63" s="22"/>
      <c r="M63" s="29"/>
      <c r="N63" s="22"/>
      <c r="O63" s="29"/>
      <c r="P63" s="25">
        <v>4500.0</v>
      </c>
      <c r="Q63" s="26">
        <f t="shared" si="1"/>
        <v>0</v>
      </c>
      <c r="R63" s="25"/>
      <c r="S63" s="5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4.5" customHeight="1">
      <c r="A64" s="16">
        <v>60.0</v>
      </c>
      <c r="B64" s="83">
        <v>45565.0</v>
      </c>
      <c r="C64" s="20" t="s">
        <v>1729</v>
      </c>
      <c r="D64" s="20">
        <v>45227.0</v>
      </c>
      <c r="E64" s="20" t="s">
        <v>368</v>
      </c>
      <c r="F64" s="23"/>
      <c r="G64" s="29"/>
      <c r="H64" s="29">
        <v>25000.0</v>
      </c>
      <c r="I64" s="21"/>
      <c r="J64" s="21"/>
      <c r="K64" s="37"/>
      <c r="L64" s="22"/>
      <c r="M64" s="29"/>
      <c r="N64" s="22"/>
      <c r="O64" s="29"/>
      <c r="P64" s="25">
        <v>25000.0</v>
      </c>
      <c r="Q64" s="26">
        <f t="shared" si="1"/>
        <v>0</v>
      </c>
      <c r="R64" s="25"/>
      <c r="S64" s="5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34.5" customHeight="1">
      <c r="A65" s="16">
        <v>61.0</v>
      </c>
      <c r="B65" s="83">
        <v>45565.0</v>
      </c>
      <c r="C65" s="20" t="s">
        <v>1730</v>
      </c>
      <c r="D65" s="20">
        <v>21828.0</v>
      </c>
      <c r="E65" s="20" t="s">
        <v>144</v>
      </c>
      <c r="F65" s="23"/>
      <c r="G65" s="29"/>
      <c r="H65" s="29"/>
      <c r="I65" s="21"/>
      <c r="J65" s="21"/>
      <c r="K65" s="37">
        <v>2500.0</v>
      </c>
      <c r="L65" s="22"/>
      <c r="M65" s="29"/>
      <c r="N65" s="22"/>
      <c r="O65" s="29"/>
      <c r="P65" s="25">
        <v>2500.0</v>
      </c>
      <c r="Q65" s="26">
        <f t="shared" si="1"/>
        <v>0</v>
      </c>
      <c r="R65" s="25"/>
      <c r="S65" s="5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34.5" customHeight="1">
      <c r="A66" s="16">
        <v>62.0</v>
      </c>
      <c r="B66" s="83">
        <v>45565.0</v>
      </c>
      <c r="C66" s="20" t="s">
        <v>1731</v>
      </c>
      <c r="D66" s="20">
        <v>73864.0</v>
      </c>
      <c r="E66" s="20" t="s">
        <v>266</v>
      </c>
      <c r="F66" s="23"/>
      <c r="G66" s="29"/>
      <c r="H66" s="29">
        <v>4500.0</v>
      </c>
      <c r="I66" s="21"/>
      <c r="J66" s="21"/>
      <c r="K66" s="37"/>
      <c r="L66" s="22"/>
      <c r="M66" s="29"/>
      <c r="N66" s="22"/>
      <c r="O66" s="29"/>
      <c r="P66" s="25">
        <v>4500.0</v>
      </c>
      <c r="Q66" s="26">
        <f t="shared" si="1"/>
        <v>0</v>
      </c>
      <c r="R66" s="25"/>
      <c r="S66" s="5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34.5" customHeight="1">
      <c r="A67" s="16">
        <v>63.0</v>
      </c>
      <c r="B67" s="83">
        <v>45565.0</v>
      </c>
      <c r="C67" s="20" t="s">
        <v>1732</v>
      </c>
      <c r="D67" s="20">
        <v>73864.0</v>
      </c>
      <c r="E67" s="20" t="s">
        <v>266</v>
      </c>
      <c r="F67" s="23"/>
      <c r="G67" s="29"/>
      <c r="H67" s="29">
        <v>4500.0</v>
      </c>
      <c r="I67" s="21"/>
      <c r="J67" s="21"/>
      <c r="K67" s="37"/>
      <c r="L67" s="22"/>
      <c r="M67" s="29"/>
      <c r="N67" s="22"/>
      <c r="O67" s="29"/>
      <c r="P67" s="25">
        <v>4500.0</v>
      </c>
      <c r="Q67" s="26">
        <f t="shared" si="1"/>
        <v>0</v>
      </c>
      <c r="R67" s="25"/>
      <c r="S67" s="5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34.5" customHeight="1">
      <c r="A68" s="16">
        <v>64.0</v>
      </c>
      <c r="B68" s="83">
        <v>45565.0</v>
      </c>
      <c r="C68" s="20" t="s">
        <v>1733</v>
      </c>
      <c r="D68" s="20">
        <v>73864.0</v>
      </c>
      <c r="E68" s="20" t="s">
        <v>266</v>
      </c>
      <c r="F68" s="23"/>
      <c r="G68" s="29"/>
      <c r="H68" s="29">
        <v>4500.0</v>
      </c>
      <c r="I68" s="21"/>
      <c r="J68" s="21"/>
      <c r="K68" s="37"/>
      <c r="L68" s="22"/>
      <c r="M68" s="29"/>
      <c r="N68" s="22"/>
      <c r="O68" s="29"/>
      <c r="P68" s="25">
        <v>4500.0</v>
      </c>
      <c r="Q68" s="26">
        <f t="shared" si="1"/>
        <v>0</v>
      </c>
      <c r="R68" s="25"/>
      <c r="S68" s="5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34.5" customHeight="1">
      <c r="A69" s="16">
        <v>65.0</v>
      </c>
      <c r="B69" s="83">
        <v>45565.0</v>
      </c>
      <c r="C69" s="20" t="s">
        <v>1734</v>
      </c>
      <c r="D69" s="20">
        <v>73864.0</v>
      </c>
      <c r="E69" s="20" t="s">
        <v>266</v>
      </c>
      <c r="F69" s="23"/>
      <c r="G69" s="29"/>
      <c r="H69" s="29">
        <v>4500.0</v>
      </c>
      <c r="I69" s="21"/>
      <c r="J69" s="21"/>
      <c r="K69" s="37"/>
      <c r="L69" s="22"/>
      <c r="M69" s="29"/>
      <c r="N69" s="22"/>
      <c r="O69" s="29"/>
      <c r="P69" s="25">
        <v>4500.0</v>
      </c>
      <c r="Q69" s="26">
        <f t="shared" si="1"/>
        <v>0</v>
      </c>
      <c r="R69" s="25"/>
      <c r="S69" s="5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34.5" customHeight="1">
      <c r="A70" s="16">
        <v>66.0</v>
      </c>
      <c r="B70" s="83">
        <v>45565.0</v>
      </c>
      <c r="C70" s="20" t="s">
        <v>1735</v>
      </c>
      <c r="D70" s="20">
        <v>51406.0</v>
      </c>
      <c r="E70" s="20" t="s">
        <v>142</v>
      </c>
      <c r="F70" s="23"/>
      <c r="G70" s="29"/>
      <c r="H70" s="29">
        <v>5700.0</v>
      </c>
      <c r="I70" s="21"/>
      <c r="J70" s="21"/>
      <c r="K70" s="37"/>
      <c r="L70" s="22"/>
      <c r="M70" s="29"/>
      <c r="N70" s="22"/>
      <c r="O70" s="29"/>
      <c r="P70" s="25">
        <v>5700.0</v>
      </c>
      <c r="Q70" s="26">
        <f t="shared" si="1"/>
        <v>0</v>
      </c>
      <c r="R70" s="25"/>
      <c r="S70" s="5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34.5" customHeight="1">
      <c r="A71" s="16">
        <v>67.0</v>
      </c>
      <c r="B71" s="83">
        <v>45565.0</v>
      </c>
      <c r="C71" s="20" t="s">
        <v>1736</v>
      </c>
      <c r="D71" s="20">
        <v>83495.0</v>
      </c>
      <c r="E71" s="20" t="s">
        <v>1737</v>
      </c>
      <c r="F71" s="23"/>
      <c r="G71" s="29"/>
      <c r="H71" s="29"/>
      <c r="I71" s="21"/>
      <c r="J71" s="21"/>
      <c r="K71" s="37">
        <v>4200.0</v>
      </c>
      <c r="L71" s="22"/>
      <c r="M71" s="29"/>
      <c r="N71" s="22"/>
      <c r="O71" s="29"/>
      <c r="P71" s="25">
        <v>4200.0</v>
      </c>
      <c r="Q71" s="26">
        <f t="shared" si="1"/>
        <v>0</v>
      </c>
      <c r="R71" s="25"/>
      <c r="S71" s="5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37.5" customHeight="1">
      <c r="A72" s="16"/>
      <c r="B72" s="51"/>
      <c r="C72" s="52"/>
      <c r="D72" s="53" t="s">
        <v>149</v>
      </c>
      <c r="E72" s="54"/>
      <c r="F72" s="55">
        <f t="shared" ref="F72:P72" si="2">SUM(F5:F71)</f>
        <v>4250</v>
      </c>
      <c r="G72" s="55">
        <f t="shared" si="2"/>
        <v>7500</v>
      </c>
      <c r="H72" s="55">
        <f t="shared" si="2"/>
        <v>68200</v>
      </c>
      <c r="I72" s="55">
        <f t="shared" si="2"/>
        <v>745017</v>
      </c>
      <c r="J72" s="55">
        <f t="shared" si="2"/>
        <v>141465</v>
      </c>
      <c r="K72" s="55">
        <f t="shared" si="2"/>
        <v>41408</v>
      </c>
      <c r="L72" s="55">
        <f t="shared" si="2"/>
        <v>0</v>
      </c>
      <c r="M72" s="55">
        <f t="shared" si="2"/>
        <v>5245</v>
      </c>
      <c r="N72" s="55">
        <f t="shared" si="2"/>
        <v>0</v>
      </c>
      <c r="O72" s="55">
        <f t="shared" si="2"/>
        <v>0</v>
      </c>
      <c r="P72" s="55">
        <f t="shared" si="2"/>
        <v>1013085</v>
      </c>
      <c r="Q72" s="56">
        <v>0.0</v>
      </c>
      <c r="R72" s="57"/>
      <c r="S72" s="57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</row>
    <row r="73" ht="58.5" customHeight="1">
      <c r="A73" s="58"/>
      <c r="B73" s="58"/>
      <c r="C73" s="59"/>
      <c r="D73" s="58"/>
      <c r="E73" s="58"/>
      <c r="F73" s="60">
        <f>F72+G72+H72+I72+J72+K72+L72+M72+N72+O72</f>
        <v>1013085</v>
      </c>
      <c r="P73" s="61"/>
      <c r="Q73" s="61"/>
      <c r="R73" s="58"/>
      <c r="S73" s="58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</row>
    <row r="74" ht="15.75" customHeight="1">
      <c r="A74" s="4"/>
      <c r="B74" s="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26.25" customHeight="1">
      <c r="A75" s="4"/>
      <c r="B75" s="4"/>
      <c r="C75" s="62"/>
      <c r="D75" s="4"/>
      <c r="E75" s="64" t="s">
        <v>150</v>
      </c>
      <c r="F75" s="65" t="s">
        <v>1522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26.25" customHeight="1">
      <c r="A76" s="4"/>
      <c r="B76" s="4"/>
      <c r="C76" s="62"/>
      <c r="D76" s="4"/>
      <c r="E76" s="66" t="s">
        <v>152</v>
      </c>
      <c r="F76" s="65" t="s">
        <v>254</v>
      </c>
      <c r="G76" s="4"/>
      <c r="H76" s="4"/>
      <c r="I76" s="4"/>
      <c r="J76" s="4"/>
      <c r="K76" s="4"/>
      <c r="L76" s="4"/>
      <c r="M76" s="4"/>
      <c r="N76" s="4"/>
      <c r="O76" s="67" t="s">
        <v>149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26.25" customHeight="1">
      <c r="A77" s="4"/>
      <c r="B77" s="4"/>
      <c r="C77" s="62"/>
      <c r="D77" s="4"/>
      <c r="E77" s="66" t="s">
        <v>154</v>
      </c>
      <c r="F77" s="65" t="s">
        <v>151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26.25" customHeight="1">
      <c r="A78" s="4"/>
      <c r="B78" s="4"/>
      <c r="C78" s="62"/>
      <c r="D78" s="4"/>
      <c r="E78" s="66" t="s">
        <v>156</v>
      </c>
      <c r="F78" s="65" t="s">
        <v>151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26.25" customHeight="1">
      <c r="A79" s="4"/>
      <c r="B79" s="4"/>
      <c r="C79" s="62"/>
      <c r="D79" s="4"/>
      <c r="E79" s="66" t="s">
        <v>157</v>
      </c>
      <c r="F79" s="87" t="s">
        <v>1091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26.25" customHeight="1">
      <c r="A80" s="4"/>
      <c r="B80" s="4"/>
      <c r="C80" s="62"/>
      <c r="D80" s="4"/>
      <c r="E80" s="66" t="s">
        <v>1738</v>
      </c>
      <c r="F80" s="65" t="s">
        <v>151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26.25" customHeight="1">
      <c r="A81" s="4"/>
      <c r="B81" s="4"/>
      <c r="C81" s="62"/>
      <c r="D81" s="4"/>
      <c r="E81" s="85" t="s">
        <v>1413</v>
      </c>
      <c r="F81" s="65" t="s">
        <v>255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26.25" customHeight="1">
      <c r="A82" s="4"/>
      <c r="B82" s="4"/>
      <c r="C82" s="62"/>
      <c r="D82" s="4"/>
      <c r="E82" s="66" t="s">
        <v>161</v>
      </c>
      <c r="F82" s="68" t="s">
        <v>162</v>
      </c>
      <c r="G82" s="4"/>
      <c r="H82" s="4"/>
      <c r="I82" s="4"/>
      <c r="J82" s="4"/>
      <c r="K82" s="4"/>
      <c r="L82" s="4"/>
      <c r="M82" s="69" t="s">
        <v>812</v>
      </c>
      <c r="N82" s="4"/>
      <c r="O82" s="4"/>
      <c r="P82" s="4"/>
      <c r="Q82" s="4"/>
      <c r="R82" s="4"/>
      <c r="S82" s="4"/>
      <c r="T82" s="4"/>
      <c r="U82" s="67" t="s">
        <v>149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26.25" customHeight="1">
      <c r="A83" s="4"/>
      <c r="B83" s="4"/>
      <c r="C83" s="62"/>
      <c r="D83" s="4"/>
      <c r="E83" s="4"/>
      <c r="F83" s="4"/>
      <c r="G83" s="4"/>
      <c r="H83" s="4"/>
      <c r="I83" s="4"/>
      <c r="J83" s="4"/>
      <c r="K83" s="4" t="str">
        <f>I72470</f>
        <v/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26.25" customHeight="1">
      <c r="A84" s="4"/>
      <c r="B84" s="4"/>
      <c r="C84" s="6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2"/>
      <c r="D90" s="4"/>
      <c r="E90" s="4"/>
      <c r="F90" s="69"/>
      <c r="G90" s="4"/>
      <c r="H90" s="4"/>
      <c r="I90" s="67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2"/>
      <c r="D105" s="4"/>
      <c r="E105" s="4"/>
      <c r="F105" s="4"/>
      <c r="G105" s="4"/>
      <c r="H105" s="4"/>
      <c r="I105" s="4"/>
      <c r="J105" s="4"/>
      <c r="K105" s="4"/>
      <c r="L105" s="4"/>
      <c r="M105" s="4">
        <v>7.0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6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6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6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6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6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6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6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6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4"/>
      <c r="B300" s="4"/>
      <c r="C300" s="6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4"/>
      <c r="B301" s="4"/>
      <c r="C301" s="6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4"/>
      <c r="B302" s="4"/>
      <c r="C302" s="6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5.75" customHeight="1">
      <c r="A303" s="4"/>
      <c r="B303" s="4"/>
      <c r="C303" s="6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5.75" customHeight="1">
      <c r="A304" s="4"/>
      <c r="B304" s="4"/>
      <c r="C304" s="6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5.75" customHeight="1">
      <c r="A305" s="4"/>
      <c r="B305" s="4"/>
      <c r="C305" s="6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7">
    <mergeCell ref="R2:R4"/>
    <mergeCell ref="S2:S4"/>
    <mergeCell ref="F3:F4"/>
    <mergeCell ref="G3:H3"/>
    <mergeCell ref="I3:J3"/>
    <mergeCell ref="K3:K4"/>
    <mergeCell ref="F73:O7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
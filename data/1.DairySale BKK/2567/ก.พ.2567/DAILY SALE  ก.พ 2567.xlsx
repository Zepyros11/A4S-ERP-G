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2-2567" sheetId="1" r:id="rId4"/>
    <sheet state="visible" name="บัตรHERO  01-2567" sheetId="2" r:id="rId5"/>
    <sheet state="visible" name="03-02-2567" sheetId="3" r:id="rId6"/>
    <sheet state="visible" name="04-02-2567" sheetId="4" r:id="rId7"/>
    <sheet state="visible" name="05-02-2567" sheetId="5" r:id="rId8"/>
    <sheet state="visible" name="06-02-2567" sheetId="6" r:id="rId9"/>
    <sheet state="visible" name="07-02-2567" sheetId="7" r:id="rId10"/>
    <sheet state="visible" name="08-02-2567" sheetId="8" r:id="rId11"/>
    <sheet state="visible" name=" 09-02-2567" sheetId="9" r:id="rId12"/>
    <sheet state="visible" name="10-2-67" sheetId="10" r:id="rId13"/>
    <sheet state="visible" name="11-2-67" sheetId="11" r:id="rId14"/>
    <sheet state="visible" name="12-2-67" sheetId="12" r:id="rId15"/>
    <sheet state="visible" name="13-2-67" sheetId="13" r:id="rId16"/>
    <sheet state="visible" name="14-2-67" sheetId="14" r:id="rId17"/>
    <sheet state="visible" name="15-2-67" sheetId="15" r:id="rId18"/>
    <sheet state="visible" name="16-2.67" sheetId="16" r:id="rId19"/>
    <sheet state="visible" name="17-2.67" sheetId="17" r:id="rId20"/>
    <sheet state="visible" name="18-2.67" sheetId="18" r:id="rId21"/>
    <sheet state="visible" name="19-2.67" sheetId="19" r:id="rId22"/>
    <sheet state="visible" name="20-2.67" sheetId="20" r:id="rId23"/>
    <sheet state="visible" name="21-2.67" sheetId="21" r:id="rId24"/>
    <sheet state="visible" name="22-2.67" sheetId="22" r:id="rId25"/>
    <sheet state="visible" name="23-2.67" sheetId="23" r:id="rId26"/>
    <sheet state="visible" name="24-2-67" sheetId="24" r:id="rId27"/>
    <sheet state="visible" name="25-2-67" sheetId="25" r:id="rId28"/>
    <sheet state="visible" name="26-2-67" sheetId="26" r:id="rId29"/>
    <sheet state="visible" name="27-2-67" sheetId="27" r:id="rId30"/>
    <sheet state="visible" name="28-2-67" sheetId="28" r:id="rId31"/>
    <sheet state="visible" name="29-2-67" sheetId="29" r:id="rId32"/>
  </sheets>
  <definedNames/>
  <calcPr/>
  <extLst>
    <ext uri="GoogleSheetsCustomDataVersion2">
      <go:sheetsCustomData xmlns:go="http://customooxmlschemas.google.com/" r:id="rId33" roundtripDataChecksum="Ymdn9U2hcvde83xwm/SsC+8BpUIlmDuP9P6fEa5c0Gk="/>
    </ext>
  </extLst>
</workbook>
</file>

<file path=xl/sharedStrings.xml><?xml version="1.0" encoding="utf-8"?>
<sst xmlns="http://schemas.openxmlformats.org/spreadsheetml/2006/main" count="4873" uniqueCount="2057">
  <si>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01.02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</si>
  <si>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</si>
  <si>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</si>
  <si>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</si>
  <si>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</si>
  <si>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</si>
  <si>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</si>
  <si>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</si>
  <si>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</si>
  <si>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</si>
  <si>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</si>
  <si>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</si>
  <si>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</si>
  <si>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</si>
  <si>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</si>
  <si>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</si>
  <si>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</si>
  <si>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</si>
  <si>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</si>
  <si>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</si>
  <si>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</si>
  <si>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</si>
  <si>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STHBKK012401001609</t>
  </si>
  <si>
    <t>นาย ธนาศุภเดช ภุชพัชราธาดาณัช</t>
  </si>
  <si>
    <t>bkk-nee</t>
  </si>
  <si>
    <t>STHBKK012401001610</t>
  </si>
  <si>
    <t>นางสาว รุ่งรัตน์ สารสุวรรณ</t>
  </si>
  <si>
    <t>BKK-Neng</t>
  </si>
  <si>
    <t>STHBKK012401001611</t>
  </si>
  <si>
    <t>นาง นงค์นุช  จำปางาม</t>
  </si>
  <si>
    <t>bkk-aoeng</t>
  </si>
  <si>
    <t>STHBKK012401001612</t>
  </si>
  <si>
    <t>นางสาว จำเรียง อินทปัตย์</t>
  </si>
  <si>
    <t>STHBKK012401001613</t>
  </si>
  <si>
    <t>รวมพล บุญยัง</t>
  </si>
  <si>
    <t>STHBKK012401001614</t>
  </si>
  <si>
    <t>นาย บูชาติ หาดสร้อย</t>
  </si>
  <si>
    <t>STHBKK012401001615</t>
  </si>
  <si>
    <t>นาง สุสาคร มิ่งมูล</t>
  </si>
  <si>
    <t>ple bkk</t>
  </si>
  <si>
    <t>STHBKK012401001616</t>
  </si>
  <si>
    <t>STHBKK012401001617</t>
  </si>
  <si>
    <t>นาย สงขลา กายพันธุ์</t>
  </si>
  <si>
    <t>STHBKK012402000015</t>
  </si>
  <si>
    <t>นาง แซนะ สะมะโต</t>
  </si>
  <si>
    <t>STHBKK012402000016</t>
  </si>
  <si>
    <t>นาย อิสระภาพ อิ่มเพ็ง</t>
  </si>
  <si>
    <t>STHBKK012402000017</t>
  </si>
  <si>
    <t>นางสาว ฤทัยวรรณ จันทร์ไพจิตร</t>
  </si>
  <si>
    <t>STHBKK012402000019</t>
  </si>
  <si>
    <t>นางสาว สุธิตา แป้นสกุล</t>
  </si>
  <si>
    <t>STHBKK012402000020</t>
  </si>
  <si>
    <t>STHBKK012402000021</t>
  </si>
  <si>
    <t>นางสาว จิรานุช พันธ์ศรี</t>
  </si>
  <si>
    <t>STHBKK012402000022</t>
  </si>
  <si>
    <t>นางสาว พิกุล กลิ่นฟุ้ง</t>
  </si>
  <si>
    <t>nuBKK</t>
  </si>
  <si>
    <t>STHBKK012402000023</t>
  </si>
  <si>
    <t>นาย ดิลก แผ่ทอง</t>
  </si>
  <si>
    <t>STHBKK012402000024</t>
  </si>
  <si>
    <t>STHBKK012402000025</t>
  </si>
  <si>
    <t>นางสาว อรอนงค์ แซ่เฮง</t>
  </si>
  <si>
    <t>STHBKK012402000026</t>
  </si>
  <si>
    <t>นางสาว กาญจนา บุญเกษม</t>
  </si>
  <si>
    <t>STHBKK012402000027</t>
  </si>
  <si>
    <t>นางสาว นภาไพลิน  กาละวันต์</t>
  </si>
  <si>
    <t>Meiy</t>
  </si>
  <si>
    <t>STHBKK012402000028</t>
  </si>
  <si>
    <t>นาย ภิรกร ศิริพฤกษ์</t>
  </si>
  <si>
    <t>STHBKK012402000030</t>
  </si>
  <si>
    <t>นางสาว สุปรานี เขียวแดง</t>
  </si>
  <si>
    <t>STHBKK012402000031</t>
  </si>
  <si>
    <t>นางสาว ธนภร ทองสุขสุพัชร</t>
  </si>
  <si>
    <t>STHBKK012402000032</t>
  </si>
  <si>
    <t>นาย ปรีชา  แก้วโกถม</t>
  </si>
  <si>
    <t>STHBKK012402000033</t>
  </si>
  <si>
    <t>นางสาว กานต์พิชชา ไวว่อง</t>
  </si>
  <si>
    <t>STHBKK012402000034</t>
  </si>
  <si>
    <t>นาง นฤนาถ สุรสีหนาท</t>
  </si>
  <si>
    <t>STHBKK012402000035</t>
  </si>
  <si>
    <t>นาย อนุศิษฎ์  อนันตะ</t>
  </si>
  <si>
    <t>STHBKK012402000036</t>
  </si>
  <si>
    <t>นางสาว ทัศนีย์ พลบุตร</t>
  </si>
  <si>
    <t>STHBKK012402000037</t>
  </si>
  <si>
    <t>นางสาว นิศาชล ศรีแก้ว</t>
  </si>
  <si>
    <t>Ketbkk</t>
  </si>
  <si>
    <t>STHBKK012402000039</t>
  </si>
  <si>
    <t>นาย ชัยยัณย์ ใจมั่น</t>
  </si>
  <si>
    <t>STHBKK012402000040</t>
  </si>
  <si>
    <t>นางสาว ศิริพร อินทวงษ์</t>
  </si>
  <si>
    <t>STHBKK012402000041</t>
  </si>
  <si>
    <t>บริษัท สยามทวีทิพย์ จำกัด(สำนักงานใหญ่)</t>
  </si>
  <si>
    <t>STHBKK012402000042</t>
  </si>
  <si>
    <t>นางสาว พิชาวีร์ บวรธีราเศรษฐ์</t>
  </si>
  <si>
    <t>STHBKK012402000043</t>
  </si>
  <si>
    <t>บริษัท โคบาราเอฟโวลูชั่น (ประเทศไทย)จำกัด ( สำนักงานใหญ่ )</t>
  </si>
  <si>
    <t>STHBKK012402000044</t>
  </si>
  <si>
    <t>นาย ธนกร อภัยพงศ์</t>
  </si>
  <si>
    <t>STHBKK012402000045</t>
  </si>
  <si>
    <t>นาง  เต็มลักษณ์ ยวงลำใย</t>
  </si>
  <si>
    <t>STHBKK012402000047</t>
  </si>
  <si>
    <t>นาย ญาณวุฒิ  ตลุยปรีชาชาญ</t>
  </si>
  <si>
    <t>STHBKK012402000048</t>
  </si>
  <si>
    <t>STHBKK012402000049</t>
  </si>
  <si>
    <t>นาย สมชาย โพธิ์คำ</t>
  </si>
  <si>
    <t>STHBKK012402000050</t>
  </si>
  <si>
    <t>นาง สิริรักษ์ ผิวอ่อน</t>
  </si>
  <si>
    <t>STHBKK012402000051</t>
  </si>
  <si>
    <t>STHBKK012402000052</t>
  </si>
  <si>
    <t>นาย สมยศ น้ำเพชร</t>
  </si>
  <si>
    <t>STHBKK012402000053</t>
  </si>
  <si>
    <t>นาย ยืนยง ชินมิตโต</t>
  </si>
  <si>
    <t>STHBKK012402000054</t>
  </si>
  <si>
    <t>นางสาว ธันยพร เพ็งผล</t>
  </si>
  <si>
    <t>STHBKK012402000055</t>
  </si>
  <si>
    <t>นาง คำนึง เอมพันธ์</t>
  </si>
  <si>
    <t>STHBKK012402000056</t>
  </si>
  <si>
    <t>นางสาว มาเรียม ยิ้มสาระ</t>
  </si>
  <si>
    <t>STHBKK012402000057</t>
  </si>
  <si>
    <t>นางสาว ขวัญจิตร์ กลิ่นเจริญ</t>
  </si>
  <si>
    <t>STHBKK012402000058</t>
  </si>
  <si>
    <t>นาง ทิพยาภรณ์ ฆ้องวงษ์</t>
  </si>
  <si>
    <t>STHBKK012402000059</t>
  </si>
  <si>
    <t>นาย บุญสม อุดมรักษ์</t>
  </si>
  <si>
    <t>STHBKK012402000060</t>
  </si>
  <si>
    <t>STHBKK012402000061</t>
  </si>
  <si>
    <t>นางสาว กรรณิการ์ คล้ายแก้ว</t>
  </si>
  <si>
    <t>STHBKK012402000062</t>
  </si>
  <si>
    <t>นางสาว อนงค์นาฏ  สิริภัคคุณานันท์</t>
  </si>
  <si>
    <t>STHBKK012402000063</t>
  </si>
  <si>
    <t>นาย ยศพัทธิ์ ศรีอุทิศ</t>
  </si>
  <si>
    <t>STHBKK012402000064</t>
  </si>
  <si>
    <t>นางสาว นภัทร อินทราพงษ์</t>
  </si>
  <si>
    <t>STHBKK012402000065</t>
  </si>
  <si>
    <t>นางสาว สายวารี  พูลคุ้ม</t>
  </si>
  <si>
    <t>STHBKK012402000066</t>
  </si>
  <si>
    <t>STHBKK012402000067</t>
  </si>
  <si>
    <t>นางสาว รัตยา พรมแสน</t>
  </si>
  <si>
    <t>STHBKK012402000068</t>
  </si>
  <si>
    <t>ห้างหุ้นส่วนจำกัด บี ฮัมเบิล แอนด์ เมอร์ซี กรุ๊ป  (สำนักงานใหญ่)</t>
  </si>
  <si>
    <t>STHBKK012402000069</t>
  </si>
  <si>
    <t>นาย ยงค์ชัย พ่อสียา</t>
  </si>
  <si>
    <t>STHBKK012402000070</t>
  </si>
  <si>
    <t>STHBKK012402000071</t>
  </si>
  <si>
    <t>นาย สหชัย ม่วงกล่ำ</t>
  </si>
  <si>
    <t>STHBKK012402000073</t>
  </si>
  <si>
    <t>นาย สมชาย ทองสว่าง</t>
  </si>
  <si>
    <t>STHBKK012402000074</t>
  </si>
  <si>
    <t>นาง ทวีวรรณ กองประยุทธ</t>
  </si>
  <si>
    <t>STHBKK012402000075</t>
  </si>
  <si>
    <t>บริษัท  ต.ศรีโสภณ จำกัด (สำนักงานใหญ่)</t>
  </si>
  <si>
    <t>STHBKK012402000076</t>
  </si>
  <si>
    <t>ห้างหุ้นส่วนจำกัด ปูแดงพารวย ( สำนักงานใหญ่)</t>
  </si>
  <si>
    <t>STHBKK012402000077</t>
  </si>
  <si>
    <t>STHBKK012402000078</t>
  </si>
  <si>
    <t>นางสาว อรอุมา กิจรังสิกุล</t>
  </si>
  <si>
    <t>STHBKK012402000079</t>
  </si>
  <si>
    <t>นางสาว พัชรี สุดสี</t>
  </si>
  <si>
    <t>STHBKK012402000080</t>
  </si>
  <si>
    <t>นาย เอกพุทธา ธทองเหลือง</t>
  </si>
  <si>
    <t>STHBKK012402000081</t>
  </si>
  <si>
    <t>นางสาว ศศกร  อมตวงษ์</t>
  </si>
  <si>
    <t>STHBKK012402000082</t>
  </si>
  <si>
    <t>นาย กำธร วิเชฏฐพงศ์</t>
  </si>
  <si>
    <t>STHBKK012402000083</t>
  </si>
  <si>
    <t>นางสาว ทิชากร เรืองเชื้อเหมือน</t>
  </si>
  <si>
    <t>STHBKK012402000084</t>
  </si>
  <si>
    <t>นาง เขียว จอดนอก</t>
  </si>
  <si>
    <t>STHBKK012402000085</t>
  </si>
  <si>
    <t>STHBKK012402000086</t>
  </si>
  <si>
    <t>นาง วรัทยา จันทร์ชื่น</t>
  </si>
  <si>
    <t>STHBKK012402000087</t>
  </si>
  <si>
    <t>บริษัท ผักคะน้ากรอบ จำกัด(สำนักงานใหญ่)</t>
  </si>
  <si>
    <t>STHBKK012402000088</t>
  </si>
  <si>
    <t>STHBKK012402000089</t>
  </si>
  <si>
    <t>วาสนา ดิษปัญญา</t>
  </si>
  <si>
    <t>STHBKK012402000090</t>
  </si>
  <si>
    <t>นาย ปัณจภัช ปานทอง</t>
  </si>
  <si>
    <t>STHBKK012402000091</t>
  </si>
  <si>
    <t>นาย บัญชา อุฬารวงศ์</t>
  </si>
  <si>
    <t>STHBKK012402000092</t>
  </si>
  <si>
    <t>นางสาว ประภัสสร  ดีดวงพันธ์</t>
  </si>
  <si>
    <t>STHBKK012402000093</t>
  </si>
  <si>
    <t>นางสาว ธนพรรษ​ ยี่ภู</t>
  </si>
  <si>
    <t>STHBKK012402000094</t>
  </si>
  <si>
    <t>บริษัท  รินทร์รฐา กรุ๊ป จำกัด(สำนักงานใหญ่)</t>
  </si>
  <si>
    <t>STHBKK012402000095</t>
  </si>
  <si>
    <t>นางสาว กนกภรณ์  จำปาเวียง</t>
  </si>
  <si>
    <t>STHBKK012402000096</t>
  </si>
  <si>
    <t>ห้างหุ้นส่วนจำกัด รีลิกธีน  (สำนักงานใหญ่)</t>
  </si>
  <si>
    <t>STHBKK012402000097</t>
  </si>
  <si>
    <t>STHBKK012402000098</t>
  </si>
  <si>
    <t>นาง มณี มณีโชติ</t>
  </si>
  <si>
    <t>STHBKK012402000099</t>
  </si>
  <si>
    <t>นางสาว ขวัญจิรา ภูครองหิน</t>
  </si>
  <si>
    <t>STHBKK012402000100</t>
  </si>
  <si>
    <t>นางสาว ขวัญวรา  เพชรรัตน์</t>
  </si>
  <si>
    <t>STHBKK012402000101</t>
  </si>
  <si>
    <t>นาย จักรพันธ์ เย็นฉ่ำ</t>
  </si>
  <si>
    <t>STHBKK012402000103</t>
  </si>
  <si>
    <t>นาง อุไร เพ็งกุล</t>
  </si>
  <si>
    <t>STHBKK012402000104</t>
  </si>
  <si>
    <t>ห้างหุ้นส่วนจำกัด ไดม่อนอันดามัน เน็ตเวิร์ค  (สำนักงานใหญ่)</t>
  </si>
  <si>
    <t>STHBKK012402000106</t>
  </si>
  <si>
    <t>นาย คมสันต์ อ่อนดี</t>
  </si>
  <si>
    <t>STHBKK012402000107</t>
  </si>
  <si>
    <t>นาย อิทธิพล วิทยาเรืองศรี</t>
  </si>
  <si>
    <t>STHBKK012402000108</t>
  </si>
  <si>
    <t>นาย พีรพงศ์ ภรประเสริฐศรี</t>
  </si>
  <si>
    <t>STHBKK012402000109</t>
  </si>
  <si>
    <t>STHBKK012402000110</t>
  </si>
  <si>
    <t>STHBKK012402000111</t>
  </si>
  <si>
    <t>STHBKK012402000112</t>
  </si>
  <si>
    <t>นาย สิปปภาส  โรจนวสุธร</t>
  </si>
  <si>
    <t>STHBKK012402000113</t>
  </si>
  <si>
    <t>นางสาว ศรีวิลัย บุญภา</t>
  </si>
  <si>
    <t>STHONLIN2402000002</t>
  </si>
  <si>
    <t>นาย ธนบูลย์ แสงฐิตาพันธุ์</t>
  </si>
  <si>
    <t>STHONLIN2402000004</t>
  </si>
  <si>
    <t>STHONLIN2402000007</t>
  </si>
  <si>
    <t>STHONLIN2402000008</t>
  </si>
  <si>
    <t>นาย ธวัชชัย นอขุนทด</t>
  </si>
  <si>
    <t>STHONLIN2402000010</t>
  </si>
  <si>
    <t>บริษัท เอ.ซี.พี.เค จำกัด (สำนักงานใหญ่)</t>
  </si>
  <si>
    <t>STHONLIN2402000011</t>
  </si>
  <si>
    <t>นางสาว วรรณวิสา โพธิ์ดำ</t>
  </si>
  <si>
    <t>STHONLIN2402000014</t>
  </si>
  <si>
    <t>STHONLIN2402000015</t>
  </si>
  <si>
    <t>STHONLIN2402000016</t>
  </si>
  <si>
    <t>นาย ธนภัทร เกตุเปี่ยม</t>
  </si>
  <si>
    <t>STHONLIN2402000017</t>
  </si>
  <si>
    <t>นาย สายหยุด เกตุเปี่ยม</t>
  </si>
  <si>
    <t>STHONLIN2402000018</t>
  </si>
  <si>
    <t>STHONLIN2402000019</t>
  </si>
  <si>
    <t>นาย บุญช่วย  โพธิ์สลัด</t>
  </si>
  <si>
    <t>STHONLIN2402000020</t>
  </si>
  <si>
    <t>นางสาว จิราพร  ขำขาว</t>
  </si>
  <si>
    <t>STHONLIN2402000021</t>
  </si>
  <si>
    <t>นางสาว ประภาพร ดีดวงพันธ์</t>
  </si>
  <si>
    <t>STHONLIN2402000023</t>
  </si>
  <si>
    <t>นางสาว จุฑารัตน์ ตรงดี</t>
  </si>
  <si>
    <t>STHONLIN2402000024</t>
  </si>
  <si>
    <t xml:space="preserve"> </t>
  </si>
  <si>
    <t xml:space="preserve">ผู้ดึงบิลทางบ้าน (บิล เหม่ย นู)    </t>
  </si>
  <si>
    <t>เอิง</t>
  </si>
  <si>
    <t xml:space="preserve">ผู้เรียงบิล     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</si>
  <si>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</si>
  <si>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</si>
  <si>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</si>
  <si>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</si>
  <si>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</si>
  <si>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พี่เกษ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</si>
  <si>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</si>
  <si>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</si>
  <si>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01  ก.พ.  2024  ขายบัตร HERO  งาน DNA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</si>
  <si>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STHBKK012402000001</t>
  </si>
  <si>
    <t>นางสาว กมลชนก อ่อนศรี</t>
  </si>
  <si>
    <t>STHBKK012402000002</t>
  </si>
  <si>
    <t>นาย LY SOVANN</t>
  </si>
  <si>
    <t>STHBKK012402000003</t>
  </si>
  <si>
    <t>นางสาว พิฐชญาณ์ ธนสุกิจเศรษฐ์</t>
  </si>
  <si>
    <t>STHBKK012402000004</t>
  </si>
  <si>
    <t>STHBKK012402000005</t>
  </si>
  <si>
    <t>นาย ศักรินทร์ บุญรอด</t>
  </si>
  <si>
    <t>STHBKK012402000006</t>
  </si>
  <si>
    <t>นาย อภิวัฒน์​ มูลยิ้ม</t>
  </si>
  <si>
    <t>STHBKK012402000007</t>
  </si>
  <si>
    <t>นางสาว สุชานันท์ สะตะ</t>
  </si>
  <si>
    <t>STHBKK012402000008</t>
  </si>
  <si>
    <t>นาย อำนาจ ศรีบัวทอง</t>
  </si>
  <si>
    <t>STHBKK012402000009</t>
  </si>
  <si>
    <t>นางสาว ลำใย เจริญศิริ</t>
  </si>
  <si>
    <t>STHBKK012402000010</t>
  </si>
  <si>
    <t>นาย คมสันต์ ชาญธนโชค</t>
  </si>
  <si>
    <t>STHBKK012402000011</t>
  </si>
  <si>
    <t>นาง วิลัย พิลาดี</t>
  </si>
  <si>
    <t>STHBKK012402000012</t>
  </si>
  <si>
    <t>นางสาว อภัสนันท์ เจริญศิริวิชญกุล</t>
  </si>
  <si>
    <t>STHBKK012402000013</t>
  </si>
  <si>
    <t>STHBKK012402000014</t>
  </si>
  <si>
    <t>นางสาว พรพรรณ จันทร์เพ็ญ</t>
  </si>
  <si>
    <t>เหน่ง</t>
  </si>
  <si>
    <t>เหน่่ง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</si>
  <si>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</si>
  <si>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03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</si>
  <si>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STHBKK012402000114</t>
  </si>
  <si>
    <t>STHBKK012402000115</t>
  </si>
  <si>
    <t>STHBKK012402000116</t>
  </si>
  <si>
    <t>STHBKK012402000117</t>
  </si>
  <si>
    <t>STHBKK012402000118</t>
  </si>
  <si>
    <t>นาย ศรชัย แสนสบาย</t>
  </si>
  <si>
    <t>STHBKK012402000119</t>
  </si>
  <si>
    <t>นางสาว ธนารีย์ โพธิรังษี</t>
  </si>
  <si>
    <t>STHBKK012402000121</t>
  </si>
  <si>
    <t>นาง ทิชากร ไชยแสง</t>
  </si>
  <si>
    <t>STHBKK012402000122</t>
  </si>
  <si>
    <t>STHBKK012402000123</t>
  </si>
  <si>
    <t>นาย สอน โพธิ์ศรีทอง</t>
  </si>
  <si>
    <t>STHBKK012402000124</t>
  </si>
  <si>
    <t>นางสาว ธันย์ณิชา ชำนาญป่า</t>
  </si>
  <si>
    <t>STHBKK012402000125</t>
  </si>
  <si>
    <t>STHBKK012402000126</t>
  </si>
  <si>
    <t>นาย สุรวัฒน์ ตั้งพงศ์ศิรประภา</t>
  </si>
  <si>
    <t>STHBKK012402000127</t>
  </si>
  <si>
    <t>นาย ภัคชัญญา เทพวรรณ์</t>
  </si>
  <si>
    <t>STHBKK012402000128</t>
  </si>
  <si>
    <t>นาย ยงยุทธ ครุธจร</t>
  </si>
  <si>
    <t>STHBKK012402000130</t>
  </si>
  <si>
    <t>นาย ธนภัทร อยู่คำ</t>
  </si>
  <si>
    <t>STHBKK012402000131</t>
  </si>
  <si>
    <t>นาย พุทธเชษฐ์ คำสอนทา</t>
  </si>
  <si>
    <t>STHBKK012402000132</t>
  </si>
  <si>
    <t>STHBKK012402000133</t>
  </si>
  <si>
    <t>นาย วิเชษฐ สกุลหอม</t>
  </si>
  <si>
    <t>STHBKK012402000134</t>
  </si>
  <si>
    <t>นาง รัตนกร ไม้แดง</t>
  </si>
  <si>
    <t>STHBKK012402000135</t>
  </si>
  <si>
    <t>นางสาว พิมพ์มาดา เงางาม</t>
  </si>
  <si>
    <t>STHBKK012402000136</t>
  </si>
  <si>
    <t>นาย ธัชชัย สินอนันต์จินดา</t>
  </si>
  <si>
    <t>STHBKK012402000137</t>
  </si>
  <si>
    <t>นาง เต็มลักษณ์ ยวงลำใย</t>
  </si>
  <si>
    <t>STHBKK012402000138</t>
  </si>
  <si>
    <t>STHBKK012402000139</t>
  </si>
  <si>
    <t>นางสาว ดัสนีย์​ เจะ​เลาะ​</t>
  </si>
  <si>
    <t>STHBKK012402000140</t>
  </si>
  <si>
    <t>STHBKK012402000142</t>
  </si>
  <si>
    <t>นางสาว NI ONE</t>
  </si>
  <si>
    <t>STHBKK012402000143</t>
  </si>
  <si>
    <t>นาง บุญนาค มีทะโจล</t>
  </si>
  <si>
    <t>STHBKK012402000144</t>
  </si>
  <si>
    <t>นาย จักรกฤษณ์ ผิวเขียว</t>
  </si>
  <si>
    <t>STHBKK012402000145</t>
  </si>
  <si>
    <t>นาง จเร ยอดดี</t>
  </si>
  <si>
    <t>STHBKK012402000147</t>
  </si>
  <si>
    <t>STHBKK012402000148</t>
  </si>
  <si>
    <t>นางสาว สุพรรณษา ไพศาล</t>
  </si>
  <si>
    <t>STHBKK012402000149</t>
  </si>
  <si>
    <t>นาย ณฐพนธ์ ศรีศักดา</t>
  </si>
  <si>
    <t>STHBKK012402000150</t>
  </si>
  <si>
    <t>นาย พัฒน์รดิศ สุพัฒน์วณิชกร</t>
  </si>
  <si>
    <t>STHBKK012402000151</t>
  </si>
  <si>
    <t>นางสาว ศิวพร ไม้แหลม</t>
  </si>
  <si>
    <t>STHBKK012402000152</t>
  </si>
  <si>
    <t>นาย สิปปภาส โรจนวสุธร</t>
  </si>
  <si>
    <t>STHBKK012402000153</t>
  </si>
  <si>
    <t>STHBKK012402000154</t>
  </si>
  <si>
    <t>นาง ขวัญใจ ร่มโพธิ์ชี + ดำรงค์ศักดิ์ ร่มโพธิ์ชี</t>
  </si>
  <si>
    <t>STHONLIN2402000025</t>
  </si>
  <si>
    <t>บริษัท ฟองใหญ่ จำกัด (สำนักงานใหญ่)</t>
  </si>
  <si>
    <t>STHONLIN2402000026</t>
  </si>
  <si>
    <t>นางสาว สุภาพร พรมทา</t>
  </si>
  <si>
    <t>STHONLIN2402000027</t>
  </si>
  <si>
    <t>นาย ประวิต หล้าสุดตา</t>
  </si>
  <si>
    <t>STHONLIN2402000029</t>
  </si>
  <si>
    <t>STHONLIN2402000030</t>
  </si>
  <si>
    <t>นาย สรรณ สินธุรัตน์</t>
  </si>
  <si>
    <t>STHONLIN2402000033</t>
  </si>
  <si>
    <t>นาย สมยศ อภิรัชนากุล</t>
  </si>
  <si>
    <t>เหมย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</si>
  <si>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</si>
  <si>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04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</si>
  <si>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STHBKK012402000155</t>
  </si>
  <si>
    <t>STHBKK012402000156</t>
  </si>
  <si>
    <t>นางสาว ฤทัยทิพย์ นาโพธิ์</t>
  </si>
  <si>
    <t>STHBKK012402000157</t>
  </si>
  <si>
    <t>STHBKK012402000158</t>
  </si>
  <si>
    <t>นาย แสงทอง บุญยิ่ง</t>
  </si>
  <si>
    <t>STHBKK012402000159</t>
  </si>
  <si>
    <t>นาย องอาจ พิภพภิญโญ</t>
  </si>
  <si>
    <t>STHBKK012402000160</t>
  </si>
  <si>
    <t>นางสาว ภาพิมล  ฉัตรเฉลิมวิทย์</t>
  </si>
  <si>
    <t>STHBKK012402000161</t>
  </si>
  <si>
    <t>นาย เพียรศักดิ์ ใหม่แก้ว</t>
  </si>
  <si>
    <t>STHBKK012402000162</t>
  </si>
  <si>
    <t>นาย ต้นสัก  สุคนธรัตน์</t>
  </si>
  <si>
    <t>STHBKK012402000165</t>
  </si>
  <si>
    <t>นาง จันทร์เพญ ก้อนทอง</t>
  </si>
  <si>
    <t>STHBKK012402000166</t>
  </si>
  <si>
    <t>นาย พิรุณ บานเย็น</t>
  </si>
  <si>
    <t>STHBKK012402000167</t>
  </si>
  <si>
    <t>นาย ไชโย เดชเดชา</t>
  </si>
  <si>
    <t>STHBKK012402000168</t>
  </si>
  <si>
    <t>นาย ทวีศักดิ์ วงศ์กีรติเมธาวี</t>
  </si>
  <si>
    <t>STHBKK012402000169</t>
  </si>
  <si>
    <t>นาย จิรวัฒน์ ทิววัฒน์ปกรณ์</t>
  </si>
  <si>
    <t>STHBKK012402000170</t>
  </si>
  <si>
    <t>STHBKK012402000171</t>
  </si>
  <si>
    <t>นาย สนั่นศักดิ์  สมทอง</t>
  </si>
  <si>
    <t>STHBKK012402000172</t>
  </si>
  <si>
    <t>นาย ประสพสิน  จีนพวด</t>
  </si>
  <si>
    <t>STHBKK012402000173</t>
  </si>
  <si>
    <t>นาย ศักดา ตำนาญ</t>
  </si>
  <si>
    <t>STHBKK012402000174</t>
  </si>
  <si>
    <t>นาย ปภาวิน ใจห้าว</t>
  </si>
  <si>
    <t>STHBKK012402000175</t>
  </si>
  <si>
    <t>บริษัท พิมปรีชา จำกัด (สำนักงานใหญ่)</t>
  </si>
  <si>
    <t>STHBKK012402000176</t>
  </si>
  <si>
    <t>นาย สุชีพ พูลศรี</t>
  </si>
  <si>
    <t>STHBKK012402000177</t>
  </si>
  <si>
    <t>นาย คมกฤษณ์ ฉัตรจิรธีรพงศ์</t>
  </si>
  <si>
    <t>STHBKK012402000179</t>
  </si>
  <si>
    <t>นาง ประนอม เอี่ยมโสภา</t>
  </si>
  <si>
    <t>STHBKK012402000180</t>
  </si>
  <si>
    <t>นางสาว คณาง ไพรบึง</t>
  </si>
  <si>
    <t>STHBKK012402000181</t>
  </si>
  <si>
    <t>นาย อำนาจ   สุกสะเดาะ</t>
  </si>
  <si>
    <t>STHBKK012402000182</t>
  </si>
  <si>
    <t>STHBKK012402000183</t>
  </si>
  <si>
    <t>STHBKK012402000184</t>
  </si>
  <si>
    <t>นาย สาธิต โตตรุชัย</t>
  </si>
  <si>
    <t>STHBKK012402000186</t>
  </si>
  <si>
    <t>นาง สุภาพร ทองคำพิน</t>
  </si>
  <si>
    <t>STHBKK012402000188</t>
  </si>
  <si>
    <t>STHBKK012402000189</t>
  </si>
  <si>
    <t>STHBKK012402000190</t>
  </si>
  <si>
    <t>STHONLIN2402000034</t>
  </si>
  <si>
    <t>นางสาว มัลลิกา พลรัตน์</t>
  </si>
  <si>
    <t>STHONLIN2402000040</t>
  </si>
  <si>
    <t>STHONLIN2402000041</t>
  </si>
  <si>
    <t>STHONLIN2402000043</t>
  </si>
  <si>
    <t>STHONLIN2402000048</t>
  </si>
  <si>
    <t>STHONLIN2402000049</t>
  </si>
  <si>
    <t>กัญจนา กันจันทร์วงศ์</t>
  </si>
  <si>
    <t>STHONLIN2402000050</t>
  </si>
  <si>
    <t>นาย ไทคูณ ไพรบึง</t>
  </si>
  <si>
    <t>STHONLIN2402000056</t>
  </si>
  <si>
    <t>บริษัท แก้วแกมทอง เทรดดิ้ง จำกัด (สำนักงานใหญ่)</t>
  </si>
  <si>
    <t>STHONLIN2402000060</t>
  </si>
  <si>
    <t>นางสาว ณิชชนันท์  หาญเพียรพงศ์</t>
  </si>
  <si>
    <t>STHONLIN2402000061</t>
  </si>
  <si>
    <t>STHONLIN2402000062</t>
  </si>
  <si>
    <t>นาย มานะ หาญเพียรพงศ์</t>
  </si>
  <si>
    <t>STHONLIN2402000063</t>
  </si>
  <si>
    <t>นางสาว ยุวลี เสาร์โส</t>
  </si>
  <si>
    <t>STHONLIN2402000064</t>
  </si>
  <si>
    <t>นาย วิชัย แซ่ยั้ง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</si>
  <si>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</si>
  <si>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พี่เหน่ง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</si>
  <si>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05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</si>
  <si>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STHBKK012402000191</t>
  </si>
  <si>
    <t>นางสาว ภัทรพิดา อุ่นโสดา</t>
  </si>
  <si>
    <t>STHBKK012402000192</t>
  </si>
  <si>
    <t>นางสาว นัสรีน  เจริญพร</t>
  </si>
  <si>
    <t>STHBKK012402000193</t>
  </si>
  <si>
    <t>STHBKK012402000194</t>
  </si>
  <si>
    <t>STHBKK012402000195</t>
  </si>
  <si>
    <t>นาง ยุพิน ชัยศร</t>
  </si>
  <si>
    <t>STHBKK012402000196</t>
  </si>
  <si>
    <t>นางสาว ณุชรี  กาญจนกำเนิด</t>
  </si>
  <si>
    <t>STHBKK012402000197</t>
  </si>
  <si>
    <t>นาย สุวรรณ อ่อนคำวงค์</t>
  </si>
  <si>
    <t>STHBKK012402000198</t>
  </si>
  <si>
    <t>นางสาว ธัญลักษณ์ แหลมคม</t>
  </si>
  <si>
    <t>STHBKK012402000199</t>
  </si>
  <si>
    <t>นาย ภาสกร กุละลา</t>
  </si>
  <si>
    <t>STHBKK012402000200</t>
  </si>
  <si>
    <t>นาย อนันต์กฤช เต็มศิริพันธุ์</t>
  </si>
  <si>
    <t>STHBKK012402000202</t>
  </si>
  <si>
    <t>STHBKK012402000203</t>
  </si>
  <si>
    <t>STHBKK012402000204</t>
  </si>
  <si>
    <t>นาย สุรทัศน์ เกไธสง</t>
  </si>
  <si>
    <t>STHBKK012402000205</t>
  </si>
  <si>
    <t>นาย พิชิต ผิวสุข</t>
  </si>
  <si>
    <t>STHBKK012402000206</t>
  </si>
  <si>
    <t>นางสาว สุวพร ญาณกวี</t>
  </si>
  <si>
    <t>STHBKK012402000207</t>
  </si>
  <si>
    <t>นางสาว วณัฐกมล  วิไลลักษณ์</t>
  </si>
  <si>
    <t>STHBKK012402000208</t>
  </si>
  <si>
    <t>นาง วิลัย ปัญญาวัฒโน</t>
  </si>
  <si>
    <t>STHBKK012402000209</t>
  </si>
  <si>
    <t>นางสาว สุธรรมา กุสันเทียะ</t>
  </si>
  <si>
    <t>STHBKK012402000210</t>
  </si>
  <si>
    <t>นางสาว นพรัตน์  ศุจิภานันท์</t>
  </si>
  <si>
    <t>STHBKK012402000211</t>
  </si>
  <si>
    <t>นาย เลิศวรรธน์ ศรีภิรมย์</t>
  </si>
  <si>
    <t>STHBKK012402000212</t>
  </si>
  <si>
    <t>นาง กานดา วงศ์เทพนิวัติ</t>
  </si>
  <si>
    <t>STHBKK012402000213</t>
  </si>
  <si>
    <t>นางสาว  พิมพ์มาดา เงางาม</t>
  </si>
  <si>
    <t>STHBKK012402000214</t>
  </si>
  <si>
    <t>นาย วันชัย เครือเช้า</t>
  </si>
  <si>
    <t>STHBKK012402000215</t>
  </si>
  <si>
    <t>นาย สมพล คุ้มสา</t>
  </si>
  <si>
    <t>STHBKK012402000216</t>
  </si>
  <si>
    <t>นาย พุฒิพัฒน์ รัตนพิริยสกุล</t>
  </si>
  <si>
    <t>STHBKK012402000218</t>
  </si>
  <si>
    <t>นางสาว กาญจนา จันทรมณี</t>
  </si>
  <si>
    <t>STHBKK012402000219</t>
  </si>
  <si>
    <t>นาย สัมฤทธิ์ กิ่งภาร + อัญชลี กิ่งภาร</t>
  </si>
  <si>
    <t>STHBKK012402000220</t>
  </si>
  <si>
    <t>นาง อัมพร  กุลศัตยาภิรมย์</t>
  </si>
  <si>
    <t>STHBKK012402000222</t>
  </si>
  <si>
    <t>นาย เกียรติศักดิ์ กิ่งโคกกรวด</t>
  </si>
  <si>
    <t>STHBKK012402000223</t>
  </si>
  <si>
    <t>STHBKK012402000225</t>
  </si>
  <si>
    <t>นางสาว นวล ปานแสง</t>
  </si>
  <si>
    <t>STHBKK012402000226</t>
  </si>
  <si>
    <t>นาง ศศิธร เม่นตะเภา</t>
  </si>
  <si>
    <t>STHBKK012402000228</t>
  </si>
  <si>
    <t>นาง แสวง ปานเฟือง</t>
  </si>
  <si>
    <t>STHBKK012402000229</t>
  </si>
  <si>
    <t>นาง กมลชนก เพิ่มทองอินทร์</t>
  </si>
  <si>
    <t>STHBKK012402000231</t>
  </si>
  <si>
    <t>นางสาว สุนิษา สุวรรณวัฒนะ</t>
  </si>
  <si>
    <t>STHBKK012402000232</t>
  </si>
  <si>
    <t>STHBKK012402000233</t>
  </si>
  <si>
    <t>ห้างหุ้นส่วนจำกัด ต้าฟู่ ร่ำรวย (สำนักงานใหญ่)</t>
  </si>
  <si>
    <t>STHBKK012402000235</t>
  </si>
  <si>
    <t>นาง เทียมใจ พุทธสกุล</t>
  </si>
  <si>
    <t>STHBKK012402000236</t>
  </si>
  <si>
    <t>STHBKK012402000237</t>
  </si>
  <si>
    <t>สนั่น ปริมาณ</t>
  </si>
  <si>
    <t>STHBKK012402000238</t>
  </si>
  <si>
    <t>STHBKK012402000239</t>
  </si>
  <si>
    <t>นาย เสรี ทองหนูน</t>
  </si>
  <si>
    <t>STHONLIN2402000066</t>
  </si>
  <si>
    <t>นางสาว นารากร เวียงทอง</t>
  </si>
  <si>
    <t>STHONLIN2402000067</t>
  </si>
  <si>
    <t>นาง อรพรรณ</t>
  </si>
  <si>
    <t>STHONLIN2402000068</t>
  </si>
  <si>
    <t>STHONLIN2402000069</t>
  </si>
  <si>
    <t>นาง ทณัชพร ปิติธรรม</t>
  </si>
  <si>
    <t>STHONLIN2402000070</t>
  </si>
  <si>
    <t>นาย สมิทธิ์ จูฉิม</t>
  </si>
  <si>
    <t>STHONLIN2402000071</t>
  </si>
  <si>
    <t>นางสาว ตรีเนตร คงสมสุข</t>
  </si>
  <si>
    <t>STHONLIN2402000072</t>
  </si>
  <si>
    <t>นาย สวิง ดีเทียน</t>
  </si>
  <si>
    <t>STHONLIN2402000073</t>
  </si>
  <si>
    <t>STHONLIN2402000074</t>
  </si>
  <si>
    <t>STHONLIN2402000075</t>
  </si>
  <si>
    <t>นางสาว กินรี อุ่นไธสง</t>
  </si>
  <si>
    <t>STHONLIN2402000081</t>
  </si>
  <si>
    <t>STHONLIN2402000083</t>
  </si>
  <si>
    <t>นาย เอกชลิต ธวัชกฤตยา</t>
  </si>
  <si>
    <t>STHONLIN2402000084</t>
  </si>
  <si>
    <t>STHONLIN2402000085</t>
  </si>
  <si>
    <t>นาย นิตินาฎ หมิ่นขัด</t>
  </si>
  <si>
    <t>STHONLIN2402000091</t>
  </si>
  <si>
    <t>นางสาว น้อง คงมา</t>
  </si>
  <si>
    <t>STHONLIN2402000092</t>
  </si>
  <si>
    <t>นาย ณัฐพล คงมา</t>
  </si>
  <si>
    <t>STHONLIN2402000093</t>
  </si>
  <si>
    <t>STHONLIN2402000094</t>
  </si>
  <si>
    <t>นางสาว ประนึง ทองอยู่</t>
  </si>
  <si>
    <t>STHONLIN2402000095</t>
  </si>
  <si>
    <t>นางสาว สาริศา ปริมาณ</t>
  </si>
  <si>
    <t>พีนี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</si>
  <si>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</si>
  <si>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06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</si>
  <si>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STHBKK012402000240</t>
  </si>
  <si>
    <t>STHBKK012402000241</t>
  </si>
  <si>
    <t>STHBKK012402000242</t>
  </si>
  <si>
    <t>นาง ภีรดา  เดชะนามเมือง</t>
  </si>
  <si>
    <t>STHBKK012402000243</t>
  </si>
  <si>
    <t>น้ำฝน ไกรกมล</t>
  </si>
  <si>
    <t>STHBKK012402000244</t>
  </si>
  <si>
    <t>นางสาว ขวัญชนก  มั่นเขตรวิทย์</t>
  </si>
  <si>
    <t>STHBKK012402000245</t>
  </si>
  <si>
    <t>นาง บุญมา คลี่แป้ง</t>
  </si>
  <si>
    <t>STHBKK012402000247</t>
  </si>
  <si>
    <t>STHBKK012402000249</t>
  </si>
  <si>
    <t>นาง พัชรี   ธรรมรักษ์กุล</t>
  </si>
  <si>
    <t>STHBKK012402000250</t>
  </si>
  <si>
    <t>นาง ชนิดา สามารถ</t>
  </si>
  <si>
    <t>STHBKK012402000251</t>
  </si>
  <si>
    <t>นางสาว วันวิสา  ถาวรชาติ</t>
  </si>
  <si>
    <t>STHBKK012402000253</t>
  </si>
  <si>
    <t>STHBKK012402000254</t>
  </si>
  <si>
    <t>นาย ธนพงษ์ ทองแจ้ง</t>
  </si>
  <si>
    <t>STHBKK012402000255</t>
  </si>
  <si>
    <t>STHBKK012402000256</t>
  </si>
  <si>
    <t>นางสาว อารี เชาว์วิวัฒนากุล</t>
  </si>
  <si>
    <t>STHBKK012402000257</t>
  </si>
  <si>
    <t>STHBKK012402000258</t>
  </si>
  <si>
    <t>นาย ยงยุทธ ประสาทศิลป์</t>
  </si>
  <si>
    <t>STHBKK012402000259</t>
  </si>
  <si>
    <t>STHBKK012402000260</t>
  </si>
  <si>
    <t>STHBKK012402000261</t>
  </si>
  <si>
    <t>นางสาว ยูรีนา เกษา</t>
  </si>
  <si>
    <t>STHBKK012402000262</t>
  </si>
  <si>
    <t>นาง ณัฎฐณันธ์ วงวันดี</t>
  </si>
  <si>
    <t>STHBKK012402000263</t>
  </si>
  <si>
    <t>นางสาว สมพร สุพงศ์พาณิช</t>
  </si>
  <si>
    <t>STHBKK012402000264</t>
  </si>
  <si>
    <t>STHBKK012402000265</t>
  </si>
  <si>
    <t>STHBKK012402000266</t>
  </si>
  <si>
    <t>STHBKK012402000268</t>
  </si>
  <si>
    <t>นาย วิเชียร กาดนอก</t>
  </si>
  <si>
    <t>STHBKK012402000269</t>
  </si>
  <si>
    <t>นาย บุญเลิศ รวมวินิจ</t>
  </si>
  <si>
    <t>STHBKK012402000270</t>
  </si>
  <si>
    <t>ลัดดา เจริญโชติทรัพย์</t>
  </si>
  <si>
    <t>STHBKK012402000271</t>
  </si>
  <si>
    <t>STHBKK012402000272</t>
  </si>
  <si>
    <t>นางสาว อภาพร จำเริญนุช</t>
  </si>
  <si>
    <t>STHBKK012402000273</t>
  </si>
  <si>
    <t>STHBKK012402000274</t>
  </si>
  <si>
    <t>STHBKK012402000275</t>
  </si>
  <si>
    <t>นาง สายรุ้ง ขำสิริ</t>
  </si>
  <si>
    <t>STHBKK012402000276</t>
  </si>
  <si>
    <t>นาง อัจจิมา บุญเกิด</t>
  </si>
  <si>
    <t>STHBKK012402000277</t>
  </si>
  <si>
    <t>STHBKK012402000278</t>
  </si>
  <si>
    <t>นางสาว จีรวรรณ ละว้า</t>
  </si>
  <si>
    <t>STHBKK012402000280</t>
  </si>
  <si>
    <t>นาย ทนงค์ วาณิกบุตร</t>
  </si>
  <si>
    <t>STHBKK012402000282</t>
  </si>
  <si>
    <t>STHONLIN2402000106</t>
  </si>
  <si>
    <t>นาย วิทวัส  ธรรมรักษ์กุล</t>
  </si>
  <si>
    <t>STHONLIN2402000107</t>
  </si>
  <si>
    <t>STHONLIN2402000108</t>
  </si>
  <si>
    <t>นาย  จักรพงศ์ เพชรเหลี่ยม</t>
  </si>
  <si>
    <t>STHONLIN2402000110</t>
  </si>
  <si>
    <t>นาย พงษ์พัฒน์ แตงทอง</t>
  </si>
  <si>
    <t>STHONLIN2402000112</t>
  </si>
  <si>
    <t>STHONLIN2402000114</t>
  </si>
  <si>
    <t>STHONLIN2402000118</t>
  </si>
  <si>
    <t>บริษัท ดีเวย์ ริชคอร์ป จำกัด(สำนักงานใหญ่)</t>
  </si>
  <si>
    <t>STHONLIN2402000122</t>
  </si>
  <si>
    <t>นาย สุวิทย์  รองชูเพ็ง</t>
  </si>
  <si>
    <t>STHONLIN2402000125</t>
  </si>
  <si>
    <t>พี่นี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</si>
  <si>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</si>
  <si>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07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</si>
  <si>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STHBKK012402000284</t>
  </si>
  <si>
    <t>STHBKK012402000285</t>
  </si>
  <si>
    <t>นาย มงคล เพ็งเคียน</t>
  </si>
  <si>
    <t>STHBKK012402000286</t>
  </si>
  <si>
    <t>STHBKK012402000287</t>
  </si>
  <si>
    <t>นางสาว อรอินท์ุ  สิงห์ทอง</t>
  </si>
  <si>
    <t>STHBKK012402000289</t>
  </si>
  <si>
    <t>STHBKK012402000290</t>
  </si>
  <si>
    <t>STHBKK012402000291</t>
  </si>
  <si>
    <t>นางสาว เสาวนีย์ ราชเขียว</t>
  </si>
  <si>
    <t>STHBKK012402000292</t>
  </si>
  <si>
    <t>STHBKK012402000293</t>
  </si>
  <si>
    <t>นาง สำเนียง ทองสุข</t>
  </si>
  <si>
    <t>STHBKK012402000295</t>
  </si>
  <si>
    <t>นาย ทรงพล  ยิ่งยงยุทธ</t>
  </si>
  <si>
    <t>STHBKK012402000296</t>
  </si>
  <si>
    <t>นาง รุ่งรัตน์ ศรสุรินทร์</t>
  </si>
  <si>
    <t>STHBKK012402000297</t>
  </si>
  <si>
    <t>STHBKK012402000298</t>
  </si>
  <si>
    <t>นาง จันทร์ศิริ ศรศรี</t>
  </si>
  <si>
    <t>STHBKK012402000299</t>
  </si>
  <si>
    <t>นาย หทัยทิพย์ สารวรรณ</t>
  </si>
  <si>
    <t>STHBKK012402000300</t>
  </si>
  <si>
    <t>นาย สุทัศน์ ศรีแสงทอง</t>
  </si>
  <si>
    <t>STHBKK012402000301</t>
  </si>
  <si>
    <t>STHBKK012402000302</t>
  </si>
  <si>
    <t>STHBKK012402000303</t>
  </si>
  <si>
    <t>นาย พิสิฐพงษ์  ยอดจันทร์</t>
  </si>
  <si>
    <t>STHBKK012402000304</t>
  </si>
  <si>
    <t>นางสาว สุดาวรรณ์  จันทร์แดง</t>
  </si>
  <si>
    <t>STHBKK012402000306</t>
  </si>
  <si>
    <t>บริษัท สวนสุข จำกัด(สำนักงานใหญ่)</t>
  </si>
  <si>
    <t>STHBKK012402000307</t>
  </si>
  <si>
    <t>นาง มัลลิกา พรมมา</t>
  </si>
  <si>
    <t>STHBKK012402000308</t>
  </si>
  <si>
    <t>STHBKK012402000309</t>
  </si>
  <si>
    <t>นาง ทัศนา แสนสบาย</t>
  </si>
  <si>
    <t>STHBKK012402000310</t>
  </si>
  <si>
    <t>STHBKK012402000311</t>
  </si>
  <si>
    <t>STHBKK012402000312</t>
  </si>
  <si>
    <t>นางสาว ไพรินทร์ อินทร์ลับ</t>
  </si>
  <si>
    <t>STHBKK012402000313</t>
  </si>
  <si>
    <t>สุรชาติ นพนิธิพัฒน์</t>
  </si>
  <si>
    <t>STHBKK012402000314</t>
  </si>
  <si>
    <t>นางสาว วิภาวดี​ แพรดำ</t>
  </si>
  <si>
    <t>STHBKK012402000315</t>
  </si>
  <si>
    <t>นาย ประพันธ์ เวฬุวนารักษ์</t>
  </si>
  <si>
    <t>STHBKK012402000316</t>
  </si>
  <si>
    <t>STHBKK012402000317</t>
  </si>
  <si>
    <t>ธนวรรณ  สุขเกษม</t>
  </si>
  <si>
    <t>STHBKK012402000318</t>
  </si>
  <si>
    <t>นางสาว กัญพัชร์  ชูธีรยงพันธ์</t>
  </si>
  <si>
    <t>STHBKK012402000319</t>
  </si>
  <si>
    <t>นางสาว พรทิพย์  นาสวน</t>
  </si>
  <si>
    <t>STHBKK012402000320</t>
  </si>
  <si>
    <t>STHBKK012402000321</t>
  </si>
  <si>
    <t>นาง ดุษณี  เจมส์</t>
  </si>
  <si>
    <t>STHBKK012402000322</t>
  </si>
  <si>
    <t>นางสาว เกศร วงษ์วิภาค</t>
  </si>
  <si>
    <t>STHBKK012402000323</t>
  </si>
  <si>
    <t>STHBKK012402000325</t>
  </si>
  <si>
    <t>นาย เสฎฐวุฒิ พนาอภิชน</t>
  </si>
  <si>
    <t>STHBKK012402000326</t>
  </si>
  <si>
    <t>นาย ชญานนท์ เหมันต์</t>
  </si>
  <si>
    <t>STHBKK012402000327</t>
  </si>
  <si>
    <t>นางสาว สมคิด ยิ้มสาระ</t>
  </si>
  <si>
    <t>STHBKK012402000329</t>
  </si>
  <si>
    <t>บริษัท ซี เค กรุ๊ป  การเกษตร จำกัด</t>
  </si>
  <si>
    <t>STHBKK012402000330</t>
  </si>
  <si>
    <t>STHBKK012402000331</t>
  </si>
  <si>
    <t>ธนวรรธน์ สุขจิตร</t>
  </si>
  <si>
    <t>STHBKK012402000332</t>
  </si>
  <si>
    <t>นางสาว วัชรวรรณ  นิลสุ</t>
  </si>
  <si>
    <t>STHBKK012402000333</t>
  </si>
  <si>
    <t>นาย ชุติเมธ ดียิ่ง</t>
  </si>
  <si>
    <t>STHBKK012402000335</t>
  </si>
  <si>
    <t>นางสาว ภัทรพร  ชิณพันธ์</t>
  </si>
  <si>
    <t>STHBKK012402000336</t>
  </si>
  <si>
    <t>นาย ปัฐเมส  เอี่ยมตุ้มรัตน์</t>
  </si>
  <si>
    <t>STHBKK012402000337</t>
  </si>
  <si>
    <t>นาย ยงยุทธ  อรธรรมรัตน์</t>
  </si>
  <si>
    <t>STHBKK012402000338</t>
  </si>
  <si>
    <t>STHBKK012402000339</t>
  </si>
  <si>
    <t>STHONLIN2402000128</t>
  </si>
  <si>
    <t>นาย ดิเรก  กรีฑา</t>
  </si>
  <si>
    <t>STHONLIN2402000129</t>
  </si>
  <si>
    <t>STHONLIN2402000130</t>
  </si>
  <si>
    <t>นาย ไชยพงศ์ รุ่งอำพินธ์</t>
  </si>
  <si>
    <t>STHONLIN2402000132</t>
  </si>
  <si>
    <t>นางสาว นวพร โพธิ์คำวงค์</t>
  </si>
  <si>
    <t>STHONLIN2402000134</t>
  </si>
  <si>
    <t>STHONLIN2402000136</t>
  </si>
  <si>
    <t>STHONLIN2402000138</t>
  </si>
  <si>
    <t>STHONLIN2402000139</t>
  </si>
  <si>
    <t>นางสาว วรรณวนัช แก้วดี</t>
  </si>
  <si>
    <t>STHONLIN2402000140</t>
  </si>
  <si>
    <t>STHONLIN2402000143</t>
  </si>
  <si>
    <t>นาย กิตติ มีแก้ว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</si>
  <si>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</si>
  <si>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พี่ี่เกษ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</si>
  <si>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08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</si>
  <si>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STHBKK012402000342</t>
  </si>
  <si>
    <t>นาง ประภาพร บังทอง</t>
  </si>
  <si>
    <t>STHBKK012402000343</t>
  </si>
  <si>
    <t>STHBKK012402000344</t>
  </si>
  <si>
    <t>นาย พิชิต สันติสูงเนิน</t>
  </si>
  <si>
    <t>STHBKK012402000345</t>
  </si>
  <si>
    <t>นาย มานะ ศรีอุดม</t>
  </si>
  <si>
    <t>STHBKK012402000347</t>
  </si>
  <si>
    <t>นาง ประภาพร บุญญะฤทธิ์</t>
  </si>
  <si>
    <t>STHBKK012402000348</t>
  </si>
  <si>
    <t>บริษัท เอส ซี โกรท โกลบอล จำกัด (สำนักงานใหญ่)</t>
  </si>
  <si>
    <t>STHBKK012402000349</t>
  </si>
  <si>
    <t>STHBKK012402000350</t>
  </si>
  <si>
    <t>STHBKK012402000351</t>
  </si>
  <si>
    <t>นาง วันเพ็ญ พูลเกษม</t>
  </si>
  <si>
    <t>STHBKK012402000352</t>
  </si>
  <si>
    <t>นาย กรีฑา อินทวัน</t>
  </si>
  <si>
    <t>STHBKK012402000353</t>
  </si>
  <si>
    <t>นาง ธนภรณ์ ใจปาน</t>
  </si>
  <si>
    <t>STHBKK012402000355</t>
  </si>
  <si>
    <t>นาง อมร วรวงษ์</t>
  </si>
  <si>
    <t>STHBKK012402000356</t>
  </si>
  <si>
    <t>STHBKK012402000357</t>
  </si>
  <si>
    <t>นาย นิรันดร์ สันอัด</t>
  </si>
  <si>
    <t>STHBKK012402000359</t>
  </si>
  <si>
    <t>STHBKK012402000360</t>
  </si>
  <si>
    <t>STHBKK012402000361</t>
  </si>
  <si>
    <t>นางสาว มนัสนันท์ อ่อนศิริ</t>
  </si>
  <si>
    <t>STHBKK012402000362</t>
  </si>
  <si>
    <t>STHBKK012402000363</t>
  </si>
  <si>
    <t>นาย แทน แคน้อย</t>
  </si>
  <si>
    <t>STHBKK012402000364</t>
  </si>
  <si>
    <t>นางสาว ศริยา  รักษาราษฎร์</t>
  </si>
  <si>
    <t>STHBKK012402000367</t>
  </si>
  <si>
    <t>นาง ทองพูน  แสงสุดตา</t>
  </si>
  <si>
    <t>STHBKK012402000368</t>
  </si>
  <si>
    <t>นาง นพภัสสร  ไชยชมภู</t>
  </si>
  <si>
    <t>STHBKK012402000369</t>
  </si>
  <si>
    <t>STHBKK012402000370</t>
  </si>
  <si>
    <t>บริษัท เอ็น.เค.ทรัพย์โซเชียล จำกัด(สำนักงานใหญ)</t>
  </si>
  <si>
    <t>STHBKK012402000371</t>
  </si>
  <si>
    <t>STHBKK012402000373</t>
  </si>
  <si>
    <t>นางสาว พุทธชาติ สร้อยระย้า</t>
  </si>
  <si>
    <t>STHBKK012402000375</t>
  </si>
  <si>
    <t>นางสาว สุนีรัตน์  ศรีชัย</t>
  </si>
  <si>
    <t>STHONLIN2402000145</t>
  </si>
  <si>
    <t>นาย จิตสดา ทาณรงค์</t>
  </si>
  <si>
    <t>STHONLIN2402000146</t>
  </si>
  <si>
    <t>นาย สุรพล จันทรานุรักษ์</t>
  </si>
  <si>
    <t>STHONLIN2402000147</t>
  </si>
  <si>
    <t>STHONLIN2402000152</t>
  </si>
  <si>
    <t>STHONLIN2402000156</t>
  </si>
  <si>
    <t>นาย อภิชาติ  ศรีแก้ว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</si>
  <si>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</si>
  <si>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09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</si>
  <si>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STHBKK012402000376</t>
  </si>
  <si>
    <t>STHBKK012402000377</t>
  </si>
  <si>
    <t>STHBKK012402000378</t>
  </si>
  <si>
    <t>นาง สีแพร มังกรแก้ว</t>
  </si>
  <si>
    <t>STHBKK012402000379</t>
  </si>
  <si>
    <t>STHBKK012402000380</t>
  </si>
  <si>
    <t>STHBKK012402000383</t>
  </si>
  <si>
    <t>นาย ชัยวะรินทร์ ทองขำ</t>
  </si>
  <si>
    <t>STHBKK012402000385</t>
  </si>
  <si>
    <t>STHBKK012402000387</t>
  </si>
  <si>
    <t>นาย อนุสรณ์ ระวังภัย</t>
  </si>
  <si>
    <t>STHBKK012402000388</t>
  </si>
  <si>
    <t>STHBKK012402000389</t>
  </si>
  <si>
    <t>นางสาว จิราภรณ์ เขาทอง</t>
  </si>
  <si>
    <t>STHBKK012402000391</t>
  </si>
  <si>
    <t>นางสาว ชลธิชา  ต๊ะทองด้วง</t>
  </si>
  <si>
    <t>STHBKK012402000392</t>
  </si>
  <si>
    <t>นาย นิรัญ บุราคร</t>
  </si>
  <si>
    <t>STHBKK012402000393</t>
  </si>
  <si>
    <t>STHBKK012402000394</t>
  </si>
  <si>
    <t>STHBKK012402000395</t>
  </si>
  <si>
    <t>นาง บุญญานุช ยอดดี</t>
  </si>
  <si>
    <t>STHBKK012402000396</t>
  </si>
  <si>
    <t>STHBKK012402000397</t>
  </si>
  <si>
    <t>STHBKK012402000398</t>
  </si>
  <si>
    <t>นาง มินตรา แก้วอำนวยจิตร</t>
  </si>
  <si>
    <t>STHBKK012402000399</t>
  </si>
  <si>
    <t>STHBKK012402000400</t>
  </si>
  <si>
    <t>STHBKK012402000401</t>
  </si>
  <si>
    <t>สรธัญรดา สุวรรณรัตน์</t>
  </si>
  <si>
    <t>STHBKK012402000402</t>
  </si>
  <si>
    <t>STHBKK012402000403</t>
  </si>
  <si>
    <t>STHBKK012402000404</t>
  </si>
  <si>
    <t>STHBKK012402000405</t>
  </si>
  <si>
    <t>นางสาว เพิ่มศรี บุญมี</t>
  </si>
  <si>
    <t>STHBKK012402000406</t>
  </si>
  <si>
    <t>STHBKK012402000407</t>
  </si>
  <si>
    <t>STHBKK012402000408</t>
  </si>
  <si>
    <t>นางสาว นงพงา ตั้งฤทัยเยี่ยม</t>
  </si>
  <si>
    <t>STHBKK012402000409</t>
  </si>
  <si>
    <t>บริษัท เอ็น.พี มาร์เก็ตติ้ง แบรนด์ จำกัด(สำนักงานใหญ่)</t>
  </si>
  <si>
    <t>STHBKK012402000414</t>
  </si>
  <si>
    <t xml:space="preserve">นาย ทนงศักดิ์ รัตนบุรี		</t>
  </si>
  <si>
    <t>STHBKK012402000415</t>
  </si>
  <si>
    <t>STHONLIN2402000157</t>
  </si>
  <si>
    <t>STHONLIN2402000158</t>
  </si>
  <si>
    <t>นาย ประสิทธิ์ พันธุ์วโรบล</t>
  </si>
  <si>
    <t>STHONLIN2402000159</t>
  </si>
  <si>
    <t>นาง ทูนศรี บัวนุช</t>
  </si>
  <si>
    <t>STHONLIN2402000161</t>
  </si>
  <si>
    <t>STHONLIN2402000162</t>
  </si>
  <si>
    <t>นางสาว โนนประภัสสร  พูนนะปันโน</t>
  </si>
  <si>
    <t>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</si>
  <si>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</si>
  <si>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10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</si>
  <si>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STHBKK012402000416</t>
  </si>
  <si>
    <t>STHBKK012402000418</t>
  </si>
  <si>
    <t>STHBKK012402000419</t>
  </si>
  <si>
    <t>นางสาว นิภาพร ว่องไว</t>
  </si>
  <si>
    <t>STHBKK012402000420</t>
  </si>
  <si>
    <t>นาย ทรงฤทธิ์ สำรี</t>
  </si>
  <si>
    <t>STHBKK012402000422</t>
  </si>
  <si>
    <t>นาย ทวีชัย  พัฒนา</t>
  </si>
  <si>
    <t>STHBKK012402000423</t>
  </si>
  <si>
    <t>STHBKK012402000425</t>
  </si>
  <si>
    <t>นาย สุภกร ศุภกฤตชากรณ์</t>
  </si>
  <si>
    <t>STHBKK012402000426</t>
  </si>
  <si>
    <t>นางสาว น้องนุช ชัยนาม</t>
  </si>
  <si>
    <t>STHBKK012402000427</t>
  </si>
  <si>
    <t>นาย สุเมธี ยอดฉิมมา</t>
  </si>
  <si>
    <t>STHBKK012402000428</t>
  </si>
  <si>
    <t>STHBKK012402000429</t>
  </si>
  <si>
    <t>STHBKK012402000431</t>
  </si>
  <si>
    <t>นางสาว ศุภาพิชญ์ วุฒิอนุสรณ์</t>
  </si>
  <si>
    <t>STHBKK012402000432</t>
  </si>
  <si>
    <t>STHBKK012402000433</t>
  </si>
  <si>
    <t>STHBKK012402000434</t>
  </si>
  <si>
    <t>นาย มนตรี จันทรวิวัฒน์</t>
  </si>
  <si>
    <t>STHBKK012402000435</t>
  </si>
  <si>
    <t>STHBKK012402000436</t>
  </si>
  <si>
    <t>STHBKK012402000437</t>
  </si>
  <si>
    <t>นาย ปริญพัชร์ ศรีศุภณัฐธนากุล + นางสาว วาสนา โสมศรี</t>
  </si>
  <si>
    <t>STHBKK012402000438</t>
  </si>
  <si>
    <t>STHBKK012402000439</t>
  </si>
  <si>
    <t>STHBKK012402000441</t>
  </si>
  <si>
    <t>นาย ปกรณ์เกียรติ กลั่นกสิกรณ์เดชา</t>
  </si>
  <si>
    <t>STHBKK012402000443</t>
  </si>
  <si>
    <t>STHBKK012402000444</t>
  </si>
  <si>
    <t>STHBKK012402000445</t>
  </si>
  <si>
    <t>STHBKK012402000446</t>
  </si>
  <si>
    <t>นาง รันจวน จิมสูงเนิน</t>
  </si>
  <si>
    <t>STHBKK012402000447</t>
  </si>
  <si>
    <t>STHBKK012402000451</t>
  </si>
  <si>
    <t>นางสาว ริญญ์รภัส ศรีศุภณัฐธนากุล</t>
  </si>
  <si>
    <t>STHONLIN2402000166</t>
  </si>
  <si>
    <t>นางสาว สุรินทร์ทิพย์ หวังเหนี่ยวกลาง</t>
  </si>
  <si>
    <t>STHONLIN2402000169</t>
  </si>
  <si>
    <t>STHONLIN2402000175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</si>
  <si>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</si>
  <si>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</si>
  <si>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</si>
  <si>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STHBKK012402000452</t>
  </si>
  <si>
    <t>STHBKK012402000453</t>
  </si>
  <si>
    <t>นาย เตชินท์  พุทธสารวงษ์</t>
  </si>
  <si>
    <t>STHBKK012402000456</t>
  </si>
  <si>
    <t>STHBKK012402000457</t>
  </si>
  <si>
    <t>STHBKK012402000458</t>
  </si>
  <si>
    <t>นาง แป้ง สืบสาย</t>
  </si>
  <si>
    <t>STHBKK012402000459</t>
  </si>
  <si>
    <t>นางสาว กนกวรรณ โต๊ะดี</t>
  </si>
  <si>
    <t>STHBKK012402000460</t>
  </si>
  <si>
    <t>STHBKK012402000461</t>
  </si>
  <si>
    <t>นาย บุญพเรศ สำราญ</t>
  </si>
  <si>
    <t>STHBKK012402000462</t>
  </si>
  <si>
    <t>STHBKK012402000463</t>
  </si>
  <si>
    <t>STHBKK012402000464</t>
  </si>
  <si>
    <t>STHBKK012402000465</t>
  </si>
  <si>
    <t>STHBKK012402000466</t>
  </si>
  <si>
    <t>สมใจ สุวรรณรัตน์</t>
  </si>
  <si>
    <t>STHBKK012402000467</t>
  </si>
  <si>
    <t>บริษัท เค24 โกลบอล จำกัด (สำนักงานใหญ่)</t>
  </si>
  <si>
    <t>STHBKK012402000468</t>
  </si>
  <si>
    <t>STHBKK012402000470</t>
  </si>
  <si>
    <t>STHBKK012402000471</t>
  </si>
  <si>
    <t>นาง NAW​ MU KHO</t>
  </si>
  <si>
    <t>STHBKK012402000472</t>
  </si>
  <si>
    <t>ห้างหุ้นส่วนจำกัด ดีทูพี ศรีลาไสล (สำนักงานใหญ่)</t>
  </si>
  <si>
    <t>STHBKK012402000473</t>
  </si>
  <si>
    <t>นางสาว ฐิตินันท์ พลอยสำลี</t>
  </si>
  <si>
    <t>STHBKK012402000474</t>
  </si>
  <si>
    <t>นางสาว นิภาวรรณ พื้นแสน</t>
  </si>
  <si>
    <t>STHBKK012402000475</t>
  </si>
  <si>
    <t>STHBKK012402000476</t>
  </si>
  <si>
    <t>พัชนีย์ ไชยธรรมมา</t>
  </si>
  <si>
    <t>STHONLIN2402000180</t>
  </si>
  <si>
    <t>STHONLIN2402000181</t>
  </si>
  <si>
    <t>นาย สมชาย โสภา</t>
  </si>
  <si>
    <t>STHONLIN2402000185</t>
  </si>
  <si>
    <t>นาย วันเผด็จ   ปังสูคนธ์</t>
  </si>
  <si>
    <t>STHONLIN2402000186</t>
  </si>
  <si>
    <t>นาย นายยงยุทธ กตัญูญู</t>
  </si>
  <si>
    <t>STHONLIN2402000187</t>
  </si>
  <si>
    <t>นาง สุธาสินี  เหมะ</t>
  </si>
  <si>
    <t>STHONLIN2402000188</t>
  </si>
  <si>
    <t>นาย รพีรัฐ  ถิระการ</t>
  </si>
  <si>
    <t>STHONLIN2402000189</t>
  </si>
  <si>
    <t>นาย มนตรี  บุษบรรณ</t>
  </si>
  <si>
    <t>STHONLIN2402000190</t>
  </si>
  <si>
    <t>นางสาว ิอนัญญา  โมพันธ์</t>
  </si>
  <si>
    <t>STHONLIN2402000191</t>
  </si>
  <si>
    <t>นาย สุเทพ  ศิริโสภณ</t>
  </si>
  <si>
    <t>STHONLIN2402000192</t>
  </si>
  <si>
    <t>นาย คำรณ  เหม็งศรี</t>
  </si>
  <si>
    <t>STHONLIN2402000193</t>
  </si>
  <si>
    <t>นาย สุริยา  สุวานนท์</t>
  </si>
  <si>
    <t>STHONLIN2402000194</t>
  </si>
  <si>
    <t>STHONLIN2402000195</t>
  </si>
  <si>
    <t>นาง บังอร ตามธรรม</t>
  </si>
  <si>
    <t>STHONLIN2402000196</t>
  </si>
  <si>
    <t>STHONLIN2402000197</t>
  </si>
  <si>
    <t>นาย นัฏฐพล หมวกยอด</t>
  </si>
  <si>
    <t>STHONLIN2402000199</t>
  </si>
  <si>
    <t>นาง จิราพร คงสวี</t>
  </si>
  <si>
    <t>STHONLIN2402000201</t>
  </si>
  <si>
    <t>STHONLIN2402000202</t>
  </si>
  <si>
    <t>STHONLIN2402000207</t>
  </si>
  <si>
    <t>นาย ธนวัต นาน้ำเชี่ยว</t>
  </si>
  <si>
    <t>STHONLIN2402000216</t>
  </si>
  <si>
    <t>นางสาว ธันยาพร สีแก้ว</t>
  </si>
  <si>
    <t>STHONLIN2402000217</t>
  </si>
  <si>
    <t>STHONLIN2402000218</t>
  </si>
  <si>
    <t>นางสาว พิชญ์สินี บุญมีฉิมมา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</si>
  <si>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</si>
  <si>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12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</si>
  <si>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STHBKK012402000480</t>
  </si>
  <si>
    <t>นาง อสมากร สุขาล</t>
  </si>
  <si>
    <t>STHBKK012402000481</t>
  </si>
  <si>
    <t>STHBKK012402000482</t>
  </si>
  <si>
    <t>STHBKK012402000483</t>
  </si>
  <si>
    <t>STHBKK012402000484</t>
  </si>
  <si>
    <t>นาย สุทธิ คำบุญ</t>
  </si>
  <si>
    <t>STHBKK012402000486</t>
  </si>
  <si>
    <t>นาย กิตติศักดิ์ โสทะ</t>
  </si>
  <si>
    <t>STHBKK012402000487</t>
  </si>
  <si>
    <t>STHBKK012402000488</t>
  </si>
  <si>
    <t>นางสาว สริยา  มาตย์วังแสง</t>
  </si>
  <si>
    <t>STHBKK012402000489</t>
  </si>
  <si>
    <t>นางสาว รวีวรรณ จินต์สวัสดิ์</t>
  </si>
  <si>
    <t>STHBKK012402000490</t>
  </si>
  <si>
    <t>นางสาว ดาวธิดา  วงมาเกษ</t>
  </si>
  <si>
    <t>STHBKK012402000491</t>
  </si>
  <si>
    <t>STHBKK012402000492</t>
  </si>
  <si>
    <t>STHBKK012402000495</t>
  </si>
  <si>
    <t>STHBKK012402000496</t>
  </si>
  <si>
    <t>นาย ศิริพร  แปลงดี</t>
  </si>
  <si>
    <t>STHBKK012402000497</t>
  </si>
  <si>
    <t>นางสาว วงเดือน บุญพารา</t>
  </si>
  <si>
    <t>STHBKK012402000498</t>
  </si>
  <si>
    <t>STHBKK012402000499</t>
  </si>
  <si>
    <t>STHBKK012402000500</t>
  </si>
  <si>
    <t>STHBKK012402000501</t>
  </si>
  <si>
    <t>STHBKK012402000502</t>
  </si>
  <si>
    <t>STHBKK012402000503</t>
  </si>
  <si>
    <t>STHBKK012402000504</t>
  </si>
  <si>
    <t>STHBKK012402000505</t>
  </si>
  <si>
    <t>นาย นำพล  ธาตุสร้อย</t>
  </si>
  <si>
    <t>STHBKK012402000506</t>
  </si>
  <si>
    <t>นางสาว อารียา สินธุสำราญ</t>
  </si>
  <si>
    <t>STHBKK012402000507</t>
  </si>
  <si>
    <t>นาง วิไล กสิกร</t>
  </si>
  <si>
    <t>STHBKK012402000508</t>
  </si>
  <si>
    <t>STHBKK012402000509</t>
  </si>
  <si>
    <t>นางสาว นวนันท์ อุ่นไธสง</t>
  </si>
  <si>
    <t>STHBKK012402000511</t>
  </si>
  <si>
    <t>นาย สมชาย ประดิษฐ์</t>
  </si>
  <si>
    <t>STHBKK012402000513</t>
  </si>
  <si>
    <t>นาย วีรพงษ์ เสาวคนธ์</t>
  </si>
  <si>
    <t>STHBKK012402000514</t>
  </si>
  <si>
    <t>STHBKK012402000515</t>
  </si>
  <si>
    <t>นางสาว รุ่งนภา  หลู่เวียง</t>
  </si>
  <si>
    <t>STHBKK012402000517</t>
  </si>
  <si>
    <t>นางสาว รัตติกาล สามงามน้อย</t>
  </si>
  <si>
    <t>STHBKK012402000519</t>
  </si>
  <si>
    <t>นางสาว เสริมสวย  ว่องไว</t>
  </si>
  <si>
    <t>STHBKK012402000520</t>
  </si>
  <si>
    <t>STHBKK012402000521</t>
  </si>
  <si>
    <t>นางสาว วิลาวัลย์ ป้องขันธ์</t>
  </si>
  <si>
    <t>STHBKK012402000522</t>
  </si>
  <si>
    <t>STHBKK012402000524</t>
  </si>
  <si>
    <t>STHBKK012402000526</t>
  </si>
  <si>
    <t>STHBKK012402000527</t>
  </si>
  <si>
    <t>STHBKK012402000528</t>
  </si>
  <si>
    <t>STHBKK012402000529</t>
  </si>
  <si>
    <t>STHBKK012402000530</t>
  </si>
  <si>
    <t>ห้างหุ้นส่วนจำกัด โกรท โกลเบิล เน็ตเวิร์ก (สำนักงานใหญ่)</t>
  </si>
  <si>
    <t>STHBKK012402000531</t>
  </si>
  <si>
    <t>นางสาว จินตนา วงค์ทอง</t>
  </si>
  <si>
    <t>STHBKK012402000532</t>
  </si>
  <si>
    <t>นางสาว ปิ่นฤทัย ครุฑสังวาลย์</t>
  </si>
  <si>
    <t>STHONLIN2402000219</t>
  </si>
  <si>
    <t>STHONLIN2402000224</t>
  </si>
  <si>
    <t>STHONLIN2402000230</t>
  </si>
  <si>
    <t>นาง บุญชู  คำจริง</t>
  </si>
  <si>
    <t>STHONLIN2402000231</t>
  </si>
  <si>
    <t>STHONLIN2402000232</t>
  </si>
  <si>
    <t>STHONLIN2402000233</t>
  </si>
  <si>
    <t>นางสาว เสาวภาคย์ อ้นแก้ว</t>
  </si>
  <si>
    <t>STHONLIN2402000236</t>
  </si>
  <si>
    <t>นาย ณัฐวัฒน์ วิไลลักษณ์</t>
  </si>
  <si>
    <t>STHONLIN2402000237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</si>
  <si>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</si>
  <si>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</si>
  <si>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STHBKK012402000533</t>
  </si>
  <si>
    <t>STHBKK012402000534</t>
  </si>
  <si>
    <t>STHBKK012402000535</t>
  </si>
  <si>
    <t>STHBKK012402000536</t>
  </si>
  <si>
    <t>นางสาว ธิภารัตน์ อินฉ่ำ</t>
  </si>
  <si>
    <t>STHBKK012402000537</t>
  </si>
  <si>
    <t>STHBKK012402000538</t>
  </si>
  <si>
    <t>STHBKK012402000539</t>
  </si>
  <si>
    <t>STHBKK012402000540</t>
  </si>
  <si>
    <t>นางสาว จิดาภา ทองเบ้า</t>
  </si>
  <si>
    <t>STHBKK012402000541</t>
  </si>
  <si>
    <t>STHBKK012402000542</t>
  </si>
  <si>
    <t>STHBKK012402000543</t>
  </si>
  <si>
    <t>นางสาว ยศวีร์ โคตรดี</t>
  </si>
  <si>
    <t>STHBKK012402000544</t>
  </si>
  <si>
    <t>นาง บังอร  เขียวนาคู</t>
  </si>
  <si>
    <t>STHBKK012402000546</t>
  </si>
  <si>
    <t>STHBKK012402000547</t>
  </si>
  <si>
    <t>STHBKK012402000548</t>
  </si>
  <si>
    <t>STHBKK012402000549</t>
  </si>
  <si>
    <t>STHBKK012402000550</t>
  </si>
  <si>
    <t>STHBKK012402000551</t>
  </si>
  <si>
    <t>STHBKK012402000552</t>
  </si>
  <si>
    <t>นาย วิกรม ทองพูล</t>
  </si>
  <si>
    <t>STHBKK012402000553</t>
  </si>
  <si>
    <t>นางสาว วารุณี แมะกัน</t>
  </si>
  <si>
    <t>STHBKK012402000554</t>
  </si>
  <si>
    <t>STHBKK012402000555</t>
  </si>
  <si>
    <t>STHBKK012402000557</t>
  </si>
  <si>
    <t>นางสาว สุรินทร เสรี</t>
  </si>
  <si>
    <t>STHBKK012402000558</t>
  </si>
  <si>
    <t>STHBKK012402000559</t>
  </si>
  <si>
    <t>นาย เก่งภพ ศุภาภพปภาส</t>
  </si>
  <si>
    <t>STHBKK012402000560</t>
  </si>
  <si>
    <t>นางสาว ละอองดาว  กองแก้ว</t>
  </si>
  <si>
    <t>STHBKK012402000561</t>
  </si>
  <si>
    <t>STHBKK012402000562</t>
  </si>
  <si>
    <t>STHBKK012402000563</t>
  </si>
  <si>
    <t>STHBKK012402000564</t>
  </si>
  <si>
    <t>STHBKK012402000565</t>
  </si>
  <si>
    <t>STHBKK012402000566</t>
  </si>
  <si>
    <t>STHBKK012402000567</t>
  </si>
  <si>
    <t>STHBKK012402000568</t>
  </si>
  <si>
    <t>STHBKK012402000569</t>
  </si>
  <si>
    <t>STHBKK012402000570</t>
  </si>
  <si>
    <t>STHONLIN2402000242</t>
  </si>
  <si>
    <t>STHONLIN2402000243</t>
  </si>
  <si>
    <t>บริษัท เศรษฐกวี จำกัด ( สำนักงานใหญ่ )</t>
  </si>
  <si>
    <t>STHONLIN2402000245</t>
  </si>
  <si>
    <t>STHONLIN2402000246</t>
  </si>
  <si>
    <t>นาย บุญลาภ โพธิ์ศรี</t>
  </si>
  <si>
    <t>STHONLIN2402000247</t>
  </si>
  <si>
    <t>นาย เหมวิทย์ โพธิ์ศรี</t>
  </si>
  <si>
    <t>STHONLIN2402000248</t>
  </si>
  <si>
    <t>นาย สมควร ยิ้มสาระ</t>
  </si>
  <si>
    <t>STHONLIN2402000249</t>
  </si>
  <si>
    <t>นางสาว สมปอง แก้วเกตุ</t>
  </si>
  <si>
    <t>STHONLIN2402000250</t>
  </si>
  <si>
    <t>นางสาว สมจิตร นวนสุ่ม</t>
  </si>
  <si>
    <t>STHONLIN2402000251</t>
  </si>
  <si>
    <t>นาย นิคม ยิ้มสาระ</t>
  </si>
  <si>
    <t>STHONLIN2402000254</t>
  </si>
  <si>
    <t>STHONLIN2402000256</t>
  </si>
  <si>
    <t>นาง ศรัญญา สุระมณี</t>
  </si>
  <si>
    <t>STHONLIN2402000257</t>
  </si>
  <si>
    <t>STHONLIN2402000258</t>
  </si>
  <si>
    <t>บริษัท  เจแอลที คอร์ปอเรชั่น จำกัด ( สำนักงานใหญ่ )</t>
  </si>
  <si>
    <t>STHONLIN2402000261</t>
  </si>
  <si>
    <t>นาง ลิ้นจี่ ศรีสุขเจริญพร</t>
  </si>
  <si>
    <t>STHONLIN2402000262</t>
  </si>
  <si>
    <t>นาย สหชาติ ศรีสุขเจริญพร</t>
  </si>
  <si>
    <t>STHONLIN2402000263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</si>
  <si>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</si>
  <si>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</si>
  <si>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STHBKK012402000571</t>
  </si>
  <si>
    <t>STHBKK012402000572</t>
  </si>
  <si>
    <t>STHBKK012402000573</t>
  </si>
  <si>
    <t>นางสาว ปุญยานุช นันท์จันทึก</t>
  </si>
  <si>
    <t>STHBKK012402000574</t>
  </si>
  <si>
    <t>STHBKK012402000575</t>
  </si>
  <si>
    <t>นางสาว พรทิพย์ เต้ตัน</t>
  </si>
  <si>
    <t>STHBKK012402000576</t>
  </si>
  <si>
    <t>STHBKK012402000577</t>
  </si>
  <si>
    <t>นาย ฐนพัฒน์ เฉลยกลิ่น</t>
  </si>
  <si>
    <t>STHBKK012402000578</t>
  </si>
  <si>
    <t>STHBKK012402000579</t>
  </si>
  <si>
    <t>นาย ธนวันต์ ชัยรุ่งโรจน์สกุล</t>
  </si>
  <si>
    <t>STHBKK012402000580</t>
  </si>
  <si>
    <t>นางสาว สุปราณี เรืองพานิช</t>
  </si>
  <si>
    <t>STHBKK012402000581</t>
  </si>
  <si>
    <t>STHBKK012402000582</t>
  </si>
  <si>
    <t>นาย วิไร บุญฉิม</t>
  </si>
  <si>
    <t>STHBKK012402000584</t>
  </si>
  <si>
    <t>นาง แย้ม มูลจัด</t>
  </si>
  <si>
    <t>STHBKK012402000585</t>
  </si>
  <si>
    <t>STHBKK012402000586</t>
  </si>
  <si>
    <t>STHBKK012402000587</t>
  </si>
  <si>
    <t>STHBKK012402000589</t>
  </si>
  <si>
    <t>นางสาว มาลิณี   แจ้งจิตร</t>
  </si>
  <si>
    <t>STHBKK012402000590</t>
  </si>
  <si>
    <t>STHBKK012402000591</t>
  </si>
  <si>
    <t>STHBKK012402000592</t>
  </si>
  <si>
    <t>STHBKK012402000594</t>
  </si>
  <si>
    <t>นาง อรพิน นางแสน</t>
  </si>
  <si>
    <t>STHBKK012402000595</t>
  </si>
  <si>
    <t>STHBKK012402000596</t>
  </si>
  <si>
    <t>นาย เจษฎา  ทับทิม</t>
  </si>
  <si>
    <t>STHBKK012402000597</t>
  </si>
  <si>
    <t>นาย สามภพ คงเมือง</t>
  </si>
  <si>
    <t>STHBKK012402000598</t>
  </si>
  <si>
    <t>STHBKK012402000599</t>
  </si>
  <si>
    <t>STHBKK012402000600</t>
  </si>
  <si>
    <t>STHBKK012402000601</t>
  </si>
  <si>
    <t>STHBKK012402000602</t>
  </si>
  <si>
    <t>STHBKK012402000603</t>
  </si>
  <si>
    <t>นาย รจนี จันทายืน</t>
  </si>
  <si>
    <t>STHBKK012402000605</t>
  </si>
  <si>
    <t>STHBKK012402000606</t>
  </si>
  <si>
    <t>นางสาว วิจิตรา คดีเวียง</t>
  </si>
  <si>
    <t>STHBKK012402000607</t>
  </si>
  <si>
    <t>STHBKK012402000609</t>
  </si>
  <si>
    <t>STHBKK012402000610</t>
  </si>
  <si>
    <t>STHONLIN2402000272</t>
  </si>
  <si>
    <t>STHONLIN2402000274</t>
  </si>
  <si>
    <t>STHONLIN2402000275</t>
  </si>
  <si>
    <t>STHONLIN2402000276</t>
  </si>
  <si>
    <t>นางสาว ธนิชชนันท์ สิริภาคยะประภา</t>
  </si>
  <si>
    <t>STHONLIN2402000277</t>
  </si>
  <si>
    <t>STHONLIN2402000280</t>
  </si>
  <si>
    <t>นาง สมศรี โหมเพ็ง</t>
  </si>
  <si>
    <t>STHONLIN2402000284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</si>
  <si>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</si>
  <si>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15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</si>
  <si>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STHBKK012402000611</t>
  </si>
  <si>
    <t>STHBKK012402000612</t>
  </si>
  <si>
    <t>นาง พิรญาณ์  มีใย</t>
  </si>
  <si>
    <t>STHBKK012402000613</t>
  </si>
  <si>
    <t>STHBKK012402000614</t>
  </si>
  <si>
    <t>นาย อดิศักดิ์ ครองสวัสดิ์</t>
  </si>
  <si>
    <t>STHBKK012402000615</t>
  </si>
  <si>
    <t>STHBKK012402000616</t>
  </si>
  <si>
    <t>STHBKK012402000617</t>
  </si>
  <si>
    <t>STHBKK012402000618</t>
  </si>
  <si>
    <t>นาย เอกสิทธิ์ ชำนาญผา</t>
  </si>
  <si>
    <t>STHBKK012402000619</t>
  </si>
  <si>
    <t>STHBKK012402000620</t>
  </si>
  <si>
    <t>STHBKK012402000621</t>
  </si>
  <si>
    <t>นางสาว จันทิมา ไฝ่เมตตา</t>
  </si>
  <si>
    <t>STHBKK012402000622</t>
  </si>
  <si>
    <t>STHBKK012402000623</t>
  </si>
  <si>
    <t>STHBKK012402000624</t>
  </si>
  <si>
    <t>STHBKK012402000625</t>
  </si>
  <si>
    <t>STHBKK012402000626</t>
  </si>
  <si>
    <t>STHBKK012402000627</t>
  </si>
  <si>
    <t>นาง ลมัย แก้วบ้วดี</t>
  </si>
  <si>
    <t>STHBKK012402000628</t>
  </si>
  <si>
    <t>STHBKK012402000629</t>
  </si>
  <si>
    <t>STHBKK012402000631</t>
  </si>
  <si>
    <t>นาย วิชัย  สิทธิศาสตร์</t>
  </si>
  <si>
    <t>STHBKK012402000632</t>
  </si>
  <si>
    <t>นาย บรรเจิด พงษ์เทศ</t>
  </si>
  <si>
    <t>STHBKK012402000633</t>
  </si>
  <si>
    <t>STHBKK012402000634</t>
  </si>
  <si>
    <t>นางสาว สมหมาย คงเสมา</t>
  </si>
  <si>
    <t>STHBKK012402000635</t>
  </si>
  <si>
    <t>นางสาว อรุณ โสภา</t>
  </si>
  <si>
    <t>STHBKK012402000636</t>
  </si>
  <si>
    <t>นาย พิชัย  อาษาสุข</t>
  </si>
  <si>
    <t>STHBKK012402000637</t>
  </si>
  <si>
    <t>STHBKK012402000639</t>
  </si>
  <si>
    <t>STHBKK012402000640</t>
  </si>
  <si>
    <t>นางสาว สมพิศ แตงอ่อน</t>
  </si>
  <si>
    <t>STHBKK012402000642</t>
  </si>
  <si>
    <t>STHBKK012402000643</t>
  </si>
  <si>
    <t>นางสาว อนิสสรา ยวงลำใย</t>
  </si>
  <si>
    <t>STHBKK012402000644</t>
  </si>
  <si>
    <t>นาย ไสว สาวสุวรรณ</t>
  </si>
  <si>
    <t>STHBKK012402000645</t>
  </si>
  <si>
    <t>STHBKK012402000646</t>
  </si>
  <si>
    <t>STHBKK012402000647</t>
  </si>
  <si>
    <t>STHBKK012402000648</t>
  </si>
  <si>
    <t>นางสาว ภัณฑิรา โพธิ์ทัย</t>
  </si>
  <si>
    <t>STHBKK012402000649</t>
  </si>
  <si>
    <t>STHBKK012402000651</t>
  </si>
  <si>
    <t>STHONLIN2402000286</t>
  </si>
  <si>
    <t>นางสาว บัวลอย คงอ่อน</t>
  </si>
  <si>
    <t>STHONLIN2402000287</t>
  </si>
  <si>
    <t>STHONLIN2402000291</t>
  </si>
  <si>
    <t>STHONLIN2402000292</t>
  </si>
  <si>
    <t>STHONLIN2402000293</t>
  </si>
  <si>
    <t>STHONLIN2402000294</t>
  </si>
  <si>
    <t>นางสาว สุธาวดี ชะนะไพบูรณ์</t>
  </si>
  <si>
    <t>STHONLIN2402000295</t>
  </si>
  <si>
    <t>นางสาว จุฬสศิณีภักดิ์ พลสม</t>
  </si>
  <si>
    <t>STHONLIN2402000298</t>
  </si>
  <si>
    <t>STHONLIN2402000301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</si>
  <si>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</si>
  <si>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</si>
  <si>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STHBKK012402000652</t>
  </si>
  <si>
    <t>นางสาว อัญชลี สีสด</t>
  </si>
  <si>
    <t>STHBKK012402000653</t>
  </si>
  <si>
    <t>STHBKK012402000654</t>
  </si>
  <si>
    <t>STHBKK012402000655</t>
  </si>
  <si>
    <t>STHBKK012402000656</t>
  </si>
  <si>
    <t>นางสาว รุ่งนภา ศรีไพร</t>
  </si>
  <si>
    <t>STHBKK012402000657</t>
  </si>
  <si>
    <t>นาย ชัยพิพัฒน์​    วงค์หิรัญ</t>
  </si>
  <si>
    <t>STHBKK012402000658</t>
  </si>
  <si>
    <t>STHBKK012402000659</t>
  </si>
  <si>
    <t>นางสาว สุนันทิยา  จี่พีมาย</t>
  </si>
  <si>
    <t>STHBKK012402000660</t>
  </si>
  <si>
    <t>STHBKK012402000661</t>
  </si>
  <si>
    <t>นางสาว สุธาสินี ชุณฬหวานิช</t>
  </si>
  <si>
    <t>STHBKK012402000662</t>
  </si>
  <si>
    <t>STHBKK012402000663</t>
  </si>
  <si>
    <t>STHBKK012402000664</t>
  </si>
  <si>
    <t>นาง ยุพารัตน์  พูลสุวรรณ</t>
  </si>
  <si>
    <t>STHBKK012402000665</t>
  </si>
  <si>
    <t>นาย จักรพรรณ เทียนเจริญ</t>
  </si>
  <si>
    <t>STHBKK012402000666</t>
  </si>
  <si>
    <t>นาย ธนูวิทย์ คงคะสินธุ์</t>
  </si>
  <si>
    <t>STHBKK012402000667</t>
  </si>
  <si>
    <t>นาย สมสมัย รัตตะคุ</t>
  </si>
  <si>
    <t>STHBKK012402000668</t>
  </si>
  <si>
    <t>นาย อำนวย พุทธสกุล</t>
  </si>
  <si>
    <t>STHBKK012402000669</t>
  </si>
  <si>
    <t>นางสาว จิรัชยา อินพินิจ</t>
  </si>
  <si>
    <t>STHBKK012402000672</t>
  </si>
  <si>
    <t>STHBKK012402000673</t>
  </si>
  <si>
    <t>STHBKK012402000674</t>
  </si>
  <si>
    <t>นาย สุเมธ กลิ่นเย็น</t>
  </si>
  <si>
    <t>STHBKK012402000675</t>
  </si>
  <si>
    <t>นาย สุทธิศักดิ์ แม้นบุตร</t>
  </si>
  <si>
    <t>STHBKK012402000676</t>
  </si>
  <si>
    <t>นาง ทัศนีย์ พูลพงษ์</t>
  </si>
  <si>
    <t>STHBKK012402000678</t>
  </si>
  <si>
    <t>นาย ญาณาธิป เชื้อเถาว์</t>
  </si>
  <si>
    <t>STHBKK012402000680</t>
  </si>
  <si>
    <t>STHBKK012402000681</t>
  </si>
  <si>
    <t>STHBKK012402000682</t>
  </si>
  <si>
    <t>STHBKK012402000683</t>
  </si>
  <si>
    <t>STHBKK012402000684</t>
  </si>
  <si>
    <t>STHBKK012402000685</t>
  </si>
  <si>
    <t>นาย จุมพล ไวว่อง</t>
  </si>
  <si>
    <t>STHBKK012402000686</t>
  </si>
  <si>
    <t>นาย สกลสักก์ สาครเรืองสิรี</t>
  </si>
  <si>
    <t>STHBKK012402000687</t>
  </si>
  <si>
    <t>STHBKK012402000690</t>
  </si>
  <si>
    <t>STHBKK012402000691</t>
  </si>
  <si>
    <t>STHBKK012402000692</t>
  </si>
  <si>
    <t>นาง ทัศนี กลิ่นหอม</t>
  </si>
  <si>
    <t>STHBKK012402000693</t>
  </si>
  <si>
    <t>นาย วีระ ชูศิลป์</t>
  </si>
  <si>
    <t>STHBKK012402000695</t>
  </si>
  <si>
    <t>STHBKK012402000696</t>
  </si>
  <si>
    <t>STHBKK012402000697</t>
  </si>
  <si>
    <t>นาย ชวินทร์ กัณหสิงห์</t>
  </si>
  <si>
    <t>STHBKK012402000698</t>
  </si>
  <si>
    <t>นาย  สุรินทร์ จิตชัยภูมิ</t>
  </si>
  <si>
    <t>STHBKK012402000699</t>
  </si>
  <si>
    <t>นาย ธนิตศักดิ์ ธนเกียรติไตรภพ</t>
  </si>
  <si>
    <t>STHBKK012402000700</t>
  </si>
  <si>
    <t>STHONLIN2402000302</t>
  </si>
  <si>
    <t>STHONLIN2402000303</t>
  </si>
  <si>
    <t>STHONLIN2402000304</t>
  </si>
  <si>
    <t>นาย เกียรติศักดิ์ อาดมะเร๊ะ</t>
  </si>
  <si>
    <t>STHONLIN2402000307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</si>
  <si>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</si>
  <si>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</si>
  <si>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STHBKK012402000702</t>
  </si>
  <si>
    <t>นาย กฤษฎา ศรีเจริญ</t>
  </si>
  <si>
    <t>STHBKK012402000703</t>
  </si>
  <si>
    <t>นางสาว จินดาภรณ์ นิลชาติ</t>
  </si>
  <si>
    <t>STHBKK012402000704</t>
  </si>
  <si>
    <t>นาย พงศฺณุวัฒน์ ผะดาสีณิกุล</t>
  </si>
  <si>
    <t>STHBKK012402000705</t>
  </si>
  <si>
    <t>STHBKK012402000706</t>
  </si>
  <si>
    <t>นาย พิสิฐ โฉ่พลกรัง</t>
  </si>
  <si>
    <t>STHBKK012402000707</t>
  </si>
  <si>
    <t>นาย สิริศักดิ์ นมพุก</t>
  </si>
  <si>
    <t>STHBKK012402000708</t>
  </si>
  <si>
    <t>STHBKK012402000709</t>
  </si>
  <si>
    <t>STHBKK012402000710</t>
  </si>
  <si>
    <t>STHBKK012402000711</t>
  </si>
  <si>
    <t>นาง อรวรรณ จันทร์วงศ์</t>
  </si>
  <si>
    <t>STHBKK012402000712</t>
  </si>
  <si>
    <t>นาย ประพันธ์ บุญจิตต์</t>
  </si>
  <si>
    <t>STHBKK012402000713</t>
  </si>
  <si>
    <t>STHBKK012402000714</t>
  </si>
  <si>
    <t>STHBKK012402000715</t>
  </si>
  <si>
    <t>นาย ชานนท์  ฟักช้าง</t>
  </si>
  <si>
    <t>STHBKK012402000716</t>
  </si>
  <si>
    <t>นาย อุเทน ฉวีวรรณ์</t>
  </si>
  <si>
    <t>STHBKK012402000717</t>
  </si>
  <si>
    <t>STHBKK012402000718</t>
  </si>
  <si>
    <t>นางสาว ชลธิชา  ซิ่มอิ่ม</t>
  </si>
  <si>
    <t>STHBKK012402000719</t>
  </si>
  <si>
    <t>STHBKK012402000721</t>
  </si>
  <si>
    <t>นางสาว สายสุดา โพธิ์แก้ว</t>
  </si>
  <si>
    <t>STHBKK012402000722</t>
  </si>
  <si>
    <t>STHBKK012402000725</t>
  </si>
  <si>
    <t>นางสาว วริศรา ชาวนา</t>
  </si>
  <si>
    <t>STHBKK012402000726</t>
  </si>
  <si>
    <t>นางสาว ประคอง โพธิ์แก้ว</t>
  </si>
  <si>
    <t>STHBKK012402000727</t>
  </si>
  <si>
    <t>STHBKK012402000728</t>
  </si>
  <si>
    <t>นางสาว รุ่งราตรี เขียมสุวรรณ</t>
  </si>
  <si>
    <t>STHBKK012402000730</t>
  </si>
  <si>
    <t>นาง สำราญ โชสูงเนิน</t>
  </si>
  <si>
    <t>STHBKK012402000731</t>
  </si>
  <si>
    <t>นางสาว สถาพร บุญราช</t>
  </si>
  <si>
    <t>STHBKK012402000732</t>
  </si>
  <si>
    <t>นาง มัณฑนา  คล้ายสุบรรณ</t>
  </si>
  <si>
    <t>STHBKK012402000733</t>
  </si>
  <si>
    <t>STHBKK012402000734</t>
  </si>
  <si>
    <t>STHBKK012402000735</t>
  </si>
  <si>
    <t>STHBKK012402000737</t>
  </si>
  <si>
    <t>STHONLIN2402000309</t>
  </si>
  <si>
    <t>STHONLIN2402000311</t>
  </si>
  <si>
    <t>นางสาว นิติกาญจน์ สมนึก</t>
  </si>
  <si>
    <t>STHONLIN2402000321</t>
  </si>
  <si>
    <t>นางสาว นงนุช กมลรัตนาชัย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</si>
  <si>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</si>
  <si>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18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</si>
  <si>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STHBKK012402000739</t>
  </si>
  <si>
    <t>นาย ทรงพล พูลเพิ่ม</t>
  </si>
  <si>
    <t>STHBKK012402000740</t>
  </si>
  <si>
    <t>บริษัท หลานหยิน จำกัด ( สำนักงานใหญ่ )</t>
  </si>
  <si>
    <t>STHBKK012402000741</t>
  </si>
  <si>
    <t>นางสาว สุรีรัตน์ หมื่นเดช</t>
  </si>
  <si>
    <t>STHBKK012402000742</t>
  </si>
  <si>
    <t>นาย พิเชษฐ์ มีสิริ</t>
  </si>
  <si>
    <t>STHBKK012402000744</t>
  </si>
  <si>
    <t>STHBKK012402000745</t>
  </si>
  <si>
    <t>STHBKK012402000747</t>
  </si>
  <si>
    <t>นาง แสงหล้า โสพันธ์ุ</t>
  </si>
  <si>
    <t>STHBKK012402000748</t>
  </si>
  <si>
    <t>STHBKK012402000749</t>
  </si>
  <si>
    <t>STHBKK012402000750</t>
  </si>
  <si>
    <t>นางสาว พวงเพ็ญ  สุวรรณโณ</t>
  </si>
  <si>
    <t>STHBKK012402000751</t>
  </si>
  <si>
    <t>นาย วิสุทธิ์ จันทร์ประเสริฐ</t>
  </si>
  <si>
    <t>STHBKK012402000752</t>
  </si>
  <si>
    <t>STHBKK012402000753</t>
  </si>
  <si>
    <t>นาย ปรเมศวร์ ธรรมโชติ</t>
  </si>
  <si>
    <t>STHBKK012402000754</t>
  </si>
  <si>
    <t>STHBKK012402000755</t>
  </si>
  <si>
    <t>STHBKK012402000756</t>
  </si>
  <si>
    <t>STHBKK012402000757</t>
  </si>
  <si>
    <t>STHBKK012402000758</t>
  </si>
  <si>
    <t>STHBKK012402000759</t>
  </si>
  <si>
    <t>STHBKK012402000760</t>
  </si>
  <si>
    <t>STHBKK012402000761</t>
  </si>
  <si>
    <t>นาย  วินัย   พุกสุข</t>
  </si>
  <si>
    <t>STHBKK012402000763</t>
  </si>
  <si>
    <t>นาง นงค์รักษ์  ภูมิชัย</t>
  </si>
  <si>
    <t>STHBKK012402000764</t>
  </si>
  <si>
    <t>STHBKK012402000766</t>
  </si>
  <si>
    <t>นาย เกียรติศักดิ์ ชุมชน</t>
  </si>
  <si>
    <t>STHBKK012402000767</t>
  </si>
  <si>
    <t>STHBKK012402000768</t>
  </si>
  <si>
    <t>STHBKK012402000769</t>
  </si>
  <si>
    <t>STHBKK012402000770</t>
  </si>
  <si>
    <t>นางสาว พิณภาพร มะโนน้อม</t>
  </si>
  <si>
    <t>STHBKK012402000772</t>
  </si>
  <si>
    <t>STHONLIN2402000335</t>
  </si>
  <si>
    <t>STHONLIN2402000336</t>
  </si>
  <si>
    <t>นางสาว ปณาลี ปรากริม</t>
  </si>
  <si>
    <t>STHONLIN2402000337</t>
  </si>
  <si>
    <t>STHONLIN2402000338</t>
  </si>
  <si>
    <t>STHONLIN2402000339</t>
  </si>
  <si>
    <t>STHONLIN2402000342</t>
  </si>
  <si>
    <t>นาง มะลิ  อินทพงษ์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</si>
  <si>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</si>
  <si>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</si>
  <si>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STHBKK012402000775</t>
  </si>
  <si>
    <t>นาง กมลวรรณ  จันทรศร</t>
  </si>
  <si>
    <t>STHBKK012402000776</t>
  </si>
  <si>
    <t>STHBKK012402000777</t>
  </si>
  <si>
    <t>STHBKK012402000778</t>
  </si>
  <si>
    <t>นาย ณัฐพล ศรีทอง</t>
  </si>
  <si>
    <t>STHBKK012402000779</t>
  </si>
  <si>
    <t>นาย ธนวรรธน์  ปราชญ์เรืองนนท์</t>
  </si>
  <si>
    <t>STHBKK012402000781</t>
  </si>
  <si>
    <t>นางสาว บุปผา สมุธิราช</t>
  </si>
  <si>
    <t>STHBKK012402000782</t>
  </si>
  <si>
    <t>นาย กิตตศักดิ์  ศุภกมล</t>
  </si>
  <si>
    <t>STHBKK012402000783</t>
  </si>
  <si>
    <t>STHBKK012402000784</t>
  </si>
  <si>
    <t>นาย วรเชษฐ์ ทองหล่อ</t>
  </si>
  <si>
    <t>STHBKK012402000785</t>
  </si>
  <si>
    <t>นางสาว พีรการย์ มะณีโชติ</t>
  </si>
  <si>
    <t>STHBKK012402000786</t>
  </si>
  <si>
    <t>STHBKK012402000787</t>
  </si>
  <si>
    <t>STHBKK012402000789</t>
  </si>
  <si>
    <t>นาง มยุรี จอดนอก</t>
  </si>
  <si>
    <t>STHBKK012402000790</t>
  </si>
  <si>
    <t>นาง ทัศนา เลื่อมสำราญ</t>
  </si>
  <si>
    <t>STHBKK012402000792</t>
  </si>
  <si>
    <t>STHBKK012402000793</t>
  </si>
  <si>
    <t>STHBKK012402000794</t>
  </si>
  <si>
    <t>นาง จิราพร โพธิ์ไกร</t>
  </si>
  <si>
    <t>STHBKK012402000795</t>
  </si>
  <si>
    <t>STHBKK012402000796</t>
  </si>
  <si>
    <t>STHBKK012402000797</t>
  </si>
  <si>
    <t>นาย อรรถฤทธิ์ เพ็ชรนิล</t>
  </si>
  <si>
    <t>STHBKK012402000798</t>
  </si>
  <si>
    <t>STHBKK012402000799</t>
  </si>
  <si>
    <t>นาย วิมล  เชื้อปู่</t>
  </si>
  <si>
    <t>STHBKK012402000800</t>
  </si>
  <si>
    <t>STHBKK012402000801</t>
  </si>
  <si>
    <t>นาง คำนึง โกส้ม</t>
  </si>
  <si>
    <t>STHBKK012402000802</t>
  </si>
  <si>
    <t>STHBKK012402000803</t>
  </si>
  <si>
    <t>STHBKK012402000804</t>
  </si>
  <si>
    <t>STHBKK012402000805</t>
  </si>
  <si>
    <t>STHBKK012402000806</t>
  </si>
  <si>
    <t>STHBKK012402000807</t>
  </si>
  <si>
    <t>STHBKK012402000808</t>
  </si>
  <si>
    <t>STHBKK012402000809</t>
  </si>
  <si>
    <t>STHBKK012402000810</t>
  </si>
  <si>
    <t>STHBKK012402000811</t>
  </si>
  <si>
    <t>STHBKK012402000812</t>
  </si>
  <si>
    <t>STHBKK012402000813</t>
  </si>
  <si>
    <t>นาย สุรัตน์  สุขเพ็ง</t>
  </si>
  <si>
    <t>STHBKK012402000814</t>
  </si>
  <si>
    <t>STHBKK012402000815</t>
  </si>
  <si>
    <t>STHBKK012402000816</t>
  </si>
  <si>
    <t>STHBKK012402000817</t>
  </si>
  <si>
    <t>STHBKK012402000818</t>
  </si>
  <si>
    <t>STHBKK012402000819</t>
  </si>
  <si>
    <t>นาย ภูมิรพี โสภา</t>
  </si>
  <si>
    <t>STHBKK012402000820</t>
  </si>
  <si>
    <t>STHONLIN2402000345</t>
  </si>
  <si>
    <t>นาย คณิศร แพงกัลยา</t>
  </si>
  <si>
    <t>STHONLIN2402000350</t>
  </si>
  <si>
    <t>STHONLIN2402000354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</si>
  <si>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</si>
  <si>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20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</si>
  <si>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STHBKK012402000822</t>
  </si>
  <si>
    <t>STHBKK012402000823</t>
  </si>
  <si>
    <t>นางสาว จิราภรณ์ ฤทธิ์บำรุง</t>
  </si>
  <si>
    <t>STHBKK012402000824</t>
  </si>
  <si>
    <t>STHBKK012402000825</t>
  </si>
  <si>
    <t>STHBKK012402000826</t>
  </si>
  <si>
    <t>STHBKK012402000827</t>
  </si>
  <si>
    <t>STHBKK012402000828</t>
  </si>
  <si>
    <t xml:space="preserve">นางสาว ภัทราณิษฐ์ พืชพันธ์วรเดชา	</t>
  </si>
  <si>
    <t>STHBKK012402000829</t>
  </si>
  <si>
    <t>STHBKK012402000830</t>
  </si>
  <si>
    <t>นาย ธนภูมิ  มะอาจเลิศ</t>
  </si>
  <si>
    <t>STHBKK012402000831</t>
  </si>
  <si>
    <t>STHBKK012402000832</t>
  </si>
  <si>
    <t>STHBKK012402000833</t>
  </si>
  <si>
    <t>STHBKK012402000834</t>
  </si>
  <si>
    <t>STHBKK012402000835</t>
  </si>
  <si>
    <t>STHBKK012402000836</t>
  </si>
  <si>
    <t>นางสาว วาสนา อาจหาญ</t>
  </si>
  <si>
    <t>STHBKK012402000837</t>
  </si>
  <si>
    <t>STHBKK012402000838</t>
  </si>
  <si>
    <t>STHBKK012402000839</t>
  </si>
  <si>
    <t>STHBKK012402000840</t>
  </si>
  <si>
    <t>นาย สมเพชร ภัทรเจริญกุล</t>
  </si>
  <si>
    <t>STHBKK012402000841</t>
  </si>
  <si>
    <t>นางสาว ลัดดา แก้วแหวน</t>
  </si>
  <si>
    <t>STHBKK012402000843</t>
  </si>
  <si>
    <t>นาง ผกาพันธ์ ทองงาม</t>
  </si>
  <si>
    <t>STHBKK012402000844</t>
  </si>
  <si>
    <t>STHBKK012402000845</t>
  </si>
  <si>
    <t>STHBKK012402000847</t>
  </si>
  <si>
    <t>STHBKK012402000849</t>
  </si>
  <si>
    <t>STHBKK012402000850</t>
  </si>
  <si>
    <t>นาย วิโรจน์ อังคเสถียร</t>
  </si>
  <si>
    <t>STHBKK012402000851</t>
  </si>
  <si>
    <t>STHBKK012402000852</t>
  </si>
  <si>
    <t>นาย ภัทรพล ชัยมโนภิรมย์</t>
  </si>
  <si>
    <t>STHBKK012402000853</t>
  </si>
  <si>
    <t>STHBKK012402000855</t>
  </si>
  <si>
    <t>นาย วิเชียร บุตรสอน</t>
  </si>
  <si>
    <t>STHBKK012402000856</t>
  </si>
  <si>
    <t>STHBKK012402000857</t>
  </si>
  <si>
    <t>นาง สิริรัตน์ อินทร์ศักดิ์</t>
  </si>
  <si>
    <t>STHBKK012402000858</t>
  </si>
  <si>
    <t>STHBKK012402000859</t>
  </si>
  <si>
    <t>นาย ธนภณ ทวียศหิรัญ</t>
  </si>
  <si>
    <t>STHBKK012402000860</t>
  </si>
  <si>
    <t>นาย สิรภพ สุดใจ</t>
  </si>
  <si>
    <t>STHBKK012402000861</t>
  </si>
  <si>
    <t>นางสาว ธนัญชนก อยู่ยงค์</t>
  </si>
  <si>
    <t>STHBKK012402000862</t>
  </si>
  <si>
    <t>STHBKK012402000863</t>
  </si>
  <si>
    <t>STHBKK012402000866</t>
  </si>
  <si>
    <t>นาย ชาญวิทย์  ร่มจันทร์</t>
  </si>
  <si>
    <t>STHBKK012402000867</t>
  </si>
  <si>
    <t>STHBKK012402000868</t>
  </si>
  <si>
    <t>นางสาว ปฐมรัตน์ บริบูรณ์บันเทิง</t>
  </si>
  <si>
    <t>STHBKK012402000869</t>
  </si>
  <si>
    <t>STHBKK012402000870</t>
  </si>
  <si>
    <t>นาง บุญส่ง  จันทะโมโส</t>
  </si>
  <si>
    <t>STHBKK012402000871</t>
  </si>
  <si>
    <t>STHBKK012402000872</t>
  </si>
  <si>
    <t>นาง รัชนี เพียซ้าย</t>
  </si>
  <si>
    <t>STHBKK012402000873</t>
  </si>
  <si>
    <t>นางสาว กำไร รุ่งกิจกุลภัค</t>
  </si>
  <si>
    <t>STHBKK012402000875</t>
  </si>
  <si>
    <t>STHBKK012402000876</t>
  </si>
  <si>
    <t>นาง พิณทิพย์ ยงพิศาลภพ</t>
  </si>
  <si>
    <t>STHONLIN2402000360</t>
  </si>
  <si>
    <t>STHONLIN2402000362</t>
  </si>
  <si>
    <t>นาย เสน่ห์ ในจิตร</t>
  </si>
  <si>
    <t>STHONLIN2402000363</t>
  </si>
  <si>
    <t>STHONLIN2402000367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</si>
  <si>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</si>
  <si>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21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</si>
  <si>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STHBKK012402000877</t>
  </si>
  <si>
    <t>นางสาว ชรินรัตน์  น้อยคำ</t>
  </si>
  <si>
    <t>STHBKK012402000878</t>
  </si>
  <si>
    <t>STHBKK012402000879</t>
  </si>
  <si>
    <t>STHBKK012402000880</t>
  </si>
  <si>
    <t>นาย ภูวกร บวรฉัตรชาตรี</t>
  </si>
  <si>
    <t>STHBKK012402000881</t>
  </si>
  <si>
    <t>STHBKK012402000882</t>
  </si>
  <si>
    <t>นาย พานิช อวนศรี</t>
  </si>
  <si>
    <t>STHBKK012402000884</t>
  </si>
  <si>
    <t>STHBKK012402000885</t>
  </si>
  <si>
    <t>นาย สดใส กาพย์กลอน</t>
  </si>
  <si>
    <t>STHBKK012402000886</t>
  </si>
  <si>
    <t>นาย อำนาจ ดอกกระถิน</t>
  </si>
  <si>
    <t>STHBKK012402000887</t>
  </si>
  <si>
    <t>นางสาว สิริกุล จันทร์กอน</t>
  </si>
  <si>
    <t>STHBKK012402000888</t>
  </si>
  <si>
    <t>STHBKK012402000889</t>
  </si>
  <si>
    <t>นาย จิรายุ ช้างชาญรบ</t>
  </si>
  <si>
    <t>STHBKK012402000890</t>
  </si>
  <si>
    <t>STHBKK012402000891</t>
  </si>
  <si>
    <t>นางสาว นิตยา รอดเขียว</t>
  </si>
  <si>
    <t>STHBKK012402000892</t>
  </si>
  <si>
    <t>นางสาว พันธุ์ทิพา แดงดีมาก</t>
  </si>
  <si>
    <t>STHBKK012402000893</t>
  </si>
  <si>
    <t>นาย สันติ นุพาสันต์</t>
  </si>
  <si>
    <t>STHBKK012402000894</t>
  </si>
  <si>
    <t>นางสาว ณัฐณิชา ผลวงษ์</t>
  </si>
  <si>
    <t>STHBKK012402000895</t>
  </si>
  <si>
    <t>STHBKK012402000896</t>
  </si>
  <si>
    <t>STHBKK012402000897</t>
  </si>
  <si>
    <t>นางสาว แก้วเพียงขวัญ จันทรพงศ์</t>
  </si>
  <si>
    <t>STHBKK012402000898</t>
  </si>
  <si>
    <t>STHBKK012402000899</t>
  </si>
  <si>
    <t>STHBKK012402000901</t>
  </si>
  <si>
    <t>นางสาว เอื้อมพร ก้าวธรรม</t>
  </si>
  <si>
    <t>STHBKK012402000903</t>
  </si>
  <si>
    <t>STHBKK012402000904</t>
  </si>
  <si>
    <t>STHBKK012402000905</t>
  </si>
  <si>
    <t>STHBKK012402000906</t>
  </si>
  <si>
    <t>STHBKK012402000907</t>
  </si>
  <si>
    <t>STHBKK012402000908</t>
  </si>
  <si>
    <t>STHBKK012402000909</t>
  </si>
  <si>
    <t>STHBKK012402000911</t>
  </si>
  <si>
    <t>นาย พิศิษฐ์  รักษาพงศ์</t>
  </si>
  <si>
    <t>STHBKK012402000912</t>
  </si>
  <si>
    <t>STHONLIN2402000375</t>
  </si>
  <si>
    <t>STHONLIN2402000377</t>
  </si>
  <si>
    <t>นางสาว สุรีย์</t>
  </si>
  <si>
    <t>STHONLIN2402000378</t>
  </si>
  <si>
    <t>นาย ธนกร  ดีเทียน</t>
  </si>
  <si>
    <t>STHONLIN2402000387</t>
  </si>
  <si>
    <t>นาง นูรไอนี สูเด็น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</si>
  <si>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</si>
  <si>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22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</si>
  <si>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STHBKK012402000913</t>
  </si>
  <si>
    <t>STHBKK012402000914</t>
  </si>
  <si>
    <t>STHBKK012402000915</t>
  </si>
  <si>
    <t>STHBKK012402000916</t>
  </si>
  <si>
    <t>STHBKK012402000918</t>
  </si>
  <si>
    <t>นาย เกรียงไกร คำหล้า</t>
  </si>
  <si>
    <t>STHBKK012402000919</t>
  </si>
  <si>
    <t>STHBKK012402000920</t>
  </si>
  <si>
    <t>นาย โกศล ดำสอาด</t>
  </si>
  <si>
    <t>STHBKK012402000921</t>
  </si>
  <si>
    <t>STHBKK012402000922</t>
  </si>
  <si>
    <t>STHBKK012402000923</t>
  </si>
  <si>
    <t>STHBKK012402000924</t>
  </si>
  <si>
    <t>STHBKK012402000925</t>
  </si>
  <si>
    <t>STHBKK012402000926</t>
  </si>
  <si>
    <t>นางสาว สุภาพร เคล้าเครือ</t>
  </si>
  <si>
    <t>STHBKK012402000927</t>
  </si>
  <si>
    <t>STHBKK012402000929</t>
  </si>
  <si>
    <t>นาย สอาด แสนศรี</t>
  </si>
  <si>
    <t>STHBKK012402000930</t>
  </si>
  <si>
    <t>STHBKK012402000931</t>
  </si>
  <si>
    <t>นาง น้ำนอง อั๋นดอนกลอย</t>
  </si>
  <si>
    <t>STHBKK012402000932</t>
  </si>
  <si>
    <t>STHBKK012402000933</t>
  </si>
  <si>
    <t>STHBKK012402000934</t>
  </si>
  <si>
    <t>นาง ปนิตา สมาคม</t>
  </si>
  <si>
    <t>STHBKK012402000935</t>
  </si>
  <si>
    <t>นาย อนันต์ กล่องพุดซา</t>
  </si>
  <si>
    <t>STHBKK012402000937</t>
  </si>
  <si>
    <t>STHBKK012402000939</t>
  </si>
  <si>
    <t>STHBKK012402000940</t>
  </si>
  <si>
    <t>นางสาว ดวงใจ เคลื่อนสุข</t>
  </si>
  <si>
    <t>STHBKK012402000941</t>
  </si>
  <si>
    <t>นาย สรายุทธ เจริญยิ่ง</t>
  </si>
  <si>
    <t>STHBKK012402000942</t>
  </si>
  <si>
    <t>STHBKK012402000943</t>
  </si>
  <si>
    <t>STHBKK012402000944</t>
  </si>
  <si>
    <t>STHBKK012402000946</t>
  </si>
  <si>
    <t>นางสาว ชลธิชา แก้วมณี</t>
  </si>
  <si>
    <t>STHBKK012402000949</t>
  </si>
  <si>
    <t>นาง จันตณา  ฤกษเอี่ยม</t>
  </si>
  <si>
    <t>STHBKK012402000950</t>
  </si>
  <si>
    <t>นาง โกสุม โยธาสอน</t>
  </si>
  <si>
    <t>STHBKK012402000951</t>
  </si>
  <si>
    <t>นาย ธนภัทร  อยู่คำ</t>
  </si>
  <si>
    <t>STHBKK012402000952</t>
  </si>
  <si>
    <t>STHBKK012402000953</t>
  </si>
  <si>
    <t>STHBKK012402000954</t>
  </si>
  <si>
    <t>STHBKK012402000955</t>
  </si>
  <si>
    <t>STHBKK012402000956</t>
  </si>
  <si>
    <t>STHBKK012402000957</t>
  </si>
  <si>
    <t>STHONLIN2402000406</t>
  </si>
  <si>
    <t>พี่ี่นี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</si>
  <si>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</si>
  <si>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</si>
  <si>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STHBKK012402000960</t>
  </si>
  <si>
    <t>STHBKK012402000961</t>
  </si>
  <si>
    <t>นางสาว รำไพร แสนมีสุข</t>
  </si>
  <si>
    <t>STHBKK012402000962</t>
  </si>
  <si>
    <t>STHBKK012402000963</t>
  </si>
  <si>
    <t>นางสาว ลัดดา บุญแก้ว</t>
  </si>
  <si>
    <t>STHBKK012402000965</t>
  </si>
  <si>
    <t>STHBKK012402000968</t>
  </si>
  <si>
    <t>STHBKK012402000969</t>
  </si>
  <si>
    <t>STHBKK012402000970</t>
  </si>
  <si>
    <t>นาง อุไร นาอุดม</t>
  </si>
  <si>
    <t>STHBKK012402000971</t>
  </si>
  <si>
    <t>STHBKK012402000972</t>
  </si>
  <si>
    <t>นาง ส.ต.อ.หญิง นพวรรณ คงมะกล่ำ</t>
  </si>
  <si>
    <t>STHBKK012402000974</t>
  </si>
  <si>
    <t>STHBKK012402000977</t>
  </si>
  <si>
    <t>STHBKK012402000978</t>
  </si>
  <si>
    <t>ห้างหุ้นส่วนจำกัด เครือข่ายปิยธนา ( สำนักงานใหญ่ )</t>
  </si>
  <si>
    <t>STHBKK012402000979</t>
  </si>
  <si>
    <t>STHBKK012402000980</t>
  </si>
  <si>
    <t>STHBKK012402000981</t>
  </si>
  <si>
    <t>นาง ศรีรัตน์ ปัญญา</t>
  </si>
  <si>
    <t>STHBKK012402000982</t>
  </si>
  <si>
    <t>STHBKK012402000984</t>
  </si>
  <si>
    <t>นาย BAYEZID ALAM BAPPY</t>
  </si>
  <si>
    <t>STHBKK012402000985</t>
  </si>
  <si>
    <t>STHBKK012402000986</t>
  </si>
  <si>
    <t>นางสาว กัญญาภัค กำเหนิดผล</t>
  </si>
  <si>
    <t>STHBKK012402000987</t>
  </si>
  <si>
    <t>นางสาว อมร เรือนเเก้ว</t>
  </si>
  <si>
    <t>STHBKK012402000988</t>
  </si>
  <si>
    <t>นาง ฐานมญ ชลคีรี</t>
  </si>
  <si>
    <t>STHBKK012402000989</t>
  </si>
  <si>
    <t>STHBKK012402000991</t>
  </si>
  <si>
    <t>นาย บุญสงค์ ตะเคียนราม</t>
  </si>
  <si>
    <t>STHBKK012402000992</t>
  </si>
  <si>
    <t>STHBKK012402000993</t>
  </si>
  <si>
    <t>STHBKK012402000994</t>
  </si>
  <si>
    <t>มธุรา ชาติสุทธิ์</t>
  </si>
  <si>
    <t>STHONLIN2402000423</t>
  </si>
  <si>
    <t>STHONLIN2402000424</t>
  </si>
  <si>
    <t>STHONLIN2402000425</t>
  </si>
  <si>
    <t>นาง ปัน แก้วเครือดำ</t>
  </si>
  <si>
    <t>STHONLIN2402000428</t>
  </si>
  <si>
    <t>นาย อนุสรณ์ ศรีสุวรรณ</t>
  </si>
  <si>
    <t>STHONLIN2402000429</t>
  </si>
  <si>
    <t>STHONLIN2402000430</t>
  </si>
  <si>
    <t>STHONLIN2402000431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</si>
  <si>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</si>
  <si>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24 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</si>
  <si>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STHBKK012402000995</t>
  </si>
  <si>
    <t>STHBKK012402000996</t>
  </si>
  <si>
    <t>STHBKK012402000997</t>
  </si>
  <si>
    <t>STHBKK012402000998</t>
  </si>
  <si>
    <t>นาย สำราญ อ่อนทรัพย์</t>
  </si>
  <si>
    <t>STHBKK012402000999</t>
  </si>
  <si>
    <t>STHBKK012402001000</t>
  </si>
  <si>
    <t>STHBKK012402001001</t>
  </si>
  <si>
    <t>นาย ปฎิพน หาญจิตร</t>
  </si>
  <si>
    <t>STHBKK012402001002</t>
  </si>
  <si>
    <t>กฤษฎิ์ชญาภาร์ รัตนพันธ์</t>
  </si>
  <si>
    <t>STHBKK012402001003</t>
  </si>
  <si>
    <t>STHBKK012402001004</t>
  </si>
  <si>
    <t>STHBKK012402001005</t>
  </si>
  <si>
    <t>STHBKK012402001006</t>
  </si>
  <si>
    <t>STHBKK012402001007</t>
  </si>
  <si>
    <t>STHBKK012402001008</t>
  </si>
  <si>
    <t>STHBKK012402001009</t>
  </si>
  <si>
    <t>นางสาว อัญชลี โพธิ์พิทักษ์</t>
  </si>
  <si>
    <t>STHBKK012402001010</t>
  </si>
  <si>
    <t>STHONLIN2402000433</t>
  </si>
  <si>
    <t>STHONLIN2402000438</t>
  </si>
  <si>
    <t>นางสาว วิจิตร  จันดาบุตร</t>
  </si>
  <si>
    <t>-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</si>
  <si>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</si>
  <si>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25 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</si>
  <si>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STHBKK012402001011</t>
  </si>
  <si>
    <t>STHBKK012402001012</t>
  </si>
  <si>
    <t>นางสาว สุวรรณา  จูประสาท</t>
  </si>
  <si>
    <t>STHBKK012402001013</t>
  </si>
  <si>
    <t>STHBKK012402001014</t>
  </si>
  <si>
    <t>นางสาว อรวรรณ มั่นคง</t>
  </si>
  <si>
    <t>STHBKK012402001015</t>
  </si>
  <si>
    <t>STHBKK012402001016</t>
  </si>
  <si>
    <t>นางสาว ธัญวลัย ชัยวัชรเศรษฐี</t>
  </si>
  <si>
    <t>STHBKK012402001017</t>
  </si>
  <si>
    <t>STHBKK012402001019</t>
  </si>
  <si>
    <t>STHBKK012402001020</t>
  </si>
  <si>
    <t>STHBKK012402001021</t>
  </si>
  <si>
    <t>STHBKK012402001022</t>
  </si>
  <si>
    <t>STHBKK012402001024</t>
  </si>
  <si>
    <t>นาง นารินี กมลสุวรรณ</t>
  </si>
  <si>
    <t>STHBKK012402001025</t>
  </si>
  <si>
    <t>STHBKK012402001026</t>
  </si>
  <si>
    <t>STHBKK012402001027</t>
  </si>
  <si>
    <t>STHBKK012402001028</t>
  </si>
  <si>
    <t>STHBKK012402001029</t>
  </si>
  <si>
    <t>นางสาว กาญตนา ตรีศักดิ์</t>
  </si>
  <si>
    <t>STHBKK012402001031</t>
  </si>
  <si>
    <t>นาย สมชาย ลิมา</t>
  </si>
  <si>
    <t>STHBKK012402001032</t>
  </si>
  <si>
    <t>STHBKK012402001033</t>
  </si>
  <si>
    <t>นาย ฐิติกร ห้วยสุข</t>
  </si>
  <si>
    <t>STHBKK012402001034</t>
  </si>
  <si>
    <t>STHBKK012402001037</t>
  </si>
  <si>
    <t>STHBKK012402001038</t>
  </si>
  <si>
    <t>STHBKK012402001040</t>
  </si>
  <si>
    <t>นาย ณัฐพล ไม้แดง</t>
  </si>
  <si>
    <t>STHBKK012402001042</t>
  </si>
  <si>
    <t>นาย จตุรเทพ ไม้แดง</t>
  </si>
  <si>
    <t>STHBKK012402001044</t>
  </si>
  <si>
    <t>STHONLIN2402000445</t>
  </si>
  <si>
    <t>STHONLIN2402000446</t>
  </si>
  <si>
    <t>STHONLIN2402000447</t>
  </si>
  <si>
    <t>นาย สากล ศรีเดชสุขแสง</t>
  </si>
  <si>
    <t>STHONLIN2402000449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</si>
  <si>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</si>
  <si>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26 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</si>
  <si>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STHBKK012402001045</t>
  </si>
  <si>
    <t>STHBKK012402001046</t>
  </si>
  <si>
    <t>STHBKK012402001047</t>
  </si>
  <si>
    <t>STHBKK012402001048</t>
  </si>
  <si>
    <t>STHBKK012402001049</t>
  </si>
  <si>
    <t>STHBKK012402001050</t>
  </si>
  <si>
    <t>STHBKK012402001051</t>
  </si>
  <si>
    <t>STHBKK012402001052</t>
  </si>
  <si>
    <t>STHBKK012402001054</t>
  </si>
  <si>
    <t>STHBKK012402001056</t>
  </si>
  <si>
    <t>นาง สัชฌกร พงศ์พัชราพันธุ์</t>
  </si>
  <si>
    <t>STHBKK012402001057</t>
  </si>
  <si>
    <t>STHBKK012402001058</t>
  </si>
  <si>
    <t>นางสาว มนัส ฝางแก้ว</t>
  </si>
  <si>
    <t>STHBKK012402001059</t>
  </si>
  <si>
    <t>STHBKK012402001060</t>
  </si>
  <si>
    <t>STHBKK012402001062</t>
  </si>
  <si>
    <t>นางสาว อุไรวรรณ  เพ็ชรกล้า</t>
  </si>
  <si>
    <t>STHBKK012402001063</t>
  </si>
  <si>
    <t>STHBKK012402001064</t>
  </si>
  <si>
    <t>STHBKK012402001066</t>
  </si>
  <si>
    <t>STHBKK012402001067</t>
  </si>
  <si>
    <t>STHBKK012402001068</t>
  </si>
  <si>
    <t>STHBKK012402001069</t>
  </si>
  <si>
    <t>STHBKK012402001070</t>
  </si>
  <si>
    <t>STHBKK012402001071</t>
  </si>
  <si>
    <t>นาย สุทิน บุตรวิเศษ</t>
  </si>
  <si>
    <t>STHBKK012402001072</t>
  </si>
  <si>
    <t>นาย ประสิทธิ์  ซื่อตรง</t>
  </si>
  <si>
    <t>STHBKK012402001073</t>
  </si>
  <si>
    <t>STHBKK012402001075</t>
  </si>
  <si>
    <t>นาย ดำรง ชูก้าน</t>
  </si>
  <si>
    <t>STHBKK012402001076</t>
  </si>
  <si>
    <t>STHBKK012402001077</t>
  </si>
  <si>
    <t>STHBKK012402001078</t>
  </si>
  <si>
    <t>นาย อุเทน ชัยวงศ์</t>
  </si>
  <si>
    <t>STHBKK012402001079</t>
  </si>
  <si>
    <t>STHBKK012402001082</t>
  </si>
  <si>
    <t>นางสาว จุฑามาศ  พริ้งเพราะ</t>
  </si>
  <si>
    <t>STHBKK012402001083</t>
  </si>
  <si>
    <t>นาง สมพักตร์  อินวันนา</t>
  </si>
  <si>
    <t>STHBKK012402001084</t>
  </si>
  <si>
    <t>STHBKK012402001085</t>
  </si>
  <si>
    <t>นางสาว กุลนาถ ไตรทัตธนากร</t>
  </si>
  <si>
    <t>STHBKK012402001086</t>
  </si>
  <si>
    <t>STHBKK012402001087</t>
  </si>
  <si>
    <t>นาย สุรสิทธิ์ รุ่งรัตนพงพร</t>
  </si>
  <si>
    <t>STHONLIN2402000455</t>
  </si>
  <si>
    <t>STHONLIN2402000458</t>
  </si>
  <si>
    <t>STHONLIN2402000461</t>
  </si>
  <si>
    <t>นางสาว ชไมพร สุขวงค์จันทร์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</si>
  <si>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</si>
  <si>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27 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</si>
  <si>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STHBKK012402001088</t>
  </si>
  <si>
    <t>นาย วสันต์ สมสว่าง</t>
  </si>
  <si>
    <t>STHBKK012402001089</t>
  </si>
  <si>
    <t>STHBKK012402001090</t>
  </si>
  <si>
    <t>นาง มาลาพร บัวใหญ่</t>
  </si>
  <si>
    <t>STHBKK012402001091</t>
  </si>
  <si>
    <t>STHBKK012402001092</t>
  </si>
  <si>
    <t>นาย ชลธี จันทโคตร</t>
  </si>
  <si>
    <t>STHBKK012402001095</t>
  </si>
  <si>
    <t>นางสาว พัชรีย์ ชินบุตร</t>
  </si>
  <si>
    <t>STHBKK012402001096</t>
  </si>
  <si>
    <t>STHBKK012402001097</t>
  </si>
  <si>
    <t>STHBKK012402001098</t>
  </si>
  <si>
    <t>STHBKK012402001099</t>
  </si>
  <si>
    <t>STHBKK012402001100</t>
  </si>
  <si>
    <t>STHBKK012402001101</t>
  </si>
  <si>
    <t>STHBKK012402001102</t>
  </si>
  <si>
    <t>STHBKK012402001104</t>
  </si>
  <si>
    <t>STHBKK012402001105</t>
  </si>
  <si>
    <t>นาง นงคราญ  พุฒซ้อน</t>
  </si>
  <si>
    <t>STHBKK012402001106</t>
  </si>
  <si>
    <t>STHBKK012402001107</t>
  </si>
  <si>
    <t>STHBKK012402001110</t>
  </si>
  <si>
    <t>นางสาว สุพรรษา เทพรักษ์</t>
  </si>
  <si>
    <t>STHBKK012402001111</t>
  </si>
  <si>
    <t>STHBKK012402001113</t>
  </si>
  <si>
    <t>นาย Mai  DUC MAUH</t>
  </si>
  <si>
    <t>STHBKK012402001114</t>
  </si>
  <si>
    <t>นาย อธิคม พงศ์พัชราพันธุ์</t>
  </si>
  <si>
    <t>STHBKK012402001116</t>
  </si>
  <si>
    <t>นางสาว จำเรียง ท้วมเรือง</t>
  </si>
  <si>
    <t>STHBKK012402001117</t>
  </si>
  <si>
    <t>นาง ชัชชญา กลัดงาม</t>
  </si>
  <si>
    <t>STHBKK012402001118</t>
  </si>
  <si>
    <t>STHBKK012402001120</t>
  </si>
  <si>
    <t>STHBKK012402001122</t>
  </si>
  <si>
    <t>bkk-puk</t>
  </si>
  <si>
    <t>STHBKK012402001123</t>
  </si>
  <si>
    <t>นางสาว ชนิกานต์ กลัดงาม</t>
  </si>
  <si>
    <t>STHBKK012402001124</t>
  </si>
  <si>
    <t>STHBKK012402001125</t>
  </si>
  <si>
    <t>นาย จิณณวัตร โขมพัด</t>
  </si>
  <si>
    <t>STHBKK012402001126</t>
  </si>
  <si>
    <t>นาง วันเพ็ญ  โขมพัด</t>
  </si>
  <si>
    <t>STHBKK012402001127</t>
  </si>
  <si>
    <t>STHBKK012402001128</t>
  </si>
  <si>
    <t>นางสาว TAI THI XUAN HUE</t>
  </si>
  <si>
    <t>STHBKK012402001129</t>
  </si>
  <si>
    <t>STHBKK012402001130</t>
  </si>
  <si>
    <t>STHBKK012402001131</t>
  </si>
  <si>
    <t>STHBKK012402001132</t>
  </si>
  <si>
    <t>นางสาว ลำใย  เจริญศิริ</t>
  </si>
  <si>
    <t>STHBKK012402001133</t>
  </si>
  <si>
    <t>นาง สมนึก คำบรรลือ</t>
  </si>
  <si>
    <t>STHBKK012402001134</t>
  </si>
  <si>
    <t>STHBKK012402001136</t>
  </si>
  <si>
    <t>นาย MAI DUC MANH</t>
  </si>
  <si>
    <t>STHBKK012402001138</t>
  </si>
  <si>
    <t>STHONLIN2402000472</t>
  </si>
  <si>
    <t>STHONLIN2402000476</t>
  </si>
  <si>
    <t>นางสาว ดาว บุทอง</t>
  </si>
  <si>
    <t>STHONLIN2402000477</t>
  </si>
  <si>
    <t>นาย ประยุทธ ขันโท</t>
  </si>
  <si>
    <t>STHONLIN2402000478</t>
  </si>
  <si>
    <t>นาย สุนทร ประดิษฐ์ภูมิ</t>
  </si>
  <si>
    <t>STHONLIN2402000479</t>
  </si>
  <si>
    <t>STHONLIN2402000480</t>
  </si>
  <si>
    <t>STHONLIN2402000482</t>
  </si>
  <si>
    <t>STHONLIN2402000483</t>
  </si>
  <si>
    <t>STHONLIN2402000484</t>
  </si>
  <si>
    <t>STHONLIN2402000487</t>
  </si>
  <si>
    <t>STHONLIN2402000488</t>
  </si>
  <si>
    <t>STHONLIN2402000489</t>
  </si>
  <si>
    <t>STHONLIN2402000492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</si>
  <si>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</si>
  <si>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28 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</si>
  <si>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STHBKK012402001139</t>
  </si>
  <si>
    <t>นางสาว ดาณี หมัดหมัน</t>
  </si>
  <si>
    <t>STHBKK012402001141</t>
  </si>
  <si>
    <t>นาย ถาประกรณ์ สินปรุ</t>
  </si>
  <si>
    <t>STHBKK012402001143</t>
  </si>
  <si>
    <t>นาย รุจิภาส ภัครกุลพานิช</t>
  </si>
  <si>
    <t>STHBKK012402001144</t>
  </si>
  <si>
    <t>STHBKK012402001145</t>
  </si>
  <si>
    <t>นาย สุภฤกษ์ ทองสุขดี</t>
  </si>
  <si>
    <t>STHBKK012402001146</t>
  </si>
  <si>
    <t>นางสาว ลำยง กระดังงา</t>
  </si>
  <si>
    <t>STHBKK012402001148</t>
  </si>
  <si>
    <t>STHBKK012402001149</t>
  </si>
  <si>
    <t>STHBKK012402001150</t>
  </si>
  <si>
    <t>STHBKK012402001153</t>
  </si>
  <si>
    <t>บริษัท สว่างทรัพย์ จำกัด (สำนักงานใหญ่)</t>
  </si>
  <si>
    <t>STHBKK012402001154</t>
  </si>
  <si>
    <t>STHBKK012402001155</t>
  </si>
  <si>
    <t>STHBKK012402001156</t>
  </si>
  <si>
    <t>STHBKK012402001157</t>
  </si>
  <si>
    <t>STHBKK012402001158</t>
  </si>
  <si>
    <t>STHBKK012402001160</t>
  </si>
  <si>
    <t>นางสาว สลา  สิงหพันธุ์</t>
  </si>
  <si>
    <t>STHBKK012402001161</t>
  </si>
  <si>
    <t>นาง ณฐมน เสมือนคิด</t>
  </si>
  <si>
    <t>STHBKK012402001162</t>
  </si>
  <si>
    <t>STHBKK012402001163</t>
  </si>
  <si>
    <t>STHBKK012402001164</t>
  </si>
  <si>
    <t>STHBKK012402001165</t>
  </si>
  <si>
    <t>STHBKK012402001166</t>
  </si>
  <si>
    <t>STHBKK012402001167</t>
  </si>
  <si>
    <t>STHBKK012402001171</t>
  </si>
  <si>
    <t>STHBKK012402001173</t>
  </si>
  <si>
    <t>STHBKK012402001174</t>
  </si>
  <si>
    <t>นาง ภัคภร ทองประสม</t>
  </si>
  <si>
    <t>STHBKK012402001175</t>
  </si>
  <si>
    <t>STHBKK012402001176</t>
  </si>
  <si>
    <t>STHBKK012402001177</t>
  </si>
  <si>
    <t>STHBKK012402001178</t>
  </si>
  <si>
    <t>STHBKK012402001179</t>
  </si>
  <si>
    <t>นาง กนกกร แก้วสระแสน</t>
  </si>
  <si>
    <t>STHBKK012402001180</t>
  </si>
  <si>
    <t>STHBKK012402001181</t>
  </si>
  <si>
    <t>นางสาว วรรณา ต๊ะแก้ว</t>
  </si>
  <si>
    <t>STHBKK012402001182</t>
  </si>
  <si>
    <t>นางสาว มุกดา พวงสง่า</t>
  </si>
  <si>
    <t>STHBKK012402001184</t>
  </si>
  <si>
    <t>STHBKK012402001185</t>
  </si>
  <si>
    <t>STHBKK012402001186</t>
  </si>
  <si>
    <t>นาย ประเสริฐ สารสุวรรณ</t>
  </si>
  <si>
    <t>STHBKK012402001187</t>
  </si>
  <si>
    <t>STHBKK012402001188</t>
  </si>
  <si>
    <t>นาย นายศุภชัย  บังไซ</t>
  </si>
  <si>
    <t>STHBKK012402001189</t>
  </si>
  <si>
    <t>STHBKK012402001190</t>
  </si>
  <si>
    <t>STHBKK012402001191</t>
  </si>
  <si>
    <t>STHBKK012402001192</t>
  </si>
  <si>
    <t>STHBKK012402001193</t>
  </si>
  <si>
    <t>STHBKK012402001194</t>
  </si>
  <si>
    <t>STHBKK012402001197</t>
  </si>
  <si>
    <t>STHONLIN2402000509</t>
  </si>
  <si>
    <t>STHONLIN2402000512</t>
  </si>
  <si>
    <t>STHONLIN2402000513</t>
  </si>
  <si>
    <t>STHONLIN2402000520</t>
  </si>
  <si>
    <t>STHONLIN2402000522</t>
  </si>
  <si>
    <t>นางสาว เอกปรียา นวลด้วง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</si>
  <si>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</si>
  <si>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นีี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</si>
  <si>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ก.พ.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</si>
  <si>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STHBKK012402001198</t>
  </si>
  <si>
    <t>STHBKK012402001199</t>
  </si>
  <si>
    <t>นางสาว ทิพรส ติมสันเทียะ</t>
  </si>
  <si>
    <t>STHBKK012402001200</t>
  </si>
  <si>
    <t>STHBKK012402001201</t>
  </si>
  <si>
    <t>นางสาว อารี กลิ่นโตนด</t>
  </si>
  <si>
    <t>STHBKK012402001202</t>
  </si>
  <si>
    <t>STHBKK012402001203</t>
  </si>
  <si>
    <t>STHBKK012402001204</t>
  </si>
  <si>
    <t>STHBKK012402001205</t>
  </si>
  <si>
    <t>STHBKK012402001206</t>
  </si>
  <si>
    <t>STHBKK012402001207</t>
  </si>
  <si>
    <t>STHBKK012402001209</t>
  </si>
  <si>
    <t>STHBKK012402001210</t>
  </si>
  <si>
    <t>STHBKK012402001211</t>
  </si>
  <si>
    <t>นาย พีรพัฒน์ รักษ์บำรุง</t>
  </si>
  <si>
    <t>STHBKK012402001212</t>
  </si>
  <si>
    <t>STHBKK012402001214</t>
  </si>
  <si>
    <t>นาย ภานุมาศ สัจจสวัสดิ์</t>
  </si>
  <si>
    <t>STHBKK012402001216</t>
  </si>
  <si>
    <t>นางสาว สุพัตรา พรมแพร</t>
  </si>
  <si>
    <t>STHBKK012402001217</t>
  </si>
  <si>
    <t>นาย ดำเนิน สิงห์ลอ</t>
  </si>
  <si>
    <t>STHBKK012402001218</t>
  </si>
  <si>
    <t>STHBKK012402001220</t>
  </si>
  <si>
    <t>นางสาว โสรยา กลั่นมา</t>
  </si>
  <si>
    <t>STHBKK012402001222</t>
  </si>
  <si>
    <t>นาย สมโชค บำรุงไร่</t>
  </si>
  <si>
    <t>STHBKK012402001223</t>
  </si>
  <si>
    <t>STHBKK012402001224</t>
  </si>
  <si>
    <t>STHBKK012402001225</t>
  </si>
  <si>
    <t>STHBKK012402001226</t>
  </si>
  <si>
    <t>STHBKK012402001227</t>
  </si>
  <si>
    <t>นาง ชลนิกาญจน์ สุวรรณประเสริฐ</t>
  </si>
  <si>
    <t>STHBKK012402001230</t>
  </si>
  <si>
    <t>นาย ชูชาติ แฝงเซียงเหียน</t>
  </si>
  <si>
    <t>STHBKK012402001232</t>
  </si>
  <si>
    <t>STHBKK012402001233</t>
  </si>
  <si>
    <t>นาง สุพรรษา เชื้อเถาว์</t>
  </si>
  <si>
    <t>STHBKK012402001234</t>
  </si>
  <si>
    <t>นาง ลำเพลิน  พุ่มไสว</t>
  </si>
  <si>
    <t>STHBKK012402001235</t>
  </si>
  <si>
    <t>พิชชาพร พุ่มไสว</t>
  </si>
  <si>
    <t>STHBKK012402001236</t>
  </si>
  <si>
    <t>STHBKK012402001237</t>
  </si>
  <si>
    <t>STHBKK012402001238</t>
  </si>
  <si>
    <t>นางสาว รุ้งลาวรรณ ศรีศักดา</t>
  </si>
  <si>
    <t>STHBKK012402001239</t>
  </si>
  <si>
    <t>STHBKK012402001240</t>
  </si>
  <si>
    <t>นาย เชวง ภวภูตานนท์</t>
  </si>
  <si>
    <t>STHBKK012402001241</t>
  </si>
  <si>
    <t>STHBKK012402001242</t>
  </si>
  <si>
    <t>นาย คมสันช์  ชาญธนโชค</t>
  </si>
  <si>
    <t>STHBKK012402001243</t>
  </si>
  <si>
    <t>นาง อรพรรณ จรรยา</t>
  </si>
  <si>
    <t>STHBKK012402001244</t>
  </si>
  <si>
    <t>นาย ประชากรณ์  คำกฤษ</t>
  </si>
  <si>
    <t>STHBKK012402001246</t>
  </si>
  <si>
    <t>STHBKK012402001247</t>
  </si>
  <si>
    <t>STHBKK012402001248</t>
  </si>
  <si>
    <t>STHBKK012402001250</t>
  </si>
  <si>
    <t>STHBKK012402001251</t>
  </si>
  <si>
    <t>นางสาว อภัสนันท์  เจริญศิริวิชญกุล</t>
  </si>
  <si>
    <t>STHBKK012402001252</t>
  </si>
  <si>
    <t>บริษัท ดาโร่ บิ้วตี้ จำกัด ( สำนักงานใหญ่ )</t>
  </si>
  <si>
    <t>STHBKK012402001254</t>
  </si>
  <si>
    <t>นาย สุวิทย์ แมะเฮม</t>
  </si>
  <si>
    <t>STHBKK012402001255</t>
  </si>
  <si>
    <t>STHBKK012402001257</t>
  </si>
  <si>
    <t>STHONLIN2402000523</t>
  </si>
  <si>
    <t>STHONLIN2402000524</t>
  </si>
  <si>
    <t>นาย ดำรงค์ ควรลับผล</t>
  </si>
  <si>
    <t>STHONLIN2402000529</t>
  </si>
  <si>
    <t>STHONLIN2402000530</t>
  </si>
  <si>
    <t>STHONLIN2402000531</t>
  </si>
  <si>
    <t>STHONLIN2402000532</t>
  </si>
  <si>
    <t>นาง จันทร์แรม เกิดสิน</t>
  </si>
  <si>
    <t>STHONLIN2402000533</t>
  </si>
  <si>
    <t>นาย ธีราเศรษฐ์ พิสุทธิ์รัตน์</t>
  </si>
  <si>
    <t>STHONLIN2402000536</t>
  </si>
  <si>
    <t>นาย วุฒิชัย คุ้มวงศ์</t>
  </si>
  <si>
    <t>STHONLIN2402000539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</si>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</sst>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14">
    <font>
      <sz val="10.0"/>
      <color rgb="FF000000"/>
      <name val="Arial"/>
      <scheme val="minor"/>
    </font>
    <font>
      <b/>
      <sz val="20.0"/>
      <color theme="1"/>
      <name val="Arial"/>
    </font>
    <font/>
    <font>
      <sz val="18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18.0"/>
      <color rgb="FFFF9900"/>
      <name val="Arial"/>
    </font>
    <font>
      <sz val="18.0"/>
      <color theme="1"/>
      <name val="Times New Roman"/>
    </font>
    <font>
      <sz val="21.0"/>
      <color rgb="FFFF0000"/>
      <name val="Arial"/>
    </font>
    <font>
      <sz val="18.0"/>
      <color rgb="FF000000"/>
      <name val="Times New Roman"/>
    </font>
    <font>
      <sz val="19.0"/>
      <color rgb="FF000000"/>
      <name val="Times New Roman"/>
    </font>
    <font>
      <b/>
      <sz val="18.0"/>
      <color rgb="FF000000"/>
      <name val="Arial"/>
    </font>
    <font>
      <b/>
      <sz val="19.0"/>
      <color rgb="FF000000"/>
      <name val="Arial"/>
    </font>
    <font>
      <sz val="18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4" fontId="4" numFmtId="38" xfId="0" applyAlignment="1" applyBorder="1" applyFont="1" applyNumberFormat="1">
      <alignment vertical="bottom"/>
    </xf>
    <xf borderId="7" fillId="4" fontId="4" numFmtId="38" xfId="0" applyAlignment="1" applyBorder="1" applyFont="1" applyNumberFormat="1">
      <alignment horizontal="right" vertical="bottom"/>
    </xf>
    <xf borderId="7" fillId="0" fontId="4" numFmtId="38" xfId="0" applyAlignment="1" applyBorder="1" applyFont="1" applyNumberFormat="1">
      <alignment horizontal="center" vertical="bottom"/>
    </xf>
    <xf borderId="7" fillId="4" fontId="5" numFmtId="38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7" fillId="0" fontId="4" numFmtId="166" xfId="0" applyAlignment="1" applyBorder="1" applyFont="1" applyNumberFormat="1">
      <alignment horizontal="center" vertical="bottom"/>
    </xf>
    <xf borderId="7" fillId="4" fontId="4" numFmtId="165" xfId="0" applyAlignment="1" applyBorder="1" applyFont="1" applyNumberFormat="1">
      <alignment vertical="bottom"/>
    </xf>
    <xf borderId="7" fillId="4" fontId="4" numFmtId="0" xfId="0" applyAlignment="1" applyBorder="1" applyFont="1">
      <alignment vertical="bottom"/>
    </xf>
    <xf borderId="7" fillId="4" fontId="4" numFmtId="0" xfId="0" applyAlignment="1" applyBorder="1" applyFont="1">
      <alignment horizontal="center" vertical="bottom"/>
    </xf>
    <xf borderId="7" fillId="4" fontId="4" numFmtId="167" xfId="0" applyAlignment="1" applyBorder="1" applyFont="1" applyNumberFormat="1">
      <alignment horizontal="center" vertical="center"/>
    </xf>
    <xf borderId="9" fillId="4" fontId="4" numFmtId="167" xfId="0" applyAlignment="1" applyBorder="1" applyFont="1" applyNumberFormat="1">
      <alignment horizontal="center" vertical="center"/>
    </xf>
    <xf borderId="9" fillId="4" fontId="4" numFmtId="0" xfId="0" applyAlignment="1" applyBorder="1" applyFont="1">
      <alignment horizontal="center" vertical="bottom"/>
    </xf>
    <xf borderId="0" fillId="4" fontId="3" numFmtId="0" xfId="0" applyAlignment="1" applyFont="1">
      <alignment vertical="bottom"/>
    </xf>
    <xf borderId="9" fillId="4" fontId="3" numFmtId="0" xfId="0" applyAlignment="1" applyBorder="1" applyFont="1">
      <alignment vertical="bottom"/>
    </xf>
    <xf borderId="0" fillId="5" fontId="3" numFmtId="0" xfId="0" applyAlignment="1" applyFill="1" applyFont="1">
      <alignment vertical="bottom"/>
    </xf>
    <xf borderId="0" fillId="5" fontId="4" numFmtId="167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right" shrinkToFit="0" vertical="bottom" wrapText="0"/>
    </xf>
    <xf borderId="9" fillId="0" fontId="7" numFmtId="166" xfId="0" applyAlignment="1" applyBorder="1" applyFont="1" applyNumberFormat="1">
      <alignment horizontal="left" shrinkToFit="0" vertical="bottom" wrapText="0"/>
    </xf>
    <xf borderId="9" fillId="0" fontId="7" numFmtId="4" xfId="0" applyAlignment="1" applyBorder="1" applyFont="1" applyNumberFormat="1">
      <alignment horizontal="left" shrinkToFit="0" vertical="bottom" wrapText="0"/>
    </xf>
    <xf borderId="9" fillId="0" fontId="7" numFmtId="0" xfId="0" applyAlignment="1" applyBorder="1" applyFont="1">
      <alignment horizontal="left" shrinkToFit="0" vertical="bottom" wrapText="0"/>
    </xf>
    <xf borderId="9" fillId="0" fontId="7" numFmtId="38" xfId="0" applyAlignment="1" applyBorder="1" applyFont="1" applyNumberFormat="1">
      <alignment horizontal="right" shrinkToFit="0" vertical="bottom" wrapText="0"/>
    </xf>
    <xf borderId="9" fillId="4" fontId="8" numFmtId="38" xfId="0" applyBorder="1" applyFont="1" applyNumberFormat="1"/>
    <xf borderId="9" fillId="0" fontId="7" numFmtId="38" xfId="0" applyAlignment="1" applyBorder="1" applyFont="1" applyNumberFormat="1">
      <alignment horizontal="left" shrinkToFit="0" vertical="bottom" wrapText="0"/>
    </xf>
    <xf borderId="9" fillId="0" fontId="9" numFmtId="166" xfId="0" applyAlignment="1" applyBorder="1" applyFont="1" applyNumberFormat="1">
      <alignment horizontal="left" shrinkToFit="0" vertical="bottom" wrapText="0"/>
    </xf>
    <xf borderId="9" fillId="0" fontId="9" numFmtId="4" xfId="0" applyAlignment="1" applyBorder="1" applyFont="1" applyNumberFormat="1">
      <alignment horizontal="left" shrinkToFit="0" vertical="bottom" wrapText="0"/>
    </xf>
    <xf borderId="9" fillId="0" fontId="9" numFmtId="0" xfId="0" applyAlignment="1" applyBorder="1" applyFont="1">
      <alignment horizontal="left" shrinkToFit="0" vertical="bottom" wrapText="0"/>
    </xf>
    <xf borderId="9" fillId="0" fontId="10" numFmtId="38" xfId="0" applyAlignment="1" applyBorder="1" applyFont="1" applyNumberFormat="1">
      <alignment horizontal="right" shrinkToFit="0" vertical="bottom" wrapText="0"/>
    </xf>
    <xf borderId="9" fillId="0" fontId="9" numFmtId="38" xfId="0" applyAlignment="1" applyBorder="1" applyFont="1" applyNumberFormat="1">
      <alignment horizontal="left" shrinkToFit="0" vertical="bottom" wrapText="0"/>
    </xf>
    <xf borderId="9" fillId="0" fontId="9" numFmtId="165" xfId="0" applyAlignment="1" applyBorder="1" applyFont="1" applyNumberFormat="1">
      <alignment horizontal="left" shrinkToFit="0" vertical="bottom" wrapText="0"/>
    </xf>
    <xf borderId="9" fillId="0" fontId="10" numFmtId="167" xfId="0" applyAlignment="1" applyBorder="1" applyFont="1" applyNumberFormat="1">
      <alignment horizontal="right" shrinkToFit="0" vertical="bottom" wrapText="0"/>
    </xf>
    <xf borderId="9" fillId="0" fontId="11" numFmtId="166" xfId="0" applyAlignment="1" applyBorder="1" applyFont="1" applyNumberFormat="1">
      <alignment horizontal="center" shrinkToFit="0" vertical="bottom" wrapText="0"/>
    </xf>
    <xf borderId="9" fillId="0" fontId="11" numFmtId="4" xfId="0" applyAlignment="1" applyBorder="1" applyFont="1" applyNumberFormat="1">
      <alignment horizontal="center" shrinkToFit="0" vertical="bottom" wrapText="0"/>
    </xf>
    <xf borderId="9" fillId="0" fontId="11" numFmtId="0" xfId="0" applyAlignment="1" applyBorder="1" applyFont="1">
      <alignment horizontal="center" shrinkToFit="0" vertical="bottom" wrapText="0"/>
    </xf>
    <xf borderId="9" fillId="0" fontId="11" numFmtId="0" xfId="0" applyAlignment="1" applyBorder="1" applyFont="1">
      <alignment horizontal="left" shrinkToFit="0" vertical="bottom" wrapText="0"/>
    </xf>
    <xf borderId="9" fillId="0" fontId="12" numFmtId="38" xfId="0" applyAlignment="1" applyBorder="1" applyFont="1" applyNumberFormat="1">
      <alignment horizontal="right" shrinkToFit="0" vertical="bottom" wrapText="0"/>
    </xf>
    <xf borderId="9" fillId="0" fontId="11" numFmtId="38" xfId="0" applyAlignment="1" applyBorder="1" applyFont="1" applyNumberFormat="1">
      <alignment horizontal="left" shrinkToFit="0" vertical="bottom" wrapText="0"/>
    </xf>
    <xf borderId="9" fillId="0" fontId="11" numFmtId="165" xfId="0" applyAlignment="1" applyBorder="1" applyFont="1" applyNumberFormat="1">
      <alignment horizontal="center" shrinkToFit="0" vertical="bottom" wrapText="0"/>
    </xf>
    <xf borderId="9" fillId="0" fontId="12" numFmtId="167" xfId="0" applyAlignment="1" applyBorder="1" applyFont="1" applyNumberFormat="1">
      <alignment horizontal="right" shrinkToFit="0" vertical="bottom" wrapText="0"/>
    </xf>
    <xf borderId="0" fillId="4" fontId="4" numFmtId="0" xfId="0" applyAlignment="1" applyFont="1">
      <alignment vertical="bottom"/>
    </xf>
    <xf borderId="7" fillId="0" fontId="11" numFmtId="165" xfId="0" applyAlignment="1" applyBorder="1" applyFont="1" applyNumberFormat="1">
      <alignment horizontal="center"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7" fillId="0" fontId="11" numFmtId="0" xfId="0" applyAlignment="1" applyBorder="1" applyFont="1">
      <alignment horizontal="left" shrinkToFit="0" vertical="bottom" wrapText="0"/>
    </xf>
    <xf borderId="7" fillId="0" fontId="12" numFmtId="167" xfId="0" applyAlignment="1" applyBorder="1" applyFont="1" applyNumberFormat="1">
      <alignment horizontal="right" shrinkToFit="0" vertical="bottom" wrapText="0"/>
    </xf>
    <xf borderId="9" fillId="0" fontId="13" numFmtId="0" xfId="0" applyAlignment="1" applyBorder="1" applyFont="1">
      <alignment horizontal="left" shrinkToFit="0" vertical="bottom" wrapText="0"/>
    </xf>
    <xf borderId="7" fillId="4" fontId="4" numFmtId="167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45322.0</v>
      </c>
      <c r="C5" s="18" t="s">
        <v>22</v>
      </c>
      <c r="D5" s="19">
        <v>52083.0</v>
      </c>
      <c r="E5" s="20" t="s">
        <v>23</v>
      </c>
      <c r="F5" s="21"/>
      <c r="G5" s="21"/>
      <c r="H5" s="21"/>
      <c r="I5" s="22">
        <v>5000.0</v>
      </c>
      <c r="J5" s="21"/>
      <c r="K5" s="21"/>
      <c r="L5" s="21"/>
      <c r="M5" s="21"/>
      <c r="N5" s="21"/>
      <c r="O5" s="21"/>
      <c r="P5" s="23">
        <v>5000.0</v>
      </c>
      <c r="Q5" s="24">
        <f t="shared" ref="Q5:Q121" si="1">F5+G5+H5+I5+J5+K5+L5+M5+N5+O5-P5</f>
        <v>0</v>
      </c>
      <c r="R5" s="23" t="s">
        <v>24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26">
        <v>45322.0</v>
      </c>
      <c r="C6" s="18" t="s">
        <v>25</v>
      </c>
      <c r="D6" s="19">
        <v>79602.0</v>
      </c>
      <c r="E6" s="20" t="s">
        <v>26</v>
      </c>
      <c r="F6" s="21"/>
      <c r="G6" s="21"/>
      <c r="H6" s="21"/>
      <c r="I6" s="21"/>
      <c r="J6" s="22">
        <v>5150.0</v>
      </c>
      <c r="K6" s="21"/>
      <c r="L6" s="21"/>
      <c r="M6" s="21"/>
      <c r="N6" s="21"/>
      <c r="O6" s="21"/>
      <c r="P6" s="23">
        <v>5150.0</v>
      </c>
      <c r="Q6" s="24">
        <f t="shared" si="1"/>
        <v>0</v>
      </c>
      <c r="R6" s="23" t="s">
        <v>27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26">
        <v>45322.0</v>
      </c>
      <c r="C7" s="18" t="s">
        <v>28</v>
      </c>
      <c r="D7" s="19">
        <v>22463.0</v>
      </c>
      <c r="E7" s="20" t="s">
        <v>29</v>
      </c>
      <c r="F7" s="21"/>
      <c r="G7" s="21"/>
      <c r="H7" s="21"/>
      <c r="I7" s="22">
        <v>1132.0</v>
      </c>
      <c r="J7" s="21"/>
      <c r="K7" s="21">
        <v>2468.0</v>
      </c>
      <c r="L7" s="21"/>
      <c r="M7" s="21"/>
      <c r="N7" s="21"/>
      <c r="O7" s="21"/>
      <c r="P7" s="23">
        <v>3600.0</v>
      </c>
      <c r="Q7" s="24">
        <f t="shared" si="1"/>
        <v>0</v>
      </c>
      <c r="R7" s="23" t="s">
        <v>30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26">
        <v>45322.0</v>
      </c>
      <c r="C8" s="18" t="s">
        <v>31</v>
      </c>
      <c r="D8" s="19">
        <v>54211.0</v>
      </c>
      <c r="E8" s="20" t="s">
        <v>32</v>
      </c>
      <c r="F8" s="21"/>
      <c r="G8" s="21"/>
      <c r="H8" s="21"/>
      <c r="I8" s="22">
        <v>19500.0</v>
      </c>
      <c r="J8" s="21"/>
      <c r="K8" s="21"/>
      <c r="L8" s="21"/>
      <c r="M8" s="21"/>
      <c r="N8" s="21"/>
      <c r="O8" s="21"/>
      <c r="P8" s="23">
        <v>19500.0</v>
      </c>
      <c r="Q8" s="24">
        <f t="shared" si="1"/>
        <v>0</v>
      </c>
      <c r="R8" s="23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26">
        <v>45322.0</v>
      </c>
      <c r="C9" s="18" t="s">
        <v>33</v>
      </c>
      <c r="D9" s="19">
        <v>21937.0</v>
      </c>
      <c r="E9" s="20" t="s">
        <v>34</v>
      </c>
      <c r="F9" s="21"/>
      <c r="G9" s="21"/>
      <c r="H9" s="21"/>
      <c r="I9" s="22">
        <v>18000.0</v>
      </c>
      <c r="J9" s="21"/>
      <c r="K9" s="21"/>
      <c r="L9" s="21"/>
      <c r="M9" s="21"/>
      <c r="N9" s="21"/>
      <c r="O9" s="21"/>
      <c r="P9" s="23">
        <v>18000.0</v>
      </c>
      <c r="Q9" s="24">
        <f t="shared" si="1"/>
        <v>0</v>
      </c>
      <c r="R9" s="23" t="s">
        <v>24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26">
        <v>45322.0</v>
      </c>
      <c r="C10" s="18" t="s">
        <v>35</v>
      </c>
      <c r="D10" s="19">
        <v>54763.0</v>
      </c>
      <c r="E10" s="20" t="s">
        <v>36</v>
      </c>
      <c r="F10" s="21"/>
      <c r="G10" s="21">
        <v>600.0</v>
      </c>
      <c r="H10" s="21"/>
      <c r="I10" s="22"/>
      <c r="J10" s="21"/>
      <c r="K10" s="21"/>
      <c r="L10" s="21"/>
      <c r="M10" s="21"/>
      <c r="N10" s="21"/>
      <c r="O10" s="21"/>
      <c r="P10" s="23">
        <v>600.0</v>
      </c>
      <c r="Q10" s="24">
        <f t="shared" si="1"/>
        <v>0</v>
      </c>
      <c r="R10" s="23" t="s">
        <v>24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26">
        <v>45322.0</v>
      </c>
      <c r="C11" s="18" t="s">
        <v>37</v>
      </c>
      <c r="D11" s="19">
        <v>79493.0</v>
      </c>
      <c r="E11" s="20" t="s">
        <v>38</v>
      </c>
      <c r="F11" s="21"/>
      <c r="G11" s="21"/>
      <c r="H11" s="21"/>
      <c r="I11" s="22"/>
      <c r="J11" s="21">
        <v>31500.0</v>
      </c>
      <c r="K11" s="21"/>
      <c r="L11" s="21"/>
      <c r="M11" s="21"/>
      <c r="N11" s="21"/>
      <c r="O11" s="21"/>
      <c r="P11" s="23">
        <v>31500.0</v>
      </c>
      <c r="Q11" s="24">
        <f t="shared" si="1"/>
        <v>0</v>
      </c>
      <c r="R11" s="23" t="s">
        <v>39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26">
        <v>45322.0</v>
      </c>
      <c r="C12" s="18" t="s">
        <v>40</v>
      </c>
      <c r="D12" s="19">
        <v>54763.0</v>
      </c>
      <c r="E12" s="20" t="s">
        <v>36</v>
      </c>
      <c r="F12" s="21"/>
      <c r="G12" s="21">
        <v>2530.0</v>
      </c>
      <c r="H12" s="21"/>
      <c r="I12" s="22"/>
      <c r="J12" s="21"/>
      <c r="K12" s="21"/>
      <c r="L12" s="21"/>
      <c r="M12" s="21"/>
      <c r="N12" s="21"/>
      <c r="O12" s="21"/>
      <c r="P12" s="23">
        <v>2530.0</v>
      </c>
      <c r="Q12" s="24">
        <f t="shared" si="1"/>
        <v>0</v>
      </c>
      <c r="R12" s="23" t="s">
        <v>24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26">
        <v>45322.0</v>
      </c>
      <c r="C13" s="18" t="s">
        <v>41</v>
      </c>
      <c r="D13" s="19">
        <v>19122.0</v>
      </c>
      <c r="E13" s="20" t="s">
        <v>42</v>
      </c>
      <c r="F13" s="21"/>
      <c r="G13" s="21"/>
      <c r="H13" s="21"/>
      <c r="I13" s="22">
        <v>3600.0</v>
      </c>
      <c r="J13" s="21"/>
      <c r="K13" s="21"/>
      <c r="L13" s="21"/>
      <c r="M13" s="21"/>
      <c r="N13" s="21"/>
      <c r="O13" s="21"/>
      <c r="P13" s="23">
        <v>3600.0</v>
      </c>
      <c r="Q13" s="24">
        <f t="shared" si="1"/>
        <v>0</v>
      </c>
      <c r="R13" s="23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26">
        <v>45323.0</v>
      </c>
      <c r="C14" s="18" t="s">
        <v>43</v>
      </c>
      <c r="D14" s="19">
        <v>49393.0</v>
      </c>
      <c r="E14" s="20" t="s">
        <v>44</v>
      </c>
      <c r="F14" s="21">
        <v>600.0</v>
      </c>
      <c r="G14" s="21"/>
      <c r="H14" s="21"/>
      <c r="I14" s="22"/>
      <c r="J14" s="21"/>
      <c r="K14" s="21"/>
      <c r="L14" s="21"/>
      <c r="M14" s="21"/>
      <c r="N14" s="21"/>
      <c r="O14" s="21"/>
      <c r="P14" s="23">
        <v>600.0</v>
      </c>
      <c r="Q14" s="24">
        <f t="shared" si="1"/>
        <v>0</v>
      </c>
      <c r="R14" s="23" t="s">
        <v>24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26">
        <v>45323.0</v>
      </c>
      <c r="C15" s="18" t="s">
        <v>45</v>
      </c>
      <c r="D15" s="19">
        <v>52866.0</v>
      </c>
      <c r="E15" s="20" t="s">
        <v>46</v>
      </c>
      <c r="F15" s="21"/>
      <c r="G15" s="21"/>
      <c r="H15" s="21"/>
      <c r="I15" s="22"/>
      <c r="J15" s="21">
        <v>15000.0</v>
      </c>
      <c r="K15" s="21"/>
      <c r="L15" s="21"/>
      <c r="M15" s="21"/>
      <c r="N15" s="21"/>
      <c r="O15" s="21"/>
      <c r="P15" s="23">
        <v>15000.0</v>
      </c>
      <c r="Q15" s="24">
        <f t="shared" si="1"/>
        <v>0</v>
      </c>
      <c r="R15" s="23" t="s">
        <v>24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26">
        <v>45323.0</v>
      </c>
      <c r="C16" s="18" t="s">
        <v>47</v>
      </c>
      <c r="D16" s="19">
        <v>75870.0</v>
      </c>
      <c r="E16" s="20" t="s">
        <v>48</v>
      </c>
      <c r="F16" s="21"/>
      <c r="G16" s="21"/>
      <c r="H16" s="21"/>
      <c r="I16" s="22">
        <v>1750.0</v>
      </c>
      <c r="J16" s="21"/>
      <c r="K16" s="21"/>
      <c r="L16" s="21"/>
      <c r="M16" s="21"/>
      <c r="N16" s="21"/>
      <c r="O16" s="21"/>
      <c r="P16" s="23">
        <v>1750.0</v>
      </c>
      <c r="Q16" s="24">
        <f t="shared" si="1"/>
        <v>0</v>
      </c>
      <c r="R16" s="23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26">
        <v>45323.0</v>
      </c>
      <c r="C17" s="18" t="s">
        <v>49</v>
      </c>
      <c r="D17" s="19">
        <v>81416.0</v>
      </c>
      <c r="E17" s="20" t="s">
        <v>50</v>
      </c>
      <c r="F17" s="21"/>
      <c r="G17" s="21"/>
      <c r="H17" s="21"/>
      <c r="I17" s="22">
        <v>7300.0</v>
      </c>
      <c r="J17" s="21"/>
      <c r="K17" s="21"/>
      <c r="L17" s="21"/>
      <c r="M17" s="21"/>
      <c r="N17" s="21"/>
      <c r="O17" s="21"/>
      <c r="P17" s="23">
        <v>7300.0</v>
      </c>
      <c r="Q17" s="24">
        <f t="shared" si="1"/>
        <v>0</v>
      </c>
      <c r="R17" s="23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26">
        <v>45323.0</v>
      </c>
      <c r="C18" s="18" t="s">
        <v>51</v>
      </c>
      <c r="D18" s="19">
        <v>81416.0</v>
      </c>
      <c r="E18" s="20" t="s">
        <v>50</v>
      </c>
      <c r="F18" s="21"/>
      <c r="G18" s="21"/>
      <c r="H18" s="21"/>
      <c r="I18" s="22">
        <v>20000.0</v>
      </c>
      <c r="J18" s="21"/>
      <c r="K18" s="21"/>
      <c r="L18" s="21"/>
      <c r="M18" s="21"/>
      <c r="N18" s="21"/>
      <c r="O18" s="21"/>
      <c r="P18" s="23">
        <v>20000.0</v>
      </c>
      <c r="Q18" s="24">
        <f t="shared" si="1"/>
        <v>0</v>
      </c>
      <c r="R18" s="23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26">
        <v>45323.0</v>
      </c>
      <c r="C19" s="18" t="s">
        <v>52</v>
      </c>
      <c r="D19" s="19">
        <v>80222.0</v>
      </c>
      <c r="E19" s="20" t="s">
        <v>53</v>
      </c>
      <c r="F19" s="21"/>
      <c r="G19" s="21"/>
      <c r="H19" s="21"/>
      <c r="I19" s="22">
        <v>25000.0</v>
      </c>
      <c r="J19" s="21"/>
      <c r="K19" s="21"/>
      <c r="L19" s="21"/>
      <c r="M19" s="21"/>
      <c r="N19" s="21"/>
      <c r="O19" s="21"/>
      <c r="P19" s="23">
        <v>25000.0</v>
      </c>
      <c r="Q19" s="24">
        <f t="shared" si="1"/>
        <v>0</v>
      </c>
      <c r="R19" s="23" t="s">
        <v>30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26">
        <v>45324.0</v>
      </c>
      <c r="C20" s="18" t="s">
        <v>54</v>
      </c>
      <c r="D20" s="19">
        <v>62146.0</v>
      </c>
      <c r="E20" s="20" t="s">
        <v>55</v>
      </c>
      <c r="F20" s="21"/>
      <c r="G20" s="21"/>
      <c r="H20" s="21"/>
      <c r="I20" s="22">
        <v>1600.0</v>
      </c>
      <c r="J20" s="21"/>
      <c r="K20" s="21"/>
      <c r="L20" s="21"/>
      <c r="M20" s="21"/>
      <c r="N20" s="21"/>
      <c r="O20" s="21"/>
      <c r="P20" s="23">
        <v>1600.0</v>
      </c>
      <c r="Q20" s="24">
        <f t="shared" si="1"/>
        <v>0</v>
      </c>
      <c r="R20" s="23" t="s">
        <v>56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26">
        <v>45324.0</v>
      </c>
      <c r="C21" s="18" t="s">
        <v>57</v>
      </c>
      <c r="D21" s="19">
        <v>51512.0</v>
      </c>
      <c r="E21" s="20" t="s">
        <v>58</v>
      </c>
      <c r="F21" s="21"/>
      <c r="G21" s="21"/>
      <c r="H21" s="21"/>
      <c r="I21" s="22">
        <v>12500.0</v>
      </c>
      <c r="J21" s="21"/>
      <c r="K21" s="21"/>
      <c r="L21" s="21"/>
      <c r="M21" s="21"/>
      <c r="N21" s="21"/>
      <c r="O21" s="21"/>
      <c r="P21" s="23">
        <v>12500.0</v>
      </c>
      <c r="Q21" s="24">
        <f t="shared" si="1"/>
        <v>0</v>
      </c>
      <c r="R21" s="23" t="s">
        <v>56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26">
        <v>45324.0</v>
      </c>
      <c r="C22" s="18" t="s">
        <v>59</v>
      </c>
      <c r="D22" s="19">
        <v>62146.0</v>
      </c>
      <c r="E22" s="20" t="s">
        <v>55</v>
      </c>
      <c r="F22" s="21"/>
      <c r="G22" s="21"/>
      <c r="H22" s="21"/>
      <c r="I22" s="22">
        <v>5000.0</v>
      </c>
      <c r="J22" s="21"/>
      <c r="K22" s="21"/>
      <c r="L22" s="21"/>
      <c r="M22" s="21"/>
      <c r="N22" s="21"/>
      <c r="O22" s="21"/>
      <c r="P22" s="23">
        <v>5000.0</v>
      </c>
      <c r="Q22" s="24">
        <f t="shared" si="1"/>
        <v>0</v>
      </c>
      <c r="R22" s="23" t="s">
        <v>56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26">
        <v>45324.0</v>
      </c>
      <c r="C23" s="18" t="s">
        <v>60</v>
      </c>
      <c r="D23" s="19">
        <v>49131.0</v>
      </c>
      <c r="E23" s="20" t="s">
        <v>61</v>
      </c>
      <c r="F23" s="21"/>
      <c r="G23" s="21"/>
      <c r="H23" s="21"/>
      <c r="I23" s="22">
        <v>1550.0</v>
      </c>
      <c r="J23" s="21"/>
      <c r="K23" s="21"/>
      <c r="L23" s="21"/>
      <c r="M23" s="21"/>
      <c r="N23" s="21"/>
      <c r="O23" s="21"/>
      <c r="P23" s="23">
        <v>1550.0</v>
      </c>
      <c r="Q23" s="24">
        <f t="shared" si="1"/>
        <v>0</v>
      </c>
      <c r="R23" s="23" t="s">
        <v>56</v>
      </c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ht="36.0" customHeight="1">
      <c r="A24" s="16">
        <v>20.0</v>
      </c>
      <c r="B24" s="26">
        <v>45324.0</v>
      </c>
      <c r="C24" s="18" t="s">
        <v>62</v>
      </c>
      <c r="D24" s="19">
        <v>25541.0</v>
      </c>
      <c r="E24" s="20" t="s">
        <v>63</v>
      </c>
      <c r="F24" s="21"/>
      <c r="G24" s="21"/>
      <c r="H24" s="21"/>
      <c r="I24" s="22"/>
      <c r="J24" s="21">
        <v>1500.0</v>
      </c>
      <c r="K24" s="21"/>
      <c r="L24" s="21"/>
      <c r="M24" s="21"/>
      <c r="N24" s="21"/>
      <c r="O24" s="21"/>
      <c r="P24" s="23">
        <v>1500.0</v>
      </c>
      <c r="Q24" s="24">
        <f t="shared" si="1"/>
        <v>0</v>
      </c>
      <c r="R24" s="23" t="s">
        <v>56</v>
      </c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ht="36.0" customHeight="1">
      <c r="A25" s="16">
        <v>21.0</v>
      </c>
      <c r="B25" s="27">
        <v>45324.0</v>
      </c>
      <c r="C25" s="28" t="s">
        <v>64</v>
      </c>
      <c r="D25" s="29">
        <v>48052.0</v>
      </c>
      <c r="E25" s="28" t="s">
        <v>65</v>
      </c>
      <c r="F25" s="30"/>
      <c r="G25" s="30"/>
      <c r="H25" s="30"/>
      <c r="I25" s="30">
        <v>5000.0</v>
      </c>
      <c r="J25" s="30"/>
      <c r="K25" s="30"/>
      <c r="L25" s="30"/>
      <c r="M25" s="30"/>
      <c r="N25" s="30"/>
      <c r="O25" s="30"/>
      <c r="P25" s="31">
        <v>5000.0</v>
      </c>
      <c r="Q25" s="24">
        <f t="shared" si="1"/>
        <v>0</v>
      </c>
      <c r="R25" s="32" t="s">
        <v>66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36.0" customHeight="1">
      <c r="A26" s="16">
        <v>22.0</v>
      </c>
      <c r="B26" s="27">
        <v>45324.0</v>
      </c>
      <c r="C26" s="28" t="s">
        <v>67</v>
      </c>
      <c r="D26" s="29">
        <v>42833.0</v>
      </c>
      <c r="E26" s="28" t="s">
        <v>68</v>
      </c>
      <c r="F26" s="30"/>
      <c r="G26" s="30"/>
      <c r="H26" s="30"/>
      <c r="I26" s="30">
        <v>2650.0</v>
      </c>
      <c r="J26" s="30"/>
      <c r="K26" s="30"/>
      <c r="L26" s="30"/>
      <c r="M26" s="30"/>
      <c r="N26" s="30"/>
      <c r="O26" s="30"/>
      <c r="P26" s="31">
        <v>2650.0</v>
      </c>
      <c r="Q26" s="24">
        <f t="shared" si="1"/>
        <v>0</v>
      </c>
      <c r="R26" s="32" t="s">
        <v>66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36.0" customHeight="1">
      <c r="A27" s="16">
        <v>23.0</v>
      </c>
      <c r="B27" s="27">
        <v>45324.0</v>
      </c>
      <c r="C27" s="28" t="s">
        <v>69</v>
      </c>
      <c r="D27" s="29">
        <v>56747.0</v>
      </c>
      <c r="E27" s="28" t="s">
        <v>70</v>
      </c>
      <c r="F27" s="30"/>
      <c r="G27" s="30"/>
      <c r="H27" s="30"/>
      <c r="I27" s="30"/>
      <c r="J27" s="30">
        <v>5000.0</v>
      </c>
      <c r="K27" s="30"/>
      <c r="L27" s="30"/>
      <c r="M27" s="30"/>
      <c r="N27" s="30"/>
      <c r="O27" s="30"/>
      <c r="P27" s="31">
        <v>5000.0</v>
      </c>
      <c r="Q27" s="24">
        <f t="shared" si="1"/>
        <v>0</v>
      </c>
      <c r="R27" s="32" t="s">
        <v>66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36.0" customHeight="1">
      <c r="A28" s="16">
        <v>24.0</v>
      </c>
      <c r="B28" s="27">
        <v>45324.0</v>
      </c>
      <c r="C28" s="28" t="s">
        <v>71</v>
      </c>
      <c r="D28" s="29">
        <v>28328.0</v>
      </c>
      <c r="E28" s="28" t="s">
        <v>72</v>
      </c>
      <c r="F28" s="30"/>
      <c r="G28" s="30"/>
      <c r="H28" s="30"/>
      <c r="I28" s="30"/>
      <c r="J28" s="30">
        <v>15000.0</v>
      </c>
      <c r="K28" s="30"/>
      <c r="L28" s="30"/>
      <c r="M28" s="30"/>
      <c r="N28" s="30"/>
      <c r="O28" s="30"/>
      <c r="P28" s="31">
        <v>15000.0</v>
      </c>
      <c r="Q28" s="24">
        <f t="shared" si="1"/>
        <v>0</v>
      </c>
      <c r="R28" s="32" t="s">
        <v>66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36.0" customHeight="1">
      <c r="A29" s="16">
        <v>25.0</v>
      </c>
      <c r="B29" s="27">
        <v>45324.0</v>
      </c>
      <c r="C29" s="28" t="s">
        <v>73</v>
      </c>
      <c r="D29" s="29">
        <v>46778.0</v>
      </c>
      <c r="E29" s="28" t="s">
        <v>74</v>
      </c>
      <c r="F29" s="30"/>
      <c r="G29" s="30"/>
      <c r="H29" s="30"/>
      <c r="I29" s="30"/>
      <c r="J29" s="30">
        <v>5850.0</v>
      </c>
      <c r="K29" s="30"/>
      <c r="L29" s="30"/>
      <c r="M29" s="30"/>
      <c r="N29" s="30"/>
      <c r="O29" s="30"/>
      <c r="P29" s="31">
        <v>5850.0</v>
      </c>
      <c r="Q29" s="24">
        <f t="shared" si="1"/>
        <v>0</v>
      </c>
      <c r="R29" s="32" t="s">
        <v>66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36.0" customHeight="1">
      <c r="A30" s="16">
        <v>26.0</v>
      </c>
      <c r="B30" s="27">
        <v>45324.0</v>
      </c>
      <c r="C30" s="28" t="s">
        <v>75</v>
      </c>
      <c r="D30" s="29">
        <v>80423.0</v>
      </c>
      <c r="E30" s="28" t="s">
        <v>76</v>
      </c>
      <c r="F30" s="30"/>
      <c r="G30" s="30"/>
      <c r="H30" s="30"/>
      <c r="I30" s="30">
        <v>3000.0</v>
      </c>
      <c r="J30" s="30"/>
      <c r="K30" s="30"/>
      <c r="L30" s="30"/>
      <c r="M30" s="30"/>
      <c r="N30" s="30"/>
      <c r="O30" s="30"/>
      <c r="P30" s="31">
        <v>3000.0</v>
      </c>
      <c r="Q30" s="24">
        <f t="shared" si="1"/>
        <v>0</v>
      </c>
      <c r="R30" s="32" t="s">
        <v>66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36.0" customHeight="1">
      <c r="A31" s="16">
        <v>27.0</v>
      </c>
      <c r="B31" s="27">
        <v>45324.0</v>
      </c>
      <c r="C31" s="28" t="s">
        <v>77</v>
      </c>
      <c r="D31" s="29">
        <v>76409.0</v>
      </c>
      <c r="E31" s="28" t="s">
        <v>78</v>
      </c>
      <c r="F31" s="30"/>
      <c r="G31" s="30"/>
      <c r="H31" s="30"/>
      <c r="I31" s="30"/>
      <c r="J31" s="30">
        <v>2650.0</v>
      </c>
      <c r="K31" s="30"/>
      <c r="L31" s="30"/>
      <c r="M31" s="30"/>
      <c r="N31" s="30"/>
      <c r="O31" s="30"/>
      <c r="P31" s="31">
        <v>2650.0</v>
      </c>
      <c r="Q31" s="24">
        <f t="shared" si="1"/>
        <v>0</v>
      </c>
      <c r="R31" s="32" t="s">
        <v>30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36.0" customHeight="1">
      <c r="A32" s="16">
        <v>28.0</v>
      </c>
      <c r="B32" s="27">
        <v>45324.0</v>
      </c>
      <c r="C32" s="28" t="s">
        <v>79</v>
      </c>
      <c r="D32" s="29">
        <v>66770.0</v>
      </c>
      <c r="E32" s="28" t="s">
        <v>80</v>
      </c>
      <c r="F32" s="30"/>
      <c r="G32" s="30"/>
      <c r="H32" s="30"/>
      <c r="I32" s="30"/>
      <c r="J32" s="30">
        <v>8400.0</v>
      </c>
      <c r="K32" s="30"/>
      <c r="L32" s="30"/>
      <c r="M32" s="30"/>
      <c r="N32" s="30"/>
      <c r="O32" s="30"/>
      <c r="P32" s="31">
        <v>8400.0</v>
      </c>
      <c r="Q32" s="24">
        <f t="shared" si="1"/>
        <v>0</v>
      </c>
      <c r="R32" s="32" t="s">
        <v>66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36.0" customHeight="1">
      <c r="A33" s="16">
        <v>29.0</v>
      </c>
      <c r="B33" s="27">
        <v>45324.0</v>
      </c>
      <c r="C33" s="28" t="s">
        <v>81</v>
      </c>
      <c r="D33" s="29">
        <v>52509.0</v>
      </c>
      <c r="E33" s="28" t="s">
        <v>82</v>
      </c>
      <c r="F33" s="30"/>
      <c r="G33" s="30"/>
      <c r="H33" s="30"/>
      <c r="I33" s="30"/>
      <c r="J33" s="30">
        <v>5150.0</v>
      </c>
      <c r="K33" s="30"/>
      <c r="L33" s="30"/>
      <c r="M33" s="30"/>
      <c r="N33" s="30"/>
      <c r="O33" s="30"/>
      <c r="P33" s="31">
        <v>5150.0</v>
      </c>
      <c r="Q33" s="24">
        <f t="shared" si="1"/>
        <v>0</v>
      </c>
      <c r="R33" s="32" t="s">
        <v>66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36.0" customHeight="1">
      <c r="A34" s="16">
        <v>30.0</v>
      </c>
      <c r="B34" s="27">
        <v>45324.0</v>
      </c>
      <c r="C34" s="28" t="s">
        <v>83</v>
      </c>
      <c r="D34" s="29">
        <v>77205.0</v>
      </c>
      <c r="E34" s="28" t="s">
        <v>84</v>
      </c>
      <c r="F34" s="30"/>
      <c r="G34" s="30"/>
      <c r="H34" s="30"/>
      <c r="I34" s="30">
        <v>9500.0</v>
      </c>
      <c r="J34" s="30"/>
      <c r="K34" s="30"/>
      <c r="L34" s="30"/>
      <c r="M34" s="30"/>
      <c r="N34" s="30"/>
      <c r="O34" s="30"/>
      <c r="P34" s="31">
        <v>9500.0</v>
      </c>
      <c r="Q34" s="24">
        <f t="shared" si="1"/>
        <v>0</v>
      </c>
      <c r="R34" s="32" t="s">
        <v>85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36.0" customHeight="1">
      <c r="A35" s="16">
        <v>31.0</v>
      </c>
      <c r="B35" s="27">
        <v>45324.0</v>
      </c>
      <c r="C35" s="28" t="s">
        <v>86</v>
      </c>
      <c r="D35" s="29">
        <v>81419.0</v>
      </c>
      <c r="E35" s="28" t="s">
        <v>87</v>
      </c>
      <c r="F35" s="30"/>
      <c r="G35" s="30"/>
      <c r="H35" s="30"/>
      <c r="I35" s="30">
        <v>300.0</v>
      </c>
      <c r="J35" s="30"/>
      <c r="K35" s="30"/>
      <c r="L35" s="30"/>
      <c r="M35" s="30"/>
      <c r="N35" s="30"/>
      <c r="O35" s="30"/>
      <c r="P35" s="31">
        <v>300.0</v>
      </c>
      <c r="Q35" s="24">
        <f t="shared" si="1"/>
        <v>0</v>
      </c>
      <c r="R35" s="32" t="s">
        <v>30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36.0" customHeight="1">
      <c r="A36" s="16">
        <v>32.0</v>
      </c>
      <c r="B36" s="27">
        <v>45324.0</v>
      </c>
      <c r="C36" s="28" t="s">
        <v>88</v>
      </c>
      <c r="D36" s="29">
        <v>68268.0</v>
      </c>
      <c r="E36" s="28" t="s">
        <v>89</v>
      </c>
      <c r="F36" s="30"/>
      <c r="G36" s="30"/>
      <c r="H36" s="30"/>
      <c r="I36" s="30">
        <v>2723.0</v>
      </c>
      <c r="J36" s="30"/>
      <c r="K36" s="30">
        <v>1927.0</v>
      </c>
      <c r="L36" s="30"/>
      <c r="M36" s="30"/>
      <c r="N36" s="30"/>
      <c r="O36" s="30"/>
      <c r="P36" s="31">
        <v>4650.0</v>
      </c>
      <c r="Q36" s="24">
        <f t="shared" si="1"/>
        <v>0</v>
      </c>
      <c r="R36" s="32" t="s">
        <v>30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6.0" customHeight="1">
      <c r="A37" s="16">
        <v>33.0</v>
      </c>
      <c r="B37" s="27">
        <v>45324.0</v>
      </c>
      <c r="C37" s="28" t="s">
        <v>90</v>
      </c>
      <c r="D37" s="29">
        <v>10250.0</v>
      </c>
      <c r="E37" s="28" t="s">
        <v>91</v>
      </c>
      <c r="F37" s="30"/>
      <c r="G37" s="30"/>
      <c r="H37" s="30"/>
      <c r="I37" s="30">
        <v>3000.0</v>
      </c>
      <c r="J37" s="30"/>
      <c r="K37" s="30"/>
      <c r="L37" s="30"/>
      <c r="M37" s="30"/>
      <c r="N37" s="30"/>
      <c r="O37" s="30"/>
      <c r="P37" s="31">
        <v>3000.0</v>
      </c>
      <c r="Q37" s="24">
        <f t="shared" si="1"/>
        <v>0</v>
      </c>
      <c r="R37" s="32" t="s">
        <v>24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36.0" customHeight="1">
      <c r="A38" s="16">
        <v>34.0</v>
      </c>
      <c r="B38" s="27">
        <v>45324.0</v>
      </c>
      <c r="C38" s="28" t="s">
        <v>92</v>
      </c>
      <c r="D38" s="29">
        <v>50436.0</v>
      </c>
      <c r="E38" s="28" t="s">
        <v>93</v>
      </c>
      <c r="F38" s="30"/>
      <c r="G38" s="30"/>
      <c r="H38" s="30"/>
      <c r="I38" s="30">
        <v>9500.0</v>
      </c>
      <c r="J38" s="30"/>
      <c r="K38" s="30"/>
      <c r="L38" s="30"/>
      <c r="M38" s="30"/>
      <c r="N38" s="30"/>
      <c r="O38" s="30"/>
      <c r="P38" s="31">
        <v>9500.0</v>
      </c>
      <c r="Q38" s="24">
        <f t="shared" si="1"/>
        <v>0</v>
      </c>
      <c r="R38" s="32" t="s">
        <v>30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36.0" customHeight="1">
      <c r="A39" s="16">
        <v>35.0</v>
      </c>
      <c r="B39" s="27">
        <v>45324.0</v>
      </c>
      <c r="C39" s="28" t="s">
        <v>94</v>
      </c>
      <c r="D39" s="29">
        <v>52669.0</v>
      </c>
      <c r="E39" s="28" t="s">
        <v>95</v>
      </c>
      <c r="F39" s="30"/>
      <c r="G39" s="30"/>
      <c r="H39" s="30"/>
      <c r="I39" s="30">
        <v>1250.0</v>
      </c>
      <c r="J39" s="30"/>
      <c r="K39" s="30"/>
      <c r="L39" s="30"/>
      <c r="M39" s="30"/>
      <c r="N39" s="30"/>
      <c r="O39" s="30"/>
      <c r="P39" s="31">
        <v>1250.0</v>
      </c>
      <c r="Q39" s="24">
        <f t="shared" si="1"/>
        <v>0</v>
      </c>
      <c r="R39" s="32" t="s">
        <v>30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36.0" customHeight="1">
      <c r="A40" s="16">
        <v>36.0</v>
      </c>
      <c r="B40" s="27">
        <v>45324.0</v>
      </c>
      <c r="C40" s="28" t="s">
        <v>96</v>
      </c>
      <c r="D40" s="29">
        <v>42046.0</v>
      </c>
      <c r="E40" s="28" t="s">
        <v>97</v>
      </c>
      <c r="F40" s="30"/>
      <c r="G40" s="30"/>
      <c r="H40" s="30"/>
      <c r="I40" s="30">
        <v>350.0</v>
      </c>
      <c r="J40" s="30"/>
      <c r="K40" s="30"/>
      <c r="L40" s="30"/>
      <c r="M40" s="30"/>
      <c r="N40" s="30"/>
      <c r="O40" s="30"/>
      <c r="P40" s="31">
        <v>350.0</v>
      </c>
      <c r="Q40" s="24">
        <f t="shared" si="1"/>
        <v>0</v>
      </c>
      <c r="R40" s="32" t="s">
        <v>85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36.0" customHeight="1">
      <c r="A41" s="16">
        <v>37.0</v>
      </c>
      <c r="B41" s="27">
        <v>45324.0</v>
      </c>
      <c r="C41" s="28" t="s">
        <v>98</v>
      </c>
      <c r="D41" s="29">
        <v>39317.0</v>
      </c>
      <c r="E41" s="28" t="s">
        <v>99</v>
      </c>
      <c r="F41" s="30"/>
      <c r="G41" s="30"/>
      <c r="H41" s="30"/>
      <c r="I41" s="30"/>
      <c r="J41" s="30">
        <v>5000.0</v>
      </c>
      <c r="K41" s="30">
        <v>150.0</v>
      </c>
      <c r="L41" s="30"/>
      <c r="M41" s="30"/>
      <c r="N41" s="30"/>
      <c r="O41" s="30"/>
      <c r="P41" s="30">
        <v>5150.0</v>
      </c>
      <c r="Q41" s="24">
        <f t="shared" si="1"/>
        <v>0</v>
      </c>
      <c r="R41" s="32" t="s">
        <v>30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36.0" customHeight="1">
      <c r="A42" s="16">
        <v>38.0</v>
      </c>
      <c r="B42" s="27">
        <v>45324.0</v>
      </c>
      <c r="C42" s="28" t="s">
        <v>100</v>
      </c>
      <c r="D42" s="29">
        <v>81420.0</v>
      </c>
      <c r="E42" s="28" t="s">
        <v>101</v>
      </c>
      <c r="F42" s="30"/>
      <c r="G42" s="30"/>
      <c r="H42" s="30"/>
      <c r="I42" s="30">
        <v>300.0</v>
      </c>
      <c r="J42" s="30"/>
      <c r="K42" s="30"/>
      <c r="L42" s="30"/>
      <c r="M42" s="30"/>
      <c r="N42" s="30"/>
      <c r="O42" s="30"/>
      <c r="P42" s="30">
        <v>300.0</v>
      </c>
      <c r="Q42" s="24">
        <f t="shared" si="1"/>
        <v>0</v>
      </c>
      <c r="R42" s="32" t="s">
        <v>85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36.0" customHeight="1">
      <c r="A43" s="16">
        <v>39.0</v>
      </c>
      <c r="B43" s="27">
        <v>45324.0</v>
      </c>
      <c r="C43" s="28" t="s">
        <v>102</v>
      </c>
      <c r="D43" s="29">
        <v>46778.0</v>
      </c>
      <c r="E43" s="28" t="s">
        <v>74</v>
      </c>
      <c r="F43" s="30"/>
      <c r="G43" s="30"/>
      <c r="H43" s="30"/>
      <c r="I43" s="30"/>
      <c r="J43" s="30">
        <v>8000.0</v>
      </c>
      <c r="K43" s="30"/>
      <c r="L43" s="30"/>
      <c r="M43" s="30"/>
      <c r="N43" s="30"/>
      <c r="O43" s="30"/>
      <c r="P43" s="30">
        <v>8000.0</v>
      </c>
      <c r="Q43" s="24">
        <f t="shared" si="1"/>
        <v>0</v>
      </c>
      <c r="R43" s="32" t="s">
        <v>66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36.0" customHeight="1">
      <c r="A44" s="16">
        <v>40.0</v>
      </c>
      <c r="B44" s="27">
        <v>45324.0</v>
      </c>
      <c r="C44" s="28" t="s">
        <v>103</v>
      </c>
      <c r="D44" s="29">
        <v>52775.0</v>
      </c>
      <c r="E44" s="28" t="s">
        <v>104</v>
      </c>
      <c r="F44" s="30"/>
      <c r="G44" s="30"/>
      <c r="H44" s="30"/>
      <c r="I44" s="30">
        <v>1400.0</v>
      </c>
      <c r="J44" s="30"/>
      <c r="K44" s="30"/>
      <c r="L44" s="30"/>
      <c r="M44" s="30"/>
      <c r="N44" s="30"/>
      <c r="O44" s="30"/>
      <c r="P44" s="30">
        <v>1400.0</v>
      </c>
      <c r="Q44" s="24">
        <f t="shared" si="1"/>
        <v>0</v>
      </c>
      <c r="R44" s="32" t="s">
        <v>30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36.0" customHeight="1">
      <c r="A45" s="16">
        <v>41.0</v>
      </c>
      <c r="B45" s="27">
        <v>45324.0</v>
      </c>
      <c r="C45" s="28" t="s">
        <v>105</v>
      </c>
      <c r="D45" s="29">
        <v>59812.0</v>
      </c>
      <c r="E45" s="28" t="s">
        <v>106</v>
      </c>
      <c r="F45" s="30"/>
      <c r="G45" s="30"/>
      <c r="H45" s="30"/>
      <c r="I45" s="30">
        <v>8350.0</v>
      </c>
      <c r="J45" s="30"/>
      <c r="K45" s="30"/>
      <c r="L45" s="30"/>
      <c r="M45" s="30"/>
      <c r="N45" s="30"/>
      <c r="O45" s="30"/>
      <c r="P45" s="30">
        <v>8350.0</v>
      </c>
      <c r="Q45" s="24">
        <f t="shared" si="1"/>
        <v>0</v>
      </c>
      <c r="R45" s="32" t="s">
        <v>56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36.0" customHeight="1">
      <c r="A46" s="16">
        <v>42.0</v>
      </c>
      <c r="B46" s="27">
        <v>45324.0</v>
      </c>
      <c r="C46" s="28" t="s">
        <v>107</v>
      </c>
      <c r="D46" s="29">
        <v>59812.0</v>
      </c>
      <c r="E46" s="28" t="s">
        <v>106</v>
      </c>
      <c r="F46" s="30"/>
      <c r="G46" s="30"/>
      <c r="H46" s="30"/>
      <c r="I46" s="30">
        <v>17000.0</v>
      </c>
      <c r="J46" s="30"/>
      <c r="K46" s="30"/>
      <c r="L46" s="30"/>
      <c r="M46" s="30"/>
      <c r="N46" s="30"/>
      <c r="O46" s="30"/>
      <c r="P46" s="30">
        <v>17000.0</v>
      </c>
      <c r="Q46" s="24">
        <f t="shared" si="1"/>
        <v>0</v>
      </c>
      <c r="R46" s="32" t="s">
        <v>56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36.0" customHeight="1">
      <c r="A47" s="16">
        <v>43.0</v>
      </c>
      <c r="B47" s="27">
        <v>45324.0</v>
      </c>
      <c r="C47" s="28" t="s">
        <v>108</v>
      </c>
      <c r="D47" s="29">
        <v>39384.0</v>
      </c>
      <c r="E47" s="28" t="s">
        <v>109</v>
      </c>
      <c r="F47" s="30"/>
      <c r="G47" s="30"/>
      <c r="H47" s="30"/>
      <c r="I47" s="30"/>
      <c r="J47" s="30">
        <v>8850.0</v>
      </c>
      <c r="K47" s="30"/>
      <c r="L47" s="30"/>
      <c r="M47" s="30"/>
      <c r="N47" s="30"/>
      <c r="O47" s="30"/>
      <c r="P47" s="30">
        <v>8850.0</v>
      </c>
      <c r="Q47" s="24">
        <f t="shared" si="1"/>
        <v>0</v>
      </c>
      <c r="R47" s="32" t="s">
        <v>27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36.0" customHeight="1">
      <c r="A48" s="16">
        <v>44.0</v>
      </c>
      <c r="B48" s="27">
        <v>45324.0</v>
      </c>
      <c r="C48" s="28" t="s">
        <v>110</v>
      </c>
      <c r="D48" s="29">
        <v>42339.0</v>
      </c>
      <c r="E48" s="28" t="s">
        <v>111</v>
      </c>
      <c r="F48" s="30"/>
      <c r="G48" s="30"/>
      <c r="H48" s="30"/>
      <c r="I48" s="30"/>
      <c r="J48" s="30">
        <v>11800.0</v>
      </c>
      <c r="K48" s="30"/>
      <c r="L48" s="30"/>
      <c r="M48" s="30"/>
      <c r="N48" s="30"/>
      <c r="O48" s="30"/>
      <c r="P48" s="30">
        <v>11800.0</v>
      </c>
      <c r="Q48" s="24">
        <f t="shared" si="1"/>
        <v>0</v>
      </c>
      <c r="R48" s="32" t="s">
        <v>66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36.0" customHeight="1">
      <c r="A49" s="16">
        <v>45.0</v>
      </c>
      <c r="B49" s="27">
        <v>45324.0</v>
      </c>
      <c r="C49" s="28" t="s">
        <v>112</v>
      </c>
      <c r="D49" s="29">
        <v>69565.0</v>
      </c>
      <c r="E49" s="28" t="s">
        <v>113</v>
      </c>
      <c r="F49" s="30"/>
      <c r="G49" s="30"/>
      <c r="H49" s="30"/>
      <c r="I49" s="30">
        <v>12500.0</v>
      </c>
      <c r="J49" s="30"/>
      <c r="K49" s="30"/>
      <c r="L49" s="30"/>
      <c r="M49" s="30"/>
      <c r="N49" s="30"/>
      <c r="O49" s="30"/>
      <c r="P49" s="30">
        <v>12500.0</v>
      </c>
      <c r="Q49" s="24">
        <f t="shared" si="1"/>
        <v>0</v>
      </c>
      <c r="R49" s="32" t="s">
        <v>66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36.0" customHeight="1">
      <c r="A50" s="16">
        <v>46.0</v>
      </c>
      <c r="B50" s="27">
        <v>45324.0</v>
      </c>
      <c r="C50" s="28" t="s">
        <v>114</v>
      </c>
      <c r="D50" s="29">
        <v>71487.0</v>
      </c>
      <c r="E50" s="28" t="s">
        <v>115</v>
      </c>
      <c r="F50" s="30"/>
      <c r="G50" s="30"/>
      <c r="H50" s="30"/>
      <c r="I50" s="30"/>
      <c r="J50" s="30">
        <v>4650.0</v>
      </c>
      <c r="K50" s="30"/>
      <c r="L50" s="30"/>
      <c r="M50" s="30"/>
      <c r="N50" s="30"/>
      <c r="O50" s="30"/>
      <c r="P50" s="30">
        <v>4650.0</v>
      </c>
      <c r="Q50" s="24">
        <f t="shared" si="1"/>
        <v>0</v>
      </c>
      <c r="R50" s="32" t="s">
        <v>30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36.0" customHeight="1">
      <c r="A51" s="16">
        <v>47.0</v>
      </c>
      <c r="B51" s="27">
        <v>45324.0</v>
      </c>
      <c r="C51" s="28" t="s">
        <v>116</v>
      </c>
      <c r="D51" s="29">
        <v>13133.0</v>
      </c>
      <c r="E51" s="28" t="s">
        <v>117</v>
      </c>
      <c r="F51" s="30"/>
      <c r="G51" s="30"/>
      <c r="H51" s="30"/>
      <c r="I51" s="30"/>
      <c r="J51" s="30">
        <v>10000.0</v>
      </c>
      <c r="K51" s="30"/>
      <c r="L51" s="30"/>
      <c r="M51" s="30"/>
      <c r="N51" s="30"/>
      <c r="O51" s="30"/>
      <c r="P51" s="30">
        <v>10000.0</v>
      </c>
      <c r="Q51" s="24">
        <f t="shared" si="1"/>
        <v>0</v>
      </c>
      <c r="R51" s="32" t="s">
        <v>24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36.0" customHeight="1">
      <c r="A52" s="16">
        <v>48.0</v>
      </c>
      <c r="B52" s="27">
        <v>45324.0</v>
      </c>
      <c r="C52" s="28" t="s">
        <v>118</v>
      </c>
      <c r="D52" s="29">
        <v>54317.0</v>
      </c>
      <c r="E52" s="28" t="s">
        <v>119</v>
      </c>
      <c r="F52" s="30"/>
      <c r="G52" s="30"/>
      <c r="H52" s="30"/>
      <c r="I52" s="30">
        <v>15400.0</v>
      </c>
      <c r="J52" s="30"/>
      <c r="K52" s="30"/>
      <c r="L52" s="30"/>
      <c r="M52" s="30"/>
      <c r="N52" s="30"/>
      <c r="O52" s="30"/>
      <c r="P52" s="30">
        <v>15400.0</v>
      </c>
      <c r="Q52" s="24">
        <f t="shared" si="1"/>
        <v>0</v>
      </c>
      <c r="R52" s="32" t="s">
        <v>66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36.0" customHeight="1">
      <c r="A53" s="16">
        <v>49.0</v>
      </c>
      <c r="B53" s="27">
        <v>45324.0</v>
      </c>
      <c r="C53" s="28" t="s">
        <v>120</v>
      </c>
      <c r="D53" s="29">
        <v>31927.0</v>
      </c>
      <c r="E53" s="28" t="s">
        <v>121</v>
      </c>
      <c r="F53" s="30"/>
      <c r="G53" s="30"/>
      <c r="H53" s="30"/>
      <c r="I53" s="30">
        <v>1700.0</v>
      </c>
      <c r="J53" s="30"/>
      <c r="K53" s="30"/>
      <c r="L53" s="30"/>
      <c r="M53" s="30"/>
      <c r="N53" s="30"/>
      <c r="O53" s="30"/>
      <c r="P53" s="30">
        <v>1700.0</v>
      </c>
      <c r="Q53" s="24">
        <f t="shared" si="1"/>
        <v>0</v>
      </c>
      <c r="R53" s="32" t="s">
        <v>66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36.0" customHeight="1">
      <c r="A54" s="16">
        <v>50.0</v>
      </c>
      <c r="B54" s="27">
        <v>45324.0</v>
      </c>
      <c r="C54" s="28" t="s">
        <v>122</v>
      </c>
      <c r="D54" s="29">
        <v>16390.0</v>
      </c>
      <c r="E54" s="28" t="s">
        <v>123</v>
      </c>
      <c r="F54" s="30"/>
      <c r="G54" s="30"/>
      <c r="H54" s="30"/>
      <c r="I54" s="30">
        <v>5000.0</v>
      </c>
      <c r="J54" s="30"/>
      <c r="K54" s="30"/>
      <c r="L54" s="30"/>
      <c r="M54" s="30"/>
      <c r="N54" s="30"/>
      <c r="O54" s="30"/>
      <c r="P54" s="30">
        <v>5000.0</v>
      </c>
      <c r="Q54" s="24">
        <f t="shared" si="1"/>
        <v>0</v>
      </c>
      <c r="R54" s="32" t="s">
        <v>30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36.0" customHeight="1">
      <c r="A55" s="16">
        <v>51.0</v>
      </c>
      <c r="B55" s="27">
        <v>45324.0</v>
      </c>
      <c r="C55" s="28" t="s">
        <v>124</v>
      </c>
      <c r="D55" s="29">
        <v>16390.0</v>
      </c>
      <c r="E55" s="28" t="s">
        <v>123</v>
      </c>
      <c r="F55" s="30"/>
      <c r="G55" s="30"/>
      <c r="H55" s="30"/>
      <c r="I55" s="30">
        <v>5000.0</v>
      </c>
      <c r="J55" s="30"/>
      <c r="K55" s="30"/>
      <c r="L55" s="30"/>
      <c r="M55" s="30"/>
      <c r="N55" s="30"/>
      <c r="O55" s="30"/>
      <c r="P55" s="30">
        <v>5000.0</v>
      </c>
      <c r="Q55" s="24">
        <f t="shared" si="1"/>
        <v>0</v>
      </c>
      <c r="R55" s="32" t="s">
        <v>30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36.0" customHeight="1">
      <c r="A56" s="16">
        <v>52.0</v>
      </c>
      <c r="B56" s="27">
        <v>45324.0</v>
      </c>
      <c r="C56" s="28" t="s">
        <v>125</v>
      </c>
      <c r="D56" s="29">
        <v>55409.0</v>
      </c>
      <c r="E56" s="28" t="s">
        <v>126</v>
      </c>
      <c r="F56" s="30">
        <v>4000.0</v>
      </c>
      <c r="G56" s="30"/>
      <c r="H56" s="30"/>
      <c r="I56" s="30">
        <v>1000.0</v>
      </c>
      <c r="J56" s="30"/>
      <c r="K56" s="30"/>
      <c r="L56" s="30"/>
      <c r="M56" s="30"/>
      <c r="N56" s="30"/>
      <c r="O56" s="30"/>
      <c r="P56" s="30">
        <v>5000.0</v>
      </c>
      <c r="Q56" s="24">
        <f t="shared" si="1"/>
        <v>0</v>
      </c>
      <c r="R56" s="32" t="s">
        <v>85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36.0" customHeight="1">
      <c r="A57" s="16">
        <v>53.0</v>
      </c>
      <c r="B57" s="27">
        <v>45324.0</v>
      </c>
      <c r="C57" s="28" t="s">
        <v>127</v>
      </c>
      <c r="D57" s="29">
        <v>72109.0</v>
      </c>
      <c r="E57" s="28" t="s">
        <v>128</v>
      </c>
      <c r="F57" s="30"/>
      <c r="G57" s="30"/>
      <c r="H57" s="30"/>
      <c r="I57" s="30">
        <v>500.0</v>
      </c>
      <c r="J57" s="30"/>
      <c r="K57" s="30"/>
      <c r="L57" s="30"/>
      <c r="M57" s="30"/>
      <c r="N57" s="30"/>
      <c r="O57" s="30"/>
      <c r="P57" s="30">
        <v>500.0</v>
      </c>
      <c r="Q57" s="24">
        <f t="shared" si="1"/>
        <v>0</v>
      </c>
      <c r="R57" s="32" t="s">
        <v>30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36.0" customHeight="1">
      <c r="A58" s="16">
        <v>54.0</v>
      </c>
      <c r="B58" s="27">
        <v>45324.0</v>
      </c>
      <c r="C58" s="28" t="s">
        <v>129</v>
      </c>
      <c r="D58" s="29">
        <v>36769.0</v>
      </c>
      <c r="E58" s="28" t="s">
        <v>130</v>
      </c>
      <c r="F58" s="30"/>
      <c r="G58" s="30"/>
      <c r="H58" s="30"/>
      <c r="I58" s="30">
        <v>6600.0</v>
      </c>
      <c r="J58" s="30"/>
      <c r="K58" s="30"/>
      <c r="L58" s="30"/>
      <c r="M58" s="30"/>
      <c r="N58" s="30"/>
      <c r="O58" s="30"/>
      <c r="P58" s="30">
        <v>6600.0</v>
      </c>
      <c r="Q58" s="24">
        <f t="shared" si="1"/>
        <v>0</v>
      </c>
      <c r="R58" s="32" t="s">
        <v>24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36.0" customHeight="1">
      <c r="A59" s="16">
        <v>55.0</v>
      </c>
      <c r="B59" s="27">
        <v>45324.0</v>
      </c>
      <c r="C59" s="28" t="s">
        <v>131</v>
      </c>
      <c r="D59" s="29">
        <v>48192.0</v>
      </c>
      <c r="E59" s="28" t="s">
        <v>132</v>
      </c>
      <c r="F59" s="30"/>
      <c r="G59" s="30"/>
      <c r="H59" s="30"/>
      <c r="I59" s="30"/>
      <c r="J59" s="30"/>
      <c r="K59" s="30"/>
      <c r="L59" s="30"/>
      <c r="M59" s="30">
        <v>4500.0</v>
      </c>
      <c r="N59" s="30"/>
      <c r="O59" s="30"/>
      <c r="P59" s="30">
        <v>4500.0</v>
      </c>
      <c r="Q59" s="24">
        <f t="shared" si="1"/>
        <v>0</v>
      </c>
      <c r="R59" s="32" t="s">
        <v>30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36.0" customHeight="1">
      <c r="A60" s="16">
        <v>56.0</v>
      </c>
      <c r="B60" s="27">
        <v>45324.0</v>
      </c>
      <c r="C60" s="28" t="s">
        <v>133</v>
      </c>
      <c r="D60" s="29">
        <v>70911.0</v>
      </c>
      <c r="E60" s="28" t="s">
        <v>134</v>
      </c>
      <c r="F60" s="30"/>
      <c r="G60" s="30"/>
      <c r="H60" s="30"/>
      <c r="I60" s="30">
        <v>7000.0</v>
      </c>
      <c r="J60" s="30"/>
      <c r="K60" s="30"/>
      <c r="L60" s="30"/>
      <c r="M60" s="30"/>
      <c r="N60" s="30"/>
      <c r="O60" s="30"/>
      <c r="P60" s="30">
        <v>7000.0</v>
      </c>
      <c r="Q60" s="24">
        <f t="shared" si="1"/>
        <v>0</v>
      </c>
      <c r="R60" s="32" t="s">
        <v>66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36.0" customHeight="1">
      <c r="A61" s="16">
        <v>57.0</v>
      </c>
      <c r="B61" s="27">
        <v>45324.0</v>
      </c>
      <c r="C61" s="28" t="s">
        <v>135</v>
      </c>
      <c r="D61" s="29">
        <v>48192.0</v>
      </c>
      <c r="E61" s="28" t="s">
        <v>132</v>
      </c>
      <c r="F61" s="30"/>
      <c r="G61" s="30"/>
      <c r="H61" s="30"/>
      <c r="I61" s="30"/>
      <c r="J61" s="30"/>
      <c r="K61" s="30"/>
      <c r="L61" s="30"/>
      <c r="M61" s="30">
        <v>3825.0</v>
      </c>
      <c r="N61" s="30"/>
      <c r="O61" s="30"/>
      <c r="P61" s="30">
        <v>3825.0</v>
      </c>
      <c r="Q61" s="24">
        <f t="shared" si="1"/>
        <v>0</v>
      </c>
      <c r="R61" s="32" t="s">
        <v>30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36.0" customHeight="1">
      <c r="A62" s="16">
        <v>58.0</v>
      </c>
      <c r="B62" s="27">
        <v>45324.0</v>
      </c>
      <c r="C62" s="28" t="s">
        <v>136</v>
      </c>
      <c r="D62" s="29">
        <v>62006.0</v>
      </c>
      <c r="E62" s="28" t="s">
        <v>137</v>
      </c>
      <c r="F62" s="30"/>
      <c r="G62" s="30"/>
      <c r="H62" s="30"/>
      <c r="I62" s="30">
        <v>11800.0</v>
      </c>
      <c r="J62" s="30"/>
      <c r="K62" s="30"/>
      <c r="L62" s="30"/>
      <c r="M62" s="30"/>
      <c r="N62" s="30"/>
      <c r="O62" s="30"/>
      <c r="P62" s="30">
        <v>11800.0</v>
      </c>
      <c r="Q62" s="24">
        <f t="shared" si="1"/>
        <v>0</v>
      </c>
      <c r="R62" s="32" t="s">
        <v>66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36.0" customHeight="1">
      <c r="A63" s="16">
        <v>59.0</v>
      </c>
      <c r="B63" s="27">
        <v>45324.0</v>
      </c>
      <c r="C63" s="28" t="s">
        <v>138</v>
      </c>
      <c r="D63" s="29">
        <v>49655.0</v>
      </c>
      <c r="E63" s="28" t="s">
        <v>139</v>
      </c>
      <c r="F63" s="30"/>
      <c r="G63" s="30"/>
      <c r="H63" s="30"/>
      <c r="I63" s="30"/>
      <c r="J63" s="30"/>
      <c r="K63" s="30">
        <v>15050.0</v>
      </c>
      <c r="L63" s="30"/>
      <c r="M63" s="30"/>
      <c r="N63" s="30"/>
      <c r="O63" s="30"/>
      <c r="P63" s="30">
        <v>15050.0</v>
      </c>
      <c r="Q63" s="24">
        <f t="shared" si="1"/>
        <v>0</v>
      </c>
      <c r="R63" s="32" t="s">
        <v>30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36.0" customHeight="1">
      <c r="A64" s="16">
        <v>60.0</v>
      </c>
      <c r="B64" s="27">
        <v>45324.0</v>
      </c>
      <c r="C64" s="28" t="s">
        <v>140</v>
      </c>
      <c r="D64" s="29">
        <v>77791.0</v>
      </c>
      <c r="E64" s="28" t="s">
        <v>141</v>
      </c>
      <c r="F64" s="30"/>
      <c r="G64" s="30"/>
      <c r="H64" s="30"/>
      <c r="I64" s="30">
        <v>2650.0</v>
      </c>
      <c r="J64" s="30"/>
      <c r="K64" s="30"/>
      <c r="L64" s="30"/>
      <c r="M64" s="30"/>
      <c r="N64" s="30"/>
      <c r="O64" s="30"/>
      <c r="P64" s="30">
        <v>2650.0</v>
      </c>
      <c r="Q64" s="24">
        <f t="shared" si="1"/>
        <v>0</v>
      </c>
      <c r="R64" s="32" t="s">
        <v>24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36.0" customHeight="1">
      <c r="A65" s="16">
        <v>61.0</v>
      </c>
      <c r="B65" s="27">
        <v>45324.0</v>
      </c>
      <c r="C65" s="28" t="s">
        <v>142</v>
      </c>
      <c r="D65" s="29">
        <v>62146.0</v>
      </c>
      <c r="E65" s="28" t="s">
        <v>55</v>
      </c>
      <c r="F65" s="30"/>
      <c r="G65" s="30"/>
      <c r="H65" s="30"/>
      <c r="I65" s="30">
        <v>1050.0</v>
      </c>
      <c r="J65" s="30"/>
      <c r="K65" s="30"/>
      <c r="L65" s="30"/>
      <c r="M65" s="30"/>
      <c r="N65" s="30"/>
      <c r="O65" s="30"/>
      <c r="P65" s="30">
        <v>1050.0</v>
      </c>
      <c r="Q65" s="24">
        <f t="shared" si="1"/>
        <v>0</v>
      </c>
      <c r="R65" s="32" t="s">
        <v>56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36.0" customHeight="1">
      <c r="A66" s="16">
        <v>62.0</v>
      </c>
      <c r="B66" s="27">
        <v>45324.0</v>
      </c>
      <c r="C66" s="28" t="s">
        <v>143</v>
      </c>
      <c r="D66" s="29">
        <v>10744.0</v>
      </c>
      <c r="E66" s="28" t="s">
        <v>144</v>
      </c>
      <c r="F66" s="30"/>
      <c r="G66" s="30"/>
      <c r="H66" s="30"/>
      <c r="I66" s="30">
        <v>15400.0</v>
      </c>
      <c r="J66" s="30"/>
      <c r="K66" s="30"/>
      <c r="L66" s="30"/>
      <c r="M66" s="30"/>
      <c r="N66" s="30"/>
      <c r="O66" s="30"/>
      <c r="P66" s="30">
        <v>15400.0</v>
      </c>
      <c r="Q66" s="24">
        <f t="shared" si="1"/>
        <v>0</v>
      </c>
      <c r="R66" s="32" t="s">
        <v>24</v>
      </c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36.0" customHeight="1">
      <c r="A67" s="16">
        <v>63.0</v>
      </c>
      <c r="B67" s="27">
        <v>45324.0</v>
      </c>
      <c r="C67" s="28" t="s">
        <v>145</v>
      </c>
      <c r="D67" s="29">
        <v>41669.0</v>
      </c>
      <c r="E67" s="28" t="s">
        <v>146</v>
      </c>
      <c r="F67" s="30"/>
      <c r="G67" s="30"/>
      <c r="H67" s="30"/>
      <c r="I67" s="30"/>
      <c r="J67" s="30">
        <v>4500.0</v>
      </c>
      <c r="K67" s="30"/>
      <c r="L67" s="30"/>
      <c r="M67" s="30"/>
      <c r="N67" s="30"/>
      <c r="O67" s="30"/>
      <c r="P67" s="30">
        <v>4500.0</v>
      </c>
      <c r="Q67" s="24">
        <f t="shared" si="1"/>
        <v>0</v>
      </c>
      <c r="R67" s="32" t="s">
        <v>30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36.0" customHeight="1">
      <c r="A68" s="16">
        <v>64.0</v>
      </c>
      <c r="B68" s="27">
        <v>45324.0</v>
      </c>
      <c r="C68" s="28" t="s">
        <v>147</v>
      </c>
      <c r="D68" s="29">
        <v>75384.0</v>
      </c>
      <c r="E68" s="28" t="s">
        <v>148</v>
      </c>
      <c r="F68" s="30"/>
      <c r="G68" s="30"/>
      <c r="H68" s="30"/>
      <c r="I68" s="30"/>
      <c r="J68" s="30">
        <v>5000.0</v>
      </c>
      <c r="K68" s="30"/>
      <c r="L68" s="30"/>
      <c r="M68" s="30"/>
      <c r="N68" s="30"/>
      <c r="O68" s="30"/>
      <c r="P68" s="30">
        <v>5000.0</v>
      </c>
      <c r="Q68" s="24">
        <f t="shared" si="1"/>
        <v>0</v>
      </c>
      <c r="R68" s="32" t="s">
        <v>30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36.0" customHeight="1">
      <c r="A69" s="16">
        <v>65.0</v>
      </c>
      <c r="B69" s="27">
        <v>45324.0</v>
      </c>
      <c r="C69" s="28" t="s">
        <v>149</v>
      </c>
      <c r="D69" s="29">
        <v>51017.0</v>
      </c>
      <c r="E69" s="28" t="s">
        <v>150</v>
      </c>
      <c r="F69" s="30"/>
      <c r="G69" s="30"/>
      <c r="H69" s="30">
        <v>34500.0</v>
      </c>
      <c r="I69" s="30"/>
      <c r="J69" s="30"/>
      <c r="K69" s="30"/>
      <c r="L69" s="30"/>
      <c r="M69" s="30"/>
      <c r="N69" s="30"/>
      <c r="O69" s="30"/>
      <c r="P69" s="30">
        <v>34500.0</v>
      </c>
      <c r="Q69" s="24">
        <f t="shared" si="1"/>
        <v>0</v>
      </c>
      <c r="R69" s="32" t="s">
        <v>24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36.0" customHeight="1">
      <c r="A70" s="16">
        <v>66.0</v>
      </c>
      <c r="B70" s="27">
        <v>45324.0</v>
      </c>
      <c r="C70" s="28" t="s">
        <v>151</v>
      </c>
      <c r="D70" s="29">
        <v>53249.0</v>
      </c>
      <c r="E70" s="28" t="s">
        <v>152</v>
      </c>
      <c r="F70" s="30"/>
      <c r="G70" s="30"/>
      <c r="H70" s="30"/>
      <c r="I70" s="30"/>
      <c r="J70" s="30">
        <v>15200.0</v>
      </c>
      <c r="K70" s="30"/>
      <c r="L70" s="30"/>
      <c r="M70" s="30"/>
      <c r="N70" s="30"/>
      <c r="O70" s="30"/>
      <c r="P70" s="30">
        <v>15200.0</v>
      </c>
      <c r="Q70" s="24">
        <f t="shared" si="1"/>
        <v>0</v>
      </c>
      <c r="R70" s="32" t="s">
        <v>30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36.0" customHeight="1">
      <c r="A71" s="16">
        <v>67.0</v>
      </c>
      <c r="B71" s="27">
        <v>45324.0</v>
      </c>
      <c r="C71" s="28" t="s">
        <v>153</v>
      </c>
      <c r="D71" s="29">
        <v>54211.0</v>
      </c>
      <c r="E71" s="28" t="s">
        <v>32</v>
      </c>
      <c r="F71" s="30"/>
      <c r="G71" s="30"/>
      <c r="H71" s="30"/>
      <c r="I71" s="30">
        <v>22000.0</v>
      </c>
      <c r="J71" s="30"/>
      <c r="K71" s="30"/>
      <c r="L71" s="30"/>
      <c r="M71" s="30"/>
      <c r="N71" s="30"/>
      <c r="O71" s="30"/>
      <c r="P71" s="30">
        <v>22000.0</v>
      </c>
      <c r="Q71" s="24">
        <f t="shared" si="1"/>
        <v>0</v>
      </c>
      <c r="R71" s="32" t="s">
        <v>30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36.0" customHeight="1">
      <c r="A72" s="16">
        <v>68.0</v>
      </c>
      <c r="B72" s="27">
        <v>45324.0</v>
      </c>
      <c r="C72" s="28" t="s">
        <v>154</v>
      </c>
      <c r="D72" s="29">
        <v>74798.0</v>
      </c>
      <c r="E72" s="28" t="s">
        <v>155</v>
      </c>
      <c r="F72" s="30"/>
      <c r="G72" s="30"/>
      <c r="H72" s="30"/>
      <c r="I72" s="30"/>
      <c r="J72" s="30"/>
      <c r="K72" s="30"/>
      <c r="L72" s="30"/>
      <c r="M72" s="30">
        <v>4500.0</v>
      </c>
      <c r="N72" s="30"/>
      <c r="O72" s="30"/>
      <c r="P72" s="30">
        <v>4500.0</v>
      </c>
      <c r="Q72" s="24">
        <f t="shared" si="1"/>
        <v>0</v>
      </c>
      <c r="R72" s="32" t="s">
        <v>85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36.0" customHeight="1">
      <c r="A73" s="16">
        <v>69.0</v>
      </c>
      <c r="B73" s="27">
        <v>45324.0</v>
      </c>
      <c r="C73" s="28" t="s">
        <v>156</v>
      </c>
      <c r="D73" s="29">
        <v>75228.0</v>
      </c>
      <c r="E73" s="28" t="s">
        <v>157</v>
      </c>
      <c r="F73" s="30"/>
      <c r="G73" s="30"/>
      <c r="H73" s="30"/>
      <c r="I73" s="30"/>
      <c r="J73" s="30"/>
      <c r="K73" s="30"/>
      <c r="L73" s="30"/>
      <c r="M73" s="30">
        <v>4500.0</v>
      </c>
      <c r="N73" s="30"/>
      <c r="O73" s="30"/>
      <c r="P73" s="30">
        <v>4500.0</v>
      </c>
      <c r="Q73" s="24">
        <f t="shared" si="1"/>
        <v>0</v>
      </c>
      <c r="R73" s="32" t="s">
        <v>85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36.0" customHeight="1">
      <c r="A74" s="16">
        <v>70.0</v>
      </c>
      <c r="B74" s="27">
        <v>45324.0</v>
      </c>
      <c r="C74" s="28" t="s">
        <v>158</v>
      </c>
      <c r="D74" s="29">
        <v>80131.0</v>
      </c>
      <c r="E74" s="28" t="s">
        <v>159</v>
      </c>
      <c r="F74" s="30"/>
      <c r="G74" s="30"/>
      <c r="H74" s="30"/>
      <c r="I74" s="30"/>
      <c r="J74" s="30"/>
      <c r="K74" s="30"/>
      <c r="L74" s="30"/>
      <c r="M74" s="30">
        <v>7000.0</v>
      </c>
      <c r="N74" s="30"/>
      <c r="O74" s="30"/>
      <c r="P74" s="30">
        <v>7000.0</v>
      </c>
      <c r="Q74" s="24">
        <f t="shared" si="1"/>
        <v>0</v>
      </c>
      <c r="R74" s="32" t="s">
        <v>85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36.0" customHeight="1">
      <c r="A75" s="16">
        <v>71.0</v>
      </c>
      <c r="B75" s="27">
        <v>45324.0</v>
      </c>
      <c r="C75" s="28" t="s">
        <v>160</v>
      </c>
      <c r="D75" s="29">
        <v>25650.0</v>
      </c>
      <c r="E75" s="28" t="s">
        <v>161</v>
      </c>
      <c r="F75" s="30"/>
      <c r="G75" s="30"/>
      <c r="H75" s="30"/>
      <c r="I75" s="30"/>
      <c r="J75" s="30"/>
      <c r="K75" s="30">
        <v>5000.0</v>
      </c>
      <c r="L75" s="30"/>
      <c r="M75" s="30"/>
      <c r="N75" s="30"/>
      <c r="O75" s="30"/>
      <c r="P75" s="30">
        <v>5000.0</v>
      </c>
      <c r="Q75" s="24">
        <f t="shared" si="1"/>
        <v>0</v>
      </c>
      <c r="R75" s="32" t="s">
        <v>30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36.0" customHeight="1">
      <c r="A76" s="16">
        <v>72.0</v>
      </c>
      <c r="B76" s="27">
        <v>45324.0</v>
      </c>
      <c r="C76" s="28" t="s">
        <v>162</v>
      </c>
      <c r="D76" s="29">
        <v>77749.0</v>
      </c>
      <c r="E76" s="28" t="s">
        <v>163</v>
      </c>
      <c r="F76" s="30"/>
      <c r="G76" s="30"/>
      <c r="H76" s="30"/>
      <c r="I76" s="30"/>
      <c r="J76" s="30"/>
      <c r="K76" s="30"/>
      <c r="L76" s="30"/>
      <c r="M76" s="30">
        <v>7000.0</v>
      </c>
      <c r="N76" s="30"/>
      <c r="O76" s="30"/>
      <c r="P76" s="30">
        <v>7000.0</v>
      </c>
      <c r="Q76" s="24">
        <f t="shared" si="1"/>
        <v>0</v>
      </c>
      <c r="R76" s="32" t="s">
        <v>85</v>
      </c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36.0" customHeight="1">
      <c r="A77" s="16">
        <v>73.0</v>
      </c>
      <c r="B77" s="27">
        <v>45324.0</v>
      </c>
      <c r="C77" s="28" t="s">
        <v>164</v>
      </c>
      <c r="D77" s="29">
        <v>75565.0</v>
      </c>
      <c r="E77" s="28" t="s">
        <v>165</v>
      </c>
      <c r="F77" s="30"/>
      <c r="G77" s="30"/>
      <c r="H77" s="30"/>
      <c r="I77" s="30">
        <v>2650.0</v>
      </c>
      <c r="J77" s="30"/>
      <c r="K77" s="30"/>
      <c r="L77" s="30"/>
      <c r="M77" s="30"/>
      <c r="N77" s="30"/>
      <c r="O77" s="30"/>
      <c r="P77" s="30">
        <v>2650.0</v>
      </c>
      <c r="Q77" s="24">
        <f t="shared" si="1"/>
        <v>0</v>
      </c>
      <c r="R77" s="32" t="s">
        <v>30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36.0" customHeight="1">
      <c r="A78" s="16">
        <v>74.0</v>
      </c>
      <c r="B78" s="27">
        <v>45324.0</v>
      </c>
      <c r="C78" s="28" t="s">
        <v>166</v>
      </c>
      <c r="D78" s="29">
        <v>80130.0</v>
      </c>
      <c r="E78" s="28" t="s">
        <v>167</v>
      </c>
      <c r="F78" s="30"/>
      <c r="G78" s="30"/>
      <c r="H78" s="30"/>
      <c r="I78" s="30"/>
      <c r="J78" s="30"/>
      <c r="K78" s="30"/>
      <c r="L78" s="30"/>
      <c r="M78" s="30">
        <v>7500.0</v>
      </c>
      <c r="N78" s="30"/>
      <c r="O78" s="30"/>
      <c r="P78" s="30">
        <v>7500.0</v>
      </c>
      <c r="Q78" s="24">
        <f t="shared" si="1"/>
        <v>0</v>
      </c>
      <c r="R78" s="32" t="s">
        <v>85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36.0" customHeight="1">
      <c r="A79" s="16">
        <v>75.0</v>
      </c>
      <c r="B79" s="27">
        <v>45324.0</v>
      </c>
      <c r="C79" s="28" t="s">
        <v>168</v>
      </c>
      <c r="D79" s="29">
        <v>74798.0</v>
      </c>
      <c r="E79" s="28" t="s">
        <v>155</v>
      </c>
      <c r="F79" s="30"/>
      <c r="G79" s="30"/>
      <c r="H79" s="30"/>
      <c r="I79" s="30"/>
      <c r="J79" s="30"/>
      <c r="K79" s="30"/>
      <c r="L79" s="30"/>
      <c r="M79" s="30">
        <v>500.0</v>
      </c>
      <c r="N79" s="30"/>
      <c r="O79" s="30"/>
      <c r="P79" s="30">
        <v>500.0</v>
      </c>
      <c r="Q79" s="24">
        <f t="shared" si="1"/>
        <v>0</v>
      </c>
      <c r="R79" s="32" t="s">
        <v>85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36.0" customHeight="1">
      <c r="A80" s="16">
        <v>76.0</v>
      </c>
      <c r="B80" s="27">
        <v>45324.0</v>
      </c>
      <c r="C80" s="28" t="s">
        <v>169</v>
      </c>
      <c r="D80" s="29">
        <v>51976.0</v>
      </c>
      <c r="E80" s="28" t="s">
        <v>170</v>
      </c>
      <c r="F80" s="30"/>
      <c r="G80" s="30"/>
      <c r="H80" s="30"/>
      <c r="I80" s="30"/>
      <c r="J80" s="30">
        <v>10000.0</v>
      </c>
      <c r="K80" s="30"/>
      <c r="L80" s="30"/>
      <c r="M80" s="30"/>
      <c r="N80" s="30"/>
      <c r="O80" s="30"/>
      <c r="P80" s="30">
        <v>10000.0</v>
      </c>
      <c r="Q80" s="24">
        <f t="shared" si="1"/>
        <v>0</v>
      </c>
      <c r="R80" s="32" t="s">
        <v>30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36.0" customHeight="1">
      <c r="A81" s="16">
        <v>77.0</v>
      </c>
      <c r="B81" s="27">
        <v>45324.0</v>
      </c>
      <c r="C81" s="28" t="s">
        <v>171</v>
      </c>
      <c r="D81" s="29">
        <v>81108.0</v>
      </c>
      <c r="E81" s="28" t="s">
        <v>172</v>
      </c>
      <c r="F81" s="30"/>
      <c r="G81" s="30"/>
      <c r="H81" s="30"/>
      <c r="I81" s="30">
        <v>8500.0</v>
      </c>
      <c r="J81" s="30"/>
      <c r="K81" s="30"/>
      <c r="L81" s="30"/>
      <c r="M81" s="30"/>
      <c r="N81" s="30"/>
      <c r="O81" s="30"/>
      <c r="P81" s="30">
        <v>8500.0</v>
      </c>
      <c r="Q81" s="24">
        <f t="shared" si="1"/>
        <v>0</v>
      </c>
      <c r="R81" s="32" t="s">
        <v>30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36.0" customHeight="1">
      <c r="A82" s="16">
        <v>78.0</v>
      </c>
      <c r="B82" s="27">
        <v>45324.0</v>
      </c>
      <c r="C82" s="28" t="s">
        <v>173</v>
      </c>
      <c r="D82" s="29">
        <v>53249.0</v>
      </c>
      <c r="E82" s="28" t="s">
        <v>152</v>
      </c>
      <c r="F82" s="30"/>
      <c r="G82" s="30"/>
      <c r="H82" s="30"/>
      <c r="I82" s="30"/>
      <c r="J82" s="30">
        <v>31000.0</v>
      </c>
      <c r="K82" s="30"/>
      <c r="L82" s="30"/>
      <c r="M82" s="30"/>
      <c r="N82" s="30"/>
      <c r="O82" s="30"/>
      <c r="P82" s="30">
        <v>31000.0</v>
      </c>
      <c r="Q82" s="24">
        <f t="shared" si="1"/>
        <v>0</v>
      </c>
      <c r="R82" s="32" t="s">
        <v>30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36.0" customHeight="1">
      <c r="A83" s="16">
        <v>79.0</v>
      </c>
      <c r="B83" s="27">
        <v>45324.0</v>
      </c>
      <c r="C83" s="28" t="s">
        <v>174</v>
      </c>
      <c r="D83" s="29">
        <v>48910.0</v>
      </c>
      <c r="E83" s="28" t="s">
        <v>175</v>
      </c>
      <c r="F83" s="30"/>
      <c r="G83" s="30"/>
      <c r="H83" s="30"/>
      <c r="I83" s="30"/>
      <c r="J83" s="30">
        <v>13750.0</v>
      </c>
      <c r="K83" s="30"/>
      <c r="L83" s="30"/>
      <c r="M83" s="30"/>
      <c r="N83" s="30"/>
      <c r="O83" s="30"/>
      <c r="P83" s="30">
        <v>13750.0</v>
      </c>
      <c r="Q83" s="24">
        <f t="shared" si="1"/>
        <v>0</v>
      </c>
      <c r="R83" s="32" t="s">
        <v>85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36.0" customHeight="1">
      <c r="A84" s="16">
        <v>80.0</v>
      </c>
      <c r="B84" s="27">
        <v>45324.0</v>
      </c>
      <c r="C84" s="28" t="s">
        <v>176</v>
      </c>
      <c r="D84" s="29">
        <v>79812.0</v>
      </c>
      <c r="E84" s="28" t="s">
        <v>177</v>
      </c>
      <c r="F84" s="30"/>
      <c r="G84" s="30"/>
      <c r="H84" s="30"/>
      <c r="I84" s="30"/>
      <c r="J84" s="30">
        <v>2650.0</v>
      </c>
      <c r="K84" s="30"/>
      <c r="L84" s="30"/>
      <c r="M84" s="30"/>
      <c r="N84" s="30"/>
      <c r="O84" s="30"/>
      <c r="P84" s="30">
        <v>2650.0</v>
      </c>
      <c r="Q84" s="24">
        <f t="shared" si="1"/>
        <v>0</v>
      </c>
      <c r="R84" s="32" t="s">
        <v>66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36.0" customHeight="1">
      <c r="A85" s="16">
        <v>81.0</v>
      </c>
      <c r="B85" s="27">
        <v>45324.0</v>
      </c>
      <c r="C85" s="28" t="s">
        <v>178</v>
      </c>
      <c r="D85" s="29">
        <v>74859.0</v>
      </c>
      <c r="E85" s="28" t="s">
        <v>179</v>
      </c>
      <c r="F85" s="30"/>
      <c r="G85" s="30"/>
      <c r="H85" s="30"/>
      <c r="I85" s="30">
        <v>4650.0</v>
      </c>
      <c r="J85" s="30"/>
      <c r="K85" s="30"/>
      <c r="L85" s="30"/>
      <c r="M85" s="30"/>
      <c r="N85" s="30"/>
      <c r="O85" s="30"/>
      <c r="P85" s="30">
        <v>4650.0</v>
      </c>
      <c r="Q85" s="24">
        <f t="shared" si="1"/>
        <v>0</v>
      </c>
      <c r="R85" s="32" t="s">
        <v>66</v>
      </c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36.0" customHeight="1">
      <c r="A86" s="16">
        <v>82.0</v>
      </c>
      <c r="B86" s="27">
        <v>45324.0</v>
      </c>
      <c r="C86" s="28" t="s">
        <v>180</v>
      </c>
      <c r="D86" s="29">
        <v>45227.0</v>
      </c>
      <c r="E86" s="28" t="s">
        <v>181</v>
      </c>
      <c r="F86" s="30"/>
      <c r="G86" s="30"/>
      <c r="H86" s="30"/>
      <c r="I86" s="30">
        <v>350.0</v>
      </c>
      <c r="J86" s="30"/>
      <c r="K86" s="30"/>
      <c r="L86" s="30"/>
      <c r="M86" s="30"/>
      <c r="N86" s="30"/>
      <c r="O86" s="30"/>
      <c r="P86" s="30">
        <v>350.0</v>
      </c>
      <c r="Q86" s="24">
        <f t="shared" si="1"/>
        <v>0</v>
      </c>
      <c r="R86" s="32" t="s">
        <v>30</v>
      </c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36.0" customHeight="1">
      <c r="A87" s="16">
        <v>83.0</v>
      </c>
      <c r="B87" s="27">
        <v>45324.0</v>
      </c>
      <c r="C87" s="28" t="s">
        <v>182</v>
      </c>
      <c r="D87" s="29">
        <v>68284.0</v>
      </c>
      <c r="E87" s="28" t="s">
        <v>183</v>
      </c>
      <c r="F87" s="30"/>
      <c r="G87" s="30"/>
      <c r="H87" s="30"/>
      <c r="I87" s="30"/>
      <c r="J87" s="30">
        <v>13500.0</v>
      </c>
      <c r="K87" s="30"/>
      <c r="L87" s="30"/>
      <c r="M87" s="30"/>
      <c r="N87" s="30"/>
      <c r="O87" s="30"/>
      <c r="P87" s="30">
        <v>13500.0</v>
      </c>
      <c r="Q87" s="24">
        <f t="shared" si="1"/>
        <v>0</v>
      </c>
      <c r="R87" s="32" t="s">
        <v>30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36.0" customHeight="1">
      <c r="A88" s="16">
        <v>84.0</v>
      </c>
      <c r="B88" s="27">
        <v>45324.0</v>
      </c>
      <c r="C88" s="28" t="s">
        <v>184</v>
      </c>
      <c r="D88" s="29">
        <v>51939.0</v>
      </c>
      <c r="E88" s="28" t="s">
        <v>185</v>
      </c>
      <c r="F88" s="30"/>
      <c r="G88" s="30"/>
      <c r="H88" s="30"/>
      <c r="I88" s="30">
        <v>6250.0</v>
      </c>
      <c r="J88" s="30"/>
      <c r="K88" s="30"/>
      <c r="L88" s="30"/>
      <c r="M88" s="30"/>
      <c r="N88" s="30"/>
      <c r="O88" s="30"/>
      <c r="P88" s="30">
        <v>6250.0</v>
      </c>
      <c r="Q88" s="24">
        <f t="shared" si="1"/>
        <v>0</v>
      </c>
      <c r="R88" s="32" t="s">
        <v>30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36.0" customHeight="1">
      <c r="A89" s="16">
        <v>85.0</v>
      </c>
      <c r="B89" s="27">
        <v>45324.0</v>
      </c>
      <c r="C89" s="28" t="s">
        <v>186</v>
      </c>
      <c r="D89" s="29">
        <v>49943.0</v>
      </c>
      <c r="E89" s="28" t="s">
        <v>187</v>
      </c>
      <c r="F89" s="30"/>
      <c r="G89" s="30"/>
      <c r="H89" s="30"/>
      <c r="I89" s="30">
        <v>5150.0</v>
      </c>
      <c r="J89" s="30"/>
      <c r="K89" s="30"/>
      <c r="L89" s="30"/>
      <c r="M89" s="30"/>
      <c r="N89" s="30"/>
      <c r="O89" s="30"/>
      <c r="P89" s="30">
        <v>5150.0</v>
      </c>
      <c r="Q89" s="24">
        <f t="shared" si="1"/>
        <v>0</v>
      </c>
      <c r="R89" s="32" t="s">
        <v>30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36.0" customHeight="1">
      <c r="A90" s="16">
        <v>86.0</v>
      </c>
      <c r="B90" s="27">
        <v>45324.0</v>
      </c>
      <c r="C90" s="28" t="s">
        <v>188</v>
      </c>
      <c r="D90" s="29">
        <v>48631.0</v>
      </c>
      <c r="E90" s="28" t="s">
        <v>189</v>
      </c>
      <c r="F90" s="30"/>
      <c r="G90" s="30"/>
      <c r="H90" s="30"/>
      <c r="I90" s="30">
        <v>5000.0</v>
      </c>
      <c r="J90" s="30"/>
      <c r="K90" s="30"/>
      <c r="L90" s="30"/>
      <c r="M90" s="30"/>
      <c r="N90" s="30"/>
      <c r="O90" s="30"/>
      <c r="P90" s="30">
        <v>5000.0</v>
      </c>
      <c r="Q90" s="24">
        <f t="shared" si="1"/>
        <v>0</v>
      </c>
      <c r="R90" s="32" t="s">
        <v>30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36.0" customHeight="1">
      <c r="A91" s="16">
        <v>87.0</v>
      </c>
      <c r="B91" s="27">
        <v>45324.0</v>
      </c>
      <c r="C91" s="28" t="s">
        <v>190</v>
      </c>
      <c r="D91" s="29">
        <v>53249.0</v>
      </c>
      <c r="E91" s="28" t="s">
        <v>152</v>
      </c>
      <c r="F91" s="30"/>
      <c r="G91" s="30"/>
      <c r="H91" s="30"/>
      <c r="I91" s="30"/>
      <c r="J91" s="30">
        <v>1050.0</v>
      </c>
      <c r="K91" s="30"/>
      <c r="L91" s="30"/>
      <c r="M91" s="30"/>
      <c r="N91" s="30"/>
      <c r="O91" s="30"/>
      <c r="P91" s="30">
        <v>1050.0</v>
      </c>
      <c r="Q91" s="24">
        <f t="shared" si="1"/>
        <v>0</v>
      </c>
      <c r="R91" s="32" t="s">
        <v>30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36.0" customHeight="1">
      <c r="A92" s="16">
        <v>88.0</v>
      </c>
      <c r="B92" s="27">
        <v>45324.0</v>
      </c>
      <c r="C92" s="28" t="s">
        <v>191</v>
      </c>
      <c r="D92" s="29">
        <v>36731.0</v>
      </c>
      <c r="E92" s="28" t="s">
        <v>192</v>
      </c>
      <c r="F92" s="30"/>
      <c r="G92" s="30"/>
      <c r="H92" s="30"/>
      <c r="I92" s="30"/>
      <c r="J92" s="30">
        <v>2650.0</v>
      </c>
      <c r="K92" s="30"/>
      <c r="L92" s="30"/>
      <c r="M92" s="30"/>
      <c r="N92" s="30"/>
      <c r="O92" s="30"/>
      <c r="P92" s="30">
        <v>2650.0</v>
      </c>
      <c r="Q92" s="24">
        <f t="shared" si="1"/>
        <v>0</v>
      </c>
      <c r="R92" s="32" t="s">
        <v>30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36.0" customHeight="1">
      <c r="A93" s="16">
        <v>89.0</v>
      </c>
      <c r="B93" s="27">
        <v>45324.0</v>
      </c>
      <c r="C93" s="28" t="s">
        <v>193</v>
      </c>
      <c r="D93" s="29">
        <v>64274.0</v>
      </c>
      <c r="E93" s="28" t="s">
        <v>194</v>
      </c>
      <c r="F93" s="30"/>
      <c r="G93" s="30"/>
      <c r="H93" s="30"/>
      <c r="I93" s="30"/>
      <c r="J93" s="30"/>
      <c r="K93" s="30"/>
      <c r="L93" s="30"/>
      <c r="M93" s="30">
        <v>1600.0</v>
      </c>
      <c r="N93" s="30"/>
      <c r="O93" s="30"/>
      <c r="P93" s="30">
        <v>1600.0</v>
      </c>
      <c r="Q93" s="24">
        <f t="shared" si="1"/>
        <v>0</v>
      </c>
      <c r="R93" s="32" t="s">
        <v>30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36.0" customHeight="1">
      <c r="A94" s="16">
        <v>90.0</v>
      </c>
      <c r="B94" s="27">
        <v>45324.0</v>
      </c>
      <c r="C94" s="28" t="s">
        <v>195</v>
      </c>
      <c r="D94" s="29">
        <v>65328.0</v>
      </c>
      <c r="E94" s="28" t="s">
        <v>196</v>
      </c>
      <c r="F94" s="30"/>
      <c r="G94" s="30"/>
      <c r="H94" s="30"/>
      <c r="I94" s="30"/>
      <c r="J94" s="30">
        <v>1850.0</v>
      </c>
      <c r="K94" s="30"/>
      <c r="L94" s="30"/>
      <c r="M94" s="30"/>
      <c r="N94" s="30"/>
      <c r="O94" s="30"/>
      <c r="P94" s="30">
        <v>1850.0</v>
      </c>
      <c r="Q94" s="24">
        <f t="shared" si="1"/>
        <v>0</v>
      </c>
      <c r="R94" s="32" t="s">
        <v>30</v>
      </c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36.0" customHeight="1">
      <c r="A95" s="16">
        <v>91.0</v>
      </c>
      <c r="B95" s="27">
        <v>45324.0</v>
      </c>
      <c r="C95" s="28" t="s">
        <v>197</v>
      </c>
      <c r="D95" s="29">
        <v>80927.0</v>
      </c>
      <c r="E95" s="28" t="s">
        <v>198</v>
      </c>
      <c r="F95" s="30"/>
      <c r="G95" s="30"/>
      <c r="H95" s="30"/>
      <c r="I95" s="30"/>
      <c r="J95" s="30"/>
      <c r="K95" s="30"/>
      <c r="L95" s="30"/>
      <c r="M95" s="30">
        <v>9000.0</v>
      </c>
      <c r="N95" s="30"/>
      <c r="O95" s="30"/>
      <c r="P95" s="30">
        <v>9000.0</v>
      </c>
      <c r="Q95" s="24">
        <f t="shared" si="1"/>
        <v>0</v>
      </c>
      <c r="R95" s="32" t="s">
        <v>30</v>
      </c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36.0" customHeight="1">
      <c r="A96" s="16">
        <v>92.0</v>
      </c>
      <c r="B96" s="27">
        <v>45324.0</v>
      </c>
      <c r="C96" s="28" t="s">
        <v>199</v>
      </c>
      <c r="D96" s="29">
        <v>81424.0</v>
      </c>
      <c r="E96" s="28" t="s">
        <v>200</v>
      </c>
      <c r="F96" s="30"/>
      <c r="G96" s="30"/>
      <c r="H96" s="30"/>
      <c r="I96" s="30">
        <v>300.0</v>
      </c>
      <c r="J96" s="30"/>
      <c r="K96" s="30"/>
      <c r="L96" s="30"/>
      <c r="M96" s="30"/>
      <c r="N96" s="30"/>
      <c r="O96" s="30"/>
      <c r="P96" s="30">
        <v>300.0</v>
      </c>
      <c r="Q96" s="24">
        <f t="shared" si="1"/>
        <v>0</v>
      </c>
      <c r="R96" s="32" t="s">
        <v>27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36.0" customHeight="1">
      <c r="A97" s="16">
        <v>93.0</v>
      </c>
      <c r="B97" s="27">
        <v>45324.0</v>
      </c>
      <c r="C97" s="28" t="s">
        <v>201</v>
      </c>
      <c r="D97" s="29">
        <v>21818.0</v>
      </c>
      <c r="E97" s="28" t="s">
        <v>202</v>
      </c>
      <c r="F97" s="30"/>
      <c r="G97" s="30"/>
      <c r="H97" s="30"/>
      <c r="I97" s="30"/>
      <c r="J97" s="30"/>
      <c r="K97" s="30">
        <v>10000.0</v>
      </c>
      <c r="L97" s="30"/>
      <c r="M97" s="30"/>
      <c r="N97" s="30"/>
      <c r="O97" s="30"/>
      <c r="P97" s="30">
        <v>10000.0</v>
      </c>
      <c r="Q97" s="24">
        <f t="shared" si="1"/>
        <v>0</v>
      </c>
      <c r="R97" s="32" t="s">
        <v>85</v>
      </c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36.0" customHeight="1">
      <c r="A98" s="16">
        <v>94.0</v>
      </c>
      <c r="B98" s="27">
        <v>45324.0</v>
      </c>
      <c r="C98" s="28" t="s">
        <v>203</v>
      </c>
      <c r="D98" s="29">
        <v>60054.0</v>
      </c>
      <c r="E98" s="28" t="s">
        <v>204</v>
      </c>
      <c r="F98" s="30"/>
      <c r="G98" s="30"/>
      <c r="H98" s="30"/>
      <c r="I98" s="30">
        <v>2650.0</v>
      </c>
      <c r="J98" s="30"/>
      <c r="K98" s="30"/>
      <c r="L98" s="30"/>
      <c r="M98" s="30"/>
      <c r="N98" s="30"/>
      <c r="O98" s="30"/>
      <c r="P98" s="30">
        <v>2650.0</v>
      </c>
      <c r="Q98" s="24">
        <f t="shared" si="1"/>
        <v>0</v>
      </c>
      <c r="R98" s="32" t="s">
        <v>66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36.0" customHeight="1">
      <c r="A99" s="16">
        <v>95.0</v>
      </c>
      <c r="B99" s="27">
        <v>45324.0</v>
      </c>
      <c r="C99" s="28" t="s">
        <v>205</v>
      </c>
      <c r="D99" s="29">
        <v>70472.0</v>
      </c>
      <c r="E99" s="28" t="s">
        <v>206</v>
      </c>
      <c r="F99" s="30"/>
      <c r="G99" s="30"/>
      <c r="H99" s="30"/>
      <c r="I99" s="30"/>
      <c r="J99" s="30">
        <v>20000.0</v>
      </c>
      <c r="K99" s="30"/>
      <c r="L99" s="30"/>
      <c r="M99" s="30"/>
      <c r="N99" s="30"/>
      <c r="O99" s="30"/>
      <c r="P99" s="30">
        <v>20000.0</v>
      </c>
      <c r="Q99" s="24">
        <f t="shared" si="1"/>
        <v>0</v>
      </c>
      <c r="R99" s="32" t="s">
        <v>66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36.0" customHeight="1">
      <c r="A100" s="16">
        <v>96.0</v>
      </c>
      <c r="B100" s="27">
        <v>45324.0</v>
      </c>
      <c r="C100" s="28" t="s">
        <v>207</v>
      </c>
      <c r="D100" s="29">
        <v>35227.0</v>
      </c>
      <c r="E100" s="28" t="s">
        <v>208</v>
      </c>
      <c r="F100" s="30"/>
      <c r="G100" s="30">
        <v>24075.0</v>
      </c>
      <c r="H100" s="30"/>
      <c r="I100" s="30">
        <v>3975.0</v>
      </c>
      <c r="J100" s="30"/>
      <c r="K100" s="30"/>
      <c r="L100" s="30"/>
      <c r="M100" s="30"/>
      <c r="N100" s="30"/>
      <c r="O100" s="30"/>
      <c r="P100" s="30">
        <v>28050.0</v>
      </c>
      <c r="Q100" s="24">
        <f t="shared" si="1"/>
        <v>0</v>
      </c>
      <c r="R100" s="32" t="s">
        <v>85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36.0" customHeight="1">
      <c r="A101" s="16">
        <v>97.0</v>
      </c>
      <c r="B101" s="27">
        <v>45324.0</v>
      </c>
      <c r="C101" s="28" t="s">
        <v>209</v>
      </c>
      <c r="D101" s="29">
        <v>39317.0</v>
      </c>
      <c r="E101" s="28" t="s">
        <v>99</v>
      </c>
      <c r="F101" s="30"/>
      <c r="G101" s="30"/>
      <c r="H101" s="30"/>
      <c r="I101" s="30"/>
      <c r="J101" s="30">
        <v>8400.0</v>
      </c>
      <c r="K101" s="30"/>
      <c r="L101" s="30"/>
      <c r="M101" s="30"/>
      <c r="N101" s="30"/>
      <c r="O101" s="30"/>
      <c r="P101" s="30">
        <v>8400.0</v>
      </c>
      <c r="Q101" s="24">
        <f t="shared" si="1"/>
        <v>0</v>
      </c>
      <c r="R101" s="32" t="s">
        <v>85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36.0" customHeight="1">
      <c r="A102" s="16">
        <v>98.0</v>
      </c>
      <c r="B102" s="27">
        <v>45324.0</v>
      </c>
      <c r="C102" s="28" t="s">
        <v>210</v>
      </c>
      <c r="D102" s="29">
        <v>35227.0</v>
      </c>
      <c r="E102" s="28" t="s">
        <v>208</v>
      </c>
      <c r="F102" s="30">
        <v>500.0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>
        <v>500.0</v>
      </c>
      <c r="Q102" s="24">
        <f t="shared" si="1"/>
        <v>0</v>
      </c>
      <c r="R102" s="32" t="s">
        <v>30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36.0" customHeight="1">
      <c r="A103" s="16">
        <v>99.0</v>
      </c>
      <c r="B103" s="27">
        <v>45324.0</v>
      </c>
      <c r="C103" s="28" t="s">
        <v>211</v>
      </c>
      <c r="D103" s="29">
        <v>52083.0</v>
      </c>
      <c r="E103" s="28" t="s">
        <v>23</v>
      </c>
      <c r="F103" s="30"/>
      <c r="G103" s="30"/>
      <c r="H103" s="30"/>
      <c r="I103" s="30">
        <v>9200.0</v>
      </c>
      <c r="J103" s="30"/>
      <c r="K103" s="30"/>
      <c r="L103" s="30"/>
      <c r="M103" s="30"/>
      <c r="N103" s="30"/>
      <c r="O103" s="30"/>
      <c r="P103" s="30">
        <v>9200.0</v>
      </c>
      <c r="Q103" s="24">
        <f t="shared" si="1"/>
        <v>0</v>
      </c>
      <c r="R103" s="32" t="s">
        <v>85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36.0" customHeight="1">
      <c r="A104" s="16">
        <v>100.0</v>
      </c>
      <c r="B104" s="27">
        <v>45324.0</v>
      </c>
      <c r="C104" s="28" t="s">
        <v>212</v>
      </c>
      <c r="D104" s="29">
        <v>30895.0</v>
      </c>
      <c r="E104" s="28" t="s">
        <v>213</v>
      </c>
      <c r="F104" s="30"/>
      <c r="G104" s="30">
        <v>1500.0</v>
      </c>
      <c r="H104" s="30"/>
      <c r="I104" s="30"/>
      <c r="J104" s="30"/>
      <c r="K104" s="30"/>
      <c r="L104" s="30"/>
      <c r="M104" s="30"/>
      <c r="N104" s="30"/>
      <c r="O104" s="30"/>
      <c r="P104" s="30">
        <v>1500.0</v>
      </c>
      <c r="Q104" s="24">
        <f t="shared" si="1"/>
        <v>0</v>
      </c>
      <c r="R104" s="32" t="s">
        <v>85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36.0" customHeight="1">
      <c r="A105" s="16">
        <v>101.0</v>
      </c>
      <c r="B105" s="27">
        <v>45324.0</v>
      </c>
      <c r="C105" s="28" t="s">
        <v>214</v>
      </c>
      <c r="D105" s="29">
        <v>71788.0</v>
      </c>
      <c r="E105" s="28" t="s">
        <v>215</v>
      </c>
      <c r="F105" s="30"/>
      <c r="G105" s="30">
        <v>1500.0</v>
      </c>
      <c r="H105" s="30"/>
      <c r="I105" s="30"/>
      <c r="J105" s="30"/>
      <c r="K105" s="30"/>
      <c r="L105" s="30"/>
      <c r="M105" s="30"/>
      <c r="N105" s="30"/>
      <c r="O105" s="30"/>
      <c r="P105" s="30">
        <v>1500.0</v>
      </c>
      <c r="Q105" s="24">
        <f t="shared" si="1"/>
        <v>0</v>
      </c>
      <c r="R105" s="32" t="s">
        <v>85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36.0" customHeight="1">
      <c r="A106" s="16">
        <v>102.0</v>
      </c>
      <c r="B106" s="27">
        <v>45323.0</v>
      </c>
      <c r="C106" s="28" t="s">
        <v>216</v>
      </c>
      <c r="D106" s="29">
        <v>21828.0</v>
      </c>
      <c r="E106" s="28" t="s">
        <v>217</v>
      </c>
      <c r="F106" s="30"/>
      <c r="G106" s="30"/>
      <c r="H106" s="30"/>
      <c r="I106" s="30"/>
      <c r="J106" s="30"/>
      <c r="K106" s="30"/>
      <c r="L106" s="30"/>
      <c r="M106" s="30">
        <v>200.0</v>
      </c>
      <c r="N106" s="30"/>
      <c r="O106" s="30"/>
      <c r="P106" s="30">
        <v>200.0</v>
      </c>
      <c r="Q106" s="24">
        <f t="shared" si="1"/>
        <v>0</v>
      </c>
      <c r="R106" s="34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36.0" customHeight="1">
      <c r="A107" s="16">
        <v>103.0</v>
      </c>
      <c r="B107" s="27">
        <v>45323.0</v>
      </c>
      <c r="C107" s="28" t="s">
        <v>218</v>
      </c>
      <c r="D107" s="29">
        <v>21828.0</v>
      </c>
      <c r="E107" s="28" t="s">
        <v>217</v>
      </c>
      <c r="F107" s="30"/>
      <c r="G107" s="30"/>
      <c r="H107" s="30"/>
      <c r="I107" s="30"/>
      <c r="J107" s="30"/>
      <c r="K107" s="30"/>
      <c r="L107" s="30"/>
      <c r="M107" s="30">
        <v>1250.0</v>
      </c>
      <c r="N107" s="30"/>
      <c r="O107" s="30"/>
      <c r="P107" s="30">
        <v>1250.0</v>
      </c>
      <c r="Q107" s="24">
        <f t="shared" si="1"/>
        <v>0</v>
      </c>
      <c r="R107" s="34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36.0" customHeight="1">
      <c r="A108" s="16">
        <v>104.0</v>
      </c>
      <c r="B108" s="27">
        <v>45324.0</v>
      </c>
      <c r="C108" s="28" t="s">
        <v>219</v>
      </c>
      <c r="D108" s="29">
        <v>62146.0</v>
      </c>
      <c r="E108" s="28" t="s">
        <v>55</v>
      </c>
      <c r="F108" s="30"/>
      <c r="G108" s="30"/>
      <c r="H108" s="30"/>
      <c r="I108" s="30"/>
      <c r="J108" s="30"/>
      <c r="K108" s="30"/>
      <c r="L108" s="30"/>
      <c r="M108" s="30"/>
      <c r="N108" s="30"/>
      <c r="O108" s="30">
        <v>1200.0</v>
      </c>
      <c r="P108" s="30">
        <v>1200.0</v>
      </c>
      <c r="Q108" s="24">
        <f t="shared" si="1"/>
        <v>0</v>
      </c>
      <c r="R108" s="34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36.0" customHeight="1">
      <c r="A109" s="16">
        <v>105.0</v>
      </c>
      <c r="B109" s="27">
        <v>45324.0</v>
      </c>
      <c r="C109" s="28" t="s">
        <v>220</v>
      </c>
      <c r="D109" s="29">
        <v>77874.0</v>
      </c>
      <c r="E109" s="28" t="s">
        <v>221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>
        <v>350.0</v>
      </c>
      <c r="P109" s="30">
        <v>350.0</v>
      </c>
      <c r="Q109" s="24">
        <f t="shared" si="1"/>
        <v>0</v>
      </c>
      <c r="R109" s="34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36.0" customHeight="1">
      <c r="A110" s="16">
        <v>106.0</v>
      </c>
      <c r="B110" s="27">
        <v>45324.0</v>
      </c>
      <c r="C110" s="28" t="s">
        <v>222</v>
      </c>
      <c r="D110" s="29">
        <v>50148.0</v>
      </c>
      <c r="E110" s="28" t="s">
        <v>223</v>
      </c>
      <c r="F110" s="30"/>
      <c r="G110" s="30"/>
      <c r="H110" s="30">
        <v>5000.0</v>
      </c>
      <c r="I110" s="30"/>
      <c r="J110" s="30"/>
      <c r="K110" s="30"/>
      <c r="L110" s="30"/>
      <c r="M110" s="30"/>
      <c r="N110" s="30"/>
      <c r="O110" s="30"/>
      <c r="P110" s="30">
        <v>5000.0</v>
      </c>
      <c r="Q110" s="24">
        <f t="shared" si="1"/>
        <v>0</v>
      </c>
      <c r="R110" s="34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36.0" customHeight="1">
      <c r="A111" s="16">
        <v>107.0</v>
      </c>
      <c r="B111" s="27">
        <v>45324.0</v>
      </c>
      <c r="C111" s="28" t="s">
        <v>224</v>
      </c>
      <c r="D111" s="29">
        <v>53723.0</v>
      </c>
      <c r="E111" s="28" t="s">
        <v>225</v>
      </c>
      <c r="F111" s="30"/>
      <c r="G111" s="30"/>
      <c r="H111" s="30"/>
      <c r="I111" s="30"/>
      <c r="J111" s="30"/>
      <c r="K111" s="30"/>
      <c r="L111" s="30"/>
      <c r="M111" s="30"/>
      <c r="N111" s="30"/>
      <c r="O111" s="30">
        <v>1200.0</v>
      </c>
      <c r="P111" s="30">
        <v>1200.0</v>
      </c>
      <c r="Q111" s="24">
        <f t="shared" si="1"/>
        <v>0</v>
      </c>
      <c r="R111" s="34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36.0" customHeight="1">
      <c r="A112" s="16">
        <v>108.0</v>
      </c>
      <c r="B112" s="27">
        <v>45324.0</v>
      </c>
      <c r="C112" s="28" t="s">
        <v>226</v>
      </c>
      <c r="D112" s="29">
        <v>36769.0</v>
      </c>
      <c r="E112" s="28" t="s">
        <v>130</v>
      </c>
      <c r="F112" s="30"/>
      <c r="G112" s="30"/>
      <c r="H112" s="30"/>
      <c r="I112" s="30"/>
      <c r="J112" s="30"/>
      <c r="K112" s="30"/>
      <c r="L112" s="30"/>
      <c r="M112" s="30"/>
      <c r="N112" s="30"/>
      <c r="O112" s="30">
        <v>3600.0</v>
      </c>
      <c r="P112" s="30">
        <v>3600.0</v>
      </c>
      <c r="Q112" s="24">
        <f t="shared" si="1"/>
        <v>0</v>
      </c>
      <c r="R112" s="34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36.0" customHeight="1">
      <c r="A113" s="16">
        <v>109.0</v>
      </c>
      <c r="B113" s="27">
        <v>45324.0</v>
      </c>
      <c r="C113" s="28" t="s">
        <v>227</v>
      </c>
      <c r="D113" s="29">
        <v>55409.0</v>
      </c>
      <c r="E113" s="28" t="s">
        <v>126</v>
      </c>
      <c r="F113" s="30"/>
      <c r="G113" s="30"/>
      <c r="H113" s="30"/>
      <c r="I113" s="30"/>
      <c r="J113" s="30"/>
      <c r="K113" s="30">
        <v>61.25</v>
      </c>
      <c r="L113" s="30"/>
      <c r="M113" s="30"/>
      <c r="N113" s="30"/>
      <c r="O113" s="30">
        <v>1138.75</v>
      </c>
      <c r="P113" s="30">
        <v>1200.0</v>
      </c>
      <c r="Q113" s="24">
        <f t="shared" si="1"/>
        <v>0</v>
      </c>
      <c r="R113" s="34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36.0" customHeight="1">
      <c r="A114" s="16">
        <v>110.0</v>
      </c>
      <c r="B114" s="27">
        <v>45324.0</v>
      </c>
      <c r="C114" s="28" t="s">
        <v>228</v>
      </c>
      <c r="D114" s="29">
        <v>69153.0</v>
      </c>
      <c r="E114" s="28" t="s">
        <v>229</v>
      </c>
      <c r="F114" s="30"/>
      <c r="G114" s="30"/>
      <c r="H114" s="30"/>
      <c r="I114" s="30"/>
      <c r="J114" s="30"/>
      <c r="K114" s="30"/>
      <c r="L114" s="30"/>
      <c r="M114" s="30"/>
      <c r="N114" s="30"/>
      <c r="O114" s="30">
        <v>1200.0</v>
      </c>
      <c r="P114" s="30">
        <v>1200.0</v>
      </c>
      <c r="Q114" s="24">
        <f t="shared" si="1"/>
        <v>0</v>
      </c>
      <c r="R114" s="34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36.0" customHeight="1">
      <c r="A115" s="16">
        <v>111.0</v>
      </c>
      <c r="B115" s="27">
        <v>45324.0</v>
      </c>
      <c r="C115" s="28" t="s">
        <v>230</v>
      </c>
      <c r="D115" s="29">
        <v>57320.0</v>
      </c>
      <c r="E115" s="28" t="s">
        <v>231</v>
      </c>
      <c r="F115" s="30"/>
      <c r="G115" s="30"/>
      <c r="H115" s="30"/>
      <c r="I115" s="30"/>
      <c r="J115" s="30"/>
      <c r="K115" s="30"/>
      <c r="L115" s="30"/>
      <c r="M115" s="30"/>
      <c r="N115" s="30"/>
      <c r="O115" s="30">
        <v>1200.0</v>
      </c>
      <c r="P115" s="30">
        <v>1200.0</v>
      </c>
      <c r="Q115" s="24">
        <f t="shared" si="1"/>
        <v>0</v>
      </c>
      <c r="R115" s="34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36.0" customHeight="1">
      <c r="A116" s="16">
        <v>112.0</v>
      </c>
      <c r="B116" s="27">
        <v>45324.0</v>
      </c>
      <c r="C116" s="28" t="s">
        <v>232</v>
      </c>
      <c r="D116" s="29">
        <v>21828.0</v>
      </c>
      <c r="E116" s="28" t="s">
        <v>217</v>
      </c>
      <c r="F116" s="30"/>
      <c r="G116" s="30"/>
      <c r="H116" s="30"/>
      <c r="I116" s="30"/>
      <c r="J116" s="30"/>
      <c r="K116" s="30"/>
      <c r="L116" s="30"/>
      <c r="M116" s="30">
        <v>7000.0</v>
      </c>
      <c r="N116" s="30"/>
      <c r="O116" s="30"/>
      <c r="P116" s="30">
        <v>7000.0</v>
      </c>
      <c r="Q116" s="24">
        <f t="shared" si="1"/>
        <v>0</v>
      </c>
      <c r="R116" s="34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36.0" customHeight="1">
      <c r="A117" s="16">
        <v>113.0</v>
      </c>
      <c r="B117" s="27">
        <v>45324.0</v>
      </c>
      <c r="C117" s="28" t="s">
        <v>233</v>
      </c>
      <c r="D117" s="29">
        <v>56782.0</v>
      </c>
      <c r="E117" s="28" t="s">
        <v>234</v>
      </c>
      <c r="F117" s="30"/>
      <c r="G117" s="30"/>
      <c r="H117" s="30"/>
      <c r="I117" s="30"/>
      <c r="J117" s="30"/>
      <c r="K117" s="30"/>
      <c r="L117" s="30"/>
      <c r="M117" s="30"/>
      <c r="N117" s="30"/>
      <c r="O117" s="30">
        <v>1200.0</v>
      </c>
      <c r="P117" s="30">
        <v>1200.0</v>
      </c>
      <c r="Q117" s="24">
        <f t="shared" si="1"/>
        <v>0</v>
      </c>
      <c r="R117" s="34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36.0" customHeight="1">
      <c r="A118" s="16">
        <v>114.0</v>
      </c>
      <c r="B118" s="27">
        <v>45324.0</v>
      </c>
      <c r="C118" s="28" t="s">
        <v>235</v>
      </c>
      <c r="D118" s="29">
        <v>57704.0</v>
      </c>
      <c r="E118" s="28" t="s">
        <v>236</v>
      </c>
      <c r="F118" s="30"/>
      <c r="G118" s="30"/>
      <c r="H118" s="30"/>
      <c r="I118" s="30"/>
      <c r="J118" s="30"/>
      <c r="K118" s="30">
        <v>15.0</v>
      </c>
      <c r="L118" s="30"/>
      <c r="M118" s="30"/>
      <c r="N118" s="30"/>
      <c r="O118" s="30">
        <v>1985.0</v>
      </c>
      <c r="P118" s="30">
        <v>2000.0</v>
      </c>
      <c r="Q118" s="24">
        <f t="shared" si="1"/>
        <v>0</v>
      </c>
      <c r="R118" s="34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36.0" customHeight="1">
      <c r="A119" s="16">
        <v>115.0</v>
      </c>
      <c r="B119" s="27">
        <v>45324.0</v>
      </c>
      <c r="C119" s="28" t="s">
        <v>237</v>
      </c>
      <c r="D119" s="29">
        <v>55216.0</v>
      </c>
      <c r="E119" s="28" t="s">
        <v>238</v>
      </c>
      <c r="F119" s="30"/>
      <c r="G119" s="30"/>
      <c r="H119" s="30">
        <v>4500.0</v>
      </c>
      <c r="I119" s="30"/>
      <c r="J119" s="30"/>
      <c r="K119" s="30"/>
      <c r="L119" s="30"/>
      <c r="M119" s="30"/>
      <c r="N119" s="30"/>
      <c r="O119" s="30"/>
      <c r="P119" s="30">
        <v>4500.0</v>
      </c>
      <c r="Q119" s="24">
        <f t="shared" si="1"/>
        <v>0</v>
      </c>
      <c r="R119" s="34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36.0" customHeight="1">
      <c r="A120" s="16">
        <v>116.0</v>
      </c>
      <c r="B120" s="27">
        <v>45324.0</v>
      </c>
      <c r="C120" s="28" t="s">
        <v>239</v>
      </c>
      <c r="D120" s="29">
        <v>36903.0</v>
      </c>
      <c r="E120" s="28" t="s">
        <v>240</v>
      </c>
      <c r="F120" s="30"/>
      <c r="G120" s="30"/>
      <c r="H120" s="30"/>
      <c r="I120" s="30"/>
      <c r="J120" s="30"/>
      <c r="K120" s="30">
        <v>61250.0</v>
      </c>
      <c r="L120" s="30"/>
      <c r="M120" s="30"/>
      <c r="N120" s="30"/>
      <c r="O120" s="30"/>
      <c r="P120" s="30">
        <v>61250.0</v>
      </c>
      <c r="Q120" s="24">
        <f t="shared" si="1"/>
        <v>0</v>
      </c>
      <c r="R120" s="34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36.0" customHeight="1">
      <c r="A121" s="16">
        <v>117.0</v>
      </c>
      <c r="B121" s="27">
        <v>45324.0</v>
      </c>
      <c r="C121" s="28" t="s">
        <v>241</v>
      </c>
      <c r="D121" s="29">
        <v>54763.0</v>
      </c>
      <c r="E121" s="28" t="s">
        <v>36</v>
      </c>
      <c r="F121" s="30"/>
      <c r="G121" s="30"/>
      <c r="H121" s="30"/>
      <c r="I121" s="30"/>
      <c r="J121" s="30"/>
      <c r="K121" s="30"/>
      <c r="L121" s="30"/>
      <c r="M121" s="30"/>
      <c r="N121" s="30"/>
      <c r="O121" s="30">
        <v>4300.0</v>
      </c>
      <c r="P121" s="30">
        <v>4300.0</v>
      </c>
      <c r="Q121" s="24">
        <f t="shared" si="1"/>
        <v>0</v>
      </c>
      <c r="R121" s="34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36.0" customHeight="1">
      <c r="A122" s="16"/>
      <c r="B122" s="27"/>
      <c r="C122" s="28"/>
      <c r="D122" s="29"/>
      <c r="E122" s="28"/>
      <c r="F122" s="30">
        <f t="shared" ref="F122:Q122" si="2">SUM(F5:F121)</f>
        <v>5100</v>
      </c>
      <c r="G122" s="30">
        <f t="shared" si="2"/>
        <v>30205</v>
      </c>
      <c r="H122" s="30">
        <f t="shared" si="2"/>
        <v>44000</v>
      </c>
      <c r="I122" s="30">
        <f t="shared" si="2"/>
        <v>342530</v>
      </c>
      <c r="J122" s="30">
        <f t="shared" si="2"/>
        <v>273050</v>
      </c>
      <c r="K122" s="30">
        <f t="shared" si="2"/>
        <v>95921.25</v>
      </c>
      <c r="L122" s="30">
        <f t="shared" si="2"/>
        <v>0</v>
      </c>
      <c r="M122" s="30">
        <f t="shared" si="2"/>
        <v>58375</v>
      </c>
      <c r="N122" s="30">
        <f t="shared" si="2"/>
        <v>0</v>
      </c>
      <c r="O122" s="30">
        <f t="shared" si="2"/>
        <v>17373.75</v>
      </c>
      <c r="P122" s="30">
        <f t="shared" si="2"/>
        <v>866555</v>
      </c>
      <c r="Q122" s="24">
        <f t="shared" si="2"/>
        <v>0</v>
      </c>
      <c r="R122" s="34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36.0" customHeight="1">
      <c r="A123" s="35"/>
      <c r="B123" s="35"/>
      <c r="C123" s="35"/>
      <c r="D123" s="35"/>
      <c r="E123" s="35"/>
      <c r="F123" s="36">
        <f>F122+G122+H122+I122+J122+K122+L122+M122+N122+O122</f>
        <v>866555</v>
      </c>
      <c r="P123" s="36"/>
      <c r="Q123" s="36"/>
      <c r="R123" s="35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37" t="s">
        <v>242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38" t="s">
        <v>243</v>
      </c>
      <c r="F127" s="39" t="s">
        <v>244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38" t="s">
        <v>245</v>
      </c>
      <c r="F128" s="39" t="s">
        <v>244</v>
      </c>
      <c r="G128" s="4"/>
      <c r="H128" s="4"/>
      <c r="I128" s="4"/>
      <c r="J128" s="4"/>
      <c r="K128" s="4"/>
      <c r="L128" s="4"/>
      <c r="M128" s="4"/>
      <c r="N128" s="4"/>
      <c r="O128" s="4" t="s">
        <v>242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38" t="s">
        <v>246</v>
      </c>
      <c r="F129" s="39" t="s">
        <v>244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38" t="s">
        <v>247</v>
      </c>
      <c r="F130" s="39" t="s">
        <v>244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38" t="s">
        <v>248</v>
      </c>
      <c r="F131" s="39" t="s">
        <v>244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27.0" customHeight="1">
      <c r="A132" s="4"/>
      <c r="B132" s="4"/>
      <c r="C132" s="4"/>
      <c r="D132" s="4"/>
      <c r="E132" s="38" t="s">
        <v>249</v>
      </c>
      <c r="F132" s="39" t="s">
        <v>244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30.0" customHeight="1">
      <c r="A133" s="4"/>
      <c r="B133" s="4"/>
      <c r="C133" s="4"/>
      <c r="D133" s="4"/>
      <c r="E133" s="40" t="s">
        <v>250</v>
      </c>
      <c r="F133" s="39" t="s">
        <v>251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38" t="s">
        <v>252</v>
      </c>
      <c r="F134" s="39" t="s">
        <v>251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 t="s">
        <v>242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 t="s">
        <v>253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123:O12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2.0</v>
      </c>
      <c r="B5" s="41">
        <v>45323.0</v>
      </c>
      <c r="C5" s="42" t="s">
        <v>255</v>
      </c>
      <c r="D5" s="43">
        <v>48649.0</v>
      </c>
      <c r="E5" s="43" t="s">
        <v>256</v>
      </c>
      <c r="F5" s="21"/>
      <c r="G5" s="21"/>
      <c r="H5" s="21"/>
      <c r="I5" s="21">
        <v>3500.0</v>
      </c>
      <c r="J5" s="22"/>
      <c r="K5" s="21"/>
      <c r="L5" s="21"/>
      <c r="M5" s="21"/>
      <c r="N5" s="21"/>
      <c r="O5" s="21"/>
      <c r="P5" s="44">
        <v>3500.0</v>
      </c>
      <c r="Q5" s="45">
        <f t="shared" ref="Q5:Q18" si="1">F5+G5+H5+I5+J5+K5+L5+M5+N5+O5-P5</f>
        <v>0</v>
      </c>
      <c r="R5" s="46" t="s">
        <v>27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3.0</v>
      </c>
      <c r="B6" s="41">
        <v>45323.0</v>
      </c>
      <c r="C6" s="42" t="s">
        <v>257</v>
      </c>
      <c r="D6" s="43">
        <v>61443.0</v>
      </c>
      <c r="E6" s="43" t="s">
        <v>258</v>
      </c>
      <c r="F6" s="21">
        <v>3500.0</v>
      </c>
      <c r="G6" s="21"/>
      <c r="H6" s="21"/>
      <c r="I6" s="22"/>
      <c r="J6" s="21"/>
      <c r="K6" s="21"/>
      <c r="L6" s="21"/>
      <c r="M6" s="21"/>
      <c r="N6" s="21"/>
      <c r="O6" s="21"/>
      <c r="P6" s="44">
        <v>3500.0</v>
      </c>
      <c r="Q6" s="45">
        <f t="shared" si="1"/>
        <v>0</v>
      </c>
      <c r="R6" s="46" t="s">
        <v>27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4.0</v>
      </c>
      <c r="B7" s="41">
        <v>45323.0</v>
      </c>
      <c r="C7" s="42" t="s">
        <v>259</v>
      </c>
      <c r="D7" s="43">
        <v>81001.0</v>
      </c>
      <c r="E7" s="43" t="s">
        <v>260</v>
      </c>
      <c r="F7" s="21"/>
      <c r="G7" s="21"/>
      <c r="H7" s="21"/>
      <c r="I7" s="22"/>
      <c r="J7" s="21"/>
      <c r="K7" s="21"/>
      <c r="L7" s="21"/>
      <c r="M7" s="21">
        <v>3500.0</v>
      </c>
      <c r="N7" s="21"/>
      <c r="O7" s="21"/>
      <c r="P7" s="44">
        <v>3500.0</v>
      </c>
      <c r="Q7" s="45">
        <f t="shared" si="1"/>
        <v>0</v>
      </c>
      <c r="R7" s="46" t="s">
        <v>27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5.0</v>
      </c>
      <c r="B8" s="41">
        <v>45323.0</v>
      </c>
      <c r="C8" s="42" t="s">
        <v>261</v>
      </c>
      <c r="D8" s="43">
        <v>10250.0</v>
      </c>
      <c r="E8" s="43" t="s">
        <v>91</v>
      </c>
      <c r="F8" s="21"/>
      <c r="G8" s="21"/>
      <c r="H8" s="21"/>
      <c r="I8" s="22"/>
      <c r="J8" s="21"/>
      <c r="K8" s="21"/>
      <c r="L8" s="21"/>
      <c r="M8" s="21">
        <v>3500.0</v>
      </c>
      <c r="N8" s="21"/>
      <c r="O8" s="21"/>
      <c r="P8" s="44">
        <v>3500.0</v>
      </c>
      <c r="Q8" s="45">
        <f t="shared" si="1"/>
        <v>0</v>
      </c>
      <c r="R8" s="46" t="s">
        <v>27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6.0</v>
      </c>
      <c r="B9" s="41">
        <v>45323.0</v>
      </c>
      <c r="C9" s="42" t="s">
        <v>262</v>
      </c>
      <c r="D9" s="43">
        <v>80315.0</v>
      </c>
      <c r="E9" s="43" t="s">
        <v>263</v>
      </c>
      <c r="F9" s="21">
        <v>1750.0</v>
      </c>
      <c r="G9" s="21"/>
      <c r="H9" s="21"/>
      <c r="I9" s="22"/>
      <c r="J9" s="21"/>
      <c r="K9" s="21"/>
      <c r="L9" s="21"/>
      <c r="M9" s="21"/>
      <c r="N9" s="21"/>
      <c r="O9" s="21"/>
      <c r="P9" s="44">
        <v>1750.0</v>
      </c>
      <c r="Q9" s="45">
        <f t="shared" si="1"/>
        <v>0</v>
      </c>
      <c r="R9" s="46" t="s">
        <v>27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7.0</v>
      </c>
      <c r="B10" s="41">
        <v>45323.0</v>
      </c>
      <c r="C10" s="42" t="s">
        <v>264</v>
      </c>
      <c r="D10" s="43">
        <v>73400.0</v>
      </c>
      <c r="E10" s="43" t="s">
        <v>265</v>
      </c>
      <c r="F10" s="21">
        <v>750.0</v>
      </c>
      <c r="G10" s="21"/>
      <c r="H10" s="21"/>
      <c r="I10" s="22"/>
      <c r="J10" s="21"/>
      <c r="K10" s="21"/>
      <c r="L10" s="21"/>
      <c r="M10" s="21">
        <v>1000.0</v>
      </c>
      <c r="N10" s="21"/>
      <c r="O10" s="21"/>
      <c r="P10" s="44">
        <v>1750.0</v>
      </c>
      <c r="Q10" s="45">
        <f t="shared" si="1"/>
        <v>0</v>
      </c>
      <c r="R10" s="46" t="s">
        <v>27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8.0</v>
      </c>
      <c r="B11" s="41">
        <v>45323.0</v>
      </c>
      <c r="C11" s="42" t="s">
        <v>266</v>
      </c>
      <c r="D11" s="43">
        <v>13762.0</v>
      </c>
      <c r="E11" s="43" t="s">
        <v>267</v>
      </c>
      <c r="F11" s="21"/>
      <c r="G11" s="21"/>
      <c r="H11" s="21"/>
      <c r="I11" s="22"/>
      <c r="J11" s="21"/>
      <c r="K11" s="21"/>
      <c r="L11" s="21"/>
      <c r="M11" s="21">
        <v>3500.0</v>
      </c>
      <c r="N11" s="21"/>
      <c r="O11" s="21"/>
      <c r="P11" s="44">
        <v>3500.0</v>
      </c>
      <c r="Q11" s="45">
        <f t="shared" si="1"/>
        <v>0</v>
      </c>
      <c r="R11" s="46" t="s">
        <v>27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9.0</v>
      </c>
      <c r="B12" s="41">
        <v>45323.0</v>
      </c>
      <c r="C12" s="42" t="s">
        <v>268</v>
      </c>
      <c r="D12" s="43">
        <v>67910.0</v>
      </c>
      <c r="E12" s="43" t="s">
        <v>269</v>
      </c>
      <c r="F12" s="21">
        <v>1750.0</v>
      </c>
      <c r="G12" s="21"/>
      <c r="H12" s="21"/>
      <c r="I12" s="22"/>
      <c r="J12" s="21"/>
      <c r="K12" s="21"/>
      <c r="L12" s="21"/>
      <c r="M12" s="21"/>
      <c r="N12" s="21"/>
      <c r="O12" s="21"/>
      <c r="P12" s="44">
        <v>1750.0</v>
      </c>
      <c r="Q12" s="45">
        <f t="shared" si="1"/>
        <v>0</v>
      </c>
      <c r="R12" s="46" t="s">
        <v>27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10.0</v>
      </c>
      <c r="B13" s="41">
        <v>45323.0</v>
      </c>
      <c r="C13" s="42" t="s">
        <v>270</v>
      </c>
      <c r="D13" s="43">
        <v>10271.0</v>
      </c>
      <c r="E13" s="43" t="s">
        <v>271</v>
      </c>
      <c r="F13" s="21"/>
      <c r="G13" s="21">
        <v>3500.0</v>
      </c>
      <c r="H13" s="21"/>
      <c r="I13" s="22"/>
      <c r="J13" s="21"/>
      <c r="K13" s="21"/>
      <c r="L13" s="21"/>
      <c r="M13" s="21"/>
      <c r="N13" s="21"/>
      <c r="O13" s="21"/>
      <c r="P13" s="44">
        <v>3500.0</v>
      </c>
      <c r="Q13" s="45">
        <f t="shared" si="1"/>
        <v>0</v>
      </c>
      <c r="R13" s="46" t="s">
        <v>27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11.0</v>
      </c>
      <c r="B14" s="41">
        <v>45323.0</v>
      </c>
      <c r="C14" s="42" t="s">
        <v>272</v>
      </c>
      <c r="D14" s="43">
        <v>10684.0</v>
      </c>
      <c r="E14" s="43" t="s">
        <v>273</v>
      </c>
      <c r="F14" s="21"/>
      <c r="G14" s="21"/>
      <c r="H14" s="21"/>
      <c r="I14" s="22"/>
      <c r="J14" s="21"/>
      <c r="K14" s="21"/>
      <c r="L14" s="21"/>
      <c r="M14" s="21">
        <v>1750.0</v>
      </c>
      <c r="N14" s="21"/>
      <c r="O14" s="21"/>
      <c r="P14" s="44">
        <v>1750.0</v>
      </c>
      <c r="Q14" s="45">
        <f t="shared" si="1"/>
        <v>0</v>
      </c>
      <c r="R14" s="46" t="s">
        <v>27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12.0</v>
      </c>
      <c r="B15" s="41">
        <v>45323.0</v>
      </c>
      <c r="C15" s="42" t="s">
        <v>274</v>
      </c>
      <c r="D15" s="43">
        <v>80583.0</v>
      </c>
      <c r="E15" s="43" t="s">
        <v>275</v>
      </c>
      <c r="F15" s="21">
        <v>1750.0</v>
      </c>
      <c r="G15" s="21"/>
      <c r="H15" s="21"/>
      <c r="I15" s="22"/>
      <c r="J15" s="21"/>
      <c r="K15" s="21"/>
      <c r="L15" s="21"/>
      <c r="M15" s="21"/>
      <c r="N15" s="21"/>
      <c r="O15" s="21"/>
      <c r="P15" s="44">
        <v>1750.0</v>
      </c>
      <c r="Q15" s="45">
        <f t="shared" si="1"/>
        <v>0</v>
      </c>
      <c r="R15" s="46" t="s">
        <v>27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13.0</v>
      </c>
      <c r="B16" s="41">
        <v>45323.0</v>
      </c>
      <c r="C16" s="42" t="s">
        <v>276</v>
      </c>
      <c r="D16" s="43">
        <v>10255.0</v>
      </c>
      <c r="E16" s="43" t="s">
        <v>277</v>
      </c>
      <c r="F16" s="21">
        <v>2000.0</v>
      </c>
      <c r="G16" s="21"/>
      <c r="H16" s="21"/>
      <c r="I16" s="22">
        <v>1500.0</v>
      </c>
      <c r="J16" s="21"/>
      <c r="K16" s="21"/>
      <c r="L16" s="21"/>
      <c r="M16" s="21"/>
      <c r="N16" s="21"/>
      <c r="O16" s="21"/>
      <c r="P16" s="44">
        <v>3500.0</v>
      </c>
      <c r="Q16" s="45">
        <f t="shared" si="1"/>
        <v>0</v>
      </c>
      <c r="R16" s="46" t="s">
        <v>27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14.0</v>
      </c>
      <c r="B17" s="41">
        <v>45323.0</v>
      </c>
      <c r="C17" s="42" t="s">
        <v>278</v>
      </c>
      <c r="D17" s="43">
        <v>50436.0</v>
      </c>
      <c r="E17" s="43" t="s">
        <v>93</v>
      </c>
      <c r="F17" s="21"/>
      <c r="G17" s="21"/>
      <c r="H17" s="21"/>
      <c r="I17" s="22"/>
      <c r="J17" s="21"/>
      <c r="K17" s="21"/>
      <c r="L17" s="21"/>
      <c r="M17" s="21">
        <v>3500.0</v>
      </c>
      <c r="N17" s="21"/>
      <c r="O17" s="21"/>
      <c r="P17" s="44">
        <v>3500.0</v>
      </c>
      <c r="Q17" s="45">
        <f t="shared" si="1"/>
        <v>0</v>
      </c>
      <c r="R17" s="46" t="s">
        <v>27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15.0</v>
      </c>
      <c r="B18" s="41">
        <v>45323.0</v>
      </c>
      <c r="C18" s="42" t="s">
        <v>279</v>
      </c>
      <c r="D18" s="43">
        <v>78329.0</v>
      </c>
      <c r="E18" s="43" t="s">
        <v>280</v>
      </c>
      <c r="F18" s="21">
        <v>700.0</v>
      </c>
      <c r="G18" s="21"/>
      <c r="H18" s="21"/>
      <c r="I18" s="22"/>
      <c r="J18" s="21"/>
      <c r="K18" s="21"/>
      <c r="L18" s="21"/>
      <c r="M18" s="21"/>
      <c r="N18" s="21"/>
      <c r="O18" s="21"/>
      <c r="P18" s="44">
        <v>700.0</v>
      </c>
      <c r="Q18" s="45">
        <f t="shared" si="1"/>
        <v>0</v>
      </c>
      <c r="R18" s="46" t="s">
        <v>27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/>
      <c r="B19" s="27"/>
      <c r="C19" s="28"/>
      <c r="D19" s="29"/>
      <c r="E19" s="28"/>
      <c r="F19" s="30">
        <f t="shared" ref="F19:P19" si="2">SUM(F5:F18)</f>
        <v>12200</v>
      </c>
      <c r="G19" s="30">
        <f t="shared" si="2"/>
        <v>3500</v>
      </c>
      <c r="H19" s="30">
        <f t="shared" si="2"/>
        <v>0</v>
      </c>
      <c r="I19" s="30">
        <f t="shared" si="2"/>
        <v>5000</v>
      </c>
      <c r="J19" s="30">
        <f t="shared" si="2"/>
        <v>0</v>
      </c>
      <c r="K19" s="30">
        <f t="shared" si="2"/>
        <v>0</v>
      </c>
      <c r="L19" s="30">
        <f t="shared" si="2"/>
        <v>0</v>
      </c>
      <c r="M19" s="30">
        <f t="shared" si="2"/>
        <v>16750</v>
      </c>
      <c r="N19" s="30">
        <f t="shared" si="2"/>
        <v>0</v>
      </c>
      <c r="O19" s="30">
        <f t="shared" si="2"/>
        <v>0</v>
      </c>
      <c r="P19" s="30">
        <f t="shared" si="2"/>
        <v>37450</v>
      </c>
      <c r="Q19" s="24"/>
      <c r="R19" s="34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36.0" customHeight="1">
      <c r="A20" s="35"/>
      <c r="B20" s="35"/>
      <c r="C20" s="35"/>
      <c r="D20" s="35"/>
      <c r="E20" s="35"/>
      <c r="F20" s="36">
        <f>F19+G19+H19+I19+J19+K19+L19+M19+N19+O19</f>
        <v>37450</v>
      </c>
      <c r="P20" s="36"/>
      <c r="Q20" s="36"/>
      <c r="R20" s="35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37" t="s">
        <v>242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38" t="s">
        <v>243</v>
      </c>
      <c r="F24" s="3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38" t="s">
        <v>245</v>
      </c>
      <c r="F25" s="39" t="s">
        <v>281</v>
      </c>
      <c r="G25" s="4"/>
      <c r="H25" s="4"/>
      <c r="I25" s="4"/>
      <c r="J25" s="4"/>
      <c r="K25" s="4"/>
      <c r="L25" s="4"/>
      <c r="M25" s="4"/>
      <c r="N25" s="4"/>
      <c r="O25" s="4" t="s">
        <v>242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38" t="s">
        <v>246</v>
      </c>
      <c r="F26" s="39" t="s">
        <v>282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38" t="s">
        <v>247</v>
      </c>
      <c r="F27" s="39" t="s">
        <v>281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38" t="s">
        <v>248</v>
      </c>
      <c r="F28" s="39" t="s">
        <v>281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7.0" customHeight="1">
      <c r="A29" s="4"/>
      <c r="B29" s="4"/>
      <c r="C29" s="4"/>
      <c r="D29" s="4"/>
      <c r="E29" s="38" t="s">
        <v>283</v>
      </c>
      <c r="F29" s="39" t="s">
        <v>281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0.0" customHeight="1">
      <c r="A30" s="4"/>
      <c r="B30" s="4"/>
      <c r="C30" s="4"/>
      <c r="D30" s="4"/>
      <c r="E30" s="40" t="s">
        <v>250</v>
      </c>
      <c r="F30" s="39" t="s">
        <v>281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38" t="s">
        <v>252</v>
      </c>
      <c r="F31" s="3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242</v>
      </c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 t="s">
        <v>253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20:O2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47">
        <v>45324.0</v>
      </c>
      <c r="C5" s="48" t="s">
        <v>285</v>
      </c>
      <c r="D5" s="49">
        <v>54763.0</v>
      </c>
      <c r="E5" s="49" t="s">
        <v>36</v>
      </c>
      <c r="F5" s="21"/>
      <c r="G5" s="21"/>
      <c r="H5" s="21"/>
      <c r="I5" s="21"/>
      <c r="J5" s="22"/>
      <c r="K5" s="21"/>
      <c r="L5" s="21"/>
      <c r="M5" s="21">
        <v>5600.0</v>
      </c>
      <c r="N5" s="21"/>
      <c r="O5" s="21"/>
      <c r="P5" s="50">
        <v>5600.0</v>
      </c>
      <c r="Q5" s="24">
        <f t="shared" ref="Q5:Q47" si="1">F5+G5+H5+I5+J5+K5+L5+M5+N5+O5-P5</f>
        <v>0</v>
      </c>
      <c r="R5" s="51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47">
        <v>45324.0</v>
      </c>
      <c r="C6" s="48" t="s">
        <v>286</v>
      </c>
      <c r="D6" s="49">
        <v>54763.0</v>
      </c>
      <c r="E6" s="49" t="s">
        <v>36</v>
      </c>
      <c r="F6" s="21">
        <v>300.0</v>
      </c>
      <c r="G6" s="21"/>
      <c r="H6" s="21"/>
      <c r="I6" s="22"/>
      <c r="J6" s="21"/>
      <c r="K6" s="21"/>
      <c r="L6" s="21"/>
      <c r="M6" s="21"/>
      <c r="N6" s="21"/>
      <c r="O6" s="21"/>
      <c r="P6" s="50">
        <v>300.0</v>
      </c>
      <c r="Q6" s="24">
        <f t="shared" si="1"/>
        <v>0</v>
      </c>
      <c r="R6" s="51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47">
        <v>45324.0</v>
      </c>
      <c r="C7" s="48" t="s">
        <v>287</v>
      </c>
      <c r="D7" s="49">
        <v>54763.0</v>
      </c>
      <c r="E7" s="49" t="s">
        <v>36</v>
      </c>
      <c r="F7" s="21"/>
      <c r="G7" s="21"/>
      <c r="H7" s="21"/>
      <c r="I7" s="22"/>
      <c r="J7" s="21"/>
      <c r="K7" s="21"/>
      <c r="L7" s="21"/>
      <c r="M7" s="21">
        <v>400.0</v>
      </c>
      <c r="N7" s="21"/>
      <c r="O7" s="21"/>
      <c r="P7" s="50">
        <v>400.0</v>
      </c>
      <c r="Q7" s="24">
        <f t="shared" si="1"/>
        <v>0</v>
      </c>
      <c r="R7" s="51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47">
        <v>45324.0</v>
      </c>
      <c r="C8" s="48" t="s">
        <v>288</v>
      </c>
      <c r="D8" s="49">
        <v>54763.0</v>
      </c>
      <c r="E8" s="49" t="s">
        <v>36</v>
      </c>
      <c r="F8" s="21"/>
      <c r="G8" s="21"/>
      <c r="H8" s="21"/>
      <c r="I8" s="22"/>
      <c r="J8" s="21"/>
      <c r="K8" s="21"/>
      <c r="L8" s="21"/>
      <c r="M8" s="21">
        <v>650.0</v>
      </c>
      <c r="N8" s="21"/>
      <c r="O8" s="21"/>
      <c r="P8" s="50">
        <v>650.0</v>
      </c>
      <c r="Q8" s="24">
        <f t="shared" si="1"/>
        <v>0</v>
      </c>
      <c r="R8" s="51" t="s">
        <v>85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47">
        <v>45325.0</v>
      </c>
      <c r="C9" s="48" t="s">
        <v>289</v>
      </c>
      <c r="D9" s="49">
        <v>80859.0</v>
      </c>
      <c r="E9" s="49" t="s">
        <v>290</v>
      </c>
      <c r="F9" s="21"/>
      <c r="G9" s="21"/>
      <c r="H9" s="21"/>
      <c r="I9" s="22">
        <v>600.0</v>
      </c>
      <c r="J9" s="21"/>
      <c r="K9" s="21"/>
      <c r="L9" s="21"/>
      <c r="M9" s="21"/>
      <c r="N9" s="21"/>
      <c r="O9" s="21"/>
      <c r="P9" s="50">
        <v>600.0</v>
      </c>
      <c r="Q9" s="24">
        <f t="shared" si="1"/>
        <v>0</v>
      </c>
      <c r="R9" s="51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47">
        <v>45325.0</v>
      </c>
      <c r="C10" s="48" t="s">
        <v>291</v>
      </c>
      <c r="D10" s="49">
        <v>77868.0</v>
      </c>
      <c r="E10" s="49" t="s">
        <v>292</v>
      </c>
      <c r="F10" s="21"/>
      <c r="G10" s="21"/>
      <c r="H10" s="21"/>
      <c r="I10" s="22"/>
      <c r="J10" s="21"/>
      <c r="K10" s="21"/>
      <c r="L10" s="21"/>
      <c r="M10" s="21">
        <v>5150.0</v>
      </c>
      <c r="N10" s="21"/>
      <c r="O10" s="21"/>
      <c r="P10" s="50">
        <v>5150.0</v>
      </c>
      <c r="Q10" s="24">
        <f t="shared" si="1"/>
        <v>0</v>
      </c>
      <c r="R10" s="51" t="s">
        <v>56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47">
        <v>45325.0</v>
      </c>
      <c r="C11" s="48" t="s">
        <v>293</v>
      </c>
      <c r="D11" s="49">
        <v>81426.0</v>
      </c>
      <c r="E11" s="49" t="s">
        <v>294</v>
      </c>
      <c r="F11" s="21"/>
      <c r="G11" s="21"/>
      <c r="H11" s="21"/>
      <c r="I11" s="22"/>
      <c r="J11" s="21">
        <v>7300.0</v>
      </c>
      <c r="K11" s="21"/>
      <c r="L11" s="21"/>
      <c r="M11" s="21"/>
      <c r="N11" s="21"/>
      <c r="O11" s="21"/>
      <c r="P11" s="50">
        <v>7300.0</v>
      </c>
      <c r="Q11" s="24">
        <f t="shared" si="1"/>
        <v>0</v>
      </c>
      <c r="R11" s="51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47">
        <v>45325.0</v>
      </c>
      <c r="C12" s="48" t="s">
        <v>295</v>
      </c>
      <c r="D12" s="49">
        <v>56747.0</v>
      </c>
      <c r="E12" s="49" t="s">
        <v>70</v>
      </c>
      <c r="F12" s="21"/>
      <c r="G12" s="21"/>
      <c r="H12" s="21"/>
      <c r="I12" s="22"/>
      <c r="J12" s="21">
        <v>5000.0</v>
      </c>
      <c r="K12" s="21"/>
      <c r="L12" s="21"/>
      <c r="M12" s="21"/>
      <c r="N12" s="21"/>
      <c r="O12" s="21"/>
      <c r="P12" s="50">
        <v>5000.0</v>
      </c>
      <c r="Q12" s="24">
        <f t="shared" si="1"/>
        <v>0</v>
      </c>
      <c r="R12" s="51" t="s">
        <v>66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47">
        <v>45325.0</v>
      </c>
      <c r="C13" s="48" t="s">
        <v>296</v>
      </c>
      <c r="D13" s="49">
        <v>79266.0</v>
      </c>
      <c r="E13" s="49" t="s">
        <v>297</v>
      </c>
      <c r="F13" s="21"/>
      <c r="G13" s="21"/>
      <c r="H13" s="21"/>
      <c r="I13" s="22">
        <v>5000.0</v>
      </c>
      <c r="J13" s="21"/>
      <c r="K13" s="21"/>
      <c r="L13" s="21"/>
      <c r="M13" s="21"/>
      <c r="N13" s="21"/>
      <c r="O13" s="21"/>
      <c r="P13" s="50">
        <v>5000.0</v>
      </c>
      <c r="Q13" s="24">
        <f t="shared" si="1"/>
        <v>0</v>
      </c>
      <c r="R13" s="51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47">
        <v>45325.0</v>
      </c>
      <c r="C14" s="48" t="s">
        <v>298</v>
      </c>
      <c r="D14" s="49">
        <v>52247.0</v>
      </c>
      <c r="E14" s="49" t="s">
        <v>299</v>
      </c>
      <c r="F14" s="21"/>
      <c r="G14" s="21"/>
      <c r="H14" s="21"/>
      <c r="I14" s="22">
        <v>5000.0</v>
      </c>
      <c r="J14" s="21"/>
      <c r="K14" s="21"/>
      <c r="L14" s="21"/>
      <c r="M14" s="21"/>
      <c r="N14" s="21"/>
      <c r="O14" s="21"/>
      <c r="P14" s="50">
        <v>5000.0</v>
      </c>
      <c r="Q14" s="24">
        <f t="shared" si="1"/>
        <v>0</v>
      </c>
      <c r="R14" s="51" t="s">
        <v>27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47">
        <v>45325.0</v>
      </c>
      <c r="C15" s="48" t="s">
        <v>300</v>
      </c>
      <c r="D15" s="49">
        <v>10250.0</v>
      </c>
      <c r="E15" s="49" t="s">
        <v>91</v>
      </c>
      <c r="F15" s="21"/>
      <c r="G15" s="21"/>
      <c r="H15" s="21"/>
      <c r="I15" s="22">
        <v>1250.0</v>
      </c>
      <c r="J15" s="21"/>
      <c r="K15" s="21"/>
      <c r="L15" s="21"/>
      <c r="M15" s="21"/>
      <c r="N15" s="21"/>
      <c r="O15" s="21"/>
      <c r="P15" s="50">
        <v>1250.0</v>
      </c>
      <c r="Q15" s="24">
        <f t="shared" si="1"/>
        <v>0</v>
      </c>
      <c r="R15" s="51" t="s">
        <v>27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47">
        <v>45325.0</v>
      </c>
      <c r="C16" s="48" t="s">
        <v>301</v>
      </c>
      <c r="D16" s="49">
        <v>13781.0</v>
      </c>
      <c r="E16" s="49" t="s">
        <v>302</v>
      </c>
      <c r="F16" s="21"/>
      <c r="G16" s="21"/>
      <c r="H16" s="21"/>
      <c r="I16" s="22"/>
      <c r="J16" s="21">
        <v>8900.0</v>
      </c>
      <c r="K16" s="21"/>
      <c r="L16" s="21"/>
      <c r="M16" s="21"/>
      <c r="N16" s="21"/>
      <c r="O16" s="21"/>
      <c r="P16" s="50">
        <v>8900.0</v>
      </c>
      <c r="Q16" s="24">
        <f t="shared" si="1"/>
        <v>0</v>
      </c>
      <c r="R16" s="51" t="s">
        <v>66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47">
        <v>45325.0</v>
      </c>
      <c r="C17" s="48" t="s">
        <v>303</v>
      </c>
      <c r="D17" s="49">
        <v>13209.0</v>
      </c>
      <c r="E17" s="49" t="s">
        <v>304</v>
      </c>
      <c r="F17" s="21"/>
      <c r="G17" s="21"/>
      <c r="H17" s="21"/>
      <c r="I17" s="22">
        <v>560.0</v>
      </c>
      <c r="J17" s="21"/>
      <c r="K17" s="21"/>
      <c r="L17" s="21"/>
      <c r="M17" s="21"/>
      <c r="N17" s="21"/>
      <c r="O17" s="21"/>
      <c r="P17" s="50">
        <v>560.0</v>
      </c>
      <c r="Q17" s="24">
        <f t="shared" si="1"/>
        <v>0</v>
      </c>
      <c r="R17" s="51" t="s">
        <v>27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47">
        <v>45325.0</v>
      </c>
      <c r="C18" s="48" t="s">
        <v>305</v>
      </c>
      <c r="D18" s="49">
        <v>10839.0</v>
      </c>
      <c r="E18" s="49" t="s">
        <v>306</v>
      </c>
      <c r="F18" s="21"/>
      <c r="G18" s="21"/>
      <c r="H18" s="21"/>
      <c r="I18" s="22">
        <v>4650.0</v>
      </c>
      <c r="J18" s="21"/>
      <c r="K18" s="21"/>
      <c r="L18" s="21"/>
      <c r="M18" s="21"/>
      <c r="N18" s="21"/>
      <c r="O18" s="21"/>
      <c r="P18" s="50">
        <v>4650.0</v>
      </c>
      <c r="Q18" s="24">
        <f t="shared" si="1"/>
        <v>0</v>
      </c>
      <c r="R18" s="51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47">
        <v>45325.0</v>
      </c>
      <c r="C19" s="48" t="s">
        <v>307</v>
      </c>
      <c r="D19" s="49">
        <v>50173.0</v>
      </c>
      <c r="E19" s="49" t="s">
        <v>308</v>
      </c>
      <c r="F19" s="21"/>
      <c r="G19" s="21"/>
      <c r="H19" s="21"/>
      <c r="I19" s="22">
        <v>5150.0</v>
      </c>
      <c r="J19" s="21"/>
      <c r="K19" s="21"/>
      <c r="L19" s="21"/>
      <c r="M19" s="21"/>
      <c r="N19" s="21"/>
      <c r="O19" s="21"/>
      <c r="P19" s="50">
        <v>5150.0</v>
      </c>
      <c r="Q19" s="24">
        <f t="shared" si="1"/>
        <v>0</v>
      </c>
      <c r="R19" s="51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47">
        <v>45325.0</v>
      </c>
      <c r="C20" s="48" t="s">
        <v>309</v>
      </c>
      <c r="D20" s="49">
        <v>80051.0</v>
      </c>
      <c r="E20" s="49" t="s">
        <v>310</v>
      </c>
      <c r="F20" s="21"/>
      <c r="G20" s="21"/>
      <c r="H20" s="21"/>
      <c r="I20" s="22"/>
      <c r="J20" s="21"/>
      <c r="K20" s="21"/>
      <c r="L20" s="21"/>
      <c r="M20" s="21">
        <v>2950.0</v>
      </c>
      <c r="N20" s="21"/>
      <c r="O20" s="21"/>
      <c r="P20" s="50">
        <v>2950.0</v>
      </c>
      <c r="Q20" s="24">
        <f t="shared" si="1"/>
        <v>0</v>
      </c>
      <c r="R20" s="51" t="s">
        <v>27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47">
        <v>45325.0</v>
      </c>
      <c r="C21" s="48" t="s">
        <v>311</v>
      </c>
      <c r="D21" s="49">
        <v>42046.0</v>
      </c>
      <c r="E21" s="49" t="s">
        <v>97</v>
      </c>
      <c r="F21" s="21"/>
      <c r="G21" s="21">
        <v>7100.0</v>
      </c>
      <c r="H21" s="21"/>
      <c r="I21" s="22"/>
      <c r="J21" s="21"/>
      <c r="K21" s="21"/>
      <c r="L21" s="21"/>
      <c r="M21" s="21"/>
      <c r="N21" s="21"/>
      <c r="O21" s="21"/>
      <c r="P21" s="50">
        <v>7100.0</v>
      </c>
      <c r="Q21" s="24">
        <f t="shared" si="1"/>
        <v>0</v>
      </c>
      <c r="R21" s="51" t="s">
        <v>27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47">
        <v>45325.0</v>
      </c>
      <c r="C22" s="48" t="s">
        <v>312</v>
      </c>
      <c r="D22" s="49">
        <v>45096.0</v>
      </c>
      <c r="E22" s="49" t="s">
        <v>313</v>
      </c>
      <c r="F22" s="21"/>
      <c r="G22" s="21"/>
      <c r="H22" s="21"/>
      <c r="I22" s="22">
        <v>1400.0</v>
      </c>
      <c r="J22" s="21"/>
      <c r="K22" s="21"/>
      <c r="L22" s="21"/>
      <c r="M22" s="21"/>
      <c r="N22" s="21"/>
      <c r="O22" s="21"/>
      <c r="P22" s="50">
        <v>1400.0</v>
      </c>
      <c r="Q22" s="24">
        <f t="shared" si="1"/>
        <v>0</v>
      </c>
      <c r="R22" s="51" t="s">
        <v>66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52">
        <v>45325.0</v>
      </c>
      <c r="C23" s="49" t="s">
        <v>314</v>
      </c>
      <c r="D23" s="49">
        <v>52396.0</v>
      </c>
      <c r="E23" s="49" t="s">
        <v>315</v>
      </c>
      <c r="F23" s="30"/>
      <c r="G23" s="30"/>
      <c r="H23" s="30"/>
      <c r="I23" s="30"/>
      <c r="J23" s="30">
        <v>10000.0</v>
      </c>
      <c r="K23" s="30"/>
      <c r="L23" s="30"/>
      <c r="M23" s="30"/>
      <c r="N23" s="30"/>
      <c r="O23" s="30"/>
      <c r="P23" s="53">
        <v>10000.0</v>
      </c>
      <c r="Q23" s="24">
        <f t="shared" si="1"/>
        <v>0</v>
      </c>
      <c r="R23" s="49" t="s">
        <v>66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36.0" customHeight="1">
      <c r="A24" s="16">
        <v>20.0</v>
      </c>
      <c r="B24" s="52">
        <v>45325.0</v>
      </c>
      <c r="C24" s="49" t="s">
        <v>316</v>
      </c>
      <c r="D24" s="49">
        <v>36555.0</v>
      </c>
      <c r="E24" s="49" t="s">
        <v>317</v>
      </c>
      <c r="F24" s="30"/>
      <c r="G24" s="30"/>
      <c r="H24" s="30"/>
      <c r="I24" s="30">
        <v>4500.0</v>
      </c>
      <c r="J24" s="30"/>
      <c r="K24" s="30"/>
      <c r="L24" s="30"/>
      <c r="M24" s="30"/>
      <c r="N24" s="30"/>
      <c r="O24" s="30"/>
      <c r="P24" s="53">
        <v>4500.0</v>
      </c>
      <c r="Q24" s="24">
        <f t="shared" si="1"/>
        <v>0</v>
      </c>
      <c r="R24" s="49" t="s">
        <v>66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36.0" customHeight="1">
      <c r="A25" s="16">
        <v>21.0</v>
      </c>
      <c r="B25" s="52">
        <v>45325.0</v>
      </c>
      <c r="C25" s="49" t="s">
        <v>318</v>
      </c>
      <c r="D25" s="49">
        <v>80265.0</v>
      </c>
      <c r="E25" s="49" t="s">
        <v>319</v>
      </c>
      <c r="F25" s="30"/>
      <c r="G25" s="30"/>
      <c r="H25" s="30"/>
      <c r="I25" s="30">
        <v>5550.0</v>
      </c>
      <c r="J25" s="30"/>
      <c r="K25" s="30"/>
      <c r="L25" s="30"/>
      <c r="M25" s="30"/>
      <c r="N25" s="30"/>
      <c r="O25" s="30"/>
      <c r="P25" s="53">
        <v>5550.0</v>
      </c>
      <c r="Q25" s="24">
        <f t="shared" si="1"/>
        <v>0</v>
      </c>
      <c r="R25" s="49" t="s">
        <v>27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36.0" customHeight="1">
      <c r="A26" s="16">
        <v>22.0</v>
      </c>
      <c r="B26" s="52">
        <v>45325.0</v>
      </c>
      <c r="C26" s="49" t="s">
        <v>320</v>
      </c>
      <c r="D26" s="49">
        <v>39317.0</v>
      </c>
      <c r="E26" s="49" t="s">
        <v>321</v>
      </c>
      <c r="F26" s="30"/>
      <c r="G26" s="30"/>
      <c r="H26" s="30"/>
      <c r="I26" s="30"/>
      <c r="J26" s="30">
        <v>6250.0</v>
      </c>
      <c r="K26" s="30"/>
      <c r="L26" s="30"/>
      <c r="M26" s="30"/>
      <c r="N26" s="30"/>
      <c r="O26" s="30"/>
      <c r="P26" s="53">
        <v>6250.0</v>
      </c>
      <c r="Q26" s="24">
        <f t="shared" si="1"/>
        <v>0</v>
      </c>
      <c r="R26" s="49" t="s">
        <v>66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36.0" customHeight="1">
      <c r="A27" s="16">
        <v>23.0</v>
      </c>
      <c r="B27" s="52">
        <v>45325.0</v>
      </c>
      <c r="C27" s="49" t="s">
        <v>322</v>
      </c>
      <c r="D27" s="49">
        <v>39317.0</v>
      </c>
      <c r="E27" s="49" t="s">
        <v>321</v>
      </c>
      <c r="F27" s="30">
        <v>12900.0</v>
      </c>
      <c r="G27" s="30"/>
      <c r="H27" s="30"/>
      <c r="I27" s="30"/>
      <c r="J27" s="30"/>
      <c r="K27" s="30"/>
      <c r="L27" s="30"/>
      <c r="M27" s="30"/>
      <c r="N27" s="30"/>
      <c r="O27" s="30"/>
      <c r="P27" s="53">
        <v>12900.0</v>
      </c>
      <c r="Q27" s="24">
        <f t="shared" si="1"/>
        <v>0</v>
      </c>
      <c r="R27" s="49" t="s">
        <v>27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36.0" customHeight="1">
      <c r="A28" s="16">
        <v>24.0</v>
      </c>
      <c r="B28" s="52">
        <v>45325.0</v>
      </c>
      <c r="C28" s="49" t="s">
        <v>323</v>
      </c>
      <c r="D28" s="49">
        <v>35220.0</v>
      </c>
      <c r="E28" s="49" t="s">
        <v>324</v>
      </c>
      <c r="F28" s="30"/>
      <c r="G28" s="30">
        <v>5000.0</v>
      </c>
      <c r="H28" s="30"/>
      <c r="I28" s="30"/>
      <c r="J28" s="30"/>
      <c r="K28" s="30"/>
      <c r="L28" s="30"/>
      <c r="M28" s="30"/>
      <c r="N28" s="30"/>
      <c r="O28" s="30"/>
      <c r="P28" s="53">
        <v>5000.0</v>
      </c>
      <c r="Q28" s="24">
        <f t="shared" si="1"/>
        <v>0</v>
      </c>
      <c r="R28" s="49" t="s">
        <v>27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36.0" customHeight="1">
      <c r="A29" s="16">
        <v>25.0</v>
      </c>
      <c r="B29" s="52">
        <v>45325.0</v>
      </c>
      <c r="C29" s="49" t="s">
        <v>325</v>
      </c>
      <c r="D29" s="49">
        <v>39317.0</v>
      </c>
      <c r="E29" s="49" t="s">
        <v>321</v>
      </c>
      <c r="F29" s="30">
        <v>300.0</v>
      </c>
      <c r="G29" s="30"/>
      <c r="H29" s="30"/>
      <c r="I29" s="30"/>
      <c r="J29" s="30"/>
      <c r="K29" s="30"/>
      <c r="L29" s="30"/>
      <c r="M29" s="30"/>
      <c r="N29" s="30"/>
      <c r="O29" s="30"/>
      <c r="P29" s="53">
        <v>300.0</v>
      </c>
      <c r="Q29" s="24">
        <f t="shared" si="1"/>
        <v>0</v>
      </c>
      <c r="R29" s="49" t="s">
        <v>66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36.0" customHeight="1">
      <c r="A30" s="16">
        <v>26.0</v>
      </c>
      <c r="B30" s="52">
        <v>45325.0</v>
      </c>
      <c r="C30" s="49" t="s">
        <v>326</v>
      </c>
      <c r="D30" s="49">
        <v>68356.0</v>
      </c>
      <c r="E30" s="49" t="s">
        <v>327</v>
      </c>
      <c r="F30" s="30"/>
      <c r="G30" s="30"/>
      <c r="H30" s="30"/>
      <c r="I30" s="30">
        <v>10000.0</v>
      </c>
      <c r="J30" s="30"/>
      <c r="K30" s="30"/>
      <c r="L30" s="30"/>
      <c r="M30" s="30"/>
      <c r="N30" s="30"/>
      <c r="O30" s="30"/>
      <c r="P30" s="53">
        <v>10000.0</v>
      </c>
      <c r="Q30" s="24">
        <f t="shared" si="1"/>
        <v>0</v>
      </c>
      <c r="R30" s="49" t="s">
        <v>66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36.0" customHeight="1">
      <c r="A31" s="16">
        <v>27.0</v>
      </c>
      <c r="B31" s="52">
        <v>45325.0</v>
      </c>
      <c r="C31" s="49" t="s">
        <v>328</v>
      </c>
      <c r="D31" s="49">
        <v>77191.0</v>
      </c>
      <c r="E31" s="49" t="s">
        <v>329</v>
      </c>
      <c r="F31" s="30"/>
      <c r="G31" s="30"/>
      <c r="H31" s="30"/>
      <c r="I31" s="30"/>
      <c r="J31" s="30">
        <v>2650.0</v>
      </c>
      <c r="K31" s="30"/>
      <c r="L31" s="30"/>
      <c r="M31" s="30"/>
      <c r="N31" s="30"/>
      <c r="O31" s="30"/>
      <c r="P31" s="53">
        <v>2650.0</v>
      </c>
      <c r="Q31" s="24">
        <f t="shared" si="1"/>
        <v>0</v>
      </c>
      <c r="R31" s="49" t="s">
        <v>27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36.0" customHeight="1">
      <c r="A32" s="16">
        <v>28.0</v>
      </c>
      <c r="B32" s="52">
        <v>45325.0</v>
      </c>
      <c r="C32" s="49" t="s">
        <v>330</v>
      </c>
      <c r="D32" s="49">
        <v>69620.0</v>
      </c>
      <c r="E32" s="49" t="s">
        <v>331</v>
      </c>
      <c r="F32" s="30"/>
      <c r="G32" s="30"/>
      <c r="H32" s="30"/>
      <c r="I32" s="30"/>
      <c r="J32" s="30">
        <v>2010.0</v>
      </c>
      <c r="K32" s="30">
        <v>490.0</v>
      </c>
      <c r="L32" s="30"/>
      <c r="M32" s="30"/>
      <c r="N32" s="30"/>
      <c r="O32" s="30"/>
      <c r="P32" s="53">
        <v>2500.0</v>
      </c>
      <c r="Q32" s="24">
        <f t="shared" si="1"/>
        <v>0</v>
      </c>
      <c r="R32" s="49" t="s">
        <v>27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36.0" customHeight="1">
      <c r="A33" s="16">
        <v>29.0</v>
      </c>
      <c r="B33" s="52">
        <v>45325.0</v>
      </c>
      <c r="C33" s="49" t="s">
        <v>332</v>
      </c>
      <c r="D33" s="49">
        <v>58763.0</v>
      </c>
      <c r="E33" s="49" t="s">
        <v>333</v>
      </c>
      <c r="F33" s="30"/>
      <c r="G33" s="30"/>
      <c r="H33" s="30"/>
      <c r="I33" s="30">
        <v>5000.0</v>
      </c>
      <c r="J33" s="30"/>
      <c r="K33" s="30"/>
      <c r="L33" s="30"/>
      <c r="M33" s="30"/>
      <c r="N33" s="30"/>
      <c r="O33" s="30"/>
      <c r="P33" s="53">
        <v>5000.0</v>
      </c>
      <c r="Q33" s="24">
        <f t="shared" si="1"/>
        <v>0</v>
      </c>
      <c r="R33" s="49" t="s">
        <v>66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36.0" customHeight="1">
      <c r="A34" s="16">
        <v>30.0</v>
      </c>
      <c r="B34" s="52">
        <v>45325.0</v>
      </c>
      <c r="C34" s="49" t="s">
        <v>334</v>
      </c>
      <c r="D34" s="49">
        <v>58763.0</v>
      </c>
      <c r="E34" s="49" t="s">
        <v>333</v>
      </c>
      <c r="F34" s="30"/>
      <c r="G34" s="30"/>
      <c r="H34" s="30"/>
      <c r="I34" s="30">
        <v>5000.0</v>
      </c>
      <c r="J34" s="30"/>
      <c r="K34" s="30"/>
      <c r="L34" s="30"/>
      <c r="M34" s="30"/>
      <c r="N34" s="30"/>
      <c r="O34" s="30"/>
      <c r="P34" s="53">
        <v>5000.0</v>
      </c>
      <c r="Q34" s="24">
        <f t="shared" si="1"/>
        <v>0</v>
      </c>
      <c r="R34" s="49" t="s">
        <v>27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36.0" customHeight="1">
      <c r="A35" s="16">
        <v>31.0</v>
      </c>
      <c r="B35" s="52">
        <v>45325.0</v>
      </c>
      <c r="C35" s="49" t="s">
        <v>335</v>
      </c>
      <c r="D35" s="49">
        <v>59103.0</v>
      </c>
      <c r="E35" s="49" t="s">
        <v>336</v>
      </c>
      <c r="F35" s="30"/>
      <c r="G35" s="30"/>
      <c r="H35" s="30"/>
      <c r="I35" s="30"/>
      <c r="J35" s="30"/>
      <c r="K35" s="30">
        <v>650.0</v>
      </c>
      <c r="L35" s="30"/>
      <c r="M35" s="30"/>
      <c r="N35" s="30"/>
      <c r="O35" s="30"/>
      <c r="P35" s="53">
        <v>650.0</v>
      </c>
      <c r="Q35" s="24">
        <f t="shared" si="1"/>
        <v>0</v>
      </c>
      <c r="R35" s="49" t="s">
        <v>27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36.0" customHeight="1">
      <c r="A36" s="16">
        <v>32.0</v>
      </c>
      <c r="B36" s="52">
        <v>45325.0</v>
      </c>
      <c r="C36" s="49" t="s">
        <v>337</v>
      </c>
      <c r="D36" s="49">
        <v>36918.0</v>
      </c>
      <c r="E36" s="49" t="s">
        <v>338</v>
      </c>
      <c r="F36" s="30"/>
      <c r="G36" s="30"/>
      <c r="H36" s="30"/>
      <c r="I36" s="30">
        <v>1450.0</v>
      </c>
      <c r="J36" s="30"/>
      <c r="K36" s="30"/>
      <c r="L36" s="30"/>
      <c r="M36" s="30"/>
      <c r="N36" s="30"/>
      <c r="O36" s="30"/>
      <c r="P36" s="53">
        <v>1450.0</v>
      </c>
      <c r="Q36" s="24">
        <f t="shared" si="1"/>
        <v>0</v>
      </c>
      <c r="R36" s="49" t="s">
        <v>66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6.0" customHeight="1">
      <c r="A37" s="16">
        <v>33.0</v>
      </c>
      <c r="B37" s="52">
        <v>45325.0</v>
      </c>
      <c r="C37" s="49" t="s">
        <v>339</v>
      </c>
      <c r="D37" s="49">
        <v>10002.0</v>
      </c>
      <c r="E37" s="49" t="s">
        <v>340</v>
      </c>
      <c r="F37" s="30"/>
      <c r="G37" s="30"/>
      <c r="H37" s="30"/>
      <c r="I37" s="30"/>
      <c r="J37" s="30"/>
      <c r="K37" s="30">
        <v>4500.0</v>
      </c>
      <c r="L37" s="30"/>
      <c r="M37" s="30"/>
      <c r="N37" s="30"/>
      <c r="O37" s="30"/>
      <c r="P37" s="53">
        <v>4500.0</v>
      </c>
      <c r="Q37" s="24">
        <f t="shared" si="1"/>
        <v>0</v>
      </c>
      <c r="R37" s="49" t="s">
        <v>66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36.0" customHeight="1">
      <c r="A38" s="16">
        <v>34.0</v>
      </c>
      <c r="B38" s="52">
        <v>45325.0</v>
      </c>
      <c r="C38" s="49" t="s">
        <v>341</v>
      </c>
      <c r="D38" s="49">
        <v>57448.0</v>
      </c>
      <c r="E38" s="49" t="s">
        <v>342</v>
      </c>
      <c r="F38" s="30"/>
      <c r="G38" s="30"/>
      <c r="H38" s="30"/>
      <c r="I38" s="30">
        <v>5090.0</v>
      </c>
      <c r="J38" s="30"/>
      <c r="K38" s="30"/>
      <c r="L38" s="30"/>
      <c r="M38" s="30"/>
      <c r="N38" s="30"/>
      <c r="O38" s="30"/>
      <c r="P38" s="53">
        <v>5090.0</v>
      </c>
      <c r="Q38" s="24">
        <f t="shared" si="1"/>
        <v>0</v>
      </c>
      <c r="R38" s="49" t="s">
        <v>27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36.0" customHeight="1">
      <c r="A39" s="16">
        <v>35.0</v>
      </c>
      <c r="B39" s="52">
        <v>45325.0</v>
      </c>
      <c r="C39" s="49" t="s">
        <v>343</v>
      </c>
      <c r="D39" s="49">
        <v>30895.0</v>
      </c>
      <c r="E39" s="49" t="s">
        <v>344</v>
      </c>
      <c r="F39" s="30"/>
      <c r="G39" s="30">
        <v>10000.0</v>
      </c>
      <c r="H39" s="30"/>
      <c r="I39" s="30"/>
      <c r="J39" s="30"/>
      <c r="K39" s="30"/>
      <c r="L39" s="30"/>
      <c r="M39" s="30"/>
      <c r="N39" s="30"/>
      <c r="O39" s="30"/>
      <c r="P39" s="53">
        <v>10000.0</v>
      </c>
      <c r="Q39" s="24">
        <f t="shared" si="1"/>
        <v>0</v>
      </c>
      <c r="R39" s="49" t="s">
        <v>66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36.0" customHeight="1">
      <c r="A40" s="16">
        <v>36.0</v>
      </c>
      <c r="B40" s="52">
        <v>45325.0</v>
      </c>
      <c r="C40" s="49" t="s">
        <v>345</v>
      </c>
      <c r="D40" s="49">
        <v>52083.0</v>
      </c>
      <c r="E40" s="49" t="s">
        <v>23</v>
      </c>
      <c r="F40" s="30"/>
      <c r="G40" s="30"/>
      <c r="H40" s="30"/>
      <c r="I40" s="30">
        <v>10600.0</v>
      </c>
      <c r="J40" s="30"/>
      <c r="K40" s="30"/>
      <c r="L40" s="30"/>
      <c r="M40" s="30"/>
      <c r="N40" s="30"/>
      <c r="O40" s="30"/>
      <c r="P40" s="53">
        <v>10600.0</v>
      </c>
      <c r="Q40" s="24">
        <f t="shared" si="1"/>
        <v>0</v>
      </c>
      <c r="R40" s="49" t="s">
        <v>27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36.0" customHeight="1">
      <c r="A41" s="16">
        <v>37.0</v>
      </c>
      <c r="B41" s="52">
        <v>45325.0</v>
      </c>
      <c r="C41" s="49" t="s">
        <v>346</v>
      </c>
      <c r="D41" s="49">
        <v>74174.0</v>
      </c>
      <c r="E41" s="49" t="s">
        <v>347</v>
      </c>
      <c r="F41" s="30"/>
      <c r="G41" s="30"/>
      <c r="H41" s="30"/>
      <c r="I41" s="30">
        <v>5150.0</v>
      </c>
      <c r="J41" s="30"/>
      <c r="K41" s="30"/>
      <c r="L41" s="30"/>
      <c r="M41" s="30"/>
      <c r="N41" s="30"/>
      <c r="O41" s="30"/>
      <c r="P41" s="53">
        <v>5150.0</v>
      </c>
      <c r="Q41" s="24">
        <f t="shared" si="1"/>
        <v>0</v>
      </c>
      <c r="R41" s="49" t="s">
        <v>27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36.0" customHeight="1">
      <c r="A42" s="16">
        <v>38.0</v>
      </c>
      <c r="B42" s="52">
        <v>45325.0</v>
      </c>
      <c r="C42" s="49" t="s">
        <v>348</v>
      </c>
      <c r="D42" s="49">
        <v>49953.0</v>
      </c>
      <c r="E42" s="49" t="s">
        <v>349</v>
      </c>
      <c r="F42" s="30"/>
      <c r="G42" s="30"/>
      <c r="H42" s="30">
        <v>4200.0</v>
      </c>
      <c r="I42" s="30"/>
      <c r="J42" s="30"/>
      <c r="K42" s="30"/>
      <c r="L42" s="30"/>
      <c r="M42" s="30"/>
      <c r="N42" s="30"/>
      <c r="O42" s="30"/>
      <c r="P42" s="53">
        <v>4200.0</v>
      </c>
      <c r="Q42" s="24">
        <f t="shared" si="1"/>
        <v>0</v>
      </c>
      <c r="R42" s="49" t="s">
        <v>27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36.0" customHeight="1">
      <c r="A43" s="16">
        <v>39.0</v>
      </c>
      <c r="B43" s="52">
        <v>45325.0</v>
      </c>
      <c r="C43" s="49" t="s">
        <v>350</v>
      </c>
      <c r="D43" s="49">
        <v>43380.0</v>
      </c>
      <c r="E43" s="49" t="s">
        <v>351</v>
      </c>
      <c r="F43" s="30"/>
      <c r="G43" s="30"/>
      <c r="H43" s="30">
        <v>1250.0</v>
      </c>
      <c r="I43" s="30"/>
      <c r="J43" s="30"/>
      <c r="K43" s="30"/>
      <c r="L43" s="30"/>
      <c r="M43" s="30"/>
      <c r="N43" s="30"/>
      <c r="O43" s="30"/>
      <c r="P43" s="53">
        <v>1250.0</v>
      </c>
      <c r="Q43" s="24">
        <f t="shared" si="1"/>
        <v>0</v>
      </c>
      <c r="R43" s="49">
        <v>49953.0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36.0" customHeight="1">
      <c r="A44" s="16">
        <v>40.0</v>
      </c>
      <c r="B44" s="52">
        <v>45325.0</v>
      </c>
      <c r="C44" s="49" t="s">
        <v>352</v>
      </c>
      <c r="D44" s="49">
        <v>65868.0</v>
      </c>
      <c r="E44" s="49" t="s">
        <v>353</v>
      </c>
      <c r="F44" s="30"/>
      <c r="G44" s="30"/>
      <c r="H44" s="30"/>
      <c r="I44" s="30"/>
      <c r="J44" s="30"/>
      <c r="K44" s="30">
        <v>2600.0</v>
      </c>
      <c r="L44" s="30"/>
      <c r="M44" s="30"/>
      <c r="N44" s="30"/>
      <c r="O44" s="30"/>
      <c r="P44" s="53">
        <v>2600.0</v>
      </c>
      <c r="Q44" s="24">
        <f t="shared" si="1"/>
        <v>0</v>
      </c>
      <c r="R44" s="49">
        <v>43380.0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36.0" customHeight="1">
      <c r="A45" s="16">
        <v>41.0</v>
      </c>
      <c r="B45" s="52">
        <v>45325.0</v>
      </c>
      <c r="C45" s="49" t="s">
        <v>354</v>
      </c>
      <c r="D45" s="49">
        <v>52669.0</v>
      </c>
      <c r="E45" s="49" t="s">
        <v>95</v>
      </c>
      <c r="F45" s="30"/>
      <c r="G45" s="30"/>
      <c r="H45" s="30">
        <v>26400.0</v>
      </c>
      <c r="I45" s="30"/>
      <c r="J45" s="30"/>
      <c r="K45" s="30"/>
      <c r="L45" s="30"/>
      <c r="M45" s="30"/>
      <c r="N45" s="30"/>
      <c r="O45" s="30"/>
      <c r="P45" s="53">
        <v>26400.0</v>
      </c>
      <c r="Q45" s="24">
        <f t="shared" si="1"/>
        <v>0</v>
      </c>
      <c r="R45" s="49">
        <v>65868.0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36.0" customHeight="1">
      <c r="A46" s="16">
        <v>42.0</v>
      </c>
      <c r="B46" s="52">
        <v>45325.0</v>
      </c>
      <c r="C46" s="49" t="s">
        <v>355</v>
      </c>
      <c r="D46" s="49">
        <v>51040.0</v>
      </c>
      <c r="E46" s="49" t="s">
        <v>356</v>
      </c>
      <c r="F46" s="30"/>
      <c r="G46" s="30"/>
      <c r="H46" s="30">
        <v>2500.0</v>
      </c>
      <c r="I46" s="30"/>
      <c r="J46" s="30"/>
      <c r="K46" s="30"/>
      <c r="L46" s="30"/>
      <c r="M46" s="30"/>
      <c r="N46" s="30"/>
      <c r="O46" s="30"/>
      <c r="P46" s="53">
        <v>2500.0</v>
      </c>
      <c r="Q46" s="24">
        <f t="shared" si="1"/>
        <v>0</v>
      </c>
      <c r="R46" s="49">
        <v>52669.0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36.0" customHeight="1">
      <c r="A47" s="16">
        <v>43.0</v>
      </c>
      <c r="B47" s="52">
        <v>45325.0</v>
      </c>
      <c r="C47" s="49" t="s">
        <v>357</v>
      </c>
      <c r="D47" s="49">
        <v>52215.0</v>
      </c>
      <c r="E47" s="49" t="s">
        <v>358</v>
      </c>
      <c r="F47" s="30"/>
      <c r="G47" s="30"/>
      <c r="H47" s="30">
        <v>4500.0</v>
      </c>
      <c r="I47" s="30"/>
      <c r="J47" s="30"/>
      <c r="K47" s="30"/>
      <c r="L47" s="30"/>
      <c r="M47" s="30"/>
      <c r="N47" s="30"/>
      <c r="O47" s="30"/>
      <c r="P47" s="53">
        <v>4500.0</v>
      </c>
      <c r="Q47" s="24">
        <f t="shared" si="1"/>
        <v>0</v>
      </c>
      <c r="R47" s="49">
        <v>51040.0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36.0" customHeight="1">
      <c r="A48" s="16"/>
      <c r="B48" s="27"/>
      <c r="C48" s="28"/>
      <c r="D48" s="29"/>
      <c r="E48" s="28"/>
      <c r="F48" s="30">
        <f t="shared" ref="F48:Q48" si="2">SUM(F5:F47)</f>
        <v>13500</v>
      </c>
      <c r="G48" s="30">
        <f t="shared" si="2"/>
        <v>22100</v>
      </c>
      <c r="H48" s="30">
        <f t="shared" si="2"/>
        <v>38850</v>
      </c>
      <c r="I48" s="30">
        <f t="shared" si="2"/>
        <v>75950</v>
      </c>
      <c r="J48" s="30">
        <f t="shared" si="2"/>
        <v>42110</v>
      </c>
      <c r="K48" s="30">
        <f t="shared" si="2"/>
        <v>8240</v>
      </c>
      <c r="L48" s="30">
        <f t="shared" si="2"/>
        <v>0</v>
      </c>
      <c r="M48" s="30">
        <f t="shared" si="2"/>
        <v>14750</v>
      </c>
      <c r="N48" s="30">
        <f t="shared" si="2"/>
        <v>0</v>
      </c>
      <c r="O48" s="30">
        <f t="shared" si="2"/>
        <v>0</v>
      </c>
      <c r="P48" s="30">
        <f t="shared" si="2"/>
        <v>215500</v>
      </c>
      <c r="Q48" s="24">
        <f t="shared" si="2"/>
        <v>0</v>
      </c>
      <c r="R48" s="49">
        <v>52215.0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36.0" customHeight="1">
      <c r="A49" s="35"/>
      <c r="B49" s="35"/>
      <c r="C49" s="35"/>
      <c r="D49" s="35"/>
      <c r="E49" s="35"/>
      <c r="F49" s="36">
        <f>F48+G48+H48+I48+J48+K48+L48+M48+N48+O48</f>
        <v>215500</v>
      </c>
      <c r="P49" s="36"/>
      <c r="Q49" s="36"/>
      <c r="R49" s="35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37" t="s">
        <v>242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38" t="s">
        <v>243</v>
      </c>
      <c r="F53" s="39" t="s">
        <v>359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38" t="s">
        <v>245</v>
      </c>
      <c r="F54" s="39" t="s">
        <v>359</v>
      </c>
      <c r="G54" s="4"/>
      <c r="H54" s="4"/>
      <c r="I54" s="4"/>
      <c r="J54" s="4"/>
      <c r="K54" s="4"/>
      <c r="L54" s="4"/>
      <c r="M54" s="4"/>
      <c r="N54" s="4"/>
      <c r="O54" s="4" t="s">
        <v>242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38" t="s">
        <v>246</v>
      </c>
      <c r="F55" s="39" t="s">
        <v>281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247</v>
      </c>
      <c r="F56" s="39" t="s">
        <v>281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248</v>
      </c>
      <c r="F57" s="39" t="s">
        <v>281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7.0" customHeight="1">
      <c r="A58" s="4"/>
      <c r="B58" s="4"/>
      <c r="C58" s="4"/>
      <c r="D58" s="4"/>
      <c r="E58" s="38" t="s">
        <v>360</v>
      </c>
      <c r="F58" s="39" t="s">
        <v>281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0.0" customHeight="1">
      <c r="A59" s="4"/>
      <c r="B59" s="4"/>
      <c r="C59" s="4"/>
      <c r="D59" s="4"/>
      <c r="E59" s="40" t="s">
        <v>250</v>
      </c>
      <c r="F59" s="39" t="s">
        <v>281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38" t="s">
        <v>252</v>
      </c>
      <c r="F60" s="39" t="s">
        <v>251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 t="s">
        <v>242</v>
      </c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 t="s">
        <v>253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9:O4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9.38"/>
    <col customWidth="1" min="5" max="5" width="68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16.0"/>
  </cols>
  <sheetData>
    <row r="1" ht="48.75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45326.0</v>
      </c>
      <c r="C5" s="55" t="s">
        <v>362</v>
      </c>
      <c r="D5" s="56">
        <v>59103.0</v>
      </c>
      <c r="E5" s="57" t="s">
        <v>336</v>
      </c>
      <c r="F5" s="21"/>
      <c r="G5" s="21"/>
      <c r="H5" s="21"/>
      <c r="I5" s="21">
        <v>14000.0</v>
      </c>
      <c r="J5" s="22"/>
      <c r="K5" s="21">
        <v>1000.0</v>
      </c>
      <c r="L5" s="21"/>
      <c r="M5" s="21"/>
      <c r="N5" s="21"/>
      <c r="O5" s="21"/>
      <c r="P5" s="58">
        <v>15000.0</v>
      </c>
      <c r="Q5" s="24">
        <f t="shared" ref="Q5:Q48" si="1">F5+G5+H5+I5+J5+K5+L5+M5+N5+O5-P5</f>
        <v>0</v>
      </c>
      <c r="R5" s="59" t="s">
        <v>30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45326.0</v>
      </c>
      <c r="C6" s="55" t="s">
        <v>363</v>
      </c>
      <c r="D6" s="56">
        <v>58050.0</v>
      </c>
      <c r="E6" s="57" t="s">
        <v>364</v>
      </c>
      <c r="F6" s="21"/>
      <c r="G6" s="21"/>
      <c r="H6" s="21"/>
      <c r="I6" s="22"/>
      <c r="J6" s="21">
        <v>3550.0</v>
      </c>
      <c r="K6" s="21"/>
      <c r="L6" s="21"/>
      <c r="M6" s="21"/>
      <c r="N6" s="21"/>
      <c r="O6" s="21"/>
      <c r="P6" s="58">
        <v>3550.0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45326.0</v>
      </c>
      <c r="C7" s="55" t="s">
        <v>365</v>
      </c>
      <c r="D7" s="56">
        <v>50436.0</v>
      </c>
      <c r="E7" s="57" t="s">
        <v>93</v>
      </c>
      <c r="F7" s="21"/>
      <c r="G7" s="21"/>
      <c r="H7" s="21"/>
      <c r="I7" s="22">
        <v>4500.0</v>
      </c>
      <c r="J7" s="21"/>
      <c r="K7" s="21"/>
      <c r="L7" s="21"/>
      <c r="M7" s="21"/>
      <c r="N7" s="21"/>
      <c r="O7" s="21"/>
      <c r="P7" s="58">
        <v>4500.0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45326.0</v>
      </c>
      <c r="C8" s="55" t="s">
        <v>366</v>
      </c>
      <c r="D8" s="56">
        <v>59380.0</v>
      </c>
      <c r="E8" s="57" t="s">
        <v>367</v>
      </c>
      <c r="F8" s="21"/>
      <c r="G8" s="21"/>
      <c r="H8" s="21"/>
      <c r="I8" s="22">
        <v>7650.0</v>
      </c>
      <c r="J8" s="21"/>
      <c r="K8" s="21"/>
      <c r="L8" s="21"/>
      <c r="M8" s="21"/>
      <c r="N8" s="21"/>
      <c r="O8" s="21"/>
      <c r="P8" s="58">
        <v>7650.0</v>
      </c>
      <c r="Q8" s="24">
        <f t="shared" si="1"/>
        <v>0</v>
      </c>
      <c r="R8" s="59" t="s">
        <v>27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45326.0</v>
      </c>
      <c r="C9" s="55" t="s">
        <v>368</v>
      </c>
      <c r="D9" s="56">
        <v>77187.0</v>
      </c>
      <c r="E9" s="57" t="s">
        <v>369</v>
      </c>
      <c r="F9" s="21"/>
      <c r="G9" s="21"/>
      <c r="H9" s="21"/>
      <c r="I9" s="22">
        <v>7000.0</v>
      </c>
      <c r="J9" s="21"/>
      <c r="K9" s="21"/>
      <c r="L9" s="21"/>
      <c r="M9" s="21"/>
      <c r="N9" s="21"/>
      <c r="O9" s="21"/>
      <c r="P9" s="58">
        <v>7000.0</v>
      </c>
      <c r="Q9" s="24">
        <f t="shared" si="1"/>
        <v>0</v>
      </c>
      <c r="R9" s="59" t="s">
        <v>30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45326.0</v>
      </c>
      <c r="C10" s="55" t="s">
        <v>370</v>
      </c>
      <c r="D10" s="56">
        <v>57201.0</v>
      </c>
      <c r="E10" s="57" t="s">
        <v>371</v>
      </c>
      <c r="F10" s="21"/>
      <c r="G10" s="21"/>
      <c r="H10" s="21">
        <v>0.0</v>
      </c>
      <c r="I10" s="22"/>
      <c r="J10" s="21"/>
      <c r="K10" s="21"/>
      <c r="L10" s="21"/>
      <c r="M10" s="21"/>
      <c r="N10" s="21"/>
      <c r="O10" s="21"/>
      <c r="P10" s="58">
        <v>1200.0</v>
      </c>
      <c r="Q10" s="24">
        <f t="shared" si="1"/>
        <v>-1200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45326.0</v>
      </c>
      <c r="C11" s="55" t="s">
        <v>372</v>
      </c>
      <c r="D11" s="56">
        <v>51821.0</v>
      </c>
      <c r="E11" s="57" t="s">
        <v>373</v>
      </c>
      <c r="F11" s="21"/>
      <c r="G11" s="21"/>
      <c r="H11" s="21"/>
      <c r="I11" s="22">
        <v>150.0</v>
      </c>
      <c r="J11" s="21"/>
      <c r="K11" s="21"/>
      <c r="L11" s="21"/>
      <c r="M11" s="21"/>
      <c r="N11" s="21"/>
      <c r="O11" s="21"/>
      <c r="P11" s="58">
        <v>150.0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45326.0</v>
      </c>
      <c r="C12" s="55" t="s">
        <v>374</v>
      </c>
      <c r="D12" s="56">
        <v>48053.0</v>
      </c>
      <c r="E12" s="57" t="s">
        <v>375</v>
      </c>
      <c r="F12" s="21"/>
      <c r="G12" s="21"/>
      <c r="H12" s="21"/>
      <c r="I12" s="22">
        <v>2500.0</v>
      </c>
      <c r="J12" s="21"/>
      <c r="K12" s="21"/>
      <c r="L12" s="21"/>
      <c r="M12" s="21"/>
      <c r="N12" s="21"/>
      <c r="O12" s="21"/>
      <c r="P12" s="58">
        <v>2500.0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45326.0</v>
      </c>
      <c r="C13" s="55" t="s">
        <v>376</v>
      </c>
      <c r="D13" s="56">
        <v>81431.0</v>
      </c>
      <c r="E13" s="57" t="s">
        <v>377</v>
      </c>
      <c r="F13" s="21"/>
      <c r="G13" s="21"/>
      <c r="H13" s="21"/>
      <c r="I13" s="22">
        <v>300.0</v>
      </c>
      <c r="J13" s="21"/>
      <c r="K13" s="21"/>
      <c r="L13" s="21"/>
      <c r="M13" s="21"/>
      <c r="N13" s="21"/>
      <c r="O13" s="21"/>
      <c r="P13" s="58">
        <v>300.0</v>
      </c>
      <c r="Q13" s="24">
        <f t="shared" si="1"/>
        <v>0</v>
      </c>
      <c r="R13" s="59" t="s">
        <v>27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45326.0</v>
      </c>
      <c r="C14" s="55" t="s">
        <v>378</v>
      </c>
      <c r="D14" s="56">
        <v>81432.0</v>
      </c>
      <c r="E14" s="57" t="s">
        <v>379</v>
      </c>
      <c r="F14" s="21"/>
      <c r="G14" s="21"/>
      <c r="H14" s="21"/>
      <c r="I14" s="22">
        <v>300.0</v>
      </c>
      <c r="J14" s="21"/>
      <c r="K14" s="21"/>
      <c r="L14" s="21"/>
      <c r="M14" s="21"/>
      <c r="N14" s="21"/>
      <c r="O14" s="21"/>
      <c r="P14" s="58">
        <v>300.0</v>
      </c>
      <c r="Q14" s="24">
        <f t="shared" si="1"/>
        <v>0</v>
      </c>
      <c r="R14" s="59" t="s">
        <v>27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45326.0</v>
      </c>
      <c r="C15" s="55" t="s">
        <v>380</v>
      </c>
      <c r="D15" s="56">
        <v>79673.0</v>
      </c>
      <c r="E15" s="57" t="s">
        <v>381</v>
      </c>
      <c r="F15" s="21"/>
      <c r="G15" s="21"/>
      <c r="H15" s="21"/>
      <c r="I15" s="22">
        <v>3100.0</v>
      </c>
      <c r="J15" s="21"/>
      <c r="K15" s="21"/>
      <c r="L15" s="21"/>
      <c r="M15" s="21"/>
      <c r="N15" s="21"/>
      <c r="O15" s="21"/>
      <c r="P15" s="58">
        <v>3100.0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45326.0</v>
      </c>
      <c r="C16" s="55" t="s">
        <v>382</v>
      </c>
      <c r="D16" s="56">
        <v>80829.0</v>
      </c>
      <c r="E16" s="57" t="s">
        <v>383</v>
      </c>
      <c r="F16" s="21"/>
      <c r="G16" s="21"/>
      <c r="H16" s="21"/>
      <c r="I16" s="22"/>
      <c r="J16" s="21">
        <v>500.0</v>
      </c>
      <c r="K16" s="21"/>
      <c r="L16" s="21"/>
      <c r="M16" s="21"/>
      <c r="N16" s="21"/>
      <c r="O16" s="21"/>
      <c r="P16" s="58">
        <v>500.0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45326.0</v>
      </c>
      <c r="C17" s="55" t="s">
        <v>384</v>
      </c>
      <c r="D17" s="56">
        <v>80924.0</v>
      </c>
      <c r="E17" s="57" t="s">
        <v>385</v>
      </c>
      <c r="F17" s="21"/>
      <c r="G17" s="21"/>
      <c r="H17" s="21"/>
      <c r="I17" s="22"/>
      <c r="J17" s="21">
        <v>500.0</v>
      </c>
      <c r="K17" s="21"/>
      <c r="L17" s="21"/>
      <c r="M17" s="21"/>
      <c r="N17" s="21"/>
      <c r="O17" s="21"/>
      <c r="P17" s="58">
        <v>500.0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45326.0</v>
      </c>
      <c r="C18" s="55" t="s">
        <v>386</v>
      </c>
      <c r="D18" s="56">
        <v>81420.0</v>
      </c>
      <c r="E18" s="57" t="s">
        <v>101</v>
      </c>
      <c r="F18" s="21">
        <v>2250.0</v>
      </c>
      <c r="G18" s="21"/>
      <c r="H18" s="21"/>
      <c r="I18" s="22"/>
      <c r="J18" s="21"/>
      <c r="K18" s="21"/>
      <c r="L18" s="21"/>
      <c r="M18" s="21"/>
      <c r="N18" s="21"/>
      <c r="O18" s="21"/>
      <c r="P18" s="58">
        <v>2250.0</v>
      </c>
      <c r="Q18" s="24">
        <f t="shared" si="1"/>
        <v>0</v>
      </c>
      <c r="R18" s="59" t="s">
        <v>27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45326.0</v>
      </c>
      <c r="C19" s="55" t="s">
        <v>387</v>
      </c>
      <c r="D19" s="56">
        <v>59244.0</v>
      </c>
      <c r="E19" s="57" t="s">
        <v>388</v>
      </c>
      <c r="F19" s="21"/>
      <c r="G19" s="21"/>
      <c r="H19" s="21"/>
      <c r="I19" s="22">
        <v>17100.0</v>
      </c>
      <c r="J19" s="21"/>
      <c r="K19" s="21"/>
      <c r="L19" s="21"/>
      <c r="M19" s="21"/>
      <c r="N19" s="21"/>
      <c r="O19" s="21"/>
      <c r="P19" s="58">
        <v>17100.0</v>
      </c>
      <c r="Q19" s="24">
        <f t="shared" si="1"/>
        <v>0</v>
      </c>
      <c r="R19" s="59" t="s">
        <v>30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45326.0</v>
      </c>
      <c r="C20" s="55" t="s">
        <v>389</v>
      </c>
      <c r="D20" s="56">
        <v>80392.0</v>
      </c>
      <c r="E20" s="57" t="s">
        <v>390</v>
      </c>
      <c r="F20" s="21"/>
      <c r="G20" s="21"/>
      <c r="H20" s="21"/>
      <c r="I20" s="22">
        <v>7000.0</v>
      </c>
      <c r="J20" s="21"/>
      <c r="K20" s="21"/>
      <c r="L20" s="21"/>
      <c r="M20" s="21"/>
      <c r="N20" s="21"/>
      <c r="O20" s="21"/>
      <c r="P20" s="58">
        <v>7000.0</v>
      </c>
      <c r="Q20" s="24">
        <f t="shared" si="1"/>
        <v>0</v>
      </c>
      <c r="R20" s="59" t="s">
        <v>30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45326.0</v>
      </c>
      <c r="C21" s="55" t="s">
        <v>391</v>
      </c>
      <c r="D21" s="56">
        <v>75045.0</v>
      </c>
      <c r="E21" s="57" t="s">
        <v>392</v>
      </c>
      <c r="F21" s="21">
        <v>300.0</v>
      </c>
      <c r="G21" s="21"/>
      <c r="H21" s="21"/>
      <c r="I21" s="22"/>
      <c r="J21" s="21"/>
      <c r="K21" s="21"/>
      <c r="L21" s="21"/>
      <c r="M21" s="21"/>
      <c r="N21" s="21"/>
      <c r="O21" s="21"/>
      <c r="P21" s="58">
        <v>300.0</v>
      </c>
      <c r="Q21" s="24">
        <f t="shared" si="1"/>
        <v>0</v>
      </c>
      <c r="R21" s="59" t="s">
        <v>27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45326.0</v>
      </c>
      <c r="C22" s="55" t="s">
        <v>393</v>
      </c>
      <c r="D22" s="56">
        <v>51372.0</v>
      </c>
      <c r="E22" s="57" t="s">
        <v>394</v>
      </c>
      <c r="F22" s="21"/>
      <c r="G22" s="21"/>
      <c r="H22" s="21"/>
      <c r="I22" s="22"/>
      <c r="J22" s="21"/>
      <c r="K22" s="21"/>
      <c r="L22" s="21"/>
      <c r="M22" s="21">
        <v>525.0</v>
      </c>
      <c r="N22" s="21"/>
      <c r="O22" s="21"/>
      <c r="P22" s="58">
        <v>525.0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45326.0</v>
      </c>
      <c r="C23" s="56" t="s">
        <v>395</v>
      </c>
      <c r="D23" s="56">
        <v>67797.0</v>
      </c>
      <c r="E23" s="57" t="s">
        <v>396</v>
      </c>
      <c r="F23" s="30"/>
      <c r="G23" s="30"/>
      <c r="H23" s="30"/>
      <c r="I23" s="30"/>
      <c r="J23" s="30">
        <v>23400.0</v>
      </c>
      <c r="K23" s="30"/>
      <c r="L23" s="30"/>
      <c r="M23" s="30"/>
      <c r="N23" s="30"/>
      <c r="O23" s="30"/>
      <c r="P23" s="61">
        <v>23400.0</v>
      </c>
      <c r="Q23" s="24">
        <f t="shared" si="1"/>
        <v>0</v>
      </c>
      <c r="R23" s="57" t="s">
        <v>30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45326.0</v>
      </c>
      <c r="C24" s="56" t="s">
        <v>397</v>
      </c>
      <c r="D24" s="56">
        <v>78998.0</v>
      </c>
      <c r="E24" s="57" t="s">
        <v>398</v>
      </c>
      <c r="F24" s="30"/>
      <c r="G24" s="30"/>
      <c r="H24" s="30"/>
      <c r="I24" s="30">
        <v>2650.0</v>
      </c>
      <c r="J24" s="30"/>
      <c r="K24" s="30"/>
      <c r="L24" s="30"/>
      <c r="M24" s="30"/>
      <c r="N24" s="30"/>
      <c r="O24" s="30"/>
      <c r="P24" s="61">
        <v>2650.0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45326.0</v>
      </c>
      <c r="C25" s="56" t="s">
        <v>399</v>
      </c>
      <c r="D25" s="56">
        <v>69093.0</v>
      </c>
      <c r="E25" s="57" t="s">
        <v>400</v>
      </c>
      <c r="F25" s="30">
        <v>2650.0</v>
      </c>
      <c r="G25" s="30"/>
      <c r="H25" s="30"/>
      <c r="I25" s="30"/>
      <c r="J25" s="30"/>
      <c r="K25" s="30"/>
      <c r="L25" s="30"/>
      <c r="M25" s="30"/>
      <c r="N25" s="30"/>
      <c r="O25" s="30"/>
      <c r="P25" s="61">
        <v>2650.0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45326.0</v>
      </c>
      <c r="C26" s="56" t="s">
        <v>401</v>
      </c>
      <c r="D26" s="56">
        <v>81436.0</v>
      </c>
      <c r="E26" s="57" t="s">
        <v>402</v>
      </c>
      <c r="F26" s="30"/>
      <c r="G26" s="30"/>
      <c r="H26" s="30"/>
      <c r="I26" s="30">
        <v>300.0</v>
      </c>
      <c r="J26" s="30"/>
      <c r="K26" s="30"/>
      <c r="L26" s="30"/>
      <c r="M26" s="30"/>
      <c r="N26" s="30"/>
      <c r="O26" s="30"/>
      <c r="P26" s="61">
        <v>300.0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45326.0</v>
      </c>
      <c r="C27" s="56" t="s">
        <v>403</v>
      </c>
      <c r="D27" s="56">
        <v>22332.0</v>
      </c>
      <c r="E27" s="57" t="s">
        <v>404</v>
      </c>
      <c r="F27" s="30"/>
      <c r="G27" s="30"/>
      <c r="H27" s="30"/>
      <c r="I27" s="30">
        <v>325.0</v>
      </c>
      <c r="J27" s="30"/>
      <c r="K27" s="30"/>
      <c r="L27" s="30"/>
      <c r="M27" s="30"/>
      <c r="N27" s="30"/>
      <c r="O27" s="30"/>
      <c r="P27" s="61">
        <v>325.0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45326.0</v>
      </c>
      <c r="C28" s="56" t="s">
        <v>405</v>
      </c>
      <c r="D28" s="56">
        <v>75872.0</v>
      </c>
      <c r="E28" s="57" t="s">
        <v>406</v>
      </c>
      <c r="F28" s="30"/>
      <c r="G28" s="30"/>
      <c r="H28" s="30"/>
      <c r="I28" s="30">
        <v>8000.0</v>
      </c>
      <c r="J28" s="30"/>
      <c r="K28" s="30"/>
      <c r="L28" s="30"/>
      <c r="M28" s="30"/>
      <c r="N28" s="30"/>
      <c r="O28" s="30"/>
      <c r="P28" s="61">
        <v>8000.0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45326.0</v>
      </c>
      <c r="C29" s="56" t="s">
        <v>407</v>
      </c>
      <c r="D29" s="56">
        <v>62146.0</v>
      </c>
      <c r="E29" s="57" t="s">
        <v>55</v>
      </c>
      <c r="F29" s="30"/>
      <c r="G29" s="30"/>
      <c r="H29" s="30"/>
      <c r="I29" s="30">
        <v>700.0</v>
      </c>
      <c r="J29" s="30"/>
      <c r="K29" s="30"/>
      <c r="L29" s="30"/>
      <c r="M29" s="30"/>
      <c r="N29" s="30"/>
      <c r="O29" s="30"/>
      <c r="P29" s="61">
        <v>700.0</v>
      </c>
      <c r="Q29" s="24">
        <f t="shared" si="1"/>
        <v>0</v>
      </c>
      <c r="R29" s="57" t="s">
        <v>56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45326.0</v>
      </c>
      <c r="C30" s="56" t="s">
        <v>408</v>
      </c>
      <c r="D30" s="56">
        <v>62146.0</v>
      </c>
      <c r="E30" s="57" t="s">
        <v>55</v>
      </c>
      <c r="F30" s="30"/>
      <c r="G30" s="30"/>
      <c r="H30" s="30"/>
      <c r="I30" s="30">
        <v>350.0</v>
      </c>
      <c r="J30" s="30"/>
      <c r="K30" s="30"/>
      <c r="L30" s="30"/>
      <c r="M30" s="30"/>
      <c r="N30" s="30"/>
      <c r="O30" s="30"/>
      <c r="P30" s="61">
        <v>350.0</v>
      </c>
      <c r="Q30" s="24">
        <f t="shared" si="1"/>
        <v>0</v>
      </c>
      <c r="R30" s="57" t="s">
        <v>56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45326.0</v>
      </c>
      <c r="C31" s="56" t="s">
        <v>409</v>
      </c>
      <c r="D31" s="56">
        <v>49252.0</v>
      </c>
      <c r="E31" s="57" t="s">
        <v>410</v>
      </c>
      <c r="F31" s="30"/>
      <c r="G31" s="30"/>
      <c r="H31" s="30"/>
      <c r="I31" s="30"/>
      <c r="J31" s="30"/>
      <c r="K31" s="30"/>
      <c r="L31" s="30"/>
      <c r="M31" s="30">
        <v>8225.0</v>
      </c>
      <c r="N31" s="30"/>
      <c r="O31" s="30"/>
      <c r="P31" s="61">
        <v>8225.0</v>
      </c>
      <c r="Q31" s="24">
        <f t="shared" si="1"/>
        <v>0</v>
      </c>
      <c r="R31" s="57" t="s">
        <v>27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45326.0</v>
      </c>
      <c r="C32" s="56" t="s">
        <v>411</v>
      </c>
      <c r="D32" s="56">
        <v>81440.0</v>
      </c>
      <c r="E32" s="57" t="s">
        <v>412</v>
      </c>
      <c r="F32" s="30"/>
      <c r="G32" s="30"/>
      <c r="H32" s="30"/>
      <c r="I32" s="30"/>
      <c r="J32" s="30">
        <v>300.0</v>
      </c>
      <c r="K32" s="30"/>
      <c r="L32" s="30"/>
      <c r="M32" s="30"/>
      <c r="N32" s="30"/>
      <c r="O32" s="30"/>
      <c r="P32" s="61">
        <v>300.0</v>
      </c>
      <c r="Q32" s="24">
        <f t="shared" si="1"/>
        <v>0</v>
      </c>
      <c r="R32" s="57" t="s">
        <v>30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30.0</v>
      </c>
      <c r="B33" s="60">
        <v>45326.0</v>
      </c>
      <c r="C33" s="56" t="s">
        <v>413</v>
      </c>
      <c r="D33" s="56">
        <v>13781.0</v>
      </c>
      <c r="E33" s="57" t="s">
        <v>302</v>
      </c>
      <c r="F33" s="30"/>
      <c r="G33" s="30"/>
      <c r="H33" s="30"/>
      <c r="I33" s="30">
        <v>4500.0</v>
      </c>
      <c r="J33" s="30"/>
      <c r="K33" s="30"/>
      <c r="L33" s="30"/>
      <c r="M33" s="30"/>
      <c r="N33" s="30"/>
      <c r="O33" s="30"/>
      <c r="P33" s="61">
        <v>4500.0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31.0</v>
      </c>
      <c r="B34" s="60">
        <v>45326.0</v>
      </c>
      <c r="C34" s="56" t="s">
        <v>414</v>
      </c>
      <c r="D34" s="56">
        <v>22332.0</v>
      </c>
      <c r="E34" s="57" t="s">
        <v>404</v>
      </c>
      <c r="F34" s="30"/>
      <c r="G34" s="30"/>
      <c r="H34" s="30"/>
      <c r="I34" s="30"/>
      <c r="J34" s="30"/>
      <c r="K34" s="30"/>
      <c r="L34" s="30"/>
      <c r="M34" s="30">
        <v>10100.0</v>
      </c>
      <c r="N34" s="30"/>
      <c r="O34" s="30"/>
      <c r="P34" s="61">
        <v>10100.0</v>
      </c>
      <c r="Q34" s="24">
        <f t="shared" si="1"/>
        <v>0</v>
      </c>
      <c r="R34" s="57" t="s">
        <v>27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32.0</v>
      </c>
      <c r="B35" s="60">
        <v>45326.0</v>
      </c>
      <c r="C35" s="56" t="s">
        <v>415</v>
      </c>
      <c r="D35" s="56">
        <v>52083.0</v>
      </c>
      <c r="E35" s="57" t="s">
        <v>23</v>
      </c>
      <c r="F35" s="30"/>
      <c r="G35" s="30"/>
      <c r="H35" s="30"/>
      <c r="I35" s="30">
        <v>7800.0</v>
      </c>
      <c r="J35" s="30"/>
      <c r="K35" s="30"/>
      <c r="L35" s="30"/>
      <c r="M35" s="30"/>
      <c r="N35" s="30"/>
      <c r="O35" s="30"/>
      <c r="P35" s="61">
        <v>7800.0</v>
      </c>
      <c r="Q35" s="24">
        <f t="shared" si="1"/>
        <v>0</v>
      </c>
      <c r="R35" s="57" t="s">
        <v>27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33.0</v>
      </c>
      <c r="B36" s="60">
        <v>45325.0</v>
      </c>
      <c r="C36" s="56" t="s">
        <v>416</v>
      </c>
      <c r="D36" s="56">
        <v>22341.0</v>
      </c>
      <c r="E36" s="57" t="s">
        <v>417</v>
      </c>
      <c r="F36" s="30"/>
      <c r="G36" s="30"/>
      <c r="H36" s="30"/>
      <c r="I36" s="30"/>
      <c r="J36" s="30"/>
      <c r="K36" s="30"/>
      <c r="L36" s="30"/>
      <c r="M36" s="30"/>
      <c r="N36" s="30"/>
      <c r="O36" s="30">
        <v>1200.0</v>
      </c>
      <c r="P36" s="61">
        <v>1200.0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34.0</v>
      </c>
      <c r="B37" s="60">
        <v>45326.0</v>
      </c>
      <c r="C37" s="56" t="s">
        <v>418</v>
      </c>
      <c r="D37" s="56">
        <v>57201.0</v>
      </c>
      <c r="E37" s="57" t="s">
        <v>371</v>
      </c>
      <c r="F37" s="30"/>
      <c r="G37" s="30"/>
      <c r="H37" s="30">
        <v>1200.0</v>
      </c>
      <c r="I37" s="30"/>
      <c r="J37" s="30"/>
      <c r="K37" s="30"/>
      <c r="L37" s="30"/>
      <c r="M37" s="30"/>
      <c r="N37" s="30"/>
      <c r="O37" s="30"/>
      <c r="P37" s="61">
        <v>1200.0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35.0</v>
      </c>
      <c r="B38" s="60">
        <v>45326.0</v>
      </c>
      <c r="C38" s="56" t="s">
        <v>419</v>
      </c>
      <c r="D38" s="56">
        <v>51821.0</v>
      </c>
      <c r="E38" s="57" t="s">
        <v>373</v>
      </c>
      <c r="F38" s="30"/>
      <c r="G38" s="30"/>
      <c r="H38" s="30"/>
      <c r="I38" s="30"/>
      <c r="J38" s="30"/>
      <c r="K38" s="30"/>
      <c r="L38" s="30"/>
      <c r="M38" s="30"/>
      <c r="N38" s="30"/>
      <c r="O38" s="30">
        <v>6115.0</v>
      </c>
      <c r="P38" s="61">
        <v>6115.0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36.0</v>
      </c>
      <c r="B39" s="60">
        <v>45326.0</v>
      </c>
      <c r="C39" s="56" t="s">
        <v>420</v>
      </c>
      <c r="D39" s="56">
        <v>21828.0</v>
      </c>
      <c r="E39" s="57" t="s">
        <v>217</v>
      </c>
      <c r="F39" s="30"/>
      <c r="G39" s="30"/>
      <c r="H39" s="30"/>
      <c r="I39" s="30"/>
      <c r="J39" s="30"/>
      <c r="K39" s="30"/>
      <c r="L39" s="30"/>
      <c r="M39" s="30">
        <v>450.0</v>
      </c>
      <c r="N39" s="30"/>
      <c r="O39" s="30"/>
      <c r="P39" s="61">
        <v>450.0</v>
      </c>
      <c r="Q39" s="24">
        <f t="shared" si="1"/>
        <v>0</v>
      </c>
      <c r="R39" s="57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37.0</v>
      </c>
      <c r="B40" s="60">
        <v>45326.0</v>
      </c>
      <c r="C40" s="56" t="s">
        <v>421</v>
      </c>
      <c r="D40" s="56">
        <v>22332.0</v>
      </c>
      <c r="E40" s="57" t="s">
        <v>404</v>
      </c>
      <c r="F40" s="30"/>
      <c r="G40" s="30"/>
      <c r="H40" s="30"/>
      <c r="I40" s="30"/>
      <c r="J40" s="30"/>
      <c r="K40" s="30">
        <v>360.0</v>
      </c>
      <c r="L40" s="30"/>
      <c r="M40" s="30"/>
      <c r="N40" s="30"/>
      <c r="O40" s="30">
        <v>840.0</v>
      </c>
      <c r="P40" s="61">
        <v>1200.0</v>
      </c>
      <c r="Q40" s="24">
        <f t="shared" si="1"/>
        <v>0</v>
      </c>
      <c r="R40" s="57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38.0</v>
      </c>
      <c r="B41" s="60">
        <v>45326.0</v>
      </c>
      <c r="C41" s="56" t="s">
        <v>422</v>
      </c>
      <c r="D41" s="56">
        <v>22469.0</v>
      </c>
      <c r="E41" s="57" t="s">
        <v>423</v>
      </c>
      <c r="F41" s="30"/>
      <c r="G41" s="30"/>
      <c r="H41" s="30"/>
      <c r="I41" s="30"/>
      <c r="J41" s="30"/>
      <c r="K41" s="30">
        <v>300.0</v>
      </c>
      <c r="L41" s="30"/>
      <c r="M41" s="30"/>
      <c r="N41" s="30"/>
      <c r="O41" s="30">
        <v>2100.0</v>
      </c>
      <c r="P41" s="61">
        <v>2400.0</v>
      </c>
      <c r="Q41" s="24">
        <f t="shared" si="1"/>
        <v>0</v>
      </c>
      <c r="R41" s="57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39.0</v>
      </c>
      <c r="B42" s="60">
        <v>45326.0</v>
      </c>
      <c r="C42" s="56" t="s">
        <v>424</v>
      </c>
      <c r="D42" s="56">
        <v>24368.0</v>
      </c>
      <c r="E42" s="57" t="s">
        <v>425</v>
      </c>
      <c r="F42" s="30"/>
      <c r="G42" s="30"/>
      <c r="H42" s="30"/>
      <c r="I42" s="30"/>
      <c r="J42" s="30"/>
      <c r="K42" s="30"/>
      <c r="L42" s="30"/>
      <c r="M42" s="30"/>
      <c r="N42" s="30"/>
      <c r="O42" s="30">
        <v>800.0</v>
      </c>
      <c r="P42" s="61">
        <v>800.0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40.0</v>
      </c>
      <c r="B43" s="60">
        <v>45326.0</v>
      </c>
      <c r="C43" s="56" t="s">
        <v>426</v>
      </c>
      <c r="D43" s="56">
        <v>50595.0</v>
      </c>
      <c r="E43" s="57" t="s">
        <v>427</v>
      </c>
      <c r="F43" s="30"/>
      <c r="G43" s="30"/>
      <c r="H43" s="30">
        <v>34000.0</v>
      </c>
      <c r="I43" s="30"/>
      <c r="J43" s="30"/>
      <c r="K43" s="30"/>
      <c r="L43" s="30"/>
      <c r="M43" s="30"/>
      <c r="N43" s="30"/>
      <c r="O43" s="30"/>
      <c r="P43" s="61">
        <v>34000.0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41.0</v>
      </c>
      <c r="B44" s="60">
        <v>45326.0</v>
      </c>
      <c r="C44" s="56" t="s">
        <v>428</v>
      </c>
      <c r="D44" s="56">
        <v>15836.0</v>
      </c>
      <c r="E44" s="57" t="s">
        <v>429</v>
      </c>
      <c r="F44" s="30"/>
      <c r="G44" s="30"/>
      <c r="H44" s="30"/>
      <c r="I44" s="30"/>
      <c r="J44" s="30"/>
      <c r="K44" s="30"/>
      <c r="L44" s="30"/>
      <c r="M44" s="30"/>
      <c r="N44" s="30"/>
      <c r="O44" s="30">
        <v>1200.0</v>
      </c>
      <c r="P44" s="61">
        <v>1200.0</v>
      </c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42.0</v>
      </c>
      <c r="B45" s="60">
        <v>45326.0</v>
      </c>
      <c r="C45" s="56" t="s">
        <v>430</v>
      </c>
      <c r="D45" s="56">
        <v>13762.0</v>
      </c>
      <c r="E45" s="57" t="s">
        <v>267</v>
      </c>
      <c r="F45" s="30"/>
      <c r="G45" s="30"/>
      <c r="H45" s="30"/>
      <c r="I45" s="30"/>
      <c r="J45" s="30"/>
      <c r="K45" s="30"/>
      <c r="L45" s="30"/>
      <c r="M45" s="30"/>
      <c r="N45" s="30"/>
      <c r="O45" s="30">
        <v>2400.0</v>
      </c>
      <c r="P45" s="61">
        <v>2400.0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43.0</v>
      </c>
      <c r="B46" s="60">
        <v>45326.0</v>
      </c>
      <c r="C46" s="56" t="s">
        <v>431</v>
      </c>
      <c r="D46" s="56">
        <v>72922.0</v>
      </c>
      <c r="E46" s="57" t="s">
        <v>432</v>
      </c>
      <c r="F46" s="30"/>
      <c r="G46" s="30"/>
      <c r="H46" s="30"/>
      <c r="I46" s="30"/>
      <c r="J46" s="30"/>
      <c r="K46" s="30"/>
      <c r="L46" s="30"/>
      <c r="M46" s="30"/>
      <c r="N46" s="30"/>
      <c r="O46" s="30">
        <v>1200.0</v>
      </c>
      <c r="P46" s="61">
        <v>1200.0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44.0</v>
      </c>
      <c r="B47" s="63">
        <v>45326.0</v>
      </c>
      <c r="C47" s="64" t="s">
        <v>433</v>
      </c>
      <c r="D47" s="64">
        <v>20692.0</v>
      </c>
      <c r="E47" s="65" t="s">
        <v>434</v>
      </c>
      <c r="F47" s="30"/>
      <c r="G47" s="30"/>
      <c r="H47" s="30"/>
      <c r="I47" s="30"/>
      <c r="J47" s="30"/>
      <c r="K47" s="30"/>
      <c r="L47" s="30"/>
      <c r="M47" s="30"/>
      <c r="N47" s="30"/>
      <c r="O47" s="30">
        <v>1200.0</v>
      </c>
      <c r="P47" s="66">
        <v>1200.0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45.0</v>
      </c>
      <c r="B48" s="63">
        <v>45326.0</v>
      </c>
      <c r="C48" s="64" t="s">
        <v>435</v>
      </c>
      <c r="D48" s="64">
        <v>55592.0</v>
      </c>
      <c r="E48" s="65" t="s">
        <v>436</v>
      </c>
      <c r="F48" s="30"/>
      <c r="G48" s="30"/>
      <c r="H48" s="30"/>
      <c r="I48" s="30"/>
      <c r="J48" s="30"/>
      <c r="K48" s="30"/>
      <c r="L48" s="30"/>
      <c r="M48" s="30"/>
      <c r="N48" s="30"/>
      <c r="O48" s="30">
        <v>16800.0</v>
      </c>
      <c r="P48" s="66">
        <v>16800.0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/>
      <c r="B49" s="27"/>
      <c r="C49" s="28"/>
      <c r="D49" s="29"/>
      <c r="E49" s="28"/>
      <c r="F49" s="30">
        <f t="shared" ref="F49:Q49" si="2">SUM(F5:F48)</f>
        <v>5200</v>
      </c>
      <c r="G49" s="30">
        <f t="shared" si="2"/>
        <v>0</v>
      </c>
      <c r="H49" s="30">
        <f t="shared" si="2"/>
        <v>35200</v>
      </c>
      <c r="I49" s="30">
        <f t="shared" si="2"/>
        <v>88225</v>
      </c>
      <c r="J49" s="30">
        <f t="shared" si="2"/>
        <v>28250</v>
      </c>
      <c r="K49" s="30">
        <f t="shared" si="2"/>
        <v>1660</v>
      </c>
      <c r="L49" s="30">
        <f t="shared" si="2"/>
        <v>0</v>
      </c>
      <c r="M49" s="30">
        <f t="shared" si="2"/>
        <v>19300</v>
      </c>
      <c r="N49" s="30">
        <f t="shared" si="2"/>
        <v>0</v>
      </c>
      <c r="O49" s="30">
        <f t="shared" si="2"/>
        <v>33855</v>
      </c>
      <c r="P49" s="30">
        <f t="shared" si="2"/>
        <v>212890</v>
      </c>
      <c r="Q49" s="24">
        <f t="shared" si="2"/>
        <v>-1200</v>
      </c>
      <c r="R49" s="67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36.0" customHeight="1">
      <c r="A50" s="35"/>
      <c r="B50" s="35"/>
      <c r="C50" s="35"/>
      <c r="D50" s="35"/>
      <c r="E50" s="35"/>
      <c r="F50" s="36">
        <f>F49+G49+H49+I49+J49+K49+L49+M49+N49+O49</f>
        <v>211690</v>
      </c>
      <c r="P50" s="36"/>
      <c r="Q50" s="36"/>
      <c r="R50" s="35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37" t="s">
        <v>242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38" t="s">
        <v>243</v>
      </c>
      <c r="F54" s="39" t="s">
        <v>244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38" t="s">
        <v>245</v>
      </c>
      <c r="F55" s="39" t="s">
        <v>244</v>
      </c>
      <c r="G55" s="4"/>
      <c r="H55" s="4"/>
      <c r="I55" s="4"/>
      <c r="J55" s="4"/>
      <c r="K55" s="4"/>
      <c r="L55" s="4"/>
      <c r="M55" s="4"/>
      <c r="N55" s="4"/>
      <c r="O55" s="4" t="s">
        <v>242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246</v>
      </c>
      <c r="F56" s="39" t="s">
        <v>244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247</v>
      </c>
      <c r="F57" s="39" t="s">
        <v>244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38" t="s">
        <v>248</v>
      </c>
      <c r="F58" s="39" t="s">
        <v>244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7.0" customHeight="1">
      <c r="A59" s="4"/>
      <c r="B59" s="4"/>
      <c r="C59" s="4"/>
      <c r="D59" s="4"/>
      <c r="E59" s="38" t="s">
        <v>437</v>
      </c>
      <c r="F59" s="39" t="s">
        <v>244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0.0" customHeight="1">
      <c r="A60" s="4"/>
      <c r="B60" s="4"/>
      <c r="C60" s="4"/>
      <c r="D60" s="4"/>
      <c r="E60" s="40" t="s">
        <v>250</v>
      </c>
      <c r="F60" s="39" t="s">
        <v>438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38" t="s">
        <v>252</v>
      </c>
      <c r="F61" s="39" t="s">
        <v>244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242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 t="s">
        <v>253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0:O5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9.38"/>
    <col customWidth="1" min="5" max="5" width="68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45326.0</v>
      </c>
      <c r="C5" s="55" t="s">
        <v>440</v>
      </c>
      <c r="D5" s="56">
        <v>51697.0</v>
      </c>
      <c r="E5" s="57" t="s">
        <v>441</v>
      </c>
      <c r="F5" s="21"/>
      <c r="G5" s="21"/>
      <c r="H5" s="21"/>
      <c r="I5" s="21"/>
      <c r="J5" s="22">
        <v>4650.0</v>
      </c>
      <c r="K5" s="21"/>
      <c r="L5" s="21"/>
      <c r="M5" s="21"/>
      <c r="N5" s="21"/>
      <c r="O5" s="21"/>
      <c r="P5" s="58">
        <v>4650.0</v>
      </c>
      <c r="Q5" s="24">
        <f t="shared" ref="Q5:Q66" si="1">F5+G5+H5+I5+J5+K5+L5+M5+N5+O5-P5</f>
        <v>0</v>
      </c>
      <c r="R5" s="59" t="s">
        <v>27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45326.0</v>
      </c>
      <c r="C6" s="55" t="s">
        <v>442</v>
      </c>
      <c r="D6" s="56">
        <v>48738.0</v>
      </c>
      <c r="E6" s="57" t="s">
        <v>443</v>
      </c>
      <c r="F6" s="21"/>
      <c r="G6" s="21"/>
      <c r="H6" s="21"/>
      <c r="I6" s="22">
        <v>2650.0</v>
      </c>
      <c r="J6" s="21"/>
      <c r="K6" s="21"/>
      <c r="L6" s="21"/>
      <c r="M6" s="21"/>
      <c r="N6" s="21"/>
      <c r="O6" s="21"/>
      <c r="P6" s="58">
        <v>2650.0</v>
      </c>
      <c r="Q6" s="24">
        <f t="shared" si="1"/>
        <v>0</v>
      </c>
      <c r="R6" s="59" t="s">
        <v>27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45326.0</v>
      </c>
      <c r="C7" s="55" t="s">
        <v>444</v>
      </c>
      <c r="D7" s="56">
        <v>13781.0</v>
      </c>
      <c r="E7" s="57" t="s">
        <v>302</v>
      </c>
      <c r="F7" s="21"/>
      <c r="G7" s="21"/>
      <c r="H7" s="21"/>
      <c r="I7" s="22">
        <v>1450.0</v>
      </c>
      <c r="J7" s="21"/>
      <c r="K7" s="21"/>
      <c r="L7" s="21"/>
      <c r="M7" s="21"/>
      <c r="N7" s="21"/>
      <c r="O7" s="21"/>
      <c r="P7" s="58">
        <v>1450.0</v>
      </c>
      <c r="Q7" s="24">
        <f t="shared" si="1"/>
        <v>0</v>
      </c>
      <c r="R7" s="59" t="s">
        <v>30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45327.0</v>
      </c>
      <c r="C8" s="55" t="s">
        <v>445</v>
      </c>
      <c r="D8" s="56">
        <v>81419.0</v>
      </c>
      <c r="E8" s="57" t="s">
        <v>87</v>
      </c>
      <c r="F8" s="21"/>
      <c r="G8" s="21"/>
      <c r="H8" s="21"/>
      <c r="I8" s="22">
        <v>7000.0</v>
      </c>
      <c r="J8" s="21"/>
      <c r="K8" s="21"/>
      <c r="L8" s="21"/>
      <c r="M8" s="21"/>
      <c r="N8" s="21"/>
      <c r="O8" s="21"/>
      <c r="P8" s="58">
        <v>7000.0</v>
      </c>
      <c r="Q8" s="24">
        <f t="shared" si="1"/>
        <v>0</v>
      </c>
      <c r="R8" s="59" t="s">
        <v>56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45327.0</v>
      </c>
      <c r="C9" s="55" t="s">
        <v>446</v>
      </c>
      <c r="D9" s="56">
        <v>50445.0</v>
      </c>
      <c r="E9" s="57" t="s">
        <v>447</v>
      </c>
      <c r="F9" s="21"/>
      <c r="G9" s="21"/>
      <c r="H9" s="21"/>
      <c r="I9" s="22">
        <v>240.0</v>
      </c>
      <c r="J9" s="21"/>
      <c r="K9" s="21"/>
      <c r="L9" s="21"/>
      <c r="M9" s="21"/>
      <c r="N9" s="21"/>
      <c r="O9" s="21"/>
      <c r="P9" s="58">
        <v>240.0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45327.0</v>
      </c>
      <c r="C10" s="55" t="s">
        <v>448</v>
      </c>
      <c r="D10" s="56">
        <v>78940.0</v>
      </c>
      <c r="E10" s="57" t="s">
        <v>449</v>
      </c>
      <c r="F10" s="21"/>
      <c r="G10" s="21"/>
      <c r="H10" s="21"/>
      <c r="I10" s="22">
        <v>500.0</v>
      </c>
      <c r="J10" s="21"/>
      <c r="K10" s="21"/>
      <c r="L10" s="21"/>
      <c r="M10" s="21"/>
      <c r="N10" s="21"/>
      <c r="O10" s="21"/>
      <c r="P10" s="58">
        <v>500.0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45327.0</v>
      </c>
      <c r="C11" s="55" t="s">
        <v>450</v>
      </c>
      <c r="D11" s="56">
        <v>75037.0</v>
      </c>
      <c r="E11" s="57" t="s">
        <v>451</v>
      </c>
      <c r="F11" s="21"/>
      <c r="G11" s="21"/>
      <c r="H11" s="21"/>
      <c r="I11" s="22">
        <v>15000.0</v>
      </c>
      <c r="J11" s="21"/>
      <c r="K11" s="21"/>
      <c r="L11" s="21"/>
      <c r="M11" s="21"/>
      <c r="N11" s="21"/>
      <c r="O11" s="21"/>
      <c r="P11" s="58">
        <v>15000.0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45327.0</v>
      </c>
      <c r="C12" s="55" t="s">
        <v>452</v>
      </c>
      <c r="D12" s="56">
        <v>78938.0</v>
      </c>
      <c r="E12" s="57" t="s">
        <v>453</v>
      </c>
      <c r="F12" s="21"/>
      <c r="G12" s="21"/>
      <c r="H12" s="21"/>
      <c r="I12" s="22">
        <v>500.0</v>
      </c>
      <c r="J12" s="21"/>
      <c r="K12" s="21"/>
      <c r="L12" s="21"/>
      <c r="M12" s="21"/>
      <c r="N12" s="21"/>
      <c r="O12" s="21"/>
      <c r="P12" s="58">
        <v>500.0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45327.0</v>
      </c>
      <c r="C13" s="55" t="s">
        <v>454</v>
      </c>
      <c r="D13" s="56">
        <v>58516.0</v>
      </c>
      <c r="E13" s="57" t="s">
        <v>455</v>
      </c>
      <c r="F13" s="21"/>
      <c r="G13" s="21"/>
      <c r="H13" s="21"/>
      <c r="I13" s="22">
        <v>5150.0</v>
      </c>
      <c r="J13" s="21"/>
      <c r="K13" s="21"/>
      <c r="L13" s="21"/>
      <c r="M13" s="21"/>
      <c r="N13" s="21"/>
      <c r="O13" s="21"/>
      <c r="P13" s="58">
        <v>5150.0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45327.0</v>
      </c>
      <c r="C14" s="55" t="s">
        <v>456</v>
      </c>
      <c r="D14" s="56">
        <v>10288.0</v>
      </c>
      <c r="E14" s="57" t="s">
        <v>457</v>
      </c>
      <c r="F14" s="21"/>
      <c r="G14" s="21"/>
      <c r="H14" s="21"/>
      <c r="I14" s="22">
        <v>15000.0</v>
      </c>
      <c r="J14" s="21"/>
      <c r="K14" s="21"/>
      <c r="L14" s="21"/>
      <c r="M14" s="21"/>
      <c r="N14" s="21"/>
      <c r="O14" s="21"/>
      <c r="P14" s="58">
        <v>15000.0</v>
      </c>
      <c r="Q14" s="24">
        <f t="shared" si="1"/>
        <v>0</v>
      </c>
      <c r="R14" s="59" t="s">
        <v>30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45327.0</v>
      </c>
      <c r="C15" s="55" t="s">
        <v>458</v>
      </c>
      <c r="D15" s="56">
        <v>22332.0</v>
      </c>
      <c r="E15" s="57" t="s">
        <v>404</v>
      </c>
      <c r="F15" s="21"/>
      <c r="G15" s="21"/>
      <c r="H15" s="21"/>
      <c r="I15" s="22"/>
      <c r="J15" s="21">
        <v>50000.0</v>
      </c>
      <c r="K15" s="21"/>
      <c r="L15" s="21"/>
      <c r="M15" s="21"/>
      <c r="N15" s="21"/>
      <c r="O15" s="21"/>
      <c r="P15" s="58">
        <v>50000.0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45327.0</v>
      </c>
      <c r="C16" s="55" t="s">
        <v>459</v>
      </c>
      <c r="D16" s="56">
        <v>51017.0</v>
      </c>
      <c r="E16" s="57" t="s">
        <v>150</v>
      </c>
      <c r="F16" s="21"/>
      <c r="G16" s="21"/>
      <c r="H16" s="21">
        <v>30000.0</v>
      </c>
      <c r="I16" s="22"/>
      <c r="J16" s="21"/>
      <c r="K16" s="21"/>
      <c r="L16" s="21"/>
      <c r="M16" s="21"/>
      <c r="N16" s="21"/>
      <c r="O16" s="21"/>
      <c r="P16" s="58">
        <v>30000.0</v>
      </c>
      <c r="Q16" s="24">
        <f t="shared" si="1"/>
        <v>0</v>
      </c>
      <c r="R16" s="59" t="s">
        <v>24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45327.0</v>
      </c>
      <c r="C17" s="55" t="s">
        <v>460</v>
      </c>
      <c r="D17" s="56">
        <v>59904.0</v>
      </c>
      <c r="E17" s="57" t="s">
        <v>461</v>
      </c>
      <c r="F17" s="21"/>
      <c r="G17" s="21"/>
      <c r="H17" s="21"/>
      <c r="I17" s="21">
        <v>2850.0</v>
      </c>
      <c r="J17" s="21"/>
      <c r="K17" s="21"/>
      <c r="L17" s="21"/>
      <c r="M17" s="21"/>
      <c r="N17" s="21"/>
      <c r="O17" s="21"/>
      <c r="P17" s="58">
        <v>2850.0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45327.0</v>
      </c>
      <c r="C18" s="55" t="s">
        <v>462</v>
      </c>
      <c r="D18" s="56">
        <v>67621.0</v>
      </c>
      <c r="E18" s="57" t="s">
        <v>463</v>
      </c>
      <c r="F18" s="21"/>
      <c r="G18" s="21"/>
      <c r="H18" s="21"/>
      <c r="I18" s="21">
        <v>2500.0</v>
      </c>
      <c r="J18" s="21"/>
      <c r="K18" s="21"/>
      <c r="L18" s="21"/>
      <c r="M18" s="21"/>
      <c r="N18" s="21"/>
      <c r="O18" s="21"/>
      <c r="P18" s="58">
        <v>2500.0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45327.0</v>
      </c>
      <c r="C19" s="55" t="s">
        <v>464</v>
      </c>
      <c r="D19" s="56">
        <v>48635.0</v>
      </c>
      <c r="E19" s="57" t="s">
        <v>465</v>
      </c>
      <c r="F19" s="21"/>
      <c r="G19" s="21"/>
      <c r="H19" s="21"/>
      <c r="I19" s="21">
        <v>175.0</v>
      </c>
      <c r="J19" s="21"/>
      <c r="K19" s="21"/>
      <c r="L19" s="21"/>
      <c r="M19" s="21"/>
      <c r="N19" s="21"/>
      <c r="O19" s="21"/>
      <c r="P19" s="58">
        <v>175.0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45327.0</v>
      </c>
      <c r="C20" s="55" t="s">
        <v>466</v>
      </c>
      <c r="D20" s="56">
        <v>44149.0</v>
      </c>
      <c r="E20" s="57" t="s">
        <v>467</v>
      </c>
      <c r="F20" s="21"/>
      <c r="G20" s="21"/>
      <c r="H20" s="21"/>
      <c r="I20" s="21">
        <v>29500.0</v>
      </c>
      <c r="J20" s="21"/>
      <c r="K20" s="21"/>
      <c r="L20" s="21"/>
      <c r="M20" s="21"/>
      <c r="N20" s="21"/>
      <c r="O20" s="21"/>
      <c r="P20" s="58">
        <v>29500.0</v>
      </c>
      <c r="Q20" s="24">
        <f t="shared" si="1"/>
        <v>0</v>
      </c>
      <c r="R20" s="59" t="s">
        <v>24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45327.0</v>
      </c>
      <c r="C21" s="55" t="s">
        <v>468</v>
      </c>
      <c r="D21" s="56">
        <v>80579.0</v>
      </c>
      <c r="E21" s="57" t="s">
        <v>469</v>
      </c>
      <c r="F21" s="21"/>
      <c r="G21" s="21"/>
      <c r="H21" s="21"/>
      <c r="I21" s="21">
        <v>7000.0</v>
      </c>
      <c r="J21" s="21"/>
      <c r="K21" s="21"/>
      <c r="L21" s="21"/>
      <c r="M21" s="21"/>
      <c r="N21" s="21"/>
      <c r="O21" s="21"/>
      <c r="P21" s="58">
        <v>7000.0</v>
      </c>
      <c r="Q21" s="24">
        <f t="shared" si="1"/>
        <v>0</v>
      </c>
      <c r="R21" s="59" t="s">
        <v>27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45327.0</v>
      </c>
      <c r="C22" s="55" t="s">
        <v>470</v>
      </c>
      <c r="D22" s="56">
        <v>67909.0</v>
      </c>
      <c r="E22" s="57" t="s">
        <v>471</v>
      </c>
      <c r="F22" s="21"/>
      <c r="G22" s="21"/>
      <c r="H22" s="21"/>
      <c r="I22" s="21">
        <v>20000.0</v>
      </c>
      <c r="J22" s="21"/>
      <c r="K22" s="21"/>
      <c r="L22" s="21"/>
      <c r="M22" s="21"/>
      <c r="N22" s="21"/>
      <c r="O22" s="21"/>
      <c r="P22" s="58">
        <v>20000.0</v>
      </c>
      <c r="Q22" s="24">
        <f t="shared" si="1"/>
        <v>0</v>
      </c>
      <c r="R22" s="59" t="s">
        <v>24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45327.0</v>
      </c>
      <c r="C23" s="56" t="s">
        <v>472</v>
      </c>
      <c r="D23" s="56">
        <v>74087.0</v>
      </c>
      <c r="E23" s="57" t="s">
        <v>473</v>
      </c>
      <c r="F23" s="30"/>
      <c r="G23" s="30"/>
      <c r="H23" s="68"/>
      <c r="I23" s="68">
        <v>5150.0</v>
      </c>
      <c r="J23" s="30"/>
      <c r="K23" s="30"/>
      <c r="L23" s="30"/>
      <c r="M23" s="30"/>
      <c r="N23" s="30"/>
      <c r="O23" s="30"/>
      <c r="P23" s="61">
        <v>5150.0</v>
      </c>
      <c r="Q23" s="24">
        <f t="shared" si="1"/>
        <v>0</v>
      </c>
      <c r="R23" s="57" t="s">
        <v>56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45327.0</v>
      </c>
      <c r="C24" s="56" t="s">
        <v>474</v>
      </c>
      <c r="D24" s="56">
        <v>51743.0</v>
      </c>
      <c r="E24" s="57" t="s">
        <v>475</v>
      </c>
      <c r="F24" s="30"/>
      <c r="G24" s="30"/>
      <c r="H24" s="30"/>
      <c r="I24" s="30">
        <v>2650.0</v>
      </c>
      <c r="J24" s="30"/>
      <c r="K24" s="30"/>
      <c r="L24" s="30"/>
      <c r="M24" s="30"/>
      <c r="N24" s="30"/>
      <c r="O24" s="30"/>
      <c r="P24" s="61">
        <v>2650.0</v>
      </c>
      <c r="Q24" s="24">
        <f t="shared" si="1"/>
        <v>0</v>
      </c>
      <c r="R24" s="57" t="s">
        <v>27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45327.0</v>
      </c>
      <c r="C25" s="56" t="s">
        <v>476</v>
      </c>
      <c r="D25" s="56">
        <v>62815.0</v>
      </c>
      <c r="E25" s="57" t="s">
        <v>477</v>
      </c>
      <c r="F25" s="30"/>
      <c r="G25" s="30"/>
      <c r="H25" s="30"/>
      <c r="I25" s="30">
        <v>9000.0</v>
      </c>
      <c r="J25" s="30"/>
      <c r="K25" s="30"/>
      <c r="L25" s="30"/>
      <c r="M25" s="30"/>
      <c r="N25" s="30"/>
      <c r="O25" s="30"/>
      <c r="P25" s="61">
        <v>9000.0</v>
      </c>
      <c r="Q25" s="24">
        <f t="shared" si="1"/>
        <v>0</v>
      </c>
      <c r="R25" s="57" t="s">
        <v>56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45327.0</v>
      </c>
      <c r="C26" s="56" t="s">
        <v>478</v>
      </c>
      <c r="D26" s="56">
        <v>36555.0</v>
      </c>
      <c r="E26" s="57" t="s">
        <v>479</v>
      </c>
      <c r="F26" s="30"/>
      <c r="G26" s="30"/>
      <c r="H26" s="30"/>
      <c r="I26" s="30"/>
      <c r="J26" s="30"/>
      <c r="K26" s="30">
        <v>5400.0</v>
      </c>
      <c r="L26" s="30"/>
      <c r="M26" s="30"/>
      <c r="N26" s="30"/>
      <c r="O26" s="30"/>
      <c r="P26" s="61">
        <v>5400.0</v>
      </c>
      <c r="Q26" s="24">
        <f t="shared" si="1"/>
        <v>0</v>
      </c>
      <c r="R26" s="57" t="s">
        <v>56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45327.0</v>
      </c>
      <c r="C27" s="56" t="s">
        <v>480</v>
      </c>
      <c r="D27" s="56">
        <v>24251.0</v>
      </c>
      <c r="E27" s="57" t="s">
        <v>481</v>
      </c>
      <c r="F27" s="30"/>
      <c r="G27" s="30"/>
      <c r="H27" s="30"/>
      <c r="I27" s="30"/>
      <c r="J27" s="30">
        <v>4650.0</v>
      </c>
      <c r="K27" s="30"/>
      <c r="L27" s="30"/>
      <c r="M27" s="30"/>
      <c r="N27" s="30"/>
      <c r="O27" s="30"/>
      <c r="P27" s="61">
        <v>4650.0</v>
      </c>
      <c r="Q27" s="24">
        <f t="shared" si="1"/>
        <v>0</v>
      </c>
      <c r="R27" s="57" t="s">
        <v>24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45327.0</v>
      </c>
      <c r="C28" s="56" t="s">
        <v>482</v>
      </c>
      <c r="D28" s="56">
        <v>54459.0</v>
      </c>
      <c r="E28" s="57" t="s">
        <v>483</v>
      </c>
      <c r="F28" s="30"/>
      <c r="G28" s="30"/>
      <c r="H28" s="30"/>
      <c r="I28" s="30">
        <v>10000.0</v>
      </c>
      <c r="J28" s="30"/>
      <c r="K28" s="30"/>
      <c r="L28" s="30"/>
      <c r="M28" s="30"/>
      <c r="N28" s="30"/>
      <c r="O28" s="30"/>
      <c r="P28" s="61">
        <v>10000.0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45327.0</v>
      </c>
      <c r="C29" s="56" t="s">
        <v>484</v>
      </c>
      <c r="D29" s="56">
        <v>20541.0</v>
      </c>
      <c r="E29" s="57" t="s">
        <v>485</v>
      </c>
      <c r="F29" s="30"/>
      <c r="G29" s="30"/>
      <c r="H29" s="30">
        <v>4500.0</v>
      </c>
      <c r="I29" s="30"/>
      <c r="J29" s="30"/>
      <c r="K29" s="30"/>
      <c r="L29" s="30"/>
      <c r="M29" s="30"/>
      <c r="N29" s="30"/>
      <c r="O29" s="30"/>
      <c r="P29" s="61">
        <v>4500.0</v>
      </c>
      <c r="Q29" s="24">
        <f t="shared" si="1"/>
        <v>0</v>
      </c>
      <c r="R29" s="57" t="s">
        <v>27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45327.0</v>
      </c>
      <c r="C30" s="56" t="s">
        <v>486</v>
      </c>
      <c r="D30" s="56">
        <v>54226.0</v>
      </c>
      <c r="E30" s="57" t="s">
        <v>487</v>
      </c>
      <c r="F30" s="30"/>
      <c r="G30" s="30"/>
      <c r="H30" s="30"/>
      <c r="I30" s="30">
        <v>8950.0</v>
      </c>
      <c r="J30" s="30"/>
      <c r="K30" s="30"/>
      <c r="L30" s="30"/>
      <c r="M30" s="30"/>
      <c r="N30" s="30"/>
      <c r="O30" s="30"/>
      <c r="P30" s="61">
        <v>8950.0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45327.0</v>
      </c>
      <c r="C31" s="56" t="s">
        <v>488</v>
      </c>
      <c r="D31" s="56">
        <v>65067.0</v>
      </c>
      <c r="E31" s="57" t="s">
        <v>489</v>
      </c>
      <c r="F31" s="30"/>
      <c r="G31" s="30"/>
      <c r="H31" s="30"/>
      <c r="I31" s="30">
        <v>1250.0</v>
      </c>
      <c r="J31" s="30"/>
      <c r="K31" s="30"/>
      <c r="L31" s="30"/>
      <c r="M31" s="30"/>
      <c r="N31" s="30"/>
      <c r="O31" s="30"/>
      <c r="P31" s="61">
        <v>1250.0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45327.0</v>
      </c>
      <c r="C32" s="56" t="s">
        <v>490</v>
      </c>
      <c r="D32" s="56">
        <v>33054.0</v>
      </c>
      <c r="E32" s="57" t="s">
        <v>491</v>
      </c>
      <c r="F32" s="30"/>
      <c r="G32" s="30"/>
      <c r="H32" s="30"/>
      <c r="I32" s="30"/>
      <c r="J32" s="30">
        <v>4650.0</v>
      </c>
      <c r="K32" s="30"/>
      <c r="L32" s="30"/>
      <c r="M32" s="30"/>
      <c r="N32" s="30"/>
      <c r="O32" s="30"/>
      <c r="P32" s="61">
        <v>4650.0</v>
      </c>
      <c r="Q32" s="24">
        <f t="shared" si="1"/>
        <v>0</v>
      </c>
      <c r="R32" s="57" t="s">
        <v>66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45327.0</v>
      </c>
      <c r="C33" s="56" t="s">
        <v>492</v>
      </c>
      <c r="D33" s="56">
        <v>81446.0</v>
      </c>
      <c r="E33" s="57" t="s">
        <v>493</v>
      </c>
      <c r="F33" s="30"/>
      <c r="G33" s="30"/>
      <c r="H33" s="30"/>
      <c r="I33" s="30"/>
      <c r="J33" s="30"/>
      <c r="K33" s="30"/>
      <c r="L33" s="30"/>
      <c r="M33" s="30">
        <v>300.0</v>
      </c>
      <c r="N33" s="30"/>
      <c r="O33" s="30"/>
      <c r="P33" s="61">
        <v>300.0</v>
      </c>
      <c r="Q33" s="24">
        <f t="shared" si="1"/>
        <v>0</v>
      </c>
      <c r="R33" s="57" t="s">
        <v>27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45327.0</v>
      </c>
      <c r="C34" s="56" t="s">
        <v>494</v>
      </c>
      <c r="D34" s="56">
        <v>22332.0</v>
      </c>
      <c r="E34" s="57" t="s">
        <v>404</v>
      </c>
      <c r="F34" s="30"/>
      <c r="G34" s="30"/>
      <c r="H34" s="30"/>
      <c r="I34" s="30">
        <v>1197.0</v>
      </c>
      <c r="J34" s="30"/>
      <c r="K34" s="30">
        <v>3803.0</v>
      </c>
      <c r="L34" s="30"/>
      <c r="M34" s="30"/>
      <c r="N34" s="30"/>
      <c r="O34" s="30"/>
      <c r="P34" s="61">
        <v>5000.0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45327.0</v>
      </c>
      <c r="C35" s="56" t="s">
        <v>495</v>
      </c>
      <c r="D35" s="56">
        <v>81447.0</v>
      </c>
      <c r="E35" s="57" t="s">
        <v>496</v>
      </c>
      <c r="F35" s="30"/>
      <c r="G35" s="30"/>
      <c r="H35" s="30"/>
      <c r="I35" s="30">
        <v>300.0</v>
      </c>
      <c r="J35" s="30"/>
      <c r="K35" s="30"/>
      <c r="L35" s="30"/>
      <c r="M35" s="30"/>
      <c r="N35" s="30"/>
      <c r="O35" s="30"/>
      <c r="P35" s="61">
        <v>300.0</v>
      </c>
      <c r="Q35" s="24">
        <f t="shared" si="1"/>
        <v>0</v>
      </c>
      <c r="R35" s="57" t="s">
        <v>30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45327.0</v>
      </c>
      <c r="C36" s="56" t="s">
        <v>497</v>
      </c>
      <c r="D36" s="56">
        <v>74492.0</v>
      </c>
      <c r="E36" s="57" t="s">
        <v>498</v>
      </c>
      <c r="F36" s="30"/>
      <c r="G36" s="30"/>
      <c r="H36" s="30"/>
      <c r="I36" s="30">
        <v>14500.0</v>
      </c>
      <c r="J36" s="30"/>
      <c r="K36" s="30"/>
      <c r="L36" s="30"/>
      <c r="M36" s="30"/>
      <c r="N36" s="30"/>
      <c r="O36" s="30"/>
      <c r="P36" s="61">
        <v>14500.0</v>
      </c>
      <c r="Q36" s="24">
        <f t="shared" si="1"/>
        <v>0</v>
      </c>
      <c r="R36" s="57" t="s">
        <v>66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45327.0</v>
      </c>
      <c r="C37" s="56" t="s">
        <v>499</v>
      </c>
      <c r="D37" s="56">
        <v>81449.0</v>
      </c>
      <c r="E37" s="57" t="s">
        <v>500</v>
      </c>
      <c r="F37" s="30"/>
      <c r="G37" s="30"/>
      <c r="H37" s="30"/>
      <c r="I37" s="30"/>
      <c r="J37" s="30">
        <v>1200.0</v>
      </c>
      <c r="K37" s="30"/>
      <c r="L37" s="30"/>
      <c r="M37" s="30"/>
      <c r="N37" s="30"/>
      <c r="O37" s="30"/>
      <c r="P37" s="61">
        <v>1200.0</v>
      </c>
      <c r="Q37" s="24">
        <f t="shared" si="1"/>
        <v>0</v>
      </c>
      <c r="R37" s="57" t="s">
        <v>24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45327.0</v>
      </c>
      <c r="C38" s="56" t="s">
        <v>501</v>
      </c>
      <c r="D38" s="56">
        <v>80662.0</v>
      </c>
      <c r="E38" s="57" t="s">
        <v>502</v>
      </c>
      <c r="F38" s="30"/>
      <c r="G38" s="30"/>
      <c r="H38" s="30"/>
      <c r="I38" s="30"/>
      <c r="J38" s="30">
        <v>6100.0</v>
      </c>
      <c r="K38" s="30"/>
      <c r="L38" s="30"/>
      <c r="M38" s="30"/>
      <c r="N38" s="30"/>
      <c r="O38" s="30"/>
      <c r="P38" s="61">
        <v>6100.0</v>
      </c>
      <c r="Q38" s="24">
        <f t="shared" si="1"/>
        <v>0</v>
      </c>
      <c r="R38" s="57" t="s">
        <v>24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45327.0</v>
      </c>
      <c r="C39" s="56" t="s">
        <v>503</v>
      </c>
      <c r="D39" s="56">
        <v>81450.0</v>
      </c>
      <c r="E39" s="57" t="s">
        <v>504</v>
      </c>
      <c r="F39" s="30"/>
      <c r="G39" s="30"/>
      <c r="H39" s="30"/>
      <c r="I39" s="30">
        <v>300.0</v>
      </c>
      <c r="J39" s="30"/>
      <c r="K39" s="30"/>
      <c r="L39" s="30"/>
      <c r="M39" s="30"/>
      <c r="N39" s="30"/>
      <c r="O39" s="30"/>
      <c r="P39" s="61">
        <v>300.0</v>
      </c>
      <c r="Q39" s="24">
        <f t="shared" si="1"/>
        <v>0</v>
      </c>
      <c r="R39" s="57" t="s">
        <v>56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45327.0</v>
      </c>
      <c r="C40" s="56" t="s">
        <v>505</v>
      </c>
      <c r="D40" s="56">
        <v>43380.0</v>
      </c>
      <c r="E40" s="57" t="s">
        <v>351</v>
      </c>
      <c r="F40" s="30"/>
      <c r="G40" s="30"/>
      <c r="H40" s="30"/>
      <c r="I40" s="30"/>
      <c r="J40" s="30"/>
      <c r="K40" s="30">
        <v>8400.0</v>
      </c>
      <c r="L40" s="30"/>
      <c r="M40" s="30"/>
      <c r="N40" s="30"/>
      <c r="O40" s="30"/>
      <c r="P40" s="61">
        <v>8400.0</v>
      </c>
      <c r="Q40" s="24">
        <f t="shared" si="1"/>
        <v>0</v>
      </c>
      <c r="R40" s="57" t="s">
        <v>30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45327.0</v>
      </c>
      <c r="C41" s="56" t="s">
        <v>506</v>
      </c>
      <c r="D41" s="56">
        <v>80515.0</v>
      </c>
      <c r="E41" s="57" t="s">
        <v>507</v>
      </c>
      <c r="F41" s="30"/>
      <c r="G41" s="30"/>
      <c r="H41" s="30"/>
      <c r="I41" s="30"/>
      <c r="J41" s="30"/>
      <c r="K41" s="30">
        <v>8400.0</v>
      </c>
      <c r="L41" s="30"/>
      <c r="M41" s="30"/>
      <c r="N41" s="30"/>
      <c r="O41" s="30"/>
      <c r="P41" s="61">
        <v>8400.0</v>
      </c>
      <c r="Q41" s="24">
        <f t="shared" si="1"/>
        <v>0</v>
      </c>
      <c r="R41" s="57" t="s">
        <v>30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45327.0</v>
      </c>
      <c r="C42" s="56" t="s">
        <v>508</v>
      </c>
      <c r="D42" s="56">
        <v>81451.0</v>
      </c>
      <c r="E42" s="57" t="s">
        <v>509</v>
      </c>
      <c r="F42" s="30"/>
      <c r="G42" s="30"/>
      <c r="H42" s="30"/>
      <c r="I42" s="30">
        <v>300.0</v>
      </c>
      <c r="J42" s="30"/>
      <c r="K42" s="30"/>
      <c r="L42" s="30"/>
      <c r="M42" s="30"/>
      <c r="N42" s="30"/>
      <c r="O42" s="30"/>
      <c r="P42" s="61">
        <v>300.0</v>
      </c>
      <c r="Q42" s="24">
        <f t="shared" si="1"/>
        <v>0</v>
      </c>
      <c r="R42" s="57" t="s">
        <v>27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45327.0</v>
      </c>
      <c r="C43" s="56" t="s">
        <v>510</v>
      </c>
      <c r="D43" s="56">
        <v>52247.0</v>
      </c>
      <c r="E43" s="57" t="s">
        <v>299</v>
      </c>
      <c r="F43" s="30"/>
      <c r="G43" s="30"/>
      <c r="H43" s="30"/>
      <c r="I43" s="30">
        <v>5150.0</v>
      </c>
      <c r="J43" s="30"/>
      <c r="K43" s="30"/>
      <c r="L43" s="30"/>
      <c r="M43" s="30"/>
      <c r="N43" s="30"/>
      <c r="O43" s="30"/>
      <c r="P43" s="61">
        <v>5150.0</v>
      </c>
      <c r="Q43" s="24">
        <f t="shared" si="1"/>
        <v>0</v>
      </c>
      <c r="R43" s="57" t="s">
        <v>30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45327.0</v>
      </c>
      <c r="C44" s="56" t="s">
        <v>511</v>
      </c>
      <c r="D44" s="56">
        <v>37642.0</v>
      </c>
      <c r="E44" s="57" t="s">
        <v>512</v>
      </c>
      <c r="F44" s="30"/>
      <c r="G44" s="30">
        <v>11950.0</v>
      </c>
      <c r="H44" s="30"/>
      <c r="I44" s="30"/>
      <c r="J44" s="30"/>
      <c r="K44" s="30"/>
      <c r="L44" s="30"/>
      <c r="M44" s="30"/>
      <c r="N44" s="30"/>
      <c r="O44" s="30"/>
      <c r="P44" s="61">
        <v>11950.0</v>
      </c>
      <c r="Q44" s="24">
        <f t="shared" si="1"/>
        <v>0</v>
      </c>
      <c r="R44" s="57" t="s">
        <v>27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45327.0</v>
      </c>
      <c r="C45" s="56" t="s">
        <v>513</v>
      </c>
      <c r="D45" s="56">
        <v>52083.0</v>
      </c>
      <c r="E45" s="57" t="s">
        <v>23</v>
      </c>
      <c r="F45" s="30"/>
      <c r="G45" s="30"/>
      <c r="H45" s="30"/>
      <c r="I45" s="30">
        <v>11300.0</v>
      </c>
      <c r="J45" s="30"/>
      <c r="K45" s="30"/>
      <c r="L45" s="30"/>
      <c r="M45" s="30"/>
      <c r="N45" s="30"/>
      <c r="O45" s="30"/>
      <c r="P45" s="61">
        <v>11300.0</v>
      </c>
      <c r="Q45" s="24">
        <f t="shared" si="1"/>
        <v>0</v>
      </c>
      <c r="R45" s="57" t="s">
        <v>24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45327.0</v>
      </c>
      <c r="C46" s="56" t="s">
        <v>514</v>
      </c>
      <c r="D46" s="56">
        <v>57399.0</v>
      </c>
      <c r="E46" s="57" t="s">
        <v>515</v>
      </c>
      <c r="F46" s="30"/>
      <c r="G46" s="30"/>
      <c r="H46" s="30"/>
      <c r="I46" s="30">
        <v>850.0</v>
      </c>
      <c r="J46" s="30"/>
      <c r="K46" s="30"/>
      <c r="L46" s="30"/>
      <c r="M46" s="30"/>
      <c r="N46" s="30"/>
      <c r="O46" s="30"/>
      <c r="P46" s="61">
        <v>850.0</v>
      </c>
      <c r="Q46" s="24">
        <f t="shared" si="1"/>
        <v>0</v>
      </c>
      <c r="R46" s="57" t="s">
        <v>27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45326.0</v>
      </c>
      <c r="C47" s="56" t="s">
        <v>516</v>
      </c>
      <c r="D47" s="56">
        <v>81444.0</v>
      </c>
      <c r="E47" s="57" t="s">
        <v>517</v>
      </c>
      <c r="F47" s="30"/>
      <c r="G47" s="30"/>
      <c r="H47" s="30"/>
      <c r="I47" s="30"/>
      <c r="J47" s="30"/>
      <c r="K47" s="30">
        <v>3600.0</v>
      </c>
      <c r="L47" s="30"/>
      <c r="M47" s="30"/>
      <c r="N47" s="30"/>
      <c r="O47" s="30"/>
      <c r="P47" s="61">
        <v>3600.0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45326.0</v>
      </c>
      <c r="C48" s="56" t="s">
        <v>518</v>
      </c>
      <c r="D48" s="56">
        <v>81177.0</v>
      </c>
      <c r="E48" s="57" t="s">
        <v>519</v>
      </c>
      <c r="F48" s="30"/>
      <c r="G48" s="30"/>
      <c r="H48" s="30"/>
      <c r="I48" s="30"/>
      <c r="J48" s="30"/>
      <c r="K48" s="30">
        <v>3600.0</v>
      </c>
      <c r="L48" s="30"/>
      <c r="M48" s="30"/>
      <c r="N48" s="30"/>
      <c r="O48" s="30"/>
      <c r="P48" s="61">
        <v>3600.0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0">
        <v>45327.0</v>
      </c>
      <c r="C49" s="56" t="s">
        <v>520</v>
      </c>
      <c r="D49" s="56">
        <v>10288.0</v>
      </c>
      <c r="E49" s="57" t="s">
        <v>457</v>
      </c>
      <c r="F49" s="30"/>
      <c r="G49" s="30"/>
      <c r="H49" s="30"/>
      <c r="I49" s="30"/>
      <c r="J49" s="30"/>
      <c r="K49" s="30"/>
      <c r="L49" s="30"/>
      <c r="M49" s="30"/>
      <c r="N49" s="30"/>
      <c r="O49" s="30">
        <v>1200.0</v>
      </c>
      <c r="P49" s="61">
        <v>1200.0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0">
        <v>45327.0</v>
      </c>
      <c r="C50" s="56" t="s">
        <v>521</v>
      </c>
      <c r="D50" s="56">
        <v>81091.0</v>
      </c>
      <c r="E50" s="57" t="s">
        <v>522</v>
      </c>
      <c r="F50" s="30"/>
      <c r="G50" s="30"/>
      <c r="H50" s="30"/>
      <c r="I50" s="30"/>
      <c r="J50" s="30"/>
      <c r="K50" s="30">
        <v>7000.0</v>
      </c>
      <c r="L50" s="30"/>
      <c r="M50" s="30"/>
      <c r="N50" s="30"/>
      <c r="O50" s="30"/>
      <c r="P50" s="61">
        <v>7000.0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0">
        <v>45327.0</v>
      </c>
      <c r="C51" s="56" t="s">
        <v>523</v>
      </c>
      <c r="D51" s="56">
        <v>81132.0</v>
      </c>
      <c r="E51" s="57" t="s">
        <v>524</v>
      </c>
      <c r="F51" s="30"/>
      <c r="G51" s="30"/>
      <c r="H51" s="30"/>
      <c r="I51" s="30"/>
      <c r="J51" s="30"/>
      <c r="K51" s="30">
        <v>4500.0</v>
      </c>
      <c r="L51" s="30"/>
      <c r="M51" s="30"/>
      <c r="N51" s="30"/>
      <c r="O51" s="30"/>
      <c r="P51" s="61">
        <v>4500.0</v>
      </c>
      <c r="Q51" s="24">
        <f t="shared" si="1"/>
        <v>0</v>
      </c>
      <c r="R51" s="57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0">
        <v>45327.0</v>
      </c>
      <c r="C52" s="56" t="s">
        <v>525</v>
      </c>
      <c r="D52" s="56">
        <v>81133.0</v>
      </c>
      <c r="E52" s="57" t="s">
        <v>526</v>
      </c>
      <c r="F52" s="30"/>
      <c r="G52" s="30"/>
      <c r="H52" s="30"/>
      <c r="I52" s="30"/>
      <c r="J52" s="30"/>
      <c r="K52" s="30">
        <v>7000.0</v>
      </c>
      <c r="L52" s="30"/>
      <c r="M52" s="30"/>
      <c r="N52" s="30"/>
      <c r="O52" s="30"/>
      <c r="P52" s="61">
        <v>7000.0</v>
      </c>
      <c r="Q52" s="24">
        <f t="shared" si="1"/>
        <v>0</v>
      </c>
      <c r="R52" s="57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0">
        <v>45327.0</v>
      </c>
      <c r="C53" s="56" t="s">
        <v>527</v>
      </c>
      <c r="D53" s="56">
        <v>81134.0</v>
      </c>
      <c r="E53" s="57" t="s">
        <v>528</v>
      </c>
      <c r="F53" s="30"/>
      <c r="G53" s="30"/>
      <c r="H53" s="30"/>
      <c r="I53" s="30"/>
      <c r="J53" s="30"/>
      <c r="K53" s="30">
        <v>7000.0</v>
      </c>
      <c r="L53" s="30"/>
      <c r="M53" s="30"/>
      <c r="N53" s="30"/>
      <c r="O53" s="30"/>
      <c r="P53" s="61">
        <v>7000.0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0">
        <v>45327.0</v>
      </c>
      <c r="C54" s="56" t="s">
        <v>529</v>
      </c>
      <c r="D54" s="56">
        <v>45227.0</v>
      </c>
      <c r="E54" s="57" t="s">
        <v>181</v>
      </c>
      <c r="F54" s="30"/>
      <c r="G54" s="30"/>
      <c r="H54" s="30">
        <v>3000.0</v>
      </c>
      <c r="I54" s="30"/>
      <c r="J54" s="30"/>
      <c r="K54" s="30"/>
      <c r="L54" s="30"/>
      <c r="M54" s="30"/>
      <c r="N54" s="30"/>
      <c r="O54" s="30"/>
      <c r="P54" s="61">
        <v>3000.0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0">
        <v>45327.0</v>
      </c>
      <c r="C55" s="56" t="s">
        <v>530</v>
      </c>
      <c r="D55" s="56">
        <v>48649.0</v>
      </c>
      <c r="E55" s="57" t="s">
        <v>256</v>
      </c>
      <c r="F55" s="30"/>
      <c r="G55" s="30"/>
      <c r="H55" s="30"/>
      <c r="I55" s="30"/>
      <c r="J55" s="30"/>
      <c r="K55" s="30">
        <v>3000.0</v>
      </c>
      <c r="L55" s="30"/>
      <c r="M55" s="30"/>
      <c r="N55" s="30"/>
      <c r="O55" s="30"/>
      <c r="P55" s="61">
        <v>3000.0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0">
        <v>45327.0</v>
      </c>
      <c r="C56" s="56" t="s">
        <v>531</v>
      </c>
      <c r="D56" s="56">
        <v>80877.0</v>
      </c>
      <c r="E56" s="57" t="s">
        <v>532</v>
      </c>
      <c r="F56" s="30"/>
      <c r="G56" s="30"/>
      <c r="H56" s="30"/>
      <c r="I56" s="30"/>
      <c r="J56" s="30"/>
      <c r="K56" s="30">
        <v>7000.0</v>
      </c>
      <c r="L56" s="30"/>
      <c r="M56" s="30"/>
      <c r="N56" s="30"/>
      <c r="O56" s="30"/>
      <c r="P56" s="61">
        <v>7000.0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>
        <v>53.0</v>
      </c>
      <c r="B57" s="60">
        <v>45327.0</v>
      </c>
      <c r="C57" s="56" t="s">
        <v>533</v>
      </c>
      <c r="D57" s="56">
        <v>52215.0</v>
      </c>
      <c r="E57" s="57" t="s">
        <v>358</v>
      </c>
      <c r="F57" s="30"/>
      <c r="G57" s="30"/>
      <c r="H57" s="30">
        <v>4500.0</v>
      </c>
      <c r="I57" s="30"/>
      <c r="J57" s="30"/>
      <c r="K57" s="30"/>
      <c r="L57" s="30"/>
      <c r="M57" s="30"/>
      <c r="N57" s="30"/>
      <c r="O57" s="30"/>
      <c r="P57" s="61">
        <v>4500.0</v>
      </c>
      <c r="Q57" s="24">
        <f t="shared" si="1"/>
        <v>0</v>
      </c>
      <c r="R57" s="57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ht="36.0" customHeight="1">
      <c r="A58" s="16">
        <v>54.0</v>
      </c>
      <c r="B58" s="60">
        <v>45327.0</v>
      </c>
      <c r="C58" s="56" t="s">
        <v>534</v>
      </c>
      <c r="D58" s="56">
        <v>42278.0</v>
      </c>
      <c r="E58" s="57" t="s">
        <v>535</v>
      </c>
      <c r="F58" s="30"/>
      <c r="G58" s="30"/>
      <c r="H58" s="30">
        <v>30000.0</v>
      </c>
      <c r="I58" s="30"/>
      <c r="J58" s="30"/>
      <c r="K58" s="30"/>
      <c r="L58" s="30"/>
      <c r="M58" s="30"/>
      <c r="N58" s="30"/>
      <c r="O58" s="30"/>
      <c r="P58" s="61">
        <v>30000.0</v>
      </c>
      <c r="Q58" s="24">
        <f t="shared" si="1"/>
        <v>0</v>
      </c>
      <c r="R58" s="57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ht="36.0" customHeight="1">
      <c r="A59" s="16">
        <v>55.0</v>
      </c>
      <c r="B59" s="60">
        <v>45327.0</v>
      </c>
      <c r="C59" s="56" t="s">
        <v>536</v>
      </c>
      <c r="D59" s="56">
        <v>21828.0</v>
      </c>
      <c r="E59" s="57" t="s">
        <v>217</v>
      </c>
      <c r="F59" s="30"/>
      <c r="G59" s="30"/>
      <c r="H59" s="30"/>
      <c r="I59" s="30"/>
      <c r="J59" s="30"/>
      <c r="K59" s="30">
        <v>350.0</v>
      </c>
      <c r="L59" s="30"/>
      <c r="M59" s="30"/>
      <c r="N59" s="30"/>
      <c r="O59" s="30"/>
      <c r="P59" s="61">
        <v>350.0</v>
      </c>
      <c r="Q59" s="24">
        <f t="shared" si="1"/>
        <v>0</v>
      </c>
      <c r="R59" s="57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ht="36.0" customHeight="1">
      <c r="A60" s="16">
        <v>56.0</v>
      </c>
      <c r="B60" s="60">
        <v>45327.0</v>
      </c>
      <c r="C60" s="56" t="s">
        <v>537</v>
      </c>
      <c r="D60" s="56">
        <v>58818.0</v>
      </c>
      <c r="E60" s="57" t="s">
        <v>538</v>
      </c>
      <c r="F60" s="30"/>
      <c r="G60" s="30"/>
      <c r="H60" s="30"/>
      <c r="I60" s="30"/>
      <c r="J60" s="30"/>
      <c r="K60" s="30">
        <v>9000.0</v>
      </c>
      <c r="L60" s="30"/>
      <c r="M60" s="30"/>
      <c r="N60" s="30"/>
      <c r="O60" s="30"/>
      <c r="P60" s="61">
        <v>9000.0</v>
      </c>
      <c r="Q60" s="24">
        <f t="shared" si="1"/>
        <v>0</v>
      </c>
      <c r="R60" s="57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ht="36.0" customHeight="1">
      <c r="A61" s="16">
        <v>57.0</v>
      </c>
      <c r="B61" s="60">
        <v>45327.0</v>
      </c>
      <c r="C61" s="56" t="s">
        <v>539</v>
      </c>
      <c r="D61" s="56">
        <v>57876.0</v>
      </c>
      <c r="E61" s="57" t="s">
        <v>540</v>
      </c>
      <c r="F61" s="30"/>
      <c r="G61" s="30"/>
      <c r="H61" s="30"/>
      <c r="I61" s="30"/>
      <c r="J61" s="30"/>
      <c r="K61" s="30"/>
      <c r="L61" s="30"/>
      <c r="M61" s="30"/>
      <c r="N61" s="30"/>
      <c r="O61" s="30">
        <v>12000.0</v>
      </c>
      <c r="P61" s="61">
        <v>12000.0</v>
      </c>
      <c r="Q61" s="24">
        <f t="shared" si="1"/>
        <v>0</v>
      </c>
      <c r="R61" s="57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ht="36.0" customHeight="1">
      <c r="A62" s="16">
        <v>58.0</v>
      </c>
      <c r="B62" s="60">
        <v>45327.0</v>
      </c>
      <c r="C62" s="56" t="s">
        <v>541</v>
      </c>
      <c r="D62" s="56">
        <v>55687.0</v>
      </c>
      <c r="E62" s="57" t="s">
        <v>542</v>
      </c>
      <c r="F62" s="30"/>
      <c r="G62" s="30"/>
      <c r="H62" s="30"/>
      <c r="I62" s="30"/>
      <c r="J62" s="30"/>
      <c r="K62" s="30"/>
      <c r="L62" s="30"/>
      <c r="M62" s="30"/>
      <c r="N62" s="30"/>
      <c r="O62" s="30">
        <v>3600.0</v>
      </c>
      <c r="P62" s="61">
        <v>3600.0</v>
      </c>
      <c r="Q62" s="24">
        <f t="shared" si="1"/>
        <v>0</v>
      </c>
      <c r="R62" s="57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ht="36.0" customHeight="1">
      <c r="A63" s="16">
        <v>59.0</v>
      </c>
      <c r="B63" s="60">
        <v>45327.0</v>
      </c>
      <c r="C63" s="56" t="s">
        <v>543</v>
      </c>
      <c r="D63" s="56">
        <v>37642.0</v>
      </c>
      <c r="E63" s="57" t="s">
        <v>512</v>
      </c>
      <c r="F63" s="30"/>
      <c r="G63" s="30"/>
      <c r="H63" s="30"/>
      <c r="I63" s="30"/>
      <c r="J63" s="30"/>
      <c r="K63" s="30"/>
      <c r="L63" s="30"/>
      <c r="M63" s="30"/>
      <c r="N63" s="30"/>
      <c r="O63" s="30">
        <v>3600.0</v>
      </c>
      <c r="P63" s="61">
        <v>3600.0</v>
      </c>
      <c r="Q63" s="24">
        <f t="shared" si="1"/>
        <v>0</v>
      </c>
      <c r="R63" s="57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ht="36.0" customHeight="1">
      <c r="A64" s="16">
        <v>60.0</v>
      </c>
      <c r="B64" s="63">
        <v>45327.0</v>
      </c>
      <c r="C64" s="64" t="s">
        <v>544</v>
      </c>
      <c r="D64" s="64">
        <v>38188.0</v>
      </c>
      <c r="E64" s="65" t="s">
        <v>545</v>
      </c>
      <c r="F64" s="30"/>
      <c r="G64" s="30"/>
      <c r="H64" s="30"/>
      <c r="I64" s="30"/>
      <c r="J64" s="30"/>
      <c r="K64" s="30"/>
      <c r="L64" s="30"/>
      <c r="M64" s="30"/>
      <c r="N64" s="30"/>
      <c r="O64" s="30">
        <v>3600.0</v>
      </c>
      <c r="P64" s="66">
        <v>3600.0</v>
      </c>
      <c r="Q64" s="24">
        <f t="shared" si="1"/>
        <v>0</v>
      </c>
      <c r="R64" s="57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ht="36.0" customHeight="1">
      <c r="A65" s="16">
        <v>61.0</v>
      </c>
      <c r="B65" s="63">
        <v>45327.0</v>
      </c>
      <c r="C65" s="64" t="s">
        <v>546</v>
      </c>
      <c r="D65" s="64">
        <v>38187.0</v>
      </c>
      <c r="E65" s="65" t="s">
        <v>547</v>
      </c>
      <c r="F65" s="30"/>
      <c r="G65" s="30"/>
      <c r="H65" s="30"/>
      <c r="I65" s="30"/>
      <c r="J65" s="30"/>
      <c r="K65" s="30"/>
      <c r="L65" s="30"/>
      <c r="M65" s="30"/>
      <c r="N65" s="30"/>
      <c r="O65" s="30">
        <v>1200.0</v>
      </c>
      <c r="P65" s="66">
        <v>1200.0</v>
      </c>
      <c r="Q65" s="24">
        <f t="shared" si="1"/>
        <v>0</v>
      </c>
      <c r="R65" s="57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ht="36.0" customHeight="1">
      <c r="A66" s="16"/>
      <c r="B66" s="27"/>
      <c r="C66" s="28"/>
      <c r="D66" s="29"/>
      <c r="E66" s="28"/>
      <c r="F66" s="30">
        <f t="shared" ref="F66:P66" si="2">SUM(F5:F65)</f>
        <v>0</v>
      </c>
      <c r="G66" s="30">
        <f t="shared" si="2"/>
        <v>11950</v>
      </c>
      <c r="H66" s="30">
        <f t="shared" si="2"/>
        <v>72000</v>
      </c>
      <c r="I66" s="30">
        <f t="shared" si="2"/>
        <v>180412</v>
      </c>
      <c r="J66" s="30">
        <f t="shared" si="2"/>
        <v>71250</v>
      </c>
      <c r="K66" s="30">
        <f t="shared" si="2"/>
        <v>78053</v>
      </c>
      <c r="L66" s="30">
        <f t="shared" si="2"/>
        <v>0</v>
      </c>
      <c r="M66" s="30">
        <f t="shared" si="2"/>
        <v>300</v>
      </c>
      <c r="N66" s="30">
        <f t="shared" si="2"/>
        <v>0</v>
      </c>
      <c r="O66" s="30">
        <f t="shared" si="2"/>
        <v>25200</v>
      </c>
      <c r="P66" s="30">
        <f t="shared" si="2"/>
        <v>439165</v>
      </c>
      <c r="Q66" s="24">
        <f t="shared" si="1"/>
        <v>0</v>
      </c>
      <c r="R66" s="67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36.0" customHeight="1">
      <c r="A67" s="35"/>
      <c r="B67" s="35"/>
      <c r="C67" s="35"/>
      <c r="D67" s="35"/>
      <c r="E67" s="35"/>
      <c r="F67" s="36">
        <f>F66+G66+H66+I66+J66+K66+L66+M66+N66+O66</f>
        <v>439165</v>
      </c>
      <c r="P67" s="36"/>
      <c r="Q67" s="36"/>
      <c r="R67" s="35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37" t="s">
        <v>242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38" t="s">
        <v>243</v>
      </c>
      <c r="F71" s="39" t="s">
        <v>244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38" t="s">
        <v>245</v>
      </c>
      <c r="F72" s="39" t="s">
        <v>244</v>
      </c>
      <c r="G72" s="4"/>
      <c r="H72" s="4"/>
      <c r="I72" s="4"/>
      <c r="J72" s="4"/>
      <c r="K72" s="4"/>
      <c r="L72" s="4"/>
      <c r="M72" s="4"/>
      <c r="N72" s="4"/>
      <c r="O72" s="4" t="s">
        <v>242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38" t="s">
        <v>246</v>
      </c>
      <c r="F73" s="39" t="s">
        <v>244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38" t="s">
        <v>247</v>
      </c>
      <c r="F74" s="39" t="s">
        <v>244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38" t="s">
        <v>248</v>
      </c>
      <c r="F75" s="39" t="s">
        <v>548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7.0" customHeight="1">
      <c r="A76" s="4"/>
      <c r="B76" s="4"/>
      <c r="C76" s="4"/>
      <c r="D76" s="4"/>
      <c r="E76" s="38" t="s">
        <v>549</v>
      </c>
      <c r="F76" s="39" t="s">
        <v>244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30.0" customHeight="1">
      <c r="A77" s="4"/>
      <c r="B77" s="4"/>
      <c r="C77" s="4"/>
      <c r="D77" s="4"/>
      <c r="E77" s="40" t="s">
        <v>250</v>
      </c>
      <c r="F77" s="39" t="s">
        <v>438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38" t="s">
        <v>252</v>
      </c>
      <c r="F78" s="39" t="s">
        <v>244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 t="s">
        <v>242</v>
      </c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 t="s">
        <v>253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67:O6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9.38"/>
    <col customWidth="1" min="5" max="5" width="68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45327.0</v>
      </c>
      <c r="C5" s="55" t="s">
        <v>551</v>
      </c>
      <c r="D5" s="56">
        <v>51743.0</v>
      </c>
      <c r="E5" s="57" t="s">
        <v>475</v>
      </c>
      <c r="F5" s="21"/>
      <c r="G5" s="21"/>
      <c r="H5" s="21"/>
      <c r="I5" s="21"/>
      <c r="J5" s="22">
        <v>3100.0</v>
      </c>
      <c r="K5" s="21"/>
      <c r="L5" s="21"/>
      <c r="M5" s="21"/>
      <c r="N5" s="21"/>
      <c r="O5" s="21"/>
      <c r="P5" s="58">
        <v>3100.0</v>
      </c>
      <c r="Q5" s="24">
        <f t="shared" ref="Q5:Q51" si="1">F5+G5+H5+I5+J5+K5+L5+M5+N5+O5-P5</f>
        <v>0</v>
      </c>
      <c r="R5" s="59" t="s">
        <v>27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45328.0</v>
      </c>
      <c r="C6" s="55" t="s">
        <v>552</v>
      </c>
      <c r="D6" s="56">
        <v>10250.0</v>
      </c>
      <c r="E6" s="57" t="s">
        <v>91</v>
      </c>
      <c r="F6" s="21"/>
      <c r="G6" s="21"/>
      <c r="H6" s="21"/>
      <c r="I6" s="22">
        <v>10600.0</v>
      </c>
      <c r="J6" s="21"/>
      <c r="K6" s="21"/>
      <c r="L6" s="21"/>
      <c r="M6" s="21"/>
      <c r="N6" s="21"/>
      <c r="O6" s="21"/>
      <c r="P6" s="58">
        <v>10600.0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45328.0</v>
      </c>
      <c r="C7" s="55" t="s">
        <v>553</v>
      </c>
      <c r="D7" s="56">
        <v>39803.0</v>
      </c>
      <c r="E7" s="57" t="s">
        <v>554</v>
      </c>
      <c r="F7" s="21"/>
      <c r="G7" s="21"/>
      <c r="H7" s="21"/>
      <c r="I7" s="22">
        <v>1010.0</v>
      </c>
      <c r="J7" s="21"/>
      <c r="K7" s="21"/>
      <c r="L7" s="21"/>
      <c r="M7" s="21"/>
      <c r="N7" s="21"/>
      <c r="O7" s="21"/>
      <c r="P7" s="58">
        <v>1010.0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45328.0</v>
      </c>
      <c r="C8" s="55" t="s">
        <v>555</v>
      </c>
      <c r="D8" s="56">
        <v>43259.0</v>
      </c>
      <c r="E8" s="57" t="s">
        <v>556</v>
      </c>
      <c r="F8" s="21"/>
      <c r="G8" s="21"/>
      <c r="H8" s="21"/>
      <c r="I8" s="22">
        <v>4650.0</v>
      </c>
      <c r="J8" s="21"/>
      <c r="K8" s="21"/>
      <c r="L8" s="21"/>
      <c r="M8" s="21"/>
      <c r="N8" s="21"/>
      <c r="O8" s="21"/>
      <c r="P8" s="58">
        <v>4650.0</v>
      </c>
      <c r="Q8" s="24">
        <f t="shared" si="1"/>
        <v>0</v>
      </c>
      <c r="R8" s="59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45328.0</v>
      </c>
      <c r="C9" s="55" t="s">
        <v>557</v>
      </c>
      <c r="D9" s="56">
        <v>55360.0</v>
      </c>
      <c r="E9" s="57" t="s">
        <v>558</v>
      </c>
      <c r="F9" s="21"/>
      <c r="G9" s="21"/>
      <c r="H9" s="21"/>
      <c r="I9" s="22">
        <v>5150.0</v>
      </c>
      <c r="J9" s="21"/>
      <c r="K9" s="21"/>
      <c r="L9" s="21"/>
      <c r="M9" s="21"/>
      <c r="N9" s="21"/>
      <c r="O9" s="21"/>
      <c r="P9" s="58">
        <v>5150.0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45328.0</v>
      </c>
      <c r="C10" s="55" t="s">
        <v>559</v>
      </c>
      <c r="D10" s="56">
        <v>55895.0</v>
      </c>
      <c r="E10" s="57" t="s">
        <v>560</v>
      </c>
      <c r="F10" s="21"/>
      <c r="G10" s="21"/>
      <c r="H10" s="21"/>
      <c r="I10" s="22">
        <v>5400.0</v>
      </c>
      <c r="J10" s="21"/>
      <c r="K10" s="21"/>
      <c r="L10" s="21"/>
      <c r="M10" s="21"/>
      <c r="N10" s="21"/>
      <c r="O10" s="21"/>
      <c r="P10" s="58">
        <v>5400.0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45328.0</v>
      </c>
      <c r="C11" s="55" t="s">
        <v>561</v>
      </c>
      <c r="D11" s="56">
        <v>55895.0</v>
      </c>
      <c r="E11" s="57" t="s">
        <v>560</v>
      </c>
      <c r="F11" s="21"/>
      <c r="G11" s="21"/>
      <c r="H11" s="21"/>
      <c r="I11" s="22">
        <v>5000.0</v>
      </c>
      <c r="J11" s="21"/>
      <c r="K11" s="21"/>
      <c r="L11" s="21"/>
      <c r="M11" s="21"/>
      <c r="N11" s="21"/>
      <c r="O11" s="21"/>
      <c r="P11" s="58">
        <v>5000.0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45328.0</v>
      </c>
      <c r="C12" s="55" t="s">
        <v>562</v>
      </c>
      <c r="D12" s="56">
        <v>52776.0</v>
      </c>
      <c r="E12" s="57" t="s">
        <v>563</v>
      </c>
      <c r="F12" s="21"/>
      <c r="G12" s="21"/>
      <c r="H12" s="21"/>
      <c r="I12" s="22"/>
      <c r="J12" s="21">
        <v>10000.0</v>
      </c>
      <c r="K12" s="21"/>
      <c r="L12" s="21"/>
      <c r="M12" s="21"/>
      <c r="N12" s="21"/>
      <c r="O12" s="21"/>
      <c r="P12" s="58">
        <v>10000.0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45328.0</v>
      </c>
      <c r="C13" s="55" t="s">
        <v>564</v>
      </c>
      <c r="D13" s="56">
        <v>32700.0</v>
      </c>
      <c r="E13" s="57" t="s">
        <v>565</v>
      </c>
      <c r="F13" s="21"/>
      <c r="G13" s="21"/>
      <c r="H13" s="21"/>
      <c r="I13" s="22"/>
      <c r="J13" s="21">
        <v>10000.0</v>
      </c>
      <c r="K13" s="21"/>
      <c r="L13" s="21"/>
      <c r="M13" s="21"/>
      <c r="N13" s="21"/>
      <c r="O13" s="21"/>
      <c r="P13" s="58">
        <v>10000.0</v>
      </c>
      <c r="Q13" s="24">
        <f t="shared" si="1"/>
        <v>0</v>
      </c>
      <c r="R13" s="59" t="s">
        <v>24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45328.0</v>
      </c>
      <c r="C14" s="55" t="s">
        <v>566</v>
      </c>
      <c r="D14" s="56">
        <v>62004.0</v>
      </c>
      <c r="E14" s="57" t="s">
        <v>567</v>
      </c>
      <c r="F14" s="21"/>
      <c r="G14" s="21"/>
      <c r="H14" s="21"/>
      <c r="I14" s="22">
        <v>12500.0</v>
      </c>
      <c r="J14" s="21"/>
      <c r="K14" s="21"/>
      <c r="L14" s="21"/>
      <c r="M14" s="21"/>
      <c r="N14" s="21"/>
      <c r="O14" s="21"/>
      <c r="P14" s="58">
        <v>12500.0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45328.0</v>
      </c>
      <c r="C15" s="55" t="s">
        <v>568</v>
      </c>
      <c r="D15" s="56">
        <v>51017.0</v>
      </c>
      <c r="E15" s="57" t="s">
        <v>150</v>
      </c>
      <c r="F15" s="21"/>
      <c r="G15" s="21"/>
      <c r="H15" s="21">
        <v>32900.0</v>
      </c>
      <c r="I15" s="22"/>
      <c r="J15" s="21"/>
      <c r="K15" s="21"/>
      <c r="L15" s="21"/>
      <c r="M15" s="21"/>
      <c r="N15" s="21"/>
      <c r="O15" s="21"/>
      <c r="P15" s="58">
        <v>32900.0</v>
      </c>
      <c r="Q15" s="24">
        <f t="shared" si="1"/>
        <v>0</v>
      </c>
      <c r="R15" s="59" t="s">
        <v>24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45328.0</v>
      </c>
      <c r="C16" s="55" t="s">
        <v>569</v>
      </c>
      <c r="D16" s="56">
        <v>81462.0</v>
      </c>
      <c r="E16" s="57" t="s">
        <v>570</v>
      </c>
      <c r="F16" s="21"/>
      <c r="G16" s="21"/>
      <c r="H16" s="21"/>
      <c r="I16" s="22">
        <v>7300.0</v>
      </c>
      <c r="J16" s="21"/>
      <c r="K16" s="21"/>
      <c r="L16" s="21"/>
      <c r="M16" s="21"/>
      <c r="N16" s="21"/>
      <c r="O16" s="21"/>
      <c r="P16" s="58">
        <v>7300.0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45328.0</v>
      </c>
      <c r="C17" s="55" t="s">
        <v>571</v>
      </c>
      <c r="D17" s="56">
        <v>24368.0</v>
      </c>
      <c r="E17" s="57" t="s">
        <v>425</v>
      </c>
      <c r="F17" s="21"/>
      <c r="G17" s="21"/>
      <c r="H17" s="21"/>
      <c r="I17" s="21">
        <v>517.0</v>
      </c>
      <c r="J17" s="21"/>
      <c r="K17" s="21">
        <v>883.0</v>
      </c>
      <c r="L17" s="21"/>
      <c r="M17" s="21"/>
      <c r="N17" s="21"/>
      <c r="O17" s="21"/>
      <c r="P17" s="58">
        <v>1400.0</v>
      </c>
      <c r="Q17" s="24">
        <f t="shared" si="1"/>
        <v>0</v>
      </c>
      <c r="R17" s="59" t="s">
        <v>56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45328.0</v>
      </c>
      <c r="C18" s="55" t="s">
        <v>572</v>
      </c>
      <c r="D18" s="56">
        <v>67160.0</v>
      </c>
      <c r="E18" s="57" t="s">
        <v>573</v>
      </c>
      <c r="F18" s="21"/>
      <c r="G18" s="21"/>
      <c r="H18" s="21"/>
      <c r="I18" s="21">
        <v>5150.0</v>
      </c>
      <c r="J18" s="21"/>
      <c r="K18" s="21"/>
      <c r="L18" s="21"/>
      <c r="M18" s="21"/>
      <c r="N18" s="21"/>
      <c r="O18" s="21"/>
      <c r="P18" s="58">
        <v>5150.0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45328.0</v>
      </c>
      <c r="C19" s="55" t="s">
        <v>574</v>
      </c>
      <c r="D19" s="56">
        <v>62815.0</v>
      </c>
      <c r="E19" s="57" t="s">
        <v>477</v>
      </c>
      <c r="F19" s="21"/>
      <c r="G19" s="21"/>
      <c r="H19" s="21"/>
      <c r="I19" s="21">
        <v>30000.0</v>
      </c>
      <c r="J19" s="21"/>
      <c r="K19" s="21"/>
      <c r="L19" s="21"/>
      <c r="M19" s="21"/>
      <c r="N19" s="21"/>
      <c r="O19" s="21"/>
      <c r="P19" s="58">
        <v>30000.0</v>
      </c>
      <c r="Q19" s="24">
        <f t="shared" si="1"/>
        <v>0</v>
      </c>
      <c r="R19" s="59" t="s">
        <v>56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45328.0</v>
      </c>
      <c r="C20" s="55" t="s">
        <v>575</v>
      </c>
      <c r="D20" s="56">
        <v>48772.0</v>
      </c>
      <c r="E20" s="57" t="s">
        <v>576</v>
      </c>
      <c r="F20" s="21"/>
      <c r="G20" s="21"/>
      <c r="H20" s="21"/>
      <c r="I20" s="21">
        <v>5000.0</v>
      </c>
      <c r="J20" s="21"/>
      <c r="K20" s="21"/>
      <c r="L20" s="21"/>
      <c r="M20" s="21"/>
      <c r="N20" s="21"/>
      <c r="O20" s="21"/>
      <c r="P20" s="58">
        <v>5000.0</v>
      </c>
      <c r="Q20" s="24">
        <f t="shared" si="1"/>
        <v>0</v>
      </c>
      <c r="R20" s="59" t="s">
        <v>56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45328.0</v>
      </c>
      <c r="C21" s="55" t="s">
        <v>577</v>
      </c>
      <c r="D21" s="56">
        <v>22341.0</v>
      </c>
      <c r="E21" s="57" t="s">
        <v>417</v>
      </c>
      <c r="F21" s="21"/>
      <c r="G21" s="21"/>
      <c r="H21" s="21"/>
      <c r="I21" s="21">
        <v>3440.0</v>
      </c>
      <c r="J21" s="21"/>
      <c r="K21" s="21"/>
      <c r="L21" s="21"/>
      <c r="M21" s="21"/>
      <c r="N21" s="21"/>
      <c r="O21" s="21"/>
      <c r="P21" s="58">
        <v>3440.0</v>
      </c>
      <c r="Q21" s="24">
        <f t="shared" si="1"/>
        <v>0</v>
      </c>
      <c r="R21" s="59" t="s">
        <v>56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45328.0</v>
      </c>
      <c r="C22" s="55" t="s">
        <v>578</v>
      </c>
      <c r="D22" s="56">
        <v>22332.0</v>
      </c>
      <c r="E22" s="57" t="s">
        <v>404</v>
      </c>
      <c r="F22" s="21"/>
      <c r="G22" s="21"/>
      <c r="H22" s="21"/>
      <c r="I22" s="21">
        <v>2650.0</v>
      </c>
      <c r="J22" s="21"/>
      <c r="K22" s="21"/>
      <c r="L22" s="21"/>
      <c r="M22" s="21"/>
      <c r="N22" s="21"/>
      <c r="O22" s="21"/>
      <c r="P22" s="58">
        <v>2650.0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45328.0</v>
      </c>
      <c r="C23" s="56" t="s">
        <v>579</v>
      </c>
      <c r="D23" s="56">
        <v>49825.0</v>
      </c>
      <c r="E23" s="57" t="s">
        <v>580</v>
      </c>
      <c r="F23" s="30"/>
      <c r="G23" s="30"/>
      <c r="H23" s="68"/>
      <c r="I23" s="68"/>
      <c r="J23" s="30">
        <v>4650.0</v>
      </c>
      <c r="K23" s="30"/>
      <c r="L23" s="30"/>
      <c r="M23" s="30"/>
      <c r="N23" s="30"/>
      <c r="O23" s="30"/>
      <c r="P23" s="61">
        <v>4650.0</v>
      </c>
      <c r="Q23" s="24">
        <f t="shared" si="1"/>
        <v>0</v>
      </c>
      <c r="R23" s="57" t="s">
        <v>56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45328.0</v>
      </c>
      <c r="C24" s="56" t="s">
        <v>581</v>
      </c>
      <c r="D24" s="56">
        <v>28414.0</v>
      </c>
      <c r="E24" s="57" t="s">
        <v>582</v>
      </c>
      <c r="F24" s="30"/>
      <c r="G24" s="30"/>
      <c r="H24" s="30"/>
      <c r="I24" s="30"/>
      <c r="J24" s="30"/>
      <c r="K24" s="30">
        <v>300.0</v>
      </c>
      <c r="L24" s="30"/>
      <c r="M24" s="30"/>
      <c r="N24" s="30"/>
      <c r="O24" s="30"/>
      <c r="P24" s="61">
        <v>300.0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45328.0</v>
      </c>
      <c r="C25" s="56" t="s">
        <v>583</v>
      </c>
      <c r="D25" s="56">
        <v>64461.0</v>
      </c>
      <c r="E25" s="57" t="s">
        <v>584</v>
      </c>
      <c r="F25" s="30"/>
      <c r="G25" s="30">
        <v>5000.0</v>
      </c>
      <c r="H25" s="30"/>
      <c r="I25" s="30"/>
      <c r="J25" s="30"/>
      <c r="K25" s="30"/>
      <c r="L25" s="30"/>
      <c r="M25" s="30"/>
      <c r="N25" s="30"/>
      <c r="O25" s="30"/>
      <c r="P25" s="61">
        <v>5000.0</v>
      </c>
      <c r="Q25" s="24">
        <f t="shared" si="1"/>
        <v>0</v>
      </c>
      <c r="R25" s="57" t="s">
        <v>24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45328.0</v>
      </c>
      <c r="C26" s="56" t="s">
        <v>585</v>
      </c>
      <c r="D26" s="56">
        <v>35220.0</v>
      </c>
      <c r="E26" s="57" t="s">
        <v>324</v>
      </c>
      <c r="F26" s="30"/>
      <c r="G26" s="30">
        <v>5050.0</v>
      </c>
      <c r="H26" s="30"/>
      <c r="I26" s="30"/>
      <c r="J26" s="30"/>
      <c r="K26" s="30"/>
      <c r="L26" s="30"/>
      <c r="M26" s="30"/>
      <c r="N26" s="30"/>
      <c r="O26" s="30"/>
      <c r="P26" s="61">
        <v>5050.0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45328.0</v>
      </c>
      <c r="C27" s="56" t="s">
        <v>586</v>
      </c>
      <c r="D27" s="56">
        <v>22341.0</v>
      </c>
      <c r="E27" s="57" t="s">
        <v>417</v>
      </c>
      <c r="F27" s="30"/>
      <c r="G27" s="30"/>
      <c r="H27" s="30"/>
      <c r="I27" s="30">
        <v>3100.0</v>
      </c>
      <c r="J27" s="30"/>
      <c r="K27" s="30"/>
      <c r="L27" s="30"/>
      <c r="M27" s="30"/>
      <c r="N27" s="30"/>
      <c r="O27" s="30"/>
      <c r="P27" s="61">
        <v>3100.0</v>
      </c>
      <c r="Q27" s="24">
        <f t="shared" si="1"/>
        <v>0</v>
      </c>
      <c r="R27" s="57" t="s">
        <v>24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45328.0</v>
      </c>
      <c r="C28" s="56" t="s">
        <v>587</v>
      </c>
      <c r="D28" s="56">
        <v>19122.0</v>
      </c>
      <c r="E28" s="57" t="s">
        <v>42</v>
      </c>
      <c r="F28" s="30"/>
      <c r="G28" s="30"/>
      <c r="H28" s="30"/>
      <c r="I28" s="30">
        <v>1800.0</v>
      </c>
      <c r="J28" s="30"/>
      <c r="K28" s="30"/>
      <c r="L28" s="30"/>
      <c r="M28" s="30"/>
      <c r="N28" s="30"/>
      <c r="O28" s="30"/>
      <c r="P28" s="61">
        <v>1800.0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45328.0</v>
      </c>
      <c r="C29" s="56" t="s">
        <v>588</v>
      </c>
      <c r="D29" s="56">
        <v>81467.0</v>
      </c>
      <c r="E29" s="57" t="s">
        <v>589</v>
      </c>
      <c r="F29" s="30"/>
      <c r="G29" s="30"/>
      <c r="H29" s="30"/>
      <c r="I29" s="30">
        <v>300.0</v>
      </c>
      <c r="J29" s="30"/>
      <c r="K29" s="30"/>
      <c r="L29" s="30"/>
      <c r="M29" s="30"/>
      <c r="N29" s="30"/>
      <c r="O29" s="30"/>
      <c r="P29" s="61">
        <v>300.0</v>
      </c>
      <c r="Q29" s="24">
        <f t="shared" si="1"/>
        <v>0</v>
      </c>
      <c r="R29" s="57" t="s">
        <v>30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45328.0</v>
      </c>
      <c r="C30" s="56" t="s">
        <v>590</v>
      </c>
      <c r="D30" s="56">
        <v>49831.0</v>
      </c>
      <c r="E30" s="57" t="s">
        <v>591</v>
      </c>
      <c r="F30" s="30"/>
      <c r="G30" s="30"/>
      <c r="H30" s="30"/>
      <c r="I30" s="30"/>
      <c r="J30" s="30">
        <v>5150.0</v>
      </c>
      <c r="K30" s="30"/>
      <c r="L30" s="30"/>
      <c r="M30" s="30"/>
      <c r="N30" s="30"/>
      <c r="O30" s="30"/>
      <c r="P30" s="61">
        <v>5150.0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45328.0</v>
      </c>
      <c r="C31" s="56" t="s">
        <v>592</v>
      </c>
      <c r="D31" s="56">
        <v>11136.0</v>
      </c>
      <c r="E31" s="57" t="s">
        <v>593</v>
      </c>
      <c r="F31" s="30"/>
      <c r="G31" s="30"/>
      <c r="H31" s="30"/>
      <c r="I31" s="30">
        <v>1450.0</v>
      </c>
      <c r="J31" s="30"/>
      <c r="K31" s="30"/>
      <c r="L31" s="30"/>
      <c r="M31" s="30"/>
      <c r="N31" s="30"/>
      <c r="O31" s="30"/>
      <c r="P31" s="61">
        <v>1450.0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45328.0</v>
      </c>
      <c r="C32" s="56" t="s">
        <v>594</v>
      </c>
      <c r="D32" s="56">
        <v>22341.0</v>
      </c>
      <c r="E32" s="57" t="s">
        <v>417</v>
      </c>
      <c r="F32" s="30"/>
      <c r="G32" s="30"/>
      <c r="H32" s="30"/>
      <c r="I32" s="30">
        <v>3550.0</v>
      </c>
      <c r="J32" s="30"/>
      <c r="K32" s="30"/>
      <c r="L32" s="30"/>
      <c r="M32" s="30"/>
      <c r="N32" s="30"/>
      <c r="O32" s="30"/>
      <c r="P32" s="61">
        <v>3550.0</v>
      </c>
      <c r="Q32" s="24">
        <f t="shared" si="1"/>
        <v>0</v>
      </c>
      <c r="R32" s="57" t="s">
        <v>30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45328.0</v>
      </c>
      <c r="C33" s="56" t="s">
        <v>595</v>
      </c>
      <c r="D33" s="56">
        <v>67125.0</v>
      </c>
      <c r="E33" s="57" t="s">
        <v>596</v>
      </c>
      <c r="F33" s="30"/>
      <c r="G33" s="30"/>
      <c r="H33" s="30"/>
      <c r="I33" s="30">
        <v>1500.0</v>
      </c>
      <c r="J33" s="30"/>
      <c r="K33" s="30"/>
      <c r="L33" s="30"/>
      <c r="M33" s="30"/>
      <c r="N33" s="30"/>
      <c r="O33" s="30"/>
      <c r="P33" s="61">
        <v>1500.0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45328.0</v>
      </c>
      <c r="C34" s="56" t="s">
        <v>597</v>
      </c>
      <c r="D34" s="56">
        <v>31927.0</v>
      </c>
      <c r="E34" s="57" t="s">
        <v>121</v>
      </c>
      <c r="F34" s="30"/>
      <c r="G34" s="30"/>
      <c r="H34" s="30"/>
      <c r="I34" s="30">
        <v>450.0</v>
      </c>
      <c r="J34" s="30"/>
      <c r="K34" s="30"/>
      <c r="L34" s="30"/>
      <c r="M34" s="30"/>
      <c r="N34" s="30"/>
      <c r="O34" s="30"/>
      <c r="P34" s="61">
        <v>450.0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45328.0</v>
      </c>
      <c r="C35" s="56" t="s">
        <v>598</v>
      </c>
      <c r="D35" s="56">
        <v>58050.0</v>
      </c>
      <c r="E35" s="57" t="s">
        <v>364</v>
      </c>
      <c r="F35" s="30"/>
      <c r="G35" s="30"/>
      <c r="H35" s="30"/>
      <c r="I35" s="30">
        <v>1500.0</v>
      </c>
      <c r="J35" s="30"/>
      <c r="K35" s="30"/>
      <c r="L35" s="30"/>
      <c r="M35" s="30"/>
      <c r="N35" s="30"/>
      <c r="O35" s="30"/>
      <c r="P35" s="61">
        <v>1500.0</v>
      </c>
      <c r="Q35" s="24">
        <f t="shared" si="1"/>
        <v>0</v>
      </c>
      <c r="R35" s="57" t="s">
        <v>66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45328.0</v>
      </c>
      <c r="C36" s="56" t="s">
        <v>599</v>
      </c>
      <c r="D36" s="56">
        <v>78063.0</v>
      </c>
      <c r="E36" s="57" t="s">
        <v>600</v>
      </c>
      <c r="F36" s="30"/>
      <c r="G36" s="30"/>
      <c r="H36" s="30"/>
      <c r="I36" s="30">
        <v>8750.0</v>
      </c>
      <c r="J36" s="30"/>
      <c r="K36" s="30"/>
      <c r="L36" s="30"/>
      <c r="M36" s="30"/>
      <c r="N36" s="30"/>
      <c r="O36" s="30"/>
      <c r="P36" s="61">
        <v>8750.0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45328.0</v>
      </c>
      <c r="C37" s="56" t="s">
        <v>601</v>
      </c>
      <c r="D37" s="56">
        <v>64457.0</v>
      </c>
      <c r="E37" s="57" t="s">
        <v>602</v>
      </c>
      <c r="F37" s="30"/>
      <c r="G37" s="30"/>
      <c r="H37" s="30"/>
      <c r="I37" s="30">
        <v>200.0</v>
      </c>
      <c r="J37" s="30"/>
      <c r="K37" s="30"/>
      <c r="L37" s="30"/>
      <c r="M37" s="30"/>
      <c r="N37" s="30"/>
      <c r="O37" s="30"/>
      <c r="P37" s="61">
        <v>200.0</v>
      </c>
      <c r="Q37" s="24">
        <f t="shared" si="1"/>
        <v>0</v>
      </c>
      <c r="R37" s="57" t="s">
        <v>30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45328.0</v>
      </c>
      <c r="C38" s="56" t="s">
        <v>603</v>
      </c>
      <c r="D38" s="56">
        <v>51697.0</v>
      </c>
      <c r="E38" s="57" t="s">
        <v>441</v>
      </c>
      <c r="F38" s="30"/>
      <c r="G38" s="30"/>
      <c r="H38" s="30"/>
      <c r="I38" s="30">
        <v>2184.0</v>
      </c>
      <c r="J38" s="30"/>
      <c r="K38" s="30">
        <v>3566.0</v>
      </c>
      <c r="L38" s="30"/>
      <c r="M38" s="30"/>
      <c r="N38" s="30"/>
      <c r="O38" s="30"/>
      <c r="P38" s="61">
        <v>5750.0</v>
      </c>
      <c r="Q38" s="24">
        <f t="shared" si="1"/>
        <v>0</v>
      </c>
      <c r="R38" s="57" t="s">
        <v>24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45328.0</v>
      </c>
      <c r="C39" s="56" t="s">
        <v>604</v>
      </c>
      <c r="D39" s="56">
        <v>69334.0</v>
      </c>
      <c r="E39" s="57" t="s">
        <v>605</v>
      </c>
      <c r="F39" s="30"/>
      <c r="G39" s="30"/>
      <c r="H39" s="30"/>
      <c r="I39" s="30"/>
      <c r="J39" s="30">
        <v>2650.0</v>
      </c>
      <c r="K39" s="30"/>
      <c r="L39" s="30"/>
      <c r="M39" s="30"/>
      <c r="N39" s="30"/>
      <c r="O39" s="30"/>
      <c r="P39" s="61">
        <v>2650.0</v>
      </c>
      <c r="Q39" s="24">
        <f t="shared" si="1"/>
        <v>0</v>
      </c>
      <c r="R39" s="57" t="s">
        <v>66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45328.0</v>
      </c>
      <c r="C40" s="56" t="s">
        <v>606</v>
      </c>
      <c r="D40" s="56">
        <v>72205.0</v>
      </c>
      <c r="E40" s="57" t="s">
        <v>607</v>
      </c>
      <c r="F40" s="30"/>
      <c r="G40" s="30"/>
      <c r="H40" s="30"/>
      <c r="I40" s="30"/>
      <c r="J40" s="30">
        <v>1150.0</v>
      </c>
      <c r="K40" s="30"/>
      <c r="L40" s="30"/>
      <c r="M40" s="30"/>
      <c r="N40" s="30"/>
      <c r="O40" s="30"/>
      <c r="P40" s="61">
        <v>1150.0</v>
      </c>
      <c r="Q40" s="24">
        <f t="shared" si="1"/>
        <v>0</v>
      </c>
      <c r="R40" s="57" t="s">
        <v>30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45328.0</v>
      </c>
      <c r="C41" s="56" t="s">
        <v>608</v>
      </c>
      <c r="D41" s="56">
        <v>25650.0</v>
      </c>
      <c r="E41" s="57" t="s">
        <v>161</v>
      </c>
      <c r="F41" s="30"/>
      <c r="G41" s="30"/>
      <c r="H41" s="30"/>
      <c r="I41" s="30"/>
      <c r="J41" s="30"/>
      <c r="K41" s="30">
        <v>5600.0</v>
      </c>
      <c r="L41" s="30"/>
      <c r="M41" s="30"/>
      <c r="N41" s="30"/>
      <c r="O41" s="30"/>
      <c r="P41" s="61">
        <v>5600.0</v>
      </c>
      <c r="Q41" s="24">
        <f t="shared" si="1"/>
        <v>0</v>
      </c>
      <c r="R41" s="57" t="s">
        <v>24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45328.0</v>
      </c>
      <c r="C42" s="56" t="s">
        <v>609</v>
      </c>
      <c r="D42" s="56">
        <v>56560.0</v>
      </c>
      <c r="E42" s="57" t="s">
        <v>610</v>
      </c>
      <c r="F42" s="30"/>
      <c r="G42" s="30"/>
      <c r="H42" s="30"/>
      <c r="I42" s="30"/>
      <c r="J42" s="30"/>
      <c r="K42" s="30"/>
      <c r="L42" s="30"/>
      <c r="M42" s="30"/>
      <c r="N42" s="30"/>
      <c r="O42" s="30">
        <v>7200.0</v>
      </c>
      <c r="P42" s="61">
        <v>7200.0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45328.0</v>
      </c>
      <c r="C43" s="56" t="s">
        <v>611</v>
      </c>
      <c r="D43" s="56">
        <v>32700.0</v>
      </c>
      <c r="E43" s="57" t="s">
        <v>565</v>
      </c>
      <c r="F43" s="30"/>
      <c r="G43" s="30"/>
      <c r="H43" s="30"/>
      <c r="I43" s="30"/>
      <c r="J43" s="30"/>
      <c r="K43" s="30"/>
      <c r="L43" s="30"/>
      <c r="M43" s="30"/>
      <c r="N43" s="30"/>
      <c r="O43" s="30">
        <v>4800.0</v>
      </c>
      <c r="P43" s="61">
        <v>4800.0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45328.0</v>
      </c>
      <c r="C44" s="56" t="s">
        <v>612</v>
      </c>
      <c r="D44" s="56">
        <v>55992.0</v>
      </c>
      <c r="E44" s="57" t="s">
        <v>613</v>
      </c>
      <c r="F44" s="30"/>
      <c r="G44" s="30"/>
      <c r="H44" s="30"/>
      <c r="I44" s="30"/>
      <c r="J44" s="30"/>
      <c r="K44" s="30"/>
      <c r="L44" s="30"/>
      <c r="M44" s="30"/>
      <c r="N44" s="30"/>
      <c r="O44" s="30">
        <v>1600.0</v>
      </c>
      <c r="P44" s="61">
        <v>1600.0</v>
      </c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45328.0</v>
      </c>
      <c r="C45" s="56" t="s">
        <v>614</v>
      </c>
      <c r="D45" s="56">
        <v>81352.0</v>
      </c>
      <c r="E45" s="57" t="s">
        <v>615</v>
      </c>
      <c r="F45" s="30"/>
      <c r="G45" s="30"/>
      <c r="H45" s="30"/>
      <c r="I45" s="30"/>
      <c r="J45" s="30"/>
      <c r="K45" s="30">
        <v>7000.0</v>
      </c>
      <c r="L45" s="30"/>
      <c r="M45" s="30"/>
      <c r="N45" s="30"/>
      <c r="O45" s="30"/>
      <c r="P45" s="61">
        <v>7000.0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45328.0</v>
      </c>
      <c r="C46" s="56" t="s">
        <v>616</v>
      </c>
      <c r="D46" s="56">
        <v>10288.0</v>
      </c>
      <c r="E46" s="57" t="s">
        <v>457</v>
      </c>
      <c r="F46" s="30"/>
      <c r="G46" s="30"/>
      <c r="H46" s="30">
        <v>9500.0</v>
      </c>
      <c r="I46" s="30"/>
      <c r="J46" s="30"/>
      <c r="K46" s="30"/>
      <c r="L46" s="30"/>
      <c r="M46" s="30"/>
      <c r="N46" s="30"/>
      <c r="O46" s="30"/>
      <c r="P46" s="61">
        <v>9500.0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45328.0</v>
      </c>
      <c r="C47" s="56" t="s">
        <v>617</v>
      </c>
      <c r="D47" s="56">
        <v>48772.0</v>
      </c>
      <c r="E47" s="57" t="s">
        <v>576</v>
      </c>
      <c r="F47" s="30"/>
      <c r="G47" s="30"/>
      <c r="H47" s="30"/>
      <c r="I47" s="30"/>
      <c r="J47" s="30"/>
      <c r="K47" s="30"/>
      <c r="L47" s="30"/>
      <c r="M47" s="30"/>
      <c r="N47" s="30"/>
      <c r="O47" s="30">
        <v>1200.0</v>
      </c>
      <c r="P47" s="61">
        <v>1200.0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45328.0</v>
      </c>
      <c r="C48" s="56" t="s">
        <v>618</v>
      </c>
      <c r="D48" s="56">
        <v>10006.0</v>
      </c>
      <c r="E48" s="57" t="s">
        <v>619</v>
      </c>
      <c r="F48" s="30"/>
      <c r="G48" s="30"/>
      <c r="H48" s="30">
        <v>5000.0</v>
      </c>
      <c r="I48" s="30"/>
      <c r="J48" s="30"/>
      <c r="K48" s="30"/>
      <c r="L48" s="30"/>
      <c r="M48" s="30"/>
      <c r="N48" s="30"/>
      <c r="O48" s="30"/>
      <c r="P48" s="61">
        <v>5000.0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0">
        <v>45328.0</v>
      </c>
      <c r="C49" s="56" t="s">
        <v>620</v>
      </c>
      <c r="D49" s="56">
        <v>51782.0</v>
      </c>
      <c r="E49" s="57" t="s">
        <v>621</v>
      </c>
      <c r="F49" s="30"/>
      <c r="G49" s="30"/>
      <c r="H49" s="30">
        <v>5000.0</v>
      </c>
      <c r="I49" s="30"/>
      <c r="J49" s="30"/>
      <c r="K49" s="30"/>
      <c r="L49" s="30"/>
      <c r="M49" s="30"/>
      <c r="N49" s="30"/>
      <c r="O49" s="30"/>
      <c r="P49" s="61">
        <v>5000.0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0">
        <v>45328.0</v>
      </c>
      <c r="C50" s="56" t="s">
        <v>622</v>
      </c>
      <c r="D50" s="56">
        <v>25650.0</v>
      </c>
      <c r="E50" s="57" t="s">
        <v>161</v>
      </c>
      <c r="F50" s="30"/>
      <c r="G50" s="30"/>
      <c r="H50" s="30"/>
      <c r="I50" s="30"/>
      <c r="J50" s="30"/>
      <c r="K50" s="30"/>
      <c r="L50" s="30"/>
      <c r="M50" s="30"/>
      <c r="N50" s="30"/>
      <c r="O50" s="30">
        <v>6000.0</v>
      </c>
      <c r="P50" s="61">
        <v>6000.0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/>
      <c r="B51" s="27"/>
      <c r="C51" s="28"/>
      <c r="D51" s="29"/>
      <c r="E51" s="28"/>
      <c r="F51" s="30">
        <f t="shared" ref="F51:P51" si="2">SUM(F5:F50)</f>
        <v>0</v>
      </c>
      <c r="G51" s="30">
        <f t="shared" si="2"/>
        <v>10050</v>
      </c>
      <c r="H51" s="30">
        <f t="shared" si="2"/>
        <v>52400</v>
      </c>
      <c r="I51" s="30">
        <f t="shared" si="2"/>
        <v>123151</v>
      </c>
      <c r="J51" s="30">
        <f t="shared" si="2"/>
        <v>36700</v>
      </c>
      <c r="K51" s="30">
        <f t="shared" si="2"/>
        <v>17349</v>
      </c>
      <c r="L51" s="30">
        <f t="shared" si="2"/>
        <v>0</v>
      </c>
      <c r="M51" s="30">
        <f t="shared" si="2"/>
        <v>0</v>
      </c>
      <c r="N51" s="30">
        <f t="shared" si="2"/>
        <v>0</v>
      </c>
      <c r="O51" s="30">
        <f t="shared" si="2"/>
        <v>20800</v>
      </c>
      <c r="P51" s="30">
        <f t="shared" si="2"/>
        <v>260450</v>
      </c>
      <c r="Q51" s="24">
        <f t="shared" si="1"/>
        <v>0</v>
      </c>
      <c r="R51" s="67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36.0" customHeight="1">
      <c r="A52" s="35"/>
      <c r="B52" s="35"/>
      <c r="C52" s="35"/>
      <c r="D52" s="35"/>
      <c r="E52" s="35"/>
      <c r="F52" s="36">
        <f>F51+G51+H51+I51+J51+K51+L51+M51+N51+O51</f>
        <v>260450</v>
      </c>
      <c r="P52" s="36"/>
      <c r="Q52" s="36"/>
      <c r="R52" s="35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37" t="s">
        <v>242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243</v>
      </c>
      <c r="F56" s="39" t="s">
        <v>244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245</v>
      </c>
      <c r="F57" s="39" t="s">
        <v>244</v>
      </c>
      <c r="G57" s="4"/>
      <c r="H57" s="4"/>
      <c r="I57" s="4"/>
      <c r="J57" s="4"/>
      <c r="K57" s="4"/>
      <c r="L57" s="4"/>
      <c r="M57" s="4"/>
      <c r="N57" s="4"/>
      <c r="O57" s="4" t="s">
        <v>242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38" t="s">
        <v>246</v>
      </c>
      <c r="F58" s="39" t="s">
        <v>244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38" t="s">
        <v>247</v>
      </c>
      <c r="F59" s="39" t="s">
        <v>244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38" t="s">
        <v>248</v>
      </c>
      <c r="F60" s="39" t="s">
        <v>623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7.0" customHeight="1">
      <c r="A61" s="4"/>
      <c r="B61" s="4"/>
      <c r="C61" s="4"/>
      <c r="D61" s="4"/>
      <c r="E61" s="38" t="s">
        <v>624</v>
      </c>
      <c r="F61" s="39" t="s">
        <v>244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0.0" customHeight="1">
      <c r="A62" s="4"/>
      <c r="B62" s="4"/>
      <c r="C62" s="4"/>
      <c r="D62" s="4"/>
      <c r="E62" s="40" t="s">
        <v>250</v>
      </c>
      <c r="F62" s="39" t="s">
        <v>244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252</v>
      </c>
      <c r="F63" s="39" t="s">
        <v>244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242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 t="s">
        <v>253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9.3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625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45329.0</v>
      </c>
      <c r="C5" s="55" t="s">
        <v>626</v>
      </c>
      <c r="D5" s="56">
        <v>51939.0</v>
      </c>
      <c r="E5" s="57" t="s">
        <v>185</v>
      </c>
      <c r="F5" s="21"/>
      <c r="G5" s="21"/>
      <c r="H5" s="21"/>
      <c r="I5" s="21">
        <v>6250.0</v>
      </c>
      <c r="J5" s="22"/>
      <c r="K5" s="21"/>
      <c r="L5" s="21"/>
      <c r="M5" s="21"/>
      <c r="N5" s="21"/>
      <c r="O5" s="21"/>
      <c r="P5" s="58">
        <v>6250.0</v>
      </c>
      <c r="Q5" s="24">
        <f t="shared" ref="Q5:Q65" si="1">F5+G5+H5+I5+J5+K5+L5+M5+N5+O5-P5</f>
        <v>0</v>
      </c>
      <c r="R5" s="59" t="s">
        <v>30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45329.0</v>
      </c>
      <c r="C6" s="55" t="s">
        <v>627</v>
      </c>
      <c r="D6" s="56">
        <v>14329.0</v>
      </c>
      <c r="E6" s="57" t="s">
        <v>628</v>
      </c>
      <c r="F6" s="21"/>
      <c r="G6" s="21"/>
      <c r="H6" s="21"/>
      <c r="I6" s="22">
        <v>2500.0</v>
      </c>
      <c r="J6" s="21"/>
      <c r="K6" s="21"/>
      <c r="L6" s="21"/>
      <c r="M6" s="21"/>
      <c r="N6" s="21"/>
      <c r="O6" s="21"/>
      <c r="P6" s="58">
        <v>2500.0</v>
      </c>
      <c r="Q6" s="24">
        <f t="shared" si="1"/>
        <v>0</v>
      </c>
      <c r="R6" s="59" t="s">
        <v>30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45329.0</v>
      </c>
      <c r="C7" s="55" t="s">
        <v>629</v>
      </c>
      <c r="D7" s="56">
        <v>67909.0</v>
      </c>
      <c r="E7" s="57" t="s">
        <v>471</v>
      </c>
      <c r="F7" s="21"/>
      <c r="G7" s="21"/>
      <c r="H7" s="21"/>
      <c r="I7" s="22">
        <v>10000.0</v>
      </c>
      <c r="J7" s="21"/>
      <c r="K7" s="21"/>
      <c r="L7" s="21"/>
      <c r="M7" s="21"/>
      <c r="N7" s="21"/>
      <c r="O7" s="21"/>
      <c r="P7" s="58">
        <v>10000.0</v>
      </c>
      <c r="Q7" s="24">
        <f t="shared" si="1"/>
        <v>0</v>
      </c>
      <c r="R7" s="59" t="s">
        <v>30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45329.0</v>
      </c>
      <c r="C8" s="55" t="s">
        <v>630</v>
      </c>
      <c r="D8" s="56">
        <v>47583.0</v>
      </c>
      <c r="E8" s="57" t="s">
        <v>631</v>
      </c>
      <c r="F8" s="21"/>
      <c r="G8" s="21"/>
      <c r="H8" s="21"/>
      <c r="I8" s="22">
        <v>2650.0</v>
      </c>
      <c r="J8" s="21"/>
      <c r="K8" s="21"/>
      <c r="L8" s="21"/>
      <c r="M8" s="21"/>
      <c r="N8" s="21"/>
      <c r="O8" s="21"/>
      <c r="P8" s="58">
        <v>2650.0</v>
      </c>
      <c r="Q8" s="24">
        <f t="shared" si="1"/>
        <v>0</v>
      </c>
      <c r="R8" s="59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45329.0</v>
      </c>
      <c r="C9" s="55" t="s">
        <v>632</v>
      </c>
      <c r="D9" s="56">
        <v>75228.0</v>
      </c>
      <c r="E9" s="57" t="s">
        <v>157</v>
      </c>
      <c r="F9" s="21"/>
      <c r="G9" s="21"/>
      <c r="H9" s="21"/>
      <c r="I9" s="22"/>
      <c r="J9" s="21">
        <v>400.0</v>
      </c>
      <c r="K9" s="21"/>
      <c r="L9" s="21"/>
      <c r="M9" s="21"/>
      <c r="N9" s="21"/>
      <c r="O9" s="21"/>
      <c r="P9" s="58">
        <v>400.0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45329.0</v>
      </c>
      <c r="C10" s="55" t="s">
        <v>633</v>
      </c>
      <c r="D10" s="56">
        <v>51017.0</v>
      </c>
      <c r="E10" s="57" t="s">
        <v>150</v>
      </c>
      <c r="F10" s="21"/>
      <c r="G10" s="21"/>
      <c r="H10" s="21">
        <v>38400.0</v>
      </c>
      <c r="I10" s="22"/>
      <c r="J10" s="21"/>
      <c r="K10" s="21"/>
      <c r="L10" s="21"/>
      <c r="M10" s="21"/>
      <c r="N10" s="21"/>
      <c r="O10" s="21"/>
      <c r="P10" s="58">
        <v>38400.0</v>
      </c>
      <c r="Q10" s="24">
        <f t="shared" si="1"/>
        <v>0</v>
      </c>
      <c r="R10" s="59" t="s">
        <v>24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45329.0</v>
      </c>
      <c r="C11" s="55" t="s">
        <v>634</v>
      </c>
      <c r="D11" s="56">
        <v>73016.0</v>
      </c>
      <c r="E11" s="57" t="s">
        <v>635</v>
      </c>
      <c r="F11" s="21"/>
      <c r="G11" s="21"/>
      <c r="H11" s="21"/>
      <c r="I11" s="22"/>
      <c r="J11" s="21">
        <v>775.0</v>
      </c>
      <c r="K11" s="21"/>
      <c r="L11" s="21"/>
      <c r="M11" s="21"/>
      <c r="N11" s="21"/>
      <c r="O11" s="21"/>
      <c r="P11" s="58">
        <v>775.0</v>
      </c>
      <c r="Q11" s="24">
        <f t="shared" si="1"/>
        <v>0</v>
      </c>
      <c r="R11" s="59" t="s">
        <v>85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45329.0</v>
      </c>
      <c r="C12" s="55" t="s">
        <v>636</v>
      </c>
      <c r="D12" s="56">
        <v>19122.0</v>
      </c>
      <c r="E12" s="57" t="s">
        <v>42</v>
      </c>
      <c r="F12" s="21"/>
      <c r="G12" s="21"/>
      <c r="H12" s="21"/>
      <c r="I12" s="22">
        <v>2650.0</v>
      </c>
      <c r="J12" s="21"/>
      <c r="K12" s="21"/>
      <c r="L12" s="21"/>
      <c r="M12" s="21"/>
      <c r="N12" s="21"/>
      <c r="O12" s="21"/>
      <c r="P12" s="58">
        <v>2650.0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45329.0</v>
      </c>
      <c r="C13" s="55" t="s">
        <v>637</v>
      </c>
      <c r="D13" s="56">
        <v>47529.0</v>
      </c>
      <c r="E13" s="57" t="s">
        <v>638</v>
      </c>
      <c r="F13" s="21"/>
      <c r="G13" s="21"/>
      <c r="H13" s="21"/>
      <c r="I13" s="22">
        <v>2650.0</v>
      </c>
      <c r="J13" s="21"/>
      <c r="K13" s="21"/>
      <c r="L13" s="21"/>
      <c r="M13" s="21"/>
      <c r="N13" s="21"/>
      <c r="O13" s="21"/>
      <c r="P13" s="58">
        <v>2650.0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45329.0</v>
      </c>
      <c r="C14" s="55" t="s">
        <v>639</v>
      </c>
      <c r="D14" s="56">
        <v>81485.0</v>
      </c>
      <c r="E14" s="57" t="s">
        <v>640</v>
      </c>
      <c r="F14" s="21"/>
      <c r="G14" s="21"/>
      <c r="H14" s="21"/>
      <c r="I14" s="22"/>
      <c r="J14" s="21">
        <v>7300.0</v>
      </c>
      <c r="K14" s="21"/>
      <c r="L14" s="21"/>
      <c r="M14" s="21"/>
      <c r="N14" s="21"/>
      <c r="O14" s="21"/>
      <c r="P14" s="58">
        <v>7300.0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45329.0</v>
      </c>
      <c r="C15" s="55" t="s">
        <v>641</v>
      </c>
      <c r="D15" s="56">
        <v>49679.0</v>
      </c>
      <c r="E15" s="57" t="s">
        <v>642</v>
      </c>
      <c r="F15" s="21"/>
      <c r="G15" s="21"/>
      <c r="H15" s="21"/>
      <c r="I15" s="22">
        <v>2650.0</v>
      </c>
      <c r="J15" s="21"/>
      <c r="K15" s="21"/>
      <c r="L15" s="21"/>
      <c r="M15" s="21"/>
      <c r="N15" s="21"/>
      <c r="O15" s="21"/>
      <c r="P15" s="58">
        <v>2650.0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45329.0</v>
      </c>
      <c r="C16" s="55" t="s">
        <v>643</v>
      </c>
      <c r="D16" s="56">
        <v>48052.0</v>
      </c>
      <c r="E16" s="57" t="s">
        <v>65</v>
      </c>
      <c r="F16" s="21"/>
      <c r="G16" s="21"/>
      <c r="H16" s="21"/>
      <c r="I16" s="22">
        <v>900.0</v>
      </c>
      <c r="J16" s="21"/>
      <c r="K16" s="21"/>
      <c r="L16" s="21"/>
      <c r="M16" s="21"/>
      <c r="N16" s="21"/>
      <c r="O16" s="21"/>
      <c r="P16" s="58">
        <v>900.0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45329.0</v>
      </c>
      <c r="C17" s="55" t="s">
        <v>644</v>
      </c>
      <c r="D17" s="56">
        <v>54280.0</v>
      </c>
      <c r="E17" s="57" t="s">
        <v>645</v>
      </c>
      <c r="F17" s="21"/>
      <c r="G17" s="21"/>
      <c r="H17" s="21"/>
      <c r="I17" s="21">
        <v>6050.0</v>
      </c>
      <c r="J17" s="21"/>
      <c r="K17" s="21"/>
      <c r="L17" s="21"/>
      <c r="M17" s="21"/>
      <c r="N17" s="21"/>
      <c r="O17" s="21"/>
      <c r="P17" s="58">
        <v>6050.0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45329.0</v>
      </c>
      <c r="C18" s="55" t="s">
        <v>646</v>
      </c>
      <c r="D18" s="56">
        <v>57441.0</v>
      </c>
      <c r="E18" s="57" t="s">
        <v>647</v>
      </c>
      <c r="F18" s="21"/>
      <c r="G18" s="21"/>
      <c r="H18" s="21"/>
      <c r="I18" s="21"/>
      <c r="J18" s="21"/>
      <c r="K18" s="21">
        <v>150.0</v>
      </c>
      <c r="L18" s="21"/>
      <c r="M18" s="21"/>
      <c r="N18" s="21"/>
      <c r="O18" s="21"/>
      <c r="P18" s="58">
        <v>150.0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45329.0</v>
      </c>
      <c r="C19" s="55" t="s">
        <v>648</v>
      </c>
      <c r="D19" s="56">
        <v>73784.0</v>
      </c>
      <c r="E19" s="57" t="s">
        <v>649</v>
      </c>
      <c r="F19" s="21"/>
      <c r="G19" s="21"/>
      <c r="H19" s="21"/>
      <c r="I19" s="21">
        <v>7000.0</v>
      </c>
      <c r="J19" s="21"/>
      <c r="K19" s="21"/>
      <c r="L19" s="21"/>
      <c r="M19" s="21"/>
      <c r="N19" s="21"/>
      <c r="O19" s="21"/>
      <c r="P19" s="58">
        <v>7000.0</v>
      </c>
      <c r="Q19" s="24">
        <f t="shared" si="1"/>
        <v>0</v>
      </c>
      <c r="R19" s="59" t="s">
        <v>30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45329.0</v>
      </c>
      <c r="C20" s="55" t="s">
        <v>650</v>
      </c>
      <c r="D20" s="56">
        <v>31927.0</v>
      </c>
      <c r="E20" s="57" t="s">
        <v>121</v>
      </c>
      <c r="F20" s="21"/>
      <c r="G20" s="21"/>
      <c r="H20" s="21"/>
      <c r="I20" s="21">
        <v>1450.0</v>
      </c>
      <c r="J20" s="21"/>
      <c r="K20" s="21"/>
      <c r="L20" s="21"/>
      <c r="M20" s="21"/>
      <c r="N20" s="21"/>
      <c r="O20" s="21"/>
      <c r="P20" s="58">
        <v>1450.0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45329.0</v>
      </c>
      <c r="C21" s="55" t="s">
        <v>651</v>
      </c>
      <c r="D21" s="56">
        <v>53249.0</v>
      </c>
      <c r="E21" s="57" t="s">
        <v>152</v>
      </c>
      <c r="F21" s="21"/>
      <c r="G21" s="21"/>
      <c r="H21" s="21"/>
      <c r="I21" s="21"/>
      <c r="J21" s="21">
        <v>15100.0</v>
      </c>
      <c r="K21" s="21"/>
      <c r="L21" s="21"/>
      <c r="M21" s="21"/>
      <c r="N21" s="21"/>
      <c r="O21" s="21"/>
      <c r="P21" s="58">
        <v>15100.0</v>
      </c>
      <c r="Q21" s="24">
        <f t="shared" si="1"/>
        <v>0</v>
      </c>
      <c r="R21" s="59" t="s">
        <v>85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45329.0</v>
      </c>
      <c r="C22" s="55" t="s">
        <v>652</v>
      </c>
      <c r="D22" s="56">
        <v>46927.0</v>
      </c>
      <c r="E22" s="57" t="s">
        <v>653</v>
      </c>
      <c r="F22" s="21"/>
      <c r="G22" s="21"/>
      <c r="H22" s="21"/>
      <c r="I22" s="21">
        <v>4140.0</v>
      </c>
      <c r="J22" s="21"/>
      <c r="K22" s="21">
        <v>500.0</v>
      </c>
      <c r="L22" s="21"/>
      <c r="M22" s="21"/>
      <c r="N22" s="21"/>
      <c r="O22" s="21"/>
      <c r="P22" s="58">
        <v>4640.0</v>
      </c>
      <c r="Q22" s="24">
        <f t="shared" si="1"/>
        <v>0</v>
      </c>
      <c r="R22" s="59" t="s">
        <v>66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45329.0</v>
      </c>
      <c r="C23" s="56" t="s">
        <v>654</v>
      </c>
      <c r="D23" s="56">
        <v>29621.0</v>
      </c>
      <c r="E23" s="57" t="s">
        <v>655</v>
      </c>
      <c r="F23" s="30"/>
      <c r="G23" s="30"/>
      <c r="H23" s="68"/>
      <c r="I23" s="68">
        <v>5150.0</v>
      </c>
      <c r="J23" s="30"/>
      <c r="K23" s="30"/>
      <c r="L23" s="30"/>
      <c r="M23" s="30"/>
      <c r="N23" s="30"/>
      <c r="O23" s="30"/>
      <c r="P23" s="61">
        <v>5150.0</v>
      </c>
      <c r="Q23" s="24">
        <f t="shared" si="1"/>
        <v>0</v>
      </c>
      <c r="R23" s="57" t="s">
        <v>56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45329.0</v>
      </c>
      <c r="C24" s="56" t="s">
        <v>656</v>
      </c>
      <c r="D24" s="56">
        <v>51406.0</v>
      </c>
      <c r="E24" s="57" t="s">
        <v>657</v>
      </c>
      <c r="F24" s="30"/>
      <c r="G24" s="30">
        <v>4500.0</v>
      </c>
      <c r="H24" s="30"/>
      <c r="I24" s="30"/>
      <c r="J24" s="30"/>
      <c r="K24" s="30"/>
      <c r="L24" s="30"/>
      <c r="M24" s="30"/>
      <c r="N24" s="30"/>
      <c r="O24" s="30"/>
      <c r="P24" s="61">
        <v>4500.0</v>
      </c>
      <c r="Q24" s="24">
        <f t="shared" si="1"/>
        <v>0</v>
      </c>
      <c r="R24" s="57" t="s">
        <v>24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45329.0</v>
      </c>
      <c r="C25" s="56" t="s">
        <v>658</v>
      </c>
      <c r="D25" s="56">
        <v>54178.0</v>
      </c>
      <c r="E25" s="57" t="s">
        <v>659</v>
      </c>
      <c r="F25" s="30"/>
      <c r="G25" s="30"/>
      <c r="H25" s="30"/>
      <c r="I25" s="30"/>
      <c r="J25" s="30">
        <v>1500.0</v>
      </c>
      <c r="K25" s="30"/>
      <c r="L25" s="30"/>
      <c r="M25" s="30"/>
      <c r="N25" s="30"/>
      <c r="O25" s="30"/>
      <c r="P25" s="61">
        <v>1500.0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45329.0</v>
      </c>
      <c r="C26" s="56" t="s">
        <v>660</v>
      </c>
      <c r="D26" s="56">
        <v>36555.0</v>
      </c>
      <c r="E26" s="57" t="s">
        <v>479</v>
      </c>
      <c r="F26" s="30"/>
      <c r="G26" s="30"/>
      <c r="H26" s="30"/>
      <c r="I26" s="30"/>
      <c r="J26" s="30">
        <v>20400.0</v>
      </c>
      <c r="K26" s="30"/>
      <c r="L26" s="30"/>
      <c r="M26" s="30"/>
      <c r="N26" s="30"/>
      <c r="O26" s="30"/>
      <c r="P26" s="61">
        <v>20400.0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45329.0</v>
      </c>
      <c r="C27" s="56" t="s">
        <v>661</v>
      </c>
      <c r="D27" s="56">
        <v>80961.0</v>
      </c>
      <c r="E27" s="57" t="s">
        <v>662</v>
      </c>
      <c r="F27" s="30"/>
      <c r="G27" s="30"/>
      <c r="H27" s="30"/>
      <c r="I27" s="30">
        <v>300.0</v>
      </c>
      <c r="J27" s="30"/>
      <c r="K27" s="30"/>
      <c r="L27" s="30"/>
      <c r="M27" s="30"/>
      <c r="N27" s="30"/>
      <c r="O27" s="30"/>
      <c r="P27" s="61">
        <v>300.0</v>
      </c>
      <c r="Q27" s="24">
        <f t="shared" si="1"/>
        <v>0</v>
      </c>
      <c r="R27" s="57" t="s">
        <v>27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45329.0</v>
      </c>
      <c r="C28" s="56" t="s">
        <v>663</v>
      </c>
      <c r="D28" s="56">
        <v>54763.0</v>
      </c>
      <c r="E28" s="57" t="s">
        <v>36</v>
      </c>
      <c r="F28" s="30"/>
      <c r="G28" s="30"/>
      <c r="H28" s="30"/>
      <c r="I28" s="30">
        <v>5000.0</v>
      </c>
      <c r="J28" s="30"/>
      <c r="K28" s="30"/>
      <c r="L28" s="30"/>
      <c r="M28" s="30"/>
      <c r="N28" s="30"/>
      <c r="O28" s="30"/>
      <c r="P28" s="61">
        <v>5000.0</v>
      </c>
      <c r="Q28" s="24">
        <f t="shared" si="1"/>
        <v>0</v>
      </c>
      <c r="R28" s="57" t="s">
        <v>24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45329.0</v>
      </c>
      <c r="C29" s="56" t="s">
        <v>664</v>
      </c>
      <c r="D29" s="56">
        <v>54763.0</v>
      </c>
      <c r="E29" s="57" t="s">
        <v>36</v>
      </c>
      <c r="F29" s="30">
        <v>200.0</v>
      </c>
      <c r="G29" s="30"/>
      <c r="H29" s="30"/>
      <c r="I29" s="30"/>
      <c r="J29" s="30"/>
      <c r="K29" s="30"/>
      <c r="L29" s="30"/>
      <c r="M29" s="30"/>
      <c r="N29" s="30"/>
      <c r="O29" s="30"/>
      <c r="P29" s="61">
        <v>200.0</v>
      </c>
      <c r="Q29" s="24">
        <f t="shared" si="1"/>
        <v>0</v>
      </c>
      <c r="R29" s="57" t="s">
        <v>24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45329.0</v>
      </c>
      <c r="C30" s="56" t="s">
        <v>665</v>
      </c>
      <c r="D30" s="56">
        <v>71456.0</v>
      </c>
      <c r="E30" s="57" t="s">
        <v>666</v>
      </c>
      <c r="F30" s="30"/>
      <c r="G30" s="30"/>
      <c r="H30" s="30"/>
      <c r="I30" s="30">
        <v>2650.0</v>
      </c>
      <c r="J30" s="30"/>
      <c r="K30" s="30"/>
      <c r="L30" s="30"/>
      <c r="M30" s="30"/>
      <c r="N30" s="30"/>
      <c r="O30" s="30"/>
      <c r="P30" s="61">
        <v>2650.0</v>
      </c>
      <c r="Q30" s="24">
        <f t="shared" si="1"/>
        <v>0</v>
      </c>
      <c r="R30" s="57" t="s">
        <v>85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45329.0</v>
      </c>
      <c r="C31" s="56" t="s">
        <v>667</v>
      </c>
      <c r="D31" s="56">
        <v>36080.0</v>
      </c>
      <c r="E31" s="57" t="s">
        <v>668</v>
      </c>
      <c r="F31" s="30"/>
      <c r="G31" s="30"/>
      <c r="H31" s="30"/>
      <c r="I31" s="30">
        <v>34000.0</v>
      </c>
      <c r="J31" s="30"/>
      <c r="K31" s="30"/>
      <c r="L31" s="30"/>
      <c r="M31" s="30"/>
      <c r="N31" s="30"/>
      <c r="O31" s="30"/>
      <c r="P31" s="61">
        <v>34000.0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45329.0</v>
      </c>
      <c r="C32" s="56" t="s">
        <v>669</v>
      </c>
      <c r="D32" s="56">
        <v>67439.0</v>
      </c>
      <c r="E32" s="57" t="s">
        <v>670</v>
      </c>
      <c r="F32" s="30"/>
      <c r="G32" s="30"/>
      <c r="H32" s="30"/>
      <c r="I32" s="30"/>
      <c r="J32" s="30">
        <v>2650.0</v>
      </c>
      <c r="K32" s="30"/>
      <c r="L32" s="30"/>
      <c r="M32" s="30"/>
      <c r="N32" s="30"/>
      <c r="O32" s="30"/>
      <c r="P32" s="61">
        <v>2650.0</v>
      </c>
      <c r="Q32" s="24">
        <f t="shared" si="1"/>
        <v>0</v>
      </c>
      <c r="R32" s="57" t="s">
        <v>27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45329.0</v>
      </c>
      <c r="C33" s="56" t="s">
        <v>671</v>
      </c>
      <c r="D33" s="56">
        <v>52430.0</v>
      </c>
      <c r="E33" s="57" t="s">
        <v>672</v>
      </c>
      <c r="F33" s="30"/>
      <c r="G33" s="30"/>
      <c r="H33" s="30"/>
      <c r="I33" s="30">
        <v>4650.0</v>
      </c>
      <c r="J33" s="30"/>
      <c r="K33" s="30"/>
      <c r="L33" s="30"/>
      <c r="M33" s="30"/>
      <c r="N33" s="30"/>
      <c r="O33" s="30"/>
      <c r="P33" s="61">
        <v>4650.0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45329.0</v>
      </c>
      <c r="C34" s="56" t="s">
        <v>673</v>
      </c>
      <c r="D34" s="56">
        <v>50148.0</v>
      </c>
      <c r="E34" s="57" t="s">
        <v>223</v>
      </c>
      <c r="F34" s="30"/>
      <c r="G34" s="30"/>
      <c r="H34" s="30"/>
      <c r="I34" s="30"/>
      <c r="J34" s="30"/>
      <c r="K34" s="30">
        <v>700.0</v>
      </c>
      <c r="L34" s="30"/>
      <c r="M34" s="30"/>
      <c r="N34" s="30"/>
      <c r="O34" s="30"/>
      <c r="P34" s="61">
        <v>700.0</v>
      </c>
      <c r="Q34" s="24">
        <f t="shared" si="1"/>
        <v>0</v>
      </c>
      <c r="R34" s="57" t="s">
        <v>85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45329.0</v>
      </c>
      <c r="C35" s="56" t="s">
        <v>674</v>
      </c>
      <c r="D35" s="56">
        <v>13311.0</v>
      </c>
      <c r="E35" s="57" t="s">
        <v>675</v>
      </c>
      <c r="F35" s="30"/>
      <c r="G35" s="30"/>
      <c r="H35" s="30"/>
      <c r="I35" s="30"/>
      <c r="J35" s="30">
        <v>150.0</v>
      </c>
      <c r="K35" s="30"/>
      <c r="L35" s="30"/>
      <c r="M35" s="30"/>
      <c r="N35" s="30"/>
      <c r="O35" s="30"/>
      <c r="P35" s="61">
        <v>150.0</v>
      </c>
      <c r="Q35" s="24">
        <f t="shared" si="1"/>
        <v>0</v>
      </c>
      <c r="R35" s="57" t="s">
        <v>30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45329.0</v>
      </c>
      <c r="C36" s="56" t="s">
        <v>676</v>
      </c>
      <c r="D36" s="56">
        <v>57991.0</v>
      </c>
      <c r="E36" s="57" t="s">
        <v>677</v>
      </c>
      <c r="F36" s="30"/>
      <c r="G36" s="30"/>
      <c r="H36" s="30"/>
      <c r="I36" s="30">
        <v>5150.0</v>
      </c>
      <c r="J36" s="30"/>
      <c r="K36" s="30"/>
      <c r="L36" s="30"/>
      <c r="M36" s="30"/>
      <c r="N36" s="30"/>
      <c r="O36" s="30"/>
      <c r="P36" s="61">
        <v>5150.0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45329.0</v>
      </c>
      <c r="C37" s="56" t="s">
        <v>678</v>
      </c>
      <c r="D37" s="56">
        <v>61420.0</v>
      </c>
      <c r="E37" s="57" t="s">
        <v>679</v>
      </c>
      <c r="F37" s="30"/>
      <c r="G37" s="30"/>
      <c r="H37" s="30"/>
      <c r="I37" s="30">
        <v>1800.0</v>
      </c>
      <c r="J37" s="30"/>
      <c r="K37" s="30"/>
      <c r="L37" s="30"/>
      <c r="M37" s="30"/>
      <c r="N37" s="30"/>
      <c r="O37" s="30"/>
      <c r="P37" s="61">
        <v>1800.0</v>
      </c>
      <c r="Q37" s="24">
        <f t="shared" si="1"/>
        <v>0</v>
      </c>
      <c r="R37" s="57" t="s">
        <v>30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45329.0</v>
      </c>
      <c r="C38" s="56" t="s">
        <v>680</v>
      </c>
      <c r="D38" s="56">
        <v>50436.0</v>
      </c>
      <c r="E38" s="57" t="s">
        <v>93</v>
      </c>
      <c r="F38" s="30"/>
      <c r="G38" s="30"/>
      <c r="H38" s="30"/>
      <c r="I38" s="30">
        <v>12000.0</v>
      </c>
      <c r="J38" s="30"/>
      <c r="K38" s="30"/>
      <c r="L38" s="30"/>
      <c r="M38" s="30"/>
      <c r="N38" s="30"/>
      <c r="O38" s="30"/>
      <c r="P38" s="61">
        <v>12000.0</v>
      </c>
      <c r="Q38" s="24">
        <f t="shared" si="1"/>
        <v>0</v>
      </c>
      <c r="R38" s="57" t="s">
        <v>30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45329.0</v>
      </c>
      <c r="C39" s="56" t="s">
        <v>681</v>
      </c>
      <c r="D39" s="56">
        <v>48072.0</v>
      </c>
      <c r="E39" s="57" t="s">
        <v>682</v>
      </c>
      <c r="F39" s="30"/>
      <c r="G39" s="30"/>
      <c r="H39" s="30"/>
      <c r="I39" s="30">
        <v>10000.0</v>
      </c>
      <c r="J39" s="30"/>
      <c r="K39" s="30"/>
      <c r="L39" s="30"/>
      <c r="M39" s="30"/>
      <c r="N39" s="30"/>
      <c r="O39" s="30"/>
      <c r="P39" s="61">
        <v>10000.0</v>
      </c>
      <c r="Q39" s="24">
        <f t="shared" si="1"/>
        <v>0</v>
      </c>
      <c r="R39" s="57" t="s">
        <v>56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45329.0</v>
      </c>
      <c r="C40" s="56" t="s">
        <v>683</v>
      </c>
      <c r="D40" s="56">
        <v>26831.0</v>
      </c>
      <c r="E40" s="57" t="s">
        <v>684</v>
      </c>
      <c r="F40" s="30"/>
      <c r="G40" s="30"/>
      <c r="H40" s="30"/>
      <c r="I40" s="30"/>
      <c r="J40" s="30">
        <v>19000.0</v>
      </c>
      <c r="K40" s="30"/>
      <c r="L40" s="30"/>
      <c r="M40" s="30"/>
      <c r="N40" s="30"/>
      <c r="O40" s="30"/>
      <c r="P40" s="61">
        <v>19000.0</v>
      </c>
      <c r="Q40" s="24">
        <f t="shared" si="1"/>
        <v>0</v>
      </c>
      <c r="R40" s="57" t="s">
        <v>56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45329.0</v>
      </c>
      <c r="C41" s="56" t="s">
        <v>685</v>
      </c>
      <c r="D41" s="56">
        <v>21818.0</v>
      </c>
      <c r="E41" s="57" t="s">
        <v>202</v>
      </c>
      <c r="F41" s="30"/>
      <c r="G41" s="30"/>
      <c r="H41" s="30"/>
      <c r="I41" s="30"/>
      <c r="J41" s="30"/>
      <c r="K41" s="30">
        <v>1250.0</v>
      </c>
      <c r="L41" s="30"/>
      <c r="M41" s="30"/>
      <c r="N41" s="30"/>
      <c r="O41" s="30"/>
      <c r="P41" s="61">
        <v>1250.0</v>
      </c>
      <c r="Q41" s="24">
        <f t="shared" si="1"/>
        <v>0</v>
      </c>
      <c r="R41" s="57" t="s">
        <v>30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45329.0</v>
      </c>
      <c r="C42" s="56" t="s">
        <v>686</v>
      </c>
      <c r="D42" s="56">
        <v>66838.0</v>
      </c>
      <c r="E42" s="57" t="s">
        <v>687</v>
      </c>
      <c r="F42" s="30"/>
      <c r="G42" s="30"/>
      <c r="H42" s="30"/>
      <c r="I42" s="30">
        <v>200.0</v>
      </c>
      <c r="J42" s="30"/>
      <c r="K42" s="30"/>
      <c r="L42" s="30"/>
      <c r="M42" s="30"/>
      <c r="N42" s="30"/>
      <c r="O42" s="30"/>
      <c r="P42" s="61">
        <v>200.0</v>
      </c>
      <c r="Q42" s="24">
        <f t="shared" si="1"/>
        <v>0</v>
      </c>
      <c r="R42" s="57" t="s">
        <v>85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45329.0</v>
      </c>
      <c r="C43" s="56" t="s">
        <v>688</v>
      </c>
      <c r="D43" s="56">
        <v>81490.0</v>
      </c>
      <c r="E43" s="57" t="s">
        <v>689</v>
      </c>
      <c r="F43" s="30"/>
      <c r="G43" s="30"/>
      <c r="H43" s="30"/>
      <c r="I43" s="30">
        <v>300.0</v>
      </c>
      <c r="J43" s="30"/>
      <c r="K43" s="30"/>
      <c r="L43" s="30"/>
      <c r="M43" s="30"/>
      <c r="N43" s="30"/>
      <c r="O43" s="30"/>
      <c r="P43" s="61">
        <v>300.0</v>
      </c>
      <c r="Q43" s="24">
        <f t="shared" si="1"/>
        <v>0</v>
      </c>
      <c r="R43" s="57" t="s">
        <v>56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45329.0</v>
      </c>
      <c r="C44" s="56" t="s">
        <v>690</v>
      </c>
      <c r="D44" s="56">
        <v>19688.0</v>
      </c>
      <c r="E44" s="57" t="s">
        <v>691</v>
      </c>
      <c r="F44" s="30"/>
      <c r="G44" s="30"/>
      <c r="H44" s="30"/>
      <c r="I44" s="30">
        <v>9500.0</v>
      </c>
      <c r="J44" s="30"/>
      <c r="K44" s="30"/>
      <c r="L44" s="30"/>
      <c r="M44" s="30"/>
      <c r="N44" s="30"/>
      <c r="O44" s="30"/>
      <c r="P44" s="61">
        <v>9500.0</v>
      </c>
      <c r="Q44" s="24">
        <f t="shared" si="1"/>
        <v>0</v>
      </c>
      <c r="R44" s="57" t="s">
        <v>56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45329.0</v>
      </c>
      <c r="C45" s="56" t="s">
        <v>692</v>
      </c>
      <c r="D45" s="56">
        <v>81491.0</v>
      </c>
      <c r="E45" s="57" t="s">
        <v>693</v>
      </c>
      <c r="F45" s="30"/>
      <c r="G45" s="30"/>
      <c r="H45" s="30"/>
      <c r="I45" s="30"/>
      <c r="J45" s="30">
        <v>7300.0</v>
      </c>
      <c r="K45" s="30"/>
      <c r="L45" s="30"/>
      <c r="M45" s="30"/>
      <c r="N45" s="30"/>
      <c r="O45" s="30"/>
      <c r="P45" s="61">
        <v>7300.0</v>
      </c>
      <c r="Q45" s="24">
        <f t="shared" si="1"/>
        <v>0</v>
      </c>
      <c r="R45" s="57" t="s">
        <v>85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45329.0</v>
      </c>
      <c r="C46" s="56" t="s">
        <v>694</v>
      </c>
      <c r="D46" s="56">
        <v>14329.0</v>
      </c>
      <c r="E46" s="57" t="s">
        <v>628</v>
      </c>
      <c r="F46" s="30"/>
      <c r="G46" s="30"/>
      <c r="H46" s="30"/>
      <c r="I46" s="30">
        <v>2500.0</v>
      </c>
      <c r="J46" s="30"/>
      <c r="K46" s="30"/>
      <c r="L46" s="30"/>
      <c r="M46" s="30"/>
      <c r="N46" s="30"/>
      <c r="O46" s="30"/>
      <c r="P46" s="61">
        <v>2500.0</v>
      </c>
      <c r="Q46" s="24">
        <f t="shared" si="1"/>
        <v>0</v>
      </c>
      <c r="R46" s="57" t="s">
        <v>56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45329.0</v>
      </c>
      <c r="C47" s="56" t="s">
        <v>695</v>
      </c>
      <c r="D47" s="56">
        <v>48854.0</v>
      </c>
      <c r="E47" s="57" t="s">
        <v>696</v>
      </c>
      <c r="F47" s="30"/>
      <c r="G47" s="30"/>
      <c r="H47" s="30"/>
      <c r="I47" s="30"/>
      <c r="J47" s="30">
        <v>8100.0</v>
      </c>
      <c r="K47" s="30"/>
      <c r="L47" s="30"/>
      <c r="M47" s="30"/>
      <c r="N47" s="30"/>
      <c r="O47" s="30"/>
      <c r="P47" s="61">
        <v>8100.0</v>
      </c>
      <c r="Q47" s="24">
        <f t="shared" si="1"/>
        <v>0</v>
      </c>
      <c r="R47" s="57" t="s">
        <v>30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45329.0</v>
      </c>
      <c r="C48" s="56" t="s">
        <v>697</v>
      </c>
      <c r="D48" s="56">
        <v>55448.0</v>
      </c>
      <c r="E48" s="57" t="s">
        <v>698</v>
      </c>
      <c r="F48" s="30"/>
      <c r="G48" s="30">
        <v>17500.0</v>
      </c>
      <c r="H48" s="30"/>
      <c r="I48" s="30"/>
      <c r="J48" s="30"/>
      <c r="K48" s="30"/>
      <c r="L48" s="30"/>
      <c r="M48" s="30"/>
      <c r="N48" s="30"/>
      <c r="O48" s="30"/>
      <c r="P48" s="61">
        <v>17500.0</v>
      </c>
      <c r="Q48" s="24">
        <f t="shared" si="1"/>
        <v>0</v>
      </c>
      <c r="R48" s="57" t="s">
        <v>85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0">
        <v>45329.0</v>
      </c>
      <c r="C49" s="56" t="s">
        <v>699</v>
      </c>
      <c r="D49" s="56">
        <v>76101.0</v>
      </c>
      <c r="E49" s="57" t="s">
        <v>700</v>
      </c>
      <c r="F49" s="30"/>
      <c r="G49" s="30"/>
      <c r="H49" s="30"/>
      <c r="I49" s="30">
        <v>4650.0</v>
      </c>
      <c r="J49" s="30"/>
      <c r="K49" s="30"/>
      <c r="L49" s="30"/>
      <c r="M49" s="30"/>
      <c r="N49" s="30"/>
      <c r="O49" s="30"/>
      <c r="P49" s="61">
        <v>4650.0</v>
      </c>
      <c r="Q49" s="24">
        <f t="shared" si="1"/>
        <v>0</v>
      </c>
      <c r="R49" s="57" t="s">
        <v>30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0">
        <v>45329.0</v>
      </c>
      <c r="C50" s="56" t="s">
        <v>701</v>
      </c>
      <c r="D50" s="56">
        <v>81494.0</v>
      </c>
      <c r="E50" s="57" t="s">
        <v>702</v>
      </c>
      <c r="F50" s="30"/>
      <c r="G50" s="30"/>
      <c r="H50" s="30"/>
      <c r="I50" s="30">
        <v>7300.0</v>
      </c>
      <c r="J50" s="30"/>
      <c r="K50" s="30"/>
      <c r="L50" s="30"/>
      <c r="M50" s="30"/>
      <c r="N50" s="30"/>
      <c r="O50" s="30"/>
      <c r="P50" s="61">
        <v>7300.0</v>
      </c>
      <c r="Q50" s="24">
        <f t="shared" si="1"/>
        <v>0</v>
      </c>
      <c r="R50" s="57" t="s">
        <v>85</v>
      </c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45329.0</v>
      </c>
      <c r="C51" s="64" t="s">
        <v>703</v>
      </c>
      <c r="D51" s="64">
        <v>80020.0</v>
      </c>
      <c r="E51" s="65" t="s">
        <v>704</v>
      </c>
      <c r="F51" s="30"/>
      <c r="G51" s="30"/>
      <c r="H51" s="30"/>
      <c r="I51" s="30"/>
      <c r="J51" s="30">
        <v>1400.0</v>
      </c>
      <c r="K51" s="30"/>
      <c r="L51" s="30"/>
      <c r="M51" s="30"/>
      <c r="N51" s="30"/>
      <c r="O51" s="30"/>
      <c r="P51" s="66">
        <v>1400.0</v>
      </c>
      <c r="Q51" s="24">
        <f t="shared" si="1"/>
        <v>0</v>
      </c>
      <c r="R51" s="57" t="s">
        <v>30</v>
      </c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45329.0</v>
      </c>
      <c r="C52" s="64" t="s">
        <v>705</v>
      </c>
      <c r="D52" s="64">
        <v>55555.0</v>
      </c>
      <c r="E52" s="65" t="s">
        <v>706</v>
      </c>
      <c r="F52" s="30"/>
      <c r="G52" s="30"/>
      <c r="H52" s="30"/>
      <c r="I52" s="30"/>
      <c r="J52" s="30"/>
      <c r="K52" s="30"/>
      <c r="L52" s="30"/>
      <c r="M52" s="30">
        <v>2950.0</v>
      </c>
      <c r="N52" s="30"/>
      <c r="O52" s="30"/>
      <c r="P52" s="66">
        <v>2950.0</v>
      </c>
      <c r="Q52" s="24">
        <f t="shared" si="1"/>
        <v>0</v>
      </c>
      <c r="R52" s="57" t="s">
        <v>85</v>
      </c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45329.0</v>
      </c>
      <c r="C53" s="64" t="s">
        <v>707</v>
      </c>
      <c r="D53" s="64">
        <v>52083.0</v>
      </c>
      <c r="E53" s="65" t="s">
        <v>23</v>
      </c>
      <c r="F53" s="30"/>
      <c r="G53" s="30"/>
      <c r="H53" s="30"/>
      <c r="I53" s="30">
        <v>13900.0</v>
      </c>
      <c r="J53" s="30"/>
      <c r="K53" s="30"/>
      <c r="L53" s="30"/>
      <c r="M53" s="30"/>
      <c r="N53" s="30"/>
      <c r="O53" s="30"/>
      <c r="P53" s="66">
        <v>13900.0</v>
      </c>
      <c r="Q53" s="24">
        <f t="shared" si="1"/>
        <v>0</v>
      </c>
      <c r="R53" s="57" t="s">
        <v>85</v>
      </c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45329.0</v>
      </c>
      <c r="C54" s="64" t="s">
        <v>708</v>
      </c>
      <c r="D54" s="64">
        <v>51976.0</v>
      </c>
      <c r="E54" s="65" t="s">
        <v>170</v>
      </c>
      <c r="F54" s="30"/>
      <c r="G54" s="30"/>
      <c r="H54" s="30"/>
      <c r="I54" s="30"/>
      <c r="J54" s="30">
        <v>1400.0</v>
      </c>
      <c r="K54" s="30"/>
      <c r="L54" s="30"/>
      <c r="M54" s="30"/>
      <c r="N54" s="30"/>
      <c r="O54" s="30"/>
      <c r="P54" s="66">
        <v>1400.0</v>
      </c>
      <c r="Q54" s="24">
        <f t="shared" si="1"/>
        <v>0</v>
      </c>
      <c r="R54" s="57" t="s">
        <v>30</v>
      </c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45329.0</v>
      </c>
      <c r="C55" s="64" t="s">
        <v>709</v>
      </c>
      <c r="D55" s="64">
        <v>51166.0</v>
      </c>
      <c r="E55" s="65" t="s">
        <v>710</v>
      </c>
      <c r="F55" s="30"/>
      <c r="G55" s="30"/>
      <c r="H55" s="30">
        <v>9500.0</v>
      </c>
      <c r="I55" s="30"/>
      <c r="J55" s="30"/>
      <c r="K55" s="30"/>
      <c r="L55" s="30"/>
      <c r="M55" s="30"/>
      <c r="N55" s="30"/>
      <c r="O55" s="30"/>
      <c r="P55" s="66">
        <v>9500.0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3">
        <v>45329.0</v>
      </c>
      <c r="C56" s="64" t="s">
        <v>711</v>
      </c>
      <c r="D56" s="64">
        <v>57441.0</v>
      </c>
      <c r="E56" s="65" t="s">
        <v>647</v>
      </c>
      <c r="F56" s="30"/>
      <c r="G56" s="30"/>
      <c r="H56" s="30"/>
      <c r="I56" s="30"/>
      <c r="J56" s="30"/>
      <c r="K56" s="30">
        <v>180.0</v>
      </c>
      <c r="L56" s="30"/>
      <c r="M56" s="30"/>
      <c r="N56" s="30"/>
      <c r="O56" s="30">
        <v>2220.0</v>
      </c>
      <c r="P56" s="66">
        <v>2400.0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>
        <v>53.0</v>
      </c>
      <c r="B57" s="63">
        <v>45329.0</v>
      </c>
      <c r="C57" s="64" t="s">
        <v>712</v>
      </c>
      <c r="D57" s="64">
        <v>52214.0</v>
      </c>
      <c r="E57" s="65" t="s">
        <v>713</v>
      </c>
      <c r="F57" s="30"/>
      <c r="G57" s="30"/>
      <c r="H57" s="30">
        <v>5000.0</v>
      </c>
      <c r="I57" s="30"/>
      <c r="J57" s="30"/>
      <c r="K57" s="30"/>
      <c r="L57" s="30"/>
      <c r="M57" s="30"/>
      <c r="N57" s="30"/>
      <c r="O57" s="30"/>
      <c r="P57" s="66">
        <v>5000.0</v>
      </c>
      <c r="Q57" s="24">
        <f t="shared" si="1"/>
        <v>0</v>
      </c>
      <c r="R57" s="57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ht="36.0" customHeight="1">
      <c r="A58" s="16">
        <v>54.0</v>
      </c>
      <c r="B58" s="63">
        <v>45329.0</v>
      </c>
      <c r="C58" s="64" t="s">
        <v>714</v>
      </c>
      <c r="D58" s="64">
        <v>67241.0</v>
      </c>
      <c r="E58" s="65" t="s">
        <v>715</v>
      </c>
      <c r="F58" s="30"/>
      <c r="G58" s="30"/>
      <c r="H58" s="30"/>
      <c r="I58" s="30"/>
      <c r="J58" s="30"/>
      <c r="K58" s="30">
        <v>400.0</v>
      </c>
      <c r="L58" s="30"/>
      <c r="M58" s="30"/>
      <c r="N58" s="30"/>
      <c r="O58" s="30">
        <v>2000.0</v>
      </c>
      <c r="P58" s="66">
        <v>2400.0</v>
      </c>
      <c r="Q58" s="24">
        <f t="shared" si="1"/>
        <v>0</v>
      </c>
      <c r="R58" s="57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ht="36.0" customHeight="1">
      <c r="A59" s="16">
        <v>55.0</v>
      </c>
      <c r="B59" s="63">
        <v>45329.0</v>
      </c>
      <c r="C59" s="64" t="s">
        <v>716</v>
      </c>
      <c r="D59" s="64">
        <v>50148.0</v>
      </c>
      <c r="E59" s="65" t="s">
        <v>223</v>
      </c>
      <c r="F59" s="30"/>
      <c r="G59" s="30"/>
      <c r="H59" s="30">
        <v>7500.0</v>
      </c>
      <c r="I59" s="30"/>
      <c r="J59" s="30"/>
      <c r="K59" s="30"/>
      <c r="L59" s="30"/>
      <c r="M59" s="30"/>
      <c r="N59" s="30"/>
      <c r="O59" s="30"/>
      <c r="P59" s="66">
        <v>7500.0</v>
      </c>
      <c r="Q59" s="24">
        <f t="shared" si="1"/>
        <v>0</v>
      </c>
      <c r="R59" s="57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ht="36.0" customHeight="1">
      <c r="A60" s="16">
        <v>56.0</v>
      </c>
      <c r="B60" s="63">
        <v>45329.0</v>
      </c>
      <c r="C60" s="64" t="s">
        <v>717</v>
      </c>
      <c r="D60" s="64">
        <v>13311.0</v>
      </c>
      <c r="E60" s="65" t="s">
        <v>675</v>
      </c>
      <c r="F60" s="30"/>
      <c r="G60" s="30"/>
      <c r="H60" s="30"/>
      <c r="I60" s="30"/>
      <c r="J60" s="30"/>
      <c r="K60" s="30">
        <v>200.0</v>
      </c>
      <c r="L60" s="30"/>
      <c r="M60" s="30"/>
      <c r="N60" s="30"/>
      <c r="O60" s="30">
        <v>1000.0</v>
      </c>
      <c r="P60" s="66">
        <v>1200.0</v>
      </c>
      <c r="Q60" s="24">
        <f t="shared" si="1"/>
        <v>0</v>
      </c>
      <c r="R60" s="57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ht="36.0" customHeight="1">
      <c r="A61" s="16">
        <v>58.0</v>
      </c>
      <c r="B61" s="63">
        <v>45329.0</v>
      </c>
      <c r="C61" s="64" t="s">
        <v>718</v>
      </c>
      <c r="D61" s="64">
        <v>49655.0</v>
      </c>
      <c r="E61" s="65" t="s">
        <v>139</v>
      </c>
      <c r="F61" s="30"/>
      <c r="G61" s="30"/>
      <c r="H61" s="30"/>
      <c r="I61" s="30"/>
      <c r="J61" s="30"/>
      <c r="K61" s="30">
        <v>9625.0</v>
      </c>
      <c r="L61" s="30"/>
      <c r="M61" s="30"/>
      <c r="N61" s="30"/>
      <c r="O61" s="30"/>
      <c r="P61" s="66">
        <v>9625.0</v>
      </c>
      <c r="Q61" s="24">
        <f t="shared" si="1"/>
        <v>0</v>
      </c>
      <c r="R61" s="57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ht="36.0" customHeight="1">
      <c r="A62" s="16">
        <v>59.0</v>
      </c>
      <c r="B62" s="63">
        <v>45329.0</v>
      </c>
      <c r="C62" s="64" t="s">
        <v>719</v>
      </c>
      <c r="D62" s="64">
        <v>56408.0</v>
      </c>
      <c r="E62" s="65" t="s">
        <v>720</v>
      </c>
      <c r="F62" s="30"/>
      <c r="G62" s="30"/>
      <c r="H62" s="30">
        <v>32500.0</v>
      </c>
      <c r="I62" s="30"/>
      <c r="J62" s="30"/>
      <c r="K62" s="30"/>
      <c r="L62" s="30"/>
      <c r="M62" s="30"/>
      <c r="N62" s="30"/>
      <c r="O62" s="30"/>
      <c r="P62" s="66">
        <v>32500.0</v>
      </c>
      <c r="Q62" s="24">
        <f t="shared" si="1"/>
        <v>0</v>
      </c>
      <c r="R62" s="57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ht="36.0" customHeight="1">
      <c r="A63" s="16">
        <v>60.0</v>
      </c>
      <c r="B63" s="63">
        <v>45329.0</v>
      </c>
      <c r="C63" s="64" t="s">
        <v>721</v>
      </c>
      <c r="D63" s="64">
        <v>48854.0</v>
      </c>
      <c r="E63" s="65" t="s">
        <v>696</v>
      </c>
      <c r="F63" s="30"/>
      <c r="G63" s="30"/>
      <c r="H63" s="30"/>
      <c r="I63" s="30"/>
      <c r="J63" s="30"/>
      <c r="K63" s="30"/>
      <c r="L63" s="30"/>
      <c r="M63" s="30"/>
      <c r="N63" s="30"/>
      <c r="O63" s="30">
        <v>2400.0</v>
      </c>
      <c r="P63" s="66">
        <v>2400.0</v>
      </c>
      <c r="Q63" s="24">
        <f t="shared" si="1"/>
        <v>0</v>
      </c>
      <c r="R63" s="57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ht="36.0" customHeight="1">
      <c r="A64" s="16">
        <v>61.0</v>
      </c>
      <c r="B64" s="63">
        <v>45329.0</v>
      </c>
      <c r="C64" s="64" t="s">
        <v>722</v>
      </c>
      <c r="D64" s="64">
        <v>71146.0</v>
      </c>
      <c r="E64" s="65" t="s">
        <v>723</v>
      </c>
      <c r="F64" s="30"/>
      <c r="G64" s="30"/>
      <c r="H64" s="30">
        <v>32500.0</v>
      </c>
      <c r="I64" s="30"/>
      <c r="J64" s="30"/>
      <c r="K64" s="30"/>
      <c r="L64" s="30"/>
      <c r="M64" s="30"/>
      <c r="N64" s="30"/>
      <c r="O64" s="30"/>
      <c r="P64" s="66">
        <v>32500.0</v>
      </c>
      <c r="Q64" s="24">
        <f t="shared" si="1"/>
        <v>0</v>
      </c>
      <c r="R64" s="57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ht="36.0" customHeight="1">
      <c r="A65" s="16"/>
      <c r="B65" s="27"/>
      <c r="C65" s="28"/>
      <c r="D65" s="29"/>
      <c r="E65" s="28"/>
      <c r="F65" s="30">
        <f t="shared" ref="F65:P65" si="2">SUM(F5:F64)</f>
        <v>200</v>
      </c>
      <c r="G65" s="30">
        <f t="shared" si="2"/>
        <v>22000</v>
      </c>
      <c r="H65" s="30">
        <f t="shared" si="2"/>
        <v>125400</v>
      </c>
      <c r="I65" s="30">
        <f t="shared" si="2"/>
        <v>167940</v>
      </c>
      <c r="J65" s="30">
        <f t="shared" si="2"/>
        <v>85475</v>
      </c>
      <c r="K65" s="30">
        <f t="shared" si="2"/>
        <v>13005</v>
      </c>
      <c r="L65" s="30">
        <f t="shared" si="2"/>
        <v>0</v>
      </c>
      <c r="M65" s="30">
        <f t="shared" si="2"/>
        <v>2950</v>
      </c>
      <c r="N65" s="30">
        <f t="shared" si="2"/>
        <v>0</v>
      </c>
      <c r="O65" s="30">
        <f t="shared" si="2"/>
        <v>7620</v>
      </c>
      <c r="P65" s="30">
        <f t="shared" si="2"/>
        <v>424590</v>
      </c>
      <c r="Q65" s="24">
        <f t="shared" si="1"/>
        <v>0</v>
      </c>
      <c r="R65" s="67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36.0" customHeight="1">
      <c r="A66" s="35"/>
      <c r="B66" s="35"/>
      <c r="C66" s="35"/>
      <c r="D66" s="35"/>
      <c r="E66" s="35"/>
      <c r="F66" s="36">
        <f>F65+G65+H65+I65+J65+K65+L65+M65+N65+O65</f>
        <v>424590</v>
      </c>
      <c r="P66" s="36"/>
      <c r="Q66" s="36"/>
      <c r="R66" s="35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37" t="s">
        <v>242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38" t="s">
        <v>243</v>
      </c>
      <c r="F70" s="39" t="s">
        <v>244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38" t="s">
        <v>245</v>
      </c>
      <c r="F71" s="39" t="s">
        <v>244</v>
      </c>
      <c r="G71" s="4"/>
      <c r="H71" s="4"/>
      <c r="I71" s="4"/>
      <c r="J71" s="4"/>
      <c r="K71" s="4"/>
      <c r="L71" s="4"/>
      <c r="M71" s="4"/>
      <c r="N71" s="4"/>
      <c r="O71" s="4" t="s">
        <v>242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38" t="s">
        <v>246</v>
      </c>
      <c r="F72" s="39" t="s">
        <v>244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38" t="s">
        <v>247</v>
      </c>
      <c r="F73" s="39" t="s">
        <v>244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38" t="s">
        <v>248</v>
      </c>
      <c r="F74" s="39" t="s">
        <v>244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7.0" customHeight="1">
      <c r="A75" s="4"/>
      <c r="B75" s="4"/>
      <c r="C75" s="4"/>
      <c r="D75" s="4"/>
      <c r="E75" s="38" t="s">
        <v>724</v>
      </c>
      <c r="F75" s="39" t="s">
        <v>244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30.0" customHeight="1">
      <c r="A76" s="4"/>
      <c r="B76" s="4"/>
      <c r="C76" s="4"/>
      <c r="D76" s="4"/>
      <c r="E76" s="40" t="s">
        <v>250</v>
      </c>
      <c r="F76" s="39" t="s">
        <v>251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38" t="s">
        <v>252</v>
      </c>
      <c r="F77" s="39" t="s">
        <v>725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 t="s">
        <v>242</v>
      </c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 t="s">
        <v>253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66:O6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9.3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726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45330.0</v>
      </c>
      <c r="C5" s="55" t="s">
        <v>727</v>
      </c>
      <c r="D5" s="56">
        <v>78544.0</v>
      </c>
      <c r="E5" s="57" t="s">
        <v>728</v>
      </c>
      <c r="F5" s="21"/>
      <c r="G5" s="21"/>
      <c r="H5" s="21"/>
      <c r="I5" s="21">
        <v>2650.0</v>
      </c>
      <c r="J5" s="22"/>
      <c r="K5" s="21"/>
      <c r="L5" s="21"/>
      <c r="M5" s="21"/>
      <c r="N5" s="21"/>
      <c r="O5" s="21"/>
      <c r="P5" s="58">
        <v>2650.0</v>
      </c>
      <c r="Q5" s="24">
        <f t="shared" ref="Q5:Q37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45330.0</v>
      </c>
      <c r="C6" s="55" t="s">
        <v>729</v>
      </c>
      <c r="D6" s="56">
        <v>51017.0</v>
      </c>
      <c r="E6" s="57" t="s">
        <v>150</v>
      </c>
      <c r="F6" s="21"/>
      <c r="G6" s="21"/>
      <c r="H6" s="21">
        <v>15000.0</v>
      </c>
      <c r="I6" s="22"/>
      <c r="J6" s="21"/>
      <c r="K6" s="21"/>
      <c r="L6" s="21"/>
      <c r="M6" s="21"/>
      <c r="N6" s="21"/>
      <c r="O6" s="21"/>
      <c r="P6" s="58">
        <v>15000.0</v>
      </c>
      <c r="Q6" s="24">
        <f t="shared" si="1"/>
        <v>0</v>
      </c>
      <c r="R6" s="59" t="s">
        <v>24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45330.0</v>
      </c>
      <c r="C7" s="55" t="s">
        <v>730</v>
      </c>
      <c r="D7" s="56">
        <v>55650.0</v>
      </c>
      <c r="E7" s="57" t="s">
        <v>731</v>
      </c>
      <c r="F7" s="21"/>
      <c r="G7" s="21"/>
      <c r="H7" s="21"/>
      <c r="I7" s="22"/>
      <c r="J7" s="21">
        <v>2650.0</v>
      </c>
      <c r="K7" s="21"/>
      <c r="L7" s="21"/>
      <c r="M7" s="21"/>
      <c r="N7" s="21"/>
      <c r="O7" s="21"/>
      <c r="P7" s="58">
        <v>2650.0</v>
      </c>
      <c r="Q7" s="24">
        <f t="shared" si="1"/>
        <v>0</v>
      </c>
      <c r="R7" s="59" t="s">
        <v>66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45330.0</v>
      </c>
      <c r="C8" s="55" t="s">
        <v>732</v>
      </c>
      <c r="D8" s="56">
        <v>50830.0</v>
      </c>
      <c r="E8" s="57" t="s">
        <v>733</v>
      </c>
      <c r="F8" s="21"/>
      <c r="G8" s="21"/>
      <c r="H8" s="21"/>
      <c r="I8" s="22"/>
      <c r="J8" s="21">
        <v>7650.0</v>
      </c>
      <c r="K8" s="21"/>
      <c r="L8" s="21"/>
      <c r="M8" s="21"/>
      <c r="N8" s="21"/>
      <c r="O8" s="21"/>
      <c r="P8" s="58">
        <v>7650.0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45330.0</v>
      </c>
      <c r="C9" s="55" t="s">
        <v>734</v>
      </c>
      <c r="D9" s="56">
        <v>81496.0</v>
      </c>
      <c r="E9" s="57" t="s">
        <v>735</v>
      </c>
      <c r="F9" s="21"/>
      <c r="G9" s="21"/>
      <c r="H9" s="21"/>
      <c r="I9" s="22">
        <v>7300.0</v>
      </c>
      <c r="J9" s="21"/>
      <c r="K9" s="21"/>
      <c r="L9" s="21"/>
      <c r="M9" s="21"/>
      <c r="N9" s="21"/>
      <c r="O9" s="21"/>
      <c r="P9" s="58">
        <v>7300.0</v>
      </c>
      <c r="Q9" s="24">
        <f t="shared" si="1"/>
        <v>0</v>
      </c>
      <c r="R9" s="59" t="s">
        <v>30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45330.0</v>
      </c>
      <c r="C10" s="55" t="s">
        <v>736</v>
      </c>
      <c r="D10" s="56">
        <v>69659.0</v>
      </c>
      <c r="E10" s="57" t="s">
        <v>737</v>
      </c>
      <c r="F10" s="21"/>
      <c r="G10" s="21"/>
      <c r="H10" s="21">
        <v>1450.0</v>
      </c>
      <c r="I10" s="22"/>
      <c r="J10" s="21"/>
      <c r="K10" s="21"/>
      <c r="L10" s="21"/>
      <c r="M10" s="21"/>
      <c r="N10" s="21"/>
      <c r="O10" s="21"/>
      <c r="P10" s="58">
        <v>1450.0</v>
      </c>
      <c r="Q10" s="24">
        <f t="shared" si="1"/>
        <v>0</v>
      </c>
      <c r="R10" s="59" t="s">
        <v>85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45330.0</v>
      </c>
      <c r="C11" s="55" t="s">
        <v>738</v>
      </c>
      <c r="D11" s="56">
        <v>62146.0</v>
      </c>
      <c r="E11" s="57" t="s">
        <v>55</v>
      </c>
      <c r="F11" s="21"/>
      <c r="G11" s="21"/>
      <c r="H11" s="21"/>
      <c r="I11" s="22">
        <v>350.0</v>
      </c>
      <c r="J11" s="21"/>
      <c r="K11" s="21"/>
      <c r="L11" s="21"/>
      <c r="M11" s="21"/>
      <c r="N11" s="21"/>
      <c r="O11" s="21"/>
      <c r="P11" s="58">
        <v>350.0</v>
      </c>
      <c r="Q11" s="24">
        <f t="shared" si="1"/>
        <v>0</v>
      </c>
      <c r="R11" s="59" t="s">
        <v>56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45330.0</v>
      </c>
      <c r="C12" s="55" t="s">
        <v>739</v>
      </c>
      <c r="D12" s="56">
        <v>57991.0</v>
      </c>
      <c r="E12" s="57" t="s">
        <v>677</v>
      </c>
      <c r="F12" s="21"/>
      <c r="G12" s="21"/>
      <c r="H12" s="21"/>
      <c r="I12" s="22"/>
      <c r="J12" s="21">
        <v>25000.0</v>
      </c>
      <c r="K12" s="21"/>
      <c r="L12" s="21"/>
      <c r="M12" s="21"/>
      <c r="N12" s="21"/>
      <c r="O12" s="21"/>
      <c r="P12" s="58">
        <v>25000.0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45330.0</v>
      </c>
      <c r="C13" s="55" t="s">
        <v>740</v>
      </c>
      <c r="D13" s="56">
        <v>78464.0</v>
      </c>
      <c r="E13" s="57" t="s">
        <v>741</v>
      </c>
      <c r="F13" s="21"/>
      <c r="G13" s="21"/>
      <c r="H13" s="21"/>
      <c r="I13" s="22">
        <v>5150.0</v>
      </c>
      <c r="J13" s="21"/>
      <c r="K13" s="21"/>
      <c r="L13" s="21"/>
      <c r="M13" s="21"/>
      <c r="N13" s="21"/>
      <c r="O13" s="21"/>
      <c r="P13" s="58">
        <v>5150.0</v>
      </c>
      <c r="Q13" s="24">
        <f t="shared" si="1"/>
        <v>0</v>
      </c>
      <c r="R13" s="59" t="s">
        <v>56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45330.0</v>
      </c>
      <c r="C14" s="55" t="s">
        <v>742</v>
      </c>
      <c r="D14" s="56">
        <v>54375.0</v>
      </c>
      <c r="E14" s="57" t="s">
        <v>743</v>
      </c>
      <c r="F14" s="21"/>
      <c r="G14" s="21"/>
      <c r="H14" s="21"/>
      <c r="I14" s="22">
        <v>6050.0</v>
      </c>
      <c r="J14" s="21"/>
      <c r="K14" s="21"/>
      <c r="L14" s="21"/>
      <c r="M14" s="21"/>
      <c r="N14" s="21"/>
      <c r="O14" s="21"/>
      <c r="P14" s="58">
        <v>6050.0</v>
      </c>
      <c r="Q14" s="24">
        <f t="shared" si="1"/>
        <v>0</v>
      </c>
      <c r="R14" s="59" t="s">
        <v>56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45330.0</v>
      </c>
      <c r="C15" s="55" t="s">
        <v>744</v>
      </c>
      <c r="D15" s="56">
        <v>45813.0</v>
      </c>
      <c r="E15" s="57" t="s">
        <v>745</v>
      </c>
      <c r="F15" s="21"/>
      <c r="G15" s="21"/>
      <c r="H15" s="21"/>
      <c r="I15" s="22">
        <v>1450.0</v>
      </c>
      <c r="J15" s="21"/>
      <c r="K15" s="21"/>
      <c r="L15" s="21"/>
      <c r="M15" s="21"/>
      <c r="N15" s="21"/>
      <c r="O15" s="21"/>
      <c r="P15" s="58">
        <v>1450.0</v>
      </c>
      <c r="Q15" s="24">
        <f t="shared" si="1"/>
        <v>0</v>
      </c>
      <c r="R15" s="59" t="s">
        <v>85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45330.0</v>
      </c>
      <c r="C16" s="55" t="s">
        <v>746</v>
      </c>
      <c r="D16" s="56">
        <v>81498.0</v>
      </c>
      <c r="E16" s="57" t="s">
        <v>747</v>
      </c>
      <c r="F16" s="21"/>
      <c r="G16" s="21"/>
      <c r="H16" s="21"/>
      <c r="I16" s="22">
        <v>300.0</v>
      </c>
      <c r="J16" s="21"/>
      <c r="K16" s="21"/>
      <c r="L16" s="21"/>
      <c r="M16" s="21"/>
      <c r="N16" s="21"/>
      <c r="O16" s="21"/>
      <c r="P16" s="58">
        <v>300.0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45330.0</v>
      </c>
      <c r="C17" s="55" t="s">
        <v>748</v>
      </c>
      <c r="D17" s="56">
        <v>67621.0</v>
      </c>
      <c r="E17" s="57" t="s">
        <v>463</v>
      </c>
      <c r="F17" s="21"/>
      <c r="G17" s="21"/>
      <c r="H17" s="21"/>
      <c r="I17" s="21">
        <v>8000.0</v>
      </c>
      <c r="J17" s="21"/>
      <c r="K17" s="21"/>
      <c r="L17" s="21"/>
      <c r="M17" s="21"/>
      <c r="N17" s="21"/>
      <c r="O17" s="21"/>
      <c r="P17" s="58">
        <v>8000.0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45330.0</v>
      </c>
      <c r="C18" s="55" t="s">
        <v>749</v>
      </c>
      <c r="D18" s="56">
        <v>22727.0</v>
      </c>
      <c r="E18" s="57" t="s">
        <v>750</v>
      </c>
      <c r="F18" s="21"/>
      <c r="G18" s="21"/>
      <c r="H18" s="21"/>
      <c r="I18" s="21"/>
      <c r="J18" s="21">
        <v>7400.0</v>
      </c>
      <c r="K18" s="21"/>
      <c r="L18" s="21"/>
      <c r="M18" s="21"/>
      <c r="N18" s="21"/>
      <c r="O18" s="21"/>
      <c r="P18" s="58">
        <v>7400.0</v>
      </c>
      <c r="Q18" s="24">
        <f t="shared" si="1"/>
        <v>0</v>
      </c>
      <c r="R18" s="59" t="s">
        <v>56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45330.0</v>
      </c>
      <c r="C19" s="55" t="s">
        <v>751</v>
      </c>
      <c r="D19" s="56">
        <v>35220.0</v>
      </c>
      <c r="E19" s="57" t="s">
        <v>324</v>
      </c>
      <c r="F19" s="21"/>
      <c r="G19" s="21">
        <v>11250.0</v>
      </c>
      <c r="H19" s="21"/>
      <c r="I19" s="21"/>
      <c r="J19" s="21"/>
      <c r="K19" s="21"/>
      <c r="L19" s="21"/>
      <c r="M19" s="21"/>
      <c r="N19" s="21"/>
      <c r="O19" s="21"/>
      <c r="P19" s="58">
        <v>11250.0</v>
      </c>
      <c r="Q19" s="24">
        <f t="shared" si="1"/>
        <v>0</v>
      </c>
      <c r="R19" s="59" t="s">
        <v>30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45330.0</v>
      </c>
      <c r="C20" s="55" t="s">
        <v>752</v>
      </c>
      <c r="D20" s="56">
        <v>62146.0</v>
      </c>
      <c r="E20" s="57" t="s">
        <v>55</v>
      </c>
      <c r="F20" s="21"/>
      <c r="G20" s="21"/>
      <c r="H20" s="21"/>
      <c r="I20" s="21">
        <v>1250.0</v>
      </c>
      <c r="J20" s="21"/>
      <c r="K20" s="21"/>
      <c r="L20" s="21"/>
      <c r="M20" s="21"/>
      <c r="N20" s="21"/>
      <c r="O20" s="21"/>
      <c r="P20" s="58">
        <v>1250.0</v>
      </c>
      <c r="Q20" s="24">
        <f t="shared" si="1"/>
        <v>0</v>
      </c>
      <c r="R20" s="59" t="s">
        <v>30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45330.0</v>
      </c>
      <c r="C21" s="55" t="s">
        <v>753</v>
      </c>
      <c r="D21" s="56">
        <v>64740.0</v>
      </c>
      <c r="E21" s="57" t="s">
        <v>754</v>
      </c>
      <c r="F21" s="21"/>
      <c r="G21" s="21"/>
      <c r="H21" s="21"/>
      <c r="I21" s="21"/>
      <c r="J21" s="21">
        <v>9500.0</v>
      </c>
      <c r="K21" s="21"/>
      <c r="L21" s="21"/>
      <c r="M21" s="21"/>
      <c r="N21" s="21"/>
      <c r="O21" s="21"/>
      <c r="P21" s="58">
        <v>9500.0</v>
      </c>
      <c r="Q21" s="24">
        <f t="shared" si="1"/>
        <v>0</v>
      </c>
      <c r="R21" s="59" t="s">
        <v>30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45330.0</v>
      </c>
      <c r="C22" s="55" t="s">
        <v>755</v>
      </c>
      <c r="D22" s="56">
        <v>10250.0</v>
      </c>
      <c r="E22" s="57" t="s">
        <v>91</v>
      </c>
      <c r="F22" s="21"/>
      <c r="G22" s="21"/>
      <c r="H22" s="21"/>
      <c r="I22" s="21">
        <v>32500.0</v>
      </c>
      <c r="J22" s="21"/>
      <c r="K22" s="21"/>
      <c r="L22" s="21"/>
      <c r="M22" s="21"/>
      <c r="N22" s="21"/>
      <c r="O22" s="21"/>
      <c r="P22" s="58">
        <v>32500.0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45330.0</v>
      </c>
      <c r="C23" s="56" t="s">
        <v>756</v>
      </c>
      <c r="D23" s="56">
        <v>75623.0</v>
      </c>
      <c r="E23" s="57" t="s">
        <v>757</v>
      </c>
      <c r="F23" s="30"/>
      <c r="G23" s="30"/>
      <c r="H23" s="68"/>
      <c r="I23" s="68"/>
      <c r="J23" s="30">
        <v>1950.0</v>
      </c>
      <c r="K23" s="30"/>
      <c r="L23" s="30"/>
      <c r="M23" s="30"/>
      <c r="N23" s="30"/>
      <c r="O23" s="30"/>
      <c r="P23" s="61">
        <v>1950.0</v>
      </c>
      <c r="Q23" s="24">
        <f t="shared" si="1"/>
        <v>0</v>
      </c>
      <c r="R23" s="57" t="s">
        <v>66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45330.0</v>
      </c>
      <c r="C24" s="56" t="s">
        <v>758</v>
      </c>
      <c r="D24" s="56">
        <v>43955.0</v>
      </c>
      <c r="E24" s="57" t="s">
        <v>759</v>
      </c>
      <c r="F24" s="30"/>
      <c r="G24" s="30"/>
      <c r="H24" s="30"/>
      <c r="I24" s="30">
        <v>4650.0</v>
      </c>
      <c r="J24" s="30"/>
      <c r="K24" s="30"/>
      <c r="L24" s="30"/>
      <c r="M24" s="30"/>
      <c r="N24" s="30"/>
      <c r="O24" s="30"/>
      <c r="P24" s="61">
        <v>4650.0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45330.0</v>
      </c>
      <c r="C25" s="56" t="s">
        <v>760</v>
      </c>
      <c r="D25" s="56">
        <v>81505.0</v>
      </c>
      <c r="E25" s="57" t="s">
        <v>761</v>
      </c>
      <c r="F25" s="30"/>
      <c r="G25" s="30"/>
      <c r="H25" s="30"/>
      <c r="I25" s="30">
        <v>7300.0</v>
      </c>
      <c r="J25" s="30"/>
      <c r="K25" s="30"/>
      <c r="L25" s="30"/>
      <c r="M25" s="30"/>
      <c r="N25" s="30"/>
      <c r="O25" s="30"/>
      <c r="P25" s="61">
        <v>7300.0</v>
      </c>
      <c r="Q25" s="24">
        <f t="shared" si="1"/>
        <v>0</v>
      </c>
      <c r="R25" s="57" t="s">
        <v>85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45330.0</v>
      </c>
      <c r="C26" s="56" t="s">
        <v>762</v>
      </c>
      <c r="D26" s="56">
        <v>81506.0</v>
      </c>
      <c r="E26" s="57" t="s">
        <v>763</v>
      </c>
      <c r="F26" s="30"/>
      <c r="G26" s="30"/>
      <c r="H26" s="30"/>
      <c r="I26" s="30">
        <v>300.0</v>
      </c>
      <c r="J26" s="30"/>
      <c r="K26" s="30"/>
      <c r="L26" s="30"/>
      <c r="M26" s="30"/>
      <c r="N26" s="30"/>
      <c r="O26" s="30"/>
      <c r="P26" s="61">
        <v>300.0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45330.0</v>
      </c>
      <c r="C27" s="56" t="s">
        <v>764</v>
      </c>
      <c r="D27" s="56">
        <v>64457.0</v>
      </c>
      <c r="E27" s="57" t="s">
        <v>602</v>
      </c>
      <c r="F27" s="30"/>
      <c r="G27" s="30"/>
      <c r="H27" s="30"/>
      <c r="I27" s="30">
        <v>6075.0</v>
      </c>
      <c r="J27" s="30"/>
      <c r="K27" s="30"/>
      <c r="L27" s="30"/>
      <c r="M27" s="30"/>
      <c r="N27" s="30"/>
      <c r="O27" s="30"/>
      <c r="P27" s="61">
        <v>6075.0</v>
      </c>
      <c r="Q27" s="24">
        <f t="shared" si="1"/>
        <v>0</v>
      </c>
      <c r="R27" s="57" t="s">
        <v>85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45330.0</v>
      </c>
      <c r="C28" s="56" t="s">
        <v>765</v>
      </c>
      <c r="D28" s="56">
        <v>54899.0</v>
      </c>
      <c r="E28" s="57" t="s">
        <v>766</v>
      </c>
      <c r="F28" s="30"/>
      <c r="G28" s="30"/>
      <c r="H28" s="30"/>
      <c r="I28" s="30">
        <v>2500.0</v>
      </c>
      <c r="J28" s="30"/>
      <c r="K28" s="30"/>
      <c r="L28" s="30"/>
      <c r="M28" s="30"/>
      <c r="N28" s="30"/>
      <c r="O28" s="30"/>
      <c r="P28" s="61">
        <v>2500.0</v>
      </c>
      <c r="Q28" s="24">
        <f t="shared" si="1"/>
        <v>0</v>
      </c>
      <c r="R28" s="57" t="s">
        <v>85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45330.0</v>
      </c>
      <c r="C29" s="56" t="s">
        <v>767</v>
      </c>
      <c r="D29" s="56">
        <v>62815.0</v>
      </c>
      <c r="E29" s="57" t="s">
        <v>477</v>
      </c>
      <c r="F29" s="30"/>
      <c r="G29" s="30"/>
      <c r="H29" s="30"/>
      <c r="I29" s="30">
        <v>25000.0</v>
      </c>
      <c r="J29" s="30"/>
      <c r="K29" s="30"/>
      <c r="L29" s="30"/>
      <c r="M29" s="30"/>
      <c r="N29" s="30"/>
      <c r="O29" s="30"/>
      <c r="P29" s="61">
        <v>25000.0</v>
      </c>
      <c r="Q29" s="24">
        <f t="shared" si="1"/>
        <v>0</v>
      </c>
      <c r="R29" s="57" t="s">
        <v>85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45330.0</v>
      </c>
      <c r="C30" s="56" t="s">
        <v>768</v>
      </c>
      <c r="D30" s="56">
        <v>63735.0</v>
      </c>
      <c r="E30" s="57" t="s">
        <v>769</v>
      </c>
      <c r="F30" s="30"/>
      <c r="G30" s="30"/>
      <c r="H30" s="30"/>
      <c r="I30" s="30">
        <v>5150.0</v>
      </c>
      <c r="J30" s="30"/>
      <c r="K30" s="30"/>
      <c r="L30" s="30"/>
      <c r="M30" s="30"/>
      <c r="N30" s="30"/>
      <c r="O30" s="30"/>
      <c r="P30" s="61">
        <v>5150.0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45330.0</v>
      </c>
      <c r="C31" s="56" t="s">
        <v>770</v>
      </c>
      <c r="D31" s="56">
        <v>81507.0</v>
      </c>
      <c r="E31" s="57" t="s">
        <v>771</v>
      </c>
      <c r="F31" s="30"/>
      <c r="G31" s="30"/>
      <c r="H31" s="30"/>
      <c r="I31" s="30"/>
      <c r="J31" s="30">
        <v>7300.0</v>
      </c>
      <c r="K31" s="30"/>
      <c r="L31" s="30"/>
      <c r="M31" s="30"/>
      <c r="N31" s="30"/>
      <c r="O31" s="30"/>
      <c r="P31" s="61">
        <v>7300.0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45329.0</v>
      </c>
      <c r="C32" s="56" t="s">
        <v>772</v>
      </c>
      <c r="D32" s="56">
        <v>78878.0</v>
      </c>
      <c r="E32" s="57" t="s">
        <v>773</v>
      </c>
      <c r="F32" s="30"/>
      <c r="G32" s="30"/>
      <c r="H32" s="30"/>
      <c r="I32" s="30"/>
      <c r="J32" s="30"/>
      <c r="K32" s="30"/>
      <c r="L32" s="30"/>
      <c r="M32" s="30"/>
      <c r="N32" s="30"/>
      <c r="O32" s="30">
        <v>1200.0</v>
      </c>
      <c r="P32" s="61">
        <v>1200.0</v>
      </c>
      <c r="Q32" s="24">
        <f t="shared" si="1"/>
        <v>0</v>
      </c>
      <c r="R32" s="57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45330.0</v>
      </c>
      <c r="C33" s="56" t="s">
        <v>774</v>
      </c>
      <c r="D33" s="56">
        <v>30909.0</v>
      </c>
      <c r="E33" s="57" t="s">
        <v>775</v>
      </c>
      <c r="F33" s="30"/>
      <c r="G33" s="30"/>
      <c r="H33" s="30">
        <v>22500.0</v>
      </c>
      <c r="I33" s="30"/>
      <c r="J33" s="30"/>
      <c r="K33" s="30"/>
      <c r="L33" s="30"/>
      <c r="M33" s="30"/>
      <c r="N33" s="30"/>
      <c r="O33" s="30"/>
      <c r="P33" s="61">
        <v>22500.0</v>
      </c>
      <c r="Q33" s="24">
        <f t="shared" si="1"/>
        <v>0</v>
      </c>
      <c r="R33" s="57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45330.0</v>
      </c>
      <c r="C34" s="56" t="s">
        <v>776</v>
      </c>
      <c r="D34" s="56">
        <v>51040.0</v>
      </c>
      <c r="E34" s="57" t="s">
        <v>356</v>
      </c>
      <c r="F34" s="30"/>
      <c r="G34" s="30"/>
      <c r="H34" s="30">
        <v>15000.0</v>
      </c>
      <c r="I34" s="30"/>
      <c r="J34" s="30"/>
      <c r="K34" s="30"/>
      <c r="L34" s="30"/>
      <c r="M34" s="30"/>
      <c r="N34" s="30"/>
      <c r="O34" s="30"/>
      <c r="P34" s="61">
        <v>15000.0</v>
      </c>
      <c r="Q34" s="24">
        <f t="shared" si="1"/>
        <v>0</v>
      </c>
      <c r="R34" s="57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45330.0</v>
      </c>
      <c r="C35" s="56" t="s">
        <v>777</v>
      </c>
      <c r="D35" s="56">
        <v>25541.0</v>
      </c>
      <c r="E35" s="57" t="s">
        <v>63</v>
      </c>
      <c r="F35" s="30"/>
      <c r="G35" s="30"/>
      <c r="H35" s="30">
        <v>11000.0</v>
      </c>
      <c r="I35" s="30"/>
      <c r="J35" s="30"/>
      <c r="K35" s="30"/>
      <c r="L35" s="30"/>
      <c r="M35" s="30"/>
      <c r="N35" s="30"/>
      <c r="O35" s="30"/>
      <c r="P35" s="61">
        <v>11000.0</v>
      </c>
      <c r="Q35" s="24">
        <f t="shared" si="1"/>
        <v>0</v>
      </c>
      <c r="R35" s="57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45330.0</v>
      </c>
      <c r="C36" s="56" t="s">
        <v>778</v>
      </c>
      <c r="D36" s="56">
        <v>16043.0</v>
      </c>
      <c r="E36" s="57" t="s">
        <v>779</v>
      </c>
      <c r="F36" s="30"/>
      <c r="G36" s="30"/>
      <c r="H36" s="30"/>
      <c r="I36" s="30"/>
      <c r="J36" s="30"/>
      <c r="K36" s="30"/>
      <c r="L36" s="30"/>
      <c r="M36" s="30"/>
      <c r="N36" s="30"/>
      <c r="O36" s="30">
        <v>1200.0</v>
      </c>
      <c r="P36" s="61">
        <v>1200.0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/>
      <c r="B37" s="27"/>
      <c r="C37" s="28"/>
      <c r="D37" s="29"/>
      <c r="E37" s="28"/>
      <c r="F37" s="30">
        <f t="shared" ref="F37:P37" si="2">SUM(F5:F36)</f>
        <v>0</v>
      </c>
      <c r="G37" s="30">
        <f t="shared" si="2"/>
        <v>11250</v>
      </c>
      <c r="H37" s="30">
        <f t="shared" si="2"/>
        <v>64950</v>
      </c>
      <c r="I37" s="30">
        <f t="shared" si="2"/>
        <v>115975</v>
      </c>
      <c r="J37" s="30">
        <f t="shared" si="2"/>
        <v>61450</v>
      </c>
      <c r="K37" s="30">
        <f t="shared" si="2"/>
        <v>0</v>
      </c>
      <c r="L37" s="30">
        <f t="shared" si="2"/>
        <v>0</v>
      </c>
      <c r="M37" s="30">
        <f t="shared" si="2"/>
        <v>0</v>
      </c>
      <c r="N37" s="30">
        <f t="shared" si="2"/>
        <v>0</v>
      </c>
      <c r="O37" s="30">
        <f t="shared" si="2"/>
        <v>2400</v>
      </c>
      <c r="P37" s="68">
        <f t="shared" si="2"/>
        <v>256025</v>
      </c>
      <c r="Q37" s="24">
        <f t="shared" si="1"/>
        <v>0</v>
      </c>
      <c r="R37" s="67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36.0" customHeight="1">
      <c r="A38" s="35"/>
      <c r="B38" s="35"/>
      <c r="C38" s="35"/>
      <c r="D38" s="35"/>
      <c r="E38" s="35"/>
      <c r="F38" s="36">
        <f>F37+G37+H37+I37+J37+K37+L37+M37+N37+O37</f>
        <v>256025</v>
      </c>
      <c r="P38" s="36"/>
      <c r="Q38" s="36"/>
      <c r="R38" s="35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37" t="s">
        <v>242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38" t="s">
        <v>243</v>
      </c>
      <c r="F42" s="39" t="s">
        <v>244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38" t="s">
        <v>245</v>
      </c>
      <c r="F43" s="39" t="s">
        <v>244</v>
      </c>
      <c r="G43" s="4"/>
      <c r="H43" s="4"/>
      <c r="I43" s="4"/>
      <c r="J43" s="4"/>
      <c r="K43" s="4"/>
      <c r="L43" s="4"/>
      <c r="M43" s="4"/>
      <c r="N43" s="4"/>
      <c r="O43" s="4" t="s">
        <v>242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38" t="s">
        <v>246</v>
      </c>
      <c r="F44" s="39" t="s">
        <v>244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38" t="s">
        <v>247</v>
      </c>
      <c r="F45" s="39" t="s">
        <v>244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38" t="s">
        <v>248</v>
      </c>
      <c r="F46" s="39" t="s">
        <v>244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27.0" customHeight="1">
      <c r="A47" s="4"/>
      <c r="B47" s="4"/>
      <c r="C47" s="4"/>
      <c r="D47" s="4"/>
      <c r="E47" s="38" t="s">
        <v>780</v>
      </c>
      <c r="F47" s="39" t="s">
        <v>244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0.0" customHeight="1">
      <c r="A48" s="4"/>
      <c r="B48" s="4"/>
      <c r="C48" s="4"/>
      <c r="D48" s="4"/>
      <c r="E48" s="40" t="s">
        <v>250</v>
      </c>
      <c r="F48" s="39" t="s">
        <v>251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38" t="s">
        <v>252</v>
      </c>
      <c r="F49" s="39" t="s">
        <v>725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 t="s">
        <v>242</v>
      </c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 t="s">
        <v>253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38:O3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13.13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781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45331.0</v>
      </c>
      <c r="C5" s="55" t="s">
        <v>782</v>
      </c>
      <c r="D5" s="56">
        <v>59904.0</v>
      </c>
      <c r="E5" s="57" t="s">
        <v>461</v>
      </c>
      <c r="F5" s="21"/>
      <c r="G5" s="21"/>
      <c r="H5" s="21"/>
      <c r="I5" s="21">
        <v>450.0</v>
      </c>
      <c r="J5" s="22"/>
      <c r="K5" s="21"/>
      <c r="L5" s="21"/>
      <c r="M5" s="21"/>
      <c r="N5" s="21"/>
      <c r="O5" s="21"/>
      <c r="P5" s="58">
        <v>450.0</v>
      </c>
      <c r="Q5" s="24">
        <f t="shared" ref="Q5:Q41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45331.0</v>
      </c>
      <c r="C6" s="55" t="s">
        <v>783</v>
      </c>
      <c r="D6" s="56">
        <v>62146.0</v>
      </c>
      <c r="E6" s="57" t="s">
        <v>55</v>
      </c>
      <c r="F6" s="21"/>
      <c r="G6" s="21"/>
      <c r="H6" s="21"/>
      <c r="I6" s="22">
        <v>1300.0</v>
      </c>
      <c r="J6" s="21"/>
      <c r="K6" s="21"/>
      <c r="L6" s="21"/>
      <c r="M6" s="21"/>
      <c r="N6" s="21"/>
      <c r="O6" s="21"/>
      <c r="P6" s="58">
        <v>1300.0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45331.0</v>
      </c>
      <c r="C7" s="55" t="s">
        <v>784</v>
      </c>
      <c r="D7" s="56">
        <v>51946.0</v>
      </c>
      <c r="E7" s="57" t="s">
        <v>785</v>
      </c>
      <c r="F7" s="21"/>
      <c r="G7" s="21"/>
      <c r="H7" s="21"/>
      <c r="I7" s="22">
        <v>10000.0</v>
      </c>
      <c r="J7" s="21"/>
      <c r="K7" s="21"/>
      <c r="L7" s="21"/>
      <c r="M7" s="21"/>
      <c r="N7" s="21"/>
      <c r="O7" s="21"/>
      <c r="P7" s="58">
        <v>10000.0</v>
      </c>
      <c r="Q7" s="24">
        <f t="shared" si="1"/>
        <v>0</v>
      </c>
      <c r="R7" s="59" t="s">
        <v>66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45331.0</v>
      </c>
      <c r="C8" s="55" t="s">
        <v>786</v>
      </c>
      <c r="D8" s="56">
        <v>32700.0</v>
      </c>
      <c r="E8" s="57" t="s">
        <v>565</v>
      </c>
      <c r="F8" s="21"/>
      <c r="G8" s="21"/>
      <c r="H8" s="21"/>
      <c r="I8" s="22"/>
      <c r="J8" s="21">
        <v>10000.0</v>
      </c>
      <c r="K8" s="21"/>
      <c r="L8" s="21"/>
      <c r="M8" s="21"/>
      <c r="N8" s="21"/>
      <c r="O8" s="21"/>
      <c r="P8" s="58">
        <v>10000.0</v>
      </c>
      <c r="Q8" s="24">
        <f t="shared" si="1"/>
        <v>0</v>
      </c>
      <c r="R8" s="59" t="s">
        <v>56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45331.0</v>
      </c>
      <c r="C9" s="55" t="s">
        <v>787</v>
      </c>
      <c r="D9" s="56">
        <v>35227.0</v>
      </c>
      <c r="E9" s="57" t="s">
        <v>208</v>
      </c>
      <c r="F9" s="21"/>
      <c r="G9" s="21"/>
      <c r="H9" s="21"/>
      <c r="I9" s="22">
        <v>5000.0</v>
      </c>
      <c r="J9" s="21"/>
      <c r="K9" s="21"/>
      <c r="L9" s="21"/>
      <c r="M9" s="21"/>
      <c r="N9" s="21"/>
      <c r="O9" s="21"/>
      <c r="P9" s="58">
        <v>5000.0</v>
      </c>
      <c r="Q9" s="24">
        <f t="shared" si="1"/>
        <v>0</v>
      </c>
      <c r="R9" s="59" t="s">
        <v>30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45331.0</v>
      </c>
      <c r="C10" s="55" t="s">
        <v>788</v>
      </c>
      <c r="D10" s="56">
        <v>81508.0</v>
      </c>
      <c r="E10" s="57" t="s">
        <v>789</v>
      </c>
      <c r="F10" s="21"/>
      <c r="G10" s="21"/>
      <c r="H10" s="21"/>
      <c r="I10" s="22">
        <v>7300.0</v>
      </c>
      <c r="J10" s="21"/>
      <c r="K10" s="21"/>
      <c r="L10" s="21"/>
      <c r="M10" s="21"/>
      <c r="N10" s="21"/>
      <c r="O10" s="21"/>
      <c r="P10" s="58">
        <v>7300.0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45331.0</v>
      </c>
      <c r="C11" s="55" t="s">
        <v>790</v>
      </c>
      <c r="D11" s="56">
        <v>58818.0</v>
      </c>
      <c r="E11" s="57" t="s">
        <v>538</v>
      </c>
      <c r="F11" s="21"/>
      <c r="G11" s="21"/>
      <c r="H11" s="21"/>
      <c r="I11" s="22"/>
      <c r="J11" s="21"/>
      <c r="K11" s="21">
        <v>300.0</v>
      </c>
      <c r="L11" s="21"/>
      <c r="M11" s="21"/>
      <c r="N11" s="21"/>
      <c r="O11" s="21"/>
      <c r="P11" s="58">
        <v>300.0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45331.0</v>
      </c>
      <c r="C12" s="55" t="s">
        <v>791</v>
      </c>
      <c r="D12" s="56">
        <v>81379.0</v>
      </c>
      <c r="E12" s="57" t="s">
        <v>792</v>
      </c>
      <c r="F12" s="21"/>
      <c r="G12" s="21"/>
      <c r="H12" s="21"/>
      <c r="I12" s="22">
        <v>7000.0</v>
      </c>
      <c r="J12" s="21"/>
      <c r="K12" s="21"/>
      <c r="L12" s="21"/>
      <c r="M12" s="21"/>
      <c r="N12" s="21"/>
      <c r="O12" s="21"/>
      <c r="P12" s="58">
        <v>7000.0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45331.0</v>
      </c>
      <c r="C13" s="55" t="s">
        <v>793</v>
      </c>
      <c r="D13" s="56">
        <v>64457.0</v>
      </c>
      <c r="E13" s="57" t="s">
        <v>602</v>
      </c>
      <c r="F13" s="21"/>
      <c r="G13" s="21"/>
      <c r="H13" s="21"/>
      <c r="I13" s="22">
        <v>2500.0</v>
      </c>
      <c r="J13" s="21"/>
      <c r="K13" s="21"/>
      <c r="L13" s="21"/>
      <c r="M13" s="21"/>
      <c r="N13" s="21"/>
      <c r="O13" s="21"/>
      <c r="P13" s="58">
        <v>2500.0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45331.0</v>
      </c>
      <c r="C14" s="55" t="s">
        <v>794</v>
      </c>
      <c r="D14" s="56">
        <v>51876.0</v>
      </c>
      <c r="E14" s="57" t="s">
        <v>795</v>
      </c>
      <c r="F14" s="21"/>
      <c r="G14" s="21"/>
      <c r="H14" s="21"/>
      <c r="I14" s="22">
        <v>10000.0</v>
      </c>
      <c r="J14" s="21"/>
      <c r="K14" s="21"/>
      <c r="L14" s="21"/>
      <c r="M14" s="21"/>
      <c r="N14" s="21"/>
      <c r="O14" s="21"/>
      <c r="P14" s="58">
        <v>10000.0</v>
      </c>
      <c r="Q14" s="24">
        <f t="shared" si="1"/>
        <v>0</v>
      </c>
      <c r="R14" s="59" t="s">
        <v>30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45331.0</v>
      </c>
      <c r="C15" s="55" t="s">
        <v>796</v>
      </c>
      <c r="D15" s="56">
        <v>77256.0</v>
      </c>
      <c r="E15" s="57" t="s">
        <v>797</v>
      </c>
      <c r="F15" s="21"/>
      <c r="G15" s="21"/>
      <c r="H15" s="21"/>
      <c r="I15" s="22">
        <v>2650.0</v>
      </c>
      <c r="J15" s="21"/>
      <c r="K15" s="21"/>
      <c r="L15" s="21"/>
      <c r="M15" s="21"/>
      <c r="N15" s="21"/>
      <c r="O15" s="21"/>
      <c r="P15" s="58">
        <v>2650.0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45331.0</v>
      </c>
      <c r="C16" s="55" t="s">
        <v>798</v>
      </c>
      <c r="D16" s="56">
        <v>50020.0</v>
      </c>
      <c r="E16" s="57" t="s">
        <v>799</v>
      </c>
      <c r="F16" s="21"/>
      <c r="G16" s="21"/>
      <c r="H16" s="21"/>
      <c r="I16" s="22">
        <v>28750.0</v>
      </c>
      <c r="J16" s="21"/>
      <c r="K16" s="21"/>
      <c r="L16" s="21"/>
      <c r="M16" s="21"/>
      <c r="N16" s="21"/>
      <c r="O16" s="21"/>
      <c r="P16" s="58">
        <v>28750.0</v>
      </c>
      <c r="Q16" s="24">
        <f t="shared" si="1"/>
        <v>0</v>
      </c>
      <c r="R16" s="59" t="s">
        <v>24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45331.0</v>
      </c>
      <c r="C17" s="55" t="s">
        <v>800</v>
      </c>
      <c r="D17" s="56">
        <v>52396.0</v>
      </c>
      <c r="E17" s="57" t="s">
        <v>315</v>
      </c>
      <c r="F17" s="21"/>
      <c r="G17" s="21"/>
      <c r="H17" s="21"/>
      <c r="I17" s="21"/>
      <c r="J17" s="21">
        <v>10000.0</v>
      </c>
      <c r="K17" s="21"/>
      <c r="L17" s="21"/>
      <c r="M17" s="21"/>
      <c r="N17" s="21"/>
      <c r="O17" s="21"/>
      <c r="P17" s="58">
        <v>10000.0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45331.0</v>
      </c>
      <c r="C18" s="55" t="s">
        <v>801</v>
      </c>
      <c r="D18" s="56">
        <v>77256.0</v>
      </c>
      <c r="E18" s="57" t="s">
        <v>797</v>
      </c>
      <c r="F18" s="21"/>
      <c r="G18" s="21"/>
      <c r="H18" s="21"/>
      <c r="I18" s="21">
        <v>450.0</v>
      </c>
      <c r="J18" s="21"/>
      <c r="K18" s="21"/>
      <c r="L18" s="21"/>
      <c r="M18" s="21"/>
      <c r="N18" s="21"/>
      <c r="O18" s="21"/>
      <c r="P18" s="58">
        <v>450.0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45331.0</v>
      </c>
      <c r="C19" s="55" t="s">
        <v>802</v>
      </c>
      <c r="D19" s="56">
        <v>61496.0</v>
      </c>
      <c r="E19" s="57" t="s">
        <v>803</v>
      </c>
      <c r="F19" s="21"/>
      <c r="G19" s="21"/>
      <c r="H19" s="21"/>
      <c r="I19" s="21">
        <v>15000.0</v>
      </c>
      <c r="J19" s="21"/>
      <c r="K19" s="21"/>
      <c r="L19" s="21"/>
      <c r="M19" s="21"/>
      <c r="N19" s="21"/>
      <c r="O19" s="21"/>
      <c r="P19" s="58">
        <v>15000.0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45331.0</v>
      </c>
      <c r="C20" s="55" t="s">
        <v>804</v>
      </c>
      <c r="D20" s="56">
        <v>52669.0</v>
      </c>
      <c r="E20" s="57" t="s">
        <v>95</v>
      </c>
      <c r="F20" s="21"/>
      <c r="G20" s="21"/>
      <c r="H20" s="21">
        <v>32500.0</v>
      </c>
      <c r="I20" s="21"/>
      <c r="J20" s="21"/>
      <c r="K20" s="21"/>
      <c r="L20" s="21"/>
      <c r="M20" s="21"/>
      <c r="N20" s="21"/>
      <c r="O20" s="21"/>
      <c r="P20" s="58">
        <v>32500.0</v>
      </c>
      <c r="Q20" s="24">
        <f t="shared" si="1"/>
        <v>0</v>
      </c>
      <c r="R20" s="59" t="s">
        <v>24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45331.0</v>
      </c>
      <c r="C21" s="55" t="s">
        <v>805</v>
      </c>
      <c r="D21" s="56">
        <v>52669.0</v>
      </c>
      <c r="E21" s="57" t="s">
        <v>95</v>
      </c>
      <c r="F21" s="21"/>
      <c r="G21" s="21"/>
      <c r="H21" s="21"/>
      <c r="I21" s="21">
        <v>6700.0</v>
      </c>
      <c r="J21" s="21"/>
      <c r="K21" s="21"/>
      <c r="L21" s="21"/>
      <c r="M21" s="21"/>
      <c r="N21" s="21"/>
      <c r="O21" s="21"/>
      <c r="P21" s="58">
        <v>6700.0</v>
      </c>
      <c r="Q21" s="24">
        <f t="shared" si="1"/>
        <v>0</v>
      </c>
      <c r="R21" s="59" t="s">
        <v>24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45331.0</v>
      </c>
      <c r="C22" s="55" t="s">
        <v>806</v>
      </c>
      <c r="D22" s="56">
        <v>76637.0</v>
      </c>
      <c r="E22" s="57" t="s">
        <v>807</v>
      </c>
      <c r="F22" s="21"/>
      <c r="G22" s="21"/>
      <c r="H22" s="21"/>
      <c r="I22" s="21">
        <v>2650.0</v>
      </c>
      <c r="J22" s="21"/>
      <c r="K22" s="21"/>
      <c r="L22" s="21"/>
      <c r="M22" s="21"/>
      <c r="N22" s="21"/>
      <c r="O22" s="21"/>
      <c r="P22" s="58">
        <v>2650.0</v>
      </c>
      <c r="Q22" s="24">
        <f t="shared" si="1"/>
        <v>0</v>
      </c>
      <c r="R22" s="59" t="s">
        <v>66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45331.0</v>
      </c>
      <c r="C23" s="56" t="s">
        <v>808</v>
      </c>
      <c r="D23" s="56">
        <v>10744.0</v>
      </c>
      <c r="E23" s="57" t="s">
        <v>144</v>
      </c>
      <c r="F23" s="30"/>
      <c r="G23" s="30"/>
      <c r="H23" s="68"/>
      <c r="I23" s="68">
        <v>15000.0</v>
      </c>
      <c r="J23" s="30"/>
      <c r="K23" s="30"/>
      <c r="L23" s="30"/>
      <c r="M23" s="30"/>
      <c r="N23" s="30"/>
      <c r="O23" s="30"/>
      <c r="P23" s="61">
        <v>15000.0</v>
      </c>
      <c r="Q23" s="24">
        <f t="shared" si="1"/>
        <v>0</v>
      </c>
      <c r="R23" s="57" t="s">
        <v>66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45331.0</v>
      </c>
      <c r="C24" s="56" t="s">
        <v>809</v>
      </c>
      <c r="D24" s="56">
        <v>13209.0</v>
      </c>
      <c r="E24" s="57" t="s">
        <v>304</v>
      </c>
      <c r="F24" s="30"/>
      <c r="G24" s="30"/>
      <c r="H24" s="30"/>
      <c r="I24" s="30"/>
      <c r="J24" s="30"/>
      <c r="K24" s="30"/>
      <c r="L24" s="30"/>
      <c r="M24" s="30">
        <v>4500.0</v>
      </c>
      <c r="N24" s="30"/>
      <c r="O24" s="30"/>
      <c r="P24" s="61">
        <v>4500.0</v>
      </c>
      <c r="Q24" s="24">
        <f t="shared" si="1"/>
        <v>0</v>
      </c>
      <c r="R24" s="57" t="s">
        <v>66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45331.0</v>
      </c>
      <c r="C25" s="56" t="s">
        <v>810</v>
      </c>
      <c r="D25" s="56">
        <v>43113.0</v>
      </c>
      <c r="E25" s="57" t="s">
        <v>811</v>
      </c>
      <c r="F25" s="30"/>
      <c r="G25" s="30"/>
      <c r="H25" s="30"/>
      <c r="I25" s="30"/>
      <c r="J25" s="30">
        <v>2500.0</v>
      </c>
      <c r="K25" s="30"/>
      <c r="L25" s="30"/>
      <c r="M25" s="30"/>
      <c r="N25" s="30"/>
      <c r="O25" s="30"/>
      <c r="P25" s="61">
        <v>2500.0</v>
      </c>
      <c r="Q25" s="24">
        <f t="shared" si="1"/>
        <v>0</v>
      </c>
      <c r="R25" s="57" t="s">
        <v>24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45331.0</v>
      </c>
      <c r="C26" s="56" t="s">
        <v>812</v>
      </c>
      <c r="D26" s="56">
        <v>13209.0</v>
      </c>
      <c r="E26" s="57" t="s">
        <v>304</v>
      </c>
      <c r="F26" s="30"/>
      <c r="G26" s="30"/>
      <c r="H26" s="30"/>
      <c r="I26" s="30"/>
      <c r="J26" s="30"/>
      <c r="K26" s="30"/>
      <c r="L26" s="30"/>
      <c r="M26" s="30">
        <v>1000.0</v>
      </c>
      <c r="N26" s="30"/>
      <c r="O26" s="30"/>
      <c r="P26" s="61">
        <v>1000.0</v>
      </c>
      <c r="Q26" s="24">
        <f t="shared" si="1"/>
        <v>0</v>
      </c>
      <c r="R26" s="57" t="s">
        <v>66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45331.0</v>
      </c>
      <c r="C27" s="56" t="s">
        <v>813</v>
      </c>
      <c r="D27" s="56">
        <v>43113.0</v>
      </c>
      <c r="E27" s="57" t="s">
        <v>811</v>
      </c>
      <c r="F27" s="30"/>
      <c r="G27" s="30"/>
      <c r="H27" s="30"/>
      <c r="I27" s="30">
        <v>50.0</v>
      </c>
      <c r="J27" s="30"/>
      <c r="K27" s="30"/>
      <c r="L27" s="30"/>
      <c r="M27" s="30"/>
      <c r="N27" s="30"/>
      <c r="O27" s="30"/>
      <c r="P27" s="61">
        <v>50.0</v>
      </c>
      <c r="Q27" s="24">
        <f t="shared" si="1"/>
        <v>0</v>
      </c>
      <c r="R27" s="57" t="s">
        <v>24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45331.0</v>
      </c>
      <c r="C28" s="56" t="s">
        <v>814</v>
      </c>
      <c r="D28" s="56">
        <v>48910.0</v>
      </c>
      <c r="E28" s="57" t="s">
        <v>175</v>
      </c>
      <c r="F28" s="30"/>
      <c r="G28" s="30"/>
      <c r="H28" s="30"/>
      <c r="I28" s="30">
        <v>6400.0</v>
      </c>
      <c r="J28" s="30"/>
      <c r="K28" s="30"/>
      <c r="L28" s="30"/>
      <c r="M28" s="30"/>
      <c r="N28" s="30"/>
      <c r="O28" s="30"/>
      <c r="P28" s="61">
        <v>6400.0</v>
      </c>
      <c r="Q28" s="24">
        <f t="shared" si="1"/>
        <v>0</v>
      </c>
      <c r="R28" s="57" t="s">
        <v>24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45331.0</v>
      </c>
      <c r="C29" s="56" t="s">
        <v>815</v>
      </c>
      <c r="D29" s="56">
        <v>77368.0</v>
      </c>
      <c r="E29" s="57" t="s">
        <v>816</v>
      </c>
      <c r="F29" s="30"/>
      <c r="G29" s="30"/>
      <c r="H29" s="30"/>
      <c r="I29" s="30">
        <v>12900.0</v>
      </c>
      <c r="J29" s="30"/>
      <c r="K29" s="30"/>
      <c r="L29" s="30"/>
      <c r="M29" s="30"/>
      <c r="N29" s="30"/>
      <c r="O29" s="30"/>
      <c r="P29" s="61">
        <v>12900.0</v>
      </c>
      <c r="Q29" s="24">
        <f t="shared" si="1"/>
        <v>0</v>
      </c>
      <c r="R29" s="57" t="s">
        <v>56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45331.0</v>
      </c>
      <c r="C30" s="56" t="s">
        <v>817</v>
      </c>
      <c r="D30" s="56">
        <v>36555.0</v>
      </c>
      <c r="E30" s="57" t="s">
        <v>479</v>
      </c>
      <c r="F30" s="30"/>
      <c r="G30" s="30"/>
      <c r="H30" s="30"/>
      <c r="I30" s="30"/>
      <c r="J30" s="30"/>
      <c r="K30" s="30">
        <v>1000.0</v>
      </c>
      <c r="L30" s="30"/>
      <c r="M30" s="30"/>
      <c r="N30" s="30"/>
      <c r="O30" s="30"/>
      <c r="P30" s="61">
        <v>1000.0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45331.0</v>
      </c>
      <c r="C31" s="56" t="s">
        <v>818</v>
      </c>
      <c r="D31" s="56">
        <v>21818.0</v>
      </c>
      <c r="E31" s="57" t="s">
        <v>202</v>
      </c>
      <c r="F31" s="30"/>
      <c r="G31" s="30"/>
      <c r="H31" s="30"/>
      <c r="I31" s="30"/>
      <c r="J31" s="30"/>
      <c r="K31" s="30">
        <v>5000.0</v>
      </c>
      <c r="L31" s="30"/>
      <c r="M31" s="30"/>
      <c r="N31" s="30"/>
      <c r="O31" s="30"/>
      <c r="P31" s="61">
        <v>5000.0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45331.0</v>
      </c>
      <c r="C32" s="56" t="s">
        <v>819</v>
      </c>
      <c r="D32" s="56">
        <v>69346.0</v>
      </c>
      <c r="E32" s="57" t="s">
        <v>820</v>
      </c>
      <c r="F32" s="30"/>
      <c r="G32" s="30"/>
      <c r="H32" s="30"/>
      <c r="I32" s="30">
        <v>9500.0</v>
      </c>
      <c r="J32" s="30"/>
      <c r="K32" s="30"/>
      <c r="L32" s="30"/>
      <c r="M32" s="30"/>
      <c r="N32" s="30"/>
      <c r="O32" s="30"/>
      <c r="P32" s="61">
        <v>9500.0</v>
      </c>
      <c r="Q32" s="24">
        <f t="shared" si="1"/>
        <v>0</v>
      </c>
      <c r="R32" s="57" t="s">
        <v>30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45331.0</v>
      </c>
      <c r="C33" s="56" t="s">
        <v>821</v>
      </c>
      <c r="D33" s="56">
        <v>21384.0</v>
      </c>
      <c r="E33" s="57" t="s">
        <v>822</v>
      </c>
      <c r="F33" s="30"/>
      <c r="G33" s="30">
        <v>900.0</v>
      </c>
      <c r="H33" s="30"/>
      <c r="I33" s="30"/>
      <c r="J33" s="30"/>
      <c r="K33" s="30"/>
      <c r="L33" s="30"/>
      <c r="M33" s="30"/>
      <c r="N33" s="30"/>
      <c r="O33" s="30"/>
      <c r="P33" s="61">
        <v>900.0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45331.0</v>
      </c>
      <c r="C34" s="56" t="s">
        <v>823</v>
      </c>
      <c r="D34" s="56">
        <v>57499.0</v>
      </c>
      <c r="E34" s="57" t="s">
        <v>824</v>
      </c>
      <c r="F34" s="30"/>
      <c r="G34" s="30"/>
      <c r="H34" s="30"/>
      <c r="I34" s="30">
        <v>700.0</v>
      </c>
      <c r="J34" s="30"/>
      <c r="K34" s="30"/>
      <c r="L34" s="30"/>
      <c r="M34" s="30"/>
      <c r="N34" s="30"/>
      <c r="O34" s="30"/>
      <c r="P34" s="61">
        <v>700.0</v>
      </c>
      <c r="Q34" s="24">
        <f t="shared" si="1"/>
        <v>0</v>
      </c>
      <c r="R34" s="57" t="s">
        <v>24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45331.0</v>
      </c>
      <c r="C35" s="56" t="s">
        <v>825</v>
      </c>
      <c r="D35" s="56">
        <v>52083.0</v>
      </c>
      <c r="E35" s="57" t="s">
        <v>23</v>
      </c>
      <c r="F35" s="30"/>
      <c r="G35" s="30"/>
      <c r="H35" s="30"/>
      <c r="I35" s="30">
        <v>10100.0</v>
      </c>
      <c r="J35" s="30"/>
      <c r="K35" s="30"/>
      <c r="L35" s="30"/>
      <c r="M35" s="30"/>
      <c r="N35" s="30"/>
      <c r="O35" s="30"/>
      <c r="P35" s="61">
        <v>10100.0</v>
      </c>
      <c r="Q35" s="24">
        <f t="shared" si="1"/>
        <v>0</v>
      </c>
      <c r="R35" s="57" t="s">
        <v>24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45331.0</v>
      </c>
      <c r="C36" s="56" t="s">
        <v>826</v>
      </c>
      <c r="D36" s="56">
        <v>51406.0</v>
      </c>
      <c r="E36" s="57" t="s">
        <v>657</v>
      </c>
      <c r="F36" s="30"/>
      <c r="G36" s="30"/>
      <c r="H36" s="30">
        <v>5000.0</v>
      </c>
      <c r="I36" s="30"/>
      <c r="J36" s="30"/>
      <c r="K36" s="30"/>
      <c r="L36" s="30"/>
      <c r="M36" s="30"/>
      <c r="N36" s="30"/>
      <c r="O36" s="30"/>
      <c r="P36" s="61">
        <v>5000.0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45331.0</v>
      </c>
      <c r="C37" s="56" t="s">
        <v>827</v>
      </c>
      <c r="D37" s="56">
        <v>51797.0</v>
      </c>
      <c r="E37" s="57" t="s">
        <v>828</v>
      </c>
      <c r="F37" s="30"/>
      <c r="G37" s="30"/>
      <c r="H37" s="30"/>
      <c r="I37" s="30"/>
      <c r="J37" s="30"/>
      <c r="K37" s="30"/>
      <c r="L37" s="30"/>
      <c r="M37" s="30"/>
      <c r="N37" s="30"/>
      <c r="O37" s="30">
        <v>17000.0</v>
      </c>
      <c r="P37" s="61">
        <v>17000.0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45331.0</v>
      </c>
      <c r="C38" s="56" t="s">
        <v>829</v>
      </c>
      <c r="D38" s="56">
        <v>54426.0</v>
      </c>
      <c r="E38" s="57" t="s">
        <v>830</v>
      </c>
      <c r="F38" s="30"/>
      <c r="G38" s="30"/>
      <c r="H38" s="30"/>
      <c r="I38" s="30"/>
      <c r="J38" s="30"/>
      <c r="K38" s="30"/>
      <c r="L38" s="30"/>
      <c r="M38" s="30"/>
      <c r="N38" s="30"/>
      <c r="O38" s="30">
        <v>20890.0</v>
      </c>
      <c r="P38" s="61">
        <v>20890.0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45331.0</v>
      </c>
      <c r="C39" s="56" t="s">
        <v>831</v>
      </c>
      <c r="D39" s="56">
        <v>51017.0</v>
      </c>
      <c r="E39" s="57" t="s">
        <v>150</v>
      </c>
      <c r="F39" s="30"/>
      <c r="G39" s="30"/>
      <c r="H39" s="30">
        <v>54500.0</v>
      </c>
      <c r="I39" s="30"/>
      <c r="J39" s="30"/>
      <c r="K39" s="30"/>
      <c r="L39" s="30"/>
      <c r="M39" s="30"/>
      <c r="N39" s="30"/>
      <c r="O39" s="30"/>
      <c r="P39" s="61">
        <v>54500.0</v>
      </c>
      <c r="Q39" s="24">
        <f t="shared" si="1"/>
        <v>0</v>
      </c>
      <c r="R39" s="57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45331.0</v>
      </c>
      <c r="C40" s="56" t="s">
        <v>832</v>
      </c>
      <c r="D40" s="56">
        <v>44406.0</v>
      </c>
      <c r="E40" s="57" t="s">
        <v>833</v>
      </c>
      <c r="F40" s="30"/>
      <c r="G40" s="30"/>
      <c r="H40" s="30"/>
      <c r="I40" s="30"/>
      <c r="J40" s="30"/>
      <c r="K40" s="30"/>
      <c r="L40" s="30"/>
      <c r="M40" s="30"/>
      <c r="N40" s="30"/>
      <c r="O40" s="30">
        <v>1200.0</v>
      </c>
      <c r="P40" s="61">
        <v>1200.0</v>
      </c>
      <c r="Q40" s="24">
        <f t="shared" si="1"/>
        <v>0</v>
      </c>
      <c r="R40" s="57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/>
      <c r="B41" s="27"/>
      <c r="C41" s="28"/>
      <c r="D41" s="29"/>
      <c r="E41" s="28"/>
      <c r="F41" s="30">
        <f t="shared" ref="F41:P41" si="2">SUM(F5:F40)</f>
        <v>0</v>
      </c>
      <c r="G41" s="30">
        <f t="shared" si="2"/>
        <v>900</v>
      </c>
      <c r="H41" s="30">
        <f t="shared" si="2"/>
        <v>92000</v>
      </c>
      <c r="I41" s="30">
        <f t="shared" si="2"/>
        <v>154400</v>
      </c>
      <c r="J41" s="30">
        <f t="shared" si="2"/>
        <v>22500</v>
      </c>
      <c r="K41" s="30">
        <f t="shared" si="2"/>
        <v>6300</v>
      </c>
      <c r="L41" s="30">
        <f t="shared" si="2"/>
        <v>0</v>
      </c>
      <c r="M41" s="30">
        <f t="shared" si="2"/>
        <v>5500</v>
      </c>
      <c r="N41" s="30">
        <f t="shared" si="2"/>
        <v>0</v>
      </c>
      <c r="O41" s="30">
        <f t="shared" si="2"/>
        <v>39090</v>
      </c>
      <c r="P41" s="68">
        <f t="shared" si="2"/>
        <v>320690</v>
      </c>
      <c r="Q41" s="24">
        <f t="shared" si="1"/>
        <v>0</v>
      </c>
      <c r="R41" s="67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36.0" customHeight="1">
      <c r="A42" s="35"/>
      <c r="B42" s="35"/>
      <c r="C42" s="35"/>
      <c r="D42" s="35"/>
      <c r="E42" s="35"/>
      <c r="F42" s="36">
        <f>F41+G41+H41+I41+J41+K41+L41+M41+N41+O41</f>
        <v>320690</v>
      </c>
      <c r="P42" s="36"/>
      <c r="Q42" s="36"/>
      <c r="R42" s="35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37" t="s">
        <v>242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38" t="s">
        <v>243</v>
      </c>
      <c r="F46" s="39" t="s">
        <v>244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38" t="s">
        <v>245</v>
      </c>
      <c r="F47" s="39" t="s">
        <v>244</v>
      </c>
      <c r="G47" s="4"/>
      <c r="H47" s="4"/>
      <c r="I47" s="4"/>
      <c r="J47" s="4"/>
      <c r="K47" s="4"/>
      <c r="L47" s="4"/>
      <c r="M47" s="4"/>
      <c r="N47" s="4"/>
      <c r="O47" s="4" t="s">
        <v>242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246</v>
      </c>
      <c r="F48" s="39" t="s">
        <v>244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38" t="s">
        <v>247</v>
      </c>
      <c r="F49" s="39" t="s">
        <v>834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38" t="s">
        <v>248</v>
      </c>
      <c r="F50" s="39" t="s">
        <v>834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7.0" customHeight="1">
      <c r="A51" s="4"/>
      <c r="B51" s="4"/>
      <c r="C51" s="4"/>
      <c r="D51" s="4"/>
      <c r="E51" s="38" t="s">
        <v>835</v>
      </c>
      <c r="F51" s="39" t="s">
        <v>834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0.0" customHeight="1">
      <c r="A52" s="4"/>
      <c r="B52" s="4"/>
      <c r="C52" s="4"/>
      <c r="D52" s="4"/>
      <c r="E52" s="40" t="s">
        <v>250</v>
      </c>
      <c r="F52" s="39" t="s">
        <v>251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38" t="s">
        <v>252</v>
      </c>
      <c r="F53" s="39" t="s">
        <v>725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 t="s">
        <v>242</v>
      </c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 t="s">
        <v>253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2:O4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13.13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836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45331.0</v>
      </c>
      <c r="C5" s="55" t="s">
        <v>837</v>
      </c>
      <c r="D5" s="56">
        <v>80961.0</v>
      </c>
      <c r="E5" s="57" t="s">
        <v>662</v>
      </c>
      <c r="F5" s="21"/>
      <c r="G5" s="21"/>
      <c r="H5" s="21"/>
      <c r="I5" s="21">
        <v>600.0</v>
      </c>
      <c r="J5" s="22"/>
      <c r="K5" s="21"/>
      <c r="L5" s="21"/>
      <c r="M5" s="21"/>
      <c r="N5" s="21"/>
      <c r="O5" s="21"/>
      <c r="P5" s="58">
        <v>600.0</v>
      </c>
      <c r="Q5" s="24">
        <f t="shared" ref="Q5:Q36" si="1">F5+G5+H5+I5+J5+K5+L5+M5+N5+O5-P5</f>
        <v>0</v>
      </c>
      <c r="R5" s="59" t="s">
        <v>24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45332.0</v>
      </c>
      <c r="C6" s="55" t="s">
        <v>838</v>
      </c>
      <c r="D6" s="56">
        <v>22332.0</v>
      </c>
      <c r="E6" s="57" t="s">
        <v>404</v>
      </c>
      <c r="F6" s="21"/>
      <c r="G6" s="21"/>
      <c r="H6" s="21"/>
      <c r="I6" s="22">
        <v>19500.0</v>
      </c>
      <c r="J6" s="21"/>
      <c r="K6" s="21"/>
      <c r="L6" s="21"/>
      <c r="M6" s="21"/>
      <c r="N6" s="21"/>
      <c r="O6" s="21"/>
      <c r="P6" s="58">
        <v>19500.0</v>
      </c>
      <c r="Q6" s="24">
        <f t="shared" si="1"/>
        <v>0</v>
      </c>
      <c r="R6" s="59" t="s">
        <v>66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45332.0</v>
      </c>
      <c r="C7" s="55" t="s">
        <v>839</v>
      </c>
      <c r="D7" s="56">
        <v>58152.0</v>
      </c>
      <c r="E7" s="57" t="s">
        <v>840</v>
      </c>
      <c r="F7" s="21"/>
      <c r="G7" s="21"/>
      <c r="H7" s="21"/>
      <c r="I7" s="22">
        <v>2950.0</v>
      </c>
      <c r="J7" s="21"/>
      <c r="K7" s="21"/>
      <c r="L7" s="21"/>
      <c r="M7" s="21"/>
      <c r="N7" s="21"/>
      <c r="O7" s="21"/>
      <c r="P7" s="58">
        <v>2950.0</v>
      </c>
      <c r="Q7" s="24">
        <f t="shared" si="1"/>
        <v>0</v>
      </c>
      <c r="R7" s="59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45332.0</v>
      </c>
      <c r="C8" s="55" t="s">
        <v>841</v>
      </c>
      <c r="D8" s="56">
        <v>60386.0</v>
      </c>
      <c r="E8" s="57" t="s">
        <v>842</v>
      </c>
      <c r="F8" s="21"/>
      <c r="G8" s="21"/>
      <c r="H8" s="21"/>
      <c r="I8" s="22">
        <v>2650.0</v>
      </c>
      <c r="J8" s="21"/>
      <c r="K8" s="21"/>
      <c r="L8" s="21"/>
      <c r="M8" s="21"/>
      <c r="N8" s="21"/>
      <c r="O8" s="21"/>
      <c r="P8" s="58">
        <v>2650.0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45332.0</v>
      </c>
      <c r="C9" s="55" t="s">
        <v>843</v>
      </c>
      <c r="D9" s="56">
        <v>81520.0</v>
      </c>
      <c r="E9" s="57" t="s">
        <v>844</v>
      </c>
      <c r="F9" s="21"/>
      <c r="G9" s="21"/>
      <c r="H9" s="21"/>
      <c r="I9" s="22">
        <v>7300.0</v>
      </c>
      <c r="J9" s="21"/>
      <c r="K9" s="21"/>
      <c r="L9" s="21"/>
      <c r="M9" s="21"/>
      <c r="N9" s="21"/>
      <c r="O9" s="21"/>
      <c r="P9" s="58">
        <v>7300.0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45332.0</v>
      </c>
      <c r="C10" s="55" t="s">
        <v>845</v>
      </c>
      <c r="D10" s="56">
        <v>55448.0</v>
      </c>
      <c r="E10" s="57" t="s">
        <v>698</v>
      </c>
      <c r="F10" s="21"/>
      <c r="G10" s="21"/>
      <c r="H10" s="21"/>
      <c r="I10" s="22"/>
      <c r="J10" s="21"/>
      <c r="K10" s="21"/>
      <c r="L10" s="21"/>
      <c r="M10" s="21">
        <v>2500.0</v>
      </c>
      <c r="N10" s="21"/>
      <c r="O10" s="21"/>
      <c r="P10" s="58">
        <v>2500.0</v>
      </c>
      <c r="Q10" s="24">
        <f t="shared" si="1"/>
        <v>0</v>
      </c>
      <c r="R10" s="59" t="s">
        <v>24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45332.0</v>
      </c>
      <c r="C11" s="55" t="s">
        <v>846</v>
      </c>
      <c r="D11" s="56">
        <v>81521.0</v>
      </c>
      <c r="E11" s="57" t="s">
        <v>847</v>
      </c>
      <c r="F11" s="21"/>
      <c r="G11" s="21"/>
      <c r="H11" s="21"/>
      <c r="I11" s="22"/>
      <c r="J11" s="21"/>
      <c r="K11" s="21"/>
      <c r="L11" s="21"/>
      <c r="M11" s="21">
        <v>7000.0</v>
      </c>
      <c r="N11" s="21"/>
      <c r="O11" s="21"/>
      <c r="P11" s="58">
        <v>7000.0</v>
      </c>
      <c r="Q11" s="24">
        <f t="shared" si="1"/>
        <v>0</v>
      </c>
      <c r="R11" s="59" t="s">
        <v>24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45332.0</v>
      </c>
      <c r="C12" s="55" t="s">
        <v>848</v>
      </c>
      <c r="D12" s="56">
        <v>68124.0</v>
      </c>
      <c r="E12" s="57" t="s">
        <v>849</v>
      </c>
      <c r="F12" s="21"/>
      <c r="G12" s="21"/>
      <c r="H12" s="21"/>
      <c r="I12" s="22">
        <v>3070.0</v>
      </c>
      <c r="J12" s="21"/>
      <c r="K12" s="21"/>
      <c r="L12" s="21"/>
      <c r="M12" s="21"/>
      <c r="N12" s="21"/>
      <c r="O12" s="21"/>
      <c r="P12" s="58">
        <v>3070.0</v>
      </c>
      <c r="Q12" s="24">
        <f t="shared" si="1"/>
        <v>0</v>
      </c>
      <c r="R12" s="59" t="s">
        <v>66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45332.0</v>
      </c>
      <c r="C13" s="55" t="s">
        <v>850</v>
      </c>
      <c r="D13" s="56">
        <v>81270.0</v>
      </c>
      <c r="E13" s="57" t="s">
        <v>851</v>
      </c>
      <c r="F13" s="21"/>
      <c r="G13" s="21"/>
      <c r="H13" s="21"/>
      <c r="I13" s="22"/>
      <c r="J13" s="21"/>
      <c r="K13" s="21"/>
      <c r="L13" s="21"/>
      <c r="M13" s="21">
        <v>1500.0</v>
      </c>
      <c r="N13" s="21"/>
      <c r="O13" s="21"/>
      <c r="P13" s="58">
        <v>1500.0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45332.0</v>
      </c>
      <c r="C14" s="55" t="s">
        <v>852</v>
      </c>
      <c r="D14" s="56">
        <v>52247.0</v>
      </c>
      <c r="E14" s="57" t="s">
        <v>299</v>
      </c>
      <c r="F14" s="21"/>
      <c r="G14" s="21"/>
      <c r="H14" s="21"/>
      <c r="I14" s="22">
        <v>25000.0</v>
      </c>
      <c r="J14" s="21"/>
      <c r="K14" s="21"/>
      <c r="L14" s="21"/>
      <c r="M14" s="21"/>
      <c r="N14" s="21"/>
      <c r="O14" s="21"/>
      <c r="P14" s="58">
        <v>25000.0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45332.0</v>
      </c>
      <c r="C15" s="55" t="s">
        <v>853</v>
      </c>
      <c r="D15" s="56">
        <v>52247.0</v>
      </c>
      <c r="E15" s="57" t="s">
        <v>299</v>
      </c>
      <c r="F15" s="21"/>
      <c r="G15" s="21"/>
      <c r="H15" s="21"/>
      <c r="I15" s="22">
        <v>25000.0</v>
      </c>
      <c r="J15" s="21"/>
      <c r="K15" s="21"/>
      <c r="L15" s="21"/>
      <c r="M15" s="21"/>
      <c r="N15" s="21"/>
      <c r="O15" s="21"/>
      <c r="P15" s="58">
        <v>25000.0</v>
      </c>
      <c r="Q15" s="24">
        <f t="shared" si="1"/>
        <v>0</v>
      </c>
      <c r="R15" s="59" t="s">
        <v>85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45332.0</v>
      </c>
      <c r="C16" s="55" t="s">
        <v>854</v>
      </c>
      <c r="D16" s="56">
        <v>43018.0</v>
      </c>
      <c r="E16" s="57" t="s">
        <v>855</v>
      </c>
      <c r="F16" s="21"/>
      <c r="G16" s="21"/>
      <c r="H16" s="21"/>
      <c r="I16" s="22">
        <v>8000.0</v>
      </c>
      <c r="J16" s="21"/>
      <c r="K16" s="21"/>
      <c r="L16" s="21"/>
      <c r="M16" s="21"/>
      <c r="N16" s="21"/>
      <c r="O16" s="21"/>
      <c r="P16" s="58">
        <v>8000.0</v>
      </c>
      <c r="Q16" s="24">
        <f t="shared" si="1"/>
        <v>0</v>
      </c>
      <c r="R16" s="59" t="s">
        <v>66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45332.0</v>
      </c>
      <c r="C17" s="55" t="s">
        <v>856</v>
      </c>
      <c r="D17" s="56">
        <v>43018.0</v>
      </c>
      <c r="E17" s="57" t="s">
        <v>855</v>
      </c>
      <c r="F17" s="21"/>
      <c r="G17" s="21"/>
      <c r="H17" s="21"/>
      <c r="I17" s="21">
        <v>8000.0</v>
      </c>
      <c r="J17" s="21"/>
      <c r="K17" s="21"/>
      <c r="L17" s="21"/>
      <c r="M17" s="21"/>
      <c r="N17" s="21"/>
      <c r="O17" s="21"/>
      <c r="P17" s="58">
        <v>8000.0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45332.0</v>
      </c>
      <c r="C18" s="55" t="s">
        <v>857</v>
      </c>
      <c r="D18" s="56">
        <v>45227.0</v>
      </c>
      <c r="E18" s="57" t="s">
        <v>181</v>
      </c>
      <c r="F18" s="21"/>
      <c r="G18" s="21"/>
      <c r="H18" s="21"/>
      <c r="I18" s="21">
        <v>350.0</v>
      </c>
      <c r="J18" s="21"/>
      <c r="K18" s="21"/>
      <c r="L18" s="21"/>
      <c r="M18" s="21"/>
      <c r="N18" s="21"/>
      <c r="O18" s="21"/>
      <c r="P18" s="58">
        <v>350.0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45332.0</v>
      </c>
      <c r="C19" s="55" t="s">
        <v>858</v>
      </c>
      <c r="D19" s="56">
        <v>54816.0</v>
      </c>
      <c r="E19" s="57" t="s">
        <v>859</v>
      </c>
      <c r="F19" s="21"/>
      <c r="G19" s="21"/>
      <c r="H19" s="21"/>
      <c r="I19" s="21"/>
      <c r="J19" s="21">
        <v>4000.0</v>
      </c>
      <c r="K19" s="21"/>
      <c r="L19" s="21"/>
      <c r="M19" s="21"/>
      <c r="N19" s="21"/>
      <c r="O19" s="21"/>
      <c r="P19" s="58">
        <v>4000.0</v>
      </c>
      <c r="Q19" s="24">
        <f t="shared" si="1"/>
        <v>0</v>
      </c>
      <c r="R19" s="59" t="s">
        <v>24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45332.0</v>
      </c>
      <c r="C20" s="55" t="s">
        <v>860</v>
      </c>
      <c r="D20" s="56">
        <v>29621.0</v>
      </c>
      <c r="E20" s="57" t="s">
        <v>655</v>
      </c>
      <c r="F20" s="21"/>
      <c r="G20" s="21"/>
      <c r="H20" s="21"/>
      <c r="I20" s="21"/>
      <c r="J20" s="21">
        <v>15100.0</v>
      </c>
      <c r="K20" s="21"/>
      <c r="L20" s="21"/>
      <c r="M20" s="21"/>
      <c r="N20" s="21"/>
      <c r="O20" s="21"/>
      <c r="P20" s="58">
        <v>15100.0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45332.0</v>
      </c>
      <c r="C21" s="55" t="s">
        <v>861</v>
      </c>
      <c r="D21" s="56">
        <v>58152.0</v>
      </c>
      <c r="E21" s="57" t="s">
        <v>840</v>
      </c>
      <c r="F21" s="21"/>
      <c r="G21" s="21"/>
      <c r="H21" s="21"/>
      <c r="I21" s="21">
        <v>200.0</v>
      </c>
      <c r="J21" s="21"/>
      <c r="K21" s="21"/>
      <c r="L21" s="21"/>
      <c r="M21" s="21"/>
      <c r="N21" s="21"/>
      <c r="O21" s="21"/>
      <c r="P21" s="58">
        <v>200.0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45332.0</v>
      </c>
      <c r="C22" s="55" t="s">
        <v>862</v>
      </c>
      <c r="D22" s="56">
        <v>10249.0</v>
      </c>
      <c r="E22" s="57" t="s">
        <v>863</v>
      </c>
      <c r="F22" s="21"/>
      <c r="G22" s="21"/>
      <c r="H22" s="21"/>
      <c r="I22" s="21"/>
      <c r="J22" s="21">
        <v>3490.0</v>
      </c>
      <c r="K22" s="21"/>
      <c r="L22" s="21"/>
      <c r="M22" s="21"/>
      <c r="N22" s="21"/>
      <c r="O22" s="21"/>
      <c r="P22" s="58">
        <v>3490.0</v>
      </c>
      <c r="Q22" s="24">
        <f t="shared" si="1"/>
        <v>0</v>
      </c>
      <c r="R22" s="59" t="s">
        <v>85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45332.0</v>
      </c>
      <c r="C23" s="56" t="s">
        <v>864</v>
      </c>
      <c r="D23" s="56">
        <v>81432.0</v>
      </c>
      <c r="E23" s="57" t="s">
        <v>379</v>
      </c>
      <c r="F23" s="30"/>
      <c r="G23" s="30"/>
      <c r="H23" s="68"/>
      <c r="I23" s="68">
        <v>7000.0</v>
      </c>
      <c r="J23" s="30"/>
      <c r="K23" s="30"/>
      <c r="L23" s="30"/>
      <c r="M23" s="30"/>
      <c r="N23" s="30"/>
      <c r="O23" s="30"/>
      <c r="P23" s="61">
        <v>7000.0</v>
      </c>
      <c r="Q23" s="24">
        <f t="shared" si="1"/>
        <v>0</v>
      </c>
      <c r="R23" s="57" t="s">
        <v>66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45332.0</v>
      </c>
      <c r="C24" s="56" t="s">
        <v>865</v>
      </c>
      <c r="D24" s="56">
        <v>54226.0</v>
      </c>
      <c r="E24" s="57" t="s">
        <v>487</v>
      </c>
      <c r="F24" s="30"/>
      <c r="G24" s="30"/>
      <c r="H24" s="30"/>
      <c r="I24" s="30">
        <v>15000.0</v>
      </c>
      <c r="J24" s="30"/>
      <c r="K24" s="30"/>
      <c r="L24" s="30"/>
      <c r="M24" s="30"/>
      <c r="N24" s="30"/>
      <c r="O24" s="30"/>
      <c r="P24" s="61">
        <v>15000.0</v>
      </c>
      <c r="Q24" s="24">
        <f t="shared" si="1"/>
        <v>0</v>
      </c>
      <c r="R24" s="57" t="s">
        <v>66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45332.0</v>
      </c>
      <c r="C25" s="56" t="s">
        <v>866</v>
      </c>
      <c r="D25" s="56">
        <v>81525.0</v>
      </c>
      <c r="E25" s="57" t="s">
        <v>867</v>
      </c>
      <c r="F25" s="30"/>
      <c r="G25" s="30"/>
      <c r="H25" s="30"/>
      <c r="I25" s="30">
        <v>7300.0</v>
      </c>
      <c r="J25" s="30"/>
      <c r="K25" s="30"/>
      <c r="L25" s="30"/>
      <c r="M25" s="30"/>
      <c r="N25" s="30"/>
      <c r="O25" s="30"/>
      <c r="P25" s="61">
        <v>7300.0</v>
      </c>
      <c r="Q25" s="24">
        <f t="shared" si="1"/>
        <v>0</v>
      </c>
      <c r="R25" s="57" t="s">
        <v>66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45332.0</v>
      </c>
      <c r="C26" s="56" t="s">
        <v>868</v>
      </c>
      <c r="D26" s="56">
        <v>43955.0</v>
      </c>
      <c r="E26" s="57" t="s">
        <v>759</v>
      </c>
      <c r="F26" s="30"/>
      <c r="G26" s="30"/>
      <c r="H26" s="30"/>
      <c r="I26" s="30">
        <v>400.0</v>
      </c>
      <c r="J26" s="30"/>
      <c r="K26" s="30"/>
      <c r="L26" s="30"/>
      <c r="M26" s="30"/>
      <c r="N26" s="30"/>
      <c r="O26" s="30"/>
      <c r="P26" s="61">
        <v>400.0</v>
      </c>
      <c r="Q26" s="24">
        <f t="shared" si="1"/>
        <v>0</v>
      </c>
      <c r="R26" s="57" t="s">
        <v>66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45332.0</v>
      </c>
      <c r="C27" s="56" t="s">
        <v>869</v>
      </c>
      <c r="D27" s="56">
        <v>39317.0</v>
      </c>
      <c r="E27" s="57" t="s">
        <v>99</v>
      </c>
      <c r="F27" s="30"/>
      <c r="G27" s="30"/>
      <c r="H27" s="30"/>
      <c r="I27" s="30"/>
      <c r="J27" s="30">
        <v>640.0</v>
      </c>
      <c r="K27" s="30">
        <v>800.0</v>
      </c>
      <c r="L27" s="30"/>
      <c r="M27" s="30"/>
      <c r="N27" s="30"/>
      <c r="O27" s="30"/>
      <c r="P27" s="61">
        <v>1440.0</v>
      </c>
      <c r="Q27" s="24">
        <f t="shared" si="1"/>
        <v>0</v>
      </c>
      <c r="R27" s="57" t="s">
        <v>85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45332.0</v>
      </c>
      <c r="C28" s="56" t="s">
        <v>870</v>
      </c>
      <c r="D28" s="56">
        <v>80961.0</v>
      </c>
      <c r="E28" s="57" t="s">
        <v>662</v>
      </c>
      <c r="F28" s="30"/>
      <c r="G28" s="30"/>
      <c r="H28" s="30"/>
      <c r="I28" s="30">
        <v>300.0</v>
      </c>
      <c r="J28" s="30"/>
      <c r="K28" s="30"/>
      <c r="L28" s="30"/>
      <c r="M28" s="30"/>
      <c r="N28" s="30"/>
      <c r="O28" s="30"/>
      <c r="P28" s="61">
        <v>300.0</v>
      </c>
      <c r="Q28" s="24">
        <f t="shared" si="1"/>
        <v>0</v>
      </c>
      <c r="R28" s="57" t="s">
        <v>85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45332.0</v>
      </c>
      <c r="C29" s="56" t="s">
        <v>871</v>
      </c>
      <c r="D29" s="56">
        <v>69602.0</v>
      </c>
      <c r="E29" s="57" t="s">
        <v>872</v>
      </c>
      <c r="F29" s="30"/>
      <c r="G29" s="30"/>
      <c r="H29" s="30"/>
      <c r="I29" s="30">
        <v>3550.0</v>
      </c>
      <c r="J29" s="30"/>
      <c r="K29" s="30"/>
      <c r="L29" s="30"/>
      <c r="M29" s="30"/>
      <c r="N29" s="30"/>
      <c r="O29" s="30"/>
      <c r="P29" s="61">
        <v>3550.0</v>
      </c>
      <c r="Q29" s="24">
        <f t="shared" si="1"/>
        <v>0</v>
      </c>
      <c r="R29" s="57" t="s">
        <v>85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45332.0</v>
      </c>
      <c r="C30" s="56" t="s">
        <v>873</v>
      </c>
      <c r="D30" s="56">
        <v>35227.0</v>
      </c>
      <c r="E30" s="57" t="s">
        <v>208</v>
      </c>
      <c r="F30" s="30"/>
      <c r="G30" s="30">
        <v>7580.0</v>
      </c>
      <c r="H30" s="30"/>
      <c r="I30" s="30">
        <v>1170.0</v>
      </c>
      <c r="J30" s="30"/>
      <c r="K30" s="30"/>
      <c r="L30" s="30"/>
      <c r="M30" s="30"/>
      <c r="N30" s="30"/>
      <c r="O30" s="30"/>
      <c r="P30" s="61">
        <v>8750.0</v>
      </c>
      <c r="Q30" s="24">
        <f t="shared" si="1"/>
        <v>0</v>
      </c>
      <c r="R30" s="57" t="s">
        <v>66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45332.0</v>
      </c>
      <c r="C31" s="56" t="s">
        <v>874</v>
      </c>
      <c r="D31" s="56">
        <v>10281.0</v>
      </c>
      <c r="E31" s="57" t="s">
        <v>875</v>
      </c>
      <c r="F31" s="30"/>
      <c r="G31" s="30"/>
      <c r="H31" s="30"/>
      <c r="I31" s="30">
        <v>7300.0</v>
      </c>
      <c r="J31" s="30"/>
      <c r="K31" s="30"/>
      <c r="L31" s="30"/>
      <c r="M31" s="30">
        <v>2200.0</v>
      </c>
      <c r="N31" s="30"/>
      <c r="O31" s="30"/>
      <c r="P31" s="61">
        <v>9500.0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45331.0</v>
      </c>
      <c r="C32" s="56" t="s">
        <v>876</v>
      </c>
      <c r="D32" s="56">
        <v>81179.0</v>
      </c>
      <c r="E32" s="57" t="s">
        <v>877</v>
      </c>
      <c r="F32" s="30"/>
      <c r="G32" s="30"/>
      <c r="H32" s="30"/>
      <c r="I32" s="30"/>
      <c r="J32" s="30"/>
      <c r="K32" s="30"/>
      <c r="L32" s="30"/>
      <c r="M32" s="30">
        <v>2300.0</v>
      </c>
      <c r="N32" s="30"/>
      <c r="O32" s="30"/>
      <c r="P32" s="61">
        <v>2300.0</v>
      </c>
      <c r="Q32" s="24">
        <f t="shared" si="1"/>
        <v>0</v>
      </c>
      <c r="R32" s="57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45332.0</v>
      </c>
      <c r="C33" s="56" t="s">
        <v>878</v>
      </c>
      <c r="D33" s="56">
        <v>37642.0</v>
      </c>
      <c r="E33" s="57" t="s">
        <v>512</v>
      </c>
      <c r="F33" s="30"/>
      <c r="G33" s="30"/>
      <c r="H33" s="30">
        <v>20000.0</v>
      </c>
      <c r="I33" s="30"/>
      <c r="J33" s="30"/>
      <c r="K33" s="30"/>
      <c r="L33" s="30"/>
      <c r="M33" s="30"/>
      <c r="N33" s="30"/>
      <c r="O33" s="30"/>
      <c r="P33" s="61">
        <v>20000.0</v>
      </c>
      <c r="Q33" s="24">
        <f t="shared" si="1"/>
        <v>0</v>
      </c>
      <c r="R33" s="57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45332.0</v>
      </c>
      <c r="C34" s="56" t="s">
        <v>879</v>
      </c>
      <c r="D34" s="56">
        <v>55555.0</v>
      </c>
      <c r="E34" s="57" t="s">
        <v>706</v>
      </c>
      <c r="F34" s="30"/>
      <c r="G34" s="30"/>
      <c r="H34" s="30"/>
      <c r="I34" s="30"/>
      <c r="J34" s="30"/>
      <c r="K34" s="30"/>
      <c r="L34" s="30"/>
      <c r="M34" s="30"/>
      <c r="N34" s="30"/>
      <c r="O34" s="30">
        <v>4800.0</v>
      </c>
      <c r="P34" s="61">
        <v>4800.0</v>
      </c>
      <c r="Q34" s="24">
        <f t="shared" si="1"/>
        <v>0</v>
      </c>
      <c r="R34" s="57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/>
      <c r="B35" s="60"/>
      <c r="C35" s="56"/>
      <c r="D35" s="56"/>
      <c r="E35" s="57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61"/>
      <c r="Q35" s="24">
        <f t="shared" si="1"/>
        <v>0</v>
      </c>
      <c r="R35" s="57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/>
      <c r="B36" s="27"/>
      <c r="C36" s="28"/>
      <c r="D36" s="29"/>
      <c r="E36" s="28"/>
      <c r="F36" s="30">
        <f t="shared" ref="F36:P36" si="2">SUM(F5:F35)</f>
        <v>0</v>
      </c>
      <c r="G36" s="30">
        <f t="shared" si="2"/>
        <v>7580</v>
      </c>
      <c r="H36" s="30">
        <f t="shared" si="2"/>
        <v>20000</v>
      </c>
      <c r="I36" s="30">
        <f t="shared" si="2"/>
        <v>144640</v>
      </c>
      <c r="J36" s="30">
        <f t="shared" si="2"/>
        <v>23230</v>
      </c>
      <c r="K36" s="30">
        <f t="shared" si="2"/>
        <v>800</v>
      </c>
      <c r="L36" s="30">
        <f t="shared" si="2"/>
        <v>0</v>
      </c>
      <c r="M36" s="30">
        <f t="shared" si="2"/>
        <v>15500</v>
      </c>
      <c r="N36" s="30">
        <f t="shared" si="2"/>
        <v>0</v>
      </c>
      <c r="O36" s="30">
        <f t="shared" si="2"/>
        <v>4800</v>
      </c>
      <c r="P36" s="68">
        <f t="shared" si="2"/>
        <v>216550</v>
      </c>
      <c r="Q36" s="24">
        <f t="shared" si="1"/>
        <v>0</v>
      </c>
      <c r="R36" s="67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6.0" customHeight="1">
      <c r="A37" s="35"/>
      <c r="B37" s="35"/>
      <c r="C37" s="35"/>
      <c r="D37" s="35"/>
      <c r="E37" s="35"/>
      <c r="F37" s="36">
        <f>F36+G36+H36+I36+J36+K36+L36+M36+N36+O36</f>
        <v>216550</v>
      </c>
      <c r="P37" s="36"/>
      <c r="Q37" s="36"/>
      <c r="R37" s="35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37" t="s">
        <v>242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38" t="s">
        <v>243</v>
      </c>
      <c r="F41" s="39" t="s">
        <v>359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38" t="s">
        <v>245</v>
      </c>
      <c r="F42" s="39" t="s">
        <v>359</v>
      </c>
      <c r="G42" s="4"/>
      <c r="H42" s="4"/>
      <c r="I42" s="4"/>
      <c r="J42" s="4"/>
      <c r="K42" s="4"/>
      <c r="L42" s="4"/>
      <c r="M42" s="4"/>
      <c r="N42" s="4"/>
      <c r="O42" s="4" t="s">
        <v>242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38" t="s">
        <v>246</v>
      </c>
      <c r="F43" s="39" t="s">
        <v>880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38" t="s">
        <v>247</v>
      </c>
      <c r="F44" s="39" t="s">
        <v>880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38" t="s">
        <v>248</v>
      </c>
      <c r="F45" s="39" t="s">
        <v>834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7.0" customHeight="1">
      <c r="A46" s="4"/>
      <c r="B46" s="4"/>
      <c r="C46" s="4"/>
      <c r="D46" s="4"/>
      <c r="E46" s="38" t="s">
        <v>881</v>
      </c>
      <c r="F46" s="39" t="s">
        <v>834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0.0" customHeight="1">
      <c r="A47" s="4"/>
      <c r="B47" s="4"/>
      <c r="C47" s="4"/>
      <c r="D47" s="4"/>
      <c r="E47" s="40" t="s">
        <v>250</v>
      </c>
      <c r="F47" s="39" t="s">
        <v>880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252</v>
      </c>
      <c r="F48" s="39" t="s">
        <v>880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 t="s">
        <v>242</v>
      </c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 t="s">
        <v>253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37:O3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13.13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882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45333.0</v>
      </c>
      <c r="C5" s="55" t="s">
        <v>883</v>
      </c>
      <c r="D5" s="56">
        <v>22332.0</v>
      </c>
      <c r="E5" s="57" t="s">
        <v>404</v>
      </c>
      <c r="F5" s="21"/>
      <c r="G5" s="21"/>
      <c r="H5" s="21"/>
      <c r="I5" s="21"/>
      <c r="J5" s="22"/>
      <c r="K5" s="21"/>
      <c r="L5" s="21"/>
      <c r="M5" s="21">
        <v>10000.0</v>
      </c>
      <c r="N5" s="21"/>
      <c r="O5" s="21"/>
      <c r="P5" s="58">
        <v>10000.0</v>
      </c>
      <c r="Q5" s="24">
        <f t="shared" ref="Q5:Q49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45333.0</v>
      </c>
      <c r="C6" s="55" t="s">
        <v>884</v>
      </c>
      <c r="D6" s="56">
        <v>36787.0</v>
      </c>
      <c r="E6" s="57" t="s">
        <v>885</v>
      </c>
      <c r="F6" s="21"/>
      <c r="G6" s="21"/>
      <c r="H6" s="21"/>
      <c r="I6" s="22">
        <v>2650.0</v>
      </c>
      <c r="J6" s="21"/>
      <c r="K6" s="21"/>
      <c r="L6" s="21"/>
      <c r="M6" s="21"/>
      <c r="N6" s="21"/>
      <c r="O6" s="21"/>
      <c r="P6" s="58">
        <v>2650.0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45333.0</v>
      </c>
      <c r="C7" s="55" t="s">
        <v>886</v>
      </c>
      <c r="D7" s="56">
        <v>10250.0</v>
      </c>
      <c r="E7" s="57" t="s">
        <v>91</v>
      </c>
      <c r="F7" s="21"/>
      <c r="G7" s="21"/>
      <c r="H7" s="21"/>
      <c r="I7" s="22">
        <v>350.0</v>
      </c>
      <c r="J7" s="21"/>
      <c r="K7" s="21"/>
      <c r="L7" s="21"/>
      <c r="M7" s="21"/>
      <c r="N7" s="21"/>
      <c r="O7" s="21"/>
      <c r="P7" s="58">
        <v>350.0</v>
      </c>
      <c r="Q7" s="24">
        <f t="shared" si="1"/>
        <v>0</v>
      </c>
      <c r="R7" s="59" t="s">
        <v>30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45333.0</v>
      </c>
      <c r="C8" s="55" t="s">
        <v>887</v>
      </c>
      <c r="D8" s="56">
        <v>10250.0</v>
      </c>
      <c r="E8" s="57" t="s">
        <v>91</v>
      </c>
      <c r="F8" s="21"/>
      <c r="G8" s="21"/>
      <c r="H8" s="21"/>
      <c r="I8" s="22">
        <v>700.0</v>
      </c>
      <c r="J8" s="21"/>
      <c r="K8" s="21"/>
      <c r="L8" s="21"/>
      <c r="M8" s="21"/>
      <c r="N8" s="21"/>
      <c r="O8" s="21"/>
      <c r="P8" s="58">
        <v>700.0</v>
      </c>
      <c r="Q8" s="24">
        <f t="shared" si="1"/>
        <v>0</v>
      </c>
      <c r="R8" s="59" t="s">
        <v>85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45333.0</v>
      </c>
      <c r="C9" s="55" t="s">
        <v>888</v>
      </c>
      <c r="D9" s="56">
        <v>81539.0</v>
      </c>
      <c r="E9" s="57" t="s">
        <v>889</v>
      </c>
      <c r="F9" s="21"/>
      <c r="G9" s="21"/>
      <c r="H9" s="21"/>
      <c r="I9" s="22">
        <v>7500.0</v>
      </c>
      <c r="J9" s="21"/>
      <c r="K9" s="21"/>
      <c r="L9" s="21"/>
      <c r="M9" s="21"/>
      <c r="N9" s="21"/>
      <c r="O9" s="21"/>
      <c r="P9" s="58">
        <v>7500.0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45333.0</v>
      </c>
      <c r="C10" s="55" t="s">
        <v>890</v>
      </c>
      <c r="D10" s="56">
        <v>53283.0</v>
      </c>
      <c r="E10" s="57" t="s">
        <v>891</v>
      </c>
      <c r="F10" s="21"/>
      <c r="G10" s="21"/>
      <c r="H10" s="21"/>
      <c r="I10" s="22">
        <v>200.0</v>
      </c>
      <c r="J10" s="21"/>
      <c r="K10" s="21"/>
      <c r="L10" s="21"/>
      <c r="M10" s="21"/>
      <c r="N10" s="21"/>
      <c r="O10" s="21"/>
      <c r="P10" s="58">
        <v>200.0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45333.0</v>
      </c>
      <c r="C11" s="55" t="s">
        <v>892</v>
      </c>
      <c r="D11" s="56">
        <v>54317.0</v>
      </c>
      <c r="E11" s="57" t="s">
        <v>119</v>
      </c>
      <c r="F11" s="21"/>
      <c r="G11" s="21"/>
      <c r="H11" s="21"/>
      <c r="I11" s="22">
        <v>10000.0</v>
      </c>
      <c r="J11" s="21"/>
      <c r="K11" s="21"/>
      <c r="L11" s="21"/>
      <c r="M11" s="21"/>
      <c r="N11" s="21"/>
      <c r="O11" s="21"/>
      <c r="P11" s="58">
        <v>10000.0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45333.0</v>
      </c>
      <c r="C12" s="55" t="s">
        <v>893</v>
      </c>
      <c r="D12" s="56">
        <v>80288.0</v>
      </c>
      <c r="E12" s="57" t="s">
        <v>894</v>
      </c>
      <c r="F12" s="21"/>
      <c r="G12" s="21"/>
      <c r="H12" s="21"/>
      <c r="I12" s="22">
        <v>9500.0</v>
      </c>
      <c r="J12" s="21"/>
      <c r="K12" s="21"/>
      <c r="L12" s="21"/>
      <c r="M12" s="21"/>
      <c r="N12" s="21"/>
      <c r="O12" s="21"/>
      <c r="P12" s="58">
        <v>9500.0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45333.0</v>
      </c>
      <c r="C13" s="55" t="s">
        <v>895</v>
      </c>
      <c r="D13" s="56">
        <v>46778.0</v>
      </c>
      <c r="E13" s="57" t="s">
        <v>74</v>
      </c>
      <c r="F13" s="21"/>
      <c r="G13" s="21"/>
      <c r="H13" s="21"/>
      <c r="I13" s="22"/>
      <c r="J13" s="21">
        <v>3550.0</v>
      </c>
      <c r="K13" s="21"/>
      <c r="L13" s="21"/>
      <c r="M13" s="21"/>
      <c r="N13" s="21"/>
      <c r="O13" s="21"/>
      <c r="P13" s="58">
        <v>3550.0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45333.0</v>
      </c>
      <c r="C14" s="55" t="s">
        <v>896</v>
      </c>
      <c r="D14" s="56">
        <v>51939.0</v>
      </c>
      <c r="E14" s="57" t="s">
        <v>185</v>
      </c>
      <c r="F14" s="21"/>
      <c r="G14" s="21"/>
      <c r="H14" s="21"/>
      <c r="I14" s="22">
        <v>5700.0</v>
      </c>
      <c r="J14" s="21"/>
      <c r="K14" s="21"/>
      <c r="L14" s="21"/>
      <c r="M14" s="21"/>
      <c r="N14" s="21"/>
      <c r="O14" s="21"/>
      <c r="P14" s="58">
        <v>5700.0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45333.0</v>
      </c>
      <c r="C15" s="55" t="s">
        <v>897</v>
      </c>
      <c r="D15" s="56">
        <v>10281.0</v>
      </c>
      <c r="E15" s="57" t="s">
        <v>875</v>
      </c>
      <c r="F15" s="21"/>
      <c r="G15" s="21"/>
      <c r="H15" s="21"/>
      <c r="I15" s="22">
        <v>3825.0</v>
      </c>
      <c r="J15" s="21"/>
      <c r="K15" s="21"/>
      <c r="L15" s="21"/>
      <c r="M15" s="21"/>
      <c r="N15" s="21"/>
      <c r="O15" s="21"/>
      <c r="P15" s="58">
        <v>3825.0</v>
      </c>
      <c r="Q15" s="24">
        <f t="shared" si="1"/>
        <v>0</v>
      </c>
      <c r="R15" s="59" t="s">
        <v>85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45333.0</v>
      </c>
      <c r="C16" s="55" t="s">
        <v>898</v>
      </c>
      <c r="D16" s="56">
        <v>66838.0</v>
      </c>
      <c r="E16" s="57" t="s">
        <v>687</v>
      </c>
      <c r="F16" s="21"/>
      <c r="G16" s="21"/>
      <c r="H16" s="21">
        <v>65000.0</v>
      </c>
      <c r="I16" s="22"/>
      <c r="J16" s="21"/>
      <c r="K16" s="21"/>
      <c r="L16" s="21"/>
      <c r="M16" s="21"/>
      <c r="N16" s="21"/>
      <c r="O16" s="21"/>
      <c r="P16" s="58">
        <v>65000.0</v>
      </c>
      <c r="Q16" s="24">
        <f t="shared" si="1"/>
        <v>0</v>
      </c>
      <c r="R16" s="59" t="s">
        <v>85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45333.0</v>
      </c>
      <c r="C17" s="55" t="s">
        <v>899</v>
      </c>
      <c r="D17" s="56">
        <v>43112.0</v>
      </c>
      <c r="E17" s="57" t="s">
        <v>900</v>
      </c>
      <c r="F17" s="21"/>
      <c r="G17" s="21"/>
      <c r="H17" s="21"/>
      <c r="I17" s="21"/>
      <c r="J17" s="21">
        <v>2650.0</v>
      </c>
      <c r="K17" s="21"/>
      <c r="L17" s="21"/>
      <c r="M17" s="21"/>
      <c r="N17" s="21"/>
      <c r="O17" s="21"/>
      <c r="P17" s="58">
        <v>2650.0</v>
      </c>
      <c r="Q17" s="24">
        <f t="shared" si="1"/>
        <v>0</v>
      </c>
      <c r="R17" s="59" t="s">
        <v>56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45333.0</v>
      </c>
      <c r="C18" s="55" t="s">
        <v>901</v>
      </c>
      <c r="D18" s="56">
        <v>10008.0</v>
      </c>
      <c r="E18" s="57" t="s">
        <v>902</v>
      </c>
      <c r="F18" s="21"/>
      <c r="G18" s="21">
        <v>5400.0</v>
      </c>
      <c r="H18" s="21"/>
      <c r="I18" s="21"/>
      <c r="J18" s="21"/>
      <c r="K18" s="21"/>
      <c r="L18" s="21"/>
      <c r="M18" s="21"/>
      <c r="N18" s="21"/>
      <c r="O18" s="21"/>
      <c r="P18" s="58">
        <v>5400.0</v>
      </c>
      <c r="Q18" s="24">
        <f t="shared" si="1"/>
        <v>0</v>
      </c>
      <c r="R18" s="59" t="s">
        <v>85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45333.0</v>
      </c>
      <c r="C19" s="55" t="s">
        <v>903</v>
      </c>
      <c r="D19" s="56">
        <v>48192.0</v>
      </c>
      <c r="E19" s="57" t="s">
        <v>132</v>
      </c>
      <c r="F19" s="21"/>
      <c r="G19" s="21"/>
      <c r="H19" s="21"/>
      <c r="I19" s="21"/>
      <c r="J19" s="21"/>
      <c r="K19" s="21"/>
      <c r="L19" s="21"/>
      <c r="M19" s="21">
        <v>5150.0</v>
      </c>
      <c r="N19" s="21"/>
      <c r="O19" s="21"/>
      <c r="P19" s="58">
        <v>5150.0</v>
      </c>
      <c r="Q19" s="24">
        <f t="shared" si="1"/>
        <v>0</v>
      </c>
      <c r="R19" s="59" t="s">
        <v>27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45333.0</v>
      </c>
      <c r="C20" s="55" t="s">
        <v>904</v>
      </c>
      <c r="D20" s="56">
        <v>48052.0</v>
      </c>
      <c r="E20" s="57" t="s">
        <v>65</v>
      </c>
      <c r="F20" s="21"/>
      <c r="G20" s="21"/>
      <c r="H20" s="21"/>
      <c r="I20" s="21">
        <v>450.0</v>
      </c>
      <c r="J20" s="21"/>
      <c r="K20" s="21"/>
      <c r="L20" s="21"/>
      <c r="M20" s="21"/>
      <c r="N20" s="21"/>
      <c r="O20" s="21"/>
      <c r="P20" s="58">
        <v>450.0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45333.0</v>
      </c>
      <c r="C21" s="55" t="s">
        <v>905</v>
      </c>
      <c r="D21" s="56">
        <v>75324.0</v>
      </c>
      <c r="E21" s="57" t="s">
        <v>906</v>
      </c>
      <c r="F21" s="21">
        <v>1200.0</v>
      </c>
      <c r="G21" s="21"/>
      <c r="H21" s="21"/>
      <c r="I21" s="21">
        <v>1200.0</v>
      </c>
      <c r="J21" s="21"/>
      <c r="K21" s="21"/>
      <c r="L21" s="21"/>
      <c r="M21" s="21"/>
      <c r="N21" s="21"/>
      <c r="O21" s="21"/>
      <c r="P21" s="58">
        <v>2400.0</v>
      </c>
      <c r="Q21" s="24">
        <f t="shared" si="1"/>
        <v>0</v>
      </c>
      <c r="R21" s="59" t="s">
        <v>85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45333.0</v>
      </c>
      <c r="C22" s="55" t="s">
        <v>907</v>
      </c>
      <c r="D22" s="56">
        <v>10291.0</v>
      </c>
      <c r="E22" s="57" t="s">
        <v>908</v>
      </c>
      <c r="F22" s="21">
        <v>5000.0</v>
      </c>
      <c r="G22" s="21"/>
      <c r="H22" s="21"/>
      <c r="I22" s="21"/>
      <c r="J22" s="21"/>
      <c r="K22" s="21"/>
      <c r="L22" s="21"/>
      <c r="M22" s="21"/>
      <c r="N22" s="21"/>
      <c r="O22" s="21"/>
      <c r="P22" s="58">
        <v>5000.0</v>
      </c>
      <c r="Q22" s="24">
        <f t="shared" si="1"/>
        <v>0</v>
      </c>
      <c r="R22" s="59" t="s">
        <v>85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45333.0</v>
      </c>
      <c r="C23" s="56" t="s">
        <v>909</v>
      </c>
      <c r="D23" s="56">
        <v>64857.0</v>
      </c>
      <c r="E23" s="57" t="s">
        <v>910</v>
      </c>
      <c r="F23" s="30"/>
      <c r="G23" s="30"/>
      <c r="H23" s="68"/>
      <c r="I23" s="68">
        <v>9500.0</v>
      </c>
      <c r="J23" s="30"/>
      <c r="K23" s="30"/>
      <c r="L23" s="30"/>
      <c r="M23" s="30"/>
      <c r="N23" s="30"/>
      <c r="O23" s="30"/>
      <c r="P23" s="61">
        <v>9500.0</v>
      </c>
      <c r="Q23" s="24">
        <f t="shared" si="1"/>
        <v>0</v>
      </c>
      <c r="R23" s="57" t="s">
        <v>27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45333.0</v>
      </c>
      <c r="C24" s="56" t="s">
        <v>911</v>
      </c>
      <c r="D24" s="56">
        <v>46849.0</v>
      </c>
      <c r="E24" s="57" t="s">
        <v>912</v>
      </c>
      <c r="F24" s="30"/>
      <c r="G24" s="30"/>
      <c r="H24" s="30"/>
      <c r="I24" s="30">
        <v>1600.0</v>
      </c>
      <c r="J24" s="30"/>
      <c r="K24" s="30"/>
      <c r="L24" s="30"/>
      <c r="M24" s="30"/>
      <c r="N24" s="30"/>
      <c r="O24" s="30"/>
      <c r="P24" s="61">
        <v>1600.0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45333.0</v>
      </c>
      <c r="C25" s="56" t="s">
        <v>913</v>
      </c>
      <c r="D25" s="56">
        <v>39317.0</v>
      </c>
      <c r="E25" s="57" t="s">
        <v>99</v>
      </c>
      <c r="F25" s="30"/>
      <c r="G25" s="30"/>
      <c r="H25" s="30"/>
      <c r="I25" s="30"/>
      <c r="J25" s="30">
        <v>2850.0</v>
      </c>
      <c r="K25" s="30"/>
      <c r="L25" s="30"/>
      <c r="M25" s="30"/>
      <c r="N25" s="30"/>
      <c r="O25" s="30"/>
      <c r="P25" s="61">
        <v>2850.0</v>
      </c>
      <c r="Q25" s="24">
        <f t="shared" si="1"/>
        <v>0</v>
      </c>
      <c r="R25" s="57" t="s">
        <v>85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45333.0</v>
      </c>
      <c r="C26" s="56" t="s">
        <v>914</v>
      </c>
      <c r="D26" s="56">
        <v>10881.0</v>
      </c>
      <c r="E26" s="57" t="s">
        <v>915</v>
      </c>
      <c r="F26" s="30"/>
      <c r="G26" s="30"/>
      <c r="H26" s="30"/>
      <c r="I26" s="30"/>
      <c r="J26" s="30"/>
      <c r="K26" s="30"/>
      <c r="L26" s="30"/>
      <c r="M26" s="30">
        <v>3540.0</v>
      </c>
      <c r="N26" s="30"/>
      <c r="O26" s="30"/>
      <c r="P26" s="61">
        <v>3540.0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45332.0</v>
      </c>
      <c r="C27" s="56" t="s">
        <v>916</v>
      </c>
      <c r="D27" s="56">
        <v>21828.0</v>
      </c>
      <c r="E27" s="57" t="s">
        <v>217</v>
      </c>
      <c r="F27" s="30"/>
      <c r="G27" s="30"/>
      <c r="H27" s="30"/>
      <c r="I27" s="30"/>
      <c r="J27" s="30"/>
      <c r="K27" s="30"/>
      <c r="L27" s="30"/>
      <c r="M27" s="30"/>
      <c r="N27" s="30"/>
      <c r="O27" s="30">
        <v>2400.0</v>
      </c>
      <c r="P27" s="61">
        <v>2400.0</v>
      </c>
      <c r="Q27" s="24">
        <f t="shared" si="1"/>
        <v>0</v>
      </c>
      <c r="R27" s="57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45332.0</v>
      </c>
      <c r="C28" s="56" t="s">
        <v>917</v>
      </c>
      <c r="D28" s="56">
        <v>58257.0</v>
      </c>
      <c r="E28" s="57" t="s">
        <v>918</v>
      </c>
      <c r="F28" s="30"/>
      <c r="G28" s="30"/>
      <c r="H28" s="30"/>
      <c r="I28" s="30"/>
      <c r="J28" s="30"/>
      <c r="K28" s="30">
        <v>300.0</v>
      </c>
      <c r="L28" s="30"/>
      <c r="M28" s="30"/>
      <c r="N28" s="30"/>
      <c r="O28" s="30"/>
      <c r="P28" s="61">
        <v>300.0</v>
      </c>
      <c r="Q28" s="24">
        <f t="shared" si="1"/>
        <v>0</v>
      </c>
      <c r="R28" s="57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45332.0</v>
      </c>
      <c r="C29" s="56" t="s">
        <v>919</v>
      </c>
      <c r="D29" s="56">
        <v>81537.0</v>
      </c>
      <c r="E29" s="57" t="s">
        <v>920</v>
      </c>
      <c r="F29" s="30"/>
      <c r="G29" s="30"/>
      <c r="H29" s="30"/>
      <c r="I29" s="30"/>
      <c r="J29" s="30"/>
      <c r="K29" s="30">
        <v>7000.0</v>
      </c>
      <c r="L29" s="30"/>
      <c r="M29" s="30"/>
      <c r="N29" s="30"/>
      <c r="O29" s="30"/>
      <c r="P29" s="61">
        <v>7000.0</v>
      </c>
      <c r="Q29" s="24">
        <f t="shared" si="1"/>
        <v>0</v>
      </c>
      <c r="R29" s="57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45332.0</v>
      </c>
      <c r="C30" s="56" t="s">
        <v>921</v>
      </c>
      <c r="D30" s="56">
        <v>81538.0</v>
      </c>
      <c r="E30" s="57" t="s">
        <v>922</v>
      </c>
      <c r="F30" s="30"/>
      <c r="G30" s="30"/>
      <c r="H30" s="30"/>
      <c r="I30" s="30"/>
      <c r="J30" s="30"/>
      <c r="K30" s="30">
        <v>7000.0</v>
      </c>
      <c r="L30" s="30"/>
      <c r="M30" s="30"/>
      <c r="N30" s="30"/>
      <c r="O30" s="30"/>
      <c r="P30" s="61">
        <v>7000.0</v>
      </c>
      <c r="Q30" s="24">
        <f t="shared" si="1"/>
        <v>0</v>
      </c>
      <c r="R30" s="57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45332.0</v>
      </c>
      <c r="C31" s="56" t="s">
        <v>923</v>
      </c>
      <c r="D31" s="56">
        <v>81453.0</v>
      </c>
      <c r="E31" s="57" t="s">
        <v>924</v>
      </c>
      <c r="F31" s="30"/>
      <c r="G31" s="30"/>
      <c r="H31" s="30"/>
      <c r="I31" s="30"/>
      <c r="J31" s="30"/>
      <c r="K31" s="30">
        <v>7000.0</v>
      </c>
      <c r="L31" s="30"/>
      <c r="M31" s="30"/>
      <c r="N31" s="30"/>
      <c r="O31" s="30"/>
      <c r="P31" s="61">
        <v>7000.0</v>
      </c>
      <c r="Q31" s="24">
        <f t="shared" si="1"/>
        <v>0</v>
      </c>
      <c r="R31" s="57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45332.0</v>
      </c>
      <c r="C32" s="56" t="s">
        <v>925</v>
      </c>
      <c r="D32" s="56">
        <v>81454.0</v>
      </c>
      <c r="E32" s="57" t="s">
        <v>926</v>
      </c>
      <c r="F32" s="30"/>
      <c r="G32" s="30"/>
      <c r="H32" s="30"/>
      <c r="I32" s="30"/>
      <c r="J32" s="30"/>
      <c r="K32" s="30">
        <v>7000.0</v>
      </c>
      <c r="L32" s="30"/>
      <c r="M32" s="30"/>
      <c r="N32" s="30"/>
      <c r="O32" s="30"/>
      <c r="P32" s="61">
        <v>7000.0</v>
      </c>
      <c r="Q32" s="24">
        <f t="shared" si="1"/>
        <v>0</v>
      </c>
      <c r="R32" s="57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45332.0</v>
      </c>
      <c r="C33" s="56" t="s">
        <v>927</v>
      </c>
      <c r="D33" s="56">
        <v>81455.0</v>
      </c>
      <c r="E33" s="57" t="s">
        <v>928</v>
      </c>
      <c r="F33" s="30"/>
      <c r="G33" s="30"/>
      <c r="H33" s="30"/>
      <c r="I33" s="30"/>
      <c r="J33" s="30"/>
      <c r="K33" s="30">
        <v>7000.0</v>
      </c>
      <c r="L33" s="30"/>
      <c r="M33" s="30"/>
      <c r="N33" s="30"/>
      <c r="O33" s="30"/>
      <c r="P33" s="61">
        <v>7000.0</v>
      </c>
      <c r="Q33" s="24">
        <f t="shared" si="1"/>
        <v>0</v>
      </c>
      <c r="R33" s="57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45332.0</v>
      </c>
      <c r="C34" s="56" t="s">
        <v>929</v>
      </c>
      <c r="D34" s="56">
        <v>81456.0</v>
      </c>
      <c r="E34" s="57" t="s">
        <v>930</v>
      </c>
      <c r="F34" s="30"/>
      <c r="G34" s="30"/>
      <c r="H34" s="30"/>
      <c r="I34" s="30"/>
      <c r="J34" s="30"/>
      <c r="K34" s="30">
        <v>7000.0</v>
      </c>
      <c r="L34" s="30"/>
      <c r="M34" s="30"/>
      <c r="N34" s="30"/>
      <c r="O34" s="30"/>
      <c r="P34" s="61">
        <v>7000.0</v>
      </c>
      <c r="Q34" s="24">
        <f t="shared" si="1"/>
        <v>0</v>
      </c>
      <c r="R34" s="57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45332.0</v>
      </c>
      <c r="C35" s="56" t="s">
        <v>931</v>
      </c>
      <c r="D35" s="56">
        <v>81457.0</v>
      </c>
      <c r="E35" s="57" t="s">
        <v>932</v>
      </c>
      <c r="F35" s="30"/>
      <c r="G35" s="30"/>
      <c r="H35" s="30"/>
      <c r="I35" s="30"/>
      <c r="J35" s="30"/>
      <c r="K35" s="30">
        <v>7000.0</v>
      </c>
      <c r="L35" s="30"/>
      <c r="M35" s="30"/>
      <c r="N35" s="30"/>
      <c r="O35" s="30"/>
      <c r="P35" s="61">
        <v>7000.0</v>
      </c>
      <c r="Q35" s="24">
        <f t="shared" si="1"/>
        <v>0</v>
      </c>
      <c r="R35" s="57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45332.0</v>
      </c>
      <c r="C36" s="56" t="s">
        <v>933</v>
      </c>
      <c r="D36" s="56">
        <v>81458.0</v>
      </c>
      <c r="E36" s="57" t="s">
        <v>934</v>
      </c>
      <c r="F36" s="30"/>
      <c r="G36" s="30"/>
      <c r="H36" s="30"/>
      <c r="I36" s="30"/>
      <c r="J36" s="30"/>
      <c r="K36" s="30">
        <v>7000.0</v>
      </c>
      <c r="L36" s="30"/>
      <c r="M36" s="30"/>
      <c r="N36" s="30"/>
      <c r="O36" s="30"/>
      <c r="P36" s="61">
        <v>7000.0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45332.0</v>
      </c>
      <c r="C37" s="56" t="s">
        <v>935</v>
      </c>
      <c r="D37" s="56">
        <v>81459.0</v>
      </c>
      <c r="E37" s="57" t="s">
        <v>936</v>
      </c>
      <c r="F37" s="30"/>
      <c r="G37" s="30"/>
      <c r="H37" s="30"/>
      <c r="I37" s="30"/>
      <c r="J37" s="30"/>
      <c r="K37" s="30">
        <v>7000.0</v>
      </c>
      <c r="L37" s="30"/>
      <c r="M37" s="30"/>
      <c r="N37" s="30"/>
      <c r="O37" s="30"/>
      <c r="P37" s="61">
        <v>7000.0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45333.0</v>
      </c>
      <c r="C38" s="56" t="s">
        <v>937</v>
      </c>
      <c r="D38" s="56">
        <v>43380.0</v>
      </c>
      <c r="E38" s="57" t="s">
        <v>351</v>
      </c>
      <c r="F38" s="30"/>
      <c r="G38" s="30"/>
      <c r="H38" s="30">
        <v>2500.0</v>
      </c>
      <c r="I38" s="30"/>
      <c r="J38" s="30"/>
      <c r="K38" s="30"/>
      <c r="L38" s="30"/>
      <c r="M38" s="30"/>
      <c r="N38" s="30"/>
      <c r="O38" s="30"/>
      <c r="P38" s="61">
        <v>2500.0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45333.0</v>
      </c>
      <c r="C39" s="56" t="s">
        <v>938</v>
      </c>
      <c r="D39" s="56">
        <v>70017.0</v>
      </c>
      <c r="E39" s="57" t="s">
        <v>939</v>
      </c>
      <c r="F39" s="30"/>
      <c r="G39" s="30"/>
      <c r="H39" s="30"/>
      <c r="I39" s="30"/>
      <c r="J39" s="30"/>
      <c r="K39" s="30"/>
      <c r="L39" s="30"/>
      <c r="M39" s="30"/>
      <c r="N39" s="30"/>
      <c r="O39" s="30">
        <v>1200.0</v>
      </c>
      <c r="P39" s="61">
        <v>1200.0</v>
      </c>
      <c r="Q39" s="24">
        <f t="shared" si="1"/>
        <v>0</v>
      </c>
      <c r="R39" s="57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45333.0</v>
      </c>
      <c r="C40" s="56" t="s">
        <v>940</v>
      </c>
      <c r="D40" s="56">
        <v>22332.0</v>
      </c>
      <c r="E40" s="57" t="s">
        <v>404</v>
      </c>
      <c r="F40" s="30"/>
      <c r="G40" s="30"/>
      <c r="H40" s="30"/>
      <c r="I40" s="30"/>
      <c r="J40" s="30"/>
      <c r="K40" s="30">
        <v>290.0</v>
      </c>
      <c r="L40" s="30"/>
      <c r="M40" s="30"/>
      <c r="N40" s="30"/>
      <c r="O40" s="30">
        <v>1000.0</v>
      </c>
      <c r="P40" s="61">
        <v>1290.0</v>
      </c>
      <c r="Q40" s="24">
        <f t="shared" si="1"/>
        <v>0</v>
      </c>
      <c r="R40" s="57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45333.0</v>
      </c>
      <c r="C41" s="56" t="s">
        <v>941</v>
      </c>
      <c r="D41" s="56">
        <v>63890.0</v>
      </c>
      <c r="E41" s="57" t="s">
        <v>942</v>
      </c>
      <c r="F41" s="30"/>
      <c r="G41" s="30"/>
      <c r="H41" s="30"/>
      <c r="I41" s="30"/>
      <c r="J41" s="30"/>
      <c r="K41" s="30"/>
      <c r="L41" s="30"/>
      <c r="M41" s="30"/>
      <c r="N41" s="30"/>
      <c r="O41" s="30">
        <v>3600.0</v>
      </c>
      <c r="P41" s="61">
        <v>3600.0</v>
      </c>
      <c r="Q41" s="24">
        <f t="shared" si="1"/>
        <v>0</v>
      </c>
      <c r="R41" s="57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45333.0</v>
      </c>
      <c r="C42" s="56" t="s">
        <v>943</v>
      </c>
      <c r="D42" s="56">
        <v>80127.0</v>
      </c>
      <c r="E42" s="57" t="s">
        <v>944</v>
      </c>
      <c r="F42" s="30"/>
      <c r="G42" s="30"/>
      <c r="H42" s="30"/>
      <c r="I42" s="30"/>
      <c r="J42" s="30"/>
      <c r="K42" s="30"/>
      <c r="L42" s="30"/>
      <c r="M42" s="30">
        <v>3000.0</v>
      </c>
      <c r="N42" s="30"/>
      <c r="O42" s="30"/>
      <c r="P42" s="61">
        <v>3000.0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45333.0</v>
      </c>
      <c r="C43" s="56" t="s">
        <v>945</v>
      </c>
      <c r="D43" s="56">
        <v>10008.0</v>
      </c>
      <c r="E43" s="57" t="s">
        <v>902</v>
      </c>
      <c r="F43" s="30"/>
      <c r="G43" s="30"/>
      <c r="H43" s="30"/>
      <c r="I43" s="30"/>
      <c r="J43" s="30"/>
      <c r="K43" s="30"/>
      <c r="L43" s="30"/>
      <c r="M43" s="30"/>
      <c r="N43" s="30"/>
      <c r="O43" s="30">
        <v>7200.0</v>
      </c>
      <c r="P43" s="61">
        <v>7200.0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45333.0</v>
      </c>
      <c r="C44" s="56" t="s">
        <v>946</v>
      </c>
      <c r="D44" s="56">
        <v>10006.0</v>
      </c>
      <c r="E44" s="57" t="s">
        <v>619</v>
      </c>
      <c r="F44" s="30"/>
      <c r="G44" s="30"/>
      <c r="H44" s="30"/>
      <c r="I44" s="30"/>
      <c r="J44" s="30"/>
      <c r="K44" s="30"/>
      <c r="L44" s="30"/>
      <c r="M44" s="30"/>
      <c r="N44" s="30"/>
      <c r="O44" s="30">
        <v>4800.0</v>
      </c>
      <c r="P44" s="61">
        <v>4800.0</v>
      </c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45333.0</v>
      </c>
      <c r="C45" s="56" t="s">
        <v>947</v>
      </c>
      <c r="D45" s="56">
        <v>80330.0</v>
      </c>
      <c r="E45" s="57" t="s">
        <v>948</v>
      </c>
      <c r="F45" s="30"/>
      <c r="G45" s="30"/>
      <c r="H45" s="30"/>
      <c r="I45" s="30"/>
      <c r="J45" s="30"/>
      <c r="K45" s="30">
        <v>600.0</v>
      </c>
      <c r="L45" s="30"/>
      <c r="M45" s="30"/>
      <c r="N45" s="30"/>
      <c r="O45" s="30"/>
      <c r="P45" s="61">
        <v>600.0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45333.0</v>
      </c>
      <c r="C46" s="56" t="s">
        <v>949</v>
      </c>
      <c r="D46" s="56">
        <v>55969.0</v>
      </c>
      <c r="E46" s="57" t="s">
        <v>950</v>
      </c>
      <c r="F46" s="30"/>
      <c r="G46" s="30"/>
      <c r="H46" s="30"/>
      <c r="I46" s="30"/>
      <c r="J46" s="30"/>
      <c r="K46" s="30"/>
      <c r="L46" s="30"/>
      <c r="M46" s="30"/>
      <c r="N46" s="30"/>
      <c r="O46" s="30">
        <v>2400.0</v>
      </c>
      <c r="P46" s="61">
        <v>2400.0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45333.0</v>
      </c>
      <c r="C47" s="56" t="s">
        <v>951</v>
      </c>
      <c r="D47" s="56">
        <v>53249.0</v>
      </c>
      <c r="E47" s="57" t="s">
        <v>152</v>
      </c>
      <c r="F47" s="30"/>
      <c r="G47" s="30"/>
      <c r="H47" s="30"/>
      <c r="I47" s="30"/>
      <c r="J47" s="30"/>
      <c r="K47" s="30"/>
      <c r="L47" s="30"/>
      <c r="M47" s="30"/>
      <c r="N47" s="30"/>
      <c r="O47" s="30">
        <v>2400.0</v>
      </c>
      <c r="P47" s="61">
        <v>2400.0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45333.0</v>
      </c>
      <c r="C48" s="56" t="s">
        <v>952</v>
      </c>
      <c r="D48" s="56">
        <v>56330.0</v>
      </c>
      <c r="E48" s="57" t="s">
        <v>953</v>
      </c>
      <c r="F48" s="30"/>
      <c r="G48" s="30"/>
      <c r="H48" s="30"/>
      <c r="I48" s="30"/>
      <c r="J48" s="30"/>
      <c r="K48" s="30"/>
      <c r="L48" s="30"/>
      <c r="M48" s="30"/>
      <c r="N48" s="30"/>
      <c r="O48" s="30">
        <v>1200.0</v>
      </c>
      <c r="P48" s="61">
        <v>1200.0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/>
      <c r="B49" s="27"/>
      <c r="C49" s="28"/>
      <c r="D49" s="29"/>
      <c r="E49" s="28"/>
      <c r="F49" s="30">
        <f t="shared" ref="F49:P49" si="2">SUM(F5:F48)</f>
        <v>6200</v>
      </c>
      <c r="G49" s="30">
        <f t="shared" si="2"/>
        <v>5400</v>
      </c>
      <c r="H49" s="30">
        <f t="shared" si="2"/>
        <v>67500</v>
      </c>
      <c r="I49" s="30">
        <f t="shared" si="2"/>
        <v>53175</v>
      </c>
      <c r="J49" s="30">
        <f t="shared" si="2"/>
        <v>9050</v>
      </c>
      <c r="K49" s="30">
        <f t="shared" si="2"/>
        <v>64190</v>
      </c>
      <c r="L49" s="30">
        <f t="shared" si="2"/>
        <v>0</v>
      </c>
      <c r="M49" s="30">
        <f t="shared" si="2"/>
        <v>21690</v>
      </c>
      <c r="N49" s="30">
        <f t="shared" si="2"/>
        <v>0</v>
      </c>
      <c r="O49" s="30">
        <f t="shared" si="2"/>
        <v>26200</v>
      </c>
      <c r="P49" s="68">
        <f t="shared" si="2"/>
        <v>253405</v>
      </c>
      <c r="Q49" s="24">
        <f t="shared" si="1"/>
        <v>0</v>
      </c>
      <c r="R49" s="67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36.0" customHeight="1">
      <c r="A50" s="35"/>
      <c r="B50" s="35"/>
      <c r="C50" s="35"/>
      <c r="D50" s="35"/>
      <c r="E50" s="35"/>
      <c r="F50" s="36">
        <f>F49+G49+H49+I49+J49+K49+L49+M49+N49+O49</f>
        <v>253405</v>
      </c>
      <c r="P50" s="36"/>
      <c r="Q50" s="36"/>
      <c r="R50" s="35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37" t="s">
        <v>242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38" t="s">
        <v>243</v>
      </c>
      <c r="F54" s="39" t="s">
        <v>244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38" t="s">
        <v>245</v>
      </c>
      <c r="F55" s="39" t="s">
        <v>244</v>
      </c>
      <c r="G55" s="4"/>
      <c r="H55" s="4"/>
      <c r="I55" s="4"/>
      <c r="J55" s="4"/>
      <c r="K55" s="4"/>
      <c r="L55" s="4"/>
      <c r="M55" s="4"/>
      <c r="N55" s="4"/>
      <c r="O55" s="4" t="s">
        <v>242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246</v>
      </c>
      <c r="F56" s="39" t="s">
        <v>251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247</v>
      </c>
      <c r="F57" s="39" t="s">
        <v>244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38" t="s">
        <v>248</v>
      </c>
      <c r="F58" s="39" t="s">
        <v>438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7.0" customHeight="1">
      <c r="A59" s="4"/>
      <c r="B59" s="4"/>
      <c r="C59" s="4"/>
      <c r="D59" s="4"/>
      <c r="E59" s="38" t="s">
        <v>954</v>
      </c>
      <c r="F59" s="39" t="s">
        <v>244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0.0" customHeight="1">
      <c r="A60" s="4"/>
      <c r="B60" s="4"/>
      <c r="C60" s="4"/>
      <c r="D60" s="4"/>
      <c r="E60" s="40" t="s">
        <v>250</v>
      </c>
      <c r="F60" s="39" t="s">
        <v>251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38" t="s">
        <v>252</v>
      </c>
      <c r="F61" s="39" t="s">
        <v>251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242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 t="s">
        <v>253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0:O5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13.13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955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45333.0</v>
      </c>
      <c r="C5" s="55" t="s">
        <v>956</v>
      </c>
      <c r="D5" s="56">
        <v>54764.0</v>
      </c>
      <c r="E5" s="57" t="s">
        <v>957</v>
      </c>
      <c r="F5" s="21"/>
      <c r="G5" s="21"/>
      <c r="H5" s="21"/>
      <c r="I5" s="21">
        <v>600.0</v>
      </c>
      <c r="J5" s="22"/>
      <c r="K5" s="21"/>
      <c r="L5" s="21"/>
      <c r="M5" s="21"/>
      <c r="N5" s="21"/>
      <c r="O5" s="21"/>
      <c r="P5" s="58">
        <v>600.0</v>
      </c>
      <c r="Q5" s="24">
        <f t="shared" ref="Q5:Q57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45333.0</v>
      </c>
      <c r="C6" s="55" t="s">
        <v>958</v>
      </c>
      <c r="D6" s="56">
        <v>13781.0</v>
      </c>
      <c r="E6" s="57" t="s">
        <v>302</v>
      </c>
      <c r="F6" s="21"/>
      <c r="G6" s="21"/>
      <c r="H6" s="21"/>
      <c r="I6" s="22">
        <v>2400.0</v>
      </c>
      <c r="J6" s="21"/>
      <c r="K6" s="21"/>
      <c r="L6" s="21"/>
      <c r="M6" s="21"/>
      <c r="N6" s="21"/>
      <c r="O6" s="21"/>
      <c r="P6" s="58">
        <v>2400.0</v>
      </c>
      <c r="Q6" s="24">
        <f t="shared" si="1"/>
        <v>0</v>
      </c>
      <c r="R6" s="59" t="s">
        <v>30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45333.0</v>
      </c>
      <c r="C7" s="55" t="s">
        <v>959</v>
      </c>
      <c r="D7" s="56">
        <v>10881.0</v>
      </c>
      <c r="E7" s="57" t="s">
        <v>915</v>
      </c>
      <c r="F7" s="21">
        <v>1000.0</v>
      </c>
      <c r="G7" s="21"/>
      <c r="H7" s="21"/>
      <c r="I7" s="22"/>
      <c r="J7" s="21"/>
      <c r="K7" s="21"/>
      <c r="L7" s="21"/>
      <c r="M7" s="21"/>
      <c r="N7" s="21"/>
      <c r="O7" s="21"/>
      <c r="P7" s="58">
        <v>1000.0</v>
      </c>
      <c r="Q7" s="24">
        <f t="shared" si="1"/>
        <v>0</v>
      </c>
      <c r="R7" s="59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45333.0</v>
      </c>
      <c r="C8" s="55" t="s">
        <v>960</v>
      </c>
      <c r="D8" s="56">
        <v>10008.0</v>
      </c>
      <c r="E8" s="57" t="s">
        <v>902</v>
      </c>
      <c r="F8" s="21"/>
      <c r="G8" s="21"/>
      <c r="H8" s="21"/>
      <c r="I8" s="22"/>
      <c r="J8" s="21"/>
      <c r="K8" s="21"/>
      <c r="L8" s="21"/>
      <c r="M8" s="21">
        <v>1050.0</v>
      </c>
      <c r="N8" s="21"/>
      <c r="O8" s="21"/>
      <c r="P8" s="58">
        <v>1050.0</v>
      </c>
      <c r="Q8" s="24">
        <f t="shared" si="1"/>
        <v>0</v>
      </c>
      <c r="R8" s="59" t="s">
        <v>85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45334.0</v>
      </c>
      <c r="C9" s="55" t="s">
        <v>961</v>
      </c>
      <c r="D9" s="56">
        <v>51848.0</v>
      </c>
      <c r="E9" s="57" t="s">
        <v>962</v>
      </c>
      <c r="F9" s="21"/>
      <c r="G9" s="21"/>
      <c r="H9" s="21"/>
      <c r="I9" s="22"/>
      <c r="J9" s="21">
        <v>10000.0</v>
      </c>
      <c r="K9" s="21"/>
      <c r="L9" s="21"/>
      <c r="M9" s="21"/>
      <c r="N9" s="21"/>
      <c r="O9" s="21"/>
      <c r="P9" s="58">
        <v>10000.0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45334.0</v>
      </c>
      <c r="C10" s="55" t="s">
        <v>963</v>
      </c>
      <c r="D10" s="56">
        <v>47661.0</v>
      </c>
      <c r="E10" s="57" t="s">
        <v>964</v>
      </c>
      <c r="F10" s="21"/>
      <c r="G10" s="21"/>
      <c r="H10" s="21"/>
      <c r="I10" s="22">
        <v>5150.0</v>
      </c>
      <c r="J10" s="21"/>
      <c r="K10" s="21"/>
      <c r="L10" s="21"/>
      <c r="M10" s="21"/>
      <c r="N10" s="21"/>
      <c r="O10" s="21"/>
      <c r="P10" s="58">
        <v>5150.0</v>
      </c>
      <c r="Q10" s="24">
        <f t="shared" si="1"/>
        <v>0</v>
      </c>
      <c r="R10" s="59" t="s">
        <v>56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45334.0</v>
      </c>
      <c r="C11" s="55" t="s">
        <v>965</v>
      </c>
      <c r="D11" s="56">
        <v>49825.0</v>
      </c>
      <c r="E11" s="57" t="s">
        <v>580</v>
      </c>
      <c r="F11" s="21"/>
      <c r="G11" s="21"/>
      <c r="H11" s="21"/>
      <c r="I11" s="22">
        <v>4500.0</v>
      </c>
      <c r="J11" s="21"/>
      <c r="K11" s="21"/>
      <c r="L11" s="21"/>
      <c r="M11" s="21"/>
      <c r="N11" s="21"/>
      <c r="O11" s="21"/>
      <c r="P11" s="58">
        <v>4500.0</v>
      </c>
      <c r="Q11" s="24">
        <f t="shared" si="1"/>
        <v>0</v>
      </c>
      <c r="R11" s="59" t="s">
        <v>56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45334.0</v>
      </c>
      <c r="C12" s="55" t="s">
        <v>966</v>
      </c>
      <c r="D12" s="56">
        <v>81558.0</v>
      </c>
      <c r="E12" s="57" t="s">
        <v>967</v>
      </c>
      <c r="F12" s="21"/>
      <c r="G12" s="21"/>
      <c r="H12" s="21"/>
      <c r="I12" s="22">
        <v>7300.0</v>
      </c>
      <c r="J12" s="21"/>
      <c r="K12" s="21"/>
      <c r="L12" s="21"/>
      <c r="M12" s="21"/>
      <c r="N12" s="21"/>
      <c r="O12" s="21"/>
      <c r="P12" s="58">
        <v>7300.0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45334.0</v>
      </c>
      <c r="C13" s="55" t="s">
        <v>968</v>
      </c>
      <c r="D13" s="56">
        <v>71126.0</v>
      </c>
      <c r="E13" s="57" t="s">
        <v>969</v>
      </c>
      <c r="F13" s="21"/>
      <c r="G13" s="21"/>
      <c r="H13" s="21"/>
      <c r="I13" s="22">
        <v>140.0</v>
      </c>
      <c r="J13" s="21"/>
      <c r="K13" s="21"/>
      <c r="L13" s="21"/>
      <c r="M13" s="21"/>
      <c r="N13" s="21"/>
      <c r="O13" s="21"/>
      <c r="P13" s="58">
        <v>140.0</v>
      </c>
      <c r="Q13" s="24">
        <f t="shared" si="1"/>
        <v>0</v>
      </c>
      <c r="R13" s="59" t="s">
        <v>85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45334.0</v>
      </c>
      <c r="C14" s="55" t="s">
        <v>970</v>
      </c>
      <c r="D14" s="56">
        <v>57773.0</v>
      </c>
      <c r="E14" s="57" t="s">
        <v>971</v>
      </c>
      <c r="F14" s="21"/>
      <c r="G14" s="21"/>
      <c r="H14" s="21"/>
      <c r="I14" s="22">
        <v>4000.0</v>
      </c>
      <c r="J14" s="21"/>
      <c r="K14" s="21"/>
      <c r="L14" s="21"/>
      <c r="M14" s="21"/>
      <c r="N14" s="21"/>
      <c r="O14" s="21"/>
      <c r="P14" s="58">
        <v>4000.0</v>
      </c>
      <c r="Q14" s="24">
        <f t="shared" si="1"/>
        <v>0</v>
      </c>
      <c r="R14" s="59" t="s">
        <v>30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45334.0</v>
      </c>
      <c r="C15" s="55" t="s">
        <v>972</v>
      </c>
      <c r="D15" s="56">
        <v>61420.0</v>
      </c>
      <c r="E15" s="57" t="s">
        <v>679</v>
      </c>
      <c r="F15" s="21"/>
      <c r="G15" s="21"/>
      <c r="H15" s="21"/>
      <c r="I15" s="22">
        <v>9500.0</v>
      </c>
      <c r="J15" s="21"/>
      <c r="K15" s="21"/>
      <c r="L15" s="21"/>
      <c r="M15" s="21"/>
      <c r="N15" s="21"/>
      <c r="O15" s="21"/>
      <c r="P15" s="58">
        <v>9500.0</v>
      </c>
      <c r="Q15" s="24">
        <f t="shared" si="1"/>
        <v>0</v>
      </c>
      <c r="R15" s="59" t="s">
        <v>56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45334.0</v>
      </c>
      <c r="C16" s="55" t="s">
        <v>973</v>
      </c>
      <c r="D16" s="56">
        <v>44149.0</v>
      </c>
      <c r="E16" s="57" t="s">
        <v>467</v>
      </c>
      <c r="F16" s="21"/>
      <c r="G16" s="21"/>
      <c r="H16" s="21"/>
      <c r="I16" s="22">
        <v>3730.0</v>
      </c>
      <c r="J16" s="21"/>
      <c r="K16" s="21">
        <v>5270.0</v>
      </c>
      <c r="L16" s="21"/>
      <c r="M16" s="21"/>
      <c r="N16" s="21"/>
      <c r="O16" s="21"/>
      <c r="P16" s="58">
        <v>9000.0</v>
      </c>
      <c r="Q16" s="24">
        <f t="shared" si="1"/>
        <v>0</v>
      </c>
      <c r="R16" s="59" t="s">
        <v>66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45334.0</v>
      </c>
      <c r="C17" s="55" t="s">
        <v>974</v>
      </c>
      <c r="D17" s="56">
        <v>74087.0</v>
      </c>
      <c r="E17" s="57" t="s">
        <v>473</v>
      </c>
      <c r="F17" s="21"/>
      <c r="G17" s="21"/>
      <c r="H17" s="21"/>
      <c r="I17" s="21"/>
      <c r="J17" s="21"/>
      <c r="K17" s="21"/>
      <c r="L17" s="21"/>
      <c r="M17" s="21">
        <v>12000.0</v>
      </c>
      <c r="N17" s="21"/>
      <c r="O17" s="21"/>
      <c r="P17" s="58">
        <v>12000.0</v>
      </c>
      <c r="Q17" s="24">
        <f t="shared" si="1"/>
        <v>0</v>
      </c>
      <c r="R17" s="59" t="s">
        <v>24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45334.0</v>
      </c>
      <c r="C18" s="55" t="s">
        <v>975</v>
      </c>
      <c r="D18" s="56">
        <v>81560.0</v>
      </c>
      <c r="E18" s="57" t="s">
        <v>976</v>
      </c>
      <c r="F18" s="21"/>
      <c r="G18" s="21"/>
      <c r="H18" s="21"/>
      <c r="I18" s="21"/>
      <c r="J18" s="21">
        <v>7300.0</v>
      </c>
      <c r="K18" s="21"/>
      <c r="L18" s="21"/>
      <c r="M18" s="21"/>
      <c r="N18" s="21"/>
      <c r="O18" s="21"/>
      <c r="P18" s="58">
        <v>7300.0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45334.0</v>
      </c>
      <c r="C19" s="55" t="s">
        <v>977</v>
      </c>
      <c r="D19" s="56">
        <v>56415.0</v>
      </c>
      <c r="E19" s="57" t="s">
        <v>978</v>
      </c>
      <c r="F19" s="21"/>
      <c r="G19" s="21"/>
      <c r="H19" s="21"/>
      <c r="I19" s="21"/>
      <c r="J19" s="21">
        <v>10000.0</v>
      </c>
      <c r="K19" s="21"/>
      <c r="L19" s="21"/>
      <c r="M19" s="21"/>
      <c r="N19" s="21"/>
      <c r="O19" s="21"/>
      <c r="P19" s="58">
        <v>10000.0</v>
      </c>
      <c r="Q19" s="24">
        <f t="shared" si="1"/>
        <v>0</v>
      </c>
      <c r="R19" s="59" t="s">
        <v>56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45334.0</v>
      </c>
      <c r="C20" s="55" t="s">
        <v>979</v>
      </c>
      <c r="D20" s="56">
        <v>31927.0</v>
      </c>
      <c r="E20" s="57" t="s">
        <v>121</v>
      </c>
      <c r="F20" s="21"/>
      <c r="G20" s="21"/>
      <c r="H20" s="21"/>
      <c r="I20" s="21">
        <v>2500.0</v>
      </c>
      <c r="J20" s="21"/>
      <c r="K20" s="21"/>
      <c r="L20" s="21"/>
      <c r="M20" s="21"/>
      <c r="N20" s="21"/>
      <c r="O20" s="21"/>
      <c r="P20" s="58">
        <v>2500.0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45334.0</v>
      </c>
      <c r="C21" s="55" t="s">
        <v>980</v>
      </c>
      <c r="D21" s="56">
        <v>48052.0</v>
      </c>
      <c r="E21" s="57" t="s">
        <v>65</v>
      </c>
      <c r="F21" s="21"/>
      <c r="G21" s="21"/>
      <c r="H21" s="21"/>
      <c r="I21" s="21">
        <v>350.0</v>
      </c>
      <c r="J21" s="21"/>
      <c r="K21" s="21"/>
      <c r="L21" s="21"/>
      <c r="M21" s="21"/>
      <c r="N21" s="21"/>
      <c r="O21" s="21"/>
      <c r="P21" s="58">
        <v>350.0</v>
      </c>
      <c r="Q21" s="24">
        <f t="shared" si="1"/>
        <v>0</v>
      </c>
      <c r="R21" s="59" t="s">
        <v>56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45334.0</v>
      </c>
      <c r="C22" s="55" t="s">
        <v>981</v>
      </c>
      <c r="D22" s="56">
        <v>63735.0</v>
      </c>
      <c r="E22" s="57" t="s">
        <v>769</v>
      </c>
      <c r="F22" s="21"/>
      <c r="G22" s="21"/>
      <c r="H22" s="21"/>
      <c r="I22" s="21">
        <v>4650.0</v>
      </c>
      <c r="J22" s="21"/>
      <c r="K22" s="21"/>
      <c r="L22" s="21"/>
      <c r="M22" s="21"/>
      <c r="N22" s="21"/>
      <c r="O22" s="21"/>
      <c r="P22" s="58">
        <v>4650.0</v>
      </c>
      <c r="Q22" s="24">
        <f t="shared" si="1"/>
        <v>0</v>
      </c>
      <c r="R22" s="59" t="s">
        <v>56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45334.0</v>
      </c>
      <c r="C23" s="56" t="s">
        <v>982</v>
      </c>
      <c r="D23" s="56">
        <v>10744.0</v>
      </c>
      <c r="E23" s="57" t="s">
        <v>144</v>
      </c>
      <c r="F23" s="30"/>
      <c r="G23" s="30"/>
      <c r="H23" s="68"/>
      <c r="I23" s="68">
        <v>10000.0</v>
      </c>
      <c r="J23" s="30"/>
      <c r="K23" s="30"/>
      <c r="L23" s="30"/>
      <c r="M23" s="30"/>
      <c r="N23" s="30"/>
      <c r="O23" s="30"/>
      <c r="P23" s="61">
        <v>10000.0</v>
      </c>
      <c r="Q23" s="24">
        <f t="shared" si="1"/>
        <v>0</v>
      </c>
      <c r="R23" s="57" t="s">
        <v>24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45334.0</v>
      </c>
      <c r="C24" s="56" t="s">
        <v>983</v>
      </c>
      <c r="D24" s="56">
        <v>58050.0</v>
      </c>
      <c r="E24" s="57" t="s">
        <v>364</v>
      </c>
      <c r="F24" s="30"/>
      <c r="G24" s="30"/>
      <c r="H24" s="30"/>
      <c r="I24" s="30"/>
      <c r="J24" s="30">
        <v>4900.0</v>
      </c>
      <c r="K24" s="30"/>
      <c r="L24" s="30"/>
      <c r="M24" s="30"/>
      <c r="N24" s="30"/>
      <c r="O24" s="30"/>
      <c r="P24" s="61">
        <v>4900.0</v>
      </c>
      <c r="Q24" s="24">
        <f t="shared" si="1"/>
        <v>0</v>
      </c>
      <c r="R24" s="57" t="s">
        <v>24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45334.0</v>
      </c>
      <c r="C25" s="56" t="s">
        <v>984</v>
      </c>
      <c r="D25" s="56">
        <v>43380.0</v>
      </c>
      <c r="E25" s="57" t="s">
        <v>351</v>
      </c>
      <c r="F25" s="30"/>
      <c r="G25" s="30"/>
      <c r="H25" s="30"/>
      <c r="I25" s="30"/>
      <c r="J25" s="30"/>
      <c r="K25" s="30">
        <v>17000.0</v>
      </c>
      <c r="L25" s="30"/>
      <c r="M25" s="30"/>
      <c r="N25" s="30"/>
      <c r="O25" s="30"/>
      <c r="P25" s="61">
        <v>17000.0</v>
      </c>
      <c r="Q25" s="24">
        <f t="shared" si="1"/>
        <v>0</v>
      </c>
      <c r="R25" s="57" t="s">
        <v>24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45334.0</v>
      </c>
      <c r="C26" s="56" t="s">
        <v>985</v>
      </c>
      <c r="D26" s="56">
        <v>19688.0</v>
      </c>
      <c r="E26" s="57" t="s">
        <v>691</v>
      </c>
      <c r="F26" s="30"/>
      <c r="G26" s="30"/>
      <c r="H26" s="30"/>
      <c r="I26" s="30"/>
      <c r="J26" s="30">
        <v>2650.0</v>
      </c>
      <c r="K26" s="30"/>
      <c r="L26" s="30"/>
      <c r="M26" s="30"/>
      <c r="N26" s="30"/>
      <c r="O26" s="30"/>
      <c r="P26" s="61">
        <v>2650.0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45334.0</v>
      </c>
      <c r="C27" s="56" t="s">
        <v>986</v>
      </c>
      <c r="D27" s="56">
        <v>81086.0</v>
      </c>
      <c r="E27" s="57" t="s">
        <v>987</v>
      </c>
      <c r="F27" s="30"/>
      <c r="G27" s="30"/>
      <c r="H27" s="30"/>
      <c r="I27" s="30">
        <v>8250.0</v>
      </c>
      <c r="J27" s="30"/>
      <c r="K27" s="30"/>
      <c r="L27" s="30"/>
      <c r="M27" s="30"/>
      <c r="N27" s="30"/>
      <c r="O27" s="30"/>
      <c r="P27" s="61">
        <v>8250.0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45334.0</v>
      </c>
      <c r="C28" s="56" t="s">
        <v>988</v>
      </c>
      <c r="D28" s="56">
        <v>52415.0</v>
      </c>
      <c r="E28" s="57" t="s">
        <v>989</v>
      </c>
      <c r="F28" s="30"/>
      <c r="G28" s="30"/>
      <c r="H28" s="30"/>
      <c r="I28" s="30">
        <v>1500.0</v>
      </c>
      <c r="J28" s="30"/>
      <c r="K28" s="30"/>
      <c r="L28" s="30"/>
      <c r="M28" s="30"/>
      <c r="N28" s="30"/>
      <c r="O28" s="30"/>
      <c r="P28" s="61">
        <v>1500.0</v>
      </c>
      <c r="Q28" s="24">
        <f t="shared" si="1"/>
        <v>0</v>
      </c>
      <c r="R28" s="57" t="s">
        <v>66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45334.0</v>
      </c>
      <c r="C29" s="56" t="s">
        <v>990</v>
      </c>
      <c r="D29" s="56">
        <v>56681.0</v>
      </c>
      <c r="E29" s="57" t="s">
        <v>991</v>
      </c>
      <c r="F29" s="30"/>
      <c r="G29" s="30"/>
      <c r="H29" s="30"/>
      <c r="I29" s="30">
        <v>12500.0</v>
      </c>
      <c r="J29" s="30"/>
      <c r="K29" s="30"/>
      <c r="L29" s="30"/>
      <c r="M29" s="30"/>
      <c r="N29" s="30"/>
      <c r="O29" s="30"/>
      <c r="P29" s="61">
        <v>12500.0</v>
      </c>
      <c r="Q29" s="24">
        <f t="shared" si="1"/>
        <v>0</v>
      </c>
      <c r="R29" s="57" t="s">
        <v>66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45334.0</v>
      </c>
      <c r="C30" s="56" t="s">
        <v>992</v>
      </c>
      <c r="D30" s="56">
        <v>62815.0</v>
      </c>
      <c r="E30" s="57" t="s">
        <v>477</v>
      </c>
      <c r="F30" s="30"/>
      <c r="G30" s="30"/>
      <c r="H30" s="30"/>
      <c r="I30" s="30">
        <v>7500.0</v>
      </c>
      <c r="J30" s="30"/>
      <c r="K30" s="30"/>
      <c r="L30" s="30"/>
      <c r="M30" s="30"/>
      <c r="N30" s="30"/>
      <c r="O30" s="30"/>
      <c r="P30" s="61">
        <v>7500.0</v>
      </c>
      <c r="Q30" s="24">
        <f t="shared" si="1"/>
        <v>0</v>
      </c>
      <c r="R30" s="57" t="s">
        <v>66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45334.0</v>
      </c>
      <c r="C31" s="56" t="s">
        <v>993</v>
      </c>
      <c r="D31" s="56">
        <v>74637.0</v>
      </c>
      <c r="E31" s="57" t="s">
        <v>994</v>
      </c>
      <c r="F31" s="30"/>
      <c r="G31" s="30"/>
      <c r="H31" s="30"/>
      <c r="I31" s="30"/>
      <c r="J31" s="30"/>
      <c r="K31" s="30">
        <v>3050.0</v>
      </c>
      <c r="L31" s="30"/>
      <c r="M31" s="30"/>
      <c r="N31" s="30"/>
      <c r="O31" s="30"/>
      <c r="P31" s="61">
        <v>3050.0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45334.0</v>
      </c>
      <c r="C32" s="56" t="s">
        <v>995</v>
      </c>
      <c r="D32" s="56">
        <v>81564.0</v>
      </c>
      <c r="E32" s="57" t="s">
        <v>996</v>
      </c>
      <c r="F32" s="30"/>
      <c r="G32" s="30"/>
      <c r="H32" s="30"/>
      <c r="I32" s="30">
        <v>7300.0</v>
      </c>
      <c r="J32" s="30"/>
      <c r="K32" s="30"/>
      <c r="L32" s="30"/>
      <c r="M32" s="30"/>
      <c r="N32" s="30"/>
      <c r="O32" s="30"/>
      <c r="P32" s="61">
        <v>7300.0</v>
      </c>
      <c r="Q32" s="24">
        <f t="shared" si="1"/>
        <v>0</v>
      </c>
      <c r="R32" s="57" t="s">
        <v>66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45334.0</v>
      </c>
      <c r="C33" s="56" t="s">
        <v>997</v>
      </c>
      <c r="D33" s="56">
        <v>81565.0</v>
      </c>
      <c r="E33" s="57" t="s">
        <v>998</v>
      </c>
      <c r="F33" s="30"/>
      <c r="G33" s="30"/>
      <c r="H33" s="30"/>
      <c r="I33" s="30">
        <v>7300.0</v>
      </c>
      <c r="J33" s="30"/>
      <c r="K33" s="30"/>
      <c r="L33" s="30"/>
      <c r="M33" s="30"/>
      <c r="N33" s="30"/>
      <c r="O33" s="30"/>
      <c r="P33" s="61">
        <v>7300.0</v>
      </c>
      <c r="Q33" s="24">
        <f t="shared" si="1"/>
        <v>0</v>
      </c>
      <c r="R33" s="57" t="s">
        <v>56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45334.0</v>
      </c>
      <c r="C34" s="56" t="s">
        <v>999</v>
      </c>
      <c r="D34" s="56">
        <v>46927.0</v>
      </c>
      <c r="E34" s="57" t="s">
        <v>653</v>
      </c>
      <c r="F34" s="30"/>
      <c r="G34" s="30"/>
      <c r="H34" s="30"/>
      <c r="I34" s="30">
        <v>600.0</v>
      </c>
      <c r="J34" s="30"/>
      <c r="K34" s="30"/>
      <c r="L34" s="30"/>
      <c r="M34" s="30"/>
      <c r="N34" s="30"/>
      <c r="O34" s="30"/>
      <c r="P34" s="61">
        <v>600.0</v>
      </c>
      <c r="Q34" s="24">
        <f t="shared" si="1"/>
        <v>0</v>
      </c>
      <c r="R34" s="57" t="s">
        <v>56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45334.0</v>
      </c>
      <c r="C35" s="56" t="s">
        <v>1000</v>
      </c>
      <c r="D35" s="56">
        <v>81171.0</v>
      </c>
      <c r="E35" s="57" t="s">
        <v>1001</v>
      </c>
      <c r="F35" s="30"/>
      <c r="G35" s="30"/>
      <c r="H35" s="30"/>
      <c r="I35" s="30">
        <v>1350.0</v>
      </c>
      <c r="J35" s="30"/>
      <c r="K35" s="30"/>
      <c r="L35" s="30"/>
      <c r="M35" s="30"/>
      <c r="N35" s="30"/>
      <c r="O35" s="30"/>
      <c r="P35" s="61">
        <v>1350.0</v>
      </c>
      <c r="Q35" s="24">
        <f t="shared" si="1"/>
        <v>0</v>
      </c>
      <c r="R35" s="57" t="s">
        <v>66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45334.0</v>
      </c>
      <c r="C36" s="56" t="s">
        <v>1002</v>
      </c>
      <c r="D36" s="56">
        <v>81567.0</v>
      </c>
      <c r="E36" s="57" t="s">
        <v>1003</v>
      </c>
      <c r="F36" s="30"/>
      <c r="G36" s="30"/>
      <c r="H36" s="30"/>
      <c r="I36" s="30">
        <v>7300.0</v>
      </c>
      <c r="J36" s="30"/>
      <c r="K36" s="30"/>
      <c r="L36" s="30"/>
      <c r="M36" s="30"/>
      <c r="N36" s="30"/>
      <c r="O36" s="30"/>
      <c r="P36" s="61">
        <v>7300.0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45334.0</v>
      </c>
      <c r="C37" s="56" t="s">
        <v>1004</v>
      </c>
      <c r="D37" s="56">
        <v>81568.0</v>
      </c>
      <c r="E37" s="57" t="s">
        <v>1005</v>
      </c>
      <c r="F37" s="30"/>
      <c r="G37" s="30"/>
      <c r="H37" s="30"/>
      <c r="I37" s="30">
        <v>300.0</v>
      </c>
      <c r="J37" s="30"/>
      <c r="K37" s="30"/>
      <c r="L37" s="30"/>
      <c r="M37" s="30"/>
      <c r="N37" s="30"/>
      <c r="O37" s="30"/>
      <c r="P37" s="61">
        <v>300.0</v>
      </c>
      <c r="Q37" s="24">
        <f t="shared" si="1"/>
        <v>0</v>
      </c>
      <c r="R37" s="57" t="s">
        <v>85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45334.0</v>
      </c>
      <c r="C38" s="56" t="s">
        <v>1006</v>
      </c>
      <c r="D38" s="56">
        <v>22341.0</v>
      </c>
      <c r="E38" s="57" t="s">
        <v>417</v>
      </c>
      <c r="F38" s="30"/>
      <c r="G38" s="30"/>
      <c r="H38" s="30"/>
      <c r="I38" s="30">
        <v>6900.0</v>
      </c>
      <c r="J38" s="30"/>
      <c r="K38" s="30"/>
      <c r="L38" s="30"/>
      <c r="M38" s="30"/>
      <c r="N38" s="30"/>
      <c r="O38" s="30"/>
      <c r="P38" s="61">
        <v>6900.0</v>
      </c>
      <c r="Q38" s="24">
        <f t="shared" si="1"/>
        <v>0</v>
      </c>
      <c r="R38" s="57" t="s">
        <v>85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45334.0</v>
      </c>
      <c r="C39" s="56" t="s">
        <v>1007</v>
      </c>
      <c r="D39" s="56">
        <v>67980.0</v>
      </c>
      <c r="E39" s="57" t="s">
        <v>1008</v>
      </c>
      <c r="F39" s="30"/>
      <c r="G39" s="30"/>
      <c r="H39" s="30"/>
      <c r="I39" s="30"/>
      <c r="J39" s="30"/>
      <c r="K39" s="30"/>
      <c r="L39" s="30"/>
      <c r="M39" s="30">
        <v>29500.0</v>
      </c>
      <c r="N39" s="30"/>
      <c r="O39" s="30"/>
      <c r="P39" s="61">
        <v>29500.0</v>
      </c>
      <c r="Q39" s="24">
        <f t="shared" si="1"/>
        <v>0</v>
      </c>
      <c r="R39" s="57" t="s">
        <v>85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45334.0</v>
      </c>
      <c r="C40" s="56" t="s">
        <v>1009</v>
      </c>
      <c r="D40" s="56">
        <v>53249.0</v>
      </c>
      <c r="E40" s="57" t="s">
        <v>152</v>
      </c>
      <c r="F40" s="30"/>
      <c r="G40" s="30"/>
      <c r="H40" s="30"/>
      <c r="I40" s="30"/>
      <c r="J40" s="30">
        <v>31300.0</v>
      </c>
      <c r="K40" s="30"/>
      <c r="L40" s="30"/>
      <c r="M40" s="30"/>
      <c r="N40" s="30"/>
      <c r="O40" s="30"/>
      <c r="P40" s="61">
        <v>31300.0</v>
      </c>
      <c r="Q40" s="24">
        <f t="shared" si="1"/>
        <v>0</v>
      </c>
      <c r="R40" s="57" t="s">
        <v>30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45334.0</v>
      </c>
      <c r="C41" s="56" t="s">
        <v>1010</v>
      </c>
      <c r="D41" s="56">
        <v>52776.0</v>
      </c>
      <c r="E41" s="57" t="s">
        <v>563</v>
      </c>
      <c r="F41" s="30"/>
      <c r="G41" s="30"/>
      <c r="H41" s="30"/>
      <c r="I41" s="30"/>
      <c r="J41" s="30">
        <v>15400.0</v>
      </c>
      <c r="K41" s="30"/>
      <c r="L41" s="30"/>
      <c r="M41" s="30"/>
      <c r="N41" s="30"/>
      <c r="O41" s="30"/>
      <c r="P41" s="61">
        <v>15400.0</v>
      </c>
      <c r="Q41" s="24">
        <f t="shared" si="1"/>
        <v>0</v>
      </c>
      <c r="R41" s="57" t="s">
        <v>30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45334.0</v>
      </c>
      <c r="C42" s="56" t="s">
        <v>1011</v>
      </c>
      <c r="D42" s="56">
        <v>52083.0</v>
      </c>
      <c r="E42" s="57" t="s">
        <v>23</v>
      </c>
      <c r="F42" s="30"/>
      <c r="G42" s="30"/>
      <c r="H42" s="30"/>
      <c r="I42" s="30">
        <v>14200.0</v>
      </c>
      <c r="J42" s="30"/>
      <c r="K42" s="30"/>
      <c r="L42" s="30"/>
      <c r="M42" s="30"/>
      <c r="N42" s="30"/>
      <c r="O42" s="30"/>
      <c r="P42" s="61">
        <v>14200.0</v>
      </c>
      <c r="Q42" s="24">
        <f t="shared" si="1"/>
        <v>0</v>
      </c>
      <c r="R42" s="57" t="s">
        <v>24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45334.0</v>
      </c>
      <c r="C43" s="56" t="s">
        <v>1012</v>
      </c>
      <c r="D43" s="56">
        <v>67160.0</v>
      </c>
      <c r="E43" s="57" t="s">
        <v>573</v>
      </c>
      <c r="F43" s="30"/>
      <c r="G43" s="30"/>
      <c r="H43" s="30"/>
      <c r="I43" s="30">
        <v>2650.0</v>
      </c>
      <c r="J43" s="30"/>
      <c r="K43" s="30"/>
      <c r="L43" s="30"/>
      <c r="M43" s="30"/>
      <c r="N43" s="30"/>
      <c r="O43" s="30"/>
      <c r="P43" s="61">
        <v>2650.0</v>
      </c>
      <c r="Q43" s="24">
        <f t="shared" si="1"/>
        <v>0</v>
      </c>
      <c r="R43" s="57" t="s">
        <v>30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45334.0</v>
      </c>
      <c r="C44" s="56" t="s">
        <v>1013</v>
      </c>
      <c r="D44" s="56">
        <v>80961.0</v>
      </c>
      <c r="E44" s="57" t="s">
        <v>662</v>
      </c>
      <c r="F44" s="30"/>
      <c r="G44" s="30"/>
      <c r="H44" s="30"/>
      <c r="I44" s="30">
        <v>300.0</v>
      </c>
      <c r="J44" s="30"/>
      <c r="K44" s="30"/>
      <c r="L44" s="30"/>
      <c r="M44" s="30"/>
      <c r="N44" s="30"/>
      <c r="O44" s="30"/>
      <c r="P44" s="61">
        <v>300.0</v>
      </c>
      <c r="Q44" s="24">
        <f t="shared" si="1"/>
        <v>0</v>
      </c>
      <c r="R44" s="57" t="s">
        <v>30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45334.0</v>
      </c>
      <c r="C45" s="56" t="s">
        <v>1014</v>
      </c>
      <c r="D45" s="56">
        <v>69346.0</v>
      </c>
      <c r="E45" s="57" t="s">
        <v>820</v>
      </c>
      <c r="F45" s="30"/>
      <c r="G45" s="30"/>
      <c r="H45" s="30"/>
      <c r="I45" s="30">
        <v>8950.0</v>
      </c>
      <c r="J45" s="30"/>
      <c r="K45" s="30"/>
      <c r="L45" s="30"/>
      <c r="M45" s="30"/>
      <c r="N45" s="30"/>
      <c r="O45" s="30"/>
      <c r="P45" s="61">
        <v>8950.0</v>
      </c>
      <c r="Q45" s="24">
        <f t="shared" si="1"/>
        <v>0</v>
      </c>
      <c r="R45" s="57" t="s">
        <v>85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45334.0</v>
      </c>
      <c r="C46" s="56" t="s">
        <v>1015</v>
      </c>
      <c r="D46" s="56">
        <v>47787.0</v>
      </c>
      <c r="E46" s="57" t="s">
        <v>1016</v>
      </c>
      <c r="F46" s="30"/>
      <c r="G46" s="30"/>
      <c r="H46" s="30">
        <v>3500.0</v>
      </c>
      <c r="I46" s="30"/>
      <c r="J46" s="30"/>
      <c r="K46" s="30"/>
      <c r="L46" s="30"/>
      <c r="M46" s="30"/>
      <c r="N46" s="30"/>
      <c r="O46" s="30"/>
      <c r="P46" s="61">
        <v>3500.0</v>
      </c>
      <c r="Q46" s="24">
        <f t="shared" si="1"/>
        <v>0</v>
      </c>
      <c r="R46" s="57" t="s">
        <v>24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45334.0</v>
      </c>
      <c r="C47" s="56" t="s">
        <v>1017</v>
      </c>
      <c r="D47" s="56">
        <v>76208.0</v>
      </c>
      <c r="E47" s="57" t="s">
        <v>1018</v>
      </c>
      <c r="F47" s="30"/>
      <c r="G47" s="30"/>
      <c r="H47" s="30"/>
      <c r="I47" s="30">
        <v>25000.0</v>
      </c>
      <c r="J47" s="30"/>
      <c r="K47" s="30"/>
      <c r="L47" s="30"/>
      <c r="M47" s="30"/>
      <c r="N47" s="30"/>
      <c r="O47" s="30"/>
      <c r="P47" s="61">
        <v>25000.0</v>
      </c>
      <c r="Q47" s="24">
        <f t="shared" si="1"/>
        <v>0</v>
      </c>
      <c r="R47" s="57" t="s">
        <v>30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45334.0</v>
      </c>
      <c r="C48" s="56" t="s">
        <v>1019</v>
      </c>
      <c r="D48" s="56">
        <v>70741.0</v>
      </c>
      <c r="E48" s="57" t="s">
        <v>1020</v>
      </c>
      <c r="F48" s="30"/>
      <c r="G48" s="30"/>
      <c r="H48" s="30"/>
      <c r="I48" s="30"/>
      <c r="J48" s="30">
        <v>5150.0</v>
      </c>
      <c r="K48" s="30"/>
      <c r="L48" s="30"/>
      <c r="M48" s="30"/>
      <c r="N48" s="30"/>
      <c r="O48" s="30"/>
      <c r="P48" s="61">
        <v>5150.0</v>
      </c>
      <c r="Q48" s="24">
        <f t="shared" si="1"/>
        <v>0</v>
      </c>
      <c r="R48" s="57" t="s">
        <v>85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45333.0</v>
      </c>
      <c r="C49" s="64" t="s">
        <v>1021</v>
      </c>
      <c r="D49" s="64">
        <v>43380.0</v>
      </c>
      <c r="E49" s="65" t="s">
        <v>351</v>
      </c>
      <c r="F49" s="30"/>
      <c r="G49" s="30"/>
      <c r="H49" s="30">
        <v>8400.0</v>
      </c>
      <c r="I49" s="30"/>
      <c r="J49" s="30"/>
      <c r="K49" s="30"/>
      <c r="L49" s="30"/>
      <c r="M49" s="30"/>
      <c r="N49" s="30"/>
      <c r="O49" s="30"/>
      <c r="P49" s="66">
        <v>8400.0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45334.0</v>
      </c>
      <c r="C50" s="64" t="s">
        <v>1022</v>
      </c>
      <c r="D50" s="64">
        <v>71126.0</v>
      </c>
      <c r="E50" s="65" t="s">
        <v>969</v>
      </c>
      <c r="F50" s="30"/>
      <c r="G50" s="30"/>
      <c r="H50" s="30"/>
      <c r="I50" s="30"/>
      <c r="J50" s="30"/>
      <c r="K50" s="30"/>
      <c r="L50" s="30"/>
      <c r="M50" s="30"/>
      <c r="N50" s="30"/>
      <c r="O50" s="30">
        <v>1290.0</v>
      </c>
      <c r="P50" s="66">
        <v>1290.0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45334.0</v>
      </c>
      <c r="C51" s="64" t="s">
        <v>1023</v>
      </c>
      <c r="D51" s="64">
        <v>55341.0</v>
      </c>
      <c r="E51" s="65" t="s">
        <v>1024</v>
      </c>
      <c r="F51" s="30"/>
      <c r="G51" s="30"/>
      <c r="H51" s="30"/>
      <c r="I51" s="30"/>
      <c r="J51" s="30"/>
      <c r="K51" s="30"/>
      <c r="L51" s="30"/>
      <c r="M51" s="30">
        <v>2650.0</v>
      </c>
      <c r="N51" s="30"/>
      <c r="O51" s="30"/>
      <c r="P51" s="66">
        <v>2650.0</v>
      </c>
      <c r="Q51" s="24">
        <f t="shared" si="1"/>
        <v>0</v>
      </c>
      <c r="R51" s="57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45334.0</v>
      </c>
      <c r="C52" s="64" t="s">
        <v>1025</v>
      </c>
      <c r="D52" s="64">
        <v>74637.0</v>
      </c>
      <c r="E52" s="65" t="s">
        <v>994</v>
      </c>
      <c r="F52" s="30"/>
      <c r="G52" s="30"/>
      <c r="H52" s="30"/>
      <c r="I52" s="30"/>
      <c r="J52" s="30"/>
      <c r="K52" s="30">
        <v>5.0</v>
      </c>
      <c r="L52" s="30"/>
      <c r="M52" s="30"/>
      <c r="N52" s="30"/>
      <c r="O52" s="30">
        <v>795.0</v>
      </c>
      <c r="P52" s="66">
        <v>800.0</v>
      </c>
      <c r="Q52" s="24">
        <f t="shared" si="1"/>
        <v>0</v>
      </c>
      <c r="R52" s="57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45334.0</v>
      </c>
      <c r="C53" s="64" t="s">
        <v>1026</v>
      </c>
      <c r="D53" s="64">
        <v>21828.0</v>
      </c>
      <c r="E53" s="65" t="s">
        <v>217</v>
      </c>
      <c r="F53" s="30"/>
      <c r="G53" s="30"/>
      <c r="H53" s="30"/>
      <c r="I53" s="30"/>
      <c r="J53" s="30"/>
      <c r="K53" s="30">
        <v>2500.0</v>
      </c>
      <c r="L53" s="30"/>
      <c r="M53" s="30"/>
      <c r="N53" s="30"/>
      <c r="O53" s="30"/>
      <c r="P53" s="66">
        <v>2500.0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45334.0</v>
      </c>
      <c r="C54" s="64" t="s">
        <v>1027</v>
      </c>
      <c r="D54" s="64">
        <v>74514.0</v>
      </c>
      <c r="E54" s="65" t="s">
        <v>1028</v>
      </c>
      <c r="F54" s="30"/>
      <c r="G54" s="30"/>
      <c r="H54" s="30"/>
      <c r="I54" s="30"/>
      <c r="J54" s="30"/>
      <c r="K54" s="30"/>
      <c r="L54" s="30"/>
      <c r="M54" s="30"/>
      <c r="N54" s="30"/>
      <c r="O54" s="30">
        <v>1200.0</v>
      </c>
      <c r="P54" s="66">
        <v>1200.0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45334.0</v>
      </c>
      <c r="C55" s="64" t="s">
        <v>1029</v>
      </c>
      <c r="D55" s="64">
        <v>44168.0</v>
      </c>
      <c r="E55" s="65" t="s">
        <v>1030</v>
      </c>
      <c r="F55" s="30"/>
      <c r="G55" s="30"/>
      <c r="H55" s="30"/>
      <c r="I55" s="30"/>
      <c r="J55" s="30"/>
      <c r="K55" s="30"/>
      <c r="L55" s="30"/>
      <c r="M55" s="30"/>
      <c r="N55" s="30"/>
      <c r="O55" s="30">
        <v>1200.0</v>
      </c>
      <c r="P55" s="66">
        <v>1200.0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3">
        <v>45334.0</v>
      </c>
      <c r="C56" s="64" t="s">
        <v>1031</v>
      </c>
      <c r="D56" s="64">
        <v>44149.0</v>
      </c>
      <c r="E56" s="65" t="s">
        <v>467</v>
      </c>
      <c r="F56" s="30"/>
      <c r="G56" s="30"/>
      <c r="H56" s="30"/>
      <c r="I56" s="30"/>
      <c r="J56" s="30"/>
      <c r="K56" s="30"/>
      <c r="L56" s="30"/>
      <c r="M56" s="30"/>
      <c r="N56" s="30"/>
      <c r="O56" s="30">
        <v>2400.0</v>
      </c>
      <c r="P56" s="66">
        <v>2400.0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/>
      <c r="B57" s="27"/>
      <c r="C57" s="28"/>
      <c r="D57" s="29"/>
      <c r="E57" s="28"/>
      <c r="F57" s="30">
        <f t="shared" ref="F57:P57" si="2">SUM(F5:F56)</f>
        <v>1000</v>
      </c>
      <c r="G57" s="30">
        <f t="shared" si="2"/>
        <v>0</v>
      </c>
      <c r="H57" s="30">
        <f t="shared" si="2"/>
        <v>11900</v>
      </c>
      <c r="I57" s="30">
        <f t="shared" si="2"/>
        <v>166720</v>
      </c>
      <c r="J57" s="30">
        <f t="shared" si="2"/>
        <v>86700</v>
      </c>
      <c r="K57" s="30">
        <f t="shared" si="2"/>
        <v>27825</v>
      </c>
      <c r="L57" s="30">
        <f t="shared" si="2"/>
        <v>0</v>
      </c>
      <c r="M57" s="30">
        <f t="shared" si="2"/>
        <v>45200</v>
      </c>
      <c r="N57" s="30">
        <f t="shared" si="2"/>
        <v>0</v>
      </c>
      <c r="O57" s="30">
        <f t="shared" si="2"/>
        <v>6885</v>
      </c>
      <c r="P57" s="30">
        <f t="shared" si="2"/>
        <v>346230</v>
      </c>
      <c r="Q57" s="24">
        <f t="shared" si="1"/>
        <v>0</v>
      </c>
      <c r="R57" s="67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36.0" customHeight="1">
      <c r="A58" s="35"/>
      <c r="B58" s="35"/>
      <c r="C58" s="35"/>
      <c r="D58" s="35"/>
      <c r="E58" s="35"/>
      <c r="F58" s="36">
        <f>F57+G57+H57+I57+J57+K57+L57+M57+N57+O57</f>
        <v>346230</v>
      </c>
      <c r="P58" s="36"/>
      <c r="Q58" s="36"/>
      <c r="R58" s="35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37" t="s">
        <v>242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38" t="s">
        <v>243</v>
      </c>
      <c r="F62" s="39" t="s">
        <v>244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245</v>
      </c>
      <c r="F63" s="39" t="s">
        <v>244</v>
      </c>
      <c r="G63" s="4"/>
      <c r="H63" s="4"/>
      <c r="I63" s="4"/>
      <c r="J63" s="4"/>
      <c r="K63" s="4"/>
      <c r="L63" s="4"/>
      <c r="M63" s="4"/>
      <c r="N63" s="4"/>
      <c r="O63" s="4" t="s">
        <v>242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38" t="s">
        <v>246</v>
      </c>
      <c r="F64" s="39" t="s">
        <v>880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38" t="s">
        <v>247</v>
      </c>
      <c r="F65" s="39" t="s">
        <v>244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38" t="s">
        <v>248</v>
      </c>
      <c r="F66" s="39" t="s">
        <v>244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7.0" customHeight="1">
      <c r="A67" s="4"/>
      <c r="B67" s="4"/>
      <c r="C67" s="4"/>
      <c r="D67" s="4"/>
      <c r="E67" s="38" t="s">
        <v>1032</v>
      </c>
      <c r="F67" s="39" t="s">
        <v>244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30.0" customHeight="1">
      <c r="A68" s="4"/>
      <c r="B68" s="4"/>
      <c r="C68" s="4"/>
      <c r="D68" s="4"/>
      <c r="E68" s="40" t="s">
        <v>250</v>
      </c>
      <c r="F68" s="39" t="s">
        <v>880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38" t="s">
        <v>252</v>
      </c>
      <c r="F69" s="39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242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 t="s">
        <v>253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8:O5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13.13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1033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45334.0</v>
      </c>
      <c r="C5" s="55" t="s">
        <v>1034</v>
      </c>
      <c r="D5" s="56">
        <v>80859.0</v>
      </c>
      <c r="E5" s="57" t="s">
        <v>290</v>
      </c>
      <c r="F5" s="21"/>
      <c r="G5" s="21"/>
      <c r="H5" s="21"/>
      <c r="I5" s="21">
        <v>300.0</v>
      </c>
      <c r="J5" s="22"/>
      <c r="K5" s="21"/>
      <c r="L5" s="21"/>
      <c r="M5" s="21"/>
      <c r="N5" s="21"/>
      <c r="O5" s="21"/>
      <c r="P5" s="58">
        <v>300.0</v>
      </c>
      <c r="Q5" s="24">
        <f t="shared" ref="Q5:Q57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45334.0</v>
      </c>
      <c r="C6" s="55" t="s">
        <v>1035</v>
      </c>
      <c r="D6" s="56">
        <v>13762.0</v>
      </c>
      <c r="E6" s="57" t="s">
        <v>267</v>
      </c>
      <c r="F6" s="21">
        <v>400.0</v>
      </c>
      <c r="G6" s="21"/>
      <c r="H6" s="21"/>
      <c r="I6" s="22"/>
      <c r="J6" s="21"/>
      <c r="K6" s="21"/>
      <c r="L6" s="21"/>
      <c r="M6" s="21"/>
      <c r="N6" s="21"/>
      <c r="O6" s="21"/>
      <c r="P6" s="58">
        <v>400.0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45335.0</v>
      </c>
      <c r="C7" s="55" t="s">
        <v>1036</v>
      </c>
      <c r="D7" s="56">
        <v>31927.0</v>
      </c>
      <c r="E7" s="57" t="s">
        <v>121</v>
      </c>
      <c r="F7" s="21"/>
      <c r="G7" s="21"/>
      <c r="H7" s="21"/>
      <c r="I7" s="22">
        <v>450.0</v>
      </c>
      <c r="J7" s="21"/>
      <c r="K7" s="21"/>
      <c r="L7" s="21"/>
      <c r="M7" s="21"/>
      <c r="N7" s="21"/>
      <c r="O7" s="21"/>
      <c r="P7" s="58">
        <v>450.0</v>
      </c>
      <c r="Q7" s="24">
        <f t="shared" si="1"/>
        <v>0</v>
      </c>
      <c r="R7" s="59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45335.0</v>
      </c>
      <c r="C8" s="55" t="s">
        <v>1037</v>
      </c>
      <c r="D8" s="56">
        <v>71418.0</v>
      </c>
      <c r="E8" s="57" t="s">
        <v>1038</v>
      </c>
      <c r="F8" s="21"/>
      <c r="G8" s="21"/>
      <c r="H8" s="21"/>
      <c r="I8" s="22"/>
      <c r="J8" s="21">
        <v>2650.0</v>
      </c>
      <c r="K8" s="21"/>
      <c r="L8" s="21"/>
      <c r="M8" s="21"/>
      <c r="N8" s="21"/>
      <c r="O8" s="21"/>
      <c r="P8" s="58">
        <v>2650.0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45335.0</v>
      </c>
      <c r="C9" s="55" t="s">
        <v>1039</v>
      </c>
      <c r="D9" s="56">
        <v>10250.0</v>
      </c>
      <c r="E9" s="57" t="s">
        <v>91</v>
      </c>
      <c r="F9" s="21"/>
      <c r="G9" s="21"/>
      <c r="H9" s="21"/>
      <c r="I9" s="22"/>
      <c r="J9" s="21">
        <v>3550.0</v>
      </c>
      <c r="K9" s="21"/>
      <c r="L9" s="21"/>
      <c r="M9" s="21"/>
      <c r="N9" s="21"/>
      <c r="O9" s="21"/>
      <c r="P9" s="58">
        <v>3550.0</v>
      </c>
      <c r="Q9" s="24">
        <f t="shared" si="1"/>
        <v>0</v>
      </c>
      <c r="R9" s="59" t="s">
        <v>56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45335.0</v>
      </c>
      <c r="C10" s="55" t="s">
        <v>1040</v>
      </c>
      <c r="D10" s="56">
        <v>19688.0</v>
      </c>
      <c r="E10" s="57" t="s">
        <v>691</v>
      </c>
      <c r="F10" s="21"/>
      <c r="G10" s="21"/>
      <c r="H10" s="21"/>
      <c r="I10" s="22"/>
      <c r="J10" s="21">
        <v>15000.0</v>
      </c>
      <c r="K10" s="21"/>
      <c r="L10" s="21"/>
      <c r="M10" s="21"/>
      <c r="N10" s="21"/>
      <c r="O10" s="21"/>
      <c r="P10" s="58">
        <v>15000.0</v>
      </c>
      <c r="Q10" s="24">
        <f t="shared" si="1"/>
        <v>0</v>
      </c>
      <c r="R10" s="59" t="s">
        <v>85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45335.0</v>
      </c>
      <c r="C11" s="55" t="s">
        <v>1041</v>
      </c>
      <c r="D11" s="56">
        <v>19688.0</v>
      </c>
      <c r="E11" s="57" t="s">
        <v>691</v>
      </c>
      <c r="F11" s="21"/>
      <c r="G11" s="21"/>
      <c r="H11" s="21"/>
      <c r="I11" s="22"/>
      <c r="J11" s="21">
        <v>5150.0</v>
      </c>
      <c r="K11" s="21"/>
      <c r="L11" s="21"/>
      <c r="M11" s="21"/>
      <c r="N11" s="21"/>
      <c r="O11" s="21"/>
      <c r="P11" s="58">
        <v>5150.0</v>
      </c>
      <c r="Q11" s="24">
        <f t="shared" si="1"/>
        <v>0</v>
      </c>
      <c r="R11" s="59" t="s">
        <v>85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45335.0</v>
      </c>
      <c r="C12" s="55" t="s">
        <v>1042</v>
      </c>
      <c r="D12" s="56">
        <v>78454.0</v>
      </c>
      <c r="E12" s="57" t="s">
        <v>1043</v>
      </c>
      <c r="F12" s="21"/>
      <c r="G12" s="21"/>
      <c r="H12" s="21"/>
      <c r="I12" s="22"/>
      <c r="J12" s="21">
        <v>2650.0</v>
      </c>
      <c r="K12" s="21"/>
      <c r="L12" s="21"/>
      <c r="M12" s="21"/>
      <c r="N12" s="21"/>
      <c r="O12" s="21"/>
      <c r="P12" s="58">
        <v>2650.0</v>
      </c>
      <c r="Q12" s="24">
        <f t="shared" si="1"/>
        <v>0</v>
      </c>
      <c r="R12" s="59" t="s">
        <v>66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45335.0</v>
      </c>
      <c r="C13" s="55" t="s">
        <v>1044</v>
      </c>
      <c r="D13" s="56">
        <v>55448.0</v>
      </c>
      <c r="E13" s="57" t="s">
        <v>698</v>
      </c>
      <c r="F13" s="21"/>
      <c r="G13" s="21">
        <v>40000.0</v>
      </c>
      <c r="H13" s="21"/>
      <c r="I13" s="22"/>
      <c r="J13" s="21"/>
      <c r="K13" s="21"/>
      <c r="L13" s="21"/>
      <c r="M13" s="21"/>
      <c r="N13" s="21"/>
      <c r="O13" s="21"/>
      <c r="P13" s="58">
        <v>40000.0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45335.0</v>
      </c>
      <c r="C14" s="55" t="s">
        <v>1045</v>
      </c>
      <c r="D14" s="56">
        <v>19688.0</v>
      </c>
      <c r="E14" s="57" t="s">
        <v>691</v>
      </c>
      <c r="F14" s="21"/>
      <c r="G14" s="21"/>
      <c r="H14" s="21"/>
      <c r="I14" s="22"/>
      <c r="J14" s="21"/>
      <c r="K14" s="21">
        <v>200.0</v>
      </c>
      <c r="L14" s="21"/>
      <c r="M14" s="21"/>
      <c r="N14" s="21"/>
      <c r="O14" s="21"/>
      <c r="P14" s="58">
        <v>200.0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45335.0</v>
      </c>
      <c r="C15" s="55" t="s">
        <v>1046</v>
      </c>
      <c r="D15" s="56">
        <v>50739.0</v>
      </c>
      <c r="E15" s="57" t="s">
        <v>1047</v>
      </c>
      <c r="F15" s="21"/>
      <c r="G15" s="21"/>
      <c r="H15" s="21"/>
      <c r="I15" s="22">
        <v>1250.0</v>
      </c>
      <c r="J15" s="21"/>
      <c r="K15" s="21"/>
      <c r="L15" s="21"/>
      <c r="M15" s="21"/>
      <c r="N15" s="21"/>
      <c r="O15" s="21"/>
      <c r="P15" s="58">
        <v>1250.0</v>
      </c>
      <c r="Q15" s="24">
        <f t="shared" si="1"/>
        <v>0</v>
      </c>
      <c r="R15" s="59" t="s">
        <v>56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45335.0</v>
      </c>
      <c r="C16" s="55" t="s">
        <v>1048</v>
      </c>
      <c r="D16" s="56">
        <v>74752.0</v>
      </c>
      <c r="E16" s="57" t="s">
        <v>1049</v>
      </c>
      <c r="F16" s="21"/>
      <c r="G16" s="21"/>
      <c r="H16" s="21"/>
      <c r="I16" s="22">
        <v>5150.0</v>
      </c>
      <c r="J16" s="21"/>
      <c r="K16" s="21"/>
      <c r="L16" s="21"/>
      <c r="M16" s="21"/>
      <c r="N16" s="21"/>
      <c r="O16" s="21"/>
      <c r="P16" s="58">
        <v>5150.0</v>
      </c>
      <c r="Q16" s="24">
        <f t="shared" si="1"/>
        <v>0</v>
      </c>
      <c r="R16" s="59" t="s">
        <v>66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45335.0</v>
      </c>
      <c r="C17" s="55" t="s">
        <v>1050</v>
      </c>
      <c r="D17" s="56">
        <v>42046.0</v>
      </c>
      <c r="E17" s="57" t="s">
        <v>97</v>
      </c>
      <c r="F17" s="21"/>
      <c r="G17" s="21"/>
      <c r="H17" s="21"/>
      <c r="I17" s="21"/>
      <c r="J17" s="21"/>
      <c r="K17" s="21">
        <v>22500.0</v>
      </c>
      <c r="L17" s="21"/>
      <c r="M17" s="21"/>
      <c r="N17" s="21"/>
      <c r="O17" s="21"/>
      <c r="P17" s="58">
        <v>22500.0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45335.0</v>
      </c>
      <c r="C18" s="55" t="s">
        <v>1051</v>
      </c>
      <c r="D18" s="56">
        <v>22341.0</v>
      </c>
      <c r="E18" s="57" t="s">
        <v>417</v>
      </c>
      <c r="F18" s="21"/>
      <c r="G18" s="21"/>
      <c r="H18" s="21"/>
      <c r="I18" s="21">
        <v>2650.0</v>
      </c>
      <c r="J18" s="21"/>
      <c r="K18" s="21"/>
      <c r="L18" s="21"/>
      <c r="M18" s="21"/>
      <c r="N18" s="21"/>
      <c r="O18" s="21"/>
      <c r="P18" s="58">
        <v>2650.0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45335.0</v>
      </c>
      <c r="C19" s="55" t="s">
        <v>1052</v>
      </c>
      <c r="D19" s="56">
        <v>51406.0</v>
      </c>
      <c r="E19" s="57" t="s">
        <v>657</v>
      </c>
      <c r="F19" s="21"/>
      <c r="G19" s="21"/>
      <c r="H19" s="21"/>
      <c r="I19" s="21">
        <v>2500.0</v>
      </c>
      <c r="J19" s="21"/>
      <c r="K19" s="21"/>
      <c r="L19" s="21"/>
      <c r="M19" s="21"/>
      <c r="N19" s="21"/>
      <c r="O19" s="21"/>
      <c r="P19" s="58">
        <v>2500.0</v>
      </c>
      <c r="Q19" s="24">
        <f t="shared" si="1"/>
        <v>0</v>
      </c>
      <c r="R19" s="59" t="s">
        <v>24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45335.0</v>
      </c>
      <c r="C20" s="55" t="s">
        <v>1053</v>
      </c>
      <c r="D20" s="56">
        <v>51406.0</v>
      </c>
      <c r="E20" s="57" t="s">
        <v>657</v>
      </c>
      <c r="F20" s="21"/>
      <c r="G20" s="21"/>
      <c r="H20" s="21"/>
      <c r="I20" s="21">
        <v>1250.0</v>
      </c>
      <c r="J20" s="21"/>
      <c r="K20" s="21"/>
      <c r="L20" s="21"/>
      <c r="M20" s="21"/>
      <c r="N20" s="21"/>
      <c r="O20" s="21"/>
      <c r="P20" s="58">
        <v>1250.0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45335.0</v>
      </c>
      <c r="C21" s="55" t="s">
        <v>1054</v>
      </c>
      <c r="D21" s="56">
        <v>51406.0</v>
      </c>
      <c r="E21" s="57" t="s">
        <v>657</v>
      </c>
      <c r="F21" s="21"/>
      <c r="G21" s="21"/>
      <c r="H21" s="21"/>
      <c r="I21" s="21">
        <v>5000.0</v>
      </c>
      <c r="J21" s="21"/>
      <c r="K21" s="21"/>
      <c r="L21" s="21"/>
      <c r="M21" s="21"/>
      <c r="N21" s="21"/>
      <c r="O21" s="21"/>
      <c r="P21" s="58">
        <v>5000.0</v>
      </c>
      <c r="Q21" s="24">
        <f t="shared" si="1"/>
        <v>0</v>
      </c>
      <c r="R21" s="59" t="s">
        <v>24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45335.0</v>
      </c>
      <c r="C22" s="55" t="s">
        <v>1055</v>
      </c>
      <c r="D22" s="56">
        <v>75872.0</v>
      </c>
      <c r="E22" s="57" t="s">
        <v>406</v>
      </c>
      <c r="F22" s="21"/>
      <c r="G22" s="21"/>
      <c r="H22" s="21"/>
      <c r="I22" s="21">
        <v>2400.0</v>
      </c>
      <c r="J22" s="21"/>
      <c r="K22" s="21"/>
      <c r="L22" s="21"/>
      <c r="M22" s="21"/>
      <c r="N22" s="21"/>
      <c r="O22" s="21"/>
      <c r="P22" s="58">
        <v>2400.0</v>
      </c>
      <c r="Q22" s="24">
        <f t="shared" si="1"/>
        <v>0</v>
      </c>
      <c r="R22" s="59" t="s">
        <v>56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45335.0</v>
      </c>
      <c r="C23" s="56" t="s">
        <v>1056</v>
      </c>
      <c r="D23" s="56">
        <v>66962.0</v>
      </c>
      <c r="E23" s="57" t="s">
        <v>1057</v>
      </c>
      <c r="F23" s="30"/>
      <c r="G23" s="30">
        <v>13000.0</v>
      </c>
      <c r="H23" s="68"/>
      <c r="I23" s="68"/>
      <c r="J23" s="30"/>
      <c r="K23" s="30"/>
      <c r="L23" s="30"/>
      <c r="M23" s="30"/>
      <c r="N23" s="30"/>
      <c r="O23" s="30"/>
      <c r="P23" s="61">
        <v>13000.0</v>
      </c>
      <c r="Q23" s="24">
        <f t="shared" si="1"/>
        <v>0</v>
      </c>
      <c r="R23" s="57" t="s">
        <v>85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45335.0</v>
      </c>
      <c r="C24" s="56" t="s">
        <v>1058</v>
      </c>
      <c r="D24" s="56">
        <v>68051.0</v>
      </c>
      <c r="E24" s="57" t="s">
        <v>1059</v>
      </c>
      <c r="F24" s="30"/>
      <c r="G24" s="30">
        <v>1500.0</v>
      </c>
      <c r="H24" s="30"/>
      <c r="I24" s="30"/>
      <c r="J24" s="30"/>
      <c r="K24" s="30"/>
      <c r="L24" s="30"/>
      <c r="M24" s="30"/>
      <c r="N24" s="30"/>
      <c r="O24" s="30"/>
      <c r="P24" s="61">
        <v>1500.0</v>
      </c>
      <c r="Q24" s="24">
        <f t="shared" si="1"/>
        <v>0</v>
      </c>
      <c r="R24" s="57" t="s">
        <v>85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45335.0</v>
      </c>
      <c r="C25" s="56" t="s">
        <v>1060</v>
      </c>
      <c r="D25" s="56">
        <v>22332.0</v>
      </c>
      <c r="E25" s="57" t="s">
        <v>404</v>
      </c>
      <c r="F25" s="30"/>
      <c r="G25" s="30"/>
      <c r="H25" s="30"/>
      <c r="I25" s="30">
        <v>3275.0</v>
      </c>
      <c r="J25" s="30"/>
      <c r="K25" s="30"/>
      <c r="L25" s="30"/>
      <c r="M25" s="30"/>
      <c r="N25" s="30"/>
      <c r="O25" s="30"/>
      <c r="P25" s="61">
        <v>3275.0</v>
      </c>
      <c r="Q25" s="24">
        <f t="shared" si="1"/>
        <v>0</v>
      </c>
      <c r="R25" s="57" t="s">
        <v>56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45335.0</v>
      </c>
      <c r="C26" s="56" t="s">
        <v>1061</v>
      </c>
      <c r="D26" s="56">
        <v>54226.0</v>
      </c>
      <c r="E26" s="57" t="s">
        <v>487</v>
      </c>
      <c r="F26" s="30"/>
      <c r="G26" s="30"/>
      <c r="H26" s="30"/>
      <c r="I26" s="30">
        <v>10000.0</v>
      </c>
      <c r="J26" s="30"/>
      <c r="K26" s="30"/>
      <c r="L26" s="30"/>
      <c r="M26" s="30"/>
      <c r="N26" s="30"/>
      <c r="O26" s="30"/>
      <c r="P26" s="61">
        <v>10000.0</v>
      </c>
      <c r="Q26" s="24">
        <f t="shared" si="1"/>
        <v>0</v>
      </c>
      <c r="R26" s="57" t="s">
        <v>56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45335.0</v>
      </c>
      <c r="C27" s="56" t="s">
        <v>1062</v>
      </c>
      <c r="D27" s="56">
        <v>81579.0</v>
      </c>
      <c r="E27" s="57" t="s">
        <v>1063</v>
      </c>
      <c r="F27" s="30"/>
      <c r="G27" s="30"/>
      <c r="H27" s="30"/>
      <c r="I27" s="30">
        <v>7300.0</v>
      </c>
      <c r="J27" s="30"/>
      <c r="K27" s="30"/>
      <c r="L27" s="30"/>
      <c r="M27" s="30"/>
      <c r="N27" s="30"/>
      <c r="O27" s="30"/>
      <c r="P27" s="61">
        <v>7300.0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45335.0</v>
      </c>
      <c r="C28" s="56" t="s">
        <v>1064</v>
      </c>
      <c r="D28" s="56">
        <v>54763.0</v>
      </c>
      <c r="E28" s="57" t="s">
        <v>36</v>
      </c>
      <c r="F28" s="30"/>
      <c r="G28" s="30"/>
      <c r="H28" s="30">
        <v>7500.0</v>
      </c>
      <c r="I28" s="30"/>
      <c r="J28" s="30"/>
      <c r="K28" s="30"/>
      <c r="L28" s="30"/>
      <c r="M28" s="30"/>
      <c r="N28" s="30"/>
      <c r="O28" s="30"/>
      <c r="P28" s="61">
        <v>7500.0</v>
      </c>
      <c r="Q28" s="24">
        <f t="shared" si="1"/>
        <v>0</v>
      </c>
      <c r="R28" s="57" t="s">
        <v>24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45335.0</v>
      </c>
      <c r="C29" s="56" t="s">
        <v>1065</v>
      </c>
      <c r="D29" s="56">
        <v>51660.0</v>
      </c>
      <c r="E29" s="57" t="s">
        <v>1066</v>
      </c>
      <c r="F29" s="30"/>
      <c r="G29" s="30"/>
      <c r="H29" s="30"/>
      <c r="I29" s="30"/>
      <c r="J29" s="30"/>
      <c r="K29" s="30"/>
      <c r="L29" s="30"/>
      <c r="M29" s="30">
        <v>700.0</v>
      </c>
      <c r="N29" s="30"/>
      <c r="O29" s="30"/>
      <c r="P29" s="61">
        <v>700.0</v>
      </c>
      <c r="Q29" s="24">
        <f t="shared" si="1"/>
        <v>0</v>
      </c>
      <c r="R29" s="57" t="s">
        <v>24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45335.0</v>
      </c>
      <c r="C30" s="56" t="s">
        <v>1067</v>
      </c>
      <c r="D30" s="56">
        <v>79860.0</v>
      </c>
      <c r="E30" s="57" t="s">
        <v>1068</v>
      </c>
      <c r="F30" s="30"/>
      <c r="G30" s="30"/>
      <c r="H30" s="30"/>
      <c r="I30" s="30"/>
      <c r="J30" s="30">
        <v>1050.0</v>
      </c>
      <c r="K30" s="30"/>
      <c r="L30" s="30"/>
      <c r="M30" s="30"/>
      <c r="N30" s="30"/>
      <c r="O30" s="30"/>
      <c r="P30" s="61">
        <v>1050.0</v>
      </c>
      <c r="Q30" s="24">
        <f t="shared" si="1"/>
        <v>0</v>
      </c>
      <c r="R30" s="57" t="s">
        <v>66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45335.0</v>
      </c>
      <c r="C31" s="56" t="s">
        <v>1069</v>
      </c>
      <c r="D31" s="56">
        <v>19688.0</v>
      </c>
      <c r="E31" s="57" t="s">
        <v>691</v>
      </c>
      <c r="F31" s="30"/>
      <c r="G31" s="30"/>
      <c r="H31" s="30"/>
      <c r="I31" s="30"/>
      <c r="J31" s="30">
        <v>2650.0</v>
      </c>
      <c r="K31" s="30"/>
      <c r="L31" s="30"/>
      <c r="M31" s="30"/>
      <c r="N31" s="30"/>
      <c r="O31" s="30"/>
      <c r="P31" s="61">
        <v>2650.0</v>
      </c>
      <c r="Q31" s="24">
        <f t="shared" si="1"/>
        <v>0</v>
      </c>
      <c r="R31" s="57" t="s">
        <v>66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45335.0</v>
      </c>
      <c r="C32" s="56" t="s">
        <v>1070</v>
      </c>
      <c r="D32" s="56">
        <v>30895.0</v>
      </c>
      <c r="E32" s="57" t="s">
        <v>213</v>
      </c>
      <c r="F32" s="30"/>
      <c r="G32" s="30"/>
      <c r="H32" s="30"/>
      <c r="I32" s="30"/>
      <c r="J32" s="30"/>
      <c r="K32" s="30">
        <v>8000.0</v>
      </c>
      <c r="L32" s="30"/>
      <c r="M32" s="30"/>
      <c r="N32" s="30"/>
      <c r="O32" s="30"/>
      <c r="P32" s="61">
        <v>8000.0</v>
      </c>
      <c r="Q32" s="24">
        <f t="shared" si="1"/>
        <v>0</v>
      </c>
      <c r="R32" s="57" t="s">
        <v>85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45335.0</v>
      </c>
      <c r="C33" s="56" t="s">
        <v>1071</v>
      </c>
      <c r="D33" s="56">
        <v>46927.0</v>
      </c>
      <c r="E33" s="57" t="s">
        <v>653</v>
      </c>
      <c r="F33" s="30"/>
      <c r="G33" s="30">
        <v>5350.0</v>
      </c>
      <c r="H33" s="30"/>
      <c r="I33" s="30"/>
      <c r="J33" s="30"/>
      <c r="K33" s="30"/>
      <c r="L33" s="30"/>
      <c r="M33" s="30"/>
      <c r="N33" s="30"/>
      <c r="O33" s="30"/>
      <c r="P33" s="61">
        <v>5350.0</v>
      </c>
      <c r="Q33" s="24">
        <f t="shared" si="1"/>
        <v>0</v>
      </c>
      <c r="R33" s="57" t="s">
        <v>85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45335.0</v>
      </c>
      <c r="C34" s="56" t="s">
        <v>1072</v>
      </c>
      <c r="D34" s="56">
        <v>58257.0</v>
      </c>
      <c r="E34" s="57" t="s">
        <v>918</v>
      </c>
      <c r="F34" s="30">
        <v>300.0</v>
      </c>
      <c r="G34" s="30"/>
      <c r="H34" s="30"/>
      <c r="I34" s="30"/>
      <c r="J34" s="30"/>
      <c r="K34" s="30"/>
      <c r="L34" s="30"/>
      <c r="M34" s="30">
        <v>2900.0</v>
      </c>
      <c r="N34" s="30"/>
      <c r="O34" s="30"/>
      <c r="P34" s="61">
        <v>3200.0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45335.0</v>
      </c>
      <c r="C35" s="56" t="s">
        <v>1073</v>
      </c>
      <c r="D35" s="56">
        <v>49831.0</v>
      </c>
      <c r="E35" s="57" t="s">
        <v>591</v>
      </c>
      <c r="F35" s="30"/>
      <c r="G35" s="30"/>
      <c r="H35" s="30"/>
      <c r="I35" s="30"/>
      <c r="J35" s="30">
        <v>2550.0</v>
      </c>
      <c r="K35" s="30"/>
      <c r="L35" s="30"/>
      <c r="M35" s="30"/>
      <c r="N35" s="30"/>
      <c r="O35" s="30"/>
      <c r="P35" s="61">
        <v>2550.0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45335.0</v>
      </c>
      <c r="C36" s="56" t="s">
        <v>1074</v>
      </c>
      <c r="D36" s="56">
        <v>59244.0</v>
      </c>
      <c r="E36" s="57" t="s">
        <v>388</v>
      </c>
      <c r="F36" s="30"/>
      <c r="G36" s="30"/>
      <c r="H36" s="30"/>
      <c r="I36" s="30">
        <v>8400.0</v>
      </c>
      <c r="J36" s="30"/>
      <c r="K36" s="30"/>
      <c r="L36" s="30"/>
      <c r="M36" s="30"/>
      <c r="N36" s="30"/>
      <c r="O36" s="30"/>
      <c r="P36" s="61">
        <v>8400.0</v>
      </c>
      <c r="Q36" s="24">
        <f t="shared" si="1"/>
        <v>0</v>
      </c>
      <c r="R36" s="57" t="s">
        <v>85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45335.0</v>
      </c>
      <c r="C37" s="56" t="s">
        <v>1075</v>
      </c>
      <c r="D37" s="56">
        <v>39317.0</v>
      </c>
      <c r="E37" s="57" t="s">
        <v>99</v>
      </c>
      <c r="F37" s="30"/>
      <c r="G37" s="30"/>
      <c r="H37" s="30"/>
      <c r="I37" s="30"/>
      <c r="J37" s="30">
        <v>2650.0</v>
      </c>
      <c r="K37" s="30"/>
      <c r="L37" s="30"/>
      <c r="M37" s="30"/>
      <c r="N37" s="30"/>
      <c r="O37" s="30"/>
      <c r="P37" s="61">
        <v>2650.0</v>
      </c>
      <c r="Q37" s="24">
        <f t="shared" si="1"/>
        <v>0</v>
      </c>
      <c r="R37" s="57" t="s">
        <v>85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45335.0</v>
      </c>
      <c r="C38" s="56" t="s">
        <v>1076</v>
      </c>
      <c r="D38" s="56">
        <v>39317.0</v>
      </c>
      <c r="E38" s="57" t="s">
        <v>99</v>
      </c>
      <c r="F38" s="30"/>
      <c r="G38" s="30"/>
      <c r="H38" s="30"/>
      <c r="I38" s="30"/>
      <c r="J38" s="30">
        <v>1200.0</v>
      </c>
      <c r="K38" s="30"/>
      <c r="L38" s="30"/>
      <c r="M38" s="30"/>
      <c r="N38" s="30"/>
      <c r="O38" s="30"/>
      <c r="P38" s="61">
        <v>1200.0</v>
      </c>
      <c r="Q38" s="24">
        <f t="shared" si="1"/>
        <v>0</v>
      </c>
      <c r="R38" s="57" t="s">
        <v>85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45335.0</v>
      </c>
      <c r="C39" s="56" t="s">
        <v>1077</v>
      </c>
      <c r="D39" s="56">
        <v>68268.0</v>
      </c>
      <c r="E39" s="57" t="s">
        <v>89</v>
      </c>
      <c r="F39" s="30"/>
      <c r="G39" s="30"/>
      <c r="H39" s="30"/>
      <c r="I39" s="30">
        <v>15000.0</v>
      </c>
      <c r="J39" s="30"/>
      <c r="K39" s="30"/>
      <c r="L39" s="30"/>
      <c r="M39" s="30"/>
      <c r="N39" s="30"/>
      <c r="O39" s="30"/>
      <c r="P39" s="61">
        <v>15000.0</v>
      </c>
      <c r="Q39" s="24">
        <f t="shared" si="1"/>
        <v>0</v>
      </c>
      <c r="R39" s="57" t="s">
        <v>85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45335.0</v>
      </c>
      <c r="C40" s="56" t="s">
        <v>1078</v>
      </c>
      <c r="D40" s="56">
        <v>53249.0</v>
      </c>
      <c r="E40" s="57" t="s">
        <v>152</v>
      </c>
      <c r="F40" s="30"/>
      <c r="G40" s="30"/>
      <c r="H40" s="30"/>
      <c r="I40" s="30"/>
      <c r="J40" s="30">
        <v>30000.0</v>
      </c>
      <c r="K40" s="30"/>
      <c r="L40" s="30"/>
      <c r="M40" s="30"/>
      <c r="N40" s="30"/>
      <c r="O40" s="30"/>
      <c r="P40" s="61">
        <v>30000.0</v>
      </c>
      <c r="Q40" s="24">
        <f t="shared" si="1"/>
        <v>0</v>
      </c>
      <c r="R40" s="57" t="s">
        <v>85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45334.0</v>
      </c>
      <c r="C41" s="56" t="s">
        <v>1079</v>
      </c>
      <c r="D41" s="56">
        <v>48649.0</v>
      </c>
      <c r="E41" s="57" t="s">
        <v>256</v>
      </c>
      <c r="F41" s="30"/>
      <c r="G41" s="30"/>
      <c r="H41" s="30"/>
      <c r="I41" s="30"/>
      <c r="J41" s="30"/>
      <c r="K41" s="30">
        <v>3000.0</v>
      </c>
      <c r="L41" s="30"/>
      <c r="M41" s="30"/>
      <c r="N41" s="30"/>
      <c r="O41" s="30"/>
      <c r="P41" s="61">
        <v>3000.0</v>
      </c>
      <c r="Q41" s="24">
        <f t="shared" si="1"/>
        <v>0</v>
      </c>
      <c r="R41" s="57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45334.0</v>
      </c>
      <c r="C42" s="56" t="s">
        <v>1080</v>
      </c>
      <c r="D42" s="56">
        <v>35245.0</v>
      </c>
      <c r="E42" s="57" t="s">
        <v>1081</v>
      </c>
      <c r="F42" s="30"/>
      <c r="G42" s="30"/>
      <c r="H42" s="30">
        <v>300.0</v>
      </c>
      <c r="I42" s="30"/>
      <c r="J42" s="30"/>
      <c r="K42" s="30"/>
      <c r="L42" s="30"/>
      <c r="M42" s="30"/>
      <c r="N42" s="30"/>
      <c r="O42" s="30"/>
      <c r="P42" s="61">
        <v>300.0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45335.0</v>
      </c>
      <c r="C43" s="56" t="s">
        <v>1082</v>
      </c>
      <c r="D43" s="56">
        <v>19688.0</v>
      </c>
      <c r="E43" s="57" t="s">
        <v>691</v>
      </c>
      <c r="F43" s="30"/>
      <c r="G43" s="30"/>
      <c r="H43" s="30"/>
      <c r="I43" s="30"/>
      <c r="J43" s="30"/>
      <c r="K43" s="30"/>
      <c r="L43" s="30"/>
      <c r="M43" s="30"/>
      <c r="N43" s="30"/>
      <c r="O43" s="30">
        <v>2400.0</v>
      </c>
      <c r="P43" s="61">
        <v>2400.0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45335.0</v>
      </c>
      <c r="C44" s="56" t="s">
        <v>1083</v>
      </c>
      <c r="D44" s="56">
        <v>46522.0</v>
      </c>
      <c r="E44" s="57" t="s">
        <v>1084</v>
      </c>
      <c r="F44" s="30"/>
      <c r="G44" s="30"/>
      <c r="H44" s="30"/>
      <c r="I44" s="30"/>
      <c r="J44" s="30"/>
      <c r="K44" s="30"/>
      <c r="L44" s="30"/>
      <c r="M44" s="30"/>
      <c r="N44" s="30"/>
      <c r="O44" s="30">
        <v>875.0</v>
      </c>
      <c r="P44" s="61">
        <v>875.0</v>
      </c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45335.0</v>
      </c>
      <c r="C45" s="56" t="s">
        <v>1085</v>
      </c>
      <c r="D45" s="56">
        <v>48651.0</v>
      </c>
      <c r="E45" s="57" t="s">
        <v>1086</v>
      </c>
      <c r="F45" s="30"/>
      <c r="G45" s="30"/>
      <c r="H45" s="30"/>
      <c r="I45" s="30"/>
      <c r="J45" s="30"/>
      <c r="K45" s="30"/>
      <c r="L45" s="30"/>
      <c r="M45" s="30"/>
      <c r="N45" s="30"/>
      <c r="O45" s="30">
        <v>1200.0</v>
      </c>
      <c r="P45" s="61">
        <v>1200.0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45335.0</v>
      </c>
      <c r="C46" s="56" t="s">
        <v>1087</v>
      </c>
      <c r="D46" s="56">
        <v>50115.0</v>
      </c>
      <c r="E46" s="57" t="s">
        <v>1088</v>
      </c>
      <c r="F46" s="30"/>
      <c r="G46" s="30"/>
      <c r="H46" s="30"/>
      <c r="I46" s="30"/>
      <c r="J46" s="30"/>
      <c r="K46" s="30"/>
      <c r="L46" s="30"/>
      <c r="M46" s="30"/>
      <c r="N46" s="30"/>
      <c r="O46" s="30">
        <v>1200.0</v>
      </c>
      <c r="P46" s="61">
        <v>1200.0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45335.0</v>
      </c>
      <c r="C47" s="56" t="s">
        <v>1089</v>
      </c>
      <c r="D47" s="56">
        <v>24951.0</v>
      </c>
      <c r="E47" s="57" t="s">
        <v>1090</v>
      </c>
      <c r="F47" s="30"/>
      <c r="G47" s="30"/>
      <c r="H47" s="30"/>
      <c r="I47" s="30"/>
      <c r="J47" s="30"/>
      <c r="K47" s="30"/>
      <c r="L47" s="30"/>
      <c r="M47" s="30"/>
      <c r="N47" s="30"/>
      <c r="O47" s="30">
        <v>1050.0</v>
      </c>
      <c r="P47" s="61">
        <v>1050.0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45335.0</v>
      </c>
      <c r="C48" s="56" t="s">
        <v>1091</v>
      </c>
      <c r="D48" s="56">
        <v>27895.0</v>
      </c>
      <c r="E48" s="57" t="s">
        <v>1092</v>
      </c>
      <c r="F48" s="30"/>
      <c r="G48" s="30"/>
      <c r="H48" s="30"/>
      <c r="I48" s="30"/>
      <c r="J48" s="30"/>
      <c r="K48" s="30"/>
      <c r="L48" s="30"/>
      <c r="M48" s="30"/>
      <c r="N48" s="30"/>
      <c r="O48" s="30">
        <v>1200.0</v>
      </c>
      <c r="P48" s="61">
        <v>1200.0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45335.0</v>
      </c>
      <c r="C49" s="64" t="s">
        <v>1093</v>
      </c>
      <c r="D49" s="64">
        <v>55158.0</v>
      </c>
      <c r="E49" s="65" t="s">
        <v>1094</v>
      </c>
      <c r="F49" s="30"/>
      <c r="G49" s="30"/>
      <c r="H49" s="30"/>
      <c r="I49" s="30"/>
      <c r="J49" s="30"/>
      <c r="K49" s="30"/>
      <c r="L49" s="30"/>
      <c r="M49" s="30"/>
      <c r="N49" s="30"/>
      <c r="O49" s="30">
        <v>875.0</v>
      </c>
      <c r="P49" s="66">
        <v>875.0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45335.0</v>
      </c>
      <c r="C50" s="64" t="s">
        <v>1095</v>
      </c>
      <c r="D50" s="64">
        <v>21828.0</v>
      </c>
      <c r="E50" s="65" t="s">
        <v>217</v>
      </c>
      <c r="F50" s="30"/>
      <c r="G50" s="30"/>
      <c r="H50" s="30"/>
      <c r="I50" s="30"/>
      <c r="J50" s="30"/>
      <c r="K50" s="30"/>
      <c r="L50" s="30"/>
      <c r="M50" s="30">
        <v>5000.0</v>
      </c>
      <c r="N50" s="30"/>
      <c r="O50" s="30"/>
      <c r="P50" s="66">
        <v>5000.0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45335.0</v>
      </c>
      <c r="C51" s="64" t="s">
        <v>1096</v>
      </c>
      <c r="D51" s="64">
        <v>80950.0</v>
      </c>
      <c r="E51" s="65" t="s">
        <v>1097</v>
      </c>
      <c r="F51" s="30"/>
      <c r="G51" s="30"/>
      <c r="H51" s="30"/>
      <c r="I51" s="30"/>
      <c r="J51" s="30"/>
      <c r="K51" s="30">
        <v>200.0</v>
      </c>
      <c r="L51" s="30"/>
      <c r="M51" s="30"/>
      <c r="N51" s="30"/>
      <c r="O51" s="30"/>
      <c r="P51" s="66">
        <v>200.0</v>
      </c>
      <c r="Q51" s="24">
        <f t="shared" si="1"/>
        <v>0</v>
      </c>
      <c r="R51" s="57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45335.0</v>
      </c>
      <c r="C52" s="64" t="s">
        <v>1098</v>
      </c>
      <c r="D52" s="64">
        <v>50595.0</v>
      </c>
      <c r="E52" s="65" t="s">
        <v>427</v>
      </c>
      <c r="F52" s="30"/>
      <c r="G52" s="30"/>
      <c r="H52" s="30">
        <v>30350.0</v>
      </c>
      <c r="I52" s="30"/>
      <c r="J52" s="30"/>
      <c r="K52" s="30"/>
      <c r="L52" s="30"/>
      <c r="M52" s="30"/>
      <c r="N52" s="30"/>
      <c r="O52" s="30"/>
      <c r="P52" s="66">
        <v>30350.0</v>
      </c>
      <c r="Q52" s="24">
        <f t="shared" si="1"/>
        <v>0</v>
      </c>
      <c r="R52" s="57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45335.0</v>
      </c>
      <c r="C53" s="64" t="s">
        <v>1099</v>
      </c>
      <c r="D53" s="64">
        <v>12102.0</v>
      </c>
      <c r="E53" s="65" t="s">
        <v>1100</v>
      </c>
      <c r="F53" s="30"/>
      <c r="G53" s="30"/>
      <c r="H53" s="30">
        <v>20000.0</v>
      </c>
      <c r="I53" s="30"/>
      <c r="J53" s="30"/>
      <c r="K53" s="30"/>
      <c r="L53" s="30"/>
      <c r="M53" s="30"/>
      <c r="N53" s="30"/>
      <c r="O53" s="30"/>
      <c r="P53" s="66">
        <v>20000.0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45335.0</v>
      </c>
      <c r="C54" s="64" t="s">
        <v>1101</v>
      </c>
      <c r="D54" s="64">
        <v>51565.0</v>
      </c>
      <c r="E54" s="65" t="s">
        <v>1102</v>
      </c>
      <c r="F54" s="30"/>
      <c r="G54" s="30"/>
      <c r="H54" s="30"/>
      <c r="I54" s="30"/>
      <c r="J54" s="30"/>
      <c r="K54" s="30"/>
      <c r="L54" s="30"/>
      <c r="M54" s="30"/>
      <c r="N54" s="30"/>
      <c r="O54" s="30">
        <v>2400.0</v>
      </c>
      <c r="P54" s="66">
        <v>2400.0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45335.0</v>
      </c>
      <c r="C55" s="64" t="s">
        <v>1103</v>
      </c>
      <c r="D55" s="64">
        <v>36786.0</v>
      </c>
      <c r="E55" s="65" t="s">
        <v>1104</v>
      </c>
      <c r="F55" s="30"/>
      <c r="G55" s="30"/>
      <c r="H55" s="30"/>
      <c r="I55" s="30"/>
      <c r="J55" s="30"/>
      <c r="K55" s="30"/>
      <c r="L55" s="30"/>
      <c r="M55" s="30"/>
      <c r="N55" s="30"/>
      <c r="O55" s="30">
        <v>7200.0</v>
      </c>
      <c r="P55" s="66">
        <v>7200.0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3">
        <v>45335.0</v>
      </c>
      <c r="C56" s="64" t="s">
        <v>1105</v>
      </c>
      <c r="D56" s="64">
        <v>54763.0</v>
      </c>
      <c r="E56" s="65" t="s">
        <v>36</v>
      </c>
      <c r="F56" s="30"/>
      <c r="G56" s="30"/>
      <c r="H56" s="30"/>
      <c r="I56" s="30"/>
      <c r="J56" s="30"/>
      <c r="K56" s="30">
        <v>315.0</v>
      </c>
      <c r="L56" s="30"/>
      <c r="M56" s="30"/>
      <c r="N56" s="30"/>
      <c r="O56" s="30">
        <v>2085.0</v>
      </c>
      <c r="P56" s="66">
        <v>2400.0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/>
      <c r="B57" s="27"/>
      <c r="C57" s="28"/>
      <c r="D57" s="29"/>
      <c r="E57" s="28"/>
      <c r="F57" s="30">
        <f t="shared" ref="F57:P57" si="2">SUM(F5:F56)</f>
        <v>700</v>
      </c>
      <c r="G57" s="30">
        <f t="shared" si="2"/>
        <v>59850</v>
      </c>
      <c r="H57" s="30">
        <f t="shared" si="2"/>
        <v>58150</v>
      </c>
      <c r="I57" s="30">
        <f t="shared" si="2"/>
        <v>64925</v>
      </c>
      <c r="J57" s="30">
        <f t="shared" si="2"/>
        <v>69100</v>
      </c>
      <c r="K57" s="30">
        <f t="shared" si="2"/>
        <v>34215</v>
      </c>
      <c r="L57" s="30">
        <f t="shared" si="2"/>
        <v>0</v>
      </c>
      <c r="M57" s="30">
        <f t="shared" si="2"/>
        <v>8600</v>
      </c>
      <c r="N57" s="30">
        <f t="shared" si="2"/>
        <v>0</v>
      </c>
      <c r="O57" s="30">
        <f t="shared" si="2"/>
        <v>20485</v>
      </c>
      <c r="P57" s="30">
        <f t="shared" si="2"/>
        <v>316025</v>
      </c>
      <c r="Q57" s="24">
        <f t="shared" si="1"/>
        <v>0</v>
      </c>
      <c r="R57" s="67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36.0" customHeight="1">
      <c r="A58" s="35"/>
      <c r="B58" s="35"/>
      <c r="C58" s="35"/>
      <c r="D58" s="35"/>
      <c r="E58" s="35"/>
      <c r="F58" s="36">
        <f>F57+G57+H57+I57+J57+K57+L57+M57+N57+O57</f>
        <v>316025</v>
      </c>
      <c r="P58" s="36"/>
      <c r="Q58" s="36"/>
      <c r="R58" s="35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37" t="s">
        <v>242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38" t="s">
        <v>243</v>
      </c>
      <c r="F62" s="39" t="s">
        <v>244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245</v>
      </c>
      <c r="F63" s="39" t="s">
        <v>244</v>
      </c>
      <c r="G63" s="4"/>
      <c r="H63" s="4"/>
      <c r="I63" s="4"/>
      <c r="J63" s="4"/>
      <c r="K63" s="4"/>
      <c r="L63" s="4"/>
      <c r="M63" s="4"/>
      <c r="N63" s="4"/>
      <c r="O63" s="4" t="s">
        <v>242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38" t="s">
        <v>246</v>
      </c>
      <c r="F64" s="39" t="s">
        <v>880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38" t="s">
        <v>247</v>
      </c>
      <c r="F65" s="39" t="s">
        <v>244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38" t="s">
        <v>248</v>
      </c>
      <c r="F66" s="39" t="s">
        <v>244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7.0" customHeight="1">
      <c r="A67" s="4"/>
      <c r="B67" s="4"/>
      <c r="C67" s="4"/>
      <c r="D67" s="4"/>
      <c r="E67" s="38" t="s">
        <v>1106</v>
      </c>
      <c r="F67" s="39" t="s">
        <v>244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30.0" customHeight="1">
      <c r="A68" s="4"/>
      <c r="B68" s="4"/>
      <c r="C68" s="4"/>
      <c r="D68" s="4"/>
      <c r="E68" s="40" t="s">
        <v>250</v>
      </c>
      <c r="F68" s="39" t="s">
        <v>880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38" t="s">
        <v>252</v>
      </c>
      <c r="F69" s="39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242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 t="s">
        <v>253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8:O5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5"/>
    <col customWidth="1" min="2" max="2" width="16.38"/>
    <col customWidth="1" min="3" max="3" width="33.5"/>
    <col customWidth="1" min="4" max="4" width="13.13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45335.0</v>
      </c>
      <c r="C5" s="55" t="s">
        <v>1108</v>
      </c>
      <c r="D5" s="56">
        <v>80859.0</v>
      </c>
      <c r="E5" s="57" t="s">
        <v>290</v>
      </c>
      <c r="F5" s="21"/>
      <c r="G5" s="21"/>
      <c r="H5" s="21"/>
      <c r="I5" s="21">
        <v>900.0</v>
      </c>
      <c r="J5" s="22"/>
      <c r="K5" s="21"/>
      <c r="L5" s="21"/>
      <c r="M5" s="21"/>
      <c r="N5" s="21"/>
      <c r="O5" s="21"/>
      <c r="P5" s="58">
        <v>900.0</v>
      </c>
      <c r="Q5" s="24">
        <f t="shared" ref="Q5:Q47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45335.0</v>
      </c>
      <c r="C6" s="55" t="s">
        <v>1109</v>
      </c>
      <c r="D6" s="56">
        <v>52247.0</v>
      </c>
      <c r="E6" s="57" t="s">
        <v>299</v>
      </c>
      <c r="F6" s="21"/>
      <c r="G6" s="21"/>
      <c r="H6" s="21"/>
      <c r="I6" s="22">
        <v>10000.0</v>
      </c>
      <c r="J6" s="21"/>
      <c r="K6" s="21"/>
      <c r="L6" s="21"/>
      <c r="M6" s="21"/>
      <c r="N6" s="21"/>
      <c r="O6" s="21"/>
      <c r="P6" s="58">
        <v>10000.0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45336.0</v>
      </c>
      <c r="C7" s="55" t="s">
        <v>1110</v>
      </c>
      <c r="D7" s="56">
        <v>78850.0</v>
      </c>
      <c r="E7" s="57" t="s">
        <v>1111</v>
      </c>
      <c r="F7" s="21"/>
      <c r="G7" s="21"/>
      <c r="H7" s="21"/>
      <c r="I7" s="22">
        <v>32500.0</v>
      </c>
      <c r="J7" s="21"/>
      <c r="K7" s="21"/>
      <c r="L7" s="21"/>
      <c r="M7" s="21"/>
      <c r="N7" s="21"/>
      <c r="O7" s="21"/>
      <c r="P7" s="58">
        <v>32500.0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45336.0</v>
      </c>
      <c r="C8" s="55" t="s">
        <v>1112</v>
      </c>
      <c r="D8" s="56">
        <v>67621.0</v>
      </c>
      <c r="E8" s="57" t="s">
        <v>463</v>
      </c>
      <c r="F8" s="21"/>
      <c r="G8" s="21"/>
      <c r="H8" s="21"/>
      <c r="I8" s="22">
        <v>2250.0</v>
      </c>
      <c r="J8" s="21"/>
      <c r="K8" s="21"/>
      <c r="L8" s="21"/>
      <c r="M8" s="21"/>
      <c r="N8" s="21"/>
      <c r="O8" s="21"/>
      <c r="P8" s="58">
        <v>2250.0</v>
      </c>
      <c r="Q8" s="24">
        <f t="shared" si="1"/>
        <v>0</v>
      </c>
      <c r="R8" s="59" t="s">
        <v>56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45336.0</v>
      </c>
      <c r="C9" s="55" t="s">
        <v>1113</v>
      </c>
      <c r="D9" s="56">
        <v>77578.0</v>
      </c>
      <c r="E9" s="57" t="s">
        <v>1114</v>
      </c>
      <c r="F9" s="21"/>
      <c r="G9" s="21"/>
      <c r="H9" s="21"/>
      <c r="I9" s="22">
        <v>2650.0</v>
      </c>
      <c r="J9" s="21"/>
      <c r="K9" s="21"/>
      <c r="L9" s="21"/>
      <c r="M9" s="21"/>
      <c r="N9" s="21"/>
      <c r="O9" s="21"/>
      <c r="P9" s="58">
        <v>2650.0</v>
      </c>
      <c r="Q9" s="24">
        <f t="shared" si="1"/>
        <v>0</v>
      </c>
      <c r="R9" s="59" t="s">
        <v>56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45336.0</v>
      </c>
      <c r="C10" s="55" t="s">
        <v>1115</v>
      </c>
      <c r="D10" s="56">
        <v>48854.0</v>
      </c>
      <c r="E10" s="57" t="s">
        <v>696</v>
      </c>
      <c r="F10" s="21"/>
      <c r="G10" s="21"/>
      <c r="H10" s="21"/>
      <c r="I10" s="22"/>
      <c r="J10" s="21">
        <v>9500.0</v>
      </c>
      <c r="K10" s="21"/>
      <c r="L10" s="21"/>
      <c r="M10" s="21"/>
      <c r="N10" s="21"/>
      <c r="O10" s="21"/>
      <c r="P10" s="58">
        <v>9500.0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45336.0</v>
      </c>
      <c r="C11" s="55" t="s">
        <v>1116</v>
      </c>
      <c r="D11" s="56">
        <v>77501.0</v>
      </c>
      <c r="E11" s="57" t="s">
        <v>1117</v>
      </c>
      <c r="F11" s="21"/>
      <c r="G11" s="21"/>
      <c r="H11" s="21"/>
      <c r="I11" s="22"/>
      <c r="J11" s="21">
        <v>4450.0</v>
      </c>
      <c r="K11" s="21"/>
      <c r="L11" s="21"/>
      <c r="M11" s="21"/>
      <c r="N11" s="21"/>
      <c r="O11" s="21"/>
      <c r="P11" s="58">
        <v>4450.0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45336.0</v>
      </c>
      <c r="C12" s="55" t="s">
        <v>1118</v>
      </c>
      <c r="D12" s="56">
        <v>77368.0</v>
      </c>
      <c r="E12" s="57" t="s">
        <v>816</v>
      </c>
      <c r="F12" s="21"/>
      <c r="G12" s="21"/>
      <c r="H12" s="21"/>
      <c r="I12" s="22">
        <v>5150.0</v>
      </c>
      <c r="J12" s="21"/>
      <c r="K12" s="21"/>
      <c r="L12" s="21"/>
      <c r="M12" s="21"/>
      <c r="N12" s="21"/>
      <c r="O12" s="21"/>
      <c r="P12" s="58">
        <v>5150.0</v>
      </c>
      <c r="Q12" s="24">
        <f t="shared" si="1"/>
        <v>0</v>
      </c>
      <c r="R12" s="59" t="s">
        <v>56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45336.0</v>
      </c>
      <c r="C13" s="55" t="s">
        <v>1119</v>
      </c>
      <c r="D13" s="56">
        <v>81582.0</v>
      </c>
      <c r="E13" s="57" t="s">
        <v>1120</v>
      </c>
      <c r="F13" s="21"/>
      <c r="G13" s="21"/>
      <c r="H13" s="21"/>
      <c r="I13" s="22">
        <v>7000.0</v>
      </c>
      <c r="J13" s="21"/>
      <c r="K13" s="21"/>
      <c r="L13" s="21"/>
      <c r="M13" s="21"/>
      <c r="N13" s="21"/>
      <c r="O13" s="21"/>
      <c r="P13" s="58">
        <v>7000.0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45336.0</v>
      </c>
      <c r="C14" s="55" t="s">
        <v>1121</v>
      </c>
      <c r="D14" s="56">
        <v>54440.0</v>
      </c>
      <c r="E14" s="57" t="s">
        <v>1122</v>
      </c>
      <c r="F14" s="21"/>
      <c r="G14" s="21"/>
      <c r="H14" s="21"/>
      <c r="I14" s="22">
        <v>1500.0</v>
      </c>
      <c r="J14" s="21"/>
      <c r="K14" s="21"/>
      <c r="L14" s="21"/>
      <c r="M14" s="21"/>
      <c r="N14" s="21"/>
      <c r="O14" s="21"/>
      <c r="P14" s="58">
        <v>1500.0</v>
      </c>
      <c r="Q14" s="24">
        <f t="shared" si="1"/>
        <v>0</v>
      </c>
      <c r="R14" s="59" t="s">
        <v>30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45336.0</v>
      </c>
      <c r="C15" s="55" t="s">
        <v>1123</v>
      </c>
      <c r="D15" s="56">
        <v>62146.0</v>
      </c>
      <c r="E15" s="57" t="s">
        <v>55</v>
      </c>
      <c r="F15" s="21"/>
      <c r="G15" s="21"/>
      <c r="H15" s="21"/>
      <c r="I15" s="22">
        <v>2500.0</v>
      </c>
      <c r="J15" s="21"/>
      <c r="K15" s="21"/>
      <c r="L15" s="21"/>
      <c r="M15" s="21"/>
      <c r="N15" s="21"/>
      <c r="O15" s="21"/>
      <c r="P15" s="58">
        <v>2500.0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45336.0</v>
      </c>
      <c r="C16" s="55" t="s">
        <v>1124</v>
      </c>
      <c r="D16" s="56">
        <v>81587.0</v>
      </c>
      <c r="E16" s="57" t="s">
        <v>1125</v>
      </c>
      <c r="F16" s="21"/>
      <c r="G16" s="21"/>
      <c r="H16" s="21"/>
      <c r="I16" s="22">
        <v>7000.0</v>
      </c>
      <c r="J16" s="21"/>
      <c r="K16" s="21"/>
      <c r="L16" s="21"/>
      <c r="M16" s="21"/>
      <c r="N16" s="21"/>
      <c r="O16" s="21"/>
      <c r="P16" s="58">
        <v>7000.0</v>
      </c>
      <c r="Q16" s="24">
        <f t="shared" si="1"/>
        <v>0</v>
      </c>
      <c r="R16" s="59" t="s">
        <v>56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45336.0</v>
      </c>
      <c r="C17" s="55" t="s">
        <v>1126</v>
      </c>
      <c r="D17" s="56">
        <v>81589.0</v>
      </c>
      <c r="E17" s="57" t="s">
        <v>1127</v>
      </c>
      <c r="F17" s="21"/>
      <c r="G17" s="21">
        <v>7000.0</v>
      </c>
      <c r="H17" s="21"/>
      <c r="I17" s="21"/>
      <c r="J17" s="21"/>
      <c r="K17" s="21"/>
      <c r="L17" s="21"/>
      <c r="M17" s="21"/>
      <c r="N17" s="21"/>
      <c r="O17" s="21"/>
      <c r="P17" s="58">
        <v>7000.0</v>
      </c>
      <c r="Q17" s="24">
        <f t="shared" si="1"/>
        <v>0</v>
      </c>
      <c r="R17" s="59" t="s">
        <v>24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45336.0</v>
      </c>
      <c r="C18" s="55" t="s">
        <v>1128</v>
      </c>
      <c r="D18" s="56">
        <v>69620.0</v>
      </c>
      <c r="E18" s="57" t="s">
        <v>331</v>
      </c>
      <c r="F18" s="21"/>
      <c r="G18" s="21"/>
      <c r="H18" s="21"/>
      <c r="I18" s="21"/>
      <c r="J18" s="21">
        <v>2500.0</v>
      </c>
      <c r="K18" s="21"/>
      <c r="L18" s="21"/>
      <c r="M18" s="21"/>
      <c r="N18" s="21"/>
      <c r="O18" s="21"/>
      <c r="P18" s="58">
        <v>2500.0</v>
      </c>
      <c r="Q18" s="24">
        <f t="shared" si="1"/>
        <v>0</v>
      </c>
      <c r="R18" s="59" t="s">
        <v>85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45336.0</v>
      </c>
      <c r="C19" s="55" t="s">
        <v>1129</v>
      </c>
      <c r="D19" s="56">
        <v>69620.0</v>
      </c>
      <c r="E19" s="57" t="s">
        <v>331</v>
      </c>
      <c r="F19" s="21"/>
      <c r="G19" s="21"/>
      <c r="H19" s="21"/>
      <c r="I19" s="21"/>
      <c r="J19" s="21">
        <v>24000.0</v>
      </c>
      <c r="K19" s="21">
        <v>1000.0</v>
      </c>
      <c r="L19" s="21"/>
      <c r="M19" s="21"/>
      <c r="N19" s="21"/>
      <c r="O19" s="21"/>
      <c r="P19" s="58">
        <v>25000.0</v>
      </c>
      <c r="Q19" s="24">
        <f t="shared" si="1"/>
        <v>0</v>
      </c>
      <c r="R19" s="59" t="s">
        <v>85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45336.0</v>
      </c>
      <c r="C20" s="55" t="s">
        <v>1130</v>
      </c>
      <c r="D20" s="56">
        <v>58050.0</v>
      </c>
      <c r="E20" s="57" t="s">
        <v>364</v>
      </c>
      <c r="F20" s="21"/>
      <c r="G20" s="21"/>
      <c r="H20" s="21"/>
      <c r="I20" s="21"/>
      <c r="J20" s="21">
        <v>1400.0</v>
      </c>
      <c r="K20" s="21"/>
      <c r="L20" s="21"/>
      <c r="M20" s="21"/>
      <c r="N20" s="21"/>
      <c r="O20" s="21"/>
      <c r="P20" s="58">
        <v>1400.0</v>
      </c>
      <c r="Q20" s="24">
        <f t="shared" si="1"/>
        <v>0</v>
      </c>
      <c r="R20" s="59" t="s">
        <v>30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45336.0</v>
      </c>
      <c r="C21" s="55" t="s">
        <v>1131</v>
      </c>
      <c r="D21" s="56">
        <v>81590.0</v>
      </c>
      <c r="E21" s="57" t="s">
        <v>1132</v>
      </c>
      <c r="F21" s="21"/>
      <c r="G21" s="21"/>
      <c r="H21" s="21"/>
      <c r="I21" s="21">
        <v>7300.0</v>
      </c>
      <c r="J21" s="21"/>
      <c r="K21" s="21"/>
      <c r="L21" s="21"/>
      <c r="M21" s="21"/>
      <c r="N21" s="21"/>
      <c r="O21" s="21"/>
      <c r="P21" s="58">
        <v>7300.0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45336.0</v>
      </c>
      <c r="C22" s="55" t="s">
        <v>1133</v>
      </c>
      <c r="D22" s="56">
        <v>68268.0</v>
      </c>
      <c r="E22" s="57" t="s">
        <v>89</v>
      </c>
      <c r="F22" s="21"/>
      <c r="G22" s="21"/>
      <c r="H22" s="21"/>
      <c r="I22" s="21">
        <v>526.0</v>
      </c>
      <c r="J22" s="21"/>
      <c r="K22" s="21">
        <v>924.0</v>
      </c>
      <c r="L22" s="21"/>
      <c r="M22" s="21"/>
      <c r="N22" s="21"/>
      <c r="O22" s="21"/>
      <c r="P22" s="58">
        <v>1450.0</v>
      </c>
      <c r="Q22" s="24">
        <f t="shared" si="1"/>
        <v>0</v>
      </c>
      <c r="R22" s="59" t="s">
        <v>85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45336.0</v>
      </c>
      <c r="C23" s="56" t="s">
        <v>1134</v>
      </c>
      <c r="D23" s="56">
        <v>48910.0</v>
      </c>
      <c r="E23" s="57" t="s">
        <v>175</v>
      </c>
      <c r="F23" s="30"/>
      <c r="G23" s="30"/>
      <c r="H23" s="68"/>
      <c r="I23" s="68"/>
      <c r="J23" s="30">
        <v>10820.0</v>
      </c>
      <c r="K23" s="30"/>
      <c r="L23" s="30"/>
      <c r="M23" s="30"/>
      <c r="N23" s="30"/>
      <c r="O23" s="30"/>
      <c r="P23" s="61">
        <v>10820.0</v>
      </c>
      <c r="Q23" s="24">
        <f t="shared" si="1"/>
        <v>0</v>
      </c>
      <c r="R23" s="57" t="s">
        <v>85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45336.0</v>
      </c>
      <c r="C24" s="56" t="s">
        <v>1135</v>
      </c>
      <c r="D24" s="56">
        <v>81108.0</v>
      </c>
      <c r="E24" s="57" t="s">
        <v>172</v>
      </c>
      <c r="F24" s="30"/>
      <c r="G24" s="30"/>
      <c r="H24" s="30"/>
      <c r="I24" s="30">
        <v>34000.0</v>
      </c>
      <c r="J24" s="30"/>
      <c r="K24" s="30"/>
      <c r="L24" s="30"/>
      <c r="M24" s="30"/>
      <c r="N24" s="30"/>
      <c r="O24" s="30"/>
      <c r="P24" s="61">
        <v>34000.0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45336.0</v>
      </c>
      <c r="C25" s="56" t="s">
        <v>1136</v>
      </c>
      <c r="D25" s="56">
        <v>48387.0</v>
      </c>
      <c r="E25" s="57" t="s">
        <v>1137</v>
      </c>
      <c r="F25" s="30"/>
      <c r="G25" s="30"/>
      <c r="H25" s="30"/>
      <c r="I25" s="30">
        <v>34100.0</v>
      </c>
      <c r="J25" s="30"/>
      <c r="K25" s="30"/>
      <c r="L25" s="30"/>
      <c r="M25" s="30"/>
      <c r="N25" s="30"/>
      <c r="O25" s="30"/>
      <c r="P25" s="61">
        <v>34100.0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45336.0</v>
      </c>
      <c r="C26" s="56" t="s">
        <v>1138</v>
      </c>
      <c r="D26" s="56">
        <v>51017.0</v>
      </c>
      <c r="E26" s="57" t="s">
        <v>150</v>
      </c>
      <c r="F26" s="30"/>
      <c r="G26" s="30"/>
      <c r="H26" s="30">
        <v>34500.0</v>
      </c>
      <c r="I26" s="30"/>
      <c r="J26" s="30"/>
      <c r="K26" s="30"/>
      <c r="L26" s="30"/>
      <c r="M26" s="30"/>
      <c r="N26" s="30"/>
      <c r="O26" s="30"/>
      <c r="P26" s="61">
        <v>34500.0</v>
      </c>
      <c r="Q26" s="24">
        <f t="shared" si="1"/>
        <v>0</v>
      </c>
      <c r="R26" s="57" t="s">
        <v>24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45336.0</v>
      </c>
      <c r="C27" s="56" t="s">
        <v>1139</v>
      </c>
      <c r="D27" s="56">
        <v>30855.0</v>
      </c>
      <c r="E27" s="57" t="s">
        <v>1140</v>
      </c>
      <c r="F27" s="30"/>
      <c r="G27" s="30"/>
      <c r="H27" s="30"/>
      <c r="I27" s="30"/>
      <c r="J27" s="30">
        <v>3550.0</v>
      </c>
      <c r="K27" s="30"/>
      <c r="L27" s="30"/>
      <c r="M27" s="30"/>
      <c r="N27" s="30"/>
      <c r="O27" s="30"/>
      <c r="P27" s="61">
        <v>3550.0</v>
      </c>
      <c r="Q27" s="24">
        <f t="shared" si="1"/>
        <v>0</v>
      </c>
      <c r="R27" s="57" t="s">
        <v>66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45336.0</v>
      </c>
      <c r="C28" s="56" t="s">
        <v>1141</v>
      </c>
      <c r="D28" s="56">
        <v>52240.0</v>
      </c>
      <c r="E28" s="57" t="s">
        <v>1142</v>
      </c>
      <c r="F28" s="30"/>
      <c r="G28" s="30"/>
      <c r="H28" s="30"/>
      <c r="I28" s="30"/>
      <c r="J28" s="30">
        <v>61750.0</v>
      </c>
      <c r="K28" s="30"/>
      <c r="L28" s="30"/>
      <c r="M28" s="30"/>
      <c r="N28" s="30"/>
      <c r="O28" s="30"/>
      <c r="P28" s="61">
        <v>61750.0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45336.0</v>
      </c>
      <c r="C29" s="56" t="s">
        <v>1143</v>
      </c>
      <c r="D29" s="56">
        <v>13762.0</v>
      </c>
      <c r="E29" s="57" t="s">
        <v>267</v>
      </c>
      <c r="F29" s="30"/>
      <c r="G29" s="30"/>
      <c r="H29" s="30"/>
      <c r="I29" s="30"/>
      <c r="J29" s="30"/>
      <c r="K29" s="30"/>
      <c r="L29" s="30"/>
      <c r="M29" s="30">
        <v>4500.0</v>
      </c>
      <c r="N29" s="30"/>
      <c r="O29" s="30"/>
      <c r="P29" s="61">
        <v>4500.0</v>
      </c>
      <c r="Q29" s="24">
        <f t="shared" si="1"/>
        <v>0</v>
      </c>
      <c r="R29" s="57" t="s">
        <v>85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45336.0</v>
      </c>
      <c r="C30" s="56" t="s">
        <v>1144</v>
      </c>
      <c r="D30" s="56">
        <v>26831.0</v>
      </c>
      <c r="E30" s="57" t="s">
        <v>684</v>
      </c>
      <c r="F30" s="30"/>
      <c r="G30" s="30"/>
      <c r="H30" s="30"/>
      <c r="I30" s="30"/>
      <c r="J30" s="30">
        <v>2650.0</v>
      </c>
      <c r="K30" s="30"/>
      <c r="L30" s="30"/>
      <c r="M30" s="30"/>
      <c r="N30" s="30"/>
      <c r="O30" s="30"/>
      <c r="P30" s="61">
        <v>2650.0</v>
      </c>
      <c r="Q30" s="24">
        <f t="shared" si="1"/>
        <v>0</v>
      </c>
      <c r="R30" s="57" t="s">
        <v>56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45336.0</v>
      </c>
      <c r="C31" s="56" t="s">
        <v>1145</v>
      </c>
      <c r="D31" s="56">
        <v>52669.0</v>
      </c>
      <c r="E31" s="57" t="s">
        <v>95</v>
      </c>
      <c r="F31" s="30"/>
      <c r="G31" s="30"/>
      <c r="H31" s="30"/>
      <c r="I31" s="30">
        <v>3950.0</v>
      </c>
      <c r="J31" s="30"/>
      <c r="K31" s="30"/>
      <c r="L31" s="30"/>
      <c r="M31" s="30"/>
      <c r="N31" s="30"/>
      <c r="O31" s="30"/>
      <c r="P31" s="61">
        <v>3950.0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45336.0</v>
      </c>
      <c r="C32" s="56" t="s">
        <v>1146</v>
      </c>
      <c r="D32" s="56">
        <v>22332.0</v>
      </c>
      <c r="E32" s="57" t="s">
        <v>404</v>
      </c>
      <c r="F32" s="30"/>
      <c r="G32" s="30"/>
      <c r="H32" s="30"/>
      <c r="I32" s="30">
        <v>600.0</v>
      </c>
      <c r="J32" s="30"/>
      <c r="K32" s="30"/>
      <c r="L32" s="30"/>
      <c r="M32" s="30"/>
      <c r="N32" s="30"/>
      <c r="O32" s="30"/>
      <c r="P32" s="61">
        <v>600.0</v>
      </c>
      <c r="Q32" s="24">
        <f t="shared" si="1"/>
        <v>0</v>
      </c>
      <c r="R32" s="57" t="s">
        <v>85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45336.0</v>
      </c>
      <c r="C33" s="56" t="s">
        <v>1147</v>
      </c>
      <c r="D33" s="56">
        <v>62146.0</v>
      </c>
      <c r="E33" s="57" t="s">
        <v>55</v>
      </c>
      <c r="F33" s="30"/>
      <c r="G33" s="30"/>
      <c r="H33" s="30"/>
      <c r="I33" s="30">
        <v>450.0</v>
      </c>
      <c r="J33" s="30"/>
      <c r="K33" s="30"/>
      <c r="L33" s="30"/>
      <c r="M33" s="30"/>
      <c r="N33" s="30"/>
      <c r="O33" s="30"/>
      <c r="P33" s="61">
        <v>450.0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45336.0</v>
      </c>
      <c r="C34" s="56" t="s">
        <v>1148</v>
      </c>
      <c r="D34" s="56">
        <v>35362.0</v>
      </c>
      <c r="E34" s="57" t="s">
        <v>1149</v>
      </c>
      <c r="F34" s="30"/>
      <c r="G34" s="30"/>
      <c r="H34" s="30"/>
      <c r="I34" s="30">
        <v>8000.0</v>
      </c>
      <c r="J34" s="30"/>
      <c r="K34" s="30"/>
      <c r="L34" s="30"/>
      <c r="M34" s="30"/>
      <c r="N34" s="30"/>
      <c r="O34" s="30"/>
      <c r="P34" s="61">
        <v>8000.0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45336.0</v>
      </c>
      <c r="C35" s="56" t="s">
        <v>1150</v>
      </c>
      <c r="D35" s="56">
        <v>52083.0</v>
      </c>
      <c r="E35" s="57" t="s">
        <v>23</v>
      </c>
      <c r="F35" s="30"/>
      <c r="G35" s="30"/>
      <c r="H35" s="30"/>
      <c r="I35" s="30">
        <v>8200.0</v>
      </c>
      <c r="J35" s="30"/>
      <c r="K35" s="30"/>
      <c r="L35" s="30"/>
      <c r="M35" s="30"/>
      <c r="N35" s="30"/>
      <c r="O35" s="30"/>
      <c r="P35" s="61">
        <v>8200.0</v>
      </c>
      <c r="Q35" s="24">
        <f t="shared" si="1"/>
        <v>0</v>
      </c>
      <c r="R35" s="57" t="s">
        <v>30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45336.0</v>
      </c>
      <c r="C36" s="56" t="s">
        <v>1151</v>
      </c>
      <c r="D36" s="56">
        <v>55898.0</v>
      </c>
      <c r="E36" s="57" t="s">
        <v>1152</v>
      </c>
      <c r="F36" s="30"/>
      <c r="G36" s="30"/>
      <c r="H36" s="30"/>
      <c r="I36" s="30">
        <v>15000.0</v>
      </c>
      <c r="J36" s="30"/>
      <c r="K36" s="30"/>
      <c r="L36" s="30"/>
      <c r="M36" s="30"/>
      <c r="N36" s="30"/>
      <c r="O36" s="30"/>
      <c r="P36" s="61">
        <v>15000.0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45336.0</v>
      </c>
      <c r="C37" s="56" t="s">
        <v>1153</v>
      </c>
      <c r="D37" s="56">
        <v>35227.0</v>
      </c>
      <c r="E37" s="57" t="s">
        <v>208</v>
      </c>
      <c r="F37" s="30">
        <v>2750.0</v>
      </c>
      <c r="G37" s="30">
        <v>3000.0</v>
      </c>
      <c r="H37" s="30"/>
      <c r="I37" s="30"/>
      <c r="J37" s="30"/>
      <c r="K37" s="30"/>
      <c r="L37" s="30"/>
      <c r="M37" s="30"/>
      <c r="N37" s="30"/>
      <c r="O37" s="30"/>
      <c r="P37" s="61">
        <v>5750.0</v>
      </c>
      <c r="Q37" s="24">
        <f t="shared" si="1"/>
        <v>0</v>
      </c>
      <c r="R37" s="57" t="s">
        <v>30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45336.0</v>
      </c>
      <c r="C38" s="56" t="s">
        <v>1154</v>
      </c>
      <c r="D38" s="56">
        <v>35227.0</v>
      </c>
      <c r="E38" s="57" t="s">
        <v>208</v>
      </c>
      <c r="F38" s="30">
        <v>800.0</v>
      </c>
      <c r="G38" s="30"/>
      <c r="H38" s="30"/>
      <c r="I38" s="30">
        <v>800.0</v>
      </c>
      <c r="J38" s="30"/>
      <c r="K38" s="30"/>
      <c r="L38" s="30"/>
      <c r="M38" s="30"/>
      <c r="N38" s="30"/>
      <c r="O38" s="30"/>
      <c r="P38" s="61">
        <v>1600.0</v>
      </c>
      <c r="Q38" s="24">
        <f t="shared" si="1"/>
        <v>0</v>
      </c>
      <c r="R38" s="57" t="s">
        <v>30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45336.0</v>
      </c>
      <c r="C39" s="56" t="s">
        <v>1155</v>
      </c>
      <c r="D39" s="56">
        <v>21818.0</v>
      </c>
      <c r="E39" s="57" t="s">
        <v>202</v>
      </c>
      <c r="F39" s="30"/>
      <c r="G39" s="30"/>
      <c r="H39" s="30"/>
      <c r="I39" s="30"/>
      <c r="J39" s="30"/>
      <c r="K39" s="30">
        <v>700.0</v>
      </c>
      <c r="L39" s="30"/>
      <c r="M39" s="30"/>
      <c r="N39" s="30"/>
      <c r="O39" s="30"/>
      <c r="P39" s="61">
        <v>700.0</v>
      </c>
      <c r="Q39" s="24">
        <f t="shared" si="1"/>
        <v>0</v>
      </c>
      <c r="R39" s="57" t="s">
        <v>27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45336.0</v>
      </c>
      <c r="C40" s="56" t="s">
        <v>1156</v>
      </c>
      <c r="D40" s="56">
        <v>69620.0</v>
      </c>
      <c r="E40" s="57" t="s">
        <v>331</v>
      </c>
      <c r="F40" s="30"/>
      <c r="G40" s="30"/>
      <c r="H40" s="30"/>
      <c r="I40" s="30"/>
      <c r="J40" s="30"/>
      <c r="K40" s="30">
        <v>355.25</v>
      </c>
      <c r="L40" s="30"/>
      <c r="M40" s="30"/>
      <c r="N40" s="30"/>
      <c r="O40" s="30">
        <v>3244.75</v>
      </c>
      <c r="P40" s="61">
        <v>3600.0</v>
      </c>
      <c r="Q40" s="24">
        <f t="shared" si="1"/>
        <v>0</v>
      </c>
      <c r="R40" s="57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45336.0</v>
      </c>
      <c r="C41" s="56" t="s">
        <v>1157</v>
      </c>
      <c r="D41" s="56">
        <v>52214.0</v>
      </c>
      <c r="E41" s="57" t="s">
        <v>713</v>
      </c>
      <c r="F41" s="30"/>
      <c r="G41" s="30"/>
      <c r="H41" s="30">
        <v>5000.0</v>
      </c>
      <c r="I41" s="30"/>
      <c r="J41" s="30"/>
      <c r="K41" s="30"/>
      <c r="L41" s="30"/>
      <c r="M41" s="30"/>
      <c r="N41" s="30"/>
      <c r="O41" s="30"/>
      <c r="P41" s="61">
        <v>5000.0</v>
      </c>
      <c r="Q41" s="24">
        <f t="shared" si="1"/>
        <v>0</v>
      </c>
      <c r="R41" s="57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45336.0</v>
      </c>
      <c r="C42" s="56" t="s">
        <v>1158</v>
      </c>
      <c r="D42" s="56">
        <v>21828.0</v>
      </c>
      <c r="E42" s="57" t="s">
        <v>217</v>
      </c>
      <c r="F42" s="30"/>
      <c r="G42" s="30"/>
      <c r="H42" s="30"/>
      <c r="I42" s="30"/>
      <c r="J42" s="30"/>
      <c r="K42" s="30"/>
      <c r="L42" s="30"/>
      <c r="M42" s="30">
        <v>450.0</v>
      </c>
      <c r="N42" s="30"/>
      <c r="O42" s="30"/>
      <c r="P42" s="61">
        <v>450.0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45336.0</v>
      </c>
      <c r="C43" s="56" t="s">
        <v>1159</v>
      </c>
      <c r="D43" s="56">
        <v>59137.0</v>
      </c>
      <c r="E43" s="57" t="s">
        <v>1160</v>
      </c>
      <c r="F43" s="30"/>
      <c r="G43" s="30"/>
      <c r="H43" s="30">
        <v>10000.0</v>
      </c>
      <c r="I43" s="30"/>
      <c r="J43" s="30"/>
      <c r="K43" s="30"/>
      <c r="L43" s="30"/>
      <c r="M43" s="30"/>
      <c r="N43" s="30"/>
      <c r="O43" s="30"/>
      <c r="P43" s="61">
        <v>10000.0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45336.0</v>
      </c>
      <c r="C44" s="56" t="s">
        <v>1161</v>
      </c>
      <c r="D44" s="56">
        <v>47787.0</v>
      </c>
      <c r="E44" s="57" t="s">
        <v>1016</v>
      </c>
      <c r="F44" s="30"/>
      <c r="G44" s="30"/>
      <c r="H44" s="30">
        <v>32500.0</v>
      </c>
      <c r="I44" s="30"/>
      <c r="J44" s="30"/>
      <c r="K44" s="30"/>
      <c r="L44" s="30"/>
      <c r="M44" s="30"/>
      <c r="N44" s="30"/>
      <c r="O44" s="30"/>
      <c r="P44" s="61">
        <v>32500.0</v>
      </c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45336.0</v>
      </c>
      <c r="C45" s="56" t="s">
        <v>1162</v>
      </c>
      <c r="D45" s="56">
        <v>66802.0</v>
      </c>
      <c r="E45" s="57" t="s">
        <v>1163</v>
      </c>
      <c r="F45" s="30"/>
      <c r="G45" s="30"/>
      <c r="H45" s="30"/>
      <c r="I45" s="30"/>
      <c r="J45" s="30"/>
      <c r="K45" s="30"/>
      <c r="L45" s="30"/>
      <c r="M45" s="30"/>
      <c r="N45" s="30"/>
      <c r="O45" s="30">
        <v>1200.0</v>
      </c>
      <c r="P45" s="61">
        <v>1200.0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45336.0</v>
      </c>
      <c r="C46" s="56" t="s">
        <v>1164</v>
      </c>
      <c r="D46" s="56">
        <v>67910.0</v>
      </c>
      <c r="E46" s="57" t="s">
        <v>269</v>
      </c>
      <c r="F46" s="30"/>
      <c r="G46" s="30"/>
      <c r="H46" s="30">
        <v>15000.0</v>
      </c>
      <c r="I46" s="30"/>
      <c r="J46" s="30"/>
      <c r="K46" s="30"/>
      <c r="L46" s="30"/>
      <c r="M46" s="30"/>
      <c r="N46" s="30"/>
      <c r="O46" s="30"/>
      <c r="P46" s="61">
        <v>15000.0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/>
      <c r="B47" s="27"/>
      <c r="C47" s="28"/>
      <c r="D47" s="29"/>
      <c r="E47" s="28"/>
      <c r="F47" s="30">
        <f t="shared" ref="F47:P47" si="2">SUM(F5:F46)</f>
        <v>3550</v>
      </c>
      <c r="G47" s="30">
        <f t="shared" si="2"/>
        <v>10000</v>
      </c>
      <c r="H47" s="30">
        <f t="shared" si="2"/>
        <v>97000</v>
      </c>
      <c r="I47" s="30">
        <f t="shared" si="2"/>
        <v>184376</v>
      </c>
      <c r="J47" s="30">
        <f t="shared" si="2"/>
        <v>120620</v>
      </c>
      <c r="K47" s="30">
        <f t="shared" si="2"/>
        <v>2979.25</v>
      </c>
      <c r="L47" s="30">
        <f t="shared" si="2"/>
        <v>0</v>
      </c>
      <c r="M47" s="30">
        <f t="shared" si="2"/>
        <v>4950</v>
      </c>
      <c r="N47" s="30">
        <f t="shared" si="2"/>
        <v>0</v>
      </c>
      <c r="O47" s="30">
        <f t="shared" si="2"/>
        <v>4444.75</v>
      </c>
      <c r="P47" s="30">
        <f t="shared" si="2"/>
        <v>427920</v>
      </c>
      <c r="Q47" s="24">
        <f t="shared" si="1"/>
        <v>0</v>
      </c>
      <c r="R47" s="67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36.0" customHeight="1">
      <c r="A48" s="35"/>
      <c r="B48" s="35"/>
      <c r="C48" s="35"/>
      <c r="D48" s="35"/>
      <c r="E48" s="35"/>
      <c r="F48" s="36">
        <f>F47+G47+H47+I47+J47+K47+L47+M47+N47+O47</f>
        <v>427920</v>
      </c>
      <c r="P48" s="36"/>
      <c r="Q48" s="36"/>
      <c r="R48" s="35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37" t="s">
        <v>242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38" t="s">
        <v>243</v>
      </c>
      <c r="F52" s="39" t="s">
        <v>244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38" t="s">
        <v>245</v>
      </c>
      <c r="F53" s="39" t="s">
        <v>244</v>
      </c>
      <c r="G53" s="4"/>
      <c r="H53" s="4"/>
      <c r="I53" s="4"/>
      <c r="J53" s="4"/>
      <c r="K53" s="4"/>
      <c r="L53" s="4"/>
      <c r="M53" s="4"/>
      <c r="N53" s="4"/>
      <c r="O53" s="4" t="s">
        <v>242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38" t="s">
        <v>246</v>
      </c>
      <c r="F54" s="39" t="s">
        <v>244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38" t="s">
        <v>247</v>
      </c>
      <c r="F55" s="39" t="s">
        <v>244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248</v>
      </c>
      <c r="F56" s="39" t="s">
        <v>244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27.0" customHeight="1">
      <c r="A57" s="4"/>
      <c r="B57" s="4"/>
      <c r="C57" s="4"/>
      <c r="D57" s="4"/>
      <c r="E57" s="38" t="s">
        <v>1165</v>
      </c>
      <c r="F57" s="39" t="s">
        <v>244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30.0" customHeight="1">
      <c r="A58" s="4"/>
      <c r="B58" s="4"/>
      <c r="C58" s="4"/>
      <c r="D58" s="4"/>
      <c r="E58" s="40" t="s">
        <v>250</v>
      </c>
      <c r="F58" s="39" t="s">
        <v>880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38" t="s">
        <v>252</v>
      </c>
      <c r="F59" s="39" t="s">
        <v>880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 t="s">
        <v>242</v>
      </c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 t="s">
        <v>253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8:O4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3.13"/>
    <col customWidth="1" min="5" max="5" width="68.5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45337.0</v>
      </c>
      <c r="C5" s="55" t="s">
        <v>1167</v>
      </c>
      <c r="D5" s="56">
        <v>59904.0</v>
      </c>
      <c r="E5" s="57" t="s">
        <v>461</v>
      </c>
      <c r="F5" s="21"/>
      <c r="G5" s="21"/>
      <c r="H5" s="21"/>
      <c r="I5" s="21">
        <v>2500.0</v>
      </c>
      <c r="J5" s="22"/>
      <c r="K5" s="21"/>
      <c r="L5" s="21"/>
      <c r="M5" s="21"/>
      <c r="N5" s="21"/>
      <c r="O5" s="21"/>
      <c r="P5" s="58">
        <v>2500.0</v>
      </c>
      <c r="Q5" s="24">
        <f t="shared" ref="Q5:Q51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45337.0</v>
      </c>
      <c r="C6" s="55" t="s">
        <v>1168</v>
      </c>
      <c r="D6" s="56">
        <v>52727.0</v>
      </c>
      <c r="E6" s="57" t="s">
        <v>1169</v>
      </c>
      <c r="F6" s="21"/>
      <c r="G6" s="21"/>
      <c r="H6" s="21"/>
      <c r="I6" s="22">
        <v>2650.0</v>
      </c>
      <c r="J6" s="21"/>
      <c r="K6" s="21"/>
      <c r="L6" s="21"/>
      <c r="M6" s="21"/>
      <c r="N6" s="21"/>
      <c r="O6" s="21"/>
      <c r="P6" s="58">
        <v>2650.0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45337.0</v>
      </c>
      <c r="C7" s="55" t="s">
        <v>1170</v>
      </c>
      <c r="D7" s="56">
        <v>67910.0</v>
      </c>
      <c r="E7" s="57" t="s">
        <v>269</v>
      </c>
      <c r="F7" s="21"/>
      <c r="G7" s="21"/>
      <c r="H7" s="21">
        <v>15000.0</v>
      </c>
      <c r="I7" s="22"/>
      <c r="J7" s="21"/>
      <c r="K7" s="21"/>
      <c r="L7" s="21"/>
      <c r="M7" s="21"/>
      <c r="N7" s="21"/>
      <c r="O7" s="21"/>
      <c r="P7" s="58">
        <v>15000.0</v>
      </c>
      <c r="Q7" s="24">
        <f t="shared" si="1"/>
        <v>0</v>
      </c>
      <c r="R7" s="59" t="s">
        <v>30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45337.0</v>
      </c>
      <c r="C8" s="55" t="s">
        <v>1171</v>
      </c>
      <c r="D8" s="56">
        <v>66143.0</v>
      </c>
      <c r="E8" s="57" t="s">
        <v>1172</v>
      </c>
      <c r="F8" s="21"/>
      <c r="G8" s="21"/>
      <c r="H8" s="21"/>
      <c r="I8" s="21">
        <v>4650.0</v>
      </c>
      <c r="J8" s="21"/>
      <c r="K8" s="21"/>
      <c r="L8" s="21"/>
      <c r="M8" s="21"/>
      <c r="N8" s="21"/>
      <c r="O8" s="21"/>
      <c r="P8" s="58">
        <v>4650.0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45337.0</v>
      </c>
      <c r="C9" s="55" t="s">
        <v>1173</v>
      </c>
      <c r="D9" s="56">
        <v>31927.0</v>
      </c>
      <c r="E9" s="57" t="s">
        <v>121</v>
      </c>
      <c r="F9" s="21"/>
      <c r="G9" s="21"/>
      <c r="H9" s="21"/>
      <c r="I9" s="21">
        <v>4500.0</v>
      </c>
      <c r="J9" s="21"/>
      <c r="K9" s="21"/>
      <c r="L9" s="21"/>
      <c r="M9" s="21"/>
      <c r="N9" s="21"/>
      <c r="O9" s="21"/>
      <c r="P9" s="58">
        <v>4500.0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45337.0</v>
      </c>
      <c r="C10" s="55" t="s">
        <v>1174</v>
      </c>
      <c r="D10" s="56">
        <v>61420.0</v>
      </c>
      <c r="E10" s="57" t="s">
        <v>679</v>
      </c>
      <c r="F10" s="21"/>
      <c r="G10" s="21"/>
      <c r="H10" s="21"/>
      <c r="I10" s="21">
        <v>2400.0</v>
      </c>
      <c r="J10" s="21"/>
      <c r="K10" s="21"/>
      <c r="L10" s="21"/>
      <c r="M10" s="21"/>
      <c r="N10" s="21"/>
      <c r="O10" s="21"/>
      <c r="P10" s="58">
        <v>2400.0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45337.0</v>
      </c>
      <c r="C11" s="55" t="s">
        <v>1175</v>
      </c>
      <c r="D11" s="56">
        <v>36555.0</v>
      </c>
      <c r="E11" s="57" t="s">
        <v>479</v>
      </c>
      <c r="F11" s="21"/>
      <c r="G11" s="21"/>
      <c r="H11" s="21"/>
      <c r="I11" s="22"/>
      <c r="J11" s="21"/>
      <c r="K11" s="21">
        <v>5200.0</v>
      </c>
      <c r="L11" s="21"/>
      <c r="M11" s="21"/>
      <c r="N11" s="21"/>
      <c r="O11" s="21"/>
      <c r="P11" s="58">
        <v>5200.0</v>
      </c>
      <c r="Q11" s="24">
        <f t="shared" si="1"/>
        <v>0</v>
      </c>
      <c r="R11" s="59" t="s">
        <v>85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45337.0</v>
      </c>
      <c r="C12" s="55" t="s">
        <v>1176</v>
      </c>
      <c r="D12" s="56">
        <v>57426.0</v>
      </c>
      <c r="E12" s="57" t="s">
        <v>1177</v>
      </c>
      <c r="F12" s="21"/>
      <c r="G12" s="21"/>
      <c r="H12" s="21"/>
      <c r="I12" s="22"/>
      <c r="J12" s="21">
        <v>2650.0</v>
      </c>
      <c r="K12" s="21"/>
      <c r="L12" s="21"/>
      <c r="M12" s="21"/>
      <c r="N12" s="21"/>
      <c r="O12" s="21"/>
      <c r="P12" s="58">
        <v>2650.0</v>
      </c>
      <c r="Q12" s="24">
        <f t="shared" si="1"/>
        <v>0</v>
      </c>
      <c r="R12" s="59" t="s">
        <v>56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45337.0</v>
      </c>
      <c r="C13" s="55" t="s">
        <v>1178</v>
      </c>
      <c r="D13" s="56">
        <v>62146.0</v>
      </c>
      <c r="E13" s="57" t="s">
        <v>55</v>
      </c>
      <c r="F13" s="21"/>
      <c r="G13" s="21"/>
      <c r="H13" s="21"/>
      <c r="I13" s="22">
        <v>4500.0</v>
      </c>
      <c r="J13" s="21"/>
      <c r="K13" s="21"/>
      <c r="L13" s="21"/>
      <c r="M13" s="21"/>
      <c r="N13" s="21"/>
      <c r="O13" s="21"/>
      <c r="P13" s="58">
        <v>4500.0</v>
      </c>
      <c r="Q13" s="24">
        <f t="shared" si="1"/>
        <v>0</v>
      </c>
      <c r="R13" s="59" t="s">
        <v>85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45337.0</v>
      </c>
      <c r="C14" s="55" t="s">
        <v>1179</v>
      </c>
      <c r="D14" s="56">
        <v>13133.0</v>
      </c>
      <c r="E14" s="57" t="s">
        <v>117</v>
      </c>
      <c r="F14" s="21"/>
      <c r="G14" s="21"/>
      <c r="H14" s="21"/>
      <c r="I14" s="22"/>
      <c r="J14" s="21">
        <v>10000.0</v>
      </c>
      <c r="K14" s="21"/>
      <c r="L14" s="21"/>
      <c r="M14" s="21"/>
      <c r="N14" s="21"/>
      <c r="O14" s="21"/>
      <c r="P14" s="58">
        <v>10000.0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45337.0</v>
      </c>
      <c r="C15" s="55" t="s">
        <v>1180</v>
      </c>
      <c r="D15" s="56">
        <v>56555.0</v>
      </c>
      <c r="E15" s="57" t="s">
        <v>1181</v>
      </c>
      <c r="F15" s="21"/>
      <c r="G15" s="21"/>
      <c r="H15" s="21"/>
      <c r="I15" s="22">
        <v>5000.0</v>
      </c>
      <c r="J15" s="21"/>
      <c r="K15" s="21"/>
      <c r="L15" s="21"/>
      <c r="M15" s="21"/>
      <c r="N15" s="21"/>
      <c r="O15" s="21"/>
      <c r="P15" s="58">
        <v>5000.0</v>
      </c>
      <c r="Q15" s="24">
        <f t="shared" si="1"/>
        <v>0</v>
      </c>
      <c r="R15" s="59" t="s">
        <v>27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45337.0</v>
      </c>
      <c r="C16" s="55" t="s">
        <v>1182</v>
      </c>
      <c r="D16" s="56">
        <v>29621.0</v>
      </c>
      <c r="E16" s="57" t="s">
        <v>655</v>
      </c>
      <c r="F16" s="21"/>
      <c r="G16" s="21"/>
      <c r="H16" s="21"/>
      <c r="I16" s="22">
        <v>2650.0</v>
      </c>
      <c r="J16" s="21"/>
      <c r="K16" s="21"/>
      <c r="L16" s="21"/>
      <c r="M16" s="21"/>
      <c r="N16" s="21"/>
      <c r="O16" s="21"/>
      <c r="P16" s="58">
        <v>2650.0</v>
      </c>
      <c r="Q16" s="24">
        <f t="shared" si="1"/>
        <v>0</v>
      </c>
      <c r="R16" s="59" t="s">
        <v>27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45337.0</v>
      </c>
      <c r="C17" s="55" t="s">
        <v>1183</v>
      </c>
      <c r="D17" s="56">
        <v>51939.0</v>
      </c>
      <c r="E17" s="57" t="s">
        <v>185</v>
      </c>
      <c r="F17" s="21"/>
      <c r="G17" s="21"/>
      <c r="H17" s="21"/>
      <c r="I17" s="21">
        <v>7950.0</v>
      </c>
      <c r="J17" s="21"/>
      <c r="K17" s="21"/>
      <c r="L17" s="21"/>
      <c r="M17" s="21"/>
      <c r="N17" s="21"/>
      <c r="O17" s="21"/>
      <c r="P17" s="58">
        <v>7950.0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45337.0</v>
      </c>
      <c r="C18" s="55" t="s">
        <v>1184</v>
      </c>
      <c r="D18" s="56">
        <v>51512.0</v>
      </c>
      <c r="E18" s="57" t="s">
        <v>58</v>
      </c>
      <c r="F18" s="21"/>
      <c r="G18" s="21"/>
      <c r="H18" s="21"/>
      <c r="I18" s="21"/>
      <c r="J18" s="21">
        <v>3100.0</v>
      </c>
      <c r="K18" s="21"/>
      <c r="L18" s="21"/>
      <c r="M18" s="21"/>
      <c r="N18" s="21"/>
      <c r="O18" s="21"/>
      <c r="P18" s="58">
        <v>3100.0</v>
      </c>
      <c r="Q18" s="24">
        <f t="shared" si="1"/>
        <v>0</v>
      </c>
      <c r="R18" s="59" t="s">
        <v>85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45337.0</v>
      </c>
      <c r="C19" s="55" t="s">
        <v>1185</v>
      </c>
      <c r="D19" s="56">
        <v>54816.0</v>
      </c>
      <c r="E19" s="57" t="s">
        <v>859</v>
      </c>
      <c r="F19" s="21"/>
      <c r="G19" s="21"/>
      <c r="H19" s="21"/>
      <c r="I19" s="21"/>
      <c r="J19" s="21">
        <v>2850.0</v>
      </c>
      <c r="K19" s="21"/>
      <c r="L19" s="21"/>
      <c r="M19" s="21"/>
      <c r="N19" s="21"/>
      <c r="O19" s="21"/>
      <c r="P19" s="58">
        <v>2850.0</v>
      </c>
      <c r="Q19" s="24">
        <f t="shared" si="1"/>
        <v>0</v>
      </c>
      <c r="R19" s="59" t="s">
        <v>85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45337.0</v>
      </c>
      <c r="C20" s="55" t="s">
        <v>1186</v>
      </c>
      <c r="D20" s="56">
        <v>53249.0</v>
      </c>
      <c r="E20" s="57" t="s">
        <v>152</v>
      </c>
      <c r="F20" s="21"/>
      <c r="G20" s="21"/>
      <c r="H20" s="21"/>
      <c r="I20" s="21"/>
      <c r="J20" s="21">
        <v>4350.0</v>
      </c>
      <c r="K20" s="21"/>
      <c r="L20" s="21"/>
      <c r="M20" s="21"/>
      <c r="N20" s="21"/>
      <c r="O20" s="21"/>
      <c r="P20" s="58">
        <v>4350.0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45337.0</v>
      </c>
      <c r="C21" s="55" t="s">
        <v>1187</v>
      </c>
      <c r="D21" s="56">
        <v>74327.0</v>
      </c>
      <c r="E21" s="57" t="s">
        <v>1188</v>
      </c>
      <c r="F21" s="21"/>
      <c r="G21" s="21"/>
      <c r="H21" s="21"/>
      <c r="I21" s="22"/>
      <c r="J21" s="22">
        <v>5150.0</v>
      </c>
      <c r="K21" s="21"/>
      <c r="L21" s="21"/>
      <c r="M21" s="21"/>
      <c r="N21" s="21"/>
      <c r="O21" s="21"/>
      <c r="P21" s="58">
        <v>5150.0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45337.0</v>
      </c>
      <c r="C22" s="55" t="s">
        <v>1189</v>
      </c>
      <c r="D22" s="56">
        <v>28414.0</v>
      </c>
      <c r="E22" s="57" t="s">
        <v>582</v>
      </c>
      <c r="F22" s="21"/>
      <c r="G22" s="21"/>
      <c r="H22" s="21"/>
      <c r="I22" s="22"/>
      <c r="J22" s="22">
        <v>100.0</v>
      </c>
      <c r="K22" s="21">
        <v>200.0</v>
      </c>
      <c r="L22" s="21"/>
      <c r="M22" s="21"/>
      <c r="N22" s="21"/>
      <c r="O22" s="21"/>
      <c r="P22" s="58">
        <v>300.0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45337.0</v>
      </c>
      <c r="C23" s="56" t="s">
        <v>1190</v>
      </c>
      <c r="D23" s="56">
        <v>72109.0</v>
      </c>
      <c r="E23" s="57" t="s">
        <v>128</v>
      </c>
      <c r="F23" s="30"/>
      <c r="G23" s="30"/>
      <c r="H23" s="68"/>
      <c r="I23" s="68">
        <v>8080.0</v>
      </c>
      <c r="J23" s="68"/>
      <c r="K23" s="30"/>
      <c r="L23" s="30"/>
      <c r="M23" s="30"/>
      <c r="N23" s="30"/>
      <c r="O23" s="30"/>
      <c r="P23" s="61">
        <v>8080.0</v>
      </c>
      <c r="Q23" s="24">
        <f t="shared" si="1"/>
        <v>0</v>
      </c>
      <c r="R23" s="57" t="s">
        <v>66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45337.0</v>
      </c>
      <c r="C24" s="56" t="s">
        <v>1191</v>
      </c>
      <c r="D24" s="56">
        <v>81599.0</v>
      </c>
      <c r="E24" s="57" t="s">
        <v>1192</v>
      </c>
      <c r="F24" s="30"/>
      <c r="G24" s="30"/>
      <c r="H24" s="30"/>
      <c r="I24" s="68">
        <v>7300.0</v>
      </c>
      <c r="J24" s="68"/>
      <c r="K24" s="30"/>
      <c r="L24" s="30"/>
      <c r="M24" s="30"/>
      <c r="N24" s="30"/>
      <c r="O24" s="30"/>
      <c r="P24" s="61">
        <v>7300.0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45337.0</v>
      </c>
      <c r="C25" s="56" t="s">
        <v>1193</v>
      </c>
      <c r="D25" s="56">
        <v>61899.0</v>
      </c>
      <c r="E25" s="57" t="s">
        <v>1194</v>
      </c>
      <c r="F25" s="30"/>
      <c r="G25" s="30"/>
      <c r="H25" s="30"/>
      <c r="I25" s="68">
        <v>7000.0</v>
      </c>
      <c r="J25" s="68"/>
      <c r="K25" s="30"/>
      <c r="L25" s="30"/>
      <c r="M25" s="30"/>
      <c r="N25" s="30"/>
      <c r="O25" s="30"/>
      <c r="P25" s="61">
        <v>7000.0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45337.0</v>
      </c>
      <c r="C26" s="56" t="s">
        <v>1195</v>
      </c>
      <c r="D26" s="56">
        <v>58257.0</v>
      </c>
      <c r="E26" s="57" t="s">
        <v>918</v>
      </c>
      <c r="F26" s="30"/>
      <c r="G26" s="30"/>
      <c r="H26" s="30"/>
      <c r="I26" s="68">
        <v>3600.0</v>
      </c>
      <c r="J26" s="68"/>
      <c r="K26" s="30"/>
      <c r="L26" s="30"/>
      <c r="M26" s="30"/>
      <c r="N26" s="30"/>
      <c r="O26" s="30"/>
      <c r="P26" s="61">
        <v>3600.0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45337.0</v>
      </c>
      <c r="C27" s="56" t="s">
        <v>1196</v>
      </c>
      <c r="D27" s="56">
        <v>81040.0</v>
      </c>
      <c r="E27" s="57" t="s">
        <v>1197</v>
      </c>
      <c r="F27" s="30"/>
      <c r="G27" s="30"/>
      <c r="H27" s="30">
        <v>10000.0</v>
      </c>
      <c r="I27" s="68"/>
      <c r="J27" s="68"/>
      <c r="K27" s="30"/>
      <c r="L27" s="30"/>
      <c r="M27" s="30"/>
      <c r="N27" s="30"/>
      <c r="O27" s="30"/>
      <c r="P27" s="61">
        <v>10000.0</v>
      </c>
      <c r="Q27" s="24">
        <f t="shared" si="1"/>
        <v>0</v>
      </c>
      <c r="R27" s="57" t="s">
        <v>85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45337.0</v>
      </c>
      <c r="C28" s="56" t="s">
        <v>1198</v>
      </c>
      <c r="D28" s="56">
        <v>66104.0</v>
      </c>
      <c r="E28" s="57" t="s">
        <v>1199</v>
      </c>
      <c r="F28" s="30"/>
      <c r="G28" s="30"/>
      <c r="H28" s="30"/>
      <c r="I28" s="68">
        <v>3600.0</v>
      </c>
      <c r="J28" s="68"/>
      <c r="K28" s="30"/>
      <c r="L28" s="30"/>
      <c r="M28" s="30"/>
      <c r="N28" s="30"/>
      <c r="O28" s="30"/>
      <c r="P28" s="61">
        <v>3600.0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45337.0</v>
      </c>
      <c r="C29" s="56" t="s">
        <v>1200</v>
      </c>
      <c r="D29" s="56">
        <v>70684.0</v>
      </c>
      <c r="E29" s="57" t="s">
        <v>1201</v>
      </c>
      <c r="F29" s="30"/>
      <c r="G29" s="30"/>
      <c r="H29" s="30"/>
      <c r="I29" s="68"/>
      <c r="J29" s="68">
        <v>15000.0</v>
      </c>
      <c r="K29" s="30"/>
      <c r="L29" s="30"/>
      <c r="M29" s="30"/>
      <c r="N29" s="30"/>
      <c r="O29" s="30"/>
      <c r="P29" s="61">
        <v>15000.0</v>
      </c>
      <c r="Q29" s="24">
        <f t="shared" si="1"/>
        <v>0</v>
      </c>
      <c r="R29" s="57" t="s">
        <v>66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45337.0</v>
      </c>
      <c r="C30" s="56" t="s">
        <v>1202</v>
      </c>
      <c r="D30" s="56">
        <v>14329.0</v>
      </c>
      <c r="E30" s="57" t="s">
        <v>628</v>
      </c>
      <c r="F30" s="30"/>
      <c r="G30" s="30"/>
      <c r="H30" s="30"/>
      <c r="I30" s="68">
        <v>450.0</v>
      </c>
      <c r="J30" s="68"/>
      <c r="K30" s="30"/>
      <c r="L30" s="30"/>
      <c r="M30" s="30"/>
      <c r="N30" s="30"/>
      <c r="O30" s="30"/>
      <c r="P30" s="61">
        <v>450.0</v>
      </c>
      <c r="Q30" s="24">
        <f t="shared" si="1"/>
        <v>0</v>
      </c>
      <c r="R30" s="57" t="s">
        <v>56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45337.0</v>
      </c>
      <c r="C31" s="56" t="s">
        <v>1203</v>
      </c>
      <c r="D31" s="56">
        <v>31927.0</v>
      </c>
      <c r="E31" s="57" t="s">
        <v>121</v>
      </c>
      <c r="F31" s="30"/>
      <c r="G31" s="30"/>
      <c r="H31" s="30"/>
      <c r="I31" s="68">
        <v>7000.0</v>
      </c>
      <c r="J31" s="68"/>
      <c r="K31" s="30"/>
      <c r="L31" s="30"/>
      <c r="M31" s="30"/>
      <c r="N31" s="30"/>
      <c r="O31" s="30"/>
      <c r="P31" s="61">
        <v>7000.0</v>
      </c>
      <c r="Q31" s="24">
        <f t="shared" si="1"/>
        <v>0</v>
      </c>
      <c r="R31" s="57" t="s">
        <v>56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45337.0</v>
      </c>
      <c r="C32" s="56" t="s">
        <v>1204</v>
      </c>
      <c r="D32" s="56">
        <v>81600.0</v>
      </c>
      <c r="E32" s="57" t="s">
        <v>1205</v>
      </c>
      <c r="F32" s="30"/>
      <c r="G32" s="30"/>
      <c r="H32" s="30"/>
      <c r="I32" s="68">
        <v>7300.0</v>
      </c>
      <c r="J32" s="68"/>
      <c r="K32" s="30"/>
      <c r="L32" s="30"/>
      <c r="M32" s="30"/>
      <c r="N32" s="30"/>
      <c r="O32" s="30"/>
      <c r="P32" s="61">
        <v>7300.0</v>
      </c>
      <c r="Q32" s="24">
        <f t="shared" si="1"/>
        <v>0</v>
      </c>
      <c r="R32" s="57" t="s">
        <v>30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45337.0</v>
      </c>
      <c r="C33" s="56" t="s">
        <v>1206</v>
      </c>
      <c r="D33" s="56">
        <v>60386.0</v>
      </c>
      <c r="E33" s="57" t="s">
        <v>842</v>
      </c>
      <c r="F33" s="30"/>
      <c r="G33" s="30"/>
      <c r="H33" s="30"/>
      <c r="I33" s="68">
        <v>5150.0</v>
      </c>
      <c r="J33" s="68"/>
      <c r="K33" s="30"/>
      <c r="L33" s="30"/>
      <c r="M33" s="30"/>
      <c r="N33" s="30"/>
      <c r="O33" s="30"/>
      <c r="P33" s="61">
        <v>5150.0</v>
      </c>
      <c r="Q33" s="24">
        <f t="shared" si="1"/>
        <v>0</v>
      </c>
      <c r="R33" s="57" t="s">
        <v>56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45337.0</v>
      </c>
      <c r="C34" s="56" t="s">
        <v>1207</v>
      </c>
      <c r="D34" s="56">
        <v>40433.0</v>
      </c>
      <c r="E34" s="57" t="s">
        <v>1208</v>
      </c>
      <c r="F34" s="30"/>
      <c r="G34" s="30"/>
      <c r="H34" s="30"/>
      <c r="I34" s="68"/>
      <c r="J34" s="68">
        <v>3600.0</v>
      </c>
      <c r="K34" s="30"/>
      <c r="L34" s="30"/>
      <c r="M34" s="30"/>
      <c r="N34" s="30"/>
      <c r="O34" s="30"/>
      <c r="P34" s="61">
        <v>3600.0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45337.0</v>
      </c>
      <c r="C35" s="56" t="s">
        <v>1209</v>
      </c>
      <c r="D35" s="56">
        <v>52184.0</v>
      </c>
      <c r="E35" s="57" t="s">
        <v>1210</v>
      </c>
      <c r="F35" s="30"/>
      <c r="G35" s="30"/>
      <c r="H35" s="30"/>
      <c r="I35" s="68">
        <v>3600.0</v>
      </c>
      <c r="J35" s="68"/>
      <c r="K35" s="30"/>
      <c r="L35" s="30"/>
      <c r="M35" s="30"/>
      <c r="N35" s="30"/>
      <c r="O35" s="30"/>
      <c r="P35" s="61">
        <v>3600.0</v>
      </c>
      <c r="Q35" s="24">
        <f t="shared" si="1"/>
        <v>0</v>
      </c>
      <c r="R35" s="57" t="s">
        <v>30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45337.0</v>
      </c>
      <c r="C36" s="56" t="s">
        <v>1211</v>
      </c>
      <c r="D36" s="56">
        <v>39317.0</v>
      </c>
      <c r="E36" s="57" t="s">
        <v>99</v>
      </c>
      <c r="F36" s="30"/>
      <c r="G36" s="30"/>
      <c r="H36" s="30"/>
      <c r="I36" s="68"/>
      <c r="J36" s="68">
        <v>5450.0</v>
      </c>
      <c r="K36" s="30"/>
      <c r="L36" s="30"/>
      <c r="M36" s="30"/>
      <c r="N36" s="30"/>
      <c r="O36" s="30"/>
      <c r="P36" s="61">
        <v>5450.0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45337.0</v>
      </c>
      <c r="C37" s="56" t="s">
        <v>1212</v>
      </c>
      <c r="D37" s="56">
        <v>50436.0</v>
      </c>
      <c r="E37" s="57" t="s">
        <v>93</v>
      </c>
      <c r="F37" s="30"/>
      <c r="G37" s="30"/>
      <c r="H37" s="30"/>
      <c r="I37" s="68">
        <v>32500.0</v>
      </c>
      <c r="J37" s="68"/>
      <c r="K37" s="30"/>
      <c r="L37" s="30"/>
      <c r="M37" s="30"/>
      <c r="N37" s="30"/>
      <c r="O37" s="30"/>
      <c r="P37" s="61">
        <v>32500.0</v>
      </c>
      <c r="Q37" s="24">
        <f t="shared" si="1"/>
        <v>0</v>
      </c>
      <c r="R37" s="57" t="s">
        <v>30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45337.0</v>
      </c>
      <c r="C38" s="56" t="s">
        <v>1213</v>
      </c>
      <c r="D38" s="56">
        <v>57499.0</v>
      </c>
      <c r="E38" s="57" t="s">
        <v>824</v>
      </c>
      <c r="F38" s="30"/>
      <c r="G38" s="30"/>
      <c r="H38" s="30"/>
      <c r="I38" s="68">
        <v>1800.0</v>
      </c>
      <c r="J38" s="68">
        <v>2700.0</v>
      </c>
      <c r="K38" s="30"/>
      <c r="L38" s="30"/>
      <c r="M38" s="30"/>
      <c r="N38" s="30"/>
      <c r="O38" s="30"/>
      <c r="P38" s="61">
        <v>4500.0</v>
      </c>
      <c r="Q38" s="24">
        <f t="shared" si="1"/>
        <v>0</v>
      </c>
      <c r="R38" s="57" t="s">
        <v>85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45337.0</v>
      </c>
      <c r="C39" s="56" t="s">
        <v>1214</v>
      </c>
      <c r="D39" s="56">
        <v>49557.0</v>
      </c>
      <c r="E39" s="57" t="s">
        <v>1215</v>
      </c>
      <c r="F39" s="30"/>
      <c r="G39" s="30"/>
      <c r="H39" s="30"/>
      <c r="I39" s="68">
        <v>12500.0</v>
      </c>
      <c r="J39" s="68"/>
      <c r="K39" s="30"/>
      <c r="L39" s="30"/>
      <c r="M39" s="30"/>
      <c r="N39" s="30"/>
      <c r="O39" s="30"/>
      <c r="P39" s="61">
        <v>12500.0</v>
      </c>
      <c r="Q39" s="24">
        <f t="shared" si="1"/>
        <v>0</v>
      </c>
      <c r="R39" s="57" t="s">
        <v>30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45337.0</v>
      </c>
      <c r="C40" s="56" t="s">
        <v>1216</v>
      </c>
      <c r="D40" s="56">
        <v>70684.0</v>
      </c>
      <c r="E40" s="57" t="s">
        <v>1201</v>
      </c>
      <c r="F40" s="30"/>
      <c r="G40" s="30"/>
      <c r="H40" s="30"/>
      <c r="I40" s="68"/>
      <c r="J40" s="68">
        <v>17500.0</v>
      </c>
      <c r="K40" s="30"/>
      <c r="L40" s="30"/>
      <c r="M40" s="30"/>
      <c r="N40" s="30"/>
      <c r="O40" s="30"/>
      <c r="P40" s="61">
        <v>17500.0</v>
      </c>
      <c r="Q40" s="24">
        <f t="shared" si="1"/>
        <v>0</v>
      </c>
      <c r="R40" s="57" t="s">
        <v>85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45337.0</v>
      </c>
      <c r="C41" s="56" t="s">
        <v>1217</v>
      </c>
      <c r="D41" s="56">
        <v>59103.0</v>
      </c>
      <c r="E41" s="57" t="s">
        <v>336</v>
      </c>
      <c r="F41" s="30"/>
      <c r="G41" s="30"/>
      <c r="H41" s="30"/>
      <c r="I41" s="68">
        <v>11285.0</v>
      </c>
      <c r="J41" s="68"/>
      <c r="K41" s="30">
        <v>21215.0</v>
      </c>
      <c r="L41" s="30"/>
      <c r="M41" s="30"/>
      <c r="N41" s="30"/>
      <c r="O41" s="30"/>
      <c r="P41" s="61">
        <v>32500.0</v>
      </c>
      <c r="Q41" s="24">
        <f t="shared" si="1"/>
        <v>0</v>
      </c>
      <c r="R41" s="57" t="s">
        <v>85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45337.0</v>
      </c>
      <c r="C42" s="56" t="s">
        <v>1218</v>
      </c>
      <c r="D42" s="56">
        <v>81592.0</v>
      </c>
      <c r="E42" s="57" t="s">
        <v>1219</v>
      </c>
      <c r="F42" s="30"/>
      <c r="G42" s="30"/>
      <c r="H42" s="30">
        <v>7000.0</v>
      </c>
      <c r="I42" s="68"/>
      <c r="J42" s="68"/>
      <c r="K42" s="30"/>
      <c r="L42" s="30"/>
      <c r="M42" s="30"/>
      <c r="N42" s="30"/>
      <c r="O42" s="30"/>
      <c r="P42" s="61">
        <v>7000.0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45337.0</v>
      </c>
      <c r="C43" s="56" t="s">
        <v>1220</v>
      </c>
      <c r="D43" s="56">
        <v>36555.0</v>
      </c>
      <c r="E43" s="57" t="s">
        <v>479</v>
      </c>
      <c r="F43" s="30"/>
      <c r="G43" s="30"/>
      <c r="H43" s="30"/>
      <c r="I43" s="68"/>
      <c r="J43" s="68"/>
      <c r="K43" s="30">
        <v>125.0</v>
      </c>
      <c r="L43" s="30"/>
      <c r="M43" s="30"/>
      <c r="N43" s="30"/>
      <c r="O43" s="30">
        <v>2275.0</v>
      </c>
      <c r="P43" s="61">
        <v>2400.0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45337.0</v>
      </c>
      <c r="C44" s="56" t="s">
        <v>1221</v>
      </c>
      <c r="D44" s="56">
        <v>51512.0</v>
      </c>
      <c r="E44" s="57" t="s">
        <v>58</v>
      </c>
      <c r="F44" s="30"/>
      <c r="G44" s="30"/>
      <c r="H44" s="30"/>
      <c r="I44" s="68"/>
      <c r="J44" s="68"/>
      <c r="K44" s="30"/>
      <c r="L44" s="30"/>
      <c r="M44" s="30"/>
      <c r="N44" s="30"/>
      <c r="O44" s="30">
        <v>3600.0</v>
      </c>
      <c r="P44" s="61">
        <v>3600.0</v>
      </c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45337.0</v>
      </c>
      <c r="C45" s="56" t="s">
        <v>1222</v>
      </c>
      <c r="D45" s="56">
        <v>69659.0</v>
      </c>
      <c r="E45" s="57" t="s">
        <v>737</v>
      </c>
      <c r="F45" s="30"/>
      <c r="G45" s="30"/>
      <c r="H45" s="30"/>
      <c r="I45" s="68"/>
      <c r="J45" s="68"/>
      <c r="K45" s="30"/>
      <c r="L45" s="30"/>
      <c r="M45" s="30">
        <v>100.0</v>
      </c>
      <c r="N45" s="30"/>
      <c r="O45" s="30"/>
      <c r="P45" s="61">
        <v>100.0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45337.0</v>
      </c>
      <c r="C46" s="56" t="s">
        <v>1223</v>
      </c>
      <c r="D46" s="56">
        <v>66770.0</v>
      </c>
      <c r="E46" s="57" t="s">
        <v>80</v>
      </c>
      <c r="F46" s="30"/>
      <c r="G46" s="30"/>
      <c r="H46" s="30">
        <v>37200.0</v>
      </c>
      <c r="I46" s="68"/>
      <c r="J46" s="68"/>
      <c r="K46" s="30"/>
      <c r="L46" s="30"/>
      <c r="M46" s="30"/>
      <c r="N46" s="30"/>
      <c r="O46" s="30"/>
      <c r="P46" s="61">
        <v>37200.0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3">
        <v>45337.0</v>
      </c>
      <c r="C47" s="64" t="s">
        <v>1224</v>
      </c>
      <c r="D47" s="64">
        <v>61648.0</v>
      </c>
      <c r="E47" s="65" t="s">
        <v>1225</v>
      </c>
      <c r="F47" s="30"/>
      <c r="G47" s="30"/>
      <c r="H47" s="30"/>
      <c r="I47" s="68"/>
      <c r="J47" s="68"/>
      <c r="K47" s="30"/>
      <c r="L47" s="30"/>
      <c r="M47" s="30"/>
      <c r="N47" s="30"/>
      <c r="O47" s="30">
        <v>9600.0</v>
      </c>
      <c r="P47" s="66">
        <v>9600.0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3">
        <v>45337.0</v>
      </c>
      <c r="C48" s="64" t="s">
        <v>1226</v>
      </c>
      <c r="D48" s="64">
        <v>61649.0</v>
      </c>
      <c r="E48" s="65" t="s">
        <v>1227</v>
      </c>
      <c r="F48" s="30"/>
      <c r="G48" s="30"/>
      <c r="H48" s="30"/>
      <c r="I48" s="68"/>
      <c r="J48" s="68"/>
      <c r="K48" s="30"/>
      <c r="L48" s="30"/>
      <c r="M48" s="30"/>
      <c r="N48" s="30"/>
      <c r="O48" s="30">
        <v>9600.0</v>
      </c>
      <c r="P48" s="66">
        <v>9600.0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45337.0</v>
      </c>
      <c r="C49" s="64" t="s">
        <v>1228</v>
      </c>
      <c r="D49" s="64">
        <v>21828.0</v>
      </c>
      <c r="E49" s="65" t="s">
        <v>217</v>
      </c>
      <c r="F49" s="30"/>
      <c r="G49" s="30"/>
      <c r="H49" s="30"/>
      <c r="I49" s="68"/>
      <c r="J49" s="68"/>
      <c r="K49" s="30"/>
      <c r="L49" s="30"/>
      <c r="M49" s="30">
        <v>2500.0</v>
      </c>
      <c r="N49" s="30"/>
      <c r="O49" s="30"/>
      <c r="P49" s="66">
        <v>2500.0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45337.0</v>
      </c>
      <c r="C50" s="64" t="s">
        <v>1229</v>
      </c>
      <c r="D50" s="64">
        <v>51697.0</v>
      </c>
      <c r="E50" s="65" t="s">
        <v>441</v>
      </c>
      <c r="F50" s="30"/>
      <c r="G50" s="30"/>
      <c r="H50" s="30"/>
      <c r="I50" s="30"/>
      <c r="J50" s="30"/>
      <c r="K50" s="30">
        <v>110.0</v>
      </c>
      <c r="L50" s="30"/>
      <c r="M50" s="30"/>
      <c r="N50" s="30">
        <v>2290.0</v>
      </c>
      <c r="O50" s="30"/>
      <c r="P50" s="66">
        <v>2400.0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/>
      <c r="B51" s="27"/>
      <c r="C51" s="28"/>
      <c r="D51" s="29"/>
      <c r="E51" s="28"/>
      <c r="F51" s="30">
        <f t="shared" ref="F51:P51" si="2">SUM(F5:F50)</f>
        <v>0</v>
      </c>
      <c r="G51" s="30">
        <f t="shared" si="2"/>
        <v>0</v>
      </c>
      <c r="H51" s="30">
        <f t="shared" si="2"/>
        <v>69200</v>
      </c>
      <c r="I51" s="30">
        <f t="shared" si="2"/>
        <v>147965</v>
      </c>
      <c r="J51" s="30">
        <f t="shared" si="2"/>
        <v>72450</v>
      </c>
      <c r="K51" s="30">
        <f t="shared" si="2"/>
        <v>26850</v>
      </c>
      <c r="L51" s="30">
        <f t="shared" si="2"/>
        <v>0</v>
      </c>
      <c r="M51" s="30">
        <f t="shared" si="2"/>
        <v>2600</v>
      </c>
      <c r="N51" s="30">
        <f t="shared" si="2"/>
        <v>2290</v>
      </c>
      <c r="O51" s="30">
        <f t="shared" si="2"/>
        <v>25075</v>
      </c>
      <c r="P51" s="68">
        <f t="shared" si="2"/>
        <v>346430</v>
      </c>
      <c r="Q51" s="24">
        <f t="shared" si="1"/>
        <v>0</v>
      </c>
      <c r="R51" s="67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36.0" customHeight="1">
      <c r="A52" s="35"/>
      <c r="B52" s="35"/>
      <c r="C52" s="35"/>
      <c r="D52" s="35"/>
      <c r="E52" s="35"/>
      <c r="F52" s="36">
        <f>F51+G51+H51+I51+J51+K51+L51+M51+N51+O51</f>
        <v>346430</v>
      </c>
      <c r="P52" s="36"/>
      <c r="Q52" s="36"/>
      <c r="R52" s="35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37" t="s">
        <v>242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243</v>
      </c>
      <c r="F56" s="39" t="s">
        <v>244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245</v>
      </c>
      <c r="F57" s="39" t="s">
        <v>244</v>
      </c>
      <c r="G57" s="4"/>
      <c r="H57" s="4"/>
      <c r="I57" s="4"/>
      <c r="J57" s="4"/>
      <c r="K57" s="4"/>
      <c r="L57" s="4"/>
      <c r="M57" s="4"/>
      <c r="N57" s="4"/>
      <c r="O57" s="4" t="s">
        <v>242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38" t="s">
        <v>246</v>
      </c>
      <c r="F58" s="39" t="s">
        <v>244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38" t="s">
        <v>247</v>
      </c>
      <c r="F59" s="39" t="s">
        <v>244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38" t="s">
        <v>248</v>
      </c>
      <c r="F60" s="39" t="s">
        <v>623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7.0" customHeight="1">
      <c r="A61" s="4"/>
      <c r="B61" s="4"/>
      <c r="C61" s="4"/>
      <c r="D61" s="4"/>
      <c r="E61" s="38" t="s">
        <v>1230</v>
      </c>
      <c r="F61" s="39" t="s">
        <v>244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0.0" customHeight="1">
      <c r="A62" s="4"/>
      <c r="B62" s="4"/>
      <c r="C62" s="4"/>
      <c r="D62" s="4"/>
      <c r="E62" s="40" t="s">
        <v>250</v>
      </c>
      <c r="F62" s="39" t="s">
        <v>880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252</v>
      </c>
      <c r="F63" s="39" t="s">
        <v>880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242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 t="s">
        <v>253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77.25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45337.0</v>
      </c>
      <c r="C5" s="55" t="s">
        <v>1232</v>
      </c>
      <c r="D5" s="56">
        <v>53635.0</v>
      </c>
      <c r="E5" s="57" t="s">
        <v>1233</v>
      </c>
      <c r="F5" s="21"/>
      <c r="G5" s="21"/>
      <c r="H5" s="21"/>
      <c r="I5" s="21"/>
      <c r="J5" s="22">
        <v>7000.0</v>
      </c>
      <c r="K5" s="21"/>
      <c r="L5" s="21"/>
      <c r="M5" s="21"/>
      <c r="N5" s="21"/>
      <c r="O5" s="21"/>
      <c r="P5" s="58">
        <v>7000.0</v>
      </c>
      <c r="Q5" s="24">
        <f t="shared" ref="Q5:Q51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45337.0</v>
      </c>
      <c r="C6" s="55" t="s">
        <v>1234</v>
      </c>
      <c r="D6" s="56">
        <v>57499.0</v>
      </c>
      <c r="E6" s="57" t="s">
        <v>824</v>
      </c>
      <c r="F6" s="21"/>
      <c r="G6" s="21"/>
      <c r="H6" s="21"/>
      <c r="I6" s="22">
        <v>150.0</v>
      </c>
      <c r="J6" s="21"/>
      <c r="K6" s="21"/>
      <c r="L6" s="21"/>
      <c r="M6" s="21"/>
      <c r="N6" s="21"/>
      <c r="O6" s="21"/>
      <c r="P6" s="58">
        <v>150.0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45338.0</v>
      </c>
      <c r="C7" s="55" t="s">
        <v>1235</v>
      </c>
      <c r="D7" s="56">
        <v>10250.0</v>
      </c>
      <c r="E7" s="57" t="s">
        <v>91</v>
      </c>
      <c r="F7" s="21"/>
      <c r="G7" s="21"/>
      <c r="H7" s="21"/>
      <c r="I7" s="22">
        <v>10250.0</v>
      </c>
      <c r="J7" s="21"/>
      <c r="K7" s="21"/>
      <c r="L7" s="21"/>
      <c r="M7" s="21"/>
      <c r="N7" s="21"/>
      <c r="O7" s="21"/>
      <c r="P7" s="58">
        <v>10250.0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45338.0</v>
      </c>
      <c r="C8" s="55" t="s">
        <v>1236</v>
      </c>
      <c r="D8" s="56">
        <v>22332.0</v>
      </c>
      <c r="E8" s="57" t="s">
        <v>404</v>
      </c>
      <c r="F8" s="21"/>
      <c r="G8" s="21"/>
      <c r="H8" s="21"/>
      <c r="I8" s="21"/>
      <c r="J8" s="21"/>
      <c r="K8" s="21"/>
      <c r="L8" s="21"/>
      <c r="M8" s="21">
        <v>9950.0</v>
      </c>
      <c r="N8" s="21"/>
      <c r="O8" s="21"/>
      <c r="P8" s="58">
        <v>9950.0</v>
      </c>
      <c r="Q8" s="24">
        <f t="shared" si="1"/>
        <v>0</v>
      </c>
      <c r="R8" s="59" t="s">
        <v>24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45338.0</v>
      </c>
      <c r="C9" s="55" t="s">
        <v>1237</v>
      </c>
      <c r="D9" s="56">
        <v>47126.0</v>
      </c>
      <c r="E9" s="57" t="s">
        <v>1238</v>
      </c>
      <c r="F9" s="21"/>
      <c r="G9" s="21"/>
      <c r="H9" s="21"/>
      <c r="I9" s="21">
        <v>2650.0</v>
      </c>
      <c r="J9" s="21"/>
      <c r="K9" s="21"/>
      <c r="L9" s="21"/>
      <c r="M9" s="21"/>
      <c r="N9" s="21"/>
      <c r="O9" s="21"/>
      <c r="P9" s="58">
        <v>2650.0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45338.0</v>
      </c>
      <c r="C10" s="55" t="s">
        <v>1239</v>
      </c>
      <c r="D10" s="56">
        <v>71023.0</v>
      </c>
      <c r="E10" s="57" t="s">
        <v>1240</v>
      </c>
      <c r="F10" s="21"/>
      <c r="G10" s="21"/>
      <c r="H10" s="21"/>
      <c r="I10" s="21">
        <v>5150.0</v>
      </c>
      <c r="J10" s="21"/>
      <c r="K10" s="21"/>
      <c r="L10" s="21"/>
      <c r="M10" s="21"/>
      <c r="N10" s="21"/>
      <c r="O10" s="21"/>
      <c r="P10" s="58">
        <v>5150.0</v>
      </c>
      <c r="Q10" s="24">
        <f t="shared" si="1"/>
        <v>0</v>
      </c>
      <c r="R10" s="59" t="s">
        <v>56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45338.0</v>
      </c>
      <c r="C11" s="55" t="s">
        <v>1241</v>
      </c>
      <c r="D11" s="56">
        <v>10288.0</v>
      </c>
      <c r="E11" s="57" t="s">
        <v>457</v>
      </c>
      <c r="F11" s="21"/>
      <c r="G11" s="21"/>
      <c r="H11" s="21"/>
      <c r="I11" s="22"/>
      <c r="J11" s="21"/>
      <c r="K11" s="21">
        <v>300.0</v>
      </c>
      <c r="L11" s="21"/>
      <c r="M11" s="21"/>
      <c r="N11" s="21"/>
      <c r="O11" s="21"/>
      <c r="P11" s="58">
        <v>300.0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45338.0</v>
      </c>
      <c r="C12" s="55" t="s">
        <v>1242</v>
      </c>
      <c r="D12" s="56">
        <v>78168.0</v>
      </c>
      <c r="E12" s="57" t="s">
        <v>1243</v>
      </c>
      <c r="F12" s="21"/>
      <c r="G12" s="21"/>
      <c r="H12" s="21"/>
      <c r="I12" s="22">
        <v>3050.0</v>
      </c>
      <c r="J12" s="21"/>
      <c r="K12" s="21"/>
      <c r="L12" s="21"/>
      <c r="M12" s="21"/>
      <c r="N12" s="21"/>
      <c r="O12" s="21"/>
      <c r="P12" s="58">
        <v>3050.0</v>
      </c>
      <c r="Q12" s="24">
        <f t="shared" si="1"/>
        <v>0</v>
      </c>
      <c r="R12" s="59" t="s">
        <v>66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45338.0</v>
      </c>
      <c r="C13" s="55" t="s">
        <v>1244</v>
      </c>
      <c r="D13" s="56">
        <v>39317.0</v>
      </c>
      <c r="E13" s="57" t="s">
        <v>99</v>
      </c>
      <c r="F13" s="21"/>
      <c r="G13" s="21"/>
      <c r="H13" s="21"/>
      <c r="I13" s="22"/>
      <c r="J13" s="21">
        <v>10600.0</v>
      </c>
      <c r="K13" s="21"/>
      <c r="L13" s="21"/>
      <c r="M13" s="21"/>
      <c r="N13" s="21"/>
      <c r="O13" s="21"/>
      <c r="P13" s="58">
        <v>10600.0</v>
      </c>
      <c r="Q13" s="24">
        <f t="shared" si="1"/>
        <v>0</v>
      </c>
      <c r="R13" s="59" t="s">
        <v>24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45338.0</v>
      </c>
      <c r="C14" s="55" t="s">
        <v>1245</v>
      </c>
      <c r="D14" s="56">
        <v>56995.0</v>
      </c>
      <c r="E14" s="57" t="s">
        <v>1246</v>
      </c>
      <c r="F14" s="21"/>
      <c r="G14" s="21"/>
      <c r="H14" s="21"/>
      <c r="I14" s="22">
        <v>4650.0</v>
      </c>
      <c r="J14" s="21"/>
      <c r="K14" s="21"/>
      <c r="L14" s="21"/>
      <c r="M14" s="21"/>
      <c r="N14" s="21"/>
      <c r="O14" s="21"/>
      <c r="P14" s="58">
        <v>4650.0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45338.0</v>
      </c>
      <c r="C15" s="55" t="s">
        <v>1247</v>
      </c>
      <c r="D15" s="56">
        <v>48772.0</v>
      </c>
      <c r="E15" s="57" t="s">
        <v>576</v>
      </c>
      <c r="F15" s="21"/>
      <c r="G15" s="21"/>
      <c r="H15" s="21"/>
      <c r="I15" s="22">
        <v>5000.0</v>
      </c>
      <c r="J15" s="21"/>
      <c r="K15" s="21"/>
      <c r="L15" s="21"/>
      <c r="M15" s="21"/>
      <c r="N15" s="21"/>
      <c r="O15" s="21"/>
      <c r="P15" s="58">
        <v>5000.0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45338.0</v>
      </c>
      <c r="C16" s="55" t="s">
        <v>1248</v>
      </c>
      <c r="D16" s="56">
        <v>35362.0</v>
      </c>
      <c r="E16" s="57" t="s">
        <v>1149</v>
      </c>
      <c r="F16" s="21"/>
      <c r="G16" s="21"/>
      <c r="H16" s="21"/>
      <c r="I16" s="22">
        <v>0.0</v>
      </c>
      <c r="J16" s="21"/>
      <c r="K16" s="21"/>
      <c r="L16" s="21"/>
      <c r="M16" s="21"/>
      <c r="N16" s="21"/>
      <c r="O16" s="21"/>
      <c r="P16" s="58">
        <v>8000.0</v>
      </c>
      <c r="Q16" s="24">
        <f t="shared" si="1"/>
        <v>-8000</v>
      </c>
      <c r="R16" s="59" t="s">
        <v>24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45338.0</v>
      </c>
      <c r="C17" s="55" t="s">
        <v>1249</v>
      </c>
      <c r="D17" s="56">
        <v>48853.0</v>
      </c>
      <c r="E17" s="57" t="s">
        <v>1250</v>
      </c>
      <c r="F17" s="21"/>
      <c r="G17" s="21"/>
      <c r="H17" s="21"/>
      <c r="I17" s="21"/>
      <c r="J17" s="21">
        <v>5150.0</v>
      </c>
      <c r="K17" s="21"/>
      <c r="L17" s="21"/>
      <c r="M17" s="21"/>
      <c r="N17" s="21"/>
      <c r="O17" s="21"/>
      <c r="P17" s="58">
        <v>5150.0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45338.0</v>
      </c>
      <c r="C18" s="55" t="s">
        <v>1251</v>
      </c>
      <c r="D18" s="56">
        <v>79230.0</v>
      </c>
      <c r="E18" s="57" t="s">
        <v>1252</v>
      </c>
      <c r="F18" s="21"/>
      <c r="G18" s="21"/>
      <c r="H18" s="21"/>
      <c r="I18" s="21"/>
      <c r="J18" s="21">
        <v>1050.0</v>
      </c>
      <c r="K18" s="21"/>
      <c r="L18" s="21"/>
      <c r="M18" s="21"/>
      <c r="N18" s="21"/>
      <c r="O18" s="21"/>
      <c r="P18" s="58">
        <v>1050.0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45338.0</v>
      </c>
      <c r="C19" s="55" t="s">
        <v>1253</v>
      </c>
      <c r="D19" s="56">
        <v>77582.0</v>
      </c>
      <c r="E19" s="57" t="s">
        <v>1254</v>
      </c>
      <c r="F19" s="21"/>
      <c r="G19" s="21"/>
      <c r="H19" s="21"/>
      <c r="I19" s="21"/>
      <c r="J19" s="21">
        <v>1200.0</v>
      </c>
      <c r="K19" s="21"/>
      <c r="L19" s="21"/>
      <c r="M19" s="21"/>
      <c r="N19" s="21"/>
      <c r="O19" s="21"/>
      <c r="P19" s="58">
        <v>1200.0</v>
      </c>
      <c r="Q19" s="24">
        <f t="shared" si="1"/>
        <v>0</v>
      </c>
      <c r="R19" s="59" t="s">
        <v>27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45338.0</v>
      </c>
      <c r="C20" s="55" t="s">
        <v>1255</v>
      </c>
      <c r="D20" s="56">
        <v>80317.0</v>
      </c>
      <c r="E20" s="57" t="s">
        <v>1256</v>
      </c>
      <c r="F20" s="21"/>
      <c r="G20" s="21"/>
      <c r="H20" s="21"/>
      <c r="I20" s="21"/>
      <c r="J20" s="21">
        <v>3600.0</v>
      </c>
      <c r="K20" s="21"/>
      <c r="L20" s="21"/>
      <c r="M20" s="21"/>
      <c r="N20" s="21"/>
      <c r="O20" s="21"/>
      <c r="P20" s="58">
        <v>3600.0</v>
      </c>
      <c r="Q20" s="24">
        <f t="shared" si="1"/>
        <v>0</v>
      </c>
      <c r="R20" s="59" t="s">
        <v>27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45338.0</v>
      </c>
      <c r="C21" s="55" t="s">
        <v>1257</v>
      </c>
      <c r="D21" s="56">
        <v>80375.0</v>
      </c>
      <c r="E21" s="57" t="s">
        <v>1258</v>
      </c>
      <c r="F21" s="21"/>
      <c r="G21" s="21"/>
      <c r="H21" s="21"/>
      <c r="I21" s="22"/>
      <c r="J21" s="22">
        <v>5550.0</v>
      </c>
      <c r="K21" s="21"/>
      <c r="L21" s="21"/>
      <c r="M21" s="21"/>
      <c r="N21" s="21"/>
      <c r="O21" s="21"/>
      <c r="P21" s="58">
        <v>5550.0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45338.0</v>
      </c>
      <c r="C22" s="55" t="s">
        <v>1259</v>
      </c>
      <c r="D22" s="56">
        <v>78342.0</v>
      </c>
      <c r="E22" s="57" t="s">
        <v>1260</v>
      </c>
      <c r="F22" s="21"/>
      <c r="G22" s="21"/>
      <c r="H22" s="21"/>
      <c r="I22" s="22">
        <v>3850.0</v>
      </c>
      <c r="J22" s="22"/>
      <c r="K22" s="21"/>
      <c r="L22" s="21"/>
      <c r="M22" s="21"/>
      <c r="N22" s="21"/>
      <c r="O22" s="21"/>
      <c r="P22" s="58">
        <v>3850.0</v>
      </c>
      <c r="Q22" s="24">
        <f t="shared" si="1"/>
        <v>0</v>
      </c>
      <c r="R22" s="59" t="s">
        <v>27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45338.0</v>
      </c>
      <c r="C23" s="56" t="s">
        <v>1261</v>
      </c>
      <c r="D23" s="56">
        <v>51017.0</v>
      </c>
      <c r="E23" s="57" t="s">
        <v>150</v>
      </c>
      <c r="F23" s="30"/>
      <c r="G23" s="30"/>
      <c r="H23" s="68">
        <v>15000.0</v>
      </c>
      <c r="I23" s="68"/>
      <c r="J23" s="68"/>
      <c r="K23" s="30"/>
      <c r="L23" s="30"/>
      <c r="M23" s="30"/>
      <c r="N23" s="30"/>
      <c r="O23" s="30"/>
      <c r="P23" s="61">
        <v>15000.0</v>
      </c>
      <c r="Q23" s="24">
        <f t="shared" si="1"/>
        <v>0</v>
      </c>
      <c r="R23" s="57" t="s">
        <v>24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45338.0</v>
      </c>
      <c r="C24" s="56" t="s">
        <v>1262</v>
      </c>
      <c r="D24" s="56">
        <v>19688.0</v>
      </c>
      <c r="E24" s="57" t="s">
        <v>691</v>
      </c>
      <c r="F24" s="30"/>
      <c r="G24" s="30"/>
      <c r="H24" s="30"/>
      <c r="I24" s="68"/>
      <c r="J24" s="68">
        <v>4650.0</v>
      </c>
      <c r="K24" s="30"/>
      <c r="L24" s="30"/>
      <c r="M24" s="30"/>
      <c r="N24" s="30"/>
      <c r="O24" s="30"/>
      <c r="P24" s="61">
        <v>4650.0</v>
      </c>
      <c r="Q24" s="24">
        <f t="shared" si="1"/>
        <v>0</v>
      </c>
      <c r="R24" s="57" t="s">
        <v>66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45338.0</v>
      </c>
      <c r="C25" s="56" t="s">
        <v>1263</v>
      </c>
      <c r="D25" s="56">
        <v>56980.0</v>
      </c>
      <c r="E25" s="57" t="s">
        <v>1264</v>
      </c>
      <c r="F25" s="30"/>
      <c r="G25" s="30"/>
      <c r="H25" s="30"/>
      <c r="I25" s="68">
        <v>25000.0</v>
      </c>
      <c r="J25" s="68"/>
      <c r="K25" s="30"/>
      <c r="L25" s="30"/>
      <c r="M25" s="30"/>
      <c r="N25" s="30"/>
      <c r="O25" s="30"/>
      <c r="P25" s="61">
        <v>25000.0</v>
      </c>
      <c r="Q25" s="24">
        <f t="shared" si="1"/>
        <v>0</v>
      </c>
      <c r="R25" s="57" t="s">
        <v>27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45338.0</v>
      </c>
      <c r="C26" s="56" t="s">
        <v>1265</v>
      </c>
      <c r="D26" s="56">
        <v>81363.0</v>
      </c>
      <c r="E26" s="57" t="s">
        <v>1266</v>
      </c>
      <c r="F26" s="30"/>
      <c r="G26" s="30"/>
      <c r="H26" s="30"/>
      <c r="I26" s="68">
        <v>7000.0</v>
      </c>
      <c r="J26" s="68"/>
      <c r="K26" s="30"/>
      <c r="L26" s="30"/>
      <c r="M26" s="30"/>
      <c r="N26" s="30"/>
      <c r="O26" s="30"/>
      <c r="P26" s="61">
        <v>7000.0</v>
      </c>
      <c r="Q26" s="24">
        <f t="shared" si="1"/>
        <v>0</v>
      </c>
      <c r="R26" s="57" t="s">
        <v>27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45338.0</v>
      </c>
      <c r="C27" s="56" t="s">
        <v>1267</v>
      </c>
      <c r="D27" s="56">
        <v>77107.0</v>
      </c>
      <c r="E27" s="57" t="s">
        <v>1268</v>
      </c>
      <c r="F27" s="30"/>
      <c r="G27" s="30"/>
      <c r="H27" s="30"/>
      <c r="I27" s="68"/>
      <c r="J27" s="68">
        <v>5150.0</v>
      </c>
      <c r="K27" s="30"/>
      <c r="L27" s="30"/>
      <c r="M27" s="30"/>
      <c r="N27" s="30"/>
      <c r="O27" s="30"/>
      <c r="P27" s="61">
        <v>5150.0</v>
      </c>
      <c r="Q27" s="24">
        <f t="shared" si="1"/>
        <v>0</v>
      </c>
      <c r="R27" s="57" t="s">
        <v>56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45338.0</v>
      </c>
      <c r="C28" s="56" t="s">
        <v>1269</v>
      </c>
      <c r="D28" s="56">
        <v>81609.0</v>
      </c>
      <c r="E28" s="57" t="s">
        <v>1270</v>
      </c>
      <c r="F28" s="30"/>
      <c r="G28" s="30"/>
      <c r="H28" s="30"/>
      <c r="I28" s="68">
        <v>300.0</v>
      </c>
      <c r="J28" s="68"/>
      <c r="K28" s="30"/>
      <c r="L28" s="30"/>
      <c r="M28" s="30"/>
      <c r="N28" s="30"/>
      <c r="O28" s="30"/>
      <c r="P28" s="61">
        <v>300.0</v>
      </c>
      <c r="Q28" s="24">
        <f t="shared" si="1"/>
        <v>0</v>
      </c>
      <c r="R28" s="57" t="s">
        <v>27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45338.0</v>
      </c>
      <c r="C29" s="56" t="s">
        <v>1271</v>
      </c>
      <c r="D29" s="56">
        <v>52247.0</v>
      </c>
      <c r="E29" s="57" t="s">
        <v>299</v>
      </c>
      <c r="F29" s="30"/>
      <c r="G29" s="30"/>
      <c r="H29" s="30"/>
      <c r="I29" s="68">
        <v>20750.0</v>
      </c>
      <c r="J29" s="68"/>
      <c r="K29" s="30"/>
      <c r="L29" s="30"/>
      <c r="M29" s="30"/>
      <c r="N29" s="30"/>
      <c r="O29" s="30"/>
      <c r="P29" s="61">
        <v>20750.0</v>
      </c>
      <c r="Q29" s="24">
        <f t="shared" si="1"/>
        <v>0</v>
      </c>
      <c r="R29" s="57" t="s">
        <v>27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45338.0</v>
      </c>
      <c r="C30" s="56" t="s">
        <v>1272</v>
      </c>
      <c r="D30" s="56">
        <v>59103.0</v>
      </c>
      <c r="E30" s="57" t="s">
        <v>336</v>
      </c>
      <c r="F30" s="30"/>
      <c r="G30" s="30"/>
      <c r="H30" s="30"/>
      <c r="I30" s="68">
        <v>26110.0</v>
      </c>
      <c r="J30" s="68"/>
      <c r="K30" s="30">
        <v>7640.0</v>
      </c>
      <c r="L30" s="30"/>
      <c r="M30" s="30"/>
      <c r="N30" s="30"/>
      <c r="O30" s="30"/>
      <c r="P30" s="61">
        <v>33750.0</v>
      </c>
      <c r="Q30" s="24">
        <f t="shared" si="1"/>
        <v>0</v>
      </c>
      <c r="R30" s="57" t="s">
        <v>56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45338.0</v>
      </c>
      <c r="C31" s="56" t="s">
        <v>1273</v>
      </c>
      <c r="D31" s="56">
        <v>46927.0</v>
      </c>
      <c r="E31" s="57" t="s">
        <v>653</v>
      </c>
      <c r="F31" s="30"/>
      <c r="G31" s="30"/>
      <c r="H31" s="30"/>
      <c r="I31" s="68">
        <v>1400.0</v>
      </c>
      <c r="J31" s="68"/>
      <c r="K31" s="30"/>
      <c r="L31" s="30"/>
      <c r="M31" s="30"/>
      <c r="N31" s="30"/>
      <c r="O31" s="30"/>
      <c r="P31" s="61">
        <v>1400.0</v>
      </c>
      <c r="Q31" s="24">
        <f t="shared" si="1"/>
        <v>0</v>
      </c>
      <c r="R31" s="57" t="s">
        <v>56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45338.0</v>
      </c>
      <c r="C32" s="56" t="s">
        <v>1274</v>
      </c>
      <c r="D32" s="56">
        <v>54763.0</v>
      </c>
      <c r="E32" s="57" t="s">
        <v>36</v>
      </c>
      <c r="F32" s="30"/>
      <c r="G32" s="30"/>
      <c r="H32" s="30"/>
      <c r="I32" s="68">
        <v>300.0</v>
      </c>
      <c r="J32" s="68"/>
      <c r="K32" s="30"/>
      <c r="L32" s="30"/>
      <c r="M32" s="30"/>
      <c r="N32" s="30"/>
      <c r="O32" s="30"/>
      <c r="P32" s="61">
        <v>300.0</v>
      </c>
      <c r="Q32" s="24">
        <f t="shared" si="1"/>
        <v>0</v>
      </c>
      <c r="R32" s="57" t="s">
        <v>24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45338.0</v>
      </c>
      <c r="C33" s="56" t="s">
        <v>1275</v>
      </c>
      <c r="D33" s="56">
        <v>28414.0</v>
      </c>
      <c r="E33" s="57" t="s">
        <v>582</v>
      </c>
      <c r="F33" s="30"/>
      <c r="G33" s="30"/>
      <c r="H33" s="30"/>
      <c r="I33" s="68">
        <v>3350.0</v>
      </c>
      <c r="J33" s="68"/>
      <c r="K33" s="30"/>
      <c r="L33" s="30"/>
      <c r="M33" s="30"/>
      <c r="N33" s="30"/>
      <c r="O33" s="30"/>
      <c r="P33" s="61">
        <v>3350.0</v>
      </c>
      <c r="Q33" s="24">
        <f t="shared" si="1"/>
        <v>0</v>
      </c>
      <c r="R33" s="57" t="s">
        <v>27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45338.0</v>
      </c>
      <c r="C34" s="56" t="s">
        <v>1276</v>
      </c>
      <c r="D34" s="56">
        <v>81610.0</v>
      </c>
      <c r="E34" s="57" t="s">
        <v>1277</v>
      </c>
      <c r="F34" s="30"/>
      <c r="G34" s="30"/>
      <c r="H34" s="30"/>
      <c r="I34" s="68">
        <v>7000.0</v>
      </c>
      <c r="J34" s="68"/>
      <c r="K34" s="30"/>
      <c r="L34" s="30"/>
      <c r="M34" s="30"/>
      <c r="N34" s="30"/>
      <c r="O34" s="30"/>
      <c r="P34" s="61">
        <v>7000.0</v>
      </c>
      <c r="Q34" s="24">
        <f t="shared" si="1"/>
        <v>0</v>
      </c>
      <c r="R34" s="57" t="s">
        <v>56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45338.0</v>
      </c>
      <c r="C35" s="56" t="s">
        <v>1278</v>
      </c>
      <c r="D35" s="56">
        <v>50461.0</v>
      </c>
      <c r="E35" s="57" t="s">
        <v>1279</v>
      </c>
      <c r="F35" s="30"/>
      <c r="G35" s="30"/>
      <c r="H35" s="30"/>
      <c r="I35" s="68">
        <v>350.0</v>
      </c>
      <c r="J35" s="68"/>
      <c r="K35" s="30"/>
      <c r="L35" s="30"/>
      <c r="M35" s="30"/>
      <c r="N35" s="30"/>
      <c r="O35" s="30"/>
      <c r="P35" s="61">
        <v>350.0</v>
      </c>
      <c r="Q35" s="24">
        <f t="shared" si="1"/>
        <v>0</v>
      </c>
      <c r="R35" s="57" t="s">
        <v>27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45338.0</v>
      </c>
      <c r="C36" s="56" t="s">
        <v>1280</v>
      </c>
      <c r="D36" s="56">
        <v>47787.0</v>
      </c>
      <c r="E36" s="57" t="s">
        <v>1016</v>
      </c>
      <c r="F36" s="30"/>
      <c r="G36" s="30"/>
      <c r="H36" s="30"/>
      <c r="I36" s="68">
        <v>1250.0</v>
      </c>
      <c r="J36" s="68"/>
      <c r="K36" s="30"/>
      <c r="L36" s="30"/>
      <c r="M36" s="30"/>
      <c r="N36" s="30"/>
      <c r="O36" s="30"/>
      <c r="P36" s="61">
        <v>1250.0</v>
      </c>
      <c r="Q36" s="24">
        <f t="shared" si="1"/>
        <v>0</v>
      </c>
      <c r="R36" s="57" t="s">
        <v>56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45338.0</v>
      </c>
      <c r="C37" s="56" t="s">
        <v>1281</v>
      </c>
      <c r="D37" s="56">
        <v>21384.0</v>
      </c>
      <c r="E37" s="57" t="s">
        <v>822</v>
      </c>
      <c r="F37" s="30"/>
      <c r="G37" s="30">
        <v>2500.0</v>
      </c>
      <c r="H37" s="30"/>
      <c r="I37" s="68"/>
      <c r="J37" s="68"/>
      <c r="K37" s="30"/>
      <c r="L37" s="30"/>
      <c r="M37" s="30"/>
      <c r="N37" s="30"/>
      <c r="O37" s="30"/>
      <c r="P37" s="61">
        <v>2500.0</v>
      </c>
      <c r="Q37" s="24">
        <f t="shared" si="1"/>
        <v>0</v>
      </c>
      <c r="R37" s="57" t="s">
        <v>24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45338.0</v>
      </c>
      <c r="C38" s="56" t="s">
        <v>1282</v>
      </c>
      <c r="D38" s="56">
        <v>80423.0</v>
      </c>
      <c r="E38" s="57" t="s">
        <v>76</v>
      </c>
      <c r="F38" s="30"/>
      <c r="G38" s="30"/>
      <c r="H38" s="30"/>
      <c r="I38" s="68">
        <v>2250.0</v>
      </c>
      <c r="J38" s="68"/>
      <c r="K38" s="30"/>
      <c r="L38" s="30"/>
      <c r="M38" s="30"/>
      <c r="N38" s="30"/>
      <c r="O38" s="30"/>
      <c r="P38" s="61">
        <v>2250.0</v>
      </c>
      <c r="Q38" s="24">
        <f t="shared" si="1"/>
        <v>0</v>
      </c>
      <c r="R38" s="57" t="s">
        <v>66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45338.0</v>
      </c>
      <c r="C39" s="56" t="s">
        <v>1283</v>
      </c>
      <c r="D39" s="56">
        <v>70536.0</v>
      </c>
      <c r="E39" s="57" t="s">
        <v>1284</v>
      </c>
      <c r="F39" s="30"/>
      <c r="G39" s="30"/>
      <c r="H39" s="30"/>
      <c r="I39" s="68">
        <v>5000.0</v>
      </c>
      <c r="J39" s="68"/>
      <c r="K39" s="30"/>
      <c r="L39" s="30"/>
      <c r="M39" s="30"/>
      <c r="N39" s="30"/>
      <c r="O39" s="30"/>
      <c r="P39" s="61">
        <v>5000.0</v>
      </c>
      <c r="Q39" s="24">
        <f t="shared" si="1"/>
        <v>0</v>
      </c>
      <c r="R39" s="57" t="s">
        <v>56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45338.0</v>
      </c>
      <c r="C40" s="56" t="s">
        <v>1285</v>
      </c>
      <c r="D40" s="56">
        <v>50136.0</v>
      </c>
      <c r="E40" s="57" t="s">
        <v>1286</v>
      </c>
      <c r="F40" s="30"/>
      <c r="G40" s="30"/>
      <c r="H40" s="30"/>
      <c r="I40" s="68">
        <v>4500.0</v>
      </c>
      <c r="J40" s="68"/>
      <c r="K40" s="30"/>
      <c r="L40" s="30"/>
      <c r="M40" s="30"/>
      <c r="N40" s="30"/>
      <c r="O40" s="30"/>
      <c r="P40" s="61">
        <v>4500.0</v>
      </c>
      <c r="Q40" s="24">
        <f t="shared" si="1"/>
        <v>0</v>
      </c>
      <c r="R40" s="57" t="s">
        <v>56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45338.0</v>
      </c>
      <c r="C41" s="56" t="s">
        <v>1287</v>
      </c>
      <c r="D41" s="56">
        <v>81451.0</v>
      </c>
      <c r="E41" s="57" t="s">
        <v>509</v>
      </c>
      <c r="F41" s="30"/>
      <c r="G41" s="30"/>
      <c r="H41" s="30"/>
      <c r="I41" s="68">
        <v>7000.0</v>
      </c>
      <c r="J41" s="68"/>
      <c r="K41" s="30"/>
      <c r="L41" s="30"/>
      <c r="M41" s="30"/>
      <c r="N41" s="30"/>
      <c r="O41" s="30"/>
      <c r="P41" s="61">
        <v>7000.0</v>
      </c>
      <c r="Q41" s="24">
        <f t="shared" si="1"/>
        <v>0</v>
      </c>
      <c r="R41" s="57" t="s">
        <v>27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45338.0</v>
      </c>
      <c r="C42" s="56" t="s">
        <v>1288</v>
      </c>
      <c r="D42" s="56">
        <v>81451.0</v>
      </c>
      <c r="E42" s="57" t="s">
        <v>509</v>
      </c>
      <c r="F42" s="30"/>
      <c r="G42" s="30"/>
      <c r="H42" s="30"/>
      <c r="I42" s="68">
        <v>1900.0</v>
      </c>
      <c r="J42" s="68"/>
      <c r="K42" s="30"/>
      <c r="L42" s="30"/>
      <c r="M42" s="30"/>
      <c r="N42" s="30"/>
      <c r="O42" s="30"/>
      <c r="P42" s="61">
        <v>1900.0</v>
      </c>
      <c r="Q42" s="24">
        <f t="shared" si="1"/>
        <v>0</v>
      </c>
      <c r="R42" s="57" t="s">
        <v>27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45338.0</v>
      </c>
      <c r="C43" s="56" t="s">
        <v>1289</v>
      </c>
      <c r="D43" s="56">
        <v>80209.0</v>
      </c>
      <c r="E43" s="57" t="s">
        <v>1290</v>
      </c>
      <c r="F43" s="30"/>
      <c r="G43" s="30"/>
      <c r="H43" s="30"/>
      <c r="I43" s="68">
        <v>4650.0</v>
      </c>
      <c r="J43" s="68"/>
      <c r="K43" s="30"/>
      <c r="L43" s="30"/>
      <c r="M43" s="30"/>
      <c r="N43" s="30"/>
      <c r="O43" s="30"/>
      <c r="P43" s="61">
        <v>4650.0</v>
      </c>
      <c r="Q43" s="24">
        <f t="shared" si="1"/>
        <v>0</v>
      </c>
      <c r="R43" s="57" t="s">
        <v>66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45338.0</v>
      </c>
      <c r="C44" s="56" t="s">
        <v>1291</v>
      </c>
      <c r="D44" s="56">
        <v>81611.0</v>
      </c>
      <c r="E44" s="57" t="s">
        <v>1292</v>
      </c>
      <c r="F44" s="30"/>
      <c r="G44" s="30"/>
      <c r="H44" s="30"/>
      <c r="I44" s="68">
        <v>7000.0</v>
      </c>
      <c r="J44" s="68"/>
      <c r="K44" s="30"/>
      <c r="L44" s="30"/>
      <c r="M44" s="30"/>
      <c r="N44" s="30"/>
      <c r="O44" s="30"/>
      <c r="P44" s="61">
        <v>7000.0</v>
      </c>
      <c r="Q44" s="24">
        <f t="shared" si="1"/>
        <v>0</v>
      </c>
      <c r="R44" s="57" t="s">
        <v>27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45338.0</v>
      </c>
      <c r="C45" s="56" t="s">
        <v>1293</v>
      </c>
      <c r="D45" s="56">
        <v>52631.0</v>
      </c>
      <c r="E45" s="57" t="s">
        <v>1294</v>
      </c>
      <c r="F45" s="30"/>
      <c r="G45" s="30"/>
      <c r="H45" s="30"/>
      <c r="I45" s="68">
        <v>10000.0</v>
      </c>
      <c r="J45" s="68"/>
      <c r="K45" s="30"/>
      <c r="L45" s="30"/>
      <c r="M45" s="30"/>
      <c r="N45" s="30"/>
      <c r="O45" s="30"/>
      <c r="P45" s="61">
        <v>10000.0</v>
      </c>
      <c r="Q45" s="24">
        <f t="shared" si="1"/>
        <v>0</v>
      </c>
      <c r="R45" s="57" t="s">
        <v>27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45338.0</v>
      </c>
      <c r="C46" s="56" t="s">
        <v>1295</v>
      </c>
      <c r="D46" s="56">
        <v>52083.0</v>
      </c>
      <c r="E46" s="57" t="s">
        <v>23</v>
      </c>
      <c r="F46" s="30"/>
      <c r="G46" s="30"/>
      <c r="H46" s="30"/>
      <c r="I46" s="68">
        <v>6200.0</v>
      </c>
      <c r="J46" s="68"/>
      <c r="K46" s="30"/>
      <c r="L46" s="30"/>
      <c r="M46" s="30"/>
      <c r="N46" s="30"/>
      <c r="O46" s="30"/>
      <c r="P46" s="61">
        <v>6200.0</v>
      </c>
      <c r="Q46" s="24">
        <f t="shared" si="1"/>
        <v>0</v>
      </c>
      <c r="R46" s="57" t="s">
        <v>27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3">
        <v>45337.0</v>
      </c>
      <c r="C47" s="64" t="s">
        <v>1296</v>
      </c>
      <c r="D47" s="64">
        <v>54764.0</v>
      </c>
      <c r="E47" s="65" t="s">
        <v>957</v>
      </c>
      <c r="F47" s="30"/>
      <c r="G47" s="30"/>
      <c r="H47" s="30"/>
      <c r="I47" s="68"/>
      <c r="J47" s="68"/>
      <c r="K47" s="30"/>
      <c r="L47" s="30"/>
      <c r="M47" s="30"/>
      <c r="N47" s="30"/>
      <c r="O47" s="30">
        <v>3600.0</v>
      </c>
      <c r="P47" s="66">
        <v>3600.0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3">
        <v>45338.0</v>
      </c>
      <c r="C48" s="64" t="s">
        <v>1297</v>
      </c>
      <c r="D48" s="64">
        <v>43380.0</v>
      </c>
      <c r="E48" s="65" t="s">
        <v>351</v>
      </c>
      <c r="F48" s="30"/>
      <c r="G48" s="30"/>
      <c r="H48" s="30"/>
      <c r="I48" s="68"/>
      <c r="J48" s="68"/>
      <c r="K48" s="30"/>
      <c r="L48" s="30"/>
      <c r="M48" s="30">
        <v>9500.0</v>
      </c>
      <c r="N48" s="30"/>
      <c r="O48" s="30"/>
      <c r="P48" s="66">
        <v>9500.0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45338.0</v>
      </c>
      <c r="C49" s="64" t="s">
        <v>1298</v>
      </c>
      <c r="D49" s="64">
        <v>49918.0</v>
      </c>
      <c r="E49" s="65" t="s">
        <v>1299</v>
      </c>
      <c r="F49" s="30"/>
      <c r="G49" s="30"/>
      <c r="H49" s="30"/>
      <c r="I49" s="68"/>
      <c r="J49" s="68"/>
      <c r="K49" s="30"/>
      <c r="L49" s="30"/>
      <c r="M49" s="30">
        <v>5000.0</v>
      </c>
      <c r="N49" s="30"/>
      <c r="O49" s="30"/>
      <c r="P49" s="66">
        <v>5000.0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45338.0</v>
      </c>
      <c r="C50" s="64" t="s">
        <v>1300</v>
      </c>
      <c r="D50" s="64">
        <v>43380.0</v>
      </c>
      <c r="E50" s="65" t="s">
        <v>351</v>
      </c>
      <c r="F50" s="30"/>
      <c r="G50" s="30"/>
      <c r="H50" s="30">
        <v>625.0</v>
      </c>
      <c r="I50" s="30"/>
      <c r="J50" s="30"/>
      <c r="K50" s="30"/>
      <c r="L50" s="30"/>
      <c r="M50" s="30"/>
      <c r="N50" s="30"/>
      <c r="O50" s="30"/>
      <c r="P50" s="66">
        <v>625.0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/>
      <c r="B51" s="27"/>
      <c r="C51" s="28"/>
      <c r="D51" s="29"/>
      <c r="E51" s="28"/>
      <c r="F51" s="30">
        <f t="shared" ref="F51:P51" si="2">SUM(F5:F50)</f>
        <v>0</v>
      </c>
      <c r="G51" s="30">
        <f t="shared" si="2"/>
        <v>2500</v>
      </c>
      <c r="H51" s="30">
        <f t="shared" si="2"/>
        <v>15625</v>
      </c>
      <c r="I51" s="30">
        <f t="shared" si="2"/>
        <v>176060</v>
      </c>
      <c r="J51" s="30">
        <f t="shared" si="2"/>
        <v>43950</v>
      </c>
      <c r="K51" s="30">
        <f t="shared" si="2"/>
        <v>7940</v>
      </c>
      <c r="L51" s="30">
        <f t="shared" si="2"/>
        <v>0</v>
      </c>
      <c r="M51" s="30">
        <f t="shared" si="2"/>
        <v>24450</v>
      </c>
      <c r="N51" s="30">
        <f t="shared" si="2"/>
        <v>0</v>
      </c>
      <c r="O51" s="30">
        <f t="shared" si="2"/>
        <v>3600</v>
      </c>
      <c r="P51" s="68">
        <f t="shared" si="2"/>
        <v>282125</v>
      </c>
      <c r="Q51" s="24">
        <f t="shared" si="1"/>
        <v>-8000</v>
      </c>
      <c r="R51" s="67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36.0" customHeight="1">
      <c r="A52" s="35"/>
      <c r="B52" s="35"/>
      <c r="C52" s="35"/>
      <c r="D52" s="35"/>
      <c r="E52" s="35"/>
      <c r="F52" s="36">
        <f>F51+G51+H51+I51+J51+K51+L51+M51+N51+O51</f>
        <v>274125</v>
      </c>
      <c r="P52" s="36"/>
      <c r="Q52" s="36"/>
      <c r="R52" s="35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37" t="s">
        <v>242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243</v>
      </c>
      <c r="F56" s="39" t="s">
        <v>244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245</v>
      </c>
      <c r="F57" s="39" t="s">
        <v>244</v>
      </c>
      <c r="G57" s="4"/>
      <c r="H57" s="4"/>
      <c r="I57" s="4"/>
      <c r="J57" s="4"/>
      <c r="K57" s="4"/>
      <c r="L57" s="4"/>
      <c r="M57" s="4"/>
      <c r="N57" s="4"/>
      <c r="O57" s="4" t="s">
        <v>242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38" t="s">
        <v>246</v>
      </c>
      <c r="F58" s="39" t="s">
        <v>244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38" t="s">
        <v>247</v>
      </c>
      <c r="F59" s="39" t="s">
        <v>244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38" t="s">
        <v>248</v>
      </c>
      <c r="F60" s="39" t="s">
        <v>623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7.0" customHeight="1">
      <c r="A61" s="4"/>
      <c r="B61" s="4"/>
      <c r="C61" s="4"/>
      <c r="D61" s="4"/>
      <c r="E61" s="38" t="s">
        <v>1301</v>
      </c>
      <c r="F61" s="39" t="s">
        <v>244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0.0" customHeight="1">
      <c r="A62" s="4"/>
      <c r="B62" s="4"/>
      <c r="C62" s="4"/>
      <c r="D62" s="4"/>
      <c r="E62" s="40" t="s">
        <v>250</v>
      </c>
      <c r="F62" s="39" t="s">
        <v>880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252</v>
      </c>
      <c r="F63" s="39" t="s">
        <v>880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242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 t="s">
        <v>253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77.25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45338.0</v>
      </c>
      <c r="C5" s="55" t="s">
        <v>1303</v>
      </c>
      <c r="D5" s="56">
        <v>71003.0</v>
      </c>
      <c r="E5" s="57" t="s">
        <v>1304</v>
      </c>
      <c r="F5" s="21"/>
      <c r="G5" s="21"/>
      <c r="H5" s="21"/>
      <c r="I5" s="21">
        <v>6100.0</v>
      </c>
      <c r="J5" s="22"/>
      <c r="K5" s="21"/>
      <c r="L5" s="21"/>
      <c r="M5" s="21"/>
      <c r="N5" s="21"/>
      <c r="O5" s="21"/>
      <c r="P5" s="58">
        <v>6100.0</v>
      </c>
      <c r="Q5" s="24">
        <f t="shared" ref="Q5:Q39" si="1">F5+G5+H5+I5+J5+K5+L5+M5+N5+O5-P5</f>
        <v>0</v>
      </c>
      <c r="R5" s="59" t="s">
        <v>27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45338.0</v>
      </c>
      <c r="C6" s="55" t="s">
        <v>1305</v>
      </c>
      <c r="D6" s="56">
        <v>71914.0</v>
      </c>
      <c r="E6" s="57" t="s">
        <v>1306</v>
      </c>
      <c r="F6" s="21"/>
      <c r="G6" s="21"/>
      <c r="H6" s="21"/>
      <c r="I6" s="22">
        <v>1500.0</v>
      </c>
      <c r="J6" s="21"/>
      <c r="K6" s="21"/>
      <c r="L6" s="21"/>
      <c r="M6" s="21"/>
      <c r="N6" s="21"/>
      <c r="O6" s="21"/>
      <c r="P6" s="58">
        <v>1500.0</v>
      </c>
      <c r="Q6" s="24">
        <f t="shared" si="1"/>
        <v>0</v>
      </c>
      <c r="R6" s="59" t="s">
        <v>24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45339.0</v>
      </c>
      <c r="C7" s="55" t="s">
        <v>1307</v>
      </c>
      <c r="D7" s="56">
        <v>35518.0</v>
      </c>
      <c r="E7" s="57" t="s">
        <v>1308</v>
      </c>
      <c r="F7" s="21"/>
      <c r="G7" s="21"/>
      <c r="H7" s="21"/>
      <c r="I7" s="22">
        <v>12500.0</v>
      </c>
      <c r="J7" s="21"/>
      <c r="K7" s="21"/>
      <c r="L7" s="21"/>
      <c r="M7" s="21"/>
      <c r="N7" s="21"/>
      <c r="O7" s="21"/>
      <c r="P7" s="58">
        <v>12500.0</v>
      </c>
      <c r="Q7" s="24">
        <f t="shared" si="1"/>
        <v>0</v>
      </c>
      <c r="R7" s="59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45339.0</v>
      </c>
      <c r="C8" s="55" t="s">
        <v>1309</v>
      </c>
      <c r="D8" s="56">
        <v>19688.0</v>
      </c>
      <c r="E8" s="57" t="s">
        <v>691</v>
      </c>
      <c r="F8" s="21"/>
      <c r="G8" s="21"/>
      <c r="H8" s="21"/>
      <c r="I8" s="21"/>
      <c r="J8" s="21">
        <v>8500.0</v>
      </c>
      <c r="K8" s="21"/>
      <c r="L8" s="21"/>
      <c r="M8" s="21"/>
      <c r="N8" s="21"/>
      <c r="O8" s="21"/>
      <c r="P8" s="58">
        <v>8500.0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45339.0</v>
      </c>
      <c r="C9" s="55" t="s">
        <v>1310</v>
      </c>
      <c r="D9" s="56">
        <v>49272.0</v>
      </c>
      <c r="E9" s="57" t="s">
        <v>1311</v>
      </c>
      <c r="F9" s="21"/>
      <c r="G9" s="21"/>
      <c r="H9" s="21"/>
      <c r="I9" s="21">
        <v>10000.0</v>
      </c>
      <c r="J9" s="21"/>
      <c r="K9" s="21"/>
      <c r="L9" s="21"/>
      <c r="M9" s="21"/>
      <c r="N9" s="21"/>
      <c r="O9" s="21"/>
      <c r="P9" s="58">
        <v>10000.0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45339.0</v>
      </c>
      <c r="C10" s="55" t="s">
        <v>1312</v>
      </c>
      <c r="D10" s="56">
        <v>48973.0</v>
      </c>
      <c r="E10" s="57" t="s">
        <v>1313</v>
      </c>
      <c r="F10" s="21"/>
      <c r="G10" s="21"/>
      <c r="H10" s="21"/>
      <c r="I10" s="21"/>
      <c r="J10" s="21"/>
      <c r="K10" s="21"/>
      <c r="L10" s="21"/>
      <c r="M10" s="21">
        <v>2500.0</v>
      </c>
      <c r="N10" s="21"/>
      <c r="O10" s="21"/>
      <c r="P10" s="58">
        <v>2500.0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45339.0</v>
      </c>
      <c r="C11" s="55" t="s">
        <v>1314</v>
      </c>
      <c r="D11" s="56">
        <v>62146.0</v>
      </c>
      <c r="E11" s="57" t="s">
        <v>55</v>
      </c>
      <c r="F11" s="21"/>
      <c r="G11" s="21"/>
      <c r="H11" s="21"/>
      <c r="I11" s="22">
        <v>5000.0</v>
      </c>
      <c r="J11" s="21"/>
      <c r="K11" s="21"/>
      <c r="L11" s="21"/>
      <c r="M11" s="21"/>
      <c r="N11" s="21"/>
      <c r="O11" s="21"/>
      <c r="P11" s="58">
        <v>5000.0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45339.0</v>
      </c>
      <c r="C12" s="55" t="s">
        <v>1315</v>
      </c>
      <c r="D12" s="56">
        <v>54816.0</v>
      </c>
      <c r="E12" s="57" t="s">
        <v>859</v>
      </c>
      <c r="F12" s="21"/>
      <c r="G12" s="21"/>
      <c r="H12" s="21"/>
      <c r="I12" s="22"/>
      <c r="J12" s="21">
        <v>4175.0</v>
      </c>
      <c r="K12" s="21"/>
      <c r="L12" s="21"/>
      <c r="M12" s="21"/>
      <c r="N12" s="21"/>
      <c r="O12" s="21"/>
      <c r="P12" s="58">
        <v>4175.0</v>
      </c>
      <c r="Q12" s="24">
        <f t="shared" si="1"/>
        <v>0</v>
      </c>
      <c r="R12" s="59" t="s">
        <v>66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45339.0</v>
      </c>
      <c r="C13" s="55" t="s">
        <v>1316</v>
      </c>
      <c r="D13" s="56">
        <v>79860.0</v>
      </c>
      <c r="E13" s="57" t="s">
        <v>1068</v>
      </c>
      <c r="F13" s="21"/>
      <c r="G13" s="21"/>
      <c r="H13" s="21"/>
      <c r="I13" s="22"/>
      <c r="J13" s="21">
        <v>2650.0</v>
      </c>
      <c r="K13" s="21"/>
      <c r="L13" s="21"/>
      <c r="M13" s="21"/>
      <c r="N13" s="21"/>
      <c r="O13" s="21"/>
      <c r="P13" s="58">
        <v>2650.0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45339.0</v>
      </c>
      <c r="C14" s="55" t="s">
        <v>1317</v>
      </c>
      <c r="D14" s="56">
        <v>41079.0</v>
      </c>
      <c r="E14" s="57" t="s">
        <v>1318</v>
      </c>
      <c r="F14" s="21"/>
      <c r="G14" s="21"/>
      <c r="H14" s="21"/>
      <c r="I14" s="22">
        <v>10000.0</v>
      </c>
      <c r="J14" s="21"/>
      <c r="K14" s="21"/>
      <c r="L14" s="21"/>
      <c r="M14" s="21"/>
      <c r="N14" s="21"/>
      <c r="O14" s="21"/>
      <c r="P14" s="58">
        <v>10000.0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45339.0</v>
      </c>
      <c r="C15" s="55" t="s">
        <v>1319</v>
      </c>
      <c r="D15" s="56">
        <v>81621.0</v>
      </c>
      <c r="E15" s="57" t="s">
        <v>1320</v>
      </c>
      <c r="F15" s="21"/>
      <c r="G15" s="21"/>
      <c r="H15" s="21"/>
      <c r="I15" s="22">
        <v>7000.0</v>
      </c>
      <c r="J15" s="21"/>
      <c r="K15" s="21"/>
      <c r="L15" s="21"/>
      <c r="M15" s="21"/>
      <c r="N15" s="21"/>
      <c r="O15" s="21"/>
      <c r="P15" s="58">
        <v>7000.0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45339.0</v>
      </c>
      <c r="C16" s="55" t="s">
        <v>1321</v>
      </c>
      <c r="D16" s="56">
        <v>71914.0</v>
      </c>
      <c r="E16" s="57" t="s">
        <v>1306</v>
      </c>
      <c r="F16" s="21"/>
      <c r="G16" s="21"/>
      <c r="H16" s="21">
        <v>5000.0</v>
      </c>
      <c r="I16" s="22"/>
      <c r="J16" s="21"/>
      <c r="K16" s="21"/>
      <c r="L16" s="21"/>
      <c r="M16" s="21"/>
      <c r="N16" s="21"/>
      <c r="O16" s="21"/>
      <c r="P16" s="58">
        <v>5000.0</v>
      </c>
      <c r="Q16" s="24">
        <f t="shared" si="1"/>
        <v>0</v>
      </c>
      <c r="R16" s="59" t="s">
        <v>85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45339.0</v>
      </c>
      <c r="C17" s="55" t="s">
        <v>1322</v>
      </c>
      <c r="D17" s="56">
        <v>61420.0</v>
      </c>
      <c r="E17" s="57" t="s">
        <v>679</v>
      </c>
      <c r="F17" s="21"/>
      <c r="G17" s="21"/>
      <c r="H17" s="21"/>
      <c r="I17" s="21">
        <v>6000.0</v>
      </c>
      <c r="J17" s="21"/>
      <c r="K17" s="21"/>
      <c r="L17" s="21"/>
      <c r="M17" s="21"/>
      <c r="N17" s="21"/>
      <c r="O17" s="21"/>
      <c r="P17" s="58">
        <v>6000.0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45339.0</v>
      </c>
      <c r="C18" s="55" t="s">
        <v>1323</v>
      </c>
      <c r="D18" s="56">
        <v>81623.0</v>
      </c>
      <c r="E18" s="57" t="s">
        <v>1324</v>
      </c>
      <c r="F18" s="21"/>
      <c r="G18" s="21"/>
      <c r="H18" s="21"/>
      <c r="I18" s="21">
        <v>7000.0</v>
      </c>
      <c r="J18" s="21"/>
      <c r="K18" s="21"/>
      <c r="L18" s="21"/>
      <c r="M18" s="21"/>
      <c r="N18" s="21"/>
      <c r="O18" s="21"/>
      <c r="P18" s="58">
        <v>7000.0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45339.0</v>
      </c>
      <c r="C19" s="55" t="s">
        <v>1325</v>
      </c>
      <c r="D19" s="56">
        <v>53943.0</v>
      </c>
      <c r="E19" s="57" t="s">
        <v>1326</v>
      </c>
      <c r="F19" s="21"/>
      <c r="G19" s="21"/>
      <c r="H19" s="21"/>
      <c r="I19" s="21">
        <v>4650.0</v>
      </c>
      <c r="J19" s="21"/>
      <c r="K19" s="21"/>
      <c r="L19" s="21"/>
      <c r="M19" s="21"/>
      <c r="N19" s="21"/>
      <c r="O19" s="21"/>
      <c r="P19" s="58">
        <v>4650.0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45339.0</v>
      </c>
      <c r="C20" s="55" t="s">
        <v>1327</v>
      </c>
      <c r="D20" s="56">
        <v>28414.0</v>
      </c>
      <c r="E20" s="57" t="s">
        <v>582</v>
      </c>
      <c r="F20" s="21"/>
      <c r="G20" s="21"/>
      <c r="H20" s="21"/>
      <c r="I20" s="21">
        <v>4800.0</v>
      </c>
      <c r="J20" s="21"/>
      <c r="K20" s="21"/>
      <c r="L20" s="21"/>
      <c r="M20" s="21"/>
      <c r="N20" s="21"/>
      <c r="O20" s="21"/>
      <c r="P20" s="58">
        <v>4800.0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45339.0</v>
      </c>
      <c r="C21" s="55" t="s">
        <v>1328</v>
      </c>
      <c r="D21" s="56">
        <v>81602.0</v>
      </c>
      <c r="E21" s="57" t="s">
        <v>1329</v>
      </c>
      <c r="F21" s="21"/>
      <c r="G21" s="21"/>
      <c r="H21" s="21"/>
      <c r="I21" s="22">
        <v>7000.0</v>
      </c>
      <c r="J21" s="22"/>
      <c r="K21" s="21"/>
      <c r="L21" s="21"/>
      <c r="M21" s="21"/>
      <c r="N21" s="21"/>
      <c r="O21" s="21"/>
      <c r="P21" s="58">
        <v>7000.0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45339.0</v>
      </c>
      <c r="C22" s="55" t="s">
        <v>1330</v>
      </c>
      <c r="D22" s="56">
        <v>26831.0</v>
      </c>
      <c r="E22" s="57" t="s">
        <v>684</v>
      </c>
      <c r="F22" s="21"/>
      <c r="G22" s="21"/>
      <c r="H22" s="21"/>
      <c r="I22" s="22"/>
      <c r="J22" s="22">
        <v>5150.0</v>
      </c>
      <c r="K22" s="21"/>
      <c r="L22" s="21"/>
      <c r="M22" s="21"/>
      <c r="N22" s="21"/>
      <c r="O22" s="21"/>
      <c r="P22" s="58">
        <v>5150.0</v>
      </c>
      <c r="Q22" s="24">
        <f t="shared" si="1"/>
        <v>0</v>
      </c>
      <c r="R22" s="59" t="s">
        <v>66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45339.0</v>
      </c>
      <c r="C23" s="56" t="s">
        <v>1331</v>
      </c>
      <c r="D23" s="56">
        <v>81627.0</v>
      </c>
      <c r="E23" s="57" t="s">
        <v>1332</v>
      </c>
      <c r="F23" s="30"/>
      <c r="G23" s="30"/>
      <c r="H23" s="68"/>
      <c r="I23" s="68"/>
      <c r="J23" s="68">
        <v>7300.0</v>
      </c>
      <c r="K23" s="30"/>
      <c r="L23" s="30"/>
      <c r="M23" s="30"/>
      <c r="N23" s="30"/>
      <c r="O23" s="30"/>
      <c r="P23" s="61">
        <v>7300.0</v>
      </c>
      <c r="Q23" s="24">
        <f t="shared" si="1"/>
        <v>0</v>
      </c>
      <c r="R23" s="57" t="s">
        <v>66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45339.0</v>
      </c>
      <c r="C24" s="56" t="s">
        <v>1333</v>
      </c>
      <c r="D24" s="56">
        <v>53249.0</v>
      </c>
      <c r="E24" s="57" t="s">
        <v>152</v>
      </c>
      <c r="F24" s="30"/>
      <c r="G24" s="30"/>
      <c r="H24" s="30"/>
      <c r="I24" s="68"/>
      <c r="J24" s="68">
        <v>31300.0</v>
      </c>
      <c r="K24" s="30"/>
      <c r="L24" s="30"/>
      <c r="M24" s="30"/>
      <c r="N24" s="30"/>
      <c r="O24" s="30"/>
      <c r="P24" s="61">
        <v>31300.0</v>
      </c>
      <c r="Q24" s="24">
        <f t="shared" si="1"/>
        <v>0</v>
      </c>
      <c r="R24" s="57" t="s">
        <v>85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45339.0</v>
      </c>
      <c r="C25" s="56" t="s">
        <v>1334</v>
      </c>
      <c r="D25" s="56">
        <v>81629.0</v>
      </c>
      <c r="E25" s="57" t="s">
        <v>1335</v>
      </c>
      <c r="F25" s="30"/>
      <c r="G25" s="30"/>
      <c r="H25" s="30"/>
      <c r="I25" s="68"/>
      <c r="J25" s="68">
        <v>300.0</v>
      </c>
      <c r="K25" s="30"/>
      <c r="L25" s="30"/>
      <c r="M25" s="30"/>
      <c r="N25" s="30"/>
      <c r="O25" s="30"/>
      <c r="P25" s="61">
        <v>300.0</v>
      </c>
      <c r="Q25" s="24">
        <f t="shared" si="1"/>
        <v>0</v>
      </c>
      <c r="R25" s="57" t="s">
        <v>66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45339.0</v>
      </c>
      <c r="C26" s="56" t="s">
        <v>1336</v>
      </c>
      <c r="D26" s="56">
        <v>81628.0</v>
      </c>
      <c r="E26" s="57" t="s">
        <v>1337</v>
      </c>
      <c r="F26" s="30"/>
      <c r="G26" s="30"/>
      <c r="H26" s="30"/>
      <c r="I26" s="68"/>
      <c r="J26" s="68">
        <v>7300.0</v>
      </c>
      <c r="K26" s="30"/>
      <c r="L26" s="30"/>
      <c r="M26" s="30"/>
      <c r="N26" s="30"/>
      <c r="O26" s="30"/>
      <c r="P26" s="61">
        <v>7300.0</v>
      </c>
      <c r="Q26" s="24">
        <f t="shared" si="1"/>
        <v>0</v>
      </c>
      <c r="R26" s="57" t="s">
        <v>66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45339.0</v>
      </c>
      <c r="C27" s="56" t="s">
        <v>1338</v>
      </c>
      <c r="D27" s="56">
        <v>81627.0</v>
      </c>
      <c r="E27" s="57" t="s">
        <v>1332</v>
      </c>
      <c r="F27" s="30"/>
      <c r="G27" s="30"/>
      <c r="H27" s="30"/>
      <c r="I27" s="68"/>
      <c r="J27" s="68">
        <v>1200.0</v>
      </c>
      <c r="K27" s="30"/>
      <c r="L27" s="30"/>
      <c r="M27" s="30"/>
      <c r="N27" s="30"/>
      <c r="O27" s="30"/>
      <c r="P27" s="61">
        <v>1200.0</v>
      </c>
      <c r="Q27" s="24">
        <f t="shared" si="1"/>
        <v>0</v>
      </c>
      <c r="R27" s="57" t="s">
        <v>66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45339.0</v>
      </c>
      <c r="C28" s="56" t="s">
        <v>1339</v>
      </c>
      <c r="D28" s="56">
        <v>52771.0</v>
      </c>
      <c r="E28" s="57" t="s">
        <v>1340</v>
      </c>
      <c r="F28" s="30"/>
      <c r="G28" s="30"/>
      <c r="H28" s="30"/>
      <c r="I28" s="68"/>
      <c r="J28" s="68">
        <v>11800.0</v>
      </c>
      <c r="K28" s="30"/>
      <c r="L28" s="30"/>
      <c r="M28" s="30"/>
      <c r="N28" s="30"/>
      <c r="O28" s="30"/>
      <c r="P28" s="61">
        <v>11800.0</v>
      </c>
      <c r="Q28" s="24">
        <f t="shared" si="1"/>
        <v>0</v>
      </c>
      <c r="R28" s="57" t="s">
        <v>66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45339.0</v>
      </c>
      <c r="C29" s="56" t="s">
        <v>1341</v>
      </c>
      <c r="D29" s="56">
        <v>81630.0</v>
      </c>
      <c r="E29" s="57" t="s">
        <v>1342</v>
      </c>
      <c r="F29" s="30"/>
      <c r="G29" s="30"/>
      <c r="H29" s="30"/>
      <c r="I29" s="68">
        <v>300.0</v>
      </c>
      <c r="J29" s="68"/>
      <c r="K29" s="30"/>
      <c r="L29" s="30"/>
      <c r="M29" s="30"/>
      <c r="N29" s="30"/>
      <c r="O29" s="30"/>
      <c r="P29" s="61">
        <v>300.0</v>
      </c>
      <c r="Q29" s="24">
        <f t="shared" si="1"/>
        <v>0</v>
      </c>
      <c r="R29" s="57" t="s">
        <v>66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45339.0</v>
      </c>
      <c r="C30" s="56" t="s">
        <v>1343</v>
      </c>
      <c r="D30" s="56">
        <v>57934.0</v>
      </c>
      <c r="E30" s="57" t="s">
        <v>1344</v>
      </c>
      <c r="F30" s="30"/>
      <c r="G30" s="30"/>
      <c r="H30" s="30"/>
      <c r="I30" s="68">
        <v>5150.0</v>
      </c>
      <c r="J30" s="68"/>
      <c r="K30" s="30"/>
      <c r="L30" s="30"/>
      <c r="M30" s="30"/>
      <c r="N30" s="30"/>
      <c r="O30" s="30"/>
      <c r="P30" s="61">
        <v>5150.0</v>
      </c>
      <c r="Q30" s="24">
        <f t="shared" si="1"/>
        <v>0</v>
      </c>
      <c r="R30" s="57" t="s">
        <v>85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45339.0</v>
      </c>
      <c r="C31" s="56" t="s">
        <v>1345</v>
      </c>
      <c r="D31" s="56">
        <v>80534.0</v>
      </c>
      <c r="E31" s="57" t="s">
        <v>1346</v>
      </c>
      <c r="F31" s="30"/>
      <c r="G31" s="30"/>
      <c r="H31" s="30"/>
      <c r="I31" s="68">
        <v>2650.0</v>
      </c>
      <c r="J31" s="68"/>
      <c r="K31" s="30"/>
      <c r="L31" s="30"/>
      <c r="M31" s="30"/>
      <c r="N31" s="30"/>
      <c r="O31" s="30"/>
      <c r="P31" s="61">
        <v>2650.0</v>
      </c>
      <c r="Q31" s="24">
        <f t="shared" si="1"/>
        <v>0</v>
      </c>
      <c r="R31" s="57" t="s">
        <v>66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45339.0</v>
      </c>
      <c r="C32" s="56" t="s">
        <v>1347</v>
      </c>
      <c r="D32" s="56">
        <v>51406.0</v>
      </c>
      <c r="E32" s="57" t="s">
        <v>657</v>
      </c>
      <c r="F32" s="30"/>
      <c r="G32" s="30"/>
      <c r="H32" s="30"/>
      <c r="I32" s="68">
        <v>5000.0</v>
      </c>
      <c r="J32" s="68"/>
      <c r="K32" s="30"/>
      <c r="L32" s="30"/>
      <c r="M32" s="30"/>
      <c r="N32" s="30"/>
      <c r="O32" s="30"/>
      <c r="P32" s="61">
        <v>5000.0</v>
      </c>
      <c r="Q32" s="24">
        <f t="shared" si="1"/>
        <v>0</v>
      </c>
      <c r="R32" s="57" t="s">
        <v>85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45339.0</v>
      </c>
      <c r="C33" s="56" t="s">
        <v>1348</v>
      </c>
      <c r="D33" s="56">
        <v>51406.0</v>
      </c>
      <c r="E33" s="57" t="s">
        <v>657</v>
      </c>
      <c r="F33" s="30"/>
      <c r="G33" s="30"/>
      <c r="H33" s="30"/>
      <c r="I33" s="68">
        <v>6800.0</v>
      </c>
      <c r="J33" s="68"/>
      <c r="K33" s="30"/>
      <c r="L33" s="30"/>
      <c r="M33" s="30"/>
      <c r="N33" s="30"/>
      <c r="O33" s="30"/>
      <c r="P33" s="61">
        <v>6800.0</v>
      </c>
      <c r="Q33" s="24">
        <f t="shared" si="1"/>
        <v>0</v>
      </c>
      <c r="R33" s="57" t="s">
        <v>85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45339.0</v>
      </c>
      <c r="C34" s="56" t="s">
        <v>1349</v>
      </c>
      <c r="D34" s="56">
        <v>28414.0</v>
      </c>
      <c r="E34" s="57" t="s">
        <v>582</v>
      </c>
      <c r="F34" s="30"/>
      <c r="G34" s="30"/>
      <c r="H34" s="30"/>
      <c r="I34" s="68">
        <v>100.0</v>
      </c>
      <c r="J34" s="68"/>
      <c r="K34" s="30"/>
      <c r="L34" s="30"/>
      <c r="M34" s="30"/>
      <c r="N34" s="30"/>
      <c r="O34" s="30"/>
      <c r="P34" s="61">
        <v>100.0</v>
      </c>
      <c r="Q34" s="24">
        <f t="shared" si="1"/>
        <v>0</v>
      </c>
      <c r="R34" s="57" t="s">
        <v>85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45339.0</v>
      </c>
      <c r="C35" s="56" t="s">
        <v>1350</v>
      </c>
      <c r="D35" s="56">
        <v>69659.0</v>
      </c>
      <c r="E35" s="57" t="s">
        <v>737</v>
      </c>
      <c r="F35" s="30"/>
      <c r="G35" s="30"/>
      <c r="H35" s="30">
        <v>8000.0</v>
      </c>
      <c r="I35" s="68"/>
      <c r="J35" s="68"/>
      <c r="K35" s="30"/>
      <c r="L35" s="30"/>
      <c r="M35" s="30"/>
      <c r="N35" s="30"/>
      <c r="O35" s="30"/>
      <c r="P35" s="61">
        <v>8000.0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45338.0</v>
      </c>
      <c r="C36" s="56" t="s">
        <v>1351</v>
      </c>
      <c r="D36" s="56">
        <v>35245.0</v>
      </c>
      <c r="E36" s="57" t="s">
        <v>1081</v>
      </c>
      <c r="F36" s="30"/>
      <c r="G36" s="30"/>
      <c r="H36" s="30"/>
      <c r="I36" s="68"/>
      <c r="J36" s="68"/>
      <c r="K36" s="30">
        <v>5000.0</v>
      </c>
      <c r="L36" s="30"/>
      <c r="M36" s="30"/>
      <c r="N36" s="30"/>
      <c r="O36" s="30"/>
      <c r="P36" s="61">
        <v>5000.0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45338.0</v>
      </c>
      <c r="C37" s="56" t="s">
        <v>1352</v>
      </c>
      <c r="D37" s="56">
        <v>81615.0</v>
      </c>
      <c r="E37" s="57" t="s">
        <v>1353</v>
      </c>
      <c r="F37" s="30"/>
      <c r="G37" s="30"/>
      <c r="H37" s="30">
        <v>7000.0</v>
      </c>
      <c r="I37" s="68"/>
      <c r="J37" s="68"/>
      <c r="K37" s="30"/>
      <c r="L37" s="30"/>
      <c r="M37" s="30"/>
      <c r="N37" s="30"/>
      <c r="O37" s="30"/>
      <c r="P37" s="61">
        <v>7000.0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45339.0</v>
      </c>
      <c r="C38" s="56" t="s">
        <v>1354</v>
      </c>
      <c r="D38" s="56">
        <v>50336.0</v>
      </c>
      <c r="E38" s="57" t="s">
        <v>1355</v>
      </c>
      <c r="F38" s="30"/>
      <c r="G38" s="30"/>
      <c r="H38" s="30">
        <v>2500.0</v>
      </c>
      <c r="I38" s="68"/>
      <c r="J38" s="68"/>
      <c r="K38" s="30"/>
      <c r="L38" s="30"/>
      <c r="M38" s="30"/>
      <c r="N38" s="30"/>
      <c r="O38" s="30"/>
      <c r="P38" s="61">
        <v>2500.0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/>
      <c r="B39" s="27"/>
      <c r="C39" s="28"/>
      <c r="D39" s="29"/>
      <c r="E39" s="28"/>
      <c r="F39" s="30">
        <f t="shared" ref="F39:P39" si="2">SUM(F5:F38)</f>
        <v>0</v>
      </c>
      <c r="G39" s="30">
        <f t="shared" si="2"/>
        <v>0</v>
      </c>
      <c r="H39" s="30">
        <f t="shared" si="2"/>
        <v>22500</v>
      </c>
      <c r="I39" s="30">
        <f t="shared" si="2"/>
        <v>101550</v>
      </c>
      <c r="J39" s="30">
        <f t="shared" si="2"/>
        <v>79675</v>
      </c>
      <c r="K39" s="30">
        <f t="shared" si="2"/>
        <v>5000</v>
      </c>
      <c r="L39" s="30">
        <f t="shared" si="2"/>
        <v>0</v>
      </c>
      <c r="M39" s="30">
        <f t="shared" si="2"/>
        <v>2500</v>
      </c>
      <c r="N39" s="30">
        <f t="shared" si="2"/>
        <v>0</v>
      </c>
      <c r="O39" s="30">
        <f t="shared" si="2"/>
        <v>0</v>
      </c>
      <c r="P39" s="68">
        <f t="shared" si="2"/>
        <v>211225</v>
      </c>
      <c r="Q39" s="24">
        <f t="shared" si="1"/>
        <v>0</v>
      </c>
      <c r="R39" s="67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36.0" customHeight="1">
      <c r="A40" s="35"/>
      <c r="B40" s="35"/>
      <c r="C40" s="35"/>
      <c r="D40" s="35"/>
      <c r="E40" s="35"/>
      <c r="F40" s="36">
        <f>F39+G39+H39+I39+J39+K39+L39+M39+N39+O39</f>
        <v>211225</v>
      </c>
      <c r="P40" s="36"/>
      <c r="Q40" s="36"/>
      <c r="R40" s="35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37" t="s">
        <v>242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38" t="s">
        <v>243</v>
      </c>
      <c r="F44" s="39" t="s">
        <v>359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38" t="s">
        <v>245</v>
      </c>
      <c r="F45" s="39" t="s">
        <v>880</v>
      </c>
      <c r="G45" s="4"/>
      <c r="H45" s="4"/>
      <c r="I45" s="4"/>
      <c r="J45" s="4"/>
      <c r="K45" s="4"/>
      <c r="L45" s="4"/>
      <c r="M45" s="4"/>
      <c r="N45" s="4"/>
      <c r="O45" s="4" t="s">
        <v>242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38" t="s">
        <v>246</v>
      </c>
      <c r="F46" s="39" t="s">
        <v>880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38" t="s">
        <v>247</v>
      </c>
      <c r="F47" s="39" t="s">
        <v>880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248</v>
      </c>
      <c r="F48" s="39" t="s">
        <v>880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7.0" customHeight="1">
      <c r="A49" s="4"/>
      <c r="B49" s="4"/>
      <c r="C49" s="4"/>
      <c r="D49" s="4"/>
      <c r="E49" s="38" t="s">
        <v>1356</v>
      </c>
      <c r="F49" s="39" t="s">
        <v>880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0.0" customHeight="1">
      <c r="A50" s="4"/>
      <c r="B50" s="4"/>
      <c r="C50" s="4"/>
      <c r="D50" s="4"/>
      <c r="E50" s="40" t="s">
        <v>250</v>
      </c>
      <c r="F50" s="39" t="s">
        <v>880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38" t="s">
        <v>252</v>
      </c>
      <c r="F51" s="39" t="s">
        <v>880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 t="s">
        <v>242</v>
      </c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 t="s">
        <v>253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0:O4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45340.0</v>
      </c>
      <c r="C5" s="55" t="s">
        <v>1358</v>
      </c>
      <c r="D5" s="56">
        <v>76736.0</v>
      </c>
      <c r="E5" s="57" t="s">
        <v>1359</v>
      </c>
      <c r="F5" s="21"/>
      <c r="G5" s="21"/>
      <c r="H5" s="21"/>
      <c r="I5" s="21"/>
      <c r="J5" s="22">
        <v>10000.0</v>
      </c>
      <c r="K5" s="21"/>
      <c r="L5" s="21"/>
      <c r="M5" s="21"/>
      <c r="N5" s="21"/>
      <c r="O5" s="21"/>
      <c r="P5" s="58">
        <v>10000.0</v>
      </c>
      <c r="Q5" s="24">
        <f t="shared" ref="Q5:Q40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45340.0</v>
      </c>
      <c r="C6" s="55" t="s">
        <v>1360</v>
      </c>
      <c r="D6" s="56">
        <v>50222.0</v>
      </c>
      <c r="E6" s="57" t="s">
        <v>1361</v>
      </c>
      <c r="F6" s="21"/>
      <c r="G6" s="21"/>
      <c r="H6" s="21"/>
      <c r="I6" s="22">
        <v>12500.0</v>
      </c>
      <c r="J6" s="21"/>
      <c r="K6" s="21"/>
      <c r="L6" s="21"/>
      <c r="M6" s="21"/>
      <c r="N6" s="21"/>
      <c r="O6" s="21"/>
      <c r="P6" s="58">
        <v>12500.0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45340.0</v>
      </c>
      <c r="C7" s="55" t="s">
        <v>1362</v>
      </c>
      <c r="D7" s="56">
        <v>74515.0</v>
      </c>
      <c r="E7" s="57" t="s">
        <v>1363</v>
      </c>
      <c r="F7" s="21"/>
      <c r="G7" s="21"/>
      <c r="H7" s="21"/>
      <c r="I7" s="22"/>
      <c r="J7" s="21"/>
      <c r="K7" s="21"/>
      <c r="L7" s="21"/>
      <c r="M7" s="21">
        <v>4650.0</v>
      </c>
      <c r="N7" s="21"/>
      <c r="O7" s="21"/>
      <c r="P7" s="58">
        <v>4650.0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45340.0</v>
      </c>
      <c r="C8" s="55" t="s">
        <v>1364</v>
      </c>
      <c r="D8" s="56">
        <v>54166.0</v>
      </c>
      <c r="E8" s="57" t="s">
        <v>1365</v>
      </c>
      <c r="F8" s="21"/>
      <c r="G8" s="21"/>
      <c r="H8" s="21"/>
      <c r="I8" s="21">
        <v>5150.0</v>
      </c>
      <c r="J8" s="21"/>
      <c r="K8" s="21"/>
      <c r="L8" s="21"/>
      <c r="M8" s="21"/>
      <c r="N8" s="21"/>
      <c r="O8" s="21"/>
      <c r="P8" s="58">
        <v>5150.0</v>
      </c>
      <c r="Q8" s="24">
        <f t="shared" si="1"/>
        <v>0</v>
      </c>
      <c r="R8" s="59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45340.0</v>
      </c>
      <c r="C9" s="55" t="s">
        <v>1366</v>
      </c>
      <c r="D9" s="56">
        <v>19122.0</v>
      </c>
      <c r="E9" s="57" t="s">
        <v>42</v>
      </c>
      <c r="F9" s="21"/>
      <c r="G9" s="21"/>
      <c r="H9" s="21"/>
      <c r="I9" s="21">
        <v>3100.0</v>
      </c>
      <c r="J9" s="21"/>
      <c r="K9" s="21"/>
      <c r="L9" s="21"/>
      <c r="M9" s="21"/>
      <c r="N9" s="21"/>
      <c r="O9" s="21"/>
      <c r="P9" s="58">
        <v>3100.0</v>
      </c>
      <c r="Q9" s="24">
        <f t="shared" si="1"/>
        <v>0</v>
      </c>
      <c r="R9" s="59" t="s">
        <v>30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45340.0</v>
      </c>
      <c r="C10" s="55" t="s">
        <v>1367</v>
      </c>
      <c r="D10" s="56">
        <v>42046.0</v>
      </c>
      <c r="E10" s="57" t="s">
        <v>97</v>
      </c>
      <c r="F10" s="21"/>
      <c r="G10" s="21"/>
      <c r="H10" s="21"/>
      <c r="I10" s="21">
        <v>700.0</v>
      </c>
      <c r="J10" s="21"/>
      <c r="K10" s="21"/>
      <c r="L10" s="21"/>
      <c r="M10" s="21"/>
      <c r="N10" s="21"/>
      <c r="O10" s="21"/>
      <c r="P10" s="58">
        <v>700.0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45340.0</v>
      </c>
      <c r="C11" s="55" t="s">
        <v>1368</v>
      </c>
      <c r="D11" s="56">
        <v>81645.0</v>
      </c>
      <c r="E11" s="57" t="s">
        <v>1369</v>
      </c>
      <c r="F11" s="21"/>
      <c r="G11" s="21"/>
      <c r="H11" s="21"/>
      <c r="I11" s="22">
        <v>300.0</v>
      </c>
      <c r="J11" s="21"/>
      <c r="K11" s="21"/>
      <c r="L11" s="21"/>
      <c r="M11" s="21"/>
      <c r="N11" s="21"/>
      <c r="O11" s="21"/>
      <c r="P11" s="58">
        <v>300.0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45340.0</v>
      </c>
      <c r="C12" s="55" t="s">
        <v>1370</v>
      </c>
      <c r="D12" s="56">
        <v>51976.0</v>
      </c>
      <c r="E12" s="57" t="s">
        <v>170</v>
      </c>
      <c r="F12" s="21"/>
      <c r="G12" s="21"/>
      <c r="H12" s="21"/>
      <c r="I12" s="22"/>
      <c r="J12" s="21">
        <v>5150.0</v>
      </c>
      <c r="K12" s="21"/>
      <c r="L12" s="21"/>
      <c r="M12" s="21"/>
      <c r="N12" s="21"/>
      <c r="O12" s="21"/>
      <c r="P12" s="58">
        <v>5150.0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45340.0</v>
      </c>
      <c r="C13" s="55" t="s">
        <v>1371</v>
      </c>
      <c r="D13" s="56">
        <v>22341.0</v>
      </c>
      <c r="E13" s="57" t="s">
        <v>417</v>
      </c>
      <c r="F13" s="21"/>
      <c r="G13" s="21"/>
      <c r="H13" s="21"/>
      <c r="I13" s="22">
        <v>150.0</v>
      </c>
      <c r="J13" s="21"/>
      <c r="K13" s="21"/>
      <c r="L13" s="21"/>
      <c r="M13" s="21"/>
      <c r="N13" s="21"/>
      <c r="O13" s="21"/>
      <c r="P13" s="58">
        <v>150.0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45340.0</v>
      </c>
      <c r="C14" s="55" t="s">
        <v>1372</v>
      </c>
      <c r="D14" s="56">
        <v>10697.0</v>
      </c>
      <c r="E14" s="57" t="s">
        <v>1373</v>
      </c>
      <c r="F14" s="21"/>
      <c r="G14" s="21"/>
      <c r="H14" s="21"/>
      <c r="I14" s="22">
        <v>8400.0</v>
      </c>
      <c r="J14" s="21"/>
      <c r="K14" s="21"/>
      <c r="L14" s="21"/>
      <c r="M14" s="21"/>
      <c r="N14" s="21"/>
      <c r="O14" s="21"/>
      <c r="P14" s="58">
        <v>8400.0</v>
      </c>
      <c r="Q14" s="24">
        <f t="shared" si="1"/>
        <v>0</v>
      </c>
      <c r="R14" s="59" t="s">
        <v>30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45340.0</v>
      </c>
      <c r="C15" s="55" t="s">
        <v>1374</v>
      </c>
      <c r="D15" s="56">
        <v>14343.0</v>
      </c>
      <c r="E15" s="57" t="s">
        <v>1375</v>
      </c>
      <c r="F15" s="21"/>
      <c r="G15" s="21"/>
      <c r="H15" s="21"/>
      <c r="I15" s="22">
        <v>5150.0</v>
      </c>
      <c r="J15" s="21"/>
      <c r="K15" s="21"/>
      <c r="L15" s="21"/>
      <c r="M15" s="21"/>
      <c r="N15" s="21"/>
      <c r="O15" s="21"/>
      <c r="P15" s="58">
        <v>5150.0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45340.0</v>
      </c>
      <c r="C16" s="55" t="s">
        <v>1376</v>
      </c>
      <c r="D16" s="56">
        <v>48973.0</v>
      </c>
      <c r="E16" s="57" t="s">
        <v>1313</v>
      </c>
      <c r="F16" s="21"/>
      <c r="G16" s="21"/>
      <c r="H16" s="21"/>
      <c r="I16" s="22">
        <v>4000.0</v>
      </c>
      <c r="J16" s="21"/>
      <c r="K16" s="21"/>
      <c r="L16" s="21"/>
      <c r="M16" s="21"/>
      <c r="N16" s="21"/>
      <c r="O16" s="21"/>
      <c r="P16" s="58">
        <v>4000.0</v>
      </c>
      <c r="Q16" s="24">
        <f t="shared" si="1"/>
        <v>0</v>
      </c>
      <c r="R16" s="59" t="s">
        <v>56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45340.0</v>
      </c>
      <c r="C17" s="55" t="s">
        <v>1377</v>
      </c>
      <c r="D17" s="56">
        <v>48306.0</v>
      </c>
      <c r="E17" s="57" t="s">
        <v>1378</v>
      </c>
      <c r="F17" s="21">
        <v>300.0</v>
      </c>
      <c r="G17" s="21"/>
      <c r="H17" s="21"/>
      <c r="I17" s="21"/>
      <c r="J17" s="21"/>
      <c r="K17" s="21"/>
      <c r="L17" s="21"/>
      <c r="M17" s="21"/>
      <c r="N17" s="21"/>
      <c r="O17" s="21"/>
      <c r="P17" s="58">
        <v>300.0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45340.0</v>
      </c>
      <c r="C18" s="55" t="s">
        <v>1379</v>
      </c>
      <c r="D18" s="56">
        <v>13781.0</v>
      </c>
      <c r="E18" s="57" t="s">
        <v>302</v>
      </c>
      <c r="F18" s="21"/>
      <c r="G18" s="21"/>
      <c r="H18" s="21"/>
      <c r="I18" s="21">
        <v>4500.0</v>
      </c>
      <c r="J18" s="21"/>
      <c r="K18" s="21"/>
      <c r="L18" s="21"/>
      <c r="M18" s="21"/>
      <c r="N18" s="21"/>
      <c r="O18" s="21"/>
      <c r="P18" s="58">
        <v>4500.0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45340.0</v>
      </c>
      <c r="C19" s="55" t="s">
        <v>1380</v>
      </c>
      <c r="D19" s="56">
        <v>48631.0</v>
      </c>
      <c r="E19" s="57" t="s">
        <v>189</v>
      </c>
      <c r="F19" s="21"/>
      <c r="G19" s="21"/>
      <c r="H19" s="21"/>
      <c r="I19" s="21">
        <v>2650.0</v>
      </c>
      <c r="J19" s="21"/>
      <c r="K19" s="21"/>
      <c r="L19" s="21"/>
      <c r="M19" s="21"/>
      <c r="N19" s="21"/>
      <c r="O19" s="21"/>
      <c r="P19" s="58">
        <v>2650.0</v>
      </c>
      <c r="Q19" s="24">
        <f t="shared" si="1"/>
        <v>0</v>
      </c>
      <c r="R19" s="59" t="s">
        <v>30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45340.0</v>
      </c>
      <c r="C20" s="55" t="s">
        <v>1381</v>
      </c>
      <c r="D20" s="56">
        <v>19122.0</v>
      </c>
      <c r="E20" s="57" t="s">
        <v>42</v>
      </c>
      <c r="F20" s="21"/>
      <c r="G20" s="21"/>
      <c r="H20" s="21"/>
      <c r="I20" s="21">
        <v>3100.0</v>
      </c>
      <c r="J20" s="21"/>
      <c r="K20" s="21"/>
      <c r="L20" s="21"/>
      <c r="M20" s="21"/>
      <c r="N20" s="21"/>
      <c r="O20" s="21"/>
      <c r="P20" s="58">
        <v>3100.0</v>
      </c>
      <c r="Q20" s="24">
        <f t="shared" si="1"/>
        <v>0</v>
      </c>
      <c r="R20" s="59" t="s">
        <v>56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45340.0</v>
      </c>
      <c r="C21" s="55" t="s">
        <v>1382</v>
      </c>
      <c r="D21" s="56">
        <v>13781.0</v>
      </c>
      <c r="E21" s="57" t="s">
        <v>302</v>
      </c>
      <c r="F21" s="21"/>
      <c r="G21" s="21">
        <v>3950.0</v>
      </c>
      <c r="H21" s="21"/>
      <c r="I21" s="22"/>
      <c r="J21" s="22"/>
      <c r="K21" s="21"/>
      <c r="L21" s="21"/>
      <c r="M21" s="21"/>
      <c r="N21" s="21"/>
      <c r="O21" s="21"/>
      <c r="P21" s="58">
        <v>3950.0</v>
      </c>
      <c r="Q21" s="24">
        <f t="shared" si="1"/>
        <v>0</v>
      </c>
      <c r="R21" s="59" t="s">
        <v>30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45340.0</v>
      </c>
      <c r="C22" s="55" t="s">
        <v>1383</v>
      </c>
      <c r="D22" s="56">
        <v>48649.0</v>
      </c>
      <c r="E22" s="57" t="s">
        <v>256</v>
      </c>
      <c r="F22" s="21"/>
      <c r="G22" s="21"/>
      <c r="H22" s="21"/>
      <c r="I22" s="22"/>
      <c r="J22" s="22">
        <v>150.0</v>
      </c>
      <c r="K22" s="21"/>
      <c r="L22" s="21"/>
      <c r="M22" s="21"/>
      <c r="N22" s="21"/>
      <c r="O22" s="21"/>
      <c r="P22" s="58">
        <v>150.0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45340.0</v>
      </c>
      <c r="C23" s="56" t="s">
        <v>1384</v>
      </c>
      <c r="D23" s="56">
        <v>49655.0</v>
      </c>
      <c r="E23" s="57" t="s">
        <v>139</v>
      </c>
      <c r="F23" s="30"/>
      <c r="G23" s="30"/>
      <c r="H23" s="68"/>
      <c r="I23" s="68"/>
      <c r="J23" s="68"/>
      <c r="K23" s="30">
        <v>15000.0</v>
      </c>
      <c r="L23" s="30"/>
      <c r="M23" s="30"/>
      <c r="N23" s="30"/>
      <c r="O23" s="30"/>
      <c r="P23" s="61">
        <v>15000.0</v>
      </c>
      <c r="Q23" s="24">
        <f t="shared" si="1"/>
        <v>0</v>
      </c>
      <c r="R23" s="57" t="s">
        <v>30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45340.0</v>
      </c>
      <c r="C24" s="56" t="s">
        <v>1385</v>
      </c>
      <c r="D24" s="56">
        <v>48631.0</v>
      </c>
      <c r="E24" s="57" t="s">
        <v>189</v>
      </c>
      <c r="F24" s="30"/>
      <c r="G24" s="30"/>
      <c r="H24" s="30"/>
      <c r="I24" s="68">
        <v>800.0</v>
      </c>
      <c r="J24" s="68"/>
      <c r="K24" s="30"/>
      <c r="L24" s="30"/>
      <c r="M24" s="30"/>
      <c r="N24" s="30"/>
      <c r="O24" s="30"/>
      <c r="P24" s="61">
        <v>800.0</v>
      </c>
      <c r="Q24" s="24">
        <f t="shared" si="1"/>
        <v>0</v>
      </c>
      <c r="R24" s="57" t="s">
        <v>85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45340.0</v>
      </c>
      <c r="C25" s="56" t="s">
        <v>1386</v>
      </c>
      <c r="D25" s="56">
        <v>52576.0</v>
      </c>
      <c r="E25" s="57" t="s">
        <v>1387</v>
      </c>
      <c r="F25" s="30"/>
      <c r="G25" s="30"/>
      <c r="H25" s="30"/>
      <c r="I25" s="68"/>
      <c r="J25" s="68"/>
      <c r="K25" s="30"/>
      <c r="L25" s="30"/>
      <c r="M25" s="30">
        <v>10000.0</v>
      </c>
      <c r="N25" s="30"/>
      <c r="O25" s="30"/>
      <c r="P25" s="61">
        <v>10000.0</v>
      </c>
      <c r="Q25" s="24">
        <f t="shared" si="1"/>
        <v>0</v>
      </c>
      <c r="R25" s="57" t="s">
        <v>85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45340.0</v>
      </c>
      <c r="C26" s="56" t="s">
        <v>1388</v>
      </c>
      <c r="D26" s="56">
        <v>81655.0</v>
      </c>
      <c r="E26" s="57" t="s">
        <v>1389</v>
      </c>
      <c r="F26" s="30"/>
      <c r="G26" s="30"/>
      <c r="H26" s="30"/>
      <c r="I26" s="68"/>
      <c r="J26" s="68">
        <v>300.0</v>
      </c>
      <c r="K26" s="30"/>
      <c r="L26" s="30"/>
      <c r="M26" s="30"/>
      <c r="N26" s="30"/>
      <c r="O26" s="30"/>
      <c r="P26" s="61">
        <v>300.0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45340.0</v>
      </c>
      <c r="C27" s="56" t="s">
        <v>1390</v>
      </c>
      <c r="D27" s="56">
        <v>67797.0</v>
      </c>
      <c r="E27" s="57" t="s">
        <v>396</v>
      </c>
      <c r="F27" s="30"/>
      <c r="G27" s="30"/>
      <c r="H27" s="30"/>
      <c r="I27" s="68"/>
      <c r="J27" s="68">
        <v>25000.0</v>
      </c>
      <c r="K27" s="30"/>
      <c r="L27" s="30"/>
      <c r="M27" s="30"/>
      <c r="N27" s="30"/>
      <c r="O27" s="30"/>
      <c r="P27" s="61">
        <v>25000.0</v>
      </c>
      <c r="Q27" s="24">
        <f t="shared" si="1"/>
        <v>0</v>
      </c>
      <c r="R27" s="57" t="s">
        <v>85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25.0</v>
      </c>
      <c r="B28" s="60">
        <v>45340.0</v>
      </c>
      <c r="C28" s="56" t="s">
        <v>1391</v>
      </c>
      <c r="D28" s="56">
        <v>71954.0</v>
      </c>
      <c r="E28" s="57" t="s">
        <v>1392</v>
      </c>
      <c r="F28" s="30"/>
      <c r="G28" s="30"/>
      <c r="H28" s="30"/>
      <c r="I28" s="68">
        <v>2650.0</v>
      </c>
      <c r="J28" s="68"/>
      <c r="K28" s="30"/>
      <c r="L28" s="30"/>
      <c r="M28" s="30"/>
      <c r="N28" s="30"/>
      <c r="O28" s="30"/>
      <c r="P28" s="61">
        <v>2650.0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26.0</v>
      </c>
      <c r="B29" s="60">
        <v>45340.0</v>
      </c>
      <c r="C29" s="56" t="s">
        <v>1393</v>
      </c>
      <c r="D29" s="56">
        <v>52247.0</v>
      </c>
      <c r="E29" s="57" t="s">
        <v>299</v>
      </c>
      <c r="F29" s="30"/>
      <c r="G29" s="30"/>
      <c r="H29" s="30"/>
      <c r="I29" s="68">
        <v>15000.0</v>
      </c>
      <c r="J29" s="68"/>
      <c r="K29" s="30"/>
      <c r="L29" s="30"/>
      <c r="M29" s="30"/>
      <c r="N29" s="30"/>
      <c r="O29" s="30"/>
      <c r="P29" s="61">
        <v>15000.0</v>
      </c>
      <c r="Q29" s="24">
        <f t="shared" si="1"/>
        <v>0</v>
      </c>
      <c r="R29" s="57" t="s">
        <v>30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27.0</v>
      </c>
      <c r="B30" s="60">
        <v>45340.0</v>
      </c>
      <c r="C30" s="56" t="s">
        <v>1394</v>
      </c>
      <c r="D30" s="56">
        <v>35227.0</v>
      </c>
      <c r="E30" s="57" t="s">
        <v>208</v>
      </c>
      <c r="F30" s="30"/>
      <c r="G30" s="30"/>
      <c r="H30" s="30">
        <v>15000.0</v>
      </c>
      <c r="I30" s="68"/>
      <c r="J30" s="68"/>
      <c r="K30" s="30"/>
      <c r="L30" s="30"/>
      <c r="M30" s="30"/>
      <c r="N30" s="30"/>
      <c r="O30" s="30"/>
      <c r="P30" s="61">
        <v>15000.0</v>
      </c>
      <c r="Q30" s="24">
        <f t="shared" si="1"/>
        <v>0</v>
      </c>
      <c r="R30" s="57" t="s">
        <v>24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28.0</v>
      </c>
      <c r="B31" s="60">
        <v>45340.0</v>
      </c>
      <c r="C31" s="56" t="s">
        <v>1395</v>
      </c>
      <c r="D31" s="56">
        <v>35227.0</v>
      </c>
      <c r="E31" s="57" t="s">
        <v>208</v>
      </c>
      <c r="F31" s="30">
        <v>300.0</v>
      </c>
      <c r="G31" s="30"/>
      <c r="H31" s="30"/>
      <c r="I31" s="68"/>
      <c r="J31" s="68"/>
      <c r="K31" s="30"/>
      <c r="L31" s="30"/>
      <c r="M31" s="30"/>
      <c r="N31" s="30"/>
      <c r="O31" s="30"/>
      <c r="P31" s="61">
        <v>300.0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29.0</v>
      </c>
      <c r="B32" s="60">
        <v>45340.0</v>
      </c>
      <c r="C32" s="56" t="s">
        <v>1396</v>
      </c>
      <c r="D32" s="56">
        <v>35449.0</v>
      </c>
      <c r="E32" s="57" t="s">
        <v>1397</v>
      </c>
      <c r="F32" s="30"/>
      <c r="G32" s="30"/>
      <c r="H32" s="30"/>
      <c r="I32" s="68"/>
      <c r="J32" s="68">
        <v>4650.0</v>
      </c>
      <c r="K32" s="30"/>
      <c r="L32" s="30"/>
      <c r="M32" s="30"/>
      <c r="N32" s="30"/>
      <c r="O32" s="30"/>
      <c r="P32" s="61">
        <v>4650.0</v>
      </c>
      <c r="Q32" s="24">
        <f t="shared" si="1"/>
        <v>0</v>
      </c>
      <c r="R32" s="57" t="s">
        <v>30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30.0</v>
      </c>
      <c r="B33" s="60">
        <v>45340.0</v>
      </c>
      <c r="C33" s="56" t="s">
        <v>1398</v>
      </c>
      <c r="D33" s="56">
        <v>35227.0</v>
      </c>
      <c r="E33" s="57" t="s">
        <v>208</v>
      </c>
      <c r="F33" s="30">
        <v>102.0</v>
      </c>
      <c r="G33" s="30"/>
      <c r="H33" s="30"/>
      <c r="I33" s="68"/>
      <c r="J33" s="68"/>
      <c r="K33" s="30"/>
      <c r="L33" s="30"/>
      <c r="M33" s="30"/>
      <c r="N33" s="30"/>
      <c r="O33" s="30"/>
      <c r="P33" s="61">
        <v>102.0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31.0</v>
      </c>
      <c r="B34" s="60">
        <v>45340.0</v>
      </c>
      <c r="C34" s="56" t="s">
        <v>1399</v>
      </c>
      <c r="D34" s="56">
        <v>49918.0</v>
      </c>
      <c r="E34" s="57" t="s">
        <v>1299</v>
      </c>
      <c r="F34" s="30"/>
      <c r="G34" s="30"/>
      <c r="H34" s="30"/>
      <c r="I34" s="68"/>
      <c r="J34" s="68"/>
      <c r="K34" s="30"/>
      <c r="L34" s="30"/>
      <c r="M34" s="30">
        <v>3750.0</v>
      </c>
      <c r="N34" s="30"/>
      <c r="O34" s="30"/>
      <c r="P34" s="61">
        <v>3750.0</v>
      </c>
      <c r="Q34" s="24">
        <f t="shared" si="1"/>
        <v>0</v>
      </c>
      <c r="R34" s="57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32.0</v>
      </c>
      <c r="B35" s="60">
        <v>45340.0</v>
      </c>
      <c r="C35" s="56" t="s">
        <v>1400</v>
      </c>
      <c r="D35" s="56">
        <v>71466.0</v>
      </c>
      <c r="E35" s="57" t="s">
        <v>1401</v>
      </c>
      <c r="F35" s="30"/>
      <c r="G35" s="30"/>
      <c r="H35" s="30"/>
      <c r="I35" s="68"/>
      <c r="J35" s="68"/>
      <c r="K35" s="30"/>
      <c r="L35" s="30"/>
      <c r="M35" s="30">
        <v>1020.0</v>
      </c>
      <c r="N35" s="30"/>
      <c r="O35" s="30"/>
      <c r="P35" s="61">
        <v>1020.0</v>
      </c>
      <c r="Q35" s="24">
        <f t="shared" si="1"/>
        <v>0</v>
      </c>
      <c r="R35" s="57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33.0</v>
      </c>
      <c r="B36" s="60">
        <v>45340.0</v>
      </c>
      <c r="C36" s="56" t="s">
        <v>1402</v>
      </c>
      <c r="D36" s="56">
        <v>51017.0</v>
      </c>
      <c r="E36" s="57" t="s">
        <v>150</v>
      </c>
      <c r="F36" s="30"/>
      <c r="G36" s="30"/>
      <c r="H36" s="30">
        <v>15000.0</v>
      </c>
      <c r="I36" s="68"/>
      <c r="J36" s="68"/>
      <c r="K36" s="30"/>
      <c r="L36" s="30"/>
      <c r="M36" s="30"/>
      <c r="N36" s="30"/>
      <c r="O36" s="30"/>
      <c r="P36" s="61">
        <v>15000.0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34.0</v>
      </c>
      <c r="B37" s="60">
        <v>45340.0</v>
      </c>
      <c r="C37" s="56" t="s">
        <v>1403</v>
      </c>
      <c r="D37" s="56">
        <v>50595.0</v>
      </c>
      <c r="E37" s="57" t="s">
        <v>427</v>
      </c>
      <c r="F37" s="30"/>
      <c r="G37" s="30"/>
      <c r="H37" s="30">
        <v>30000.0</v>
      </c>
      <c r="I37" s="68"/>
      <c r="J37" s="68"/>
      <c r="K37" s="30"/>
      <c r="L37" s="30"/>
      <c r="M37" s="30"/>
      <c r="N37" s="30"/>
      <c r="O37" s="30"/>
      <c r="P37" s="61">
        <v>30000.0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35.0</v>
      </c>
      <c r="B38" s="60">
        <v>45340.0</v>
      </c>
      <c r="C38" s="56" t="s">
        <v>1404</v>
      </c>
      <c r="D38" s="56">
        <v>21828.0</v>
      </c>
      <c r="E38" s="57" t="s">
        <v>217</v>
      </c>
      <c r="F38" s="30"/>
      <c r="G38" s="30"/>
      <c r="H38" s="30"/>
      <c r="I38" s="68"/>
      <c r="J38" s="68"/>
      <c r="K38" s="30"/>
      <c r="L38" s="30"/>
      <c r="M38" s="30">
        <v>450.0</v>
      </c>
      <c r="N38" s="30"/>
      <c r="O38" s="30"/>
      <c r="P38" s="61">
        <v>450.0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36.0</v>
      </c>
      <c r="B39" s="60">
        <v>45340.0</v>
      </c>
      <c r="C39" s="56" t="s">
        <v>1405</v>
      </c>
      <c r="D39" s="56">
        <v>81608.0</v>
      </c>
      <c r="E39" s="57" t="s">
        <v>1406</v>
      </c>
      <c r="F39" s="30"/>
      <c r="G39" s="30"/>
      <c r="H39" s="30"/>
      <c r="I39" s="68"/>
      <c r="J39" s="68"/>
      <c r="K39" s="30">
        <v>7000.0</v>
      </c>
      <c r="L39" s="30"/>
      <c r="M39" s="30"/>
      <c r="N39" s="30"/>
      <c r="O39" s="30"/>
      <c r="P39" s="61">
        <v>7000.0</v>
      </c>
      <c r="Q39" s="24">
        <f t="shared" si="1"/>
        <v>0</v>
      </c>
      <c r="R39" s="57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/>
      <c r="B40" s="27"/>
      <c r="C40" s="28"/>
      <c r="D40" s="29"/>
      <c r="E40" s="28"/>
      <c r="F40" s="30">
        <f t="shared" ref="F40:P40" si="2">SUM(F5:F39)</f>
        <v>702</v>
      </c>
      <c r="G40" s="30">
        <f t="shared" si="2"/>
        <v>3950</v>
      </c>
      <c r="H40" s="30">
        <f t="shared" si="2"/>
        <v>60000</v>
      </c>
      <c r="I40" s="30">
        <f t="shared" si="2"/>
        <v>68150</v>
      </c>
      <c r="J40" s="30">
        <f t="shared" si="2"/>
        <v>45250</v>
      </c>
      <c r="K40" s="30">
        <f t="shared" si="2"/>
        <v>22000</v>
      </c>
      <c r="L40" s="30">
        <f t="shared" si="2"/>
        <v>0</v>
      </c>
      <c r="M40" s="30">
        <f t="shared" si="2"/>
        <v>19870</v>
      </c>
      <c r="N40" s="30">
        <f t="shared" si="2"/>
        <v>0</v>
      </c>
      <c r="O40" s="30">
        <f t="shared" si="2"/>
        <v>0</v>
      </c>
      <c r="P40" s="68">
        <f t="shared" si="2"/>
        <v>219922</v>
      </c>
      <c r="Q40" s="24">
        <f t="shared" si="1"/>
        <v>0</v>
      </c>
      <c r="R40" s="67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36.0" customHeight="1">
      <c r="A41" s="35"/>
      <c r="B41" s="35"/>
      <c r="C41" s="35"/>
      <c r="D41" s="35"/>
      <c r="E41" s="35"/>
      <c r="F41" s="36">
        <f>F40+G40+H40+I40+J40+K40+L40+M40+N40+O40</f>
        <v>219922</v>
      </c>
      <c r="P41" s="36"/>
      <c r="Q41" s="36"/>
      <c r="R41" s="35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37" t="s">
        <v>242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38" t="s">
        <v>243</v>
      </c>
      <c r="F45" s="39" t="s">
        <v>244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38" t="s">
        <v>245</v>
      </c>
      <c r="F46" s="39" t="s">
        <v>244</v>
      </c>
      <c r="G46" s="4"/>
      <c r="H46" s="4"/>
      <c r="I46" s="4"/>
      <c r="J46" s="4"/>
      <c r="K46" s="4"/>
      <c r="L46" s="4"/>
      <c r="M46" s="4"/>
      <c r="N46" s="4"/>
      <c r="O46" s="4" t="s">
        <v>242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38" t="s">
        <v>246</v>
      </c>
      <c r="F47" s="39" t="s">
        <v>244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247</v>
      </c>
      <c r="F48" s="39" t="s">
        <v>244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38" t="s">
        <v>248</v>
      </c>
      <c r="F49" s="39" t="s">
        <v>244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7.0" customHeight="1">
      <c r="A50" s="4"/>
      <c r="B50" s="4"/>
      <c r="C50" s="4"/>
      <c r="D50" s="4"/>
      <c r="E50" s="38" t="s">
        <v>1407</v>
      </c>
      <c r="F50" s="39" t="s">
        <v>244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0.0" customHeight="1">
      <c r="A51" s="4"/>
      <c r="B51" s="4"/>
      <c r="C51" s="4"/>
      <c r="D51" s="4"/>
      <c r="E51" s="40" t="s">
        <v>250</v>
      </c>
      <c r="F51" s="39" t="s">
        <v>880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38" t="s">
        <v>252</v>
      </c>
      <c r="F52" s="39" t="s">
        <v>880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 t="s">
        <v>242</v>
      </c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 t="s">
        <v>253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1:O4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45340.0</v>
      </c>
      <c r="C5" s="55" t="s">
        <v>1409</v>
      </c>
      <c r="D5" s="56">
        <v>80636.0</v>
      </c>
      <c r="E5" s="57" t="s">
        <v>1410</v>
      </c>
      <c r="F5" s="21"/>
      <c r="G5" s="21">
        <v>8950.0</v>
      </c>
      <c r="H5" s="21"/>
      <c r="I5" s="21"/>
      <c r="J5" s="22"/>
      <c r="K5" s="21"/>
      <c r="L5" s="21"/>
      <c r="M5" s="21"/>
      <c r="N5" s="21"/>
      <c r="O5" s="21"/>
      <c r="P5" s="58">
        <v>8950.0</v>
      </c>
      <c r="Q5" s="24">
        <f t="shared" ref="Q5:Q51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45340.0</v>
      </c>
      <c r="C6" s="55" t="s">
        <v>1411</v>
      </c>
      <c r="D6" s="56">
        <v>13781.0</v>
      </c>
      <c r="E6" s="57" t="s">
        <v>302</v>
      </c>
      <c r="F6" s="21"/>
      <c r="G6" s="21"/>
      <c r="H6" s="21"/>
      <c r="I6" s="22">
        <v>4500.0</v>
      </c>
      <c r="J6" s="21"/>
      <c r="K6" s="21"/>
      <c r="L6" s="21"/>
      <c r="M6" s="21"/>
      <c r="N6" s="21"/>
      <c r="O6" s="21"/>
      <c r="P6" s="58">
        <v>4500.0</v>
      </c>
      <c r="Q6" s="24">
        <f t="shared" si="1"/>
        <v>0</v>
      </c>
      <c r="R6" s="59" t="s">
        <v>30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45340.0</v>
      </c>
      <c r="C7" s="55" t="s">
        <v>1412</v>
      </c>
      <c r="D7" s="56">
        <v>20541.0</v>
      </c>
      <c r="E7" s="57" t="s">
        <v>485</v>
      </c>
      <c r="F7" s="21"/>
      <c r="G7" s="21">
        <v>8000.0</v>
      </c>
      <c r="H7" s="21"/>
      <c r="I7" s="22"/>
      <c r="J7" s="21"/>
      <c r="K7" s="21"/>
      <c r="L7" s="21"/>
      <c r="M7" s="21"/>
      <c r="N7" s="21"/>
      <c r="O7" s="21"/>
      <c r="P7" s="58">
        <v>8000.0</v>
      </c>
      <c r="Q7" s="24">
        <f t="shared" si="1"/>
        <v>0</v>
      </c>
      <c r="R7" s="59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45341.0</v>
      </c>
      <c r="C8" s="55" t="s">
        <v>1413</v>
      </c>
      <c r="D8" s="56">
        <v>50474.0</v>
      </c>
      <c r="E8" s="57" t="s">
        <v>1414</v>
      </c>
      <c r="F8" s="21"/>
      <c r="G8" s="21"/>
      <c r="H8" s="21"/>
      <c r="I8" s="21">
        <v>25000.0</v>
      </c>
      <c r="J8" s="21"/>
      <c r="K8" s="21"/>
      <c r="L8" s="21"/>
      <c r="M8" s="21"/>
      <c r="N8" s="21"/>
      <c r="O8" s="21"/>
      <c r="P8" s="58">
        <v>25000.0</v>
      </c>
      <c r="Q8" s="24">
        <f t="shared" si="1"/>
        <v>0</v>
      </c>
      <c r="R8" s="59" t="s">
        <v>56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45341.0</v>
      </c>
      <c r="C9" s="55" t="s">
        <v>1415</v>
      </c>
      <c r="D9" s="56">
        <v>55446.0</v>
      </c>
      <c r="E9" s="57" t="s">
        <v>1416</v>
      </c>
      <c r="F9" s="21"/>
      <c r="G9" s="21"/>
      <c r="H9" s="21">
        <v>10000.0</v>
      </c>
      <c r="I9" s="21"/>
      <c r="J9" s="21"/>
      <c r="K9" s="21"/>
      <c r="L9" s="21"/>
      <c r="M9" s="21"/>
      <c r="N9" s="21"/>
      <c r="O9" s="21"/>
      <c r="P9" s="58">
        <v>10000.0</v>
      </c>
      <c r="Q9" s="24">
        <f t="shared" si="1"/>
        <v>0</v>
      </c>
      <c r="R9" s="59" t="s">
        <v>56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45341.0</v>
      </c>
      <c r="C10" s="55" t="s">
        <v>1417</v>
      </c>
      <c r="D10" s="56">
        <v>53759.0</v>
      </c>
      <c r="E10" s="57" t="s">
        <v>1418</v>
      </c>
      <c r="F10" s="21"/>
      <c r="G10" s="21"/>
      <c r="H10" s="21"/>
      <c r="I10" s="21"/>
      <c r="J10" s="21">
        <v>7000.0</v>
      </c>
      <c r="K10" s="21"/>
      <c r="L10" s="21"/>
      <c r="M10" s="21"/>
      <c r="N10" s="21"/>
      <c r="O10" s="21"/>
      <c r="P10" s="58">
        <v>7000.0</v>
      </c>
      <c r="Q10" s="24">
        <f t="shared" si="1"/>
        <v>0</v>
      </c>
      <c r="R10" s="59" t="s">
        <v>85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45341.0</v>
      </c>
      <c r="C11" s="55" t="s">
        <v>1419</v>
      </c>
      <c r="D11" s="56">
        <v>81669.0</v>
      </c>
      <c r="E11" s="57" t="s">
        <v>1420</v>
      </c>
      <c r="F11" s="21"/>
      <c r="G11" s="21"/>
      <c r="H11" s="21"/>
      <c r="I11" s="22"/>
      <c r="J11" s="21">
        <v>300.0</v>
      </c>
      <c r="K11" s="21"/>
      <c r="L11" s="21"/>
      <c r="M11" s="21"/>
      <c r="N11" s="21"/>
      <c r="O11" s="21"/>
      <c r="P11" s="58">
        <v>300.0</v>
      </c>
      <c r="Q11" s="24">
        <f t="shared" si="1"/>
        <v>0</v>
      </c>
      <c r="R11" s="59" t="s">
        <v>85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45341.0</v>
      </c>
      <c r="C12" s="55" t="s">
        <v>1421</v>
      </c>
      <c r="D12" s="56">
        <v>29621.0</v>
      </c>
      <c r="E12" s="57" t="s">
        <v>655</v>
      </c>
      <c r="F12" s="21"/>
      <c r="G12" s="21"/>
      <c r="H12" s="21"/>
      <c r="I12" s="22"/>
      <c r="J12" s="21">
        <v>26700.0</v>
      </c>
      <c r="K12" s="21"/>
      <c r="L12" s="21"/>
      <c r="M12" s="21"/>
      <c r="N12" s="21"/>
      <c r="O12" s="21"/>
      <c r="P12" s="58">
        <v>26700.0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45341.0</v>
      </c>
      <c r="C13" s="55" t="s">
        <v>1422</v>
      </c>
      <c r="D13" s="56">
        <v>58074.0</v>
      </c>
      <c r="E13" s="57" t="s">
        <v>1423</v>
      </c>
      <c r="F13" s="21"/>
      <c r="G13" s="21"/>
      <c r="H13" s="21"/>
      <c r="I13" s="22">
        <v>5150.0</v>
      </c>
      <c r="J13" s="21"/>
      <c r="K13" s="21"/>
      <c r="L13" s="21"/>
      <c r="M13" s="21"/>
      <c r="N13" s="21"/>
      <c r="O13" s="21"/>
      <c r="P13" s="58">
        <v>5150.0</v>
      </c>
      <c r="Q13" s="24">
        <f t="shared" si="1"/>
        <v>0</v>
      </c>
      <c r="R13" s="59" t="s">
        <v>27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45341.0</v>
      </c>
      <c r="C14" s="55" t="s">
        <v>1424</v>
      </c>
      <c r="D14" s="56">
        <v>52419.0</v>
      </c>
      <c r="E14" s="57" t="s">
        <v>1425</v>
      </c>
      <c r="F14" s="21"/>
      <c r="G14" s="21"/>
      <c r="H14" s="21"/>
      <c r="I14" s="22">
        <v>2650.0</v>
      </c>
      <c r="J14" s="21"/>
      <c r="K14" s="21"/>
      <c r="L14" s="21"/>
      <c r="M14" s="21"/>
      <c r="N14" s="21"/>
      <c r="O14" s="21"/>
      <c r="P14" s="58">
        <v>2650.0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45341.0</v>
      </c>
      <c r="C15" s="55" t="s">
        <v>1426</v>
      </c>
      <c r="D15" s="56">
        <v>31927.0</v>
      </c>
      <c r="E15" s="57" t="s">
        <v>121</v>
      </c>
      <c r="F15" s="21"/>
      <c r="G15" s="21"/>
      <c r="H15" s="21"/>
      <c r="I15" s="22">
        <v>300.0</v>
      </c>
      <c r="J15" s="21"/>
      <c r="K15" s="21"/>
      <c r="L15" s="21"/>
      <c r="M15" s="21"/>
      <c r="N15" s="21"/>
      <c r="O15" s="21"/>
      <c r="P15" s="58">
        <v>300.0</v>
      </c>
      <c r="Q15" s="24">
        <f t="shared" si="1"/>
        <v>0</v>
      </c>
      <c r="R15" s="59" t="s">
        <v>85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45341.0</v>
      </c>
      <c r="C16" s="55" t="s">
        <v>1427</v>
      </c>
      <c r="D16" s="56">
        <v>78454.0</v>
      </c>
      <c r="E16" s="57" t="s">
        <v>1043</v>
      </c>
      <c r="F16" s="21"/>
      <c r="G16" s="21"/>
      <c r="H16" s="21"/>
      <c r="I16" s="22">
        <v>5150.0</v>
      </c>
      <c r="J16" s="21"/>
      <c r="K16" s="21"/>
      <c r="L16" s="21"/>
      <c r="M16" s="21"/>
      <c r="N16" s="21"/>
      <c r="O16" s="21"/>
      <c r="P16" s="58">
        <v>5150.0</v>
      </c>
      <c r="Q16" s="24">
        <f t="shared" si="1"/>
        <v>0</v>
      </c>
      <c r="R16" s="59" t="s">
        <v>27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45341.0</v>
      </c>
      <c r="C17" s="55" t="s">
        <v>1428</v>
      </c>
      <c r="D17" s="56">
        <v>81668.0</v>
      </c>
      <c r="E17" s="57" t="s">
        <v>1429</v>
      </c>
      <c r="F17" s="21"/>
      <c r="G17" s="21"/>
      <c r="H17" s="21"/>
      <c r="I17" s="21">
        <v>7000.0</v>
      </c>
      <c r="J17" s="21"/>
      <c r="K17" s="21"/>
      <c r="L17" s="21"/>
      <c r="M17" s="21"/>
      <c r="N17" s="21"/>
      <c r="O17" s="21"/>
      <c r="P17" s="58">
        <v>7000.0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45341.0</v>
      </c>
      <c r="C18" s="55" t="s">
        <v>1430</v>
      </c>
      <c r="D18" s="56">
        <v>72839.0</v>
      </c>
      <c r="E18" s="57" t="s">
        <v>1431</v>
      </c>
      <c r="F18" s="21"/>
      <c r="G18" s="21"/>
      <c r="H18" s="21"/>
      <c r="I18" s="21">
        <v>25000.0</v>
      </c>
      <c r="J18" s="21"/>
      <c r="K18" s="21"/>
      <c r="L18" s="21"/>
      <c r="M18" s="21"/>
      <c r="N18" s="21"/>
      <c r="O18" s="21"/>
      <c r="P18" s="58">
        <v>25000.0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45341.0</v>
      </c>
      <c r="C19" s="55" t="s">
        <v>1432</v>
      </c>
      <c r="D19" s="56">
        <v>68268.0</v>
      </c>
      <c r="E19" s="57" t="s">
        <v>89</v>
      </c>
      <c r="F19" s="21"/>
      <c r="G19" s="21"/>
      <c r="H19" s="21"/>
      <c r="I19" s="21">
        <v>13681.0</v>
      </c>
      <c r="J19" s="21"/>
      <c r="K19" s="21">
        <v>819.0</v>
      </c>
      <c r="L19" s="21"/>
      <c r="M19" s="21"/>
      <c r="N19" s="21"/>
      <c r="O19" s="21"/>
      <c r="P19" s="58">
        <v>14500.0</v>
      </c>
      <c r="Q19" s="24">
        <f t="shared" si="1"/>
        <v>0</v>
      </c>
      <c r="R19" s="59" t="s">
        <v>27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45341.0</v>
      </c>
      <c r="C20" s="55" t="s">
        <v>1433</v>
      </c>
      <c r="D20" s="56">
        <v>42046.0</v>
      </c>
      <c r="E20" s="57" t="s">
        <v>97</v>
      </c>
      <c r="F20" s="21"/>
      <c r="G20" s="21"/>
      <c r="H20" s="21"/>
      <c r="I20" s="21">
        <v>10000.0</v>
      </c>
      <c r="J20" s="21"/>
      <c r="K20" s="21"/>
      <c r="L20" s="21"/>
      <c r="M20" s="21"/>
      <c r="N20" s="21"/>
      <c r="O20" s="21"/>
      <c r="P20" s="58">
        <v>10000.0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45341.0</v>
      </c>
      <c r="C21" s="55" t="s">
        <v>1434</v>
      </c>
      <c r="D21" s="56">
        <v>52373.0</v>
      </c>
      <c r="E21" s="57" t="s">
        <v>1435</v>
      </c>
      <c r="F21" s="21"/>
      <c r="G21" s="21"/>
      <c r="H21" s="21"/>
      <c r="I21" s="22"/>
      <c r="J21" s="22">
        <v>8900.0</v>
      </c>
      <c r="K21" s="21"/>
      <c r="L21" s="21"/>
      <c r="M21" s="21"/>
      <c r="N21" s="21"/>
      <c r="O21" s="21"/>
      <c r="P21" s="58">
        <v>8900.0</v>
      </c>
      <c r="Q21" s="24">
        <f t="shared" si="1"/>
        <v>0</v>
      </c>
      <c r="R21" s="59" t="s">
        <v>56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45341.0</v>
      </c>
      <c r="C22" s="55" t="s">
        <v>1436</v>
      </c>
      <c r="D22" s="56">
        <v>50436.0</v>
      </c>
      <c r="E22" s="57" t="s">
        <v>93</v>
      </c>
      <c r="F22" s="21"/>
      <c r="G22" s="21"/>
      <c r="H22" s="21"/>
      <c r="I22" s="22">
        <v>15000.0</v>
      </c>
      <c r="J22" s="22"/>
      <c r="K22" s="21"/>
      <c r="L22" s="21"/>
      <c r="M22" s="21"/>
      <c r="N22" s="21"/>
      <c r="O22" s="21"/>
      <c r="P22" s="58">
        <v>15000.0</v>
      </c>
      <c r="Q22" s="24">
        <f t="shared" si="1"/>
        <v>0</v>
      </c>
      <c r="R22" s="59" t="s">
        <v>56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45341.0</v>
      </c>
      <c r="C23" s="56" t="s">
        <v>1437</v>
      </c>
      <c r="D23" s="56">
        <v>46778.0</v>
      </c>
      <c r="E23" s="57" t="s">
        <v>74</v>
      </c>
      <c r="F23" s="30"/>
      <c r="G23" s="30"/>
      <c r="H23" s="68"/>
      <c r="I23" s="68"/>
      <c r="J23" s="68">
        <v>10000.0</v>
      </c>
      <c r="K23" s="30"/>
      <c r="L23" s="30"/>
      <c r="M23" s="30"/>
      <c r="N23" s="30"/>
      <c r="O23" s="30"/>
      <c r="P23" s="61">
        <v>10000.0</v>
      </c>
      <c r="Q23" s="24">
        <f t="shared" si="1"/>
        <v>0</v>
      </c>
      <c r="R23" s="57" t="s">
        <v>56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45341.0</v>
      </c>
      <c r="C24" s="56" t="s">
        <v>1438</v>
      </c>
      <c r="D24" s="56">
        <v>75603.0</v>
      </c>
      <c r="E24" s="57" t="s">
        <v>1439</v>
      </c>
      <c r="F24" s="30"/>
      <c r="G24" s="30"/>
      <c r="H24" s="30"/>
      <c r="I24" s="68">
        <v>4650.0</v>
      </c>
      <c r="J24" s="68"/>
      <c r="K24" s="30"/>
      <c r="L24" s="30"/>
      <c r="M24" s="30"/>
      <c r="N24" s="30"/>
      <c r="O24" s="30"/>
      <c r="P24" s="61">
        <v>4650.0</v>
      </c>
      <c r="Q24" s="24">
        <f t="shared" si="1"/>
        <v>0</v>
      </c>
      <c r="R24" s="57" t="s">
        <v>66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45341.0</v>
      </c>
      <c r="C25" s="56" t="s">
        <v>1440</v>
      </c>
      <c r="D25" s="56">
        <v>69602.0</v>
      </c>
      <c r="E25" s="57" t="s">
        <v>872</v>
      </c>
      <c r="F25" s="30"/>
      <c r="G25" s="30"/>
      <c r="H25" s="30"/>
      <c r="I25" s="68">
        <v>550.0</v>
      </c>
      <c r="J25" s="68"/>
      <c r="K25" s="30"/>
      <c r="L25" s="30"/>
      <c r="M25" s="30"/>
      <c r="N25" s="30"/>
      <c r="O25" s="30"/>
      <c r="P25" s="61">
        <v>550.0</v>
      </c>
      <c r="Q25" s="24">
        <f t="shared" si="1"/>
        <v>0</v>
      </c>
      <c r="R25" s="57" t="s">
        <v>66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45341.0</v>
      </c>
      <c r="C26" s="56" t="s">
        <v>1441</v>
      </c>
      <c r="D26" s="56">
        <v>81673.0</v>
      </c>
      <c r="E26" s="57" t="s">
        <v>1442</v>
      </c>
      <c r="F26" s="30"/>
      <c r="G26" s="30"/>
      <c r="H26" s="30"/>
      <c r="I26" s="68">
        <v>7900.0</v>
      </c>
      <c r="J26" s="68"/>
      <c r="K26" s="30"/>
      <c r="L26" s="30"/>
      <c r="M26" s="30"/>
      <c r="N26" s="30"/>
      <c r="O26" s="30"/>
      <c r="P26" s="61">
        <v>7900.0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45341.0</v>
      </c>
      <c r="C27" s="56" t="s">
        <v>1443</v>
      </c>
      <c r="D27" s="56">
        <v>10744.0</v>
      </c>
      <c r="E27" s="57" t="s">
        <v>144</v>
      </c>
      <c r="F27" s="30"/>
      <c r="G27" s="30"/>
      <c r="H27" s="30"/>
      <c r="I27" s="68">
        <v>15000.0</v>
      </c>
      <c r="J27" s="68"/>
      <c r="K27" s="30"/>
      <c r="L27" s="30"/>
      <c r="M27" s="30"/>
      <c r="N27" s="30"/>
      <c r="O27" s="30"/>
      <c r="P27" s="61">
        <v>15000.0</v>
      </c>
      <c r="Q27" s="24">
        <f t="shared" si="1"/>
        <v>0</v>
      </c>
      <c r="R27" s="57" t="s">
        <v>27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45341.0</v>
      </c>
      <c r="C28" s="56" t="s">
        <v>1444</v>
      </c>
      <c r="D28" s="56">
        <v>52885.0</v>
      </c>
      <c r="E28" s="57" t="s">
        <v>1445</v>
      </c>
      <c r="F28" s="30"/>
      <c r="G28" s="30"/>
      <c r="H28" s="30"/>
      <c r="I28" s="68">
        <v>22700.0</v>
      </c>
      <c r="J28" s="68"/>
      <c r="K28" s="30"/>
      <c r="L28" s="30"/>
      <c r="M28" s="30"/>
      <c r="N28" s="30"/>
      <c r="O28" s="30"/>
      <c r="P28" s="61">
        <v>22700.0</v>
      </c>
      <c r="Q28" s="24">
        <f t="shared" si="1"/>
        <v>0</v>
      </c>
      <c r="R28" s="57" t="s">
        <v>66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45341.0</v>
      </c>
      <c r="C29" s="56" t="s">
        <v>1446</v>
      </c>
      <c r="D29" s="56">
        <v>14329.0</v>
      </c>
      <c r="E29" s="57" t="s">
        <v>628</v>
      </c>
      <c r="F29" s="30"/>
      <c r="G29" s="30"/>
      <c r="H29" s="30"/>
      <c r="I29" s="68">
        <v>2500.0</v>
      </c>
      <c r="J29" s="68"/>
      <c r="K29" s="30"/>
      <c r="L29" s="30"/>
      <c r="M29" s="30"/>
      <c r="N29" s="30"/>
      <c r="O29" s="30"/>
      <c r="P29" s="61">
        <v>2500.0</v>
      </c>
      <c r="Q29" s="24">
        <f t="shared" si="1"/>
        <v>0</v>
      </c>
      <c r="R29" s="57" t="s">
        <v>66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45341.0</v>
      </c>
      <c r="C30" s="56" t="s">
        <v>1447</v>
      </c>
      <c r="D30" s="56">
        <v>28414.0</v>
      </c>
      <c r="E30" s="57" t="s">
        <v>582</v>
      </c>
      <c r="F30" s="30"/>
      <c r="G30" s="30"/>
      <c r="H30" s="30"/>
      <c r="I30" s="68">
        <v>2650.0</v>
      </c>
      <c r="J30" s="68"/>
      <c r="K30" s="30"/>
      <c r="L30" s="30"/>
      <c r="M30" s="30"/>
      <c r="N30" s="30"/>
      <c r="O30" s="30"/>
      <c r="P30" s="61">
        <v>2650.0</v>
      </c>
      <c r="Q30" s="24">
        <f t="shared" si="1"/>
        <v>0</v>
      </c>
      <c r="R30" s="57" t="s">
        <v>66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45341.0</v>
      </c>
      <c r="C31" s="56" t="s">
        <v>1448</v>
      </c>
      <c r="D31" s="56">
        <v>45227.0</v>
      </c>
      <c r="E31" s="57" t="s">
        <v>181</v>
      </c>
      <c r="F31" s="30"/>
      <c r="G31" s="30"/>
      <c r="H31" s="30"/>
      <c r="I31" s="68">
        <v>350.0</v>
      </c>
      <c r="J31" s="68"/>
      <c r="K31" s="30">
        <v>275.0</v>
      </c>
      <c r="L31" s="30"/>
      <c r="M31" s="30"/>
      <c r="N31" s="30"/>
      <c r="O31" s="30"/>
      <c r="P31" s="61">
        <v>625.0</v>
      </c>
      <c r="Q31" s="24">
        <f t="shared" si="1"/>
        <v>0</v>
      </c>
      <c r="R31" s="57" t="s">
        <v>27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45341.0</v>
      </c>
      <c r="C32" s="56" t="s">
        <v>1449</v>
      </c>
      <c r="D32" s="56">
        <v>10250.0</v>
      </c>
      <c r="E32" s="57" t="s">
        <v>91</v>
      </c>
      <c r="F32" s="30"/>
      <c r="G32" s="30"/>
      <c r="H32" s="30"/>
      <c r="I32" s="68">
        <v>1250.0</v>
      </c>
      <c r="J32" s="68"/>
      <c r="K32" s="30"/>
      <c r="L32" s="30"/>
      <c r="M32" s="30"/>
      <c r="N32" s="30"/>
      <c r="O32" s="30"/>
      <c r="P32" s="61">
        <v>1250.0</v>
      </c>
      <c r="Q32" s="24">
        <f t="shared" si="1"/>
        <v>0</v>
      </c>
      <c r="R32" s="57" t="s">
        <v>66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45341.0</v>
      </c>
      <c r="C33" s="56" t="s">
        <v>1450</v>
      </c>
      <c r="D33" s="56">
        <v>36918.0</v>
      </c>
      <c r="E33" s="57" t="s">
        <v>338</v>
      </c>
      <c r="F33" s="30"/>
      <c r="G33" s="30"/>
      <c r="H33" s="30"/>
      <c r="I33" s="68">
        <v>2500.0</v>
      </c>
      <c r="J33" s="68"/>
      <c r="K33" s="30"/>
      <c r="L33" s="30"/>
      <c r="M33" s="30"/>
      <c r="N33" s="30"/>
      <c r="O33" s="30"/>
      <c r="P33" s="61">
        <v>2500.0</v>
      </c>
      <c r="Q33" s="24">
        <f t="shared" si="1"/>
        <v>0</v>
      </c>
      <c r="R33" s="57" t="s">
        <v>56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45341.0</v>
      </c>
      <c r="C34" s="56" t="s">
        <v>1451</v>
      </c>
      <c r="D34" s="56">
        <v>45227.0</v>
      </c>
      <c r="E34" s="57" t="s">
        <v>181</v>
      </c>
      <c r="F34" s="30"/>
      <c r="G34" s="30"/>
      <c r="H34" s="30"/>
      <c r="I34" s="68">
        <v>625.0</v>
      </c>
      <c r="J34" s="68"/>
      <c r="K34" s="30"/>
      <c r="L34" s="30"/>
      <c r="M34" s="30"/>
      <c r="N34" s="30"/>
      <c r="O34" s="30"/>
      <c r="P34" s="61">
        <v>625.0</v>
      </c>
      <c r="Q34" s="24">
        <f t="shared" si="1"/>
        <v>0</v>
      </c>
      <c r="R34" s="57" t="s">
        <v>85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45341.0</v>
      </c>
      <c r="C35" s="56" t="s">
        <v>1452</v>
      </c>
      <c r="D35" s="56">
        <v>48631.0</v>
      </c>
      <c r="E35" s="57" t="s">
        <v>189</v>
      </c>
      <c r="F35" s="30"/>
      <c r="G35" s="30"/>
      <c r="H35" s="30"/>
      <c r="I35" s="68">
        <v>450.0</v>
      </c>
      <c r="J35" s="68"/>
      <c r="K35" s="30"/>
      <c r="L35" s="30"/>
      <c r="M35" s="30"/>
      <c r="N35" s="30"/>
      <c r="O35" s="30"/>
      <c r="P35" s="61">
        <v>450.0</v>
      </c>
      <c r="Q35" s="24">
        <f t="shared" si="1"/>
        <v>0</v>
      </c>
      <c r="R35" s="57" t="s">
        <v>27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45341.0</v>
      </c>
      <c r="C36" s="56" t="s">
        <v>1453</v>
      </c>
      <c r="D36" s="56">
        <v>51876.0</v>
      </c>
      <c r="E36" s="57" t="s">
        <v>795</v>
      </c>
      <c r="F36" s="30"/>
      <c r="G36" s="30"/>
      <c r="H36" s="30"/>
      <c r="I36" s="68">
        <v>1350.0</v>
      </c>
      <c r="J36" s="68"/>
      <c r="K36" s="30"/>
      <c r="L36" s="30"/>
      <c r="M36" s="30"/>
      <c r="N36" s="30"/>
      <c r="O36" s="30"/>
      <c r="P36" s="61">
        <v>1350.0</v>
      </c>
      <c r="Q36" s="24">
        <f t="shared" si="1"/>
        <v>0</v>
      </c>
      <c r="R36" s="57" t="s">
        <v>85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45341.0</v>
      </c>
      <c r="C37" s="56" t="s">
        <v>1454</v>
      </c>
      <c r="D37" s="56">
        <v>30895.0</v>
      </c>
      <c r="E37" s="57" t="s">
        <v>213</v>
      </c>
      <c r="F37" s="30"/>
      <c r="G37" s="30">
        <v>8000.0</v>
      </c>
      <c r="H37" s="30"/>
      <c r="I37" s="68"/>
      <c r="J37" s="68"/>
      <c r="K37" s="30"/>
      <c r="L37" s="30"/>
      <c r="M37" s="30"/>
      <c r="N37" s="30"/>
      <c r="O37" s="30"/>
      <c r="P37" s="61">
        <v>8000.0</v>
      </c>
      <c r="Q37" s="24">
        <f t="shared" si="1"/>
        <v>0</v>
      </c>
      <c r="R37" s="57" t="s">
        <v>24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45341.0</v>
      </c>
      <c r="C38" s="56" t="s">
        <v>1455</v>
      </c>
      <c r="D38" s="56">
        <v>30895.0</v>
      </c>
      <c r="E38" s="57" t="s">
        <v>213</v>
      </c>
      <c r="F38" s="30"/>
      <c r="G38" s="30">
        <v>5300.0</v>
      </c>
      <c r="H38" s="30"/>
      <c r="I38" s="68"/>
      <c r="J38" s="68"/>
      <c r="K38" s="30"/>
      <c r="L38" s="30"/>
      <c r="M38" s="30"/>
      <c r="N38" s="30"/>
      <c r="O38" s="30"/>
      <c r="P38" s="61">
        <v>5300.0</v>
      </c>
      <c r="Q38" s="24">
        <f t="shared" si="1"/>
        <v>0</v>
      </c>
      <c r="R38" s="57" t="s">
        <v>24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45341.0</v>
      </c>
      <c r="C39" s="56" t="s">
        <v>1456</v>
      </c>
      <c r="D39" s="56">
        <v>30895.0</v>
      </c>
      <c r="E39" s="57" t="s">
        <v>213</v>
      </c>
      <c r="F39" s="30">
        <v>100.0</v>
      </c>
      <c r="G39" s="30"/>
      <c r="H39" s="30"/>
      <c r="I39" s="68"/>
      <c r="J39" s="68"/>
      <c r="K39" s="30"/>
      <c r="L39" s="30"/>
      <c r="M39" s="30"/>
      <c r="N39" s="30"/>
      <c r="O39" s="30"/>
      <c r="P39" s="61">
        <v>100.0</v>
      </c>
      <c r="Q39" s="24">
        <f t="shared" si="1"/>
        <v>0</v>
      </c>
      <c r="R39" s="57" t="s">
        <v>85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45341.0</v>
      </c>
      <c r="C40" s="56" t="s">
        <v>1457</v>
      </c>
      <c r="D40" s="56">
        <v>61445.0</v>
      </c>
      <c r="E40" s="57" t="s">
        <v>1458</v>
      </c>
      <c r="F40" s="30"/>
      <c r="G40" s="30"/>
      <c r="H40" s="30"/>
      <c r="I40" s="68"/>
      <c r="J40" s="68"/>
      <c r="K40" s="30"/>
      <c r="L40" s="30"/>
      <c r="M40" s="30">
        <v>1400.0</v>
      </c>
      <c r="N40" s="30"/>
      <c r="O40" s="30"/>
      <c r="P40" s="61">
        <v>1400.0</v>
      </c>
      <c r="Q40" s="24">
        <f t="shared" si="1"/>
        <v>0</v>
      </c>
      <c r="R40" s="57" t="s">
        <v>85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45341.0</v>
      </c>
      <c r="C41" s="56" t="s">
        <v>1459</v>
      </c>
      <c r="D41" s="56">
        <v>52083.0</v>
      </c>
      <c r="E41" s="57" t="s">
        <v>23</v>
      </c>
      <c r="F41" s="30"/>
      <c r="G41" s="30"/>
      <c r="H41" s="30"/>
      <c r="I41" s="68">
        <v>10000.0</v>
      </c>
      <c r="J41" s="68"/>
      <c r="K41" s="30"/>
      <c r="L41" s="30"/>
      <c r="M41" s="30"/>
      <c r="N41" s="30"/>
      <c r="O41" s="30"/>
      <c r="P41" s="61">
        <v>10000.0</v>
      </c>
      <c r="Q41" s="24">
        <f t="shared" si="1"/>
        <v>0</v>
      </c>
      <c r="R41" s="57" t="s">
        <v>85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45341.0</v>
      </c>
      <c r="C42" s="56" t="s">
        <v>1460</v>
      </c>
      <c r="D42" s="56">
        <v>59812.0</v>
      </c>
      <c r="E42" s="57" t="s">
        <v>106</v>
      </c>
      <c r="F42" s="30"/>
      <c r="G42" s="30"/>
      <c r="H42" s="30"/>
      <c r="I42" s="68">
        <v>5150.0</v>
      </c>
      <c r="J42" s="68"/>
      <c r="K42" s="30"/>
      <c r="L42" s="30"/>
      <c r="M42" s="30"/>
      <c r="N42" s="30"/>
      <c r="O42" s="30"/>
      <c r="P42" s="61">
        <v>5150.0</v>
      </c>
      <c r="Q42" s="24">
        <f t="shared" si="1"/>
        <v>0</v>
      </c>
      <c r="R42" s="57" t="s">
        <v>66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45341.0</v>
      </c>
      <c r="C43" s="56" t="s">
        <v>1461</v>
      </c>
      <c r="D43" s="56">
        <v>66838.0</v>
      </c>
      <c r="E43" s="57" t="s">
        <v>687</v>
      </c>
      <c r="F43" s="30"/>
      <c r="G43" s="30"/>
      <c r="H43" s="30">
        <v>4500.0</v>
      </c>
      <c r="I43" s="68"/>
      <c r="J43" s="68"/>
      <c r="K43" s="30"/>
      <c r="L43" s="30"/>
      <c r="M43" s="30"/>
      <c r="N43" s="30"/>
      <c r="O43" s="30"/>
      <c r="P43" s="61">
        <v>4500.0</v>
      </c>
      <c r="Q43" s="24">
        <f t="shared" si="1"/>
        <v>0</v>
      </c>
      <c r="R43" s="57" t="s">
        <v>85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45341.0</v>
      </c>
      <c r="C44" s="56" t="s">
        <v>1462</v>
      </c>
      <c r="D44" s="56">
        <v>22727.0</v>
      </c>
      <c r="E44" s="57" t="s">
        <v>750</v>
      </c>
      <c r="F44" s="30"/>
      <c r="G44" s="30"/>
      <c r="H44" s="30"/>
      <c r="I44" s="68"/>
      <c r="J44" s="68">
        <v>2500.0</v>
      </c>
      <c r="K44" s="30"/>
      <c r="L44" s="30"/>
      <c r="M44" s="30"/>
      <c r="N44" s="30"/>
      <c r="O44" s="30"/>
      <c r="P44" s="61">
        <v>2500.0</v>
      </c>
      <c r="Q44" s="24">
        <f t="shared" si="1"/>
        <v>0</v>
      </c>
      <c r="R44" s="57" t="s">
        <v>85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45341.0</v>
      </c>
      <c r="C45" s="56" t="s">
        <v>1463</v>
      </c>
      <c r="D45" s="56">
        <v>58257.0</v>
      </c>
      <c r="E45" s="57" t="s">
        <v>918</v>
      </c>
      <c r="F45" s="30"/>
      <c r="G45" s="30">
        <v>32500.0</v>
      </c>
      <c r="H45" s="30"/>
      <c r="I45" s="68"/>
      <c r="J45" s="68"/>
      <c r="K45" s="30"/>
      <c r="L45" s="30"/>
      <c r="M45" s="30"/>
      <c r="N45" s="30"/>
      <c r="O45" s="30"/>
      <c r="P45" s="61">
        <v>32500.0</v>
      </c>
      <c r="Q45" s="24">
        <f t="shared" si="1"/>
        <v>0</v>
      </c>
      <c r="R45" s="57" t="s">
        <v>24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45341.0</v>
      </c>
      <c r="C46" s="56" t="s">
        <v>1464</v>
      </c>
      <c r="D46" s="56">
        <v>58633.0</v>
      </c>
      <c r="E46" s="57" t="s">
        <v>1465</v>
      </c>
      <c r="F46" s="30"/>
      <c r="G46" s="30">
        <v>32500.0</v>
      </c>
      <c r="H46" s="30"/>
      <c r="I46" s="68"/>
      <c r="J46" s="68"/>
      <c r="K46" s="30"/>
      <c r="L46" s="30"/>
      <c r="M46" s="30"/>
      <c r="N46" s="30"/>
      <c r="O46" s="30"/>
      <c r="P46" s="61">
        <v>32500.0</v>
      </c>
      <c r="Q46" s="24">
        <f t="shared" si="1"/>
        <v>0</v>
      </c>
      <c r="R46" s="57" t="s">
        <v>24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45341.0</v>
      </c>
      <c r="C47" s="56" t="s">
        <v>1466</v>
      </c>
      <c r="D47" s="56">
        <v>35245.0</v>
      </c>
      <c r="E47" s="57" t="s">
        <v>1081</v>
      </c>
      <c r="F47" s="30"/>
      <c r="G47" s="30">
        <v>6250.0</v>
      </c>
      <c r="H47" s="30"/>
      <c r="I47" s="68"/>
      <c r="J47" s="68"/>
      <c r="K47" s="30"/>
      <c r="L47" s="30"/>
      <c r="M47" s="30"/>
      <c r="N47" s="30"/>
      <c r="O47" s="30"/>
      <c r="P47" s="61">
        <v>6250.0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45341.0</v>
      </c>
      <c r="C48" s="56" t="s">
        <v>1467</v>
      </c>
      <c r="D48" s="56">
        <v>75886.0</v>
      </c>
      <c r="E48" s="57" t="s">
        <v>1468</v>
      </c>
      <c r="F48" s="30"/>
      <c r="G48" s="30"/>
      <c r="H48" s="30">
        <v>300.0</v>
      </c>
      <c r="I48" s="68"/>
      <c r="J48" s="68"/>
      <c r="K48" s="30"/>
      <c r="L48" s="30"/>
      <c r="M48" s="30"/>
      <c r="N48" s="30"/>
      <c r="O48" s="30"/>
      <c r="P48" s="61">
        <v>300.0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0">
        <v>45341.0</v>
      </c>
      <c r="C49" s="56" t="s">
        <v>1469</v>
      </c>
      <c r="D49" s="56">
        <v>10006.0</v>
      </c>
      <c r="E49" s="57" t="s">
        <v>619</v>
      </c>
      <c r="F49" s="30"/>
      <c r="G49" s="30"/>
      <c r="H49" s="30">
        <v>8100.0</v>
      </c>
      <c r="I49" s="68"/>
      <c r="J49" s="68"/>
      <c r="K49" s="30"/>
      <c r="L49" s="30"/>
      <c r="M49" s="30"/>
      <c r="N49" s="30"/>
      <c r="O49" s="30"/>
      <c r="P49" s="61">
        <v>8100.0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0">
        <v>45341.0</v>
      </c>
      <c r="C50" s="56" t="s">
        <v>1470</v>
      </c>
      <c r="D50" s="56">
        <v>66838.0</v>
      </c>
      <c r="E50" s="57" t="s">
        <v>687</v>
      </c>
      <c r="F50" s="30"/>
      <c r="G50" s="30"/>
      <c r="H50" s="30">
        <v>9000.0</v>
      </c>
      <c r="I50" s="68"/>
      <c r="J50" s="68"/>
      <c r="K50" s="30"/>
      <c r="L50" s="30"/>
      <c r="M50" s="30"/>
      <c r="N50" s="30"/>
      <c r="O50" s="30"/>
      <c r="P50" s="61">
        <v>9000.0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/>
      <c r="B51" s="27"/>
      <c r="C51" s="28"/>
      <c r="D51" s="29"/>
      <c r="E51" s="28"/>
      <c r="F51" s="30">
        <f t="shared" ref="F51:P51" si="2">SUM(F5:F50)</f>
        <v>100</v>
      </c>
      <c r="G51" s="30">
        <f t="shared" si="2"/>
        <v>101500</v>
      </c>
      <c r="H51" s="30">
        <f t="shared" si="2"/>
        <v>31900</v>
      </c>
      <c r="I51" s="30">
        <f t="shared" si="2"/>
        <v>191056</v>
      </c>
      <c r="J51" s="30">
        <f t="shared" si="2"/>
        <v>55400</v>
      </c>
      <c r="K51" s="30">
        <f t="shared" si="2"/>
        <v>1094</v>
      </c>
      <c r="L51" s="30">
        <f t="shared" si="2"/>
        <v>0</v>
      </c>
      <c r="M51" s="30">
        <f t="shared" si="2"/>
        <v>1400</v>
      </c>
      <c r="N51" s="30">
        <f t="shared" si="2"/>
        <v>0</v>
      </c>
      <c r="O51" s="30">
        <f t="shared" si="2"/>
        <v>0</v>
      </c>
      <c r="P51" s="68">
        <f t="shared" si="2"/>
        <v>382450</v>
      </c>
      <c r="Q51" s="24">
        <f t="shared" si="1"/>
        <v>0</v>
      </c>
      <c r="R51" s="67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36.0" customHeight="1">
      <c r="A52" s="35"/>
      <c r="B52" s="35"/>
      <c r="C52" s="35"/>
      <c r="D52" s="35"/>
      <c r="E52" s="35"/>
      <c r="F52" s="36">
        <f>F51+G51+H51+I51+J51+K51+L51+M51+N51+O51</f>
        <v>382450</v>
      </c>
      <c r="P52" s="36"/>
      <c r="Q52" s="36"/>
      <c r="R52" s="35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37" t="s">
        <v>242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243</v>
      </c>
      <c r="F56" s="39" t="s">
        <v>281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245</v>
      </c>
      <c r="F57" s="39" t="s">
        <v>834</v>
      </c>
      <c r="G57" s="4"/>
      <c r="H57" s="4"/>
      <c r="I57" s="4"/>
      <c r="J57" s="4"/>
      <c r="K57" s="4"/>
      <c r="L57" s="4"/>
      <c r="M57" s="4"/>
      <c r="N57" s="4"/>
      <c r="O57" s="4" t="s">
        <v>242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38" t="s">
        <v>246</v>
      </c>
      <c r="F58" s="39" t="s">
        <v>880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38" t="s">
        <v>247</v>
      </c>
      <c r="F59" s="39" t="s">
        <v>880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38" t="s">
        <v>248</v>
      </c>
      <c r="F60" s="39" t="s">
        <v>281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7.0" customHeight="1">
      <c r="A61" s="4"/>
      <c r="B61" s="4"/>
      <c r="C61" s="4"/>
      <c r="D61" s="4"/>
      <c r="E61" s="38" t="s">
        <v>1471</v>
      </c>
      <c r="F61" s="39" t="s">
        <v>880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0.0" customHeight="1">
      <c r="A62" s="4"/>
      <c r="B62" s="4"/>
      <c r="C62" s="4"/>
      <c r="D62" s="4"/>
      <c r="E62" s="40" t="s">
        <v>250</v>
      </c>
      <c r="F62" s="39" t="s">
        <v>880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252</v>
      </c>
      <c r="F63" s="39" t="s">
        <v>880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242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 t="s">
        <v>253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45342.0</v>
      </c>
      <c r="C5" s="55" t="s">
        <v>1473</v>
      </c>
      <c r="D5" s="56">
        <v>57499.0</v>
      </c>
      <c r="E5" s="57" t="s">
        <v>824</v>
      </c>
      <c r="F5" s="21"/>
      <c r="G5" s="21"/>
      <c r="H5" s="21"/>
      <c r="I5" s="21"/>
      <c r="J5" s="22">
        <v>350.0</v>
      </c>
      <c r="K5" s="21"/>
      <c r="L5" s="21"/>
      <c r="M5" s="21"/>
      <c r="N5" s="21"/>
      <c r="O5" s="21"/>
      <c r="P5" s="58">
        <v>350.0</v>
      </c>
      <c r="Q5" s="24">
        <f t="shared" ref="Q5:Q56" si="1">F5+G5+H5+I5+J5+K5+L5+M5+N5+O5-P5</f>
        <v>0</v>
      </c>
      <c r="R5" s="59" t="s">
        <v>66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45342.0</v>
      </c>
      <c r="C6" s="55" t="s">
        <v>1474</v>
      </c>
      <c r="D6" s="56">
        <v>51225.0</v>
      </c>
      <c r="E6" s="57" t="s">
        <v>1475</v>
      </c>
      <c r="F6" s="21"/>
      <c r="G6" s="21"/>
      <c r="H6" s="21"/>
      <c r="I6" s="22"/>
      <c r="J6" s="21">
        <v>2650.0</v>
      </c>
      <c r="K6" s="21"/>
      <c r="L6" s="21"/>
      <c r="M6" s="21"/>
      <c r="N6" s="21"/>
      <c r="O6" s="21"/>
      <c r="P6" s="58">
        <v>2650.0</v>
      </c>
      <c r="Q6" s="24">
        <f t="shared" si="1"/>
        <v>0</v>
      </c>
      <c r="R6" s="59" t="s">
        <v>66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45342.0</v>
      </c>
      <c r="C7" s="55" t="s">
        <v>1476</v>
      </c>
      <c r="D7" s="56">
        <v>45096.0</v>
      </c>
      <c r="E7" s="57" t="s">
        <v>313</v>
      </c>
      <c r="F7" s="21"/>
      <c r="G7" s="21"/>
      <c r="H7" s="21"/>
      <c r="I7" s="22">
        <v>8125.0</v>
      </c>
      <c r="J7" s="21"/>
      <c r="K7" s="21"/>
      <c r="L7" s="21"/>
      <c r="M7" s="21"/>
      <c r="N7" s="21"/>
      <c r="O7" s="21"/>
      <c r="P7" s="58">
        <v>8125.0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45342.0</v>
      </c>
      <c r="C8" s="55" t="s">
        <v>1477</v>
      </c>
      <c r="D8" s="56">
        <v>48854.0</v>
      </c>
      <c r="E8" s="57" t="s">
        <v>696</v>
      </c>
      <c r="F8" s="21"/>
      <c r="G8" s="21"/>
      <c r="H8" s="21"/>
      <c r="I8" s="21"/>
      <c r="J8" s="21">
        <v>5300.0</v>
      </c>
      <c r="K8" s="21"/>
      <c r="L8" s="21"/>
      <c r="M8" s="21"/>
      <c r="N8" s="21"/>
      <c r="O8" s="21"/>
      <c r="P8" s="58">
        <v>5300.0</v>
      </c>
      <c r="Q8" s="24">
        <f t="shared" si="1"/>
        <v>0</v>
      </c>
      <c r="R8" s="59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45342.0</v>
      </c>
      <c r="C9" s="55" t="s">
        <v>1478</v>
      </c>
      <c r="D9" s="56">
        <v>43955.0</v>
      </c>
      <c r="E9" s="57" t="s">
        <v>759</v>
      </c>
      <c r="F9" s="21"/>
      <c r="G9" s="21"/>
      <c r="H9" s="21"/>
      <c r="I9" s="21">
        <v>3180.0</v>
      </c>
      <c r="J9" s="21"/>
      <c r="K9" s="21"/>
      <c r="L9" s="21"/>
      <c r="M9" s="21"/>
      <c r="N9" s="21"/>
      <c r="O9" s="21"/>
      <c r="P9" s="58">
        <v>3180.0</v>
      </c>
      <c r="Q9" s="24">
        <f t="shared" si="1"/>
        <v>0</v>
      </c>
      <c r="R9" s="59" t="s">
        <v>30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45342.0</v>
      </c>
      <c r="C10" s="55" t="s">
        <v>1479</v>
      </c>
      <c r="D10" s="56">
        <v>36555.0</v>
      </c>
      <c r="E10" s="57" t="s">
        <v>479</v>
      </c>
      <c r="F10" s="21"/>
      <c r="G10" s="21"/>
      <c r="H10" s="21"/>
      <c r="I10" s="21"/>
      <c r="J10" s="21"/>
      <c r="K10" s="21">
        <v>900.0</v>
      </c>
      <c r="L10" s="21"/>
      <c r="M10" s="21"/>
      <c r="N10" s="21"/>
      <c r="O10" s="21"/>
      <c r="P10" s="58">
        <v>900.0</v>
      </c>
      <c r="Q10" s="24">
        <f t="shared" si="1"/>
        <v>0</v>
      </c>
      <c r="R10" s="59" t="s">
        <v>85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45342.0</v>
      </c>
      <c r="C11" s="55" t="s">
        <v>1480</v>
      </c>
      <c r="D11" s="56">
        <v>51309.0</v>
      </c>
      <c r="E11" s="57" t="s">
        <v>1481</v>
      </c>
      <c r="F11" s="21"/>
      <c r="G11" s="21"/>
      <c r="H11" s="21"/>
      <c r="I11" s="22">
        <v>3900.0</v>
      </c>
      <c r="J11" s="21"/>
      <c r="K11" s="21"/>
      <c r="L11" s="21"/>
      <c r="M11" s="21"/>
      <c r="N11" s="21"/>
      <c r="O11" s="21"/>
      <c r="P11" s="58">
        <v>3900.0</v>
      </c>
      <c r="Q11" s="24">
        <f t="shared" si="1"/>
        <v>0</v>
      </c>
      <c r="R11" s="59" t="s">
        <v>56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45342.0</v>
      </c>
      <c r="C12" s="55" t="s">
        <v>1482</v>
      </c>
      <c r="D12" s="56">
        <v>45227.0</v>
      </c>
      <c r="E12" s="57" t="s">
        <v>181</v>
      </c>
      <c r="F12" s="21"/>
      <c r="G12" s="21"/>
      <c r="H12" s="21"/>
      <c r="I12" s="22">
        <v>6725.0</v>
      </c>
      <c r="J12" s="21"/>
      <c r="K12" s="21">
        <v>300.0</v>
      </c>
      <c r="L12" s="21"/>
      <c r="M12" s="21"/>
      <c r="N12" s="21"/>
      <c r="O12" s="21"/>
      <c r="P12" s="58">
        <v>7025.0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45342.0</v>
      </c>
      <c r="C13" s="55" t="s">
        <v>1483</v>
      </c>
      <c r="D13" s="56">
        <v>73200.0</v>
      </c>
      <c r="E13" s="57" t="s">
        <v>1484</v>
      </c>
      <c r="F13" s="21"/>
      <c r="G13" s="21">
        <v>7000.0</v>
      </c>
      <c r="H13" s="21"/>
      <c r="I13" s="22"/>
      <c r="J13" s="21"/>
      <c r="K13" s="21"/>
      <c r="L13" s="21"/>
      <c r="M13" s="21"/>
      <c r="N13" s="21"/>
      <c r="O13" s="21"/>
      <c r="P13" s="58">
        <v>7000.0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45342.0</v>
      </c>
      <c r="C14" s="55" t="s">
        <v>1485</v>
      </c>
      <c r="D14" s="56">
        <v>51976.0</v>
      </c>
      <c r="E14" s="57" t="s">
        <v>170</v>
      </c>
      <c r="F14" s="21"/>
      <c r="G14" s="21"/>
      <c r="H14" s="21"/>
      <c r="I14" s="22"/>
      <c r="J14" s="21">
        <v>3100.0</v>
      </c>
      <c r="K14" s="21"/>
      <c r="L14" s="21"/>
      <c r="M14" s="21"/>
      <c r="N14" s="21"/>
      <c r="O14" s="21"/>
      <c r="P14" s="58">
        <v>3100.0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45342.0</v>
      </c>
      <c r="C15" s="55" t="s">
        <v>1486</v>
      </c>
      <c r="D15" s="56">
        <v>80859.0</v>
      </c>
      <c r="E15" s="57" t="s">
        <v>290</v>
      </c>
      <c r="F15" s="21"/>
      <c r="G15" s="21"/>
      <c r="H15" s="21"/>
      <c r="I15" s="22"/>
      <c r="J15" s="21"/>
      <c r="K15" s="21">
        <v>600.0</v>
      </c>
      <c r="L15" s="21"/>
      <c r="M15" s="21"/>
      <c r="N15" s="21"/>
      <c r="O15" s="21"/>
      <c r="P15" s="58">
        <v>600.0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45342.0</v>
      </c>
      <c r="C16" s="55" t="s">
        <v>1487</v>
      </c>
      <c r="D16" s="56">
        <v>48772.0</v>
      </c>
      <c r="E16" s="57" t="s">
        <v>576</v>
      </c>
      <c r="F16" s="21"/>
      <c r="G16" s="21"/>
      <c r="H16" s="21"/>
      <c r="I16" s="22">
        <v>5250.0</v>
      </c>
      <c r="J16" s="21"/>
      <c r="K16" s="21"/>
      <c r="L16" s="21"/>
      <c r="M16" s="21"/>
      <c r="N16" s="21"/>
      <c r="O16" s="21"/>
      <c r="P16" s="58">
        <v>5250.0</v>
      </c>
      <c r="Q16" s="24">
        <f t="shared" si="1"/>
        <v>0</v>
      </c>
      <c r="R16" s="59" t="s">
        <v>85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45342.0</v>
      </c>
      <c r="C17" s="55" t="s">
        <v>1488</v>
      </c>
      <c r="D17" s="56">
        <v>13133.0</v>
      </c>
      <c r="E17" s="57" t="s">
        <v>117</v>
      </c>
      <c r="F17" s="21"/>
      <c r="G17" s="21"/>
      <c r="H17" s="21"/>
      <c r="I17" s="21"/>
      <c r="J17" s="21">
        <v>14500.0</v>
      </c>
      <c r="K17" s="21"/>
      <c r="L17" s="21"/>
      <c r="M17" s="21"/>
      <c r="N17" s="21"/>
      <c r="O17" s="21"/>
      <c r="P17" s="58">
        <v>14500.0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45342.0</v>
      </c>
      <c r="C18" s="55" t="s">
        <v>1489</v>
      </c>
      <c r="D18" s="56">
        <v>19688.0</v>
      </c>
      <c r="E18" s="57" t="s">
        <v>691</v>
      </c>
      <c r="F18" s="21"/>
      <c r="G18" s="21"/>
      <c r="H18" s="21"/>
      <c r="I18" s="21"/>
      <c r="J18" s="21">
        <v>1000.0</v>
      </c>
      <c r="K18" s="21"/>
      <c r="L18" s="21"/>
      <c r="M18" s="21"/>
      <c r="N18" s="21"/>
      <c r="O18" s="21"/>
      <c r="P18" s="58">
        <v>1000.0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45342.0</v>
      </c>
      <c r="C19" s="55" t="s">
        <v>1490</v>
      </c>
      <c r="D19" s="56">
        <v>47520.0</v>
      </c>
      <c r="E19" s="57" t="s">
        <v>1491</v>
      </c>
      <c r="F19" s="21"/>
      <c r="G19" s="21"/>
      <c r="H19" s="21"/>
      <c r="I19" s="21"/>
      <c r="J19" s="21">
        <v>4650.0</v>
      </c>
      <c r="K19" s="21"/>
      <c r="L19" s="21"/>
      <c r="M19" s="21"/>
      <c r="N19" s="21"/>
      <c r="O19" s="21"/>
      <c r="P19" s="58">
        <v>4650.0</v>
      </c>
      <c r="Q19" s="24">
        <f t="shared" si="1"/>
        <v>0</v>
      </c>
      <c r="R19" s="59" t="s">
        <v>85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45342.0</v>
      </c>
      <c r="C20" s="55" t="s">
        <v>1492</v>
      </c>
      <c r="D20" s="56">
        <v>51017.0</v>
      </c>
      <c r="E20" s="57" t="s">
        <v>150</v>
      </c>
      <c r="F20" s="21"/>
      <c r="G20" s="21"/>
      <c r="H20" s="21">
        <v>15000.0</v>
      </c>
      <c r="I20" s="21"/>
      <c r="J20" s="21"/>
      <c r="K20" s="21"/>
      <c r="L20" s="21"/>
      <c r="M20" s="21"/>
      <c r="N20" s="21"/>
      <c r="O20" s="21"/>
      <c r="P20" s="58">
        <v>15000.0</v>
      </c>
      <c r="Q20" s="24">
        <f t="shared" si="1"/>
        <v>0</v>
      </c>
      <c r="R20" s="59" t="s">
        <v>24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45342.0</v>
      </c>
      <c r="C21" s="55" t="s">
        <v>1493</v>
      </c>
      <c r="D21" s="56">
        <v>57991.0</v>
      </c>
      <c r="E21" s="57" t="s">
        <v>677</v>
      </c>
      <c r="F21" s="21"/>
      <c r="G21" s="21"/>
      <c r="H21" s="21"/>
      <c r="I21" s="22">
        <v>19500.0</v>
      </c>
      <c r="J21" s="22"/>
      <c r="K21" s="21"/>
      <c r="L21" s="21"/>
      <c r="M21" s="21"/>
      <c r="N21" s="21"/>
      <c r="O21" s="21"/>
      <c r="P21" s="58">
        <v>19500.0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45342.0</v>
      </c>
      <c r="C22" s="55" t="s">
        <v>1494</v>
      </c>
      <c r="D22" s="56">
        <v>51697.0</v>
      </c>
      <c r="E22" s="57" t="s">
        <v>441</v>
      </c>
      <c r="F22" s="21"/>
      <c r="G22" s="21"/>
      <c r="H22" s="21"/>
      <c r="I22" s="22"/>
      <c r="J22" s="22">
        <v>13331.0</v>
      </c>
      <c r="K22" s="21">
        <v>3169.0</v>
      </c>
      <c r="L22" s="21"/>
      <c r="M22" s="21"/>
      <c r="N22" s="21"/>
      <c r="O22" s="21"/>
      <c r="P22" s="58">
        <v>16500.0</v>
      </c>
      <c r="Q22" s="24">
        <f t="shared" si="1"/>
        <v>0</v>
      </c>
      <c r="R22" s="59" t="s">
        <v>85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45342.0</v>
      </c>
      <c r="C23" s="56" t="s">
        <v>1495</v>
      </c>
      <c r="D23" s="56">
        <v>77978.0</v>
      </c>
      <c r="E23" s="57" t="s">
        <v>1496</v>
      </c>
      <c r="F23" s="30"/>
      <c r="G23" s="30"/>
      <c r="H23" s="68"/>
      <c r="I23" s="68">
        <v>7000.0</v>
      </c>
      <c r="J23" s="68"/>
      <c r="K23" s="30"/>
      <c r="L23" s="30"/>
      <c r="M23" s="30"/>
      <c r="N23" s="30"/>
      <c r="O23" s="30"/>
      <c r="P23" s="61">
        <v>7000.0</v>
      </c>
      <c r="Q23" s="24">
        <f t="shared" si="1"/>
        <v>0</v>
      </c>
      <c r="R23" s="57" t="s">
        <v>56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45342.0</v>
      </c>
      <c r="C24" s="56" t="s">
        <v>1497</v>
      </c>
      <c r="D24" s="56">
        <v>80978.0</v>
      </c>
      <c r="E24" s="57" t="s">
        <v>1498</v>
      </c>
      <c r="F24" s="30"/>
      <c r="G24" s="30"/>
      <c r="H24" s="30"/>
      <c r="I24" s="68"/>
      <c r="J24" s="68"/>
      <c r="K24" s="30"/>
      <c r="L24" s="30"/>
      <c r="M24" s="30">
        <v>5150.0</v>
      </c>
      <c r="N24" s="30"/>
      <c r="O24" s="30"/>
      <c r="P24" s="61">
        <v>5150.0</v>
      </c>
      <c r="Q24" s="24">
        <f t="shared" si="1"/>
        <v>0</v>
      </c>
      <c r="R24" s="57" t="s">
        <v>66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45342.0</v>
      </c>
      <c r="C25" s="56" t="s">
        <v>1499</v>
      </c>
      <c r="D25" s="56">
        <v>81697.0</v>
      </c>
      <c r="E25" s="57" t="s">
        <v>1500</v>
      </c>
      <c r="F25" s="30"/>
      <c r="G25" s="30"/>
      <c r="H25" s="30"/>
      <c r="I25" s="68"/>
      <c r="J25" s="68">
        <v>300.0</v>
      </c>
      <c r="K25" s="30"/>
      <c r="L25" s="30"/>
      <c r="M25" s="30"/>
      <c r="N25" s="30"/>
      <c r="O25" s="30"/>
      <c r="P25" s="61">
        <v>300.0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45342.0</v>
      </c>
      <c r="C26" s="56" t="s">
        <v>1501</v>
      </c>
      <c r="D26" s="56">
        <v>66838.0</v>
      </c>
      <c r="E26" s="57" t="s">
        <v>687</v>
      </c>
      <c r="F26" s="30"/>
      <c r="G26" s="30"/>
      <c r="H26" s="30"/>
      <c r="I26" s="68">
        <v>0.0</v>
      </c>
      <c r="J26" s="68"/>
      <c r="K26" s="30"/>
      <c r="L26" s="30"/>
      <c r="M26" s="30"/>
      <c r="N26" s="30"/>
      <c r="O26" s="30"/>
      <c r="P26" s="61">
        <v>9000.0</v>
      </c>
      <c r="Q26" s="24">
        <f t="shared" si="1"/>
        <v>-9000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45342.0</v>
      </c>
      <c r="C27" s="56" t="s">
        <v>1502</v>
      </c>
      <c r="D27" s="56">
        <v>62815.0</v>
      </c>
      <c r="E27" s="57" t="s">
        <v>477</v>
      </c>
      <c r="F27" s="30"/>
      <c r="G27" s="30"/>
      <c r="H27" s="30"/>
      <c r="I27" s="68">
        <v>9500.0</v>
      </c>
      <c r="J27" s="68"/>
      <c r="K27" s="30"/>
      <c r="L27" s="30"/>
      <c r="M27" s="30"/>
      <c r="N27" s="30"/>
      <c r="O27" s="30"/>
      <c r="P27" s="61">
        <v>9500.0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45342.0</v>
      </c>
      <c r="C28" s="56" t="s">
        <v>1503</v>
      </c>
      <c r="D28" s="56">
        <v>42046.0</v>
      </c>
      <c r="E28" s="57" t="s">
        <v>97</v>
      </c>
      <c r="F28" s="30"/>
      <c r="G28" s="30"/>
      <c r="H28" s="30"/>
      <c r="I28" s="68"/>
      <c r="J28" s="68"/>
      <c r="K28" s="30">
        <v>850.0</v>
      </c>
      <c r="L28" s="30"/>
      <c r="M28" s="30"/>
      <c r="N28" s="30"/>
      <c r="O28" s="30"/>
      <c r="P28" s="61">
        <v>850.0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45342.0</v>
      </c>
      <c r="C29" s="56" t="s">
        <v>1504</v>
      </c>
      <c r="D29" s="56">
        <v>19122.0</v>
      </c>
      <c r="E29" s="57" t="s">
        <v>42</v>
      </c>
      <c r="F29" s="30"/>
      <c r="G29" s="30"/>
      <c r="H29" s="30"/>
      <c r="I29" s="68">
        <v>2650.0</v>
      </c>
      <c r="J29" s="68"/>
      <c r="K29" s="30"/>
      <c r="L29" s="30"/>
      <c r="M29" s="30"/>
      <c r="N29" s="30"/>
      <c r="O29" s="30"/>
      <c r="P29" s="61">
        <v>2650.0</v>
      </c>
      <c r="Q29" s="24">
        <f t="shared" si="1"/>
        <v>0</v>
      </c>
      <c r="R29" s="57" t="s">
        <v>85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45342.0</v>
      </c>
      <c r="C30" s="56" t="s">
        <v>1505</v>
      </c>
      <c r="D30" s="56">
        <v>33995.0</v>
      </c>
      <c r="E30" s="57" t="s">
        <v>1506</v>
      </c>
      <c r="F30" s="30"/>
      <c r="G30" s="30"/>
      <c r="H30" s="30"/>
      <c r="I30" s="68"/>
      <c r="J30" s="68">
        <v>30850.0</v>
      </c>
      <c r="K30" s="30"/>
      <c r="L30" s="30"/>
      <c r="M30" s="30"/>
      <c r="N30" s="30"/>
      <c r="O30" s="30"/>
      <c r="P30" s="61">
        <v>30850.0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45342.0</v>
      </c>
      <c r="C31" s="56" t="s">
        <v>1507</v>
      </c>
      <c r="D31" s="56">
        <v>56415.0</v>
      </c>
      <c r="E31" s="57" t="s">
        <v>978</v>
      </c>
      <c r="F31" s="30"/>
      <c r="G31" s="30"/>
      <c r="H31" s="30"/>
      <c r="I31" s="68">
        <v>10000.0</v>
      </c>
      <c r="J31" s="68"/>
      <c r="K31" s="30"/>
      <c r="L31" s="30"/>
      <c r="M31" s="30"/>
      <c r="N31" s="30"/>
      <c r="O31" s="30"/>
      <c r="P31" s="61">
        <v>10000.0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45342.0</v>
      </c>
      <c r="C32" s="56" t="s">
        <v>1508</v>
      </c>
      <c r="D32" s="56">
        <v>74778.0</v>
      </c>
      <c r="E32" s="57" t="s">
        <v>1509</v>
      </c>
      <c r="F32" s="30"/>
      <c r="G32" s="30"/>
      <c r="H32" s="30"/>
      <c r="I32" s="68">
        <v>11500.0</v>
      </c>
      <c r="J32" s="68"/>
      <c r="K32" s="30"/>
      <c r="L32" s="30"/>
      <c r="M32" s="30"/>
      <c r="N32" s="30"/>
      <c r="O32" s="30"/>
      <c r="P32" s="61">
        <v>11500.0</v>
      </c>
      <c r="Q32" s="24">
        <f t="shared" si="1"/>
        <v>0</v>
      </c>
      <c r="R32" s="57" t="s">
        <v>66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45342.0</v>
      </c>
      <c r="C33" s="56" t="s">
        <v>1510</v>
      </c>
      <c r="D33" s="56">
        <v>16390.0</v>
      </c>
      <c r="E33" s="57" t="s">
        <v>123</v>
      </c>
      <c r="F33" s="30"/>
      <c r="G33" s="30"/>
      <c r="H33" s="30"/>
      <c r="I33" s="68">
        <v>5150.0</v>
      </c>
      <c r="J33" s="68"/>
      <c r="K33" s="30"/>
      <c r="L33" s="30"/>
      <c r="M33" s="30"/>
      <c r="N33" s="30"/>
      <c r="O33" s="30"/>
      <c r="P33" s="61">
        <v>5150.0</v>
      </c>
      <c r="Q33" s="24">
        <f t="shared" si="1"/>
        <v>0</v>
      </c>
      <c r="R33" s="57" t="s">
        <v>66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45342.0</v>
      </c>
      <c r="C34" s="56" t="s">
        <v>1511</v>
      </c>
      <c r="D34" s="56">
        <v>81107.0</v>
      </c>
      <c r="E34" s="57" t="s">
        <v>1512</v>
      </c>
      <c r="F34" s="30"/>
      <c r="G34" s="30"/>
      <c r="H34" s="30"/>
      <c r="I34" s="68"/>
      <c r="J34" s="68"/>
      <c r="K34" s="30"/>
      <c r="L34" s="30"/>
      <c r="M34" s="30">
        <v>4500.0</v>
      </c>
      <c r="N34" s="30"/>
      <c r="O34" s="30"/>
      <c r="P34" s="61">
        <v>4500.0</v>
      </c>
      <c r="Q34" s="24">
        <f t="shared" si="1"/>
        <v>0</v>
      </c>
      <c r="R34" s="57" t="s">
        <v>85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45342.0</v>
      </c>
      <c r="C35" s="56" t="s">
        <v>1513</v>
      </c>
      <c r="D35" s="56">
        <v>58050.0</v>
      </c>
      <c r="E35" s="57" t="s">
        <v>364</v>
      </c>
      <c r="F35" s="30"/>
      <c r="G35" s="30"/>
      <c r="H35" s="30"/>
      <c r="I35" s="68"/>
      <c r="J35" s="68">
        <v>10750.0</v>
      </c>
      <c r="K35" s="30"/>
      <c r="L35" s="30"/>
      <c r="M35" s="30"/>
      <c r="N35" s="30"/>
      <c r="O35" s="30"/>
      <c r="P35" s="61">
        <v>10750.0</v>
      </c>
      <c r="Q35" s="24">
        <f t="shared" si="1"/>
        <v>0</v>
      </c>
      <c r="R35" s="57" t="s">
        <v>66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45342.0</v>
      </c>
      <c r="C36" s="56" t="s">
        <v>1514</v>
      </c>
      <c r="D36" s="56">
        <v>48482.0</v>
      </c>
      <c r="E36" s="57" t="s">
        <v>1515</v>
      </c>
      <c r="F36" s="30"/>
      <c r="G36" s="30"/>
      <c r="H36" s="30"/>
      <c r="I36" s="68"/>
      <c r="J36" s="68">
        <v>5000.0</v>
      </c>
      <c r="K36" s="30"/>
      <c r="L36" s="30"/>
      <c r="M36" s="30"/>
      <c r="N36" s="30"/>
      <c r="O36" s="30"/>
      <c r="P36" s="61">
        <v>5000.0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45342.0</v>
      </c>
      <c r="C37" s="56" t="s">
        <v>1516</v>
      </c>
      <c r="D37" s="56">
        <v>52240.0</v>
      </c>
      <c r="E37" s="57" t="s">
        <v>1142</v>
      </c>
      <c r="F37" s="30"/>
      <c r="G37" s="30"/>
      <c r="H37" s="30"/>
      <c r="I37" s="68"/>
      <c r="J37" s="68">
        <v>5000.0</v>
      </c>
      <c r="K37" s="30"/>
      <c r="L37" s="30"/>
      <c r="M37" s="30"/>
      <c r="N37" s="30"/>
      <c r="O37" s="30"/>
      <c r="P37" s="61">
        <v>5000.0</v>
      </c>
      <c r="Q37" s="24">
        <f t="shared" si="1"/>
        <v>0</v>
      </c>
      <c r="R37" s="57" t="s">
        <v>30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45342.0</v>
      </c>
      <c r="C38" s="56" t="s">
        <v>1517</v>
      </c>
      <c r="D38" s="56">
        <v>21743.0</v>
      </c>
      <c r="E38" s="57" t="s">
        <v>1518</v>
      </c>
      <c r="F38" s="30"/>
      <c r="G38" s="30"/>
      <c r="H38" s="30"/>
      <c r="I38" s="68"/>
      <c r="J38" s="68"/>
      <c r="K38" s="30"/>
      <c r="L38" s="30"/>
      <c r="M38" s="30">
        <v>4030.0</v>
      </c>
      <c r="N38" s="30"/>
      <c r="O38" s="30"/>
      <c r="P38" s="61">
        <v>4030.0</v>
      </c>
      <c r="Q38" s="24">
        <f t="shared" si="1"/>
        <v>0</v>
      </c>
      <c r="R38" s="57" t="s">
        <v>30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45342.0</v>
      </c>
      <c r="C39" s="56" t="s">
        <v>1519</v>
      </c>
      <c r="D39" s="56">
        <v>48577.0</v>
      </c>
      <c r="E39" s="57" t="s">
        <v>1520</v>
      </c>
      <c r="F39" s="30"/>
      <c r="G39" s="30"/>
      <c r="H39" s="30"/>
      <c r="I39" s="68">
        <v>2500.0</v>
      </c>
      <c r="J39" s="68"/>
      <c r="K39" s="30"/>
      <c r="L39" s="30"/>
      <c r="M39" s="30"/>
      <c r="N39" s="30"/>
      <c r="O39" s="30"/>
      <c r="P39" s="61">
        <v>2500.0</v>
      </c>
      <c r="Q39" s="24">
        <f t="shared" si="1"/>
        <v>0</v>
      </c>
      <c r="R39" s="57" t="s">
        <v>30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45342.0</v>
      </c>
      <c r="C40" s="56" t="s">
        <v>1521</v>
      </c>
      <c r="D40" s="56">
        <v>53495.0</v>
      </c>
      <c r="E40" s="57" t="s">
        <v>1522</v>
      </c>
      <c r="F40" s="30"/>
      <c r="G40" s="30"/>
      <c r="H40" s="30"/>
      <c r="I40" s="68">
        <v>10000.0</v>
      </c>
      <c r="J40" s="68"/>
      <c r="K40" s="30"/>
      <c r="L40" s="30"/>
      <c r="M40" s="30"/>
      <c r="N40" s="30"/>
      <c r="O40" s="30"/>
      <c r="P40" s="61">
        <v>10000.0</v>
      </c>
      <c r="Q40" s="24">
        <f t="shared" si="1"/>
        <v>0</v>
      </c>
      <c r="R40" s="57" t="s">
        <v>30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0">
        <v>45342.0</v>
      </c>
      <c r="C41" s="56" t="s">
        <v>1523</v>
      </c>
      <c r="D41" s="56">
        <v>80859.0</v>
      </c>
      <c r="E41" s="57" t="s">
        <v>290</v>
      </c>
      <c r="F41" s="30"/>
      <c r="G41" s="30"/>
      <c r="H41" s="30"/>
      <c r="I41" s="68"/>
      <c r="J41" s="68"/>
      <c r="K41" s="30">
        <v>900.0</v>
      </c>
      <c r="L41" s="30"/>
      <c r="M41" s="30"/>
      <c r="N41" s="30"/>
      <c r="O41" s="30"/>
      <c r="P41" s="61">
        <v>900.0</v>
      </c>
      <c r="Q41" s="24">
        <f t="shared" si="1"/>
        <v>0</v>
      </c>
      <c r="R41" s="57" t="s">
        <v>85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0">
        <v>45342.0</v>
      </c>
      <c r="C42" s="56" t="s">
        <v>1524</v>
      </c>
      <c r="D42" s="56">
        <v>22332.0</v>
      </c>
      <c r="E42" s="57" t="s">
        <v>404</v>
      </c>
      <c r="F42" s="30"/>
      <c r="G42" s="30"/>
      <c r="H42" s="30"/>
      <c r="I42" s="68"/>
      <c r="J42" s="68"/>
      <c r="K42" s="30">
        <v>2650.0</v>
      </c>
      <c r="L42" s="30"/>
      <c r="M42" s="30"/>
      <c r="N42" s="30"/>
      <c r="O42" s="30"/>
      <c r="P42" s="61">
        <v>2650.0</v>
      </c>
      <c r="Q42" s="24">
        <f t="shared" si="1"/>
        <v>0</v>
      </c>
      <c r="R42" s="57" t="s">
        <v>85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0">
        <v>45342.0</v>
      </c>
      <c r="C43" s="56" t="s">
        <v>1525</v>
      </c>
      <c r="D43" s="56">
        <v>81703.0</v>
      </c>
      <c r="E43" s="57" t="s">
        <v>1526</v>
      </c>
      <c r="F43" s="30"/>
      <c r="G43" s="30"/>
      <c r="H43" s="30"/>
      <c r="I43" s="68">
        <v>300.0</v>
      </c>
      <c r="J43" s="68"/>
      <c r="K43" s="30"/>
      <c r="L43" s="30"/>
      <c r="M43" s="30"/>
      <c r="N43" s="30"/>
      <c r="O43" s="30"/>
      <c r="P43" s="61">
        <v>300.0</v>
      </c>
      <c r="Q43" s="24">
        <f t="shared" si="1"/>
        <v>0</v>
      </c>
      <c r="R43" s="57" t="s">
        <v>85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0">
        <v>45342.0</v>
      </c>
      <c r="C44" s="56" t="s">
        <v>1527</v>
      </c>
      <c r="D44" s="56">
        <v>48053.0</v>
      </c>
      <c r="E44" s="57" t="s">
        <v>375</v>
      </c>
      <c r="F44" s="30"/>
      <c r="G44" s="30"/>
      <c r="H44" s="30"/>
      <c r="I44" s="68"/>
      <c r="J44" s="68"/>
      <c r="K44" s="30"/>
      <c r="L44" s="30"/>
      <c r="M44" s="30">
        <v>450.0</v>
      </c>
      <c r="N44" s="30"/>
      <c r="O44" s="30"/>
      <c r="P44" s="61">
        <v>450.0</v>
      </c>
      <c r="Q44" s="24">
        <f t="shared" si="1"/>
        <v>0</v>
      </c>
      <c r="R44" s="57" t="s">
        <v>66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0">
        <v>45342.0</v>
      </c>
      <c r="C45" s="56" t="s">
        <v>1528</v>
      </c>
      <c r="D45" s="56">
        <v>60724.0</v>
      </c>
      <c r="E45" s="57" t="s">
        <v>1529</v>
      </c>
      <c r="F45" s="30"/>
      <c r="G45" s="30"/>
      <c r="H45" s="30"/>
      <c r="I45" s="68">
        <v>10000.0</v>
      </c>
      <c r="J45" s="68"/>
      <c r="K45" s="30"/>
      <c r="L45" s="30"/>
      <c r="M45" s="30"/>
      <c r="N45" s="30"/>
      <c r="O45" s="30"/>
      <c r="P45" s="61">
        <v>10000.0</v>
      </c>
      <c r="Q45" s="24">
        <f t="shared" si="1"/>
        <v>0</v>
      </c>
      <c r="R45" s="57" t="s">
        <v>66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0">
        <v>45342.0</v>
      </c>
      <c r="C46" s="56" t="s">
        <v>1530</v>
      </c>
      <c r="D46" s="56">
        <v>50474.0</v>
      </c>
      <c r="E46" s="57" t="s">
        <v>1414</v>
      </c>
      <c r="F46" s="30"/>
      <c r="G46" s="30"/>
      <c r="H46" s="30"/>
      <c r="I46" s="68">
        <v>4650.0</v>
      </c>
      <c r="J46" s="68"/>
      <c r="K46" s="30"/>
      <c r="L46" s="30"/>
      <c r="M46" s="30"/>
      <c r="N46" s="30"/>
      <c r="O46" s="30"/>
      <c r="P46" s="61">
        <v>4650.0</v>
      </c>
      <c r="Q46" s="24">
        <f t="shared" si="1"/>
        <v>0</v>
      </c>
      <c r="R46" s="57" t="s">
        <v>85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0">
        <v>45342.0</v>
      </c>
      <c r="C47" s="56" t="s">
        <v>1531</v>
      </c>
      <c r="D47" s="56">
        <v>59704.0</v>
      </c>
      <c r="E47" s="57" t="s">
        <v>1532</v>
      </c>
      <c r="F47" s="30">
        <v>600.0</v>
      </c>
      <c r="G47" s="30"/>
      <c r="H47" s="30"/>
      <c r="I47" s="68"/>
      <c r="J47" s="68"/>
      <c r="K47" s="30"/>
      <c r="L47" s="30"/>
      <c r="M47" s="30">
        <v>600.0</v>
      </c>
      <c r="N47" s="30"/>
      <c r="O47" s="30"/>
      <c r="P47" s="61">
        <v>1200.0</v>
      </c>
      <c r="Q47" s="24">
        <f t="shared" si="1"/>
        <v>0</v>
      </c>
      <c r="R47" s="57" t="s">
        <v>85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0">
        <v>45342.0</v>
      </c>
      <c r="C48" s="56" t="s">
        <v>1533</v>
      </c>
      <c r="D48" s="56">
        <v>64457.0</v>
      </c>
      <c r="E48" s="57" t="s">
        <v>602</v>
      </c>
      <c r="F48" s="30"/>
      <c r="G48" s="30"/>
      <c r="H48" s="30"/>
      <c r="I48" s="68">
        <v>600.0</v>
      </c>
      <c r="J48" s="68"/>
      <c r="K48" s="30"/>
      <c r="L48" s="30"/>
      <c r="M48" s="30"/>
      <c r="N48" s="30"/>
      <c r="O48" s="30"/>
      <c r="P48" s="61">
        <v>600.0</v>
      </c>
      <c r="Q48" s="24">
        <f t="shared" si="1"/>
        <v>0</v>
      </c>
      <c r="R48" s="57" t="s">
        <v>85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0">
        <v>45342.0</v>
      </c>
      <c r="C49" s="56" t="s">
        <v>1534</v>
      </c>
      <c r="D49" s="56">
        <v>81679.0</v>
      </c>
      <c r="E49" s="57" t="s">
        <v>1535</v>
      </c>
      <c r="F49" s="30"/>
      <c r="G49" s="30"/>
      <c r="H49" s="30"/>
      <c r="I49" s="68"/>
      <c r="J49" s="68"/>
      <c r="K49" s="30"/>
      <c r="L49" s="30"/>
      <c r="M49" s="30">
        <v>3600.0</v>
      </c>
      <c r="N49" s="30"/>
      <c r="O49" s="30"/>
      <c r="P49" s="61">
        <v>3600.0</v>
      </c>
      <c r="Q49" s="24">
        <f t="shared" si="1"/>
        <v>0</v>
      </c>
      <c r="R49" s="57" t="s">
        <v>85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0">
        <v>45342.0</v>
      </c>
      <c r="C50" s="56" t="s">
        <v>1536</v>
      </c>
      <c r="D50" s="56">
        <v>26005.0</v>
      </c>
      <c r="E50" s="57" t="s">
        <v>1537</v>
      </c>
      <c r="F50" s="30"/>
      <c r="G50" s="30"/>
      <c r="H50" s="30"/>
      <c r="I50" s="68">
        <v>4500.0</v>
      </c>
      <c r="J50" s="68"/>
      <c r="K50" s="30"/>
      <c r="L50" s="30"/>
      <c r="M50" s="30"/>
      <c r="N50" s="30"/>
      <c r="O50" s="30"/>
      <c r="P50" s="61">
        <v>4500.0</v>
      </c>
      <c r="Q50" s="24">
        <f t="shared" si="1"/>
        <v>0</v>
      </c>
      <c r="R50" s="57" t="s">
        <v>30</v>
      </c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45342.0</v>
      </c>
      <c r="C51" s="64" t="s">
        <v>1538</v>
      </c>
      <c r="D51" s="64">
        <v>52083.0</v>
      </c>
      <c r="E51" s="65" t="s">
        <v>23</v>
      </c>
      <c r="F51" s="30"/>
      <c r="G51" s="30"/>
      <c r="H51" s="30"/>
      <c r="I51" s="68">
        <v>7700.0</v>
      </c>
      <c r="J51" s="68"/>
      <c r="K51" s="30"/>
      <c r="L51" s="30"/>
      <c r="M51" s="30"/>
      <c r="N51" s="30"/>
      <c r="O51" s="30"/>
      <c r="P51" s="66">
        <v>7700.0</v>
      </c>
      <c r="Q51" s="24">
        <f t="shared" si="1"/>
        <v>0</v>
      </c>
      <c r="R51" s="57" t="s">
        <v>30</v>
      </c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45342.0</v>
      </c>
      <c r="C52" s="64" t="s">
        <v>1539</v>
      </c>
      <c r="D52" s="64">
        <v>62350.0</v>
      </c>
      <c r="E52" s="65" t="s">
        <v>1540</v>
      </c>
      <c r="F52" s="30"/>
      <c r="G52" s="30"/>
      <c r="H52" s="30"/>
      <c r="I52" s="68">
        <v>24500.0</v>
      </c>
      <c r="J52" s="68"/>
      <c r="K52" s="30"/>
      <c r="L52" s="30"/>
      <c r="M52" s="30"/>
      <c r="N52" s="30"/>
      <c r="O52" s="30"/>
      <c r="P52" s="66">
        <v>24500.0</v>
      </c>
      <c r="Q52" s="24">
        <f t="shared" si="1"/>
        <v>0</v>
      </c>
      <c r="R52" s="57" t="s">
        <v>30</v>
      </c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45342.0</v>
      </c>
      <c r="C53" s="64" t="s">
        <v>1541</v>
      </c>
      <c r="D53" s="64">
        <v>81179.0</v>
      </c>
      <c r="E53" s="65" t="s">
        <v>877</v>
      </c>
      <c r="F53" s="30"/>
      <c r="G53" s="30"/>
      <c r="H53" s="30"/>
      <c r="I53" s="68"/>
      <c r="J53" s="68"/>
      <c r="K53" s="30"/>
      <c r="L53" s="30"/>
      <c r="M53" s="30">
        <v>4625.0</v>
      </c>
      <c r="N53" s="30"/>
      <c r="O53" s="30"/>
      <c r="P53" s="66">
        <v>4625.0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45342.0</v>
      </c>
      <c r="C54" s="64" t="s">
        <v>1542</v>
      </c>
      <c r="D54" s="64">
        <v>81694.0</v>
      </c>
      <c r="E54" s="65" t="s">
        <v>1543</v>
      </c>
      <c r="F54" s="30"/>
      <c r="G54" s="30"/>
      <c r="H54" s="30">
        <v>7000.0</v>
      </c>
      <c r="I54" s="68"/>
      <c r="J54" s="68"/>
      <c r="K54" s="30"/>
      <c r="L54" s="30"/>
      <c r="M54" s="30"/>
      <c r="N54" s="30"/>
      <c r="O54" s="30"/>
      <c r="P54" s="66">
        <v>7000.0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45342.0</v>
      </c>
      <c r="C55" s="64" t="s">
        <v>1544</v>
      </c>
      <c r="D55" s="64">
        <v>21828.0</v>
      </c>
      <c r="E55" s="65" t="s">
        <v>217</v>
      </c>
      <c r="F55" s="30"/>
      <c r="G55" s="30"/>
      <c r="H55" s="30"/>
      <c r="I55" s="68"/>
      <c r="J55" s="68"/>
      <c r="K55" s="30">
        <v>5000.0</v>
      </c>
      <c r="L55" s="30"/>
      <c r="M55" s="30"/>
      <c r="N55" s="30"/>
      <c r="O55" s="30"/>
      <c r="P55" s="66">
        <v>5000.0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 t="s">
        <v>242</v>
      </c>
      <c r="B56" s="63">
        <v>45342.0</v>
      </c>
      <c r="C56" s="64" t="s">
        <v>1545</v>
      </c>
      <c r="D56" s="64">
        <v>56408.0</v>
      </c>
      <c r="E56" s="65" t="s">
        <v>720</v>
      </c>
      <c r="F56" s="30"/>
      <c r="G56" s="30"/>
      <c r="H56" s="30">
        <v>32500.0</v>
      </c>
      <c r="I56" s="68"/>
      <c r="J56" s="68"/>
      <c r="K56" s="30"/>
      <c r="L56" s="30"/>
      <c r="M56" s="30"/>
      <c r="N56" s="30"/>
      <c r="O56" s="30"/>
      <c r="P56" s="66">
        <v>32500.0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/>
      <c r="B57" s="27"/>
      <c r="C57" s="28"/>
      <c r="D57" s="29"/>
      <c r="E57" s="28"/>
      <c r="F57" s="30">
        <f t="shared" ref="F57:Q57" si="2">SUM(F5:F56)</f>
        <v>600</v>
      </c>
      <c r="G57" s="30">
        <f t="shared" si="2"/>
        <v>7000</v>
      </c>
      <c r="H57" s="30">
        <f t="shared" si="2"/>
        <v>54500</v>
      </c>
      <c r="I57" s="30">
        <f t="shared" si="2"/>
        <v>157230</v>
      </c>
      <c r="J57" s="30">
        <f t="shared" si="2"/>
        <v>96781</v>
      </c>
      <c r="K57" s="30">
        <f t="shared" si="2"/>
        <v>14369</v>
      </c>
      <c r="L57" s="30">
        <f t="shared" si="2"/>
        <v>0</v>
      </c>
      <c r="M57" s="30">
        <f t="shared" si="2"/>
        <v>22955</v>
      </c>
      <c r="N57" s="30">
        <f t="shared" si="2"/>
        <v>0</v>
      </c>
      <c r="O57" s="30">
        <f t="shared" si="2"/>
        <v>0</v>
      </c>
      <c r="P57" s="68">
        <f t="shared" si="2"/>
        <v>362435</v>
      </c>
      <c r="Q57" s="24">
        <f t="shared" si="2"/>
        <v>-9000</v>
      </c>
      <c r="R57" s="67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36.0" customHeight="1">
      <c r="A58" s="35"/>
      <c r="B58" s="35"/>
      <c r="C58" s="35"/>
      <c r="D58" s="35"/>
      <c r="E58" s="35"/>
      <c r="F58" s="36">
        <f>F57+G57+H57+I57+J57+K57+L57+M57+N57+O57</f>
        <v>353435</v>
      </c>
      <c r="P58" s="36"/>
      <c r="Q58" s="36"/>
      <c r="R58" s="35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37" t="s">
        <v>242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38" t="s">
        <v>243</v>
      </c>
      <c r="F62" s="39" t="s">
        <v>244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245</v>
      </c>
      <c r="F63" s="39" t="s">
        <v>244</v>
      </c>
      <c r="G63" s="4"/>
      <c r="H63" s="4"/>
      <c r="I63" s="4"/>
      <c r="J63" s="4"/>
      <c r="K63" s="4"/>
      <c r="L63" s="4"/>
      <c r="M63" s="4"/>
      <c r="N63" s="4"/>
      <c r="O63" s="4" t="s">
        <v>242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38" t="s">
        <v>246</v>
      </c>
      <c r="F64" s="39" t="s">
        <v>244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38" t="s">
        <v>247</v>
      </c>
      <c r="F65" s="39" t="s">
        <v>244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38" t="s">
        <v>248</v>
      </c>
      <c r="F66" s="39" t="s">
        <v>244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7.0" customHeight="1">
      <c r="A67" s="4"/>
      <c r="B67" s="4"/>
      <c r="C67" s="4"/>
      <c r="D67" s="4"/>
      <c r="E67" s="38" t="s">
        <v>1546</v>
      </c>
      <c r="F67" s="39" t="s">
        <v>244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30.0" customHeight="1">
      <c r="A68" s="4"/>
      <c r="B68" s="4"/>
      <c r="C68" s="4"/>
      <c r="D68" s="4"/>
      <c r="E68" s="40" t="s">
        <v>250</v>
      </c>
      <c r="F68" s="39" t="s">
        <v>880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38" t="s">
        <v>252</v>
      </c>
      <c r="F69" s="39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242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 t="s">
        <v>253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8:O5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1547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45343.0</v>
      </c>
      <c r="C5" s="55" t="s">
        <v>1548</v>
      </c>
      <c r="D5" s="56">
        <v>72414.0</v>
      </c>
      <c r="E5" s="57" t="s">
        <v>1549</v>
      </c>
      <c r="F5" s="21"/>
      <c r="G5" s="21"/>
      <c r="H5" s="21"/>
      <c r="I5" s="21"/>
      <c r="J5" s="22">
        <v>2700.0</v>
      </c>
      <c r="K5" s="21"/>
      <c r="L5" s="21"/>
      <c r="M5" s="21"/>
      <c r="N5" s="21"/>
      <c r="O5" s="21"/>
      <c r="P5" s="58">
        <v>2700.0</v>
      </c>
      <c r="Q5" s="24">
        <f t="shared" ref="Q5:Q41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45343.0</v>
      </c>
      <c r="C6" s="55" t="s">
        <v>1550</v>
      </c>
      <c r="D6" s="56">
        <v>57499.0</v>
      </c>
      <c r="E6" s="57" t="s">
        <v>824</v>
      </c>
      <c r="F6" s="21"/>
      <c r="G6" s="21"/>
      <c r="H6" s="21"/>
      <c r="I6" s="22"/>
      <c r="J6" s="21">
        <v>350.0</v>
      </c>
      <c r="K6" s="21"/>
      <c r="L6" s="21"/>
      <c r="M6" s="21"/>
      <c r="N6" s="21"/>
      <c r="O6" s="21"/>
      <c r="P6" s="58">
        <v>350.0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45343.0</v>
      </c>
      <c r="C7" s="55" t="s">
        <v>1551</v>
      </c>
      <c r="D7" s="56">
        <v>59904.0</v>
      </c>
      <c r="E7" s="57" t="s">
        <v>461</v>
      </c>
      <c r="F7" s="21"/>
      <c r="G7" s="21"/>
      <c r="H7" s="21"/>
      <c r="I7" s="22">
        <v>2500.0</v>
      </c>
      <c r="J7" s="21"/>
      <c r="K7" s="21"/>
      <c r="L7" s="21"/>
      <c r="M7" s="21"/>
      <c r="N7" s="21"/>
      <c r="O7" s="21"/>
      <c r="P7" s="58">
        <v>2500.0</v>
      </c>
      <c r="Q7" s="24">
        <f t="shared" si="1"/>
        <v>0</v>
      </c>
      <c r="R7" s="59" t="s">
        <v>66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45343.0</v>
      </c>
      <c r="C8" s="55" t="s">
        <v>1552</v>
      </c>
      <c r="D8" s="56">
        <v>52206.0</v>
      </c>
      <c r="E8" s="57" t="s">
        <v>1553</v>
      </c>
      <c r="F8" s="21"/>
      <c r="G8" s="21"/>
      <c r="H8" s="21"/>
      <c r="I8" s="21">
        <v>400.0</v>
      </c>
      <c r="J8" s="21"/>
      <c r="K8" s="21"/>
      <c r="L8" s="21"/>
      <c r="M8" s="21"/>
      <c r="N8" s="21"/>
      <c r="O8" s="21"/>
      <c r="P8" s="58">
        <v>400.0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45343.0</v>
      </c>
      <c r="C9" s="55" t="s">
        <v>1554</v>
      </c>
      <c r="D9" s="56">
        <v>57934.0</v>
      </c>
      <c r="E9" s="57" t="s">
        <v>1344</v>
      </c>
      <c r="F9" s="21"/>
      <c r="G9" s="21"/>
      <c r="H9" s="21"/>
      <c r="I9" s="21">
        <v>5150.0</v>
      </c>
      <c r="J9" s="21"/>
      <c r="K9" s="21"/>
      <c r="L9" s="21"/>
      <c r="M9" s="21"/>
      <c r="N9" s="21"/>
      <c r="O9" s="21"/>
      <c r="P9" s="58">
        <v>5150.0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45343.0</v>
      </c>
      <c r="C10" s="55" t="s">
        <v>1555</v>
      </c>
      <c r="D10" s="56">
        <v>46423.0</v>
      </c>
      <c r="E10" s="57" t="s">
        <v>1556</v>
      </c>
      <c r="F10" s="21"/>
      <c r="G10" s="21"/>
      <c r="H10" s="21"/>
      <c r="I10" s="21"/>
      <c r="J10" s="21">
        <v>12500.0</v>
      </c>
      <c r="K10" s="21"/>
      <c r="L10" s="21"/>
      <c r="M10" s="21"/>
      <c r="N10" s="21"/>
      <c r="O10" s="21"/>
      <c r="P10" s="58">
        <v>12500.0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45343.0</v>
      </c>
      <c r="C11" s="55" t="s">
        <v>1557</v>
      </c>
      <c r="D11" s="56">
        <v>51309.0</v>
      </c>
      <c r="E11" s="57" t="s">
        <v>1481</v>
      </c>
      <c r="F11" s="21"/>
      <c r="G11" s="21"/>
      <c r="H11" s="21"/>
      <c r="I11" s="22">
        <v>3550.0</v>
      </c>
      <c r="J11" s="21"/>
      <c r="K11" s="21"/>
      <c r="L11" s="21"/>
      <c r="M11" s="21"/>
      <c r="N11" s="21"/>
      <c r="O11" s="21"/>
      <c r="P11" s="58">
        <v>3550.0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45343.0</v>
      </c>
      <c r="C12" s="55" t="s">
        <v>1558</v>
      </c>
      <c r="D12" s="56">
        <v>81672.0</v>
      </c>
      <c r="E12" s="57" t="s">
        <v>1559</v>
      </c>
      <c r="F12" s="21"/>
      <c r="G12" s="21"/>
      <c r="H12" s="21">
        <v>7000.0</v>
      </c>
      <c r="I12" s="22"/>
      <c r="J12" s="21"/>
      <c r="K12" s="21"/>
      <c r="L12" s="21"/>
      <c r="M12" s="21"/>
      <c r="N12" s="21"/>
      <c r="O12" s="21"/>
      <c r="P12" s="58">
        <v>7000.0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45343.0</v>
      </c>
      <c r="C13" s="55" t="s">
        <v>1560</v>
      </c>
      <c r="D13" s="56">
        <v>81717.0</v>
      </c>
      <c r="E13" s="57" t="s">
        <v>1561</v>
      </c>
      <c r="F13" s="21"/>
      <c r="G13" s="21"/>
      <c r="H13" s="21"/>
      <c r="I13" s="22">
        <v>7300.0</v>
      </c>
      <c r="J13" s="21"/>
      <c r="K13" s="21"/>
      <c r="L13" s="21"/>
      <c r="M13" s="21"/>
      <c r="N13" s="21"/>
      <c r="O13" s="21"/>
      <c r="P13" s="58">
        <v>7300.0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45343.0</v>
      </c>
      <c r="C14" s="55" t="s">
        <v>1562</v>
      </c>
      <c r="D14" s="56">
        <v>75760.0</v>
      </c>
      <c r="E14" s="57" t="s">
        <v>1563</v>
      </c>
      <c r="F14" s="21"/>
      <c r="G14" s="21"/>
      <c r="H14" s="21"/>
      <c r="I14" s="22">
        <v>2500.0</v>
      </c>
      <c r="J14" s="21"/>
      <c r="K14" s="21"/>
      <c r="L14" s="21"/>
      <c r="M14" s="21"/>
      <c r="N14" s="21"/>
      <c r="O14" s="21"/>
      <c r="P14" s="58">
        <v>2500.0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45343.0</v>
      </c>
      <c r="C15" s="55" t="s">
        <v>1564</v>
      </c>
      <c r="D15" s="56">
        <v>36555.0</v>
      </c>
      <c r="E15" s="57" t="s">
        <v>479</v>
      </c>
      <c r="F15" s="21"/>
      <c r="G15" s="21"/>
      <c r="H15" s="21"/>
      <c r="I15" s="22">
        <v>250.0</v>
      </c>
      <c r="J15" s="21"/>
      <c r="K15" s="21"/>
      <c r="L15" s="21"/>
      <c r="M15" s="21"/>
      <c r="N15" s="21"/>
      <c r="O15" s="21"/>
      <c r="P15" s="58">
        <v>250.0</v>
      </c>
      <c r="Q15" s="24">
        <f t="shared" si="1"/>
        <v>0</v>
      </c>
      <c r="R15" s="59" t="s">
        <v>85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45343.0</v>
      </c>
      <c r="C16" s="55" t="s">
        <v>1565</v>
      </c>
      <c r="D16" s="56">
        <v>80125.0</v>
      </c>
      <c r="E16" s="57" t="s">
        <v>1566</v>
      </c>
      <c r="F16" s="21"/>
      <c r="G16" s="21"/>
      <c r="H16" s="21"/>
      <c r="I16" s="22">
        <v>5150.0</v>
      </c>
      <c r="J16" s="21"/>
      <c r="K16" s="21"/>
      <c r="L16" s="21"/>
      <c r="M16" s="21"/>
      <c r="N16" s="21"/>
      <c r="O16" s="21"/>
      <c r="P16" s="58">
        <v>5150.0</v>
      </c>
      <c r="Q16" s="24">
        <f t="shared" si="1"/>
        <v>0</v>
      </c>
      <c r="R16" s="59" t="s">
        <v>56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45343.0</v>
      </c>
      <c r="C17" s="55" t="s">
        <v>1567</v>
      </c>
      <c r="D17" s="56">
        <v>58257.0</v>
      </c>
      <c r="E17" s="57" t="s">
        <v>918</v>
      </c>
      <c r="F17" s="21"/>
      <c r="G17" s="21"/>
      <c r="H17" s="21"/>
      <c r="I17" s="21">
        <v>3000.0</v>
      </c>
      <c r="J17" s="21"/>
      <c r="K17" s="21">
        <v>5000.0</v>
      </c>
      <c r="L17" s="21"/>
      <c r="M17" s="21"/>
      <c r="N17" s="21"/>
      <c r="O17" s="21"/>
      <c r="P17" s="58">
        <v>8000.0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45343.0</v>
      </c>
      <c r="C18" s="55" t="s">
        <v>1568</v>
      </c>
      <c r="D18" s="56">
        <v>48543.0</v>
      </c>
      <c r="E18" s="57" t="s">
        <v>1569</v>
      </c>
      <c r="F18" s="21"/>
      <c r="G18" s="21"/>
      <c r="H18" s="21"/>
      <c r="I18" s="21">
        <v>2650.0</v>
      </c>
      <c r="J18" s="21"/>
      <c r="K18" s="21"/>
      <c r="L18" s="21"/>
      <c r="M18" s="21"/>
      <c r="N18" s="21"/>
      <c r="O18" s="21"/>
      <c r="P18" s="58">
        <v>2650.0</v>
      </c>
      <c r="Q18" s="24">
        <f t="shared" si="1"/>
        <v>0</v>
      </c>
      <c r="R18" s="59" t="s">
        <v>56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45343.0</v>
      </c>
      <c r="C19" s="55" t="s">
        <v>1570</v>
      </c>
      <c r="D19" s="56">
        <v>32886.0</v>
      </c>
      <c r="E19" s="57" t="s">
        <v>1571</v>
      </c>
      <c r="F19" s="21"/>
      <c r="G19" s="21"/>
      <c r="H19" s="21"/>
      <c r="I19" s="21">
        <v>1350.0</v>
      </c>
      <c r="J19" s="21"/>
      <c r="K19" s="21"/>
      <c r="L19" s="21"/>
      <c r="M19" s="21"/>
      <c r="N19" s="21"/>
      <c r="O19" s="21"/>
      <c r="P19" s="58">
        <v>1350.0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45343.0</v>
      </c>
      <c r="C20" s="55" t="s">
        <v>1572</v>
      </c>
      <c r="D20" s="56">
        <v>47074.0</v>
      </c>
      <c r="E20" s="57" t="s">
        <v>1573</v>
      </c>
      <c r="F20" s="21"/>
      <c r="G20" s="21"/>
      <c r="H20" s="21"/>
      <c r="I20" s="21"/>
      <c r="J20" s="21">
        <v>3725.0</v>
      </c>
      <c r="K20" s="21"/>
      <c r="L20" s="21"/>
      <c r="M20" s="21"/>
      <c r="N20" s="21"/>
      <c r="O20" s="21"/>
      <c r="P20" s="58">
        <v>3725.0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45343.0</v>
      </c>
      <c r="C21" s="55" t="s">
        <v>1574</v>
      </c>
      <c r="D21" s="56">
        <v>80735.0</v>
      </c>
      <c r="E21" s="57" t="s">
        <v>1575</v>
      </c>
      <c r="F21" s="21"/>
      <c r="G21" s="21"/>
      <c r="H21" s="21"/>
      <c r="I21" s="22">
        <v>2650.0</v>
      </c>
      <c r="J21" s="22"/>
      <c r="K21" s="21"/>
      <c r="L21" s="21"/>
      <c r="M21" s="21"/>
      <c r="N21" s="21"/>
      <c r="O21" s="21"/>
      <c r="P21" s="58">
        <v>2650.0</v>
      </c>
      <c r="Q21" s="24">
        <f t="shared" si="1"/>
        <v>0</v>
      </c>
      <c r="R21" s="59" t="s">
        <v>30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45343.0</v>
      </c>
      <c r="C22" s="55" t="s">
        <v>1576</v>
      </c>
      <c r="D22" s="56">
        <v>59103.0</v>
      </c>
      <c r="E22" s="57" t="s">
        <v>336</v>
      </c>
      <c r="F22" s="21"/>
      <c r="G22" s="21"/>
      <c r="H22" s="21"/>
      <c r="I22" s="22">
        <v>21690.0</v>
      </c>
      <c r="J22" s="22"/>
      <c r="K22" s="21">
        <v>10810.0</v>
      </c>
      <c r="L22" s="21"/>
      <c r="M22" s="21"/>
      <c r="N22" s="21"/>
      <c r="O22" s="21"/>
      <c r="P22" s="58">
        <v>32500.0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45343.0</v>
      </c>
      <c r="C23" s="56" t="s">
        <v>1577</v>
      </c>
      <c r="D23" s="56">
        <v>61420.0</v>
      </c>
      <c r="E23" s="57" t="s">
        <v>679</v>
      </c>
      <c r="F23" s="30"/>
      <c r="G23" s="30"/>
      <c r="H23" s="68"/>
      <c r="I23" s="68">
        <v>14500.0</v>
      </c>
      <c r="J23" s="68"/>
      <c r="K23" s="30"/>
      <c r="L23" s="30"/>
      <c r="M23" s="30"/>
      <c r="N23" s="30"/>
      <c r="O23" s="30"/>
      <c r="P23" s="61">
        <v>14500.0</v>
      </c>
      <c r="Q23" s="24">
        <f t="shared" si="1"/>
        <v>0</v>
      </c>
      <c r="R23" s="57" t="s">
        <v>85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45343.0</v>
      </c>
      <c r="C24" s="56" t="s">
        <v>1578</v>
      </c>
      <c r="D24" s="56">
        <v>50616.0</v>
      </c>
      <c r="E24" s="57" t="s">
        <v>1579</v>
      </c>
      <c r="F24" s="30"/>
      <c r="G24" s="30"/>
      <c r="H24" s="30"/>
      <c r="I24" s="68"/>
      <c r="J24" s="68">
        <v>2500.0</v>
      </c>
      <c r="K24" s="30"/>
      <c r="L24" s="30"/>
      <c r="M24" s="30"/>
      <c r="N24" s="30"/>
      <c r="O24" s="30"/>
      <c r="P24" s="61">
        <v>2500.0</v>
      </c>
      <c r="Q24" s="24">
        <f t="shared" si="1"/>
        <v>0</v>
      </c>
      <c r="R24" s="57" t="s">
        <v>66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45343.0</v>
      </c>
      <c r="C25" s="56" t="s">
        <v>1580</v>
      </c>
      <c r="D25" s="56">
        <v>21818.0</v>
      </c>
      <c r="E25" s="57" t="s">
        <v>202</v>
      </c>
      <c r="F25" s="30"/>
      <c r="G25" s="30"/>
      <c r="H25" s="30"/>
      <c r="I25" s="68">
        <v>12500.0</v>
      </c>
      <c r="J25" s="68"/>
      <c r="K25" s="30">
        <v>5000.0</v>
      </c>
      <c r="L25" s="30"/>
      <c r="M25" s="30"/>
      <c r="N25" s="30"/>
      <c r="O25" s="30"/>
      <c r="P25" s="61">
        <v>17500.0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45343.0</v>
      </c>
      <c r="C26" s="56" t="s">
        <v>1581</v>
      </c>
      <c r="D26" s="56">
        <v>46778.0</v>
      </c>
      <c r="E26" s="57" t="s">
        <v>74</v>
      </c>
      <c r="F26" s="30"/>
      <c r="G26" s="30"/>
      <c r="H26" s="30"/>
      <c r="I26" s="68"/>
      <c r="J26" s="68">
        <v>3550.0</v>
      </c>
      <c r="K26" s="30"/>
      <c r="L26" s="30"/>
      <c r="M26" s="30"/>
      <c r="N26" s="30"/>
      <c r="O26" s="30"/>
      <c r="P26" s="61">
        <v>3550.0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45343.0</v>
      </c>
      <c r="C27" s="56" t="s">
        <v>1582</v>
      </c>
      <c r="D27" s="56">
        <v>81724.0</v>
      </c>
      <c r="E27" s="57" t="s">
        <v>1583</v>
      </c>
      <c r="F27" s="30"/>
      <c r="G27" s="30"/>
      <c r="H27" s="30"/>
      <c r="I27" s="68">
        <v>300.0</v>
      </c>
      <c r="J27" s="68"/>
      <c r="K27" s="30"/>
      <c r="L27" s="30"/>
      <c r="M27" s="30"/>
      <c r="N27" s="30"/>
      <c r="O27" s="30"/>
      <c r="P27" s="61">
        <v>300.0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45343.0</v>
      </c>
      <c r="C28" s="56" t="s">
        <v>1584</v>
      </c>
      <c r="D28" s="56">
        <v>50436.0</v>
      </c>
      <c r="E28" s="57" t="s">
        <v>93</v>
      </c>
      <c r="F28" s="30"/>
      <c r="G28" s="30"/>
      <c r="H28" s="30"/>
      <c r="I28" s="68">
        <v>1450.0</v>
      </c>
      <c r="J28" s="68"/>
      <c r="K28" s="30">
        <v>1450.0</v>
      </c>
      <c r="L28" s="30"/>
      <c r="M28" s="30"/>
      <c r="N28" s="30"/>
      <c r="O28" s="30"/>
      <c r="P28" s="61">
        <v>2900.0</v>
      </c>
      <c r="Q28" s="24">
        <f t="shared" si="1"/>
        <v>0</v>
      </c>
      <c r="R28" s="57" t="s">
        <v>85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45343.0</v>
      </c>
      <c r="C29" s="56" t="s">
        <v>1585</v>
      </c>
      <c r="D29" s="56">
        <v>81724.0</v>
      </c>
      <c r="E29" s="57" t="s">
        <v>1583</v>
      </c>
      <c r="F29" s="30"/>
      <c r="G29" s="30"/>
      <c r="H29" s="30"/>
      <c r="I29" s="68"/>
      <c r="J29" s="68">
        <v>7000.0</v>
      </c>
      <c r="K29" s="30"/>
      <c r="L29" s="30"/>
      <c r="M29" s="30"/>
      <c r="N29" s="30"/>
      <c r="O29" s="30"/>
      <c r="P29" s="61">
        <v>7000.0</v>
      </c>
      <c r="Q29" s="24">
        <f t="shared" si="1"/>
        <v>0</v>
      </c>
      <c r="R29" s="57" t="s">
        <v>85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45343.0</v>
      </c>
      <c r="C30" s="56" t="s">
        <v>1586</v>
      </c>
      <c r="D30" s="56">
        <v>22332.0</v>
      </c>
      <c r="E30" s="57" t="s">
        <v>404</v>
      </c>
      <c r="F30" s="30"/>
      <c r="G30" s="30"/>
      <c r="H30" s="30"/>
      <c r="I30" s="68">
        <v>476.0</v>
      </c>
      <c r="J30" s="68"/>
      <c r="K30" s="30">
        <v>1124.0</v>
      </c>
      <c r="L30" s="30"/>
      <c r="M30" s="30"/>
      <c r="N30" s="30"/>
      <c r="O30" s="30"/>
      <c r="P30" s="61">
        <v>1600.0</v>
      </c>
      <c r="Q30" s="24">
        <f t="shared" si="1"/>
        <v>0</v>
      </c>
      <c r="R30" s="57" t="s">
        <v>85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45343.0</v>
      </c>
      <c r="C31" s="56" t="s">
        <v>1587</v>
      </c>
      <c r="D31" s="56">
        <v>66838.0</v>
      </c>
      <c r="E31" s="57" t="s">
        <v>687</v>
      </c>
      <c r="F31" s="30"/>
      <c r="G31" s="30"/>
      <c r="H31" s="30">
        <v>65000.0</v>
      </c>
      <c r="I31" s="68"/>
      <c r="J31" s="68"/>
      <c r="K31" s="30"/>
      <c r="L31" s="30"/>
      <c r="M31" s="30"/>
      <c r="N31" s="30"/>
      <c r="O31" s="30"/>
      <c r="P31" s="61">
        <v>65000.0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45343.0</v>
      </c>
      <c r="C32" s="56" t="s">
        <v>1588</v>
      </c>
      <c r="D32" s="56">
        <v>72839.0</v>
      </c>
      <c r="E32" s="57" t="s">
        <v>1431</v>
      </c>
      <c r="F32" s="30"/>
      <c r="G32" s="30"/>
      <c r="H32" s="30">
        <v>25000.0</v>
      </c>
      <c r="I32" s="68"/>
      <c r="J32" s="68"/>
      <c r="K32" s="30"/>
      <c r="L32" s="30"/>
      <c r="M32" s="30"/>
      <c r="N32" s="30"/>
      <c r="O32" s="30"/>
      <c r="P32" s="61">
        <v>25000.0</v>
      </c>
      <c r="Q32" s="24">
        <f t="shared" si="1"/>
        <v>0</v>
      </c>
      <c r="R32" s="57" t="s">
        <v>30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45343.0</v>
      </c>
      <c r="C33" s="56" t="s">
        <v>1589</v>
      </c>
      <c r="D33" s="56">
        <v>31927.0</v>
      </c>
      <c r="E33" s="57" t="s">
        <v>121</v>
      </c>
      <c r="F33" s="30"/>
      <c r="G33" s="30"/>
      <c r="H33" s="30"/>
      <c r="I33" s="68">
        <v>3125.0</v>
      </c>
      <c r="J33" s="68"/>
      <c r="K33" s="30"/>
      <c r="L33" s="30"/>
      <c r="M33" s="30"/>
      <c r="N33" s="30"/>
      <c r="O33" s="30"/>
      <c r="P33" s="61">
        <v>3125.0</v>
      </c>
      <c r="Q33" s="24">
        <f t="shared" si="1"/>
        <v>0</v>
      </c>
      <c r="R33" s="57" t="s">
        <v>66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45343.0</v>
      </c>
      <c r="C34" s="56" t="s">
        <v>1590</v>
      </c>
      <c r="D34" s="56">
        <v>43955.0</v>
      </c>
      <c r="E34" s="57" t="s">
        <v>759</v>
      </c>
      <c r="F34" s="30"/>
      <c r="G34" s="30"/>
      <c r="H34" s="30"/>
      <c r="I34" s="68">
        <v>5950.0</v>
      </c>
      <c r="J34" s="68"/>
      <c r="K34" s="30"/>
      <c r="L34" s="30"/>
      <c r="M34" s="30"/>
      <c r="N34" s="30"/>
      <c r="O34" s="30"/>
      <c r="P34" s="61">
        <v>5950.0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45343.0</v>
      </c>
      <c r="C35" s="56" t="s">
        <v>1591</v>
      </c>
      <c r="D35" s="56">
        <v>81732.0</v>
      </c>
      <c r="E35" s="57" t="s">
        <v>1592</v>
      </c>
      <c r="F35" s="30"/>
      <c r="G35" s="30"/>
      <c r="H35" s="30"/>
      <c r="I35" s="68">
        <v>300.0</v>
      </c>
      <c r="J35" s="68"/>
      <c r="K35" s="30"/>
      <c r="L35" s="30"/>
      <c r="M35" s="30"/>
      <c r="N35" s="30"/>
      <c r="O35" s="30"/>
      <c r="P35" s="61">
        <v>300.0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45343.0</v>
      </c>
      <c r="C36" s="56" t="s">
        <v>1593</v>
      </c>
      <c r="D36" s="56">
        <v>77368.0</v>
      </c>
      <c r="E36" s="57" t="s">
        <v>816</v>
      </c>
      <c r="F36" s="30"/>
      <c r="G36" s="30"/>
      <c r="H36" s="30"/>
      <c r="I36" s="68">
        <v>2600.0</v>
      </c>
      <c r="J36" s="68"/>
      <c r="K36" s="30"/>
      <c r="L36" s="30"/>
      <c r="M36" s="30"/>
      <c r="N36" s="30"/>
      <c r="O36" s="30"/>
      <c r="P36" s="61">
        <v>2600.0</v>
      </c>
      <c r="Q36" s="24">
        <f t="shared" si="1"/>
        <v>0</v>
      </c>
      <c r="R36" s="57" t="s">
        <v>85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45342.0</v>
      </c>
      <c r="C37" s="56" t="s">
        <v>1594</v>
      </c>
      <c r="D37" s="56">
        <v>21828.0</v>
      </c>
      <c r="E37" s="57" t="s">
        <v>217</v>
      </c>
      <c r="F37" s="30"/>
      <c r="G37" s="30"/>
      <c r="H37" s="30"/>
      <c r="I37" s="68"/>
      <c r="J37" s="68"/>
      <c r="K37" s="30"/>
      <c r="L37" s="30"/>
      <c r="M37" s="30">
        <v>10000.0</v>
      </c>
      <c r="N37" s="30"/>
      <c r="O37" s="30"/>
      <c r="P37" s="61">
        <v>10000.0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45342.0</v>
      </c>
      <c r="C38" s="56" t="s">
        <v>1595</v>
      </c>
      <c r="D38" s="56">
        <v>81710.0</v>
      </c>
      <c r="E38" s="57" t="s">
        <v>1596</v>
      </c>
      <c r="F38" s="30"/>
      <c r="G38" s="30"/>
      <c r="H38" s="30">
        <v>7000.0</v>
      </c>
      <c r="I38" s="68"/>
      <c r="J38" s="68"/>
      <c r="K38" s="30"/>
      <c r="L38" s="30"/>
      <c r="M38" s="30"/>
      <c r="N38" s="30"/>
      <c r="O38" s="30"/>
      <c r="P38" s="61">
        <v>7000.0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45342.0</v>
      </c>
      <c r="C39" s="56" t="s">
        <v>1597</v>
      </c>
      <c r="D39" s="56">
        <v>81712.0</v>
      </c>
      <c r="E39" s="57" t="s">
        <v>1598</v>
      </c>
      <c r="F39" s="30"/>
      <c r="G39" s="30"/>
      <c r="H39" s="30">
        <v>4500.0</v>
      </c>
      <c r="I39" s="68"/>
      <c r="J39" s="68"/>
      <c r="K39" s="30"/>
      <c r="L39" s="30"/>
      <c r="M39" s="30"/>
      <c r="N39" s="30"/>
      <c r="O39" s="30"/>
      <c r="P39" s="61">
        <v>4500.0</v>
      </c>
      <c r="Q39" s="24">
        <f t="shared" si="1"/>
        <v>0</v>
      </c>
      <c r="R39" s="57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45343.0</v>
      </c>
      <c r="C40" s="56" t="s">
        <v>1599</v>
      </c>
      <c r="D40" s="56">
        <v>50413.0</v>
      </c>
      <c r="E40" s="57" t="s">
        <v>1600</v>
      </c>
      <c r="F40" s="30"/>
      <c r="G40" s="30"/>
      <c r="H40" s="30"/>
      <c r="I40" s="68"/>
      <c r="J40" s="68"/>
      <c r="K40" s="30">
        <v>625.0</v>
      </c>
      <c r="L40" s="30"/>
      <c r="M40" s="30"/>
      <c r="N40" s="30"/>
      <c r="O40" s="30"/>
      <c r="P40" s="61">
        <v>625.0</v>
      </c>
      <c r="Q40" s="24">
        <f t="shared" si="1"/>
        <v>0</v>
      </c>
      <c r="R40" s="57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 t="s">
        <v>242</v>
      </c>
      <c r="B41" s="63"/>
      <c r="C41" s="64"/>
      <c r="D41" s="64"/>
      <c r="E41" s="65"/>
      <c r="F41" s="30"/>
      <c r="G41" s="30"/>
      <c r="H41" s="30"/>
      <c r="I41" s="68"/>
      <c r="J41" s="68"/>
      <c r="K41" s="30"/>
      <c r="L41" s="30"/>
      <c r="M41" s="30"/>
      <c r="N41" s="30"/>
      <c r="O41" s="30"/>
      <c r="P41" s="66"/>
      <c r="Q41" s="24">
        <f t="shared" si="1"/>
        <v>0</v>
      </c>
      <c r="R41" s="57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/>
      <c r="B42" s="27"/>
      <c r="C42" s="28"/>
      <c r="D42" s="29"/>
      <c r="E42" s="28"/>
      <c r="F42" s="30">
        <f t="shared" ref="F42:Q42" si="2">SUM(F5:F41)</f>
        <v>0</v>
      </c>
      <c r="G42" s="30">
        <f t="shared" si="2"/>
        <v>0</v>
      </c>
      <c r="H42" s="30">
        <f t="shared" si="2"/>
        <v>108500</v>
      </c>
      <c r="I42" s="30">
        <f t="shared" si="2"/>
        <v>99341</v>
      </c>
      <c r="J42" s="30">
        <f t="shared" si="2"/>
        <v>32325</v>
      </c>
      <c r="K42" s="30">
        <f t="shared" si="2"/>
        <v>24009</v>
      </c>
      <c r="L42" s="30">
        <f t="shared" si="2"/>
        <v>0</v>
      </c>
      <c r="M42" s="30">
        <f t="shared" si="2"/>
        <v>10000</v>
      </c>
      <c r="N42" s="30">
        <f t="shared" si="2"/>
        <v>0</v>
      </c>
      <c r="O42" s="30">
        <f t="shared" si="2"/>
        <v>0</v>
      </c>
      <c r="P42" s="68">
        <f t="shared" si="2"/>
        <v>274175</v>
      </c>
      <c r="Q42" s="24">
        <f t="shared" si="2"/>
        <v>0</v>
      </c>
      <c r="R42" s="67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36.0" customHeight="1">
      <c r="A43" s="35"/>
      <c r="B43" s="35"/>
      <c r="C43" s="35"/>
      <c r="D43" s="35"/>
      <c r="E43" s="35"/>
      <c r="F43" s="36">
        <f>F42+G42+H42+I42+J42+K42+L42+M42+N42+O42</f>
        <v>274175</v>
      </c>
      <c r="P43" s="36"/>
      <c r="Q43" s="36"/>
      <c r="R43" s="35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37" t="s">
        <v>242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38" t="s">
        <v>243</v>
      </c>
      <c r="F47" s="39" t="s">
        <v>244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245</v>
      </c>
      <c r="F48" s="39" t="s">
        <v>244</v>
      </c>
      <c r="G48" s="4"/>
      <c r="H48" s="4"/>
      <c r="I48" s="4"/>
      <c r="J48" s="4"/>
      <c r="K48" s="4"/>
      <c r="L48" s="4"/>
      <c r="M48" s="4"/>
      <c r="N48" s="4"/>
      <c r="O48" s="4" t="s">
        <v>242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38" t="s">
        <v>246</v>
      </c>
      <c r="F49" s="39" t="s">
        <v>244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38" t="s">
        <v>247</v>
      </c>
      <c r="F50" s="39" t="s">
        <v>244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38" t="s">
        <v>248</v>
      </c>
      <c r="F51" s="39" t="s">
        <v>244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7.0" customHeight="1">
      <c r="A52" s="4"/>
      <c r="B52" s="4"/>
      <c r="C52" s="4"/>
      <c r="D52" s="4"/>
      <c r="E52" s="38" t="s">
        <v>1601</v>
      </c>
      <c r="F52" s="39" t="s">
        <v>244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0.0" customHeight="1">
      <c r="A53" s="4"/>
      <c r="B53" s="4"/>
      <c r="C53" s="4"/>
      <c r="D53" s="4"/>
      <c r="E53" s="40" t="s">
        <v>250</v>
      </c>
      <c r="F53" s="39" t="s">
        <v>880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38" t="s">
        <v>252</v>
      </c>
      <c r="F54" s="39" t="s">
        <v>880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 t="s">
        <v>242</v>
      </c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 t="s">
        <v>253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3:O4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4.1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1602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45343.0</v>
      </c>
      <c r="C5" s="55" t="s">
        <v>1603</v>
      </c>
      <c r="D5" s="56">
        <v>59244.0</v>
      </c>
      <c r="E5" s="57" t="s">
        <v>388</v>
      </c>
      <c r="F5" s="21"/>
      <c r="G5" s="21"/>
      <c r="H5" s="21"/>
      <c r="I5" s="21">
        <v>17000.0</v>
      </c>
      <c r="J5" s="22"/>
      <c r="K5" s="21"/>
      <c r="L5" s="21"/>
      <c r="M5" s="21"/>
      <c r="N5" s="21"/>
      <c r="O5" s="21"/>
      <c r="P5" s="58">
        <v>17000.0</v>
      </c>
      <c r="Q5" s="24">
        <f t="shared" ref="Q5:Q44" si="1">F5+G5+H5+I5+J5+K5+L5+M5+N5+O5-P5</f>
        <v>0</v>
      </c>
      <c r="R5" s="59" t="s">
        <v>24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45343.0</v>
      </c>
      <c r="C6" s="55" t="s">
        <v>1604</v>
      </c>
      <c r="D6" s="56">
        <v>51697.0</v>
      </c>
      <c r="E6" s="57" t="s">
        <v>441</v>
      </c>
      <c r="F6" s="21"/>
      <c r="G6" s="21"/>
      <c r="H6" s="21"/>
      <c r="I6" s="22">
        <v>12500.0</v>
      </c>
      <c r="J6" s="21"/>
      <c r="K6" s="21"/>
      <c r="L6" s="21"/>
      <c r="M6" s="21"/>
      <c r="N6" s="21"/>
      <c r="O6" s="21"/>
      <c r="P6" s="58">
        <v>12500.0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45344.0</v>
      </c>
      <c r="C7" s="55" t="s">
        <v>1605</v>
      </c>
      <c r="D7" s="56">
        <v>57499.0</v>
      </c>
      <c r="E7" s="57" t="s">
        <v>824</v>
      </c>
      <c r="F7" s="21"/>
      <c r="G7" s="21"/>
      <c r="H7" s="21"/>
      <c r="I7" s="22">
        <v>1250.0</v>
      </c>
      <c r="J7" s="21"/>
      <c r="K7" s="21"/>
      <c r="L7" s="21"/>
      <c r="M7" s="21"/>
      <c r="N7" s="21"/>
      <c r="O7" s="21"/>
      <c r="P7" s="58">
        <v>1250.0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45344.0</v>
      </c>
      <c r="C8" s="55" t="s">
        <v>1606</v>
      </c>
      <c r="D8" s="56">
        <v>22332.0</v>
      </c>
      <c r="E8" s="57" t="s">
        <v>404</v>
      </c>
      <c r="F8" s="21"/>
      <c r="G8" s="21"/>
      <c r="H8" s="21"/>
      <c r="I8" s="21"/>
      <c r="J8" s="21"/>
      <c r="K8" s="21"/>
      <c r="L8" s="21"/>
      <c r="M8" s="21">
        <v>10000.0</v>
      </c>
      <c r="N8" s="21"/>
      <c r="O8" s="21"/>
      <c r="P8" s="58">
        <v>10000.0</v>
      </c>
      <c r="Q8" s="24">
        <f t="shared" si="1"/>
        <v>0</v>
      </c>
      <c r="R8" s="59" t="s">
        <v>85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45344.0</v>
      </c>
      <c r="C9" s="55" t="s">
        <v>1607</v>
      </c>
      <c r="D9" s="56">
        <v>81738.0</v>
      </c>
      <c r="E9" s="57" t="s">
        <v>1608</v>
      </c>
      <c r="F9" s="21"/>
      <c r="G9" s="21"/>
      <c r="H9" s="21"/>
      <c r="I9" s="21">
        <v>7000.0</v>
      </c>
      <c r="J9" s="21"/>
      <c r="K9" s="21"/>
      <c r="L9" s="21"/>
      <c r="M9" s="21"/>
      <c r="N9" s="21"/>
      <c r="O9" s="21"/>
      <c r="P9" s="58">
        <v>7000.0</v>
      </c>
      <c r="Q9" s="24">
        <f t="shared" si="1"/>
        <v>0</v>
      </c>
      <c r="R9" s="59" t="s">
        <v>56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45344.0</v>
      </c>
      <c r="C10" s="55" t="s">
        <v>1609</v>
      </c>
      <c r="D10" s="56">
        <v>29621.0</v>
      </c>
      <c r="E10" s="57" t="s">
        <v>655</v>
      </c>
      <c r="F10" s="21"/>
      <c r="G10" s="21"/>
      <c r="H10" s="21"/>
      <c r="I10" s="21"/>
      <c r="J10" s="21">
        <v>1600.0</v>
      </c>
      <c r="K10" s="21"/>
      <c r="L10" s="21"/>
      <c r="M10" s="21"/>
      <c r="N10" s="21"/>
      <c r="O10" s="21"/>
      <c r="P10" s="58">
        <v>1600.0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45344.0</v>
      </c>
      <c r="C11" s="55" t="s">
        <v>1610</v>
      </c>
      <c r="D11" s="56">
        <v>14304.0</v>
      </c>
      <c r="E11" s="57" t="s">
        <v>1611</v>
      </c>
      <c r="F11" s="21"/>
      <c r="G11" s="21"/>
      <c r="H11" s="21"/>
      <c r="I11" s="22">
        <v>2650.0</v>
      </c>
      <c r="J11" s="21"/>
      <c r="K11" s="21"/>
      <c r="L11" s="21"/>
      <c r="M11" s="21"/>
      <c r="N11" s="21"/>
      <c r="O11" s="21"/>
      <c r="P11" s="58">
        <v>2650.0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45344.0</v>
      </c>
      <c r="C12" s="55" t="s">
        <v>1612</v>
      </c>
      <c r="D12" s="56">
        <v>54211.0</v>
      </c>
      <c r="E12" s="57" t="s">
        <v>32</v>
      </c>
      <c r="F12" s="21"/>
      <c r="G12" s="21"/>
      <c r="H12" s="21"/>
      <c r="I12" s="22">
        <v>15000.0</v>
      </c>
      <c r="J12" s="21"/>
      <c r="K12" s="21"/>
      <c r="L12" s="21"/>
      <c r="M12" s="21"/>
      <c r="N12" s="21"/>
      <c r="O12" s="21"/>
      <c r="P12" s="58">
        <v>15000.0</v>
      </c>
      <c r="Q12" s="24">
        <f t="shared" si="1"/>
        <v>0</v>
      </c>
      <c r="R12" s="59" t="s">
        <v>66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45344.0</v>
      </c>
      <c r="C13" s="55" t="s">
        <v>1613</v>
      </c>
      <c r="D13" s="56">
        <v>71126.0</v>
      </c>
      <c r="E13" s="57" t="s">
        <v>969</v>
      </c>
      <c r="F13" s="21"/>
      <c r="G13" s="21"/>
      <c r="H13" s="21"/>
      <c r="I13" s="22">
        <v>1450.0</v>
      </c>
      <c r="J13" s="21"/>
      <c r="K13" s="21"/>
      <c r="L13" s="21"/>
      <c r="M13" s="21"/>
      <c r="N13" s="21"/>
      <c r="O13" s="21"/>
      <c r="P13" s="58">
        <v>1450.0</v>
      </c>
      <c r="Q13" s="24">
        <f t="shared" si="1"/>
        <v>0</v>
      </c>
      <c r="R13" s="59" t="s">
        <v>56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45344.0</v>
      </c>
      <c r="C14" s="55" t="s">
        <v>1614</v>
      </c>
      <c r="D14" s="56">
        <v>44149.0</v>
      </c>
      <c r="E14" s="57" t="s">
        <v>467</v>
      </c>
      <c r="F14" s="21"/>
      <c r="G14" s="21"/>
      <c r="H14" s="21"/>
      <c r="I14" s="22"/>
      <c r="J14" s="21"/>
      <c r="K14" s="21"/>
      <c r="L14" s="21"/>
      <c r="M14" s="21">
        <v>9000.0</v>
      </c>
      <c r="N14" s="21"/>
      <c r="O14" s="21"/>
      <c r="P14" s="58">
        <v>9000.0</v>
      </c>
      <c r="Q14" s="24">
        <f t="shared" si="1"/>
        <v>0</v>
      </c>
      <c r="R14" s="59" t="s">
        <v>30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45344.0</v>
      </c>
      <c r="C15" s="55" t="s">
        <v>1615</v>
      </c>
      <c r="D15" s="56">
        <v>45096.0</v>
      </c>
      <c r="E15" s="57" t="s">
        <v>313</v>
      </c>
      <c r="F15" s="21"/>
      <c r="G15" s="21"/>
      <c r="H15" s="21"/>
      <c r="I15" s="22">
        <v>10000.0</v>
      </c>
      <c r="J15" s="21"/>
      <c r="K15" s="21"/>
      <c r="L15" s="21"/>
      <c r="M15" s="21"/>
      <c r="N15" s="21"/>
      <c r="O15" s="21"/>
      <c r="P15" s="58">
        <v>10000.0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45344.0</v>
      </c>
      <c r="C16" s="55" t="s">
        <v>1616</v>
      </c>
      <c r="D16" s="56">
        <v>25541.0</v>
      </c>
      <c r="E16" s="57" t="s">
        <v>63</v>
      </c>
      <c r="F16" s="21"/>
      <c r="G16" s="21"/>
      <c r="H16" s="21">
        <v>10500.0</v>
      </c>
      <c r="I16" s="22"/>
      <c r="J16" s="21"/>
      <c r="K16" s="21"/>
      <c r="L16" s="21"/>
      <c r="M16" s="21"/>
      <c r="N16" s="21"/>
      <c r="O16" s="21"/>
      <c r="P16" s="58">
        <v>10500.0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45344.0</v>
      </c>
      <c r="C17" s="55" t="s">
        <v>1617</v>
      </c>
      <c r="D17" s="56">
        <v>65232.0</v>
      </c>
      <c r="E17" s="57" t="s">
        <v>1618</v>
      </c>
      <c r="F17" s="21"/>
      <c r="G17" s="21"/>
      <c r="H17" s="21"/>
      <c r="I17" s="21">
        <v>7500.0</v>
      </c>
      <c r="J17" s="21"/>
      <c r="K17" s="21"/>
      <c r="L17" s="21"/>
      <c r="M17" s="21"/>
      <c r="N17" s="21"/>
      <c r="O17" s="21"/>
      <c r="P17" s="58">
        <v>7500.0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45344.0</v>
      </c>
      <c r="C18" s="55" t="s">
        <v>1619</v>
      </c>
      <c r="D18" s="56">
        <v>64457.0</v>
      </c>
      <c r="E18" s="57" t="s">
        <v>602</v>
      </c>
      <c r="F18" s="21"/>
      <c r="G18" s="21"/>
      <c r="H18" s="21"/>
      <c r="I18" s="21">
        <v>2500.0</v>
      </c>
      <c r="J18" s="21"/>
      <c r="K18" s="21"/>
      <c r="L18" s="21"/>
      <c r="M18" s="21"/>
      <c r="N18" s="21"/>
      <c r="O18" s="21"/>
      <c r="P18" s="58">
        <v>2500.0</v>
      </c>
      <c r="Q18" s="24">
        <f t="shared" si="1"/>
        <v>0</v>
      </c>
      <c r="R18" s="59" t="s">
        <v>85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45344.0</v>
      </c>
      <c r="C19" s="55" t="s">
        <v>1620</v>
      </c>
      <c r="D19" s="56">
        <v>81740.0</v>
      </c>
      <c r="E19" s="57" t="s">
        <v>1621</v>
      </c>
      <c r="F19" s="21"/>
      <c r="G19" s="21"/>
      <c r="H19" s="21"/>
      <c r="I19" s="21"/>
      <c r="J19" s="21">
        <v>300.0</v>
      </c>
      <c r="K19" s="21"/>
      <c r="L19" s="21"/>
      <c r="M19" s="21"/>
      <c r="N19" s="21"/>
      <c r="O19" s="21"/>
      <c r="P19" s="58">
        <v>300.0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45344.0</v>
      </c>
      <c r="C20" s="55" t="s">
        <v>1622</v>
      </c>
      <c r="D20" s="56">
        <v>50436.0</v>
      </c>
      <c r="E20" s="57" t="s">
        <v>93</v>
      </c>
      <c r="F20" s="21"/>
      <c r="G20" s="21"/>
      <c r="H20" s="21"/>
      <c r="I20" s="21">
        <v>14950.0</v>
      </c>
      <c r="J20" s="21"/>
      <c r="K20" s="21"/>
      <c r="L20" s="21"/>
      <c r="M20" s="21"/>
      <c r="N20" s="21"/>
      <c r="O20" s="21"/>
      <c r="P20" s="58">
        <v>14950.0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45344.0</v>
      </c>
      <c r="C21" s="55" t="s">
        <v>1623</v>
      </c>
      <c r="D21" s="56">
        <v>80378.0</v>
      </c>
      <c r="E21" s="57" t="s">
        <v>1624</v>
      </c>
      <c r="F21" s="21"/>
      <c r="G21" s="21"/>
      <c r="H21" s="21"/>
      <c r="I21" s="22"/>
      <c r="J21" s="22">
        <v>10000.0</v>
      </c>
      <c r="K21" s="21"/>
      <c r="L21" s="21"/>
      <c r="M21" s="21"/>
      <c r="N21" s="21"/>
      <c r="O21" s="21"/>
      <c r="P21" s="58">
        <v>10000.0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45344.0</v>
      </c>
      <c r="C22" s="55" t="s">
        <v>1625</v>
      </c>
      <c r="D22" s="56">
        <v>26831.0</v>
      </c>
      <c r="E22" s="57" t="s">
        <v>684</v>
      </c>
      <c r="F22" s="21"/>
      <c r="G22" s="21"/>
      <c r="H22" s="21"/>
      <c r="I22" s="22"/>
      <c r="J22" s="22">
        <v>2550.0</v>
      </c>
      <c r="K22" s="21"/>
      <c r="L22" s="21"/>
      <c r="M22" s="21"/>
      <c r="N22" s="21"/>
      <c r="O22" s="21"/>
      <c r="P22" s="58">
        <v>2550.0</v>
      </c>
      <c r="Q22" s="24">
        <f t="shared" si="1"/>
        <v>0</v>
      </c>
      <c r="R22" s="59" t="s">
        <v>66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45344.0</v>
      </c>
      <c r="C23" s="56" t="s">
        <v>1626</v>
      </c>
      <c r="D23" s="56">
        <v>77501.0</v>
      </c>
      <c r="E23" s="57" t="s">
        <v>1117</v>
      </c>
      <c r="F23" s="30"/>
      <c r="G23" s="30"/>
      <c r="H23" s="68"/>
      <c r="I23" s="68"/>
      <c r="J23" s="68">
        <v>2650.0</v>
      </c>
      <c r="K23" s="30"/>
      <c r="L23" s="30"/>
      <c r="M23" s="30"/>
      <c r="N23" s="30"/>
      <c r="O23" s="30"/>
      <c r="P23" s="61">
        <v>2650.0</v>
      </c>
      <c r="Q23" s="24">
        <f t="shared" si="1"/>
        <v>0</v>
      </c>
      <c r="R23" s="57" t="s">
        <v>30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45344.0</v>
      </c>
      <c r="C24" s="56" t="s">
        <v>1627</v>
      </c>
      <c r="D24" s="56">
        <v>81739.0</v>
      </c>
      <c r="E24" s="57" t="s">
        <v>1628</v>
      </c>
      <c r="F24" s="30"/>
      <c r="G24" s="30"/>
      <c r="H24" s="30"/>
      <c r="I24" s="68">
        <v>8250.0</v>
      </c>
      <c r="J24" s="68"/>
      <c r="K24" s="30"/>
      <c r="L24" s="30"/>
      <c r="M24" s="30"/>
      <c r="N24" s="30"/>
      <c r="O24" s="30"/>
      <c r="P24" s="61">
        <v>8250.0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45344.0</v>
      </c>
      <c r="C25" s="56" t="s">
        <v>1629</v>
      </c>
      <c r="D25" s="56">
        <v>52406.0</v>
      </c>
      <c r="E25" s="57" t="s">
        <v>1630</v>
      </c>
      <c r="F25" s="30"/>
      <c r="G25" s="30"/>
      <c r="H25" s="30"/>
      <c r="I25" s="68"/>
      <c r="J25" s="68"/>
      <c r="K25" s="30"/>
      <c r="L25" s="30"/>
      <c r="M25" s="30">
        <v>5150.0</v>
      </c>
      <c r="N25" s="30"/>
      <c r="O25" s="30"/>
      <c r="P25" s="61">
        <v>5150.0</v>
      </c>
      <c r="Q25" s="24">
        <f t="shared" si="1"/>
        <v>0</v>
      </c>
      <c r="R25" s="57" t="s">
        <v>66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45344.0</v>
      </c>
      <c r="C26" s="56" t="s">
        <v>1631</v>
      </c>
      <c r="D26" s="56">
        <v>48910.0</v>
      </c>
      <c r="E26" s="57" t="s">
        <v>175</v>
      </c>
      <c r="F26" s="30"/>
      <c r="G26" s="30"/>
      <c r="H26" s="30"/>
      <c r="I26" s="68"/>
      <c r="J26" s="68">
        <v>10290.0</v>
      </c>
      <c r="K26" s="30"/>
      <c r="L26" s="30"/>
      <c r="M26" s="30"/>
      <c r="N26" s="30"/>
      <c r="O26" s="30"/>
      <c r="P26" s="61">
        <v>10290.0</v>
      </c>
      <c r="Q26" s="24">
        <f t="shared" si="1"/>
        <v>0</v>
      </c>
      <c r="R26" s="57" t="s">
        <v>66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45344.0</v>
      </c>
      <c r="C27" s="56" t="s">
        <v>1632</v>
      </c>
      <c r="D27" s="56">
        <v>31927.0</v>
      </c>
      <c r="E27" s="57" t="s">
        <v>121</v>
      </c>
      <c r="F27" s="30"/>
      <c r="G27" s="30"/>
      <c r="H27" s="30"/>
      <c r="I27" s="68">
        <v>9250.0</v>
      </c>
      <c r="J27" s="68"/>
      <c r="K27" s="30"/>
      <c r="L27" s="30"/>
      <c r="M27" s="30"/>
      <c r="N27" s="30"/>
      <c r="O27" s="30"/>
      <c r="P27" s="61">
        <v>9250.0</v>
      </c>
      <c r="Q27" s="24">
        <f t="shared" si="1"/>
        <v>0</v>
      </c>
      <c r="R27" s="57" t="s">
        <v>85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45344.0</v>
      </c>
      <c r="C28" s="56" t="s">
        <v>1633</v>
      </c>
      <c r="D28" s="56">
        <v>81742.0</v>
      </c>
      <c r="E28" s="57" t="s">
        <v>1634</v>
      </c>
      <c r="F28" s="30"/>
      <c r="G28" s="30"/>
      <c r="H28" s="30"/>
      <c r="I28" s="68">
        <v>4500.0</v>
      </c>
      <c r="J28" s="68"/>
      <c r="K28" s="30"/>
      <c r="L28" s="30"/>
      <c r="M28" s="30"/>
      <c r="N28" s="30"/>
      <c r="O28" s="30"/>
      <c r="P28" s="61">
        <v>4500.0</v>
      </c>
      <c r="Q28" s="24">
        <f t="shared" si="1"/>
        <v>0</v>
      </c>
      <c r="R28" s="57" t="s">
        <v>56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45344.0</v>
      </c>
      <c r="C29" s="56" t="s">
        <v>1635</v>
      </c>
      <c r="D29" s="56">
        <v>81743.0</v>
      </c>
      <c r="E29" s="57" t="s">
        <v>1636</v>
      </c>
      <c r="F29" s="30"/>
      <c r="G29" s="30"/>
      <c r="H29" s="30"/>
      <c r="I29" s="68">
        <v>4500.0</v>
      </c>
      <c r="J29" s="68"/>
      <c r="K29" s="30"/>
      <c r="L29" s="30"/>
      <c r="M29" s="30"/>
      <c r="N29" s="30"/>
      <c r="O29" s="30"/>
      <c r="P29" s="61">
        <v>4500.0</v>
      </c>
      <c r="Q29" s="24">
        <f t="shared" si="1"/>
        <v>0</v>
      </c>
      <c r="R29" s="57" t="s">
        <v>56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45344.0</v>
      </c>
      <c r="C30" s="56" t="s">
        <v>1637</v>
      </c>
      <c r="D30" s="56">
        <v>43955.0</v>
      </c>
      <c r="E30" s="57" t="s">
        <v>759</v>
      </c>
      <c r="F30" s="30"/>
      <c r="G30" s="30"/>
      <c r="H30" s="30"/>
      <c r="I30" s="68">
        <v>200.0</v>
      </c>
      <c r="J30" s="68"/>
      <c r="K30" s="30"/>
      <c r="L30" s="30"/>
      <c r="M30" s="30"/>
      <c r="N30" s="30"/>
      <c r="O30" s="30"/>
      <c r="P30" s="61">
        <v>200.0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45344.0</v>
      </c>
      <c r="C31" s="56" t="s">
        <v>1638</v>
      </c>
      <c r="D31" s="56">
        <v>48631.0</v>
      </c>
      <c r="E31" s="57" t="s">
        <v>189</v>
      </c>
      <c r="F31" s="30"/>
      <c r="G31" s="30"/>
      <c r="H31" s="30"/>
      <c r="I31" s="68">
        <v>7500.0</v>
      </c>
      <c r="J31" s="68"/>
      <c r="K31" s="30">
        <v>7500.0</v>
      </c>
      <c r="L31" s="30"/>
      <c r="M31" s="30"/>
      <c r="N31" s="30"/>
      <c r="O31" s="30"/>
      <c r="P31" s="61">
        <v>15000.0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45344.0</v>
      </c>
      <c r="C32" s="56" t="s">
        <v>1639</v>
      </c>
      <c r="D32" s="56">
        <v>80375.0</v>
      </c>
      <c r="E32" s="57" t="s">
        <v>1258</v>
      </c>
      <c r="F32" s="30"/>
      <c r="G32" s="30"/>
      <c r="H32" s="30"/>
      <c r="I32" s="68">
        <v>1200.0</v>
      </c>
      <c r="J32" s="68"/>
      <c r="K32" s="30"/>
      <c r="L32" s="30"/>
      <c r="M32" s="30"/>
      <c r="N32" s="30"/>
      <c r="O32" s="30"/>
      <c r="P32" s="61">
        <v>1200.0</v>
      </c>
      <c r="Q32" s="24">
        <f t="shared" si="1"/>
        <v>0</v>
      </c>
      <c r="R32" s="57" t="s">
        <v>85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45344.0</v>
      </c>
      <c r="C33" s="56" t="s">
        <v>1640</v>
      </c>
      <c r="D33" s="56">
        <v>81744.0</v>
      </c>
      <c r="E33" s="57" t="s">
        <v>1641</v>
      </c>
      <c r="F33" s="30"/>
      <c r="G33" s="30"/>
      <c r="H33" s="30"/>
      <c r="I33" s="68">
        <v>300.0</v>
      </c>
      <c r="J33" s="68"/>
      <c r="K33" s="30"/>
      <c r="L33" s="30"/>
      <c r="M33" s="30"/>
      <c r="N33" s="30"/>
      <c r="O33" s="30"/>
      <c r="P33" s="61">
        <v>300.0</v>
      </c>
      <c r="Q33" s="24">
        <f t="shared" si="1"/>
        <v>0</v>
      </c>
      <c r="R33" s="57" t="s">
        <v>66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45344.0</v>
      </c>
      <c r="C34" s="56" t="s">
        <v>1642</v>
      </c>
      <c r="D34" s="56">
        <v>81746.0</v>
      </c>
      <c r="E34" s="57" t="s">
        <v>1643</v>
      </c>
      <c r="F34" s="30"/>
      <c r="G34" s="30"/>
      <c r="H34" s="30"/>
      <c r="I34" s="68"/>
      <c r="J34" s="68">
        <v>300.0</v>
      </c>
      <c r="K34" s="30"/>
      <c r="L34" s="30"/>
      <c r="M34" s="30"/>
      <c r="N34" s="30"/>
      <c r="O34" s="30"/>
      <c r="P34" s="61">
        <v>300.0</v>
      </c>
      <c r="Q34" s="24">
        <f t="shared" si="1"/>
        <v>0</v>
      </c>
      <c r="R34" s="57" t="s">
        <v>85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45344.0</v>
      </c>
      <c r="C35" s="56" t="s">
        <v>1644</v>
      </c>
      <c r="D35" s="56">
        <v>80421.0</v>
      </c>
      <c r="E35" s="57" t="s">
        <v>1645</v>
      </c>
      <c r="F35" s="30"/>
      <c r="G35" s="30"/>
      <c r="H35" s="30"/>
      <c r="I35" s="68">
        <v>7000.0</v>
      </c>
      <c r="J35" s="68"/>
      <c r="K35" s="30"/>
      <c r="L35" s="30"/>
      <c r="M35" s="30"/>
      <c r="N35" s="30"/>
      <c r="O35" s="30"/>
      <c r="P35" s="61">
        <v>7000.0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45344.0</v>
      </c>
      <c r="C36" s="56" t="s">
        <v>1646</v>
      </c>
      <c r="D36" s="56">
        <v>50173.0</v>
      </c>
      <c r="E36" s="57" t="s">
        <v>1647</v>
      </c>
      <c r="F36" s="30"/>
      <c r="G36" s="30"/>
      <c r="H36" s="30"/>
      <c r="I36" s="68">
        <v>10000.0</v>
      </c>
      <c r="J36" s="68"/>
      <c r="K36" s="30"/>
      <c r="L36" s="30"/>
      <c r="M36" s="30"/>
      <c r="N36" s="30"/>
      <c r="O36" s="30"/>
      <c r="P36" s="61">
        <v>10000.0</v>
      </c>
      <c r="Q36" s="24">
        <f t="shared" si="1"/>
        <v>0</v>
      </c>
      <c r="R36" s="57" t="s">
        <v>24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45344.0</v>
      </c>
      <c r="C37" s="56" t="s">
        <v>1648</v>
      </c>
      <c r="D37" s="56">
        <v>45227.0</v>
      </c>
      <c r="E37" s="57" t="s">
        <v>181</v>
      </c>
      <c r="F37" s="30"/>
      <c r="G37" s="30"/>
      <c r="H37" s="30"/>
      <c r="I37" s="68">
        <v>1050.0</v>
      </c>
      <c r="J37" s="68"/>
      <c r="K37" s="30"/>
      <c r="L37" s="30"/>
      <c r="M37" s="30"/>
      <c r="N37" s="30"/>
      <c r="O37" s="30"/>
      <c r="P37" s="61">
        <v>1050.0</v>
      </c>
      <c r="Q37" s="24">
        <f t="shared" si="1"/>
        <v>0</v>
      </c>
      <c r="R37" s="57" t="s">
        <v>85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45344.0</v>
      </c>
      <c r="C38" s="56" t="s">
        <v>1649</v>
      </c>
      <c r="D38" s="56">
        <v>81738.0</v>
      </c>
      <c r="E38" s="57" t="s">
        <v>1608</v>
      </c>
      <c r="F38" s="30"/>
      <c r="G38" s="30"/>
      <c r="H38" s="30"/>
      <c r="I38" s="68">
        <v>300.0</v>
      </c>
      <c r="J38" s="68"/>
      <c r="K38" s="30"/>
      <c r="L38" s="30"/>
      <c r="M38" s="30"/>
      <c r="N38" s="30"/>
      <c r="O38" s="30"/>
      <c r="P38" s="61">
        <v>300.0</v>
      </c>
      <c r="Q38" s="24">
        <f t="shared" si="1"/>
        <v>0</v>
      </c>
      <c r="R38" s="57" t="s">
        <v>30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0">
        <v>45344.0</v>
      </c>
      <c r="C39" s="56" t="s">
        <v>1650</v>
      </c>
      <c r="D39" s="56">
        <v>72839.0</v>
      </c>
      <c r="E39" s="57" t="s">
        <v>1431</v>
      </c>
      <c r="F39" s="30"/>
      <c r="G39" s="30"/>
      <c r="H39" s="30">
        <v>25000.0</v>
      </c>
      <c r="I39" s="68"/>
      <c r="J39" s="68"/>
      <c r="K39" s="30"/>
      <c r="L39" s="30"/>
      <c r="M39" s="30"/>
      <c r="N39" s="30"/>
      <c r="O39" s="30"/>
      <c r="P39" s="61">
        <v>25000.0</v>
      </c>
      <c r="Q39" s="24">
        <f t="shared" si="1"/>
        <v>0</v>
      </c>
      <c r="R39" s="57" t="s">
        <v>85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0">
        <v>45344.0</v>
      </c>
      <c r="C40" s="56" t="s">
        <v>1651</v>
      </c>
      <c r="D40" s="56">
        <v>81742.0</v>
      </c>
      <c r="E40" s="57" t="s">
        <v>1634</v>
      </c>
      <c r="F40" s="30"/>
      <c r="G40" s="30"/>
      <c r="H40" s="30"/>
      <c r="I40" s="68"/>
      <c r="J40" s="68">
        <v>300.0</v>
      </c>
      <c r="K40" s="30"/>
      <c r="L40" s="30"/>
      <c r="M40" s="30"/>
      <c r="N40" s="30"/>
      <c r="O40" s="30"/>
      <c r="P40" s="61">
        <v>300.0</v>
      </c>
      <c r="Q40" s="24">
        <f t="shared" si="1"/>
        <v>0</v>
      </c>
      <c r="R40" s="57" t="s">
        <v>30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3">
        <v>45344.0</v>
      </c>
      <c r="C41" s="64" t="s">
        <v>1652</v>
      </c>
      <c r="D41" s="64">
        <v>35227.0</v>
      </c>
      <c r="E41" s="65" t="s">
        <v>208</v>
      </c>
      <c r="F41" s="30"/>
      <c r="G41" s="30"/>
      <c r="H41" s="30"/>
      <c r="I41" s="68">
        <v>1250.0</v>
      </c>
      <c r="J41" s="68"/>
      <c r="K41" s="30"/>
      <c r="L41" s="30"/>
      <c r="M41" s="30"/>
      <c r="N41" s="30"/>
      <c r="O41" s="30"/>
      <c r="P41" s="66">
        <v>1250.0</v>
      </c>
      <c r="Q41" s="24">
        <f t="shared" si="1"/>
        <v>0</v>
      </c>
      <c r="R41" s="57" t="s">
        <v>85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3">
        <v>45344.0</v>
      </c>
      <c r="C42" s="64" t="s">
        <v>1653</v>
      </c>
      <c r="D42" s="64">
        <v>81743.0</v>
      </c>
      <c r="E42" s="65" t="s">
        <v>1636</v>
      </c>
      <c r="F42" s="30"/>
      <c r="G42" s="30"/>
      <c r="H42" s="30"/>
      <c r="I42" s="68"/>
      <c r="J42" s="68">
        <v>300.0</v>
      </c>
      <c r="K42" s="30"/>
      <c r="L42" s="30"/>
      <c r="M42" s="30"/>
      <c r="N42" s="30"/>
      <c r="O42" s="30"/>
      <c r="P42" s="66">
        <v>300.0</v>
      </c>
      <c r="Q42" s="24">
        <f t="shared" si="1"/>
        <v>0</v>
      </c>
      <c r="R42" s="57" t="s">
        <v>30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3">
        <v>45344.0</v>
      </c>
      <c r="C43" s="64" t="s">
        <v>1654</v>
      </c>
      <c r="D43" s="64">
        <v>58074.0</v>
      </c>
      <c r="E43" s="65" t="s">
        <v>1423</v>
      </c>
      <c r="F43" s="30"/>
      <c r="G43" s="30"/>
      <c r="H43" s="30">
        <v>3275.0</v>
      </c>
      <c r="I43" s="68"/>
      <c r="J43" s="68"/>
      <c r="K43" s="30"/>
      <c r="L43" s="30"/>
      <c r="M43" s="30"/>
      <c r="N43" s="30"/>
      <c r="O43" s="30"/>
      <c r="P43" s="66">
        <v>3275.0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 t="s">
        <v>242</v>
      </c>
      <c r="B44" s="63"/>
      <c r="C44" s="64"/>
      <c r="D44" s="64"/>
      <c r="E44" s="65"/>
      <c r="F44" s="30"/>
      <c r="G44" s="30"/>
      <c r="H44" s="30"/>
      <c r="I44" s="68"/>
      <c r="J44" s="68"/>
      <c r="K44" s="30"/>
      <c r="L44" s="30"/>
      <c r="M44" s="30"/>
      <c r="N44" s="30"/>
      <c r="O44" s="30"/>
      <c r="P44" s="66"/>
      <c r="Q44" s="24">
        <f t="shared" si="1"/>
        <v>0</v>
      </c>
      <c r="R44" s="57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/>
      <c r="B45" s="27"/>
      <c r="C45" s="28"/>
      <c r="D45" s="29"/>
      <c r="E45" s="28"/>
      <c r="F45" s="30">
        <f t="shared" ref="F45:Q45" si="2">SUM(F5:F44)</f>
        <v>0</v>
      </c>
      <c r="G45" s="30">
        <f t="shared" si="2"/>
        <v>0</v>
      </c>
      <c r="H45" s="30">
        <f t="shared" si="2"/>
        <v>38775</v>
      </c>
      <c r="I45" s="30">
        <f t="shared" si="2"/>
        <v>147100</v>
      </c>
      <c r="J45" s="30">
        <f t="shared" si="2"/>
        <v>28290</v>
      </c>
      <c r="K45" s="30">
        <f t="shared" si="2"/>
        <v>7500</v>
      </c>
      <c r="L45" s="30">
        <f t="shared" si="2"/>
        <v>0</v>
      </c>
      <c r="M45" s="30">
        <f t="shared" si="2"/>
        <v>24150</v>
      </c>
      <c r="N45" s="30">
        <f t="shared" si="2"/>
        <v>0</v>
      </c>
      <c r="O45" s="30">
        <f t="shared" si="2"/>
        <v>0</v>
      </c>
      <c r="P45" s="68">
        <f t="shared" si="2"/>
        <v>245815</v>
      </c>
      <c r="Q45" s="24">
        <f t="shared" si="2"/>
        <v>0</v>
      </c>
      <c r="R45" s="67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36.0" customHeight="1">
      <c r="A46" s="35"/>
      <c r="B46" s="35"/>
      <c r="C46" s="35"/>
      <c r="D46" s="35"/>
      <c r="E46" s="35"/>
      <c r="F46" s="36">
        <f>F45+G45+H45+I45+J45+K45+L45+M45+N45+O45</f>
        <v>245815</v>
      </c>
      <c r="P46" s="36"/>
      <c r="Q46" s="36"/>
      <c r="R46" s="35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37" t="s">
        <v>242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38" t="s">
        <v>243</v>
      </c>
      <c r="F50" s="39" t="s">
        <v>244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38" t="s">
        <v>245</v>
      </c>
      <c r="F51" s="39" t="s">
        <v>623</v>
      </c>
      <c r="G51" s="4"/>
      <c r="H51" s="4"/>
      <c r="I51" s="4"/>
      <c r="J51" s="4"/>
      <c r="K51" s="4"/>
      <c r="L51" s="4"/>
      <c r="M51" s="4"/>
      <c r="N51" s="4"/>
      <c r="O51" s="4" t="s">
        <v>242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38" t="s">
        <v>246</v>
      </c>
      <c r="F52" s="39" t="s">
        <v>244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38" t="s">
        <v>247</v>
      </c>
      <c r="F53" s="39" t="s">
        <v>1655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38" t="s">
        <v>248</v>
      </c>
      <c r="F54" s="39" t="s">
        <v>244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7.0" customHeight="1">
      <c r="A55" s="4"/>
      <c r="B55" s="4"/>
      <c r="C55" s="4"/>
      <c r="D55" s="4"/>
      <c r="E55" s="38" t="s">
        <v>1656</v>
      </c>
      <c r="F55" s="39" t="s">
        <v>244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0.0" customHeight="1">
      <c r="A56" s="4"/>
      <c r="B56" s="4"/>
      <c r="C56" s="4"/>
      <c r="D56" s="4"/>
      <c r="E56" s="40" t="s">
        <v>250</v>
      </c>
      <c r="F56" s="39" t="s">
        <v>880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38" t="s">
        <v>252</v>
      </c>
      <c r="F57" s="39" t="s">
        <v>880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 t="s">
        <v>242</v>
      </c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 t="s">
        <v>253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6:O4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1657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45345.0</v>
      </c>
      <c r="C5" s="55" t="s">
        <v>1658</v>
      </c>
      <c r="D5" s="56">
        <v>10250.0</v>
      </c>
      <c r="E5" s="57" t="s">
        <v>91</v>
      </c>
      <c r="F5" s="21"/>
      <c r="G5" s="21"/>
      <c r="H5" s="21"/>
      <c r="I5" s="21">
        <v>9000.0</v>
      </c>
      <c r="J5" s="22"/>
      <c r="K5" s="21"/>
      <c r="L5" s="21"/>
      <c r="M5" s="21"/>
      <c r="N5" s="21"/>
      <c r="O5" s="21"/>
      <c r="P5" s="58">
        <v>9000.0</v>
      </c>
      <c r="Q5" s="24">
        <f t="shared" ref="Q5:Q39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45345.0</v>
      </c>
      <c r="C6" s="55" t="s">
        <v>1659</v>
      </c>
      <c r="D6" s="56">
        <v>52851.0</v>
      </c>
      <c r="E6" s="57" t="s">
        <v>1660</v>
      </c>
      <c r="F6" s="21"/>
      <c r="G6" s="21"/>
      <c r="H6" s="21"/>
      <c r="I6" s="22"/>
      <c r="J6" s="21">
        <v>2650.0</v>
      </c>
      <c r="K6" s="21"/>
      <c r="L6" s="21"/>
      <c r="M6" s="21"/>
      <c r="N6" s="21"/>
      <c r="O6" s="21"/>
      <c r="P6" s="58">
        <v>2650.0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45345.0</v>
      </c>
      <c r="C7" s="55" t="s">
        <v>1661</v>
      </c>
      <c r="D7" s="56">
        <v>66770.0</v>
      </c>
      <c r="E7" s="57" t="s">
        <v>80</v>
      </c>
      <c r="F7" s="21"/>
      <c r="G7" s="21"/>
      <c r="H7" s="21"/>
      <c r="I7" s="22"/>
      <c r="J7" s="21">
        <v>8400.0</v>
      </c>
      <c r="K7" s="21"/>
      <c r="L7" s="21"/>
      <c r="M7" s="21"/>
      <c r="N7" s="21"/>
      <c r="O7" s="21"/>
      <c r="P7" s="58">
        <v>8400.0</v>
      </c>
      <c r="Q7" s="24">
        <f t="shared" si="1"/>
        <v>0</v>
      </c>
      <c r="R7" s="59" t="s">
        <v>66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45345.0</v>
      </c>
      <c r="C8" s="55" t="s">
        <v>1662</v>
      </c>
      <c r="D8" s="56">
        <v>61160.0</v>
      </c>
      <c r="E8" s="57" t="s">
        <v>1663</v>
      </c>
      <c r="F8" s="21"/>
      <c r="G8" s="21"/>
      <c r="H8" s="21"/>
      <c r="I8" s="21"/>
      <c r="J8" s="21">
        <v>10000.0</v>
      </c>
      <c r="K8" s="21"/>
      <c r="L8" s="21"/>
      <c r="M8" s="21"/>
      <c r="N8" s="21"/>
      <c r="O8" s="21"/>
      <c r="P8" s="58">
        <v>10000.0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45345.0</v>
      </c>
      <c r="C9" s="55" t="s">
        <v>1664</v>
      </c>
      <c r="D9" s="56">
        <v>67621.0</v>
      </c>
      <c r="E9" s="57" t="s">
        <v>463</v>
      </c>
      <c r="F9" s="21"/>
      <c r="G9" s="21"/>
      <c r="H9" s="21"/>
      <c r="I9" s="21">
        <v>350.0</v>
      </c>
      <c r="J9" s="21"/>
      <c r="K9" s="21"/>
      <c r="L9" s="21"/>
      <c r="M9" s="21"/>
      <c r="N9" s="21"/>
      <c r="O9" s="21"/>
      <c r="P9" s="58">
        <v>350.0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45345.0</v>
      </c>
      <c r="C10" s="55" t="s">
        <v>1665</v>
      </c>
      <c r="D10" s="56">
        <v>67621.0</v>
      </c>
      <c r="E10" s="57" t="s">
        <v>463</v>
      </c>
      <c r="F10" s="21"/>
      <c r="G10" s="21"/>
      <c r="H10" s="21"/>
      <c r="I10" s="21">
        <v>98750.0</v>
      </c>
      <c r="J10" s="21"/>
      <c r="K10" s="21"/>
      <c r="L10" s="21"/>
      <c r="M10" s="21"/>
      <c r="N10" s="21"/>
      <c r="O10" s="21"/>
      <c r="P10" s="58">
        <v>98750.0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45345.0</v>
      </c>
      <c r="C11" s="55" t="s">
        <v>1666</v>
      </c>
      <c r="D11" s="56">
        <v>42339.0</v>
      </c>
      <c r="E11" s="57" t="s">
        <v>111</v>
      </c>
      <c r="F11" s="21"/>
      <c r="G11" s="21"/>
      <c r="H11" s="21"/>
      <c r="I11" s="22"/>
      <c r="J11" s="21">
        <v>6350.0</v>
      </c>
      <c r="K11" s="21"/>
      <c r="L11" s="21"/>
      <c r="M11" s="21"/>
      <c r="N11" s="21"/>
      <c r="O11" s="21"/>
      <c r="P11" s="58">
        <v>6350.0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45345.0</v>
      </c>
      <c r="C12" s="55" t="s">
        <v>1667</v>
      </c>
      <c r="D12" s="56">
        <v>81766.0</v>
      </c>
      <c r="E12" s="57" t="s">
        <v>1668</v>
      </c>
      <c r="F12" s="21"/>
      <c r="G12" s="21"/>
      <c r="H12" s="21"/>
      <c r="I12" s="22">
        <v>7000.0</v>
      </c>
      <c r="J12" s="21"/>
      <c r="K12" s="21"/>
      <c r="L12" s="21"/>
      <c r="M12" s="21"/>
      <c r="N12" s="21"/>
      <c r="O12" s="21"/>
      <c r="P12" s="58">
        <v>7000.0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45345.0</v>
      </c>
      <c r="C13" s="55" t="s">
        <v>1669</v>
      </c>
      <c r="D13" s="56">
        <v>22341.0</v>
      </c>
      <c r="E13" s="57" t="s">
        <v>417</v>
      </c>
      <c r="F13" s="21"/>
      <c r="G13" s="21"/>
      <c r="H13" s="21"/>
      <c r="I13" s="22">
        <v>2500.0</v>
      </c>
      <c r="J13" s="21"/>
      <c r="K13" s="21"/>
      <c r="L13" s="21"/>
      <c r="M13" s="21"/>
      <c r="N13" s="21"/>
      <c r="O13" s="21"/>
      <c r="P13" s="58">
        <v>2500.0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45345.0</v>
      </c>
      <c r="C14" s="55" t="s">
        <v>1670</v>
      </c>
      <c r="D14" s="56">
        <v>80589.0</v>
      </c>
      <c r="E14" s="57" t="s">
        <v>1671</v>
      </c>
      <c r="F14" s="21">
        <v>1400.0</v>
      </c>
      <c r="G14" s="21"/>
      <c r="H14" s="21"/>
      <c r="I14" s="22"/>
      <c r="J14" s="21"/>
      <c r="K14" s="21"/>
      <c r="L14" s="21"/>
      <c r="M14" s="21"/>
      <c r="N14" s="21"/>
      <c r="O14" s="21"/>
      <c r="P14" s="58">
        <v>1400.0</v>
      </c>
      <c r="Q14" s="24">
        <f t="shared" si="1"/>
        <v>0</v>
      </c>
      <c r="R14" s="59" t="s">
        <v>24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45345.0</v>
      </c>
      <c r="C15" s="55" t="s">
        <v>1672</v>
      </c>
      <c r="D15" s="56">
        <v>36555.0</v>
      </c>
      <c r="E15" s="57" t="s">
        <v>479</v>
      </c>
      <c r="F15" s="21"/>
      <c r="G15" s="21"/>
      <c r="H15" s="21"/>
      <c r="I15" s="22">
        <v>10000.0</v>
      </c>
      <c r="J15" s="21"/>
      <c r="K15" s="21"/>
      <c r="L15" s="21"/>
      <c r="M15" s="21"/>
      <c r="N15" s="21"/>
      <c r="O15" s="21"/>
      <c r="P15" s="58">
        <v>10000.0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45345.0</v>
      </c>
      <c r="C16" s="55" t="s">
        <v>1673</v>
      </c>
      <c r="D16" s="56">
        <v>35220.0</v>
      </c>
      <c r="E16" s="57" t="s">
        <v>324</v>
      </c>
      <c r="F16" s="21"/>
      <c r="G16" s="21">
        <v>22550.0</v>
      </c>
      <c r="H16" s="21"/>
      <c r="I16" s="22"/>
      <c r="J16" s="21"/>
      <c r="K16" s="21"/>
      <c r="L16" s="21"/>
      <c r="M16" s="21"/>
      <c r="N16" s="21"/>
      <c r="O16" s="21"/>
      <c r="P16" s="58">
        <v>22550.0</v>
      </c>
      <c r="Q16" s="24">
        <f t="shared" si="1"/>
        <v>0</v>
      </c>
      <c r="R16" s="59" t="s">
        <v>24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45345.0</v>
      </c>
      <c r="C17" s="55" t="s">
        <v>1674</v>
      </c>
      <c r="D17" s="56">
        <v>21821.0</v>
      </c>
      <c r="E17" s="57" t="s">
        <v>1675</v>
      </c>
      <c r="F17" s="21"/>
      <c r="G17" s="21"/>
      <c r="H17" s="21"/>
      <c r="I17" s="21">
        <v>350.0</v>
      </c>
      <c r="J17" s="21"/>
      <c r="K17" s="21"/>
      <c r="L17" s="21"/>
      <c r="M17" s="21"/>
      <c r="N17" s="21"/>
      <c r="O17" s="21"/>
      <c r="P17" s="58">
        <v>350.0</v>
      </c>
      <c r="Q17" s="24">
        <f t="shared" si="1"/>
        <v>0</v>
      </c>
      <c r="R17" s="59" t="s">
        <v>24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45345.0</v>
      </c>
      <c r="C18" s="55" t="s">
        <v>1676</v>
      </c>
      <c r="D18" s="56">
        <v>80589.0</v>
      </c>
      <c r="E18" s="57" t="s">
        <v>1671</v>
      </c>
      <c r="F18" s="21">
        <v>300.0</v>
      </c>
      <c r="G18" s="21"/>
      <c r="H18" s="21"/>
      <c r="I18" s="21"/>
      <c r="J18" s="21"/>
      <c r="K18" s="21"/>
      <c r="L18" s="21"/>
      <c r="M18" s="21"/>
      <c r="N18" s="21"/>
      <c r="O18" s="21"/>
      <c r="P18" s="58">
        <v>300.0</v>
      </c>
      <c r="Q18" s="24">
        <f t="shared" si="1"/>
        <v>0</v>
      </c>
      <c r="R18" s="59" t="s">
        <v>24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45345.0</v>
      </c>
      <c r="C19" s="55" t="s">
        <v>1677</v>
      </c>
      <c r="D19" s="56">
        <v>22332.0</v>
      </c>
      <c r="E19" s="57" t="s">
        <v>404</v>
      </c>
      <c r="F19" s="21"/>
      <c r="G19" s="21"/>
      <c r="H19" s="21"/>
      <c r="I19" s="21">
        <v>3200.0</v>
      </c>
      <c r="J19" s="21"/>
      <c r="K19" s="21"/>
      <c r="L19" s="21"/>
      <c r="M19" s="21"/>
      <c r="N19" s="21"/>
      <c r="O19" s="21"/>
      <c r="P19" s="58">
        <v>3200.0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45345.0</v>
      </c>
      <c r="C20" s="55" t="s">
        <v>1678</v>
      </c>
      <c r="D20" s="56">
        <v>53093.0</v>
      </c>
      <c r="E20" s="57" t="s">
        <v>1679</v>
      </c>
      <c r="F20" s="21"/>
      <c r="G20" s="21"/>
      <c r="H20" s="21"/>
      <c r="I20" s="21"/>
      <c r="J20" s="21">
        <v>5150.0</v>
      </c>
      <c r="K20" s="21"/>
      <c r="L20" s="21"/>
      <c r="M20" s="21"/>
      <c r="N20" s="21"/>
      <c r="O20" s="21"/>
      <c r="P20" s="58">
        <v>5150.0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45345.0</v>
      </c>
      <c r="C21" s="55" t="s">
        <v>1680</v>
      </c>
      <c r="D21" s="56">
        <v>64457.0</v>
      </c>
      <c r="E21" s="57" t="s">
        <v>602</v>
      </c>
      <c r="F21" s="21"/>
      <c r="G21" s="21"/>
      <c r="H21" s="21"/>
      <c r="I21" s="22"/>
      <c r="J21" s="22"/>
      <c r="K21" s="21"/>
      <c r="L21" s="21"/>
      <c r="M21" s="21">
        <v>1150.0</v>
      </c>
      <c r="N21" s="21"/>
      <c r="O21" s="21"/>
      <c r="P21" s="58">
        <v>1150.0</v>
      </c>
      <c r="Q21" s="24">
        <f t="shared" si="1"/>
        <v>0</v>
      </c>
      <c r="R21" s="59" t="s">
        <v>30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45345.0</v>
      </c>
      <c r="C22" s="55" t="s">
        <v>1681</v>
      </c>
      <c r="D22" s="56">
        <v>81768.0</v>
      </c>
      <c r="E22" s="57" t="s">
        <v>1682</v>
      </c>
      <c r="F22" s="21"/>
      <c r="G22" s="21"/>
      <c r="H22" s="21"/>
      <c r="I22" s="22">
        <v>300.0</v>
      </c>
      <c r="J22" s="22"/>
      <c r="K22" s="21"/>
      <c r="L22" s="21"/>
      <c r="M22" s="21"/>
      <c r="N22" s="21"/>
      <c r="O22" s="21"/>
      <c r="P22" s="58">
        <v>300.0</v>
      </c>
      <c r="Q22" s="24">
        <f t="shared" si="1"/>
        <v>0</v>
      </c>
      <c r="R22" s="59" t="s">
        <v>27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45345.0</v>
      </c>
      <c r="C23" s="56" t="s">
        <v>1683</v>
      </c>
      <c r="D23" s="56">
        <v>52083.0</v>
      </c>
      <c r="E23" s="57" t="s">
        <v>23</v>
      </c>
      <c r="F23" s="30"/>
      <c r="G23" s="30"/>
      <c r="H23" s="68"/>
      <c r="I23" s="68">
        <v>12800.0</v>
      </c>
      <c r="J23" s="68"/>
      <c r="K23" s="30"/>
      <c r="L23" s="30"/>
      <c r="M23" s="30"/>
      <c r="N23" s="30"/>
      <c r="O23" s="30"/>
      <c r="P23" s="61">
        <v>12800.0</v>
      </c>
      <c r="Q23" s="24">
        <f t="shared" si="1"/>
        <v>0</v>
      </c>
      <c r="R23" s="57" t="s">
        <v>30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0">
        <v>45345.0</v>
      </c>
      <c r="C24" s="56" t="s">
        <v>1684</v>
      </c>
      <c r="D24" s="56">
        <v>48657.0</v>
      </c>
      <c r="E24" s="57" t="s">
        <v>1685</v>
      </c>
      <c r="F24" s="30"/>
      <c r="G24" s="30"/>
      <c r="H24" s="30"/>
      <c r="I24" s="68">
        <v>2500.0</v>
      </c>
      <c r="J24" s="68"/>
      <c r="K24" s="30"/>
      <c r="L24" s="30"/>
      <c r="M24" s="30"/>
      <c r="N24" s="30"/>
      <c r="O24" s="30"/>
      <c r="P24" s="61">
        <v>2500.0</v>
      </c>
      <c r="Q24" s="24">
        <f t="shared" si="1"/>
        <v>0</v>
      </c>
      <c r="R24" s="57" t="s">
        <v>56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0">
        <v>45345.0</v>
      </c>
      <c r="C25" s="56" t="s">
        <v>1686</v>
      </c>
      <c r="D25" s="56">
        <v>58309.0</v>
      </c>
      <c r="E25" s="57" t="s">
        <v>1687</v>
      </c>
      <c r="F25" s="30"/>
      <c r="G25" s="30"/>
      <c r="H25" s="30"/>
      <c r="I25" s="68"/>
      <c r="J25" s="68">
        <v>600.0</v>
      </c>
      <c r="K25" s="30"/>
      <c r="L25" s="30"/>
      <c r="M25" s="30"/>
      <c r="N25" s="30"/>
      <c r="O25" s="30"/>
      <c r="P25" s="61">
        <v>600.0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0">
        <v>45345.0</v>
      </c>
      <c r="C26" s="56" t="s">
        <v>1688</v>
      </c>
      <c r="D26" s="56">
        <v>36928.0</v>
      </c>
      <c r="E26" s="57" t="s">
        <v>1689</v>
      </c>
      <c r="F26" s="30"/>
      <c r="G26" s="30"/>
      <c r="H26" s="30"/>
      <c r="I26" s="68">
        <v>2050.0</v>
      </c>
      <c r="J26" s="68"/>
      <c r="K26" s="30">
        <v>1700.0</v>
      </c>
      <c r="L26" s="30"/>
      <c r="M26" s="30"/>
      <c r="N26" s="30"/>
      <c r="O26" s="30"/>
      <c r="P26" s="61">
        <v>3750.0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0">
        <v>45345.0</v>
      </c>
      <c r="C27" s="56" t="s">
        <v>1690</v>
      </c>
      <c r="D27" s="56">
        <v>59812.0</v>
      </c>
      <c r="E27" s="57" t="s">
        <v>106</v>
      </c>
      <c r="F27" s="30"/>
      <c r="G27" s="30"/>
      <c r="H27" s="30"/>
      <c r="I27" s="68">
        <v>4650.0</v>
      </c>
      <c r="J27" s="68"/>
      <c r="K27" s="30"/>
      <c r="L27" s="30"/>
      <c r="M27" s="30"/>
      <c r="N27" s="30"/>
      <c r="O27" s="30"/>
      <c r="P27" s="61">
        <v>4650.0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0">
        <v>45345.0</v>
      </c>
      <c r="C28" s="56" t="s">
        <v>1691</v>
      </c>
      <c r="D28" s="56">
        <v>81772.0</v>
      </c>
      <c r="E28" s="57" t="s">
        <v>1692</v>
      </c>
      <c r="F28" s="30"/>
      <c r="G28" s="30"/>
      <c r="H28" s="30"/>
      <c r="I28" s="68">
        <v>7000.0</v>
      </c>
      <c r="J28" s="68"/>
      <c r="K28" s="30"/>
      <c r="L28" s="30"/>
      <c r="M28" s="30"/>
      <c r="N28" s="30"/>
      <c r="O28" s="30"/>
      <c r="P28" s="61">
        <v>7000.0</v>
      </c>
      <c r="Q28" s="24">
        <f t="shared" si="1"/>
        <v>0</v>
      </c>
      <c r="R28" s="57" t="s">
        <v>24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0">
        <v>45345.0</v>
      </c>
      <c r="C29" s="56" t="s">
        <v>1693</v>
      </c>
      <c r="D29" s="56">
        <v>54763.0</v>
      </c>
      <c r="E29" s="57" t="s">
        <v>36</v>
      </c>
      <c r="F29" s="30"/>
      <c r="G29" s="30">
        <v>2500.0</v>
      </c>
      <c r="H29" s="30"/>
      <c r="I29" s="68"/>
      <c r="J29" s="68"/>
      <c r="K29" s="30"/>
      <c r="L29" s="30"/>
      <c r="M29" s="30"/>
      <c r="N29" s="30"/>
      <c r="O29" s="30"/>
      <c r="P29" s="61">
        <v>2500.0</v>
      </c>
      <c r="Q29" s="24">
        <f t="shared" si="1"/>
        <v>0</v>
      </c>
      <c r="R29" s="57" t="s">
        <v>24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0">
        <v>45345.0</v>
      </c>
      <c r="C30" s="56" t="s">
        <v>1694</v>
      </c>
      <c r="D30" s="56">
        <v>62146.0</v>
      </c>
      <c r="E30" s="57" t="s">
        <v>55</v>
      </c>
      <c r="F30" s="30"/>
      <c r="G30" s="30"/>
      <c r="H30" s="30"/>
      <c r="I30" s="68">
        <v>5050.0</v>
      </c>
      <c r="J30" s="68"/>
      <c r="K30" s="30"/>
      <c r="L30" s="30"/>
      <c r="M30" s="30"/>
      <c r="N30" s="30"/>
      <c r="O30" s="30"/>
      <c r="P30" s="61">
        <v>5050.0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0">
        <v>45345.0</v>
      </c>
      <c r="C31" s="56" t="s">
        <v>1695</v>
      </c>
      <c r="D31" s="56">
        <v>38098.0</v>
      </c>
      <c r="E31" s="57" t="s">
        <v>1696</v>
      </c>
      <c r="F31" s="30"/>
      <c r="G31" s="30"/>
      <c r="H31" s="30"/>
      <c r="I31" s="68"/>
      <c r="J31" s="68">
        <v>6100.0</v>
      </c>
      <c r="K31" s="30"/>
      <c r="L31" s="30"/>
      <c r="M31" s="30"/>
      <c r="N31" s="30"/>
      <c r="O31" s="30"/>
      <c r="P31" s="61">
        <v>6100.0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0">
        <v>45345.0</v>
      </c>
      <c r="C32" s="56" t="s">
        <v>1697</v>
      </c>
      <c r="D32" s="56">
        <v>52215.0</v>
      </c>
      <c r="E32" s="57" t="s">
        <v>358</v>
      </c>
      <c r="F32" s="30"/>
      <c r="G32" s="30"/>
      <c r="H32" s="30">
        <v>4500.0</v>
      </c>
      <c r="I32" s="68"/>
      <c r="J32" s="68"/>
      <c r="K32" s="30"/>
      <c r="L32" s="30"/>
      <c r="M32" s="30"/>
      <c r="N32" s="30"/>
      <c r="O32" s="30"/>
      <c r="P32" s="61">
        <v>4500.0</v>
      </c>
      <c r="Q32" s="24">
        <f t="shared" si="1"/>
        <v>0</v>
      </c>
      <c r="R32" s="57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0">
        <v>45345.0</v>
      </c>
      <c r="C33" s="56" t="s">
        <v>1698</v>
      </c>
      <c r="D33" s="56">
        <v>52669.0</v>
      </c>
      <c r="E33" s="57" t="s">
        <v>95</v>
      </c>
      <c r="F33" s="30"/>
      <c r="G33" s="30"/>
      <c r="H33" s="30">
        <v>32600.0</v>
      </c>
      <c r="I33" s="68"/>
      <c r="J33" s="68"/>
      <c r="K33" s="30"/>
      <c r="L33" s="30"/>
      <c r="M33" s="30"/>
      <c r="N33" s="30"/>
      <c r="O33" s="30"/>
      <c r="P33" s="61">
        <v>32600.0</v>
      </c>
      <c r="Q33" s="24">
        <f t="shared" si="1"/>
        <v>0</v>
      </c>
      <c r="R33" s="57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0">
        <v>45345.0</v>
      </c>
      <c r="C34" s="56" t="s">
        <v>1699</v>
      </c>
      <c r="D34" s="56">
        <v>79026.0</v>
      </c>
      <c r="E34" s="57" t="s">
        <v>1700</v>
      </c>
      <c r="F34" s="30"/>
      <c r="G34" s="30"/>
      <c r="H34" s="30"/>
      <c r="I34" s="68"/>
      <c r="J34" s="68"/>
      <c r="K34" s="30">
        <v>7000.0</v>
      </c>
      <c r="L34" s="30"/>
      <c r="M34" s="30"/>
      <c r="N34" s="30"/>
      <c r="O34" s="30"/>
      <c r="P34" s="61">
        <v>7000.0</v>
      </c>
      <c r="Q34" s="24">
        <f t="shared" si="1"/>
        <v>0</v>
      </c>
      <c r="R34" s="57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0">
        <v>45345.0</v>
      </c>
      <c r="C35" s="56" t="s">
        <v>1701</v>
      </c>
      <c r="D35" s="56">
        <v>79382.0</v>
      </c>
      <c r="E35" s="57" t="s">
        <v>1702</v>
      </c>
      <c r="F35" s="30"/>
      <c r="G35" s="30"/>
      <c r="H35" s="30"/>
      <c r="I35" s="68"/>
      <c r="J35" s="68"/>
      <c r="K35" s="30"/>
      <c r="L35" s="30"/>
      <c r="M35" s="30">
        <v>3550.0</v>
      </c>
      <c r="N35" s="30"/>
      <c r="O35" s="30"/>
      <c r="P35" s="61">
        <v>3550.0</v>
      </c>
      <c r="Q35" s="24">
        <f t="shared" si="1"/>
        <v>0</v>
      </c>
      <c r="R35" s="57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0">
        <v>45345.0</v>
      </c>
      <c r="C36" s="56" t="s">
        <v>1703</v>
      </c>
      <c r="D36" s="56">
        <v>43380.0</v>
      </c>
      <c r="E36" s="57" t="s">
        <v>351</v>
      </c>
      <c r="F36" s="30"/>
      <c r="G36" s="30"/>
      <c r="H36" s="30">
        <v>14500.0</v>
      </c>
      <c r="I36" s="68"/>
      <c r="J36" s="68"/>
      <c r="K36" s="30"/>
      <c r="L36" s="30"/>
      <c r="M36" s="30"/>
      <c r="N36" s="30"/>
      <c r="O36" s="30"/>
      <c r="P36" s="61">
        <v>14500.0</v>
      </c>
      <c r="Q36" s="24">
        <f t="shared" si="1"/>
        <v>0</v>
      </c>
      <c r="R36" s="57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0">
        <v>45345.0</v>
      </c>
      <c r="C37" s="56" t="s">
        <v>1704</v>
      </c>
      <c r="D37" s="56">
        <v>55446.0</v>
      </c>
      <c r="E37" s="57" t="s">
        <v>1416</v>
      </c>
      <c r="F37" s="30"/>
      <c r="G37" s="30"/>
      <c r="H37" s="30">
        <v>1250.0</v>
      </c>
      <c r="I37" s="68"/>
      <c r="J37" s="68"/>
      <c r="K37" s="30"/>
      <c r="L37" s="30"/>
      <c r="M37" s="30"/>
      <c r="N37" s="30"/>
      <c r="O37" s="30"/>
      <c r="P37" s="61">
        <v>1250.0</v>
      </c>
      <c r="Q37" s="24">
        <f t="shared" si="1"/>
        <v>0</v>
      </c>
      <c r="R37" s="57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0">
        <v>45345.0</v>
      </c>
      <c r="C38" s="56" t="s">
        <v>1705</v>
      </c>
      <c r="D38" s="56">
        <v>51017.0</v>
      </c>
      <c r="E38" s="57" t="s">
        <v>150</v>
      </c>
      <c r="F38" s="30"/>
      <c r="G38" s="30"/>
      <c r="H38" s="30">
        <v>36500.0</v>
      </c>
      <c r="I38" s="68"/>
      <c r="J38" s="68"/>
      <c r="K38" s="30"/>
      <c r="L38" s="30"/>
      <c r="M38" s="30"/>
      <c r="N38" s="30"/>
      <c r="O38" s="30"/>
      <c r="P38" s="61">
        <v>36500.0</v>
      </c>
      <c r="Q38" s="24">
        <f t="shared" si="1"/>
        <v>0</v>
      </c>
      <c r="R38" s="57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 t="s">
        <v>242</v>
      </c>
      <c r="B39" s="63"/>
      <c r="C39" s="64"/>
      <c r="D39" s="64"/>
      <c r="E39" s="65"/>
      <c r="F39" s="30"/>
      <c r="G39" s="30"/>
      <c r="H39" s="30"/>
      <c r="I39" s="68"/>
      <c r="J39" s="68"/>
      <c r="K39" s="30"/>
      <c r="L39" s="30"/>
      <c r="M39" s="30"/>
      <c r="N39" s="30"/>
      <c r="O39" s="30"/>
      <c r="P39" s="66"/>
      <c r="Q39" s="24">
        <f t="shared" si="1"/>
        <v>0</v>
      </c>
      <c r="R39" s="57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/>
      <c r="B40" s="27"/>
      <c r="C40" s="28"/>
      <c r="D40" s="29"/>
      <c r="E40" s="28"/>
      <c r="F40" s="30">
        <f t="shared" ref="F40:Q40" si="2">SUM(F5:F39)</f>
        <v>1700</v>
      </c>
      <c r="G40" s="30">
        <f t="shared" si="2"/>
        <v>25050</v>
      </c>
      <c r="H40" s="30">
        <f t="shared" si="2"/>
        <v>89350</v>
      </c>
      <c r="I40" s="30">
        <f t="shared" si="2"/>
        <v>165500</v>
      </c>
      <c r="J40" s="30">
        <f t="shared" si="2"/>
        <v>39250</v>
      </c>
      <c r="K40" s="30">
        <f t="shared" si="2"/>
        <v>8700</v>
      </c>
      <c r="L40" s="30">
        <f t="shared" si="2"/>
        <v>0</v>
      </c>
      <c r="M40" s="30">
        <f t="shared" si="2"/>
        <v>4700</v>
      </c>
      <c r="N40" s="30">
        <f t="shared" si="2"/>
        <v>0</v>
      </c>
      <c r="O40" s="30">
        <f t="shared" si="2"/>
        <v>0</v>
      </c>
      <c r="P40" s="68">
        <f t="shared" si="2"/>
        <v>334250</v>
      </c>
      <c r="Q40" s="24">
        <f t="shared" si="2"/>
        <v>0</v>
      </c>
      <c r="R40" s="67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36.0" customHeight="1">
      <c r="A41" s="35"/>
      <c r="B41" s="35"/>
      <c r="C41" s="35"/>
      <c r="D41" s="35"/>
      <c r="E41" s="35"/>
      <c r="F41" s="36">
        <f>F40+G40+H40+I40+J40+K40+L40+M40+N40+O40</f>
        <v>334250</v>
      </c>
      <c r="P41" s="36"/>
      <c r="Q41" s="36"/>
      <c r="R41" s="35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37" t="s">
        <v>242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38" t="s">
        <v>243</v>
      </c>
      <c r="F45" s="39" t="s">
        <v>244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38" t="s">
        <v>245</v>
      </c>
      <c r="F46" s="39" t="s">
        <v>244</v>
      </c>
      <c r="G46" s="4"/>
      <c r="H46" s="4"/>
      <c r="I46" s="4"/>
      <c r="J46" s="4"/>
      <c r="K46" s="4"/>
      <c r="L46" s="4"/>
      <c r="M46" s="4"/>
      <c r="N46" s="4"/>
      <c r="O46" s="4" t="s">
        <v>242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38" t="s">
        <v>246</v>
      </c>
      <c r="F47" s="39" t="s">
        <v>244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247</v>
      </c>
      <c r="F48" s="39" t="s">
        <v>244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38" t="s">
        <v>248</v>
      </c>
      <c r="F49" s="39" t="s">
        <v>623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7.0" customHeight="1">
      <c r="A50" s="4"/>
      <c r="B50" s="4"/>
      <c r="C50" s="4"/>
      <c r="D50" s="4"/>
      <c r="E50" s="38" t="s">
        <v>1706</v>
      </c>
      <c r="F50" s="39" t="s">
        <v>244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0.0" customHeight="1">
      <c r="A51" s="4"/>
      <c r="B51" s="4"/>
      <c r="C51" s="4"/>
      <c r="D51" s="4"/>
      <c r="E51" s="40" t="s">
        <v>250</v>
      </c>
      <c r="F51" s="39" t="s">
        <v>244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38" t="s">
        <v>252</v>
      </c>
      <c r="F52" s="39" t="s">
        <v>244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 t="s">
        <v>242</v>
      </c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 t="s">
        <v>253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1:O4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1707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45345.0</v>
      </c>
      <c r="C5" s="55" t="s">
        <v>1708</v>
      </c>
      <c r="D5" s="56">
        <v>54763.0</v>
      </c>
      <c r="E5" s="57" t="s">
        <v>36</v>
      </c>
      <c r="F5" s="21"/>
      <c r="G5" s="21"/>
      <c r="H5" s="21"/>
      <c r="I5" s="21">
        <v>600.0</v>
      </c>
      <c r="J5" s="22"/>
      <c r="K5" s="21"/>
      <c r="L5" s="21"/>
      <c r="M5" s="21"/>
      <c r="N5" s="21"/>
      <c r="O5" s="21"/>
      <c r="P5" s="58">
        <v>600.0</v>
      </c>
      <c r="Q5" s="24">
        <f t="shared" ref="Q5:Q24" si="1">F5+G5+H5+I5+J5+K5+L5+M5+N5+O5-P5</f>
        <v>0</v>
      </c>
      <c r="R5" s="59" t="s">
        <v>24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45346.0</v>
      </c>
      <c r="C6" s="55" t="s">
        <v>1709</v>
      </c>
      <c r="D6" s="56">
        <v>51406.0</v>
      </c>
      <c r="E6" s="57" t="s">
        <v>657</v>
      </c>
      <c r="F6" s="21"/>
      <c r="G6" s="21"/>
      <c r="H6" s="21"/>
      <c r="I6" s="22">
        <v>2700.0</v>
      </c>
      <c r="J6" s="21"/>
      <c r="K6" s="21"/>
      <c r="L6" s="21"/>
      <c r="M6" s="21"/>
      <c r="N6" s="21"/>
      <c r="O6" s="21"/>
      <c r="P6" s="58">
        <v>2700.0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45346.0</v>
      </c>
      <c r="C7" s="55" t="s">
        <v>1710</v>
      </c>
      <c r="D7" s="56">
        <v>43380.0</v>
      </c>
      <c r="E7" s="57" t="s">
        <v>351</v>
      </c>
      <c r="F7" s="21"/>
      <c r="G7" s="21"/>
      <c r="H7" s="21"/>
      <c r="I7" s="22"/>
      <c r="J7" s="21"/>
      <c r="K7" s="21">
        <v>17500.0</v>
      </c>
      <c r="L7" s="21"/>
      <c r="M7" s="21"/>
      <c r="N7" s="21"/>
      <c r="O7" s="21"/>
      <c r="P7" s="58">
        <v>17500.0</v>
      </c>
      <c r="Q7" s="24">
        <f t="shared" si="1"/>
        <v>0</v>
      </c>
      <c r="R7" s="59" t="s">
        <v>66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45346.0</v>
      </c>
      <c r="C8" s="55" t="s">
        <v>1711</v>
      </c>
      <c r="D8" s="56">
        <v>64986.0</v>
      </c>
      <c r="E8" s="57" t="s">
        <v>1712</v>
      </c>
      <c r="F8" s="21"/>
      <c r="G8" s="21"/>
      <c r="H8" s="21"/>
      <c r="I8" s="21">
        <v>5150.0</v>
      </c>
      <c r="J8" s="21"/>
      <c r="K8" s="21"/>
      <c r="L8" s="21"/>
      <c r="M8" s="21"/>
      <c r="N8" s="21"/>
      <c r="O8" s="21"/>
      <c r="P8" s="58">
        <v>5150.0</v>
      </c>
      <c r="Q8" s="24">
        <f t="shared" si="1"/>
        <v>0</v>
      </c>
      <c r="R8" s="59" t="s">
        <v>85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45346.0</v>
      </c>
      <c r="C9" s="55" t="s">
        <v>1713</v>
      </c>
      <c r="D9" s="56">
        <v>59244.0</v>
      </c>
      <c r="E9" s="57" t="s">
        <v>388</v>
      </c>
      <c r="F9" s="21"/>
      <c r="G9" s="21"/>
      <c r="H9" s="21"/>
      <c r="I9" s="21">
        <v>17100.0</v>
      </c>
      <c r="J9" s="21"/>
      <c r="K9" s="21"/>
      <c r="L9" s="21"/>
      <c r="M9" s="21"/>
      <c r="N9" s="21"/>
      <c r="O9" s="21"/>
      <c r="P9" s="58">
        <v>17100.0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45346.0</v>
      </c>
      <c r="C10" s="55" t="s">
        <v>1714</v>
      </c>
      <c r="D10" s="56">
        <v>35362.0</v>
      </c>
      <c r="E10" s="57" t="s">
        <v>1149</v>
      </c>
      <c r="F10" s="21"/>
      <c r="G10" s="21"/>
      <c r="H10" s="21"/>
      <c r="I10" s="21">
        <v>10000.0</v>
      </c>
      <c r="J10" s="21"/>
      <c r="K10" s="21"/>
      <c r="L10" s="21"/>
      <c r="M10" s="21"/>
      <c r="N10" s="21"/>
      <c r="O10" s="21"/>
      <c r="P10" s="58">
        <v>10000.0</v>
      </c>
      <c r="Q10" s="24">
        <f t="shared" si="1"/>
        <v>0</v>
      </c>
      <c r="R10" s="59" t="s">
        <v>85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45346.0</v>
      </c>
      <c r="C11" s="55" t="s">
        <v>1715</v>
      </c>
      <c r="D11" s="56">
        <v>66276.0</v>
      </c>
      <c r="E11" s="57" t="s">
        <v>1716</v>
      </c>
      <c r="F11" s="21"/>
      <c r="G11" s="21"/>
      <c r="H11" s="21"/>
      <c r="I11" s="22"/>
      <c r="J11" s="21"/>
      <c r="K11" s="21"/>
      <c r="L11" s="21"/>
      <c r="M11" s="21">
        <v>1200.0</v>
      </c>
      <c r="N11" s="21"/>
      <c r="O11" s="21"/>
      <c r="P11" s="58">
        <v>1200.0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45346.0</v>
      </c>
      <c r="C12" s="55" t="s">
        <v>1717</v>
      </c>
      <c r="D12" s="56">
        <v>81774.0</v>
      </c>
      <c r="E12" s="57" t="s">
        <v>1718</v>
      </c>
      <c r="F12" s="21"/>
      <c r="G12" s="21"/>
      <c r="H12" s="21"/>
      <c r="I12" s="22">
        <v>290.0</v>
      </c>
      <c r="J12" s="21"/>
      <c r="K12" s="21"/>
      <c r="L12" s="21"/>
      <c r="M12" s="21"/>
      <c r="N12" s="21"/>
      <c r="O12" s="21"/>
      <c r="P12" s="58">
        <v>290.0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45346.0</v>
      </c>
      <c r="C13" s="55" t="s">
        <v>1719</v>
      </c>
      <c r="D13" s="56">
        <v>58050.0</v>
      </c>
      <c r="E13" s="57" t="s">
        <v>364</v>
      </c>
      <c r="F13" s="21"/>
      <c r="G13" s="21"/>
      <c r="H13" s="21"/>
      <c r="I13" s="22"/>
      <c r="J13" s="21">
        <v>7150.0</v>
      </c>
      <c r="K13" s="21"/>
      <c r="L13" s="21"/>
      <c r="M13" s="21"/>
      <c r="N13" s="21"/>
      <c r="O13" s="21"/>
      <c r="P13" s="58">
        <v>7150.0</v>
      </c>
      <c r="Q13" s="24">
        <f t="shared" si="1"/>
        <v>0</v>
      </c>
      <c r="R13" s="59" t="s">
        <v>85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45346.0</v>
      </c>
      <c r="C14" s="55" t="s">
        <v>1720</v>
      </c>
      <c r="D14" s="56">
        <v>54226.0</v>
      </c>
      <c r="E14" s="57" t="s">
        <v>487</v>
      </c>
      <c r="F14" s="21"/>
      <c r="G14" s="21"/>
      <c r="H14" s="21"/>
      <c r="I14" s="22"/>
      <c r="J14" s="21">
        <v>5150.0</v>
      </c>
      <c r="K14" s="21"/>
      <c r="L14" s="21"/>
      <c r="M14" s="21"/>
      <c r="N14" s="21"/>
      <c r="O14" s="21"/>
      <c r="P14" s="58">
        <v>5150.0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45346.0</v>
      </c>
      <c r="C15" s="55" t="s">
        <v>1721</v>
      </c>
      <c r="D15" s="56">
        <v>50436.0</v>
      </c>
      <c r="E15" s="57" t="s">
        <v>93</v>
      </c>
      <c r="F15" s="21"/>
      <c r="G15" s="21"/>
      <c r="H15" s="21"/>
      <c r="I15" s="22">
        <v>10000.0</v>
      </c>
      <c r="J15" s="21"/>
      <c r="K15" s="21"/>
      <c r="L15" s="21"/>
      <c r="M15" s="21"/>
      <c r="N15" s="21"/>
      <c r="O15" s="21"/>
      <c r="P15" s="58">
        <v>10000.0</v>
      </c>
      <c r="Q15" s="24">
        <f t="shared" si="1"/>
        <v>0</v>
      </c>
      <c r="R15" s="59" t="s">
        <v>85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45346.0</v>
      </c>
      <c r="C16" s="55" t="s">
        <v>1722</v>
      </c>
      <c r="D16" s="56">
        <v>22727.0</v>
      </c>
      <c r="E16" s="57" t="s">
        <v>750</v>
      </c>
      <c r="F16" s="21"/>
      <c r="G16" s="21"/>
      <c r="H16" s="21"/>
      <c r="I16" s="22"/>
      <c r="J16" s="21">
        <v>5000.0</v>
      </c>
      <c r="K16" s="21"/>
      <c r="L16" s="21"/>
      <c r="M16" s="21"/>
      <c r="N16" s="21"/>
      <c r="O16" s="21"/>
      <c r="P16" s="58">
        <v>5000.0</v>
      </c>
      <c r="Q16" s="24">
        <f t="shared" si="1"/>
        <v>0</v>
      </c>
      <c r="R16" s="59" t="s">
        <v>66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45346.0</v>
      </c>
      <c r="C17" s="55" t="s">
        <v>1723</v>
      </c>
      <c r="D17" s="56">
        <v>59812.0</v>
      </c>
      <c r="E17" s="57" t="s">
        <v>106</v>
      </c>
      <c r="F17" s="21"/>
      <c r="G17" s="21"/>
      <c r="H17" s="21"/>
      <c r="I17" s="21">
        <v>5150.0</v>
      </c>
      <c r="J17" s="21"/>
      <c r="K17" s="21"/>
      <c r="L17" s="21"/>
      <c r="M17" s="21"/>
      <c r="N17" s="21"/>
      <c r="O17" s="21"/>
      <c r="P17" s="58">
        <v>5150.0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45346.0</v>
      </c>
      <c r="C18" s="55" t="s">
        <v>1724</v>
      </c>
      <c r="D18" s="56">
        <v>54211.0</v>
      </c>
      <c r="E18" s="57" t="s">
        <v>32</v>
      </c>
      <c r="F18" s="21"/>
      <c r="G18" s="21"/>
      <c r="H18" s="21"/>
      <c r="I18" s="21">
        <v>9750.0</v>
      </c>
      <c r="J18" s="21"/>
      <c r="K18" s="21"/>
      <c r="L18" s="21"/>
      <c r="M18" s="21"/>
      <c r="N18" s="21"/>
      <c r="O18" s="21"/>
      <c r="P18" s="58">
        <v>9750.0</v>
      </c>
      <c r="Q18" s="24">
        <f t="shared" si="1"/>
        <v>0</v>
      </c>
      <c r="R18" s="59" t="s">
        <v>85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45346.0</v>
      </c>
      <c r="C19" s="55" t="s">
        <v>1725</v>
      </c>
      <c r="D19" s="56">
        <v>80810.0</v>
      </c>
      <c r="E19" s="57" t="s">
        <v>1726</v>
      </c>
      <c r="F19" s="21"/>
      <c r="G19" s="21"/>
      <c r="H19" s="21"/>
      <c r="I19" s="21">
        <v>9500.0</v>
      </c>
      <c r="J19" s="21"/>
      <c r="K19" s="21"/>
      <c r="L19" s="21"/>
      <c r="M19" s="21"/>
      <c r="N19" s="21"/>
      <c r="O19" s="21"/>
      <c r="P19" s="58">
        <v>9500.0</v>
      </c>
      <c r="Q19" s="24">
        <f t="shared" si="1"/>
        <v>0</v>
      </c>
      <c r="R19" s="59" t="s">
        <v>27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45346.0</v>
      </c>
      <c r="C20" s="55" t="s">
        <v>1727</v>
      </c>
      <c r="D20" s="56">
        <v>13762.0</v>
      </c>
      <c r="E20" s="57" t="s">
        <v>267</v>
      </c>
      <c r="F20" s="21"/>
      <c r="G20" s="21"/>
      <c r="H20" s="21"/>
      <c r="I20" s="21"/>
      <c r="J20" s="21">
        <v>22700.0</v>
      </c>
      <c r="K20" s="21"/>
      <c r="L20" s="21"/>
      <c r="M20" s="21"/>
      <c r="N20" s="21"/>
      <c r="O20" s="21"/>
      <c r="P20" s="58">
        <v>22700.0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45345.0</v>
      </c>
      <c r="C21" s="55" t="s">
        <v>1728</v>
      </c>
      <c r="D21" s="56">
        <v>81774.0</v>
      </c>
      <c r="E21" s="57" t="s">
        <v>1718</v>
      </c>
      <c r="F21" s="21"/>
      <c r="G21" s="21"/>
      <c r="H21" s="21">
        <v>350.0</v>
      </c>
      <c r="I21" s="22"/>
      <c r="J21" s="22"/>
      <c r="K21" s="21"/>
      <c r="L21" s="21"/>
      <c r="M21" s="21"/>
      <c r="N21" s="21"/>
      <c r="O21" s="21"/>
      <c r="P21" s="58">
        <v>350.0</v>
      </c>
      <c r="Q21" s="24">
        <f t="shared" si="1"/>
        <v>0</v>
      </c>
      <c r="R21" s="59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45346.0</v>
      </c>
      <c r="C22" s="55" t="s">
        <v>1729</v>
      </c>
      <c r="D22" s="56">
        <v>62876.0</v>
      </c>
      <c r="E22" s="57" t="s">
        <v>1730</v>
      </c>
      <c r="F22" s="21"/>
      <c r="G22" s="21"/>
      <c r="H22" s="21">
        <v>3550.0</v>
      </c>
      <c r="I22" s="22"/>
      <c r="J22" s="22"/>
      <c r="K22" s="21"/>
      <c r="L22" s="21"/>
      <c r="M22" s="21"/>
      <c r="N22" s="21"/>
      <c r="O22" s="21"/>
      <c r="P22" s="58">
        <v>3550.0</v>
      </c>
      <c r="Q22" s="24">
        <f t="shared" si="1"/>
        <v>0</v>
      </c>
      <c r="R22" s="59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/>
      <c r="C23" s="56"/>
      <c r="D23" s="56"/>
      <c r="E23" s="57"/>
      <c r="F23" s="30"/>
      <c r="G23" s="30"/>
      <c r="H23" s="68"/>
      <c r="I23" s="68"/>
      <c r="J23" s="68"/>
      <c r="K23" s="30"/>
      <c r="L23" s="30"/>
      <c r="M23" s="30"/>
      <c r="N23" s="30"/>
      <c r="O23" s="30"/>
      <c r="P23" s="61"/>
      <c r="Q23" s="24">
        <f t="shared" si="1"/>
        <v>0</v>
      </c>
      <c r="R23" s="57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 t="s">
        <v>242</v>
      </c>
      <c r="B24" s="63"/>
      <c r="C24" s="64"/>
      <c r="D24" s="64"/>
      <c r="E24" s="65"/>
      <c r="F24" s="30"/>
      <c r="G24" s="30"/>
      <c r="H24" s="30"/>
      <c r="I24" s="68"/>
      <c r="J24" s="68"/>
      <c r="K24" s="30"/>
      <c r="L24" s="30"/>
      <c r="M24" s="30"/>
      <c r="N24" s="30"/>
      <c r="O24" s="30"/>
      <c r="P24" s="66"/>
      <c r="Q24" s="24">
        <f t="shared" si="1"/>
        <v>0</v>
      </c>
      <c r="R24" s="57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/>
      <c r="B25" s="27"/>
      <c r="C25" s="28"/>
      <c r="D25" s="29"/>
      <c r="E25" s="28"/>
      <c r="F25" s="30">
        <f t="shared" ref="F25:Q25" si="2">SUM(F5:F24)</f>
        <v>0</v>
      </c>
      <c r="G25" s="30">
        <f t="shared" si="2"/>
        <v>0</v>
      </c>
      <c r="H25" s="30">
        <f t="shared" si="2"/>
        <v>3900</v>
      </c>
      <c r="I25" s="30">
        <f t="shared" si="2"/>
        <v>70240</v>
      </c>
      <c r="J25" s="30">
        <f t="shared" si="2"/>
        <v>40000</v>
      </c>
      <c r="K25" s="30">
        <f t="shared" si="2"/>
        <v>17500</v>
      </c>
      <c r="L25" s="30">
        <f t="shared" si="2"/>
        <v>0</v>
      </c>
      <c r="M25" s="30">
        <f t="shared" si="2"/>
        <v>1200</v>
      </c>
      <c r="N25" s="30">
        <f t="shared" si="2"/>
        <v>0</v>
      </c>
      <c r="O25" s="30">
        <f t="shared" si="2"/>
        <v>0</v>
      </c>
      <c r="P25" s="68">
        <f t="shared" si="2"/>
        <v>132840</v>
      </c>
      <c r="Q25" s="24">
        <f t="shared" si="2"/>
        <v>0</v>
      </c>
      <c r="R25" s="67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36.0" customHeight="1">
      <c r="A26" s="35"/>
      <c r="B26" s="35"/>
      <c r="C26" s="35"/>
      <c r="D26" s="35"/>
      <c r="E26" s="35"/>
      <c r="F26" s="36">
        <f>F25+G25+H25+I25+J25+K25+L25+M25+N25+O25</f>
        <v>132840</v>
      </c>
      <c r="P26" s="36"/>
      <c r="Q26" s="36"/>
      <c r="R26" s="35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37" t="s">
        <v>242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38" t="s">
        <v>243</v>
      </c>
      <c r="F30" s="39" t="s">
        <v>1731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38" t="s">
        <v>245</v>
      </c>
      <c r="F31" s="39" t="s">
        <v>359</v>
      </c>
      <c r="G31" s="4"/>
      <c r="H31" s="4"/>
      <c r="I31" s="4"/>
      <c r="J31" s="4"/>
      <c r="K31" s="4"/>
      <c r="L31" s="4"/>
      <c r="M31" s="4"/>
      <c r="N31" s="4"/>
      <c r="O31" s="4" t="s">
        <v>242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38" t="s">
        <v>246</v>
      </c>
      <c r="F32" s="39" t="s">
        <v>880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38" t="s">
        <v>247</v>
      </c>
      <c r="F33" s="39" t="s">
        <v>880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38" t="s">
        <v>248</v>
      </c>
      <c r="F34" s="39" t="s">
        <v>281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7.0" customHeight="1">
      <c r="A35" s="4"/>
      <c r="B35" s="4"/>
      <c r="C35" s="4"/>
      <c r="D35" s="4"/>
      <c r="E35" s="38" t="s">
        <v>1732</v>
      </c>
      <c r="F35" s="39" t="s">
        <v>880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0.0" customHeight="1">
      <c r="A36" s="4"/>
      <c r="B36" s="4"/>
      <c r="C36" s="4"/>
      <c r="D36" s="4"/>
      <c r="E36" s="40" t="s">
        <v>250</v>
      </c>
      <c r="F36" s="39" t="s">
        <v>880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38" t="s">
        <v>252</v>
      </c>
      <c r="F37" s="39" t="s">
        <v>880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 t="s">
        <v>242</v>
      </c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 t="s">
        <v>253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26:O2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1733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45347.0</v>
      </c>
      <c r="C5" s="55" t="s">
        <v>1734</v>
      </c>
      <c r="D5" s="56">
        <v>45096.0</v>
      </c>
      <c r="E5" s="57" t="s">
        <v>313</v>
      </c>
      <c r="F5" s="21"/>
      <c r="G5" s="21"/>
      <c r="H5" s="21"/>
      <c r="I5" s="21">
        <v>9200.0</v>
      </c>
      <c r="J5" s="22"/>
      <c r="K5" s="21"/>
      <c r="L5" s="21"/>
      <c r="M5" s="21"/>
      <c r="N5" s="21"/>
      <c r="O5" s="21"/>
      <c r="P5" s="58">
        <v>9200.0</v>
      </c>
      <c r="Q5" s="24">
        <f t="shared" ref="Q5:Q35" si="1">F5+G5+H5+I5+J5+K5+L5+M5+N5+O5-P5</f>
        <v>0</v>
      </c>
      <c r="R5" s="59" t="s">
        <v>30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45347.0</v>
      </c>
      <c r="C6" s="55" t="s">
        <v>1735</v>
      </c>
      <c r="D6" s="56">
        <v>53210.0</v>
      </c>
      <c r="E6" s="57" t="s">
        <v>1736</v>
      </c>
      <c r="F6" s="21"/>
      <c r="G6" s="21"/>
      <c r="H6" s="21"/>
      <c r="I6" s="22">
        <v>2650.0</v>
      </c>
      <c r="J6" s="21"/>
      <c r="K6" s="21"/>
      <c r="L6" s="21"/>
      <c r="M6" s="21"/>
      <c r="N6" s="21"/>
      <c r="O6" s="21"/>
      <c r="P6" s="58">
        <v>2650.0</v>
      </c>
      <c r="Q6" s="24">
        <f t="shared" si="1"/>
        <v>0</v>
      </c>
      <c r="R6" s="59" t="s">
        <v>30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45347.0</v>
      </c>
      <c r="C7" s="55" t="s">
        <v>1737</v>
      </c>
      <c r="D7" s="56">
        <v>48910.0</v>
      </c>
      <c r="E7" s="57" t="s">
        <v>175</v>
      </c>
      <c r="F7" s="21"/>
      <c r="G7" s="21"/>
      <c r="H7" s="21"/>
      <c r="I7" s="22">
        <v>3900.0</v>
      </c>
      <c r="J7" s="21"/>
      <c r="K7" s="21"/>
      <c r="L7" s="21"/>
      <c r="M7" s="21"/>
      <c r="N7" s="21"/>
      <c r="O7" s="21"/>
      <c r="P7" s="58">
        <v>3900.0</v>
      </c>
      <c r="Q7" s="24">
        <f t="shared" si="1"/>
        <v>0</v>
      </c>
      <c r="R7" s="59" t="s">
        <v>30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45347.0</v>
      </c>
      <c r="C8" s="55" t="s">
        <v>1738</v>
      </c>
      <c r="D8" s="56">
        <v>54501.0</v>
      </c>
      <c r="E8" s="57" t="s">
        <v>1739</v>
      </c>
      <c r="F8" s="21"/>
      <c r="G8" s="21"/>
      <c r="H8" s="21"/>
      <c r="I8" s="21"/>
      <c r="J8" s="21"/>
      <c r="K8" s="21"/>
      <c r="L8" s="21"/>
      <c r="M8" s="21">
        <v>2650.0</v>
      </c>
      <c r="N8" s="21"/>
      <c r="O8" s="21"/>
      <c r="P8" s="58">
        <v>2650.0</v>
      </c>
      <c r="Q8" s="24">
        <f t="shared" si="1"/>
        <v>0</v>
      </c>
      <c r="R8" s="59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45347.0</v>
      </c>
      <c r="C9" s="55" t="s">
        <v>1740</v>
      </c>
      <c r="D9" s="56">
        <v>73016.0</v>
      </c>
      <c r="E9" s="57" t="s">
        <v>635</v>
      </c>
      <c r="F9" s="21"/>
      <c r="G9" s="21"/>
      <c r="H9" s="21"/>
      <c r="I9" s="21"/>
      <c r="J9" s="21">
        <v>2650.0</v>
      </c>
      <c r="K9" s="21"/>
      <c r="L9" s="21"/>
      <c r="M9" s="21"/>
      <c r="N9" s="21"/>
      <c r="O9" s="21"/>
      <c r="P9" s="58">
        <v>2650.0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45347.0</v>
      </c>
      <c r="C10" s="55" t="s">
        <v>1741</v>
      </c>
      <c r="D10" s="56">
        <v>37078.0</v>
      </c>
      <c r="E10" s="57" t="s">
        <v>1742</v>
      </c>
      <c r="F10" s="21"/>
      <c r="G10" s="21"/>
      <c r="H10" s="21"/>
      <c r="I10" s="21">
        <v>1350.0</v>
      </c>
      <c r="J10" s="21"/>
      <c r="K10" s="21"/>
      <c r="L10" s="21"/>
      <c r="M10" s="21"/>
      <c r="N10" s="21"/>
      <c r="O10" s="21"/>
      <c r="P10" s="58">
        <v>1350.0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45347.0</v>
      </c>
      <c r="C11" s="55" t="s">
        <v>1743</v>
      </c>
      <c r="D11" s="56">
        <v>77501.0</v>
      </c>
      <c r="E11" s="57" t="s">
        <v>1117</v>
      </c>
      <c r="F11" s="21"/>
      <c r="G11" s="21"/>
      <c r="H11" s="21"/>
      <c r="I11" s="22"/>
      <c r="J11" s="21">
        <v>2650.0</v>
      </c>
      <c r="K11" s="21"/>
      <c r="L11" s="21"/>
      <c r="M11" s="21"/>
      <c r="N11" s="21"/>
      <c r="O11" s="21"/>
      <c r="P11" s="58">
        <v>2650.0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45347.0</v>
      </c>
      <c r="C12" s="55" t="s">
        <v>1744</v>
      </c>
      <c r="D12" s="56">
        <v>21821.0</v>
      </c>
      <c r="E12" s="57" t="s">
        <v>1675</v>
      </c>
      <c r="F12" s="21"/>
      <c r="G12" s="21">
        <v>19700.0</v>
      </c>
      <c r="H12" s="21"/>
      <c r="I12" s="22"/>
      <c r="J12" s="21"/>
      <c r="K12" s="21"/>
      <c r="L12" s="21"/>
      <c r="M12" s="21"/>
      <c r="N12" s="21"/>
      <c r="O12" s="21"/>
      <c r="P12" s="58">
        <v>19700.0</v>
      </c>
      <c r="Q12" s="24">
        <f t="shared" si="1"/>
        <v>0</v>
      </c>
      <c r="R12" s="59" t="s">
        <v>24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45347.0</v>
      </c>
      <c r="C13" s="55" t="s">
        <v>1745</v>
      </c>
      <c r="D13" s="56">
        <v>68268.0</v>
      </c>
      <c r="E13" s="57" t="s">
        <v>89</v>
      </c>
      <c r="F13" s="21"/>
      <c r="G13" s="21"/>
      <c r="H13" s="21"/>
      <c r="I13" s="22">
        <v>13772.0</v>
      </c>
      <c r="J13" s="21"/>
      <c r="K13" s="21">
        <v>1853.0</v>
      </c>
      <c r="L13" s="21"/>
      <c r="M13" s="21"/>
      <c r="N13" s="21"/>
      <c r="O13" s="21"/>
      <c r="P13" s="58">
        <v>15625.0</v>
      </c>
      <c r="Q13" s="24">
        <f t="shared" si="1"/>
        <v>0</v>
      </c>
      <c r="R13" s="59" t="s">
        <v>85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45347.0</v>
      </c>
      <c r="C14" s="55" t="s">
        <v>1746</v>
      </c>
      <c r="D14" s="56">
        <v>10250.0</v>
      </c>
      <c r="E14" s="57" t="s">
        <v>91</v>
      </c>
      <c r="F14" s="21"/>
      <c r="G14" s="21"/>
      <c r="H14" s="21"/>
      <c r="I14" s="22">
        <v>13100.0</v>
      </c>
      <c r="J14" s="21"/>
      <c r="K14" s="21"/>
      <c r="L14" s="21"/>
      <c r="M14" s="21"/>
      <c r="N14" s="21"/>
      <c r="O14" s="21"/>
      <c r="P14" s="58">
        <v>13100.0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45347.0</v>
      </c>
      <c r="C15" s="55" t="s">
        <v>1747</v>
      </c>
      <c r="D15" s="56">
        <v>80423.0</v>
      </c>
      <c r="E15" s="57" t="s">
        <v>76</v>
      </c>
      <c r="F15" s="21"/>
      <c r="G15" s="21"/>
      <c r="H15" s="21"/>
      <c r="I15" s="22">
        <v>1800.0</v>
      </c>
      <c r="J15" s="21"/>
      <c r="K15" s="21"/>
      <c r="L15" s="21"/>
      <c r="M15" s="21"/>
      <c r="N15" s="21"/>
      <c r="O15" s="21"/>
      <c r="P15" s="58">
        <v>1800.0</v>
      </c>
      <c r="Q15" s="24">
        <f t="shared" si="1"/>
        <v>0</v>
      </c>
      <c r="R15" s="59" t="s">
        <v>27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45347.0</v>
      </c>
      <c r="C16" s="55" t="s">
        <v>1748</v>
      </c>
      <c r="D16" s="56">
        <v>30894.0</v>
      </c>
      <c r="E16" s="57" t="s">
        <v>1749</v>
      </c>
      <c r="F16" s="21"/>
      <c r="G16" s="21"/>
      <c r="H16" s="21"/>
      <c r="I16" s="22"/>
      <c r="J16" s="21">
        <v>1550.0</v>
      </c>
      <c r="K16" s="21"/>
      <c r="L16" s="21"/>
      <c r="M16" s="21"/>
      <c r="N16" s="21"/>
      <c r="O16" s="21"/>
      <c r="P16" s="58">
        <v>1550.0</v>
      </c>
      <c r="Q16" s="24">
        <f t="shared" si="1"/>
        <v>0</v>
      </c>
      <c r="R16" s="59" t="s">
        <v>85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45347.0</v>
      </c>
      <c r="C17" s="55" t="s">
        <v>1750</v>
      </c>
      <c r="D17" s="56">
        <v>13781.0</v>
      </c>
      <c r="E17" s="57" t="s">
        <v>302</v>
      </c>
      <c r="F17" s="21"/>
      <c r="G17" s="21"/>
      <c r="H17" s="21">
        <v>3750.0</v>
      </c>
      <c r="I17" s="21"/>
      <c r="J17" s="21"/>
      <c r="K17" s="21"/>
      <c r="L17" s="21"/>
      <c r="M17" s="21"/>
      <c r="N17" s="21"/>
      <c r="O17" s="21"/>
      <c r="P17" s="58">
        <v>3750.0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45347.0</v>
      </c>
      <c r="C18" s="55" t="s">
        <v>1751</v>
      </c>
      <c r="D18" s="56">
        <v>47787.0</v>
      </c>
      <c r="E18" s="57" t="s">
        <v>1016</v>
      </c>
      <c r="F18" s="21"/>
      <c r="G18" s="21"/>
      <c r="H18" s="21"/>
      <c r="I18" s="21">
        <v>450.0</v>
      </c>
      <c r="J18" s="21"/>
      <c r="K18" s="21"/>
      <c r="L18" s="21"/>
      <c r="M18" s="21"/>
      <c r="N18" s="21"/>
      <c r="O18" s="21"/>
      <c r="P18" s="58">
        <v>450.0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45347.0</v>
      </c>
      <c r="C19" s="55" t="s">
        <v>1752</v>
      </c>
      <c r="D19" s="56">
        <v>35245.0</v>
      </c>
      <c r="E19" s="57" t="s">
        <v>1081</v>
      </c>
      <c r="F19" s="21"/>
      <c r="G19" s="21"/>
      <c r="H19" s="21">
        <v>4850.0</v>
      </c>
      <c r="I19" s="21"/>
      <c r="J19" s="21"/>
      <c r="K19" s="21"/>
      <c r="L19" s="21"/>
      <c r="M19" s="21"/>
      <c r="N19" s="21"/>
      <c r="O19" s="21"/>
      <c r="P19" s="58">
        <v>4850.0</v>
      </c>
      <c r="Q19" s="24">
        <f t="shared" si="1"/>
        <v>0</v>
      </c>
      <c r="R19" s="59" t="s">
        <v>24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45347.0</v>
      </c>
      <c r="C20" s="55" t="s">
        <v>1753</v>
      </c>
      <c r="D20" s="56">
        <v>77191.0</v>
      </c>
      <c r="E20" s="57" t="s">
        <v>329</v>
      </c>
      <c r="F20" s="21"/>
      <c r="G20" s="21"/>
      <c r="H20" s="21"/>
      <c r="I20" s="21">
        <v>4650.0</v>
      </c>
      <c r="J20" s="21"/>
      <c r="K20" s="21"/>
      <c r="L20" s="21"/>
      <c r="M20" s="21"/>
      <c r="N20" s="21"/>
      <c r="O20" s="21"/>
      <c r="P20" s="58">
        <v>4650.0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45347.0</v>
      </c>
      <c r="C21" s="55" t="s">
        <v>1754</v>
      </c>
      <c r="D21" s="56">
        <v>74765.0</v>
      </c>
      <c r="E21" s="57" t="s">
        <v>1755</v>
      </c>
      <c r="F21" s="21"/>
      <c r="G21" s="21"/>
      <c r="H21" s="21"/>
      <c r="I21" s="22">
        <v>5150.0</v>
      </c>
      <c r="J21" s="22"/>
      <c r="K21" s="21"/>
      <c r="L21" s="21"/>
      <c r="M21" s="21"/>
      <c r="N21" s="21"/>
      <c r="O21" s="21"/>
      <c r="P21" s="58">
        <v>5150.0</v>
      </c>
      <c r="Q21" s="24">
        <f t="shared" si="1"/>
        <v>0</v>
      </c>
      <c r="R21" s="59" t="s">
        <v>85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45347.0</v>
      </c>
      <c r="C22" s="55" t="s">
        <v>1756</v>
      </c>
      <c r="D22" s="56">
        <v>81788.0</v>
      </c>
      <c r="E22" s="57" t="s">
        <v>1757</v>
      </c>
      <c r="F22" s="21"/>
      <c r="G22" s="21"/>
      <c r="H22" s="21"/>
      <c r="I22" s="22">
        <v>7300.0</v>
      </c>
      <c r="J22" s="22"/>
      <c r="K22" s="21"/>
      <c r="L22" s="21"/>
      <c r="M22" s="21"/>
      <c r="N22" s="21"/>
      <c r="O22" s="21"/>
      <c r="P22" s="58">
        <v>7300.0</v>
      </c>
      <c r="Q22" s="24">
        <f t="shared" si="1"/>
        <v>0</v>
      </c>
      <c r="R22" s="59" t="s">
        <v>27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45347.0</v>
      </c>
      <c r="C23" s="56" t="s">
        <v>1758</v>
      </c>
      <c r="D23" s="56">
        <v>81788.0</v>
      </c>
      <c r="E23" s="57" t="s">
        <v>1757</v>
      </c>
      <c r="F23" s="30"/>
      <c r="G23" s="30"/>
      <c r="H23" s="68"/>
      <c r="I23" s="68">
        <v>2500.0</v>
      </c>
      <c r="J23" s="68"/>
      <c r="K23" s="30"/>
      <c r="L23" s="30"/>
      <c r="M23" s="30"/>
      <c r="N23" s="30"/>
      <c r="O23" s="30"/>
      <c r="P23" s="61">
        <v>2500.0</v>
      </c>
      <c r="Q23" s="24">
        <f t="shared" si="1"/>
        <v>0</v>
      </c>
      <c r="R23" s="57" t="s">
        <v>27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3">
        <v>45347.0</v>
      </c>
      <c r="C24" s="64" t="s">
        <v>1759</v>
      </c>
      <c r="D24" s="64">
        <v>54409.0</v>
      </c>
      <c r="E24" s="65" t="s">
        <v>1760</v>
      </c>
      <c r="F24" s="30"/>
      <c r="G24" s="30"/>
      <c r="H24" s="30"/>
      <c r="I24" s="68"/>
      <c r="J24" s="68">
        <v>2650.0</v>
      </c>
      <c r="K24" s="30"/>
      <c r="L24" s="30"/>
      <c r="M24" s="30"/>
      <c r="N24" s="30"/>
      <c r="O24" s="30"/>
      <c r="P24" s="66">
        <v>2650.0</v>
      </c>
      <c r="Q24" s="24">
        <f t="shared" si="1"/>
        <v>0</v>
      </c>
      <c r="R24" s="57" t="s">
        <v>27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3">
        <v>45347.0</v>
      </c>
      <c r="C25" s="64" t="s">
        <v>1761</v>
      </c>
      <c r="D25" s="64">
        <v>13781.0</v>
      </c>
      <c r="E25" s="65" t="s">
        <v>302</v>
      </c>
      <c r="F25" s="30"/>
      <c r="G25" s="30"/>
      <c r="H25" s="30"/>
      <c r="I25" s="68">
        <v>4575.0</v>
      </c>
      <c r="J25" s="68"/>
      <c r="K25" s="30"/>
      <c r="L25" s="30"/>
      <c r="M25" s="30"/>
      <c r="N25" s="30"/>
      <c r="O25" s="30"/>
      <c r="P25" s="66">
        <v>4575.0</v>
      </c>
      <c r="Q25" s="24">
        <f t="shared" si="1"/>
        <v>0</v>
      </c>
      <c r="R25" s="57" t="s">
        <v>85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3">
        <v>45347.0</v>
      </c>
      <c r="C26" s="64" t="s">
        <v>1762</v>
      </c>
      <c r="D26" s="64">
        <v>51406.0</v>
      </c>
      <c r="E26" s="65" t="s">
        <v>657</v>
      </c>
      <c r="F26" s="30"/>
      <c r="G26" s="30"/>
      <c r="H26" s="30"/>
      <c r="I26" s="68">
        <v>2500.0</v>
      </c>
      <c r="J26" s="68"/>
      <c r="K26" s="30"/>
      <c r="L26" s="30"/>
      <c r="M26" s="30"/>
      <c r="N26" s="30"/>
      <c r="O26" s="30"/>
      <c r="P26" s="66">
        <v>2500.0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3">
        <v>45347.0</v>
      </c>
      <c r="C27" s="64" t="s">
        <v>1763</v>
      </c>
      <c r="D27" s="64">
        <v>52396.0</v>
      </c>
      <c r="E27" s="65" t="s">
        <v>315</v>
      </c>
      <c r="F27" s="30"/>
      <c r="G27" s="30"/>
      <c r="H27" s="30"/>
      <c r="I27" s="68"/>
      <c r="J27" s="68">
        <v>5000.0</v>
      </c>
      <c r="K27" s="30"/>
      <c r="L27" s="30"/>
      <c r="M27" s="30"/>
      <c r="N27" s="30"/>
      <c r="O27" s="30"/>
      <c r="P27" s="66">
        <v>5000.0</v>
      </c>
      <c r="Q27" s="24">
        <f t="shared" si="1"/>
        <v>0</v>
      </c>
      <c r="R27" s="57" t="s">
        <v>27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3">
        <v>45347.0</v>
      </c>
      <c r="C28" s="64" t="s">
        <v>1764</v>
      </c>
      <c r="D28" s="64">
        <v>54242.0</v>
      </c>
      <c r="E28" s="65" t="s">
        <v>1765</v>
      </c>
      <c r="F28" s="30"/>
      <c r="G28" s="30"/>
      <c r="H28" s="30"/>
      <c r="I28" s="68"/>
      <c r="J28" s="68">
        <v>5000.0</v>
      </c>
      <c r="K28" s="30"/>
      <c r="L28" s="30"/>
      <c r="M28" s="30"/>
      <c r="N28" s="30"/>
      <c r="O28" s="30"/>
      <c r="P28" s="66">
        <v>5000.0</v>
      </c>
      <c r="Q28" s="24">
        <f t="shared" si="1"/>
        <v>0</v>
      </c>
      <c r="R28" s="57" t="s">
        <v>27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3">
        <v>45347.0</v>
      </c>
      <c r="C29" s="64" t="s">
        <v>1766</v>
      </c>
      <c r="D29" s="64">
        <v>52808.0</v>
      </c>
      <c r="E29" s="65" t="s">
        <v>1767</v>
      </c>
      <c r="F29" s="30"/>
      <c r="G29" s="30"/>
      <c r="H29" s="30"/>
      <c r="I29" s="68"/>
      <c r="J29" s="68">
        <v>5000.0</v>
      </c>
      <c r="K29" s="30"/>
      <c r="L29" s="30"/>
      <c r="M29" s="30"/>
      <c r="N29" s="30"/>
      <c r="O29" s="30"/>
      <c r="P29" s="66">
        <v>5000.0</v>
      </c>
      <c r="Q29" s="24">
        <f t="shared" si="1"/>
        <v>0</v>
      </c>
      <c r="R29" s="57" t="s">
        <v>27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3">
        <v>45347.0</v>
      </c>
      <c r="C30" s="64" t="s">
        <v>1768</v>
      </c>
      <c r="D30" s="64">
        <v>51697.0</v>
      </c>
      <c r="E30" s="65" t="s">
        <v>441</v>
      </c>
      <c r="F30" s="30"/>
      <c r="G30" s="30"/>
      <c r="H30" s="30"/>
      <c r="I30" s="68"/>
      <c r="J30" s="68">
        <v>2671.0</v>
      </c>
      <c r="K30" s="30">
        <v>2479.0</v>
      </c>
      <c r="L30" s="30"/>
      <c r="M30" s="30"/>
      <c r="N30" s="30"/>
      <c r="O30" s="30"/>
      <c r="P30" s="66">
        <v>5150.0</v>
      </c>
      <c r="Q30" s="24">
        <f t="shared" si="1"/>
        <v>0</v>
      </c>
      <c r="R30" s="57" t="s">
        <v>85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3">
        <v>45347.0</v>
      </c>
      <c r="C31" s="64" t="s">
        <v>1769</v>
      </c>
      <c r="D31" s="64">
        <v>81179.0</v>
      </c>
      <c r="E31" s="65" t="s">
        <v>877</v>
      </c>
      <c r="F31" s="30"/>
      <c r="G31" s="30"/>
      <c r="H31" s="30"/>
      <c r="I31" s="68"/>
      <c r="J31" s="68"/>
      <c r="K31" s="30"/>
      <c r="L31" s="30"/>
      <c r="M31" s="30">
        <v>5875.0</v>
      </c>
      <c r="N31" s="30"/>
      <c r="O31" s="30"/>
      <c r="P31" s="66">
        <v>5875.0</v>
      </c>
      <c r="Q31" s="24">
        <f t="shared" si="1"/>
        <v>0</v>
      </c>
      <c r="R31" s="57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3">
        <v>45347.0</v>
      </c>
      <c r="C32" s="64" t="s">
        <v>1770</v>
      </c>
      <c r="D32" s="64">
        <v>49918.0</v>
      </c>
      <c r="E32" s="65" t="s">
        <v>1299</v>
      </c>
      <c r="F32" s="30"/>
      <c r="G32" s="30"/>
      <c r="H32" s="30"/>
      <c r="I32" s="68"/>
      <c r="J32" s="68"/>
      <c r="K32" s="30"/>
      <c r="L32" s="30"/>
      <c r="M32" s="30">
        <v>1250.0</v>
      </c>
      <c r="N32" s="30"/>
      <c r="O32" s="30"/>
      <c r="P32" s="66">
        <v>1250.0</v>
      </c>
      <c r="Q32" s="24">
        <f t="shared" si="1"/>
        <v>0</v>
      </c>
      <c r="R32" s="57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3">
        <v>45347.0</v>
      </c>
      <c r="C33" s="64" t="s">
        <v>1771</v>
      </c>
      <c r="D33" s="64">
        <v>40721.0</v>
      </c>
      <c r="E33" s="65" t="s">
        <v>1772</v>
      </c>
      <c r="F33" s="30"/>
      <c r="G33" s="30"/>
      <c r="H33" s="30">
        <v>7000.0</v>
      </c>
      <c r="I33" s="68"/>
      <c r="J33" s="68"/>
      <c r="K33" s="30"/>
      <c r="L33" s="30"/>
      <c r="M33" s="30"/>
      <c r="N33" s="30"/>
      <c r="O33" s="30"/>
      <c r="P33" s="66">
        <v>7000.0</v>
      </c>
      <c r="Q33" s="24">
        <f t="shared" si="1"/>
        <v>0</v>
      </c>
      <c r="R33" s="57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3">
        <v>45347.0</v>
      </c>
      <c r="C34" s="64" t="s">
        <v>1773</v>
      </c>
      <c r="D34" s="64">
        <v>51040.0</v>
      </c>
      <c r="E34" s="65" t="s">
        <v>356</v>
      </c>
      <c r="F34" s="30"/>
      <c r="G34" s="30"/>
      <c r="H34" s="30">
        <v>2500.0</v>
      </c>
      <c r="I34" s="68"/>
      <c r="J34" s="68"/>
      <c r="K34" s="30"/>
      <c r="L34" s="30"/>
      <c r="M34" s="30"/>
      <c r="N34" s="30"/>
      <c r="O34" s="30"/>
      <c r="P34" s="66">
        <v>2500.0</v>
      </c>
      <c r="Q34" s="24">
        <f t="shared" si="1"/>
        <v>0</v>
      </c>
      <c r="R34" s="57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 t="s">
        <v>242</v>
      </c>
      <c r="B35" s="63"/>
      <c r="C35" s="64"/>
      <c r="D35" s="64"/>
      <c r="E35" s="65"/>
      <c r="F35" s="30"/>
      <c r="G35" s="30"/>
      <c r="H35" s="30"/>
      <c r="I35" s="68"/>
      <c r="J35" s="68"/>
      <c r="K35" s="30"/>
      <c r="L35" s="30"/>
      <c r="M35" s="30"/>
      <c r="N35" s="30"/>
      <c r="O35" s="30"/>
      <c r="P35" s="66"/>
      <c r="Q35" s="24">
        <f t="shared" si="1"/>
        <v>0</v>
      </c>
      <c r="R35" s="57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/>
      <c r="B36" s="27"/>
      <c r="C36" s="28"/>
      <c r="D36" s="29"/>
      <c r="E36" s="28"/>
      <c r="F36" s="30">
        <f t="shared" ref="F36:Q36" si="2">SUM(F5:F35)</f>
        <v>0</v>
      </c>
      <c r="G36" s="30">
        <f t="shared" si="2"/>
        <v>19700</v>
      </c>
      <c r="H36" s="30">
        <f t="shared" si="2"/>
        <v>18100</v>
      </c>
      <c r="I36" s="30">
        <f t="shared" si="2"/>
        <v>72897</v>
      </c>
      <c r="J36" s="30">
        <f t="shared" si="2"/>
        <v>27171</v>
      </c>
      <c r="K36" s="30">
        <f t="shared" si="2"/>
        <v>4332</v>
      </c>
      <c r="L36" s="30">
        <f t="shared" si="2"/>
        <v>0</v>
      </c>
      <c r="M36" s="30">
        <f t="shared" si="2"/>
        <v>9775</v>
      </c>
      <c r="N36" s="30">
        <f t="shared" si="2"/>
        <v>0</v>
      </c>
      <c r="O36" s="30">
        <f t="shared" si="2"/>
        <v>0</v>
      </c>
      <c r="P36" s="68">
        <f t="shared" si="2"/>
        <v>151975</v>
      </c>
      <c r="Q36" s="24">
        <f t="shared" si="2"/>
        <v>0</v>
      </c>
      <c r="R36" s="67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6.0" customHeight="1">
      <c r="A37" s="35"/>
      <c r="B37" s="35"/>
      <c r="C37" s="35"/>
      <c r="D37" s="35"/>
      <c r="E37" s="35"/>
      <c r="F37" s="36">
        <f>F36+G36+H36+I36+J36+K36+L36+M36+N36+O36</f>
        <v>151975</v>
      </c>
      <c r="P37" s="36"/>
      <c r="Q37" s="36"/>
      <c r="R37" s="35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37" t="s">
        <v>242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38" t="s">
        <v>243</v>
      </c>
      <c r="F41" s="39" t="s">
        <v>1731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38" t="s">
        <v>245</v>
      </c>
      <c r="F42" s="39" t="s">
        <v>834</v>
      </c>
      <c r="G42" s="4"/>
      <c r="H42" s="4"/>
      <c r="I42" s="4"/>
      <c r="J42" s="4"/>
      <c r="K42" s="4"/>
      <c r="L42" s="4"/>
      <c r="M42" s="4"/>
      <c r="N42" s="4"/>
      <c r="O42" s="4" t="s">
        <v>242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38" t="s">
        <v>246</v>
      </c>
      <c r="F43" s="39" t="s">
        <v>880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38" t="s">
        <v>247</v>
      </c>
      <c r="F44" s="39" t="s">
        <v>834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38" t="s">
        <v>248</v>
      </c>
      <c r="F45" s="39" t="s">
        <v>834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7.0" customHeight="1">
      <c r="A46" s="4"/>
      <c r="B46" s="4"/>
      <c r="C46" s="4"/>
      <c r="D46" s="4"/>
      <c r="E46" s="38" t="s">
        <v>1774</v>
      </c>
      <c r="F46" s="39" t="s">
        <v>244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0.0" customHeight="1">
      <c r="A47" s="4"/>
      <c r="B47" s="4"/>
      <c r="C47" s="4"/>
      <c r="D47" s="4"/>
      <c r="E47" s="40" t="s">
        <v>250</v>
      </c>
      <c r="F47" s="39" t="s">
        <v>880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38" t="s">
        <v>252</v>
      </c>
      <c r="F48" s="39" t="s">
        <v>880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 t="s">
        <v>242</v>
      </c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 t="s">
        <v>253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37:O3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1775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45347.0</v>
      </c>
      <c r="C5" s="55" t="s">
        <v>1776</v>
      </c>
      <c r="D5" s="56">
        <v>21818.0</v>
      </c>
      <c r="E5" s="57" t="s">
        <v>202</v>
      </c>
      <c r="F5" s="21"/>
      <c r="G5" s="21"/>
      <c r="H5" s="21"/>
      <c r="I5" s="21">
        <v>3250.0</v>
      </c>
      <c r="J5" s="22"/>
      <c r="K5" s="21"/>
      <c r="L5" s="21"/>
      <c r="M5" s="21"/>
      <c r="N5" s="21"/>
      <c r="O5" s="21"/>
      <c r="P5" s="58">
        <v>3250.0</v>
      </c>
      <c r="Q5" s="24">
        <f t="shared" ref="Q5:Q43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45347.0</v>
      </c>
      <c r="C6" s="55" t="s">
        <v>1777</v>
      </c>
      <c r="D6" s="56">
        <v>22332.0</v>
      </c>
      <c r="E6" s="57" t="s">
        <v>404</v>
      </c>
      <c r="F6" s="21"/>
      <c r="G6" s="21"/>
      <c r="H6" s="21"/>
      <c r="I6" s="22">
        <v>156.0</v>
      </c>
      <c r="J6" s="21"/>
      <c r="K6" s="21">
        <v>2344.0</v>
      </c>
      <c r="L6" s="21"/>
      <c r="M6" s="21"/>
      <c r="N6" s="21"/>
      <c r="O6" s="21"/>
      <c r="P6" s="58">
        <v>2500.0</v>
      </c>
      <c r="Q6" s="24">
        <f t="shared" si="1"/>
        <v>0</v>
      </c>
      <c r="R6" s="59" t="s">
        <v>85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45347.0</v>
      </c>
      <c r="C7" s="55" t="s">
        <v>1778</v>
      </c>
      <c r="D7" s="56">
        <v>24368.0</v>
      </c>
      <c r="E7" s="57" t="s">
        <v>425</v>
      </c>
      <c r="F7" s="21"/>
      <c r="G7" s="21"/>
      <c r="H7" s="21"/>
      <c r="I7" s="22">
        <v>120.0</v>
      </c>
      <c r="J7" s="21"/>
      <c r="K7" s="21">
        <v>1620.0</v>
      </c>
      <c r="L7" s="21"/>
      <c r="M7" s="21"/>
      <c r="N7" s="21"/>
      <c r="O7" s="21"/>
      <c r="P7" s="58">
        <v>1740.0</v>
      </c>
      <c r="Q7" s="24">
        <f t="shared" si="1"/>
        <v>0</v>
      </c>
      <c r="R7" s="59" t="s">
        <v>85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45348.0</v>
      </c>
      <c r="C8" s="55" t="s">
        <v>1779</v>
      </c>
      <c r="D8" s="56">
        <v>74752.0</v>
      </c>
      <c r="E8" s="57" t="s">
        <v>1049</v>
      </c>
      <c r="F8" s="21"/>
      <c r="G8" s="21"/>
      <c r="H8" s="21"/>
      <c r="I8" s="21">
        <v>8900.0</v>
      </c>
      <c r="J8" s="21"/>
      <c r="K8" s="21"/>
      <c r="L8" s="21"/>
      <c r="M8" s="21"/>
      <c r="N8" s="21"/>
      <c r="O8" s="21"/>
      <c r="P8" s="58">
        <v>8900.0</v>
      </c>
      <c r="Q8" s="24">
        <f t="shared" si="1"/>
        <v>0</v>
      </c>
      <c r="R8" s="59" t="s">
        <v>85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45348.0</v>
      </c>
      <c r="C9" s="55" t="s">
        <v>1780</v>
      </c>
      <c r="D9" s="56">
        <v>46778.0</v>
      </c>
      <c r="E9" s="57" t="s">
        <v>74</v>
      </c>
      <c r="F9" s="21"/>
      <c r="G9" s="21"/>
      <c r="H9" s="21"/>
      <c r="I9" s="21"/>
      <c r="J9" s="21">
        <v>6050.0</v>
      </c>
      <c r="K9" s="21"/>
      <c r="L9" s="21"/>
      <c r="M9" s="21"/>
      <c r="N9" s="21"/>
      <c r="O9" s="21"/>
      <c r="P9" s="58">
        <v>6050.0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45348.0</v>
      </c>
      <c r="C10" s="55" t="s">
        <v>1781</v>
      </c>
      <c r="D10" s="56">
        <v>78063.0</v>
      </c>
      <c r="E10" s="57" t="s">
        <v>600</v>
      </c>
      <c r="F10" s="21"/>
      <c r="G10" s="21"/>
      <c r="H10" s="21"/>
      <c r="I10" s="21">
        <v>15000.0</v>
      </c>
      <c r="J10" s="21"/>
      <c r="K10" s="21"/>
      <c r="L10" s="21"/>
      <c r="M10" s="21"/>
      <c r="N10" s="21"/>
      <c r="O10" s="21"/>
      <c r="P10" s="58">
        <v>15000.0</v>
      </c>
      <c r="Q10" s="24">
        <f t="shared" si="1"/>
        <v>0</v>
      </c>
      <c r="R10" s="59" t="s">
        <v>30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45348.0</v>
      </c>
      <c r="C11" s="55" t="s">
        <v>1782</v>
      </c>
      <c r="D11" s="56">
        <v>71126.0</v>
      </c>
      <c r="E11" s="57" t="s">
        <v>969</v>
      </c>
      <c r="F11" s="21"/>
      <c r="G11" s="21"/>
      <c r="H11" s="21"/>
      <c r="I11" s="22">
        <v>29500.0</v>
      </c>
      <c r="J11" s="21"/>
      <c r="K11" s="21"/>
      <c r="L11" s="21"/>
      <c r="M11" s="21"/>
      <c r="N11" s="21"/>
      <c r="O11" s="21"/>
      <c r="P11" s="58">
        <v>29500.0</v>
      </c>
      <c r="Q11" s="24">
        <f t="shared" si="1"/>
        <v>0</v>
      </c>
      <c r="R11" s="59" t="s">
        <v>30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45348.0</v>
      </c>
      <c r="C12" s="55" t="s">
        <v>1783</v>
      </c>
      <c r="D12" s="56">
        <v>59904.0</v>
      </c>
      <c r="E12" s="57" t="s">
        <v>461</v>
      </c>
      <c r="F12" s="21"/>
      <c r="G12" s="21"/>
      <c r="H12" s="21"/>
      <c r="I12" s="22">
        <v>350.0</v>
      </c>
      <c r="J12" s="21"/>
      <c r="K12" s="21"/>
      <c r="L12" s="21"/>
      <c r="M12" s="21"/>
      <c r="N12" s="21"/>
      <c r="O12" s="21"/>
      <c r="P12" s="58">
        <v>350.0</v>
      </c>
      <c r="Q12" s="24">
        <f t="shared" si="1"/>
        <v>0</v>
      </c>
      <c r="R12" s="59" t="s">
        <v>30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10.0</v>
      </c>
      <c r="B13" s="54">
        <v>45348.0</v>
      </c>
      <c r="C13" s="55" t="s">
        <v>1784</v>
      </c>
      <c r="D13" s="56">
        <v>50436.0</v>
      </c>
      <c r="E13" s="57" t="s">
        <v>93</v>
      </c>
      <c r="F13" s="21"/>
      <c r="G13" s="21"/>
      <c r="H13" s="21"/>
      <c r="I13" s="22">
        <v>7000.0</v>
      </c>
      <c r="J13" s="21"/>
      <c r="K13" s="21"/>
      <c r="L13" s="21"/>
      <c r="M13" s="21"/>
      <c r="N13" s="21"/>
      <c r="O13" s="21"/>
      <c r="P13" s="58">
        <v>7000.0</v>
      </c>
      <c r="Q13" s="24">
        <f t="shared" si="1"/>
        <v>0</v>
      </c>
      <c r="R13" s="59" t="s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11.0</v>
      </c>
      <c r="B14" s="54">
        <v>45348.0</v>
      </c>
      <c r="C14" s="55" t="s">
        <v>1785</v>
      </c>
      <c r="D14" s="56">
        <v>81765.0</v>
      </c>
      <c r="E14" s="57" t="s">
        <v>1786</v>
      </c>
      <c r="F14" s="21"/>
      <c r="G14" s="21"/>
      <c r="H14" s="21"/>
      <c r="I14" s="22">
        <v>300.0</v>
      </c>
      <c r="J14" s="21"/>
      <c r="K14" s="21"/>
      <c r="L14" s="21"/>
      <c r="M14" s="21"/>
      <c r="N14" s="21"/>
      <c r="O14" s="21"/>
      <c r="P14" s="58">
        <v>300.0</v>
      </c>
      <c r="Q14" s="24">
        <f t="shared" si="1"/>
        <v>0</v>
      </c>
      <c r="R14" s="59" t="s">
        <v>85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12.0</v>
      </c>
      <c r="B15" s="54">
        <v>45348.0</v>
      </c>
      <c r="C15" s="55" t="s">
        <v>1787</v>
      </c>
      <c r="D15" s="56">
        <v>77368.0</v>
      </c>
      <c r="E15" s="57" t="s">
        <v>816</v>
      </c>
      <c r="F15" s="21"/>
      <c r="G15" s="21"/>
      <c r="H15" s="21"/>
      <c r="I15" s="22">
        <v>14500.0</v>
      </c>
      <c r="J15" s="21"/>
      <c r="K15" s="21"/>
      <c r="L15" s="21"/>
      <c r="M15" s="21"/>
      <c r="N15" s="21"/>
      <c r="O15" s="21"/>
      <c r="P15" s="58">
        <v>14500.0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13.0</v>
      </c>
      <c r="B16" s="54">
        <v>45348.0</v>
      </c>
      <c r="C16" s="55" t="s">
        <v>1788</v>
      </c>
      <c r="D16" s="56">
        <v>81796.0</v>
      </c>
      <c r="E16" s="57" t="s">
        <v>1789</v>
      </c>
      <c r="F16" s="21"/>
      <c r="G16" s="21"/>
      <c r="H16" s="21"/>
      <c r="I16" s="21">
        <v>11500.0</v>
      </c>
      <c r="J16" s="21"/>
      <c r="K16" s="21"/>
      <c r="L16" s="21"/>
      <c r="M16" s="21"/>
      <c r="N16" s="21"/>
      <c r="O16" s="21"/>
      <c r="P16" s="58">
        <v>11500.0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14.0</v>
      </c>
      <c r="B17" s="54">
        <v>45348.0</v>
      </c>
      <c r="C17" s="55" t="s">
        <v>1790</v>
      </c>
      <c r="D17" s="56">
        <v>42046.0</v>
      </c>
      <c r="E17" s="57" t="s">
        <v>97</v>
      </c>
      <c r="F17" s="21"/>
      <c r="G17" s="21"/>
      <c r="H17" s="21"/>
      <c r="I17" s="21"/>
      <c r="J17" s="21"/>
      <c r="K17" s="21">
        <v>300.0</v>
      </c>
      <c r="L17" s="21"/>
      <c r="M17" s="21"/>
      <c r="N17" s="21"/>
      <c r="O17" s="21"/>
      <c r="P17" s="58">
        <v>300.0</v>
      </c>
      <c r="Q17" s="24">
        <f t="shared" si="1"/>
        <v>0</v>
      </c>
      <c r="R17" s="59" t="s">
        <v>30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15.0</v>
      </c>
      <c r="B18" s="54">
        <v>45348.0</v>
      </c>
      <c r="C18" s="55" t="s">
        <v>1791</v>
      </c>
      <c r="D18" s="56">
        <v>42046.0</v>
      </c>
      <c r="E18" s="57" t="s">
        <v>97</v>
      </c>
      <c r="F18" s="21"/>
      <c r="G18" s="21"/>
      <c r="H18" s="21"/>
      <c r="I18" s="21"/>
      <c r="J18" s="21"/>
      <c r="K18" s="21">
        <v>1250.0</v>
      </c>
      <c r="L18" s="21"/>
      <c r="M18" s="21"/>
      <c r="N18" s="21"/>
      <c r="O18" s="21"/>
      <c r="P18" s="58">
        <v>1250.0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16.0</v>
      </c>
      <c r="B19" s="54">
        <v>45348.0</v>
      </c>
      <c r="C19" s="55" t="s">
        <v>1792</v>
      </c>
      <c r="D19" s="56">
        <v>81799.0</v>
      </c>
      <c r="E19" s="57" t="s">
        <v>1793</v>
      </c>
      <c r="F19" s="21"/>
      <c r="G19" s="21"/>
      <c r="H19" s="21"/>
      <c r="I19" s="21">
        <v>7300.0</v>
      </c>
      <c r="J19" s="21"/>
      <c r="K19" s="21"/>
      <c r="L19" s="21"/>
      <c r="M19" s="21"/>
      <c r="N19" s="21"/>
      <c r="O19" s="21"/>
      <c r="P19" s="58">
        <v>7300.0</v>
      </c>
      <c r="Q19" s="24">
        <f t="shared" si="1"/>
        <v>0</v>
      </c>
      <c r="R19" s="59" t="s">
        <v>85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17.0</v>
      </c>
      <c r="B20" s="54">
        <v>45348.0</v>
      </c>
      <c r="C20" s="55" t="s">
        <v>1794</v>
      </c>
      <c r="D20" s="56">
        <v>69620.0</v>
      </c>
      <c r="E20" s="57" t="s">
        <v>331</v>
      </c>
      <c r="F20" s="21"/>
      <c r="G20" s="21"/>
      <c r="H20" s="21"/>
      <c r="I20" s="22"/>
      <c r="J20" s="22">
        <v>29500.0</v>
      </c>
      <c r="K20" s="21"/>
      <c r="L20" s="21"/>
      <c r="M20" s="21"/>
      <c r="N20" s="21"/>
      <c r="O20" s="21"/>
      <c r="P20" s="58">
        <v>29500.0</v>
      </c>
      <c r="Q20" s="24">
        <f t="shared" si="1"/>
        <v>0</v>
      </c>
      <c r="R20" s="59" t="s">
        <v>85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18.0</v>
      </c>
      <c r="B21" s="54">
        <v>45348.0</v>
      </c>
      <c r="C21" s="55" t="s">
        <v>1795</v>
      </c>
      <c r="D21" s="56">
        <v>51946.0</v>
      </c>
      <c r="E21" s="57" t="s">
        <v>785</v>
      </c>
      <c r="F21" s="21"/>
      <c r="G21" s="21"/>
      <c r="H21" s="21"/>
      <c r="I21" s="22">
        <v>5000.0</v>
      </c>
      <c r="J21" s="22"/>
      <c r="K21" s="21"/>
      <c r="L21" s="21"/>
      <c r="M21" s="21"/>
      <c r="N21" s="21"/>
      <c r="O21" s="21"/>
      <c r="P21" s="58">
        <v>5000.0</v>
      </c>
      <c r="Q21" s="24">
        <f t="shared" si="1"/>
        <v>0</v>
      </c>
      <c r="R21" s="59" t="s">
        <v>85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19.0</v>
      </c>
      <c r="B22" s="60">
        <v>45348.0</v>
      </c>
      <c r="C22" s="56" t="s">
        <v>1796</v>
      </c>
      <c r="D22" s="56">
        <v>45096.0</v>
      </c>
      <c r="E22" s="57" t="s">
        <v>313</v>
      </c>
      <c r="F22" s="30"/>
      <c r="G22" s="30"/>
      <c r="H22" s="68"/>
      <c r="I22" s="68">
        <v>5400.0</v>
      </c>
      <c r="J22" s="68"/>
      <c r="K22" s="30"/>
      <c r="L22" s="30"/>
      <c r="M22" s="30"/>
      <c r="N22" s="30"/>
      <c r="O22" s="30"/>
      <c r="P22" s="61">
        <v>5400.0</v>
      </c>
      <c r="Q22" s="24">
        <f t="shared" si="1"/>
        <v>0</v>
      </c>
      <c r="R22" s="57" t="s">
        <v>85</v>
      </c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ht="36.0" customHeight="1">
      <c r="A23" s="16">
        <v>20.0</v>
      </c>
      <c r="B23" s="63">
        <v>45348.0</v>
      </c>
      <c r="C23" s="64" t="s">
        <v>1797</v>
      </c>
      <c r="D23" s="64">
        <v>64740.0</v>
      </c>
      <c r="E23" s="65" t="s">
        <v>754</v>
      </c>
      <c r="F23" s="30"/>
      <c r="G23" s="30"/>
      <c r="H23" s="30"/>
      <c r="I23" s="68"/>
      <c r="J23" s="68">
        <v>9500.0</v>
      </c>
      <c r="K23" s="30"/>
      <c r="L23" s="30"/>
      <c r="M23" s="30"/>
      <c r="N23" s="30"/>
      <c r="O23" s="30"/>
      <c r="P23" s="66">
        <v>9500.0</v>
      </c>
      <c r="Q23" s="24">
        <f t="shared" si="1"/>
        <v>0</v>
      </c>
      <c r="R23" s="57" t="s">
        <v>30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21.0</v>
      </c>
      <c r="B24" s="63">
        <v>45348.0</v>
      </c>
      <c r="C24" s="64" t="s">
        <v>1798</v>
      </c>
      <c r="D24" s="64">
        <v>39317.0</v>
      </c>
      <c r="E24" s="65" t="s">
        <v>99</v>
      </c>
      <c r="F24" s="30"/>
      <c r="G24" s="30"/>
      <c r="H24" s="30"/>
      <c r="I24" s="68"/>
      <c r="J24" s="68">
        <v>8450.0</v>
      </c>
      <c r="K24" s="30"/>
      <c r="L24" s="30"/>
      <c r="M24" s="30"/>
      <c r="N24" s="30"/>
      <c r="O24" s="30"/>
      <c r="P24" s="66">
        <v>8450.0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22.0</v>
      </c>
      <c r="B25" s="63">
        <v>45348.0</v>
      </c>
      <c r="C25" s="64" t="s">
        <v>1799</v>
      </c>
      <c r="D25" s="64">
        <v>76637.0</v>
      </c>
      <c r="E25" s="65" t="s">
        <v>807</v>
      </c>
      <c r="F25" s="30"/>
      <c r="G25" s="30"/>
      <c r="H25" s="30"/>
      <c r="I25" s="68">
        <v>2650.0</v>
      </c>
      <c r="J25" s="68"/>
      <c r="K25" s="30"/>
      <c r="L25" s="30"/>
      <c r="M25" s="30"/>
      <c r="N25" s="30"/>
      <c r="O25" s="30"/>
      <c r="P25" s="66">
        <v>2650.0</v>
      </c>
      <c r="Q25" s="24">
        <f t="shared" si="1"/>
        <v>0</v>
      </c>
      <c r="R25" s="57" t="s">
        <v>30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23.0</v>
      </c>
      <c r="B26" s="63">
        <v>45348.0</v>
      </c>
      <c r="C26" s="64" t="s">
        <v>1800</v>
      </c>
      <c r="D26" s="64">
        <v>43113.0</v>
      </c>
      <c r="E26" s="65" t="s">
        <v>811</v>
      </c>
      <c r="F26" s="30"/>
      <c r="G26" s="30"/>
      <c r="H26" s="30"/>
      <c r="I26" s="68"/>
      <c r="J26" s="68">
        <v>7650.0</v>
      </c>
      <c r="K26" s="30"/>
      <c r="L26" s="30"/>
      <c r="M26" s="30"/>
      <c r="N26" s="30"/>
      <c r="O26" s="30"/>
      <c r="P26" s="66">
        <v>7650.0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24.0</v>
      </c>
      <c r="B27" s="63">
        <v>45348.0</v>
      </c>
      <c r="C27" s="64" t="s">
        <v>1801</v>
      </c>
      <c r="D27" s="64">
        <v>77801.0</v>
      </c>
      <c r="E27" s="65" t="s">
        <v>1802</v>
      </c>
      <c r="F27" s="30"/>
      <c r="G27" s="30"/>
      <c r="H27" s="30"/>
      <c r="I27" s="68">
        <v>7000.0</v>
      </c>
      <c r="J27" s="68"/>
      <c r="K27" s="30"/>
      <c r="L27" s="30"/>
      <c r="M27" s="30"/>
      <c r="N27" s="30"/>
      <c r="O27" s="30"/>
      <c r="P27" s="66">
        <v>7000.0</v>
      </c>
      <c r="Q27" s="24">
        <f t="shared" si="1"/>
        <v>0</v>
      </c>
      <c r="R27" s="57" t="s">
        <v>85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25.0</v>
      </c>
      <c r="B28" s="63">
        <v>45348.0</v>
      </c>
      <c r="C28" s="64" t="s">
        <v>1803</v>
      </c>
      <c r="D28" s="64">
        <v>77906.0</v>
      </c>
      <c r="E28" s="65" t="s">
        <v>1804</v>
      </c>
      <c r="F28" s="30"/>
      <c r="G28" s="30"/>
      <c r="H28" s="30"/>
      <c r="I28" s="68">
        <v>7000.0</v>
      </c>
      <c r="J28" s="68"/>
      <c r="K28" s="30"/>
      <c r="L28" s="30"/>
      <c r="M28" s="30"/>
      <c r="N28" s="30"/>
      <c r="O28" s="30"/>
      <c r="P28" s="66">
        <v>7000.0</v>
      </c>
      <c r="Q28" s="24">
        <f t="shared" si="1"/>
        <v>0</v>
      </c>
      <c r="R28" s="57" t="s">
        <v>85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26.0</v>
      </c>
      <c r="B29" s="63">
        <v>45348.0</v>
      </c>
      <c r="C29" s="64" t="s">
        <v>1805</v>
      </c>
      <c r="D29" s="64">
        <v>19122.0</v>
      </c>
      <c r="E29" s="65" t="s">
        <v>42</v>
      </c>
      <c r="F29" s="30"/>
      <c r="G29" s="30"/>
      <c r="H29" s="30"/>
      <c r="I29" s="68"/>
      <c r="J29" s="68"/>
      <c r="K29" s="30"/>
      <c r="L29" s="30"/>
      <c r="M29" s="30">
        <v>2775.0</v>
      </c>
      <c r="N29" s="30"/>
      <c r="O29" s="30"/>
      <c r="P29" s="66">
        <v>2775.0</v>
      </c>
      <c r="Q29" s="24">
        <f t="shared" si="1"/>
        <v>0</v>
      </c>
      <c r="R29" s="57" t="s">
        <v>30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27.0</v>
      </c>
      <c r="B30" s="63">
        <v>45348.0</v>
      </c>
      <c r="C30" s="64" t="s">
        <v>1806</v>
      </c>
      <c r="D30" s="64">
        <v>80737.0</v>
      </c>
      <c r="E30" s="65" t="s">
        <v>1807</v>
      </c>
      <c r="F30" s="30"/>
      <c r="G30" s="30"/>
      <c r="H30" s="30"/>
      <c r="I30" s="68">
        <v>7000.0</v>
      </c>
      <c r="J30" s="68"/>
      <c r="K30" s="30"/>
      <c r="L30" s="30"/>
      <c r="M30" s="30"/>
      <c r="N30" s="30"/>
      <c r="O30" s="30"/>
      <c r="P30" s="66">
        <v>7000.0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28.0</v>
      </c>
      <c r="B31" s="63">
        <v>45348.0</v>
      </c>
      <c r="C31" s="64" t="s">
        <v>1808</v>
      </c>
      <c r="D31" s="64">
        <v>55992.0</v>
      </c>
      <c r="E31" s="65" t="s">
        <v>613</v>
      </c>
      <c r="F31" s="30"/>
      <c r="G31" s="30"/>
      <c r="H31" s="30"/>
      <c r="I31" s="68">
        <v>5000.0</v>
      </c>
      <c r="J31" s="68"/>
      <c r="K31" s="30"/>
      <c r="L31" s="30"/>
      <c r="M31" s="30"/>
      <c r="N31" s="30"/>
      <c r="O31" s="30"/>
      <c r="P31" s="66">
        <v>5000.0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29.0</v>
      </c>
      <c r="B32" s="63">
        <v>45348.0</v>
      </c>
      <c r="C32" s="64" t="s">
        <v>1809</v>
      </c>
      <c r="D32" s="64">
        <v>50173.0</v>
      </c>
      <c r="E32" s="65" t="s">
        <v>1647</v>
      </c>
      <c r="F32" s="30"/>
      <c r="G32" s="30"/>
      <c r="H32" s="30"/>
      <c r="I32" s="68">
        <v>1350.0</v>
      </c>
      <c r="J32" s="68"/>
      <c r="K32" s="30"/>
      <c r="L32" s="30"/>
      <c r="M32" s="30"/>
      <c r="N32" s="30"/>
      <c r="O32" s="30"/>
      <c r="P32" s="66">
        <v>1350.0</v>
      </c>
      <c r="Q32" s="24">
        <f t="shared" si="1"/>
        <v>0</v>
      </c>
      <c r="R32" s="57" t="s">
        <v>85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30.0</v>
      </c>
      <c r="B33" s="63">
        <v>45348.0</v>
      </c>
      <c r="C33" s="64" t="s">
        <v>1810</v>
      </c>
      <c r="D33" s="64">
        <v>34943.0</v>
      </c>
      <c r="E33" s="65" t="s">
        <v>1811</v>
      </c>
      <c r="F33" s="30"/>
      <c r="G33" s="30"/>
      <c r="H33" s="30"/>
      <c r="I33" s="68"/>
      <c r="J33" s="68">
        <v>4350.0</v>
      </c>
      <c r="K33" s="30"/>
      <c r="L33" s="30"/>
      <c r="M33" s="30"/>
      <c r="N33" s="30"/>
      <c r="O33" s="30"/>
      <c r="P33" s="66">
        <v>4350.0</v>
      </c>
      <c r="Q33" s="24">
        <f t="shared" si="1"/>
        <v>0</v>
      </c>
      <c r="R33" s="57" t="s">
        <v>85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31.0</v>
      </c>
      <c r="B34" s="63">
        <v>45348.0</v>
      </c>
      <c r="C34" s="64" t="s">
        <v>1812</v>
      </c>
      <c r="D34" s="64">
        <v>19122.0</v>
      </c>
      <c r="E34" s="65" t="s">
        <v>42</v>
      </c>
      <c r="F34" s="30"/>
      <c r="G34" s="30"/>
      <c r="H34" s="30"/>
      <c r="I34" s="68"/>
      <c r="J34" s="68"/>
      <c r="K34" s="30"/>
      <c r="L34" s="30"/>
      <c r="M34" s="30">
        <v>6100.0</v>
      </c>
      <c r="N34" s="30"/>
      <c r="O34" s="30"/>
      <c r="P34" s="66">
        <v>6100.0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32.0</v>
      </c>
      <c r="B35" s="63">
        <v>45348.0</v>
      </c>
      <c r="C35" s="64" t="s">
        <v>1813</v>
      </c>
      <c r="D35" s="64">
        <v>81802.0</v>
      </c>
      <c r="E35" s="65" t="s">
        <v>1814</v>
      </c>
      <c r="F35" s="30"/>
      <c r="G35" s="30"/>
      <c r="H35" s="30"/>
      <c r="I35" s="68">
        <v>400.0</v>
      </c>
      <c r="J35" s="68"/>
      <c r="K35" s="30"/>
      <c r="L35" s="30"/>
      <c r="M35" s="30"/>
      <c r="N35" s="30"/>
      <c r="O35" s="30"/>
      <c r="P35" s="66">
        <v>400.0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33.0</v>
      </c>
      <c r="B36" s="63">
        <v>45348.0</v>
      </c>
      <c r="C36" s="64" t="s">
        <v>1815</v>
      </c>
      <c r="D36" s="64">
        <v>81804.0</v>
      </c>
      <c r="E36" s="65" t="s">
        <v>1816</v>
      </c>
      <c r="F36" s="30"/>
      <c r="G36" s="30"/>
      <c r="H36" s="30"/>
      <c r="I36" s="68">
        <v>300.0</v>
      </c>
      <c r="J36" s="68"/>
      <c r="K36" s="30"/>
      <c r="L36" s="30"/>
      <c r="M36" s="30"/>
      <c r="N36" s="30"/>
      <c r="O36" s="30"/>
      <c r="P36" s="66">
        <v>300.0</v>
      </c>
      <c r="Q36" s="24">
        <f t="shared" si="1"/>
        <v>0</v>
      </c>
      <c r="R36" s="57" t="s">
        <v>85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34.0</v>
      </c>
      <c r="B37" s="63">
        <v>45348.0</v>
      </c>
      <c r="C37" s="64" t="s">
        <v>1817</v>
      </c>
      <c r="D37" s="64">
        <v>19122.0</v>
      </c>
      <c r="E37" s="65" t="s">
        <v>42</v>
      </c>
      <c r="F37" s="30"/>
      <c r="G37" s="30"/>
      <c r="H37" s="30"/>
      <c r="I37" s="68"/>
      <c r="J37" s="68"/>
      <c r="K37" s="30"/>
      <c r="L37" s="30"/>
      <c r="M37" s="30">
        <v>300.0</v>
      </c>
      <c r="N37" s="30"/>
      <c r="O37" s="30"/>
      <c r="P37" s="66">
        <v>300.0</v>
      </c>
      <c r="Q37" s="24">
        <f t="shared" si="1"/>
        <v>0</v>
      </c>
      <c r="R37" s="57" t="s">
        <v>85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35.0</v>
      </c>
      <c r="B38" s="63">
        <v>45348.0</v>
      </c>
      <c r="C38" s="64" t="s">
        <v>1818</v>
      </c>
      <c r="D38" s="64">
        <v>31738.0</v>
      </c>
      <c r="E38" s="65" t="s">
        <v>1819</v>
      </c>
      <c r="F38" s="30"/>
      <c r="G38" s="30"/>
      <c r="H38" s="30"/>
      <c r="I38" s="68">
        <v>1400.0</v>
      </c>
      <c r="J38" s="68"/>
      <c r="K38" s="30"/>
      <c r="L38" s="30"/>
      <c r="M38" s="30"/>
      <c r="N38" s="30"/>
      <c r="O38" s="30"/>
      <c r="P38" s="66">
        <v>1400.0</v>
      </c>
      <c r="Q38" s="24">
        <f t="shared" si="1"/>
        <v>0</v>
      </c>
      <c r="R38" s="57" t="s">
        <v>30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36.0</v>
      </c>
      <c r="B39" s="63">
        <v>45348.0</v>
      </c>
      <c r="C39" s="64" t="s">
        <v>1820</v>
      </c>
      <c r="D39" s="64">
        <v>81724.0</v>
      </c>
      <c r="E39" s="65" t="s">
        <v>1583</v>
      </c>
      <c r="F39" s="30"/>
      <c r="G39" s="30"/>
      <c r="H39" s="30"/>
      <c r="I39" s="68"/>
      <c r="J39" s="68">
        <v>1490.0</v>
      </c>
      <c r="K39" s="30"/>
      <c r="L39" s="30"/>
      <c r="M39" s="30"/>
      <c r="N39" s="30"/>
      <c r="O39" s="30"/>
      <c r="P39" s="66">
        <v>1490.0</v>
      </c>
      <c r="Q39" s="24">
        <f t="shared" si="1"/>
        <v>0</v>
      </c>
      <c r="R39" s="57" t="s">
        <v>30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37.0</v>
      </c>
      <c r="B40" s="63">
        <v>45348.0</v>
      </c>
      <c r="C40" s="64" t="s">
        <v>1821</v>
      </c>
      <c r="D40" s="64">
        <v>81806.0</v>
      </c>
      <c r="E40" s="65" t="s">
        <v>1822</v>
      </c>
      <c r="F40" s="30"/>
      <c r="G40" s="30"/>
      <c r="H40" s="30"/>
      <c r="I40" s="68">
        <v>7000.0</v>
      </c>
      <c r="J40" s="68"/>
      <c r="K40" s="30"/>
      <c r="L40" s="30"/>
      <c r="M40" s="30"/>
      <c r="N40" s="30"/>
      <c r="O40" s="30"/>
      <c r="P40" s="66">
        <v>7000.0</v>
      </c>
      <c r="Q40" s="24">
        <f t="shared" si="1"/>
        <v>0</v>
      </c>
      <c r="R40" s="57" t="s">
        <v>30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38.0</v>
      </c>
      <c r="B41" s="63">
        <v>45347.0</v>
      </c>
      <c r="C41" s="64" t="s">
        <v>1823</v>
      </c>
      <c r="D41" s="64">
        <v>21828.0</v>
      </c>
      <c r="E41" s="65" t="s">
        <v>217</v>
      </c>
      <c r="F41" s="30"/>
      <c r="G41" s="30"/>
      <c r="H41" s="30"/>
      <c r="I41" s="68"/>
      <c r="J41" s="68"/>
      <c r="K41" s="30">
        <v>450.0</v>
      </c>
      <c r="L41" s="30"/>
      <c r="M41" s="30"/>
      <c r="N41" s="30"/>
      <c r="O41" s="30"/>
      <c r="P41" s="66">
        <v>450.0</v>
      </c>
      <c r="Q41" s="24">
        <f t="shared" si="1"/>
        <v>0</v>
      </c>
      <c r="R41" s="57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39.0</v>
      </c>
      <c r="B42" s="63">
        <v>45348.0</v>
      </c>
      <c r="C42" s="64" t="s">
        <v>1824</v>
      </c>
      <c r="D42" s="64">
        <v>51782.0</v>
      </c>
      <c r="E42" s="65" t="s">
        <v>621</v>
      </c>
      <c r="F42" s="30"/>
      <c r="G42" s="30"/>
      <c r="H42" s="30">
        <v>2500.0</v>
      </c>
      <c r="I42" s="68"/>
      <c r="J42" s="68"/>
      <c r="K42" s="30"/>
      <c r="L42" s="30"/>
      <c r="M42" s="30"/>
      <c r="N42" s="30"/>
      <c r="O42" s="30"/>
      <c r="P42" s="66">
        <v>2500.0</v>
      </c>
      <c r="Q42" s="24">
        <f t="shared" si="1"/>
        <v>0</v>
      </c>
      <c r="R42" s="57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40.0</v>
      </c>
      <c r="B43" s="63">
        <v>45348.0</v>
      </c>
      <c r="C43" s="64" t="s">
        <v>1825</v>
      </c>
      <c r="D43" s="64">
        <v>81797.0</v>
      </c>
      <c r="E43" s="65" t="s">
        <v>1826</v>
      </c>
      <c r="F43" s="30"/>
      <c r="G43" s="30"/>
      <c r="H43" s="30"/>
      <c r="I43" s="68"/>
      <c r="J43" s="68"/>
      <c r="K43" s="30">
        <v>11650.0</v>
      </c>
      <c r="L43" s="30"/>
      <c r="M43" s="30"/>
      <c r="N43" s="30"/>
      <c r="O43" s="30"/>
      <c r="P43" s="66">
        <v>11650.0</v>
      </c>
      <c r="Q43" s="24">
        <f t="shared" si="1"/>
        <v>0</v>
      </c>
      <c r="R43" s="57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/>
      <c r="B44" s="27"/>
      <c r="C44" s="28"/>
      <c r="D44" s="29"/>
      <c r="E44" s="28"/>
      <c r="F44" s="30">
        <f t="shared" ref="F44:Q44" si="2">SUM(F5:F43)</f>
        <v>0</v>
      </c>
      <c r="G44" s="30">
        <f t="shared" si="2"/>
        <v>0</v>
      </c>
      <c r="H44" s="30">
        <f t="shared" si="2"/>
        <v>2500</v>
      </c>
      <c r="I44" s="30">
        <f t="shared" si="2"/>
        <v>147376</v>
      </c>
      <c r="J44" s="30">
        <f t="shared" si="2"/>
        <v>66990</v>
      </c>
      <c r="K44" s="30">
        <f t="shared" si="2"/>
        <v>17614</v>
      </c>
      <c r="L44" s="30">
        <f t="shared" si="2"/>
        <v>0</v>
      </c>
      <c r="M44" s="30">
        <f t="shared" si="2"/>
        <v>9175</v>
      </c>
      <c r="N44" s="30">
        <f t="shared" si="2"/>
        <v>0</v>
      </c>
      <c r="O44" s="30">
        <f t="shared" si="2"/>
        <v>0</v>
      </c>
      <c r="P44" s="68">
        <f t="shared" si="2"/>
        <v>243655</v>
      </c>
      <c r="Q44" s="24">
        <f t="shared" si="2"/>
        <v>0</v>
      </c>
      <c r="R44" s="67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36.0" customHeight="1">
      <c r="A45" s="35"/>
      <c r="B45" s="35"/>
      <c r="C45" s="35"/>
      <c r="D45" s="35"/>
      <c r="E45" s="35"/>
      <c r="F45" s="36">
        <f>F44+G44+H44+I44+J44+K44+L44+M44+N44+O44</f>
        <v>243655</v>
      </c>
      <c r="P45" s="36"/>
      <c r="Q45" s="36"/>
      <c r="R45" s="35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37" t="s">
        <v>242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38" t="s">
        <v>243</v>
      </c>
      <c r="F49" s="39" t="s">
        <v>1731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38" t="s">
        <v>245</v>
      </c>
      <c r="F50" s="39" t="s">
        <v>244</v>
      </c>
      <c r="G50" s="4"/>
      <c r="H50" s="4"/>
      <c r="I50" s="4"/>
      <c r="J50" s="4"/>
      <c r="K50" s="4"/>
      <c r="L50" s="4"/>
      <c r="M50" s="4"/>
      <c r="N50" s="4"/>
      <c r="O50" s="4" t="s">
        <v>242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38" t="s">
        <v>246</v>
      </c>
      <c r="F51" s="39" t="s">
        <v>244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38" t="s">
        <v>247</v>
      </c>
      <c r="F52" s="39" t="s">
        <v>244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38" t="s">
        <v>248</v>
      </c>
      <c r="F53" s="39" t="s">
        <v>244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7.0" customHeight="1">
      <c r="A54" s="4"/>
      <c r="B54" s="4"/>
      <c r="C54" s="4"/>
      <c r="D54" s="4"/>
      <c r="E54" s="38" t="s">
        <v>1827</v>
      </c>
      <c r="F54" s="39" t="s">
        <v>244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0.0" customHeight="1">
      <c r="A55" s="4"/>
      <c r="B55" s="4"/>
      <c r="C55" s="4"/>
      <c r="D55" s="4"/>
      <c r="E55" s="40" t="s">
        <v>250</v>
      </c>
      <c r="F55" s="39" t="s">
        <v>880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38" t="s">
        <v>252</v>
      </c>
      <c r="F56" s="39" t="s">
        <v>880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 t="s">
        <v>242</v>
      </c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 t="s">
        <v>253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45:O4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1828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45348.0</v>
      </c>
      <c r="C5" s="55" t="s">
        <v>1829</v>
      </c>
      <c r="D5" s="56">
        <v>60648.0</v>
      </c>
      <c r="E5" s="57" t="s">
        <v>1830</v>
      </c>
      <c r="F5" s="21"/>
      <c r="G5" s="21"/>
      <c r="H5" s="21"/>
      <c r="I5" s="21"/>
      <c r="J5" s="22"/>
      <c r="K5" s="21"/>
      <c r="L5" s="21"/>
      <c r="M5" s="21">
        <v>2650.0</v>
      </c>
      <c r="N5" s="21"/>
      <c r="O5" s="21"/>
      <c r="P5" s="58">
        <v>2650.0</v>
      </c>
      <c r="Q5" s="24">
        <f t="shared" ref="Q5:Q57" si="1">F5+G5+H5+I5+J5+K5+L5+M5+N5+O5-P5</f>
        <v>0</v>
      </c>
      <c r="R5" s="59" t="s">
        <v>85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45349.0</v>
      </c>
      <c r="C6" s="55" t="s">
        <v>1831</v>
      </c>
      <c r="D6" s="56">
        <v>52669.0</v>
      </c>
      <c r="E6" s="57" t="s">
        <v>95</v>
      </c>
      <c r="F6" s="21"/>
      <c r="G6" s="21"/>
      <c r="H6" s="21"/>
      <c r="I6" s="22">
        <v>1250.0</v>
      </c>
      <c r="J6" s="21"/>
      <c r="K6" s="21"/>
      <c r="L6" s="21"/>
      <c r="M6" s="21"/>
      <c r="N6" s="21"/>
      <c r="O6" s="21"/>
      <c r="P6" s="58">
        <v>1250.0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45349.0</v>
      </c>
      <c r="C7" s="55" t="s">
        <v>1832</v>
      </c>
      <c r="D7" s="56">
        <v>70567.0</v>
      </c>
      <c r="E7" s="57" t="s">
        <v>1833</v>
      </c>
      <c r="F7" s="21"/>
      <c r="G7" s="21"/>
      <c r="H7" s="21"/>
      <c r="I7" s="22">
        <v>5150.0</v>
      </c>
      <c r="J7" s="21"/>
      <c r="K7" s="21"/>
      <c r="L7" s="21"/>
      <c r="M7" s="21"/>
      <c r="N7" s="21"/>
      <c r="O7" s="21"/>
      <c r="P7" s="58">
        <v>5150.0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45349.0</v>
      </c>
      <c r="C8" s="55" t="s">
        <v>1834</v>
      </c>
      <c r="D8" s="56">
        <v>67621.0</v>
      </c>
      <c r="E8" s="57" t="s">
        <v>463</v>
      </c>
      <c r="F8" s="21"/>
      <c r="G8" s="21"/>
      <c r="H8" s="21"/>
      <c r="I8" s="21">
        <v>350.0</v>
      </c>
      <c r="J8" s="21"/>
      <c r="K8" s="21"/>
      <c r="L8" s="21"/>
      <c r="M8" s="21"/>
      <c r="N8" s="21"/>
      <c r="O8" s="21"/>
      <c r="P8" s="58">
        <v>350.0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45349.0</v>
      </c>
      <c r="C9" s="55" t="s">
        <v>1835</v>
      </c>
      <c r="D9" s="56">
        <v>27066.0</v>
      </c>
      <c r="E9" s="57" t="s">
        <v>1836</v>
      </c>
      <c r="F9" s="21"/>
      <c r="G9" s="21"/>
      <c r="H9" s="21"/>
      <c r="I9" s="21">
        <v>17000.0</v>
      </c>
      <c r="J9" s="21"/>
      <c r="K9" s="21"/>
      <c r="L9" s="21"/>
      <c r="M9" s="21"/>
      <c r="N9" s="21"/>
      <c r="O9" s="21"/>
      <c r="P9" s="58">
        <v>17000.0</v>
      </c>
      <c r="Q9" s="24">
        <f t="shared" si="1"/>
        <v>0</v>
      </c>
      <c r="R9" s="59" t="s">
        <v>56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45349.0</v>
      </c>
      <c r="C10" s="55" t="s">
        <v>1837</v>
      </c>
      <c r="D10" s="56">
        <v>81819.0</v>
      </c>
      <c r="E10" s="57" t="s">
        <v>1838</v>
      </c>
      <c r="F10" s="21"/>
      <c r="G10" s="21"/>
      <c r="H10" s="21"/>
      <c r="I10" s="21"/>
      <c r="J10" s="21">
        <v>7750.0</v>
      </c>
      <c r="K10" s="21"/>
      <c r="L10" s="21"/>
      <c r="M10" s="21"/>
      <c r="N10" s="21"/>
      <c r="O10" s="21"/>
      <c r="P10" s="58">
        <v>7750.0</v>
      </c>
      <c r="Q10" s="24">
        <f t="shared" si="1"/>
        <v>0</v>
      </c>
      <c r="R10" s="59" t="s">
        <v>56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45349.0</v>
      </c>
      <c r="C11" s="55" t="s">
        <v>1839</v>
      </c>
      <c r="D11" s="56">
        <v>59244.0</v>
      </c>
      <c r="E11" s="57" t="s">
        <v>388</v>
      </c>
      <c r="F11" s="21"/>
      <c r="G11" s="21"/>
      <c r="H11" s="21"/>
      <c r="I11" s="22">
        <v>400.0</v>
      </c>
      <c r="J11" s="21"/>
      <c r="K11" s="21"/>
      <c r="L11" s="21"/>
      <c r="M11" s="21"/>
      <c r="N11" s="21"/>
      <c r="O11" s="21"/>
      <c r="P11" s="58">
        <v>400.0</v>
      </c>
      <c r="Q11" s="24">
        <f t="shared" si="1"/>
        <v>0</v>
      </c>
      <c r="R11" s="59" t="s">
        <v>66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45349.0</v>
      </c>
      <c r="C12" s="55" t="s">
        <v>1840</v>
      </c>
      <c r="D12" s="56">
        <v>51406.0</v>
      </c>
      <c r="E12" s="57" t="s">
        <v>657</v>
      </c>
      <c r="F12" s="21"/>
      <c r="G12" s="21"/>
      <c r="H12" s="21"/>
      <c r="I12" s="22">
        <v>5000.0</v>
      </c>
      <c r="J12" s="21"/>
      <c r="K12" s="21"/>
      <c r="L12" s="21"/>
      <c r="M12" s="21"/>
      <c r="N12" s="21"/>
      <c r="O12" s="21"/>
      <c r="P12" s="58">
        <v>5000.0</v>
      </c>
      <c r="Q12" s="24">
        <f t="shared" si="1"/>
        <v>0</v>
      </c>
      <c r="R12" s="59" t="s">
        <v>85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45349.0</v>
      </c>
      <c r="C13" s="55" t="s">
        <v>1841</v>
      </c>
      <c r="D13" s="56">
        <v>46778.0</v>
      </c>
      <c r="E13" s="57" t="s">
        <v>74</v>
      </c>
      <c r="F13" s="21"/>
      <c r="G13" s="21"/>
      <c r="H13" s="21"/>
      <c r="I13" s="22"/>
      <c r="J13" s="21">
        <v>8000.0</v>
      </c>
      <c r="K13" s="21"/>
      <c r="L13" s="21"/>
      <c r="M13" s="21"/>
      <c r="N13" s="21"/>
      <c r="O13" s="21"/>
      <c r="P13" s="58">
        <v>8000.0</v>
      </c>
      <c r="Q13" s="24">
        <f t="shared" si="1"/>
        <v>0</v>
      </c>
      <c r="R13" s="59" t="s">
        <v>85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45349.0</v>
      </c>
      <c r="C14" s="55" t="s">
        <v>1842</v>
      </c>
      <c r="D14" s="56">
        <v>22341.0</v>
      </c>
      <c r="E14" s="57" t="s">
        <v>417</v>
      </c>
      <c r="F14" s="21"/>
      <c r="G14" s="21"/>
      <c r="H14" s="21"/>
      <c r="I14" s="22">
        <v>2650.0</v>
      </c>
      <c r="J14" s="21"/>
      <c r="K14" s="21"/>
      <c r="L14" s="21"/>
      <c r="M14" s="21"/>
      <c r="N14" s="21"/>
      <c r="O14" s="21"/>
      <c r="P14" s="58">
        <v>2650.0</v>
      </c>
      <c r="Q14" s="24">
        <f t="shared" si="1"/>
        <v>0</v>
      </c>
      <c r="R14" s="59" t="s">
        <v>66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45349.0</v>
      </c>
      <c r="C15" s="55" t="s">
        <v>1843</v>
      </c>
      <c r="D15" s="56">
        <v>52669.0</v>
      </c>
      <c r="E15" s="57" t="s">
        <v>95</v>
      </c>
      <c r="F15" s="21"/>
      <c r="G15" s="21"/>
      <c r="H15" s="21"/>
      <c r="I15" s="22">
        <v>350.0</v>
      </c>
      <c r="J15" s="21"/>
      <c r="K15" s="21"/>
      <c r="L15" s="21"/>
      <c r="M15" s="21"/>
      <c r="N15" s="21"/>
      <c r="O15" s="21"/>
      <c r="P15" s="58">
        <v>350.0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45349.0</v>
      </c>
      <c r="C16" s="55" t="s">
        <v>1844</v>
      </c>
      <c r="D16" s="56">
        <v>43113.0</v>
      </c>
      <c r="E16" s="57" t="s">
        <v>811</v>
      </c>
      <c r="F16" s="21"/>
      <c r="G16" s="21"/>
      <c r="H16" s="21"/>
      <c r="I16" s="22"/>
      <c r="J16" s="21">
        <v>2850.0</v>
      </c>
      <c r="K16" s="21"/>
      <c r="L16" s="21"/>
      <c r="M16" s="21"/>
      <c r="N16" s="21"/>
      <c r="O16" s="21"/>
      <c r="P16" s="58">
        <v>2850.0</v>
      </c>
      <c r="Q16" s="24">
        <f t="shared" si="1"/>
        <v>0</v>
      </c>
      <c r="R16" s="59" t="s">
        <v>85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45349.0</v>
      </c>
      <c r="C17" s="55" t="s">
        <v>1845</v>
      </c>
      <c r="D17" s="56">
        <v>51939.0</v>
      </c>
      <c r="E17" s="57" t="s">
        <v>185</v>
      </c>
      <c r="F17" s="21"/>
      <c r="G17" s="21"/>
      <c r="H17" s="21"/>
      <c r="I17" s="21">
        <v>5000.0</v>
      </c>
      <c r="J17" s="21"/>
      <c r="K17" s="21"/>
      <c r="L17" s="21"/>
      <c r="M17" s="21"/>
      <c r="N17" s="21"/>
      <c r="O17" s="21"/>
      <c r="P17" s="58">
        <v>5000.0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45349.0</v>
      </c>
      <c r="C18" s="55" t="s">
        <v>1846</v>
      </c>
      <c r="D18" s="56">
        <v>59244.0</v>
      </c>
      <c r="E18" s="57" t="s">
        <v>388</v>
      </c>
      <c r="F18" s="21"/>
      <c r="G18" s="21"/>
      <c r="H18" s="21"/>
      <c r="I18" s="21">
        <v>25500.0</v>
      </c>
      <c r="J18" s="21"/>
      <c r="K18" s="21"/>
      <c r="L18" s="21"/>
      <c r="M18" s="21"/>
      <c r="N18" s="21"/>
      <c r="O18" s="21"/>
      <c r="P18" s="58">
        <v>25500.0</v>
      </c>
      <c r="Q18" s="24">
        <f t="shared" si="1"/>
        <v>0</v>
      </c>
      <c r="R18" s="59" t="s">
        <v>30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45349.0</v>
      </c>
      <c r="C19" s="55" t="s">
        <v>1847</v>
      </c>
      <c r="D19" s="56">
        <v>79620.0</v>
      </c>
      <c r="E19" s="57" t="s">
        <v>1848</v>
      </c>
      <c r="F19" s="21"/>
      <c r="G19" s="21"/>
      <c r="H19" s="21"/>
      <c r="I19" s="21"/>
      <c r="J19" s="21">
        <v>1050.0</v>
      </c>
      <c r="K19" s="21"/>
      <c r="L19" s="21"/>
      <c r="M19" s="21"/>
      <c r="N19" s="21"/>
      <c r="O19" s="21"/>
      <c r="P19" s="58">
        <v>1050.0</v>
      </c>
      <c r="Q19" s="24">
        <f t="shared" si="1"/>
        <v>0</v>
      </c>
      <c r="R19" s="59" t="s">
        <v>30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45349.0</v>
      </c>
      <c r="C20" s="55" t="s">
        <v>1849</v>
      </c>
      <c r="D20" s="56">
        <v>51697.0</v>
      </c>
      <c r="E20" s="57" t="s">
        <v>441</v>
      </c>
      <c r="F20" s="21"/>
      <c r="G20" s="21"/>
      <c r="H20" s="21"/>
      <c r="I20" s="21"/>
      <c r="J20" s="21">
        <v>4500.0</v>
      </c>
      <c r="K20" s="21"/>
      <c r="L20" s="21"/>
      <c r="M20" s="21"/>
      <c r="N20" s="21"/>
      <c r="O20" s="21"/>
      <c r="P20" s="58">
        <v>4500.0</v>
      </c>
      <c r="Q20" s="24">
        <f t="shared" si="1"/>
        <v>0</v>
      </c>
      <c r="R20" s="59" t="s">
        <v>30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45349.0</v>
      </c>
      <c r="C21" s="55" t="s">
        <v>1850</v>
      </c>
      <c r="D21" s="56">
        <v>67909.0</v>
      </c>
      <c r="E21" s="57" t="s">
        <v>471</v>
      </c>
      <c r="F21" s="21"/>
      <c r="G21" s="21"/>
      <c r="H21" s="21"/>
      <c r="I21" s="22">
        <v>10000.0</v>
      </c>
      <c r="J21" s="22"/>
      <c r="K21" s="21"/>
      <c r="L21" s="21"/>
      <c r="M21" s="21"/>
      <c r="N21" s="21"/>
      <c r="O21" s="21"/>
      <c r="P21" s="58">
        <v>10000.0</v>
      </c>
      <c r="Q21" s="24">
        <f t="shared" si="1"/>
        <v>0</v>
      </c>
      <c r="R21" s="59" t="s">
        <v>30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45349.0</v>
      </c>
      <c r="C22" s="55" t="s">
        <v>1851</v>
      </c>
      <c r="D22" s="56">
        <v>81824.0</v>
      </c>
      <c r="E22" s="57" t="s">
        <v>1852</v>
      </c>
      <c r="F22" s="21"/>
      <c r="G22" s="21"/>
      <c r="H22" s="21"/>
      <c r="I22" s="22"/>
      <c r="J22" s="22">
        <v>7000.0</v>
      </c>
      <c r="K22" s="21"/>
      <c r="L22" s="21"/>
      <c r="M22" s="21"/>
      <c r="N22" s="21"/>
      <c r="O22" s="21"/>
      <c r="P22" s="58">
        <v>7000.0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45349.0</v>
      </c>
      <c r="C23" s="56" t="s">
        <v>1853</v>
      </c>
      <c r="D23" s="56">
        <v>80375.0</v>
      </c>
      <c r="E23" s="57" t="s">
        <v>1258</v>
      </c>
      <c r="F23" s="30"/>
      <c r="G23" s="30"/>
      <c r="H23" s="68"/>
      <c r="I23" s="68">
        <v>5150.0</v>
      </c>
      <c r="J23" s="68"/>
      <c r="K23" s="30"/>
      <c r="L23" s="30"/>
      <c r="M23" s="30"/>
      <c r="N23" s="30"/>
      <c r="O23" s="30"/>
      <c r="P23" s="61">
        <v>5150.0</v>
      </c>
      <c r="Q23" s="24">
        <f t="shared" si="1"/>
        <v>0</v>
      </c>
      <c r="R23" s="57" t="s">
        <v>66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3">
        <v>45349.0</v>
      </c>
      <c r="C24" s="64" t="s">
        <v>1854</v>
      </c>
      <c r="D24" s="64">
        <v>81665.0</v>
      </c>
      <c r="E24" s="65" t="s">
        <v>1855</v>
      </c>
      <c r="F24" s="30"/>
      <c r="G24" s="30"/>
      <c r="H24" s="30"/>
      <c r="I24" s="68"/>
      <c r="J24" s="68"/>
      <c r="K24" s="30"/>
      <c r="L24" s="30"/>
      <c r="M24" s="30">
        <v>7000.0</v>
      </c>
      <c r="N24" s="30"/>
      <c r="O24" s="30"/>
      <c r="P24" s="66">
        <v>7000.0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3">
        <v>45349.0</v>
      </c>
      <c r="C25" s="64" t="s">
        <v>1856</v>
      </c>
      <c r="D25" s="64">
        <v>80479.0</v>
      </c>
      <c r="E25" s="65" t="s">
        <v>1857</v>
      </c>
      <c r="F25" s="30"/>
      <c r="G25" s="30"/>
      <c r="H25" s="30"/>
      <c r="I25" s="68">
        <v>7000.0</v>
      </c>
      <c r="J25" s="68"/>
      <c r="K25" s="30"/>
      <c r="L25" s="30"/>
      <c r="M25" s="30"/>
      <c r="N25" s="30"/>
      <c r="O25" s="30"/>
      <c r="P25" s="66">
        <v>7000.0</v>
      </c>
      <c r="Q25" s="24">
        <f t="shared" si="1"/>
        <v>0</v>
      </c>
      <c r="R25" s="57" t="s">
        <v>66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3">
        <v>45349.0</v>
      </c>
      <c r="C26" s="64" t="s">
        <v>1858</v>
      </c>
      <c r="D26" s="64">
        <v>77628.0</v>
      </c>
      <c r="E26" s="65" t="s">
        <v>1859</v>
      </c>
      <c r="F26" s="30"/>
      <c r="G26" s="30"/>
      <c r="H26" s="30"/>
      <c r="I26" s="68">
        <v>5150.0</v>
      </c>
      <c r="J26" s="68"/>
      <c r="K26" s="30"/>
      <c r="L26" s="30"/>
      <c r="M26" s="30"/>
      <c r="N26" s="30"/>
      <c r="O26" s="30"/>
      <c r="P26" s="66">
        <v>5150.0</v>
      </c>
      <c r="Q26" s="24">
        <f t="shared" si="1"/>
        <v>0</v>
      </c>
      <c r="R26" s="57" t="s">
        <v>30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3">
        <v>45349.0</v>
      </c>
      <c r="C27" s="64" t="s">
        <v>1860</v>
      </c>
      <c r="D27" s="64">
        <v>44041.0</v>
      </c>
      <c r="E27" s="65" t="s">
        <v>1861</v>
      </c>
      <c r="F27" s="30"/>
      <c r="G27" s="30"/>
      <c r="H27" s="30"/>
      <c r="I27" s="68"/>
      <c r="J27" s="68">
        <v>3800.0</v>
      </c>
      <c r="K27" s="30"/>
      <c r="L27" s="30"/>
      <c r="M27" s="30"/>
      <c r="N27" s="30"/>
      <c r="O27" s="30"/>
      <c r="P27" s="66">
        <v>3800.0</v>
      </c>
      <c r="Q27" s="24">
        <f t="shared" si="1"/>
        <v>0</v>
      </c>
      <c r="R27" s="57" t="s">
        <v>30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3">
        <v>45349.0</v>
      </c>
      <c r="C28" s="64" t="s">
        <v>1862</v>
      </c>
      <c r="D28" s="64">
        <v>57201.0</v>
      </c>
      <c r="E28" s="65" t="s">
        <v>371</v>
      </c>
      <c r="F28" s="30"/>
      <c r="G28" s="30"/>
      <c r="H28" s="30"/>
      <c r="I28" s="68">
        <v>4200.0</v>
      </c>
      <c r="J28" s="68"/>
      <c r="K28" s="30"/>
      <c r="L28" s="30"/>
      <c r="M28" s="30"/>
      <c r="N28" s="30"/>
      <c r="O28" s="30"/>
      <c r="P28" s="66">
        <v>4200.0</v>
      </c>
      <c r="Q28" s="24">
        <f t="shared" si="1"/>
        <v>0</v>
      </c>
      <c r="R28" s="57" t="s">
        <v>85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3">
        <v>45349.0</v>
      </c>
      <c r="C29" s="64" t="s">
        <v>1863</v>
      </c>
      <c r="D29" s="64">
        <v>22727.0</v>
      </c>
      <c r="E29" s="65" t="s">
        <v>750</v>
      </c>
      <c r="F29" s="30"/>
      <c r="G29" s="30"/>
      <c r="H29" s="30"/>
      <c r="I29" s="68"/>
      <c r="J29" s="68">
        <v>350.0</v>
      </c>
      <c r="K29" s="30"/>
      <c r="L29" s="30"/>
      <c r="M29" s="30"/>
      <c r="N29" s="30"/>
      <c r="O29" s="30"/>
      <c r="P29" s="66">
        <v>350.0</v>
      </c>
      <c r="Q29" s="24">
        <f t="shared" si="1"/>
        <v>0</v>
      </c>
      <c r="R29" s="57" t="s">
        <v>56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3">
        <v>45349.0</v>
      </c>
      <c r="C30" s="64" t="s">
        <v>1864</v>
      </c>
      <c r="D30" s="64">
        <v>21818.0</v>
      </c>
      <c r="E30" s="65" t="s">
        <v>202</v>
      </c>
      <c r="F30" s="30"/>
      <c r="G30" s="30"/>
      <c r="H30" s="30"/>
      <c r="I30" s="68">
        <v>19650.0</v>
      </c>
      <c r="J30" s="68"/>
      <c r="K30" s="30"/>
      <c r="L30" s="30"/>
      <c r="M30" s="30"/>
      <c r="N30" s="30"/>
      <c r="O30" s="30"/>
      <c r="P30" s="66">
        <v>19650.0</v>
      </c>
      <c r="Q30" s="24">
        <f t="shared" si="1"/>
        <v>0</v>
      </c>
      <c r="R30" s="57" t="s">
        <v>1865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3">
        <v>45349.0</v>
      </c>
      <c r="C31" s="64" t="s">
        <v>1866</v>
      </c>
      <c r="D31" s="64">
        <v>81822.0</v>
      </c>
      <c r="E31" s="65" t="s">
        <v>1867</v>
      </c>
      <c r="F31" s="30"/>
      <c r="G31" s="30"/>
      <c r="H31" s="30"/>
      <c r="I31" s="68"/>
      <c r="J31" s="68">
        <v>8450.0</v>
      </c>
      <c r="K31" s="30"/>
      <c r="L31" s="30"/>
      <c r="M31" s="30"/>
      <c r="N31" s="30"/>
      <c r="O31" s="30"/>
      <c r="P31" s="66">
        <v>8450.0</v>
      </c>
      <c r="Q31" s="24">
        <f t="shared" si="1"/>
        <v>0</v>
      </c>
      <c r="R31" s="57" t="s">
        <v>30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3">
        <v>45349.0</v>
      </c>
      <c r="C32" s="64" t="s">
        <v>1868</v>
      </c>
      <c r="D32" s="64">
        <v>47787.0</v>
      </c>
      <c r="E32" s="65" t="s">
        <v>1016</v>
      </c>
      <c r="F32" s="30"/>
      <c r="G32" s="30"/>
      <c r="H32" s="30"/>
      <c r="I32" s="68">
        <v>1400.0</v>
      </c>
      <c r="J32" s="68"/>
      <c r="K32" s="30"/>
      <c r="L32" s="30"/>
      <c r="M32" s="30"/>
      <c r="N32" s="30"/>
      <c r="O32" s="30"/>
      <c r="P32" s="66">
        <v>1400.0</v>
      </c>
      <c r="Q32" s="24">
        <f t="shared" si="1"/>
        <v>0</v>
      </c>
      <c r="R32" s="57" t="s">
        <v>66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3">
        <v>45349.0</v>
      </c>
      <c r="C33" s="64" t="s">
        <v>1869</v>
      </c>
      <c r="D33" s="64">
        <v>80975.0</v>
      </c>
      <c r="E33" s="65" t="s">
        <v>1870</v>
      </c>
      <c r="F33" s="30"/>
      <c r="G33" s="30"/>
      <c r="H33" s="30"/>
      <c r="I33" s="68"/>
      <c r="J33" s="68">
        <v>2650.0</v>
      </c>
      <c r="K33" s="30"/>
      <c r="L33" s="30"/>
      <c r="M33" s="30"/>
      <c r="N33" s="30"/>
      <c r="O33" s="30"/>
      <c r="P33" s="66">
        <v>2650.0</v>
      </c>
      <c r="Q33" s="24">
        <f t="shared" si="1"/>
        <v>0</v>
      </c>
      <c r="R33" s="57" t="s">
        <v>30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3">
        <v>45349.0</v>
      </c>
      <c r="C34" s="64" t="s">
        <v>1871</v>
      </c>
      <c r="D34" s="64">
        <v>59377.0</v>
      </c>
      <c r="E34" s="65" t="s">
        <v>1872</v>
      </c>
      <c r="F34" s="30"/>
      <c r="G34" s="30"/>
      <c r="H34" s="30"/>
      <c r="I34" s="68"/>
      <c r="J34" s="68">
        <v>4500.0</v>
      </c>
      <c r="K34" s="30"/>
      <c r="L34" s="30"/>
      <c r="M34" s="30"/>
      <c r="N34" s="30"/>
      <c r="O34" s="30"/>
      <c r="P34" s="66">
        <v>4500.0</v>
      </c>
      <c r="Q34" s="24">
        <f t="shared" si="1"/>
        <v>0</v>
      </c>
      <c r="R34" s="57" t="s">
        <v>30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3">
        <v>45349.0</v>
      </c>
      <c r="C35" s="64" t="s">
        <v>1873</v>
      </c>
      <c r="D35" s="64">
        <v>80423.0</v>
      </c>
      <c r="E35" s="65" t="s">
        <v>76</v>
      </c>
      <c r="F35" s="30"/>
      <c r="G35" s="30"/>
      <c r="H35" s="30"/>
      <c r="I35" s="68">
        <v>5550.0</v>
      </c>
      <c r="J35" s="68"/>
      <c r="K35" s="30"/>
      <c r="L35" s="30"/>
      <c r="M35" s="30"/>
      <c r="N35" s="30"/>
      <c r="O35" s="30"/>
      <c r="P35" s="66">
        <v>5550.0</v>
      </c>
      <c r="Q35" s="24">
        <f t="shared" si="1"/>
        <v>0</v>
      </c>
      <c r="R35" s="57" t="s">
        <v>66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3">
        <v>45349.0</v>
      </c>
      <c r="C36" s="64" t="s">
        <v>1874</v>
      </c>
      <c r="D36" s="64">
        <v>76815.0</v>
      </c>
      <c r="E36" s="65" t="s">
        <v>1875</v>
      </c>
      <c r="F36" s="30"/>
      <c r="G36" s="30"/>
      <c r="H36" s="30"/>
      <c r="I36" s="68">
        <v>7900.0</v>
      </c>
      <c r="J36" s="68"/>
      <c r="K36" s="30">
        <v>1600.0</v>
      </c>
      <c r="L36" s="30"/>
      <c r="M36" s="30"/>
      <c r="N36" s="30"/>
      <c r="O36" s="30"/>
      <c r="P36" s="66">
        <v>9500.0</v>
      </c>
      <c r="Q36" s="24">
        <f t="shared" si="1"/>
        <v>0</v>
      </c>
      <c r="R36" s="57" t="s">
        <v>30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3">
        <v>45349.0</v>
      </c>
      <c r="C37" s="64" t="s">
        <v>1876</v>
      </c>
      <c r="D37" s="64">
        <v>36555.0</v>
      </c>
      <c r="E37" s="65" t="s">
        <v>479</v>
      </c>
      <c r="F37" s="30"/>
      <c r="G37" s="30"/>
      <c r="H37" s="30"/>
      <c r="I37" s="68">
        <v>10954.0</v>
      </c>
      <c r="J37" s="68"/>
      <c r="K37" s="30">
        <v>1071.0</v>
      </c>
      <c r="L37" s="30"/>
      <c r="M37" s="30"/>
      <c r="N37" s="30"/>
      <c r="O37" s="30"/>
      <c r="P37" s="66">
        <v>12025.0</v>
      </c>
      <c r="Q37" s="24">
        <f t="shared" si="1"/>
        <v>0</v>
      </c>
      <c r="R37" s="57" t="s">
        <v>85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3">
        <v>45349.0</v>
      </c>
      <c r="C38" s="64" t="s">
        <v>1877</v>
      </c>
      <c r="D38" s="64">
        <v>54226.0</v>
      </c>
      <c r="E38" s="65" t="s">
        <v>487</v>
      </c>
      <c r="F38" s="30"/>
      <c r="G38" s="30"/>
      <c r="H38" s="30"/>
      <c r="I38" s="68"/>
      <c r="J38" s="68">
        <v>5150.0</v>
      </c>
      <c r="K38" s="30"/>
      <c r="L38" s="30"/>
      <c r="M38" s="30"/>
      <c r="N38" s="30"/>
      <c r="O38" s="30"/>
      <c r="P38" s="66">
        <v>5150.0</v>
      </c>
      <c r="Q38" s="24">
        <f t="shared" si="1"/>
        <v>0</v>
      </c>
      <c r="R38" s="57" t="s">
        <v>30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3">
        <v>45349.0</v>
      </c>
      <c r="C39" s="64" t="s">
        <v>1878</v>
      </c>
      <c r="D39" s="64">
        <v>67621.0</v>
      </c>
      <c r="E39" s="65" t="s">
        <v>463</v>
      </c>
      <c r="F39" s="30"/>
      <c r="G39" s="30"/>
      <c r="H39" s="30"/>
      <c r="I39" s="68">
        <v>350.0</v>
      </c>
      <c r="J39" s="68"/>
      <c r="K39" s="30"/>
      <c r="L39" s="30"/>
      <c r="M39" s="30"/>
      <c r="N39" s="30"/>
      <c r="O39" s="30"/>
      <c r="P39" s="66">
        <v>350.0</v>
      </c>
      <c r="Q39" s="24">
        <f t="shared" si="1"/>
        <v>0</v>
      </c>
      <c r="R39" s="57" t="s">
        <v>30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3">
        <v>45349.0</v>
      </c>
      <c r="C40" s="64" t="s">
        <v>1879</v>
      </c>
      <c r="D40" s="64">
        <v>10271.0</v>
      </c>
      <c r="E40" s="65" t="s">
        <v>1880</v>
      </c>
      <c r="F40" s="30"/>
      <c r="G40" s="30"/>
      <c r="H40" s="30">
        <v>5525.0</v>
      </c>
      <c r="I40" s="68"/>
      <c r="J40" s="68"/>
      <c r="K40" s="30"/>
      <c r="L40" s="30"/>
      <c r="M40" s="30"/>
      <c r="N40" s="30"/>
      <c r="O40" s="30"/>
      <c r="P40" s="66">
        <v>5525.0</v>
      </c>
      <c r="Q40" s="24">
        <f t="shared" si="1"/>
        <v>0</v>
      </c>
      <c r="R40" s="57" t="s">
        <v>85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3">
        <v>45349.0</v>
      </c>
      <c r="C41" s="64" t="s">
        <v>1881</v>
      </c>
      <c r="D41" s="64">
        <v>54573.0</v>
      </c>
      <c r="E41" s="65" t="s">
        <v>1882</v>
      </c>
      <c r="F41" s="30"/>
      <c r="G41" s="30"/>
      <c r="H41" s="30"/>
      <c r="I41" s="68">
        <v>5150.0</v>
      </c>
      <c r="J41" s="68"/>
      <c r="K41" s="30"/>
      <c r="L41" s="30"/>
      <c r="M41" s="30"/>
      <c r="N41" s="30"/>
      <c r="O41" s="30"/>
      <c r="P41" s="66">
        <v>5150.0</v>
      </c>
      <c r="Q41" s="24">
        <f t="shared" si="1"/>
        <v>0</v>
      </c>
      <c r="R41" s="57" t="s">
        <v>30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3">
        <v>45349.0</v>
      </c>
      <c r="C42" s="64" t="s">
        <v>1883</v>
      </c>
      <c r="D42" s="64">
        <v>22332.0</v>
      </c>
      <c r="E42" s="65" t="s">
        <v>404</v>
      </c>
      <c r="F42" s="30"/>
      <c r="G42" s="30"/>
      <c r="H42" s="30"/>
      <c r="I42" s="68"/>
      <c r="J42" s="68"/>
      <c r="K42" s="30"/>
      <c r="L42" s="30"/>
      <c r="M42" s="30">
        <v>5000.0</v>
      </c>
      <c r="N42" s="30"/>
      <c r="O42" s="30"/>
      <c r="P42" s="66">
        <v>5000.0</v>
      </c>
      <c r="Q42" s="24">
        <f t="shared" si="1"/>
        <v>0</v>
      </c>
      <c r="R42" s="57" t="s">
        <v>85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3">
        <v>45349.0</v>
      </c>
      <c r="C43" s="64" t="s">
        <v>1884</v>
      </c>
      <c r="D43" s="64">
        <v>81665.0</v>
      </c>
      <c r="E43" s="65" t="s">
        <v>1885</v>
      </c>
      <c r="F43" s="30"/>
      <c r="G43" s="30"/>
      <c r="H43" s="30"/>
      <c r="I43" s="68"/>
      <c r="J43" s="68"/>
      <c r="K43" s="30"/>
      <c r="L43" s="30"/>
      <c r="M43" s="30">
        <v>55000.0</v>
      </c>
      <c r="N43" s="30"/>
      <c r="O43" s="30"/>
      <c r="P43" s="66">
        <v>55000.0</v>
      </c>
      <c r="Q43" s="24">
        <f t="shared" si="1"/>
        <v>0</v>
      </c>
      <c r="R43" s="57" t="s">
        <v>24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3">
        <v>45349.0</v>
      </c>
      <c r="C44" s="64" t="s">
        <v>1886</v>
      </c>
      <c r="D44" s="64">
        <v>81665.0</v>
      </c>
      <c r="E44" s="65" t="s">
        <v>1885</v>
      </c>
      <c r="F44" s="30"/>
      <c r="G44" s="30"/>
      <c r="H44" s="30"/>
      <c r="I44" s="68"/>
      <c r="J44" s="68"/>
      <c r="K44" s="30"/>
      <c r="L44" s="30"/>
      <c r="M44" s="30">
        <v>45000.0</v>
      </c>
      <c r="N44" s="30"/>
      <c r="O44" s="30"/>
      <c r="P44" s="66">
        <v>45000.0</v>
      </c>
      <c r="Q44" s="24">
        <f t="shared" si="1"/>
        <v>0</v>
      </c>
      <c r="R44" s="57" t="s">
        <v>24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3">
        <v>45348.0</v>
      </c>
      <c r="C45" s="64" t="s">
        <v>1887</v>
      </c>
      <c r="D45" s="64">
        <v>71914.0</v>
      </c>
      <c r="E45" s="65" t="s">
        <v>1306</v>
      </c>
      <c r="F45" s="30"/>
      <c r="G45" s="30"/>
      <c r="H45" s="30">
        <v>1500.0</v>
      </c>
      <c r="I45" s="68"/>
      <c r="J45" s="68"/>
      <c r="K45" s="30"/>
      <c r="L45" s="30"/>
      <c r="M45" s="30"/>
      <c r="N45" s="30"/>
      <c r="O45" s="30"/>
      <c r="P45" s="66">
        <v>1500.0</v>
      </c>
      <c r="Q45" s="24">
        <f t="shared" si="1"/>
        <v>0</v>
      </c>
      <c r="R45" s="57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3">
        <v>45348.0</v>
      </c>
      <c r="C46" s="64" t="s">
        <v>1888</v>
      </c>
      <c r="D46" s="64">
        <v>81812.0</v>
      </c>
      <c r="E46" s="65" t="s">
        <v>1889</v>
      </c>
      <c r="F46" s="30"/>
      <c r="G46" s="30"/>
      <c r="H46" s="30">
        <v>7000.0</v>
      </c>
      <c r="I46" s="68"/>
      <c r="J46" s="68"/>
      <c r="K46" s="30"/>
      <c r="L46" s="30"/>
      <c r="M46" s="30"/>
      <c r="N46" s="30"/>
      <c r="O46" s="30"/>
      <c r="P46" s="66">
        <v>7000.0</v>
      </c>
      <c r="Q46" s="24">
        <f t="shared" si="1"/>
        <v>0</v>
      </c>
      <c r="R46" s="57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3">
        <v>45348.0</v>
      </c>
      <c r="C47" s="64" t="s">
        <v>1890</v>
      </c>
      <c r="D47" s="64">
        <v>81813.0</v>
      </c>
      <c r="E47" s="65" t="s">
        <v>1891</v>
      </c>
      <c r="F47" s="30"/>
      <c r="G47" s="30"/>
      <c r="H47" s="30">
        <v>7000.0</v>
      </c>
      <c r="I47" s="68"/>
      <c r="J47" s="68"/>
      <c r="K47" s="30"/>
      <c r="L47" s="30"/>
      <c r="M47" s="30"/>
      <c r="N47" s="30"/>
      <c r="O47" s="30"/>
      <c r="P47" s="66">
        <v>7000.0</v>
      </c>
      <c r="Q47" s="24">
        <f t="shared" si="1"/>
        <v>0</v>
      </c>
      <c r="R47" s="57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3">
        <v>45348.0</v>
      </c>
      <c r="C48" s="64" t="s">
        <v>1892</v>
      </c>
      <c r="D48" s="64">
        <v>81815.0</v>
      </c>
      <c r="E48" s="65" t="s">
        <v>1893</v>
      </c>
      <c r="F48" s="30"/>
      <c r="G48" s="30"/>
      <c r="H48" s="30">
        <v>7000.0</v>
      </c>
      <c r="I48" s="68"/>
      <c r="J48" s="68"/>
      <c r="K48" s="30"/>
      <c r="L48" s="30"/>
      <c r="M48" s="30"/>
      <c r="N48" s="30"/>
      <c r="O48" s="30"/>
      <c r="P48" s="66">
        <v>7000.0</v>
      </c>
      <c r="Q48" s="24">
        <f t="shared" si="1"/>
        <v>0</v>
      </c>
      <c r="R48" s="57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45348.0</v>
      </c>
      <c r="C49" s="64" t="s">
        <v>1894</v>
      </c>
      <c r="D49" s="64">
        <v>50336.0</v>
      </c>
      <c r="E49" s="65" t="s">
        <v>1355</v>
      </c>
      <c r="F49" s="30"/>
      <c r="G49" s="30"/>
      <c r="H49" s="30">
        <v>2500.0</v>
      </c>
      <c r="I49" s="68"/>
      <c r="J49" s="68"/>
      <c r="K49" s="30"/>
      <c r="L49" s="30"/>
      <c r="M49" s="30"/>
      <c r="N49" s="30"/>
      <c r="O49" s="30"/>
      <c r="P49" s="66">
        <v>2500.0</v>
      </c>
      <c r="Q49" s="24">
        <f t="shared" si="1"/>
        <v>0</v>
      </c>
      <c r="R49" s="57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45349.0</v>
      </c>
      <c r="C50" s="64" t="s">
        <v>1895</v>
      </c>
      <c r="D50" s="64">
        <v>43380.0</v>
      </c>
      <c r="E50" s="65" t="s">
        <v>351</v>
      </c>
      <c r="F50" s="30"/>
      <c r="G50" s="30"/>
      <c r="H50" s="30">
        <v>8000.0</v>
      </c>
      <c r="I50" s="68"/>
      <c r="J50" s="68"/>
      <c r="K50" s="30"/>
      <c r="L50" s="30"/>
      <c r="M50" s="30"/>
      <c r="N50" s="30"/>
      <c r="O50" s="30"/>
      <c r="P50" s="66">
        <v>8000.0</v>
      </c>
      <c r="Q50" s="24">
        <f t="shared" si="1"/>
        <v>0</v>
      </c>
      <c r="R50" s="57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45349.0</v>
      </c>
      <c r="C51" s="64" t="s">
        <v>1896</v>
      </c>
      <c r="D51" s="64">
        <v>10006.0</v>
      </c>
      <c r="E51" s="65" t="s">
        <v>619</v>
      </c>
      <c r="F51" s="30"/>
      <c r="G51" s="30"/>
      <c r="H51" s="30">
        <v>14500.0</v>
      </c>
      <c r="I51" s="68"/>
      <c r="J51" s="68"/>
      <c r="K51" s="30"/>
      <c r="L51" s="30"/>
      <c r="M51" s="30"/>
      <c r="N51" s="30"/>
      <c r="O51" s="30"/>
      <c r="P51" s="66">
        <v>14500.0</v>
      </c>
      <c r="Q51" s="24">
        <f t="shared" si="1"/>
        <v>0</v>
      </c>
      <c r="R51" s="57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45349.0</v>
      </c>
      <c r="C52" s="64" t="s">
        <v>1897</v>
      </c>
      <c r="D52" s="64">
        <v>10006.0</v>
      </c>
      <c r="E52" s="65" t="s">
        <v>619</v>
      </c>
      <c r="F52" s="30"/>
      <c r="G52" s="30"/>
      <c r="H52" s="30">
        <v>4500.0</v>
      </c>
      <c r="I52" s="68"/>
      <c r="J52" s="68"/>
      <c r="K52" s="30"/>
      <c r="L52" s="30"/>
      <c r="M52" s="30"/>
      <c r="N52" s="30"/>
      <c r="O52" s="30"/>
      <c r="P52" s="66">
        <v>4500.0</v>
      </c>
      <c r="Q52" s="24">
        <f t="shared" si="1"/>
        <v>0</v>
      </c>
      <c r="R52" s="57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45349.0</v>
      </c>
      <c r="C53" s="64" t="s">
        <v>1898</v>
      </c>
      <c r="D53" s="64">
        <v>37642.0</v>
      </c>
      <c r="E53" s="65" t="s">
        <v>512</v>
      </c>
      <c r="F53" s="30"/>
      <c r="G53" s="30"/>
      <c r="H53" s="30">
        <v>17900.0</v>
      </c>
      <c r="I53" s="68"/>
      <c r="J53" s="68"/>
      <c r="K53" s="30"/>
      <c r="L53" s="30"/>
      <c r="M53" s="30"/>
      <c r="N53" s="30"/>
      <c r="O53" s="30"/>
      <c r="P53" s="66">
        <v>17900.0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45349.0</v>
      </c>
      <c r="C54" s="64" t="s">
        <v>1899</v>
      </c>
      <c r="D54" s="64">
        <v>49918.0</v>
      </c>
      <c r="E54" s="65" t="s">
        <v>1299</v>
      </c>
      <c r="F54" s="30"/>
      <c r="G54" s="30"/>
      <c r="H54" s="30">
        <v>2500.0</v>
      </c>
      <c r="I54" s="68"/>
      <c r="J54" s="68"/>
      <c r="K54" s="30"/>
      <c r="L54" s="30"/>
      <c r="M54" s="30"/>
      <c r="N54" s="30"/>
      <c r="O54" s="30"/>
      <c r="P54" s="66">
        <v>2500.0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45349.0</v>
      </c>
      <c r="C55" s="64" t="s">
        <v>1900</v>
      </c>
      <c r="D55" s="64">
        <v>51017.0</v>
      </c>
      <c r="E55" s="65" t="s">
        <v>150</v>
      </c>
      <c r="F55" s="30"/>
      <c r="G55" s="30"/>
      <c r="H55" s="30">
        <v>15000.0</v>
      </c>
      <c r="I55" s="68"/>
      <c r="J55" s="68"/>
      <c r="K55" s="30"/>
      <c r="L55" s="30"/>
      <c r="M55" s="30"/>
      <c r="N55" s="30"/>
      <c r="O55" s="30"/>
      <c r="P55" s="66">
        <v>15000.0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3">
        <v>45349.0</v>
      </c>
      <c r="C56" s="64" t="s">
        <v>1901</v>
      </c>
      <c r="D56" s="64">
        <v>31927.0</v>
      </c>
      <c r="E56" s="65" t="s">
        <v>121</v>
      </c>
      <c r="F56" s="30"/>
      <c r="G56" s="30"/>
      <c r="H56" s="30"/>
      <c r="I56" s="68"/>
      <c r="J56" s="68"/>
      <c r="K56" s="30"/>
      <c r="L56" s="30"/>
      <c r="M56" s="30">
        <v>2500.0</v>
      </c>
      <c r="N56" s="30"/>
      <c r="O56" s="30"/>
      <c r="P56" s="66">
        <v>2500.0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>
        <v>53.0</v>
      </c>
      <c r="B57" s="63">
        <v>45349.0</v>
      </c>
      <c r="C57" s="64" t="s">
        <v>1902</v>
      </c>
      <c r="D57" s="64">
        <v>57201.0</v>
      </c>
      <c r="E57" s="65" t="s">
        <v>371</v>
      </c>
      <c r="F57" s="30"/>
      <c r="G57" s="30"/>
      <c r="H57" s="30">
        <v>7675.0</v>
      </c>
      <c r="I57" s="68"/>
      <c r="J57" s="68"/>
      <c r="K57" s="30"/>
      <c r="L57" s="30"/>
      <c r="M57" s="30"/>
      <c r="N57" s="30"/>
      <c r="O57" s="30"/>
      <c r="P57" s="66">
        <v>7675.0</v>
      </c>
      <c r="Q57" s="24">
        <f t="shared" si="1"/>
        <v>0</v>
      </c>
      <c r="R57" s="57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ht="36.0" customHeight="1">
      <c r="A58" s="16"/>
      <c r="B58" s="27"/>
      <c r="C58" s="28"/>
      <c r="D58" s="29"/>
      <c r="E58" s="28"/>
      <c r="F58" s="30">
        <f t="shared" ref="F58:Q58" si="2">SUM(F5:F57)</f>
        <v>0</v>
      </c>
      <c r="G58" s="30">
        <f t="shared" si="2"/>
        <v>0</v>
      </c>
      <c r="H58" s="30">
        <f t="shared" si="2"/>
        <v>100600</v>
      </c>
      <c r="I58" s="30">
        <f t="shared" si="2"/>
        <v>145104</v>
      </c>
      <c r="J58" s="30">
        <f t="shared" si="2"/>
        <v>56050</v>
      </c>
      <c r="K58" s="30">
        <f t="shared" si="2"/>
        <v>2671</v>
      </c>
      <c r="L58" s="30">
        <f t="shared" si="2"/>
        <v>0</v>
      </c>
      <c r="M58" s="30">
        <f t="shared" si="2"/>
        <v>117150</v>
      </c>
      <c r="N58" s="30">
        <f t="shared" si="2"/>
        <v>0</v>
      </c>
      <c r="O58" s="30">
        <f t="shared" si="2"/>
        <v>0</v>
      </c>
      <c r="P58" s="68">
        <f t="shared" si="2"/>
        <v>421575</v>
      </c>
      <c r="Q58" s="24">
        <f t="shared" si="2"/>
        <v>0</v>
      </c>
      <c r="R58" s="67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36.0" customHeight="1">
      <c r="A59" s="35"/>
      <c r="B59" s="35"/>
      <c r="C59" s="35"/>
      <c r="D59" s="35"/>
      <c r="E59" s="35"/>
      <c r="F59" s="36">
        <f>F58+G58+H58+I58+J58+K58+L58+M58+N58+O58</f>
        <v>421575</v>
      </c>
      <c r="P59" s="36"/>
      <c r="Q59" s="36"/>
      <c r="R59" s="35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37" t="s">
        <v>242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243</v>
      </c>
      <c r="F63" s="39" t="s">
        <v>244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38" t="s">
        <v>245</v>
      </c>
      <c r="F64" s="39" t="s">
        <v>244</v>
      </c>
      <c r="G64" s="4"/>
      <c r="H64" s="4"/>
      <c r="I64" s="4"/>
      <c r="J64" s="4"/>
      <c r="K64" s="4"/>
      <c r="L64" s="4"/>
      <c r="M64" s="4"/>
      <c r="N64" s="4"/>
      <c r="O64" s="4" t="s">
        <v>242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38" t="s">
        <v>246</v>
      </c>
      <c r="F65" s="39" t="s">
        <v>880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38" t="s">
        <v>247</v>
      </c>
      <c r="F66" s="39" t="s">
        <v>880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38" t="s">
        <v>248</v>
      </c>
      <c r="F67" s="39" t="s">
        <v>244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7.0" customHeight="1">
      <c r="A68" s="4"/>
      <c r="B68" s="4"/>
      <c r="C68" s="4"/>
      <c r="D68" s="4"/>
      <c r="E68" s="38" t="s">
        <v>1903</v>
      </c>
      <c r="F68" s="39" t="s">
        <v>244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0.0" customHeight="1">
      <c r="A69" s="4"/>
      <c r="B69" s="4"/>
      <c r="C69" s="4"/>
      <c r="D69" s="4"/>
      <c r="E69" s="40" t="s">
        <v>250</v>
      </c>
      <c r="F69" s="39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38" t="s">
        <v>252</v>
      </c>
      <c r="F70" s="39" t="s">
        <v>880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242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 t="s">
        <v>253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7.13"/>
    <col customWidth="1" min="4" max="4" width="17.8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45350.0</v>
      </c>
      <c r="C5" s="55" t="s">
        <v>1905</v>
      </c>
      <c r="D5" s="56">
        <v>50557.0</v>
      </c>
      <c r="E5" s="57" t="s">
        <v>1906</v>
      </c>
      <c r="F5" s="21"/>
      <c r="G5" s="21"/>
      <c r="H5" s="21"/>
      <c r="I5" s="21">
        <v>2500.0</v>
      </c>
      <c r="J5" s="22"/>
      <c r="K5" s="21"/>
      <c r="L5" s="21"/>
      <c r="M5" s="21"/>
      <c r="N5" s="21"/>
      <c r="O5" s="21"/>
      <c r="P5" s="58">
        <v>2500.0</v>
      </c>
      <c r="Q5" s="24">
        <f t="shared" ref="Q5:Q57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45350.0</v>
      </c>
      <c r="C6" s="55" t="s">
        <v>1907</v>
      </c>
      <c r="D6" s="56">
        <v>81834.0</v>
      </c>
      <c r="E6" s="57" t="s">
        <v>1908</v>
      </c>
      <c r="F6" s="21"/>
      <c r="G6" s="21"/>
      <c r="H6" s="21"/>
      <c r="I6" s="22">
        <v>7300.0</v>
      </c>
      <c r="J6" s="21"/>
      <c r="K6" s="21"/>
      <c r="L6" s="21"/>
      <c r="M6" s="21"/>
      <c r="N6" s="21"/>
      <c r="O6" s="21"/>
      <c r="P6" s="58">
        <v>7300.0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45350.0</v>
      </c>
      <c r="C7" s="55" t="s">
        <v>1909</v>
      </c>
      <c r="D7" s="56">
        <v>81792.0</v>
      </c>
      <c r="E7" s="57" t="s">
        <v>1910</v>
      </c>
      <c r="F7" s="21"/>
      <c r="G7" s="21"/>
      <c r="H7" s="21"/>
      <c r="I7" s="22">
        <v>12400.0</v>
      </c>
      <c r="J7" s="21"/>
      <c r="K7" s="21"/>
      <c r="L7" s="21"/>
      <c r="M7" s="21"/>
      <c r="N7" s="21"/>
      <c r="O7" s="21"/>
      <c r="P7" s="58">
        <v>12400.0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45350.0</v>
      </c>
      <c r="C8" s="55" t="s">
        <v>1911</v>
      </c>
      <c r="D8" s="56">
        <v>13209.0</v>
      </c>
      <c r="E8" s="57" t="s">
        <v>304</v>
      </c>
      <c r="F8" s="21"/>
      <c r="G8" s="21"/>
      <c r="H8" s="21"/>
      <c r="I8" s="21">
        <v>12000.0</v>
      </c>
      <c r="J8" s="21"/>
      <c r="K8" s="21"/>
      <c r="L8" s="21"/>
      <c r="M8" s="21"/>
      <c r="N8" s="21"/>
      <c r="O8" s="21"/>
      <c r="P8" s="58">
        <v>12000.0</v>
      </c>
      <c r="Q8" s="24">
        <f t="shared" si="1"/>
        <v>0</v>
      </c>
      <c r="R8" s="59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45350.0</v>
      </c>
      <c r="C9" s="55" t="s">
        <v>1912</v>
      </c>
      <c r="D9" s="56">
        <v>64498.0</v>
      </c>
      <c r="E9" s="57" t="s">
        <v>1913</v>
      </c>
      <c r="F9" s="21"/>
      <c r="G9" s="21"/>
      <c r="H9" s="21"/>
      <c r="I9" s="21">
        <v>10000.0</v>
      </c>
      <c r="J9" s="21"/>
      <c r="K9" s="21"/>
      <c r="L9" s="21"/>
      <c r="M9" s="21"/>
      <c r="N9" s="21"/>
      <c r="O9" s="21"/>
      <c r="P9" s="58">
        <v>10000.0</v>
      </c>
      <c r="Q9" s="24">
        <f t="shared" si="1"/>
        <v>0</v>
      </c>
      <c r="R9" s="59" t="s">
        <v>66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45350.0</v>
      </c>
      <c r="C10" s="55" t="s">
        <v>1914</v>
      </c>
      <c r="D10" s="56">
        <v>77766.0</v>
      </c>
      <c r="E10" s="57" t="s">
        <v>1915</v>
      </c>
      <c r="F10" s="21"/>
      <c r="G10" s="21"/>
      <c r="H10" s="21"/>
      <c r="I10" s="21">
        <v>2650.0</v>
      </c>
      <c r="J10" s="21"/>
      <c r="K10" s="21"/>
      <c r="L10" s="21"/>
      <c r="M10" s="21"/>
      <c r="N10" s="21"/>
      <c r="O10" s="21"/>
      <c r="P10" s="58">
        <v>2650.0</v>
      </c>
      <c r="Q10" s="24">
        <f t="shared" si="1"/>
        <v>0</v>
      </c>
      <c r="R10" s="59" t="s">
        <v>66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45350.0</v>
      </c>
      <c r="C11" s="55" t="s">
        <v>1916</v>
      </c>
      <c r="D11" s="56">
        <v>22332.0</v>
      </c>
      <c r="E11" s="57" t="s">
        <v>404</v>
      </c>
      <c r="F11" s="21"/>
      <c r="G11" s="21"/>
      <c r="H11" s="21"/>
      <c r="I11" s="22">
        <v>8250.0</v>
      </c>
      <c r="J11" s="21"/>
      <c r="K11" s="21"/>
      <c r="L11" s="21"/>
      <c r="M11" s="21"/>
      <c r="N11" s="21"/>
      <c r="O11" s="21"/>
      <c r="P11" s="58">
        <v>8250.0</v>
      </c>
      <c r="Q11" s="24">
        <f t="shared" si="1"/>
        <v>0</v>
      </c>
      <c r="R11" s="59" t="s">
        <v>56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45350.0</v>
      </c>
      <c r="C12" s="55" t="s">
        <v>1917</v>
      </c>
      <c r="D12" s="56">
        <v>11136.0</v>
      </c>
      <c r="E12" s="57" t="s">
        <v>593</v>
      </c>
      <c r="F12" s="21"/>
      <c r="G12" s="21"/>
      <c r="H12" s="21"/>
      <c r="I12" s="22"/>
      <c r="J12" s="21">
        <v>12000.0</v>
      </c>
      <c r="K12" s="21"/>
      <c r="L12" s="21"/>
      <c r="M12" s="21"/>
      <c r="N12" s="21"/>
      <c r="O12" s="21"/>
      <c r="P12" s="58">
        <v>12000.0</v>
      </c>
      <c r="Q12" s="24">
        <f t="shared" si="1"/>
        <v>0</v>
      </c>
      <c r="R12" s="59" t="s">
        <v>24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45350.0</v>
      </c>
      <c r="C13" s="55" t="s">
        <v>1918</v>
      </c>
      <c r="D13" s="56">
        <v>36555.0</v>
      </c>
      <c r="E13" s="57" t="s">
        <v>479</v>
      </c>
      <c r="F13" s="21"/>
      <c r="G13" s="21"/>
      <c r="H13" s="21">
        <v>12900.0</v>
      </c>
      <c r="I13" s="22"/>
      <c r="J13" s="21"/>
      <c r="K13" s="21"/>
      <c r="L13" s="21"/>
      <c r="M13" s="21"/>
      <c r="N13" s="21"/>
      <c r="O13" s="21"/>
      <c r="P13" s="58">
        <v>12900.0</v>
      </c>
      <c r="Q13" s="24">
        <f t="shared" si="1"/>
        <v>0</v>
      </c>
      <c r="R13" s="59" t="s">
        <v>85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45350.0</v>
      </c>
      <c r="C14" s="55" t="s">
        <v>1919</v>
      </c>
      <c r="D14" s="56">
        <v>10001.0</v>
      </c>
      <c r="E14" s="57" t="s">
        <v>1920</v>
      </c>
      <c r="F14" s="21"/>
      <c r="G14" s="21"/>
      <c r="H14" s="21"/>
      <c r="I14" s="22">
        <v>3600.0</v>
      </c>
      <c r="J14" s="21"/>
      <c r="K14" s="21"/>
      <c r="L14" s="21"/>
      <c r="M14" s="21"/>
      <c r="N14" s="21"/>
      <c r="O14" s="21"/>
      <c r="P14" s="58">
        <v>3600.0</v>
      </c>
      <c r="Q14" s="24">
        <f t="shared" si="1"/>
        <v>0</v>
      </c>
      <c r="R14" s="59" t="s">
        <v>24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45350.0</v>
      </c>
      <c r="C15" s="55" t="s">
        <v>1921</v>
      </c>
      <c r="D15" s="56">
        <v>77368.0</v>
      </c>
      <c r="E15" s="57" t="s">
        <v>816</v>
      </c>
      <c r="F15" s="21"/>
      <c r="G15" s="21"/>
      <c r="H15" s="21"/>
      <c r="I15" s="22">
        <v>3900.0</v>
      </c>
      <c r="J15" s="21"/>
      <c r="K15" s="21"/>
      <c r="L15" s="21"/>
      <c r="M15" s="21"/>
      <c r="N15" s="21"/>
      <c r="O15" s="21"/>
      <c r="P15" s="58">
        <v>3900.0</v>
      </c>
      <c r="Q15" s="24">
        <f t="shared" si="1"/>
        <v>0</v>
      </c>
      <c r="R15" s="59" t="s">
        <v>66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45350.0</v>
      </c>
      <c r="C16" s="55" t="s">
        <v>1922</v>
      </c>
      <c r="D16" s="56">
        <v>50436.0</v>
      </c>
      <c r="E16" s="57" t="s">
        <v>93</v>
      </c>
      <c r="F16" s="21"/>
      <c r="G16" s="21"/>
      <c r="H16" s="21"/>
      <c r="I16" s="22">
        <v>32500.0</v>
      </c>
      <c r="J16" s="21"/>
      <c r="K16" s="21"/>
      <c r="L16" s="21"/>
      <c r="M16" s="21"/>
      <c r="N16" s="21"/>
      <c r="O16" s="21"/>
      <c r="P16" s="58">
        <v>32500.0</v>
      </c>
      <c r="Q16" s="24">
        <f t="shared" si="1"/>
        <v>0</v>
      </c>
      <c r="R16" s="59" t="s">
        <v>24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45350.0</v>
      </c>
      <c r="C17" s="55" t="s">
        <v>1923</v>
      </c>
      <c r="D17" s="56">
        <v>44149.0</v>
      </c>
      <c r="E17" s="57" t="s">
        <v>467</v>
      </c>
      <c r="F17" s="21"/>
      <c r="G17" s="21"/>
      <c r="H17" s="21"/>
      <c r="I17" s="21"/>
      <c r="J17" s="21"/>
      <c r="K17" s="21"/>
      <c r="L17" s="21"/>
      <c r="M17" s="21">
        <v>350.0</v>
      </c>
      <c r="N17" s="21"/>
      <c r="O17" s="21"/>
      <c r="P17" s="58">
        <v>350.0</v>
      </c>
      <c r="Q17" s="24">
        <f t="shared" si="1"/>
        <v>0</v>
      </c>
      <c r="R17" s="59" t="s">
        <v>66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45350.0</v>
      </c>
      <c r="C18" s="55" t="s">
        <v>1924</v>
      </c>
      <c r="D18" s="56">
        <v>71456.0</v>
      </c>
      <c r="E18" s="57" t="s">
        <v>666</v>
      </c>
      <c r="F18" s="21"/>
      <c r="G18" s="21"/>
      <c r="H18" s="21"/>
      <c r="I18" s="21">
        <v>2500.0</v>
      </c>
      <c r="J18" s="21"/>
      <c r="K18" s="21"/>
      <c r="L18" s="21"/>
      <c r="M18" s="21"/>
      <c r="N18" s="21"/>
      <c r="O18" s="21"/>
      <c r="P18" s="58">
        <v>2500.0</v>
      </c>
      <c r="Q18" s="24">
        <f t="shared" si="1"/>
        <v>0</v>
      </c>
      <c r="R18" s="59" t="s">
        <v>85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45350.0</v>
      </c>
      <c r="C19" s="55" t="s">
        <v>1925</v>
      </c>
      <c r="D19" s="56">
        <v>58818.0</v>
      </c>
      <c r="E19" s="57" t="s">
        <v>538</v>
      </c>
      <c r="F19" s="21"/>
      <c r="G19" s="21"/>
      <c r="H19" s="21"/>
      <c r="I19" s="21">
        <v>6600.0</v>
      </c>
      <c r="J19" s="21"/>
      <c r="K19" s="21"/>
      <c r="L19" s="21"/>
      <c r="M19" s="21"/>
      <c r="N19" s="21"/>
      <c r="O19" s="21"/>
      <c r="P19" s="58">
        <v>6600.0</v>
      </c>
      <c r="Q19" s="24">
        <f t="shared" si="1"/>
        <v>0</v>
      </c>
      <c r="R19" s="59" t="s">
        <v>85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45350.0</v>
      </c>
      <c r="C20" s="55" t="s">
        <v>1926</v>
      </c>
      <c r="D20" s="56">
        <v>78240.0</v>
      </c>
      <c r="E20" s="57" t="s">
        <v>1927</v>
      </c>
      <c r="F20" s="21"/>
      <c r="G20" s="21"/>
      <c r="H20" s="21"/>
      <c r="I20" s="21">
        <v>7000.0</v>
      </c>
      <c r="J20" s="21"/>
      <c r="K20" s="21"/>
      <c r="L20" s="21"/>
      <c r="M20" s="21"/>
      <c r="N20" s="21"/>
      <c r="O20" s="21"/>
      <c r="P20" s="58">
        <v>7000.0</v>
      </c>
      <c r="Q20" s="24">
        <f t="shared" si="1"/>
        <v>0</v>
      </c>
      <c r="R20" s="59" t="s">
        <v>66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45350.0</v>
      </c>
      <c r="C21" s="55" t="s">
        <v>1928</v>
      </c>
      <c r="D21" s="56">
        <v>60282.0</v>
      </c>
      <c r="E21" s="57" t="s">
        <v>1929</v>
      </c>
      <c r="F21" s="21"/>
      <c r="G21" s="21"/>
      <c r="H21" s="21"/>
      <c r="I21" s="22"/>
      <c r="J21" s="22">
        <v>1400.0</v>
      </c>
      <c r="K21" s="21"/>
      <c r="L21" s="21"/>
      <c r="M21" s="21"/>
      <c r="N21" s="21"/>
      <c r="O21" s="21"/>
      <c r="P21" s="58">
        <v>1400.0</v>
      </c>
      <c r="Q21" s="24">
        <f t="shared" si="1"/>
        <v>0</v>
      </c>
      <c r="R21" s="59" t="s">
        <v>66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45350.0</v>
      </c>
      <c r="C22" s="55" t="s">
        <v>1930</v>
      </c>
      <c r="D22" s="56">
        <v>81491.0</v>
      </c>
      <c r="E22" s="57" t="s">
        <v>693</v>
      </c>
      <c r="F22" s="21"/>
      <c r="G22" s="21"/>
      <c r="H22" s="21"/>
      <c r="I22" s="22"/>
      <c r="J22" s="22">
        <v>20000.0</v>
      </c>
      <c r="K22" s="21"/>
      <c r="L22" s="21"/>
      <c r="M22" s="21"/>
      <c r="N22" s="21"/>
      <c r="O22" s="21"/>
      <c r="P22" s="58">
        <v>20000.0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45350.0</v>
      </c>
      <c r="C23" s="56" t="s">
        <v>1931</v>
      </c>
      <c r="D23" s="56">
        <v>31927.0</v>
      </c>
      <c r="E23" s="57" t="s">
        <v>121</v>
      </c>
      <c r="F23" s="30"/>
      <c r="G23" s="30"/>
      <c r="H23" s="68"/>
      <c r="I23" s="68">
        <v>2500.0</v>
      </c>
      <c r="J23" s="68"/>
      <c r="K23" s="30"/>
      <c r="L23" s="30"/>
      <c r="M23" s="30"/>
      <c r="N23" s="30"/>
      <c r="O23" s="30"/>
      <c r="P23" s="61">
        <v>2500.0</v>
      </c>
      <c r="Q23" s="24">
        <f t="shared" si="1"/>
        <v>0</v>
      </c>
      <c r="R23" s="57" t="s">
        <v>56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3">
        <v>45350.0</v>
      </c>
      <c r="C24" s="64" t="s">
        <v>1932</v>
      </c>
      <c r="D24" s="64">
        <v>48052.0</v>
      </c>
      <c r="E24" s="65" t="s">
        <v>65</v>
      </c>
      <c r="F24" s="30"/>
      <c r="G24" s="30"/>
      <c r="H24" s="30"/>
      <c r="I24" s="68">
        <v>350.0</v>
      </c>
      <c r="J24" s="68"/>
      <c r="K24" s="30"/>
      <c r="L24" s="30"/>
      <c r="M24" s="30"/>
      <c r="N24" s="30"/>
      <c r="O24" s="30"/>
      <c r="P24" s="66">
        <v>350.0</v>
      </c>
      <c r="Q24" s="24">
        <f t="shared" si="1"/>
        <v>0</v>
      </c>
      <c r="R24" s="57" t="s">
        <v>56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3">
        <v>45350.0</v>
      </c>
      <c r="C25" s="64" t="s">
        <v>1933</v>
      </c>
      <c r="D25" s="64">
        <v>72839.0</v>
      </c>
      <c r="E25" s="65" t="s">
        <v>1431</v>
      </c>
      <c r="F25" s="30"/>
      <c r="G25" s="30"/>
      <c r="H25" s="30"/>
      <c r="I25" s="68"/>
      <c r="J25" s="68"/>
      <c r="K25" s="30"/>
      <c r="L25" s="30"/>
      <c r="M25" s="30">
        <v>600.0</v>
      </c>
      <c r="N25" s="30"/>
      <c r="O25" s="30"/>
      <c r="P25" s="66">
        <v>600.0</v>
      </c>
      <c r="Q25" s="24">
        <f t="shared" si="1"/>
        <v>0</v>
      </c>
      <c r="R25" s="57" t="s">
        <v>85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3">
        <v>45350.0</v>
      </c>
      <c r="C26" s="64" t="s">
        <v>1934</v>
      </c>
      <c r="D26" s="64">
        <v>54763.0</v>
      </c>
      <c r="E26" s="65" t="s">
        <v>36</v>
      </c>
      <c r="F26" s="30"/>
      <c r="G26" s="30"/>
      <c r="H26" s="30">
        <v>14500.0</v>
      </c>
      <c r="I26" s="68"/>
      <c r="J26" s="68"/>
      <c r="K26" s="30"/>
      <c r="L26" s="30"/>
      <c r="M26" s="30"/>
      <c r="N26" s="30"/>
      <c r="O26" s="30"/>
      <c r="P26" s="66">
        <v>14500.0</v>
      </c>
      <c r="Q26" s="24">
        <f t="shared" si="1"/>
        <v>0</v>
      </c>
      <c r="R26" s="57" t="s">
        <v>24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3">
        <v>45350.0</v>
      </c>
      <c r="C27" s="64" t="s">
        <v>1935</v>
      </c>
      <c r="D27" s="64">
        <v>31738.0</v>
      </c>
      <c r="E27" s="65" t="s">
        <v>1819</v>
      </c>
      <c r="F27" s="30"/>
      <c r="G27" s="30"/>
      <c r="H27" s="30"/>
      <c r="I27" s="68">
        <v>800.0</v>
      </c>
      <c r="J27" s="68"/>
      <c r="K27" s="30"/>
      <c r="L27" s="30"/>
      <c r="M27" s="30"/>
      <c r="N27" s="30"/>
      <c r="O27" s="30"/>
      <c r="P27" s="66">
        <v>800.0</v>
      </c>
      <c r="Q27" s="24">
        <f t="shared" si="1"/>
        <v>0</v>
      </c>
      <c r="R27" s="57" t="s">
        <v>24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3">
        <v>45350.0</v>
      </c>
      <c r="C28" s="64" t="s">
        <v>1936</v>
      </c>
      <c r="D28" s="64">
        <v>75045.0</v>
      </c>
      <c r="E28" s="65" t="s">
        <v>392</v>
      </c>
      <c r="F28" s="30">
        <v>7000.0</v>
      </c>
      <c r="G28" s="30"/>
      <c r="H28" s="30"/>
      <c r="I28" s="68"/>
      <c r="J28" s="68"/>
      <c r="K28" s="30"/>
      <c r="L28" s="30"/>
      <c r="M28" s="30"/>
      <c r="N28" s="30"/>
      <c r="O28" s="30"/>
      <c r="P28" s="66">
        <v>7000.0</v>
      </c>
      <c r="Q28" s="24">
        <f t="shared" si="1"/>
        <v>0</v>
      </c>
      <c r="R28" s="57" t="s">
        <v>24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3">
        <v>45350.0</v>
      </c>
      <c r="C29" s="64" t="s">
        <v>1937</v>
      </c>
      <c r="D29" s="64">
        <v>81420.0</v>
      </c>
      <c r="E29" s="65" t="s">
        <v>101</v>
      </c>
      <c r="F29" s="30"/>
      <c r="G29" s="30"/>
      <c r="H29" s="30"/>
      <c r="I29" s="68"/>
      <c r="J29" s="68"/>
      <c r="K29" s="30"/>
      <c r="L29" s="30"/>
      <c r="M29" s="30">
        <v>4500.0</v>
      </c>
      <c r="N29" s="30"/>
      <c r="O29" s="30"/>
      <c r="P29" s="66">
        <v>4500.0</v>
      </c>
      <c r="Q29" s="24">
        <f t="shared" si="1"/>
        <v>0</v>
      </c>
      <c r="R29" s="57" t="s">
        <v>24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3">
        <v>45350.0</v>
      </c>
      <c r="C30" s="64" t="s">
        <v>1938</v>
      </c>
      <c r="D30" s="64">
        <v>25376.0</v>
      </c>
      <c r="E30" s="65" t="s">
        <v>1939</v>
      </c>
      <c r="F30" s="30"/>
      <c r="G30" s="30"/>
      <c r="H30" s="30"/>
      <c r="I30" s="68">
        <v>4500.0</v>
      </c>
      <c r="J30" s="68"/>
      <c r="K30" s="30"/>
      <c r="L30" s="30"/>
      <c r="M30" s="30"/>
      <c r="N30" s="30"/>
      <c r="O30" s="30"/>
      <c r="P30" s="66">
        <v>4500.0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3">
        <v>45350.0</v>
      </c>
      <c r="C31" s="64" t="s">
        <v>1940</v>
      </c>
      <c r="D31" s="64">
        <v>77107.0</v>
      </c>
      <c r="E31" s="65" t="s">
        <v>1268</v>
      </c>
      <c r="F31" s="30"/>
      <c r="G31" s="30"/>
      <c r="H31" s="30"/>
      <c r="I31" s="68"/>
      <c r="J31" s="68">
        <v>5550.0</v>
      </c>
      <c r="K31" s="30"/>
      <c r="L31" s="30"/>
      <c r="M31" s="30"/>
      <c r="N31" s="30"/>
      <c r="O31" s="30"/>
      <c r="P31" s="66">
        <v>5550.0</v>
      </c>
      <c r="Q31" s="24">
        <f t="shared" si="1"/>
        <v>0</v>
      </c>
      <c r="R31" s="57" t="s">
        <v>66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3">
        <v>45350.0</v>
      </c>
      <c r="C32" s="64" t="s">
        <v>1941</v>
      </c>
      <c r="D32" s="64">
        <v>75045.0</v>
      </c>
      <c r="E32" s="65" t="s">
        <v>392</v>
      </c>
      <c r="F32" s="30">
        <v>1000.0</v>
      </c>
      <c r="G32" s="30"/>
      <c r="H32" s="30"/>
      <c r="I32" s="68"/>
      <c r="J32" s="68"/>
      <c r="K32" s="30"/>
      <c r="L32" s="30"/>
      <c r="M32" s="30"/>
      <c r="N32" s="30"/>
      <c r="O32" s="30"/>
      <c r="P32" s="66">
        <v>1000.0</v>
      </c>
      <c r="Q32" s="24">
        <f t="shared" si="1"/>
        <v>0</v>
      </c>
      <c r="R32" s="57" t="s">
        <v>24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3">
        <v>45350.0</v>
      </c>
      <c r="C33" s="64" t="s">
        <v>1942</v>
      </c>
      <c r="D33" s="64">
        <v>50739.0</v>
      </c>
      <c r="E33" s="65" t="s">
        <v>1047</v>
      </c>
      <c r="F33" s="30"/>
      <c r="G33" s="30"/>
      <c r="H33" s="30"/>
      <c r="I33" s="68">
        <v>5000.0</v>
      </c>
      <c r="J33" s="68"/>
      <c r="K33" s="30"/>
      <c r="L33" s="30"/>
      <c r="M33" s="30"/>
      <c r="N33" s="30"/>
      <c r="O33" s="30"/>
      <c r="P33" s="66">
        <v>5000.0</v>
      </c>
      <c r="Q33" s="24">
        <f t="shared" si="1"/>
        <v>0</v>
      </c>
      <c r="R33" s="57" t="s">
        <v>85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3">
        <v>45350.0</v>
      </c>
      <c r="C34" s="64" t="s">
        <v>1943</v>
      </c>
      <c r="D34" s="64">
        <v>35227.0</v>
      </c>
      <c r="E34" s="65" t="s">
        <v>208</v>
      </c>
      <c r="F34" s="30">
        <v>1400.0</v>
      </c>
      <c r="G34" s="30">
        <v>20000.0</v>
      </c>
      <c r="H34" s="30"/>
      <c r="I34" s="68">
        <v>6975.0</v>
      </c>
      <c r="J34" s="68"/>
      <c r="K34" s="30"/>
      <c r="L34" s="30"/>
      <c r="M34" s="30"/>
      <c r="N34" s="30"/>
      <c r="O34" s="30"/>
      <c r="P34" s="66">
        <v>28375.0</v>
      </c>
      <c r="Q34" s="24">
        <f t="shared" si="1"/>
        <v>0</v>
      </c>
      <c r="R34" s="57" t="s">
        <v>85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3">
        <v>45350.0</v>
      </c>
      <c r="C35" s="64" t="s">
        <v>1944</v>
      </c>
      <c r="D35" s="64">
        <v>81711.0</v>
      </c>
      <c r="E35" s="65" t="s">
        <v>1945</v>
      </c>
      <c r="F35" s="30"/>
      <c r="G35" s="30"/>
      <c r="H35" s="30"/>
      <c r="I35" s="68">
        <v>7000.0</v>
      </c>
      <c r="J35" s="68"/>
      <c r="K35" s="30"/>
      <c r="L35" s="30"/>
      <c r="M35" s="30"/>
      <c r="N35" s="30"/>
      <c r="O35" s="30"/>
      <c r="P35" s="66">
        <v>7000.0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3">
        <v>45350.0</v>
      </c>
      <c r="C36" s="64" t="s">
        <v>1946</v>
      </c>
      <c r="D36" s="64">
        <v>21818.0</v>
      </c>
      <c r="E36" s="65" t="s">
        <v>202</v>
      </c>
      <c r="F36" s="30"/>
      <c r="G36" s="30"/>
      <c r="H36" s="30"/>
      <c r="I36" s="68">
        <v>10250.0</v>
      </c>
      <c r="J36" s="68"/>
      <c r="K36" s="30"/>
      <c r="L36" s="30"/>
      <c r="M36" s="30"/>
      <c r="N36" s="30"/>
      <c r="O36" s="30"/>
      <c r="P36" s="66">
        <v>10250.0</v>
      </c>
      <c r="Q36" s="24">
        <f t="shared" si="1"/>
        <v>0</v>
      </c>
      <c r="R36" s="57" t="s">
        <v>85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3">
        <v>45350.0</v>
      </c>
      <c r="C37" s="64" t="s">
        <v>1947</v>
      </c>
      <c r="D37" s="64">
        <v>57230.0</v>
      </c>
      <c r="E37" s="65" t="s">
        <v>1948</v>
      </c>
      <c r="F37" s="30"/>
      <c r="G37" s="30"/>
      <c r="H37" s="30"/>
      <c r="I37" s="68"/>
      <c r="J37" s="68">
        <v>4975.0</v>
      </c>
      <c r="K37" s="30"/>
      <c r="L37" s="30"/>
      <c r="M37" s="30"/>
      <c r="N37" s="30"/>
      <c r="O37" s="30"/>
      <c r="P37" s="66">
        <v>4975.0</v>
      </c>
      <c r="Q37" s="24">
        <f t="shared" si="1"/>
        <v>0</v>
      </c>
      <c r="R37" s="57" t="s">
        <v>27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3">
        <v>45350.0</v>
      </c>
      <c r="C38" s="64" t="s">
        <v>1949</v>
      </c>
      <c r="D38" s="64">
        <v>67899.0</v>
      </c>
      <c r="E38" s="65" t="s">
        <v>1950</v>
      </c>
      <c r="F38" s="30"/>
      <c r="G38" s="30"/>
      <c r="H38" s="30"/>
      <c r="I38" s="68">
        <v>9175.0</v>
      </c>
      <c r="J38" s="68"/>
      <c r="K38" s="30"/>
      <c r="L38" s="30"/>
      <c r="M38" s="30"/>
      <c r="N38" s="30"/>
      <c r="O38" s="30"/>
      <c r="P38" s="66">
        <v>9175.0</v>
      </c>
      <c r="Q38" s="24">
        <f t="shared" si="1"/>
        <v>0</v>
      </c>
      <c r="R38" s="57" t="s">
        <v>85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3">
        <v>45350.0</v>
      </c>
      <c r="C39" s="64" t="s">
        <v>1951</v>
      </c>
      <c r="D39" s="64">
        <v>39317.0</v>
      </c>
      <c r="E39" s="65" t="s">
        <v>99</v>
      </c>
      <c r="F39" s="30"/>
      <c r="G39" s="30"/>
      <c r="H39" s="30"/>
      <c r="I39" s="68"/>
      <c r="J39" s="68">
        <v>4500.0</v>
      </c>
      <c r="K39" s="30"/>
      <c r="L39" s="30"/>
      <c r="M39" s="30"/>
      <c r="N39" s="30"/>
      <c r="O39" s="30"/>
      <c r="P39" s="66">
        <v>4500.0</v>
      </c>
      <c r="Q39" s="24">
        <f t="shared" si="1"/>
        <v>0</v>
      </c>
      <c r="R39" s="57" t="s">
        <v>27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3">
        <v>45350.0</v>
      </c>
      <c r="C40" s="64" t="s">
        <v>1952</v>
      </c>
      <c r="D40" s="64">
        <v>35220.0</v>
      </c>
      <c r="E40" s="65" t="s">
        <v>324</v>
      </c>
      <c r="F40" s="30"/>
      <c r="G40" s="30">
        <v>5450.0</v>
      </c>
      <c r="H40" s="30"/>
      <c r="I40" s="68"/>
      <c r="J40" s="68"/>
      <c r="K40" s="30"/>
      <c r="L40" s="30"/>
      <c r="M40" s="30"/>
      <c r="N40" s="30"/>
      <c r="O40" s="30"/>
      <c r="P40" s="66">
        <v>5450.0</v>
      </c>
      <c r="Q40" s="24">
        <f t="shared" si="1"/>
        <v>0</v>
      </c>
      <c r="R40" s="57" t="s">
        <v>85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3">
        <v>45350.0</v>
      </c>
      <c r="C41" s="64" t="s">
        <v>1953</v>
      </c>
      <c r="D41" s="64">
        <v>39350.0</v>
      </c>
      <c r="E41" s="65" t="s">
        <v>1954</v>
      </c>
      <c r="F41" s="30"/>
      <c r="G41" s="30"/>
      <c r="H41" s="30"/>
      <c r="I41" s="68"/>
      <c r="J41" s="68">
        <v>3600.0</v>
      </c>
      <c r="K41" s="30"/>
      <c r="L41" s="30"/>
      <c r="M41" s="30"/>
      <c r="N41" s="30"/>
      <c r="O41" s="30"/>
      <c r="P41" s="66">
        <v>3600.0</v>
      </c>
      <c r="Q41" s="24">
        <f t="shared" si="1"/>
        <v>0</v>
      </c>
      <c r="R41" s="57" t="s">
        <v>27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3">
        <v>45350.0</v>
      </c>
      <c r="C42" s="64" t="s">
        <v>1955</v>
      </c>
      <c r="D42" s="64">
        <v>50739.0</v>
      </c>
      <c r="E42" s="65" t="s">
        <v>1047</v>
      </c>
      <c r="F42" s="30"/>
      <c r="G42" s="30"/>
      <c r="H42" s="30"/>
      <c r="I42" s="68">
        <v>3550.0</v>
      </c>
      <c r="J42" s="68"/>
      <c r="K42" s="30"/>
      <c r="L42" s="30"/>
      <c r="M42" s="30"/>
      <c r="N42" s="30"/>
      <c r="O42" s="30"/>
      <c r="P42" s="66">
        <v>3550.0</v>
      </c>
      <c r="Q42" s="24">
        <f t="shared" si="1"/>
        <v>0</v>
      </c>
      <c r="R42" s="57" t="s">
        <v>24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3">
        <v>45350.0</v>
      </c>
      <c r="C43" s="64" t="s">
        <v>1956</v>
      </c>
      <c r="D43" s="64">
        <v>55435.0</v>
      </c>
      <c r="E43" s="65" t="s">
        <v>1957</v>
      </c>
      <c r="F43" s="30"/>
      <c r="G43" s="30"/>
      <c r="H43" s="30"/>
      <c r="I43" s="68">
        <v>3100.0</v>
      </c>
      <c r="J43" s="68"/>
      <c r="K43" s="30"/>
      <c r="L43" s="30"/>
      <c r="M43" s="30"/>
      <c r="N43" s="30"/>
      <c r="O43" s="30"/>
      <c r="P43" s="66">
        <v>3100.0</v>
      </c>
      <c r="Q43" s="24">
        <f t="shared" si="1"/>
        <v>0</v>
      </c>
      <c r="R43" s="57" t="s">
        <v>66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3">
        <v>45350.0</v>
      </c>
      <c r="C44" s="64" t="s">
        <v>1958</v>
      </c>
      <c r="D44" s="64">
        <v>14304.0</v>
      </c>
      <c r="E44" s="65" t="s">
        <v>1611</v>
      </c>
      <c r="F44" s="30"/>
      <c r="G44" s="30"/>
      <c r="H44" s="30"/>
      <c r="I44" s="68">
        <v>2400.0</v>
      </c>
      <c r="J44" s="68"/>
      <c r="K44" s="30"/>
      <c r="L44" s="30"/>
      <c r="M44" s="30"/>
      <c r="N44" s="30"/>
      <c r="O44" s="30"/>
      <c r="P44" s="66">
        <v>2400.0</v>
      </c>
      <c r="Q44" s="24">
        <f t="shared" si="1"/>
        <v>0</v>
      </c>
      <c r="R44" s="57" t="s">
        <v>66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3">
        <v>45350.0</v>
      </c>
      <c r="C45" s="64" t="s">
        <v>1959</v>
      </c>
      <c r="D45" s="64">
        <v>36555.0</v>
      </c>
      <c r="E45" s="65" t="s">
        <v>479</v>
      </c>
      <c r="F45" s="30"/>
      <c r="G45" s="30"/>
      <c r="H45" s="30"/>
      <c r="I45" s="68">
        <v>2600.0</v>
      </c>
      <c r="J45" s="68"/>
      <c r="K45" s="30"/>
      <c r="L45" s="30"/>
      <c r="M45" s="30"/>
      <c r="N45" s="30"/>
      <c r="O45" s="30"/>
      <c r="P45" s="66">
        <v>2600.0</v>
      </c>
      <c r="Q45" s="24">
        <f t="shared" si="1"/>
        <v>0</v>
      </c>
      <c r="R45" s="57" t="s">
        <v>24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3">
        <v>45350.0</v>
      </c>
      <c r="C46" s="64" t="s">
        <v>1960</v>
      </c>
      <c r="D46" s="64">
        <v>35220.0</v>
      </c>
      <c r="E46" s="65" t="s">
        <v>324</v>
      </c>
      <c r="F46" s="30"/>
      <c r="G46" s="30">
        <v>1400.0</v>
      </c>
      <c r="H46" s="30"/>
      <c r="I46" s="68"/>
      <c r="J46" s="68"/>
      <c r="K46" s="30"/>
      <c r="L46" s="30"/>
      <c r="M46" s="30"/>
      <c r="N46" s="30"/>
      <c r="O46" s="30"/>
      <c r="P46" s="66">
        <v>1400.0</v>
      </c>
      <c r="Q46" s="24">
        <f t="shared" si="1"/>
        <v>0</v>
      </c>
      <c r="R46" s="57" t="s">
        <v>24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3">
        <v>45350.0</v>
      </c>
      <c r="C47" s="64" t="s">
        <v>1961</v>
      </c>
      <c r="D47" s="64">
        <v>30895.0</v>
      </c>
      <c r="E47" s="65" t="s">
        <v>213</v>
      </c>
      <c r="F47" s="30"/>
      <c r="G47" s="30"/>
      <c r="H47" s="30"/>
      <c r="I47" s="68"/>
      <c r="J47" s="68"/>
      <c r="K47" s="30">
        <v>9000.0</v>
      </c>
      <c r="L47" s="30"/>
      <c r="M47" s="30"/>
      <c r="N47" s="30"/>
      <c r="O47" s="30"/>
      <c r="P47" s="66">
        <v>9000.0</v>
      </c>
      <c r="Q47" s="24">
        <f t="shared" si="1"/>
        <v>0</v>
      </c>
      <c r="R47" s="57" t="s">
        <v>85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3">
        <v>45350.0</v>
      </c>
      <c r="C48" s="64" t="s">
        <v>1962</v>
      </c>
      <c r="D48" s="64">
        <v>67899.0</v>
      </c>
      <c r="E48" s="65" t="s">
        <v>1950</v>
      </c>
      <c r="F48" s="30"/>
      <c r="G48" s="30"/>
      <c r="H48" s="30"/>
      <c r="I48" s="68">
        <v>22200.0</v>
      </c>
      <c r="J48" s="68"/>
      <c r="K48" s="30"/>
      <c r="L48" s="30"/>
      <c r="M48" s="30"/>
      <c r="N48" s="30"/>
      <c r="O48" s="30"/>
      <c r="P48" s="66">
        <v>22200.0</v>
      </c>
      <c r="Q48" s="24">
        <f t="shared" si="1"/>
        <v>0</v>
      </c>
      <c r="R48" s="57" t="s">
        <v>85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45350.0</v>
      </c>
      <c r="C49" s="64" t="s">
        <v>1963</v>
      </c>
      <c r="D49" s="64">
        <v>62815.0</v>
      </c>
      <c r="E49" s="65" t="s">
        <v>477</v>
      </c>
      <c r="F49" s="30"/>
      <c r="G49" s="30"/>
      <c r="H49" s="30"/>
      <c r="I49" s="68">
        <v>5150.0</v>
      </c>
      <c r="J49" s="68"/>
      <c r="K49" s="30"/>
      <c r="L49" s="30"/>
      <c r="M49" s="30"/>
      <c r="N49" s="30"/>
      <c r="O49" s="30"/>
      <c r="P49" s="66">
        <v>5150.0</v>
      </c>
      <c r="Q49" s="24">
        <f t="shared" si="1"/>
        <v>0</v>
      </c>
      <c r="R49" s="57" t="s">
        <v>27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45350.0</v>
      </c>
      <c r="C50" s="64" t="s">
        <v>1964</v>
      </c>
      <c r="D50" s="64">
        <v>44406.0</v>
      </c>
      <c r="E50" s="65" t="s">
        <v>833</v>
      </c>
      <c r="F50" s="30"/>
      <c r="G50" s="30"/>
      <c r="H50" s="30"/>
      <c r="I50" s="68">
        <v>550.0</v>
      </c>
      <c r="J50" s="68"/>
      <c r="K50" s="30"/>
      <c r="L50" s="30"/>
      <c r="M50" s="30"/>
      <c r="N50" s="30"/>
      <c r="O50" s="30"/>
      <c r="P50" s="66">
        <v>550.0</v>
      </c>
      <c r="Q50" s="24">
        <f t="shared" si="1"/>
        <v>0</v>
      </c>
      <c r="R50" s="57" t="s">
        <v>85</v>
      </c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45350.0</v>
      </c>
      <c r="C51" s="64" t="s">
        <v>1965</v>
      </c>
      <c r="D51" s="64">
        <v>72839.0</v>
      </c>
      <c r="E51" s="65" t="s">
        <v>1431</v>
      </c>
      <c r="F51" s="30"/>
      <c r="G51" s="30"/>
      <c r="H51" s="30">
        <v>31100.0</v>
      </c>
      <c r="I51" s="68"/>
      <c r="J51" s="68"/>
      <c r="K51" s="30"/>
      <c r="L51" s="30"/>
      <c r="M51" s="30"/>
      <c r="N51" s="30"/>
      <c r="O51" s="30"/>
      <c r="P51" s="66">
        <v>31100.0</v>
      </c>
      <c r="Q51" s="24">
        <f t="shared" si="1"/>
        <v>0</v>
      </c>
      <c r="R51" s="57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45350.0</v>
      </c>
      <c r="C52" s="64" t="s">
        <v>1966</v>
      </c>
      <c r="D52" s="64">
        <v>50148.0</v>
      </c>
      <c r="E52" s="65" t="s">
        <v>223</v>
      </c>
      <c r="F52" s="30"/>
      <c r="G52" s="30"/>
      <c r="H52" s="30"/>
      <c r="I52" s="68"/>
      <c r="J52" s="68"/>
      <c r="K52" s="30">
        <v>5000.0</v>
      </c>
      <c r="L52" s="30"/>
      <c r="M52" s="30"/>
      <c r="N52" s="30"/>
      <c r="O52" s="30"/>
      <c r="P52" s="66">
        <v>5000.0</v>
      </c>
      <c r="Q52" s="24">
        <f t="shared" si="1"/>
        <v>0</v>
      </c>
      <c r="R52" s="57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45350.0</v>
      </c>
      <c r="C53" s="64" t="s">
        <v>1967</v>
      </c>
      <c r="D53" s="64">
        <v>37642.0</v>
      </c>
      <c r="E53" s="65" t="s">
        <v>512</v>
      </c>
      <c r="F53" s="30"/>
      <c r="G53" s="30"/>
      <c r="H53" s="30">
        <v>15000.0</v>
      </c>
      <c r="I53" s="68"/>
      <c r="J53" s="68"/>
      <c r="K53" s="30"/>
      <c r="L53" s="30"/>
      <c r="M53" s="30"/>
      <c r="N53" s="30"/>
      <c r="O53" s="30"/>
      <c r="P53" s="66">
        <v>15000.0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45350.0</v>
      </c>
      <c r="C54" s="64" t="s">
        <v>1968</v>
      </c>
      <c r="D54" s="64">
        <v>51017.0</v>
      </c>
      <c r="E54" s="65" t="s">
        <v>150</v>
      </c>
      <c r="F54" s="30"/>
      <c r="G54" s="30"/>
      <c r="H54" s="30">
        <v>19500.0</v>
      </c>
      <c r="I54" s="68"/>
      <c r="J54" s="68"/>
      <c r="K54" s="30"/>
      <c r="L54" s="30"/>
      <c r="M54" s="30"/>
      <c r="N54" s="30"/>
      <c r="O54" s="30"/>
      <c r="P54" s="66">
        <v>19500.0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45350.0</v>
      </c>
      <c r="C55" s="64" t="s">
        <v>1969</v>
      </c>
      <c r="D55" s="64">
        <v>66901.0</v>
      </c>
      <c r="E55" s="65" t="s">
        <v>1970</v>
      </c>
      <c r="F55" s="30"/>
      <c r="G55" s="30"/>
      <c r="H55" s="30">
        <v>7000.0</v>
      </c>
      <c r="I55" s="68"/>
      <c r="J55" s="68"/>
      <c r="K55" s="30"/>
      <c r="L55" s="30"/>
      <c r="M55" s="30"/>
      <c r="N55" s="30"/>
      <c r="O55" s="30"/>
      <c r="P55" s="66">
        <v>7000.0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3"/>
      <c r="C56" s="64"/>
      <c r="D56" s="64"/>
      <c r="E56" s="65"/>
      <c r="F56" s="30"/>
      <c r="G56" s="30"/>
      <c r="H56" s="30"/>
      <c r="I56" s="68"/>
      <c r="J56" s="68"/>
      <c r="K56" s="30"/>
      <c r="L56" s="30"/>
      <c r="M56" s="30"/>
      <c r="N56" s="30"/>
      <c r="O56" s="30"/>
      <c r="P56" s="66"/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>
        <v>53.0</v>
      </c>
      <c r="B57" s="63"/>
      <c r="C57" s="64"/>
      <c r="D57" s="64"/>
      <c r="E57" s="65"/>
      <c r="F57" s="30"/>
      <c r="G57" s="30"/>
      <c r="H57" s="30"/>
      <c r="I57" s="68"/>
      <c r="J57" s="68"/>
      <c r="K57" s="30"/>
      <c r="L57" s="30"/>
      <c r="M57" s="30"/>
      <c r="N57" s="30"/>
      <c r="O57" s="30"/>
      <c r="P57" s="66"/>
      <c r="Q57" s="24">
        <f t="shared" si="1"/>
        <v>0</v>
      </c>
      <c r="R57" s="57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ht="36.0" customHeight="1">
      <c r="A58" s="16"/>
      <c r="B58" s="27"/>
      <c r="C58" s="28"/>
      <c r="D58" s="29"/>
      <c r="E58" s="28"/>
      <c r="F58" s="30">
        <f t="shared" ref="F58:Q58" si="2">SUM(F5:F57)</f>
        <v>9400</v>
      </c>
      <c r="G58" s="30">
        <f t="shared" si="2"/>
        <v>26850</v>
      </c>
      <c r="H58" s="30">
        <f t="shared" si="2"/>
        <v>100000</v>
      </c>
      <c r="I58" s="30">
        <f t="shared" si="2"/>
        <v>197300</v>
      </c>
      <c r="J58" s="30">
        <f t="shared" si="2"/>
        <v>52025</v>
      </c>
      <c r="K58" s="30">
        <f t="shared" si="2"/>
        <v>14000</v>
      </c>
      <c r="L58" s="30">
        <f t="shared" si="2"/>
        <v>0</v>
      </c>
      <c r="M58" s="30">
        <f t="shared" si="2"/>
        <v>5450</v>
      </c>
      <c r="N58" s="30">
        <f t="shared" si="2"/>
        <v>0</v>
      </c>
      <c r="O58" s="30">
        <f t="shared" si="2"/>
        <v>0</v>
      </c>
      <c r="P58" s="68">
        <f t="shared" si="2"/>
        <v>405025</v>
      </c>
      <c r="Q58" s="24">
        <f t="shared" si="2"/>
        <v>0</v>
      </c>
      <c r="R58" s="67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36.0" customHeight="1">
      <c r="A59" s="35"/>
      <c r="B59" s="35"/>
      <c r="C59" s="35"/>
      <c r="D59" s="35"/>
      <c r="E59" s="35"/>
      <c r="F59" s="36">
        <f>F58+G58+H58+I58+J58+K58+L58+M58+N58+O58</f>
        <v>405025</v>
      </c>
      <c r="P59" s="36"/>
      <c r="Q59" s="36"/>
      <c r="R59" s="35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37" t="s">
        <v>242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38" t="s">
        <v>243</v>
      </c>
      <c r="F63" s="39" t="s">
        <v>244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38" t="s">
        <v>245</v>
      </c>
      <c r="F64" s="39" t="s">
        <v>244</v>
      </c>
      <c r="G64" s="4"/>
      <c r="H64" s="4"/>
      <c r="I64" s="4"/>
      <c r="J64" s="4"/>
      <c r="K64" s="4"/>
      <c r="L64" s="4"/>
      <c r="M64" s="4"/>
      <c r="N64" s="4"/>
      <c r="O64" s="4" t="s">
        <v>242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38" t="s">
        <v>246</v>
      </c>
      <c r="F65" s="39" t="s">
        <v>880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38" t="s">
        <v>247</v>
      </c>
      <c r="F66" s="39" t="s">
        <v>834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38" t="s">
        <v>248</v>
      </c>
      <c r="F67" s="39" t="s">
        <v>834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7.0" customHeight="1">
      <c r="A68" s="4"/>
      <c r="B68" s="4"/>
      <c r="C68" s="4"/>
      <c r="D68" s="4"/>
      <c r="E68" s="38" t="s">
        <v>1971</v>
      </c>
      <c r="F68" s="39" t="s">
        <v>1972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0.0" customHeight="1">
      <c r="A69" s="4"/>
      <c r="B69" s="4"/>
      <c r="C69" s="4"/>
      <c r="D69" s="4"/>
      <c r="E69" s="40" t="s">
        <v>250</v>
      </c>
      <c r="F69" s="39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38" t="s">
        <v>252</v>
      </c>
      <c r="F70" s="39" t="s">
        <v>880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242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 t="s">
        <v>253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9.38"/>
    <col customWidth="1" min="3" max="3" width="33.5"/>
    <col customWidth="1" min="4" max="4" width="9.38"/>
    <col customWidth="1" min="5" max="5" width="86.63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6.63"/>
    <col customWidth="1" min="15" max="15" width="14.38"/>
    <col customWidth="1" min="16" max="16" width="23.5"/>
    <col customWidth="1" min="17" max="17" width="16.38"/>
    <col customWidth="1" min="18" max="18" width="20.13"/>
  </cols>
  <sheetData>
    <row r="1" ht="48.75" customHeight="1">
      <c r="A1" s="1" t="s">
        <v>1973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45351.0</v>
      </c>
      <c r="C5" s="55" t="s">
        <v>1974</v>
      </c>
      <c r="D5" s="56">
        <v>48052.0</v>
      </c>
      <c r="E5" s="57" t="s">
        <v>65</v>
      </c>
      <c r="F5" s="21"/>
      <c r="G5" s="21"/>
      <c r="H5" s="21"/>
      <c r="I5" s="21">
        <v>2500.0</v>
      </c>
      <c r="J5" s="22"/>
      <c r="K5" s="21"/>
      <c r="L5" s="21"/>
      <c r="M5" s="21"/>
      <c r="N5" s="21"/>
      <c r="O5" s="21"/>
      <c r="P5" s="58">
        <v>2500.0</v>
      </c>
      <c r="Q5" s="24">
        <f t="shared" ref="Q5:Q61" si="1">F5+G5+H5+I5+J5+K5+L5+M5+N5+O5-P5</f>
        <v>0</v>
      </c>
      <c r="R5" s="59" t="s">
        <v>56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36.0" customHeight="1">
      <c r="A6" s="16">
        <v>2.0</v>
      </c>
      <c r="B6" s="54">
        <v>45351.0</v>
      </c>
      <c r="C6" s="55" t="s">
        <v>1975</v>
      </c>
      <c r="D6" s="56">
        <v>57873.0</v>
      </c>
      <c r="E6" s="57" t="s">
        <v>1976</v>
      </c>
      <c r="F6" s="21"/>
      <c r="G6" s="21"/>
      <c r="H6" s="21"/>
      <c r="I6" s="22">
        <v>1050.0</v>
      </c>
      <c r="J6" s="21"/>
      <c r="K6" s="21"/>
      <c r="L6" s="21"/>
      <c r="M6" s="21"/>
      <c r="N6" s="21"/>
      <c r="O6" s="21"/>
      <c r="P6" s="58">
        <v>1050.0</v>
      </c>
      <c r="Q6" s="24">
        <f t="shared" si="1"/>
        <v>0</v>
      </c>
      <c r="R6" s="59" t="s">
        <v>56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36.0" customHeight="1">
      <c r="A7" s="16">
        <v>3.0</v>
      </c>
      <c r="B7" s="54">
        <v>45351.0</v>
      </c>
      <c r="C7" s="55" t="s">
        <v>1977</v>
      </c>
      <c r="D7" s="56">
        <v>67621.0</v>
      </c>
      <c r="E7" s="57" t="s">
        <v>463</v>
      </c>
      <c r="F7" s="21"/>
      <c r="G7" s="21"/>
      <c r="H7" s="21"/>
      <c r="I7" s="22">
        <v>350.0</v>
      </c>
      <c r="J7" s="21"/>
      <c r="K7" s="21"/>
      <c r="L7" s="21"/>
      <c r="M7" s="21"/>
      <c r="N7" s="21"/>
      <c r="O7" s="21"/>
      <c r="P7" s="58">
        <v>350.0</v>
      </c>
      <c r="Q7" s="24">
        <f t="shared" si="1"/>
        <v>0</v>
      </c>
      <c r="R7" s="59" t="s">
        <v>56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36.0" customHeight="1">
      <c r="A8" s="16">
        <v>4.0</v>
      </c>
      <c r="B8" s="54">
        <v>45351.0</v>
      </c>
      <c r="C8" s="55" t="s">
        <v>1978</v>
      </c>
      <c r="D8" s="56">
        <v>79719.0</v>
      </c>
      <c r="E8" s="57" t="s">
        <v>1979</v>
      </c>
      <c r="F8" s="21"/>
      <c r="G8" s="21"/>
      <c r="H8" s="21"/>
      <c r="I8" s="21"/>
      <c r="J8" s="21"/>
      <c r="K8" s="21"/>
      <c r="L8" s="21"/>
      <c r="M8" s="21">
        <v>12500.0</v>
      </c>
      <c r="N8" s="21"/>
      <c r="O8" s="21"/>
      <c r="P8" s="58">
        <v>12500.0</v>
      </c>
      <c r="Q8" s="24">
        <f t="shared" si="1"/>
        <v>0</v>
      </c>
      <c r="R8" s="59" t="s">
        <v>66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36.0" customHeight="1">
      <c r="A9" s="16">
        <v>5.0</v>
      </c>
      <c r="B9" s="54">
        <v>45351.0</v>
      </c>
      <c r="C9" s="55" t="s">
        <v>1980</v>
      </c>
      <c r="D9" s="56">
        <v>22341.0</v>
      </c>
      <c r="E9" s="57" t="s">
        <v>417</v>
      </c>
      <c r="F9" s="21"/>
      <c r="G9" s="21"/>
      <c r="H9" s="21"/>
      <c r="I9" s="21">
        <v>4050.0</v>
      </c>
      <c r="J9" s="21"/>
      <c r="K9" s="21"/>
      <c r="L9" s="21"/>
      <c r="M9" s="21"/>
      <c r="N9" s="21"/>
      <c r="O9" s="21"/>
      <c r="P9" s="58">
        <v>4050.0</v>
      </c>
      <c r="Q9" s="24">
        <f t="shared" si="1"/>
        <v>0</v>
      </c>
      <c r="R9" s="59" t="s">
        <v>85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36.0" customHeight="1">
      <c r="A10" s="16">
        <v>6.0</v>
      </c>
      <c r="B10" s="54">
        <v>45351.0</v>
      </c>
      <c r="C10" s="55" t="s">
        <v>1981</v>
      </c>
      <c r="D10" s="56">
        <v>50436.0</v>
      </c>
      <c r="E10" s="57" t="s">
        <v>93</v>
      </c>
      <c r="F10" s="21"/>
      <c r="G10" s="21"/>
      <c r="H10" s="21"/>
      <c r="I10" s="21">
        <v>19500.0</v>
      </c>
      <c r="J10" s="21"/>
      <c r="K10" s="21"/>
      <c r="L10" s="21"/>
      <c r="M10" s="21"/>
      <c r="N10" s="21"/>
      <c r="O10" s="21"/>
      <c r="P10" s="58">
        <v>19500.0</v>
      </c>
      <c r="Q10" s="24">
        <f t="shared" si="1"/>
        <v>0</v>
      </c>
      <c r="R10" s="59" t="s">
        <v>56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36.0" customHeight="1">
      <c r="A11" s="16">
        <v>7.0</v>
      </c>
      <c r="B11" s="54">
        <v>45351.0</v>
      </c>
      <c r="C11" s="55" t="s">
        <v>1982</v>
      </c>
      <c r="D11" s="56">
        <v>58050.0</v>
      </c>
      <c r="E11" s="57" t="s">
        <v>364</v>
      </c>
      <c r="F11" s="21"/>
      <c r="G11" s="21"/>
      <c r="H11" s="21"/>
      <c r="I11" s="22"/>
      <c r="J11" s="21">
        <v>2650.0</v>
      </c>
      <c r="K11" s="21"/>
      <c r="L11" s="21"/>
      <c r="M11" s="21"/>
      <c r="N11" s="21"/>
      <c r="O11" s="21"/>
      <c r="P11" s="58">
        <v>2650.0</v>
      </c>
      <c r="Q11" s="24">
        <f t="shared" si="1"/>
        <v>0</v>
      </c>
      <c r="R11" s="59" t="s">
        <v>56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36.0" customHeight="1">
      <c r="A12" s="16">
        <v>8.0</v>
      </c>
      <c r="B12" s="54">
        <v>45351.0</v>
      </c>
      <c r="C12" s="55" t="s">
        <v>1983</v>
      </c>
      <c r="D12" s="56">
        <v>51017.0</v>
      </c>
      <c r="E12" s="57" t="s">
        <v>150</v>
      </c>
      <c r="F12" s="21"/>
      <c r="G12" s="21"/>
      <c r="H12" s="21">
        <v>15000.0</v>
      </c>
      <c r="I12" s="22"/>
      <c r="J12" s="21"/>
      <c r="K12" s="21"/>
      <c r="L12" s="21"/>
      <c r="M12" s="21"/>
      <c r="N12" s="21"/>
      <c r="O12" s="21"/>
      <c r="P12" s="58">
        <v>15000.0</v>
      </c>
      <c r="Q12" s="24">
        <f t="shared" si="1"/>
        <v>0</v>
      </c>
      <c r="R12" s="59" t="s">
        <v>24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36.0" customHeight="1">
      <c r="A13" s="16">
        <v>9.0</v>
      </c>
      <c r="B13" s="54">
        <v>45351.0</v>
      </c>
      <c r="C13" s="55" t="s">
        <v>1984</v>
      </c>
      <c r="D13" s="56">
        <v>79673.0</v>
      </c>
      <c r="E13" s="57" t="s">
        <v>381</v>
      </c>
      <c r="F13" s="21"/>
      <c r="G13" s="21"/>
      <c r="H13" s="21"/>
      <c r="I13" s="22">
        <v>3100.0</v>
      </c>
      <c r="J13" s="21"/>
      <c r="K13" s="21"/>
      <c r="L13" s="21"/>
      <c r="M13" s="21"/>
      <c r="N13" s="21"/>
      <c r="O13" s="21"/>
      <c r="P13" s="58">
        <v>3100.0</v>
      </c>
      <c r="Q13" s="24">
        <f t="shared" si="1"/>
        <v>0</v>
      </c>
      <c r="R13" s="59" t="s">
        <v>66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36.0" customHeight="1">
      <c r="A14" s="16">
        <v>10.0</v>
      </c>
      <c r="B14" s="54">
        <v>45351.0</v>
      </c>
      <c r="C14" s="55" t="s">
        <v>1985</v>
      </c>
      <c r="D14" s="56">
        <v>74778.0</v>
      </c>
      <c r="E14" s="57" t="s">
        <v>1509</v>
      </c>
      <c r="F14" s="21"/>
      <c r="G14" s="21"/>
      <c r="H14" s="21"/>
      <c r="I14" s="22">
        <v>5840.0</v>
      </c>
      <c r="J14" s="21"/>
      <c r="K14" s="21"/>
      <c r="L14" s="21"/>
      <c r="M14" s="21"/>
      <c r="N14" s="21"/>
      <c r="O14" s="21"/>
      <c r="P14" s="58">
        <v>5840.0</v>
      </c>
      <c r="Q14" s="24">
        <f t="shared" si="1"/>
        <v>0</v>
      </c>
      <c r="R14" s="59" t="s">
        <v>27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36.0" customHeight="1">
      <c r="A15" s="16">
        <v>11.0</v>
      </c>
      <c r="B15" s="54">
        <v>45351.0</v>
      </c>
      <c r="C15" s="55" t="s">
        <v>1986</v>
      </c>
      <c r="D15" s="56">
        <v>10249.0</v>
      </c>
      <c r="E15" s="57" t="s">
        <v>863</v>
      </c>
      <c r="F15" s="21"/>
      <c r="G15" s="21"/>
      <c r="H15" s="21"/>
      <c r="I15" s="22"/>
      <c r="J15" s="21">
        <v>3380.0</v>
      </c>
      <c r="K15" s="21"/>
      <c r="L15" s="21"/>
      <c r="M15" s="21"/>
      <c r="N15" s="21"/>
      <c r="O15" s="21"/>
      <c r="P15" s="58">
        <v>3380.0</v>
      </c>
      <c r="Q15" s="24">
        <f t="shared" si="1"/>
        <v>0</v>
      </c>
      <c r="R15" s="59" t="s">
        <v>30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36.0" customHeight="1">
      <c r="A16" s="16">
        <v>12.0</v>
      </c>
      <c r="B16" s="54">
        <v>45351.0</v>
      </c>
      <c r="C16" s="55" t="s">
        <v>1987</v>
      </c>
      <c r="D16" s="56">
        <v>72839.0</v>
      </c>
      <c r="E16" s="57" t="s">
        <v>1431</v>
      </c>
      <c r="F16" s="21"/>
      <c r="G16" s="21"/>
      <c r="H16" s="21"/>
      <c r="I16" s="22">
        <v>300.0</v>
      </c>
      <c r="J16" s="21"/>
      <c r="K16" s="21"/>
      <c r="L16" s="21"/>
      <c r="M16" s="21"/>
      <c r="N16" s="21"/>
      <c r="O16" s="21"/>
      <c r="P16" s="58">
        <v>300.0</v>
      </c>
      <c r="Q16" s="24">
        <f t="shared" si="1"/>
        <v>0</v>
      </c>
      <c r="R16" s="59" t="s">
        <v>30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36.0" customHeight="1">
      <c r="A17" s="16">
        <v>13.0</v>
      </c>
      <c r="B17" s="54">
        <v>45351.0</v>
      </c>
      <c r="C17" s="55" t="s">
        <v>1988</v>
      </c>
      <c r="D17" s="56">
        <v>33994.0</v>
      </c>
      <c r="E17" s="57" t="s">
        <v>1989</v>
      </c>
      <c r="F17" s="21"/>
      <c r="G17" s="21">
        <v>4500.0</v>
      </c>
      <c r="H17" s="21"/>
      <c r="I17" s="21"/>
      <c r="J17" s="21"/>
      <c r="K17" s="21"/>
      <c r="L17" s="21"/>
      <c r="M17" s="21"/>
      <c r="N17" s="21"/>
      <c r="O17" s="21"/>
      <c r="P17" s="58">
        <v>4500.0</v>
      </c>
      <c r="Q17" s="24">
        <f t="shared" si="1"/>
        <v>0</v>
      </c>
      <c r="R17" s="59" t="s">
        <v>85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36.0" customHeight="1">
      <c r="A18" s="16">
        <v>14.0</v>
      </c>
      <c r="B18" s="54">
        <v>45351.0</v>
      </c>
      <c r="C18" s="55" t="s">
        <v>1990</v>
      </c>
      <c r="D18" s="56">
        <v>50436.0</v>
      </c>
      <c r="E18" s="57" t="s">
        <v>93</v>
      </c>
      <c r="F18" s="21"/>
      <c r="G18" s="21"/>
      <c r="H18" s="21"/>
      <c r="I18" s="21">
        <v>2550.0</v>
      </c>
      <c r="J18" s="21"/>
      <c r="K18" s="21"/>
      <c r="L18" s="21"/>
      <c r="M18" s="21"/>
      <c r="N18" s="21"/>
      <c r="O18" s="21"/>
      <c r="P18" s="58">
        <v>2550.0</v>
      </c>
      <c r="Q18" s="24">
        <f t="shared" si="1"/>
        <v>0</v>
      </c>
      <c r="R18" s="59" t="s">
        <v>66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36.0" customHeight="1">
      <c r="A19" s="16">
        <v>15.0</v>
      </c>
      <c r="B19" s="54">
        <v>45351.0</v>
      </c>
      <c r="C19" s="55" t="s">
        <v>1991</v>
      </c>
      <c r="D19" s="56">
        <v>81862.0</v>
      </c>
      <c r="E19" s="57" t="s">
        <v>1992</v>
      </c>
      <c r="F19" s="21"/>
      <c r="G19" s="21"/>
      <c r="H19" s="21"/>
      <c r="I19" s="21">
        <v>300.0</v>
      </c>
      <c r="J19" s="21"/>
      <c r="K19" s="21"/>
      <c r="L19" s="21"/>
      <c r="M19" s="21"/>
      <c r="N19" s="21"/>
      <c r="O19" s="21"/>
      <c r="P19" s="58">
        <v>300.0</v>
      </c>
      <c r="Q19" s="24">
        <f t="shared" si="1"/>
        <v>0</v>
      </c>
      <c r="R19" s="59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36.0" customHeight="1">
      <c r="A20" s="16">
        <v>16.0</v>
      </c>
      <c r="B20" s="54">
        <v>45351.0</v>
      </c>
      <c r="C20" s="55" t="s">
        <v>1993</v>
      </c>
      <c r="D20" s="56">
        <v>52487.0</v>
      </c>
      <c r="E20" s="57" t="s">
        <v>1994</v>
      </c>
      <c r="F20" s="21"/>
      <c r="G20" s="21"/>
      <c r="H20" s="21"/>
      <c r="I20" s="21">
        <v>5000.0</v>
      </c>
      <c r="J20" s="21"/>
      <c r="K20" s="21"/>
      <c r="L20" s="21"/>
      <c r="M20" s="21"/>
      <c r="N20" s="21"/>
      <c r="O20" s="21"/>
      <c r="P20" s="58">
        <v>5000.0</v>
      </c>
      <c r="Q20" s="24">
        <f t="shared" si="1"/>
        <v>0</v>
      </c>
      <c r="R20" s="59" t="s">
        <v>30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36.0" customHeight="1">
      <c r="A21" s="16">
        <v>17.0</v>
      </c>
      <c r="B21" s="54">
        <v>45351.0</v>
      </c>
      <c r="C21" s="55" t="s">
        <v>1995</v>
      </c>
      <c r="D21" s="56">
        <v>76394.0</v>
      </c>
      <c r="E21" s="57" t="s">
        <v>1996</v>
      </c>
      <c r="F21" s="21"/>
      <c r="G21" s="21"/>
      <c r="H21" s="21"/>
      <c r="I21" s="22">
        <v>4175.0</v>
      </c>
      <c r="J21" s="22"/>
      <c r="K21" s="21"/>
      <c r="L21" s="21"/>
      <c r="M21" s="21"/>
      <c r="N21" s="21"/>
      <c r="O21" s="21"/>
      <c r="P21" s="58">
        <v>4175.0</v>
      </c>
      <c r="Q21" s="24">
        <f t="shared" si="1"/>
        <v>0</v>
      </c>
      <c r="R21" s="59" t="s">
        <v>30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36.0" customHeight="1">
      <c r="A22" s="16">
        <v>18.0</v>
      </c>
      <c r="B22" s="54">
        <v>45351.0</v>
      </c>
      <c r="C22" s="55" t="s">
        <v>1997</v>
      </c>
      <c r="D22" s="56">
        <v>81665.0</v>
      </c>
      <c r="E22" s="57" t="s">
        <v>1885</v>
      </c>
      <c r="F22" s="21"/>
      <c r="G22" s="21"/>
      <c r="H22" s="21"/>
      <c r="I22" s="22"/>
      <c r="J22" s="22"/>
      <c r="K22" s="21"/>
      <c r="L22" s="21"/>
      <c r="M22" s="21">
        <v>600.0</v>
      </c>
      <c r="N22" s="21"/>
      <c r="O22" s="21"/>
      <c r="P22" s="58">
        <v>600.0</v>
      </c>
      <c r="Q22" s="24">
        <f t="shared" si="1"/>
        <v>0</v>
      </c>
      <c r="R22" s="59" t="s">
        <v>30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36.0" customHeight="1">
      <c r="A23" s="16">
        <v>19.0</v>
      </c>
      <c r="B23" s="60">
        <v>45351.0</v>
      </c>
      <c r="C23" s="56" t="s">
        <v>1998</v>
      </c>
      <c r="D23" s="56">
        <v>75051.0</v>
      </c>
      <c r="E23" s="57" t="s">
        <v>1999</v>
      </c>
      <c r="F23" s="30"/>
      <c r="G23" s="30"/>
      <c r="H23" s="68"/>
      <c r="I23" s="68">
        <v>7000.0</v>
      </c>
      <c r="J23" s="68"/>
      <c r="K23" s="30"/>
      <c r="L23" s="30"/>
      <c r="M23" s="30"/>
      <c r="N23" s="30"/>
      <c r="O23" s="30"/>
      <c r="P23" s="61">
        <v>7000.0</v>
      </c>
      <c r="Q23" s="24">
        <f t="shared" si="1"/>
        <v>0</v>
      </c>
      <c r="R23" s="57" t="s">
        <v>30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36.0" customHeight="1">
      <c r="A24" s="16">
        <v>20.0</v>
      </c>
      <c r="B24" s="63">
        <v>45351.0</v>
      </c>
      <c r="C24" s="64" t="s">
        <v>2000</v>
      </c>
      <c r="D24" s="64">
        <v>81865.0</v>
      </c>
      <c r="E24" s="65" t="s">
        <v>2001</v>
      </c>
      <c r="F24" s="30"/>
      <c r="G24" s="30"/>
      <c r="H24" s="30"/>
      <c r="I24" s="68">
        <v>7300.0</v>
      </c>
      <c r="J24" s="68"/>
      <c r="K24" s="30"/>
      <c r="L24" s="30"/>
      <c r="M24" s="30"/>
      <c r="N24" s="30"/>
      <c r="O24" s="30"/>
      <c r="P24" s="66">
        <v>7300.0</v>
      </c>
      <c r="Q24" s="24">
        <f t="shared" si="1"/>
        <v>0</v>
      </c>
      <c r="R24" s="57" t="s">
        <v>30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36.0" customHeight="1">
      <c r="A25" s="16">
        <v>21.0</v>
      </c>
      <c r="B25" s="63">
        <v>45351.0</v>
      </c>
      <c r="C25" s="64" t="s">
        <v>2002</v>
      </c>
      <c r="D25" s="64">
        <v>51697.0</v>
      </c>
      <c r="E25" s="65" t="s">
        <v>441</v>
      </c>
      <c r="F25" s="30"/>
      <c r="G25" s="30"/>
      <c r="H25" s="30"/>
      <c r="I25" s="68"/>
      <c r="J25" s="68">
        <v>8015.0</v>
      </c>
      <c r="K25" s="30"/>
      <c r="L25" s="30"/>
      <c r="M25" s="30"/>
      <c r="N25" s="30"/>
      <c r="O25" s="30"/>
      <c r="P25" s="66">
        <v>8015.0</v>
      </c>
      <c r="Q25" s="24">
        <f t="shared" si="1"/>
        <v>0</v>
      </c>
      <c r="R25" s="57" t="s">
        <v>85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36.0" customHeight="1">
      <c r="A26" s="16">
        <v>22.0</v>
      </c>
      <c r="B26" s="63">
        <v>45351.0</v>
      </c>
      <c r="C26" s="64" t="s">
        <v>2003</v>
      </c>
      <c r="D26" s="64">
        <v>51697.0</v>
      </c>
      <c r="E26" s="65" t="s">
        <v>441</v>
      </c>
      <c r="F26" s="30"/>
      <c r="G26" s="30"/>
      <c r="H26" s="30"/>
      <c r="I26" s="68"/>
      <c r="J26" s="68">
        <v>7500.0</v>
      </c>
      <c r="K26" s="30"/>
      <c r="L26" s="30"/>
      <c r="M26" s="30"/>
      <c r="N26" s="30"/>
      <c r="O26" s="30"/>
      <c r="P26" s="66">
        <v>7500.0</v>
      </c>
      <c r="Q26" s="24">
        <f t="shared" si="1"/>
        <v>0</v>
      </c>
      <c r="R26" s="57" t="s">
        <v>85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36.0" customHeight="1">
      <c r="A27" s="16">
        <v>23.0</v>
      </c>
      <c r="B27" s="63">
        <v>45351.0</v>
      </c>
      <c r="C27" s="64" t="s">
        <v>2004</v>
      </c>
      <c r="D27" s="64">
        <v>55992.0</v>
      </c>
      <c r="E27" s="65" t="s">
        <v>613</v>
      </c>
      <c r="F27" s="30"/>
      <c r="G27" s="30"/>
      <c r="H27" s="30"/>
      <c r="I27" s="68">
        <v>300.0</v>
      </c>
      <c r="J27" s="68"/>
      <c r="K27" s="30"/>
      <c r="L27" s="30"/>
      <c r="M27" s="30"/>
      <c r="N27" s="30"/>
      <c r="O27" s="30"/>
      <c r="P27" s="66">
        <v>300.0</v>
      </c>
      <c r="Q27" s="24">
        <f t="shared" si="1"/>
        <v>0</v>
      </c>
      <c r="R27" s="57" t="s">
        <v>56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36.0" customHeight="1">
      <c r="A28" s="16">
        <v>24.0</v>
      </c>
      <c r="B28" s="63">
        <v>45351.0</v>
      </c>
      <c r="C28" s="64" t="s">
        <v>2005</v>
      </c>
      <c r="D28" s="64">
        <v>48854.0</v>
      </c>
      <c r="E28" s="65" t="s">
        <v>696</v>
      </c>
      <c r="F28" s="30"/>
      <c r="G28" s="30"/>
      <c r="H28" s="30"/>
      <c r="I28" s="68"/>
      <c r="J28" s="68">
        <v>4950.0</v>
      </c>
      <c r="K28" s="30"/>
      <c r="L28" s="30"/>
      <c r="M28" s="30"/>
      <c r="N28" s="30"/>
      <c r="O28" s="30"/>
      <c r="P28" s="66">
        <v>4950.0</v>
      </c>
      <c r="Q28" s="24">
        <f t="shared" si="1"/>
        <v>0</v>
      </c>
      <c r="R28" s="57" t="s">
        <v>30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36.0" customHeight="1">
      <c r="A29" s="16">
        <v>25.0</v>
      </c>
      <c r="B29" s="63">
        <v>45351.0</v>
      </c>
      <c r="C29" s="64" t="s">
        <v>2006</v>
      </c>
      <c r="D29" s="64">
        <v>74664.0</v>
      </c>
      <c r="E29" s="65" t="s">
        <v>2007</v>
      </c>
      <c r="F29" s="30"/>
      <c r="G29" s="30"/>
      <c r="H29" s="30"/>
      <c r="I29" s="68"/>
      <c r="J29" s="68"/>
      <c r="K29" s="30">
        <v>300.0</v>
      </c>
      <c r="L29" s="30"/>
      <c r="M29" s="30"/>
      <c r="N29" s="30"/>
      <c r="O29" s="30"/>
      <c r="P29" s="66">
        <v>300.0</v>
      </c>
      <c r="Q29" s="24">
        <f t="shared" si="1"/>
        <v>0</v>
      </c>
      <c r="R29" s="57" t="s">
        <v>30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36.0" customHeight="1">
      <c r="A30" s="16">
        <v>26.0</v>
      </c>
      <c r="B30" s="63">
        <v>45351.0</v>
      </c>
      <c r="C30" s="64" t="s">
        <v>2008</v>
      </c>
      <c r="D30" s="64">
        <v>81869.0</v>
      </c>
      <c r="E30" s="65" t="s">
        <v>2009</v>
      </c>
      <c r="F30" s="30"/>
      <c r="G30" s="30"/>
      <c r="H30" s="30"/>
      <c r="I30" s="68">
        <v>300.0</v>
      </c>
      <c r="J30" s="68"/>
      <c r="K30" s="30"/>
      <c r="L30" s="30"/>
      <c r="M30" s="30"/>
      <c r="N30" s="30"/>
      <c r="O30" s="30"/>
      <c r="P30" s="66">
        <v>300.0</v>
      </c>
      <c r="Q30" s="24">
        <f t="shared" si="1"/>
        <v>0</v>
      </c>
      <c r="R30" s="57" t="s">
        <v>30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36.0" customHeight="1">
      <c r="A31" s="16">
        <v>27.0</v>
      </c>
      <c r="B31" s="63">
        <v>45351.0</v>
      </c>
      <c r="C31" s="64" t="s">
        <v>2010</v>
      </c>
      <c r="D31" s="64">
        <v>61445.0</v>
      </c>
      <c r="E31" s="65" t="s">
        <v>1458</v>
      </c>
      <c r="F31" s="30"/>
      <c r="G31" s="30"/>
      <c r="H31" s="30"/>
      <c r="I31" s="68"/>
      <c r="J31" s="68"/>
      <c r="K31" s="30"/>
      <c r="L31" s="30"/>
      <c r="M31" s="30">
        <v>5000.0</v>
      </c>
      <c r="N31" s="30"/>
      <c r="O31" s="30"/>
      <c r="P31" s="66">
        <v>5000.0</v>
      </c>
      <c r="Q31" s="24">
        <f t="shared" si="1"/>
        <v>0</v>
      </c>
      <c r="R31" s="57" t="s">
        <v>85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36.0" customHeight="1">
      <c r="A32" s="16">
        <v>28.0</v>
      </c>
      <c r="B32" s="63">
        <v>45351.0</v>
      </c>
      <c r="C32" s="64" t="s">
        <v>2011</v>
      </c>
      <c r="D32" s="64">
        <v>66219.0</v>
      </c>
      <c r="E32" s="65" t="s">
        <v>2012</v>
      </c>
      <c r="F32" s="30"/>
      <c r="G32" s="30"/>
      <c r="H32" s="30"/>
      <c r="I32" s="68">
        <v>10000.0</v>
      </c>
      <c r="J32" s="68"/>
      <c r="K32" s="30"/>
      <c r="L32" s="30"/>
      <c r="M32" s="30"/>
      <c r="N32" s="30"/>
      <c r="O32" s="30"/>
      <c r="P32" s="66">
        <v>10000.0</v>
      </c>
      <c r="Q32" s="24">
        <f t="shared" si="1"/>
        <v>0</v>
      </c>
      <c r="R32" s="57" t="s">
        <v>85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36.0" customHeight="1">
      <c r="A33" s="16">
        <v>29.0</v>
      </c>
      <c r="B33" s="63">
        <v>45351.0</v>
      </c>
      <c r="C33" s="64" t="s">
        <v>2013</v>
      </c>
      <c r="D33" s="64">
        <v>29620.0</v>
      </c>
      <c r="E33" s="65" t="s">
        <v>2014</v>
      </c>
      <c r="F33" s="30"/>
      <c r="G33" s="30"/>
      <c r="H33" s="30"/>
      <c r="I33" s="68">
        <v>3750.0</v>
      </c>
      <c r="J33" s="68"/>
      <c r="K33" s="30"/>
      <c r="L33" s="30"/>
      <c r="M33" s="30"/>
      <c r="N33" s="30"/>
      <c r="O33" s="30"/>
      <c r="P33" s="66">
        <v>3750.0</v>
      </c>
      <c r="Q33" s="24">
        <f t="shared" si="1"/>
        <v>0</v>
      </c>
      <c r="R33" s="57" t="s">
        <v>66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36.0" customHeight="1">
      <c r="A34" s="16">
        <v>30.0</v>
      </c>
      <c r="B34" s="63">
        <v>45351.0</v>
      </c>
      <c r="C34" s="64" t="s">
        <v>2015</v>
      </c>
      <c r="D34" s="64">
        <v>36253.0</v>
      </c>
      <c r="E34" s="65" t="s">
        <v>2016</v>
      </c>
      <c r="F34" s="30"/>
      <c r="G34" s="30"/>
      <c r="H34" s="30"/>
      <c r="I34" s="68">
        <v>1200.0</v>
      </c>
      <c r="J34" s="68"/>
      <c r="K34" s="30"/>
      <c r="L34" s="30"/>
      <c r="M34" s="30"/>
      <c r="N34" s="30"/>
      <c r="O34" s="30"/>
      <c r="P34" s="66">
        <v>1200.0</v>
      </c>
      <c r="Q34" s="24">
        <f t="shared" si="1"/>
        <v>0</v>
      </c>
      <c r="R34" s="57" t="s">
        <v>66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36.0" customHeight="1">
      <c r="A35" s="16">
        <v>31.0</v>
      </c>
      <c r="B35" s="63">
        <v>45351.0</v>
      </c>
      <c r="C35" s="64" t="s">
        <v>2017</v>
      </c>
      <c r="D35" s="64">
        <v>53249.0</v>
      </c>
      <c r="E35" s="65" t="s">
        <v>152</v>
      </c>
      <c r="F35" s="30"/>
      <c r="G35" s="30"/>
      <c r="H35" s="30"/>
      <c r="I35" s="68"/>
      <c r="J35" s="68">
        <v>31000.0</v>
      </c>
      <c r="K35" s="30"/>
      <c r="L35" s="30"/>
      <c r="M35" s="30"/>
      <c r="N35" s="30"/>
      <c r="O35" s="30"/>
      <c r="P35" s="66">
        <v>31000.0</v>
      </c>
      <c r="Q35" s="24">
        <f t="shared" si="1"/>
        <v>0</v>
      </c>
      <c r="R35" s="57" t="s">
        <v>85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36.0" customHeight="1">
      <c r="A36" s="16">
        <v>32.0</v>
      </c>
      <c r="B36" s="63">
        <v>45351.0</v>
      </c>
      <c r="C36" s="64" t="s">
        <v>2018</v>
      </c>
      <c r="D36" s="64">
        <v>58309.0</v>
      </c>
      <c r="E36" s="65" t="s">
        <v>1687</v>
      </c>
      <c r="F36" s="30"/>
      <c r="G36" s="30"/>
      <c r="H36" s="30"/>
      <c r="I36" s="68"/>
      <c r="J36" s="68">
        <v>900.0</v>
      </c>
      <c r="K36" s="30"/>
      <c r="L36" s="30"/>
      <c r="M36" s="30"/>
      <c r="N36" s="30"/>
      <c r="O36" s="30"/>
      <c r="P36" s="66">
        <v>900.0</v>
      </c>
      <c r="Q36" s="24">
        <f t="shared" si="1"/>
        <v>0</v>
      </c>
      <c r="R36" s="57" t="s">
        <v>27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36.0" customHeight="1">
      <c r="A37" s="16">
        <v>33.0</v>
      </c>
      <c r="B37" s="63">
        <v>45351.0</v>
      </c>
      <c r="C37" s="64" t="s">
        <v>2019</v>
      </c>
      <c r="D37" s="64">
        <v>47576.0</v>
      </c>
      <c r="E37" s="65" t="s">
        <v>2020</v>
      </c>
      <c r="F37" s="30"/>
      <c r="G37" s="30"/>
      <c r="H37" s="30"/>
      <c r="I37" s="68"/>
      <c r="J37" s="68">
        <v>4500.0</v>
      </c>
      <c r="K37" s="30"/>
      <c r="L37" s="30"/>
      <c r="M37" s="30"/>
      <c r="N37" s="30"/>
      <c r="O37" s="30"/>
      <c r="P37" s="66">
        <v>4500.0</v>
      </c>
      <c r="Q37" s="24">
        <f t="shared" si="1"/>
        <v>0</v>
      </c>
      <c r="R37" s="57" t="s">
        <v>27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36.0" customHeight="1">
      <c r="A38" s="16">
        <v>34.0</v>
      </c>
      <c r="B38" s="63">
        <v>45351.0</v>
      </c>
      <c r="C38" s="64" t="s">
        <v>2021</v>
      </c>
      <c r="D38" s="64">
        <v>39317.0</v>
      </c>
      <c r="E38" s="65" t="s">
        <v>99</v>
      </c>
      <c r="F38" s="30"/>
      <c r="G38" s="30"/>
      <c r="H38" s="30"/>
      <c r="I38" s="68"/>
      <c r="J38" s="68">
        <v>6400.0</v>
      </c>
      <c r="K38" s="30"/>
      <c r="L38" s="30"/>
      <c r="M38" s="30"/>
      <c r="N38" s="30"/>
      <c r="O38" s="30"/>
      <c r="P38" s="66">
        <v>6400.0</v>
      </c>
      <c r="Q38" s="24">
        <f t="shared" si="1"/>
        <v>0</v>
      </c>
      <c r="R38" s="57" t="s">
        <v>27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36.0" customHeight="1">
      <c r="A39" s="16">
        <v>35.0</v>
      </c>
      <c r="B39" s="63">
        <v>45351.0</v>
      </c>
      <c r="C39" s="64" t="s">
        <v>2022</v>
      </c>
      <c r="D39" s="64">
        <v>81486.0</v>
      </c>
      <c r="E39" s="65" t="s">
        <v>2023</v>
      </c>
      <c r="F39" s="30"/>
      <c r="G39" s="30"/>
      <c r="H39" s="30"/>
      <c r="I39" s="68">
        <v>500.0</v>
      </c>
      <c r="J39" s="68"/>
      <c r="K39" s="30"/>
      <c r="L39" s="30"/>
      <c r="M39" s="30"/>
      <c r="N39" s="30"/>
      <c r="O39" s="30"/>
      <c r="P39" s="66">
        <v>500.0</v>
      </c>
      <c r="Q39" s="24">
        <f t="shared" si="1"/>
        <v>0</v>
      </c>
      <c r="R39" s="57" t="s">
        <v>85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36.0" customHeight="1">
      <c r="A40" s="16">
        <v>36.0</v>
      </c>
      <c r="B40" s="63">
        <v>45351.0</v>
      </c>
      <c r="C40" s="64" t="s">
        <v>2024</v>
      </c>
      <c r="D40" s="64">
        <v>39317.0</v>
      </c>
      <c r="E40" s="65" t="s">
        <v>99</v>
      </c>
      <c r="F40" s="30"/>
      <c r="G40" s="30"/>
      <c r="H40" s="30"/>
      <c r="I40" s="68"/>
      <c r="J40" s="68">
        <v>4450.0</v>
      </c>
      <c r="K40" s="30"/>
      <c r="L40" s="30"/>
      <c r="M40" s="30"/>
      <c r="N40" s="30"/>
      <c r="O40" s="30"/>
      <c r="P40" s="66">
        <v>4450.0</v>
      </c>
      <c r="Q40" s="24">
        <f t="shared" si="1"/>
        <v>0</v>
      </c>
      <c r="R40" s="57" t="s">
        <v>27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36.0" customHeight="1">
      <c r="A41" s="16">
        <v>37.0</v>
      </c>
      <c r="B41" s="63">
        <v>45351.0</v>
      </c>
      <c r="C41" s="64" t="s">
        <v>2025</v>
      </c>
      <c r="D41" s="64">
        <v>10684.0</v>
      </c>
      <c r="E41" s="65" t="s">
        <v>2026</v>
      </c>
      <c r="F41" s="30"/>
      <c r="G41" s="30"/>
      <c r="H41" s="30">
        <v>8400.0</v>
      </c>
      <c r="I41" s="68"/>
      <c r="J41" s="68"/>
      <c r="K41" s="30"/>
      <c r="L41" s="30"/>
      <c r="M41" s="30"/>
      <c r="N41" s="30"/>
      <c r="O41" s="30"/>
      <c r="P41" s="66">
        <v>8400.0</v>
      </c>
      <c r="Q41" s="24">
        <f t="shared" si="1"/>
        <v>0</v>
      </c>
      <c r="R41" s="57" t="s">
        <v>1865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36.0" customHeight="1">
      <c r="A42" s="16">
        <v>38.0</v>
      </c>
      <c r="B42" s="63">
        <v>45351.0</v>
      </c>
      <c r="C42" s="64" t="s">
        <v>2027</v>
      </c>
      <c r="D42" s="64">
        <v>54750.0</v>
      </c>
      <c r="E42" s="65" t="s">
        <v>2028</v>
      </c>
      <c r="F42" s="30"/>
      <c r="G42" s="30"/>
      <c r="H42" s="30"/>
      <c r="I42" s="68">
        <v>2650.0</v>
      </c>
      <c r="J42" s="68"/>
      <c r="K42" s="30"/>
      <c r="L42" s="30"/>
      <c r="M42" s="30"/>
      <c r="N42" s="30"/>
      <c r="O42" s="30"/>
      <c r="P42" s="66">
        <v>2650.0</v>
      </c>
      <c r="Q42" s="24">
        <f t="shared" si="1"/>
        <v>0</v>
      </c>
      <c r="R42" s="57" t="s">
        <v>27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36.0" customHeight="1">
      <c r="A43" s="16">
        <v>39.0</v>
      </c>
      <c r="B43" s="63">
        <v>45351.0</v>
      </c>
      <c r="C43" s="64" t="s">
        <v>2029</v>
      </c>
      <c r="D43" s="64">
        <v>67430.0</v>
      </c>
      <c r="E43" s="65" t="s">
        <v>2030</v>
      </c>
      <c r="F43" s="30">
        <v>1600.0</v>
      </c>
      <c r="G43" s="30"/>
      <c r="H43" s="30"/>
      <c r="I43" s="68"/>
      <c r="J43" s="68"/>
      <c r="K43" s="30"/>
      <c r="L43" s="30"/>
      <c r="M43" s="30"/>
      <c r="N43" s="30"/>
      <c r="O43" s="30"/>
      <c r="P43" s="66">
        <v>1600.0</v>
      </c>
      <c r="Q43" s="24">
        <f t="shared" si="1"/>
        <v>0</v>
      </c>
      <c r="R43" s="57" t="s">
        <v>85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36.0" customHeight="1">
      <c r="A44" s="16">
        <v>40.0</v>
      </c>
      <c r="B44" s="63">
        <v>45351.0</v>
      </c>
      <c r="C44" s="64" t="s">
        <v>2031</v>
      </c>
      <c r="D44" s="64">
        <v>50436.0</v>
      </c>
      <c r="E44" s="65" t="s">
        <v>93</v>
      </c>
      <c r="F44" s="30"/>
      <c r="G44" s="30"/>
      <c r="H44" s="30"/>
      <c r="I44" s="68">
        <v>4500.0</v>
      </c>
      <c r="J44" s="68"/>
      <c r="K44" s="30"/>
      <c r="L44" s="30"/>
      <c r="M44" s="30"/>
      <c r="N44" s="30"/>
      <c r="O44" s="30"/>
      <c r="P44" s="66">
        <v>4500.0</v>
      </c>
      <c r="Q44" s="24">
        <f t="shared" si="1"/>
        <v>0</v>
      </c>
      <c r="R44" s="57" t="s">
        <v>27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36.0" customHeight="1">
      <c r="A45" s="16">
        <v>41.0</v>
      </c>
      <c r="B45" s="63">
        <v>45351.0</v>
      </c>
      <c r="C45" s="64" t="s">
        <v>2032</v>
      </c>
      <c r="D45" s="64">
        <v>22332.0</v>
      </c>
      <c r="E45" s="65" t="s">
        <v>404</v>
      </c>
      <c r="F45" s="30"/>
      <c r="G45" s="30"/>
      <c r="H45" s="30"/>
      <c r="I45" s="68"/>
      <c r="J45" s="68"/>
      <c r="K45" s="30"/>
      <c r="L45" s="30"/>
      <c r="M45" s="30">
        <v>4500.0</v>
      </c>
      <c r="N45" s="30"/>
      <c r="O45" s="30"/>
      <c r="P45" s="66">
        <v>4500.0</v>
      </c>
      <c r="Q45" s="24">
        <f t="shared" si="1"/>
        <v>0</v>
      </c>
      <c r="R45" s="57" t="s">
        <v>24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36.0" customHeight="1">
      <c r="A46" s="16">
        <v>42.0</v>
      </c>
      <c r="B46" s="63">
        <v>45351.0</v>
      </c>
      <c r="C46" s="64" t="s">
        <v>2033</v>
      </c>
      <c r="D46" s="64">
        <v>50436.0</v>
      </c>
      <c r="E46" s="65" t="s">
        <v>93</v>
      </c>
      <c r="F46" s="30"/>
      <c r="G46" s="30"/>
      <c r="H46" s="30"/>
      <c r="I46" s="68">
        <v>4500.0</v>
      </c>
      <c r="J46" s="68"/>
      <c r="K46" s="30"/>
      <c r="L46" s="30"/>
      <c r="M46" s="30"/>
      <c r="N46" s="30"/>
      <c r="O46" s="30"/>
      <c r="P46" s="66">
        <v>4500.0</v>
      </c>
      <c r="Q46" s="24">
        <f t="shared" si="1"/>
        <v>0</v>
      </c>
      <c r="R46" s="57" t="s">
        <v>27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36.0" customHeight="1">
      <c r="A47" s="16">
        <v>43.0</v>
      </c>
      <c r="B47" s="63">
        <v>45351.0</v>
      </c>
      <c r="C47" s="64" t="s">
        <v>2034</v>
      </c>
      <c r="D47" s="64">
        <v>52206.0</v>
      </c>
      <c r="E47" s="65" t="s">
        <v>1553</v>
      </c>
      <c r="F47" s="30"/>
      <c r="G47" s="30"/>
      <c r="H47" s="30"/>
      <c r="I47" s="68">
        <v>5000.0</v>
      </c>
      <c r="J47" s="68"/>
      <c r="K47" s="30"/>
      <c r="L47" s="30"/>
      <c r="M47" s="30"/>
      <c r="N47" s="30"/>
      <c r="O47" s="30"/>
      <c r="P47" s="66">
        <v>5000.0</v>
      </c>
      <c r="Q47" s="24">
        <f t="shared" si="1"/>
        <v>0</v>
      </c>
      <c r="R47" s="57" t="s">
        <v>30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36.0" customHeight="1">
      <c r="A48" s="16">
        <v>44.0</v>
      </c>
      <c r="B48" s="63">
        <v>45351.0</v>
      </c>
      <c r="C48" s="64" t="s">
        <v>2035</v>
      </c>
      <c r="D48" s="64">
        <v>10255.0</v>
      </c>
      <c r="E48" s="65" t="s">
        <v>2036</v>
      </c>
      <c r="F48" s="30"/>
      <c r="G48" s="30"/>
      <c r="H48" s="30"/>
      <c r="I48" s="68"/>
      <c r="J48" s="68">
        <v>1450.0</v>
      </c>
      <c r="K48" s="30"/>
      <c r="L48" s="30"/>
      <c r="M48" s="30"/>
      <c r="N48" s="30"/>
      <c r="O48" s="30"/>
      <c r="P48" s="66">
        <v>1450.0</v>
      </c>
      <c r="Q48" s="24">
        <f t="shared" si="1"/>
        <v>0</v>
      </c>
      <c r="R48" s="57" t="s">
        <v>30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36.0" customHeight="1">
      <c r="A49" s="16">
        <v>45.0</v>
      </c>
      <c r="B49" s="63">
        <v>45351.0</v>
      </c>
      <c r="C49" s="64" t="s">
        <v>2037</v>
      </c>
      <c r="D49" s="64">
        <v>50871.0</v>
      </c>
      <c r="E49" s="65" t="s">
        <v>2038</v>
      </c>
      <c r="F49" s="30"/>
      <c r="G49" s="30"/>
      <c r="H49" s="30"/>
      <c r="I49" s="68">
        <v>5000.0</v>
      </c>
      <c r="J49" s="68"/>
      <c r="K49" s="30"/>
      <c r="L49" s="30"/>
      <c r="M49" s="30"/>
      <c r="N49" s="30"/>
      <c r="O49" s="30"/>
      <c r="P49" s="66">
        <v>5000.0</v>
      </c>
      <c r="Q49" s="24">
        <f t="shared" si="1"/>
        <v>0</v>
      </c>
      <c r="R49" s="57" t="s">
        <v>30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36.0" customHeight="1">
      <c r="A50" s="16">
        <v>46.0</v>
      </c>
      <c r="B50" s="63">
        <v>45351.0</v>
      </c>
      <c r="C50" s="64" t="s">
        <v>2039</v>
      </c>
      <c r="D50" s="64">
        <v>81875.0</v>
      </c>
      <c r="E50" s="65" t="s">
        <v>2040</v>
      </c>
      <c r="F50" s="30"/>
      <c r="G50" s="30"/>
      <c r="H50" s="30"/>
      <c r="I50" s="68"/>
      <c r="J50" s="68"/>
      <c r="K50" s="30"/>
      <c r="L50" s="30"/>
      <c r="M50" s="30">
        <v>7300.0</v>
      </c>
      <c r="N50" s="30"/>
      <c r="O50" s="30"/>
      <c r="P50" s="66">
        <v>7300.0</v>
      </c>
      <c r="Q50" s="24">
        <f t="shared" si="1"/>
        <v>0</v>
      </c>
      <c r="R50" s="57" t="s">
        <v>27</v>
      </c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36.0" customHeight="1">
      <c r="A51" s="16">
        <v>47.0</v>
      </c>
      <c r="B51" s="63">
        <v>45351.0</v>
      </c>
      <c r="C51" s="64" t="s">
        <v>2041</v>
      </c>
      <c r="D51" s="64">
        <v>50436.0</v>
      </c>
      <c r="E51" s="65" t="s">
        <v>93</v>
      </c>
      <c r="F51" s="30"/>
      <c r="G51" s="30"/>
      <c r="H51" s="30"/>
      <c r="I51" s="68">
        <v>2450.0</v>
      </c>
      <c r="J51" s="68"/>
      <c r="K51" s="30"/>
      <c r="L51" s="30"/>
      <c r="M51" s="30"/>
      <c r="N51" s="30"/>
      <c r="O51" s="30"/>
      <c r="P51" s="66">
        <v>2450.0</v>
      </c>
      <c r="Q51" s="24">
        <f t="shared" si="1"/>
        <v>0</v>
      </c>
      <c r="R51" s="57" t="s">
        <v>85</v>
      </c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36.0" customHeight="1">
      <c r="A52" s="16">
        <v>48.0</v>
      </c>
      <c r="B52" s="63">
        <v>45351.0</v>
      </c>
      <c r="C52" s="64" t="s">
        <v>2042</v>
      </c>
      <c r="D52" s="64">
        <v>50436.0</v>
      </c>
      <c r="E52" s="65" t="s">
        <v>93</v>
      </c>
      <c r="F52" s="30"/>
      <c r="G52" s="30"/>
      <c r="H52" s="30"/>
      <c r="I52" s="68"/>
      <c r="J52" s="68">
        <v>5150.0</v>
      </c>
      <c r="K52" s="30"/>
      <c r="L52" s="30"/>
      <c r="M52" s="30"/>
      <c r="N52" s="30"/>
      <c r="O52" s="30"/>
      <c r="P52" s="66">
        <v>5150.0</v>
      </c>
      <c r="Q52" s="24">
        <f t="shared" si="1"/>
        <v>0</v>
      </c>
      <c r="R52" s="57" t="s">
        <v>30</v>
      </c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36.0" customHeight="1">
      <c r="A53" s="16">
        <v>49.0</v>
      </c>
      <c r="B53" s="63">
        <v>45350.0</v>
      </c>
      <c r="C53" s="64" t="s">
        <v>2043</v>
      </c>
      <c r="D53" s="64">
        <v>80636.0</v>
      </c>
      <c r="E53" s="65" t="s">
        <v>1410</v>
      </c>
      <c r="F53" s="30"/>
      <c r="G53" s="30"/>
      <c r="H53" s="30">
        <v>9000.0</v>
      </c>
      <c r="I53" s="68"/>
      <c r="J53" s="68"/>
      <c r="K53" s="30"/>
      <c r="L53" s="30"/>
      <c r="M53" s="30"/>
      <c r="N53" s="30"/>
      <c r="O53" s="30"/>
      <c r="P53" s="66">
        <v>9000.0</v>
      </c>
      <c r="Q53" s="24">
        <f t="shared" si="1"/>
        <v>0</v>
      </c>
      <c r="R53" s="57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36.0" customHeight="1">
      <c r="A54" s="16">
        <v>50.0</v>
      </c>
      <c r="B54" s="63">
        <v>45350.0</v>
      </c>
      <c r="C54" s="64" t="s">
        <v>2044</v>
      </c>
      <c r="D54" s="64">
        <v>72773.0</v>
      </c>
      <c r="E54" s="65" t="s">
        <v>2045</v>
      </c>
      <c r="F54" s="30"/>
      <c r="G54" s="30"/>
      <c r="H54" s="30">
        <v>7000.0</v>
      </c>
      <c r="I54" s="68"/>
      <c r="J54" s="68"/>
      <c r="K54" s="30"/>
      <c r="L54" s="30"/>
      <c r="M54" s="30"/>
      <c r="N54" s="30"/>
      <c r="O54" s="30"/>
      <c r="P54" s="66">
        <v>7000.0</v>
      </c>
      <c r="Q54" s="24">
        <f t="shared" si="1"/>
        <v>0</v>
      </c>
      <c r="R54" s="57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36.0" customHeight="1">
      <c r="A55" s="16">
        <v>51.0</v>
      </c>
      <c r="B55" s="63">
        <v>45350.0</v>
      </c>
      <c r="C55" s="64" t="s">
        <v>2046</v>
      </c>
      <c r="D55" s="64">
        <v>43380.0</v>
      </c>
      <c r="E55" s="65" t="s">
        <v>351</v>
      </c>
      <c r="F55" s="30"/>
      <c r="G55" s="30"/>
      <c r="H55" s="30">
        <v>2500.0</v>
      </c>
      <c r="I55" s="68"/>
      <c r="J55" s="68"/>
      <c r="K55" s="30"/>
      <c r="L55" s="30"/>
      <c r="M55" s="30"/>
      <c r="N55" s="30"/>
      <c r="O55" s="30"/>
      <c r="P55" s="66">
        <v>2500.0</v>
      </c>
      <c r="Q55" s="24">
        <f t="shared" si="1"/>
        <v>0</v>
      </c>
      <c r="R55" s="57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36.0" customHeight="1">
      <c r="A56" s="16">
        <v>52.0</v>
      </c>
      <c r="B56" s="63">
        <v>45350.0</v>
      </c>
      <c r="C56" s="64" t="s">
        <v>2047</v>
      </c>
      <c r="D56" s="64">
        <v>58257.0</v>
      </c>
      <c r="E56" s="65" t="s">
        <v>918</v>
      </c>
      <c r="F56" s="30"/>
      <c r="G56" s="30"/>
      <c r="H56" s="30">
        <v>4500.0</v>
      </c>
      <c r="I56" s="68"/>
      <c r="J56" s="68"/>
      <c r="K56" s="30"/>
      <c r="L56" s="30"/>
      <c r="M56" s="30"/>
      <c r="N56" s="30"/>
      <c r="O56" s="30"/>
      <c r="P56" s="66">
        <v>4500.0</v>
      </c>
      <c r="Q56" s="24">
        <f t="shared" si="1"/>
        <v>0</v>
      </c>
      <c r="R56" s="57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36.0" customHeight="1">
      <c r="A57" s="16">
        <v>53.0</v>
      </c>
      <c r="B57" s="63">
        <v>45350.0</v>
      </c>
      <c r="C57" s="64" t="s">
        <v>2048</v>
      </c>
      <c r="D57" s="64">
        <v>51660.0</v>
      </c>
      <c r="E57" s="65" t="s">
        <v>1066</v>
      </c>
      <c r="F57" s="30"/>
      <c r="G57" s="30"/>
      <c r="H57" s="30">
        <v>4500.0</v>
      </c>
      <c r="I57" s="68"/>
      <c r="J57" s="68"/>
      <c r="K57" s="30"/>
      <c r="L57" s="30"/>
      <c r="M57" s="30"/>
      <c r="N57" s="30"/>
      <c r="O57" s="30"/>
      <c r="P57" s="66">
        <v>4500.0</v>
      </c>
      <c r="Q57" s="24">
        <f t="shared" si="1"/>
        <v>0</v>
      </c>
      <c r="R57" s="57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ht="36.0" customHeight="1">
      <c r="A58" s="16">
        <v>54.0</v>
      </c>
      <c r="B58" s="63">
        <v>45351.0</v>
      </c>
      <c r="C58" s="64" t="s">
        <v>2049</v>
      </c>
      <c r="D58" s="64">
        <v>78656.0</v>
      </c>
      <c r="E58" s="65" t="s">
        <v>2050</v>
      </c>
      <c r="F58" s="30"/>
      <c r="G58" s="30"/>
      <c r="H58" s="30"/>
      <c r="I58" s="68"/>
      <c r="J58" s="68"/>
      <c r="K58" s="30"/>
      <c r="L58" s="30"/>
      <c r="M58" s="30">
        <v>9750.0</v>
      </c>
      <c r="N58" s="30"/>
      <c r="O58" s="30"/>
      <c r="P58" s="66">
        <v>9750.0</v>
      </c>
      <c r="Q58" s="24">
        <f t="shared" si="1"/>
        <v>0</v>
      </c>
      <c r="R58" s="57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ht="36.0" customHeight="1">
      <c r="A59" s="16">
        <v>55.0</v>
      </c>
      <c r="B59" s="63">
        <v>45351.0</v>
      </c>
      <c r="C59" s="64" t="s">
        <v>2051</v>
      </c>
      <c r="D59" s="64">
        <v>56132.0</v>
      </c>
      <c r="E59" s="65" t="s">
        <v>2052</v>
      </c>
      <c r="F59" s="30"/>
      <c r="G59" s="30"/>
      <c r="H59" s="30">
        <v>4500.0</v>
      </c>
      <c r="I59" s="68"/>
      <c r="J59" s="68"/>
      <c r="K59" s="30"/>
      <c r="L59" s="30"/>
      <c r="M59" s="30"/>
      <c r="N59" s="30"/>
      <c r="O59" s="30"/>
      <c r="P59" s="66">
        <v>4500.0</v>
      </c>
      <c r="Q59" s="24">
        <f t="shared" si="1"/>
        <v>0</v>
      </c>
      <c r="R59" s="57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ht="36.0" customHeight="1">
      <c r="A60" s="16">
        <v>56.0</v>
      </c>
      <c r="B60" s="63">
        <v>45351.0</v>
      </c>
      <c r="C60" s="64" t="s">
        <v>2053</v>
      </c>
      <c r="D60" s="64">
        <v>81859.0</v>
      </c>
      <c r="E60" s="65" t="s">
        <v>2054</v>
      </c>
      <c r="F60" s="30"/>
      <c r="G60" s="30"/>
      <c r="H60" s="30">
        <v>7000.0</v>
      </c>
      <c r="I60" s="68"/>
      <c r="J60" s="68"/>
      <c r="K60" s="30"/>
      <c r="L60" s="30"/>
      <c r="M60" s="30"/>
      <c r="N60" s="30"/>
      <c r="O60" s="30"/>
      <c r="P60" s="66">
        <v>7000.0</v>
      </c>
      <c r="Q60" s="24">
        <f t="shared" si="1"/>
        <v>0</v>
      </c>
      <c r="R60" s="57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ht="36.0" customHeight="1">
      <c r="A61" s="16">
        <v>57.0</v>
      </c>
      <c r="B61" s="63">
        <v>45351.0</v>
      </c>
      <c r="C61" s="64" t="s">
        <v>2055</v>
      </c>
      <c r="D61" s="64">
        <v>30895.0</v>
      </c>
      <c r="E61" s="65" t="s">
        <v>213</v>
      </c>
      <c r="F61" s="30"/>
      <c r="G61" s="30"/>
      <c r="H61" s="30">
        <v>18000.0</v>
      </c>
      <c r="I61" s="68"/>
      <c r="J61" s="68"/>
      <c r="K61" s="30"/>
      <c r="L61" s="30"/>
      <c r="M61" s="30"/>
      <c r="N61" s="30"/>
      <c r="O61" s="30"/>
      <c r="P61" s="66">
        <v>18000.0</v>
      </c>
      <c r="Q61" s="24">
        <f t="shared" si="1"/>
        <v>0</v>
      </c>
      <c r="R61" s="57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ht="36.0" customHeight="1">
      <c r="A62" s="16"/>
      <c r="B62" s="27"/>
      <c r="C62" s="28"/>
      <c r="D62" s="29"/>
      <c r="E62" s="28"/>
      <c r="F62" s="30">
        <f t="shared" ref="F62:P62" si="2">SUM(F5:F61)</f>
        <v>1600</v>
      </c>
      <c r="G62" s="30">
        <f t="shared" si="2"/>
        <v>4500</v>
      </c>
      <c r="H62" s="30">
        <f t="shared" si="2"/>
        <v>80400</v>
      </c>
      <c r="I62" s="30">
        <f t="shared" si="2"/>
        <v>103165</v>
      </c>
      <c r="J62" s="30">
        <f t="shared" si="2"/>
        <v>80345</v>
      </c>
      <c r="K62" s="30">
        <f t="shared" si="2"/>
        <v>300</v>
      </c>
      <c r="L62" s="30">
        <f t="shared" si="2"/>
        <v>0</v>
      </c>
      <c r="M62" s="30">
        <f t="shared" si="2"/>
        <v>39650</v>
      </c>
      <c r="N62" s="30">
        <f t="shared" si="2"/>
        <v>0</v>
      </c>
      <c r="O62" s="30">
        <f t="shared" si="2"/>
        <v>0</v>
      </c>
      <c r="P62" s="68">
        <f t="shared" si="2"/>
        <v>309960</v>
      </c>
      <c r="Q62" s="24">
        <f>SUM(Q5:Q57)</f>
        <v>0</v>
      </c>
      <c r="R62" s="67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36.0" customHeight="1">
      <c r="A63" s="35"/>
      <c r="B63" s="35"/>
      <c r="C63" s="35"/>
      <c r="D63" s="35"/>
      <c r="E63" s="35"/>
      <c r="F63" s="36">
        <f>F62+G62+H62+I62+J62+K62+L62+M62+N62+O62</f>
        <v>309960</v>
      </c>
      <c r="P63" s="36"/>
      <c r="Q63" s="36"/>
      <c r="R63" s="35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37" t="s">
        <v>242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38" t="s">
        <v>243</v>
      </c>
      <c r="F67" s="39" t="s">
        <v>244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38" t="s">
        <v>245</v>
      </c>
      <c r="F68" s="39" t="s">
        <v>244</v>
      </c>
      <c r="G68" s="4"/>
      <c r="H68" s="4"/>
      <c r="I68" s="4"/>
      <c r="J68" s="4"/>
      <c r="K68" s="4"/>
      <c r="L68" s="4"/>
      <c r="M68" s="4"/>
      <c r="N68" s="4"/>
      <c r="O68" s="4" t="s">
        <v>242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38" t="s">
        <v>246</v>
      </c>
      <c r="F69" s="39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38" t="s">
        <v>247</v>
      </c>
      <c r="F70" s="39" t="s">
        <v>244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38" t="s">
        <v>248</v>
      </c>
      <c r="F71" s="39" t="s">
        <v>244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7.0" customHeight="1">
      <c r="A72" s="4"/>
      <c r="B72" s="4"/>
      <c r="C72" s="4"/>
      <c r="D72" s="4"/>
      <c r="E72" s="38" t="s">
        <v>2056</v>
      </c>
      <c r="F72" s="39" t="s">
        <v>244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30.0" customHeight="1">
      <c r="A73" s="4"/>
      <c r="B73" s="4"/>
      <c r="C73" s="4"/>
      <c r="D73" s="4"/>
      <c r="E73" s="40" t="s">
        <v>250</v>
      </c>
      <c r="F73" s="39" t="s">
        <v>880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38" t="s">
        <v>252</v>
      </c>
      <c r="F74" s="39" t="s">
        <v>880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 t="s">
        <v>242</v>
      </c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 t="s">
        <v>253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2:E4"/>
    <mergeCell ref="F3:F4"/>
    <mergeCell ref="G3:H3"/>
    <mergeCell ref="I3:J3"/>
    <mergeCell ref="K3:K4"/>
    <mergeCell ref="O3:O4"/>
    <mergeCell ref="F63:O6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
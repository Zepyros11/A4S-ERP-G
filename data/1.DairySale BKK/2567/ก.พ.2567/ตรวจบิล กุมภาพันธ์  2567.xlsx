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ตรวจบิล  1-15 ก.พ 2567" sheetId="1" r:id="rId4"/>
    <sheet state="visible" name=" ตรวจบิล  16-28 ก.พ 2567" sheetId="2" r:id="rId5"/>
  </sheets>
  <definedNames/>
  <calcPr/>
</workbook>
</file>

<file path=xl/sharedStrings.xml><?xml version="1.0" encoding="utf-8"?>
<sst xmlns="http://schemas.openxmlformats.org/spreadsheetml/2006/main" count="59" uniqueCount="21">
  <si>
    <t xml:space="preserve"> ตรวจบิล  เดือน  กุมภาพันธ์  2567</t>
  </si>
  <si>
    <t>วันที่</t>
  </si>
  <si>
    <t>ใน DAILY SALE</t>
  </si>
  <si>
    <t>ในระบบ</t>
  </si>
  <si>
    <t>ผลต่าง</t>
  </si>
  <si>
    <t>SIGNATURE</t>
  </si>
  <si>
    <t>หมายเหตุ</t>
  </si>
  <si>
    <t>จำนวนบิล</t>
  </si>
  <si>
    <t>มูลค่า</t>
  </si>
  <si>
    <t>คงเหลือ</t>
  </si>
  <si>
    <t>เหน่ง</t>
  </si>
  <si>
    <t>ยอดเงินสด 500 บาท (ของวันที่ 19.11.66 และ จ่ายเพิ่ม 200 บาท 21.01.67)</t>
  </si>
  <si>
    <t>01-02 ก.พ 67</t>
  </si>
  <si>
    <t>เอิง</t>
  </si>
  <si>
    <t xml:space="preserve">ผลต่าง 1200 บาท เป็นบิลยกเลิก 3/2/67 เลขบิล STHONLIN2402000039	</t>
  </si>
  <si>
    <t>นี</t>
  </si>
  <si>
    <t xml:space="preserve"> ตรวจบิล  เดือน กุมภาพันธ์  2567</t>
  </si>
  <si>
    <t xml:space="preserve">ผลต่าง 8000 ยกเลิกบิล วันที่ 14/2/67 รหัส 35262 เลขที่บิล STHBKK012402000603	</t>
  </si>
  <si>
    <t>เกษ</t>
  </si>
  <si>
    <t xml:space="preserve">ผลต่าง 9000 ยกเลิกบิล วันที่  19/2/67 STHONLIN2402000354   </t>
  </si>
  <si>
    <t>29 ก.พ. 67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</si>
</sst>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mmm yy"/>
    <numFmt numFmtId="165" formatCode="_-* #,##0_-;\-* #,##0_-;_-* &quot;-&quot;??_-;_-@"/>
    <numFmt numFmtId="166" formatCode="dd mmm yy"/>
    <numFmt numFmtId="167" formatCode="#,###_);\(#,###\)"/>
  </numFmts>
  <fonts count="13">
    <font>
      <sz val="10.0"/>
      <color rgb="FF000000"/>
      <name val="Arial"/>
      <scheme val="minor"/>
    </font>
    <font>
      <b/>
      <sz val="29.0"/>
      <color theme="1"/>
      <name val="Arial"/>
    </font>
    <font/>
    <font>
      <sz val="20.0"/>
      <color theme="1"/>
      <name val="Arial"/>
    </font>
    <font>
      <b/>
      <sz val="20.0"/>
      <color theme="1"/>
      <name val="Arial"/>
    </font>
    <font>
      <b/>
      <sz val="18.0"/>
      <color theme="1"/>
      <name val="Arial"/>
    </font>
    <font>
      <b/>
      <sz val="18.0"/>
      <color rgb="FFFF0000"/>
      <name val="Arial"/>
    </font>
    <font>
      <b/>
      <sz val="15.0"/>
      <color theme="1"/>
      <name val="Arial"/>
    </font>
    <font>
      <b/>
      <sz val="23.0"/>
      <color theme="1"/>
      <name val="Arial"/>
    </font>
    <font>
      <sz val="23.0"/>
      <color theme="1"/>
      <name val="Arial"/>
    </font>
    <font>
      <b/>
      <sz val="23.0"/>
      <color rgb="FFFF0000"/>
      <name val="Arial"/>
    </font>
    <font>
      <sz val="17.0"/>
      <color theme="1"/>
      <name val="Arial"/>
    </font>
    <font>
      <b/>
      <sz val="23.0"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D99594"/>
        <bgColor rgb="FFD99594"/>
      </patternFill>
    </fill>
    <fill>
      <patternFill patternType="solid">
        <fgColor rgb="FF31859B"/>
        <bgColor rgb="FF31859B"/>
      </patternFill>
    </fill>
    <fill>
      <patternFill patternType="solid">
        <fgColor rgb="FFB6DDE8"/>
        <bgColor rgb="FFB6DDE8"/>
      </patternFill>
    </fill>
    <fill>
      <patternFill patternType="solid">
        <fgColor rgb="FFE5B8B7"/>
        <bgColor rgb="FFE5B8B7"/>
      </patternFill>
    </fill>
    <fill>
      <patternFill patternType="solid">
        <fgColor rgb="FFFFFFFF"/>
        <bgColor rgb="FFFFFFFF"/>
      </patternFill>
    </fill>
  </fills>
  <borders count="7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0" fontId="2" numFmtId="0" xfId="0" applyBorder="1" applyFont="1"/>
    <xf borderId="0" fillId="0" fontId="3" numFmtId="0" xfId="0" applyAlignment="1" applyFont="1">
      <alignment vertical="center"/>
    </xf>
    <xf borderId="2" fillId="2" fontId="4" numFmtId="0" xfId="0" applyAlignment="1" applyBorder="1" applyFont="1">
      <alignment horizontal="center" vertical="center"/>
    </xf>
    <xf borderId="1" fillId="3" fontId="4" numFmtId="0" xfId="0" applyAlignment="1" applyBorder="1" applyFill="1" applyFont="1">
      <alignment horizontal="center" vertical="center"/>
    </xf>
    <xf borderId="3" fillId="0" fontId="2" numFmtId="0" xfId="0" applyBorder="1" applyFont="1"/>
    <xf borderId="1" fillId="4" fontId="4" numFmtId="0" xfId="0" applyAlignment="1" applyBorder="1" applyFill="1" applyFont="1">
      <alignment horizontal="center" vertical="center"/>
    </xf>
    <xf borderId="4" fillId="5" fontId="4" numFmtId="0" xfId="0" applyAlignment="1" applyBorder="1" applyFill="1" applyFont="1">
      <alignment horizontal="center" vertical="center"/>
    </xf>
    <xf borderId="4" fillId="6" fontId="4" numFmtId="0" xfId="0" applyAlignment="1" applyBorder="1" applyFill="1" applyFont="1">
      <alignment horizontal="center" vertical="center"/>
    </xf>
    <xf borderId="5" fillId="0" fontId="2" numFmtId="0" xfId="0" applyBorder="1" applyFont="1"/>
    <xf borderId="3" fillId="6" fontId="4" numFmtId="0" xfId="0" applyAlignment="1" applyBorder="1" applyFont="1">
      <alignment horizontal="center" vertical="center"/>
    </xf>
    <xf borderId="3" fillId="5" fontId="4" numFmtId="0" xfId="0" applyAlignment="1" applyBorder="1" applyFont="1">
      <alignment horizontal="center" vertical="center"/>
    </xf>
    <xf borderId="5" fillId="7" fontId="5" numFmtId="164" xfId="0" applyAlignment="1" applyBorder="1" applyFill="1" applyFont="1" applyNumberFormat="1">
      <alignment horizontal="center" readingOrder="0" vertical="center"/>
    </xf>
    <xf borderId="3" fillId="7" fontId="5" numFmtId="38" xfId="0" applyAlignment="1" applyBorder="1" applyFont="1" applyNumberFormat="1">
      <alignment horizontal="center" readingOrder="0" vertical="center"/>
    </xf>
    <xf borderId="3" fillId="7" fontId="5" numFmtId="38" xfId="0" applyAlignment="1" applyBorder="1" applyFont="1" applyNumberFormat="1">
      <alignment horizontal="right" readingOrder="0" vertical="center"/>
    </xf>
    <xf borderId="3" fillId="7" fontId="6" numFmtId="165" xfId="0" applyAlignment="1" applyBorder="1" applyFont="1" applyNumberFormat="1">
      <alignment horizontal="right" vertical="center"/>
    </xf>
    <xf borderId="3" fillId="7" fontId="5" numFmtId="0" xfId="0" applyAlignment="1" applyBorder="1" applyFont="1">
      <alignment horizontal="center" readingOrder="0" vertical="center"/>
    </xf>
    <xf borderId="3" fillId="7" fontId="7" numFmtId="0" xfId="0" applyAlignment="1" applyBorder="1" applyFont="1">
      <alignment readingOrder="0" vertical="center"/>
    </xf>
    <xf borderId="0" fillId="7" fontId="4" numFmtId="0" xfId="0" applyAlignment="1" applyFont="1">
      <alignment vertical="bottom"/>
    </xf>
    <xf borderId="5" fillId="7" fontId="5" numFmtId="0" xfId="0" applyAlignment="1" applyBorder="1" applyFont="1">
      <alignment horizontal="center" readingOrder="0" vertical="center"/>
    </xf>
    <xf borderId="3" fillId="7" fontId="7" numFmtId="0" xfId="0" applyAlignment="1" applyBorder="1" applyFont="1">
      <alignment vertical="center"/>
    </xf>
    <xf borderId="5" fillId="7" fontId="5" numFmtId="166" xfId="0" applyAlignment="1" applyBorder="1" applyFont="1" applyNumberFormat="1">
      <alignment horizontal="center" readingOrder="0" vertical="center"/>
    </xf>
    <xf borderId="0" fillId="0" fontId="4" numFmtId="0" xfId="0" applyAlignment="1" applyFont="1">
      <alignment vertical="bottom"/>
    </xf>
    <xf borderId="3" fillId="7" fontId="5" numFmtId="0" xfId="0" applyAlignment="1" applyBorder="1" applyFont="1">
      <alignment readingOrder="0" vertical="center"/>
    </xf>
    <xf borderId="3" fillId="7" fontId="5" numFmtId="0" xfId="0" applyAlignment="1" applyBorder="1" applyFont="1">
      <alignment vertical="center"/>
    </xf>
    <xf borderId="0" fillId="0" fontId="3" numFmtId="0" xfId="0" applyAlignment="1" applyFont="1">
      <alignment vertical="bottom"/>
    </xf>
    <xf borderId="2" fillId="2" fontId="8" numFmtId="0" xfId="0" applyAlignment="1" applyBorder="1" applyFont="1">
      <alignment horizontal="center" vertical="center"/>
    </xf>
    <xf borderId="1" fillId="3" fontId="8" numFmtId="0" xfId="0" applyAlignment="1" applyBorder="1" applyFont="1">
      <alignment horizontal="center" vertical="center"/>
    </xf>
    <xf borderId="1" fillId="4" fontId="8" numFmtId="0" xfId="0" applyAlignment="1" applyBorder="1" applyFont="1">
      <alignment horizontal="center" vertical="center"/>
    </xf>
    <xf borderId="4" fillId="5" fontId="8" numFmtId="0" xfId="0" applyAlignment="1" applyBorder="1" applyFont="1">
      <alignment horizontal="center" vertical="center"/>
    </xf>
    <xf borderId="4" fillId="6" fontId="8" numFmtId="0" xfId="0" applyAlignment="1" applyBorder="1" applyFont="1">
      <alignment horizontal="center" vertical="center"/>
    </xf>
    <xf borderId="0" fillId="0" fontId="9" numFmtId="0" xfId="0" applyAlignment="1" applyFont="1">
      <alignment vertical="center"/>
    </xf>
    <xf borderId="3" fillId="6" fontId="8" numFmtId="0" xfId="0" applyAlignment="1" applyBorder="1" applyFont="1">
      <alignment horizontal="center" vertical="center"/>
    </xf>
    <xf borderId="3" fillId="5" fontId="8" numFmtId="0" xfId="0" applyAlignment="1" applyBorder="1" applyFont="1">
      <alignment horizontal="center" vertical="center"/>
    </xf>
    <xf borderId="3" fillId="7" fontId="8" numFmtId="38" xfId="0" applyAlignment="1" applyBorder="1" applyFont="1" applyNumberFormat="1">
      <alignment horizontal="center" readingOrder="0" vertical="center"/>
    </xf>
    <xf borderId="3" fillId="7" fontId="10" numFmtId="165" xfId="0" applyAlignment="1" applyBorder="1" applyFont="1" applyNumberFormat="1">
      <alignment horizontal="right" vertical="center"/>
    </xf>
    <xf borderId="3" fillId="7" fontId="8" numFmtId="0" xfId="0" applyAlignment="1" applyBorder="1" applyFont="1">
      <alignment horizontal="center" readingOrder="0" vertical="center"/>
    </xf>
    <xf borderId="3" fillId="7" fontId="11" numFmtId="0" xfId="0" applyAlignment="1" applyBorder="1" applyFont="1">
      <alignment readingOrder="0" vertical="center"/>
    </xf>
    <xf borderId="0" fillId="7" fontId="9" numFmtId="0" xfId="0" applyAlignment="1" applyFont="1">
      <alignment vertical="bottom"/>
    </xf>
    <xf borderId="3" fillId="7" fontId="9" numFmtId="0" xfId="0" applyAlignment="1" applyBorder="1" applyFont="1">
      <alignment vertical="center"/>
    </xf>
    <xf borderId="3" fillId="7" fontId="12" numFmtId="167" xfId="0" applyAlignment="1" applyBorder="1" applyFont="1" applyNumberFormat="1">
      <alignment horizontal="center" readingOrder="0" vertical="center"/>
    </xf>
    <xf borderId="0" fillId="0" fontId="9" numFmtId="0" xfId="0" applyAlignment="1" applyFont="1">
      <alignment vertical="bottom"/>
    </xf>
    <xf borderId="3" fillId="7" fontId="8" numFmtId="38" xfId="0" applyAlignment="1" applyBorder="1" applyFont="1" applyNumberFormat="1">
      <alignment horizontal="right" readingOrder="0" vertical="center"/>
    </xf>
    <xf borderId="6" fillId="0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15.13"/>
    <col customWidth="1" min="3" max="4" width="15.25"/>
    <col customWidth="1" min="5" max="5" width="16.38"/>
    <col customWidth="1" min="6" max="6" width="17.38"/>
    <col customWidth="1" min="7" max="7" width="17.0"/>
    <col customWidth="1" min="8" max="8" width="20.38"/>
    <col customWidth="1" min="9" max="9" width="105.0"/>
  </cols>
  <sheetData>
    <row r="1" ht="51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40.5" customHeight="1">
      <c r="A2" s="4" t="s">
        <v>1</v>
      </c>
      <c r="B2" s="5" t="s">
        <v>2</v>
      </c>
      <c r="C2" s="2"/>
      <c r="D2" s="6"/>
      <c r="E2" s="7" t="s">
        <v>3</v>
      </c>
      <c r="F2" s="6"/>
      <c r="G2" s="8" t="s">
        <v>4</v>
      </c>
      <c r="H2" s="8" t="s">
        <v>5</v>
      </c>
      <c r="I2" s="9" t="s">
        <v>6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40.5" customHeight="1">
      <c r="A3" s="10"/>
      <c r="B3" s="11" t="s">
        <v>7</v>
      </c>
      <c r="C3" s="11" t="s">
        <v>8</v>
      </c>
      <c r="D3" s="11" t="s">
        <v>9</v>
      </c>
      <c r="E3" s="12" t="s">
        <v>7</v>
      </c>
      <c r="F3" s="12" t="s">
        <v>8</v>
      </c>
      <c r="G3" s="6"/>
      <c r="H3" s="6"/>
      <c r="I3" s="6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36.0" customHeight="1">
      <c r="A4" s="13">
        <v>24504.0</v>
      </c>
      <c r="B4" s="14">
        <v>15.0</v>
      </c>
      <c r="C4" s="14">
        <v>37450.0</v>
      </c>
      <c r="D4" s="14">
        <v>37450.0</v>
      </c>
      <c r="E4" s="14">
        <v>15.0</v>
      </c>
      <c r="F4" s="15">
        <v>37450.0</v>
      </c>
      <c r="G4" s="16">
        <f>F4-D4</f>
        <v>0</v>
      </c>
      <c r="H4" s="17" t="s">
        <v>10</v>
      </c>
      <c r="I4" s="18" t="s">
        <v>11</v>
      </c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36.0" customHeight="1">
      <c r="A5" s="20" t="s">
        <v>12</v>
      </c>
      <c r="B5" s="14">
        <v>117.0</v>
      </c>
      <c r="C5" s="14">
        <v>866555.0</v>
      </c>
      <c r="D5" s="14">
        <v>866555.0</v>
      </c>
      <c r="E5" s="14">
        <v>117.0</v>
      </c>
      <c r="F5" s="15">
        <v>866555.0</v>
      </c>
      <c r="G5" s="16">
        <v>0.0</v>
      </c>
      <c r="H5" s="17" t="s">
        <v>13</v>
      </c>
      <c r="I5" s="21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36.0" customHeight="1">
      <c r="A6" s="22">
        <v>24506.0</v>
      </c>
      <c r="B6" s="14">
        <v>43.0</v>
      </c>
      <c r="C6" s="14">
        <v>215500.0</v>
      </c>
      <c r="D6" s="14">
        <v>215500.0</v>
      </c>
      <c r="E6" s="14">
        <v>43.0</v>
      </c>
      <c r="F6" s="15">
        <v>215500.0</v>
      </c>
      <c r="G6" s="16">
        <v>0.0</v>
      </c>
      <c r="H6" s="17" t="s">
        <v>10</v>
      </c>
      <c r="I6" s="21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36.0" customHeight="1">
      <c r="A7" s="22">
        <v>24507.0</v>
      </c>
      <c r="B7" s="14">
        <v>45.0</v>
      </c>
      <c r="C7" s="15">
        <v>211690.0</v>
      </c>
      <c r="D7" s="15">
        <v>211690.0</v>
      </c>
      <c r="E7" s="14">
        <v>45.0</v>
      </c>
      <c r="F7" s="15">
        <v>212890.0</v>
      </c>
      <c r="G7" s="16">
        <f>C7-F7</f>
        <v>-1200</v>
      </c>
      <c r="H7" s="17" t="s">
        <v>13</v>
      </c>
      <c r="I7" s="18" t="s">
        <v>14</v>
      </c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36.0" customHeight="1">
      <c r="A8" s="22">
        <v>24508.0</v>
      </c>
      <c r="B8" s="14">
        <v>61.0</v>
      </c>
      <c r="C8" s="14">
        <v>439165.0</v>
      </c>
      <c r="D8" s="14">
        <f t="shared" ref="D8:D18" si="1">SUM(C8)</f>
        <v>439165</v>
      </c>
      <c r="E8" s="14">
        <v>61.0</v>
      </c>
      <c r="F8" s="15">
        <v>439165.0</v>
      </c>
      <c r="G8" s="16">
        <v>0.0</v>
      </c>
      <c r="H8" s="17" t="s">
        <v>15</v>
      </c>
      <c r="I8" s="21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36.0" customHeight="1">
      <c r="A9" s="22">
        <v>24509.0</v>
      </c>
      <c r="B9" s="14">
        <v>46.0</v>
      </c>
      <c r="C9" s="14">
        <v>260450.0</v>
      </c>
      <c r="D9" s="14">
        <f t="shared" si="1"/>
        <v>260450</v>
      </c>
      <c r="E9" s="14">
        <v>46.0</v>
      </c>
      <c r="F9" s="15">
        <v>260450.0</v>
      </c>
      <c r="G9" s="16">
        <v>0.0</v>
      </c>
      <c r="H9" s="17" t="s">
        <v>15</v>
      </c>
      <c r="I9" s="21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36.0" customHeight="1">
      <c r="A10" s="22">
        <v>24510.0</v>
      </c>
      <c r="B10" s="14">
        <v>61.0</v>
      </c>
      <c r="C10" s="14">
        <v>424590.0</v>
      </c>
      <c r="D10" s="14">
        <f t="shared" si="1"/>
        <v>424590</v>
      </c>
      <c r="E10" s="14">
        <v>61.0</v>
      </c>
      <c r="F10" s="15">
        <v>424590.0</v>
      </c>
      <c r="G10" s="16">
        <v>0.0</v>
      </c>
      <c r="H10" s="17" t="s">
        <v>13</v>
      </c>
      <c r="I10" s="21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36.0" customHeight="1">
      <c r="A11" s="22">
        <v>24511.0</v>
      </c>
      <c r="B11" s="14">
        <v>32.0</v>
      </c>
      <c r="C11" s="14">
        <v>256025.0</v>
      </c>
      <c r="D11" s="14">
        <f t="shared" si="1"/>
        <v>256025</v>
      </c>
      <c r="E11" s="14">
        <v>32.0</v>
      </c>
      <c r="F11" s="15">
        <v>256025.0</v>
      </c>
      <c r="G11" s="16">
        <v>0.0</v>
      </c>
      <c r="H11" s="17" t="s">
        <v>13</v>
      </c>
      <c r="I11" s="21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36.0" customHeight="1">
      <c r="A12" s="22">
        <v>24512.0</v>
      </c>
      <c r="B12" s="14">
        <v>36.0</v>
      </c>
      <c r="C12" s="14">
        <v>320690.0</v>
      </c>
      <c r="D12" s="14">
        <f t="shared" si="1"/>
        <v>320690</v>
      </c>
      <c r="E12" s="14">
        <v>36.0</v>
      </c>
      <c r="F12" s="15">
        <v>320690.0</v>
      </c>
      <c r="G12" s="16">
        <v>0.0</v>
      </c>
      <c r="H12" s="17" t="s">
        <v>15</v>
      </c>
      <c r="I12" s="21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36.0" customHeight="1">
      <c r="A13" s="22">
        <v>24513.0</v>
      </c>
      <c r="B13" s="14">
        <v>30.0</v>
      </c>
      <c r="C13" s="14">
        <v>216550.0</v>
      </c>
      <c r="D13" s="14">
        <f t="shared" si="1"/>
        <v>216550</v>
      </c>
      <c r="E13" s="14">
        <v>30.0</v>
      </c>
      <c r="F13" s="15">
        <v>216550.0</v>
      </c>
      <c r="G13" s="16">
        <v>0.0</v>
      </c>
      <c r="H13" s="17" t="s">
        <v>15</v>
      </c>
      <c r="I13" s="18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36.0" customHeight="1">
      <c r="A14" s="22">
        <v>24514.0</v>
      </c>
      <c r="B14" s="14">
        <v>44.0</v>
      </c>
      <c r="C14" s="14">
        <v>253405.0</v>
      </c>
      <c r="D14" s="14">
        <f t="shared" si="1"/>
        <v>253405</v>
      </c>
      <c r="E14" s="14">
        <v>44.0</v>
      </c>
      <c r="F14" s="15">
        <v>253405.0</v>
      </c>
      <c r="G14" s="16">
        <v>0.0</v>
      </c>
      <c r="H14" s="17" t="s">
        <v>13</v>
      </c>
      <c r="I14" s="18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36.0" customHeight="1">
      <c r="A15" s="22">
        <v>24515.0</v>
      </c>
      <c r="B15" s="14">
        <v>52.0</v>
      </c>
      <c r="C15" s="14">
        <v>346230.0</v>
      </c>
      <c r="D15" s="14">
        <f t="shared" si="1"/>
        <v>346230</v>
      </c>
      <c r="E15" s="14">
        <v>52.0</v>
      </c>
      <c r="F15" s="15">
        <v>346230.0</v>
      </c>
      <c r="G15" s="16">
        <v>0.0</v>
      </c>
      <c r="H15" s="17" t="s">
        <v>13</v>
      </c>
      <c r="I15" s="21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ht="36.0" customHeight="1">
      <c r="A16" s="22">
        <v>24516.0</v>
      </c>
      <c r="B16" s="14">
        <v>52.0</v>
      </c>
      <c r="C16" s="14">
        <v>316025.0</v>
      </c>
      <c r="D16" s="14">
        <f t="shared" si="1"/>
        <v>316025</v>
      </c>
      <c r="E16" s="14">
        <v>52.0</v>
      </c>
      <c r="F16" s="15">
        <v>316025.0</v>
      </c>
      <c r="G16" s="16">
        <v>0.0</v>
      </c>
      <c r="H16" s="17" t="s">
        <v>13</v>
      </c>
      <c r="I16" s="24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ht="36.0" customHeight="1">
      <c r="A17" s="22">
        <v>24517.0</v>
      </c>
      <c r="B17" s="14">
        <v>42.0</v>
      </c>
      <c r="C17" s="14">
        <v>427920.0</v>
      </c>
      <c r="D17" s="14">
        <f t="shared" si="1"/>
        <v>427920</v>
      </c>
      <c r="E17" s="14">
        <v>42.0</v>
      </c>
      <c r="F17" s="15">
        <v>427920.0</v>
      </c>
      <c r="G17" s="16">
        <v>0.0</v>
      </c>
      <c r="H17" s="17" t="s">
        <v>13</v>
      </c>
      <c r="I17" s="25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ht="36.0" customHeight="1">
      <c r="A18" s="22">
        <v>24518.0</v>
      </c>
      <c r="B18" s="14">
        <v>46.0</v>
      </c>
      <c r="C18" s="14">
        <v>346430.0</v>
      </c>
      <c r="D18" s="14">
        <f t="shared" si="1"/>
        <v>346430</v>
      </c>
      <c r="E18" s="14">
        <v>46.0</v>
      </c>
      <c r="F18" s="15">
        <v>346430.0</v>
      </c>
      <c r="G18" s="16">
        <v>0.0</v>
      </c>
      <c r="H18" s="17" t="s">
        <v>15</v>
      </c>
      <c r="I18" s="25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ht="36.0" customHeight="1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ht="36.0" customHeight="1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ht="36.0" customHeight="1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  <row r="99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</row>
    <row r="992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</row>
    <row r="993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</row>
    <row r="994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</row>
    <row r="995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</row>
    <row r="996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</row>
    <row r="997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</row>
    <row r="998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</row>
    <row r="999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</row>
    <row r="1000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</row>
  </sheetData>
  <mergeCells count="7">
    <mergeCell ref="A1:I1"/>
    <mergeCell ref="A2:A3"/>
    <mergeCell ref="B2:D2"/>
    <mergeCell ref="E2:F2"/>
    <mergeCell ref="G2:G3"/>
    <mergeCell ref="H2:H3"/>
    <mergeCell ref="I2:I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0.0"/>
    <col customWidth="1" min="2" max="6" width="23.5"/>
    <col customWidth="1" min="7" max="7" width="25.13"/>
    <col customWidth="1" min="8" max="8" width="22.38"/>
    <col customWidth="1" min="9" max="9" width="143.13"/>
  </cols>
  <sheetData>
    <row r="1" ht="51.0" customHeight="1">
      <c r="A1" s="1" t="s">
        <v>16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40.5" customHeight="1">
      <c r="A2" s="27" t="s">
        <v>1</v>
      </c>
      <c r="B2" s="28" t="s">
        <v>2</v>
      </c>
      <c r="C2" s="2"/>
      <c r="D2" s="6"/>
      <c r="E2" s="29" t="s">
        <v>3</v>
      </c>
      <c r="F2" s="6"/>
      <c r="G2" s="30" t="s">
        <v>4</v>
      </c>
      <c r="H2" s="30" t="s">
        <v>5</v>
      </c>
      <c r="I2" s="31" t="s">
        <v>6</v>
      </c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ht="40.5" customHeight="1">
      <c r="A3" s="10"/>
      <c r="B3" s="33" t="s">
        <v>7</v>
      </c>
      <c r="C3" s="33" t="s">
        <v>8</v>
      </c>
      <c r="D3" s="33" t="s">
        <v>9</v>
      </c>
      <c r="E3" s="34" t="s">
        <v>7</v>
      </c>
      <c r="F3" s="34" t="s">
        <v>8</v>
      </c>
      <c r="G3" s="6"/>
      <c r="H3" s="6"/>
      <c r="I3" s="6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ht="33.75" customHeight="1">
      <c r="A4" s="22">
        <v>24519.0</v>
      </c>
      <c r="B4" s="35">
        <v>46.0</v>
      </c>
      <c r="C4" s="35">
        <v>274125.0</v>
      </c>
      <c r="D4" s="35">
        <f t="shared" ref="D4:D16" si="1">SUM(C4)</f>
        <v>274125</v>
      </c>
      <c r="E4" s="35">
        <v>46.0</v>
      </c>
      <c r="F4" s="35">
        <v>282125.0</v>
      </c>
      <c r="G4" s="36">
        <f t="shared" ref="G4:G16" si="2">SUM(F4-D4)</f>
        <v>8000</v>
      </c>
      <c r="H4" s="37" t="s">
        <v>15</v>
      </c>
      <c r="I4" s="38" t="s">
        <v>17</v>
      </c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 ht="33.75" customHeight="1">
      <c r="A5" s="22">
        <v>24520.0</v>
      </c>
      <c r="B5" s="35">
        <v>34.0</v>
      </c>
      <c r="C5" s="35">
        <v>211225.0</v>
      </c>
      <c r="D5" s="35">
        <f t="shared" si="1"/>
        <v>211225</v>
      </c>
      <c r="E5" s="35">
        <v>34.0</v>
      </c>
      <c r="F5" s="35">
        <v>211225.0</v>
      </c>
      <c r="G5" s="36">
        <f t="shared" si="2"/>
        <v>0</v>
      </c>
      <c r="H5" s="37" t="s">
        <v>18</v>
      </c>
      <c r="I5" s="40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 ht="33.75" customHeight="1">
      <c r="A6" s="22">
        <v>24521.0</v>
      </c>
      <c r="B6" s="35">
        <v>36.0</v>
      </c>
      <c r="C6" s="35">
        <v>219922.0</v>
      </c>
      <c r="D6" s="35">
        <f t="shared" si="1"/>
        <v>219922</v>
      </c>
      <c r="E6" s="35">
        <v>36.0</v>
      </c>
      <c r="F6" s="35">
        <v>219922.0</v>
      </c>
      <c r="G6" s="36">
        <f t="shared" si="2"/>
        <v>0</v>
      </c>
      <c r="H6" s="37" t="s">
        <v>13</v>
      </c>
      <c r="I6" s="40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 ht="33.75" customHeight="1">
      <c r="A7" s="22">
        <v>24522.0</v>
      </c>
      <c r="B7" s="35">
        <v>46.0</v>
      </c>
      <c r="C7" s="35">
        <v>382450.0</v>
      </c>
      <c r="D7" s="35">
        <f t="shared" si="1"/>
        <v>382450</v>
      </c>
      <c r="E7" s="35">
        <v>46.0</v>
      </c>
      <c r="F7" s="35">
        <v>382450.0</v>
      </c>
      <c r="G7" s="36">
        <f t="shared" si="2"/>
        <v>0</v>
      </c>
      <c r="H7" s="37" t="s">
        <v>18</v>
      </c>
      <c r="I7" s="40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 ht="33.75" customHeight="1">
      <c r="A8" s="22">
        <v>24523.0</v>
      </c>
      <c r="B8" s="35">
        <v>52.0</v>
      </c>
      <c r="C8" s="35">
        <v>353435.0</v>
      </c>
      <c r="D8" s="35">
        <f t="shared" si="1"/>
        <v>353435</v>
      </c>
      <c r="E8" s="35">
        <v>52.0</v>
      </c>
      <c r="F8" s="41">
        <v>362435.0</v>
      </c>
      <c r="G8" s="36">
        <f t="shared" si="2"/>
        <v>9000</v>
      </c>
      <c r="H8" s="37" t="s">
        <v>13</v>
      </c>
      <c r="I8" s="38" t="s">
        <v>19</v>
      </c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 ht="33.75" customHeight="1">
      <c r="A9" s="22">
        <v>24524.0</v>
      </c>
      <c r="B9" s="35">
        <v>36.0</v>
      </c>
      <c r="C9" s="35">
        <v>274175.0</v>
      </c>
      <c r="D9" s="35">
        <f t="shared" si="1"/>
        <v>274175</v>
      </c>
      <c r="E9" s="35">
        <v>36.0</v>
      </c>
      <c r="F9" s="35">
        <v>274175.0</v>
      </c>
      <c r="G9" s="36">
        <f t="shared" si="2"/>
        <v>0</v>
      </c>
      <c r="H9" s="37" t="s">
        <v>13</v>
      </c>
      <c r="I9" s="40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 ht="33.75" customHeight="1">
      <c r="A10" s="22">
        <v>24525.0</v>
      </c>
      <c r="B10" s="35">
        <v>39.0</v>
      </c>
      <c r="C10" s="35">
        <v>245815.0</v>
      </c>
      <c r="D10" s="35">
        <f t="shared" si="1"/>
        <v>245815</v>
      </c>
      <c r="E10" s="35">
        <v>39.0</v>
      </c>
      <c r="F10" s="35">
        <v>245815.0</v>
      </c>
      <c r="G10" s="36">
        <f t="shared" si="2"/>
        <v>0</v>
      </c>
      <c r="H10" s="37" t="s">
        <v>13</v>
      </c>
      <c r="I10" s="40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 ht="33.75" customHeight="1">
      <c r="A11" s="22">
        <v>24526.0</v>
      </c>
      <c r="B11" s="35">
        <v>34.0</v>
      </c>
      <c r="C11" s="35">
        <v>334250.0</v>
      </c>
      <c r="D11" s="35">
        <f t="shared" si="1"/>
        <v>334250</v>
      </c>
      <c r="E11" s="35">
        <v>34.0</v>
      </c>
      <c r="F11" s="35">
        <v>334250.0</v>
      </c>
      <c r="G11" s="36">
        <f t="shared" si="2"/>
        <v>0</v>
      </c>
      <c r="H11" s="37" t="s">
        <v>13</v>
      </c>
      <c r="I11" s="38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 ht="33.75" customHeight="1">
      <c r="A12" s="22">
        <v>24527.0</v>
      </c>
      <c r="B12" s="35">
        <v>18.0</v>
      </c>
      <c r="C12" s="35">
        <v>132840.0</v>
      </c>
      <c r="D12" s="35">
        <f t="shared" si="1"/>
        <v>132840</v>
      </c>
      <c r="E12" s="35">
        <v>18.0</v>
      </c>
      <c r="F12" s="35">
        <v>132840.0</v>
      </c>
      <c r="G12" s="36">
        <f t="shared" si="2"/>
        <v>0</v>
      </c>
      <c r="H12" s="37" t="s">
        <v>18</v>
      </c>
      <c r="I12" s="38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 ht="33.75" customHeight="1">
      <c r="A13" s="22">
        <v>24528.0</v>
      </c>
      <c r="B13" s="35">
        <v>30.0</v>
      </c>
      <c r="C13" s="35">
        <v>151975.0</v>
      </c>
      <c r="D13" s="35">
        <f t="shared" si="1"/>
        <v>151975</v>
      </c>
      <c r="E13" s="35">
        <v>30.0</v>
      </c>
      <c r="F13" s="35">
        <v>151975.0</v>
      </c>
      <c r="G13" s="36">
        <f t="shared" si="2"/>
        <v>0</v>
      </c>
      <c r="H13" s="37" t="s">
        <v>15</v>
      </c>
      <c r="I13" s="38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 ht="33.75" customHeight="1">
      <c r="A14" s="22">
        <v>24529.0</v>
      </c>
      <c r="B14" s="35">
        <v>40.0</v>
      </c>
      <c r="C14" s="35">
        <v>243655.0</v>
      </c>
      <c r="D14" s="35">
        <f t="shared" si="1"/>
        <v>243655</v>
      </c>
      <c r="E14" s="35">
        <v>40.0</v>
      </c>
      <c r="F14" s="35">
        <v>243655.0</v>
      </c>
      <c r="G14" s="36">
        <f t="shared" si="2"/>
        <v>0</v>
      </c>
      <c r="H14" s="37" t="s">
        <v>13</v>
      </c>
      <c r="I14" s="40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ht="33.75" customHeight="1">
      <c r="A15" s="22">
        <v>24530.0</v>
      </c>
      <c r="B15" s="35">
        <v>53.0</v>
      </c>
      <c r="C15" s="35">
        <v>421575.0</v>
      </c>
      <c r="D15" s="35">
        <f t="shared" si="1"/>
        <v>421575</v>
      </c>
      <c r="E15" s="35">
        <v>53.0</v>
      </c>
      <c r="F15" s="43">
        <v>421575.0</v>
      </c>
      <c r="G15" s="36">
        <f t="shared" si="2"/>
        <v>0</v>
      </c>
      <c r="H15" s="37" t="s">
        <v>13</v>
      </c>
      <c r="I15" s="38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ht="33.75" customHeight="1">
      <c r="A16" s="22">
        <v>24531.0</v>
      </c>
      <c r="B16" s="35">
        <v>51.0</v>
      </c>
      <c r="C16" s="35">
        <v>405025.0</v>
      </c>
      <c r="D16" s="35">
        <f t="shared" si="1"/>
        <v>405025</v>
      </c>
      <c r="E16" s="35">
        <v>51.0</v>
      </c>
      <c r="F16" s="35">
        <v>405025.0</v>
      </c>
      <c r="G16" s="36">
        <f t="shared" si="2"/>
        <v>0</v>
      </c>
      <c r="H16" s="37" t="s">
        <v>15</v>
      </c>
      <c r="I16" s="40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ht="33.75" customHeight="1">
      <c r="A17" s="20" t="s">
        <v>20</v>
      </c>
      <c r="B17" s="35">
        <v>57.0</v>
      </c>
      <c r="C17" s="35">
        <v>309960.0</v>
      </c>
      <c r="D17" s="35">
        <v>309960.0</v>
      </c>
      <c r="E17" s="35">
        <v>57.0</v>
      </c>
      <c r="F17" s="35">
        <v>309960.0</v>
      </c>
      <c r="G17" s="44"/>
      <c r="H17" s="37" t="s">
        <v>13</v>
      </c>
      <c r="I17" s="44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  <row r="99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</row>
    <row r="992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</row>
    <row r="993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</row>
    <row r="994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</row>
    <row r="995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</row>
    <row r="996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</row>
    <row r="997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</row>
    <row r="998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</row>
  </sheetData>
  <mergeCells count="7">
    <mergeCell ref="A1:I1"/>
    <mergeCell ref="A2:A3"/>
    <mergeCell ref="B2:D2"/>
    <mergeCell ref="E2:F2"/>
    <mergeCell ref="G2:G3"/>
    <mergeCell ref="H2:H3"/>
    <mergeCell ref="I2:I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
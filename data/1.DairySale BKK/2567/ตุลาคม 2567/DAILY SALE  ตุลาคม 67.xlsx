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ก.ย.- 2 ต.ค. 67" sheetId="1" r:id="rId4"/>
    <sheet state="visible" name="3 ต.ค. 67" sheetId="2" r:id="rId5"/>
    <sheet state="visible" name="4.ต.ค. 67" sheetId="3" r:id="rId6"/>
    <sheet state="visible" name="5.ต.ค. 67" sheetId="4" r:id="rId7"/>
    <sheet state="visible" name="6.ต.ค. 67" sheetId="5" r:id="rId8"/>
    <sheet state="visible" name="7.ต.ค. 67" sheetId="6" r:id="rId9"/>
    <sheet state="visible" name="8.ต.ค. 67" sheetId="7" r:id="rId10"/>
    <sheet state="visible" name="9.ต.ค. 67" sheetId="8" r:id="rId11"/>
    <sheet state="visible" name="10 .ต.ค. 67" sheetId="9" r:id="rId12"/>
    <sheet state="visible" name="11 .ต.ค. 67" sheetId="10" r:id="rId13"/>
    <sheet state="visible" name="12.ต.ค. 67" sheetId="11" r:id="rId14"/>
    <sheet state="visible" name="12.ต.ค. 67นครสวรรค์" sheetId="12" r:id="rId15"/>
    <sheet state="visible" name="13-14ต.ค. 67 กาญจนบุรี " sheetId="13" r:id="rId16"/>
    <sheet state="visible" name="14ต.ค. 67 " sheetId="14" r:id="rId17"/>
    <sheet state="visible" name="15 ต.ค. 67 " sheetId="15" r:id="rId18"/>
    <sheet state="visible" name="16 ต.ค. 67 " sheetId="16" r:id="rId19"/>
    <sheet state="visible" name="17 ต.ค. 67 " sheetId="17" r:id="rId20"/>
    <sheet state="visible" name="18 ต.ค. 67 " sheetId="18" r:id="rId21"/>
    <sheet state="visible" name="19 ต.ค. 67 " sheetId="19" r:id="rId22"/>
    <sheet state="visible" name="20 ต.ค. 67 " sheetId="20" r:id="rId23"/>
    <sheet state="visible" name="21 ต.ค. 67 " sheetId="21" r:id="rId24"/>
    <sheet state="visible" name="22 ต.ค. 67 " sheetId="22" r:id="rId25"/>
    <sheet state="visible" name="24 ต.ค. 67 " sheetId="23" r:id="rId26"/>
    <sheet state="visible" name="25 ต.ค. 67 " sheetId="24" r:id="rId27"/>
    <sheet state="visible" name="26 ต.ค. 67 " sheetId="25" r:id="rId28"/>
    <sheet state="visible" name="27.ต.ค. 67 " sheetId="26" r:id="rId29"/>
    <sheet state="visible" name="28.ต.ค. 67 " sheetId="27" r:id="rId30"/>
    <sheet state="visible" name="29 ต.ค. 67 " sheetId="28" r:id="rId31"/>
    <sheet state="visible" name="30ต.ค. 67 " sheetId="29" r:id="rId32"/>
    <sheet state="visible" name="31.ต.ค. 67 " sheetId="30" r:id="rId33"/>
  </sheets>
  <definedNames>
    <definedName hidden="1" localSheetId="5" name="Z_E896575A_E61C_4060_A4AD_37E1ECCF5A6F_.wvu.FilterData">'7.ต.ค. 67'!$L$6:$L$7</definedName>
    <definedName hidden="1" localSheetId="6" name="Z_E896575A_E61C_4060_A4AD_37E1ECCF5A6F_.wvu.FilterData">'8.ต.ค. 67'!$L$6:$L$7</definedName>
  </definedNames>
  <calcPr/>
  <customWorkbookViews>
    <customWorkbookView activeSheetId="0" maximized="1" windowHeight="0" windowWidth="0" guid="{E896575A-E61C-4060-A4AD-37E1ECCF5A6F}" name="ตัวกรอง 1"/>
  </customWorkbookViews>
  <extLst>
    <ext uri="GoogleSheetsCustomDataVersion2">
      <go:sheetsCustomData xmlns:go="http://customooxmlschemas.google.com/" r:id="rId34" roundtripDataChecksum="S9lw9Xh9ychTzK7vd39SJMxhF8nDeGABKFEjDV3kZG4="/>
    </ext>
  </extLst>
</workbook>
</file>

<file path=xl/sharedStrings.xml><?xml version="1.0" encoding="utf-8"?>
<sst xmlns="http://schemas.openxmlformats.org/spreadsheetml/2006/main" count="3910" uniqueCount="1534">
  <si>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30 ก.ย. - 2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</si>
  <si>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</si>
  <si>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</si>
  <si>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</si>
  <si>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</si>
  <si>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</si>
  <si>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</si>
  <si>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</si>
  <si>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</si>
  <si>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</si>
  <si>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</si>
  <si>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</si>
  <si>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</si>
  <si>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</si>
  <si>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</si>
  <si>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</si>
  <si>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</si>
  <si>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</si>
  <si>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</si>
  <si>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</si>
  <si>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</si>
  <si>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</si>
  <si>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</si>
  <si>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STHBKK012409001047</t>
  </si>
  <si>
    <t>นาย ธนาศุภเดช ภุชพัชราธาดาณัช</t>
  </si>
  <si>
    <t>Ketbkk</t>
  </si>
  <si>
    <t>STHBKK012409001048</t>
  </si>
  <si>
    <t>นาง ศศิธร เม่นตะเภา</t>
  </si>
  <si>
    <t>TOYBKK</t>
  </si>
  <si>
    <t>STHBKK012409001049</t>
  </si>
  <si>
    <t>นางสาว จีรวรรณ ละว้า</t>
  </si>
  <si>
    <t>STHBKK012409001050</t>
  </si>
  <si>
    <t>บริษัท  รินทร์รฐา กรุ๊ป จำกัด(สำนักงานใหญ่)</t>
  </si>
  <si>
    <t>STHBKK012409001051</t>
  </si>
  <si>
    <t>นางสาว กาญจนา จันทรมณี</t>
  </si>
  <si>
    <t>bkk-aoeng</t>
  </si>
  <si>
    <t>STHBKK012409001052</t>
  </si>
  <si>
    <t>นาย ประวิต หล้าสุดตา</t>
  </si>
  <si>
    <t>STHBKK012409001053</t>
  </si>
  <si>
    <t>นาย สนั่นศักดิ์  สมทอง</t>
  </si>
  <si>
    <t>STHBKK012409001055</t>
  </si>
  <si>
    <t>นางสาว จิรภาทิชา โคดมการภัทรารัช</t>
  </si>
  <si>
    <t>STHBKK012409001056</t>
  </si>
  <si>
    <t>นาย สมชาย โสภา</t>
  </si>
  <si>
    <t>STHBKK012409001057</t>
  </si>
  <si>
    <t>นาย สมชาย แสงสี</t>
  </si>
  <si>
    <t>STHBKK012409001059</t>
  </si>
  <si>
    <t>นาง กัญจนา ศุภศิษฏ์</t>
  </si>
  <si>
    <t>NEWBKK</t>
  </si>
  <si>
    <t>STHBKK012409001060</t>
  </si>
  <si>
    <t>นางสาว พิชาวีร์ บวรธีราเศรษฐ์</t>
  </si>
  <si>
    <t>STHBKK012409001061</t>
  </si>
  <si>
    <t>บริษัท เค24 โกลบอล จำกัด (สำนักงานใหญ่)</t>
  </si>
  <si>
    <t>STHBKK012409001062</t>
  </si>
  <si>
    <t>บริษัท เศรษฐกวี จำกัด ( สำนักงานใหญ่ )</t>
  </si>
  <si>
    <t>STHBKK012410000003</t>
  </si>
  <si>
    <t>นาย พิชิต ผิวสุข</t>
  </si>
  <si>
    <t>Meiy</t>
  </si>
  <si>
    <t>STHBKK012410000004</t>
  </si>
  <si>
    <t>ห้างหุ้นส่วน รีลิกธีน  (สำนักงานใหญ่)</t>
  </si>
  <si>
    <t>STHBKK012410000005</t>
  </si>
  <si>
    <t>นาย คมสันช์  ชาญธนโชค</t>
  </si>
  <si>
    <t>STHBKK012410000006</t>
  </si>
  <si>
    <t>นาย ยศพัทธิ์ ศรีอุทิศ</t>
  </si>
  <si>
    <t>STHBKK012410000007</t>
  </si>
  <si>
    <t>นาง ฐานมญ ชลคีรี</t>
  </si>
  <si>
    <t>STHBKK012410000008</t>
  </si>
  <si>
    <t>นางสาว วรลักษณ์ เผ่ามิตรเจริญ</t>
  </si>
  <si>
    <t>STHBKK012410000009</t>
  </si>
  <si>
    <t>STHBKK012410000010</t>
  </si>
  <si>
    <t>นางสาว ณัฐนันท์ เจริญศิริวิชญกุล</t>
  </si>
  <si>
    <t>STHBKK012410000011</t>
  </si>
  <si>
    <t>นาย ณัฐพล ศรีทอง</t>
  </si>
  <si>
    <t>STHBKK012410000012</t>
  </si>
  <si>
    <t>นางสาว วณัฐกมล  วิไลลักษณ์</t>
  </si>
  <si>
    <t>STHBKK012410000013</t>
  </si>
  <si>
    <t>นางสาว นภาไพลิน  กาละวันต์</t>
  </si>
  <si>
    <t>STHBKK012410000014</t>
  </si>
  <si>
    <t>นาย อำนวย พุทธสกุล</t>
  </si>
  <si>
    <t>STHBKK012410000015</t>
  </si>
  <si>
    <t>นาง อัมพร  กุลศัตยาภิรมย์</t>
  </si>
  <si>
    <t>STHBKK012410000016</t>
  </si>
  <si>
    <t xml:space="preserve">นางสาว ภัทราณิษฐ์ พืชพันธ์วรเดชา	</t>
  </si>
  <si>
    <t>STHBKK012410000017</t>
  </si>
  <si>
    <t>นางสาว อารียา สินธุสำราญ</t>
  </si>
  <si>
    <t>STHBKK012410000018</t>
  </si>
  <si>
    <t>บริษัท ผักคะน้ากรอบ จำกัด(สำนักงานใหญ่)</t>
  </si>
  <si>
    <t>STHBKK012410000019</t>
  </si>
  <si>
    <t>ห้างหุ้นส่วน ปูแดงพารวย ( สำนักงานใหญ่)</t>
  </si>
  <si>
    <t>STHBKK012410000020</t>
  </si>
  <si>
    <t>นางสาว สมคิด ยิ้มสาระ</t>
  </si>
  <si>
    <t>STHBKK012410000021</t>
  </si>
  <si>
    <t>นางสาว อัญชลี พรมคล้าย</t>
  </si>
  <si>
    <t>STHBKK012410000022</t>
  </si>
  <si>
    <t>นาย พิสิฐพงษ์  ยอดจันทร์</t>
  </si>
  <si>
    <t>STHBKK012410000023</t>
  </si>
  <si>
    <t>นางสาว สุดาวรรณ์  จันทร์แดง</t>
  </si>
  <si>
    <t>STHBKK012410000024</t>
  </si>
  <si>
    <t>STHBKK012410000025</t>
  </si>
  <si>
    <t>นางสาว ธารารัตน์ เผ่าพงศ์ษา</t>
  </si>
  <si>
    <t>STHBKK012410000026</t>
  </si>
  <si>
    <t>นาง สิริรักษ์ ผิวอ่อน</t>
  </si>
  <si>
    <t>STHBKK012410000027</t>
  </si>
  <si>
    <t>นาย ชุติเมธ ดียิ่ง</t>
  </si>
  <si>
    <t>STHBKK012410000028</t>
  </si>
  <si>
    <t>นาง สีแพร มังกรแก้ว</t>
  </si>
  <si>
    <t>STHBKK012410000029</t>
  </si>
  <si>
    <t>นาย ปรีชา  แก้วโกถม</t>
  </si>
  <si>
    <t>STHBKK012410000030</t>
  </si>
  <si>
    <t>STHBKK012410000032</t>
  </si>
  <si>
    <t>นาง นิภา อินเมฆ</t>
  </si>
  <si>
    <t>STHBKK012410000033</t>
  </si>
  <si>
    <t>นาย บุญสม อุดมรักษ์</t>
  </si>
  <si>
    <t>STHBKK012410000035</t>
  </si>
  <si>
    <t>ห้างหุ้นส่วน เครือข่ายปิยธนา ( สำนักงานใหญ่ )</t>
  </si>
  <si>
    <t>STHBKK012410000036</t>
  </si>
  <si>
    <t>นาง ตนาลักษณ์ เชียงทา</t>
  </si>
  <si>
    <t>STHBKK012410000037</t>
  </si>
  <si>
    <t>นาย ปริญพัชร์ ศรีศุภณัฐธนากุล</t>
  </si>
  <si>
    <t>STHBKK012410000038</t>
  </si>
  <si>
    <t>นาย นิรันดร์ สันอัด</t>
  </si>
  <si>
    <t>STHBKK012410000039</t>
  </si>
  <si>
    <t>นาย จักรพัน  พรหมบุตร</t>
  </si>
  <si>
    <t>STHBKK012410000041</t>
  </si>
  <si>
    <t>นาง มัลลิกา พรมมา</t>
  </si>
  <si>
    <t>STHBKK012410000042</t>
  </si>
  <si>
    <t>นางสาว นพรัตน์  ศุจิภานันท์</t>
  </si>
  <si>
    <t>STHBKK012410000043</t>
  </si>
  <si>
    <t>STHBKK012410000044</t>
  </si>
  <si>
    <t>นาย ธนกร อภัยพงศ์</t>
  </si>
  <si>
    <t>STHBKK012410000045</t>
  </si>
  <si>
    <t>นางสาว จุฬาลักษณ์ จองอยู่</t>
  </si>
  <si>
    <t>BKK-Neng</t>
  </si>
  <si>
    <t>STHBKK012410000047</t>
  </si>
  <si>
    <t>นางสาว รุ้งลาวรรณ ศรีศักดา</t>
  </si>
  <si>
    <t>STHBKK012410000048</t>
  </si>
  <si>
    <t>นางสาว ภาวิณี พวงมาลัยทอง</t>
  </si>
  <si>
    <t>STHBKK012410000049</t>
  </si>
  <si>
    <t>นาย วิเชียร บุตรสอน</t>
  </si>
  <si>
    <t>STHBKK012410000050</t>
  </si>
  <si>
    <t>นาย ไทคูณ ไพรบึง</t>
  </si>
  <si>
    <t>STHBKK012410000051</t>
  </si>
  <si>
    <t>นาย บุญเลิศ รวมวินิจ</t>
  </si>
  <si>
    <t>STHBKK012410000052</t>
  </si>
  <si>
    <t>นางสาว สุรีรัตน์  อาเทศ</t>
  </si>
  <si>
    <t>STHBKK012410000053</t>
  </si>
  <si>
    <t>นาย พัฒน์รดิศ สุพัฒน์วณิชกร</t>
  </si>
  <si>
    <t>STHBKK012410000054</t>
  </si>
  <si>
    <t>นาย อรรถพล   ทองนวล</t>
  </si>
  <si>
    <t>STHBKK012410000055</t>
  </si>
  <si>
    <t>นาย ธนบูลย์ แสงฐิตาพันธุ์</t>
  </si>
  <si>
    <t>STHBKK012410000057</t>
  </si>
  <si>
    <t>นาง พิมลวรรรณ  กิ่งจันทร์</t>
  </si>
  <si>
    <t>STHBKK012410000058</t>
  </si>
  <si>
    <t>นางสาว กุลนาถ ไตรทัตธนากร</t>
  </si>
  <si>
    <t>STHONLIN2409000453</t>
  </si>
  <si>
    <t>นางสาว พัชรมณฑ์ พรมทา</t>
  </si>
  <si>
    <t>STHONLIN2409000454</t>
  </si>
  <si>
    <t>นาย มงคล เพ็งเคียน</t>
  </si>
  <si>
    <t>STHONLIN2409000456</t>
  </si>
  <si>
    <t>นาย ดำรงค์ ปฏิสังข์</t>
  </si>
  <si>
    <t>STHONLIN2409000458</t>
  </si>
  <si>
    <t>นาย บรรเทิง เพ็งผึ้ง</t>
  </si>
  <si>
    <t>STHONLIN2410000001</t>
  </si>
  <si>
    <t>STHONLIN2410000002</t>
  </si>
  <si>
    <t>บริษัท  ต.ศรีโสภณ จำกัด (สำนักงานใหญ่)</t>
  </si>
  <si>
    <t>STHONLIN2410000003</t>
  </si>
  <si>
    <t>นางสาว พิมพ์ชญา  สุริยปรีชาพงษ์</t>
  </si>
  <si>
    <t>STHONLIN2410000004</t>
  </si>
  <si>
    <t>นาย สุวชัช  อมตวงษ์</t>
  </si>
  <si>
    <t>STHONLIN2410000005</t>
  </si>
  <si>
    <t>บริษัท สยามทวีทิพย์ จำกัด(สำนักงานใหญ่)</t>
  </si>
  <si>
    <t>STHONLIN2410000006</t>
  </si>
  <si>
    <t>STHONLIN2410000007</t>
  </si>
  <si>
    <t>STHONLIN2410000008</t>
  </si>
  <si>
    <t>STHONLIN2410000010</t>
  </si>
  <si>
    <t>STHONLIN2410000011</t>
  </si>
  <si>
    <t>นาง ทิพยาภรณ์ ฆ้องวงษ์</t>
  </si>
  <si>
    <t>STHONLIN2410000012</t>
  </si>
  <si>
    <t>นาง พรทิพย์ ฤทธิรณ</t>
  </si>
  <si>
    <t>STHONLIN2410000013</t>
  </si>
  <si>
    <t>นาย เอกชลิต ธวัชกฤตยา</t>
  </si>
  <si>
    <t>STHONLIN2410000014</t>
  </si>
  <si>
    <t>นางสาว อรณิกร บุญเกษม</t>
  </si>
  <si>
    <t>STHONLIN2410000016</t>
  </si>
  <si>
    <t>นาย สุเมธ กลิ่นเย็น</t>
  </si>
  <si>
    <t>STHONLIN2410000020</t>
  </si>
  <si>
    <t>STHONLIN2410000021</t>
  </si>
  <si>
    <t>บริษัท สวนสุข จำกัด(สำนักงานใหญ่)</t>
  </si>
  <si>
    <t>STHONLIN2410000022</t>
  </si>
  <si>
    <t xml:space="preserve"> </t>
  </si>
  <si>
    <t xml:space="preserve">ผู้ดึงบิลทางบ้าน (บิล เหม่ย )    </t>
  </si>
  <si>
    <t>กะตอย</t>
  </si>
  <si>
    <t xml:space="preserve">ผู้เรียงบิล     </t>
  </si>
  <si>
    <t>นิ้ว</t>
  </si>
  <si>
    <t xml:space="preserve">ผู้สรุปยอด บิลออนไลน์    </t>
  </si>
  <si>
    <t>เอิง</t>
  </si>
  <si>
    <t xml:space="preserve">ผู้ดึงยอด      </t>
  </si>
  <si>
    <t xml:space="preserve">ผู้หยอดบิลลงเดลี่         </t>
  </si>
  <si>
    <t>เอิง/กะตอย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</si>
  <si>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</si>
  <si>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</si>
  <si>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นิ้ว-เกษ</t>
  </si>
  <si>
    <t xml:space="preserve">ผู้สรุปยอด E-WALLET    </t>
  </si>
  <si>
    <t>----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</si>
  <si>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</si>
  <si>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</si>
  <si>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STHBKK012410000059</t>
  </si>
  <si>
    <t>นาย นะราพงษ์  เศษโถ</t>
  </si>
  <si>
    <t>STHBKK012410000060</t>
  </si>
  <si>
    <t>นางสาว คณาง ไพรบึง</t>
  </si>
  <si>
    <t>STHBKK012410000061</t>
  </si>
  <si>
    <t>นาย สำอางค์ พลอยดีเลิศ</t>
  </si>
  <si>
    <t>STHBKK012410000062</t>
  </si>
  <si>
    <t>นางสาว ลำยง กระดังงา</t>
  </si>
  <si>
    <t>STHBKK012410000063</t>
  </si>
  <si>
    <t>นาง ปรีชา สีวงกลาง</t>
  </si>
  <si>
    <t>STHBKK012410000064</t>
  </si>
  <si>
    <t>STHBKK012410000065</t>
  </si>
  <si>
    <t>นาย จิรพันธ์ โสมสุข</t>
  </si>
  <si>
    <t>STHBKK012410000066</t>
  </si>
  <si>
    <t>นาย สหชัย ม่วงกล่ำ</t>
  </si>
  <si>
    <t>STHBKK012410000067</t>
  </si>
  <si>
    <t>STHBKK012410000068</t>
  </si>
  <si>
    <t>นาย พีรพงศ์ ภรประเสริฐศรี</t>
  </si>
  <si>
    <t>STHBKK012410000069</t>
  </si>
  <si>
    <t>นาย ธนวรรธน์  ปราชญ์เรืองนนท์</t>
  </si>
  <si>
    <t>STHBKK012410000070</t>
  </si>
  <si>
    <t>นาย วรเชษฐ์ ทองหล่อ</t>
  </si>
  <si>
    <t>STHBKK012410000073</t>
  </si>
  <si>
    <t>นางสาว มัลลิกา พลรัตน์</t>
  </si>
  <si>
    <t>STHBKK012410000074</t>
  </si>
  <si>
    <t>นาย นันณัชพงศ์ จันทรคล</t>
  </si>
  <si>
    <t>STHBKK012410000075</t>
  </si>
  <si>
    <t>STHBKK012410000076</t>
  </si>
  <si>
    <t>นาย สามภพ คงเมือง</t>
  </si>
  <si>
    <t>STHBKK012410000077</t>
  </si>
  <si>
    <t>ห้างหุ้นส่วน ไดม่อนอันดามัน เน็ตเวิร์ค  (สำนักงานใหญ่)</t>
  </si>
  <si>
    <t>STHBKK012410000078</t>
  </si>
  <si>
    <t>นาย วัชรวุทธิ์ หิรัญกิจอนันต์</t>
  </si>
  <si>
    <t>STHBKK012410000079</t>
  </si>
  <si>
    <t>STHBKK012410000080</t>
  </si>
  <si>
    <t>นาง หทัยณัฐ สินธุวรโรจน์</t>
  </si>
  <si>
    <t>STHBKK012410000081</t>
  </si>
  <si>
    <t>นาย ศุภศิษฎ์ ภูชฎาภิรมย์</t>
  </si>
  <si>
    <t>STHBKK012410000082</t>
  </si>
  <si>
    <t>นางสาว เจษฎา อาสนศักดิ์</t>
  </si>
  <si>
    <t>STHBKK012410000083</t>
  </si>
  <si>
    <t>STHBKK012410000084</t>
  </si>
  <si>
    <t>นางสาว วิราพร ทองเจือ</t>
  </si>
  <si>
    <t>STHBKK012410000086</t>
  </si>
  <si>
    <t>นาง มินตรา แก้วอำนวยจิตร</t>
  </si>
  <si>
    <t>STHBKK012410000087</t>
  </si>
  <si>
    <t>บริษัท เค.ที.คอนแทคท์เวิลด์ จำกัด (สำนักงานใหญ่)</t>
  </si>
  <si>
    <t>STHONLIN2410000023</t>
  </si>
  <si>
    <t>STHONLIN2410000024</t>
  </si>
  <si>
    <t>นาย วีระ บุญนวน</t>
  </si>
  <si>
    <t>STHONLIN2410000025</t>
  </si>
  <si>
    <t>นางสาว วัชรวรรณ  นิลสุ</t>
  </si>
  <si>
    <t>STHONLIN2410000026</t>
  </si>
  <si>
    <t>STHONLIN2410000027</t>
  </si>
  <si>
    <t>นาย สุวิทย์  รองชูเพ็ง</t>
  </si>
  <si>
    <t>STHONLIN2410000033</t>
  </si>
  <si>
    <t>นางสาว ใฝ่ฝัน ไพรบึง</t>
  </si>
  <si>
    <t>STHONLIN2410000035</t>
  </si>
  <si>
    <t>STHONLIN2410000037</t>
  </si>
  <si>
    <t>นางสาว ทิพวัลย์  เหลือรักษ์</t>
  </si>
  <si>
    <t>STHONLIN2410000038</t>
  </si>
  <si>
    <t>นางสาว พิชญ์สินี บุญมีฉิมมา</t>
  </si>
  <si>
    <t>STHONLIN2410000039</t>
  </si>
  <si>
    <t>นาย ศักดิ์สิทธิ์ เหลือรักษ์</t>
  </si>
  <si>
    <t>STHONLIN2410000040</t>
  </si>
  <si>
    <t>STHONLIN2410000041</t>
  </si>
  <si>
    <t>STHONLIN2410000042</t>
  </si>
  <si>
    <t>บริษัท เอ.ซี.พี.เค จำกัด (สำนักงานใหญ่)</t>
  </si>
  <si>
    <t>STHONLIN2410000043</t>
  </si>
  <si>
    <t>STHONLIN2410000044</t>
  </si>
  <si>
    <t>STHONLIN2410000046</t>
  </si>
  <si>
    <t>นางสาว น้อง คงมา</t>
  </si>
  <si>
    <t>STHONLIN2410000047</t>
  </si>
  <si>
    <t>STHONLIN2410000048</t>
  </si>
  <si>
    <t>STHONLIN2410000049</t>
  </si>
  <si>
    <t>นาย ณัฐพล คงมา</t>
  </si>
  <si>
    <t>STHONLIN2410000050</t>
  </si>
  <si>
    <t>นาย บูชาติ หาดสร้อย</t>
  </si>
  <si>
    <t>STHONLIN2410000051</t>
  </si>
  <si>
    <t>นาง อสมากร สุขาล</t>
  </si>
  <si>
    <t>STHONLIN2410000052</t>
  </si>
  <si>
    <t>นางสาว สาริศา ปริมาณ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</si>
  <si>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</si>
  <si>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4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</si>
  <si>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STHBKK012410000088</t>
  </si>
  <si>
    <t>นาง อภิฐาพร บัวจันทร์</t>
  </si>
  <si>
    <t>STHBKK012410000089</t>
  </si>
  <si>
    <t>นาง ยินดี ไตยมูล</t>
  </si>
  <si>
    <t>STHBKK012410000091</t>
  </si>
  <si>
    <t>นาง สุดใจ  พินธุโท</t>
  </si>
  <si>
    <t>STHBKK012410000092</t>
  </si>
  <si>
    <t>STHBKK012410000093</t>
  </si>
  <si>
    <t>นางสาว ศรีวิลัย บุญภา</t>
  </si>
  <si>
    <t>STHBKK012410000094</t>
  </si>
  <si>
    <t>นางสาว นงลักษณ์  แจ่มใส</t>
  </si>
  <si>
    <t>STHBKK012410000096</t>
  </si>
  <si>
    <t>นาย สมศักดิ์  ทวีผล</t>
  </si>
  <si>
    <t>STHBKK012410000097</t>
  </si>
  <si>
    <t>นาง อรพรรณ จรรยา</t>
  </si>
  <si>
    <t>STHBKK012410000098</t>
  </si>
  <si>
    <t>นาย ธีระศักดิ์ สังฆะภูมิ</t>
  </si>
  <si>
    <t>STHBKK012410000099</t>
  </si>
  <si>
    <t>นาย เจษฎา จันทร์ภู่</t>
  </si>
  <si>
    <t>STHBKK012410000101</t>
  </si>
  <si>
    <t>STHBKK012410000102</t>
  </si>
  <si>
    <t>STHBKK012410000103</t>
  </si>
  <si>
    <t>นาย สุรบถ โสมาศร๊</t>
  </si>
  <si>
    <t>STHBKK012410000104</t>
  </si>
  <si>
    <t>นาย สุทธิ คำบุญ</t>
  </si>
  <si>
    <t>STHBKK012410000105</t>
  </si>
  <si>
    <t>STHBKK012410000106</t>
  </si>
  <si>
    <t>STHBKK012410000107</t>
  </si>
  <si>
    <t>STHBKK012410000108</t>
  </si>
  <si>
    <t>STHBKK012410000109</t>
  </si>
  <si>
    <t>นางสาว วรารัตน์ ฤกษ์ศรี</t>
  </si>
  <si>
    <t>STHBKK012410000110</t>
  </si>
  <si>
    <t>นางสาว ฤทัยทิพย์ นาโพธิ์</t>
  </si>
  <si>
    <t>STHBKK012410000111</t>
  </si>
  <si>
    <t>นางสาว ธันยาพร สีแก้ว</t>
  </si>
  <si>
    <t>STHBKK012410000112</t>
  </si>
  <si>
    <t>นาย ยืนยง ชินมิตโต</t>
  </si>
  <si>
    <t>STHBKK012410000113</t>
  </si>
  <si>
    <t>STHBKK012410000114</t>
  </si>
  <si>
    <t>นาย ชานนสุร ตลอดพบ</t>
  </si>
  <si>
    <t>STHBKK012410000115</t>
  </si>
  <si>
    <t>นางสาว อุทัยวรรณ วิชัยศึก</t>
  </si>
  <si>
    <t>STHBKK012410000116</t>
  </si>
  <si>
    <t>STHBKK012410000117</t>
  </si>
  <si>
    <t>นางสาว กัญญาณัฐ  วังคีรี</t>
  </si>
  <si>
    <t>STHBKK012410000118</t>
  </si>
  <si>
    <t>นางสาว สุพรรณษา ไพศาล</t>
  </si>
  <si>
    <t>STHBKK012410000119</t>
  </si>
  <si>
    <t>นางสาว สุชานันท์ สะตะ</t>
  </si>
  <si>
    <t>STHBKK012410000120</t>
  </si>
  <si>
    <t>นาง ลำยอง เจริญศิริ</t>
  </si>
  <si>
    <t>STHBKK012410000121</t>
  </si>
  <si>
    <t>พรกมล ถ้วยทอง</t>
  </si>
  <si>
    <t>STHBKK012410000122</t>
  </si>
  <si>
    <t>นาง รุ่งรัตน์ ศรสุรินทร์</t>
  </si>
  <si>
    <t>STHBKK012410000123</t>
  </si>
  <si>
    <t>นางสาว วนิดา  รุ่งแสง</t>
  </si>
  <si>
    <t>STHBKK012410000124</t>
  </si>
  <si>
    <t>นาย ณฐพนธ์ ศรีศักดา</t>
  </si>
  <si>
    <t>STHBKK012410000125</t>
  </si>
  <si>
    <t>นาย สุรัตน์  สุขเพ็ง</t>
  </si>
  <si>
    <t>STHBKK012410000126</t>
  </si>
  <si>
    <t>STHBKK012410000127</t>
  </si>
  <si>
    <t>STHBKK012410000129</t>
  </si>
  <si>
    <t>นางสาว วรารัตน์ นึกแจ้ง</t>
  </si>
  <si>
    <t>STHBKK012410000131</t>
  </si>
  <si>
    <t>STHONLIN2410000054</t>
  </si>
  <si>
    <t>นางสาว พศิจาธิกาณ ธนัฐศิณีญา</t>
  </si>
  <si>
    <t>STHONLIN2410000056</t>
  </si>
  <si>
    <t>นางสาว สรัสวันต์ อมตวงษ์</t>
  </si>
  <si>
    <t>STHONLIN2410000057</t>
  </si>
  <si>
    <t>STHONLIN2410000058</t>
  </si>
  <si>
    <t>STHONLIN2410000059</t>
  </si>
  <si>
    <t>บริษัท โคบาราเอฟโวลูชั่น (ประเทศไทย)จำกัด ( สำนักงานใหญ่ )</t>
  </si>
  <si>
    <t>STHONLIN2410000062</t>
  </si>
  <si>
    <t>นางสาว บุญเรือง ชาติเวช</t>
  </si>
  <si>
    <t>STHONLIN2410000063</t>
  </si>
  <si>
    <t>นาย นิรุธ สุขประเสริฐ</t>
  </si>
  <si>
    <t>STHONLIN2410000064</t>
  </si>
  <si>
    <t>STHONLIN2410000065</t>
  </si>
  <si>
    <t>นาย พุฒิพัฒน์ รัตนพิริยสกุล</t>
  </si>
  <si>
    <t>STHONLIN2410000066</t>
  </si>
  <si>
    <t>STHONLIN2410000067</t>
  </si>
  <si>
    <t>STHONLIN2410000068</t>
  </si>
  <si>
    <t>STHONLIN2410000070</t>
  </si>
  <si>
    <t>นาย ณัฐสิทธิ์  ไชยคำ</t>
  </si>
  <si>
    <t>STHONLIN2410000071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</si>
  <si>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</si>
  <si>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5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</si>
  <si>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STHBKK012410000133</t>
  </si>
  <si>
    <t>นาย เทียนชัย ด่านก่อโพธิ์</t>
  </si>
  <si>
    <t>STHBKK012410000134</t>
  </si>
  <si>
    <t>นาง ชนากานต์ ฉลาดล้น</t>
  </si>
  <si>
    <t>STHBKK012410000135</t>
  </si>
  <si>
    <t>นาง สมหมาย หาผลดี</t>
  </si>
  <si>
    <t>STHBKK012410000136</t>
  </si>
  <si>
    <t>STHBKK012410000137</t>
  </si>
  <si>
    <t>นาง กานดา วงศ์เทพนิวัติ</t>
  </si>
  <si>
    <t>STHBKK012410000138</t>
  </si>
  <si>
    <t>นาง สำรวม แสวงสุข</t>
  </si>
  <si>
    <t>STHBKK012410000139</t>
  </si>
  <si>
    <t>นาง เกษศิรินทร์ สุรศร</t>
  </si>
  <si>
    <t>STHBKK012410000140</t>
  </si>
  <si>
    <t>นาง กัลยกร ขาวทอง</t>
  </si>
  <si>
    <t>STHBKK012410000141</t>
  </si>
  <si>
    <t>STHBKK012410000142</t>
  </si>
  <si>
    <t>นางสาว ดาวธิดา  วงมาเกษ</t>
  </si>
  <si>
    <t>STHBKK012410000143</t>
  </si>
  <si>
    <t>นาย ปัฐเมส  เอี่ยมตุ้มรัตน์</t>
  </si>
  <si>
    <t>STHBKK012410000144</t>
  </si>
  <si>
    <t>STHBKK012410000145</t>
  </si>
  <si>
    <t>นาย นรชัย ไชยสังข์</t>
  </si>
  <si>
    <t>STHBKK012410000146</t>
  </si>
  <si>
    <t>Mrs. Naw Tin Tin Aye</t>
  </si>
  <si>
    <t>STHBKK012410000147</t>
  </si>
  <si>
    <t>STHBKK012410000148</t>
  </si>
  <si>
    <t>STHBKK012410000149</t>
  </si>
  <si>
    <t>นาง ไขนภา สุทธิอาคาร</t>
  </si>
  <si>
    <t>STHBKK012410000150</t>
  </si>
  <si>
    <t>STHBKK012410000152</t>
  </si>
  <si>
    <t>นางสาว มัฐยา ลาศา</t>
  </si>
  <si>
    <t>STHBKK012410000153</t>
  </si>
  <si>
    <t>STHBKK012410000155</t>
  </si>
  <si>
    <t>STHBKK012410000156</t>
  </si>
  <si>
    <t>STHBKK012410000157</t>
  </si>
  <si>
    <t>สนั่น ปริมาณ</t>
  </si>
  <si>
    <t>STHBKK012410000158</t>
  </si>
  <si>
    <t>STHBKK012410000159</t>
  </si>
  <si>
    <t>STHBKK012410000160</t>
  </si>
  <si>
    <t>STHBKK012410000161</t>
  </si>
  <si>
    <t>นาง อรุณพรรณ  กิ่งแก้ว</t>
  </si>
  <si>
    <t>STHBKK012410000162</t>
  </si>
  <si>
    <t>นาง นารินี กมลสุวรรณ</t>
  </si>
  <si>
    <t>STHBKK012410000164</t>
  </si>
  <si>
    <t>นาย ธนสิทธิ์   เจริญศิริวิชญกุล</t>
  </si>
  <si>
    <t>STHBKK012410000165</t>
  </si>
  <si>
    <t>Mrs. VENCHANH PHAAPHAY</t>
  </si>
  <si>
    <t>STHONLIN2410000079</t>
  </si>
  <si>
    <t>STHONLIN2410000080</t>
  </si>
  <si>
    <t>นาย สมนึก สร้อยฟ้า</t>
  </si>
  <si>
    <t>STHONLIN2410000082</t>
  </si>
  <si>
    <t>ห้างหุ้นส่วน โกรท โกลเบิล เน็ตเวิร์ก (สำนักงานใหญ่)</t>
  </si>
  <si>
    <t>STHONLIN2410000087</t>
  </si>
  <si>
    <t>นาย นารถ โหมเพ็ง</t>
  </si>
  <si>
    <t>-</t>
  </si>
  <si>
    <t>กะตอย/เอิง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</si>
  <si>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</si>
  <si>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6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</si>
  <si>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STHBKK012410000166</t>
  </si>
  <si>
    <t>นางสาว อภัสนันท์  เจริญศิริวิชญกุล</t>
  </si>
  <si>
    <t>STHBKK012410000167</t>
  </si>
  <si>
    <t>นางสาว ศักดิ์ศรี สุเมืองทอง</t>
  </si>
  <si>
    <t>STHBKK012410000168</t>
  </si>
  <si>
    <t>STHBKK012410000169</t>
  </si>
  <si>
    <t>นาย เธียรวิชญ์ สิรินรภักดีกุล</t>
  </si>
  <si>
    <t>STHBKK012410000170</t>
  </si>
  <si>
    <t>STHBKK012410000171</t>
  </si>
  <si>
    <t>นางสาว ดารดี ญาณกวี</t>
  </si>
  <si>
    <t>STHBKK012410000172</t>
  </si>
  <si>
    <t>นาย เกรียงไกร ไต่ถาม</t>
  </si>
  <si>
    <t>STHBKK012410000173</t>
  </si>
  <si>
    <t>STHBKK012410000174</t>
  </si>
  <si>
    <t>STHBKK012410000175</t>
  </si>
  <si>
    <t>นาง ณัฎฐณันธ์ วงวันดี</t>
  </si>
  <si>
    <t>STHBKK012410000176</t>
  </si>
  <si>
    <t>สมใจ สุวรรณรัตน์</t>
  </si>
  <si>
    <t>STHBKK012410000177</t>
  </si>
  <si>
    <t>นางสาว พิกุล กลิ่นฟุ้ง</t>
  </si>
  <si>
    <t>STHBKK012410000178</t>
  </si>
  <si>
    <t>STHBKK012410000179</t>
  </si>
  <si>
    <t>STHBKK012410000180</t>
  </si>
  <si>
    <t>นาย ศักดา ตำนาญ</t>
  </si>
  <si>
    <t>STHBKK012410000181</t>
  </si>
  <si>
    <t>นางสาว สายพิณ   สาธุชาติ</t>
  </si>
  <si>
    <t>STHBKK012410000182</t>
  </si>
  <si>
    <t>STHBKK012410000183</t>
  </si>
  <si>
    <t>STHBKK012410000184</t>
  </si>
  <si>
    <t>STHBKK012410000185</t>
  </si>
  <si>
    <t>นาย สุรวัฒน์ ตั้งพงศ์ศิรประภา</t>
  </si>
  <si>
    <t>STHBKK012410000186</t>
  </si>
  <si>
    <t>STHBKK012410000187</t>
  </si>
  <si>
    <t>STHBKK012410000188</t>
  </si>
  <si>
    <t>นาง กมลวรรณ  จันทรศร</t>
  </si>
  <si>
    <t>STHBKK012410000189</t>
  </si>
  <si>
    <t>STHBKK012410000191</t>
  </si>
  <si>
    <t>บริษัท สว่างทรัพย์ จำกัด (สำนักงานใหญ่)</t>
  </si>
  <si>
    <t>STHBKK012410000192</t>
  </si>
  <si>
    <t>STHONLIN2410000088</t>
  </si>
  <si>
    <t>STHONLIN2410000089</t>
  </si>
  <si>
    <t>STHONLIN2410000096</t>
  </si>
  <si>
    <t>นาง ธัญจิรา  โสรกนิษฐ์</t>
  </si>
  <si>
    <t>STHONLIN2410000097</t>
  </si>
  <si>
    <t>นางสาว ภาพิมล  ฉัตรเฉลิมวิทย์</t>
  </si>
  <si>
    <t>STHONLIN2410000098</t>
  </si>
  <si>
    <t>STHONLIN2410000099</t>
  </si>
  <si>
    <t>บริษัท แก้วแกมทอง เทรดดิ้ง จำกัด (สำนักงานใหญ่)</t>
  </si>
  <si>
    <t>นิ้ิ้ว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</si>
  <si>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</si>
  <si>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7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</si>
  <si>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STHBKK012410000194</t>
  </si>
  <si>
    <t>STHBKK012410000195</t>
  </si>
  <si>
    <t>STHBKK012410000196</t>
  </si>
  <si>
    <t>STHBKK012410000197</t>
  </si>
  <si>
    <t>นางสาว ธิภารัตน์ อินฉ่ำ</t>
  </si>
  <si>
    <t>STHBKK012410000198</t>
  </si>
  <si>
    <t>นาง ศรีรัตน์ ปัญญา</t>
  </si>
  <si>
    <t>STHBKK012410000199</t>
  </si>
  <si>
    <t>นาง สมบูรณ์ สุ่มประเสริฐ</t>
  </si>
  <si>
    <t>STHBKK012410000201</t>
  </si>
  <si>
    <t>นาย ภูวกร บวรฉัตรชาตรี</t>
  </si>
  <si>
    <t>STHBKK012410000202</t>
  </si>
  <si>
    <t>นาง ชนิดา สามารถ</t>
  </si>
  <si>
    <t>STHBKK012410000203</t>
  </si>
  <si>
    <t>นาย จักรพรรณ เทียนเจริญ</t>
  </si>
  <si>
    <t>STHBKK012410000204</t>
  </si>
  <si>
    <t>STHBKK012410000205</t>
  </si>
  <si>
    <t>STHBKK012410000206</t>
  </si>
  <si>
    <t>STHBKK012410000207</t>
  </si>
  <si>
    <t>STHBKK012410000208</t>
  </si>
  <si>
    <t>STHBKK012410000210</t>
  </si>
  <si>
    <t>STHBKK012410000211</t>
  </si>
  <si>
    <t>STHBKK012410000212</t>
  </si>
  <si>
    <t>นางสาว ยศวีร์ โคตรดี</t>
  </si>
  <si>
    <t>STHBKK012410000213</t>
  </si>
  <si>
    <t>STHBKK012410000214</t>
  </si>
  <si>
    <t>STHBKK012410000216</t>
  </si>
  <si>
    <t>นางสาว ธัญญลักษณ์  ชิเณรทร</t>
  </si>
  <si>
    <t>STHBKK012410000223</t>
  </si>
  <si>
    <t>STHBKK012410000224</t>
  </si>
  <si>
    <t>STHBKK012410000225</t>
  </si>
  <si>
    <t>STHBKK012410000226</t>
  </si>
  <si>
    <t>STHBKK012410000227</t>
  </si>
  <si>
    <t>นาย สุวิทย์ มั่นเขตวิทย์</t>
  </si>
  <si>
    <t>STHBKK012410000228</t>
  </si>
  <si>
    <t>นางสาว จิดาภา ทองเบ้า</t>
  </si>
  <si>
    <t>STHBKK012410000229</t>
  </si>
  <si>
    <t>STHBKK012410000230</t>
  </si>
  <si>
    <t>บี ฮัมเบิล แอนด์ เมอร์ซี กรุ๊ป  (สำนักงานใหญ่)</t>
  </si>
  <si>
    <t>STHBKK012410000231</t>
  </si>
  <si>
    <t>นาย เกษตร นากกระแสร์</t>
  </si>
  <si>
    <t>STHBKK012410000232</t>
  </si>
  <si>
    <t>นาย ทรงฤทธิ์  เลขไวฑูรย์</t>
  </si>
  <si>
    <t>STHBKK012410000233</t>
  </si>
  <si>
    <t>นางสาว หทัยทิพย์ ผลสมบูรณ์</t>
  </si>
  <si>
    <t>STHONLIN2410000101</t>
  </si>
  <si>
    <t>นาย พชร จิรรัตน์พิทักษ์</t>
  </si>
  <si>
    <t>STHONLIN2410000105</t>
  </si>
  <si>
    <t>STHONLIN2410000106</t>
  </si>
  <si>
    <t>STHONLIN2410000113</t>
  </si>
  <si>
    <t>ตอย</t>
  </si>
  <si>
    <t>เอิง/ตอย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</si>
  <si>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</si>
  <si>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8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</si>
  <si>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STHBKK012410000234</t>
  </si>
  <si>
    <t>STHBKK012410000235</t>
  </si>
  <si>
    <t>นาย สมศรี สีพลนอก</t>
  </si>
  <si>
    <t>STHBKK012410000236</t>
  </si>
  <si>
    <t>นาย ฑีปังกร  รักษาพงศ์</t>
  </si>
  <si>
    <t>STHBKK012410000237</t>
  </si>
  <si>
    <t>STHBKK012410000239</t>
  </si>
  <si>
    <t>นาย พินิจ  ภูผา</t>
  </si>
  <si>
    <t>STHBKK012410000240</t>
  </si>
  <si>
    <t>STHBKK012410000242</t>
  </si>
  <si>
    <t>STHBKK012410000244</t>
  </si>
  <si>
    <t>นางสาว ธันย์ณิชา ชำนาญป่า</t>
  </si>
  <si>
    <t>STHBKK012410000247</t>
  </si>
  <si>
    <t>นาง นวลทิพย์ กมลวิจิตร</t>
  </si>
  <si>
    <t>STHBKK012410000248</t>
  </si>
  <si>
    <t>นาย ทวีศักดิ์ ชำนาญ</t>
  </si>
  <si>
    <t>STHBKK012410000249</t>
  </si>
  <si>
    <t>นางสาว ณัฐฏิญา บุญเรือง</t>
  </si>
  <si>
    <t>STHBKK012410000250</t>
  </si>
  <si>
    <t>นาย จตุพล จุมพลพงษ์</t>
  </si>
  <si>
    <t>STHBKK012410000251</t>
  </si>
  <si>
    <t>STHBKK012410000252</t>
  </si>
  <si>
    <t>นาง รัตนา สุขสมบูรณ์</t>
  </si>
  <si>
    <t>STHBKK012410000253</t>
  </si>
  <si>
    <t>STHBKK012410000254</t>
  </si>
  <si>
    <t>STHBKK012410000255</t>
  </si>
  <si>
    <t>นาย รุ่งโรจน์  วชิรไชยนันท์</t>
  </si>
  <si>
    <t>STHBKK012410000257</t>
  </si>
  <si>
    <t>นางสาว ขวัญจิตร์ กลิ่นเจริญ</t>
  </si>
  <si>
    <t>STHBKK012410000258</t>
  </si>
  <si>
    <t>นาย วิเชษฐ สกุลหอม</t>
  </si>
  <si>
    <t>STHBKK012410000259</t>
  </si>
  <si>
    <t>STHBKK012410000260</t>
  </si>
  <si>
    <t>นางสาว วาสนา บุญเกษม</t>
  </si>
  <si>
    <t>STHBKK012410000262</t>
  </si>
  <si>
    <t>STHBKK012410000263</t>
  </si>
  <si>
    <t>นางสาว สายสุดา โพธิ์แก้ว</t>
  </si>
  <si>
    <t>STHBKK012410000264</t>
  </si>
  <si>
    <t>นางสาว เรไร ขวัญบุญจันทร์</t>
  </si>
  <si>
    <t>STHBKK012410000265</t>
  </si>
  <si>
    <t>นาง ปรียานุช ประสาทศิลป์</t>
  </si>
  <si>
    <t>STHBKK012410000266</t>
  </si>
  <si>
    <t>นางสาว แสงมณี บุญทวี</t>
  </si>
  <si>
    <t>STHBKK012410000267</t>
  </si>
  <si>
    <t>นางสาว ภัคชัญญา เทพวรรณ์</t>
  </si>
  <si>
    <t>STHBKK012410000268</t>
  </si>
  <si>
    <t>นาย จิระวัฒน์  ใจอารีย์</t>
  </si>
  <si>
    <t>STHBKK012410000269</t>
  </si>
  <si>
    <t>นางสาว พรทิพย์  นาสวน</t>
  </si>
  <si>
    <t>STHBKK012410000270</t>
  </si>
  <si>
    <t>นาย เอกสิทธิ์ ชำนาญผา</t>
  </si>
  <si>
    <t>STHBKK012410000271</t>
  </si>
  <si>
    <t>STHBKK012410000272</t>
  </si>
  <si>
    <t>นาย สุรศักดิ์  อินยอด</t>
  </si>
  <si>
    <t>STHBKK012410000273</t>
  </si>
  <si>
    <t>STHBKK012410000274</t>
  </si>
  <si>
    <t>STHBKK012410000276</t>
  </si>
  <si>
    <t>นาย ปิยะเดช ยิ่งวิวัฒนพงษ์</t>
  </si>
  <si>
    <t>STHBKK012410000277</t>
  </si>
  <si>
    <t>นางสาว โนนประภัสสร  พูนนะปันโน</t>
  </si>
  <si>
    <t>STHBKK012410000278</t>
  </si>
  <si>
    <t>STHBKK012410000279</t>
  </si>
  <si>
    <t>STHBKK012410000280</t>
  </si>
  <si>
    <t>นาง ภิชญาภัค หล้านาม</t>
  </si>
  <si>
    <t>STHBKK012410000281</t>
  </si>
  <si>
    <t>STHONLIN2410000114</t>
  </si>
  <si>
    <t>นาง ประไพ สกุลช่วย</t>
  </si>
  <si>
    <t>STHONLIN2410000118</t>
  </si>
  <si>
    <t>นางสาว ธนิชชนันท์ สิริภาคยะประภา</t>
  </si>
  <si>
    <t>STHONLIN2410000121</t>
  </si>
  <si>
    <t>STHONLIN2410000122</t>
  </si>
  <si>
    <t>นางสาว ประภัสสร  ดีดวงพันธ์</t>
  </si>
  <si>
    <t>STHONLIN2410000123</t>
  </si>
  <si>
    <t>นางสาว กาญจนา บุญเกษม</t>
  </si>
  <si>
    <t>STHONLIN2410000127</t>
  </si>
  <si>
    <t>STHONLIN2410000128</t>
  </si>
  <si>
    <t>นาย สมพิศ ลอยบัญดิษฐ</t>
  </si>
  <si>
    <t>STHONLIN2410000129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</si>
  <si>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</si>
  <si>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</si>
  <si>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9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</si>
  <si>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STHBKK012410000282</t>
  </si>
  <si>
    <t>STHBKK012410000283</t>
  </si>
  <si>
    <t>นาย ไพรัตน์ หาดสร้อย</t>
  </si>
  <si>
    <t>STHBKK012410000284</t>
  </si>
  <si>
    <t>นางสาว กัญญ์ชญามาศ สารกิจ</t>
  </si>
  <si>
    <t>STHBKK012410000285</t>
  </si>
  <si>
    <t>STHBKK012410000287</t>
  </si>
  <si>
    <t>STHBKK012410000289</t>
  </si>
  <si>
    <t>STHBKK012410000290</t>
  </si>
  <si>
    <t>นาย ดิลก แผ่ทอง</t>
  </si>
  <si>
    <t>STHBKK012410000291</t>
  </si>
  <si>
    <t>นางสาว อนัญญา อภัยแสน</t>
  </si>
  <si>
    <t>STHBKK012410000292</t>
  </si>
  <si>
    <t>STHBKK012410000293</t>
  </si>
  <si>
    <t>STHBKK012410000294</t>
  </si>
  <si>
    <t>นางสาว จำเรียง อินทปัตย์</t>
  </si>
  <si>
    <t>STHBKK012410000295</t>
  </si>
  <si>
    <t>STHBKK012410000296</t>
  </si>
  <si>
    <t>มธุรา ชาติสุทธิ์</t>
  </si>
  <si>
    <t>STHBKK012410000298</t>
  </si>
  <si>
    <t>นาย ณัษฐพงษ์    โพธิ์พันธ์ุ</t>
  </si>
  <si>
    <t>STHBKK012410000299</t>
  </si>
  <si>
    <t>STHBKK012410000300</t>
  </si>
  <si>
    <t>ธนวรรธน์ สุขจิตร</t>
  </si>
  <si>
    <t>STHBKK012410000301</t>
  </si>
  <si>
    <t>นางสาว กัญญาภัค กำเหนิดผล</t>
  </si>
  <si>
    <t>STHBKK012410000302</t>
  </si>
  <si>
    <t>STHBKK012410000303</t>
  </si>
  <si>
    <t>นางสาว นภัทร อินทราพงษ์</t>
  </si>
  <si>
    <t>STHBKK012410000304</t>
  </si>
  <si>
    <t>นางสาว เขมนิจ  อุดมรักษ์</t>
  </si>
  <si>
    <t>STHBKK012410000305</t>
  </si>
  <si>
    <t>STHBKK012410000307</t>
  </si>
  <si>
    <t>นางสาว พนาวัลย์  แซ่กือ</t>
  </si>
  <si>
    <t>STHBKK012410000308</t>
  </si>
  <si>
    <t>นางสาว สมใจ มะณี</t>
  </si>
  <si>
    <t>STHBKK012410000309</t>
  </si>
  <si>
    <t>นางสาว จินห์ภณิดา วรรณนิคมจิตร์</t>
  </si>
  <si>
    <t>STHBKK012410000310</t>
  </si>
  <si>
    <t>STHBKK012410000312</t>
  </si>
  <si>
    <t>STHONLIN2410000148</t>
  </si>
  <si>
    <t>STHONLIN2410000149</t>
  </si>
  <si>
    <t>STHONLIN2410000150</t>
  </si>
  <si>
    <t>STHONLIN2410000151</t>
  </si>
  <si>
    <t>นางสาว นันทิมา เหลืองรัชนาท</t>
  </si>
  <si>
    <t>STHONLIN2410000152</t>
  </si>
  <si>
    <t>STHONLIN2410000153</t>
  </si>
  <si>
    <t>นาย อุเทน ฉวีวรรณ์</t>
  </si>
  <si>
    <t>STHONLIN2410000155</t>
  </si>
  <si>
    <t>STHONLIN2410000156</t>
  </si>
  <si>
    <t>STHONLIN2410000157</t>
  </si>
  <si>
    <t>STHONLIN2410000158</t>
  </si>
  <si>
    <t>STHONLIN2410000159</t>
  </si>
  <si>
    <t>นาง ณุตาร์ จินดารัตนวรกุล</t>
  </si>
  <si>
    <t>STHONLIN2410000160</t>
  </si>
  <si>
    <t>นางสาว จินดาภรณ์ นิลชาติ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</si>
  <si>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</si>
  <si>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นิ้ว/เกษ</t>
  </si>
  <si>
    <t>-----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</si>
  <si>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10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</si>
  <si>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STHBKK012410000313</t>
  </si>
  <si>
    <t>นางสาว กิตติวรรณ พิมพ์เพราะ</t>
  </si>
  <si>
    <t>STHBKK012410000315</t>
  </si>
  <si>
    <t>นางสาว รินทร์ลภัส พัฒนะชัยจรัส</t>
  </si>
  <si>
    <t>STHBKK012410000316</t>
  </si>
  <si>
    <t>STHBKK012410000318</t>
  </si>
  <si>
    <t>นาย เกรียงศักดิ์ เสียงสุวรรณ์</t>
  </si>
  <si>
    <t>STHBKK012410000319</t>
  </si>
  <si>
    <t>นางสาว มาริษา  วงศ์สวัสดิ์</t>
  </si>
  <si>
    <t>STHBKK012410000320</t>
  </si>
  <si>
    <t>นาย พรพยัคฆ์  ธานะไชย</t>
  </si>
  <si>
    <t>STHBKK012410000321</t>
  </si>
  <si>
    <t>นางสาว ปวีณา โพธิ์ตาด</t>
  </si>
  <si>
    <t>STHBKK012410000322</t>
  </si>
  <si>
    <t>STHBKK012410000325</t>
  </si>
  <si>
    <t>นางสาว อรพิน ไชยสูงเนิน</t>
  </si>
  <si>
    <t>STHBKK012410000326</t>
  </si>
  <si>
    <t>นางสาว อารีรัตน์    โคตรสมบัติ</t>
  </si>
  <si>
    <t>STHBKK012410000327</t>
  </si>
  <si>
    <t>STHBKK012410000328</t>
  </si>
  <si>
    <t>STHBKK012410000329</t>
  </si>
  <si>
    <t>STHBKK012410000331</t>
  </si>
  <si>
    <t>นาย เกียรติศักดิ์ อาดมะเร๊ะ</t>
  </si>
  <si>
    <t>STHBKK012410000332</t>
  </si>
  <si>
    <t>นาง ศรีประภา  มณีวงษ์</t>
  </si>
  <si>
    <t>STHBKK012410000333</t>
  </si>
  <si>
    <t>นาง สายฝน ช่อมะกอก</t>
  </si>
  <si>
    <t>STHBKK012410000335</t>
  </si>
  <si>
    <t>นาง บัวหลวง บุญเหมาะ</t>
  </si>
  <si>
    <t>STHBKK012410000336</t>
  </si>
  <si>
    <t>สหกรณ์การเกษตร พิมาย จำกัด (สำนักงานใหญ่)</t>
  </si>
  <si>
    <t>STHBKK012410000337</t>
  </si>
  <si>
    <t>STHBKK012410000338</t>
  </si>
  <si>
    <t>STHBKK012410000340</t>
  </si>
  <si>
    <t>STHBKK012410000341</t>
  </si>
  <si>
    <t>บริษัท พิมปรีชา จำกัด (สำนักงานใหญ่)</t>
  </si>
  <si>
    <t>STHBKK012410000342</t>
  </si>
  <si>
    <t>STHBKK012410000344</t>
  </si>
  <si>
    <t>นางสาว จิราภรณ์ เขาทอง</t>
  </si>
  <si>
    <t>STHBKK012410000345</t>
  </si>
  <si>
    <t>STHBKK012410000348</t>
  </si>
  <si>
    <t>STHBKK012410000350</t>
  </si>
  <si>
    <t>STHBKK012410000351</t>
  </si>
  <si>
    <t>STHBKK012410000352</t>
  </si>
  <si>
    <t>นาย อินข์เพชร หึงขุนทด</t>
  </si>
  <si>
    <t>STHBKK012410000353</t>
  </si>
  <si>
    <t>STHBKK012410000354</t>
  </si>
  <si>
    <t>นาง เบญญารัศม์​ วาณิชย์โรจนากุล</t>
  </si>
  <si>
    <t>STHONLIN2410000162</t>
  </si>
  <si>
    <t>นาย สมยศ อภิรัชนากุล</t>
  </si>
  <si>
    <t>STHONLIN2410000163</t>
  </si>
  <si>
    <t>นาง สาริศา  จิตรเจริญ</t>
  </si>
  <si>
    <t>STHONLIN2410000166</t>
  </si>
  <si>
    <t>STHONLIN2410000167</t>
  </si>
  <si>
    <t>STHONLIN2410000169</t>
  </si>
  <si>
    <t>เอิง/เกษ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</si>
  <si>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</si>
  <si>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11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</si>
  <si>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STHBKK012410000355</t>
  </si>
  <si>
    <t>STHBKK012410000356</t>
  </si>
  <si>
    <t>STHBKK012410000357</t>
  </si>
  <si>
    <t>นาย ธนภัทร  อยู่คำ</t>
  </si>
  <si>
    <t>STHBKK012410000358</t>
  </si>
  <si>
    <t>นาง กิมเล้ง ศรีม่วง</t>
  </si>
  <si>
    <t>STHBKK012410000359</t>
  </si>
  <si>
    <t>STHBKK012410000361</t>
  </si>
  <si>
    <t>นางสาว ธัญญ์วรัตน์ พร้อมไทยสงค์</t>
  </si>
  <si>
    <t>STHBKK012410000362</t>
  </si>
  <si>
    <t>STHBKK012410000363</t>
  </si>
  <si>
    <t>STHBKK012410000364</t>
  </si>
  <si>
    <t>นางสาว ยุพาภรณ์ พ้นภัย</t>
  </si>
  <si>
    <t>STHBKK012410000365</t>
  </si>
  <si>
    <t>นางสาว มาเรียม ยิ้มสาระ</t>
  </si>
  <si>
    <t>STHBKK012410000367</t>
  </si>
  <si>
    <t>STHBKK012410000368</t>
  </si>
  <si>
    <t>นาง ประดับดาว ปราณีวงศ์</t>
  </si>
  <si>
    <t>STHBKK012410000369</t>
  </si>
  <si>
    <t>นางสาว เกศร วงษ์วิภาค</t>
  </si>
  <si>
    <t>STHBKK012410000370</t>
  </si>
  <si>
    <t>STHBKK012410000371</t>
  </si>
  <si>
    <t>STHBKK012410000372</t>
  </si>
  <si>
    <t>STHBKK012410000373</t>
  </si>
  <si>
    <t>STHBKK012410000374</t>
  </si>
  <si>
    <t>STHBKK012410000375</t>
  </si>
  <si>
    <t>นางสาว พันธุ์ทิพา แดงดีมาก</t>
  </si>
  <si>
    <t>STHBKK012410000376</t>
  </si>
  <si>
    <t>STHBKK012410000377</t>
  </si>
  <si>
    <t>นาง วีณา สนทอง</t>
  </si>
  <si>
    <t>STHBKK012410000378</t>
  </si>
  <si>
    <t>นางสาว ศิริกัญญา แหวนเงิน</t>
  </si>
  <si>
    <t>STHONLIN2410000171</t>
  </si>
  <si>
    <t>STHONLIN2410000182</t>
  </si>
  <si>
    <t>STHONLIN2410000183</t>
  </si>
  <si>
    <t>นาย ปรีชาพล ปิ่นดี</t>
  </si>
  <si>
    <t>STHONLIN2410000184</t>
  </si>
  <si>
    <t>บริษัท เอส ซี โกรท โกลบอล จำกัด (สำนักงานใหญ่)</t>
  </si>
  <si>
    <t>STHONLIN2410000185</t>
  </si>
  <si>
    <t>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</si>
  <si>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</si>
  <si>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12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</si>
  <si>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STHBKK012410000383</t>
  </si>
  <si>
    <t>นาย วัฒนา รอดวรรณโน</t>
  </si>
  <si>
    <t>STHBKK012410000384</t>
  </si>
  <si>
    <t>STHBKK012410000387</t>
  </si>
  <si>
    <t>นาย วรวงศ์ หงษ์ทอง</t>
  </si>
  <si>
    <t>STHBKK012410000388</t>
  </si>
  <si>
    <t>STHBKK012410000389</t>
  </si>
  <si>
    <t>นาง ทิชากร ไชยแสง</t>
  </si>
  <si>
    <t>STHBKK012410000390</t>
  </si>
  <si>
    <t>STHBKK012410000391</t>
  </si>
  <si>
    <t>STHBKK012410000392</t>
  </si>
  <si>
    <t>STHBKK012410000393</t>
  </si>
  <si>
    <t>STHBKK012410000395</t>
  </si>
  <si>
    <t>STHBKK012410000397</t>
  </si>
  <si>
    <t>มนูญ คำสุข</t>
  </si>
  <si>
    <t>STHBKK012410000398</t>
  </si>
  <si>
    <t>นาย เก่งภพ ศุภาภพปภาส</t>
  </si>
  <si>
    <t>STHBKK012410000399</t>
  </si>
  <si>
    <t>STHBKK012410000406</t>
  </si>
  <si>
    <t>STHBKK012410000407</t>
  </si>
  <si>
    <t>STHBKK012410000408</t>
  </si>
  <si>
    <t>นางสาว อัฐภิญญา  จิตอ้าย</t>
  </si>
  <si>
    <t>STHBKK012410000410</t>
  </si>
  <si>
    <t>นางสาว ลำใย  เจริญศิริ</t>
  </si>
  <si>
    <t>STHBKK012410000411</t>
  </si>
  <si>
    <t>STHONLIN2410000191</t>
  </si>
  <si>
    <t>STHONLIN2410000192</t>
  </si>
  <si>
    <t>STHONLIN2410000200</t>
  </si>
  <si>
    <t xml:space="preserve">ตอย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</si>
  <si>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</si>
  <si>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นิ้ว </t>
  </si>
  <si>
    <t>DAILY SALE 12 ตุลาคม 2567 (งาน the system นครสวรร์)</t>
  </si>
  <si>
    <t>STHBKK012410000379</t>
  </si>
  <si>
    <t>STHBKK012410000380</t>
  </si>
  <si>
    <t>นาย ณฑพล พิลึก</t>
  </si>
  <si>
    <t>STHBKK012410000381</t>
  </si>
  <si>
    <t>STHBKK012410000382</t>
  </si>
  <si>
    <t>STHBKK012410000402</t>
  </si>
  <si>
    <t>STHBKK012410000404</t>
  </si>
  <si>
    <t>STHBKK012410000409</t>
  </si>
  <si>
    <t>STHBKK012410000414</t>
  </si>
  <si>
    <t>STHBKK012410000415</t>
  </si>
  <si>
    <t>STHBKK012410000417</t>
  </si>
  <si>
    <t>STHONLIN2410000197</t>
  </si>
  <si>
    <t>STHONLIN2410000198</t>
  </si>
  <si>
    <t>นางสาว นางสาว สุปรียา ศรีอุทิศ</t>
  </si>
  <si>
    <t>STHONLIN2410000202</t>
  </si>
  <si>
    <t>STHONLIN2410000203</t>
  </si>
  <si>
    <t>นางสาว ภัทร์ปรียา โชคชัย</t>
  </si>
  <si>
    <t>STHONLIN2410000204</t>
  </si>
  <si>
    <t>STHONLIN2410000210</t>
  </si>
  <si>
    <t>STHONLIN2410000213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</si>
  <si>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</si>
  <si>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DAILY SALE 13 ตุลาคม 2567 (งาน the system กาญจนบุรี)</t>
  </si>
  <si>
    <t>STHBKK012410000420</t>
  </si>
  <si>
    <t>STHBKK012410000421</t>
  </si>
  <si>
    <t>นางสาว เยาวเรศ พันธุ์เอก</t>
  </si>
  <si>
    <t>STHBKK012410000422</t>
  </si>
  <si>
    <t>STHBKK012410000423</t>
  </si>
  <si>
    <t>นาง ณัฐฐารัตน์ พันธุ์เอก</t>
  </si>
  <si>
    <t>STHBKK012410000424</t>
  </si>
  <si>
    <t>นาย สหชัย ศรีสุขเจริญพร</t>
  </si>
  <si>
    <t>STHBKK012410000425</t>
  </si>
  <si>
    <t>นางสาว วรรณา แย้มวงษ์</t>
  </si>
  <si>
    <t>STHONLIN2410000226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</si>
  <si>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</si>
  <si>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14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</si>
  <si>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STHBKK012410000412</t>
  </si>
  <si>
    <t>STHBKK012410000413</t>
  </si>
  <si>
    <t>STHBKK012410000426</t>
  </si>
  <si>
    <t>นางสาว ญาณิศา ดีรื่น</t>
  </si>
  <si>
    <t>STHBKK012410000427</t>
  </si>
  <si>
    <t>นาย นายวินัย บุญเครื่อง</t>
  </si>
  <si>
    <t>STHBKK012410000428</t>
  </si>
  <si>
    <t>นางสาว สุภาวดี บุญเพ็ชร</t>
  </si>
  <si>
    <t>STHBKK012410000429</t>
  </si>
  <si>
    <t>STHBKK012410000430</t>
  </si>
  <si>
    <t>STHBKK012410000431</t>
  </si>
  <si>
    <t>STHBKK012410000432</t>
  </si>
  <si>
    <t>นางสาว ปรางค์วลิน  ม่วงนิ่ม</t>
  </si>
  <si>
    <t>STHBKK012410000433</t>
  </si>
  <si>
    <t>พันตรี   เฉลิม อินจำปา</t>
  </si>
  <si>
    <t>STHBKK012410000434</t>
  </si>
  <si>
    <t>STHBKK012410000435</t>
  </si>
  <si>
    <t>นาย จิรวัฒน์ ทิววัฒน์ปกรณ์</t>
  </si>
  <si>
    <t>STHBKK012410000436</t>
  </si>
  <si>
    <t>นางสาว สีไพร บุญนิตย์</t>
  </si>
  <si>
    <t>STHBKK012410000437</t>
  </si>
  <si>
    <t>STHBKK012410000439</t>
  </si>
  <si>
    <t>นาย เอกรินทร์  นิลสวัสดิ์</t>
  </si>
  <si>
    <t>STHBKK012410000441</t>
  </si>
  <si>
    <t>นางสาว นงพงา ตั้งฤทัยเยี่ยม</t>
  </si>
  <si>
    <t>STHBKK012410000442</t>
  </si>
  <si>
    <t>นาย บำรุง แก้วมี</t>
  </si>
  <si>
    <t>STHBKK012410000443</t>
  </si>
  <si>
    <t>STHBKK012410000444</t>
  </si>
  <si>
    <t>นาง จิราพร โพธิ์ไกร</t>
  </si>
  <si>
    <t>STHBKK012410000445</t>
  </si>
  <si>
    <t>นาย จักรกฤษ ดัชถุยาวัตร</t>
  </si>
  <si>
    <t>STHBKK012410000446</t>
  </si>
  <si>
    <t>STHBKK012410000447</t>
  </si>
  <si>
    <t>นางสาว กัลยรัตน์ ฤทธิ์น้อย</t>
  </si>
  <si>
    <t>STHBKK012410000448</t>
  </si>
  <si>
    <t>นาย สมาน รัตนวัน</t>
  </si>
  <si>
    <t>STHBKK012410000449</t>
  </si>
  <si>
    <t>นาย กิตติศักดิ์ โสทะ</t>
  </si>
  <si>
    <t>STHBKK012410000450</t>
  </si>
  <si>
    <t>นาย ภิรกร ศิริพฤกษ์</t>
  </si>
  <si>
    <t>STHBKK012410000451</t>
  </si>
  <si>
    <t>นางสาว ดวงพร สงค์สุวรรณ์</t>
  </si>
  <si>
    <t>STHBKK012410000452</t>
  </si>
  <si>
    <t>นาย สิปปภาส  โรจนวสุธร</t>
  </si>
  <si>
    <t>STHBKK012410000453</t>
  </si>
  <si>
    <t>STHBKK012410000454</t>
  </si>
  <si>
    <t>STHBKK012410000455</t>
  </si>
  <si>
    <t>STHBKK012410000456</t>
  </si>
  <si>
    <t>นางสาว วิสูตร์ ไทยถนอม</t>
  </si>
  <si>
    <t>STHBKK012410000457</t>
  </si>
  <si>
    <t>โสภิต เกลี้ยงประไพ</t>
  </si>
  <si>
    <t>STHBKK012410000458</t>
  </si>
  <si>
    <t>นาย พิเชษฐ์ มีสิริ</t>
  </si>
  <si>
    <t>STHBKK012410000459</t>
  </si>
  <si>
    <t>นาย กิตติกร ศรีม่วง</t>
  </si>
  <si>
    <t>STHBKK012410000460</t>
  </si>
  <si>
    <t>STHBKK012410000461</t>
  </si>
  <si>
    <t>STHBKK012410000463</t>
  </si>
  <si>
    <t>STHBKK012410000464</t>
  </si>
  <si>
    <t>นางสาว อารยา ว่องไวคุณอนันท์</t>
  </si>
  <si>
    <t>STHONLIN2410000206</t>
  </si>
  <si>
    <t>นางสาว ภูริตา ปิยะพันธื</t>
  </si>
  <si>
    <t>STHONLIN2410000207</t>
  </si>
  <si>
    <t>นาย ธเนศ อนันต์โชติวิทย์</t>
  </si>
  <si>
    <t>STHONLIN2410000208</t>
  </si>
  <si>
    <t>นางสาว สริตา  ปิยะพันธ์</t>
  </si>
  <si>
    <t>STHONLIN2410000209</t>
  </si>
  <si>
    <t>นาง จินดาธาดา เอมาสุดาเดชาณัช</t>
  </si>
  <si>
    <t>STHONLIN2410000211</t>
  </si>
  <si>
    <t>นางสาว นภารัตน์  บัววิเชียร</t>
  </si>
  <si>
    <t>STHONLIN2410000212</t>
  </si>
  <si>
    <t>นาย ธนกฤต  เกตุหิรัญ</t>
  </si>
  <si>
    <t>STHONLIN2410000214</t>
  </si>
  <si>
    <t>นางสาว โชติรส พงษ์พิทักษ์โสภณ</t>
  </si>
  <si>
    <t>STHONLIN2410000215</t>
  </si>
  <si>
    <t>นางสาว เสาวภา ศรีโสภณ</t>
  </si>
  <si>
    <t>STHONLIN2410000216</t>
  </si>
  <si>
    <t>นาง เสาวรีย์ ศรีโสภณ ซาตาอิชิ</t>
  </si>
  <si>
    <t>STHONLIN2410000217</t>
  </si>
  <si>
    <t>นางสาว ศรินภัสร์  จันทร์ศรีนวน</t>
  </si>
  <si>
    <t>STHONLIN2410000218</t>
  </si>
  <si>
    <t>นางสาว ศุภธิดา ศรีโสภณ</t>
  </si>
  <si>
    <t>STHONLIN2410000219</t>
  </si>
  <si>
    <t>นาง หณัชกชมน สมไทย</t>
  </si>
  <si>
    <t>STHONLIN2410000220</t>
  </si>
  <si>
    <t>Mr. HOY M.</t>
  </si>
  <si>
    <t>STHONLIN2410000221</t>
  </si>
  <si>
    <t>นางสาว ศุภาวิณี ศรีโสภณ</t>
  </si>
  <si>
    <t>STHONLIN2410000225</t>
  </si>
  <si>
    <t>STHONLIN2410000227</t>
  </si>
  <si>
    <t>นาย ติณณวิชญ์ อนันต์พิชัยเดช</t>
  </si>
  <si>
    <t>STHONLIN2410000230</t>
  </si>
  <si>
    <t>STHONLIN2410000231</t>
  </si>
  <si>
    <t>STHONLIN2410000232</t>
  </si>
  <si>
    <t>นางสาว ยูเฟติส อาแว</t>
  </si>
  <si>
    <t>STHONLIN2410000234</t>
  </si>
  <si>
    <t>STHONLIN2410000235</t>
  </si>
  <si>
    <t>STHONLIN2410000236</t>
  </si>
  <si>
    <t>STHONLIN2410000237</t>
  </si>
  <si>
    <t>นางสาว กนกภรณ์  จำปาเวียง</t>
  </si>
  <si>
    <t>STHONLIN2410000238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</si>
  <si>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</si>
  <si>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15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</si>
  <si>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STHBKK012410000465</t>
  </si>
  <si>
    <t>นาย วสุพล วสุประสาท</t>
  </si>
  <si>
    <t>STHBKK012410000466</t>
  </si>
  <si>
    <t>นางสาว รัตยา พรมแสน</t>
  </si>
  <si>
    <t>STHBKK012410000467</t>
  </si>
  <si>
    <t>STHBKK012410000469</t>
  </si>
  <si>
    <t>นาง อนัญญา นนดารา</t>
  </si>
  <si>
    <t>STHBKK012410000470</t>
  </si>
  <si>
    <t>นาง ยุพิน  จุพิมาย</t>
  </si>
  <si>
    <t>STHBKK012410000471</t>
  </si>
  <si>
    <t>นาย อนุสรณ์ ตั้งสังวรณ์</t>
  </si>
  <si>
    <t>STHBKK012410000472</t>
  </si>
  <si>
    <t>นางสาว นิตยา จงเรียน</t>
  </si>
  <si>
    <t>STHBKK012410000473</t>
  </si>
  <si>
    <t>STHBKK012410000474</t>
  </si>
  <si>
    <t>STHBKK012410000475</t>
  </si>
  <si>
    <t>STHBKK012410000476</t>
  </si>
  <si>
    <t>STHBKK012410000477</t>
  </si>
  <si>
    <t>นาย ณัฐสิทธิ์​ ทองนุ่น</t>
  </si>
  <si>
    <t>STHBKK012410000480</t>
  </si>
  <si>
    <t>STHBKK012410000481</t>
  </si>
  <si>
    <t>นาย ธนูวิทย์ คงคะสินธุ์</t>
  </si>
  <si>
    <t>STHBKK012410000482</t>
  </si>
  <si>
    <t>นาย บริษัท ไร่บุญบรรลุ จำกัด  (สำนักงานใหญ่)</t>
  </si>
  <si>
    <t>STHBKK012410000483</t>
  </si>
  <si>
    <t>STHBKK012410000484</t>
  </si>
  <si>
    <t>STHBKK012410000485</t>
  </si>
  <si>
    <t>STHBKK012410000486</t>
  </si>
  <si>
    <t>STHBKK012410000487</t>
  </si>
  <si>
    <t>นาง ลำเพลิน  พุ่มไสว</t>
  </si>
  <si>
    <t>STHBKK012410000488</t>
  </si>
  <si>
    <t>พิชชาพร พุ่มไสว</t>
  </si>
  <si>
    <t>STHBKK012410000490</t>
  </si>
  <si>
    <t>นาย นฤพนธ์  พลับนิ่ม</t>
  </si>
  <si>
    <t>STHBKK012410000491</t>
  </si>
  <si>
    <t>นาย ดำเนิน สิงห์ลอ</t>
  </si>
  <si>
    <t>STHBKK012410000492</t>
  </si>
  <si>
    <t>STHBKK012410000493</t>
  </si>
  <si>
    <t>นางสาว สุพรรณษา มายืนยงค์</t>
  </si>
  <si>
    <t>STHBKK012410000494</t>
  </si>
  <si>
    <t>STHBKK012410000496</t>
  </si>
  <si>
    <t>STHBKK012410000497</t>
  </si>
  <si>
    <t>นางสาว พรทิพย์ เลอทวีทรัพย์</t>
  </si>
  <si>
    <t>STHBKK012410000498</t>
  </si>
  <si>
    <t>STHBKK012410000500</t>
  </si>
  <si>
    <t>STHBKK012410000504</t>
  </si>
  <si>
    <t>STHONLIN2410000240</t>
  </si>
  <si>
    <t>STHONLIN2410000241</t>
  </si>
  <si>
    <t>STHONLIN2410000242</t>
  </si>
  <si>
    <t>STHONLIN2410000243</t>
  </si>
  <si>
    <t>นาย สุรทัศน์ เกไธสง</t>
  </si>
  <si>
    <t>STHONLIN2410000244</t>
  </si>
  <si>
    <t>นางสาว ณภัสนันท์ สุขจิตร</t>
  </si>
  <si>
    <t>STHONLIN2410000245</t>
  </si>
  <si>
    <t>STHONLIN2410000247</t>
  </si>
  <si>
    <t>STHONLIN2410000248</t>
  </si>
  <si>
    <t>STHONLIN2410000249</t>
  </si>
  <si>
    <t>นาง ศริยา  รักษาราษฎร์</t>
  </si>
  <si>
    <t>ตอยสลิป/เอิงบิล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</si>
  <si>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</si>
  <si>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นิ้ว / เกษ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</si>
  <si>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16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</si>
  <si>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STHBKK012410000505</t>
  </si>
  <si>
    <t>STHBKK012410000506</t>
  </si>
  <si>
    <t>นาง อัญชรีย์ ต่ายทรัพย์</t>
  </si>
  <si>
    <t>STHBKK012410000507</t>
  </si>
  <si>
    <t>STHBKK012410000508</t>
  </si>
  <si>
    <t>นาย พงศฺณุวัฒน์ ผะดาสีณิกุล</t>
  </si>
  <si>
    <t>STHBKK012410000509</t>
  </si>
  <si>
    <t>STHBKK012410000510</t>
  </si>
  <si>
    <t>นางสาว พวงเพ็ญ  สุวรรณโณ</t>
  </si>
  <si>
    <t>STHBKK012410000511</t>
  </si>
  <si>
    <t>STHBKK012410000512</t>
  </si>
  <si>
    <t>STHBKK012410000513</t>
  </si>
  <si>
    <t>STHBKK012410000514</t>
  </si>
  <si>
    <t>นาง อัญชลี​ ท้าวนอก</t>
  </si>
  <si>
    <t>STHBKK012410000515</t>
  </si>
  <si>
    <t>นาง สำเนียง คำบุญมา</t>
  </si>
  <si>
    <t>STHBKK012410000517</t>
  </si>
  <si>
    <t>นาย ปรเมษฐ์ โพธิ์ศรี</t>
  </si>
  <si>
    <t>STHBKK012410000518</t>
  </si>
  <si>
    <t>STHBKK012410000520</t>
  </si>
  <si>
    <t>STHBKK012410000521</t>
  </si>
  <si>
    <t>MRS. THET  THET   MYINT</t>
  </si>
  <si>
    <t>STHBKK012410000523</t>
  </si>
  <si>
    <t>STHONLIN2410000252</t>
  </si>
  <si>
    <t>STHONLIN2410000254</t>
  </si>
  <si>
    <t>STHONLIN2410000255</t>
  </si>
  <si>
    <t>STHONLIN2410000256</t>
  </si>
  <si>
    <t>STHONLIN2410000257</t>
  </si>
  <si>
    <t>นางสาว ธนพรรษ​ ยี่ภู</t>
  </si>
  <si>
    <t>ตอย 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</si>
  <si>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</si>
  <si>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17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</si>
  <si>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STHBKK012410000525</t>
  </si>
  <si>
    <t>นางสาว กำไร รุ่งกิจกุลภัค</t>
  </si>
  <si>
    <t>STHBKK012410000526</t>
  </si>
  <si>
    <t>STHBKK012410000528</t>
  </si>
  <si>
    <t>STHBKK012410000531</t>
  </si>
  <si>
    <t>นาง นารถน</t>
  </si>
  <si>
    <t>STHBKK012410000532</t>
  </si>
  <si>
    <t>STHBKK012410000533</t>
  </si>
  <si>
    <t>STHBKK012410000534</t>
  </si>
  <si>
    <t>STHBKK012410000535</t>
  </si>
  <si>
    <t>STHBKK012410000536</t>
  </si>
  <si>
    <t>นาย ภัทรจาริน  บุตรผักแว่น</t>
  </si>
  <si>
    <t>STHBKK012410000537</t>
  </si>
  <si>
    <t>Mr. MAI DUC MANH</t>
  </si>
  <si>
    <t>STHBKK012410000538</t>
  </si>
  <si>
    <t>STHBKK012410000539</t>
  </si>
  <si>
    <t>STHBKK012410000540</t>
  </si>
  <si>
    <t>STHBKK012410000542</t>
  </si>
  <si>
    <t>STHBKK012410000543</t>
  </si>
  <si>
    <t>นาง รัตนกร ไม้แดง</t>
  </si>
  <si>
    <t>STHBKK012410000544</t>
  </si>
  <si>
    <t>นาย ณัฐพล ไม้แดง</t>
  </si>
  <si>
    <t>STHBKK012410000545</t>
  </si>
  <si>
    <t>นาย จตุรเทพ ไม้แดง</t>
  </si>
  <si>
    <t>STHBKK012410000546</t>
  </si>
  <si>
    <t>คัชรินทร์ ผาอินทร์</t>
  </si>
  <si>
    <t>STHBKK012410000547</t>
  </si>
  <si>
    <t>STHBKK012410000549</t>
  </si>
  <si>
    <t>STHONLIN2410000261</t>
  </si>
  <si>
    <t>STHONLIN2410000264</t>
  </si>
  <si>
    <t>STHONLIN2410000265</t>
  </si>
  <si>
    <t>STHONLIN2410000270</t>
  </si>
  <si>
    <t>นาย อำนวย  สุดกระแสร์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</si>
  <si>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</si>
  <si>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18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</si>
  <si>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STHBKK012410000550</t>
  </si>
  <si>
    <t>STHBKK012410000551</t>
  </si>
  <si>
    <t>STHBKK012410000552</t>
  </si>
  <si>
    <t>STHBKK012410000553</t>
  </si>
  <si>
    <t>STHBKK012410000554</t>
  </si>
  <si>
    <t>STHBKK012410000555</t>
  </si>
  <si>
    <t>นาย สุเมธ จันทร์งาม</t>
  </si>
  <si>
    <t>STHBKK012410000557</t>
  </si>
  <si>
    <t>STHBKK012410000558</t>
  </si>
  <si>
    <t>STHBKK012410000559</t>
  </si>
  <si>
    <t>STHBKK012410000560</t>
  </si>
  <si>
    <t>STHBKK012410000561</t>
  </si>
  <si>
    <t>STHBKK012410000562</t>
  </si>
  <si>
    <t>STHBKK012410000564</t>
  </si>
  <si>
    <t>นาย ภิสิทธิ์ แสนสุภา</t>
  </si>
  <si>
    <t>STHBKK012410000565</t>
  </si>
  <si>
    <t>STHBKK012410000566</t>
  </si>
  <si>
    <t>บริษัท ซีเวียร์ 289 จำกัด ( สำนักงานใหญ่ )</t>
  </si>
  <si>
    <t>STHBKK012410000567</t>
  </si>
  <si>
    <t>STHBKK012410000568</t>
  </si>
  <si>
    <t>STHBKK012410000569</t>
  </si>
  <si>
    <t>นางสาว รุ่งราตรี เขียมสุวรรณ</t>
  </si>
  <si>
    <t>STHBKK012410000570</t>
  </si>
  <si>
    <t>STHBKK012410000572</t>
  </si>
  <si>
    <t>นาย เขื่อน  ใจกาวิล</t>
  </si>
  <si>
    <t>STHBKK012410000573</t>
  </si>
  <si>
    <t>STHONLIN2410000271</t>
  </si>
  <si>
    <t>STHONLIN2410000273</t>
  </si>
  <si>
    <t>99 ทุ่งศรีอุดม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</si>
  <si>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</si>
  <si>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19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</si>
  <si>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STHBKK012410000574</t>
  </si>
  <si>
    <t>นาย สมเกียรติ เฮืองฮุง</t>
  </si>
  <si>
    <t>STHBKK012410000575</t>
  </si>
  <si>
    <t>STHBKK012410000576</t>
  </si>
  <si>
    <t>นาย วุฒิชัย คุ้มวงศ์</t>
  </si>
  <si>
    <t>STHBKK012410000579</t>
  </si>
  <si>
    <t>นางสาว อรัญญา คำดี</t>
  </si>
  <si>
    <t>STHBKK012410000580</t>
  </si>
  <si>
    <t>STHBKK012410000581</t>
  </si>
  <si>
    <t>STHBKK012410000582</t>
  </si>
  <si>
    <t>STHBKK012410000583</t>
  </si>
  <si>
    <t>STHBKK012410000584</t>
  </si>
  <si>
    <t>นาย ประมง จันทะสิงห์</t>
  </si>
  <si>
    <t>STHBKK012410000585</t>
  </si>
  <si>
    <t>STHBKK012410000586</t>
  </si>
  <si>
    <t>STHBKK012410000587</t>
  </si>
  <si>
    <t>นางสาว รวีวรรณ จินต์สวัสดิ์</t>
  </si>
  <si>
    <t>STHBKK012410000588</t>
  </si>
  <si>
    <t>STHBKK012410000589</t>
  </si>
  <si>
    <t>STHBKK012410000590</t>
  </si>
  <si>
    <t>STHBKK012410000591</t>
  </si>
  <si>
    <t>STHBKK012410000592</t>
  </si>
  <si>
    <t>STHBKK012410000593</t>
  </si>
  <si>
    <t>STHBKK012410000594</t>
  </si>
  <si>
    <t>นาย ธิติวัฒน์  รัตนภูมิ</t>
  </si>
  <si>
    <t>STHBKK012410000595</t>
  </si>
  <si>
    <t>STHBKK012410000596</t>
  </si>
  <si>
    <t>STHBKK012410000597</t>
  </si>
  <si>
    <t>STHBKK012410000598</t>
  </si>
  <si>
    <t>บริษัท หลานหยิน จำกัด ( สำนักงานใหญ่ )</t>
  </si>
  <si>
    <t>STHBKK012410000599</t>
  </si>
  <si>
    <t>STHBKK012410000600</t>
  </si>
  <si>
    <t>STHBKK012410000601</t>
  </si>
  <si>
    <t>STHBKK012410000602</t>
  </si>
  <si>
    <t>นาย ญาณวุฒิ  ตลุยปรีชาชาญ</t>
  </si>
  <si>
    <t>STHBKK012410000603</t>
  </si>
  <si>
    <t>นางสาว สมพร สุพงศ์พาณิช</t>
  </si>
  <si>
    <t>STHONLIN2410000275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</si>
  <si>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</si>
  <si>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20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</si>
  <si>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STHBKK012410000604</t>
  </si>
  <si>
    <t>STHBKK012410000605</t>
  </si>
  <si>
    <t>นางสาว เสาวนีย์ ราชเขียว</t>
  </si>
  <si>
    <t>STHBKK012410000606</t>
  </si>
  <si>
    <t>นาง ธนภรณ์ ใจปาน</t>
  </si>
  <si>
    <t>STHBKK012410000607</t>
  </si>
  <si>
    <t>STHBKK012410000608</t>
  </si>
  <si>
    <t>STHBKK012410000609</t>
  </si>
  <si>
    <t>นาย ศิริพร  แปลงดี</t>
  </si>
  <si>
    <t>STHBKK012410000610</t>
  </si>
  <si>
    <t>STHBKK012410000612</t>
  </si>
  <si>
    <t>นางสาว สมคิด ศรีอภัย</t>
  </si>
  <si>
    <t>STHONLIN2410000281</t>
  </si>
  <si>
    <t>STHONLIN2410000282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</si>
  <si>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</si>
  <si>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21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</si>
  <si>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STHBKK012410000613</t>
  </si>
  <si>
    <t>นาง จำเรียง คำพวง</t>
  </si>
  <si>
    <t>STHBKK012410000614</t>
  </si>
  <si>
    <t>นาย อดุลย์ คุณสุข</t>
  </si>
  <si>
    <t>STHBKK012410000615</t>
  </si>
  <si>
    <t>STHBKK012410000616</t>
  </si>
  <si>
    <t>STHBKK012410000617</t>
  </si>
  <si>
    <t>STHBKK012410000618</t>
  </si>
  <si>
    <t>STHBKK012410000620</t>
  </si>
  <si>
    <t>นาง ธัญญธร  สร้อยสังข์สกุล</t>
  </si>
  <si>
    <t>STHONLIN2410000284</t>
  </si>
  <si>
    <t>STHONLIN2410000285</t>
  </si>
  <si>
    <t>STHONLIN2410000286</t>
  </si>
  <si>
    <t>STHONLIN2410000287</t>
  </si>
  <si>
    <t>นาย สมศักดิ์  แสงรัตนเจริญ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</si>
  <si>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</si>
  <si>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22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</si>
  <si>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STHBKK012410000621</t>
  </si>
  <si>
    <t>นาง อรพิน นางแสน</t>
  </si>
  <si>
    <t>STHBKK012410000622</t>
  </si>
  <si>
    <t>นางสาว ธัญวลัย ชัยวัชรเศรษฐี</t>
  </si>
  <si>
    <t>STHBKK012410000623</t>
  </si>
  <si>
    <t>นาย สิริศักดิ์ นมพุก</t>
  </si>
  <si>
    <t>STHBKK012410000624</t>
  </si>
  <si>
    <t>นางสาว ศันสนีย์ นินสนธิ์</t>
  </si>
  <si>
    <t>STHBKK012410000625</t>
  </si>
  <si>
    <t>STHBKK012410000626</t>
  </si>
  <si>
    <t>STHBKK012410000628</t>
  </si>
  <si>
    <t>STHBKK012410000629</t>
  </si>
  <si>
    <t>นางสาว สาหร่าย พ่วงจีน</t>
  </si>
  <si>
    <t>STHBKK012410000630</t>
  </si>
  <si>
    <t>นาย ธีรพงค์ ยิ้มปาน</t>
  </si>
  <si>
    <t>STHBKK012410000631</t>
  </si>
  <si>
    <t>นาง ประภาพร  ถือดียิ่ง</t>
  </si>
  <si>
    <t>STHBKK012410000632</t>
  </si>
  <si>
    <t>STHBKK012410000633</t>
  </si>
  <si>
    <t>Ms. MOEUN SINUON</t>
  </si>
  <si>
    <t>STHBKK012410000634</t>
  </si>
  <si>
    <t>นาง ดุษณี  เจมส์</t>
  </si>
  <si>
    <t>STHBKK012410000635</t>
  </si>
  <si>
    <t>นาย ชุมพล  คุ้มพันธ์แย้ม</t>
  </si>
  <si>
    <t>STHBKK012410000636</t>
  </si>
  <si>
    <t>STHBKK012410000637</t>
  </si>
  <si>
    <t>STHBKK012410000638</t>
  </si>
  <si>
    <t>นาย อรรถฤทธิ์ เพ็ชรนิล</t>
  </si>
  <si>
    <t>STHBKK012410000639</t>
  </si>
  <si>
    <t>อรุณรุ่ง บุญบุษกร</t>
  </si>
  <si>
    <t>STHBKK012410000640</t>
  </si>
  <si>
    <t>นาง ภัคภร ทองประสม</t>
  </si>
  <si>
    <t>STHBKK012410000641</t>
  </si>
  <si>
    <t>สุรชาติ นพนิธิพัฒน์</t>
  </si>
  <si>
    <t>STHBKK012410000642</t>
  </si>
  <si>
    <t>STHBKK012410000643</t>
  </si>
  <si>
    <t>นาย อนุชา ชัยคำปัน</t>
  </si>
  <si>
    <t>STHBKK012410000644</t>
  </si>
  <si>
    <t>STHONLIN2410000288</t>
  </si>
  <si>
    <t>STHONLIN2410000301</t>
  </si>
  <si>
    <t>นางสาว นิภาภรณ์  ปะตังเวสา</t>
  </si>
  <si>
    <t>STHONLIN2410000310</t>
  </si>
  <si>
    <t>นางสาว ทรรศนียวรรณ บุญชัย</t>
  </si>
  <si>
    <t>STHONLIN2410000312</t>
  </si>
  <si>
    <t>นางสาว กาญตนา ตรีศักดิ์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</si>
  <si>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</si>
  <si>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24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</si>
  <si>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STHBKK012410000645</t>
  </si>
  <si>
    <t>STHBKK012410000646</t>
  </si>
  <si>
    <t>STHBKK012410000647</t>
  </si>
  <si>
    <t>STHBKK012410000648</t>
  </si>
  <si>
    <t>STHBKK012410000649</t>
  </si>
  <si>
    <t>นาง นิตยา ศรีวรมย์</t>
  </si>
  <si>
    <t>STHBKK012410000650</t>
  </si>
  <si>
    <t>นางสาว สุธาสินี ชุณฬหวานิช</t>
  </si>
  <si>
    <t>STHBKK012410000651</t>
  </si>
  <si>
    <t>นาย วิสุทธิ์ จันทร์ประเสริฐ</t>
  </si>
  <si>
    <t>STHBKK012410000652</t>
  </si>
  <si>
    <t>นาย มนตรี จันทรวิวัฒน์</t>
  </si>
  <si>
    <t>STHBKK012410000654</t>
  </si>
  <si>
    <t>นางสาว อารมณ์  ใจซื่อ</t>
  </si>
  <si>
    <t>STHBKK012410000655</t>
  </si>
  <si>
    <t>STHBKK012410000656</t>
  </si>
  <si>
    <t>STHBKK012410000657</t>
  </si>
  <si>
    <t>STHBKK012410000659</t>
  </si>
  <si>
    <t>นาย ธีรศักดิ์ ถาวรพัฒนพงศ์</t>
  </si>
  <si>
    <t>STHBKK012410000661</t>
  </si>
  <si>
    <t>STHBKK012410000662</t>
  </si>
  <si>
    <t>นางสาว ดาริกา น้อยเซีย</t>
  </si>
  <si>
    <t>STHBKK012410000663</t>
  </si>
  <si>
    <t>STHBKK012410000664</t>
  </si>
  <si>
    <t>STHBKK012410000666</t>
  </si>
  <si>
    <t>นางสาว ขวัญชนก  มั่นเขตรวิทย์</t>
  </si>
  <si>
    <t>STHBKK012410000667</t>
  </si>
  <si>
    <t>นางสาว พุทธชาติ สร้อยระย้า</t>
  </si>
  <si>
    <t>STHBKK012410000668</t>
  </si>
  <si>
    <t>นาย บุญยฤทธิ์ ทุมดี</t>
  </si>
  <si>
    <t>STHBKK012410000669</t>
  </si>
  <si>
    <t>นางสาว นิภาพร ว่องไว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</si>
  <si>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</si>
  <si>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STHBKK012410000670</t>
  </si>
  <si>
    <t>STHBKK012410000671</t>
  </si>
  <si>
    <t>STHBKK012410000673</t>
  </si>
  <si>
    <t>STHBKK012410000674</t>
  </si>
  <si>
    <t>นางสาว ผกามาศ อติพญากุล</t>
  </si>
  <si>
    <t>STHBKK012410000675</t>
  </si>
  <si>
    <t>STHBKK012410000677</t>
  </si>
  <si>
    <t>STHONLIN2410000318</t>
  </si>
  <si>
    <t>บริษัท ฟองใหญ่ จำกัด (สำนักงานใหญ่)</t>
  </si>
  <si>
    <t>STHONLIN2410000319</t>
  </si>
  <si>
    <t>STHONLIN2410000321</t>
  </si>
  <si>
    <t>STHONLIN2410000323</t>
  </si>
  <si>
    <t>นาย ปาณชัย คงกอ</t>
  </si>
  <si>
    <t>STHONLIN2410000324</t>
  </si>
  <si>
    <t>STHONLIN2410000325</t>
  </si>
  <si>
    <t>STHONLIN2410000326</t>
  </si>
  <si>
    <t>นาง ทัศนา เลื่อมสำราญ</t>
  </si>
  <si>
    <t>STHONLIN2410000327</t>
  </si>
  <si>
    <t>นางสาว ดัสนีย์ เจะเลาะ</t>
  </si>
  <si>
    <t>เอิง-เกษ-นิ้ว</t>
  </si>
  <si>
    <t>เกษ-นิ้ว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</si>
  <si>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</si>
  <si>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25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</si>
  <si>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STHBKK012410000679</t>
  </si>
  <si>
    <t>นาง จารุวรรณ พัฒนมหกุล</t>
  </si>
  <si>
    <t>STHBKK012410000680</t>
  </si>
  <si>
    <t>นางสาว จิราภรณ์ ฤทธิ์บำรุง</t>
  </si>
  <si>
    <t>STHBKK012410000681</t>
  </si>
  <si>
    <t>นางสาว กรรณิการ์ คล้ายแก้ว</t>
  </si>
  <si>
    <t>STHBKK012410000683</t>
  </si>
  <si>
    <t>นางสาว ปุญยานุช นันท์จันทึก</t>
  </si>
  <si>
    <t>STHBKK012410000684</t>
  </si>
  <si>
    <t>นาง รังสิยา กลึงกลางดอน</t>
  </si>
  <si>
    <t>STHBKK012410000685</t>
  </si>
  <si>
    <t>นาย กิตติพงษ์ หงษา</t>
  </si>
  <si>
    <t>STHBKK012410000686</t>
  </si>
  <si>
    <t>STHBKK012410000687</t>
  </si>
  <si>
    <t>นาย สกลสักก์ สาครเรืองสิรี</t>
  </si>
  <si>
    <t>STHBKK012410000688</t>
  </si>
  <si>
    <t>นางสาว ไปรยา ไชยรา</t>
  </si>
  <si>
    <t>STHBKK012410000689</t>
  </si>
  <si>
    <t>นาง สิริรัตน์ อินทร์ศักดิ์</t>
  </si>
  <si>
    <t>STHBKK012410000690</t>
  </si>
  <si>
    <t>STHBKK012410000691</t>
  </si>
  <si>
    <t>บริษัท ดาโร่ บิ้วตี้ จำกัด ( สำนักงานใหญ่ )</t>
  </si>
  <si>
    <t>STHBKK012410000692</t>
  </si>
  <si>
    <t>นาย สามารถ ถมเถื่อน</t>
  </si>
  <si>
    <t>STHBKK012410000693</t>
  </si>
  <si>
    <t>STHBKK012410000694</t>
  </si>
  <si>
    <t>STHBKK012410000695</t>
  </si>
  <si>
    <t>STHBKK012410000696</t>
  </si>
  <si>
    <t>นาย อรรณพ สุ่มขำ</t>
  </si>
  <si>
    <t>STHBKK012410000697</t>
  </si>
  <si>
    <t>STHBKK012410000699</t>
  </si>
  <si>
    <t>นาย ยุทธศาสตร์  แก้วคำแสน (พ.ต.)</t>
  </si>
  <si>
    <t>STHBKK012410000700</t>
  </si>
  <si>
    <t>นาง สุภาพร ทองคำพิน</t>
  </si>
  <si>
    <t>STHONLIN2410000328</t>
  </si>
  <si>
    <t>STHONLIN2410000329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</si>
  <si>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</si>
  <si>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26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</si>
  <si>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STHBKK012410000701</t>
  </si>
  <si>
    <t>นางสาว สุรีพร มีเจตนา</t>
  </si>
  <si>
    <t>STHBKK012410000702</t>
  </si>
  <si>
    <t>จันทร์เพ็ญ วิลัยกุล</t>
  </si>
  <si>
    <t>STHBKK012410000703</t>
  </si>
  <si>
    <t>STHBKK012410000704</t>
  </si>
  <si>
    <t>STHBKK012410000705</t>
  </si>
  <si>
    <t>นางสาว ลัดดา กาญจนา</t>
  </si>
  <si>
    <t>STHBKK012410000706</t>
  </si>
  <si>
    <t>STHBKK012410000707</t>
  </si>
  <si>
    <t>STHBKK012410000708</t>
  </si>
  <si>
    <t>STHBKK012410000709</t>
  </si>
  <si>
    <t>STHBKK012410000710</t>
  </si>
  <si>
    <t>STHBKK012410000712</t>
  </si>
  <si>
    <t>นาง นภาพร รุ่งเจริญ</t>
  </si>
  <si>
    <t>STHBKK012410000713</t>
  </si>
  <si>
    <t>STHBKK012410000714</t>
  </si>
  <si>
    <t>นาย จำเนียร เขาอั้น</t>
  </si>
  <si>
    <t>STHBKK012410000715</t>
  </si>
  <si>
    <t>นาย เพ็ง ทองหนัก</t>
  </si>
  <si>
    <t>STHBKK012410000716</t>
  </si>
  <si>
    <t>Mr. NGUYEN VAN LUNG</t>
  </si>
  <si>
    <t>STHBKK012410000717</t>
  </si>
  <si>
    <t>นางสาว สุปรานี เขียวแดง</t>
  </si>
  <si>
    <t>STHBKK012410000718</t>
  </si>
  <si>
    <t>นาย นิรุตติ  สมนิ่ม</t>
  </si>
  <si>
    <t>STHBKK012410000719</t>
  </si>
  <si>
    <t>STHBKK012410000720</t>
  </si>
  <si>
    <t>STHBKK012410000721</t>
  </si>
  <si>
    <t>นาง อัจจิมา บุญเกิด</t>
  </si>
  <si>
    <t>STHONLIN2410000350</t>
  </si>
  <si>
    <t>STHONLIN2410000352</t>
  </si>
  <si>
    <t>STHONLIN2410000353</t>
  </si>
  <si>
    <t>STHONLIN2410000354</t>
  </si>
  <si>
    <t>นาง พัสนี หงษ์ทอง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</si>
  <si>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</si>
  <si>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27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</si>
  <si>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STHBKK012410000722</t>
  </si>
  <si>
    <t>STHBKK012410000723</t>
  </si>
  <si>
    <t>STHBKK012410000739</t>
  </si>
  <si>
    <t>นางสาว นิกุล เสือนุ่ม</t>
  </si>
  <si>
    <t>STHBKK012410000740</t>
  </si>
  <si>
    <t>STHBKK012410000741</t>
  </si>
  <si>
    <t>STHBKK012410000742</t>
  </si>
  <si>
    <t>STHBKK012410000743</t>
  </si>
  <si>
    <t>STHBKK012410000745</t>
  </si>
  <si>
    <t>นาย ยงยุทธ  อรธรรมรัตน์</t>
  </si>
  <si>
    <t>STHONLIN2410000356</t>
  </si>
  <si>
    <t>นาย ดิเรก  กรีฑา</t>
  </si>
  <si>
    <t>STHONLIN2410000357</t>
  </si>
  <si>
    <t>STHONLIN2410000358</t>
  </si>
  <si>
    <t>นางสาว ชุลีรัชต์ หมื่นจบ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</si>
  <si>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</si>
  <si>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28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</si>
  <si>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STHBKK012410000748</t>
  </si>
  <si>
    <t>นาย วีระ ชูศิลป์</t>
  </si>
  <si>
    <t>STHBKK012410000749</t>
  </si>
  <si>
    <t>นาย อนุศิษฎ์  อนันตะ</t>
  </si>
  <si>
    <t>STHBKK012410000750</t>
  </si>
  <si>
    <t xml:space="preserve">นาย ทนงศักดิ์ รัตนบุรี		</t>
  </si>
  <si>
    <t>STHBKK012410000751</t>
  </si>
  <si>
    <t>STHBKK012410000752</t>
  </si>
  <si>
    <t>นางสาว เจนจิรา เหลาทองคำ</t>
  </si>
  <si>
    <t>STHBKK012410000753</t>
  </si>
  <si>
    <t>STHBKK012410000755</t>
  </si>
  <si>
    <t>STHBKK012410000757</t>
  </si>
  <si>
    <t>นางสาว ธนิดา  แสงจันทร์</t>
  </si>
  <si>
    <t>STHBKK012410000758</t>
  </si>
  <si>
    <t>นาย นพดล พวงศรี</t>
  </si>
  <si>
    <t>STHBKK012410000760</t>
  </si>
  <si>
    <t>นาย อภิวัฒน์ เทพวิชิน</t>
  </si>
  <si>
    <t>STHBKK012410000761</t>
  </si>
  <si>
    <t>STHBKK012410000762</t>
  </si>
  <si>
    <t>นางสาว ยุพิน พิมพ์สระเกตุ</t>
  </si>
  <si>
    <t>STHBKK012410000763</t>
  </si>
  <si>
    <t>นาง ธิติมา  มูลสาร</t>
  </si>
  <si>
    <t>STHBKK012410000764</t>
  </si>
  <si>
    <t>STHBKK012410000766</t>
  </si>
  <si>
    <t>นาง กานต์ดาวศี แสงกุล</t>
  </si>
  <si>
    <t>STHBKK012410000767</t>
  </si>
  <si>
    <t>นาย สมศักดิ์ พิมพ์หนู</t>
  </si>
  <si>
    <t>STHBKK012410000768</t>
  </si>
  <si>
    <t>นาย นิตินาฎ หมิ่นขัด</t>
  </si>
  <si>
    <t>STHBKK012410000769</t>
  </si>
  <si>
    <t>นาย ชินโชติ จันทร์เกตุ</t>
  </si>
  <si>
    <t>STHBKK012410000770</t>
  </si>
  <si>
    <t>STHBKK012410000771</t>
  </si>
  <si>
    <t>นางสาว ประกายดาว มูสิกัณฑ์</t>
  </si>
  <si>
    <t>STHONLIN2410000359</t>
  </si>
  <si>
    <t>STHONLIN2410000360</t>
  </si>
  <si>
    <t>นางสาว ริญญ์รภัส ศรีศุภณัฐธนากุล</t>
  </si>
  <si>
    <t>STHONLIN2410000397</t>
  </si>
  <si>
    <t>STHONLIN2410000398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</si>
  <si>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</si>
  <si>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29 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</si>
  <si>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STHBKK012410000772</t>
  </si>
  <si>
    <t>นาย อพิรุณ  คชสิทธิ์</t>
  </si>
  <si>
    <t>STHBKK012410000773</t>
  </si>
  <si>
    <t>STHBKK012410000781</t>
  </si>
  <si>
    <t>STHBKK012410000782</t>
  </si>
  <si>
    <t>STHBKK012410000783</t>
  </si>
  <si>
    <t>STHBKK012410000784</t>
  </si>
  <si>
    <t>STHBKK012410000785</t>
  </si>
  <si>
    <t>STHBKK012410000786</t>
  </si>
  <si>
    <t>พัชนีย์ ไชยธรรมมา</t>
  </si>
  <si>
    <t>STHBKK012410000788</t>
  </si>
  <si>
    <t>STHBKK012410000789</t>
  </si>
  <si>
    <t>STHBKK012410000790</t>
  </si>
  <si>
    <t>STHBKK012410000791</t>
  </si>
  <si>
    <t>STHBKK012410000792</t>
  </si>
  <si>
    <t>STHBKK012410000793</t>
  </si>
  <si>
    <t>STHONLIN2410000401</t>
  </si>
  <si>
    <t>STHONLIN2410000417</t>
  </si>
  <si>
    <t>STHONLIN2410000418</t>
  </si>
  <si>
    <t>STHONLIN2410000419</t>
  </si>
  <si>
    <t>STHONLIN2410000420</t>
  </si>
  <si>
    <t>นางสาว พรพรรณ แก้วเพชร</t>
  </si>
  <si>
    <t>STHONLIN2410000422</t>
  </si>
  <si>
    <t>ถาวรัตน์ ก๊กศรี</t>
  </si>
  <si>
    <t>STHONLIN2410000423</t>
  </si>
  <si>
    <t>นาย สาธิน มีสุข</t>
  </si>
  <si>
    <t>STHONLIN2410000424</t>
  </si>
  <si>
    <t>บุญเหลือ บุญราช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</si>
  <si>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</si>
  <si>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เกษ/นิ้ว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</si>
  <si>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</si>
  <si>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STHBKK012410000794</t>
  </si>
  <si>
    <t>STHBKK012410000795</t>
  </si>
  <si>
    <t>STHBKK012410000796</t>
  </si>
  <si>
    <t>นาง ภีรดา  เดชะนามเมือง</t>
  </si>
  <si>
    <t>STHBKK012410000797</t>
  </si>
  <si>
    <t>STHBKK012410000798</t>
  </si>
  <si>
    <t>น้ำฝน ไกรกมล</t>
  </si>
  <si>
    <t>STHBKK012410000799</t>
  </si>
  <si>
    <t>STHBKK012410000800</t>
  </si>
  <si>
    <t>วาสนา ดิษปัญญา</t>
  </si>
  <si>
    <t>STHBKK012410000801</t>
  </si>
  <si>
    <t>STHBKK012410000802</t>
  </si>
  <si>
    <t>STHBKK012410000803</t>
  </si>
  <si>
    <t>นางสาว เพลิน รายสันเทียะ</t>
  </si>
  <si>
    <t>STHBKK012410000804</t>
  </si>
  <si>
    <t>นาง ภัชษนัญฑ์ ชิเดนทรีย์</t>
  </si>
  <si>
    <t>STHBKK012410000805</t>
  </si>
  <si>
    <t>นาย อนันต์กฤช เต็มศิริพันธุ์</t>
  </si>
  <si>
    <t>STHBKK012410000806</t>
  </si>
  <si>
    <t>นาย เพชร ภูมี</t>
  </si>
  <si>
    <t>STHBKK012410000807</t>
  </si>
  <si>
    <t>STHBKK012410000808</t>
  </si>
  <si>
    <t>STHBKK012410000809</t>
  </si>
  <si>
    <t>STHBKK012410000811</t>
  </si>
  <si>
    <t>STHBKK012410000812</t>
  </si>
  <si>
    <t>STHBKK012410000813</t>
  </si>
  <si>
    <t>STHBKK012410000817</t>
  </si>
  <si>
    <t>STHBKK012410000819</t>
  </si>
  <si>
    <t>STHBKK012410000820</t>
  </si>
  <si>
    <t>STHBKK012410000821</t>
  </si>
  <si>
    <t>STHBKK012410000822</t>
  </si>
  <si>
    <t>นางสาว ภกุชา  อติพรวณิชย์</t>
  </si>
  <si>
    <t>STHBKK012410000823</t>
  </si>
  <si>
    <t>นาย พงศ์พีระ ศรีบุญเรือง</t>
  </si>
  <si>
    <t>STHBKK012410000824</t>
  </si>
  <si>
    <t>STHBKK012410000825</t>
  </si>
  <si>
    <t>STHONLIN2410000428</t>
  </si>
  <si>
    <t>STHONLIN2410000432</t>
  </si>
  <si>
    <t>STHONLIN2410000433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</si>
  <si>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</si>
  <si>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31  ตุลาคม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</si>
  <si>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STHBKK012410000826</t>
  </si>
  <si>
    <t>นางสาว ปรียานุช  กรัดเฟื่อง</t>
  </si>
  <si>
    <t>STHBKK012410000827</t>
  </si>
  <si>
    <t>STHBKK012410000829</t>
  </si>
  <si>
    <t>STHBKK012410000830</t>
  </si>
  <si>
    <t>STHBKK012410000831</t>
  </si>
  <si>
    <t>นางสาว พรรณณี จัดคร่อง</t>
  </si>
  <si>
    <t>STHBKK012410000832</t>
  </si>
  <si>
    <t>STHBKK012410000833</t>
  </si>
  <si>
    <t>STHBKK012410000834</t>
  </si>
  <si>
    <t>STHBKK012410000835</t>
  </si>
  <si>
    <t>STHBKK012410000836</t>
  </si>
  <si>
    <t>STHBKK012410000837</t>
  </si>
  <si>
    <t>นางสาว มุกดา พวงสง่า</t>
  </si>
  <si>
    <t>STHBKK012410000838</t>
  </si>
  <si>
    <t>STHBKK012410000839</t>
  </si>
  <si>
    <t>นาง สายใจ กัณหสิงห์</t>
  </si>
  <si>
    <t>STHBKK012410000840</t>
  </si>
  <si>
    <t>นางสาว ทิพวรรณ์ กรีฑาเวช</t>
  </si>
  <si>
    <t>STHBKK012410000841</t>
  </si>
  <si>
    <t>STHBKK012410000842</t>
  </si>
  <si>
    <t>STHBKK012410000843</t>
  </si>
  <si>
    <t>STHBKK012410000845</t>
  </si>
  <si>
    <t>นาง พัชรี   ธรรมรักษ์กุล</t>
  </si>
  <si>
    <t>STHBKK012410000847</t>
  </si>
  <si>
    <t>นาย ธงชัย กาญจนารักษ์</t>
  </si>
  <si>
    <t>STHBKK012410000848</t>
  </si>
  <si>
    <t>STHBKK012410000850</t>
  </si>
  <si>
    <t>STHONLIN2410000436</t>
  </si>
  <si>
    <t>นาย อภิชาติ แสนเขื่อน</t>
  </si>
  <si>
    <t>STHONLIN2410000437</t>
  </si>
  <si>
    <t>STHONLIN2410000438</t>
  </si>
  <si>
    <t>STHONLIN2410000439</t>
  </si>
  <si>
    <t>STHONLIN2410000440</t>
  </si>
  <si>
    <t>นางสาว สุพัชชา  กันหาเวียง</t>
  </si>
  <si>
    <t>STHONLIN2410000444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</si>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</sst>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1">
    <font>
      <sz val="10.0"/>
      <color rgb="FF000000"/>
      <name val="Arial"/>
      <scheme val="minor"/>
    </font>
    <font>
      <b/>
      <sz val="30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1.0"/>
      <color theme="0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b/>
      <sz val="16.0"/>
      <color rgb="FF0000FF"/>
      <name val="Arial"/>
    </font>
    <font>
      <b/>
      <sz val="14.0"/>
      <color rgb="FF0000FF"/>
      <name val="Arial"/>
    </font>
    <font>
      <b/>
      <sz val="30.0"/>
      <color rgb="FF000000"/>
      <name val="Arial"/>
    </font>
    <font>
      <sz val="18.0"/>
      <color rgb="FF000000"/>
      <name val="Times New Roman"/>
    </font>
    <font>
      <sz val="17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4" fontId="6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4" numFmtId="38" xfId="0" applyAlignment="1" applyBorder="1" applyFont="1" applyNumberFormat="1">
      <alignment horizontal="center" vertical="bottom"/>
    </xf>
    <xf borderId="7" fillId="4" fontId="5" numFmtId="38" xfId="0" applyAlignment="1" applyBorder="1" applyFont="1" applyNumberFormat="1">
      <alignment horizontal="center" vertical="bottom"/>
    </xf>
    <xf borderId="9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9" fillId="5" fontId="8" numFmtId="38" xfId="0" applyAlignment="1" applyBorder="1" applyFill="1" applyFont="1" applyNumberFormat="1">
      <alignment horizontal="center" vertical="center"/>
    </xf>
    <xf borderId="7" fillId="4" fontId="4" numFmtId="166" xfId="0" applyAlignment="1" applyBorder="1" applyFont="1" applyNumberFormat="1">
      <alignment horizontal="center" vertical="bottom"/>
    </xf>
    <xf borderId="7" fillId="4" fontId="4" numFmtId="4" xfId="0" applyAlignment="1" applyBorder="1" applyFont="1" applyNumberFormat="1">
      <alignment horizontal="left" vertical="bottom"/>
    </xf>
    <xf borderId="7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vertical="bottom"/>
    </xf>
    <xf borderId="7" fillId="4" fontId="4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7" fillId="4" fontId="9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10" numFmtId="166" xfId="0" applyAlignment="1" applyBorder="1" applyFont="1" applyNumberFormat="1">
      <alignment horizontal="center" vertical="bottom"/>
    </xf>
    <xf borderId="7" fillId="4" fontId="10" numFmtId="4" xfId="0" applyAlignment="1" applyBorder="1" applyFont="1" applyNumberFormat="1">
      <alignment horizontal="left" vertical="bottom"/>
    </xf>
    <xf borderId="7" fillId="4" fontId="10" numFmtId="0" xfId="0" applyAlignment="1" applyBorder="1" applyFont="1">
      <alignment horizontal="center" vertical="bottom"/>
    </xf>
    <xf borderId="7" fillId="4" fontId="10" numFmtId="0" xfId="0" applyAlignment="1" applyBorder="1" applyFont="1">
      <alignment vertical="bottom"/>
    </xf>
    <xf borderId="7" fillId="4" fontId="11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horizontal="center" vertical="bottom"/>
    </xf>
    <xf borderId="0" fillId="4" fontId="12" numFmtId="0" xfId="0" applyAlignment="1" applyFont="1">
      <alignment vertical="bottom"/>
    </xf>
    <xf borderId="7" fillId="6" fontId="4" numFmtId="167" xfId="0" applyAlignment="1" applyBorder="1" applyFill="1" applyFont="1" applyNumberFormat="1">
      <alignment horizontal="center"/>
    </xf>
    <xf borderId="7" fillId="6" fontId="5" numFmtId="167" xfId="0" applyAlignment="1" applyBorder="1" applyFont="1" applyNumberFormat="1">
      <alignment horizontal="center"/>
    </xf>
    <xf borderId="7" fillId="6" fontId="3" numFmtId="0" xfId="0" applyAlignment="1" applyBorder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left" vertical="bottom"/>
    </xf>
    <xf borderId="0" fillId="7" fontId="13" numFmtId="167" xfId="0" applyAlignment="1" applyFont="1" applyNumberFormat="1">
      <alignment horizontal="center" vertical="center"/>
    </xf>
    <xf borderId="0" fillId="7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8" fontId="4" numFmtId="0" xfId="0" applyAlignment="1" applyFill="1" applyFont="1">
      <alignment horizontal="right" vertical="bottom"/>
    </xf>
    <xf borderId="0" fillId="8" fontId="15" numFmtId="0" xfId="0" applyAlignment="1" applyFont="1">
      <alignment horizontal="center" vertical="bottom"/>
    </xf>
    <xf borderId="0" fillId="9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9" fontId="15" numFmtId="0" xfId="0" applyAlignment="1" applyFont="1">
      <alignment horizontal="center" vertical="bottom"/>
    </xf>
    <xf borderId="1" fillId="2" fontId="1" numFmtId="164" xfId="0" applyAlignment="1" applyBorder="1" applyFont="1" applyNumberFormat="1">
      <alignment horizontal="center" vertical="center"/>
    </xf>
    <xf borderId="0" fillId="8" fontId="16" numFmtId="0" xfId="0" applyAlignment="1" applyFont="1">
      <alignment horizontal="center" vertical="bottom"/>
    </xf>
    <xf borderId="0" fillId="8" fontId="17" numFmtId="0" xfId="0" applyAlignment="1" applyFont="1">
      <alignment horizontal="center" vertical="bottom"/>
    </xf>
    <xf borderId="1" fillId="2" fontId="18" numFmtId="164" xfId="0" applyAlignment="1" applyBorder="1" applyFont="1" applyNumberFormat="1">
      <alignment horizontal="center" shrinkToFit="0" wrapText="0"/>
    </xf>
    <xf borderId="9" fillId="0" fontId="19" numFmtId="166" xfId="0" applyAlignment="1" applyBorder="1" applyFont="1" applyNumberFormat="1">
      <alignment horizontal="left" shrinkToFit="0" vertical="bottom" wrapText="0"/>
    </xf>
    <xf borderId="3" fillId="0" fontId="19" numFmtId="4" xfId="0" applyAlignment="1" applyBorder="1" applyFont="1" applyNumberFormat="1">
      <alignment horizontal="left" shrinkToFit="0" vertical="bottom" wrapText="0"/>
    </xf>
    <xf borderId="3" fillId="0" fontId="19" numFmtId="0" xfId="0" applyAlignment="1" applyBorder="1" applyFont="1">
      <alignment horizontal="left" shrinkToFit="0" vertical="bottom" wrapText="0"/>
    </xf>
    <xf borderId="7" fillId="4" fontId="9" numFmtId="38" xfId="0" applyAlignment="1" applyBorder="1" applyFont="1" applyNumberFormat="1">
      <alignment shrinkToFit="0" vertical="bottom" wrapText="0"/>
    </xf>
    <xf borderId="7" fillId="4" fontId="11" numFmtId="38" xfId="0" applyAlignment="1" applyBorder="1" applyFont="1" applyNumberFormat="1">
      <alignment shrinkToFit="0" vertical="bottom" wrapText="0"/>
    </xf>
    <xf borderId="7" fillId="4" fontId="9" numFmtId="38" xfId="0" applyAlignment="1" applyBorder="1" applyFont="1" applyNumberFormat="1">
      <alignment horizontal="right" shrinkToFit="0" vertical="bottom" wrapText="0"/>
    </xf>
    <xf borderId="6" fillId="4" fontId="11" numFmtId="38" xfId="0" applyAlignment="1" applyBorder="1" applyFont="1" applyNumberFormat="1">
      <alignment shrinkToFit="0" vertical="bottom" wrapText="0"/>
    </xf>
    <xf borderId="9" fillId="0" fontId="19" numFmtId="38" xfId="0" applyAlignment="1" applyBorder="1" applyFont="1" applyNumberFormat="1">
      <alignment horizontal="right" shrinkToFit="0" vertical="bottom" wrapText="0"/>
    </xf>
    <xf borderId="9" fillId="0" fontId="20" numFmtId="38" xfId="0" applyAlignment="1" applyBorder="1" applyFont="1" applyNumberFormat="1">
      <alignment horizontal="left" shrinkToFit="0" vertical="bottom" wrapText="0"/>
    </xf>
    <xf borderId="8" fillId="0" fontId="19" numFmtId="166" xfId="0" applyAlignment="1" applyBorder="1" applyFont="1" applyNumberFormat="1">
      <alignment horizontal="left" shrinkToFit="0" vertical="bottom" wrapText="0"/>
    </xf>
    <xf borderId="7" fillId="0" fontId="19" numFmtId="4" xfId="0" applyAlignment="1" applyBorder="1" applyFont="1" applyNumberFormat="1">
      <alignment horizontal="left" shrinkToFit="0" vertical="bottom" wrapText="0"/>
    </xf>
    <xf borderId="7" fillId="0" fontId="19" numFmtId="0" xfId="0" applyAlignment="1" applyBorder="1" applyFont="1">
      <alignment horizontal="left" shrinkToFit="0" vertical="bottom" wrapText="0"/>
    </xf>
    <xf borderId="7" fillId="4" fontId="11" numFmtId="38" xfId="0" applyAlignment="1" applyBorder="1" applyFont="1" applyNumberFormat="1">
      <alignment horizontal="right" shrinkToFit="0" vertical="bottom" wrapText="0"/>
    </xf>
    <xf borderId="8" fillId="0" fontId="19" numFmtId="38" xfId="0" applyAlignment="1" applyBorder="1" applyFont="1" applyNumberFormat="1">
      <alignment horizontal="right" shrinkToFit="0" vertical="bottom" wrapText="0"/>
    </xf>
    <xf borderId="8" fillId="0" fontId="20" numFmtId="38" xfId="0" applyAlignment="1" applyBorder="1" applyFont="1" applyNumberFormat="1">
      <alignment horizontal="left" shrinkToFit="0" vertical="bottom" wrapText="0"/>
    </xf>
    <xf borderId="6" fillId="4" fontId="11" numFmtId="38" xfId="0" applyAlignment="1" applyBorder="1" applyFont="1" applyNumberFormat="1">
      <alignment horizontal="right" shrinkToFit="0" vertical="bottom" wrapText="0"/>
    </xf>
    <xf borderId="7" fillId="0" fontId="10" numFmtId="166" xfId="0" applyAlignment="1" applyBorder="1" applyFont="1" applyNumberFormat="1">
      <alignment horizontal="center" shrinkToFit="0" vertical="bottom" wrapText="0"/>
    </xf>
    <xf borderId="7" fillId="0" fontId="10" numFmtId="4" xfId="0" applyAlignment="1" applyBorder="1" applyFont="1" applyNumberFormat="1">
      <alignment horizontal="left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shrinkToFit="0" vertical="bottom" wrapText="0"/>
    </xf>
    <xf borderId="7" fillId="0" fontId="10" numFmtId="38" xfId="0" applyAlignment="1" applyBorder="1" applyFont="1" applyNumberFormat="1">
      <alignment horizontal="center" shrinkToFit="0" vertical="bottom" wrapText="0"/>
    </xf>
    <xf borderId="9" fillId="0" fontId="19" numFmtId="38" xfId="0" applyAlignment="1" applyBorder="1" applyFont="1" applyNumberFormat="1">
      <alignment horizontal="left" shrinkToFit="0" vertical="bottom" wrapText="0"/>
    </xf>
    <xf borderId="8" fillId="0" fontId="19" numFmtId="166" xfId="0" applyAlignment="1" applyBorder="1" applyFont="1" applyNumberFormat="1">
      <alignment shrinkToFit="0" vertical="bottom" wrapText="0"/>
    </xf>
    <xf borderId="7" fillId="0" fontId="19" numFmtId="4" xfId="0" applyAlignment="1" applyBorder="1" applyFont="1" applyNumberFormat="1">
      <alignment shrinkToFit="0" vertical="bottom" wrapText="0"/>
    </xf>
    <xf borderId="7" fillId="0" fontId="19" numFmtId="0" xfId="0" applyAlignment="1" applyBorder="1" applyFont="1">
      <alignment shrinkToFit="0" vertical="bottom" wrapText="0"/>
    </xf>
    <xf borderId="8" fillId="0" fontId="19" numFmtId="38" xfId="0" applyAlignment="1" applyBorder="1" applyFont="1" applyNumberFormat="1">
      <alignment shrinkToFit="0" vertical="bottom" wrapText="0"/>
    </xf>
    <xf borderId="4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7" fillId="3" fontId="3" numFmtId="0" xfId="0" applyAlignment="1" applyBorder="1" applyFont="1">
      <alignment vertical="center"/>
    </xf>
    <xf borderId="7" fillId="3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45565.0</v>
      </c>
      <c r="C5" s="18" t="s">
        <v>23</v>
      </c>
      <c r="D5" s="19">
        <v>52083.0</v>
      </c>
      <c r="E5" s="20" t="s">
        <v>24</v>
      </c>
      <c r="F5" s="21"/>
      <c r="G5" s="22"/>
      <c r="H5" s="21"/>
      <c r="I5" s="23">
        <v>12550.0</v>
      </c>
      <c r="J5" s="23"/>
      <c r="K5" s="22"/>
      <c r="L5" s="22"/>
      <c r="M5" s="21"/>
      <c r="N5" s="22"/>
      <c r="O5" s="22"/>
      <c r="P5" s="24">
        <v>12550.0</v>
      </c>
      <c r="Q5" s="25">
        <f t="shared" ref="Q5:Q89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45565.0</v>
      </c>
      <c r="C6" s="18" t="s">
        <v>26</v>
      </c>
      <c r="D6" s="19">
        <v>74492.0</v>
      </c>
      <c r="E6" s="20" t="s">
        <v>27</v>
      </c>
      <c r="F6" s="21"/>
      <c r="G6" s="22"/>
      <c r="H6" s="22"/>
      <c r="I6" s="21">
        <v>4800.0</v>
      </c>
      <c r="J6" s="22"/>
      <c r="K6" s="22"/>
      <c r="L6" s="22"/>
      <c r="M6" s="21"/>
      <c r="N6" s="22"/>
      <c r="O6" s="22"/>
      <c r="P6" s="24">
        <v>4800.0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45565.0</v>
      </c>
      <c r="C7" s="18" t="s">
        <v>29</v>
      </c>
      <c r="D7" s="19">
        <v>69334.0</v>
      </c>
      <c r="E7" s="20" t="s">
        <v>30</v>
      </c>
      <c r="F7" s="22"/>
      <c r="G7" s="22"/>
      <c r="H7" s="21"/>
      <c r="I7" s="21"/>
      <c r="J7" s="23">
        <v>2650.0</v>
      </c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45565.0</v>
      </c>
      <c r="C8" s="18" t="s">
        <v>31</v>
      </c>
      <c r="D8" s="19">
        <v>51939.0</v>
      </c>
      <c r="E8" s="20" t="s">
        <v>32</v>
      </c>
      <c r="F8" s="22"/>
      <c r="G8" s="22"/>
      <c r="H8" s="22"/>
      <c r="I8" s="21">
        <v>5450.0</v>
      </c>
      <c r="J8" s="21"/>
      <c r="K8" s="22"/>
      <c r="L8" s="22"/>
      <c r="M8" s="22"/>
      <c r="N8" s="22"/>
      <c r="O8" s="22"/>
      <c r="P8" s="24">
        <v>5450.0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45565.0</v>
      </c>
      <c r="C9" s="18" t="s">
        <v>33</v>
      </c>
      <c r="D9" s="19">
        <v>54226.0</v>
      </c>
      <c r="E9" s="20" t="s">
        <v>34</v>
      </c>
      <c r="F9" s="22"/>
      <c r="G9" s="22"/>
      <c r="H9" s="22"/>
      <c r="I9" s="21"/>
      <c r="J9" s="21">
        <v>8200.0</v>
      </c>
      <c r="K9" s="22"/>
      <c r="L9" s="22"/>
      <c r="M9" s="21"/>
      <c r="N9" s="22"/>
      <c r="O9" s="22"/>
      <c r="P9" s="24">
        <v>8200.0</v>
      </c>
      <c r="Q9" s="25">
        <f t="shared" si="1"/>
        <v>0</v>
      </c>
      <c r="R9" s="24" t="s">
        <v>35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45565.0</v>
      </c>
      <c r="C10" s="18" t="s">
        <v>36</v>
      </c>
      <c r="D10" s="19">
        <v>65868.0</v>
      </c>
      <c r="E10" s="20" t="s">
        <v>37</v>
      </c>
      <c r="F10" s="22"/>
      <c r="G10" s="22"/>
      <c r="H10" s="22"/>
      <c r="I10" s="21">
        <v>1816.0</v>
      </c>
      <c r="J10" s="21"/>
      <c r="K10" s="22">
        <v>1934.0</v>
      </c>
      <c r="L10" s="22"/>
      <c r="M10" s="21"/>
      <c r="N10" s="22"/>
      <c r="O10" s="22"/>
      <c r="P10" s="24">
        <v>3750.0</v>
      </c>
      <c r="Q10" s="25">
        <f t="shared" si="1"/>
        <v>0</v>
      </c>
      <c r="R10" s="24" t="s">
        <v>28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45565.0</v>
      </c>
      <c r="C11" s="18" t="s">
        <v>38</v>
      </c>
      <c r="D11" s="19">
        <v>59244.0</v>
      </c>
      <c r="E11" s="20" t="s">
        <v>39</v>
      </c>
      <c r="F11" s="22"/>
      <c r="G11" s="22"/>
      <c r="H11" s="22"/>
      <c r="I11" s="21"/>
      <c r="J11" s="21">
        <v>7000.0</v>
      </c>
      <c r="K11" s="22"/>
      <c r="L11" s="22"/>
      <c r="M11" s="21"/>
      <c r="N11" s="22"/>
      <c r="O11" s="22"/>
      <c r="P11" s="24">
        <v>7000.0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45565.0</v>
      </c>
      <c r="C12" s="18" t="s">
        <v>40</v>
      </c>
      <c r="D12" s="19">
        <v>50596.0</v>
      </c>
      <c r="E12" s="20" t="s">
        <v>41</v>
      </c>
      <c r="F12" s="22"/>
      <c r="G12" s="22"/>
      <c r="H12" s="22"/>
      <c r="I12" s="21">
        <v>3400.0</v>
      </c>
      <c r="J12" s="21"/>
      <c r="K12" s="22"/>
      <c r="L12" s="22"/>
      <c r="M12" s="21"/>
      <c r="N12" s="22"/>
      <c r="O12" s="22"/>
      <c r="P12" s="24">
        <v>3400.0</v>
      </c>
      <c r="Q12" s="25">
        <f t="shared" si="1"/>
        <v>0</v>
      </c>
      <c r="R12" s="24" t="s">
        <v>28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9">
        <v>45565.0</v>
      </c>
      <c r="C13" s="30" t="s">
        <v>42</v>
      </c>
      <c r="D13" s="31">
        <v>58257.0</v>
      </c>
      <c r="E13" s="32" t="s">
        <v>43</v>
      </c>
      <c r="F13" s="22"/>
      <c r="G13" s="22"/>
      <c r="H13" s="22"/>
      <c r="I13" s="21">
        <v>3200.0</v>
      </c>
      <c r="J13" s="21"/>
      <c r="K13" s="22">
        <v>1800.0</v>
      </c>
      <c r="L13" s="22"/>
      <c r="M13" s="21"/>
      <c r="N13" s="22"/>
      <c r="O13" s="22"/>
      <c r="P13" s="33">
        <v>5000.0</v>
      </c>
      <c r="Q13" s="25">
        <f t="shared" si="1"/>
        <v>0</v>
      </c>
      <c r="R13" s="33" t="s">
        <v>28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7">
        <v>45565.0</v>
      </c>
      <c r="C14" s="18" t="s">
        <v>44</v>
      </c>
      <c r="D14" s="19">
        <v>84615.0</v>
      </c>
      <c r="E14" s="20" t="s">
        <v>45</v>
      </c>
      <c r="F14" s="22"/>
      <c r="G14" s="22"/>
      <c r="H14" s="22"/>
      <c r="I14" s="21">
        <v>7000.0</v>
      </c>
      <c r="J14" s="21"/>
      <c r="K14" s="22"/>
      <c r="L14" s="22"/>
      <c r="M14" s="21"/>
      <c r="N14" s="22"/>
      <c r="O14" s="22"/>
      <c r="P14" s="24">
        <v>7000.0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45565.0</v>
      </c>
      <c r="C15" s="18" t="s">
        <v>46</v>
      </c>
      <c r="D15" s="19">
        <v>39832.0</v>
      </c>
      <c r="E15" s="20" t="s">
        <v>47</v>
      </c>
      <c r="F15" s="22">
        <v>500.0</v>
      </c>
      <c r="G15" s="22"/>
      <c r="H15" s="22"/>
      <c r="I15" s="21"/>
      <c r="J15" s="21"/>
      <c r="K15" s="22"/>
      <c r="L15" s="22"/>
      <c r="M15" s="21"/>
      <c r="N15" s="22"/>
      <c r="O15" s="22"/>
      <c r="P15" s="24">
        <v>500.0</v>
      </c>
      <c r="Q15" s="25">
        <f t="shared" si="1"/>
        <v>0</v>
      </c>
      <c r="R15" s="24" t="s">
        <v>48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45565.0</v>
      </c>
      <c r="C16" s="18" t="s">
        <v>49</v>
      </c>
      <c r="D16" s="19">
        <v>50436.0</v>
      </c>
      <c r="E16" s="20" t="s">
        <v>50</v>
      </c>
      <c r="F16" s="22"/>
      <c r="G16" s="22"/>
      <c r="H16" s="22"/>
      <c r="I16" s="21">
        <v>4500.0</v>
      </c>
      <c r="J16" s="21"/>
      <c r="K16" s="22"/>
      <c r="L16" s="22"/>
      <c r="M16" s="21"/>
      <c r="N16" s="22"/>
      <c r="O16" s="22"/>
      <c r="P16" s="24">
        <v>4500.0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45565.0</v>
      </c>
      <c r="C17" s="18" t="s">
        <v>51</v>
      </c>
      <c r="D17" s="19">
        <v>10008.0</v>
      </c>
      <c r="E17" s="20" t="s">
        <v>52</v>
      </c>
      <c r="F17" s="22">
        <v>300.0</v>
      </c>
      <c r="G17" s="22"/>
      <c r="H17" s="22"/>
      <c r="I17" s="21"/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28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45565.0</v>
      </c>
      <c r="C18" s="18" t="s">
        <v>53</v>
      </c>
      <c r="D18" s="19">
        <v>35245.0</v>
      </c>
      <c r="E18" s="20" t="s">
        <v>54</v>
      </c>
      <c r="F18" s="22"/>
      <c r="G18" s="22"/>
      <c r="H18" s="22"/>
      <c r="I18" s="21"/>
      <c r="J18" s="21"/>
      <c r="K18" s="22">
        <v>10000.0</v>
      </c>
      <c r="L18" s="22"/>
      <c r="M18" s="22"/>
      <c r="N18" s="22"/>
      <c r="O18" s="22"/>
      <c r="P18" s="24">
        <v>10000.0</v>
      </c>
      <c r="Q18" s="25">
        <f t="shared" si="1"/>
        <v>0</v>
      </c>
      <c r="R18" s="24" t="s">
        <v>35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9">
        <v>45567.0</v>
      </c>
      <c r="C19" s="30" t="s">
        <v>55</v>
      </c>
      <c r="D19" s="31">
        <v>67621.0</v>
      </c>
      <c r="E19" s="32" t="s">
        <v>56</v>
      </c>
      <c r="F19" s="22"/>
      <c r="G19" s="22"/>
      <c r="H19" s="22"/>
      <c r="I19" s="21">
        <v>2400.0</v>
      </c>
      <c r="J19" s="21"/>
      <c r="K19" s="22"/>
      <c r="L19" s="22"/>
      <c r="M19" s="21"/>
      <c r="N19" s="22"/>
      <c r="O19" s="22"/>
      <c r="P19" s="33">
        <v>2400.0</v>
      </c>
      <c r="Q19" s="25">
        <f t="shared" si="1"/>
        <v>0</v>
      </c>
      <c r="R19" s="33" t="s">
        <v>57</v>
      </c>
      <c r="S19" s="26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7">
        <v>45567.0</v>
      </c>
      <c r="C20" s="18" t="s">
        <v>58</v>
      </c>
      <c r="D20" s="19">
        <v>48631.0</v>
      </c>
      <c r="E20" s="20" t="s">
        <v>59</v>
      </c>
      <c r="F20" s="22"/>
      <c r="G20" s="22"/>
      <c r="H20" s="22"/>
      <c r="I20" s="23">
        <v>2500.0</v>
      </c>
      <c r="J20" s="23"/>
      <c r="K20" s="22"/>
      <c r="L20" s="22"/>
      <c r="M20" s="22"/>
      <c r="N20" s="22"/>
      <c r="O20" s="22"/>
      <c r="P20" s="24">
        <v>2500.0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45567.0</v>
      </c>
      <c r="C21" s="18" t="s">
        <v>60</v>
      </c>
      <c r="D21" s="19">
        <v>10684.0</v>
      </c>
      <c r="E21" s="20" t="s">
        <v>61</v>
      </c>
      <c r="F21" s="21"/>
      <c r="G21" s="22"/>
      <c r="H21" s="22"/>
      <c r="I21" s="35">
        <v>900.0</v>
      </c>
      <c r="J21" s="22"/>
      <c r="K21" s="36"/>
      <c r="L21" s="22"/>
      <c r="M21" s="22"/>
      <c r="N21" s="22"/>
      <c r="O21" s="22"/>
      <c r="P21" s="24">
        <v>900.0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45567.0</v>
      </c>
      <c r="C22" s="18" t="s">
        <v>62</v>
      </c>
      <c r="D22" s="19">
        <v>36769.0</v>
      </c>
      <c r="E22" s="20" t="s">
        <v>63</v>
      </c>
      <c r="F22" s="21"/>
      <c r="G22" s="22"/>
      <c r="H22" s="22"/>
      <c r="I22" s="21">
        <v>6050.0</v>
      </c>
      <c r="J22" s="22"/>
      <c r="K22" s="21"/>
      <c r="L22" s="22"/>
      <c r="M22" s="22"/>
      <c r="N22" s="22"/>
      <c r="O22" s="22"/>
      <c r="P22" s="24">
        <v>6050.0</v>
      </c>
      <c r="Q22" s="25">
        <f t="shared" si="1"/>
        <v>0</v>
      </c>
      <c r="R22" s="24" t="s">
        <v>57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7">
        <v>45567.0</v>
      </c>
      <c r="C23" s="38" t="s">
        <v>64</v>
      </c>
      <c r="D23" s="39">
        <v>36928.0</v>
      </c>
      <c r="E23" s="40" t="s">
        <v>65</v>
      </c>
      <c r="F23" s="35"/>
      <c r="G23" s="41"/>
      <c r="H23" s="41"/>
      <c r="I23" s="35">
        <v>4500.0</v>
      </c>
      <c r="J23" s="35"/>
      <c r="K23" s="42"/>
      <c r="L23" s="41"/>
      <c r="M23" s="41"/>
      <c r="N23" s="41"/>
      <c r="O23" s="41"/>
      <c r="P23" s="43">
        <v>4500.0</v>
      </c>
      <c r="Q23" s="25">
        <f t="shared" si="1"/>
        <v>0</v>
      </c>
      <c r="R23" s="43" t="s">
        <v>57</v>
      </c>
      <c r="S23" s="26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</row>
    <row r="24" ht="34.5" customHeight="1">
      <c r="A24" s="16">
        <v>20.0</v>
      </c>
      <c r="B24" s="27">
        <v>45567.0</v>
      </c>
      <c r="C24" s="18" t="s">
        <v>66</v>
      </c>
      <c r="D24" s="19">
        <v>59562.0</v>
      </c>
      <c r="E24" s="20" t="s">
        <v>67</v>
      </c>
      <c r="F24" s="21"/>
      <c r="G24" s="22"/>
      <c r="H24" s="22"/>
      <c r="I24" s="21">
        <v>7650.0</v>
      </c>
      <c r="J24" s="22"/>
      <c r="K24" s="36"/>
      <c r="L24" s="22"/>
      <c r="M24" s="22"/>
      <c r="N24" s="22"/>
      <c r="O24" s="22"/>
      <c r="P24" s="24">
        <v>7650.0</v>
      </c>
      <c r="Q24" s="25">
        <f t="shared" si="1"/>
        <v>0</v>
      </c>
      <c r="R24" s="24" t="s">
        <v>28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45567.0</v>
      </c>
      <c r="C25" s="18" t="s">
        <v>68</v>
      </c>
      <c r="D25" s="19">
        <v>36928.0</v>
      </c>
      <c r="E25" s="20" t="s">
        <v>65</v>
      </c>
      <c r="F25" s="21"/>
      <c r="G25" s="22"/>
      <c r="H25" s="22"/>
      <c r="I25" s="21">
        <v>5347.0</v>
      </c>
      <c r="J25" s="21"/>
      <c r="K25" s="36"/>
      <c r="L25" s="22"/>
      <c r="M25" s="22"/>
      <c r="N25" s="22"/>
      <c r="O25" s="22"/>
      <c r="P25" s="24">
        <v>5347.0</v>
      </c>
      <c r="Q25" s="25">
        <f t="shared" si="1"/>
        <v>0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45567.0</v>
      </c>
      <c r="C26" s="18" t="s">
        <v>69</v>
      </c>
      <c r="D26" s="19">
        <v>10270.0</v>
      </c>
      <c r="E26" s="20" t="s">
        <v>70</v>
      </c>
      <c r="F26" s="21"/>
      <c r="G26" s="22"/>
      <c r="H26" s="22"/>
      <c r="I26" s="36">
        <v>600.0</v>
      </c>
      <c r="J26" s="21"/>
      <c r="K26" s="36"/>
      <c r="L26" s="22"/>
      <c r="M26" s="22"/>
      <c r="N26" s="22"/>
      <c r="O26" s="22"/>
      <c r="P26" s="24">
        <v>600.0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45567.0</v>
      </c>
      <c r="C27" s="18" t="s">
        <v>71</v>
      </c>
      <c r="D27" s="19">
        <v>50474.0</v>
      </c>
      <c r="E27" s="20" t="s">
        <v>72</v>
      </c>
      <c r="F27" s="21"/>
      <c r="G27" s="22"/>
      <c r="H27" s="22"/>
      <c r="I27" s="21">
        <v>25000.0</v>
      </c>
      <c r="J27" s="21"/>
      <c r="K27" s="23"/>
      <c r="L27" s="22"/>
      <c r="M27" s="22"/>
      <c r="N27" s="22"/>
      <c r="O27" s="22"/>
      <c r="P27" s="24">
        <v>25000.0</v>
      </c>
      <c r="Q27" s="25">
        <f t="shared" si="1"/>
        <v>0</v>
      </c>
      <c r="R27" s="24" t="s">
        <v>28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45567.0</v>
      </c>
      <c r="C28" s="18" t="s">
        <v>73</v>
      </c>
      <c r="D28" s="19">
        <v>44149.0</v>
      </c>
      <c r="E28" s="20" t="s">
        <v>74</v>
      </c>
      <c r="F28" s="21"/>
      <c r="G28" s="22"/>
      <c r="H28" s="22"/>
      <c r="I28" s="21">
        <v>10000.0</v>
      </c>
      <c r="J28" s="21"/>
      <c r="K28" s="23"/>
      <c r="L28" s="22"/>
      <c r="M28" s="22"/>
      <c r="N28" s="22"/>
      <c r="O28" s="22"/>
      <c r="P28" s="24">
        <v>10000.0</v>
      </c>
      <c r="Q28" s="25">
        <f t="shared" si="1"/>
        <v>0</v>
      </c>
      <c r="R28" s="24" t="s">
        <v>28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45567.0</v>
      </c>
      <c r="C29" s="18" t="s">
        <v>75</v>
      </c>
      <c r="D29" s="19">
        <v>48052.0</v>
      </c>
      <c r="E29" s="20" t="s">
        <v>76</v>
      </c>
      <c r="F29" s="21"/>
      <c r="G29" s="22"/>
      <c r="H29" s="22"/>
      <c r="I29" s="21">
        <v>350.0</v>
      </c>
      <c r="J29" s="21"/>
      <c r="K29" s="23"/>
      <c r="L29" s="22"/>
      <c r="M29" s="22"/>
      <c r="N29" s="22"/>
      <c r="O29" s="22"/>
      <c r="P29" s="24">
        <v>350.0</v>
      </c>
      <c r="Q29" s="25">
        <f t="shared" si="1"/>
        <v>0</v>
      </c>
      <c r="R29" s="24" t="s">
        <v>57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45567.0</v>
      </c>
      <c r="C30" s="18" t="s">
        <v>77</v>
      </c>
      <c r="D30" s="19">
        <v>80375.0</v>
      </c>
      <c r="E30" s="20" t="s">
        <v>78</v>
      </c>
      <c r="F30" s="21"/>
      <c r="G30" s="22"/>
      <c r="H30" s="22"/>
      <c r="I30" s="21"/>
      <c r="J30" s="21">
        <v>5747.0</v>
      </c>
      <c r="K30" s="23"/>
      <c r="L30" s="22"/>
      <c r="M30" s="22"/>
      <c r="N30" s="22"/>
      <c r="O30" s="22"/>
      <c r="P30" s="24">
        <v>5747.0</v>
      </c>
      <c r="Q30" s="25">
        <f t="shared" si="1"/>
        <v>0</v>
      </c>
      <c r="R30" s="24" t="s">
        <v>57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45567.0</v>
      </c>
      <c r="C31" s="18" t="s">
        <v>79</v>
      </c>
      <c r="D31" s="19">
        <v>33054.0</v>
      </c>
      <c r="E31" s="20" t="s">
        <v>80</v>
      </c>
      <c r="F31" s="21"/>
      <c r="G31" s="22"/>
      <c r="H31" s="22"/>
      <c r="I31" s="21"/>
      <c r="J31" s="21">
        <v>4650.0</v>
      </c>
      <c r="K31" s="23"/>
      <c r="L31" s="22"/>
      <c r="M31" s="22"/>
      <c r="N31" s="22"/>
      <c r="O31" s="22"/>
      <c r="P31" s="24">
        <v>4650.0</v>
      </c>
      <c r="Q31" s="25">
        <f t="shared" si="1"/>
        <v>0</v>
      </c>
      <c r="R31" s="24" t="s">
        <v>48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45567.0</v>
      </c>
      <c r="C32" s="18" t="s">
        <v>81</v>
      </c>
      <c r="D32" s="19">
        <v>51309.0</v>
      </c>
      <c r="E32" s="20" t="s">
        <v>82</v>
      </c>
      <c r="F32" s="21"/>
      <c r="G32" s="22"/>
      <c r="H32" s="22"/>
      <c r="I32" s="21">
        <v>3100.0</v>
      </c>
      <c r="J32" s="21"/>
      <c r="K32" s="23"/>
      <c r="L32" s="22"/>
      <c r="M32" s="22"/>
      <c r="N32" s="22"/>
      <c r="O32" s="22"/>
      <c r="P32" s="24">
        <v>3100.0</v>
      </c>
      <c r="Q32" s="25">
        <f t="shared" si="1"/>
        <v>0</v>
      </c>
      <c r="R32" s="24" t="s">
        <v>28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45567.0</v>
      </c>
      <c r="C33" s="18" t="s">
        <v>83</v>
      </c>
      <c r="D33" s="19">
        <v>52415.0</v>
      </c>
      <c r="E33" s="20" t="s">
        <v>84</v>
      </c>
      <c r="F33" s="21"/>
      <c r="G33" s="22"/>
      <c r="H33" s="22"/>
      <c r="I33" s="21"/>
      <c r="J33" s="21">
        <v>15000.0</v>
      </c>
      <c r="K33" s="23"/>
      <c r="L33" s="22"/>
      <c r="M33" s="22"/>
      <c r="N33" s="22"/>
      <c r="O33" s="22"/>
      <c r="P33" s="24">
        <v>15000.0</v>
      </c>
      <c r="Q33" s="25">
        <f t="shared" si="1"/>
        <v>0</v>
      </c>
      <c r="R33" s="24" t="s">
        <v>35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45567.0</v>
      </c>
      <c r="C34" s="18" t="s">
        <v>85</v>
      </c>
      <c r="D34" s="19">
        <v>81108.0</v>
      </c>
      <c r="E34" s="20" t="s">
        <v>86</v>
      </c>
      <c r="F34" s="21"/>
      <c r="G34" s="22"/>
      <c r="H34" s="22"/>
      <c r="I34" s="21">
        <v>97150.0</v>
      </c>
      <c r="J34" s="21"/>
      <c r="K34" s="23"/>
      <c r="L34" s="22"/>
      <c r="M34" s="22"/>
      <c r="N34" s="22"/>
      <c r="O34" s="22"/>
      <c r="P34" s="24">
        <v>97150.0</v>
      </c>
      <c r="Q34" s="25">
        <f t="shared" si="1"/>
        <v>0</v>
      </c>
      <c r="R34" s="24" t="s">
        <v>35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45567.0</v>
      </c>
      <c r="C35" s="18" t="s">
        <v>87</v>
      </c>
      <c r="D35" s="19">
        <v>53249.0</v>
      </c>
      <c r="E35" s="20" t="s">
        <v>88</v>
      </c>
      <c r="F35" s="21"/>
      <c r="G35" s="22"/>
      <c r="H35" s="22"/>
      <c r="I35" s="21">
        <v>31000.0</v>
      </c>
      <c r="J35" s="21"/>
      <c r="K35" s="23"/>
      <c r="L35" s="22"/>
      <c r="M35" s="22"/>
      <c r="N35" s="22"/>
      <c r="O35" s="22"/>
      <c r="P35" s="24">
        <v>31000.0</v>
      </c>
      <c r="Q35" s="25">
        <f t="shared" si="1"/>
        <v>0</v>
      </c>
      <c r="R35" s="24" t="s">
        <v>28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45567.0</v>
      </c>
      <c r="C36" s="18" t="s">
        <v>89</v>
      </c>
      <c r="D36" s="19">
        <v>19688.0</v>
      </c>
      <c r="E36" s="20" t="s">
        <v>90</v>
      </c>
      <c r="F36" s="21"/>
      <c r="G36" s="22"/>
      <c r="H36" s="22"/>
      <c r="I36" s="21"/>
      <c r="J36" s="21">
        <v>15000.0</v>
      </c>
      <c r="K36" s="23"/>
      <c r="L36" s="22"/>
      <c r="M36" s="22"/>
      <c r="N36" s="22"/>
      <c r="O36" s="22"/>
      <c r="P36" s="24">
        <v>15000.0</v>
      </c>
      <c r="Q36" s="25">
        <f t="shared" si="1"/>
        <v>0</v>
      </c>
      <c r="R36" s="24" t="s">
        <v>57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45567.0</v>
      </c>
      <c r="C37" s="18" t="s">
        <v>91</v>
      </c>
      <c r="D37" s="19">
        <v>60978.0</v>
      </c>
      <c r="E37" s="20" t="s">
        <v>92</v>
      </c>
      <c r="F37" s="21"/>
      <c r="G37" s="22"/>
      <c r="H37" s="22"/>
      <c r="I37" s="21"/>
      <c r="J37" s="21">
        <v>10000.0</v>
      </c>
      <c r="K37" s="23"/>
      <c r="L37" s="22"/>
      <c r="M37" s="22"/>
      <c r="N37" s="22"/>
      <c r="O37" s="22"/>
      <c r="P37" s="24">
        <v>10000.0</v>
      </c>
      <c r="Q37" s="25">
        <f t="shared" si="1"/>
        <v>0</v>
      </c>
      <c r="R37" s="24" t="s">
        <v>57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45567.0</v>
      </c>
      <c r="C38" s="18" t="s">
        <v>93</v>
      </c>
      <c r="D38" s="19">
        <v>46927.0</v>
      </c>
      <c r="E38" s="20" t="s">
        <v>94</v>
      </c>
      <c r="F38" s="21"/>
      <c r="G38" s="22"/>
      <c r="H38" s="22"/>
      <c r="I38" s="21">
        <v>1158.0</v>
      </c>
      <c r="J38" s="21"/>
      <c r="K38" s="23">
        <v>342.0</v>
      </c>
      <c r="L38" s="22"/>
      <c r="M38" s="22"/>
      <c r="N38" s="22"/>
      <c r="O38" s="22"/>
      <c r="P38" s="24">
        <v>1500.0</v>
      </c>
      <c r="Q38" s="25">
        <f t="shared" si="1"/>
        <v>0</v>
      </c>
      <c r="R38" s="24" t="s">
        <v>48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45567.0</v>
      </c>
      <c r="C39" s="18" t="s">
        <v>95</v>
      </c>
      <c r="D39" s="19">
        <v>29621.0</v>
      </c>
      <c r="E39" s="20" t="s">
        <v>96</v>
      </c>
      <c r="F39" s="21"/>
      <c r="G39" s="22"/>
      <c r="H39" s="22"/>
      <c r="I39" s="21"/>
      <c r="J39" s="21"/>
      <c r="K39" s="23"/>
      <c r="L39" s="22"/>
      <c r="M39" s="22">
        <v>1900.0</v>
      </c>
      <c r="N39" s="22"/>
      <c r="O39" s="22"/>
      <c r="P39" s="24">
        <v>1900.0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45567.0</v>
      </c>
      <c r="C40" s="18" t="s">
        <v>97</v>
      </c>
      <c r="D40" s="19">
        <v>46927.0</v>
      </c>
      <c r="E40" s="20" t="s">
        <v>94</v>
      </c>
      <c r="F40" s="21"/>
      <c r="G40" s="22"/>
      <c r="H40" s="22"/>
      <c r="I40" s="21">
        <v>5350.0</v>
      </c>
      <c r="J40" s="21"/>
      <c r="K40" s="23"/>
      <c r="L40" s="22"/>
      <c r="M40" s="22"/>
      <c r="N40" s="22"/>
      <c r="O40" s="22"/>
      <c r="P40" s="24">
        <v>5350.0</v>
      </c>
      <c r="Q40" s="25">
        <f t="shared" si="1"/>
        <v>0</v>
      </c>
      <c r="R40" s="24" t="s">
        <v>48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45567.0</v>
      </c>
      <c r="C41" s="18" t="s">
        <v>98</v>
      </c>
      <c r="D41" s="19">
        <v>54209.0</v>
      </c>
      <c r="E41" s="20" t="s">
        <v>99</v>
      </c>
      <c r="F41" s="21"/>
      <c r="G41" s="22"/>
      <c r="H41" s="22"/>
      <c r="I41" s="21">
        <v>300.0</v>
      </c>
      <c r="J41" s="21"/>
      <c r="K41" s="23"/>
      <c r="L41" s="22"/>
      <c r="M41" s="22"/>
      <c r="N41" s="22"/>
      <c r="O41" s="22"/>
      <c r="P41" s="24">
        <v>300.0</v>
      </c>
      <c r="Q41" s="25">
        <f t="shared" si="1"/>
        <v>0</v>
      </c>
      <c r="R41" s="24" t="s">
        <v>35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45567.0</v>
      </c>
      <c r="C42" s="18" t="s">
        <v>100</v>
      </c>
      <c r="D42" s="19">
        <v>59812.0</v>
      </c>
      <c r="E42" s="20" t="s">
        <v>101</v>
      </c>
      <c r="F42" s="21"/>
      <c r="G42" s="22"/>
      <c r="H42" s="22"/>
      <c r="I42" s="21">
        <v>2650.0</v>
      </c>
      <c r="J42" s="21"/>
      <c r="K42" s="23"/>
      <c r="L42" s="22"/>
      <c r="M42" s="22"/>
      <c r="N42" s="22"/>
      <c r="O42" s="22"/>
      <c r="P42" s="24">
        <v>2650.0</v>
      </c>
      <c r="Q42" s="25">
        <f t="shared" si="1"/>
        <v>0</v>
      </c>
      <c r="R42" s="24" t="s">
        <v>28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45567.0</v>
      </c>
      <c r="C43" s="18" t="s">
        <v>102</v>
      </c>
      <c r="D43" s="19">
        <v>76101.0</v>
      </c>
      <c r="E43" s="20" t="s">
        <v>103</v>
      </c>
      <c r="F43" s="21"/>
      <c r="G43" s="22"/>
      <c r="H43" s="22"/>
      <c r="I43" s="21">
        <v>5480.0</v>
      </c>
      <c r="J43" s="21"/>
      <c r="K43" s="23">
        <v>100.0</v>
      </c>
      <c r="L43" s="22"/>
      <c r="M43" s="22"/>
      <c r="N43" s="22"/>
      <c r="O43" s="22"/>
      <c r="P43" s="24">
        <v>5580.0</v>
      </c>
      <c r="Q43" s="25">
        <f t="shared" si="1"/>
        <v>0</v>
      </c>
      <c r="R43" s="24" t="s">
        <v>28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45567.0</v>
      </c>
      <c r="C44" s="18" t="s">
        <v>104</v>
      </c>
      <c r="D44" s="19">
        <v>51946.0</v>
      </c>
      <c r="E44" s="20" t="s">
        <v>105</v>
      </c>
      <c r="F44" s="21"/>
      <c r="G44" s="22"/>
      <c r="H44" s="22"/>
      <c r="I44" s="21">
        <v>10000.0</v>
      </c>
      <c r="J44" s="21"/>
      <c r="K44" s="23"/>
      <c r="L44" s="22"/>
      <c r="M44" s="22"/>
      <c r="N44" s="22"/>
      <c r="O44" s="22"/>
      <c r="P44" s="24">
        <v>10000.0</v>
      </c>
      <c r="Q44" s="25">
        <f t="shared" si="1"/>
        <v>0</v>
      </c>
      <c r="R44" s="24" t="s">
        <v>28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45567.0</v>
      </c>
      <c r="C45" s="18" t="s">
        <v>106</v>
      </c>
      <c r="D45" s="19">
        <v>46778.0</v>
      </c>
      <c r="E45" s="20" t="s">
        <v>107</v>
      </c>
      <c r="F45" s="21"/>
      <c r="G45" s="22"/>
      <c r="H45" s="22"/>
      <c r="I45" s="21"/>
      <c r="J45" s="21">
        <v>4500.0</v>
      </c>
      <c r="K45" s="23"/>
      <c r="L45" s="22"/>
      <c r="M45" s="22"/>
      <c r="N45" s="22"/>
      <c r="O45" s="22"/>
      <c r="P45" s="24">
        <v>4500.0</v>
      </c>
      <c r="Q45" s="25">
        <f t="shared" si="1"/>
        <v>0</v>
      </c>
      <c r="R45" s="24" t="s">
        <v>57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45567.0</v>
      </c>
      <c r="C46" s="18" t="s">
        <v>108</v>
      </c>
      <c r="D46" s="19">
        <v>46778.0</v>
      </c>
      <c r="E46" s="20" t="s">
        <v>107</v>
      </c>
      <c r="F46" s="21"/>
      <c r="G46" s="22"/>
      <c r="H46" s="22"/>
      <c r="I46" s="21"/>
      <c r="J46" s="21">
        <v>4500.0</v>
      </c>
      <c r="K46" s="23"/>
      <c r="L46" s="22"/>
      <c r="M46" s="22"/>
      <c r="N46" s="22"/>
      <c r="O46" s="22"/>
      <c r="P46" s="24">
        <v>4500.0</v>
      </c>
      <c r="Q46" s="25">
        <f t="shared" si="1"/>
        <v>0</v>
      </c>
      <c r="R46" s="24" t="s">
        <v>57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45567.0</v>
      </c>
      <c r="C47" s="18" t="s">
        <v>109</v>
      </c>
      <c r="D47" s="19">
        <v>51814.0</v>
      </c>
      <c r="E47" s="20" t="s">
        <v>110</v>
      </c>
      <c r="F47" s="21"/>
      <c r="G47" s="22"/>
      <c r="H47" s="22"/>
      <c r="I47" s="21">
        <v>2650.0</v>
      </c>
      <c r="J47" s="21"/>
      <c r="K47" s="23"/>
      <c r="L47" s="22"/>
      <c r="M47" s="22"/>
      <c r="N47" s="22"/>
      <c r="O47" s="22"/>
      <c r="P47" s="24">
        <v>2650.0</v>
      </c>
      <c r="Q47" s="25">
        <f t="shared" si="1"/>
        <v>0</v>
      </c>
      <c r="R47" s="24" t="s">
        <v>57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45567.0</v>
      </c>
      <c r="C48" s="18" t="s">
        <v>111</v>
      </c>
      <c r="D48" s="19">
        <v>16390.0</v>
      </c>
      <c r="E48" s="20" t="s">
        <v>112</v>
      </c>
      <c r="F48" s="21"/>
      <c r="G48" s="22"/>
      <c r="H48" s="22"/>
      <c r="I48" s="21">
        <v>3750.0</v>
      </c>
      <c r="J48" s="21"/>
      <c r="K48" s="23"/>
      <c r="L48" s="22"/>
      <c r="M48" s="22"/>
      <c r="N48" s="22"/>
      <c r="O48" s="22"/>
      <c r="P48" s="24">
        <v>3750.0</v>
      </c>
      <c r="Q48" s="25">
        <f t="shared" si="1"/>
        <v>0</v>
      </c>
      <c r="R48" s="24" t="s">
        <v>57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45567.0</v>
      </c>
      <c r="C49" s="18" t="s">
        <v>113</v>
      </c>
      <c r="D49" s="19">
        <v>21821.0</v>
      </c>
      <c r="E49" s="20" t="s">
        <v>114</v>
      </c>
      <c r="F49" s="21"/>
      <c r="G49" s="22"/>
      <c r="H49" s="22"/>
      <c r="I49" s="21"/>
      <c r="J49" s="21"/>
      <c r="K49" s="23">
        <v>186000.0</v>
      </c>
      <c r="L49" s="22"/>
      <c r="M49" s="22"/>
      <c r="N49" s="22"/>
      <c r="O49" s="22"/>
      <c r="P49" s="24">
        <v>186000.0</v>
      </c>
      <c r="Q49" s="25">
        <f t="shared" si="1"/>
        <v>0</v>
      </c>
      <c r="R49" s="24" t="s">
        <v>25</v>
      </c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45567.0</v>
      </c>
      <c r="C50" s="18" t="s">
        <v>115</v>
      </c>
      <c r="D50" s="19">
        <v>84982.0</v>
      </c>
      <c r="E50" s="20" t="s">
        <v>116</v>
      </c>
      <c r="F50" s="21"/>
      <c r="G50" s="22"/>
      <c r="H50" s="22"/>
      <c r="I50" s="21"/>
      <c r="J50" s="21">
        <v>5750.0</v>
      </c>
      <c r="K50" s="23"/>
      <c r="L50" s="22"/>
      <c r="M50" s="22"/>
      <c r="N50" s="22"/>
      <c r="O50" s="22"/>
      <c r="P50" s="24">
        <v>5750.0</v>
      </c>
      <c r="Q50" s="25">
        <f t="shared" si="1"/>
        <v>0</v>
      </c>
      <c r="R50" s="24" t="s">
        <v>28</v>
      </c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45567.0</v>
      </c>
      <c r="C51" s="18" t="s">
        <v>117</v>
      </c>
      <c r="D51" s="19">
        <v>10249.0</v>
      </c>
      <c r="E51" s="20" t="s">
        <v>118</v>
      </c>
      <c r="F51" s="21"/>
      <c r="G51" s="22"/>
      <c r="H51" s="22"/>
      <c r="I51" s="21"/>
      <c r="J51" s="21">
        <v>900.0</v>
      </c>
      <c r="K51" s="23"/>
      <c r="L51" s="22"/>
      <c r="M51" s="22"/>
      <c r="N51" s="22"/>
      <c r="O51" s="22"/>
      <c r="P51" s="24">
        <v>900.0</v>
      </c>
      <c r="Q51" s="25">
        <f t="shared" si="1"/>
        <v>0</v>
      </c>
      <c r="R51" s="24" t="s">
        <v>25</v>
      </c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45567.0</v>
      </c>
      <c r="C52" s="18" t="s">
        <v>119</v>
      </c>
      <c r="D52" s="19">
        <v>22727.0</v>
      </c>
      <c r="E52" s="20" t="s">
        <v>120</v>
      </c>
      <c r="F52" s="21"/>
      <c r="G52" s="22"/>
      <c r="H52" s="22"/>
      <c r="I52" s="21">
        <v>5450.0</v>
      </c>
      <c r="J52" s="21"/>
      <c r="K52" s="23"/>
      <c r="L52" s="22"/>
      <c r="M52" s="22"/>
      <c r="N52" s="22"/>
      <c r="O52" s="22"/>
      <c r="P52" s="24">
        <v>5450.0</v>
      </c>
      <c r="Q52" s="25">
        <f t="shared" si="1"/>
        <v>0</v>
      </c>
      <c r="R52" s="24" t="s">
        <v>35</v>
      </c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45567.0</v>
      </c>
      <c r="C53" s="18" t="s">
        <v>121</v>
      </c>
      <c r="D53" s="19">
        <v>83746.0</v>
      </c>
      <c r="E53" s="20" t="s">
        <v>122</v>
      </c>
      <c r="F53" s="21"/>
      <c r="G53" s="22"/>
      <c r="H53" s="22"/>
      <c r="I53" s="21"/>
      <c r="J53" s="21">
        <v>300.0</v>
      </c>
      <c r="K53" s="23"/>
      <c r="L53" s="22"/>
      <c r="M53" s="22"/>
      <c r="N53" s="22"/>
      <c r="O53" s="22"/>
      <c r="P53" s="24">
        <v>300.0</v>
      </c>
      <c r="Q53" s="25">
        <f t="shared" si="1"/>
        <v>0</v>
      </c>
      <c r="R53" s="24" t="s">
        <v>28</v>
      </c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45567.0</v>
      </c>
      <c r="C54" s="18" t="s">
        <v>123</v>
      </c>
      <c r="D54" s="19">
        <v>54178.0</v>
      </c>
      <c r="E54" s="20" t="s">
        <v>124</v>
      </c>
      <c r="F54" s="21"/>
      <c r="G54" s="22"/>
      <c r="H54" s="22"/>
      <c r="I54" s="21">
        <v>300.0</v>
      </c>
      <c r="J54" s="21"/>
      <c r="K54" s="23"/>
      <c r="L54" s="22"/>
      <c r="M54" s="22"/>
      <c r="N54" s="22"/>
      <c r="O54" s="22"/>
      <c r="P54" s="24">
        <v>300.0</v>
      </c>
      <c r="Q54" s="25">
        <f t="shared" si="1"/>
        <v>0</v>
      </c>
      <c r="R54" s="24" t="s">
        <v>35</v>
      </c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45567.0</v>
      </c>
      <c r="C55" s="18" t="s">
        <v>125</v>
      </c>
      <c r="D55" s="19">
        <v>74087.0</v>
      </c>
      <c r="E55" s="20" t="s">
        <v>126</v>
      </c>
      <c r="F55" s="21"/>
      <c r="G55" s="22"/>
      <c r="H55" s="22"/>
      <c r="I55" s="21"/>
      <c r="J55" s="21"/>
      <c r="K55" s="23"/>
      <c r="L55" s="22"/>
      <c r="M55" s="22">
        <v>3050.0</v>
      </c>
      <c r="N55" s="22"/>
      <c r="O55" s="22"/>
      <c r="P55" s="24">
        <v>3050.0</v>
      </c>
      <c r="Q55" s="25">
        <f t="shared" si="1"/>
        <v>0</v>
      </c>
      <c r="R55" s="24" t="s">
        <v>28</v>
      </c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45567.0</v>
      </c>
      <c r="C56" s="18" t="s">
        <v>127</v>
      </c>
      <c r="D56" s="19">
        <v>52083.0</v>
      </c>
      <c r="E56" s="20" t="s">
        <v>24</v>
      </c>
      <c r="F56" s="21"/>
      <c r="G56" s="22"/>
      <c r="H56" s="22"/>
      <c r="I56" s="21">
        <v>1650.0</v>
      </c>
      <c r="J56" s="21"/>
      <c r="K56" s="23"/>
      <c r="L56" s="22"/>
      <c r="M56" s="22"/>
      <c r="N56" s="22"/>
      <c r="O56" s="22"/>
      <c r="P56" s="24">
        <v>1650.0</v>
      </c>
      <c r="Q56" s="25">
        <f t="shared" si="1"/>
        <v>0</v>
      </c>
      <c r="R56" s="24" t="s">
        <v>28</v>
      </c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45567.0</v>
      </c>
      <c r="C57" s="18" t="s">
        <v>128</v>
      </c>
      <c r="D57" s="19">
        <v>42046.0</v>
      </c>
      <c r="E57" s="20" t="s">
        <v>129</v>
      </c>
      <c r="F57" s="21"/>
      <c r="G57" s="22"/>
      <c r="H57" s="22"/>
      <c r="I57" s="21"/>
      <c r="J57" s="21">
        <v>25000.0</v>
      </c>
      <c r="K57" s="23">
        <v>10850.0</v>
      </c>
      <c r="L57" s="22"/>
      <c r="M57" s="22"/>
      <c r="N57" s="22"/>
      <c r="O57" s="22"/>
      <c r="P57" s="24">
        <v>35850.0</v>
      </c>
      <c r="Q57" s="25">
        <f t="shared" si="1"/>
        <v>0</v>
      </c>
      <c r="R57" s="24" t="s">
        <v>35</v>
      </c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7">
        <v>45567.0</v>
      </c>
      <c r="C58" s="18" t="s">
        <v>130</v>
      </c>
      <c r="D58" s="19">
        <v>84309.0</v>
      </c>
      <c r="E58" s="20" t="s">
        <v>131</v>
      </c>
      <c r="F58" s="21"/>
      <c r="G58" s="22"/>
      <c r="H58" s="22"/>
      <c r="I58" s="21">
        <v>300.0</v>
      </c>
      <c r="J58" s="21"/>
      <c r="K58" s="23"/>
      <c r="L58" s="22"/>
      <c r="M58" s="22"/>
      <c r="N58" s="22"/>
      <c r="O58" s="22"/>
      <c r="P58" s="24">
        <v>300.0</v>
      </c>
      <c r="Q58" s="25">
        <f t="shared" si="1"/>
        <v>0</v>
      </c>
      <c r="R58" s="24" t="s">
        <v>132</v>
      </c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7">
        <v>45567.0</v>
      </c>
      <c r="C59" s="18" t="s">
        <v>133</v>
      </c>
      <c r="D59" s="19">
        <v>47576.0</v>
      </c>
      <c r="E59" s="20" t="s">
        <v>134</v>
      </c>
      <c r="F59" s="21"/>
      <c r="G59" s="22"/>
      <c r="H59" s="22"/>
      <c r="I59" s="21"/>
      <c r="J59" s="21">
        <v>10000.0</v>
      </c>
      <c r="K59" s="23"/>
      <c r="L59" s="22"/>
      <c r="M59" s="22"/>
      <c r="N59" s="22"/>
      <c r="O59" s="22"/>
      <c r="P59" s="24">
        <v>10000.0</v>
      </c>
      <c r="Q59" s="25">
        <f t="shared" si="1"/>
        <v>0</v>
      </c>
      <c r="R59" s="24" t="s">
        <v>25</v>
      </c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7">
        <v>45567.0</v>
      </c>
      <c r="C60" s="18" t="s">
        <v>135</v>
      </c>
      <c r="D60" s="19">
        <v>80132.0</v>
      </c>
      <c r="E60" s="20" t="s">
        <v>136</v>
      </c>
      <c r="F60" s="21"/>
      <c r="G60" s="22"/>
      <c r="H60" s="22"/>
      <c r="I60" s="21">
        <v>10000.0</v>
      </c>
      <c r="J60" s="21"/>
      <c r="K60" s="23"/>
      <c r="L60" s="22"/>
      <c r="M60" s="22"/>
      <c r="N60" s="22"/>
      <c r="O60" s="22"/>
      <c r="P60" s="24">
        <v>10000.0</v>
      </c>
      <c r="Q60" s="25">
        <f t="shared" si="1"/>
        <v>0</v>
      </c>
      <c r="R60" s="24" t="s">
        <v>25</v>
      </c>
      <c r="S60" s="26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7">
        <v>45567.0</v>
      </c>
      <c r="C61" s="18" t="s">
        <v>137</v>
      </c>
      <c r="D61" s="19">
        <v>81107.0</v>
      </c>
      <c r="E61" s="20" t="s">
        <v>138</v>
      </c>
      <c r="F61" s="21"/>
      <c r="G61" s="22"/>
      <c r="H61" s="22"/>
      <c r="I61" s="21">
        <v>11400.0</v>
      </c>
      <c r="J61" s="21"/>
      <c r="K61" s="23"/>
      <c r="L61" s="22"/>
      <c r="M61" s="22"/>
      <c r="N61" s="22"/>
      <c r="O61" s="22"/>
      <c r="P61" s="24">
        <v>11400.0</v>
      </c>
      <c r="Q61" s="25">
        <f t="shared" si="1"/>
        <v>0</v>
      </c>
      <c r="R61" s="24" t="s">
        <v>28</v>
      </c>
      <c r="S61" s="26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7">
        <v>45567.0</v>
      </c>
      <c r="C62" s="18" t="s">
        <v>139</v>
      </c>
      <c r="D62" s="19">
        <v>24368.0</v>
      </c>
      <c r="E62" s="20" t="s">
        <v>140</v>
      </c>
      <c r="F62" s="21"/>
      <c r="G62" s="22"/>
      <c r="H62" s="22"/>
      <c r="I62" s="21">
        <v>180.0</v>
      </c>
      <c r="J62" s="21"/>
      <c r="K62" s="23">
        <v>1420.0</v>
      </c>
      <c r="L62" s="22"/>
      <c r="M62" s="22"/>
      <c r="N62" s="22"/>
      <c r="O62" s="22"/>
      <c r="P62" s="24">
        <v>1600.0</v>
      </c>
      <c r="Q62" s="25">
        <f t="shared" si="1"/>
        <v>0</v>
      </c>
      <c r="R62" s="24" t="s">
        <v>25</v>
      </c>
      <c r="S62" s="26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27">
        <v>45567.0</v>
      </c>
      <c r="C63" s="18" t="s">
        <v>141</v>
      </c>
      <c r="D63" s="19">
        <v>49831.0</v>
      </c>
      <c r="E63" s="20" t="s">
        <v>142</v>
      </c>
      <c r="F63" s="21"/>
      <c r="G63" s="22"/>
      <c r="H63" s="22"/>
      <c r="I63" s="21"/>
      <c r="J63" s="21">
        <v>2650.0</v>
      </c>
      <c r="K63" s="23"/>
      <c r="L63" s="22"/>
      <c r="M63" s="22"/>
      <c r="N63" s="22"/>
      <c r="O63" s="22"/>
      <c r="P63" s="24">
        <v>2650.0</v>
      </c>
      <c r="Q63" s="25">
        <f t="shared" si="1"/>
        <v>0</v>
      </c>
      <c r="R63" s="24" t="s">
        <v>48</v>
      </c>
      <c r="S63" s="26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27">
        <v>45567.0</v>
      </c>
      <c r="C64" s="18" t="s">
        <v>143</v>
      </c>
      <c r="D64" s="19">
        <v>41123.0</v>
      </c>
      <c r="E64" s="20" t="s">
        <v>144</v>
      </c>
      <c r="F64" s="21"/>
      <c r="G64" s="22"/>
      <c r="H64" s="22"/>
      <c r="I64" s="21">
        <v>8400.0</v>
      </c>
      <c r="J64" s="21"/>
      <c r="K64" s="23"/>
      <c r="L64" s="22"/>
      <c r="M64" s="22"/>
      <c r="N64" s="22"/>
      <c r="O64" s="22"/>
      <c r="P64" s="24">
        <v>8400.0</v>
      </c>
      <c r="Q64" s="25">
        <f t="shared" si="1"/>
        <v>0</v>
      </c>
      <c r="R64" s="24" t="s">
        <v>25</v>
      </c>
      <c r="S64" s="26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27">
        <v>45567.0</v>
      </c>
      <c r="C65" s="18" t="s">
        <v>145</v>
      </c>
      <c r="D65" s="19">
        <v>10002.0</v>
      </c>
      <c r="E65" s="20" t="s">
        <v>146</v>
      </c>
      <c r="F65" s="21"/>
      <c r="G65" s="22"/>
      <c r="H65" s="22"/>
      <c r="I65" s="21"/>
      <c r="J65" s="21"/>
      <c r="K65" s="23">
        <v>150.0</v>
      </c>
      <c r="L65" s="22"/>
      <c r="M65" s="22">
        <v>2500.0</v>
      </c>
      <c r="N65" s="22"/>
      <c r="O65" s="22"/>
      <c r="P65" s="24">
        <v>2650.0</v>
      </c>
      <c r="Q65" s="25">
        <f t="shared" si="1"/>
        <v>0</v>
      </c>
      <c r="R65" s="24" t="s">
        <v>25</v>
      </c>
      <c r="S65" s="26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27">
        <v>45567.0</v>
      </c>
      <c r="C66" s="18" t="s">
        <v>147</v>
      </c>
      <c r="D66" s="19">
        <v>73239.0</v>
      </c>
      <c r="E66" s="20" t="s">
        <v>148</v>
      </c>
      <c r="F66" s="21"/>
      <c r="G66" s="22"/>
      <c r="H66" s="22"/>
      <c r="I66" s="21">
        <v>2650.0</v>
      </c>
      <c r="J66" s="21"/>
      <c r="K66" s="23"/>
      <c r="L66" s="22"/>
      <c r="M66" s="22"/>
      <c r="N66" s="22"/>
      <c r="O66" s="22"/>
      <c r="P66" s="24">
        <v>2650.0</v>
      </c>
      <c r="Q66" s="25">
        <f t="shared" si="1"/>
        <v>0</v>
      </c>
      <c r="R66" s="24" t="s">
        <v>28</v>
      </c>
      <c r="S66" s="26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4.5" customHeight="1">
      <c r="A67" s="16">
        <v>63.0</v>
      </c>
      <c r="B67" s="27">
        <v>45567.0</v>
      </c>
      <c r="C67" s="18" t="s">
        <v>149</v>
      </c>
      <c r="D67" s="19">
        <v>21828.0</v>
      </c>
      <c r="E67" s="20" t="s">
        <v>150</v>
      </c>
      <c r="F67" s="21">
        <v>8950.0</v>
      </c>
      <c r="G67" s="22"/>
      <c r="H67" s="22"/>
      <c r="I67" s="21"/>
      <c r="J67" s="21"/>
      <c r="K67" s="23"/>
      <c r="L67" s="22"/>
      <c r="M67" s="22"/>
      <c r="N67" s="22"/>
      <c r="O67" s="22"/>
      <c r="P67" s="24">
        <v>8950.0</v>
      </c>
      <c r="Q67" s="25">
        <f t="shared" si="1"/>
        <v>0</v>
      </c>
      <c r="R67" s="24" t="s">
        <v>28</v>
      </c>
      <c r="S67" s="26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34.5" customHeight="1">
      <c r="A68" s="16">
        <v>64.0</v>
      </c>
      <c r="B68" s="27">
        <v>45567.0</v>
      </c>
      <c r="C68" s="18" t="s">
        <v>151</v>
      </c>
      <c r="D68" s="19">
        <v>84987.0</v>
      </c>
      <c r="E68" s="20" t="s">
        <v>152</v>
      </c>
      <c r="F68" s="21"/>
      <c r="G68" s="22"/>
      <c r="H68" s="22"/>
      <c r="I68" s="21"/>
      <c r="J68" s="21">
        <v>7300.0</v>
      </c>
      <c r="K68" s="23"/>
      <c r="L68" s="22"/>
      <c r="M68" s="22"/>
      <c r="N68" s="22"/>
      <c r="O68" s="22"/>
      <c r="P68" s="24">
        <v>7300.0</v>
      </c>
      <c r="Q68" s="25">
        <f t="shared" si="1"/>
        <v>0</v>
      </c>
      <c r="R68" s="24"/>
      <c r="S68" s="26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34.5" customHeight="1">
      <c r="A69" s="16">
        <v>65.0</v>
      </c>
      <c r="B69" s="27">
        <v>45567.0</v>
      </c>
      <c r="C69" s="18" t="s">
        <v>153</v>
      </c>
      <c r="D69" s="19">
        <v>31738.0</v>
      </c>
      <c r="E69" s="20" t="s">
        <v>154</v>
      </c>
      <c r="F69" s="21"/>
      <c r="G69" s="22"/>
      <c r="H69" s="22"/>
      <c r="I69" s="21"/>
      <c r="J69" s="21">
        <v>5000.0</v>
      </c>
      <c r="K69" s="23"/>
      <c r="L69" s="22"/>
      <c r="M69" s="22"/>
      <c r="N69" s="22"/>
      <c r="O69" s="22"/>
      <c r="P69" s="24">
        <v>5000.0</v>
      </c>
      <c r="Q69" s="25">
        <f t="shared" si="1"/>
        <v>0</v>
      </c>
      <c r="R69" s="24"/>
      <c r="S69" s="26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34.5" customHeight="1">
      <c r="A70" s="16">
        <v>66.0</v>
      </c>
      <c r="B70" s="27">
        <v>45565.0</v>
      </c>
      <c r="C70" s="18" t="s">
        <v>155</v>
      </c>
      <c r="D70" s="19">
        <v>43380.0</v>
      </c>
      <c r="E70" s="20" t="s">
        <v>156</v>
      </c>
      <c r="F70" s="21"/>
      <c r="G70" s="22"/>
      <c r="H70" s="22">
        <v>600.0</v>
      </c>
      <c r="I70" s="21"/>
      <c r="J70" s="21"/>
      <c r="K70" s="23"/>
      <c r="L70" s="22"/>
      <c r="M70" s="22"/>
      <c r="N70" s="22"/>
      <c r="O70" s="22"/>
      <c r="P70" s="24">
        <v>600.0</v>
      </c>
      <c r="Q70" s="25">
        <f t="shared" si="1"/>
        <v>0</v>
      </c>
      <c r="R70" s="24"/>
      <c r="S70" s="26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34.5" customHeight="1">
      <c r="A71" s="16">
        <v>67.0</v>
      </c>
      <c r="B71" s="27">
        <v>45565.0</v>
      </c>
      <c r="C71" s="18" t="s">
        <v>157</v>
      </c>
      <c r="D71" s="19">
        <v>14329.0</v>
      </c>
      <c r="E71" s="20" t="s">
        <v>158</v>
      </c>
      <c r="F71" s="21"/>
      <c r="G71" s="22"/>
      <c r="H71" s="22"/>
      <c r="I71" s="21"/>
      <c r="J71" s="21"/>
      <c r="K71" s="23"/>
      <c r="L71" s="22"/>
      <c r="M71" s="22">
        <v>4300.0</v>
      </c>
      <c r="N71" s="22"/>
      <c r="O71" s="22"/>
      <c r="P71" s="24">
        <v>4300.0</v>
      </c>
      <c r="Q71" s="25">
        <f t="shared" si="1"/>
        <v>0</v>
      </c>
      <c r="R71" s="24"/>
      <c r="S71" s="26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34.5" customHeight="1">
      <c r="A72" s="16">
        <v>68.0</v>
      </c>
      <c r="B72" s="27">
        <v>45565.0</v>
      </c>
      <c r="C72" s="18" t="s">
        <v>159</v>
      </c>
      <c r="D72" s="19">
        <v>10357.0</v>
      </c>
      <c r="E72" s="20" t="s">
        <v>160</v>
      </c>
      <c r="F72" s="21"/>
      <c r="G72" s="22"/>
      <c r="H72" s="22">
        <v>4500.0</v>
      </c>
      <c r="I72" s="21"/>
      <c r="J72" s="21"/>
      <c r="K72" s="23"/>
      <c r="L72" s="22"/>
      <c r="M72" s="22"/>
      <c r="N72" s="22"/>
      <c r="O72" s="22"/>
      <c r="P72" s="24">
        <v>4500.0</v>
      </c>
      <c r="Q72" s="25">
        <f t="shared" si="1"/>
        <v>0</v>
      </c>
      <c r="R72" s="24"/>
      <c r="S72" s="26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34.5" customHeight="1">
      <c r="A73" s="16">
        <v>69.0</v>
      </c>
      <c r="B73" s="27">
        <v>45565.0</v>
      </c>
      <c r="C73" s="18" t="s">
        <v>161</v>
      </c>
      <c r="D73" s="19">
        <v>50607.0</v>
      </c>
      <c r="E73" s="20" t="s">
        <v>162</v>
      </c>
      <c r="F73" s="21"/>
      <c r="G73" s="22"/>
      <c r="H73" s="22"/>
      <c r="I73" s="21"/>
      <c r="J73" s="21"/>
      <c r="K73" s="23"/>
      <c r="L73" s="22"/>
      <c r="M73" s="22">
        <v>7000.0</v>
      </c>
      <c r="N73" s="22"/>
      <c r="O73" s="22"/>
      <c r="P73" s="24">
        <v>7000.0</v>
      </c>
      <c r="Q73" s="25">
        <f t="shared" si="1"/>
        <v>0</v>
      </c>
      <c r="R73" s="24"/>
      <c r="S73" s="26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34.5" customHeight="1">
      <c r="A74" s="16">
        <v>70.0</v>
      </c>
      <c r="B74" s="27">
        <v>45566.0</v>
      </c>
      <c r="C74" s="18" t="s">
        <v>163</v>
      </c>
      <c r="D74" s="19">
        <v>21828.0</v>
      </c>
      <c r="E74" s="20" t="s">
        <v>150</v>
      </c>
      <c r="F74" s="21"/>
      <c r="G74" s="22"/>
      <c r="H74" s="22"/>
      <c r="I74" s="21"/>
      <c r="J74" s="21"/>
      <c r="K74" s="23"/>
      <c r="L74" s="22"/>
      <c r="M74" s="22"/>
      <c r="N74" s="22"/>
      <c r="O74" s="22">
        <v>2400.0</v>
      </c>
      <c r="P74" s="24">
        <v>2400.0</v>
      </c>
      <c r="Q74" s="25">
        <f t="shared" si="1"/>
        <v>0</v>
      </c>
      <c r="R74" s="24"/>
      <c r="S74" s="26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34.5" customHeight="1">
      <c r="A75" s="16">
        <v>71.0</v>
      </c>
      <c r="B75" s="27">
        <v>45567.0</v>
      </c>
      <c r="C75" s="18" t="s">
        <v>164</v>
      </c>
      <c r="D75" s="19">
        <v>51017.0</v>
      </c>
      <c r="E75" s="20" t="s">
        <v>165</v>
      </c>
      <c r="F75" s="21"/>
      <c r="G75" s="22"/>
      <c r="H75" s="22">
        <v>10000.0</v>
      </c>
      <c r="I75" s="21"/>
      <c r="J75" s="21"/>
      <c r="K75" s="23"/>
      <c r="L75" s="22"/>
      <c r="M75" s="22"/>
      <c r="N75" s="22"/>
      <c r="O75" s="22"/>
      <c r="P75" s="24">
        <v>10000.0</v>
      </c>
      <c r="Q75" s="25">
        <f t="shared" si="1"/>
        <v>0</v>
      </c>
      <c r="R75" s="24"/>
      <c r="S75" s="26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34.5" customHeight="1">
      <c r="A76" s="16">
        <v>72.0</v>
      </c>
      <c r="B76" s="27">
        <v>45567.0</v>
      </c>
      <c r="C76" s="18" t="s">
        <v>166</v>
      </c>
      <c r="D76" s="19">
        <v>36555.0</v>
      </c>
      <c r="E76" s="20" t="s">
        <v>167</v>
      </c>
      <c r="F76" s="21"/>
      <c r="G76" s="22"/>
      <c r="H76" s="22"/>
      <c r="I76" s="21"/>
      <c r="J76" s="21"/>
      <c r="K76" s="23">
        <v>180.0</v>
      </c>
      <c r="L76" s="22"/>
      <c r="M76" s="22"/>
      <c r="N76" s="22"/>
      <c r="O76" s="22">
        <v>3420.0</v>
      </c>
      <c r="P76" s="24">
        <v>3600.0</v>
      </c>
      <c r="Q76" s="25">
        <f t="shared" si="1"/>
        <v>0</v>
      </c>
      <c r="R76" s="24"/>
      <c r="S76" s="26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34.5" customHeight="1">
      <c r="A77" s="16">
        <v>73.0</v>
      </c>
      <c r="B77" s="27">
        <v>45567.0</v>
      </c>
      <c r="C77" s="18" t="s">
        <v>168</v>
      </c>
      <c r="D77" s="19">
        <v>25650.0</v>
      </c>
      <c r="E77" s="20" t="s">
        <v>169</v>
      </c>
      <c r="F77" s="21"/>
      <c r="G77" s="22"/>
      <c r="H77" s="22">
        <v>2400.0</v>
      </c>
      <c r="I77" s="21"/>
      <c r="J77" s="21"/>
      <c r="K77" s="23"/>
      <c r="L77" s="22"/>
      <c r="M77" s="22"/>
      <c r="N77" s="22"/>
      <c r="O77" s="22"/>
      <c r="P77" s="24">
        <v>2400.0</v>
      </c>
      <c r="Q77" s="25">
        <f t="shared" si="1"/>
        <v>0</v>
      </c>
      <c r="R77" s="24"/>
      <c r="S77" s="26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34.5" customHeight="1">
      <c r="A78" s="16">
        <v>74.0</v>
      </c>
      <c r="B78" s="27">
        <v>45567.0</v>
      </c>
      <c r="C78" s="18" t="s">
        <v>170</v>
      </c>
      <c r="D78" s="19">
        <v>10250.0</v>
      </c>
      <c r="E78" s="20" t="s">
        <v>171</v>
      </c>
      <c r="F78" s="21"/>
      <c r="G78" s="22"/>
      <c r="H78" s="22">
        <v>14500.0</v>
      </c>
      <c r="I78" s="21"/>
      <c r="J78" s="21"/>
      <c r="K78" s="23"/>
      <c r="L78" s="22"/>
      <c r="M78" s="22"/>
      <c r="N78" s="22"/>
      <c r="O78" s="22"/>
      <c r="P78" s="24">
        <v>14500.0</v>
      </c>
      <c r="Q78" s="25">
        <f t="shared" si="1"/>
        <v>0</v>
      </c>
      <c r="R78" s="24"/>
      <c r="S78" s="26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34.5" customHeight="1">
      <c r="A79" s="16">
        <v>75.0</v>
      </c>
      <c r="B79" s="27">
        <v>45567.0</v>
      </c>
      <c r="C79" s="18" t="s">
        <v>172</v>
      </c>
      <c r="D79" s="19">
        <v>29621.0</v>
      </c>
      <c r="E79" s="20" t="s">
        <v>96</v>
      </c>
      <c r="F79" s="21"/>
      <c r="G79" s="22"/>
      <c r="H79" s="22"/>
      <c r="I79" s="21"/>
      <c r="J79" s="21"/>
      <c r="K79" s="23">
        <v>121.0</v>
      </c>
      <c r="L79" s="22"/>
      <c r="M79" s="22"/>
      <c r="N79" s="22"/>
      <c r="O79" s="22">
        <v>2679.0</v>
      </c>
      <c r="P79" s="24">
        <v>2800.0</v>
      </c>
      <c r="Q79" s="25">
        <f t="shared" si="1"/>
        <v>0</v>
      </c>
      <c r="R79" s="24"/>
      <c r="S79" s="26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34.5" customHeight="1">
      <c r="A80" s="16">
        <v>76.0</v>
      </c>
      <c r="B80" s="27">
        <v>45567.0</v>
      </c>
      <c r="C80" s="18" t="s">
        <v>173</v>
      </c>
      <c r="D80" s="19">
        <v>46927.0</v>
      </c>
      <c r="E80" s="20" t="s">
        <v>94</v>
      </c>
      <c r="F80" s="21"/>
      <c r="G80" s="22"/>
      <c r="H80" s="22"/>
      <c r="I80" s="21"/>
      <c r="J80" s="21"/>
      <c r="K80" s="23"/>
      <c r="L80" s="22"/>
      <c r="M80" s="22"/>
      <c r="N80" s="22"/>
      <c r="O80" s="22">
        <v>1700.0</v>
      </c>
      <c r="P80" s="24">
        <v>1700.0</v>
      </c>
      <c r="Q80" s="25">
        <f t="shared" si="1"/>
        <v>0</v>
      </c>
      <c r="R80" s="24"/>
      <c r="S80" s="26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34.5" customHeight="1">
      <c r="A81" s="16">
        <v>77.0</v>
      </c>
      <c r="B81" s="27">
        <v>45567.0</v>
      </c>
      <c r="C81" s="18" t="s">
        <v>174</v>
      </c>
      <c r="D81" s="19">
        <v>10249.0</v>
      </c>
      <c r="E81" s="20" t="s">
        <v>118</v>
      </c>
      <c r="F81" s="21"/>
      <c r="G81" s="22"/>
      <c r="H81" s="22"/>
      <c r="I81" s="21"/>
      <c r="J81" s="21"/>
      <c r="K81" s="23">
        <v>300.0</v>
      </c>
      <c r="L81" s="22"/>
      <c r="M81" s="22"/>
      <c r="N81" s="22"/>
      <c r="O81" s="22"/>
      <c r="P81" s="24">
        <v>300.0</v>
      </c>
      <c r="Q81" s="25">
        <f t="shared" si="1"/>
        <v>0</v>
      </c>
      <c r="R81" s="24"/>
      <c r="S81" s="26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34.5" customHeight="1">
      <c r="A82" s="16">
        <v>78.0</v>
      </c>
      <c r="B82" s="27">
        <v>45567.0</v>
      </c>
      <c r="C82" s="18" t="s">
        <v>175</v>
      </c>
      <c r="D82" s="19">
        <v>10249.0</v>
      </c>
      <c r="E82" s="20" t="s">
        <v>118</v>
      </c>
      <c r="F82" s="21"/>
      <c r="G82" s="22"/>
      <c r="H82" s="22"/>
      <c r="I82" s="21"/>
      <c r="J82" s="21"/>
      <c r="K82" s="23">
        <v>155.0</v>
      </c>
      <c r="L82" s="22"/>
      <c r="M82" s="22"/>
      <c r="N82" s="22"/>
      <c r="O82" s="22">
        <v>2245.0</v>
      </c>
      <c r="P82" s="24">
        <v>2400.0</v>
      </c>
      <c r="Q82" s="25">
        <f t="shared" si="1"/>
        <v>0</v>
      </c>
      <c r="R82" s="24"/>
      <c r="S82" s="26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34.5" customHeight="1">
      <c r="A83" s="16">
        <v>79.0</v>
      </c>
      <c r="B83" s="27">
        <v>45567.0</v>
      </c>
      <c r="C83" s="18" t="s">
        <v>176</v>
      </c>
      <c r="D83" s="19">
        <v>31927.0</v>
      </c>
      <c r="E83" s="20" t="s">
        <v>177</v>
      </c>
      <c r="F83" s="21"/>
      <c r="G83" s="22"/>
      <c r="H83" s="22"/>
      <c r="I83" s="21"/>
      <c r="J83" s="21"/>
      <c r="K83" s="23"/>
      <c r="L83" s="22"/>
      <c r="M83" s="22">
        <v>2550.0</v>
      </c>
      <c r="N83" s="22"/>
      <c r="O83" s="22"/>
      <c r="P83" s="24">
        <v>2550.0</v>
      </c>
      <c r="Q83" s="25">
        <f t="shared" si="1"/>
        <v>0</v>
      </c>
      <c r="R83" s="24"/>
      <c r="S83" s="26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34.5" customHeight="1">
      <c r="A84" s="16">
        <v>80.0</v>
      </c>
      <c r="B84" s="27">
        <v>45567.0</v>
      </c>
      <c r="C84" s="18" t="s">
        <v>178</v>
      </c>
      <c r="D84" s="19">
        <v>83066.0</v>
      </c>
      <c r="E84" s="20" t="s">
        <v>179</v>
      </c>
      <c r="F84" s="21"/>
      <c r="G84" s="22"/>
      <c r="H84" s="22"/>
      <c r="I84" s="21"/>
      <c r="J84" s="21"/>
      <c r="K84" s="23"/>
      <c r="L84" s="22"/>
      <c r="M84" s="22"/>
      <c r="N84" s="22"/>
      <c r="O84" s="22">
        <v>4100.0</v>
      </c>
      <c r="P84" s="24">
        <v>4100.0</v>
      </c>
      <c r="Q84" s="25">
        <f t="shared" si="1"/>
        <v>0</v>
      </c>
      <c r="R84" s="24"/>
      <c r="S84" s="26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34.5" customHeight="1">
      <c r="A85" s="16">
        <v>81.0</v>
      </c>
      <c r="B85" s="27">
        <v>45567.0</v>
      </c>
      <c r="C85" s="18" t="s">
        <v>180</v>
      </c>
      <c r="D85" s="19">
        <v>42278.0</v>
      </c>
      <c r="E85" s="20" t="s">
        <v>181</v>
      </c>
      <c r="F85" s="21"/>
      <c r="G85" s="22"/>
      <c r="H85" s="22"/>
      <c r="I85" s="21"/>
      <c r="J85" s="21"/>
      <c r="K85" s="23"/>
      <c r="L85" s="22"/>
      <c r="M85" s="22"/>
      <c r="N85" s="22"/>
      <c r="O85" s="22">
        <v>2400.0</v>
      </c>
      <c r="P85" s="24">
        <v>2400.0</v>
      </c>
      <c r="Q85" s="25">
        <f t="shared" si="1"/>
        <v>0</v>
      </c>
      <c r="R85" s="24"/>
      <c r="S85" s="26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34.5" customHeight="1">
      <c r="A86" s="16">
        <v>82.0</v>
      </c>
      <c r="B86" s="27">
        <v>45567.0</v>
      </c>
      <c r="C86" s="18" t="s">
        <v>182</v>
      </c>
      <c r="D86" s="19">
        <v>27880.0</v>
      </c>
      <c r="E86" s="20" t="s">
        <v>183</v>
      </c>
      <c r="F86" s="21"/>
      <c r="G86" s="22"/>
      <c r="H86" s="22"/>
      <c r="I86" s="21"/>
      <c r="J86" s="21"/>
      <c r="K86" s="23"/>
      <c r="L86" s="22"/>
      <c r="M86" s="22"/>
      <c r="N86" s="22"/>
      <c r="O86" s="22">
        <v>2400.0</v>
      </c>
      <c r="P86" s="24">
        <v>2400.0</v>
      </c>
      <c r="Q86" s="25">
        <f t="shared" si="1"/>
        <v>0</v>
      </c>
      <c r="R86" s="24"/>
      <c r="S86" s="26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34.5" customHeight="1">
      <c r="A87" s="16">
        <v>83.0</v>
      </c>
      <c r="B87" s="27">
        <v>45567.0</v>
      </c>
      <c r="C87" s="18" t="s">
        <v>184</v>
      </c>
      <c r="D87" s="19">
        <v>56980.0</v>
      </c>
      <c r="E87" s="20" t="s">
        <v>185</v>
      </c>
      <c r="F87" s="21"/>
      <c r="G87" s="22"/>
      <c r="H87" s="22"/>
      <c r="I87" s="21"/>
      <c r="J87" s="21"/>
      <c r="K87" s="23"/>
      <c r="L87" s="22"/>
      <c r="M87" s="22"/>
      <c r="N87" s="22"/>
      <c r="O87" s="22">
        <v>800.0</v>
      </c>
      <c r="P87" s="24">
        <v>800.0</v>
      </c>
      <c r="Q87" s="25">
        <f t="shared" si="1"/>
        <v>0</v>
      </c>
      <c r="R87" s="24"/>
      <c r="S87" s="26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34.5" customHeight="1">
      <c r="A88" s="16">
        <v>84.0</v>
      </c>
      <c r="B88" s="27">
        <v>45567.0</v>
      </c>
      <c r="C88" s="18" t="s">
        <v>186</v>
      </c>
      <c r="D88" s="19">
        <v>24368.0</v>
      </c>
      <c r="E88" s="20" t="s">
        <v>140</v>
      </c>
      <c r="F88" s="21"/>
      <c r="G88" s="22"/>
      <c r="H88" s="22"/>
      <c r="I88" s="21"/>
      <c r="J88" s="21"/>
      <c r="K88" s="23"/>
      <c r="L88" s="22"/>
      <c r="M88" s="22"/>
      <c r="N88" s="22"/>
      <c r="O88" s="22">
        <v>1200.0</v>
      </c>
      <c r="P88" s="24">
        <v>1200.0</v>
      </c>
      <c r="Q88" s="25">
        <f t="shared" si="1"/>
        <v>0</v>
      </c>
      <c r="R88" s="24"/>
      <c r="S88" s="26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34.5" customHeight="1">
      <c r="A89" s="16">
        <v>85.0</v>
      </c>
      <c r="B89" s="27">
        <v>45567.0</v>
      </c>
      <c r="C89" s="18" t="s">
        <v>187</v>
      </c>
      <c r="D89" s="19">
        <v>51406.0</v>
      </c>
      <c r="E89" s="20" t="s">
        <v>188</v>
      </c>
      <c r="F89" s="21"/>
      <c r="G89" s="22"/>
      <c r="H89" s="22"/>
      <c r="I89" s="21"/>
      <c r="J89" s="21"/>
      <c r="K89" s="23"/>
      <c r="L89" s="22"/>
      <c r="M89" s="22"/>
      <c r="N89" s="22"/>
      <c r="O89" s="22">
        <v>2400.0</v>
      </c>
      <c r="P89" s="24">
        <v>2400.0</v>
      </c>
      <c r="Q89" s="25">
        <f t="shared" si="1"/>
        <v>0</v>
      </c>
      <c r="R89" s="24"/>
      <c r="S89" s="26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34.5" customHeight="1">
      <c r="A90" s="16">
        <v>86.0</v>
      </c>
      <c r="B90" s="27">
        <v>45567.0</v>
      </c>
      <c r="C90" s="18" t="s">
        <v>189</v>
      </c>
      <c r="D90" s="19">
        <v>21828.0</v>
      </c>
      <c r="E90" s="20" t="s">
        <v>150</v>
      </c>
      <c r="F90" s="21" t="s">
        <v>190</v>
      </c>
      <c r="G90" s="22"/>
      <c r="H90" s="22"/>
      <c r="I90" s="21"/>
      <c r="J90" s="21"/>
      <c r="K90" s="23">
        <v>380.0</v>
      </c>
      <c r="L90" s="22"/>
      <c r="M90" s="22"/>
      <c r="N90" s="22"/>
      <c r="O90" s="22">
        <v>820.0</v>
      </c>
      <c r="P90" s="24">
        <v>1200.0</v>
      </c>
      <c r="Q90" s="25">
        <v>0.0</v>
      </c>
      <c r="R90" s="24"/>
      <c r="S90" s="26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37.5" customHeight="1">
      <c r="A91" s="16"/>
      <c r="B91" s="27"/>
      <c r="C91" s="18"/>
      <c r="D91" s="19" t="s">
        <v>190</v>
      </c>
      <c r="E91" s="20"/>
      <c r="F91" s="45">
        <f t="shared" ref="F91:P91" si="2">SUM(F5:F90)</f>
        <v>9750</v>
      </c>
      <c r="G91" s="45">
        <f t="shared" si="2"/>
        <v>0</v>
      </c>
      <c r="H91" s="45">
        <f t="shared" si="2"/>
        <v>32000</v>
      </c>
      <c r="I91" s="45">
        <f t="shared" si="2"/>
        <v>310931</v>
      </c>
      <c r="J91" s="45">
        <f t="shared" si="2"/>
        <v>134147</v>
      </c>
      <c r="K91" s="45">
        <f t="shared" si="2"/>
        <v>213732</v>
      </c>
      <c r="L91" s="45">
        <f t="shared" si="2"/>
        <v>0</v>
      </c>
      <c r="M91" s="45">
        <f t="shared" si="2"/>
        <v>21300</v>
      </c>
      <c r="N91" s="45">
        <f t="shared" si="2"/>
        <v>0</v>
      </c>
      <c r="O91" s="45">
        <f t="shared" si="2"/>
        <v>26564</v>
      </c>
      <c r="P91" s="45">
        <f t="shared" si="2"/>
        <v>748424</v>
      </c>
      <c r="Q91" s="46">
        <v>0.0</v>
      </c>
      <c r="R91" s="47"/>
      <c r="S91" s="26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</row>
    <row r="92" ht="58.5" customHeight="1">
      <c r="A92" s="48"/>
      <c r="B92" s="48"/>
      <c r="C92" s="49"/>
      <c r="D92" s="48"/>
      <c r="E92" s="48"/>
      <c r="F92" s="50">
        <f>F91+G91+H91+I91+J91+K91+L91+M91+N91+O91</f>
        <v>748424</v>
      </c>
      <c r="P92" s="51"/>
      <c r="Q92" s="51"/>
      <c r="R92" s="48"/>
      <c r="S92" s="48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26.2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26.25" customHeight="1">
      <c r="A95" s="4"/>
      <c r="B95" s="4"/>
      <c r="C95" s="53" t="s">
        <v>190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26.25" customHeight="1">
      <c r="A96" s="4"/>
      <c r="B96" s="4"/>
      <c r="C96" s="52"/>
      <c r="D96" s="4"/>
      <c r="E96" s="54" t="s">
        <v>191</v>
      </c>
      <c r="F96" s="55" t="s">
        <v>192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26.25" customHeight="1">
      <c r="A97" s="4"/>
      <c r="B97" s="4"/>
      <c r="C97" s="52"/>
      <c r="D97" s="4"/>
      <c r="E97" s="56" t="s">
        <v>193</v>
      </c>
      <c r="F97" s="55" t="s">
        <v>194</v>
      </c>
      <c r="G97" s="4"/>
      <c r="H97" s="4"/>
      <c r="I97" s="4"/>
      <c r="J97" s="4"/>
      <c r="K97" s="4"/>
      <c r="L97" s="4"/>
      <c r="M97" s="4"/>
      <c r="N97" s="4"/>
      <c r="O97" s="57" t="s">
        <v>190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26.25" customHeight="1">
      <c r="A98" s="4"/>
      <c r="B98" s="4"/>
      <c r="C98" s="52"/>
      <c r="D98" s="4"/>
      <c r="E98" s="56" t="s">
        <v>195</v>
      </c>
      <c r="F98" s="55" t="s">
        <v>196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26.25" customHeight="1">
      <c r="A99" s="4"/>
      <c r="B99" s="4"/>
      <c r="C99" s="52"/>
      <c r="D99" s="4"/>
      <c r="E99" s="56" t="s">
        <v>197</v>
      </c>
      <c r="F99" s="55" t="s">
        <v>196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26.25" customHeight="1">
      <c r="A100" s="4"/>
      <c r="B100" s="4"/>
      <c r="C100" s="52"/>
      <c r="D100" s="4"/>
      <c r="E100" s="56" t="s">
        <v>198</v>
      </c>
      <c r="F100" s="55" t="s">
        <v>199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26.25" customHeight="1">
      <c r="A101" s="4"/>
      <c r="B101" s="4"/>
      <c r="C101" s="52"/>
      <c r="D101" s="4"/>
      <c r="E101" s="56" t="s">
        <v>200</v>
      </c>
      <c r="F101" s="55" t="s">
        <v>196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26.25" customHeight="1">
      <c r="A102" s="4"/>
      <c r="B102" s="4"/>
      <c r="C102" s="52"/>
      <c r="D102" s="4"/>
      <c r="E102" s="56" t="s">
        <v>201</v>
      </c>
      <c r="F102" s="55" t="s">
        <v>202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26.25" customHeight="1">
      <c r="A103" s="4"/>
      <c r="B103" s="4"/>
      <c r="C103" s="52"/>
      <c r="D103" s="4"/>
      <c r="E103" s="56" t="s">
        <v>203</v>
      </c>
      <c r="F103" s="58" t="s">
        <v>204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7" t="s">
        <v>190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26.2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 t="str">
        <f>I72491</f>
        <v/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26.2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57" t="s">
        <v>205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>
        <v>7.0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5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5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5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5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5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5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5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5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5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5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4"/>
      <c r="B304" s="4"/>
      <c r="C304" s="5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5.75" customHeight="1">
      <c r="A305" s="4"/>
      <c r="B305" s="4"/>
      <c r="C305" s="5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5.75" customHeight="1">
      <c r="A306" s="4"/>
      <c r="B306" s="4"/>
      <c r="C306" s="5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5.75" customHeight="1">
      <c r="A307" s="4"/>
      <c r="B307" s="4"/>
      <c r="C307" s="5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5.75" customHeight="1">
      <c r="A308" s="4"/>
      <c r="B308" s="4"/>
      <c r="C308" s="5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5.75" customHeight="1">
      <c r="A309" s="4"/>
      <c r="B309" s="4"/>
      <c r="C309" s="5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5.75" customHeight="1">
      <c r="A310" s="4"/>
      <c r="B310" s="4"/>
      <c r="C310" s="5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5.75" customHeight="1">
      <c r="A311" s="4"/>
      <c r="B311" s="4"/>
      <c r="C311" s="5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5.75" customHeight="1">
      <c r="A312" s="4"/>
      <c r="B312" s="4"/>
      <c r="C312" s="5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5.75" customHeight="1">
      <c r="A313" s="4"/>
      <c r="B313" s="4"/>
      <c r="C313" s="5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5.75" customHeight="1">
      <c r="A314" s="4"/>
      <c r="B314" s="4"/>
      <c r="C314" s="5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5.75" customHeight="1">
      <c r="A315" s="4"/>
      <c r="B315" s="4"/>
      <c r="C315" s="5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5.75" customHeight="1">
      <c r="A316" s="4"/>
      <c r="B316" s="4"/>
      <c r="C316" s="5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5.75" customHeight="1">
      <c r="A317" s="4"/>
      <c r="B317" s="4"/>
      <c r="C317" s="5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5.75" customHeight="1">
      <c r="A318" s="4"/>
      <c r="B318" s="4"/>
      <c r="C318" s="5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5.75" customHeight="1">
      <c r="A319" s="4"/>
      <c r="B319" s="4"/>
      <c r="C319" s="5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5.75" customHeight="1">
      <c r="A320" s="4"/>
      <c r="B320" s="4"/>
      <c r="C320" s="5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5.75" customHeight="1">
      <c r="A321" s="4"/>
      <c r="B321" s="4"/>
      <c r="C321" s="5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5.75" customHeight="1">
      <c r="A322" s="4"/>
      <c r="B322" s="4"/>
      <c r="C322" s="5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5.75" customHeight="1">
      <c r="A323" s="4"/>
      <c r="B323" s="4"/>
      <c r="C323" s="5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5.75" customHeight="1">
      <c r="A324" s="4"/>
      <c r="B324" s="4"/>
      <c r="C324" s="5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5.75" customHeight="1">
      <c r="A325" s="4"/>
      <c r="B325" s="4"/>
      <c r="C325" s="5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5.75" customHeight="1">
      <c r="A326" s="4"/>
      <c r="B326" s="4"/>
      <c r="C326" s="5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17">
    <mergeCell ref="R2:R4"/>
    <mergeCell ref="S2:S4"/>
    <mergeCell ref="F3:F4"/>
    <mergeCell ref="G3:H3"/>
    <mergeCell ref="I3:J3"/>
    <mergeCell ref="K3:K4"/>
    <mergeCell ref="F92:O9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45567.0</v>
      </c>
      <c r="C5" s="18" t="s">
        <v>207</v>
      </c>
      <c r="D5" s="19">
        <v>84861.0</v>
      </c>
      <c r="E5" s="20" t="s">
        <v>208</v>
      </c>
      <c r="F5" s="21"/>
      <c r="G5" s="22"/>
      <c r="H5" s="22"/>
      <c r="I5" s="21"/>
      <c r="J5" s="22">
        <v>300.0</v>
      </c>
      <c r="K5" s="22"/>
      <c r="L5" s="22"/>
      <c r="M5" s="21"/>
      <c r="N5" s="22"/>
      <c r="O5" s="22"/>
      <c r="P5" s="24">
        <v>300.0</v>
      </c>
      <c r="Q5" s="25">
        <f t="shared" ref="Q5:Q52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45568.0</v>
      </c>
      <c r="C6" s="18" t="s">
        <v>209</v>
      </c>
      <c r="D6" s="19">
        <v>22332.0</v>
      </c>
      <c r="E6" s="20" t="s">
        <v>210</v>
      </c>
      <c r="F6" s="22"/>
      <c r="G6" s="22"/>
      <c r="H6" s="21"/>
      <c r="I6" s="21">
        <v>150.0</v>
      </c>
      <c r="J6" s="23"/>
      <c r="K6" s="22"/>
      <c r="L6" s="22"/>
      <c r="M6" s="22"/>
      <c r="N6" s="22"/>
      <c r="O6" s="22"/>
      <c r="P6" s="24">
        <v>150.0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45568.0</v>
      </c>
      <c r="C7" s="18" t="s">
        <v>211</v>
      </c>
      <c r="D7" s="19">
        <v>55041.0</v>
      </c>
      <c r="E7" s="20" t="s">
        <v>212</v>
      </c>
      <c r="F7" s="22"/>
      <c r="G7" s="22"/>
      <c r="H7" s="22"/>
      <c r="I7" s="21">
        <v>2650.0</v>
      </c>
      <c r="J7" s="21"/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48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45568.0</v>
      </c>
      <c r="C8" s="18" t="s">
        <v>213</v>
      </c>
      <c r="D8" s="19">
        <v>77766.0</v>
      </c>
      <c r="E8" s="20" t="s">
        <v>214</v>
      </c>
      <c r="F8" s="22"/>
      <c r="G8" s="22"/>
      <c r="H8" s="22"/>
      <c r="I8" s="21">
        <v>1950.0</v>
      </c>
      <c r="J8" s="21"/>
      <c r="K8" s="22"/>
      <c r="L8" s="22"/>
      <c r="M8" s="21"/>
      <c r="N8" s="22"/>
      <c r="O8" s="22"/>
      <c r="P8" s="24">
        <v>1950.0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45568.0</v>
      </c>
      <c r="C9" s="18" t="s">
        <v>215</v>
      </c>
      <c r="D9" s="19">
        <v>82083.0</v>
      </c>
      <c r="E9" s="20" t="s">
        <v>216</v>
      </c>
      <c r="F9" s="22"/>
      <c r="G9" s="22"/>
      <c r="H9" s="22"/>
      <c r="I9" s="21">
        <v>1600.0</v>
      </c>
      <c r="J9" s="21"/>
      <c r="K9" s="22"/>
      <c r="L9" s="22"/>
      <c r="M9" s="21"/>
      <c r="N9" s="22"/>
      <c r="O9" s="22"/>
      <c r="P9" s="24">
        <v>1600.0</v>
      </c>
      <c r="Q9" s="25">
        <f t="shared" si="1"/>
        <v>0</v>
      </c>
      <c r="R9" s="24" t="s">
        <v>35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45568.0</v>
      </c>
      <c r="C10" s="18" t="s">
        <v>217</v>
      </c>
      <c r="D10" s="19">
        <v>53249.0</v>
      </c>
      <c r="E10" s="20" t="s">
        <v>88</v>
      </c>
      <c r="F10" s="22"/>
      <c r="G10" s="22"/>
      <c r="H10" s="22"/>
      <c r="I10" s="21">
        <v>15500.0</v>
      </c>
      <c r="J10" s="21"/>
      <c r="K10" s="22"/>
      <c r="L10" s="22"/>
      <c r="M10" s="21"/>
      <c r="N10" s="22"/>
      <c r="O10" s="22"/>
      <c r="P10" s="24">
        <v>15500.0</v>
      </c>
      <c r="Q10" s="25">
        <f t="shared" si="1"/>
        <v>0</v>
      </c>
      <c r="R10" s="24" t="s">
        <v>35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45568.0</v>
      </c>
      <c r="C11" s="18" t="s">
        <v>218</v>
      </c>
      <c r="D11" s="19">
        <v>83280.0</v>
      </c>
      <c r="E11" s="20" t="s">
        <v>219</v>
      </c>
      <c r="F11" s="22"/>
      <c r="G11" s="22"/>
      <c r="H11" s="22"/>
      <c r="I11" s="21"/>
      <c r="J11" s="21">
        <v>300.0</v>
      </c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35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45568.0</v>
      </c>
      <c r="C12" s="30" t="s">
        <v>220</v>
      </c>
      <c r="D12" s="31">
        <v>10744.0</v>
      </c>
      <c r="E12" s="32" t="s">
        <v>221</v>
      </c>
      <c r="F12" s="22"/>
      <c r="G12" s="22"/>
      <c r="H12" s="22"/>
      <c r="I12" s="21">
        <v>2650.0</v>
      </c>
      <c r="J12" s="21"/>
      <c r="K12" s="22"/>
      <c r="L12" s="22"/>
      <c r="M12" s="21"/>
      <c r="N12" s="22"/>
      <c r="O12" s="22"/>
      <c r="P12" s="33">
        <v>2650.0</v>
      </c>
      <c r="Q12" s="25">
        <f t="shared" si="1"/>
        <v>0</v>
      </c>
      <c r="R12" s="33" t="s">
        <v>35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45568.0</v>
      </c>
      <c r="C13" s="18" t="s">
        <v>222</v>
      </c>
      <c r="D13" s="19">
        <v>10744.0</v>
      </c>
      <c r="E13" s="20" t="s">
        <v>221</v>
      </c>
      <c r="F13" s="22"/>
      <c r="G13" s="22"/>
      <c r="H13" s="22"/>
      <c r="I13" s="21">
        <v>9500.0</v>
      </c>
      <c r="J13" s="21"/>
      <c r="K13" s="22"/>
      <c r="L13" s="22"/>
      <c r="M13" s="21"/>
      <c r="N13" s="22"/>
      <c r="O13" s="22"/>
      <c r="P13" s="24">
        <v>9500.0</v>
      </c>
      <c r="Q13" s="25">
        <f t="shared" si="1"/>
        <v>0</v>
      </c>
      <c r="R13" s="24" t="s">
        <v>57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45568.0</v>
      </c>
      <c r="C14" s="18" t="s">
        <v>223</v>
      </c>
      <c r="D14" s="19">
        <v>35227.0</v>
      </c>
      <c r="E14" s="20" t="s">
        <v>224</v>
      </c>
      <c r="F14" s="22"/>
      <c r="G14" s="22"/>
      <c r="H14" s="22"/>
      <c r="I14" s="21">
        <v>1000.0</v>
      </c>
      <c r="J14" s="21"/>
      <c r="K14" s="22"/>
      <c r="L14" s="22"/>
      <c r="M14" s="21"/>
      <c r="N14" s="22"/>
      <c r="O14" s="22"/>
      <c r="P14" s="24">
        <v>1000.0</v>
      </c>
      <c r="Q14" s="25">
        <f t="shared" si="1"/>
        <v>0</v>
      </c>
      <c r="R14" s="24" t="s">
        <v>35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45568.0</v>
      </c>
      <c r="C15" s="18" t="s">
        <v>225</v>
      </c>
      <c r="D15" s="19">
        <v>55446.0</v>
      </c>
      <c r="E15" s="20" t="s">
        <v>226</v>
      </c>
      <c r="F15" s="22"/>
      <c r="G15" s="22">
        <v>1650.0</v>
      </c>
      <c r="H15" s="22"/>
      <c r="I15" s="21"/>
      <c r="J15" s="21"/>
      <c r="K15" s="22"/>
      <c r="L15" s="22"/>
      <c r="M15" s="21"/>
      <c r="N15" s="22"/>
      <c r="O15" s="22"/>
      <c r="P15" s="24">
        <v>1650.0</v>
      </c>
      <c r="Q15" s="25">
        <f t="shared" si="1"/>
        <v>0</v>
      </c>
      <c r="R15" s="24" t="s">
        <v>35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45568.0</v>
      </c>
      <c r="C16" s="18" t="s">
        <v>227</v>
      </c>
      <c r="D16" s="19">
        <v>58074.0</v>
      </c>
      <c r="E16" s="20" t="s">
        <v>228</v>
      </c>
      <c r="F16" s="22"/>
      <c r="G16" s="22"/>
      <c r="H16" s="22">
        <v>1000.0</v>
      </c>
      <c r="I16" s="21"/>
      <c r="J16" s="21"/>
      <c r="K16" s="22"/>
      <c r="L16" s="22"/>
      <c r="M16" s="21"/>
      <c r="N16" s="22"/>
      <c r="O16" s="22"/>
      <c r="P16" s="24">
        <v>1000.0</v>
      </c>
      <c r="Q16" s="25">
        <f t="shared" si="1"/>
        <v>0</v>
      </c>
      <c r="R16" s="24" t="s">
        <v>35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45568.0</v>
      </c>
      <c r="C17" s="18" t="s">
        <v>229</v>
      </c>
      <c r="D17" s="19">
        <v>22341.0</v>
      </c>
      <c r="E17" s="20" t="s">
        <v>230</v>
      </c>
      <c r="F17" s="22"/>
      <c r="G17" s="22"/>
      <c r="H17" s="22"/>
      <c r="I17" s="21">
        <v>4500.0</v>
      </c>
      <c r="J17" s="21"/>
      <c r="K17" s="22"/>
      <c r="L17" s="22"/>
      <c r="M17" s="22"/>
      <c r="N17" s="22"/>
      <c r="O17" s="22"/>
      <c r="P17" s="24">
        <v>4500.0</v>
      </c>
      <c r="Q17" s="25">
        <f t="shared" si="1"/>
        <v>0</v>
      </c>
      <c r="R17" s="24" t="s">
        <v>35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45568.0</v>
      </c>
      <c r="C18" s="30" t="s">
        <v>231</v>
      </c>
      <c r="D18" s="31">
        <v>53209.0</v>
      </c>
      <c r="E18" s="32" t="s">
        <v>232</v>
      </c>
      <c r="F18" s="22"/>
      <c r="G18" s="22"/>
      <c r="H18" s="22"/>
      <c r="I18" s="21">
        <v>12000.0</v>
      </c>
      <c r="J18" s="21"/>
      <c r="K18" s="22"/>
      <c r="L18" s="22"/>
      <c r="M18" s="21"/>
      <c r="N18" s="22"/>
      <c r="O18" s="22"/>
      <c r="P18" s="33">
        <v>12000.0</v>
      </c>
      <c r="Q18" s="25">
        <f t="shared" si="1"/>
        <v>0</v>
      </c>
      <c r="R18" s="33" t="s">
        <v>35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45568.0</v>
      </c>
      <c r="C19" s="18" t="s">
        <v>233</v>
      </c>
      <c r="D19" s="19">
        <v>22341.0</v>
      </c>
      <c r="E19" s="20" t="s">
        <v>230</v>
      </c>
      <c r="F19" s="22"/>
      <c r="G19" s="22"/>
      <c r="H19" s="22"/>
      <c r="I19" s="23">
        <v>5800.0</v>
      </c>
      <c r="J19" s="23"/>
      <c r="K19" s="22"/>
      <c r="L19" s="22"/>
      <c r="M19" s="22"/>
      <c r="N19" s="22"/>
      <c r="O19" s="22"/>
      <c r="P19" s="24">
        <v>5800.0</v>
      </c>
      <c r="Q19" s="25">
        <f t="shared" si="1"/>
        <v>0</v>
      </c>
      <c r="R19" s="24" t="s">
        <v>35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45568.0</v>
      </c>
      <c r="C20" s="18" t="s">
        <v>234</v>
      </c>
      <c r="D20" s="19">
        <v>52240.0</v>
      </c>
      <c r="E20" s="20" t="s">
        <v>235</v>
      </c>
      <c r="F20" s="21"/>
      <c r="G20" s="22"/>
      <c r="H20" s="22"/>
      <c r="I20" s="35"/>
      <c r="J20" s="22">
        <v>1400.0</v>
      </c>
      <c r="K20" s="36"/>
      <c r="L20" s="22"/>
      <c r="M20" s="22"/>
      <c r="N20" s="22"/>
      <c r="O20" s="22"/>
      <c r="P20" s="24">
        <v>1400.0</v>
      </c>
      <c r="Q20" s="25">
        <f t="shared" si="1"/>
        <v>0</v>
      </c>
      <c r="R20" s="24" t="s">
        <v>35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45568.0</v>
      </c>
      <c r="C21" s="18" t="s">
        <v>236</v>
      </c>
      <c r="D21" s="19">
        <v>21818.0</v>
      </c>
      <c r="E21" s="20" t="s">
        <v>237</v>
      </c>
      <c r="F21" s="21"/>
      <c r="G21" s="22"/>
      <c r="H21" s="22"/>
      <c r="I21" s="21"/>
      <c r="J21" s="22"/>
      <c r="K21" s="21">
        <v>5000.0</v>
      </c>
      <c r="L21" s="22"/>
      <c r="M21" s="22"/>
      <c r="N21" s="22"/>
      <c r="O21" s="22"/>
      <c r="P21" s="24">
        <v>5000.0</v>
      </c>
      <c r="Q21" s="25">
        <f t="shared" si="1"/>
        <v>0</v>
      </c>
      <c r="R21" s="24" t="s">
        <v>35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45568.0</v>
      </c>
      <c r="C22" s="38" t="s">
        <v>238</v>
      </c>
      <c r="D22" s="39">
        <v>84114.0</v>
      </c>
      <c r="E22" s="40" t="s">
        <v>239</v>
      </c>
      <c r="F22" s="35"/>
      <c r="G22" s="41"/>
      <c r="H22" s="41"/>
      <c r="I22" s="35">
        <v>5150.0</v>
      </c>
      <c r="J22" s="35"/>
      <c r="K22" s="42"/>
      <c r="L22" s="41"/>
      <c r="M22" s="41"/>
      <c r="N22" s="41"/>
      <c r="O22" s="41"/>
      <c r="P22" s="43">
        <v>5150.0</v>
      </c>
      <c r="Q22" s="25">
        <f t="shared" si="1"/>
        <v>0</v>
      </c>
      <c r="R22" s="43" t="s">
        <v>57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45568.0</v>
      </c>
      <c r="C23" s="18" t="s">
        <v>240</v>
      </c>
      <c r="D23" s="19">
        <v>10250.0</v>
      </c>
      <c r="E23" s="20" t="s">
        <v>171</v>
      </c>
      <c r="F23" s="21"/>
      <c r="G23" s="22"/>
      <c r="H23" s="22"/>
      <c r="I23" s="21">
        <v>350.0</v>
      </c>
      <c r="J23" s="22"/>
      <c r="K23" s="36"/>
      <c r="L23" s="22"/>
      <c r="M23" s="22"/>
      <c r="N23" s="22"/>
      <c r="O23" s="22"/>
      <c r="P23" s="24">
        <v>350.0</v>
      </c>
      <c r="Q23" s="25">
        <f t="shared" si="1"/>
        <v>0</v>
      </c>
      <c r="R23" s="24" t="s">
        <v>57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45568.0</v>
      </c>
      <c r="C24" s="18" t="s">
        <v>241</v>
      </c>
      <c r="D24" s="19">
        <v>83201.0</v>
      </c>
      <c r="E24" s="20" t="s">
        <v>242</v>
      </c>
      <c r="F24" s="21"/>
      <c r="G24" s="22"/>
      <c r="H24" s="22"/>
      <c r="I24" s="21">
        <v>2650.0</v>
      </c>
      <c r="J24" s="21"/>
      <c r="K24" s="36"/>
      <c r="L24" s="22"/>
      <c r="M24" s="22"/>
      <c r="N24" s="22"/>
      <c r="O24" s="22"/>
      <c r="P24" s="24">
        <v>2650.0</v>
      </c>
      <c r="Q24" s="25">
        <f t="shared" si="1"/>
        <v>0</v>
      </c>
      <c r="R24" s="24" t="s">
        <v>57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45568.0</v>
      </c>
      <c r="C25" s="18" t="s">
        <v>243</v>
      </c>
      <c r="D25" s="19">
        <v>69371.0</v>
      </c>
      <c r="E25" s="20" t="s">
        <v>244</v>
      </c>
      <c r="F25" s="21"/>
      <c r="G25" s="22"/>
      <c r="H25" s="22"/>
      <c r="I25" s="36">
        <v>5050.0</v>
      </c>
      <c r="J25" s="21"/>
      <c r="K25" s="36"/>
      <c r="L25" s="22"/>
      <c r="M25" s="22"/>
      <c r="N25" s="22"/>
      <c r="O25" s="22"/>
      <c r="P25" s="24">
        <v>5050.0</v>
      </c>
      <c r="Q25" s="25">
        <f t="shared" si="1"/>
        <v>0</v>
      </c>
      <c r="R25" s="24" t="s">
        <v>48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45568.0</v>
      </c>
      <c r="C26" s="18" t="s">
        <v>245</v>
      </c>
      <c r="D26" s="19">
        <v>84992.0</v>
      </c>
      <c r="E26" s="20" t="s">
        <v>246</v>
      </c>
      <c r="F26" s="21"/>
      <c r="G26" s="22">
        <v>4500.0</v>
      </c>
      <c r="H26" s="22"/>
      <c r="I26" s="21"/>
      <c r="J26" s="21"/>
      <c r="K26" s="23"/>
      <c r="L26" s="22"/>
      <c r="M26" s="22"/>
      <c r="N26" s="22"/>
      <c r="O26" s="22"/>
      <c r="P26" s="24">
        <v>4500.0</v>
      </c>
      <c r="Q26" s="25">
        <f t="shared" si="1"/>
        <v>0</v>
      </c>
      <c r="R26" s="24" t="s">
        <v>48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45568.0</v>
      </c>
      <c r="C27" s="18" t="s">
        <v>247</v>
      </c>
      <c r="D27" s="19">
        <v>55446.0</v>
      </c>
      <c r="E27" s="20" t="s">
        <v>226</v>
      </c>
      <c r="F27" s="21"/>
      <c r="G27" s="22">
        <v>300.0</v>
      </c>
      <c r="H27" s="22"/>
      <c r="I27" s="21"/>
      <c r="J27" s="21"/>
      <c r="K27" s="23"/>
      <c r="L27" s="22"/>
      <c r="M27" s="22"/>
      <c r="N27" s="22"/>
      <c r="O27" s="22"/>
      <c r="P27" s="24">
        <v>300.0</v>
      </c>
      <c r="Q27" s="25">
        <f t="shared" si="1"/>
        <v>0</v>
      </c>
      <c r="R27" s="24" t="s">
        <v>48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45568.0</v>
      </c>
      <c r="C28" s="18" t="s">
        <v>248</v>
      </c>
      <c r="D28" s="19">
        <v>57976.0</v>
      </c>
      <c r="E28" s="20" t="s">
        <v>249</v>
      </c>
      <c r="F28" s="21"/>
      <c r="G28" s="22"/>
      <c r="H28" s="22"/>
      <c r="I28" s="21">
        <v>600.0</v>
      </c>
      <c r="J28" s="21"/>
      <c r="K28" s="23"/>
      <c r="L28" s="22"/>
      <c r="M28" s="22"/>
      <c r="N28" s="22"/>
      <c r="O28" s="22"/>
      <c r="P28" s="24">
        <v>600.0</v>
      </c>
      <c r="Q28" s="25">
        <f t="shared" si="1"/>
        <v>0</v>
      </c>
      <c r="R28" s="24" t="s">
        <v>35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45568.0</v>
      </c>
      <c r="C29" s="18" t="s">
        <v>250</v>
      </c>
      <c r="D29" s="19">
        <v>76637.0</v>
      </c>
      <c r="E29" s="20" t="s">
        <v>251</v>
      </c>
      <c r="F29" s="21"/>
      <c r="G29" s="22"/>
      <c r="H29" s="22"/>
      <c r="I29" s="21">
        <v>5150.0</v>
      </c>
      <c r="J29" s="21"/>
      <c r="K29" s="23"/>
      <c r="L29" s="22"/>
      <c r="M29" s="22"/>
      <c r="N29" s="22"/>
      <c r="O29" s="22"/>
      <c r="P29" s="24">
        <v>5150.0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45568.0</v>
      </c>
      <c r="C30" s="18" t="s">
        <v>252</v>
      </c>
      <c r="D30" s="19">
        <v>84993.0</v>
      </c>
      <c r="E30" s="20" t="s">
        <v>253</v>
      </c>
      <c r="F30" s="21"/>
      <c r="G30" s="22">
        <v>4800.0</v>
      </c>
      <c r="H30" s="22"/>
      <c r="I30" s="21"/>
      <c r="J30" s="21"/>
      <c r="K30" s="23"/>
      <c r="L30" s="22"/>
      <c r="M30" s="22"/>
      <c r="N30" s="22"/>
      <c r="O30" s="22"/>
      <c r="P30" s="24">
        <v>4800.0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45567.0</v>
      </c>
      <c r="C31" s="18" t="s">
        <v>254</v>
      </c>
      <c r="D31" s="19">
        <v>22332.0</v>
      </c>
      <c r="E31" s="20" t="s">
        <v>210</v>
      </c>
      <c r="F31" s="21"/>
      <c r="G31" s="22"/>
      <c r="H31" s="22"/>
      <c r="I31" s="21"/>
      <c r="J31" s="21"/>
      <c r="K31" s="23"/>
      <c r="L31" s="22"/>
      <c r="M31" s="22"/>
      <c r="N31" s="22"/>
      <c r="O31" s="22">
        <v>2200.0</v>
      </c>
      <c r="P31" s="24">
        <v>2200.0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45567.0</v>
      </c>
      <c r="C32" s="18" t="s">
        <v>255</v>
      </c>
      <c r="D32" s="19">
        <v>59677.0</v>
      </c>
      <c r="E32" s="20" t="s">
        <v>256</v>
      </c>
      <c r="F32" s="21"/>
      <c r="G32" s="22"/>
      <c r="H32" s="22"/>
      <c r="I32" s="21"/>
      <c r="J32" s="21"/>
      <c r="K32" s="23"/>
      <c r="L32" s="22"/>
      <c r="M32" s="22"/>
      <c r="N32" s="22"/>
      <c r="O32" s="22">
        <v>3600.0</v>
      </c>
      <c r="P32" s="24">
        <v>3600.0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45567.0</v>
      </c>
      <c r="C33" s="18" t="s">
        <v>257</v>
      </c>
      <c r="D33" s="19">
        <v>55448.0</v>
      </c>
      <c r="E33" s="20" t="s">
        <v>258</v>
      </c>
      <c r="F33" s="21"/>
      <c r="G33" s="22"/>
      <c r="H33" s="22">
        <v>25000.0</v>
      </c>
      <c r="I33" s="21"/>
      <c r="J33" s="21"/>
      <c r="K33" s="23"/>
      <c r="L33" s="22"/>
      <c r="M33" s="22"/>
      <c r="N33" s="22"/>
      <c r="O33" s="22"/>
      <c r="P33" s="24">
        <v>25000.0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45567.0</v>
      </c>
      <c r="C34" s="18" t="s">
        <v>259</v>
      </c>
      <c r="D34" s="19">
        <v>51017.0</v>
      </c>
      <c r="E34" s="20" t="s">
        <v>165</v>
      </c>
      <c r="F34" s="21"/>
      <c r="G34" s="22"/>
      <c r="H34" s="22">
        <v>15000.0</v>
      </c>
      <c r="I34" s="21"/>
      <c r="J34" s="21"/>
      <c r="K34" s="23"/>
      <c r="L34" s="22"/>
      <c r="M34" s="22"/>
      <c r="N34" s="22"/>
      <c r="O34" s="22"/>
      <c r="P34" s="24">
        <v>15000.0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45567.0</v>
      </c>
      <c r="C35" s="18" t="s">
        <v>260</v>
      </c>
      <c r="D35" s="19">
        <v>51782.0</v>
      </c>
      <c r="E35" s="20" t="s">
        <v>261</v>
      </c>
      <c r="F35" s="21"/>
      <c r="G35" s="22"/>
      <c r="H35" s="22">
        <v>350.0</v>
      </c>
      <c r="I35" s="21"/>
      <c r="J35" s="21"/>
      <c r="K35" s="23"/>
      <c r="L35" s="22"/>
      <c r="M35" s="22"/>
      <c r="N35" s="22"/>
      <c r="O35" s="22"/>
      <c r="P35" s="24">
        <v>350.0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45568.0</v>
      </c>
      <c r="C36" s="18" t="s">
        <v>262</v>
      </c>
      <c r="D36" s="19">
        <v>41827.0</v>
      </c>
      <c r="E36" s="20" t="s">
        <v>263</v>
      </c>
      <c r="F36" s="21"/>
      <c r="G36" s="22"/>
      <c r="H36" s="22"/>
      <c r="I36" s="21"/>
      <c r="J36" s="21"/>
      <c r="K36" s="23">
        <v>780.0</v>
      </c>
      <c r="L36" s="22"/>
      <c r="M36" s="22"/>
      <c r="N36" s="22"/>
      <c r="O36" s="22">
        <v>420.0</v>
      </c>
      <c r="P36" s="24">
        <v>1200.0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45568.0</v>
      </c>
      <c r="C37" s="18" t="s">
        <v>264</v>
      </c>
      <c r="D37" s="19">
        <v>55446.0</v>
      </c>
      <c r="E37" s="20" t="s">
        <v>226</v>
      </c>
      <c r="F37" s="21"/>
      <c r="G37" s="22"/>
      <c r="H37" s="22"/>
      <c r="I37" s="21"/>
      <c r="J37" s="21"/>
      <c r="K37" s="23"/>
      <c r="L37" s="22"/>
      <c r="M37" s="22"/>
      <c r="N37" s="22"/>
      <c r="O37" s="22">
        <v>2400.0</v>
      </c>
      <c r="P37" s="24">
        <v>2400.0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45568.0</v>
      </c>
      <c r="C38" s="18" t="s">
        <v>265</v>
      </c>
      <c r="D38" s="19">
        <v>56033.0</v>
      </c>
      <c r="E38" s="20" t="s">
        <v>266</v>
      </c>
      <c r="F38" s="21"/>
      <c r="G38" s="22"/>
      <c r="H38" s="22"/>
      <c r="I38" s="21"/>
      <c r="J38" s="21"/>
      <c r="K38" s="23"/>
      <c r="L38" s="22"/>
      <c r="M38" s="22"/>
      <c r="N38" s="22"/>
      <c r="O38" s="22">
        <v>1200.0</v>
      </c>
      <c r="P38" s="24">
        <v>1200.0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45568.0</v>
      </c>
      <c r="C39" s="18" t="s">
        <v>267</v>
      </c>
      <c r="D39" s="19">
        <v>56330.0</v>
      </c>
      <c r="E39" s="20" t="s">
        <v>268</v>
      </c>
      <c r="F39" s="21"/>
      <c r="G39" s="22"/>
      <c r="H39" s="22"/>
      <c r="I39" s="21"/>
      <c r="J39" s="21"/>
      <c r="K39" s="23"/>
      <c r="L39" s="22"/>
      <c r="M39" s="22"/>
      <c r="N39" s="22"/>
      <c r="O39" s="22">
        <v>1200.0</v>
      </c>
      <c r="P39" s="24">
        <v>1200.0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45568.0</v>
      </c>
      <c r="C40" s="18" t="s">
        <v>269</v>
      </c>
      <c r="D40" s="19">
        <v>56036.0</v>
      </c>
      <c r="E40" s="20" t="s">
        <v>270</v>
      </c>
      <c r="F40" s="21"/>
      <c r="G40" s="22"/>
      <c r="H40" s="22"/>
      <c r="I40" s="21"/>
      <c r="J40" s="21"/>
      <c r="K40" s="23"/>
      <c r="L40" s="22"/>
      <c r="M40" s="22"/>
      <c r="N40" s="22"/>
      <c r="O40" s="22">
        <v>800.0</v>
      </c>
      <c r="P40" s="24">
        <v>800.0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45568.0</v>
      </c>
      <c r="C41" s="18" t="s">
        <v>271</v>
      </c>
      <c r="D41" s="19">
        <v>53209.0</v>
      </c>
      <c r="E41" s="20" t="s">
        <v>232</v>
      </c>
      <c r="F41" s="21"/>
      <c r="G41" s="22"/>
      <c r="H41" s="22"/>
      <c r="I41" s="21"/>
      <c r="J41" s="21"/>
      <c r="K41" s="23"/>
      <c r="L41" s="22"/>
      <c r="M41" s="22"/>
      <c r="N41" s="22"/>
      <c r="O41" s="22">
        <v>1200.0</v>
      </c>
      <c r="P41" s="24">
        <v>1200.0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45568.0</v>
      </c>
      <c r="C42" s="18" t="s">
        <v>272</v>
      </c>
      <c r="D42" s="19">
        <v>43380.0</v>
      </c>
      <c r="E42" s="20" t="s">
        <v>156</v>
      </c>
      <c r="F42" s="21"/>
      <c r="G42" s="22"/>
      <c r="H42" s="22">
        <v>9000.0</v>
      </c>
      <c r="I42" s="21"/>
      <c r="J42" s="21"/>
      <c r="K42" s="23"/>
      <c r="L42" s="22"/>
      <c r="M42" s="22"/>
      <c r="N42" s="22"/>
      <c r="O42" s="22"/>
      <c r="P42" s="24">
        <v>9000.0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45568.0</v>
      </c>
      <c r="C43" s="18" t="s">
        <v>273</v>
      </c>
      <c r="D43" s="19">
        <v>50148.0</v>
      </c>
      <c r="E43" s="20" t="s">
        <v>274</v>
      </c>
      <c r="F43" s="21"/>
      <c r="G43" s="22"/>
      <c r="H43" s="22"/>
      <c r="I43" s="21"/>
      <c r="J43" s="21"/>
      <c r="K43" s="23">
        <v>10000.0</v>
      </c>
      <c r="L43" s="22"/>
      <c r="M43" s="22"/>
      <c r="N43" s="22"/>
      <c r="O43" s="22"/>
      <c r="P43" s="24">
        <v>10000.0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45568.0</v>
      </c>
      <c r="C44" s="18" t="s">
        <v>275</v>
      </c>
      <c r="D44" s="19">
        <v>22341.0</v>
      </c>
      <c r="E44" s="20" t="s">
        <v>230</v>
      </c>
      <c r="F44" s="21"/>
      <c r="G44" s="22"/>
      <c r="H44" s="22"/>
      <c r="I44" s="21"/>
      <c r="J44" s="21"/>
      <c r="K44" s="23"/>
      <c r="L44" s="22"/>
      <c r="M44" s="22"/>
      <c r="N44" s="22"/>
      <c r="O44" s="22">
        <v>1200.0</v>
      </c>
      <c r="P44" s="24">
        <v>1200.0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45568.0</v>
      </c>
      <c r="C45" s="18" t="s">
        <v>276</v>
      </c>
      <c r="D45" s="19">
        <v>22341.0</v>
      </c>
      <c r="E45" s="20" t="s">
        <v>230</v>
      </c>
      <c r="F45" s="21"/>
      <c r="G45" s="22"/>
      <c r="H45" s="22"/>
      <c r="I45" s="21"/>
      <c r="J45" s="21"/>
      <c r="K45" s="23"/>
      <c r="L45" s="22"/>
      <c r="M45" s="22"/>
      <c r="N45" s="22"/>
      <c r="O45" s="22">
        <v>800.0</v>
      </c>
      <c r="P45" s="24">
        <v>800.0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45568.0</v>
      </c>
      <c r="C46" s="18" t="s">
        <v>277</v>
      </c>
      <c r="D46" s="19">
        <v>57876.0</v>
      </c>
      <c r="E46" s="20" t="s">
        <v>278</v>
      </c>
      <c r="F46" s="21"/>
      <c r="G46" s="22"/>
      <c r="H46" s="22"/>
      <c r="I46" s="21"/>
      <c r="J46" s="21"/>
      <c r="K46" s="23"/>
      <c r="L46" s="22"/>
      <c r="M46" s="22"/>
      <c r="N46" s="22"/>
      <c r="O46" s="22">
        <v>1200.0</v>
      </c>
      <c r="P46" s="24">
        <v>1200.0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45568.0</v>
      </c>
      <c r="C47" s="18" t="s">
        <v>279</v>
      </c>
      <c r="D47" s="19">
        <v>57876.0</v>
      </c>
      <c r="E47" s="20" t="s">
        <v>278</v>
      </c>
      <c r="F47" s="21"/>
      <c r="G47" s="22"/>
      <c r="H47" s="22"/>
      <c r="I47" s="21"/>
      <c r="J47" s="21"/>
      <c r="K47" s="23"/>
      <c r="L47" s="22"/>
      <c r="M47" s="22"/>
      <c r="N47" s="22"/>
      <c r="O47" s="22">
        <v>1200.0</v>
      </c>
      <c r="P47" s="24">
        <v>1200.0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45568.0</v>
      </c>
      <c r="C48" s="18" t="s">
        <v>280</v>
      </c>
      <c r="D48" s="19">
        <v>57876.0</v>
      </c>
      <c r="E48" s="20" t="s">
        <v>278</v>
      </c>
      <c r="F48" s="21"/>
      <c r="G48" s="22"/>
      <c r="H48" s="22"/>
      <c r="I48" s="21"/>
      <c r="J48" s="21"/>
      <c r="K48" s="23"/>
      <c r="L48" s="22"/>
      <c r="M48" s="22"/>
      <c r="N48" s="22"/>
      <c r="O48" s="22">
        <v>9600.0</v>
      </c>
      <c r="P48" s="24">
        <v>9600.0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45568.0</v>
      </c>
      <c r="C49" s="18" t="s">
        <v>281</v>
      </c>
      <c r="D49" s="19">
        <v>55687.0</v>
      </c>
      <c r="E49" s="20" t="s">
        <v>282</v>
      </c>
      <c r="F49" s="21"/>
      <c r="G49" s="22"/>
      <c r="H49" s="22"/>
      <c r="I49" s="21"/>
      <c r="J49" s="21"/>
      <c r="K49" s="23"/>
      <c r="L49" s="22"/>
      <c r="M49" s="22"/>
      <c r="N49" s="22"/>
      <c r="O49" s="22">
        <v>2000.0</v>
      </c>
      <c r="P49" s="24">
        <v>2000.0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45568.0</v>
      </c>
      <c r="C50" s="18" t="s">
        <v>283</v>
      </c>
      <c r="D50" s="19">
        <v>54763.0</v>
      </c>
      <c r="E50" s="20" t="s">
        <v>284</v>
      </c>
      <c r="F50" s="21"/>
      <c r="G50" s="22"/>
      <c r="H50" s="22"/>
      <c r="I50" s="21"/>
      <c r="J50" s="21"/>
      <c r="K50" s="23"/>
      <c r="L50" s="22"/>
      <c r="M50" s="22"/>
      <c r="N50" s="22"/>
      <c r="O50" s="22">
        <v>1200.0</v>
      </c>
      <c r="P50" s="24">
        <v>1200.0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45568.0</v>
      </c>
      <c r="C51" s="18" t="s">
        <v>285</v>
      </c>
      <c r="D51" s="19">
        <v>54764.0</v>
      </c>
      <c r="E51" s="20" t="s">
        <v>286</v>
      </c>
      <c r="F51" s="21"/>
      <c r="G51" s="22"/>
      <c r="H51" s="22"/>
      <c r="I51" s="21"/>
      <c r="J51" s="21"/>
      <c r="K51" s="23"/>
      <c r="L51" s="22"/>
      <c r="M51" s="22"/>
      <c r="N51" s="22"/>
      <c r="O51" s="22">
        <v>2400.0</v>
      </c>
      <c r="P51" s="24">
        <v>2400.0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45568.0</v>
      </c>
      <c r="C52" s="18" t="s">
        <v>287</v>
      </c>
      <c r="D52" s="19">
        <v>38187.0</v>
      </c>
      <c r="E52" s="20" t="s">
        <v>288</v>
      </c>
      <c r="F52" s="21"/>
      <c r="G52" s="22"/>
      <c r="H52" s="22"/>
      <c r="I52" s="21"/>
      <c r="J52" s="21"/>
      <c r="K52" s="23"/>
      <c r="L52" s="22"/>
      <c r="M52" s="22"/>
      <c r="N52" s="22"/>
      <c r="O52" s="22">
        <v>1200.0</v>
      </c>
      <c r="P52" s="24">
        <v>1200.0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7.5" customHeight="1">
      <c r="A53" s="16"/>
      <c r="B53" s="27"/>
      <c r="C53" s="18"/>
      <c r="D53" s="19" t="s">
        <v>190</v>
      </c>
      <c r="E53" s="20"/>
      <c r="F53" s="45">
        <f t="shared" ref="F53:P53" si="2">SUM(F5:F52)</f>
        <v>0</v>
      </c>
      <c r="G53" s="45">
        <f t="shared" si="2"/>
        <v>11250</v>
      </c>
      <c r="H53" s="45">
        <f t="shared" si="2"/>
        <v>50350</v>
      </c>
      <c r="I53" s="45">
        <f t="shared" si="2"/>
        <v>76250</v>
      </c>
      <c r="J53" s="45">
        <f t="shared" si="2"/>
        <v>2000</v>
      </c>
      <c r="K53" s="45">
        <f t="shared" si="2"/>
        <v>15780</v>
      </c>
      <c r="L53" s="45">
        <f t="shared" si="2"/>
        <v>0</v>
      </c>
      <c r="M53" s="45">
        <f t="shared" si="2"/>
        <v>0</v>
      </c>
      <c r="N53" s="45">
        <f t="shared" si="2"/>
        <v>0</v>
      </c>
      <c r="O53" s="45">
        <f t="shared" si="2"/>
        <v>33820</v>
      </c>
      <c r="P53" s="45">
        <f t="shared" si="2"/>
        <v>189450</v>
      </c>
      <c r="Q53" s="46">
        <v>0.0</v>
      </c>
      <c r="R53" s="47"/>
      <c r="S53" s="26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</row>
    <row r="54" ht="58.5" customHeight="1">
      <c r="A54" s="48"/>
      <c r="B54" s="48"/>
      <c r="C54" s="49"/>
      <c r="D54" s="48"/>
      <c r="E54" s="48"/>
      <c r="F54" s="50">
        <f>F53+G53+H53+I53+J53+K53+L53+M53+N53+O53</f>
        <v>189450</v>
      </c>
      <c r="P54" s="51"/>
      <c r="Q54" s="51"/>
      <c r="R54" s="48"/>
      <c r="S54" s="48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3" t="s">
        <v>190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52"/>
      <c r="D58" s="4"/>
      <c r="E58" s="54" t="s">
        <v>191</v>
      </c>
      <c r="F58" s="55" t="s">
        <v>196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52"/>
      <c r="D59" s="4"/>
      <c r="E59" s="56" t="s">
        <v>193</v>
      </c>
      <c r="F59" s="55" t="s">
        <v>196</v>
      </c>
      <c r="G59" s="4"/>
      <c r="H59" s="4"/>
      <c r="I59" s="4"/>
      <c r="J59" s="4"/>
      <c r="K59" s="4"/>
      <c r="L59" s="4"/>
      <c r="M59" s="4"/>
      <c r="N59" s="4"/>
      <c r="O59" s="57" t="s">
        <v>190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52"/>
      <c r="D60" s="4"/>
      <c r="E60" s="56" t="s">
        <v>195</v>
      </c>
      <c r="F60" s="55" t="s">
        <v>196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52"/>
      <c r="D61" s="4"/>
      <c r="E61" s="56" t="s">
        <v>197</v>
      </c>
      <c r="F61" s="55" t="s">
        <v>196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52"/>
      <c r="D62" s="4"/>
      <c r="E62" s="56" t="s">
        <v>198</v>
      </c>
      <c r="F62" s="55" t="s">
        <v>196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52"/>
      <c r="D63" s="4"/>
      <c r="E63" s="56" t="s">
        <v>289</v>
      </c>
      <c r="F63" s="55" t="s">
        <v>196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52"/>
      <c r="D64" s="4"/>
      <c r="E64" s="56" t="s">
        <v>201</v>
      </c>
      <c r="F64" s="55" t="s">
        <v>202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52"/>
      <c r="D65" s="4"/>
      <c r="E65" s="56" t="s">
        <v>203</v>
      </c>
      <c r="F65" s="58" t="s">
        <v>204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7" t="s">
        <v>190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 t="str">
        <f>I72453</f>
        <v/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57" t="s">
        <v>205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>
        <v>7.0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R2:R4"/>
    <mergeCell ref="S2:S4"/>
    <mergeCell ref="F3:F4"/>
    <mergeCell ref="G3:H3"/>
    <mergeCell ref="I3:J3"/>
    <mergeCell ref="K3:K4"/>
    <mergeCell ref="F54:O5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45568.0</v>
      </c>
      <c r="C5" s="18" t="s">
        <v>291</v>
      </c>
      <c r="D5" s="19">
        <v>34956.0</v>
      </c>
      <c r="E5" s="20" t="s">
        <v>292</v>
      </c>
      <c r="F5" s="21"/>
      <c r="G5" s="22"/>
      <c r="H5" s="22"/>
      <c r="I5" s="21">
        <v>300.0</v>
      </c>
      <c r="J5" s="22"/>
      <c r="K5" s="22"/>
      <c r="L5" s="22"/>
      <c r="M5" s="21"/>
      <c r="N5" s="22"/>
      <c r="O5" s="22"/>
      <c r="P5" s="24">
        <v>300.0</v>
      </c>
      <c r="Q5" s="25">
        <f t="shared" ref="Q5:Q57" si="1">F5+G5+H5+I5+J5+K5+L5+M5+N5+O5-P5</f>
        <v>0</v>
      </c>
      <c r="R5" s="24" t="s">
        <v>35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45568.0</v>
      </c>
      <c r="C6" s="18" t="s">
        <v>293</v>
      </c>
      <c r="D6" s="19">
        <v>36979.0</v>
      </c>
      <c r="E6" s="20" t="s">
        <v>294</v>
      </c>
      <c r="F6" s="22"/>
      <c r="G6" s="22"/>
      <c r="H6" s="21"/>
      <c r="I6" s="21">
        <v>300.0</v>
      </c>
      <c r="J6" s="23"/>
      <c r="K6" s="22"/>
      <c r="L6" s="22"/>
      <c r="M6" s="22"/>
      <c r="N6" s="22"/>
      <c r="O6" s="22"/>
      <c r="P6" s="24">
        <v>300.0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45568.0</v>
      </c>
      <c r="C7" s="18" t="s">
        <v>295</v>
      </c>
      <c r="D7" s="19">
        <v>76261.0</v>
      </c>
      <c r="E7" s="20" t="s">
        <v>296</v>
      </c>
      <c r="F7" s="22"/>
      <c r="G7" s="22"/>
      <c r="H7" s="22"/>
      <c r="I7" s="21">
        <v>300.0</v>
      </c>
      <c r="J7" s="21"/>
      <c r="K7" s="22"/>
      <c r="L7" s="22"/>
      <c r="M7" s="22"/>
      <c r="N7" s="22"/>
      <c r="O7" s="22"/>
      <c r="P7" s="24">
        <v>300.0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45568.0</v>
      </c>
      <c r="C8" s="18" t="s">
        <v>297</v>
      </c>
      <c r="D8" s="19">
        <v>34956.0</v>
      </c>
      <c r="E8" s="20" t="s">
        <v>292</v>
      </c>
      <c r="F8" s="22"/>
      <c r="G8" s="22"/>
      <c r="H8" s="22"/>
      <c r="I8" s="21">
        <v>300.0</v>
      </c>
      <c r="J8" s="21"/>
      <c r="K8" s="22"/>
      <c r="L8" s="22"/>
      <c r="M8" s="21"/>
      <c r="N8" s="22"/>
      <c r="O8" s="22"/>
      <c r="P8" s="24">
        <v>300.0</v>
      </c>
      <c r="Q8" s="25">
        <f t="shared" si="1"/>
        <v>0</v>
      </c>
      <c r="R8" s="24" t="s">
        <v>35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45568.0</v>
      </c>
      <c r="C9" s="18" t="s">
        <v>298</v>
      </c>
      <c r="D9" s="19">
        <v>71788.0</v>
      </c>
      <c r="E9" s="20" t="s">
        <v>299</v>
      </c>
      <c r="F9" s="22"/>
      <c r="G9" s="22"/>
      <c r="H9" s="22"/>
      <c r="I9" s="21">
        <v>300.0</v>
      </c>
      <c r="J9" s="21"/>
      <c r="K9" s="22"/>
      <c r="L9" s="22"/>
      <c r="M9" s="21"/>
      <c r="N9" s="22"/>
      <c r="O9" s="22"/>
      <c r="P9" s="24">
        <v>300.0</v>
      </c>
      <c r="Q9" s="25">
        <f t="shared" si="1"/>
        <v>0</v>
      </c>
      <c r="R9" s="24" t="s">
        <v>35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45568.0</v>
      </c>
      <c r="C10" s="18" t="s">
        <v>300</v>
      </c>
      <c r="D10" s="19">
        <v>84994.0</v>
      </c>
      <c r="E10" s="20" t="s">
        <v>301</v>
      </c>
      <c r="F10" s="22"/>
      <c r="G10" s="22"/>
      <c r="H10" s="22"/>
      <c r="I10" s="21">
        <v>300.0</v>
      </c>
      <c r="J10" s="21"/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45569.0</v>
      </c>
      <c r="C11" s="18" t="s">
        <v>302</v>
      </c>
      <c r="D11" s="19">
        <v>84995.0</v>
      </c>
      <c r="E11" s="20" t="s">
        <v>303</v>
      </c>
      <c r="F11" s="22"/>
      <c r="G11" s="22"/>
      <c r="H11" s="22"/>
      <c r="I11" s="21">
        <v>300.0</v>
      </c>
      <c r="J11" s="21"/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45569.0</v>
      </c>
      <c r="C12" s="30" t="s">
        <v>304</v>
      </c>
      <c r="D12" s="31">
        <v>54750.0</v>
      </c>
      <c r="E12" s="32" t="s">
        <v>305</v>
      </c>
      <c r="F12" s="22"/>
      <c r="G12" s="22"/>
      <c r="H12" s="22"/>
      <c r="I12" s="21">
        <v>5150.0</v>
      </c>
      <c r="J12" s="21"/>
      <c r="K12" s="22"/>
      <c r="L12" s="22"/>
      <c r="M12" s="21"/>
      <c r="N12" s="22"/>
      <c r="O12" s="22"/>
      <c r="P12" s="33">
        <v>5150.0</v>
      </c>
      <c r="Q12" s="25">
        <f t="shared" si="1"/>
        <v>0</v>
      </c>
      <c r="R12" s="33" t="s">
        <v>35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45569.0</v>
      </c>
      <c r="C13" s="18" t="s">
        <v>306</v>
      </c>
      <c r="D13" s="19">
        <v>82268.0</v>
      </c>
      <c r="E13" s="20" t="s">
        <v>307</v>
      </c>
      <c r="F13" s="22"/>
      <c r="G13" s="22"/>
      <c r="H13" s="22"/>
      <c r="I13" s="21"/>
      <c r="J13" s="21">
        <v>600.0</v>
      </c>
      <c r="K13" s="22"/>
      <c r="L13" s="22"/>
      <c r="M13" s="21"/>
      <c r="N13" s="22"/>
      <c r="O13" s="22"/>
      <c r="P13" s="24">
        <v>600.0</v>
      </c>
      <c r="Q13" s="25">
        <f t="shared" si="1"/>
        <v>0</v>
      </c>
      <c r="R13" s="24" t="s">
        <v>35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45569.0</v>
      </c>
      <c r="C14" s="18" t="s">
        <v>308</v>
      </c>
      <c r="D14" s="19">
        <v>79623.0</v>
      </c>
      <c r="E14" s="20" t="s">
        <v>309</v>
      </c>
      <c r="F14" s="22"/>
      <c r="G14" s="22"/>
      <c r="H14" s="22"/>
      <c r="I14" s="21">
        <v>5150.0</v>
      </c>
      <c r="J14" s="21"/>
      <c r="K14" s="22"/>
      <c r="L14" s="22"/>
      <c r="M14" s="21"/>
      <c r="N14" s="22"/>
      <c r="O14" s="22"/>
      <c r="P14" s="24">
        <v>5150.0</v>
      </c>
      <c r="Q14" s="25">
        <f t="shared" si="1"/>
        <v>0</v>
      </c>
      <c r="R14" s="24" t="s">
        <v>57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45569.0</v>
      </c>
      <c r="C15" s="18" t="s">
        <v>310</v>
      </c>
      <c r="D15" s="19">
        <v>42046.0</v>
      </c>
      <c r="E15" s="20" t="s">
        <v>129</v>
      </c>
      <c r="F15" s="22"/>
      <c r="G15" s="22"/>
      <c r="H15" s="22"/>
      <c r="I15" s="21"/>
      <c r="J15" s="21"/>
      <c r="K15" s="22">
        <v>2500.0</v>
      </c>
      <c r="L15" s="22"/>
      <c r="M15" s="21"/>
      <c r="N15" s="22"/>
      <c r="O15" s="22"/>
      <c r="P15" s="24">
        <v>2500.0</v>
      </c>
      <c r="Q15" s="25">
        <f t="shared" si="1"/>
        <v>0</v>
      </c>
      <c r="R15" s="24" t="s">
        <v>35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45569.0</v>
      </c>
      <c r="C16" s="18" t="s">
        <v>311</v>
      </c>
      <c r="D16" s="19">
        <v>65868.0</v>
      </c>
      <c r="E16" s="20" t="s">
        <v>37</v>
      </c>
      <c r="F16" s="22"/>
      <c r="G16" s="22"/>
      <c r="H16" s="22"/>
      <c r="I16" s="21"/>
      <c r="J16" s="21"/>
      <c r="K16" s="22">
        <v>300.0</v>
      </c>
      <c r="L16" s="22"/>
      <c r="M16" s="21"/>
      <c r="N16" s="22"/>
      <c r="O16" s="22"/>
      <c r="P16" s="24">
        <v>300.0</v>
      </c>
      <c r="Q16" s="25">
        <f t="shared" si="1"/>
        <v>0</v>
      </c>
      <c r="R16" s="24" t="s">
        <v>28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45569.0</v>
      </c>
      <c r="C17" s="18" t="s">
        <v>312</v>
      </c>
      <c r="D17" s="19">
        <v>66902.0</v>
      </c>
      <c r="E17" s="20" t="s">
        <v>313</v>
      </c>
      <c r="F17" s="22"/>
      <c r="G17" s="22"/>
      <c r="H17" s="22"/>
      <c r="I17" s="21">
        <v>1400.0</v>
      </c>
      <c r="J17" s="21"/>
      <c r="K17" s="22"/>
      <c r="L17" s="22"/>
      <c r="M17" s="22"/>
      <c r="N17" s="22"/>
      <c r="O17" s="22"/>
      <c r="P17" s="24">
        <v>1400.0</v>
      </c>
      <c r="Q17" s="25">
        <f t="shared" si="1"/>
        <v>0</v>
      </c>
      <c r="R17" s="24" t="s">
        <v>28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45569.0</v>
      </c>
      <c r="C18" s="30" t="s">
        <v>314</v>
      </c>
      <c r="D18" s="31">
        <v>51848.0</v>
      </c>
      <c r="E18" s="32" t="s">
        <v>315</v>
      </c>
      <c r="F18" s="22"/>
      <c r="G18" s="22"/>
      <c r="H18" s="22"/>
      <c r="I18" s="21"/>
      <c r="J18" s="21">
        <v>10000.0</v>
      </c>
      <c r="K18" s="22"/>
      <c r="L18" s="22"/>
      <c r="M18" s="21"/>
      <c r="N18" s="22"/>
      <c r="O18" s="22"/>
      <c r="P18" s="33">
        <v>10000.0</v>
      </c>
      <c r="Q18" s="25">
        <f t="shared" si="1"/>
        <v>0</v>
      </c>
      <c r="R18" s="33" t="s">
        <v>28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45569.0</v>
      </c>
      <c r="C19" s="18" t="s">
        <v>316</v>
      </c>
      <c r="D19" s="19">
        <v>44149.0</v>
      </c>
      <c r="E19" s="20" t="s">
        <v>74</v>
      </c>
      <c r="F19" s="22"/>
      <c r="G19" s="22"/>
      <c r="H19" s="22"/>
      <c r="I19" s="23">
        <v>10000.0</v>
      </c>
      <c r="J19" s="23"/>
      <c r="K19" s="22"/>
      <c r="L19" s="22"/>
      <c r="M19" s="22"/>
      <c r="N19" s="22"/>
      <c r="O19" s="22"/>
      <c r="P19" s="24">
        <v>10000.0</v>
      </c>
      <c r="Q19" s="25">
        <f t="shared" si="1"/>
        <v>0</v>
      </c>
      <c r="R19" s="24" t="s">
        <v>57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45569.0</v>
      </c>
      <c r="C20" s="18" t="s">
        <v>317</v>
      </c>
      <c r="D20" s="19">
        <v>76101.0</v>
      </c>
      <c r="E20" s="20" t="s">
        <v>103</v>
      </c>
      <c r="F20" s="21"/>
      <c r="G20" s="22"/>
      <c r="H20" s="22"/>
      <c r="I20" s="35">
        <v>1550.0</v>
      </c>
      <c r="J20" s="22"/>
      <c r="K20" s="36"/>
      <c r="L20" s="22"/>
      <c r="M20" s="22"/>
      <c r="N20" s="22"/>
      <c r="O20" s="22"/>
      <c r="P20" s="24">
        <v>1550.0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45569.0</v>
      </c>
      <c r="C21" s="18" t="s">
        <v>318</v>
      </c>
      <c r="D21" s="19">
        <v>52083.0</v>
      </c>
      <c r="E21" s="20" t="s">
        <v>24</v>
      </c>
      <c r="F21" s="21"/>
      <c r="G21" s="22"/>
      <c r="H21" s="22"/>
      <c r="I21" s="21">
        <v>3300.0</v>
      </c>
      <c r="J21" s="22"/>
      <c r="K21" s="21"/>
      <c r="L21" s="22"/>
      <c r="M21" s="22"/>
      <c r="N21" s="22"/>
      <c r="O21" s="22"/>
      <c r="P21" s="24">
        <v>3300.0</v>
      </c>
      <c r="Q21" s="25">
        <f t="shared" si="1"/>
        <v>0</v>
      </c>
      <c r="R21" s="24" t="s">
        <v>28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45569.0</v>
      </c>
      <c r="C22" s="38" t="s">
        <v>319</v>
      </c>
      <c r="D22" s="39">
        <v>52083.0</v>
      </c>
      <c r="E22" s="40" t="s">
        <v>24</v>
      </c>
      <c r="F22" s="35"/>
      <c r="G22" s="41"/>
      <c r="H22" s="41"/>
      <c r="I22" s="35">
        <v>200.0</v>
      </c>
      <c r="J22" s="35"/>
      <c r="K22" s="42"/>
      <c r="L22" s="41"/>
      <c r="M22" s="41"/>
      <c r="N22" s="41"/>
      <c r="O22" s="41"/>
      <c r="P22" s="43">
        <v>200.0</v>
      </c>
      <c r="Q22" s="25">
        <f t="shared" si="1"/>
        <v>0</v>
      </c>
      <c r="R22" s="43" t="s">
        <v>28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45569.0</v>
      </c>
      <c r="C23" s="18" t="s">
        <v>320</v>
      </c>
      <c r="D23" s="19">
        <v>62809.0</v>
      </c>
      <c r="E23" s="20" t="s">
        <v>321</v>
      </c>
      <c r="F23" s="21"/>
      <c r="G23" s="22"/>
      <c r="H23" s="22"/>
      <c r="I23" s="21">
        <v>2500.0</v>
      </c>
      <c r="J23" s="22"/>
      <c r="K23" s="36"/>
      <c r="L23" s="22"/>
      <c r="M23" s="22"/>
      <c r="N23" s="22"/>
      <c r="O23" s="22"/>
      <c r="P23" s="24">
        <v>2500.0</v>
      </c>
      <c r="Q23" s="25">
        <f t="shared" si="1"/>
        <v>0</v>
      </c>
      <c r="R23" s="24" t="s">
        <v>28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45569.0</v>
      </c>
      <c r="C24" s="18" t="s">
        <v>322</v>
      </c>
      <c r="D24" s="19">
        <v>58050.0</v>
      </c>
      <c r="E24" s="20" t="s">
        <v>323</v>
      </c>
      <c r="F24" s="21"/>
      <c r="G24" s="22"/>
      <c r="H24" s="22"/>
      <c r="I24" s="21"/>
      <c r="J24" s="21">
        <v>7150.0</v>
      </c>
      <c r="K24" s="36"/>
      <c r="L24" s="22"/>
      <c r="M24" s="22"/>
      <c r="N24" s="22"/>
      <c r="O24" s="22"/>
      <c r="P24" s="24">
        <v>7150.0</v>
      </c>
      <c r="Q24" s="25">
        <f t="shared" si="1"/>
        <v>0</v>
      </c>
      <c r="R24" s="24" t="s">
        <v>35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45569.0</v>
      </c>
      <c r="C25" s="18" t="s">
        <v>324</v>
      </c>
      <c r="D25" s="19">
        <v>55969.0</v>
      </c>
      <c r="E25" s="20" t="s">
        <v>325</v>
      </c>
      <c r="F25" s="21"/>
      <c r="G25" s="22"/>
      <c r="H25" s="22"/>
      <c r="I25" s="36"/>
      <c r="J25" s="21">
        <v>45300.0</v>
      </c>
      <c r="K25" s="36"/>
      <c r="L25" s="22"/>
      <c r="M25" s="22"/>
      <c r="N25" s="22"/>
      <c r="O25" s="22"/>
      <c r="P25" s="24">
        <v>45300.0</v>
      </c>
      <c r="Q25" s="25">
        <f t="shared" si="1"/>
        <v>0</v>
      </c>
      <c r="R25" s="24" t="s">
        <v>28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45569.0</v>
      </c>
      <c r="C26" s="18" t="s">
        <v>326</v>
      </c>
      <c r="D26" s="19">
        <v>42339.0</v>
      </c>
      <c r="E26" s="20" t="s">
        <v>327</v>
      </c>
      <c r="F26" s="21"/>
      <c r="G26" s="22"/>
      <c r="H26" s="22"/>
      <c r="I26" s="21"/>
      <c r="J26" s="21">
        <v>550.0</v>
      </c>
      <c r="K26" s="23">
        <v>4600.0</v>
      </c>
      <c r="L26" s="22"/>
      <c r="M26" s="22"/>
      <c r="N26" s="22"/>
      <c r="O26" s="22"/>
      <c r="P26" s="24">
        <v>5150.0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45569.0</v>
      </c>
      <c r="C27" s="18" t="s">
        <v>328</v>
      </c>
      <c r="D27" s="19">
        <v>54226.0</v>
      </c>
      <c r="E27" s="20" t="s">
        <v>34</v>
      </c>
      <c r="F27" s="21"/>
      <c r="G27" s="22"/>
      <c r="H27" s="22"/>
      <c r="I27" s="21"/>
      <c r="J27" s="21">
        <v>8100.0</v>
      </c>
      <c r="K27" s="23"/>
      <c r="L27" s="22"/>
      <c r="M27" s="22"/>
      <c r="N27" s="22"/>
      <c r="O27" s="22"/>
      <c r="P27" s="24">
        <v>8100.0</v>
      </c>
      <c r="Q27" s="25">
        <f t="shared" si="1"/>
        <v>0</v>
      </c>
      <c r="R27" s="24" t="s">
        <v>48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45569.0</v>
      </c>
      <c r="C28" s="18" t="s">
        <v>329</v>
      </c>
      <c r="D28" s="19">
        <v>71616.0</v>
      </c>
      <c r="E28" s="20" t="s">
        <v>330</v>
      </c>
      <c r="F28" s="21"/>
      <c r="G28" s="22"/>
      <c r="H28" s="22"/>
      <c r="I28" s="21">
        <v>5350.0</v>
      </c>
      <c r="J28" s="21"/>
      <c r="K28" s="23"/>
      <c r="L28" s="22"/>
      <c r="M28" s="22"/>
      <c r="N28" s="22"/>
      <c r="O28" s="22"/>
      <c r="P28" s="24">
        <v>5350.0</v>
      </c>
      <c r="Q28" s="25">
        <f t="shared" si="1"/>
        <v>0</v>
      </c>
      <c r="R28" s="24" t="s">
        <v>35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45569.0</v>
      </c>
      <c r="C29" s="18" t="s">
        <v>331</v>
      </c>
      <c r="D29" s="19">
        <v>73943.0</v>
      </c>
      <c r="E29" s="20" t="s">
        <v>332</v>
      </c>
      <c r="F29" s="21"/>
      <c r="G29" s="22"/>
      <c r="H29" s="22"/>
      <c r="I29" s="21"/>
      <c r="J29" s="21">
        <v>2650.0</v>
      </c>
      <c r="K29" s="23"/>
      <c r="L29" s="22"/>
      <c r="M29" s="22"/>
      <c r="N29" s="22"/>
      <c r="O29" s="22"/>
      <c r="P29" s="24">
        <v>2650.0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45569.0</v>
      </c>
      <c r="C30" s="18" t="s">
        <v>333</v>
      </c>
      <c r="D30" s="19">
        <v>67621.0</v>
      </c>
      <c r="E30" s="20" t="s">
        <v>56</v>
      </c>
      <c r="F30" s="21"/>
      <c r="G30" s="22"/>
      <c r="H30" s="22"/>
      <c r="I30" s="21">
        <v>5000.0</v>
      </c>
      <c r="J30" s="21"/>
      <c r="K30" s="23"/>
      <c r="L30" s="22"/>
      <c r="M30" s="22"/>
      <c r="N30" s="22"/>
      <c r="O30" s="22"/>
      <c r="P30" s="24">
        <v>5000.0</v>
      </c>
      <c r="Q30" s="25">
        <f t="shared" si="1"/>
        <v>0</v>
      </c>
      <c r="R30" s="24" t="s">
        <v>35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45569.0</v>
      </c>
      <c r="C31" s="18" t="s">
        <v>334</v>
      </c>
      <c r="D31" s="19">
        <v>54820.0</v>
      </c>
      <c r="E31" s="20" t="s">
        <v>335</v>
      </c>
      <c r="F31" s="21"/>
      <c r="G31" s="22"/>
      <c r="H31" s="22"/>
      <c r="I31" s="21">
        <v>150.0</v>
      </c>
      <c r="J31" s="21"/>
      <c r="K31" s="23"/>
      <c r="L31" s="22"/>
      <c r="M31" s="22"/>
      <c r="N31" s="22"/>
      <c r="O31" s="22"/>
      <c r="P31" s="24">
        <v>150.0</v>
      </c>
      <c r="Q31" s="25">
        <f t="shared" si="1"/>
        <v>0</v>
      </c>
      <c r="R31" s="24" t="s">
        <v>35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45569.0</v>
      </c>
      <c r="C32" s="18" t="s">
        <v>336</v>
      </c>
      <c r="D32" s="19">
        <v>59103.0</v>
      </c>
      <c r="E32" s="20" t="s">
        <v>337</v>
      </c>
      <c r="F32" s="21"/>
      <c r="G32" s="22"/>
      <c r="H32" s="22"/>
      <c r="I32" s="21">
        <v>5000.0</v>
      </c>
      <c r="J32" s="21"/>
      <c r="K32" s="23"/>
      <c r="L32" s="22"/>
      <c r="M32" s="22"/>
      <c r="N32" s="22"/>
      <c r="O32" s="22"/>
      <c r="P32" s="24">
        <v>5000.0</v>
      </c>
      <c r="Q32" s="25">
        <f t="shared" si="1"/>
        <v>0</v>
      </c>
      <c r="R32" s="24" t="s">
        <v>57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45569.0</v>
      </c>
      <c r="C33" s="18" t="s">
        <v>338</v>
      </c>
      <c r="D33" s="19">
        <v>13762.0</v>
      </c>
      <c r="E33" s="20" t="s">
        <v>339</v>
      </c>
      <c r="F33" s="21"/>
      <c r="G33" s="22"/>
      <c r="H33" s="22"/>
      <c r="I33" s="21"/>
      <c r="J33" s="21">
        <v>15000.0</v>
      </c>
      <c r="K33" s="23"/>
      <c r="L33" s="22"/>
      <c r="M33" s="22"/>
      <c r="N33" s="22"/>
      <c r="O33" s="22"/>
      <c r="P33" s="24">
        <v>15000.0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45569.0</v>
      </c>
      <c r="C34" s="18" t="s">
        <v>340</v>
      </c>
      <c r="D34" s="19">
        <v>30364.0</v>
      </c>
      <c r="E34" s="20" t="s">
        <v>341</v>
      </c>
      <c r="F34" s="21"/>
      <c r="G34" s="22"/>
      <c r="H34" s="22"/>
      <c r="I34" s="21">
        <v>4650.0</v>
      </c>
      <c r="J34" s="21"/>
      <c r="K34" s="23"/>
      <c r="L34" s="22"/>
      <c r="M34" s="22"/>
      <c r="N34" s="22"/>
      <c r="O34" s="22"/>
      <c r="P34" s="24">
        <v>4650.0</v>
      </c>
      <c r="Q34" s="25">
        <f t="shared" si="1"/>
        <v>0</v>
      </c>
      <c r="R34" s="24" t="s">
        <v>48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45569.0</v>
      </c>
      <c r="C35" s="18" t="s">
        <v>342</v>
      </c>
      <c r="D35" s="19">
        <v>84945.0</v>
      </c>
      <c r="E35" s="20" t="s">
        <v>343</v>
      </c>
      <c r="F35" s="21"/>
      <c r="G35" s="22"/>
      <c r="H35" s="22"/>
      <c r="I35" s="21"/>
      <c r="J35" s="21"/>
      <c r="K35" s="23"/>
      <c r="L35" s="22"/>
      <c r="M35" s="22">
        <v>300.0</v>
      </c>
      <c r="N35" s="22"/>
      <c r="O35" s="22"/>
      <c r="P35" s="24">
        <v>300.0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45569.0</v>
      </c>
      <c r="C36" s="18" t="s">
        <v>344</v>
      </c>
      <c r="D36" s="19">
        <v>49679.0</v>
      </c>
      <c r="E36" s="20" t="s">
        <v>345</v>
      </c>
      <c r="F36" s="21"/>
      <c r="G36" s="22"/>
      <c r="H36" s="22"/>
      <c r="I36" s="21">
        <v>2650.0</v>
      </c>
      <c r="J36" s="21"/>
      <c r="K36" s="23"/>
      <c r="L36" s="22"/>
      <c r="M36" s="22"/>
      <c r="N36" s="22"/>
      <c r="O36" s="22"/>
      <c r="P36" s="24">
        <v>2650.0</v>
      </c>
      <c r="Q36" s="25">
        <f t="shared" si="1"/>
        <v>0</v>
      </c>
      <c r="R36" s="24" t="s">
        <v>48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45569.0</v>
      </c>
      <c r="C37" s="18" t="s">
        <v>346</v>
      </c>
      <c r="D37" s="19">
        <v>16036.0</v>
      </c>
      <c r="E37" s="20" t="s">
        <v>347</v>
      </c>
      <c r="F37" s="21"/>
      <c r="G37" s="22"/>
      <c r="H37" s="22"/>
      <c r="I37" s="21"/>
      <c r="J37" s="21"/>
      <c r="K37" s="23"/>
      <c r="L37" s="22"/>
      <c r="M37" s="22">
        <v>700.0</v>
      </c>
      <c r="N37" s="22"/>
      <c r="O37" s="22"/>
      <c r="P37" s="24">
        <v>700.0</v>
      </c>
      <c r="Q37" s="25">
        <f t="shared" si="1"/>
        <v>0</v>
      </c>
      <c r="R37" s="24" t="s">
        <v>28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45569.0</v>
      </c>
      <c r="C38" s="18" t="s">
        <v>348</v>
      </c>
      <c r="D38" s="19">
        <v>36918.0</v>
      </c>
      <c r="E38" s="20" t="s">
        <v>349</v>
      </c>
      <c r="F38" s="21"/>
      <c r="G38" s="22"/>
      <c r="H38" s="22"/>
      <c r="I38" s="21">
        <v>2500.0</v>
      </c>
      <c r="J38" s="21"/>
      <c r="K38" s="23"/>
      <c r="L38" s="22"/>
      <c r="M38" s="22"/>
      <c r="N38" s="22"/>
      <c r="O38" s="22"/>
      <c r="P38" s="24">
        <v>2500.0</v>
      </c>
      <c r="Q38" s="25">
        <f t="shared" si="1"/>
        <v>0</v>
      </c>
      <c r="R38" s="24" t="s">
        <v>57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45569.0</v>
      </c>
      <c r="C39" s="18" t="s">
        <v>350</v>
      </c>
      <c r="D39" s="19">
        <v>61445.0</v>
      </c>
      <c r="E39" s="20" t="s">
        <v>351</v>
      </c>
      <c r="F39" s="21"/>
      <c r="G39" s="22"/>
      <c r="H39" s="22"/>
      <c r="I39" s="21"/>
      <c r="J39" s="21"/>
      <c r="K39" s="23"/>
      <c r="L39" s="22"/>
      <c r="M39" s="22">
        <v>1400.0</v>
      </c>
      <c r="N39" s="22"/>
      <c r="O39" s="22"/>
      <c r="P39" s="24">
        <v>1400.0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45569.0</v>
      </c>
      <c r="C40" s="18" t="s">
        <v>352</v>
      </c>
      <c r="D40" s="19">
        <v>61445.0</v>
      </c>
      <c r="E40" s="20" t="s">
        <v>351</v>
      </c>
      <c r="F40" s="21"/>
      <c r="G40" s="22"/>
      <c r="H40" s="22"/>
      <c r="I40" s="21"/>
      <c r="J40" s="21"/>
      <c r="K40" s="23"/>
      <c r="L40" s="22"/>
      <c r="M40" s="22">
        <v>5000.0</v>
      </c>
      <c r="N40" s="22"/>
      <c r="O40" s="22"/>
      <c r="P40" s="24">
        <v>5000.0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45569.0</v>
      </c>
      <c r="C41" s="18" t="s">
        <v>353</v>
      </c>
      <c r="D41" s="19">
        <v>61445.0</v>
      </c>
      <c r="E41" s="20" t="s">
        <v>351</v>
      </c>
      <c r="F41" s="21"/>
      <c r="G41" s="22"/>
      <c r="H41" s="22"/>
      <c r="I41" s="21"/>
      <c r="J41" s="21"/>
      <c r="K41" s="23"/>
      <c r="L41" s="22"/>
      <c r="M41" s="22">
        <v>6250.0</v>
      </c>
      <c r="N41" s="22"/>
      <c r="O41" s="22"/>
      <c r="P41" s="24">
        <v>6250.0</v>
      </c>
      <c r="Q41" s="25">
        <f t="shared" si="1"/>
        <v>0</v>
      </c>
      <c r="R41" s="24" t="s">
        <v>25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45569.0</v>
      </c>
      <c r="C42" s="18" t="s">
        <v>354</v>
      </c>
      <c r="D42" s="19">
        <v>76360.0</v>
      </c>
      <c r="E42" s="20" t="s">
        <v>355</v>
      </c>
      <c r="F42" s="21"/>
      <c r="G42" s="22"/>
      <c r="H42" s="22"/>
      <c r="I42" s="21">
        <v>2800.0</v>
      </c>
      <c r="J42" s="21"/>
      <c r="K42" s="23"/>
      <c r="L42" s="22"/>
      <c r="M42" s="22"/>
      <c r="N42" s="22"/>
      <c r="O42" s="22"/>
      <c r="P42" s="24">
        <v>2800.0</v>
      </c>
      <c r="Q42" s="25">
        <f t="shared" si="1"/>
        <v>0</v>
      </c>
      <c r="R42" s="24" t="s">
        <v>35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45569.0</v>
      </c>
      <c r="C43" s="18" t="s">
        <v>356</v>
      </c>
      <c r="D43" s="19">
        <v>10249.0</v>
      </c>
      <c r="E43" s="20" t="s">
        <v>118</v>
      </c>
      <c r="F43" s="21"/>
      <c r="G43" s="22"/>
      <c r="H43" s="22"/>
      <c r="I43" s="21"/>
      <c r="J43" s="21">
        <v>300.0</v>
      </c>
      <c r="K43" s="23"/>
      <c r="L43" s="22"/>
      <c r="M43" s="22"/>
      <c r="N43" s="22"/>
      <c r="O43" s="22"/>
      <c r="P43" s="24">
        <v>300.0</v>
      </c>
      <c r="Q43" s="25">
        <f t="shared" si="1"/>
        <v>0</v>
      </c>
      <c r="R43" s="24" t="s">
        <v>35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45568.0</v>
      </c>
      <c r="C44" s="18" t="s">
        <v>357</v>
      </c>
      <c r="D44" s="19">
        <v>21971.0</v>
      </c>
      <c r="E44" s="20" t="s">
        <v>358</v>
      </c>
      <c r="F44" s="21"/>
      <c r="G44" s="22"/>
      <c r="H44" s="22"/>
      <c r="I44" s="21"/>
      <c r="J44" s="21"/>
      <c r="K44" s="23">
        <v>13.5</v>
      </c>
      <c r="L44" s="22"/>
      <c r="M44" s="22"/>
      <c r="N44" s="22"/>
      <c r="O44" s="22">
        <v>1186.5</v>
      </c>
      <c r="P44" s="24">
        <v>1200.0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45568.0</v>
      </c>
      <c r="C45" s="18" t="s">
        <v>359</v>
      </c>
      <c r="D45" s="19">
        <v>48191.0</v>
      </c>
      <c r="E45" s="20" t="s">
        <v>360</v>
      </c>
      <c r="F45" s="21"/>
      <c r="G45" s="22"/>
      <c r="H45" s="22"/>
      <c r="I45" s="21"/>
      <c r="J45" s="21"/>
      <c r="K45" s="23"/>
      <c r="L45" s="22"/>
      <c r="M45" s="22">
        <v>1000.0</v>
      </c>
      <c r="N45" s="22"/>
      <c r="O45" s="22"/>
      <c r="P45" s="24">
        <v>1000.0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45568.0</v>
      </c>
      <c r="C46" s="18" t="s">
        <v>361</v>
      </c>
      <c r="D46" s="19">
        <v>31927.0</v>
      </c>
      <c r="E46" s="20" t="s">
        <v>177</v>
      </c>
      <c r="F46" s="21"/>
      <c r="G46" s="22"/>
      <c r="H46" s="22"/>
      <c r="I46" s="21"/>
      <c r="J46" s="21"/>
      <c r="K46" s="23">
        <v>990.0</v>
      </c>
      <c r="L46" s="22"/>
      <c r="M46" s="22"/>
      <c r="N46" s="22"/>
      <c r="O46" s="22">
        <v>210.0</v>
      </c>
      <c r="P46" s="24">
        <v>1200.0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45568.0</v>
      </c>
      <c r="C47" s="18" t="s">
        <v>362</v>
      </c>
      <c r="D47" s="19">
        <v>51017.0</v>
      </c>
      <c r="E47" s="20" t="s">
        <v>165</v>
      </c>
      <c r="F47" s="21"/>
      <c r="G47" s="22"/>
      <c r="H47" s="22">
        <v>4500.0</v>
      </c>
      <c r="I47" s="21"/>
      <c r="J47" s="21"/>
      <c r="K47" s="23"/>
      <c r="L47" s="22"/>
      <c r="M47" s="22"/>
      <c r="N47" s="22"/>
      <c r="O47" s="22"/>
      <c r="P47" s="24">
        <v>4500.0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45569.0</v>
      </c>
      <c r="C48" s="18" t="s">
        <v>363</v>
      </c>
      <c r="D48" s="19">
        <v>52669.0</v>
      </c>
      <c r="E48" s="20" t="s">
        <v>364</v>
      </c>
      <c r="F48" s="21"/>
      <c r="G48" s="22"/>
      <c r="H48" s="22">
        <v>31200.0</v>
      </c>
      <c r="I48" s="21"/>
      <c r="J48" s="21"/>
      <c r="K48" s="23"/>
      <c r="L48" s="22"/>
      <c r="M48" s="22"/>
      <c r="N48" s="22"/>
      <c r="O48" s="22"/>
      <c r="P48" s="24">
        <v>31200.0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45569.0</v>
      </c>
      <c r="C49" s="18" t="s">
        <v>365</v>
      </c>
      <c r="D49" s="19">
        <v>80482.0</v>
      </c>
      <c r="E49" s="20" t="s">
        <v>366</v>
      </c>
      <c r="F49" s="21"/>
      <c r="G49" s="22"/>
      <c r="H49" s="22"/>
      <c r="I49" s="21"/>
      <c r="J49" s="21"/>
      <c r="K49" s="23">
        <v>9500.0</v>
      </c>
      <c r="L49" s="22"/>
      <c r="M49" s="22"/>
      <c r="N49" s="22"/>
      <c r="O49" s="22"/>
      <c r="P49" s="24">
        <v>9500.0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45569.0</v>
      </c>
      <c r="C50" s="18" t="s">
        <v>367</v>
      </c>
      <c r="D50" s="19">
        <v>79991.0</v>
      </c>
      <c r="E50" s="20" t="s">
        <v>368</v>
      </c>
      <c r="F50" s="21"/>
      <c r="G50" s="22"/>
      <c r="H50" s="22"/>
      <c r="I50" s="21"/>
      <c r="J50" s="21"/>
      <c r="K50" s="23">
        <v>9500.0</v>
      </c>
      <c r="L50" s="22"/>
      <c r="M50" s="22"/>
      <c r="N50" s="22"/>
      <c r="O50" s="22"/>
      <c r="P50" s="24">
        <v>9500.0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45569.0</v>
      </c>
      <c r="C51" s="18" t="s">
        <v>369</v>
      </c>
      <c r="D51" s="19">
        <v>54226.0</v>
      </c>
      <c r="E51" s="20" t="s">
        <v>34</v>
      </c>
      <c r="F51" s="21"/>
      <c r="G51" s="22"/>
      <c r="H51" s="22"/>
      <c r="I51" s="21"/>
      <c r="J51" s="21"/>
      <c r="K51" s="23">
        <v>671.0</v>
      </c>
      <c r="L51" s="22"/>
      <c r="M51" s="22"/>
      <c r="N51" s="22"/>
      <c r="O51" s="22">
        <v>1729.0</v>
      </c>
      <c r="P51" s="24">
        <v>2400.0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45569.0</v>
      </c>
      <c r="C52" s="18" t="s">
        <v>370</v>
      </c>
      <c r="D52" s="19">
        <v>20541.0</v>
      </c>
      <c r="E52" s="20" t="s">
        <v>371</v>
      </c>
      <c r="F52" s="21"/>
      <c r="G52" s="22"/>
      <c r="H52" s="22">
        <v>4500.0</v>
      </c>
      <c r="I52" s="21"/>
      <c r="J52" s="21"/>
      <c r="K52" s="23"/>
      <c r="L52" s="22"/>
      <c r="M52" s="22"/>
      <c r="N52" s="22"/>
      <c r="O52" s="22"/>
      <c r="P52" s="24">
        <v>4500.0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45569.0</v>
      </c>
      <c r="C53" s="18" t="s">
        <v>372</v>
      </c>
      <c r="D53" s="19">
        <v>43380.0</v>
      </c>
      <c r="E53" s="20" t="s">
        <v>156</v>
      </c>
      <c r="F53" s="21"/>
      <c r="G53" s="22"/>
      <c r="H53" s="22">
        <v>10000.0</v>
      </c>
      <c r="I53" s="21"/>
      <c r="J53" s="21"/>
      <c r="K53" s="23"/>
      <c r="L53" s="22"/>
      <c r="M53" s="22"/>
      <c r="N53" s="22"/>
      <c r="O53" s="22"/>
      <c r="P53" s="24">
        <v>10000.0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45569.0</v>
      </c>
      <c r="C54" s="18" t="s">
        <v>373</v>
      </c>
      <c r="D54" s="19">
        <v>43380.0</v>
      </c>
      <c r="E54" s="20" t="s">
        <v>156</v>
      </c>
      <c r="F54" s="21"/>
      <c r="G54" s="22"/>
      <c r="H54" s="22">
        <v>5000.0</v>
      </c>
      <c r="I54" s="21"/>
      <c r="J54" s="21"/>
      <c r="K54" s="23"/>
      <c r="L54" s="22"/>
      <c r="M54" s="22"/>
      <c r="N54" s="22"/>
      <c r="O54" s="22"/>
      <c r="P54" s="24">
        <v>5000.0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45569.0</v>
      </c>
      <c r="C55" s="18" t="s">
        <v>374</v>
      </c>
      <c r="D55" s="19">
        <v>54820.0</v>
      </c>
      <c r="E55" s="20" t="s">
        <v>335</v>
      </c>
      <c r="F55" s="21"/>
      <c r="G55" s="22"/>
      <c r="H55" s="22"/>
      <c r="I55" s="21"/>
      <c r="J55" s="21"/>
      <c r="K55" s="23"/>
      <c r="L55" s="22"/>
      <c r="M55" s="22"/>
      <c r="N55" s="22"/>
      <c r="O55" s="22">
        <v>2400.0</v>
      </c>
      <c r="P55" s="24">
        <v>2400.0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45569.0</v>
      </c>
      <c r="C56" s="18" t="s">
        <v>375</v>
      </c>
      <c r="D56" s="19">
        <v>82932.0</v>
      </c>
      <c r="E56" s="20" t="s">
        <v>376</v>
      </c>
      <c r="F56" s="21"/>
      <c r="G56" s="22"/>
      <c r="H56" s="22">
        <v>600.0</v>
      </c>
      <c r="I56" s="21"/>
      <c r="J56" s="21"/>
      <c r="K56" s="23"/>
      <c r="L56" s="22"/>
      <c r="M56" s="22"/>
      <c r="N56" s="22"/>
      <c r="O56" s="22"/>
      <c r="P56" s="24">
        <v>600.0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45569.0</v>
      </c>
      <c r="C57" s="18" t="s">
        <v>377</v>
      </c>
      <c r="D57" s="19">
        <v>10249.0</v>
      </c>
      <c r="E57" s="20" t="s">
        <v>118</v>
      </c>
      <c r="F57" s="21"/>
      <c r="G57" s="22"/>
      <c r="H57" s="22"/>
      <c r="I57" s="21"/>
      <c r="J57" s="21"/>
      <c r="K57" s="23">
        <v>300.0</v>
      </c>
      <c r="L57" s="22"/>
      <c r="M57" s="22"/>
      <c r="N57" s="22"/>
      <c r="O57" s="22"/>
      <c r="P57" s="24">
        <v>300.0</v>
      </c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7.5" customHeight="1">
      <c r="A58" s="16"/>
      <c r="B58" s="27"/>
      <c r="C58" s="18"/>
      <c r="D58" s="19" t="s">
        <v>190</v>
      </c>
      <c r="E58" s="20"/>
      <c r="F58" s="45">
        <f t="shared" ref="F58:P58" si="2">SUM(F5:F57)</f>
        <v>0</v>
      </c>
      <c r="G58" s="45">
        <f t="shared" si="2"/>
        <v>0</v>
      </c>
      <c r="H58" s="45">
        <f t="shared" si="2"/>
        <v>55800</v>
      </c>
      <c r="I58" s="45">
        <f t="shared" si="2"/>
        <v>59450</v>
      </c>
      <c r="J58" s="45">
        <f t="shared" si="2"/>
        <v>89650</v>
      </c>
      <c r="K58" s="45">
        <f t="shared" si="2"/>
        <v>28374.5</v>
      </c>
      <c r="L58" s="45">
        <f t="shared" si="2"/>
        <v>0</v>
      </c>
      <c r="M58" s="45">
        <f t="shared" si="2"/>
        <v>14650</v>
      </c>
      <c r="N58" s="45">
        <f t="shared" si="2"/>
        <v>0</v>
      </c>
      <c r="O58" s="45">
        <f t="shared" si="2"/>
        <v>5525.5</v>
      </c>
      <c r="P58" s="45">
        <f t="shared" si="2"/>
        <v>253450</v>
      </c>
      <c r="Q58" s="46">
        <v>0.0</v>
      </c>
      <c r="R58" s="47"/>
      <c r="S58" s="26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</row>
    <row r="59" ht="58.5" customHeight="1">
      <c r="A59" s="48"/>
      <c r="B59" s="48"/>
      <c r="C59" s="49"/>
      <c r="D59" s="48"/>
      <c r="E59" s="48"/>
      <c r="F59" s="50">
        <f>F58+G58+H58+I58+J58+K58+L58+M58+N58+O58</f>
        <v>253450</v>
      </c>
      <c r="P59" s="51"/>
      <c r="Q59" s="51"/>
      <c r="R59" s="48"/>
      <c r="S59" s="48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53" t="s">
        <v>190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52"/>
      <c r="D63" s="4"/>
      <c r="E63" s="54" t="s">
        <v>191</v>
      </c>
      <c r="F63" s="55" t="s">
        <v>192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52"/>
      <c r="D64" s="4"/>
      <c r="E64" s="56" t="s">
        <v>193</v>
      </c>
      <c r="F64" s="55" t="s">
        <v>192</v>
      </c>
      <c r="G64" s="4"/>
      <c r="H64" s="4"/>
      <c r="I64" s="4"/>
      <c r="J64" s="4"/>
      <c r="K64" s="4"/>
      <c r="L64" s="4"/>
      <c r="M64" s="4"/>
      <c r="N64" s="4"/>
      <c r="O64" s="57" t="s">
        <v>190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52"/>
      <c r="D65" s="4"/>
      <c r="E65" s="56" t="s">
        <v>195</v>
      </c>
      <c r="F65" s="55" t="s">
        <v>196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52"/>
      <c r="D66" s="4"/>
      <c r="E66" s="56" t="s">
        <v>197</v>
      </c>
      <c r="F66" s="55" t="s">
        <v>196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52"/>
      <c r="D67" s="4"/>
      <c r="E67" s="56" t="s">
        <v>198</v>
      </c>
      <c r="F67" s="55" t="s">
        <v>199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52"/>
      <c r="D68" s="4"/>
      <c r="E68" s="56" t="s">
        <v>378</v>
      </c>
      <c r="F68" s="55" t="s">
        <v>196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52"/>
      <c r="D69" s="4"/>
      <c r="E69" s="56" t="s">
        <v>201</v>
      </c>
      <c r="F69" s="55" t="s">
        <v>202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52"/>
      <c r="D70" s="4"/>
      <c r="E70" s="56" t="s">
        <v>203</v>
      </c>
      <c r="F70" s="58" t="s">
        <v>204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7" t="s">
        <v>190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57" t="s">
        <v>205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>
        <v>7.0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9:O5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45570.0</v>
      </c>
      <c r="C5" s="18" t="s">
        <v>380</v>
      </c>
      <c r="D5" s="19">
        <v>74643.0</v>
      </c>
      <c r="E5" s="20" t="s">
        <v>381</v>
      </c>
      <c r="F5" s="21"/>
      <c r="G5" s="22"/>
      <c r="H5" s="22"/>
      <c r="I5" s="21"/>
      <c r="J5" s="22"/>
      <c r="K5" s="22"/>
      <c r="L5" s="22"/>
      <c r="M5" s="21">
        <v>2500.0</v>
      </c>
      <c r="N5" s="22"/>
      <c r="O5" s="22"/>
      <c r="P5" s="24">
        <v>2500.0</v>
      </c>
      <c r="Q5" s="25">
        <f t="shared" ref="Q5:Q38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45570.0</v>
      </c>
      <c r="C6" s="18" t="s">
        <v>382</v>
      </c>
      <c r="D6" s="19">
        <v>80151.0</v>
      </c>
      <c r="E6" s="20" t="s">
        <v>383</v>
      </c>
      <c r="F6" s="22"/>
      <c r="G6" s="22"/>
      <c r="H6" s="21"/>
      <c r="I6" s="21">
        <v>300.0</v>
      </c>
      <c r="J6" s="23"/>
      <c r="K6" s="22"/>
      <c r="L6" s="22"/>
      <c r="M6" s="22"/>
      <c r="N6" s="22"/>
      <c r="O6" s="22"/>
      <c r="P6" s="24">
        <v>300.0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45570.0</v>
      </c>
      <c r="C7" s="18" t="s">
        <v>384</v>
      </c>
      <c r="D7" s="19">
        <v>83195.0</v>
      </c>
      <c r="E7" s="20" t="s">
        <v>385</v>
      </c>
      <c r="F7" s="22"/>
      <c r="G7" s="22"/>
      <c r="H7" s="22"/>
      <c r="I7" s="21">
        <v>300.0</v>
      </c>
      <c r="J7" s="21"/>
      <c r="K7" s="22"/>
      <c r="L7" s="22"/>
      <c r="M7" s="22"/>
      <c r="N7" s="22"/>
      <c r="O7" s="22"/>
      <c r="P7" s="24">
        <v>300.0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45570.0</v>
      </c>
      <c r="C8" s="18" t="s">
        <v>386</v>
      </c>
      <c r="D8" s="19">
        <v>10249.0</v>
      </c>
      <c r="E8" s="20" t="s">
        <v>118</v>
      </c>
      <c r="F8" s="22"/>
      <c r="G8" s="22"/>
      <c r="H8" s="22"/>
      <c r="I8" s="21"/>
      <c r="J8" s="21"/>
      <c r="K8" s="22"/>
      <c r="L8" s="22"/>
      <c r="M8" s="21">
        <v>300.0</v>
      </c>
      <c r="N8" s="22"/>
      <c r="O8" s="22"/>
      <c r="P8" s="24">
        <v>300.0</v>
      </c>
      <c r="Q8" s="25">
        <f t="shared" si="1"/>
        <v>0</v>
      </c>
      <c r="R8" s="24" t="s">
        <v>35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45570.0</v>
      </c>
      <c r="C9" s="18" t="s">
        <v>387</v>
      </c>
      <c r="D9" s="19">
        <v>62815.0</v>
      </c>
      <c r="E9" s="20" t="s">
        <v>388</v>
      </c>
      <c r="F9" s="22"/>
      <c r="G9" s="22"/>
      <c r="H9" s="22"/>
      <c r="I9" s="21">
        <v>19500.0</v>
      </c>
      <c r="J9" s="21"/>
      <c r="K9" s="22"/>
      <c r="L9" s="22"/>
      <c r="M9" s="21"/>
      <c r="N9" s="22"/>
      <c r="O9" s="22"/>
      <c r="P9" s="24">
        <v>19500.0</v>
      </c>
      <c r="Q9" s="25">
        <f t="shared" si="1"/>
        <v>0</v>
      </c>
      <c r="R9" s="24" t="s">
        <v>35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45570.0</v>
      </c>
      <c r="C10" s="18" t="s">
        <v>389</v>
      </c>
      <c r="D10" s="19">
        <v>80154.0</v>
      </c>
      <c r="E10" s="20" t="s">
        <v>390</v>
      </c>
      <c r="F10" s="22"/>
      <c r="G10" s="22"/>
      <c r="H10" s="22"/>
      <c r="I10" s="21"/>
      <c r="J10" s="21"/>
      <c r="K10" s="22"/>
      <c r="L10" s="22"/>
      <c r="M10" s="21">
        <v>300.0</v>
      </c>
      <c r="N10" s="22"/>
      <c r="O10" s="22"/>
      <c r="P10" s="24">
        <v>300.0</v>
      </c>
      <c r="Q10" s="25">
        <f t="shared" si="1"/>
        <v>0</v>
      </c>
      <c r="R10" s="24" t="s">
        <v>35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45570.0</v>
      </c>
      <c r="C11" s="18" t="s">
        <v>391</v>
      </c>
      <c r="D11" s="19">
        <v>80175.0</v>
      </c>
      <c r="E11" s="20" t="s">
        <v>392</v>
      </c>
      <c r="F11" s="22"/>
      <c r="G11" s="22"/>
      <c r="H11" s="22"/>
      <c r="I11" s="21"/>
      <c r="J11" s="21"/>
      <c r="K11" s="22"/>
      <c r="L11" s="22"/>
      <c r="M11" s="21">
        <v>300.0</v>
      </c>
      <c r="N11" s="22"/>
      <c r="O11" s="22"/>
      <c r="P11" s="24">
        <v>300.0</v>
      </c>
      <c r="Q11" s="25">
        <f t="shared" si="1"/>
        <v>0</v>
      </c>
      <c r="R11" s="24" t="s">
        <v>35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45570.0</v>
      </c>
      <c r="C12" s="30" t="s">
        <v>393</v>
      </c>
      <c r="D12" s="31">
        <v>84925.0</v>
      </c>
      <c r="E12" s="32" t="s">
        <v>394</v>
      </c>
      <c r="F12" s="22"/>
      <c r="G12" s="22"/>
      <c r="H12" s="22"/>
      <c r="I12" s="21"/>
      <c r="J12" s="21"/>
      <c r="K12" s="22"/>
      <c r="L12" s="22"/>
      <c r="M12" s="21">
        <v>300.0</v>
      </c>
      <c r="N12" s="22"/>
      <c r="O12" s="22"/>
      <c r="P12" s="33">
        <v>300.0</v>
      </c>
      <c r="Q12" s="25">
        <f t="shared" si="1"/>
        <v>0</v>
      </c>
      <c r="R12" s="33" t="s">
        <v>35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45570.0</v>
      </c>
      <c r="C13" s="18" t="s">
        <v>395</v>
      </c>
      <c r="D13" s="19">
        <v>22341.0</v>
      </c>
      <c r="E13" s="20" t="s">
        <v>230</v>
      </c>
      <c r="F13" s="22"/>
      <c r="G13" s="22"/>
      <c r="H13" s="22"/>
      <c r="I13" s="21">
        <v>1600.0</v>
      </c>
      <c r="J13" s="21"/>
      <c r="K13" s="22"/>
      <c r="L13" s="22"/>
      <c r="M13" s="21"/>
      <c r="N13" s="22"/>
      <c r="O13" s="22"/>
      <c r="P13" s="24">
        <v>1600.0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45570.0</v>
      </c>
      <c r="C14" s="18" t="s">
        <v>396</v>
      </c>
      <c r="D14" s="19">
        <v>57773.0</v>
      </c>
      <c r="E14" s="20" t="s">
        <v>397</v>
      </c>
      <c r="F14" s="22"/>
      <c r="G14" s="22"/>
      <c r="H14" s="22"/>
      <c r="I14" s="21">
        <v>4100.0</v>
      </c>
      <c r="J14" s="21"/>
      <c r="K14" s="22"/>
      <c r="L14" s="22"/>
      <c r="M14" s="21"/>
      <c r="N14" s="22"/>
      <c r="O14" s="22"/>
      <c r="P14" s="24">
        <v>4100.0</v>
      </c>
      <c r="Q14" s="25">
        <f t="shared" si="1"/>
        <v>0</v>
      </c>
      <c r="R14" s="24" t="s">
        <v>57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45570.0</v>
      </c>
      <c r="C15" s="18" t="s">
        <v>398</v>
      </c>
      <c r="D15" s="19">
        <v>80020.0</v>
      </c>
      <c r="E15" s="20" t="s">
        <v>399</v>
      </c>
      <c r="F15" s="22"/>
      <c r="G15" s="22"/>
      <c r="H15" s="22"/>
      <c r="I15" s="21"/>
      <c r="J15" s="21">
        <v>1850.0</v>
      </c>
      <c r="K15" s="22"/>
      <c r="L15" s="22"/>
      <c r="M15" s="21"/>
      <c r="N15" s="22"/>
      <c r="O15" s="22"/>
      <c r="P15" s="24">
        <v>1850.0</v>
      </c>
      <c r="Q15" s="25">
        <f t="shared" si="1"/>
        <v>0</v>
      </c>
      <c r="R15" s="24" t="s">
        <v>28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45570.0</v>
      </c>
      <c r="C16" s="18" t="s">
        <v>400</v>
      </c>
      <c r="D16" s="19">
        <v>46927.0</v>
      </c>
      <c r="E16" s="20" t="s">
        <v>94</v>
      </c>
      <c r="F16" s="22"/>
      <c r="G16" s="22"/>
      <c r="H16" s="22"/>
      <c r="I16" s="21">
        <v>5050.0</v>
      </c>
      <c r="J16" s="21"/>
      <c r="K16" s="22"/>
      <c r="L16" s="22"/>
      <c r="M16" s="21"/>
      <c r="N16" s="22"/>
      <c r="O16" s="22"/>
      <c r="P16" s="24">
        <v>5050.0</v>
      </c>
      <c r="Q16" s="25">
        <f t="shared" si="1"/>
        <v>0</v>
      </c>
      <c r="R16" s="24" t="s">
        <v>57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45570.0</v>
      </c>
      <c r="C17" s="18" t="s">
        <v>401</v>
      </c>
      <c r="D17" s="19">
        <v>84859.0</v>
      </c>
      <c r="E17" s="20" t="s">
        <v>402</v>
      </c>
      <c r="F17" s="22">
        <v>300.0</v>
      </c>
      <c r="G17" s="22"/>
      <c r="H17" s="22"/>
      <c r="I17" s="21"/>
      <c r="J17" s="21"/>
      <c r="K17" s="22"/>
      <c r="L17" s="22"/>
      <c r="M17" s="22"/>
      <c r="N17" s="22"/>
      <c r="O17" s="22"/>
      <c r="P17" s="24">
        <v>300.0</v>
      </c>
      <c r="Q17" s="25">
        <f t="shared" si="1"/>
        <v>0</v>
      </c>
      <c r="R17" s="24" t="s">
        <v>57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45570.0</v>
      </c>
      <c r="C18" s="30" t="s">
        <v>403</v>
      </c>
      <c r="D18" s="31">
        <v>72433.0</v>
      </c>
      <c r="E18" s="32" t="s">
        <v>404</v>
      </c>
      <c r="F18" s="22"/>
      <c r="G18" s="22"/>
      <c r="H18" s="22"/>
      <c r="I18" s="21">
        <v>3190.0</v>
      </c>
      <c r="J18" s="21"/>
      <c r="K18" s="22"/>
      <c r="L18" s="22"/>
      <c r="M18" s="21"/>
      <c r="N18" s="22"/>
      <c r="O18" s="22"/>
      <c r="P18" s="33">
        <v>3190.0</v>
      </c>
      <c r="Q18" s="25">
        <f t="shared" si="1"/>
        <v>0</v>
      </c>
      <c r="R18" s="33" t="s">
        <v>35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45570.0</v>
      </c>
      <c r="C19" s="18" t="s">
        <v>405</v>
      </c>
      <c r="D19" s="19">
        <v>13762.0</v>
      </c>
      <c r="E19" s="20" t="s">
        <v>339</v>
      </c>
      <c r="F19" s="22"/>
      <c r="G19" s="22"/>
      <c r="H19" s="22"/>
      <c r="I19" s="23"/>
      <c r="J19" s="23">
        <v>10000.0</v>
      </c>
      <c r="K19" s="22"/>
      <c r="L19" s="22"/>
      <c r="M19" s="22"/>
      <c r="N19" s="22"/>
      <c r="O19" s="22"/>
      <c r="P19" s="24">
        <v>10000.0</v>
      </c>
      <c r="Q19" s="25">
        <f t="shared" si="1"/>
        <v>0</v>
      </c>
      <c r="R19" s="24" t="s">
        <v>28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45570.0</v>
      </c>
      <c r="C20" s="18" t="s">
        <v>406</v>
      </c>
      <c r="D20" s="19">
        <v>50436.0</v>
      </c>
      <c r="E20" s="20" t="s">
        <v>50</v>
      </c>
      <c r="F20" s="21"/>
      <c r="G20" s="22"/>
      <c r="H20" s="22"/>
      <c r="I20" s="35">
        <v>5000.0</v>
      </c>
      <c r="J20" s="22"/>
      <c r="K20" s="36"/>
      <c r="L20" s="22"/>
      <c r="M20" s="22"/>
      <c r="N20" s="22"/>
      <c r="O20" s="22"/>
      <c r="P20" s="24">
        <v>5000.0</v>
      </c>
      <c r="Q20" s="25">
        <f t="shared" si="1"/>
        <v>0</v>
      </c>
      <c r="R20" s="24" t="s">
        <v>35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45570.0</v>
      </c>
      <c r="C21" s="18" t="s">
        <v>407</v>
      </c>
      <c r="D21" s="19">
        <v>76972.0</v>
      </c>
      <c r="E21" s="20" t="s">
        <v>408</v>
      </c>
      <c r="F21" s="21"/>
      <c r="G21" s="22"/>
      <c r="H21" s="22"/>
      <c r="I21" s="21"/>
      <c r="J21" s="22"/>
      <c r="K21" s="21"/>
      <c r="L21" s="22"/>
      <c r="M21" s="22">
        <v>300.0</v>
      </c>
      <c r="N21" s="22"/>
      <c r="O21" s="22"/>
      <c r="P21" s="24">
        <v>300.0</v>
      </c>
      <c r="Q21" s="25">
        <f t="shared" si="1"/>
        <v>0</v>
      </c>
      <c r="R21" s="24" t="s">
        <v>35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45570.0</v>
      </c>
      <c r="C22" s="38" t="s">
        <v>409</v>
      </c>
      <c r="D22" s="39">
        <v>76972.0</v>
      </c>
      <c r="E22" s="40" t="s">
        <v>408</v>
      </c>
      <c r="F22" s="35"/>
      <c r="G22" s="41"/>
      <c r="H22" s="41"/>
      <c r="I22" s="35"/>
      <c r="J22" s="35"/>
      <c r="K22" s="42"/>
      <c r="L22" s="41"/>
      <c r="M22" s="41">
        <v>300.0</v>
      </c>
      <c r="N22" s="41"/>
      <c r="O22" s="41"/>
      <c r="P22" s="43">
        <v>300.0</v>
      </c>
      <c r="Q22" s="25">
        <f t="shared" si="1"/>
        <v>0</v>
      </c>
      <c r="R22" s="43" t="s">
        <v>35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45570.0</v>
      </c>
      <c r="C23" s="18" t="s">
        <v>410</v>
      </c>
      <c r="D23" s="19">
        <v>84683.0</v>
      </c>
      <c r="E23" s="20" t="s">
        <v>411</v>
      </c>
      <c r="F23" s="21"/>
      <c r="G23" s="22"/>
      <c r="H23" s="22"/>
      <c r="I23" s="21"/>
      <c r="J23" s="22"/>
      <c r="K23" s="36"/>
      <c r="L23" s="22"/>
      <c r="M23" s="22">
        <v>300.0</v>
      </c>
      <c r="N23" s="22"/>
      <c r="O23" s="22"/>
      <c r="P23" s="24">
        <v>300.0</v>
      </c>
      <c r="Q23" s="25">
        <f t="shared" si="1"/>
        <v>0</v>
      </c>
      <c r="R23" s="24" t="s">
        <v>57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45570.0</v>
      </c>
      <c r="C24" s="18" t="s">
        <v>412</v>
      </c>
      <c r="D24" s="19">
        <v>24368.0</v>
      </c>
      <c r="E24" s="20" t="s">
        <v>140</v>
      </c>
      <c r="F24" s="21"/>
      <c r="G24" s="22"/>
      <c r="H24" s="22"/>
      <c r="I24" s="21">
        <v>578.0</v>
      </c>
      <c r="J24" s="21"/>
      <c r="K24" s="36">
        <v>1822.0</v>
      </c>
      <c r="L24" s="22"/>
      <c r="M24" s="22"/>
      <c r="N24" s="22"/>
      <c r="O24" s="22"/>
      <c r="P24" s="24">
        <v>2400.0</v>
      </c>
      <c r="Q24" s="25">
        <f t="shared" si="1"/>
        <v>0</v>
      </c>
      <c r="R24" s="24" t="s">
        <v>48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45570.0</v>
      </c>
      <c r="C25" s="18" t="s">
        <v>413</v>
      </c>
      <c r="D25" s="19">
        <v>84859.0</v>
      </c>
      <c r="E25" s="20" t="s">
        <v>402</v>
      </c>
      <c r="F25" s="21"/>
      <c r="G25" s="22"/>
      <c r="H25" s="22"/>
      <c r="I25" s="36"/>
      <c r="J25" s="21"/>
      <c r="K25" s="36"/>
      <c r="L25" s="22"/>
      <c r="M25" s="22">
        <v>4049.0</v>
      </c>
      <c r="N25" s="22"/>
      <c r="O25" s="22"/>
      <c r="P25" s="24">
        <v>4049.0</v>
      </c>
      <c r="Q25" s="25">
        <f t="shared" si="1"/>
        <v>0</v>
      </c>
      <c r="R25" s="24" t="s">
        <v>28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45570.0</v>
      </c>
      <c r="C26" s="18" t="s">
        <v>414</v>
      </c>
      <c r="D26" s="19">
        <v>29621.0</v>
      </c>
      <c r="E26" s="20" t="s">
        <v>96</v>
      </c>
      <c r="F26" s="21"/>
      <c r="G26" s="22"/>
      <c r="H26" s="22"/>
      <c r="I26" s="21"/>
      <c r="J26" s="21">
        <v>1250.0</v>
      </c>
      <c r="K26" s="23"/>
      <c r="L26" s="22"/>
      <c r="M26" s="22"/>
      <c r="N26" s="22"/>
      <c r="O26" s="22"/>
      <c r="P26" s="24">
        <v>1250.0</v>
      </c>
      <c r="Q26" s="25">
        <f t="shared" si="1"/>
        <v>0</v>
      </c>
      <c r="R26" s="24" t="s">
        <v>57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45570.0</v>
      </c>
      <c r="C27" s="18" t="s">
        <v>415</v>
      </c>
      <c r="D27" s="19">
        <v>37642.0</v>
      </c>
      <c r="E27" s="20" t="s">
        <v>416</v>
      </c>
      <c r="F27" s="21"/>
      <c r="G27" s="22"/>
      <c r="H27" s="22"/>
      <c r="I27" s="21">
        <v>10000.0</v>
      </c>
      <c r="J27" s="21"/>
      <c r="K27" s="23"/>
      <c r="L27" s="22"/>
      <c r="M27" s="22"/>
      <c r="N27" s="22"/>
      <c r="O27" s="22"/>
      <c r="P27" s="24">
        <v>10000.0</v>
      </c>
      <c r="Q27" s="25">
        <f t="shared" si="1"/>
        <v>0</v>
      </c>
      <c r="R27" s="24" t="s">
        <v>28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45570.0</v>
      </c>
      <c r="C28" s="18" t="s">
        <v>417</v>
      </c>
      <c r="D28" s="19">
        <v>53249.0</v>
      </c>
      <c r="E28" s="20" t="s">
        <v>88</v>
      </c>
      <c r="F28" s="21"/>
      <c r="G28" s="22"/>
      <c r="H28" s="22"/>
      <c r="I28" s="21"/>
      <c r="J28" s="21">
        <v>15000.0</v>
      </c>
      <c r="K28" s="23"/>
      <c r="L28" s="22"/>
      <c r="M28" s="22"/>
      <c r="N28" s="22"/>
      <c r="O28" s="22"/>
      <c r="P28" s="24">
        <v>15000.0</v>
      </c>
      <c r="Q28" s="25">
        <f t="shared" si="1"/>
        <v>0</v>
      </c>
      <c r="R28" s="24" t="s">
        <v>28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45570.0</v>
      </c>
      <c r="C29" s="18" t="s">
        <v>418</v>
      </c>
      <c r="D29" s="19">
        <v>10008.0</v>
      </c>
      <c r="E29" s="20" t="s">
        <v>52</v>
      </c>
      <c r="F29" s="21"/>
      <c r="G29" s="22"/>
      <c r="H29" s="22"/>
      <c r="I29" s="21">
        <v>4500.0</v>
      </c>
      <c r="J29" s="21"/>
      <c r="K29" s="23"/>
      <c r="L29" s="22"/>
      <c r="M29" s="22"/>
      <c r="N29" s="22"/>
      <c r="O29" s="22"/>
      <c r="P29" s="24">
        <v>4500.0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45570.0</v>
      </c>
      <c r="C30" s="18" t="s">
        <v>419</v>
      </c>
      <c r="D30" s="19">
        <v>83280.0</v>
      </c>
      <c r="E30" s="20" t="s">
        <v>219</v>
      </c>
      <c r="F30" s="21"/>
      <c r="G30" s="22"/>
      <c r="H30" s="22"/>
      <c r="I30" s="21"/>
      <c r="J30" s="21"/>
      <c r="K30" s="23"/>
      <c r="L30" s="22"/>
      <c r="M30" s="22">
        <v>4500.0</v>
      </c>
      <c r="N30" s="22"/>
      <c r="O30" s="22"/>
      <c r="P30" s="24">
        <v>4500.0</v>
      </c>
      <c r="Q30" s="25">
        <f t="shared" si="1"/>
        <v>0</v>
      </c>
      <c r="R30" s="24" t="s">
        <v>35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45570.0</v>
      </c>
      <c r="C31" s="18" t="s">
        <v>420</v>
      </c>
      <c r="D31" s="19">
        <v>70076.0</v>
      </c>
      <c r="E31" s="20" t="s">
        <v>421</v>
      </c>
      <c r="F31" s="21"/>
      <c r="G31" s="22"/>
      <c r="H31" s="22"/>
      <c r="I31" s="21">
        <v>4300.0</v>
      </c>
      <c r="J31" s="21"/>
      <c r="K31" s="23"/>
      <c r="L31" s="22"/>
      <c r="M31" s="22"/>
      <c r="N31" s="22"/>
      <c r="O31" s="22"/>
      <c r="P31" s="24">
        <v>4300.0</v>
      </c>
      <c r="Q31" s="25">
        <f t="shared" si="1"/>
        <v>0</v>
      </c>
      <c r="R31" s="24" t="s">
        <v>57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45570.0</v>
      </c>
      <c r="C32" s="18" t="s">
        <v>422</v>
      </c>
      <c r="D32" s="19">
        <v>30894.0</v>
      </c>
      <c r="E32" s="20" t="s">
        <v>423</v>
      </c>
      <c r="F32" s="21"/>
      <c r="G32" s="22"/>
      <c r="H32" s="22"/>
      <c r="I32" s="21">
        <v>8250.0</v>
      </c>
      <c r="J32" s="21"/>
      <c r="K32" s="23"/>
      <c r="L32" s="22"/>
      <c r="M32" s="22"/>
      <c r="N32" s="22"/>
      <c r="O32" s="22"/>
      <c r="P32" s="24">
        <v>8250.0</v>
      </c>
      <c r="Q32" s="25">
        <f t="shared" si="1"/>
        <v>0</v>
      </c>
      <c r="R32" s="24" t="s">
        <v>28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45570.0</v>
      </c>
      <c r="C33" s="18" t="s">
        <v>424</v>
      </c>
      <c r="D33" s="19">
        <v>10909.0</v>
      </c>
      <c r="E33" s="20" t="s">
        <v>425</v>
      </c>
      <c r="F33" s="21"/>
      <c r="G33" s="22"/>
      <c r="H33" s="22"/>
      <c r="I33" s="21">
        <v>4500.0</v>
      </c>
      <c r="J33" s="21"/>
      <c r="K33" s="23"/>
      <c r="L33" s="22"/>
      <c r="M33" s="22"/>
      <c r="N33" s="22"/>
      <c r="O33" s="22"/>
      <c r="P33" s="24">
        <v>4500.0</v>
      </c>
      <c r="Q33" s="25">
        <f t="shared" si="1"/>
        <v>0</v>
      </c>
      <c r="R33" s="24" t="s">
        <v>35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45570.0</v>
      </c>
      <c r="C34" s="18" t="s">
        <v>426</v>
      </c>
      <c r="D34" s="19">
        <v>39476.0</v>
      </c>
      <c r="E34" s="20" t="s">
        <v>427</v>
      </c>
      <c r="F34" s="21"/>
      <c r="G34" s="22"/>
      <c r="H34" s="22"/>
      <c r="I34" s="21"/>
      <c r="J34" s="21"/>
      <c r="K34" s="23"/>
      <c r="L34" s="22"/>
      <c r="M34" s="22">
        <v>5950.0</v>
      </c>
      <c r="N34" s="22"/>
      <c r="O34" s="22"/>
      <c r="P34" s="24">
        <v>5950.0</v>
      </c>
      <c r="Q34" s="25">
        <f t="shared" si="1"/>
        <v>0</v>
      </c>
      <c r="R34" s="24" t="s">
        <v>35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45569.0</v>
      </c>
      <c r="C35" s="18" t="s">
        <v>428</v>
      </c>
      <c r="D35" s="19">
        <v>51017.0</v>
      </c>
      <c r="E35" s="20" t="s">
        <v>165</v>
      </c>
      <c r="F35" s="21"/>
      <c r="G35" s="22"/>
      <c r="H35" s="22">
        <v>15000.0</v>
      </c>
      <c r="I35" s="21"/>
      <c r="J35" s="21"/>
      <c r="K35" s="23"/>
      <c r="L35" s="22"/>
      <c r="M35" s="22"/>
      <c r="N35" s="22"/>
      <c r="O35" s="22"/>
      <c r="P35" s="24">
        <v>15000.0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45570.0</v>
      </c>
      <c r="C36" s="18" t="s">
        <v>429</v>
      </c>
      <c r="D36" s="19">
        <v>58468.0</v>
      </c>
      <c r="E36" s="20" t="s">
        <v>430</v>
      </c>
      <c r="F36" s="21"/>
      <c r="G36" s="22"/>
      <c r="H36" s="22"/>
      <c r="I36" s="21"/>
      <c r="J36" s="21"/>
      <c r="K36" s="23">
        <v>5000.0</v>
      </c>
      <c r="L36" s="22"/>
      <c r="M36" s="22"/>
      <c r="N36" s="22"/>
      <c r="O36" s="22"/>
      <c r="P36" s="24">
        <v>5000.0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45570.0</v>
      </c>
      <c r="C37" s="18" t="s">
        <v>431</v>
      </c>
      <c r="D37" s="19">
        <v>47787.0</v>
      </c>
      <c r="E37" s="20" t="s">
        <v>432</v>
      </c>
      <c r="F37" s="21"/>
      <c r="G37" s="22"/>
      <c r="H37" s="22">
        <v>7000.0</v>
      </c>
      <c r="I37" s="21"/>
      <c r="J37" s="21"/>
      <c r="K37" s="23"/>
      <c r="L37" s="22"/>
      <c r="M37" s="22"/>
      <c r="N37" s="22"/>
      <c r="O37" s="22"/>
      <c r="P37" s="24">
        <v>7000.0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45570.0</v>
      </c>
      <c r="C38" s="18" t="s">
        <v>433</v>
      </c>
      <c r="D38" s="19">
        <v>54913.0</v>
      </c>
      <c r="E38" s="20" t="s">
        <v>434</v>
      </c>
      <c r="F38" s="21"/>
      <c r="G38" s="22"/>
      <c r="H38" s="22"/>
      <c r="I38" s="21"/>
      <c r="J38" s="21"/>
      <c r="K38" s="23">
        <v>360.0</v>
      </c>
      <c r="L38" s="22"/>
      <c r="M38" s="22"/>
      <c r="N38" s="22"/>
      <c r="O38" s="22">
        <v>840.0</v>
      </c>
      <c r="P38" s="24">
        <v>1200.0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7.5" customHeight="1">
      <c r="A39" s="16"/>
      <c r="B39" s="27"/>
      <c r="C39" s="18"/>
      <c r="D39" s="19" t="s">
        <v>190</v>
      </c>
      <c r="E39" s="20"/>
      <c r="F39" s="45">
        <f t="shared" ref="F39:P39" si="2">SUM(F5:F38)</f>
        <v>300</v>
      </c>
      <c r="G39" s="45">
        <f t="shared" si="2"/>
        <v>0</v>
      </c>
      <c r="H39" s="45">
        <f t="shared" si="2"/>
        <v>22000</v>
      </c>
      <c r="I39" s="45">
        <f t="shared" si="2"/>
        <v>71168</v>
      </c>
      <c r="J39" s="45">
        <f t="shared" si="2"/>
        <v>28100</v>
      </c>
      <c r="K39" s="45">
        <f t="shared" si="2"/>
        <v>7182</v>
      </c>
      <c r="L39" s="45">
        <f t="shared" si="2"/>
        <v>0</v>
      </c>
      <c r="M39" s="45">
        <f t="shared" si="2"/>
        <v>19099</v>
      </c>
      <c r="N39" s="45">
        <f t="shared" si="2"/>
        <v>0</v>
      </c>
      <c r="O39" s="45">
        <f t="shared" si="2"/>
        <v>840</v>
      </c>
      <c r="P39" s="45">
        <f t="shared" si="2"/>
        <v>148689</v>
      </c>
      <c r="Q39" s="46">
        <v>0.0</v>
      </c>
      <c r="R39" s="47"/>
      <c r="S39" s="26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ht="58.5" customHeight="1">
      <c r="A40" s="48"/>
      <c r="B40" s="48"/>
      <c r="C40" s="49"/>
      <c r="D40" s="48"/>
      <c r="E40" s="48"/>
      <c r="F40" s="50">
        <f>F39+G39+H39+I39+J39+K39+L39+M39+N39+O39</f>
        <v>148689</v>
      </c>
      <c r="P40" s="51"/>
      <c r="Q40" s="51"/>
      <c r="R40" s="48"/>
      <c r="S40" s="48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3" t="s">
        <v>190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4" t="s">
        <v>191</v>
      </c>
      <c r="F44" s="55" t="s">
        <v>435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193</v>
      </c>
      <c r="F45" s="60" t="s">
        <v>194</v>
      </c>
      <c r="G45" s="4"/>
      <c r="H45" s="4"/>
      <c r="I45" s="4"/>
      <c r="J45" s="4"/>
      <c r="K45" s="4"/>
      <c r="L45" s="4"/>
      <c r="M45" s="4"/>
      <c r="N45" s="4"/>
      <c r="O45" s="57" t="s">
        <v>190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195</v>
      </c>
      <c r="F46" s="55" t="s">
        <v>196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197</v>
      </c>
      <c r="F47" s="55" t="s">
        <v>196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198</v>
      </c>
      <c r="F48" s="55" t="s">
        <v>436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437</v>
      </c>
      <c r="F49" s="55" t="s">
        <v>196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56" t="s">
        <v>201</v>
      </c>
      <c r="F50" s="61" t="s">
        <v>202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6" t="s">
        <v>203</v>
      </c>
      <c r="F51" s="58" t="s">
        <v>204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7" t="s">
        <v>190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57" t="s">
        <v>205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">
    <mergeCell ref="R2:R4"/>
    <mergeCell ref="S2:S4"/>
    <mergeCell ref="F3:F4"/>
    <mergeCell ref="G3:H3"/>
    <mergeCell ref="I3:J3"/>
    <mergeCell ref="K3:K4"/>
    <mergeCell ref="F40:O4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438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45570.0</v>
      </c>
      <c r="C5" s="18" t="s">
        <v>439</v>
      </c>
      <c r="D5" s="19">
        <v>10255.0</v>
      </c>
      <c r="E5" s="20" t="s">
        <v>440</v>
      </c>
      <c r="F5" s="21"/>
      <c r="G5" s="22"/>
      <c r="H5" s="22"/>
      <c r="I5" s="21"/>
      <c r="J5" s="22"/>
      <c r="K5" s="22">
        <v>32500.0</v>
      </c>
      <c r="L5" s="22"/>
      <c r="M5" s="21"/>
      <c r="N5" s="22"/>
      <c r="O5" s="22"/>
      <c r="P5" s="24">
        <v>32500.0</v>
      </c>
      <c r="Q5" s="25">
        <f t="shared" ref="Q5:Q36" si="1">F5+G5+H5+I5+J5+K5+L5+M5+N5+O5-P5</f>
        <v>0</v>
      </c>
      <c r="R5" s="24" t="s">
        <v>35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45570.0</v>
      </c>
      <c r="C6" s="18" t="s">
        <v>441</v>
      </c>
      <c r="D6" s="19">
        <v>84373.0</v>
      </c>
      <c r="E6" s="20" t="s">
        <v>442</v>
      </c>
      <c r="F6" s="22"/>
      <c r="G6" s="22"/>
      <c r="H6" s="21"/>
      <c r="I6" s="21"/>
      <c r="J6" s="23"/>
      <c r="K6" s="22"/>
      <c r="L6" s="22"/>
      <c r="M6" s="22">
        <v>2400.0</v>
      </c>
      <c r="N6" s="22"/>
      <c r="O6" s="22"/>
      <c r="P6" s="24">
        <v>2400.0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45570.0</v>
      </c>
      <c r="C7" s="18" t="s">
        <v>443</v>
      </c>
      <c r="D7" s="19">
        <v>84683.0</v>
      </c>
      <c r="E7" s="20" t="s">
        <v>411</v>
      </c>
      <c r="F7" s="22"/>
      <c r="G7" s="22"/>
      <c r="H7" s="22"/>
      <c r="I7" s="21"/>
      <c r="J7" s="21"/>
      <c r="K7" s="22"/>
      <c r="L7" s="22"/>
      <c r="M7" s="22">
        <v>4500.0</v>
      </c>
      <c r="N7" s="22"/>
      <c r="O7" s="22"/>
      <c r="P7" s="24">
        <v>4500.0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45570.0</v>
      </c>
      <c r="C8" s="18" t="s">
        <v>444</v>
      </c>
      <c r="D8" s="19">
        <v>84490.0</v>
      </c>
      <c r="E8" s="20" t="s">
        <v>445</v>
      </c>
      <c r="F8" s="22"/>
      <c r="G8" s="22"/>
      <c r="H8" s="22"/>
      <c r="I8" s="21"/>
      <c r="J8" s="21"/>
      <c r="K8" s="22"/>
      <c r="L8" s="22"/>
      <c r="M8" s="21">
        <v>100.0</v>
      </c>
      <c r="N8" s="22"/>
      <c r="O8" s="22"/>
      <c r="P8" s="24">
        <v>100.0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45571.0</v>
      </c>
      <c r="C9" s="18" t="s">
        <v>446</v>
      </c>
      <c r="D9" s="19">
        <v>10250.0</v>
      </c>
      <c r="E9" s="20" t="s">
        <v>171</v>
      </c>
      <c r="F9" s="22"/>
      <c r="G9" s="22"/>
      <c r="H9" s="22"/>
      <c r="I9" s="21">
        <v>2400.0</v>
      </c>
      <c r="J9" s="21"/>
      <c r="K9" s="22"/>
      <c r="L9" s="22"/>
      <c r="M9" s="21"/>
      <c r="N9" s="22"/>
      <c r="O9" s="22"/>
      <c r="P9" s="24">
        <v>2400.0</v>
      </c>
      <c r="Q9" s="25">
        <f t="shared" si="1"/>
        <v>0</v>
      </c>
      <c r="R9" s="24" t="s">
        <v>28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45571.0</v>
      </c>
      <c r="C10" s="18" t="s">
        <v>447</v>
      </c>
      <c r="D10" s="19">
        <v>42095.0</v>
      </c>
      <c r="E10" s="20" t="s">
        <v>448</v>
      </c>
      <c r="F10" s="22"/>
      <c r="G10" s="22"/>
      <c r="H10" s="22"/>
      <c r="I10" s="21">
        <v>300.0</v>
      </c>
      <c r="J10" s="21"/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45571.0</v>
      </c>
      <c r="C11" s="18" t="s">
        <v>449</v>
      </c>
      <c r="D11" s="19">
        <v>50697.0</v>
      </c>
      <c r="E11" s="20" t="s">
        <v>450</v>
      </c>
      <c r="F11" s="22"/>
      <c r="G11" s="22"/>
      <c r="H11" s="22"/>
      <c r="I11" s="21"/>
      <c r="J11" s="21">
        <v>5150.0</v>
      </c>
      <c r="K11" s="22"/>
      <c r="L11" s="22"/>
      <c r="M11" s="21"/>
      <c r="N11" s="22"/>
      <c r="O11" s="22"/>
      <c r="P11" s="24">
        <v>5150.0</v>
      </c>
      <c r="Q11" s="25">
        <f t="shared" si="1"/>
        <v>0</v>
      </c>
      <c r="R11" s="24" t="s">
        <v>28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45571.0</v>
      </c>
      <c r="C12" s="30" t="s">
        <v>451</v>
      </c>
      <c r="D12" s="31">
        <v>42046.0</v>
      </c>
      <c r="E12" s="32" t="s">
        <v>129</v>
      </c>
      <c r="F12" s="22"/>
      <c r="G12" s="22"/>
      <c r="H12" s="22"/>
      <c r="I12" s="21"/>
      <c r="J12" s="21"/>
      <c r="K12" s="22">
        <v>9500.0</v>
      </c>
      <c r="L12" s="22"/>
      <c r="M12" s="21"/>
      <c r="N12" s="22"/>
      <c r="O12" s="22"/>
      <c r="P12" s="33">
        <v>9500.0</v>
      </c>
      <c r="Q12" s="25">
        <f t="shared" si="1"/>
        <v>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45571.0</v>
      </c>
      <c r="C13" s="18" t="s">
        <v>452</v>
      </c>
      <c r="D13" s="19">
        <v>76101.0</v>
      </c>
      <c r="E13" s="20" t="s">
        <v>103</v>
      </c>
      <c r="F13" s="22"/>
      <c r="G13" s="22"/>
      <c r="H13" s="22"/>
      <c r="I13" s="21">
        <v>2150.0</v>
      </c>
      <c r="J13" s="21"/>
      <c r="K13" s="22"/>
      <c r="L13" s="22"/>
      <c r="M13" s="21"/>
      <c r="N13" s="22"/>
      <c r="O13" s="22"/>
      <c r="P13" s="24">
        <v>2150.0</v>
      </c>
      <c r="Q13" s="25">
        <f t="shared" si="1"/>
        <v>0</v>
      </c>
      <c r="R13" s="24" t="s">
        <v>48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45571.0</v>
      </c>
      <c r="C14" s="18" t="s">
        <v>453</v>
      </c>
      <c r="D14" s="19">
        <v>28414.0</v>
      </c>
      <c r="E14" s="20" t="s">
        <v>454</v>
      </c>
      <c r="F14" s="22"/>
      <c r="G14" s="22"/>
      <c r="H14" s="22"/>
      <c r="I14" s="21">
        <v>4150.0</v>
      </c>
      <c r="J14" s="21"/>
      <c r="K14" s="22"/>
      <c r="L14" s="22"/>
      <c r="M14" s="21"/>
      <c r="N14" s="22"/>
      <c r="O14" s="22"/>
      <c r="P14" s="24">
        <v>4150.0</v>
      </c>
      <c r="Q14" s="25">
        <f t="shared" si="1"/>
        <v>0</v>
      </c>
      <c r="R14" s="24" t="s">
        <v>28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45571.0</v>
      </c>
      <c r="C15" s="18" t="s">
        <v>455</v>
      </c>
      <c r="D15" s="19">
        <v>43112.0</v>
      </c>
      <c r="E15" s="20" t="s">
        <v>456</v>
      </c>
      <c r="F15" s="22"/>
      <c r="G15" s="22"/>
      <c r="H15" s="22"/>
      <c r="I15" s="21"/>
      <c r="J15" s="21">
        <v>2650.0</v>
      </c>
      <c r="K15" s="22"/>
      <c r="L15" s="22"/>
      <c r="M15" s="21"/>
      <c r="N15" s="22"/>
      <c r="O15" s="22"/>
      <c r="P15" s="24">
        <v>2650.0</v>
      </c>
      <c r="Q15" s="25">
        <f t="shared" si="1"/>
        <v>0</v>
      </c>
      <c r="R15" s="24" t="s">
        <v>25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45571.0</v>
      </c>
      <c r="C16" s="18" t="s">
        <v>457</v>
      </c>
      <c r="D16" s="19">
        <v>62146.0</v>
      </c>
      <c r="E16" s="20" t="s">
        <v>458</v>
      </c>
      <c r="F16" s="22"/>
      <c r="G16" s="22"/>
      <c r="H16" s="22"/>
      <c r="I16" s="21">
        <v>350.0</v>
      </c>
      <c r="J16" s="21"/>
      <c r="K16" s="22"/>
      <c r="L16" s="22"/>
      <c r="M16" s="21"/>
      <c r="N16" s="22"/>
      <c r="O16" s="22"/>
      <c r="P16" s="24">
        <v>350.0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45571.0</v>
      </c>
      <c r="C17" s="18" t="s">
        <v>459</v>
      </c>
      <c r="D17" s="19">
        <v>22332.0</v>
      </c>
      <c r="E17" s="20" t="s">
        <v>210</v>
      </c>
      <c r="F17" s="22"/>
      <c r="G17" s="22"/>
      <c r="H17" s="22"/>
      <c r="I17" s="21">
        <v>3900.0</v>
      </c>
      <c r="J17" s="21"/>
      <c r="K17" s="22"/>
      <c r="L17" s="22"/>
      <c r="M17" s="22"/>
      <c r="N17" s="22"/>
      <c r="O17" s="22"/>
      <c r="P17" s="24">
        <v>3900.0</v>
      </c>
      <c r="Q17" s="25">
        <f t="shared" si="1"/>
        <v>0</v>
      </c>
      <c r="R17" s="24" t="s">
        <v>48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45571.0</v>
      </c>
      <c r="C18" s="30" t="s">
        <v>460</v>
      </c>
      <c r="D18" s="31">
        <v>13762.0</v>
      </c>
      <c r="E18" s="32" t="s">
        <v>339</v>
      </c>
      <c r="F18" s="22"/>
      <c r="G18" s="22"/>
      <c r="H18" s="22"/>
      <c r="I18" s="21"/>
      <c r="J18" s="21">
        <v>27500.0</v>
      </c>
      <c r="K18" s="22"/>
      <c r="L18" s="22"/>
      <c r="M18" s="21"/>
      <c r="N18" s="22"/>
      <c r="O18" s="22"/>
      <c r="P18" s="33">
        <v>27500.0</v>
      </c>
      <c r="Q18" s="25">
        <f t="shared" si="1"/>
        <v>0</v>
      </c>
      <c r="R18" s="33" t="s">
        <v>28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45571.0</v>
      </c>
      <c r="C19" s="18" t="s">
        <v>461</v>
      </c>
      <c r="D19" s="19">
        <v>75045.0</v>
      </c>
      <c r="E19" s="20" t="s">
        <v>462</v>
      </c>
      <c r="F19" s="22"/>
      <c r="G19" s="22"/>
      <c r="H19" s="22"/>
      <c r="I19" s="23"/>
      <c r="J19" s="23"/>
      <c r="K19" s="22"/>
      <c r="L19" s="22"/>
      <c r="M19" s="22">
        <v>4500.0</v>
      </c>
      <c r="N19" s="22"/>
      <c r="O19" s="22"/>
      <c r="P19" s="24">
        <v>4500.0</v>
      </c>
      <c r="Q19" s="25">
        <f t="shared" si="1"/>
        <v>0</v>
      </c>
      <c r="R19" s="24" t="s">
        <v>28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45571.0</v>
      </c>
      <c r="C20" s="18" t="s">
        <v>463</v>
      </c>
      <c r="D20" s="19">
        <v>82780.0</v>
      </c>
      <c r="E20" s="20" t="s">
        <v>464</v>
      </c>
      <c r="F20" s="21"/>
      <c r="G20" s="22"/>
      <c r="H20" s="22"/>
      <c r="I20" s="35"/>
      <c r="J20" s="22"/>
      <c r="K20" s="36"/>
      <c r="L20" s="22"/>
      <c r="M20" s="22">
        <v>1450.0</v>
      </c>
      <c r="N20" s="22"/>
      <c r="O20" s="22"/>
      <c r="P20" s="24">
        <v>1450.0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45571.0</v>
      </c>
      <c r="C21" s="18" t="s">
        <v>465</v>
      </c>
      <c r="D21" s="19">
        <v>51939.0</v>
      </c>
      <c r="E21" s="20" t="s">
        <v>32</v>
      </c>
      <c r="F21" s="21"/>
      <c r="G21" s="22"/>
      <c r="H21" s="22"/>
      <c r="I21" s="21">
        <v>5450.0</v>
      </c>
      <c r="J21" s="22"/>
      <c r="K21" s="21"/>
      <c r="L21" s="22"/>
      <c r="M21" s="22"/>
      <c r="N21" s="22"/>
      <c r="O21" s="22"/>
      <c r="P21" s="24">
        <v>5450.0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45571.0</v>
      </c>
      <c r="C22" s="38" t="s">
        <v>466</v>
      </c>
      <c r="D22" s="39">
        <v>10250.0</v>
      </c>
      <c r="E22" s="40" t="s">
        <v>171</v>
      </c>
      <c r="F22" s="35"/>
      <c r="G22" s="41"/>
      <c r="H22" s="41"/>
      <c r="I22" s="35">
        <v>350.0</v>
      </c>
      <c r="J22" s="35"/>
      <c r="K22" s="42"/>
      <c r="L22" s="41"/>
      <c r="M22" s="41"/>
      <c r="N22" s="41"/>
      <c r="O22" s="41"/>
      <c r="P22" s="43">
        <v>350.0</v>
      </c>
      <c r="Q22" s="25">
        <f t="shared" si="1"/>
        <v>0</v>
      </c>
      <c r="R22" s="43" t="s">
        <v>25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45571.0</v>
      </c>
      <c r="C23" s="18" t="s">
        <v>467</v>
      </c>
      <c r="D23" s="19">
        <v>53249.0</v>
      </c>
      <c r="E23" s="20" t="s">
        <v>88</v>
      </c>
      <c r="F23" s="21"/>
      <c r="G23" s="22"/>
      <c r="H23" s="22"/>
      <c r="I23" s="21">
        <v>16000.0</v>
      </c>
      <c r="J23" s="22"/>
      <c r="K23" s="36"/>
      <c r="L23" s="22"/>
      <c r="M23" s="22"/>
      <c r="N23" s="22"/>
      <c r="O23" s="22"/>
      <c r="P23" s="24">
        <v>16000.0</v>
      </c>
      <c r="Q23" s="25">
        <f t="shared" si="1"/>
        <v>0</v>
      </c>
      <c r="R23" s="24" t="s">
        <v>48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45571.0</v>
      </c>
      <c r="C24" s="18" t="s">
        <v>468</v>
      </c>
      <c r="D24" s="19">
        <v>13781.0</v>
      </c>
      <c r="E24" s="20" t="s">
        <v>469</v>
      </c>
      <c r="F24" s="21"/>
      <c r="G24" s="22"/>
      <c r="H24" s="22"/>
      <c r="I24" s="21">
        <v>4500.0</v>
      </c>
      <c r="J24" s="21"/>
      <c r="K24" s="36"/>
      <c r="L24" s="22"/>
      <c r="M24" s="22"/>
      <c r="N24" s="22"/>
      <c r="O24" s="22"/>
      <c r="P24" s="24">
        <v>4500.0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45571.0</v>
      </c>
      <c r="C25" s="18" t="s">
        <v>470</v>
      </c>
      <c r="D25" s="19">
        <v>35227.0</v>
      </c>
      <c r="E25" s="20" t="s">
        <v>224</v>
      </c>
      <c r="F25" s="21"/>
      <c r="G25" s="22"/>
      <c r="H25" s="22"/>
      <c r="I25" s="36">
        <v>2500.0</v>
      </c>
      <c r="J25" s="21"/>
      <c r="K25" s="36"/>
      <c r="L25" s="22"/>
      <c r="M25" s="22"/>
      <c r="N25" s="22"/>
      <c r="O25" s="22"/>
      <c r="P25" s="24">
        <v>2500.0</v>
      </c>
      <c r="Q25" s="25">
        <f t="shared" si="1"/>
        <v>0</v>
      </c>
      <c r="R25" s="24" t="s">
        <v>48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45571.0</v>
      </c>
      <c r="C26" s="18" t="s">
        <v>471</v>
      </c>
      <c r="D26" s="19">
        <v>52083.0</v>
      </c>
      <c r="E26" s="20" t="s">
        <v>24</v>
      </c>
      <c r="F26" s="21"/>
      <c r="G26" s="22"/>
      <c r="H26" s="22"/>
      <c r="I26" s="21">
        <v>5400.0</v>
      </c>
      <c r="J26" s="21"/>
      <c r="K26" s="23"/>
      <c r="L26" s="22"/>
      <c r="M26" s="22"/>
      <c r="N26" s="22"/>
      <c r="O26" s="22"/>
      <c r="P26" s="24">
        <v>5400.0</v>
      </c>
      <c r="Q26" s="25">
        <f t="shared" si="1"/>
        <v>0</v>
      </c>
      <c r="R26" s="24" t="s">
        <v>28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45571.0</v>
      </c>
      <c r="C27" s="18" t="s">
        <v>472</v>
      </c>
      <c r="D27" s="19">
        <v>80636.0</v>
      </c>
      <c r="E27" s="20" t="s">
        <v>473</v>
      </c>
      <c r="F27" s="21"/>
      <c r="G27" s="22">
        <v>4500.0</v>
      </c>
      <c r="H27" s="22"/>
      <c r="I27" s="21"/>
      <c r="J27" s="21"/>
      <c r="K27" s="23"/>
      <c r="L27" s="22"/>
      <c r="M27" s="22"/>
      <c r="N27" s="22"/>
      <c r="O27" s="22"/>
      <c r="P27" s="24">
        <v>4500.0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45571.0</v>
      </c>
      <c r="C28" s="18" t="s">
        <v>474</v>
      </c>
      <c r="D28" s="19">
        <v>80636.0</v>
      </c>
      <c r="E28" s="20" t="s">
        <v>473</v>
      </c>
      <c r="F28" s="21"/>
      <c r="G28" s="22">
        <v>5000.0</v>
      </c>
      <c r="H28" s="22"/>
      <c r="I28" s="21"/>
      <c r="J28" s="21"/>
      <c r="K28" s="23"/>
      <c r="L28" s="22"/>
      <c r="M28" s="22"/>
      <c r="N28" s="22"/>
      <c r="O28" s="22"/>
      <c r="P28" s="24">
        <v>5000.0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45571.0</v>
      </c>
      <c r="C29" s="18" t="s">
        <v>475</v>
      </c>
      <c r="D29" s="19">
        <v>10001.0</v>
      </c>
      <c r="E29" s="20" t="s">
        <v>476</v>
      </c>
      <c r="F29" s="21">
        <v>800.0</v>
      </c>
      <c r="G29" s="22"/>
      <c r="H29" s="22"/>
      <c r="I29" s="21"/>
      <c r="J29" s="21"/>
      <c r="K29" s="23"/>
      <c r="L29" s="22"/>
      <c r="M29" s="22"/>
      <c r="N29" s="22"/>
      <c r="O29" s="22"/>
      <c r="P29" s="24">
        <v>800.0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45571.0</v>
      </c>
      <c r="C30" s="18" t="s">
        <v>477</v>
      </c>
      <c r="D30" s="19">
        <v>55446.0</v>
      </c>
      <c r="E30" s="20" t="s">
        <v>226</v>
      </c>
      <c r="F30" s="21"/>
      <c r="G30" s="22">
        <v>1450.0</v>
      </c>
      <c r="H30" s="22"/>
      <c r="I30" s="21"/>
      <c r="J30" s="21"/>
      <c r="K30" s="23"/>
      <c r="L30" s="22"/>
      <c r="M30" s="22"/>
      <c r="N30" s="22"/>
      <c r="O30" s="22"/>
      <c r="P30" s="24">
        <v>1450.0</v>
      </c>
      <c r="Q30" s="25">
        <f t="shared" si="1"/>
        <v>0</v>
      </c>
      <c r="R30" s="24" t="s">
        <v>28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45570.0</v>
      </c>
      <c r="C31" s="18" t="s">
        <v>478</v>
      </c>
      <c r="D31" s="19">
        <v>80154.0</v>
      </c>
      <c r="E31" s="20" t="s">
        <v>390</v>
      </c>
      <c r="F31" s="21"/>
      <c r="G31" s="22"/>
      <c r="H31" s="22">
        <v>4500.0</v>
      </c>
      <c r="I31" s="21"/>
      <c r="J31" s="21"/>
      <c r="K31" s="23"/>
      <c r="L31" s="22"/>
      <c r="M31" s="22"/>
      <c r="N31" s="22"/>
      <c r="O31" s="22"/>
      <c r="P31" s="24">
        <v>4500.0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45570.0</v>
      </c>
      <c r="C32" s="18" t="s">
        <v>479</v>
      </c>
      <c r="D32" s="19">
        <v>80154.0</v>
      </c>
      <c r="E32" s="20" t="s">
        <v>390</v>
      </c>
      <c r="F32" s="21"/>
      <c r="G32" s="22"/>
      <c r="H32" s="22">
        <v>1200.0</v>
      </c>
      <c r="I32" s="21"/>
      <c r="J32" s="21"/>
      <c r="K32" s="23"/>
      <c r="L32" s="22"/>
      <c r="M32" s="22"/>
      <c r="N32" s="22"/>
      <c r="O32" s="22"/>
      <c r="P32" s="24">
        <v>1200.0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45570.0</v>
      </c>
      <c r="C33" s="18" t="s">
        <v>480</v>
      </c>
      <c r="D33" s="19">
        <v>84828.0</v>
      </c>
      <c r="E33" s="20" t="s">
        <v>481</v>
      </c>
      <c r="F33" s="21"/>
      <c r="G33" s="22"/>
      <c r="H33" s="22"/>
      <c r="I33" s="21"/>
      <c r="J33" s="21"/>
      <c r="K33" s="23">
        <v>2250.0</v>
      </c>
      <c r="L33" s="22"/>
      <c r="M33" s="22"/>
      <c r="N33" s="22"/>
      <c r="O33" s="22"/>
      <c r="P33" s="24">
        <v>2250.0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45571.0</v>
      </c>
      <c r="C34" s="18" t="s">
        <v>482</v>
      </c>
      <c r="D34" s="19">
        <v>57201.0</v>
      </c>
      <c r="E34" s="20" t="s">
        <v>483</v>
      </c>
      <c r="F34" s="21"/>
      <c r="G34" s="22"/>
      <c r="H34" s="22">
        <v>17600.0</v>
      </c>
      <c r="I34" s="21"/>
      <c r="J34" s="21"/>
      <c r="K34" s="23"/>
      <c r="L34" s="22"/>
      <c r="M34" s="22"/>
      <c r="N34" s="22"/>
      <c r="O34" s="22"/>
      <c r="P34" s="24">
        <v>17600.0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45571.0</v>
      </c>
      <c r="C35" s="18" t="s">
        <v>484</v>
      </c>
      <c r="D35" s="19">
        <v>21828.0</v>
      </c>
      <c r="E35" s="20" t="s">
        <v>150</v>
      </c>
      <c r="F35" s="21"/>
      <c r="G35" s="22"/>
      <c r="H35" s="22"/>
      <c r="I35" s="21"/>
      <c r="J35" s="21"/>
      <c r="K35" s="23">
        <v>900.0</v>
      </c>
      <c r="L35" s="22"/>
      <c r="M35" s="22"/>
      <c r="N35" s="22"/>
      <c r="O35" s="22"/>
      <c r="P35" s="24">
        <v>900.0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45571.0</v>
      </c>
      <c r="C36" s="18" t="s">
        <v>485</v>
      </c>
      <c r="D36" s="19">
        <v>50595.0</v>
      </c>
      <c r="E36" s="20" t="s">
        <v>486</v>
      </c>
      <c r="F36" s="21"/>
      <c r="G36" s="22"/>
      <c r="H36" s="22">
        <v>24500.0</v>
      </c>
      <c r="I36" s="21"/>
      <c r="J36" s="21"/>
      <c r="K36" s="23"/>
      <c r="L36" s="22"/>
      <c r="M36" s="22"/>
      <c r="N36" s="22"/>
      <c r="O36" s="22"/>
      <c r="P36" s="24">
        <v>24500.0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27"/>
      <c r="C37" s="18"/>
      <c r="D37" s="19" t="s">
        <v>190</v>
      </c>
      <c r="E37" s="20"/>
      <c r="F37" s="45">
        <f t="shared" ref="F37:P37" si="2">SUM(F5:F36)</f>
        <v>800</v>
      </c>
      <c r="G37" s="45">
        <f t="shared" si="2"/>
        <v>10950</v>
      </c>
      <c r="H37" s="45">
        <f t="shared" si="2"/>
        <v>47800</v>
      </c>
      <c r="I37" s="45">
        <f t="shared" si="2"/>
        <v>47450</v>
      </c>
      <c r="J37" s="45">
        <f t="shared" si="2"/>
        <v>35300</v>
      </c>
      <c r="K37" s="45">
        <f t="shared" si="2"/>
        <v>45150</v>
      </c>
      <c r="L37" s="45">
        <f t="shared" si="2"/>
        <v>0</v>
      </c>
      <c r="M37" s="45">
        <f t="shared" si="2"/>
        <v>12950</v>
      </c>
      <c r="N37" s="45">
        <f t="shared" si="2"/>
        <v>0</v>
      </c>
      <c r="O37" s="45">
        <f t="shared" si="2"/>
        <v>0</v>
      </c>
      <c r="P37" s="45">
        <f t="shared" si="2"/>
        <v>200400</v>
      </c>
      <c r="Q37" s="46">
        <v>0.0</v>
      </c>
      <c r="R37" s="47"/>
      <c r="S37" s="26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ht="58.5" customHeight="1">
      <c r="A38" s="48"/>
      <c r="B38" s="48"/>
      <c r="C38" s="49"/>
      <c r="D38" s="48"/>
      <c r="E38" s="48"/>
      <c r="F38" s="50">
        <f>F37+G37+H37+I37+J37+K37+L37+M37+N37+O37</f>
        <v>200400</v>
      </c>
      <c r="P38" s="51"/>
      <c r="Q38" s="51"/>
      <c r="R38" s="48"/>
      <c r="S38" s="48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3" t="s">
        <v>190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4" t="s">
        <v>191</v>
      </c>
      <c r="F42" s="55" t="s">
        <v>435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193</v>
      </c>
      <c r="F43" s="60" t="s">
        <v>487</v>
      </c>
      <c r="G43" s="4"/>
      <c r="H43" s="4"/>
      <c r="I43" s="4"/>
      <c r="J43" s="4"/>
      <c r="K43" s="4"/>
      <c r="L43" s="4"/>
      <c r="M43" s="4"/>
      <c r="N43" s="4"/>
      <c r="O43" s="57" t="s">
        <v>190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195</v>
      </c>
      <c r="F44" s="55" t="s">
        <v>196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197</v>
      </c>
      <c r="F45" s="55" t="s">
        <v>192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198</v>
      </c>
      <c r="F46" s="55" t="s">
        <v>192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488</v>
      </c>
      <c r="F47" s="55" t="s">
        <v>192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201</v>
      </c>
      <c r="F48" s="61" t="s">
        <v>202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203</v>
      </c>
      <c r="F49" s="58" t="s">
        <v>204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7" t="s">
        <v>190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57" t="s">
        <v>205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45572.0</v>
      </c>
      <c r="C5" s="18" t="s">
        <v>490</v>
      </c>
      <c r="D5" s="19">
        <v>19688.0</v>
      </c>
      <c r="E5" s="20" t="s">
        <v>90</v>
      </c>
      <c r="F5" s="21"/>
      <c r="G5" s="22"/>
      <c r="H5" s="22"/>
      <c r="I5" s="21">
        <v>5150.0</v>
      </c>
      <c r="J5" s="22"/>
      <c r="K5" s="22"/>
      <c r="L5" s="22"/>
      <c r="M5" s="21"/>
      <c r="N5" s="22"/>
      <c r="O5" s="22"/>
      <c r="P5" s="24">
        <v>5150.0</v>
      </c>
      <c r="Q5" s="25">
        <f t="shared" ref="Q5:Q39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45572.0</v>
      </c>
      <c r="C6" s="18" t="s">
        <v>491</v>
      </c>
      <c r="D6" s="19">
        <v>62809.0</v>
      </c>
      <c r="E6" s="20" t="s">
        <v>321</v>
      </c>
      <c r="F6" s="22"/>
      <c r="G6" s="22"/>
      <c r="H6" s="21"/>
      <c r="I6" s="21">
        <v>2500.0</v>
      </c>
      <c r="J6" s="23"/>
      <c r="K6" s="22"/>
      <c r="L6" s="22"/>
      <c r="M6" s="22"/>
      <c r="N6" s="22"/>
      <c r="O6" s="22"/>
      <c r="P6" s="24">
        <v>2500.0</v>
      </c>
      <c r="Q6" s="25">
        <f t="shared" si="1"/>
        <v>0</v>
      </c>
      <c r="R6" s="24" t="s">
        <v>48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45572.0</v>
      </c>
      <c r="C7" s="18" t="s">
        <v>492</v>
      </c>
      <c r="D7" s="19">
        <v>51946.0</v>
      </c>
      <c r="E7" s="20" t="s">
        <v>105</v>
      </c>
      <c r="F7" s="22"/>
      <c r="G7" s="22"/>
      <c r="H7" s="22"/>
      <c r="I7" s="21">
        <v>10000.0</v>
      </c>
      <c r="J7" s="21"/>
      <c r="K7" s="22"/>
      <c r="L7" s="22"/>
      <c r="M7" s="22"/>
      <c r="N7" s="22"/>
      <c r="O7" s="22"/>
      <c r="P7" s="24">
        <v>10000.0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45572.0</v>
      </c>
      <c r="C8" s="18" t="s">
        <v>493</v>
      </c>
      <c r="D8" s="19">
        <v>71418.0</v>
      </c>
      <c r="E8" s="20" t="s">
        <v>494</v>
      </c>
      <c r="F8" s="22"/>
      <c r="G8" s="22"/>
      <c r="H8" s="22"/>
      <c r="I8" s="21"/>
      <c r="J8" s="21">
        <v>2650.0</v>
      </c>
      <c r="K8" s="22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45572.0</v>
      </c>
      <c r="C9" s="18" t="s">
        <v>495</v>
      </c>
      <c r="D9" s="19">
        <v>53093.0</v>
      </c>
      <c r="E9" s="20" t="s">
        <v>496</v>
      </c>
      <c r="F9" s="22"/>
      <c r="G9" s="22"/>
      <c r="H9" s="22"/>
      <c r="I9" s="21"/>
      <c r="J9" s="21">
        <v>5150.0</v>
      </c>
      <c r="K9" s="22"/>
      <c r="L9" s="22"/>
      <c r="M9" s="21"/>
      <c r="N9" s="22"/>
      <c r="O9" s="22"/>
      <c r="P9" s="24">
        <v>5150.0</v>
      </c>
      <c r="Q9" s="25">
        <f t="shared" si="1"/>
        <v>0</v>
      </c>
      <c r="R9" s="24" t="s">
        <v>35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45572.0</v>
      </c>
      <c r="C10" s="18" t="s">
        <v>497</v>
      </c>
      <c r="D10" s="19">
        <v>75989.0</v>
      </c>
      <c r="E10" s="20" t="s">
        <v>498</v>
      </c>
      <c r="F10" s="22"/>
      <c r="G10" s="22"/>
      <c r="H10" s="22"/>
      <c r="I10" s="21">
        <v>4000.0</v>
      </c>
      <c r="J10" s="21"/>
      <c r="K10" s="22"/>
      <c r="L10" s="22"/>
      <c r="M10" s="21"/>
      <c r="N10" s="22"/>
      <c r="O10" s="22"/>
      <c r="P10" s="24">
        <v>4000.0</v>
      </c>
      <c r="Q10" s="25">
        <f t="shared" si="1"/>
        <v>0</v>
      </c>
      <c r="R10" s="24" t="s">
        <v>57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45572.0</v>
      </c>
      <c r="C11" s="18" t="s">
        <v>499</v>
      </c>
      <c r="D11" s="19">
        <v>52206.0</v>
      </c>
      <c r="E11" s="20" t="s">
        <v>500</v>
      </c>
      <c r="F11" s="22"/>
      <c r="G11" s="22"/>
      <c r="H11" s="22"/>
      <c r="I11" s="21">
        <v>650.0</v>
      </c>
      <c r="J11" s="21"/>
      <c r="K11" s="22"/>
      <c r="L11" s="22"/>
      <c r="M11" s="21"/>
      <c r="N11" s="22"/>
      <c r="O11" s="22"/>
      <c r="P11" s="24">
        <v>650.0</v>
      </c>
      <c r="Q11" s="25">
        <f t="shared" si="1"/>
        <v>0</v>
      </c>
      <c r="R11" s="24" t="s">
        <v>57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45572.0</v>
      </c>
      <c r="C12" s="30" t="s">
        <v>501</v>
      </c>
      <c r="D12" s="31">
        <v>32700.0</v>
      </c>
      <c r="E12" s="32" t="s">
        <v>502</v>
      </c>
      <c r="F12" s="22"/>
      <c r="G12" s="22"/>
      <c r="H12" s="22"/>
      <c r="I12" s="21"/>
      <c r="J12" s="21">
        <v>10000.0</v>
      </c>
      <c r="K12" s="22"/>
      <c r="L12" s="22"/>
      <c r="M12" s="21"/>
      <c r="N12" s="22"/>
      <c r="O12" s="22"/>
      <c r="P12" s="33">
        <v>10000.0</v>
      </c>
      <c r="Q12" s="25">
        <f t="shared" si="1"/>
        <v>0</v>
      </c>
      <c r="R12" s="33" t="s">
        <v>57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45572.0</v>
      </c>
      <c r="C13" s="18" t="s">
        <v>503</v>
      </c>
      <c r="D13" s="19">
        <v>79230.0</v>
      </c>
      <c r="E13" s="20" t="s">
        <v>504</v>
      </c>
      <c r="F13" s="22"/>
      <c r="G13" s="22"/>
      <c r="H13" s="22"/>
      <c r="I13" s="21"/>
      <c r="J13" s="21">
        <v>3550.0</v>
      </c>
      <c r="K13" s="22"/>
      <c r="L13" s="22"/>
      <c r="M13" s="21"/>
      <c r="N13" s="22"/>
      <c r="O13" s="22"/>
      <c r="P13" s="24">
        <v>3550.0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45572.0</v>
      </c>
      <c r="C14" s="18" t="s">
        <v>505</v>
      </c>
      <c r="D14" s="19">
        <v>62146.0</v>
      </c>
      <c r="E14" s="20" t="s">
        <v>458</v>
      </c>
      <c r="F14" s="22"/>
      <c r="G14" s="22"/>
      <c r="H14" s="22"/>
      <c r="I14" s="21">
        <v>350.0</v>
      </c>
      <c r="J14" s="21"/>
      <c r="K14" s="22"/>
      <c r="L14" s="22"/>
      <c r="M14" s="21"/>
      <c r="N14" s="22"/>
      <c r="O14" s="22"/>
      <c r="P14" s="24">
        <v>350.0</v>
      </c>
      <c r="Q14" s="25">
        <f t="shared" si="1"/>
        <v>0</v>
      </c>
      <c r="R14" s="24" t="s">
        <v>57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45572.0</v>
      </c>
      <c r="C15" s="18" t="s">
        <v>506</v>
      </c>
      <c r="D15" s="19">
        <v>46927.0</v>
      </c>
      <c r="E15" s="20" t="s">
        <v>94</v>
      </c>
      <c r="F15" s="22"/>
      <c r="G15" s="22"/>
      <c r="H15" s="22"/>
      <c r="I15" s="21">
        <v>2158.0</v>
      </c>
      <c r="J15" s="21"/>
      <c r="K15" s="22">
        <v>492.0</v>
      </c>
      <c r="L15" s="22"/>
      <c r="M15" s="21"/>
      <c r="N15" s="22"/>
      <c r="O15" s="22"/>
      <c r="P15" s="24">
        <v>2650.0</v>
      </c>
      <c r="Q15" s="25">
        <f t="shared" si="1"/>
        <v>0</v>
      </c>
      <c r="R15" s="24" t="s">
        <v>57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45572.0</v>
      </c>
      <c r="C16" s="18" t="s">
        <v>507</v>
      </c>
      <c r="D16" s="19">
        <v>21828.0</v>
      </c>
      <c r="E16" s="20" t="s">
        <v>150</v>
      </c>
      <c r="F16" s="22"/>
      <c r="G16" s="22"/>
      <c r="H16" s="22"/>
      <c r="I16" s="21"/>
      <c r="J16" s="21">
        <v>2500.0</v>
      </c>
      <c r="K16" s="22"/>
      <c r="L16" s="22"/>
      <c r="M16" s="21"/>
      <c r="N16" s="22"/>
      <c r="O16" s="22"/>
      <c r="P16" s="24">
        <v>2500.0</v>
      </c>
      <c r="Q16" s="25">
        <f t="shared" si="1"/>
        <v>0</v>
      </c>
      <c r="R16" s="24" t="s">
        <v>28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45572.0</v>
      </c>
      <c r="C17" s="18" t="s">
        <v>508</v>
      </c>
      <c r="D17" s="19">
        <v>21821.0</v>
      </c>
      <c r="E17" s="20" t="s">
        <v>114</v>
      </c>
      <c r="F17" s="22"/>
      <c r="G17" s="22"/>
      <c r="H17" s="22"/>
      <c r="I17" s="21"/>
      <c r="J17" s="21"/>
      <c r="K17" s="22">
        <v>15000.0</v>
      </c>
      <c r="L17" s="22"/>
      <c r="M17" s="22"/>
      <c r="N17" s="22"/>
      <c r="O17" s="22"/>
      <c r="P17" s="24">
        <v>15000.0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45572.0</v>
      </c>
      <c r="C18" s="30" t="s">
        <v>509</v>
      </c>
      <c r="D18" s="31">
        <v>28414.0</v>
      </c>
      <c r="E18" s="32" t="s">
        <v>454</v>
      </c>
      <c r="F18" s="22"/>
      <c r="G18" s="22"/>
      <c r="H18" s="22"/>
      <c r="I18" s="21">
        <v>2650.0</v>
      </c>
      <c r="J18" s="21"/>
      <c r="K18" s="22"/>
      <c r="L18" s="22"/>
      <c r="M18" s="21"/>
      <c r="N18" s="22"/>
      <c r="O18" s="22"/>
      <c r="P18" s="33">
        <v>2650.0</v>
      </c>
      <c r="Q18" s="25">
        <f t="shared" si="1"/>
        <v>0</v>
      </c>
      <c r="R18" s="33" t="s">
        <v>57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45572.0</v>
      </c>
      <c r="C19" s="18" t="s">
        <v>510</v>
      </c>
      <c r="D19" s="19">
        <v>53249.0</v>
      </c>
      <c r="E19" s="20" t="s">
        <v>88</v>
      </c>
      <c r="F19" s="22"/>
      <c r="G19" s="22"/>
      <c r="H19" s="22"/>
      <c r="I19" s="23">
        <v>17700.0</v>
      </c>
      <c r="J19" s="23"/>
      <c r="K19" s="22"/>
      <c r="L19" s="22"/>
      <c r="M19" s="22"/>
      <c r="N19" s="22"/>
      <c r="O19" s="22"/>
      <c r="P19" s="24">
        <v>17700.0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45572.0</v>
      </c>
      <c r="C20" s="18" t="s">
        <v>511</v>
      </c>
      <c r="D20" s="19">
        <v>52240.0</v>
      </c>
      <c r="E20" s="20" t="s">
        <v>235</v>
      </c>
      <c r="F20" s="21"/>
      <c r="G20" s="22"/>
      <c r="H20" s="22"/>
      <c r="I20" s="35"/>
      <c r="J20" s="22">
        <v>1400.0</v>
      </c>
      <c r="K20" s="36"/>
      <c r="L20" s="22"/>
      <c r="M20" s="22"/>
      <c r="N20" s="22"/>
      <c r="O20" s="22"/>
      <c r="P20" s="24">
        <v>1400.0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45572.0</v>
      </c>
      <c r="C21" s="18" t="s">
        <v>512</v>
      </c>
      <c r="D21" s="19">
        <v>50739.0</v>
      </c>
      <c r="E21" s="20" t="s">
        <v>513</v>
      </c>
      <c r="F21" s="21"/>
      <c r="G21" s="22"/>
      <c r="H21" s="22"/>
      <c r="I21" s="21">
        <v>900.0</v>
      </c>
      <c r="J21" s="22"/>
      <c r="K21" s="21"/>
      <c r="L21" s="22"/>
      <c r="M21" s="22"/>
      <c r="N21" s="22"/>
      <c r="O21" s="22"/>
      <c r="P21" s="24">
        <v>900.0</v>
      </c>
      <c r="Q21" s="25">
        <f t="shared" si="1"/>
        <v>0</v>
      </c>
      <c r="R21" s="24" t="s">
        <v>57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45572.0</v>
      </c>
      <c r="C22" s="38" t="s">
        <v>514</v>
      </c>
      <c r="D22" s="39">
        <v>35227.0</v>
      </c>
      <c r="E22" s="40" t="s">
        <v>224</v>
      </c>
      <c r="F22" s="35"/>
      <c r="G22" s="41">
        <v>2500.0</v>
      </c>
      <c r="H22" s="41"/>
      <c r="I22" s="35"/>
      <c r="J22" s="35"/>
      <c r="K22" s="42"/>
      <c r="L22" s="41"/>
      <c r="M22" s="41"/>
      <c r="N22" s="41"/>
      <c r="O22" s="41"/>
      <c r="P22" s="43">
        <v>2500.0</v>
      </c>
      <c r="Q22" s="25">
        <f t="shared" si="1"/>
        <v>0</v>
      </c>
      <c r="R22" s="43" t="s">
        <v>28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45572.0</v>
      </c>
      <c r="C23" s="18" t="s">
        <v>515</v>
      </c>
      <c r="D23" s="19">
        <v>53249.0</v>
      </c>
      <c r="E23" s="20" t="s">
        <v>88</v>
      </c>
      <c r="F23" s="21"/>
      <c r="G23" s="22"/>
      <c r="H23" s="22"/>
      <c r="I23" s="21"/>
      <c r="J23" s="22">
        <v>300.0</v>
      </c>
      <c r="K23" s="36"/>
      <c r="L23" s="22"/>
      <c r="M23" s="22"/>
      <c r="N23" s="22"/>
      <c r="O23" s="22"/>
      <c r="P23" s="24">
        <v>300.0</v>
      </c>
      <c r="Q23" s="25">
        <f t="shared" si="1"/>
        <v>0</v>
      </c>
      <c r="R23" s="24" t="s">
        <v>48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45572.0</v>
      </c>
      <c r="C24" s="18" t="s">
        <v>516</v>
      </c>
      <c r="D24" s="19">
        <v>66518.0</v>
      </c>
      <c r="E24" s="20" t="s">
        <v>517</v>
      </c>
      <c r="F24" s="21"/>
      <c r="G24" s="22"/>
      <c r="H24" s="22"/>
      <c r="I24" s="21">
        <v>26450.0</v>
      </c>
      <c r="J24" s="21"/>
      <c r="K24" s="36"/>
      <c r="L24" s="22"/>
      <c r="M24" s="22"/>
      <c r="N24" s="22"/>
      <c r="O24" s="22"/>
      <c r="P24" s="24">
        <v>26450.0</v>
      </c>
      <c r="Q24" s="25">
        <f t="shared" si="1"/>
        <v>0</v>
      </c>
      <c r="R24" s="24" t="s">
        <v>48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45572.0</v>
      </c>
      <c r="C25" s="18" t="s">
        <v>518</v>
      </c>
      <c r="D25" s="19">
        <v>21828.0</v>
      </c>
      <c r="E25" s="20" t="s">
        <v>150</v>
      </c>
      <c r="F25" s="21"/>
      <c r="G25" s="22"/>
      <c r="H25" s="22"/>
      <c r="I25" s="36"/>
      <c r="J25" s="21">
        <v>100.0</v>
      </c>
      <c r="K25" s="36"/>
      <c r="L25" s="22"/>
      <c r="M25" s="22"/>
      <c r="N25" s="22"/>
      <c r="O25" s="22"/>
      <c r="P25" s="24">
        <v>100.0</v>
      </c>
      <c r="Q25" s="25">
        <f t="shared" si="1"/>
        <v>0</v>
      </c>
      <c r="R25" s="24" t="s">
        <v>28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45572.0</v>
      </c>
      <c r="C26" s="18" t="s">
        <v>519</v>
      </c>
      <c r="D26" s="19">
        <v>10744.0</v>
      </c>
      <c r="E26" s="20" t="s">
        <v>221</v>
      </c>
      <c r="F26" s="21"/>
      <c r="G26" s="22"/>
      <c r="H26" s="22"/>
      <c r="I26" s="21">
        <v>10000.0</v>
      </c>
      <c r="J26" s="21"/>
      <c r="K26" s="23"/>
      <c r="L26" s="22"/>
      <c r="M26" s="22"/>
      <c r="N26" s="22"/>
      <c r="O26" s="22"/>
      <c r="P26" s="24">
        <v>10000.0</v>
      </c>
      <c r="Q26" s="25">
        <f t="shared" si="1"/>
        <v>0</v>
      </c>
      <c r="R26" s="24" t="s">
        <v>35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45572.0</v>
      </c>
      <c r="C27" s="18" t="s">
        <v>520</v>
      </c>
      <c r="D27" s="19">
        <v>24368.0</v>
      </c>
      <c r="E27" s="20" t="s">
        <v>140</v>
      </c>
      <c r="F27" s="21"/>
      <c r="G27" s="22"/>
      <c r="H27" s="22"/>
      <c r="I27" s="21">
        <v>5000.0</v>
      </c>
      <c r="J27" s="21"/>
      <c r="K27" s="23"/>
      <c r="L27" s="22"/>
      <c r="M27" s="22"/>
      <c r="N27" s="22"/>
      <c r="O27" s="22"/>
      <c r="P27" s="24">
        <v>5000.0</v>
      </c>
      <c r="Q27" s="25">
        <f t="shared" si="1"/>
        <v>0</v>
      </c>
      <c r="R27" s="24" t="s">
        <v>35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45572.0</v>
      </c>
      <c r="C28" s="18" t="s">
        <v>521</v>
      </c>
      <c r="D28" s="19">
        <v>24368.0</v>
      </c>
      <c r="E28" s="20" t="s">
        <v>140</v>
      </c>
      <c r="F28" s="21"/>
      <c r="G28" s="22"/>
      <c r="H28" s="22"/>
      <c r="I28" s="21">
        <v>150.0</v>
      </c>
      <c r="J28" s="21"/>
      <c r="K28" s="23"/>
      <c r="L28" s="22"/>
      <c r="M28" s="22"/>
      <c r="N28" s="22"/>
      <c r="O28" s="22"/>
      <c r="P28" s="24">
        <v>150.0</v>
      </c>
      <c r="Q28" s="25">
        <f t="shared" si="1"/>
        <v>0</v>
      </c>
      <c r="R28" s="24" t="s">
        <v>35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45572.0</v>
      </c>
      <c r="C29" s="18" t="s">
        <v>522</v>
      </c>
      <c r="D29" s="19">
        <v>39286.0</v>
      </c>
      <c r="E29" s="20" t="s">
        <v>523</v>
      </c>
      <c r="F29" s="21"/>
      <c r="G29" s="22"/>
      <c r="H29" s="22"/>
      <c r="I29" s="21">
        <v>3850.0</v>
      </c>
      <c r="J29" s="21"/>
      <c r="K29" s="23"/>
      <c r="L29" s="22"/>
      <c r="M29" s="22"/>
      <c r="N29" s="22"/>
      <c r="O29" s="22"/>
      <c r="P29" s="24">
        <v>3850.0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45572.0</v>
      </c>
      <c r="C30" s="18" t="s">
        <v>524</v>
      </c>
      <c r="D30" s="19">
        <v>78454.0</v>
      </c>
      <c r="E30" s="20" t="s">
        <v>525</v>
      </c>
      <c r="F30" s="21"/>
      <c r="G30" s="22"/>
      <c r="H30" s="22"/>
      <c r="I30" s="21">
        <v>850.0</v>
      </c>
      <c r="J30" s="21"/>
      <c r="K30" s="23"/>
      <c r="L30" s="22"/>
      <c r="M30" s="22"/>
      <c r="N30" s="22"/>
      <c r="O30" s="22"/>
      <c r="P30" s="24">
        <v>850.0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45572.0</v>
      </c>
      <c r="C31" s="18" t="s">
        <v>526</v>
      </c>
      <c r="D31" s="19">
        <v>36769.0</v>
      </c>
      <c r="E31" s="20" t="s">
        <v>63</v>
      </c>
      <c r="F31" s="21"/>
      <c r="G31" s="22"/>
      <c r="H31" s="22"/>
      <c r="I31" s="21">
        <v>38300.0</v>
      </c>
      <c r="J31" s="21"/>
      <c r="K31" s="23"/>
      <c r="L31" s="22"/>
      <c r="M31" s="22"/>
      <c r="N31" s="22"/>
      <c r="O31" s="22"/>
      <c r="P31" s="24">
        <v>38300.0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45572.0</v>
      </c>
      <c r="C32" s="18" t="s">
        <v>527</v>
      </c>
      <c r="D32" s="19">
        <v>49655.0</v>
      </c>
      <c r="E32" s="20" t="s">
        <v>528</v>
      </c>
      <c r="F32" s="21"/>
      <c r="G32" s="22"/>
      <c r="H32" s="22"/>
      <c r="I32" s="21"/>
      <c r="J32" s="21"/>
      <c r="K32" s="23">
        <v>1250.0</v>
      </c>
      <c r="L32" s="22"/>
      <c r="M32" s="22"/>
      <c r="N32" s="22"/>
      <c r="O32" s="22"/>
      <c r="P32" s="24">
        <v>1250.0</v>
      </c>
      <c r="Q32" s="25">
        <f t="shared" si="1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45572.0</v>
      </c>
      <c r="C33" s="18" t="s">
        <v>529</v>
      </c>
      <c r="D33" s="19">
        <v>52884.0</v>
      </c>
      <c r="E33" s="20" t="s">
        <v>530</v>
      </c>
      <c r="F33" s="21"/>
      <c r="G33" s="22"/>
      <c r="H33" s="22"/>
      <c r="I33" s="21">
        <v>9500.0</v>
      </c>
      <c r="J33" s="21"/>
      <c r="K33" s="23"/>
      <c r="L33" s="22"/>
      <c r="M33" s="22"/>
      <c r="N33" s="22"/>
      <c r="O33" s="22"/>
      <c r="P33" s="24">
        <v>9500.0</v>
      </c>
      <c r="Q33" s="25">
        <f t="shared" si="1"/>
        <v>0</v>
      </c>
      <c r="R33" s="24" t="s">
        <v>48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45572.0</v>
      </c>
      <c r="C34" s="18" t="s">
        <v>531</v>
      </c>
      <c r="D34" s="19">
        <v>59285.0</v>
      </c>
      <c r="E34" s="20" t="s">
        <v>532</v>
      </c>
      <c r="F34" s="21"/>
      <c r="G34" s="22"/>
      <c r="H34" s="22"/>
      <c r="I34" s="21">
        <v>10000.0</v>
      </c>
      <c r="J34" s="21"/>
      <c r="K34" s="23"/>
      <c r="L34" s="22"/>
      <c r="M34" s="22"/>
      <c r="N34" s="22"/>
      <c r="O34" s="22"/>
      <c r="P34" s="24">
        <v>10000.0</v>
      </c>
      <c r="Q34" s="25">
        <f t="shared" si="1"/>
        <v>0</v>
      </c>
      <c r="R34" s="24" t="s">
        <v>28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45572.0</v>
      </c>
      <c r="C35" s="18" t="s">
        <v>533</v>
      </c>
      <c r="D35" s="19">
        <v>70887.0</v>
      </c>
      <c r="E35" s="20" t="s">
        <v>534</v>
      </c>
      <c r="F35" s="21"/>
      <c r="G35" s="22"/>
      <c r="H35" s="22"/>
      <c r="I35" s="21">
        <v>8000.0</v>
      </c>
      <c r="J35" s="21"/>
      <c r="K35" s="23"/>
      <c r="L35" s="22"/>
      <c r="M35" s="22"/>
      <c r="N35" s="22"/>
      <c r="O35" s="22"/>
      <c r="P35" s="24">
        <v>8000.0</v>
      </c>
      <c r="Q35" s="25">
        <f t="shared" si="1"/>
        <v>0</v>
      </c>
      <c r="R35" s="24" t="s">
        <v>48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45571.0</v>
      </c>
      <c r="C36" s="18" t="s">
        <v>535</v>
      </c>
      <c r="D36" s="19">
        <v>21928.0</v>
      </c>
      <c r="E36" s="20" t="s">
        <v>536</v>
      </c>
      <c r="F36" s="21"/>
      <c r="G36" s="22"/>
      <c r="H36" s="22"/>
      <c r="I36" s="21"/>
      <c r="J36" s="21"/>
      <c r="K36" s="23">
        <v>13500.0</v>
      </c>
      <c r="L36" s="22"/>
      <c r="M36" s="22"/>
      <c r="N36" s="22"/>
      <c r="O36" s="22"/>
      <c r="P36" s="24">
        <v>13500.0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45571.0</v>
      </c>
      <c r="C37" s="18" t="s">
        <v>537</v>
      </c>
      <c r="D37" s="19">
        <v>51017.0</v>
      </c>
      <c r="E37" s="20" t="s">
        <v>165</v>
      </c>
      <c r="F37" s="21"/>
      <c r="G37" s="22"/>
      <c r="H37" s="22">
        <v>15000.0</v>
      </c>
      <c r="I37" s="21"/>
      <c r="J37" s="21"/>
      <c r="K37" s="23"/>
      <c r="L37" s="22"/>
      <c r="M37" s="22"/>
      <c r="N37" s="22"/>
      <c r="O37" s="22"/>
      <c r="P37" s="24">
        <v>15000.0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45571.0</v>
      </c>
      <c r="C38" s="18" t="s">
        <v>538</v>
      </c>
      <c r="D38" s="19">
        <v>21828.0</v>
      </c>
      <c r="E38" s="20" t="s">
        <v>150</v>
      </c>
      <c r="F38" s="21"/>
      <c r="G38" s="22"/>
      <c r="H38" s="22"/>
      <c r="I38" s="21"/>
      <c r="J38" s="21"/>
      <c r="K38" s="23">
        <v>2500.0</v>
      </c>
      <c r="L38" s="22"/>
      <c r="M38" s="22"/>
      <c r="N38" s="22"/>
      <c r="O38" s="22"/>
      <c r="P38" s="24">
        <v>2500.0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45572.0</v>
      </c>
      <c r="C39" s="18" t="s">
        <v>539</v>
      </c>
      <c r="D39" s="19">
        <v>31927.0</v>
      </c>
      <c r="E39" s="20" t="s">
        <v>177</v>
      </c>
      <c r="F39" s="21"/>
      <c r="G39" s="22"/>
      <c r="H39" s="22"/>
      <c r="I39" s="21"/>
      <c r="J39" s="21"/>
      <c r="K39" s="23">
        <v>3850.0</v>
      </c>
      <c r="L39" s="22"/>
      <c r="M39" s="22"/>
      <c r="N39" s="22"/>
      <c r="O39" s="22"/>
      <c r="P39" s="24">
        <v>3850.0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/>
      <c r="B40" s="27"/>
      <c r="C40" s="18"/>
      <c r="D40" s="19"/>
      <c r="E40" s="20"/>
      <c r="F40" s="21"/>
      <c r="G40" s="22"/>
      <c r="H40" s="22"/>
      <c r="I40" s="21"/>
      <c r="J40" s="21"/>
      <c r="K40" s="23"/>
      <c r="L40" s="22"/>
      <c r="M40" s="22"/>
      <c r="N40" s="22"/>
      <c r="O40" s="22"/>
      <c r="P40" s="24"/>
      <c r="Q40" s="25"/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27"/>
      <c r="C41" s="18"/>
      <c r="D41" s="19" t="s">
        <v>190</v>
      </c>
      <c r="E41" s="20"/>
      <c r="F41" s="45">
        <f t="shared" ref="F41:P41" si="2">SUM(F5:F38)</f>
        <v>0</v>
      </c>
      <c r="G41" s="45">
        <f t="shared" si="2"/>
        <v>2500</v>
      </c>
      <c r="H41" s="45">
        <f t="shared" si="2"/>
        <v>15000</v>
      </c>
      <c r="I41" s="45">
        <f t="shared" si="2"/>
        <v>158158</v>
      </c>
      <c r="J41" s="45">
        <f t="shared" si="2"/>
        <v>25650</v>
      </c>
      <c r="K41" s="45">
        <f t="shared" si="2"/>
        <v>32742</v>
      </c>
      <c r="L41" s="45">
        <f t="shared" si="2"/>
        <v>0</v>
      </c>
      <c r="M41" s="45">
        <f t="shared" si="2"/>
        <v>0</v>
      </c>
      <c r="N41" s="45">
        <f t="shared" si="2"/>
        <v>0</v>
      </c>
      <c r="O41" s="45">
        <f t="shared" si="2"/>
        <v>0</v>
      </c>
      <c r="P41" s="45">
        <f t="shared" si="2"/>
        <v>234050</v>
      </c>
      <c r="Q41" s="46">
        <v>0.0</v>
      </c>
      <c r="R41" s="47"/>
      <c r="S41" s="26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ht="58.5" customHeight="1">
      <c r="A42" s="48"/>
      <c r="B42" s="48"/>
      <c r="C42" s="49"/>
      <c r="D42" s="48"/>
      <c r="E42" s="48"/>
      <c r="F42" s="50">
        <f>F41+G41+H41+I41+J41+K41+L41+M41+N41+O41</f>
        <v>234050</v>
      </c>
      <c r="P42" s="51"/>
      <c r="Q42" s="51"/>
      <c r="R42" s="48"/>
      <c r="S42" s="48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3" t="s">
        <v>190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4" t="s">
        <v>191</v>
      </c>
      <c r="F46" s="55" t="s">
        <v>540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193</v>
      </c>
      <c r="F47" s="55" t="s">
        <v>196</v>
      </c>
      <c r="G47" s="4"/>
      <c r="H47" s="4"/>
      <c r="I47" s="4"/>
      <c r="J47" s="4"/>
      <c r="K47" s="4"/>
      <c r="L47" s="4"/>
      <c r="M47" s="4"/>
      <c r="N47" s="4"/>
      <c r="O47" s="57" t="s">
        <v>190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195</v>
      </c>
      <c r="F48" s="55" t="s">
        <v>196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197</v>
      </c>
      <c r="F49" s="55" t="s">
        <v>196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56" t="s">
        <v>198</v>
      </c>
      <c r="F50" s="55" t="s">
        <v>541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6" t="s">
        <v>542</v>
      </c>
      <c r="F51" s="55" t="s">
        <v>196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56" t="s">
        <v>201</v>
      </c>
      <c r="F52" s="61" t="s">
        <v>202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56" t="s">
        <v>203</v>
      </c>
      <c r="F53" s="58" t="s">
        <v>204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7" t="s">
        <v>190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 t="str">
        <f>I72441</f>
        <v/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57" t="s">
        <v>205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>
        <v>7.0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customSheetViews>
    <customSheetView guid="{E896575A-E61C-4060-A4AD-37E1ECCF5A6F}" filter="1" showAutoFilter="1">
      <autoFilter ref="$L$6:$L$7"/>
      <extLst>
        <ext uri="GoogleSheetsCustomDataVersion1">
          <go:sheetsCustomData xmlns:go="http://customooxmlschemas.google.com/" filterViewId="1419080946"/>
        </ext>
      </extLst>
    </customSheetView>
  </customSheetViews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1.25" customHeight="1">
      <c r="A5" s="16">
        <v>1.0</v>
      </c>
      <c r="B5" s="27">
        <v>45572.0</v>
      </c>
      <c r="C5" s="18" t="s">
        <v>544</v>
      </c>
      <c r="D5" s="19">
        <v>36769.0</v>
      </c>
      <c r="E5" s="20" t="s">
        <v>63</v>
      </c>
      <c r="F5" s="21"/>
      <c r="G5" s="22"/>
      <c r="H5" s="22"/>
      <c r="I5" s="21">
        <v>6050.0</v>
      </c>
      <c r="J5" s="22"/>
      <c r="K5" s="22"/>
      <c r="L5" s="22"/>
      <c r="M5" s="21"/>
      <c r="N5" s="22"/>
      <c r="O5" s="22"/>
      <c r="P5" s="24">
        <v>6050.0</v>
      </c>
      <c r="Q5" s="25">
        <f t="shared" ref="Q5:Q52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7.5" customHeight="1">
      <c r="A6" s="16">
        <v>2.0</v>
      </c>
      <c r="B6" s="27">
        <v>45572.0</v>
      </c>
      <c r="C6" s="18" t="s">
        <v>545</v>
      </c>
      <c r="D6" s="19">
        <v>84025.0</v>
      </c>
      <c r="E6" s="20" t="s">
        <v>546</v>
      </c>
      <c r="F6" s="22"/>
      <c r="G6" s="22"/>
      <c r="H6" s="21"/>
      <c r="I6" s="21">
        <v>600.0</v>
      </c>
      <c r="J6" s="23"/>
      <c r="K6" s="22"/>
      <c r="L6" s="22"/>
      <c r="M6" s="22"/>
      <c r="N6" s="22"/>
      <c r="O6" s="22"/>
      <c r="P6" s="24">
        <v>600.0</v>
      </c>
      <c r="Q6" s="25">
        <f t="shared" si="1"/>
        <v>0</v>
      </c>
      <c r="R6" s="24" t="s">
        <v>48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45572.0</v>
      </c>
      <c r="C7" s="18" t="s">
        <v>547</v>
      </c>
      <c r="D7" s="19">
        <v>78096.0</v>
      </c>
      <c r="E7" s="20" t="s">
        <v>548</v>
      </c>
      <c r="F7" s="22"/>
      <c r="G7" s="22"/>
      <c r="H7" s="22"/>
      <c r="I7" s="21">
        <v>5000.0</v>
      </c>
      <c r="J7" s="21"/>
      <c r="K7" s="22"/>
      <c r="L7" s="22"/>
      <c r="M7" s="22"/>
      <c r="N7" s="22"/>
      <c r="O7" s="22"/>
      <c r="P7" s="24">
        <v>5000.0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45572.0</v>
      </c>
      <c r="C8" s="18" t="s">
        <v>549</v>
      </c>
      <c r="D8" s="19">
        <v>78096.0</v>
      </c>
      <c r="E8" s="20" t="s">
        <v>548</v>
      </c>
      <c r="F8" s="22"/>
      <c r="G8" s="22"/>
      <c r="H8" s="22"/>
      <c r="I8" s="21">
        <v>5000.0</v>
      </c>
      <c r="J8" s="21"/>
      <c r="K8" s="22"/>
      <c r="L8" s="22"/>
      <c r="M8" s="21"/>
      <c r="N8" s="22"/>
      <c r="O8" s="22"/>
      <c r="P8" s="24">
        <v>5000.0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45572.0</v>
      </c>
      <c r="C9" s="18" t="s">
        <v>550</v>
      </c>
      <c r="D9" s="19">
        <v>79011.0</v>
      </c>
      <c r="E9" s="20" t="s">
        <v>551</v>
      </c>
      <c r="F9" s="22"/>
      <c r="G9" s="22"/>
      <c r="H9" s="22"/>
      <c r="I9" s="21">
        <v>4500.0</v>
      </c>
      <c r="J9" s="21"/>
      <c r="K9" s="22"/>
      <c r="L9" s="22"/>
      <c r="M9" s="21"/>
      <c r="N9" s="22"/>
      <c r="O9" s="22"/>
      <c r="P9" s="24">
        <v>4500.0</v>
      </c>
      <c r="Q9" s="25">
        <f t="shared" si="1"/>
        <v>0</v>
      </c>
      <c r="R9" s="24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45572.0</v>
      </c>
      <c r="C10" s="18" t="s">
        <v>552</v>
      </c>
      <c r="D10" s="19">
        <v>79011.0</v>
      </c>
      <c r="E10" s="20" t="s">
        <v>551</v>
      </c>
      <c r="F10" s="22"/>
      <c r="G10" s="22"/>
      <c r="H10" s="22"/>
      <c r="I10" s="21">
        <v>4500.0</v>
      </c>
      <c r="J10" s="21"/>
      <c r="K10" s="22"/>
      <c r="L10" s="22"/>
      <c r="M10" s="21"/>
      <c r="N10" s="22"/>
      <c r="O10" s="22"/>
      <c r="P10" s="24">
        <v>4500.0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45572.0</v>
      </c>
      <c r="C11" s="18" t="s">
        <v>553</v>
      </c>
      <c r="D11" s="19">
        <v>79011.0</v>
      </c>
      <c r="E11" s="20" t="s">
        <v>551</v>
      </c>
      <c r="F11" s="22"/>
      <c r="G11" s="22"/>
      <c r="H11" s="22"/>
      <c r="I11" s="21">
        <v>4500.0</v>
      </c>
      <c r="J11" s="21"/>
      <c r="K11" s="22"/>
      <c r="L11" s="22"/>
      <c r="M11" s="21"/>
      <c r="N11" s="22"/>
      <c r="O11" s="22"/>
      <c r="P11" s="24">
        <v>4500.0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45572.0</v>
      </c>
      <c r="C12" s="30" t="s">
        <v>554</v>
      </c>
      <c r="D12" s="31">
        <v>52247.0</v>
      </c>
      <c r="E12" s="32" t="s">
        <v>555</v>
      </c>
      <c r="F12" s="22"/>
      <c r="G12" s="22"/>
      <c r="H12" s="22"/>
      <c r="I12" s="21">
        <v>5000.0</v>
      </c>
      <c r="J12" s="21"/>
      <c r="K12" s="22"/>
      <c r="L12" s="22"/>
      <c r="M12" s="21"/>
      <c r="N12" s="22"/>
      <c r="O12" s="22"/>
      <c r="P12" s="33">
        <v>5000.0</v>
      </c>
      <c r="Q12" s="25">
        <f t="shared" si="1"/>
        <v>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45572.0</v>
      </c>
      <c r="C13" s="18" t="s">
        <v>556</v>
      </c>
      <c r="D13" s="19">
        <v>85021.0</v>
      </c>
      <c r="E13" s="20" t="s">
        <v>557</v>
      </c>
      <c r="F13" s="22"/>
      <c r="G13" s="22"/>
      <c r="H13" s="22"/>
      <c r="I13" s="21">
        <v>6050.0</v>
      </c>
      <c r="J13" s="21"/>
      <c r="K13" s="22"/>
      <c r="L13" s="22"/>
      <c r="M13" s="21"/>
      <c r="N13" s="22"/>
      <c r="O13" s="22"/>
      <c r="P13" s="24">
        <v>6050.0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45573.0</v>
      </c>
      <c r="C14" s="18" t="s">
        <v>558</v>
      </c>
      <c r="D14" s="19">
        <v>61606.0</v>
      </c>
      <c r="E14" s="20" t="s">
        <v>559</v>
      </c>
      <c r="F14" s="22"/>
      <c r="G14" s="22"/>
      <c r="H14" s="22"/>
      <c r="I14" s="21">
        <v>2650.0</v>
      </c>
      <c r="J14" s="21"/>
      <c r="K14" s="22"/>
      <c r="L14" s="22"/>
      <c r="M14" s="21"/>
      <c r="N14" s="22"/>
      <c r="O14" s="22"/>
      <c r="P14" s="24">
        <v>2650.0</v>
      </c>
      <c r="Q14" s="25">
        <f t="shared" si="1"/>
        <v>0</v>
      </c>
      <c r="R14" s="24" t="s">
        <v>57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45573.0</v>
      </c>
      <c r="C15" s="18" t="s">
        <v>560</v>
      </c>
      <c r="D15" s="19">
        <v>80982.0</v>
      </c>
      <c r="E15" s="20" t="s">
        <v>561</v>
      </c>
      <c r="F15" s="22"/>
      <c r="G15" s="22"/>
      <c r="H15" s="22"/>
      <c r="I15" s="21"/>
      <c r="J15" s="21">
        <v>2610.0</v>
      </c>
      <c r="K15" s="22"/>
      <c r="L15" s="22"/>
      <c r="M15" s="21"/>
      <c r="N15" s="22"/>
      <c r="O15" s="22"/>
      <c r="P15" s="24">
        <v>2610.0</v>
      </c>
      <c r="Q15" s="25">
        <f t="shared" si="1"/>
        <v>0</v>
      </c>
      <c r="R15" s="24" t="s">
        <v>25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45573.0</v>
      </c>
      <c r="C16" s="18" t="s">
        <v>562</v>
      </c>
      <c r="D16" s="19">
        <v>80715.0</v>
      </c>
      <c r="E16" s="20" t="s">
        <v>563</v>
      </c>
      <c r="F16" s="22"/>
      <c r="G16" s="22"/>
      <c r="H16" s="22"/>
      <c r="I16" s="21"/>
      <c r="J16" s="21">
        <v>2500.0</v>
      </c>
      <c r="K16" s="22"/>
      <c r="L16" s="22"/>
      <c r="M16" s="21"/>
      <c r="N16" s="22"/>
      <c r="O16" s="22"/>
      <c r="P16" s="24">
        <v>2500.0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45573.0</v>
      </c>
      <c r="C17" s="18" t="s">
        <v>564</v>
      </c>
      <c r="D17" s="19">
        <v>53249.0</v>
      </c>
      <c r="E17" s="20" t="s">
        <v>88</v>
      </c>
      <c r="F17" s="22"/>
      <c r="G17" s="22"/>
      <c r="H17" s="22"/>
      <c r="I17" s="21">
        <v>15000.0</v>
      </c>
      <c r="J17" s="21"/>
      <c r="K17" s="22"/>
      <c r="L17" s="22"/>
      <c r="M17" s="22"/>
      <c r="N17" s="22"/>
      <c r="O17" s="22"/>
      <c r="P17" s="24">
        <v>15000.0</v>
      </c>
      <c r="Q17" s="25">
        <f t="shared" si="1"/>
        <v>0</v>
      </c>
      <c r="R17" s="24" t="s">
        <v>48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45573.0</v>
      </c>
      <c r="C18" s="30" t="s">
        <v>565</v>
      </c>
      <c r="D18" s="31">
        <v>84733.0</v>
      </c>
      <c r="E18" s="32" t="s">
        <v>566</v>
      </c>
      <c r="F18" s="22"/>
      <c r="G18" s="22"/>
      <c r="H18" s="22"/>
      <c r="I18" s="21">
        <v>300.0</v>
      </c>
      <c r="J18" s="21"/>
      <c r="K18" s="22"/>
      <c r="L18" s="22"/>
      <c r="M18" s="21"/>
      <c r="N18" s="22"/>
      <c r="O18" s="22"/>
      <c r="P18" s="33">
        <v>300.0</v>
      </c>
      <c r="Q18" s="25">
        <f t="shared" si="1"/>
        <v>0</v>
      </c>
      <c r="R18" s="33" t="s">
        <v>25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45573.0</v>
      </c>
      <c r="C19" s="18" t="s">
        <v>567</v>
      </c>
      <c r="D19" s="19">
        <v>62146.0</v>
      </c>
      <c r="E19" s="20" t="s">
        <v>458</v>
      </c>
      <c r="F19" s="22"/>
      <c r="G19" s="22"/>
      <c r="H19" s="22"/>
      <c r="I19" s="23">
        <v>350.0</v>
      </c>
      <c r="J19" s="23"/>
      <c r="K19" s="22"/>
      <c r="L19" s="22"/>
      <c r="M19" s="22"/>
      <c r="N19" s="22"/>
      <c r="O19" s="22"/>
      <c r="P19" s="24">
        <v>350.0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45573.0</v>
      </c>
      <c r="C20" s="18" t="s">
        <v>568</v>
      </c>
      <c r="D20" s="19">
        <v>62146.0</v>
      </c>
      <c r="E20" s="20" t="s">
        <v>458</v>
      </c>
      <c r="F20" s="21"/>
      <c r="G20" s="22"/>
      <c r="H20" s="22"/>
      <c r="I20" s="35">
        <v>5000.0</v>
      </c>
      <c r="J20" s="22"/>
      <c r="K20" s="36"/>
      <c r="L20" s="22"/>
      <c r="M20" s="22"/>
      <c r="N20" s="22"/>
      <c r="O20" s="22"/>
      <c r="P20" s="24">
        <v>5000.0</v>
      </c>
      <c r="Q20" s="25">
        <f t="shared" si="1"/>
        <v>0</v>
      </c>
      <c r="R20" s="24" t="s">
        <v>48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45573.0</v>
      </c>
      <c r="C21" s="18" t="s">
        <v>569</v>
      </c>
      <c r="D21" s="19">
        <v>79462.0</v>
      </c>
      <c r="E21" s="20" t="s">
        <v>570</v>
      </c>
      <c r="F21" s="21"/>
      <c r="G21" s="22"/>
      <c r="H21" s="22"/>
      <c r="I21" s="21"/>
      <c r="J21" s="22">
        <v>2650.0</v>
      </c>
      <c r="K21" s="21"/>
      <c r="L21" s="22"/>
      <c r="M21" s="22"/>
      <c r="N21" s="22"/>
      <c r="O21" s="22"/>
      <c r="P21" s="24">
        <v>2650.0</v>
      </c>
      <c r="Q21" s="25">
        <f t="shared" si="1"/>
        <v>0</v>
      </c>
      <c r="R21" s="24" t="s">
        <v>28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45573.0</v>
      </c>
      <c r="C22" s="38" t="s">
        <v>571</v>
      </c>
      <c r="D22" s="39">
        <v>54317.0</v>
      </c>
      <c r="E22" s="40" t="s">
        <v>572</v>
      </c>
      <c r="F22" s="35"/>
      <c r="G22" s="41"/>
      <c r="H22" s="41"/>
      <c r="I22" s="35">
        <v>9500.0</v>
      </c>
      <c r="J22" s="35"/>
      <c r="K22" s="42"/>
      <c r="L22" s="41"/>
      <c r="M22" s="41"/>
      <c r="N22" s="41"/>
      <c r="O22" s="41"/>
      <c r="P22" s="43">
        <v>9500.0</v>
      </c>
      <c r="Q22" s="25">
        <f t="shared" si="1"/>
        <v>0</v>
      </c>
      <c r="R22" s="43" t="s">
        <v>48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45573.0</v>
      </c>
      <c r="C23" s="18" t="s">
        <v>573</v>
      </c>
      <c r="D23" s="19">
        <v>45096.0</v>
      </c>
      <c r="E23" s="20" t="s">
        <v>574</v>
      </c>
      <c r="F23" s="21"/>
      <c r="G23" s="22"/>
      <c r="H23" s="22"/>
      <c r="I23" s="21">
        <v>6400.0</v>
      </c>
      <c r="J23" s="22"/>
      <c r="K23" s="36"/>
      <c r="L23" s="22"/>
      <c r="M23" s="22"/>
      <c r="N23" s="22"/>
      <c r="O23" s="22"/>
      <c r="P23" s="24">
        <v>6400.0</v>
      </c>
      <c r="Q23" s="25">
        <f t="shared" si="1"/>
        <v>0</v>
      </c>
      <c r="R23" s="24" t="s">
        <v>48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45573.0</v>
      </c>
      <c r="C24" s="18" t="s">
        <v>575</v>
      </c>
      <c r="D24" s="19">
        <v>58074.0</v>
      </c>
      <c r="E24" s="20" t="s">
        <v>228</v>
      </c>
      <c r="F24" s="21"/>
      <c r="G24" s="22"/>
      <c r="H24" s="22"/>
      <c r="I24" s="21">
        <v>4000.0</v>
      </c>
      <c r="J24" s="21"/>
      <c r="K24" s="36"/>
      <c r="L24" s="22"/>
      <c r="M24" s="22"/>
      <c r="N24" s="22"/>
      <c r="O24" s="22"/>
      <c r="P24" s="24">
        <v>4000.0</v>
      </c>
      <c r="Q24" s="25">
        <f t="shared" si="1"/>
        <v>0</v>
      </c>
      <c r="R24" s="24" t="s">
        <v>35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45573.0</v>
      </c>
      <c r="C25" s="18" t="s">
        <v>576</v>
      </c>
      <c r="D25" s="19">
        <v>25542.0</v>
      </c>
      <c r="E25" s="20" t="s">
        <v>577</v>
      </c>
      <c r="F25" s="21"/>
      <c r="G25" s="22"/>
      <c r="H25" s="22">
        <v>5000.0</v>
      </c>
      <c r="I25" s="36"/>
      <c r="J25" s="21"/>
      <c r="K25" s="36"/>
      <c r="L25" s="22"/>
      <c r="M25" s="22"/>
      <c r="N25" s="22"/>
      <c r="O25" s="22"/>
      <c r="P25" s="24">
        <v>5000.0</v>
      </c>
      <c r="Q25" s="25">
        <f t="shared" si="1"/>
        <v>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45573.0</v>
      </c>
      <c r="C26" s="18" t="s">
        <v>578</v>
      </c>
      <c r="D26" s="19">
        <v>31927.0</v>
      </c>
      <c r="E26" s="20" t="s">
        <v>177</v>
      </c>
      <c r="F26" s="21"/>
      <c r="G26" s="22"/>
      <c r="H26" s="22"/>
      <c r="I26" s="21">
        <v>2500.0</v>
      </c>
      <c r="J26" s="21"/>
      <c r="K26" s="23"/>
      <c r="L26" s="22"/>
      <c r="M26" s="22"/>
      <c r="N26" s="22"/>
      <c r="O26" s="22"/>
      <c r="P26" s="24">
        <v>2500.0</v>
      </c>
      <c r="Q26" s="25">
        <f t="shared" si="1"/>
        <v>0</v>
      </c>
      <c r="R26" s="24" t="s">
        <v>28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45573.0</v>
      </c>
      <c r="C27" s="18" t="s">
        <v>579</v>
      </c>
      <c r="D27" s="19">
        <v>81627.0</v>
      </c>
      <c r="E27" s="20" t="s">
        <v>580</v>
      </c>
      <c r="F27" s="21"/>
      <c r="G27" s="22"/>
      <c r="H27" s="22"/>
      <c r="I27" s="21">
        <v>2650.0</v>
      </c>
      <c r="J27" s="21"/>
      <c r="K27" s="23"/>
      <c r="L27" s="22"/>
      <c r="M27" s="22"/>
      <c r="N27" s="22"/>
      <c r="O27" s="22"/>
      <c r="P27" s="24">
        <v>2650.0</v>
      </c>
      <c r="Q27" s="25">
        <f t="shared" si="1"/>
        <v>0</v>
      </c>
      <c r="R27" s="24" t="s">
        <v>57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45573.0</v>
      </c>
      <c r="C28" s="18" t="s">
        <v>581</v>
      </c>
      <c r="D28" s="19">
        <v>56921.0</v>
      </c>
      <c r="E28" s="20" t="s">
        <v>582</v>
      </c>
      <c r="F28" s="21"/>
      <c r="G28" s="22"/>
      <c r="H28" s="22"/>
      <c r="I28" s="21"/>
      <c r="J28" s="21">
        <v>2650.0</v>
      </c>
      <c r="K28" s="23"/>
      <c r="L28" s="22"/>
      <c r="M28" s="22"/>
      <c r="N28" s="22"/>
      <c r="O28" s="22"/>
      <c r="P28" s="24">
        <v>2650.0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45573.0</v>
      </c>
      <c r="C29" s="18" t="s">
        <v>583</v>
      </c>
      <c r="D29" s="19">
        <v>84033.0</v>
      </c>
      <c r="E29" s="20" t="s">
        <v>584</v>
      </c>
      <c r="F29" s="21"/>
      <c r="G29" s="22"/>
      <c r="H29" s="22"/>
      <c r="I29" s="21">
        <v>5125.0</v>
      </c>
      <c r="J29" s="21"/>
      <c r="K29" s="23"/>
      <c r="L29" s="22"/>
      <c r="M29" s="22"/>
      <c r="N29" s="22"/>
      <c r="O29" s="22"/>
      <c r="P29" s="24">
        <v>5125.0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45573.0</v>
      </c>
      <c r="C30" s="18" t="s">
        <v>585</v>
      </c>
      <c r="D30" s="19">
        <v>54325.0</v>
      </c>
      <c r="E30" s="20" t="s">
        <v>586</v>
      </c>
      <c r="F30" s="21"/>
      <c r="G30" s="22"/>
      <c r="H30" s="22"/>
      <c r="I30" s="21"/>
      <c r="J30" s="21">
        <v>15000.0</v>
      </c>
      <c r="K30" s="23"/>
      <c r="L30" s="22"/>
      <c r="M30" s="22"/>
      <c r="N30" s="22"/>
      <c r="O30" s="22"/>
      <c r="P30" s="24">
        <v>15000.0</v>
      </c>
      <c r="Q30" s="25">
        <f t="shared" si="1"/>
        <v>0</v>
      </c>
      <c r="R30" s="24" t="s">
        <v>48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45573.0</v>
      </c>
      <c r="C31" s="18" t="s">
        <v>587</v>
      </c>
      <c r="D31" s="19">
        <v>13209.0</v>
      </c>
      <c r="E31" s="20" t="s">
        <v>588</v>
      </c>
      <c r="F31" s="21"/>
      <c r="G31" s="22"/>
      <c r="H31" s="22"/>
      <c r="I31" s="21">
        <v>8400.0</v>
      </c>
      <c r="J31" s="21"/>
      <c r="K31" s="23"/>
      <c r="L31" s="22"/>
      <c r="M31" s="22"/>
      <c r="N31" s="22"/>
      <c r="O31" s="22"/>
      <c r="P31" s="24">
        <v>8400.0</v>
      </c>
      <c r="Q31" s="25">
        <f t="shared" si="1"/>
        <v>0</v>
      </c>
      <c r="R31" s="24" t="s">
        <v>35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45573.0</v>
      </c>
      <c r="C32" s="18" t="s">
        <v>589</v>
      </c>
      <c r="D32" s="19">
        <v>12102.0</v>
      </c>
      <c r="E32" s="20" t="s">
        <v>590</v>
      </c>
      <c r="F32" s="21"/>
      <c r="G32" s="22"/>
      <c r="H32" s="22">
        <v>11350.0</v>
      </c>
      <c r="I32" s="21"/>
      <c r="J32" s="21"/>
      <c r="K32" s="23"/>
      <c r="L32" s="22"/>
      <c r="M32" s="22"/>
      <c r="N32" s="22"/>
      <c r="O32" s="22"/>
      <c r="P32" s="24">
        <v>11350.0</v>
      </c>
      <c r="Q32" s="25">
        <f t="shared" si="1"/>
        <v>0</v>
      </c>
      <c r="R32" s="24" t="s">
        <v>28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45573.0</v>
      </c>
      <c r="C33" s="18" t="s">
        <v>591</v>
      </c>
      <c r="D33" s="19">
        <v>61420.0</v>
      </c>
      <c r="E33" s="20" t="s">
        <v>592</v>
      </c>
      <c r="F33" s="21"/>
      <c r="G33" s="22"/>
      <c r="H33" s="22"/>
      <c r="I33" s="21">
        <v>1500.0</v>
      </c>
      <c r="J33" s="21"/>
      <c r="K33" s="23"/>
      <c r="L33" s="22"/>
      <c r="M33" s="22"/>
      <c r="N33" s="22"/>
      <c r="O33" s="22"/>
      <c r="P33" s="24">
        <v>1500.0</v>
      </c>
      <c r="Q33" s="25">
        <f t="shared" si="1"/>
        <v>0</v>
      </c>
      <c r="R33" s="24" t="s">
        <v>35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45573.0</v>
      </c>
      <c r="C34" s="18" t="s">
        <v>593</v>
      </c>
      <c r="D34" s="19">
        <v>57426.0</v>
      </c>
      <c r="E34" s="20" t="s">
        <v>594</v>
      </c>
      <c r="F34" s="21"/>
      <c r="G34" s="22"/>
      <c r="H34" s="22"/>
      <c r="I34" s="21"/>
      <c r="J34" s="21">
        <v>3850.0</v>
      </c>
      <c r="K34" s="23"/>
      <c r="L34" s="22"/>
      <c r="M34" s="22"/>
      <c r="N34" s="22"/>
      <c r="O34" s="22"/>
      <c r="P34" s="24">
        <v>3850.0</v>
      </c>
      <c r="Q34" s="25">
        <f t="shared" si="1"/>
        <v>0</v>
      </c>
      <c r="R34" s="24" t="s">
        <v>35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45573.0</v>
      </c>
      <c r="C35" s="18" t="s">
        <v>595</v>
      </c>
      <c r="D35" s="19">
        <v>22727.0</v>
      </c>
      <c r="E35" s="20" t="s">
        <v>120</v>
      </c>
      <c r="F35" s="21"/>
      <c r="G35" s="22"/>
      <c r="H35" s="22"/>
      <c r="I35" s="21">
        <v>450.0</v>
      </c>
      <c r="J35" s="21"/>
      <c r="K35" s="23"/>
      <c r="L35" s="22"/>
      <c r="M35" s="22"/>
      <c r="N35" s="22"/>
      <c r="O35" s="22"/>
      <c r="P35" s="24">
        <v>450.0</v>
      </c>
      <c r="Q35" s="25">
        <f t="shared" si="1"/>
        <v>0</v>
      </c>
      <c r="R35" s="24" t="s">
        <v>35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45573.0</v>
      </c>
      <c r="C36" s="18" t="s">
        <v>596</v>
      </c>
      <c r="D36" s="19">
        <v>81377.0</v>
      </c>
      <c r="E36" s="20" t="s">
        <v>597</v>
      </c>
      <c r="F36" s="21"/>
      <c r="G36" s="22"/>
      <c r="H36" s="22"/>
      <c r="I36" s="21"/>
      <c r="J36" s="21">
        <v>2650.0</v>
      </c>
      <c r="K36" s="23"/>
      <c r="L36" s="22"/>
      <c r="M36" s="22"/>
      <c r="N36" s="22"/>
      <c r="O36" s="22"/>
      <c r="P36" s="24">
        <v>2650.0</v>
      </c>
      <c r="Q36" s="25">
        <f t="shared" si="1"/>
        <v>0</v>
      </c>
      <c r="R36" s="24" t="s">
        <v>57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45573.0</v>
      </c>
      <c r="C37" s="18" t="s">
        <v>598</v>
      </c>
      <c r="D37" s="19">
        <v>46927.0</v>
      </c>
      <c r="E37" s="20" t="s">
        <v>94</v>
      </c>
      <c r="F37" s="21"/>
      <c r="G37" s="22"/>
      <c r="H37" s="22"/>
      <c r="I37" s="21">
        <v>600.0</v>
      </c>
      <c r="J37" s="21"/>
      <c r="K37" s="23"/>
      <c r="L37" s="22"/>
      <c r="M37" s="22"/>
      <c r="N37" s="22"/>
      <c r="O37" s="22"/>
      <c r="P37" s="24">
        <v>600.0</v>
      </c>
      <c r="Q37" s="25">
        <f t="shared" si="1"/>
        <v>0</v>
      </c>
      <c r="R37" s="24" t="s">
        <v>25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45573.0</v>
      </c>
      <c r="C38" s="18" t="s">
        <v>599</v>
      </c>
      <c r="D38" s="19">
        <v>36555.0</v>
      </c>
      <c r="E38" s="20" t="s">
        <v>167</v>
      </c>
      <c r="F38" s="21"/>
      <c r="G38" s="22"/>
      <c r="H38" s="22">
        <v>10450.0</v>
      </c>
      <c r="I38" s="21"/>
      <c r="J38" s="21"/>
      <c r="K38" s="23"/>
      <c r="L38" s="22"/>
      <c r="M38" s="22"/>
      <c r="N38" s="22"/>
      <c r="O38" s="22"/>
      <c r="P38" s="24">
        <v>10450.0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45573.0</v>
      </c>
      <c r="C39" s="18" t="s">
        <v>600</v>
      </c>
      <c r="D39" s="19">
        <v>48967.0</v>
      </c>
      <c r="E39" s="20" t="s">
        <v>601</v>
      </c>
      <c r="F39" s="21"/>
      <c r="G39" s="22"/>
      <c r="H39" s="22"/>
      <c r="I39" s="21"/>
      <c r="J39" s="21">
        <v>2500.0</v>
      </c>
      <c r="K39" s="23"/>
      <c r="L39" s="22"/>
      <c r="M39" s="22"/>
      <c r="N39" s="22"/>
      <c r="O39" s="22"/>
      <c r="P39" s="24">
        <v>2500.0</v>
      </c>
      <c r="Q39" s="25">
        <f t="shared" si="1"/>
        <v>0</v>
      </c>
      <c r="R39" s="24" t="s">
        <v>48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45573.0</v>
      </c>
      <c r="C40" s="18" t="s">
        <v>602</v>
      </c>
      <c r="D40" s="19">
        <v>44406.0</v>
      </c>
      <c r="E40" s="20" t="s">
        <v>603</v>
      </c>
      <c r="F40" s="21"/>
      <c r="G40" s="22"/>
      <c r="H40" s="22">
        <v>10000.0</v>
      </c>
      <c r="I40" s="21"/>
      <c r="J40" s="21"/>
      <c r="K40" s="23"/>
      <c r="L40" s="22"/>
      <c r="M40" s="22"/>
      <c r="N40" s="22"/>
      <c r="O40" s="22"/>
      <c r="P40" s="24">
        <v>10000.0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45573.0</v>
      </c>
      <c r="C41" s="18" t="s">
        <v>604</v>
      </c>
      <c r="D41" s="19">
        <v>44406.0</v>
      </c>
      <c r="E41" s="20" t="s">
        <v>603</v>
      </c>
      <c r="F41" s="21"/>
      <c r="G41" s="22"/>
      <c r="H41" s="22">
        <v>25400.0</v>
      </c>
      <c r="I41" s="21"/>
      <c r="J41" s="21"/>
      <c r="K41" s="23"/>
      <c r="L41" s="22"/>
      <c r="M41" s="22"/>
      <c r="N41" s="22"/>
      <c r="O41" s="22"/>
      <c r="P41" s="24">
        <v>25400.0</v>
      </c>
      <c r="Q41" s="25">
        <f t="shared" si="1"/>
        <v>0</v>
      </c>
      <c r="R41" s="24" t="s">
        <v>25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45573.0</v>
      </c>
      <c r="C42" s="18" t="s">
        <v>605</v>
      </c>
      <c r="D42" s="19">
        <v>59812.0</v>
      </c>
      <c r="E42" s="20" t="s">
        <v>101</v>
      </c>
      <c r="F42" s="21"/>
      <c r="G42" s="22"/>
      <c r="H42" s="22"/>
      <c r="I42" s="21">
        <v>5150.0</v>
      </c>
      <c r="J42" s="21"/>
      <c r="K42" s="23"/>
      <c r="L42" s="22"/>
      <c r="M42" s="22"/>
      <c r="N42" s="22"/>
      <c r="O42" s="22"/>
      <c r="P42" s="24">
        <v>5150.0</v>
      </c>
      <c r="Q42" s="25">
        <f t="shared" si="1"/>
        <v>0</v>
      </c>
      <c r="R42" s="24" t="s">
        <v>57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45573.0</v>
      </c>
      <c r="C43" s="18" t="s">
        <v>606</v>
      </c>
      <c r="D43" s="19">
        <v>62508.0</v>
      </c>
      <c r="E43" s="20" t="s">
        <v>607</v>
      </c>
      <c r="F43" s="21"/>
      <c r="G43" s="22"/>
      <c r="H43" s="22"/>
      <c r="I43" s="21"/>
      <c r="J43" s="21"/>
      <c r="K43" s="23"/>
      <c r="L43" s="22"/>
      <c r="M43" s="22">
        <v>300.0</v>
      </c>
      <c r="N43" s="22"/>
      <c r="O43" s="22"/>
      <c r="P43" s="24">
        <v>300.0</v>
      </c>
      <c r="Q43" s="25">
        <f t="shared" si="1"/>
        <v>0</v>
      </c>
      <c r="R43" s="24" t="s">
        <v>57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45573.0</v>
      </c>
      <c r="C44" s="18" t="s">
        <v>608</v>
      </c>
      <c r="D44" s="19">
        <v>52083.0</v>
      </c>
      <c r="E44" s="20" t="s">
        <v>24</v>
      </c>
      <c r="F44" s="21"/>
      <c r="G44" s="22"/>
      <c r="H44" s="22"/>
      <c r="I44" s="21">
        <v>3400.0</v>
      </c>
      <c r="J44" s="21"/>
      <c r="K44" s="23"/>
      <c r="L44" s="22"/>
      <c r="M44" s="22"/>
      <c r="N44" s="22"/>
      <c r="O44" s="22"/>
      <c r="P44" s="24">
        <v>3400.0</v>
      </c>
      <c r="Q44" s="25">
        <f t="shared" si="1"/>
        <v>0</v>
      </c>
      <c r="R44" s="24" t="s">
        <v>35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45572.0</v>
      </c>
      <c r="C45" s="18" t="s">
        <v>609</v>
      </c>
      <c r="D45" s="19">
        <v>79159.0</v>
      </c>
      <c r="E45" s="20" t="s">
        <v>610</v>
      </c>
      <c r="F45" s="21"/>
      <c r="G45" s="22"/>
      <c r="H45" s="22"/>
      <c r="I45" s="21"/>
      <c r="J45" s="21"/>
      <c r="K45" s="23"/>
      <c r="L45" s="22"/>
      <c r="M45" s="22">
        <v>5150.0</v>
      </c>
      <c r="N45" s="22"/>
      <c r="O45" s="22"/>
      <c r="P45" s="24">
        <v>5150.0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45572.0</v>
      </c>
      <c r="C46" s="18" t="s">
        <v>611</v>
      </c>
      <c r="D46" s="19">
        <v>59137.0</v>
      </c>
      <c r="E46" s="20" t="s">
        <v>612</v>
      </c>
      <c r="F46" s="21"/>
      <c r="G46" s="22"/>
      <c r="H46" s="22"/>
      <c r="I46" s="21"/>
      <c r="J46" s="21"/>
      <c r="K46" s="23"/>
      <c r="L46" s="22"/>
      <c r="M46" s="22">
        <v>5000.0</v>
      </c>
      <c r="N46" s="22"/>
      <c r="O46" s="22"/>
      <c r="P46" s="24">
        <v>5000.0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45573.0</v>
      </c>
      <c r="C47" s="18" t="s">
        <v>613</v>
      </c>
      <c r="D47" s="19">
        <v>21828.0</v>
      </c>
      <c r="E47" s="20" t="s">
        <v>150</v>
      </c>
      <c r="F47" s="21"/>
      <c r="G47" s="22"/>
      <c r="H47" s="22"/>
      <c r="I47" s="21"/>
      <c r="J47" s="21"/>
      <c r="K47" s="23"/>
      <c r="L47" s="22"/>
      <c r="M47" s="22">
        <v>450.0</v>
      </c>
      <c r="N47" s="22"/>
      <c r="O47" s="22"/>
      <c r="P47" s="24">
        <v>450.0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45573.0</v>
      </c>
      <c r="C48" s="18" t="s">
        <v>614</v>
      </c>
      <c r="D48" s="19">
        <v>45227.0</v>
      </c>
      <c r="E48" s="20" t="s">
        <v>615</v>
      </c>
      <c r="F48" s="21"/>
      <c r="G48" s="22"/>
      <c r="H48" s="22">
        <v>8090.0</v>
      </c>
      <c r="I48" s="21"/>
      <c r="J48" s="21"/>
      <c r="K48" s="23"/>
      <c r="L48" s="22"/>
      <c r="M48" s="22"/>
      <c r="N48" s="22"/>
      <c r="O48" s="22"/>
      <c r="P48" s="24">
        <v>8090.0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45573.0</v>
      </c>
      <c r="C49" s="18" t="s">
        <v>616</v>
      </c>
      <c r="D49" s="19">
        <v>25541.0</v>
      </c>
      <c r="E49" s="20" t="s">
        <v>617</v>
      </c>
      <c r="F49" s="21"/>
      <c r="G49" s="22"/>
      <c r="H49" s="22">
        <v>4500.0</v>
      </c>
      <c r="I49" s="21"/>
      <c r="J49" s="21"/>
      <c r="K49" s="23"/>
      <c r="L49" s="22"/>
      <c r="M49" s="22"/>
      <c r="N49" s="22"/>
      <c r="O49" s="22"/>
      <c r="P49" s="24">
        <v>4500.0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45573.0</v>
      </c>
      <c r="C50" s="18" t="s">
        <v>618</v>
      </c>
      <c r="D50" s="19">
        <v>45096.0</v>
      </c>
      <c r="E50" s="20" t="s">
        <v>574</v>
      </c>
      <c r="F50" s="21"/>
      <c r="G50" s="22"/>
      <c r="H50" s="22"/>
      <c r="I50" s="21"/>
      <c r="J50" s="21"/>
      <c r="K50" s="23"/>
      <c r="L50" s="22"/>
      <c r="M50" s="22"/>
      <c r="N50" s="22"/>
      <c r="O50" s="22">
        <v>1200.0</v>
      </c>
      <c r="P50" s="24">
        <v>1200.0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45573.0</v>
      </c>
      <c r="C51" s="18" t="s">
        <v>619</v>
      </c>
      <c r="D51" s="19">
        <v>45256.0</v>
      </c>
      <c r="E51" s="20" t="s">
        <v>620</v>
      </c>
      <c r="F51" s="21"/>
      <c r="G51" s="22"/>
      <c r="H51" s="22"/>
      <c r="I51" s="21"/>
      <c r="J51" s="21"/>
      <c r="K51" s="23"/>
      <c r="L51" s="22"/>
      <c r="M51" s="22"/>
      <c r="N51" s="22"/>
      <c r="O51" s="22">
        <v>1200.0</v>
      </c>
      <c r="P51" s="24">
        <v>1200.0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45573.0</v>
      </c>
      <c r="C52" s="18" t="s">
        <v>621</v>
      </c>
      <c r="D52" s="19">
        <v>50148.0</v>
      </c>
      <c r="E52" s="20" t="s">
        <v>274</v>
      </c>
      <c r="F52" s="21"/>
      <c r="G52" s="22"/>
      <c r="H52" s="22">
        <v>10000.0</v>
      </c>
      <c r="I52" s="21"/>
      <c r="J52" s="21"/>
      <c r="K52" s="23"/>
      <c r="L52" s="22"/>
      <c r="M52" s="22"/>
      <c r="N52" s="22"/>
      <c r="O52" s="22"/>
      <c r="P52" s="24">
        <v>10000.0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7.5" customHeight="1">
      <c r="A53" s="16"/>
      <c r="B53" s="27"/>
      <c r="C53" s="18"/>
      <c r="D53" s="19" t="s">
        <v>190</v>
      </c>
      <c r="E53" s="20"/>
      <c r="F53" s="45">
        <f t="shared" ref="F53:P53" si="2">SUM(F5:F52)</f>
        <v>0</v>
      </c>
      <c r="G53" s="45">
        <f t="shared" si="2"/>
        <v>0</v>
      </c>
      <c r="H53" s="45">
        <f t="shared" si="2"/>
        <v>84790</v>
      </c>
      <c r="I53" s="45">
        <f t="shared" si="2"/>
        <v>114175</v>
      </c>
      <c r="J53" s="45">
        <f t="shared" si="2"/>
        <v>34410</v>
      </c>
      <c r="K53" s="45">
        <f t="shared" si="2"/>
        <v>0</v>
      </c>
      <c r="L53" s="45">
        <f t="shared" si="2"/>
        <v>0</v>
      </c>
      <c r="M53" s="45">
        <f t="shared" si="2"/>
        <v>10900</v>
      </c>
      <c r="N53" s="45">
        <f t="shared" si="2"/>
        <v>0</v>
      </c>
      <c r="O53" s="45">
        <f t="shared" si="2"/>
        <v>2400</v>
      </c>
      <c r="P53" s="45">
        <f t="shared" si="2"/>
        <v>246675</v>
      </c>
      <c r="Q53" s="46">
        <v>0.0</v>
      </c>
      <c r="R53" s="47"/>
      <c r="S53" s="26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</row>
    <row r="54" ht="58.5" customHeight="1">
      <c r="A54" s="48"/>
      <c r="B54" s="48"/>
      <c r="C54" s="49"/>
      <c r="D54" s="48"/>
      <c r="E54" s="48"/>
      <c r="F54" s="50">
        <f>F53+G53+H53+I53+J53+K53+L53+M53+N53+O53</f>
        <v>246675</v>
      </c>
      <c r="P54" s="51"/>
      <c r="Q54" s="51"/>
      <c r="R54" s="48"/>
      <c r="S54" s="48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3" t="s">
        <v>190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52"/>
      <c r="D58" s="4"/>
      <c r="E58" s="54" t="s">
        <v>191</v>
      </c>
      <c r="F58" s="55" t="s">
        <v>540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52"/>
      <c r="D59" s="4"/>
      <c r="E59" s="56" t="s">
        <v>193</v>
      </c>
      <c r="F59" s="55" t="s">
        <v>540</v>
      </c>
      <c r="G59" s="4"/>
      <c r="H59" s="4"/>
      <c r="I59" s="4"/>
      <c r="J59" s="4"/>
      <c r="K59" s="4"/>
      <c r="L59" s="4"/>
      <c r="M59" s="4"/>
      <c r="N59" s="4"/>
      <c r="O59" s="57" t="s">
        <v>190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52"/>
      <c r="D60" s="4"/>
      <c r="E60" s="56" t="s">
        <v>195</v>
      </c>
      <c r="F60" s="55" t="s">
        <v>622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52"/>
      <c r="D61" s="4"/>
      <c r="E61" s="56" t="s">
        <v>197</v>
      </c>
      <c r="F61" s="55" t="s">
        <v>196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52"/>
      <c r="D62" s="4"/>
      <c r="E62" s="56" t="s">
        <v>198</v>
      </c>
      <c r="F62" s="55" t="s">
        <v>541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52"/>
      <c r="D63" s="4"/>
      <c r="E63" s="56" t="s">
        <v>623</v>
      </c>
      <c r="F63" s="55" t="s">
        <v>196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52"/>
      <c r="D64" s="4"/>
      <c r="E64" s="56" t="s">
        <v>201</v>
      </c>
      <c r="F64" s="61" t="s">
        <v>202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52"/>
      <c r="D65" s="4"/>
      <c r="E65" s="56" t="s">
        <v>203</v>
      </c>
      <c r="F65" s="58" t="s">
        <v>204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7" t="s">
        <v>190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 t="str">
        <f>I72453</f>
        <v/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57" t="s">
        <v>205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>
        <v>7.0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ustomSheetViews>
    <customSheetView guid="{E896575A-E61C-4060-A4AD-37E1ECCF5A6F}" filter="1" showAutoFilter="1">
      <autoFilter ref="$L$6:$L$7"/>
      <extLst>
        <ext uri="GoogleSheetsCustomDataVersion1">
          <go:sheetsCustomData xmlns:go="http://customooxmlschemas.google.com/" filterViewId="1729960459"/>
        </ext>
      </extLst>
    </customSheetView>
  </customSheetViews>
  <mergeCells count="17">
    <mergeCell ref="R2:R4"/>
    <mergeCell ref="S2:S4"/>
    <mergeCell ref="F3:F4"/>
    <mergeCell ref="G3:H3"/>
    <mergeCell ref="I3:J3"/>
    <mergeCell ref="K3:K4"/>
    <mergeCell ref="F54:O5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624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45573.0</v>
      </c>
      <c r="C5" s="18" t="s">
        <v>625</v>
      </c>
      <c r="D5" s="19">
        <v>21818.0</v>
      </c>
      <c r="E5" s="20" t="s">
        <v>237</v>
      </c>
      <c r="F5" s="21"/>
      <c r="G5" s="22"/>
      <c r="H5" s="22"/>
      <c r="I5" s="21"/>
      <c r="J5" s="22"/>
      <c r="K5" s="22">
        <v>4500.0</v>
      </c>
      <c r="L5" s="22"/>
      <c r="M5" s="21"/>
      <c r="N5" s="22"/>
      <c r="O5" s="22"/>
      <c r="P5" s="24">
        <v>4500.0</v>
      </c>
      <c r="Q5" s="25">
        <f t="shared" ref="Q5:Q42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45573.0</v>
      </c>
      <c r="C6" s="18" t="s">
        <v>626</v>
      </c>
      <c r="D6" s="19">
        <v>54854.0</v>
      </c>
      <c r="E6" s="20" t="s">
        <v>627</v>
      </c>
      <c r="F6" s="22"/>
      <c r="G6" s="22"/>
      <c r="H6" s="21"/>
      <c r="I6" s="21"/>
      <c r="J6" s="23"/>
      <c r="K6" s="22"/>
      <c r="L6" s="22"/>
      <c r="M6" s="22">
        <v>2850.0</v>
      </c>
      <c r="N6" s="22"/>
      <c r="O6" s="22"/>
      <c r="P6" s="24">
        <v>2850.0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45573.0</v>
      </c>
      <c r="C7" s="18" t="s">
        <v>628</v>
      </c>
      <c r="D7" s="19">
        <v>58758.0</v>
      </c>
      <c r="E7" s="20" t="s">
        <v>629</v>
      </c>
      <c r="F7" s="22"/>
      <c r="G7" s="22"/>
      <c r="H7" s="22"/>
      <c r="I7" s="21">
        <v>15000.0</v>
      </c>
      <c r="J7" s="21"/>
      <c r="K7" s="22"/>
      <c r="L7" s="22"/>
      <c r="M7" s="22"/>
      <c r="N7" s="22"/>
      <c r="O7" s="22"/>
      <c r="P7" s="24">
        <v>15000.0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45574.0</v>
      </c>
      <c r="C8" s="18" t="s">
        <v>630</v>
      </c>
      <c r="D8" s="19">
        <v>16390.0</v>
      </c>
      <c r="E8" s="20" t="s">
        <v>112</v>
      </c>
      <c r="F8" s="22"/>
      <c r="G8" s="22"/>
      <c r="H8" s="22"/>
      <c r="I8" s="21">
        <v>5000.0</v>
      </c>
      <c r="J8" s="21"/>
      <c r="K8" s="22"/>
      <c r="L8" s="22"/>
      <c r="M8" s="21"/>
      <c r="N8" s="22"/>
      <c r="O8" s="22"/>
      <c r="P8" s="24">
        <v>5000.0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45574.0</v>
      </c>
      <c r="C9" s="18" t="s">
        <v>631</v>
      </c>
      <c r="D9" s="19">
        <v>16390.0</v>
      </c>
      <c r="E9" s="20" t="s">
        <v>112</v>
      </c>
      <c r="F9" s="22"/>
      <c r="G9" s="22"/>
      <c r="H9" s="22"/>
      <c r="I9" s="21">
        <v>5000.0</v>
      </c>
      <c r="J9" s="21"/>
      <c r="K9" s="22"/>
      <c r="L9" s="22"/>
      <c r="M9" s="21"/>
      <c r="N9" s="22"/>
      <c r="O9" s="22"/>
      <c r="P9" s="24">
        <v>5000.0</v>
      </c>
      <c r="Q9" s="25">
        <f t="shared" si="1"/>
        <v>0</v>
      </c>
      <c r="R9" s="24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45574.0</v>
      </c>
      <c r="C10" s="18" t="s">
        <v>632</v>
      </c>
      <c r="D10" s="19">
        <v>10250.0</v>
      </c>
      <c r="E10" s="20" t="s">
        <v>171</v>
      </c>
      <c r="F10" s="22"/>
      <c r="G10" s="22"/>
      <c r="H10" s="22"/>
      <c r="I10" s="21">
        <v>900.0</v>
      </c>
      <c r="J10" s="21"/>
      <c r="K10" s="22"/>
      <c r="L10" s="22"/>
      <c r="M10" s="21"/>
      <c r="N10" s="22"/>
      <c r="O10" s="22"/>
      <c r="P10" s="24">
        <v>900.0</v>
      </c>
      <c r="Q10" s="25">
        <f t="shared" si="1"/>
        <v>0</v>
      </c>
      <c r="R10" s="24" t="s">
        <v>35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45574.0</v>
      </c>
      <c r="C11" s="18" t="s">
        <v>633</v>
      </c>
      <c r="D11" s="19">
        <v>51512.0</v>
      </c>
      <c r="E11" s="20" t="s">
        <v>634</v>
      </c>
      <c r="F11" s="22"/>
      <c r="G11" s="22"/>
      <c r="H11" s="22"/>
      <c r="I11" s="21"/>
      <c r="J11" s="21">
        <v>9650.0</v>
      </c>
      <c r="K11" s="22"/>
      <c r="L11" s="22"/>
      <c r="M11" s="21"/>
      <c r="N11" s="22"/>
      <c r="O11" s="22"/>
      <c r="P11" s="24">
        <v>9650.0</v>
      </c>
      <c r="Q11" s="25">
        <f t="shared" si="1"/>
        <v>0</v>
      </c>
      <c r="R11" s="24" t="s">
        <v>28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45574.0</v>
      </c>
      <c r="C12" s="30" t="s">
        <v>635</v>
      </c>
      <c r="D12" s="31">
        <v>59345.0</v>
      </c>
      <c r="E12" s="32" t="s">
        <v>636</v>
      </c>
      <c r="F12" s="22"/>
      <c r="G12" s="22"/>
      <c r="H12" s="22"/>
      <c r="I12" s="21"/>
      <c r="J12" s="21">
        <v>5150.0</v>
      </c>
      <c r="K12" s="22"/>
      <c r="L12" s="22"/>
      <c r="M12" s="21"/>
      <c r="N12" s="22"/>
      <c r="O12" s="22"/>
      <c r="P12" s="33">
        <v>5150.0</v>
      </c>
      <c r="Q12" s="25">
        <f t="shared" si="1"/>
        <v>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45574.0</v>
      </c>
      <c r="C13" s="18" t="s">
        <v>637</v>
      </c>
      <c r="D13" s="19">
        <v>22332.0</v>
      </c>
      <c r="E13" s="20" t="s">
        <v>210</v>
      </c>
      <c r="F13" s="22"/>
      <c r="G13" s="22"/>
      <c r="H13" s="22"/>
      <c r="I13" s="21">
        <v>2850.0</v>
      </c>
      <c r="J13" s="21"/>
      <c r="K13" s="22"/>
      <c r="L13" s="22"/>
      <c r="M13" s="21"/>
      <c r="N13" s="22"/>
      <c r="O13" s="22"/>
      <c r="P13" s="24">
        <v>2850.0</v>
      </c>
      <c r="Q13" s="25">
        <f t="shared" si="1"/>
        <v>0</v>
      </c>
      <c r="R13" s="24" t="s">
        <v>57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45574.0</v>
      </c>
      <c r="C14" s="18" t="s">
        <v>638</v>
      </c>
      <c r="D14" s="19">
        <v>58758.0</v>
      </c>
      <c r="E14" s="20" t="s">
        <v>629</v>
      </c>
      <c r="F14" s="22"/>
      <c r="G14" s="22"/>
      <c r="H14" s="22"/>
      <c r="I14" s="21">
        <v>2650.0</v>
      </c>
      <c r="J14" s="21"/>
      <c r="K14" s="22"/>
      <c r="L14" s="22"/>
      <c r="M14" s="21"/>
      <c r="N14" s="22"/>
      <c r="O14" s="22"/>
      <c r="P14" s="24">
        <v>2650.0</v>
      </c>
      <c r="Q14" s="25">
        <f t="shared" si="1"/>
        <v>0</v>
      </c>
      <c r="R14" s="24" t="s">
        <v>35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45574.0</v>
      </c>
      <c r="C15" s="18" t="s">
        <v>639</v>
      </c>
      <c r="D15" s="19">
        <v>54211.0</v>
      </c>
      <c r="E15" s="20" t="s">
        <v>640</v>
      </c>
      <c r="F15" s="22"/>
      <c r="G15" s="22"/>
      <c r="H15" s="22"/>
      <c r="I15" s="21">
        <v>600.0</v>
      </c>
      <c r="J15" s="21"/>
      <c r="K15" s="22"/>
      <c r="L15" s="22"/>
      <c r="M15" s="21"/>
      <c r="N15" s="22"/>
      <c r="O15" s="22"/>
      <c r="P15" s="24">
        <v>600.0</v>
      </c>
      <c r="Q15" s="25">
        <f t="shared" si="1"/>
        <v>0</v>
      </c>
      <c r="R15" s="24" t="s">
        <v>35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45574.0</v>
      </c>
      <c r="C16" s="18" t="s">
        <v>641</v>
      </c>
      <c r="D16" s="19">
        <v>46927.0</v>
      </c>
      <c r="E16" s="20" t="s">
        <v>94</v>
      </c>
      <c r="F16" s="22"/>
      <c r="G16" s="22"/>
      <c r="H16" s="22"/>
      <c r="I16" s="21">
        <v>5150.0</v>
      </c>
      <c r="J16" s="21"/>
      <c r="K16" s="22"/>
      <c r="L16" s="22"/>
      <c r="M16" s="21"/>
      <c r="N16" s="22"/>
      <c r="O16" s="22"/>
      <c r="P16" s="24">
        <v>5150.0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45574.0</v>
      </c>
      <c r="C17" s="18" t="s">
        <v>642</v>
      </c>
      <c r="D17" s="19">
        <v>38098.0</v>
      </c>
      <c r="E17" s="20" t="s">
        <v>643</v>
      </c>
      <c r="F17" s="22"/>
      <c r="G17" s="22"/>
      <c r="H17" s="22"/>
      <c r="I17" s="21"/>
      <c r="J17" s="21">
        <v>900.0</v>
      </c>
      <c r="K17" s="22"/>
      <c r="L17" s="22"/>
      <c r="M17" s="22"/>
      <c r="N17" s="22"/>
      <c r="O17" s="22"/>
      <c r="P17" s="24">
        <v>900.0</v>
      </c>
      <c r="Q17" s="25">
        <f t="shared" si="1"/>
        <v>0</v>
      </c>
      <c r="R17" s="24" t="s">
        <v>35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45574.0</v>
      </c>
      <c r="C18" s="30" t="s">
        <v>644</v>
      </c>
      <c r="D18" s="31">
        <v>85033.0</v>
      </c>
      <c r="E18" s="32" t="s">
        <v>645</v>
      </c>
      <c r="F18" s="22"/>
      <c r="G18" s="22"/>
      <c r="H18" s="22"/>
      <c r="I18" s="21">
        <v>300.0</v>
      </c>
      <c r="J18" s="21"/>
      <c r="K18" s="22"/>
      <c r="L18" s="22"/>
      <c r="M18" s="21"/>
      <c r="N18" s="22"/>
      <c r="O18" s="22"/>
      <c r="P18" s="33">
        <v>300.0</v>
      </c>
      <c r="Q18" s="25">
        <f t="shared" si="1"/>
        <v>0</v>
      </c>
      <c r="R18" s="33" t="s">
        <v>48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45574.0</v>
      </c>
      <c r="C19" s="18" t="s">
        <v>646</v>
      </c>
      <c r="D19" s="19">
        <v>52247.0</v>
      </c>
      <c r="E19" s="20" t="s">
        <v>555</v>
      </c>
      <c r="F19" s="22"/>
      <c r="G19" s="22"/>
      <c r="H19" s="22"/>
      <c r="I19" s="23">
        <v>5150.0</v>
      </c>
      <c r="J19" s="23"/>
      <c r="K19" s="22"/>
      <c r="L19" s="22"/>
      <c r="M19" s="22"/>
      <c r="N19" s="22"/>
      <c r="O19" s="22"/>
      <c r="P19" s="24">
        <v>5150.0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45574.0</v>
      </c>
      <c r="C20" s="18" t="s">
        <v>647</v>
      </c>
      <c r="D20" s="19">
        <v>48854.0</v>
      </c>
      <c r="E20" s="20" t="s">
        <v>648</v>
      </c>
      <c r="F20" s="21"/>
      <c r="G20" s="22"/>
      <c r="H20" s="22"/>
      <c r="I20" s="35"/>
      <c r="J20" s="22">
        <v>4000.0</v>
      </c>
      <c r="K20" s="36"/>
      <c r="L20" s="22"/>
      <c r="M20" s="22"/>
      <c r="N20" s="22"/>
      <c r="O20" s="22"/>
      <c r="P20" s="24">
        <v>4000.0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45574.0</v>
      </c>
      <c r="C21" s="18" t="s">
        <v>649</v>
      </c>
      <c r="D21" s="19">
        <v>48657.0</v>
      </c>
      <c r="E21" s="20" t="s">
        <v>650</v>
      </c>
      <c r="F21" s="21"/>
      <c r="G21" s="22"/>
      <c r="H21" s="22"/>
      <c r="I21" s="21">
        <v>7650.0</v>
      </c>
      <c r="J21" s="22"/>
      <c r="K21" s="21"/>
      <c r="L21" s="22"/>
      <c r="M21" s="22"/>
      <c r="N21" s="22"/>
      <c r="O21" s="22"/>
      <c r="P21" s="24">
        <v>7650.0</v>
      </c>
      <c r="Q21" s="25">
        <f t="shared" si="1"/>
        <v>0</v>
      </c>
      <c r="R21" s="24" t="s">
        <v>57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45574.0</v>
      </c>
      <c r="C22" s="38" t="s">
        <v>651</v>
      </c>
      <c r="D22" s="39">
        <v>36918.0</v>
      </c>
      <c r="E22" s="40" t="s">
        <v>349</v>
      </c>
      <c r="F22" s="35"/>
      <c r="G22" s="41"/>
      <c r="H22" s="41"/>
      <c r="I22" s="35">
        <v>2500.0</v>
      </c>
      <c r="J22" s="35"/>
      <c r="K22" s="42"/>
      <c r="L22" s="41"/>
      <c r="M22" s="41"/>
      <c r="N22" s="41"/>
      <c r="O22" s="41"/>
      <c r="P22" s="43">
        <v>2500.0</v>
      </c>
      <c r="Q22" s="25">
        <f t="shared" si="1"/>
        <v>0</v>
      </c>
      <c r="R22" s="43" t="s">
        <v>57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45574.0</v>
      </c>
      <c r="C23" s="18" t="s">
        <v>652</v>
      </c>
      <c r="D23" s="19">
        <v>48192.0</v>
      </c>
      <c r="E23" s="20" t="s">
        <v>653</v>
      </c>
      <c r="F23" s="21"/>
      <c r="G23" s="22"/>
      <c r="H23" s="22"/>
      <c r="I23" s="21">
        <v>4650.0</v>
      </c>
      <c r="J23" s="22"/>
      <c r="K23" s="36"/>
      <c r="L23" s="22"/>
      <c r="M23" s="22"/>
      <c r="N23" s="22"/>
      <c r="O23" s="22"/>
      <c r="P23" s="24">
        <v>4650.0</v>
      </c>
      <c r="Q23" s="25">
        <f t="shared" si="1"/>
        <v>0</v>
      </c>
      <c r="R23" s="24" t="s">
        <v>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45574.0</v>
      </c>
      <c r="C24" s="18" t="s">
        <v>654</v>
      </c>
      <c r="D24" s="19">
        <v>18701.0</v>
      </c>
      <c r="E24" s="20" t="s">
        <v>655</v>
      </c>
      <c r="F24" s="21"/>
      <c r="G24" s="22"/>
      <c r="H24" s="22"/>
      <c r="I24" s="21">
        <v>300.0</v>
      </c>
      <c r="J24" s="21"/>
      <c r="K24" s="36"/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35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45574.0</v>
      </c>
      <c r="C25" s="18" t="s">
        <v>656</v>
      </c>
      <c r="D25" s="19">
        <v>76360.0</v>
      </c>
      <c r="E25" s="20" t="s">
        <v>355</v>
      </c>
      <c r="F25" s="21"/>
      <c r="G25" s="22"/>
      <c r="H25" s="22"/>
      <c r="I25" s="36">
        <v>2500.0</v>
      </c>
      <c r="J25" s="21"/>
      <c r="K25" s="36"/>
      <c r="L25" s="22"/>
      <c r="M25" s="22"/>
      <c r="N25" s="22"/>
      <c r="O25" s="22"/>
      <c r="P25" s="24">
        <v>2500.0</v>
      </c>
      <c r="Q25" s="25">
        <f t="shared" si="1"/>
        <v>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45574.0</v>
      </c>
      <c r="C26" s="18" t="s">
        <v>657</v>
      </c>
      <c r="D26" s="19">
        <v>85034.0</v>
      </c>
      <c r="E26" s="20" t="s">
        <v>658</v>
      </c>
      <c r="F26" s="21"/>
      <c r="G26" s="22"/>
      <c r="H26" s="22"/>
      <c r="I26" s="21">
        <v>7300.0</v>
      </c>
      <c r="J26" s="21"/>
      <c r="K26" s="23"/>
      <c r="L26" s="22"/>
      <c r="M26" s="22"/>
      <c r="N26" s="22"/>
      <c r="O26" s="22"/>
      <c r="P26" s="24">
        <v>7300.0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45574.0</v>
      </c>
      <c r="C27" s="18" t="s">
        <v>659</v>
      </c>
      <c r="D27" s="19">
        <v>31987.0</v>
      </c>
      <c r="E27" s="20" t="s">
        <v>660</v>
      </c>
      <c r="F27" s="21"/>
      <c r="G27" s="22"/>
      <c r="H27" s="22"/>
      <c r="I27" s="21">
        <v>2650.0</v>
      </c>
      <c r="J27" s="21"/>
      <c r="K27" s="23"/>
      <c r="L27" s="22"/>
      <c r="M27" s="22"/>
      <c r="N27" s="22"/>
      <c r="O27" s="22"/>
      <c r="P27" s="24">
        <v>2650.0</v>
      </c>
      <c r="Q27" s="25">
        <f t="shared" si="1"/>
        <v>0</v>
      </c>
      <c r="R27" s="24" t="s">
        <v>28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45574.0</v>
      </c>
      <c r="C28" s="18" t="s">
        <v>661</v>
      </c>
      <c r="D28" s="19">
        <v>56676.0</v>
      </c>
      <c r="E28" s="20" t="s">
        <v>662</v>
      </c>
      <c r="F28" s="21"/>
      <c r="G28" s="22"/>
      <c r="H28" s="22"/>
      <c r="I28" s="21">
        <v>150.0</v>
      </c>
      <c r="J28" s="21"/>
      <c r="K28" s="23"/>
      <c r="L28" s="22"/>
      <c r="M28" s="22"/>
      <c r="N28" s="22"/>
      <c r="O28" s="22"/>
      <c r="P28" s="24">
        <v>150.0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45574.0</v>
      </c>
      <c r="C29" s="18" t="s">
        <v>663</v>
      </c>
      <c r="D29" s="19">
        <v>10249.0</v>
      </c>
      <c r="E29" s="20" t="s">
        <v>118</v>
      </c>
      <c r="F29" s="21"/>
      <c r="G29" s="22"/>
      <c r="H29" s="22"/>
      <c r="I29" s="21"/>
      <c r="J29" s="21"/>
      <c r="K29" s="23">
        <v>4500.0</v>
      </c>
      <c r="L29" s="22"/>
      <c r="M29" s="22"/>
      <c r="N29" s="22"/>
      <c r="O29" s="22"/>
      <c r="P29" s="24">
        <v>4500.0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45574.0</v>
      </c>
      <c r="C30" s="18" t="s">
        <v>664</v>
      </c>
      <c r="D30" s="19">
        <v>10249.0</v>
      </c>
      <c r="E30" s="20" t="s">
        <v>118</v>
      </c>
      <c r="F30" s="21"/>
      <c r="G30" s="22"/>
      <c r="H30" s="22"/>
      <c r="I30" s="21"/>
      <c r="J30" s="21"/>
      <c r="K30" s="23">
        <v>6400.0</v>
      </c>
      <c r="L30" s="22"/>
      <c r="M30" s="22"/>
      <c r="N30" s="22"/>
      <c r="O30" s="22"/>
      <c r="P30" s="24">
        <v>6400.0</v>
      </c>
      <c r="Q30" s="25">
        <f t="shared" si="1"/>
        <v>0</v>
      </c>
      <c r="R30" s="24" t="s">
        <v>35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45573.0</v>
      </c>
      <c r="C31" s="18" t="s">
        <v>665</v>
      </c>
      <c r="D31" s="19">
        <v>21828.0</v>
      </c>
      <c r="E31" s="20" t="s">
        <v>150</v>
      </c>
      <c r="F31" s="21"/>
      <c r="G31" s="22"/>
      <c r="H31" s="22"/>
      <c r="I31" s="21"/>
      <c r="J31" s="21"/>
      <c r="K31" s="23">
        <v>4500.0</v>
      </c>
      <c r="L31" s="22"/>
      <c r="M31" s="22"/>
      <c r="N31" s="22"/>
      <c r="O31" s="22"/>
      <c r="P31" s="24">
        <v>4500.0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45574.0</v>
      </c>
      <c r="C32" s="18" t="s">
        <v>666</v>
      </c>
      <c r="D32" s="19">
        <v>51017.0</v>
      </c>
      <c r="E32" s="20" t="s">
        <v>165</v>
      </c>
      <c r="F32" s="21"/>
      <c r="G32" s="22"/>
      <c r="H32" s="22">
        <v>20000.0</v>
      </c>
      <c r="I32" s="21"/>
      <c r="J32" s="21"/>
      <c r="K32" s="23"/>
      <c r="L32" s="22"/>
      <c r="M32" s="22"/>
      <c r="N32" s="22"/>
      <c r="O32" s="22"/>
      <c r="P32" s="24">
        <v>20000.0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45574.0</v>
      </c>
      <c r="C33" s="18" t="s">
        <v>667</v>
      </c>
      <c r="D33" s="19">
        <v>43380.0</v>
      </c>
      <c r="E33" s="20" t="s">
        <v>156</v>
      </c>
      <c r="F33" s="21"/>
      <c r="G33" s="22"/>
      <c r="H33" s="22">
        <v>30000.0</v>
      </c>
      <c r="I33" s="21"/>
      <c r="J33" s="21"/>
      <c r="K33" s="23"/>
      <c r="L33" s="22"/>
      <c r="M33" s="22"/>
      <c r="N33" s="22"/>
      <c r="O33" s="22"/>
      <c r="P33" s="24">
        <v>30000.0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45574.0</v>
      </c>
      <c r="C34" s="18" t="s">
        <v>668</v>
      </c>
      <c r="D34" s="19">
        <v>61582.0</v>
      </c>
      <c r="E34" s="20" t="s">
        <v>669</v>
      </c>
      <c r="F34" s="21"/>
      <c r="G34" s="22"/>
      <c r="H34" s="22"/>
      <c r="I34" s="21"/>
      <c r="J34" s="21"/>
      <c r="K34" s="23"/>
      <c r="L34" s="22"/>
      <c r="M34" s="22"/>
      <c r="N34" s="22"/>
      <c r="O34" s="22">
        <v>3600.0</v>
      </c>
      <c r="P34" s="24">
        <v>3600.0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45574.0</v>
      </c>
      <c r="C35" s="18" t="s">
        <v>670</v>
      </c>
      <c r="D35" s="19">
        <v>37642.0</v>
      </c>
      <c r="E35" s="20" t="s">
        <v>416</v>
      </c>
      <c r="F35" s="21"/>
      <c r="G35" s="22"/>
      <c r="H35" s="22">
        <v>20000.0</v>
      </c>
      <c r="I35" s="21"/>
      <c r="J35" s="21"/>
      <c r="K35" s="23"/>
      <c r="L35" s="22"/>
      <c r="M35" s="22"/>
      <c r="N35" s="22"/>
      <c r="O35" s="22"/>
      <c r="P35" s="24">
        <v>20000.0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45574.0</v>
      </c>
      <c r="C36" s="18" t="s">
        <v>671</v>
      </c>
      <c r="D36" s="19">
        <v>53943.0</v>
      </c>
      <c r="E36" s="20" t="s">
        <v>672</v>
      </c>
      <c r="F36" s="21"/>
      <c r="G36" s="22"/>
      <c r="H36" s="22"/>
      <c r="I36" s="21"/>
      <c r="J36" s="21"/>
      <c r="K36" s="23"/>
      <c r="L36" s="22"/>
      <c r="M36" s="22"/>
      <c r="N36" s="22"/>
      <c r="O36" s="22">
        <v>1200.0</v>
      </c>
      <c r="P36" s="24">
        <v>1200.0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45574.0</v>
      </c>
      <c r="C37" s="18" t="s">
        <v>673</v>
      </c>
      <c r="D37" s="19">
        <v>48192.0</v>
      </c>
      <c r="E37" s="20" t="s">
        <v>653</v>
      </c>
      <c r="F37" s="21"/>
      <c r="G37" s="22"/>
      <c r="H37" s="22"/>
      <c r="I37" s="21"/>
      <c r="J37" s="21"/>
      <c r="K37" s="23"/>
      <c r="L37" s="22"/>
      <c r="M37" s="22"/>
      <c r="N37" s="22"/>
      <c r="O37" s="22">
        <v>1200.0</v>
      </c>
      <c r="P37" s="24">
        <v>1200.0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45574.0</v>
      </c>
      <c r="C38" s="18" t="s">
        <v>674</v>
      </c>
      <c r="D38" s="19">
        <v>10250.0</v>
      </c>
      <c r="E38" s="20" t="s">
        <v>171</v>
      </c>
      <c r="F38" s="21"/>
      <c r="G38" s="22"/>
      <c r="H38" s="22">
        <v>19000.0</v>
      </c>
      <c r="I38" s="21"/>
      <c r="J38" s="21"/>
      <c r="K38" s="23"/>
      <c r="L38" s="22"/>
      <c r="M38" s="22"/>
      <c r="N38" s="22"/>
      <c r="O38" s="22"/>
      <c r="P38" s="24">
        <v>19000.0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45574.0</v>
      </c>
      <c r="C39" s="18" t="s">
        <v>675</v>
      </c>
      <c r="D39" s="19">
        <v>21828.0</v>
      </c>
      <c r="E39" s="20" t="s">
        <v>150</v>
      </c>
      <c r="F39" s="21"/>
      <c r="G39" s="22"/>
      <c r="H39" s="22"/>
      <c r="I39" s="21"/>
      <c r="J39" s="21"/>
      <c r="K39" s="23">
        <v>450.0</v>
      </c>
      <c r="L39" s="22"/>
      <c r="M39" s="22"/>
      <c r="N39" s="22"/>
      <c r="O39" s="22"/>
      <c r="P39" s="24">
        <v>450.0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45574.0</v>
      </c>
      <c r="C40" s="18" t="s">
        <v>676</v>
      </c>
      <c r="D40" s="19">
        <v>56676.0</v>
      </c>
      <c r="E40" s="20" t="s">
        <v>662</v>
      </c>
      <c r="F40" s="21"/>
      <c r="G40" s="22"/>
      <c r="H40" s="22"/>
      <c r="I40" s="21"/>
      <c r="J40" s="21"/>
      <c r="K40" s="23"/>
      <c r="L40" s="22"/>
      <c r="M40" s="22"/>
      <c r="N40" s="22"/>
      <c r="O40" s="22">
        <v>1200.0</v>
      </c>
      <c r="P40" s="24">
        <v>1200.0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45574.0</v>
      </c>
      <c r="C41" s="18" t="s">
        <v>677</v>
      </c>
      <c r="D41" s="19">
        <v>56683.0</v>
      </c>
      <c r="E41" s="20" t="s">
        <v>678</v>
      </c>
      <c r="F41" s="21"/>
      <c r="G41" s="22"/>
      <c r="H41" s="22"/>
      <c r="I41" s="21"/>
      <c r="J41" s="21"/>
      <c r="K41" s="23"/>
      <c r="L41" s="22"/>
      <c r="M41" s="22"/>
      <c r="N41" s="22"/>
      <c r="O41" s="22">
        <v>1200.0</v>
      </c>
      <c r="P41" s="24">
        <v>1200.0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45574.0</v>
      </c>
      <c r="C42" s="18" t="s">
        <v>679</v>
      </c>
      <c r="D42" s="19">
        <v>71914.0</v>
      </c>
      <c r="E42" s="20" t="s">
        <v>680</v>
      </c>
      <c r="F42" s="21"/>
      <c r="G42" s="22"/>
      <c r="H42" s="22">
        <v>3980.0</v>
      </c>
      <c r="I42" s="21"/>
      <c r="J42" s="21"/>
      <c r="K42" s="23"/>
      <c r="L42" s="22"/>
      <c r="M42" s="22"/>
      <c r="N42" s="22"/>
      <c r="O42" s="22"/>
      <c r="P42" s="24">
        <v>3980.0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7.5" customHeight="1">
      <c r="A43" s="16"/>
      <c r="B43" s="27"/>
      <c r="C43" s="18"/>
      <c r="D43" s="19" t="s">
        <v>190</v>
      </c>
      <c r="E43" s="20"/>
      <c r="F43" s="45">
        <f t="shared" ref="F43:Q43" si="2">SUM(F5:F42)</f>
        <v>0</v>
      </c>
      <c r="G43" s="45">
        <f t="shared" si="2"/>
        <v>0</v>
      </c>
      <c r="H43" s="45">
        <f t="shared" si="2"/>
        <v>92980</v>
      </c>
      <c r="I43" s="45">
        <f t="shared" si="2"/>
        <v>70300</v>
      </c>
      <c r="J43" s="45">
        <f t="shared" si="2"/>
        <v>19700</v>
      </c>
      <c r="K43" s="45">
        <f t="shared" si="2"/>
        <v>20350</v>
      </c>
      <c r="L43" s="45">
        <f t="shared" si="2"/>
        <v>0</v>
      </c>
      <c r="M43" s="45">
        <f t="shared" si="2"/>
        <v>2850</v>
      </c>
      <c r="N43" s="45">
        <f t="shared" si="2"/>
        <v>0</v>
      </c>
      <c r="O43" s="45">
        <f t="shared" si="2"/>
        <v>8400</v>
      </c>
      <c r="P43" s="45">
        <f t="shared" si="2"/>
        <v>214580</v>
      </c>
      <c r="Q43" s="46">
        <f t="shared" si="2"/>
        <v>0</v>
      </c>
      <c r="R43" s="47"/>
      <c r="S43" s="26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</row>
    <row r="44" ht="58.5" customHeight="1">
      <c r="A44" s="48"/>
      <c r="B44" s="48"/>
      <c r="C44" s="49"/>
      <c r="D44" s="48"/>
      <c r="E44" s="48"/>
      <c r="F44" s="50">
        <f>F43+G43+H43+I43+J43+K43+L43+M43+N43+O43</f>
        <v>214580</v>
      </c>
      <c r="P44" s="51"/>
      <c r="Q44" s="51"/>
      <c r="R44" s="48"/>
      <c r="S44" s="48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3" t="s">
        <v>190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4" t="s">
        <v>191</v>
      </c>
      <c r="F48" s="55" t="s">
        <v>540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193</v>
      </c>
      <c r="F49" s="60" t="s">
        <v>540</v>
      </c>
      <c r="G49" s="4"/>
      <c r="H49" s="4"/>
      <c r="I49" s="4"/>
      <c r="J49" s="4"/>
      <c r="K49" s="4"/>
      <c r="L49" s="4"/>
      <c r="M49" s="4"/>
      <c r="N49" s="4"/>
      <c r="O49" s="57" t="s">
        <v>190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56" t="s">
        <v>195</v>
      </c>
      <c r="F50" s="55" t="s">
        <v>196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6" t="s">
        <v>197</v>
      </c>
      <c r="F51" s="55" t="s">
        <v>196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56" t="s">
        <v>198</v>
      </c>
      <c r="F52" s="55" t="s">
        <v>541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56" t="s">
        <v>681</v>
      </c>
      <c r="F53" s="55" t="s">
        <v>196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2"/>
      <c r="D54" s="4"/>
      <c r="E54" s="56" t="s">
        <v>201</v>
      </c>
      <c r="F54" s="61" t="s">
        <v>682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52"/>
      <c r="D55" s="4"/>
      <c r="E55" s="56" t="s">
        <v>203</v>
      </c>
      <c r="F55" s="58" t="s">
        <v>683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7" t="s">
        <v>190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 t="str">
        <f>I72443</f>
        <v/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57" t="s">
        <v>205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>
        <v>7.0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7">
    <mergeCell ref="R2:R4"/>
    <mergeCell ref="S2:S4"/>
    <mergeCell ref="F3:F4"/>
    <mergeCell ref="G3:H3"/>
    <mergeCell ref="I3:J3"/>
    <mergeCell ref="K3:K4"/>
    <mergeCell ref="F44:O4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684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45574.0</v>
      </c>
      <c r="C5" s="18" t="s">
        <v>685</v>
      </c>
      <c r="D5" s="19">
        <v>79692.0</v>
      </c>
      <c r="E5" s="20" t="s">
        <v>686</v>
      </c>
      <c r="F5" s="21"/>
      <c r="G5" s="22"/>
      <c r="H5" s="22"/>
      <c r="I5" s="21"/>
      <c r="J5" s="22">
        <v>10000.0</v>
      </c>
      <c r="K5" s="22"/>
      <c r="L5" s="22"/>
      <c r="M5" s="21"/>
      <c r="N5" s="22"/>
      <c r="O5" s="22"/>
      <c r="P5" s="24">
        <v>10000.0</v>
      </c>
      <c r="Q5" s="25">
        <f t="shared" ref="Q5:Q40" si="1">F5+G5+H5+I5+J5+K5+L5+M5+N5+O5-P5</f>
        <v>0</v>
      </c>
      <c r="R5" s="24" t="s">
        <v>48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45574.0</v>
      </c>
      <c r="C6" s="18" t="s">
        <v>687</v>
      </c>
      <c r="D6" s="19">
        <v>82860.0</v>
      </c>
      <c r="E6" s="20" t="s">
        <v>688</v>
      </c>
      <c r="F6" s="22"/>
      <c r="G6" s="22"/>
      <c r="H6" s="21"/>
      <c r="I6" s="21"/>
      <c r="J6" s="23"/>
      <c r="K6" s="22"/>
      <c r="L6" s="22"/>
      <c r="M6" s="22">
        <v>290.0</v>
      </c>
      <c r="N6" s="22"/>
      <c r="O6" s="22"/>
      <c r="P6" s="24">
        <v>290.0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45574.0</v>
      </c>
      <c r="C7" s="18" t="s">
        <v>689</v>
      </c>
      <c r="D7" s="19">
        <v>61582.0</v>
      </c>
      <c r="E7" s="20" t="s">
        <v>669</v>
      </c>
      <c r="F7" s="22"/>
      <c r="G7" s="22"/>
      <c r="H7" s="22"/>
      <c r="I7" s="21">
        <v>150.0</v>
      </c>
      <c r="J7" s="21"/>
      <c r="K7" s="22"/>
      <c r="L7" s="22"/>
      <c r="M7" s="22"/>
      <c r="N7" s="22"/>
      <c r="O7" s="22"/>
      <c r="P7" s="24">
        <v>150.0</v>
      </c>
      <c r="Q7" s="25">
        <f t="shared" si="1"/>
        <v>0</v>
      </c>
      <c r="R7" s="24" t="s">
        <v>48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45574.0</v>
      </c>
      <c r="C8" s="18" t="s">
        <v>690</v>
      </c>
      <c r="D8" s="19">
        <v>85037.0</v>
      </c>
      <c r="E8" s="20" t="s">
        <v>691</v>
      </c>
      <c r="F8" s="22"/>
      <c r="G8" s="22"/>
      <c r="H8" s="22"/>
      <c r="I8" s="21">
        <v>7300.0</v>
      </c>
      <c r="J8" s="21"/>
      <c r="K8" s="22"/>
      <c r="L8" s="22"/>
      <c r="M8" s="21"/>
      <c r="N8" s="22"/>
      <c r="O8" s="22"/>
      <c r="P8" s="24">
        <v>7300.0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45575.0</v>
      </c>
      <c r="C9" s="18" t="s">
        <v>692</v>
      </c>
      <c r="D9" s="19">
        <v>70020.0</v>
      </c>
      <c r="E9" s="20" t="s">
        <v>693</v>
      </c>
      <c r="F9" s="22"/>
      <c r="G9" s="22"/>
      <c r="H9" s="22"/>
      <c r="I9" s="21"/>
      <c r="J9" s="21">
        <v>450.0</v>
      </c>
      <c r="K9" s="22"/>
      <c r="L9" s="22"/>
      <c r="M9" s="21"/>
      <c r="N9" s="22"/>
      <c r="O9" s="22"/>
      <c r="P9" s="24">
        <v>450.0</v>
      </c>
      <c r="Q9" s="25">
        <f t="shared" si="1"/>
        <v>0</v>
      </c>
      <c r="R9" s="24" t="s">
        <v>57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45575.0</v>
      </c>
      <c r="C10" s="18" t="s">
        <v>694</v>
      </c>
      <c r="D10" s="19">
        <v>76353.0</v>
      </c>
      <c r="E10" s="20" t="s">
        <v>695</v>
      </c>
      <c r="F10" s="22"/>
      <c r="G10" s="22"/>
      <c r="H10" s="22"/>
      <c r="I10" s="21">
        <v>2650.0</v>
      </c>
      <c r="J10" s="21"/>
      <c r="K10" s="22"/>
      <c r="L10" s="22"/>
      <c r="M10" s="21"/>
      <c r="N10" s="22"/>
      <c r="O10" s="22"/>
      <c r="P10" s="24">
        <v>2650.0</v>
      </c>
      <c r="Q10" s="25">
        <f t="shared" si="1"/>
        <v>0</v>
      </c>
      <c r="R10" s="24" t="s">
        <v>57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45575.0</v>
      </c>
      <c r="C11" s="18" t="s">
        <v>696</v>
      </c>
      <c r="D11" s="19">
        <v>57780.0</v>
      </c>
      <c r="E11" s="20" t="s">
        <v>697</v>
      </c>
      <c r="F11" s="22"/>
      <c r="G11" s="22"/>
      <c r="H11" s="22"/>
      <c r="I11" s="21"/>
      <c r="J11" s="21">
        <v>440.0</v>
      </c>
      <c r="K11" s="22"/>
      <c r="L11" s="22"/>
      <c r="M11" s="21"/>
      <c r="N11" s="22"/>
      <c r="O11" s="22"/>
      <c r="P11" s="24">
        <v>440.0</v>
      </c>
      <c r="Q11" s="25">
        <f t="shared" si="1"/>
        <v>0</v>
      </c>
      <c r="R11" s="24" t="s">
        <v>57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45575.0</v>
      </c>
      <c r="C12" s="30" t="s">
        <v>698</v>
      </c>
      <c r="D12" s="31">
        <v>52083.0</v>
      </c>
      <c r="E12" s="32" t="s">
        <v>24</v>
      </c>
      <c r="F12" s="22"/>
      <c r="G12" s="22"/>
      <c r="H12" s="22"/>
      <c r="I12" s="21">
        <v>6950.0</v>
      </c>
      <c r="J12" s="21"/>
      <c r="K12" s="22"/>
      <c r="L12" s="22"/>
      <c r="M12" s="21"/>
      <c r="N12" s="22"/>
      <c r="O12" s="22"/>
      <c r="P12" s="33">
        <v>6950.0</v>
      </c>
      <c r="Q12" s="25">
        <f t="shared" si="1"/>
        <v>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45575.0</v>
      </c>
      <c r="C13" s="18" t="s">
        <v>699</v>
      </c>
      <c r="D13" s="19">
        <v>77680.0</v>
      </c>
      <c r="E13" s="20" t="s">
        <v>700</v>
      </c>
      <c r="F13" s="22"/>
      <c r="G13" s="22"/>
      <c r="H13" s="22"/>
      <c r="I13" s="21">
        <v>2650.0</v>
      </c>
      <c r="J13" s="21"/>
      <c r="K13" s="22"/>
      <c r="L13" s="22"/>
      <c r="M13" s="21"/>
      <c r="N13" s="22"/>
      <c r="O13" s="22"/>
      <c r="P13" s="24">
        <v>2650.0</v>
      </c>
      <c r="Q13" s="25">
        <f t="shared" si="1"/>
        <v>0</v>
      </c>
      <c r="R13" s="24" t="s">
        <v>35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45575.0</v>
      </c>
      <c r="C14" s="18" t="s">
        <v>701</v>
      </c>
      <c r="D14" s="19">
        <v>85045.0</v>
      </c>
      <c r="E14" s="20" t="s">
        <v>702</v>
      </c>
      <c r="F14" s="22"/>
      <c r="G14" s="22"/>
      <c r="H14" s="22"/>
      <c r="I14" s="21">
        <v>7300.0</v>
      </c>
      <c r="J14" s="21"/>
      <c r="K14" s="22"/>
      <c r="L14" s="22"/>
      <c r="M14" s="21"/>
      <c r="N14" s="22"/>
      <c r="O14" s="22"/>
      <c r="P14" s="24">
        <v>7300.0</v>
      </c>
      <c r="Q14" s="25">
        <f t="shared" si="1"/>
        <v>0</v>
      </c>
      <c r="R14" s="24" t="s">
        <v>48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45575.0</v>
      </c>
      <c r="C15" s="18" t="s">
        <v>703</v>
      </c>
      <c r="D15" s="19">
        <v>52669.0</v>
      </c>
      <c r="E15" s="20" t="s">
        <v>364</v>
      </c>
      <c r="F15" s="22"/>
      <c r="G15" s="22"/>
      <c r="H15" s="22"/>
      <c r="I15" s="21">
        <v>4500.0</v>
      </c>
      <c r="J15" s="21"/>
      <c r="K15" s="22"/>
      <c r="L15" s="22"/>
      <c r="M15" s="21"/>
      <c r="N15" s="22"/>
      <c r="O15" s="22"/>
      <c r="P15" s="24">
        <v>4500.0</v>
      </c>
      <c r="Q15" s="25">
        <f t="shared" si="1"/>
        <v>0</v>
      </c>
      <c r="R15" s="24" t="s">
        <v>48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45575.0</v>
      </c>
      <c r="C16" s="18" t="s">
        <v>704</v>
      </c>
      <c r="D16" s="19">
        <v>52669.0</v>
      </c>
      <c r="E16" s="20" t="s">
        <v>364</v>
      </c>
      <c r="F16" s="22"/>
      <c r="G16" s="22"/>
      <c r="H16" s="22"/>
      <c r="I16" s="21">
        <v>4500.0</v>
      </c>
      <c r="J16" s="21"/>
      <c r="K16" s="22"/>
      <c r="L16" s="22"/>
      <c r="M16" s="21"/>
      <c r="N16" s="22"/>
      <c r="O16" s="22"/>
      <c r="P16" s="24">
        <v>4500.0</v>
      </c>
      <c r="Q16" s="25">
        <f t="shared" si="1"/>
        <v>0</v>
      </c>
      <c r="R16" s="24" t="s">
        <v>48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45575.0</v>
      </c>
      <c r="C17" s="18" t="s">
        <v>705</v>
      </c>
      <c r="D17" s="19">
        <v>58257.0</v>
      </c>
      <c r="E17" s="20" t="s">
        <v>43</v>
      </c>
      <c r="F17" s="22"/>
      <c r="G17" s="22"/>
      <c r="H17" s="22"/>
      <c r="I17" s="21">
        <v>13500.0</v>
      </c>
      <c r="J17" s="21"/>
      <c r="K17" s="22"/>
      <c r="L17" s="22"/>
      <c r="M17" s="22"/>
      <c r="N17" s="22"/>
      <c r="O17" s="22"/>
      <c r="P17" s="24">
        <v>13500.0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45575.0</v>
      </c>
      <c r="C18" s="30" t="s">
        <v>706</v>
      </c>
      <c r="D18" s="31">
        <v>49918.0</v>
      </c>
      <c r="E18" s="32" t="s">
        <v>707</v>
      </c>
      <c r="F18" s="22"/>
      <c r="G18" s="22"/>
      <c r="H18" s="22"/>
      <c r="I18" s="21"/>
      <c r="J18" s="21">
        <v>5000.0</v>
      </c>
      <c r="K18" s="22"/>
      <c r="L18" s="22"/>
      <c r="M18" s="21"/>
      <c r="N18" s="22"/>
      <c r="O18" s="22"/>
      <c r="P18" s="33">
        <v>5000.0</v>
      </c>
      <c r="Q18" s="25">
        <f t="shared" si="1"/>
        <v>0</v>
      </c>
      <c r="R18" s="33" t="s">
        <v>35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7">
        <v>45575.0</v>
      </c>
      <c r="C19" s="18" t="s">
        <v>708</v>
      </c>
      <c r="D19" s="19">
        <v>80339.0</v>
      </c>
      <c r="E19" s="20" t="s">
        <v>709</v>
      </c>
      <c r="F19" s="22"/>
      <c r="G19" s="22"/>
      <c r="H19" s="22"/>
      <c r="I19" s="23">
        <v>2650.0</v>
      </c>
      <c r="J19" s="23"/>
      <c r="K19" s="22"/>
      <c r="L19" s="22"/>
      <c r="M19" s="22"/>
      <c r="N19" s="22"/>
      <c r="O19" s="22"/>
      <c r="P19" s="24">
        <v>2650.0</v>
      </c>
      <c r="Q19" s="25">
        <f t="shared" si="1"/>
        <v>0</v>
      </c>
      <c r="R19" s="24" t="s">
        <v>35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45575.0</v>
      </c>
      <c r="C20" s="18" t="s">
        <v>710</v>
      </c>
      <c r="D20" s="19">
        <v>82767.0</v>
      </c>
      <c r="E20" s="20" t="s">
        <v>711</v>
      </c>
      <c r="F20" s="21"/>
      <c r="G20" s="22"/>
      <c r="H20" s="22"/>
      <c r="I20" s="35">
        <v>5150.0</v>
      </c>
      <c r="J20" s="22"/>
      <c r="K20" s="36"/>
      <c r="L20" s="22"/>
      <c r="M20" s="22"/>
      <c r="N20" s="22"/>
      <c r="O20" s="22"/>
      <c r="P20" s="24">
        <v>5150.0</v>
      </c>
      <c r="Q20" s="25">
        <f t="shared" si="1"/>
        <v>0</v>
      </c>
      <c r="R20" s="24" t="s">
        <v>35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45575.0</v>
      </c>
      <c r="C21" s="18" t="s">
        <v>712</v>
      </c>
      <c r="D21" s="19">
        <v>78735.0</v>
      </c>
      <c r="E21" s="20" t="s">
        <v>713</v>
      </c>
      <c r="F21" s="21"/>
      <c r="G21" s="22"/>
      <c r="H21" s="22"/>
      <c r="I21" s="21"/>
      <c r="J21" s="22">
        <v>2650.0</v>
      </c>
      <c r="K21" s="21"/>
      <c r="L21" s="22"/>
      <c r="M21" s="22"/>
      <c r="N21" s="22"/>
      <c r="O21" s="22"/>
      <c r="P21" s="24">
        <v>2650.0</v>
      </c>
      <c r="Q21" s="25">
        <f t="shared" si="1"/>
        <v>0</v>
      </c>
      <c r="R21" s="24" t="s">
        <v>48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37">
        <v>45575.0</v>
      </c>
      <c r="C22" s="38" t="s">
        <v>714</v>
      </c>
      <c r="D22" s="39">
        <v>84554.0</v>
      </c>
      <c r="E22" s="40" t="s">
        <v>715</v>
      </c>
      <c r="F22" s="35"/>
      <c r="G22" s="41"/>
      <c r="H22" s="41"/>
      <c r="I22" s="35">
        <v>3600.0</v>
      </c>
      <c r="J22" s="35"/>
      <c r="K22" s="42"/>
      <c r="L22" s="41"/>
      <c r="M22" s="41"/>
      <c r="N22" s="41"/>
      <c r="O22" s="41"/>
      <c r="P22" s="43">
        <v>3600.0</v>
      </c>
      <c r="Q22" s="25">
        <f t="shared" si="1"/>
        <v>0</v>
      </c>
      <c r="R22" s="43" t="s">
        <v>35</v>
      </c>
      <c r="S22" s="26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</row>
    <row r="23" ht="34.5" customHeight="1">
      <c r="A23" s="16">
        <v>19.0</v>
      </c>
      <c r="B23" s="27">
        <v>45575.0</v>
      </c>
      <c r="C23" s="18" t="s">
        <v>716</v>
      </c>
      <c r="D23" s="19">
        <v>53249.0</v>
      </c>
      <c r="E23" s="20" t="s">
        <v>88</v>
      </c>
      <c r="F23" s="21"/>
      <c r="G23" s="22"/>
      <c r="H23" s="22"/>
      <c r="I23" s="21">
        <v>16000.0</v>
      </c>
      <c r="J23" s="22"/>
      <c r="K23" s="36"/>
      <c r="L23" s="22"/>
      <c r="M23" s="22"/>
      <c r="N23" s="22"/>
      <c r="O23" s="22"/>
      <c r="P23" s="24">
        <v>16000.0</v>
      </c>
      <c r="Q23" s="25">
        <f t="shared" si="1"/>
        <v>0</v>
      </c>
      <c r="R23" s="24" t="s">
        <v>48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45575.0</v>
      </c>
      <c r="C24" s="18" t="s">
        <v>717</v>
      </c>
      <c r="D24" s="19">
        <v>84987.0</v>
      </c>
      <c r="E24" s="20" t="s">
        <v>152</v>
      </c>
      <c r="F24" s="21"/>
      <c r="G24" s="22"/>
      <c r="H24" s="22"/>
      <c r="I24" s="21"/>
      <c r="J24" s="21">
        <v>5150.0</v>
      </c>
      <c r="K24" s="36"/>
      <c r="L24" s="22"/>
      <c r="M24" s="22"/>
      <c r="N24" s="22"/>
      <c r="O24" s="22"/>
      <c r="P24" s="24">
        <v>5150.0</v>
      </c>
      <c r="Q24" s="25">
        <f t="shared" si="1"/>
        <v>0</v>
      </c>
      <c r="R24" s="24" t="s">
        <v>57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45575.0</v>
      </c>
      <c r="C25" s="18" t="s">
        <v>718</v>
      </c>
      <c r="D25" s="19">
        <v>10744.0</v>
      </c>
      <c r="E25" s="20" t="s">
        <v>221</v>
      </c>
      <c r="F25" s="21"/>
      <c r="G25" s="22"/>
      <c r="H25" s="22"/>
      <c r="I25" s="36">
        <v>15000.0</v>
      </c>
      <c r="J25" s="21"/>
      <c r="K25" s="36"/>
      <c r="L25" s="22"/>
      <c r="M25" s="22"/>
      <c r="N25" s="22"/>
      <c r="O25" s="22"/>
      <c r="P25" s="24">
        <v>15000.0</v>
      </c>
      <c r="Q25" s="25">
        <f t="shared" si="1"/>
        <v>0</v>
      </c>
      <c r="R25" s="24" t="s">
        <v>35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45575.0</v>
      </c>
      <c r="C26" s="18" t="s">
        <v>719</v>
      </c>
      <c r="D26" s="19">
        <v>67797.0</v>
      </c>
      <c r="E26" s="20" t="s">
        <v>720</v>
      </c>
      <c r="F26" s="21"/>
      <c r="G26" s="22"/>
      <c r="H26" s="22"/>
      <c r="I26" s="21"/>
      <c r="J26" s="21">
        <v>15000.0</v>
      </c>
      <c r="K26" s="23"/>
      <c r="L26" s="22"/>
      <c r="M26" s="22"/>
      <c r="N26" s="22"/>
      <c r="O26" s="22"/>
      <c r="P26" s="24">
        <v>15000.0</v>
      </c>
      <c r="Q26" s="25">
        <f t="shared" si="1"/>
        <v>0</v>
      </c>
      <c r="R26" s="24" t="s">
        <v>48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45575.0</v>
      </c>
      <c r="C27" s="18" t="s">
        <v>721</v>
      </c>
      <c r="D27" s="19">
        <v>59103.0</v>
      </c>
      <c r="E27" s="20" t="s">
        <v>337</v>
      </c>
      <c r="F27" s="21"/>
      <c r="G27" s="22"/>
      <c r="H27" s="22"/>
      <c r="I27" s="21">
        <v>2500.0</v>
      </c>
      <c r="J27" s="21"/>
      <c r="K27" s="23">
        <v>2500.0</v>
      </c>
      <c r="L27" s="22"/>
      <c r="M27" s="22"/>
      <c r="N27" s="22"/>
      <c r="O27" s="22"/>
      <c r="P27" s="24">
        <v>5000.0</v>
      </c>
      <c r="Q27" s="25">
        <f t="shared" si="1"/>
        <v>0</v>
      </c>
      <c r="R27" s="24" t="s">
        <v>35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45575.0</v>
      </c>
      <c r="C28" s="18" t="s">
        <v>722</v>
      </c>
      <c r="D28" s="19">
        <v>51876.0</v>
      </c>
      <c r="E28" s="20" t="s">
        <v>723</v>
      </c>
      <c r="F28" s="21"/>
      <c r="G28" s="22"/>
      <c r="H28" s="22"/>
      <c r="I28" s="21">
        <v>3050.0</v>
      </c>
      <c r="J28" s="21"/>
      <c r="K28" s="23"/>
      <c r="L28" s="22"/>
      <c r="M28" s="22"/>
      <c r="N28" s="22"/>
      <c r="O28" s="22"/>
      <c r="P28" s="24">
        <v>3050.0</v>
      </c>
      <c r="Q28" s="25">
        <f t="shared" si="1"/>
        <v>0</v>
      </c>
      <c r="R28" s="24" t="s">
        <v>35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45575.0</v>
      </c>
      <c r="C29" s="18" t="s">
        <v>724</v>
      </c>
      <c r="D29" s="19">
        <v>84554.0</v>
      </c>
      <c r="E29" s="20" t="s">
        <v>715</v>
      </c>
      <c r="F29" s="21"/>
      <c r="G29" s="22"/>
      <c r="H29" s="22"/>
      <c r="I29" s="21"/>
      <c r="J29" s="21">
        <v>37500.0</v>
      </c>
      <c r="K29" s="23"/>
      <c r="L29" s="22"/>
      <c r="M29" s="22"/>
      <c r="N29" s="22"/>
      <c r="O29" s="22"/>
      <c r="P29" s="24">
        <v>37500.0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45575.0</v>
      </c>
      <c r="C30" s="18" t="s">
        <v>725</v>
      </c>
      <c r="D30" s="19">
        <v>10249.0</v>
      </c>
      <c r="E30" s="20" t="s">
        <v>118</v>
      </c>
      <c r="F30" s="21"/>
      <c r="G30" s="22"/>
      <c r="H30" s="22"/>
      <c r="I30" s="21"/>
      <c r="J30" s="21">
        <v>7300.0</v>
      </c>
      <c r="K30" s="23"/>
      <c r="L30" s="22"/>
      <c r="M30" s="22"/>
      <c r="N30" s="22"/>
      <c r="O30" s="22"/>
      <c r="P30" s="24">
        <v>7300.0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45575.0</v>
      </c>
      <c r="C31" s="18" t="s">
        <v>726</v>
      </c>
      <c r="D31" s="19">
        <v>10008.0</v>
      </c>
      <c r="E31" s="20" t="s">
        <v>52</v>
      </c>
      <c r="F31" s="21"/>
      <c r="G31" s="22"/>
      <c r="H31" s="22">
        <v>28900.0</v>
      </c>
      <c r="I31" s="21"/>
      <c r="J31" s="21"/>
      <c r="K31" s="23"/>
      <c r="L31" s="22"/>
      <c r="M31" s="22"/>
      <c r="N31" s="22"/>
      <c r="O31" s="22"/>
      <c r="P31" s="24">
        <v>28900.0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45575.0</v>
      </c>
      <c r="C32" s="18" t="s">
        <v>727</v>
      </c>
      <c r="D32" s="19">
        <v>36555.0</v>
      </c>
      <c r="E32" s="20" t="s">
        <v>167</v>
      </c>
      <c r="F32" s="21"/>
      <c r="G32" s="22"/>
      <c r="H32" s="22"/>
      <c r="I32" s="21">
        <v>7000.0</v>
      </c>
      <c r="J32" s="21"/>
      <c r="K32" s="23"/>
      <c r="L32" s="22"/>
      <c r="M32" s="22"/>
      <c r="N32" s="22"/>
      <c r="O32" s="22"/>
      <c r="P32" s="24">
        <v>7000.0</v>
      </c>
      <c r="Q32" s="25">
        <f t="shared" si="1"/>
        <v>0</v>
      </c>
      <c r="R32" s="24" t="s">
        <v>48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45575.0</v>
      </c>
      <c r="C33" s="18" t="s">
        <v>728</v>
      </c>
      <c r="D33" s="19">
        <v>79349.0</v>
      </c>
      <c r="E33" s="20" t="s">
        <v>729</v>
      </c>
      <c r="F33" s="21"/>
      <c r="G33" s="22"/>
      <c r="H33" s="22"/>
      <c r="I33" s="21"/>
      <c r="J33" s="21">
        <v>6050.0</v>
      </c>
      <c r="K33" s="23"/>
      <c r="L33" s="22"/>
      <c r="M33" s="22"/>
      <c r="N33" s="22"/>
      <c r="O33" s="22"/>
      <c r="P33" s="24">
        <v>6050.0</v>
      </c>
      <c r="Q33" s="25">
        <f t="shared" si="1"/>
        <v>0</v>
      </c>
      <c r="R33" s="24" t="s">
        <v>57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45575.0</v>
      </c>
      <c r="C34" s="18" t="s">
        <v>730</v>
      </c>
      <c r="D34" s="19">
        <v>52083.0</v>
      </c>
      <c r="E34" s="20" t="s">
        <v>24</v>
      </c>
      <c r="F34" s="21"/>
      <c r="G34" s="22"/>
      <c r="H34" s="22"/>
      <c r="I34" s="21">
        <v>6300.0</v>
      </c>
      <c r="J34" s="21"/>
      <c r="K34" s="23"/>
      <c r="L34" s="22"/>
      <c r="M34" s="22"/>
      <c r="N34" s="22"/>
      <c r="O34" s="22"/>
      <c r="P34" s="24">
        <v>6300.0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45575.0</v>
      </c>
      <c r="C35" s="18" t="s">
        <v>731</v>
      </c>
      <c r="D35" s="19">
        <v>76602.0</v>
      </c>
      <c r="E35" s="20" t="s">
        <v>732</v>
      </c>
      <c r="F35" s="21"/>
      <c r="G35" s="22"/>
      <c r="H35" s="22"/>
      <c r="I35" s="21"/>
      <c r="J35" s="21">
        <v>3650.0</v>
      </c>
      <c r="K35" s="23"/>
      <c r="L35" s="22"/>
      <c r="M35" s="22"/>
      <c r="N35" s="22"/>
      <c r="O35" s="22"/>
      <c r="P35" s="24">
        <v>3650.0</v>
      </c>
      <c r="Q35" s="25">
        <f t="shared" si="1"/>
        <v>0</v>
      </c>
      <c r="R35" s="24" t="s">
        <v>48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45575.0</v>
      </c>
      <c r="C36" s="18" t="s">
        <v>733</v>
      </c>
      <c r="D36" s="19">
        <v>52215.0</v>
      </c>
      <c r="E36" s="20" t="s">
        <v>734</v>
      </c>
      <c r="F36" s="21"/>
      <c r="G36" s="22"/>
      <c r="H36" s="22">
        <v>2500.0</v>
      </c>
      <c r="I36" s="21"/>
      <c r="J36" s="21"/>
      <c r="K36" s="23"/>
      <c r="L36" s="22"/>
      <c r="M36" s="22"/>
      <c r="N36" s="22"/>
      <c r="O36" s="22"/>
      <c r="P36" s="24">
        <v>2500.0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45575.0</v>
      </c>
      <c r="C37" s="18" t="s">
        <v>735</v>
      </c>
      <c r="D37" s="19">
        <v>50069.0</v>
      </c>
      <c r="E37" s="20" t="s">
        <v>736</v>
      </c>
      <c r="F37" s="21"/>
      <c r="G37" s="22"/>
      <c r="H37" s="22">
        <v>8580.0</v>
      </c>
      <c r="I37" s="21"/>
      <c r="J37" s="21"/>
      <c r="K37" s="23"/>
      <c r="L37" s="22"/>
      <c r="M37" s="22"/>
      <c r="N37" s="22"/>
      <c r="O37" s="22"/>
      <c r="P37" s="24">
        <v>8580.0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45575.0</v>
      </c>
      <c r="C38" s="18" t="s">
        <v>737</v>
      </c>
      <c r="D38" s="19">
        <v>43380.0</v>
      </c>
      <c r="E38" s="20" t="s">
        <v>156</v>
      </c>
      <c r="F38" s="21"/>
      <c r="G38" s="22"/>
      <c r="H38" s="22">
        <v>4500.0</v>
      </c>
      <c r="I38" s="21"/>
      <c r="J38" s="21"/>
      <c r="K38" s="23"/>
      <c r="L38" s="22"/>
      <c r="M38" s="22"/>
      <c r="N38" s="22"/>
      <c r="O38" s="22"/>
      <c r="P38" s="24">
        <v>4500.0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45575.0</v>
      </c>
      <c r="C39" s="18" t="s">
        <v>738</v>
      </c>
      <c r="D39" s="19">
        <v>21828.0</v>
      </c>
      <c r="E39" s="20" t="s">
        <v>150</v>
      </c>
      <c r="F39" s="21"/>
      <c r="G39" s="22"/>
      <c r="H39" s="22"/>
      <c r="I39" s="21"/>
      <c r="J39" s="21"/>
      <c r="K39" s="23">
        <v>2500.0</v>
      </c>
      <c r="L39" s="22"/>
      <c r="M39" s="22"/>
      <c r="N39" s="22"/>
      <c r="O39" s="22"/>
      <c r="P39" s="24">
        <v>2500.0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45575.0</v>
      </c>
      <c r="C40" s="18" t="s">
        <v>739</v>
      </c>
      <c r="D40" s="19">
        <v>84490.0</v>
      </c>
      <c r="E40" s="20" t="s">
        <v>445</v>
      </c>
      <c r="F40" s="21"/>
      <c r="G40" s="22"/>
      <c r="H40" s="22">
        <v>1200.0</v>
      </c>
      <c r="I40" s="21"/>
      <c r="J40" s="21"/>
      <c r="K40" s="23"/>
      <c r="L40" s="22"/>
      <c r="M40" s="22"/>
      <c r="N40" s="22"/>
      <c r="O40" s="22"/>
      <c r="P40" s="24">
        <v>1200.0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/>
      <c r="B41" s="27"/>
      <c r="C41" s="18"/>
      <c r="D41" s="19"/>
      <c r="E41" s="20"/>
      <c r="F41" s="21"/>
      <c r="G41" s="22"/>
      <c r="H41" s="22"/>
      <c r="I41" s="21"/>
      <c r="J41" s="21"/>
      <c r="K41" s="23"/>
      <c r="L41" s="22"/>
      <c r="M41" s="22"/>
      <c r="N41" s="22"/>
      <c r="O41" s="22"/>
      <c r="P41" s="24"/>
      <c r="Q41" s="25"/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/>
      <c r="B42" s="27"/>
      <c r="C42" s="18"/>
      <c r="D42" s="19"/>
      <c r="E42" s="20"/>
      <c r="F42" s="21"/>
      <c r="G42" s="22"/>
      <c r="H42" s="22"/>
      <c r="I42" s="21"/>
      <c r="J42" s="21"/>
      <c r="K42" s="23"/>
      <c r="L42" s="22"/>
      <c r="M42" s="22"/>
      <c r="N42" s="22"/>
      <c r="O42" s="22"/>
      <c r="P42" s="24"/>
      <c r="Q42" s="25"/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7.5" customHeight="1">
      <c r="A43" s="16"/>
      <c r="B43" s="27"/>
      <c r="C43" s="18"/>
      <c r="D43" s="19" t="s">
        <v>190</v>
      </c>
      <c r="E43" s="20"/>
      <c r="F43" s="45">
        <f t="shared" ref="F43:Q43" si="2">SUM(F5:F42)</f>
        <v>0</v>
      </c>
      <c r="G43" s="45">
        <f t="shared" si="2"/>
        <v>0</v>
      </c>
      <c r="H43" s="45">
        <f t="shared" si="2"/>
        <v>45680</v>
      </c>
      <c r="I43" s="45">
        <f t="shared" si="2"/>
        <v>110750</v>
      </c>
      <c r="J43" s="45">
        <f t="shared" si="2"/>
        <v>93190</v>
      </c>
      <c r="K43" s="45">
        <f t="shared" si="2"/>
        <v>5000</v>
      </c>
      <c r="L43" s="45">
        <f t="shared" si="2"/>
        <v>0</v>
      </c>
      <c r="M43" s="45">
        <f t="shared" si="2"/>
        <v>290</v>
      </c>
      <c r="N43" s="45">
        <f t="shared" si="2"/>
        <v>0</v>
      </c>
      <c r="O43" s="45">
        <f t="shared" si="2"/>
        <v>0</v>
      </c>
      <c r="P43" s="45">
        <f t="shared" si="2"/>
        <v>254910</v>
      </c>
      <c r="Q43" s="46">
        <f t="shared" si="2"/>
        <v>0</v>
      </c>
      <c r="R43" s="47"/>
      <c r="S43" s="26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</row>
    <row r="44" ht="58.5" customHeight="1">
      <c r="A44" s="48"/>
      <c r="B44" s="48"/>
      <c r="C44" s="49"/>
      <c r="D44" s="48"/>
      <c r="E44" s="48"/>
      <c r="F44" s="50">
        <f>F43+G43+H43+I43+J43+K43+L43+M43+N43+O43</f>
        <v>254910</v>
      </c>
      <c r="P44" s="51"/>
      <c r="Q44" s="51"/>
      <c r="R44" s="48"/>
      <c r="S44" s="48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3" t="s">
        <v>190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4" t="s">
        <v>191</v>
      </c>
      <c r="F48" s="55" t="s">
        <v>622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193</v>
      </c>
      <c r="F49" s="60" t="s">
        <v>740</v>
      </c>
      <c r="G49" s="4"/>
      <c r="H49" s="4"/>
      <c r="I49" s="4"/>
      <c r="J49" s="4"/>
      <c r="K49" s="4"/>
      <c r="L49" s="4"/>
      <c r="M49" s="4"/>
      <c r="N49" s="4"/>
      <c r="O49" s="57" t="s">
        <v>190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56" t="s">
        <v>195</v>
      </c>
      <c r="F50" s="55" t="s">
        <v>196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6" t="s">
        <v>197</v>
      </c>
      <c r="F51" s="55" t="s">
        <v>196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56" t="s">
        <v>198</v>
      </c>
      <c r="F52" s="55" t="s">
        <v>196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56" t="s">
        <v>741</v>
      </c>
      <c r="F53" s="55" t="s">
        <v>196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2"/>
      <c r="D54" s="4"/>
      <c r="E54" s="56" t="s">
        <v>201</v>
      </c>
      <c r="F54" s="61" t="s">
        <v>682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52"/>
      <c r="D55" s="4"/>
      <c r="E55" s="56" t="s">
        <v>203</v>
      </c>
      <c r="F55" s="58" t="s">
        <v>204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7" t="s">
        <v>190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 t="str">
        <f>I72443</f>
        <v/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57" t="s">
        <v>205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>
        <v>7.0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7">
    <mergeCell ref="R2:R4"/>
    <mergeCell ref="S2:S4"/>
    <mergeCell ref="F3:F4"/>
    <mergeCell ref="G3:H3"/>
    <mergeCell ref="I3:J3"/>
    <mergeCell ref="K3:K4"/>
    <mergeCell ref="F44:O4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742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45576.0</v>
      </c>
      <c r="C5" s="18" t="s">
        <v>743</v>
      </c>
      <c r="D5" s="19">
        <v>44149.0</v>
      </c>
      <c r="E5" s="20" t="s">
        <v>74</v>
      </c>
      <c r="F5" s="21"/>
      <c r="G5" s="22"/>
      <c r="H5" s="22"/>
      <c r="I5" s="21">
        <v>8750.0</v>
      </c>
      <c r="J5" s="22"/>
      <c r="K5" s="22"/>
      <c r="L5" s="22"/>
      <c r="M5" s="21"/>
      <c r="N5" s="22"/>
      <c r="O5" s="22"/>
      <c r="P5" s="24">
        <v>8750.0</v>
      </c>
      <c r="Q5" s="25">
        <f t="shared" ref="Q5:Q31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45576.0</v>
      </c>
      <c r="C6" s="18" t="s">
        <v>744</v>
      </c>
      <c r="D6" s="19">
        <v>50596.0</v>
      </c>
      <c r="E6" s="20" t="s">
        <v>41</v>
      </c>
      <c r="F6" s="22"/>
      <c r="G6" s="22"/>
      <c r="H6" s="21"/>
      <c r="I6" s="21">
        <v>2500.0</v>
      </c>
      <c r="J6" s="23"/>
      <c r="K6" s="22"/>
      <c r="L6" s="22"/>
      <c r="M6" s="22"/>
      <c r="N6" s="22"/>
      <c r="O6" s="22"/>
      <c r="P6" s="24">
        <v>2500.0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45576.0</v>
      </c>
      <c r="C7" s="18" t="s">
        <v>745</v>
      </c>
      <c r="D7" s="19">
        <v>50173.0</v>
      </c>
      <c r="E7" s="20" t="s">
        <v>746</v>
      </c>
      <c r="F7" s="22"/>
      <c r="G7" s="22"/>
      <c r="H7" s="22"/>
      <c r="I7" s="21">
        <v>1350.0</v>
      </c>
      <c r="J7" s="21"/>
      <c r="K7" s="22"/>
      <c r="L7" s="22"/>
      <c r="M7" s="22"/>
      <c r="N7" s="22"/>
      <c r="O7" s="22"/>
      <c r="P7" s="24">
        <v>1350.0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45576.0</v>
      </c>
      <c r="C8" s="18" t="s">
        <v>747</v>
      </c>
      <c r="D8" s="19">
        <v>78238.0</v>
      </c>
      <c r="E8" s="20" t="s">
        <v>748</v>
      </c>
      <c r="F8" s="22"/>
      <c r="G8" s="22"/>
      <c r="H8" s="22"/>
      <c r="I8" s="21">
        <v>4500.0</v>
      </c>
      <c r="J8" s="21"/>
      <c r="K8" s="22"/>
      <c r="L8" s="22"/>
      <c r="M8" s="21"/>
      <c r="N8" s="22"/>
      <c r="O8" s="22"/>
      <c r="P8" s="24">
        <v>4500.0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45576.0</v>
      </c>
      <c r="C9" s="18" t="s">
        <v>749</v>
      </c>
      <c r="D9" s="19">
        <v>62146.0</v>
      </c>
      <c r="E9" s="20" t="s">
        <v>458</v>
      </c>
      <c r="F9" s="22"/>
      <c r="G9" s="22"/>
      <c r="H9" s="22"/>
      <c r="I9" s="21">
        <v>100.0</v>
      </c>
      <c r="J9" s="21"/>
      <c r="K9" s="22"/>
      <c r="L9" s="22"/>
      <c r="M9" s="21"/>
      <c r="N9" s="22"/>
      <c r="O9" s="22"/>
      <c r="P9" s="24">
        <v>100.0</v>
      </c>
      <c r="Q9" s="25">
        <f t="shared" si="1"/>
        <v>0</v>
      </c>
      <c r="R9" s="24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45576.0</v>
      </c>
      <c r="C10" s="18" t="s">
        <v>750</v>
      </c>
      <c r="D10" s="19">
        <v>53808.0</v>
      </c>
      <c r="E10" s="20" t="s">
        <v>751</v>
      </c>
      <c r="F10" s="22"/>
      <c r="G10" s="22"/>
      <c r="H10" s="22"/>
      <c r="I10" s="21"/>
      <c r="J10" s="21">
        <v>300.0</v>
      </c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48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45576.0</v>
      </c>
      <c r="C11" s="18" t="s">
        <v>752</v>
      </c>
      <c r="D11" s="19">
        <v>22332.0</v>
      </c>
      <c r="E11" s="20" t="s">
        <v>210</v>
      </c>
      <c r="F11" s="22"/>
      <c r="G11" s="22"/>
      <c r="H11" s="22"/>
      <c r="I11" s="21">
        <v>50000.0</v>
      </c>
      <c r="J11" s="21"/>
      <c r="K11" s="22"/>
      <c r="L11" s="22"/>
      <c r="M11" s="21"/>
      <c r="N11" s="22"/>
      <c r="O11" s="22"/>
      <c r="P11" s="24">
        <v>50000.0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45576.0</v>
      </c>
      <c r="C12" s="30" t="s">
        <v>753</v>
      </c>
      <c r="D12" s="31">
        <v>36928.0</v>
      </c>
      <c r="E12" s="32" t="s">
        <v>65</v>
      </c>
      <c r="F12" s="22"/>
      <c r="G12" s="22"/>
      <c r="H12" s="22"/>
      <c r="I12" s="21">
        <v>300.0</v>
      </c>
      <c r="J12" s="21"/>
      <c r="K12" s="22"/>
      <c r="L12" s="22"/>
      <c r="M12" s="21"/>
      <c r="N12" s="22"/>
      <c r="O12" s="22"/>
      <c r="P12" s="33">
        <v>300.0</v>
      </c>
      <c r="Q12" s="25">
        <f t="shared" si="1"/>
        <v>0</v>
      </c>
      <c r="R12" s="33" t="s">
        <v>48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45576.0</v>
      </c>
      <c r="C13" s="18" t="s">
        <v>754</v>
      </c>
      <c r="D13" s="19">
        <v>56669.0</v>
      </c>
      <c r="E13" s="20" t="s">
        <v>755</v>
      </c>
      <c r="F13" s="22"/>
      <c r="G13" s="22"/>
      <c r="H13" s="22"/>
      <c r="I13" s="21">
        <v>2650.0</v>
      </c>
      <c r="J13" s="21"/>
      <c r="K13" s="22"/>
      <c r="L13" s="22"/>
      <c r="M13" s="21"/>
      <c r="N13" s="22"/>
      <c r="O13" s="22"/>
      <c r="P13" s="24">
        <v>2650.0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45576.0</v>
      </c>
      <c r="C14" s="18" t="s">
        <v>756</v>
      </c>
      <c r="D14" s="19">
        <v>13133.0</v>
      </c>
      <c r="E14" s="20" t="s">
        <v>757</v>
      </c>
      <c r="F14" s="22"/>
      <c r="G14" s="22"/>
      <c r="H14" s="22"/>
      <c r="I14" s="21"/>
      <c r="J14" s="21">
        <v>5150.0</v>
      </c>
      <c r="K14" s="22"/>
      <c r="L14" s="22"/>
      <c r="M14" s="21"/>
      <c r="N14" s="22"/>
      <c r="O14" s="22"/>
      <c r="P14" s="24">
        <v>5150.0</v>
      </c>
      <c r="Q14" s="25">
        <f t="shared" si="1"/>
        <v>0</v>
      </c>
      <c r="R14" s="24" t="s">
        <v>57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45576.0</v>
      </c>
      <c r="C15" s="18" t="s">
        <v>758</v>
      </c>
      <c r="D15" s="19">
        <v>50596.0</v>
      </c>
      <c r="E15" s="20" t="s">
        <v>41</v>
      </c>
      <c r="F15" s="22"/>
      <c r="G15" s="22"/>
      <c r="H15" s="22"/>
      <c r="I15" s="21">
        <v>2900.0</v>
      </c>
      <c r="J15" s="21"/>
      <c r="K15" s="22"/>
      <c r="L15" s="22"/>
      <c r="M15" s="21"/>
      <c r="N15" s="22"/>
      <c r="O15" s="22"/>
      <c r="P15" s="24">
        <v>2900.0</v>
      </c>
      <c r="Q15" s="25">
        <f t="shared" si="1"/>
        <v>0</v>
      </c>
      <c r="R15" s="24" t="s">
        <v>28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45576.0</v>
      </c>
      <c r="C16" s="18" t="s">
        <v>759</v>
      </c>
      <c r="D16" s="19">
        <v>85053.0</v>
      </c>
      <c r="E16" s="20" t="s">
        <v>760</v>
      </c>
      <c r="F16" s="22"/>
      <c r="G16" s="22"/>
      <c r="H16" s="22"/>
      <c r="I16" s="21">
        <v>4710.0</v>
      </c>
      <c r="J16" s="21"/>
      <c r="K16" s="22"/>
      <c r="L16" s="22"/>
      <c r="M16" s="22"/>
      <c r="N16" s="22"/>
      <c r="O16" s="22"/>
      <c r="P16" s="24">
        <v>4710.0</v>
      </c>
      <c r="Q16" s="25">
        <f t="shared" si="1"/>
        <v>0</v>
      </c>
      <c r="R16" s="24" t="s">
        <v>35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9">
        <v>45576.0</v>
      </c>
      <c r="C17" s="30" t="s">
        <v>761</v>
      </c>
      <c r="D17" s="31">
        <v>26831.0</v>
      </c>
      <c r="E17" s="32" t="s">
        <v>762</v>
      </c>
      <c r="F17" s="22"/>
      <c r="G17" s="22"/>
      <c r="H17" s="22"/>
      <c r="I17" s="21"/>
      <c r="J17" s="21">
        <v>300.0</v>
      </c>
      <c r="K17" s="22"/>
      <c r="L17" s="22"/>
      <c r="M17" s="21"/>
      <c r="N17" s="22"/>
      <c r="O17" s="22"/>
      <c r="P17" s="33">
        <v>300.0</v>
      </c>
      <c r="Q17" s="25">
        <f t="shared" si="1"/>
        <v>0</v>
      </c>
      <c r="R17" s="33" t="s">
        <v>48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7">
        <v>45576.0</v>
      </c>
      <c r="C18" s="18" t="s">
        <v>763</v>
      </c>
      <c r="D18" s="19">
        <v>67621.0</v>
      </c>
      <c r="E18" s="20" t="s">
        <v>56</v>
      </c>
      <c r="F18" s="22"/>
      <c r="G18" s="22"/>
      <c r="H18" s="22"/>
      <c r="I18" s="23">
        <v>200.0</v>
      </c>
      <c r="J18" s="23"/>
      <c r="K18" s="22"/>
      <c r="L18" s="22"/>
      <c r="M18" s="22"/>
      <c r="N18" s="22"/>
      <c r="O18" s="22"/>
      <c r="P18" s="24">
        <v>200.0</v>
      </c>
      <c r="Q18" s="25">
        <f t="shared" si="1"/>
        <v>0</v>
      </c>
      <c r="R18" s="24" t="s">
        <v>57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7">
        <v>45576.0</v>
      </c>
      <c r="C19" s="18" t="s">
        <v>764</v>
      </c>
      <c r="D19" s="19">
        <v>53209.0</v>
      </c>
      <c r="E19" s="20" t="s">
        <v>232</v>
      </c>
      <c r="F19" s="21"/>
      <c r="G19" s="22"/>
      <c r="H19" s="22"/>
      <c r="I19" s="35">
        <v>10100.0</v>
      </c>
      <c r="J19" s="22"/>
      <c r="K19" s="36"/>
      <c r="L19" s="22"/>
      <c r="M19" s="22"/>
      <c r="N19" s="22"/>
      <c r="O19" s="22"/>
      <c r="P19" s="24">
        <v>10100.0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45576.0</v>
      </c>
      <c r="C20" s="18" t="s">
        <v>765</v>
      </c>
      <c r="D20" s="19">
        <v>54226.0</v>
      </c>
      <c r="E20" s="20" t="s">
        <v>34</v>
      </c>
      <c r="F20" s="21"/>
      <c r="G20" s="22"/>
      <c r="H20" s="22"/>
      <c r="I20" s="21"/>
      <c r="J20" s="21">
        <v>5150.0</v>
      </c>
      <c r="K20" s="21"/>
      <c r="L20" s="22"/>
      <c r="M20" s="22"/>
      <c r="N20" s="22"/>
      <c r="O20" s="22"/>
      <c r="P20" s="24">
        <v>5150.0</v>
      </c>
      <c r="Q20" s="25">
        <f t="shared" si="1"/>
        <v>0</v>
      </c>
      <c r="R20" s="24" t="s">
        <v>28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37">
        <v>45576.0</v>
      </c>
      <c r="C21" s="38" t="s">
        <v>766</v>
      </c>
      <c r="D21" s="39">
        <v>29621.0</v>
      </c>
      <c r="E21" s="40" t="s">
        <v>96</v>
      </c>
      <c r="F21" s="35"/>
      <c r="G21" s="41"/>
      <c r="H21" s="41"/>
      <c r="I21" s="35"/>
      <c r="J21" s="35">
        <v>1350.0</v>
      </c>
      <c r="K21" s="42"/>
      <c r="L21" s="41"/>
      <c r="M21" s="41"/>
      <c r="N21" s="41"/>
      <c r="O21" s="41"/>
      <c r="P21" s="43">
        <v>1350.0</v>
      </c>
      <c r="Q21" s="25">
        <f t="shared" si="1"/>
        <v>0</v>
      </c>
      <c r="R21" s="43" t="s">
        <v>25</v>
      </c>
      <c r="S21" s="26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ht="34.5" customHeight="1">
      <c r="A22" s="16">
        <v>18.0</v>
      </c>
      <c r="B22" s="27">
        <v>45576.0</v>
      </c>
      <c r="C22" s="18" t="s">
        <v>767</v>
      </c>
      <c r="D22" s="19">
        <v>59103.0</v>
      </c>
      <c r="E22" s="20" t="s">
        <v>337</v>
      </c>
      <c r="F22" s="21"/>
      <c r="G22" s="22"/>
      <c r="H22" s="22"/>
      <c r="I22" s="21"/>
      <c r="J22" s="22"/>
      <c r="K22" s="36">
        <v>5000.0</v>
      </c>
      <c r="L22" s="22"/>
      <c r="M22" s="22"/>
      <c r="N22" s="22"/>
      <c r="O22" s="22"/>
      <c r="P22" s="24">
        <v>5000.0</v>
      </c>
      <c r="Q22" s="25">
        <f t="shared" si="1"/>
        <v>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45576.0</v>
      </c>
      <c r="C23" s="18" t="s">
        <v>768</v>
      </c>
      <c r="D23" s="19">
        <v>32886.0</v>
      </c>
      <c r="E23" s="20" t="s">
        <v>769</v>
      </c>
      <c r="F23" s="21"/>
      <c r="G23" s="22"/>
      <c r="H23" s="22"/>
      <c r="I23" s="21">
        <v>3000.0</v>
      </c>
      <c r="J23" s="21"/>
      <c r="K23" s="36"/>
      <c r="L23" s="22"/>
      <c r="M23" s="22"/>
      <c r="N23" s="22"/>
      <c r="O23" s="22"/>
      <c r="P23" s="24">
        <v>3000.0</v>
      </c>
      <c r="Q23" s="25">
        <f t="shared" si="1"/>
        <v>0</v>
      </c>
      <c r="R23" s="24" t="s">
        <v>57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45576.0</v>
      </c>
      <c r="C24" s="18" t="s">
        <v>770</v>
      </c>
      <c r="D24" s="19">
        <v>28414.0</v>
      </c>
      <c r="E24" s="20" t="s">
        <v>454</v>
      </c>
      <c r="F24" s="21"/>
      <c r="G24" s="22"/>
      <c r="H24" s="22"/>
      <c r="I24" s="36"/>
      <c r="J24" s="21"/>
      <c r="K24" s="36">
        <v>150.0</v>
      </c>
      <c r="L24" s="22"/>
      <c r="M24" s="22"/>
      <c r="N24" s="22"/>
      <c r="O24" s="22"/>
      <c r="P24" s="24">
        <v>150.0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45576.0</v>
      </c>
      <c r="C25" s="18" t="s">
        <v>771</v>
      </c>
      <c r="D25" s="19">
        <v>24052.0</v>
      </c>
      <c r="E25" s="20" t="s">
        <v>772</v>
      </c>
      <c r="F25" s="21"/>
      <c r="G25" s="22"/>
      <c r="H25" s="22"/>
      <c r="I25" s="21">
        <v>1800.0</v>
      </c>
      <c r="J25" s="21"/>
      <c r="K25" s="23"/>
      <c r="L25" s="22"/>
      <c r="M25" s="22"/>
      <c r="N25" s="22"/>
      <c r="O25" s="22"/>
      <c r="P25" s="24">
        <v>1800.0</v>
      </c>
      <c r="Q25" s="25">
        <f t="shared" si="1"/>
        <v>0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45576.0</v>
      </c>
      <c r="C26" s="18" t="s">
        <v>773</v>
      </c>
      <c r="D26" s="19">
        <v>69089.0</v>
      </c>
      <c r="E26" s="20" t="s">
        <v>774</v>
      </c>
      <c r="F26" s="21"/>
      <c r="G26" s="22"/>
      <c r="H26" s="22"/>
      <c r="I26" s="21">
        <v>2650.0</v>
      </c>
      <c r="J26" s="21"/>
      <c r="K26" s="23"/>
      <c r="L26" s="22"/>
      <c r="M26" s="22"/>
      <c r="N26" s="22"/>
      <c r="O26" s="22"/>
      <c r="P26" s="24">
        <v>2650.0</v>
      </c>
      <c r="Q26" s="25">
        <f t="shared" si="1"/>
        <v>0</v>
      </c>
      <c r="R26" s="24" t="s">
        <v>48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45575.0</v>
      </c>
      <c r="C27" s="18" t="s">
        <v>775</v>
      </c>
      <c r="D27" s="19">
        <v>10250.0</v>
      </c>
      <c r="E27" s="20" t="s">
        <v>171</v>
      </c>
      <c r="F27" s="21"/>
      <c r="G27" s="22"/>
      <c r="H27" s="22">
        <v>2550.0</v>
      </c>
      <c r="I27" s="21"/>
      <c r="J27" s="21"/>
      <c r="K27" s="23"/>
      <c r="L27" s="22"/>
      <c r="M27" s="22"/>
      <c r="N27" s="22"/>
      <c r="O27" s="22"/>
      <c r="P27" s="24">
        <v>2550.0</v>
      </c>
      <c r="Q27" s="25">
        <f t="shared" si="1"/>
        <v>0</v>
      </c>
      <c r="R27" s="24"/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45576.0</v>
      </c>
      <c r="C28" s="18" t="s">
        <v>776</v>
      </c>
      <c r="D28" s="19">
        <v>51017.0</v>
      </c>
      <c r="E28" s="20" t="s">
        <v>165</v>
      </c>
      <c r="F28" s="21"/>
      <c r="G28" s="22"/>
      <c r="H28" s="22">
        <v>20000.0</v>
      </c>
      <c r="I28" s="21"/>
      <c r="J28" s="21"/>
      <c r="K28" s="23"/>
      <c r="L28" s="22"/>
      <c r="M28" s="22"/>
      <c r="N28" s="22"/>
      <c r="O28" s="22"/>
      <c r="P28" s="24">
        <v>20000.0</v>
      </c>
      <c r="Q28" s="25">
        <f t="shared" si="1"/>
        <v>0</v>
      </c>
      <c r="R28" s="24"/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45576.0</v>
      </c>
      <c r="C29" s="18" t="s">
        <v>777</v>
      </c>
      <c r="D29" s="19">
        <v>77838.0</v>
      </c>
      <c r="E29" s="20" t="s">
        <v>778</v>
      </c>
      <c r="F29" s="21"/>
      <c r="G29" s="22"/>
      <c r="H29" s="22"/>
      <c r="I29" s="21"/>
      <c r="J29" s="21"/>
      <c r="K29" s="23"/>
      <c r="L29" s="22"/>
      <c r="M29" s="22">
        <v>2650.0</v>
      </c>
      <c r="N29" s="22"/>
      <c r="O29" s="22"/>
      <c r="P29" s="24">
        <v>2650.0</v>
      </c>
      <c r="Q29" s="25">
        <f t="shared" si="1"/>
        <v>0</v>
      </c>
      <c r="R29" s="24"/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45576.0</v>
      </c>
      <c r="C30" s="18" t="s">
        <v>779</v>
      </c>
      <c r="D30" s="19">
        <v>69659.0</v>
      </c>
      <c r="E30" s="20" t="s">
        <v>780</v>
      </c>
      <c r="F30" s="21"/>
      <c r="G30" s="22"/>
      <c r="H30" s="22"/>
      <c r="I30" s="21"/>
      <c r="J30" s="21"/>
      <c r="K30" s="23"/>
      <c r="L30" s="22"/>
      <c r="M30" s="22">
        <v>2400.0</v>
      </c>
      <c r="N30" s="22"/>
      <c r="O30" s="22"/>
      <c r="P30" s="24">
        <v>2400.0</v>
      </c>
      <c r="Q30" s="25">
        <f t="shared" si="1"/>
        <v>0</v>
      </c>
      <c r="R30" s="24"/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45576.0</v>
      </c>
      <c r="C31" s="18" t="s">
        <v>781</v>
      </c>
      <c r="D31" s="19">
        <v>28414.0</v>
      </c>
      <c r="E31" s="20" t="s">
        <v>454</v>
      </c>
      <c r="F31" s="21"/>
      <c r="G31" s="22"/>
      <c r="H31" s="22"/>
      <c r="I31" s="21"/>
      <c r="J31" s="21"/>
      <c r="K31" s="23">
        <v>20.0</v>
      </c>
      <c r="L31" s="22"/>
      <c r="M31" s="22"/>
      <c r="N31" s="22"/>
      <c r="O31" s="22">
        <v>2880.0</v>
      </c>
      <c r="P31" s="24">
        <v>2900.0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/>
      <c r="B32" s="27"/>
      <c r="C32" s="18"/>
      <c r="D32" s="19"/>
      <c r="E32" s="20"/>
      <c r="F32" s="21"/>
      <c r="G32" s="22"/>
      <c r="H32" s="22"/>
      <c r="I32" s="21"/>
      <c r="J32" s="21"/>
      <c r="K32" s="23"/>
      <c r="L32" s="22"/>
      <c r="M32" s="22"/>
      <c r="N32" s="22"/>
      <c r="O32" s="22"/>
      <c r="P32" s="24"/>
      <c r="Q32" s="25"/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/>
      <c r="B33" s="27"/>
      <c r="C33" s="18"/>
      <c r="D33" s="19"/>
      <c r="E33" s="20"/>
      <c r="F33" s="21"/>
      <c r="G33" s="22"/>
      <c r="H33" s="22"/>
      <c r="I33" s="21"/>
      <c r="J33" s="21"/>
      <c r="K33" s="23"/>
      <c r="L33" s="22"/>
      <c r="M33" s="22"/>
      <c r="N33" s="22"/>
      <c r="O33" s="22"/>
      <c r="P33" s="24"/>
      <c r="Q33" s="25"/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7.5" customHeight="1">
      <c r="A34" s="16"/>
      <c r="B34" s="27"/>
      <c r="C34" s="18"/>
      <c r="D34" s="19" t="s">
        <v>190</v>
      </c>
      <c r="E34" s="20"/>
      <c r="F34" s="45">
        <f t="shared" ref="F34:Q34" si="2">SUM(F5:F33)</f>
        <v>0</v>
      </c>
      <c r="G34" s="45">
        <f t="shared" si="2"/>
        <v>0</v>
      </c>
      <c r="H34" s="45">
        <f t="shared" si="2"/>
        <v>22550</v>
      </c>
      <c r="I34" s="45">
        <f t="shared" si="2"/>
        <v>95510</v>
      </c>
      <c r="J34" s="45">
        <f t="shared" si="2"/>
        <v>12250</v>
      </c>
      <c r="K34" s="45">
        <f t="shared" si="2"/>
        <v>5170</v>
      </c>
      <c r="L34" s="45">
        <f t="shared" si="2"/>
        <v>0</v>
      </c>
      <c r="M34" s="45">
        <f t="shared" si="2"/>
        <v>5050</v>
      </c>
      <c r="N34" s="45">
        <f t="shared" si="2"/>
        <v>0</v>
      </c>
      <c r="O34" s="45">
        <f t="shared" si="2"/>
        <v>2880</v>
      </c>
      <c r="P34" s="45">
        <f t="shared" si="2"/>
        <v>143410</v>
      </c>
      <c r="Q34" s="46">
        <f t="shared" si="2"/>
        <v>0</v>
      </c>
      <c r="R34" s="47"/>
      <c r="S34" s="26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ht="58.5" customHeight="1">
      <c r="A35" s="48"/>
      <c r="B35" s="48"/>
      <c r="C35" s="49"/>
      <c r="D35" s="48"/>
      <c r="E35" s="48"/>
      <c r="F35" s="50">
        <f>F34+G34+H34+I34+J34+K34+L34+M34+N34+O34</f>
        <v>143410</v>
      </c>
      <c r="P35" s="51"/>
      <c r="Q35" s="51"/>
      <c r="R35" s="48"/>
      <c r="S35" s="48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3" t="s">
        <v>190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4" t="s">
        <v>191</v>
      </c>
      <c r="F39" s="55" t="s">
        <v>540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193</v>
      </c>
      <c r="F40" s="60" t="s">
        <v>540</v>
      </c>
      <c r="G40" s="4"/>
      <c r="H40" s="4"/>
      <c r="I40" s="4"/>
      <c r="J40" s="4"/>
      <c r="K40" s="4"/>
      <c r="L40" s="4"/>
      <c r="M40" s="4"/>
      <c r="N40" s="4"/>
      <c r="O40" s="57" t="s">
        <v>190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195</v>
      </c>
      <c r="F41" s="55" t="s">
        <v>196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6" t="s">
        <v>197</v>
      </c>
      <c r="F42" s="55" t="s">
        <v>196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198</v>
      </c>
      <c r="F43" s="55" t="s">
        <v>782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783</v>
      </c>
      <c r="F44" s="55" t="s">
        <v>196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201</v>
      </c>
      <c r="F45" s="61" t="s">
        <v>682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203</v>
      </c>
      <c r="F46" s="58" t="s">
        <v>204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7" t="s">
        <v>190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 t="str">
        <f>I72434</f>
        <v/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57" t="s">
        <v>205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>
        <v>7.0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7">
    <mergeCell ref="R2:R4"/>
    <mergeCell ref="S2:S4"/>
    <mergeCell ref="F3:F4"/>
    <mergeCell ref="G3:H3"/>
    <mergeCell ref="I3:J3"/>
    <mergeCell ref="K3:K4"/>
    <mergeCell ref="F35:O3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784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45577.0</v>
      </c>
      <c r="C5" s="18" t="s">
        <v>785</v>
      </c>
      <c r="D5" s="19">
        <v>67867.0</v>
      </c>
      <c r="E5" s="20" t="s">
        <v>786</v>
      </c>
      <c r="F5" s="21"/>
      <c r="G5" s="22"/>
      <c r="H5" s="22"/>
      <c r="I5" s="21">
        <v>2790.0</v>
      </c>
      <c r="J5" s="22"/>
      <c r="K5" s="22"/>
      <c r="L5" s="22"/>
      <c r="M5" s="21"/>
      <c r="N5" s="22"/>
      <c r="O5" s="22"/>
      <c r="P5" s="24">
        <v>2790.0</v>
      </c>
      <c r="Q5" s="25">
        <f t="shared" ref="Q5:Q25" si="1">F5+G5+H5+I5+J5+K5+L5+M5+N5+O5-P5</f>
        <v>0</v>
      </c>
      <c r="R5" s="24" t="s">
        <v>57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45577.0</v>
      </c>
      <c r="C6" s="18" t="s">
        <v>787</v>
      </c>
      <c r="D6" s="19">
        <v>51946.0</v>
      </c>
      <c r="E6" s="20" t="s">
        <v>105</v>
      </c>
      <c r="F6" s="22"/>
      <c r="G6" s="22"/>
      <c r="H6" s="21"/>
      <c r="I6" s="21">
        <v>9000.0</v>
      </c>
      <c r="J6" s="23"/>
      <c r="K6" s="22"/>
      <c r="L6" s="22"/>
      <c r="M6" s="22"/>
      <c r="N6" s="22"/>
      <c r="O6" s="22"/>
      <c r="P6" s="24">
        <v>9000.0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45577.0</v>
      </c>
      <c r="C7" s="18" t="s">
        <v>788</v>
      </c>
      <c r="D7" s="19">
        <v>85062.0</v>
      </c>
      <c r="E7" s="20" t="s">
        <v>789</v>
      </c>
      <c r="F7" s="22"/>
      <c r="G7" s="22"/>
      <c r="H7" s="22"/>
      <c r="I7" s="21"/>
      <c r="J7" s="21">
        <v>6050.0</v>
      </c>
      <c r="K7" s="22"/>
      <c r="L7" s="22"/>
      <c r="M7" s="22"/>
      <c r="N7" s="22"/>
      <c r="O7" s="22"/>
      <c r="P7" s="24">
        <v>6050.0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45577.0</v>
      </c>
      <c r="C8" s="18" t="s">
        <v>790</v>
      </c>
      <c r="D8" s="19">
        <v>67621.0</v>
      </c>
      <c r="E8" s="20" t="s">
        <v>56</v>
      </c>
      <c r="F8" s="22"/>
      <c r="G8" s="22"/>
      <c r="H8" s="22"/>
      <c r="I8" s="21">
        <v>5000.0</v>
      </c>
      <c r="J8" s="21"/>
      <c r="K8" s="22"/>
      <c r="L8" s="22"/>
      <c r="M8" s="21"/>
      <c r="N8" s="22"/>
      <c r="O8" s="22"/>
      <c r="P8" s="24">
        <v>5000.0</v>
      </c>
      <c r="Q8" s="25">
        <f t="shared" si="1"/>
        <v>0</v>
      </c>
      <c r="R8" s="24" t="s">
        <v>48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45577.0</v>
      </c>
      <c r="C9" s="18" t="s">
        <v>791</v>
      </c>
      <c r="D9" s="19">
        <v>81426.0</v>
      </c>
      <c r="E9" s="20" t="s">
        <v>792</v>
      </c>
      <c r="F9" s="22"/>
      <c r="G9" s="22"/>
      <c r="H9" s="22"/>
      <c r="I9" s="21"/>
      <c r="J9" s="21">
        <v>860.0</v>
      </c>
      <c r="K9" s="22"/>
      <c r="L9" s="22"/>
      <c r="M9" s="21"/>
      <c r="N9" s="22"/>
      <c r="O9" s="22"/>
      <c r="P9" s="24">
        <v>860.0</v>
      </c>
      <c r="Q9" s="25">
        <f t="shared" si="1"/>
        <v>0</v>
      </c>
      <c r="R9" s="24" t="s">
        <v>57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45577.0</v>
      </c>
      <c r="C10" s="18" t="s">
        <v>793</v>
      </c>
      <c r="D10" s="19">
        <v>35227.0</v>
      </c>
      <c r="E10" s="20" t="s">
        <v>224</v>
      </c>
      <c r="F10" s="22"/>
      <c r="G10" s="22"/>
      <c r="H10" s="22"/>
      <c r="I10" s="21">
        <v>4500.0</v>
      </c>
      <c r="J10" s="21"/>
      <c r="K10" s="22"/>
      <c r="L10" s="22"/>
      <c r="M10" s="21"/>
      <c r="N10" s="22"/>
      <c r="O10" s="22"/>
      <c r="P10" s="24">
        <v>4500.0</v>
      </c>
      <c r="Q10" s="25">
        <f t="shared" si="1"/>
        <v>0</v>
      </c>
      <c r="R10" s="24" t="s">
        <v>48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45577.0</v>
      </c>
      <c r="C11" s="18" t="s">
        <v>794</v>
      </c>
      <c r="D11" s="19">
        <v>10250.0</v>
      </c>
      <c r="E11" s="20" t="s">
        <v>171</v>
      </c>
      <c r="F11" s="22"/>
      <c r="G11" s="22"/>
      <c r="H11" s="22"/>
      <c r="I11" s="21">
        <v>350.0</v>
      </c>
      <c r="J11" s="21"/>
      <c r="K11" s="22"/>
      <c r="L11" s="22"/>
      <c r="M11" s="21"/>
      <c r="N11" s="22"/>
      <c r="O11" s="22"/>
      <c r="P11" s="24">
        <v>350.0</v>
      </c>
      <c r="Q11" s="25">
        <f t="shared" si="1"/>
        <v>0</v>
      </c>
      <c r="R11" s="24" t="s">
        <v>57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45577.0</v>
      </c>
      <c r="C12" s="30" t="s">
        <v>795</v>
      </c>
      <c r="D12" s="31">
        <v>22332.0</v>
      </c>
      <c r="E12" s="32" t="s">
        <v>210</v>
      </c>
      <c r="F12" s="22"/>
      <c r="G12" s="22"/>
      <c r="H12" s="22"/>
      <c r="I12" s="21"/>
      <c r="J12" s="21"/>
      <c r="K12" s="22">
        <v>600.0</v>
      </c>
      <c r="L12" s="22"/>
      <c r="M12" s="21"/>
      <c r="N12" s="22"/>
      <c r="O12" s="22"/>
      <c r="P12" s="33">
        <v>600.0</v>
      </c>
      <c r="Q12" s="25">
        <f t="shared" si="1"/>
        <v>0</v>
      </c>
      <c r="R12" s="33" t="s">
        <v>35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7">
        <v>45577.0</v>
      </c>
      <c r="C13" s="18" t="s">
        <v>796</v>
      </c>
      <c r="D13" s="19">
        <v>10744.0</v>
      </c>
      <c r="E13" s="20" t="s">
        <v>221</v>
      </c>
      <c r="F13" s="22"/>
      <c r="G13" s="22"/>
      <c r="H13" s="22"/>
      <c r="I13" s="21">
        <v>10000.0</v>
      </c>
      <c r="J13" s="21"/>
      <c r="K13" s="22"/>
      <c r="L13" s="22"/>
      <c r="M13" s="21"/>
      <c r="N13" s="22"/>
      <c r="O13" s="22"/>
      <c r="P13" s="24">
        <v>10000.0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>
        <v>45577.0</v>
      </c>
      <c r="C14" s="18" t="s">
        <v>797</v>
      </c>
      <c r="D14" s="19">
        <v>21818.0</v>
      </c>
      <c r="E14" s="20" t="s">
        <v>237</v>
      </c>
      <c r="F14" s="22"/>
      <c r="G14" s="22"/>
      <c r="H14" s="22"/>
      <c r="I14" s="21"/>
      <c r="J14" s="21"/>
      <c r="K14" s="22">
        <v>20000.0</v>
      </c>
      <c r="L14" s="22"/>
      <c r="M14" s="21"/>
      <c r="N14" s="22"/>
      <c r="O14" s="22"/>
      <c r="P14" s="24">
        <v>20000.0</v>
      </c>
      <c r="Q14" s="25">
        <f t="shared" si="1"/>
        <v>0</v>
      </c>
      <c r="R14" s="24" t="s">
        <v>35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45577.0</v>
      </c>
      <c r="C15" s="18" t="s">
        <v>798</v>
      </c>
      <c r="D15" s="19">
        <v>82911.0</v>
      </c>
      <c r="E15" s="20" t="s">
        <v>799</v>
      </c>
      <c r="F15" s="22"/>
      <c r="G15" s="22"/>
      <c r="H15" s="22"/>
      <c r="I15" s="21"/>
      <c r="J15" s="21">
        <v>600.0</v>
      </c>
      <c r="K15" s="22"/>
      <c r="L15" s="22"/>
      <c r="M15" s="21"/>
      <c r="N15" s="22"/>
      <c r="O15" s="22"/>
      <c r="P15" s="24">
        <v>600.0</v>
      </c>
      <c r="Q15" s="25">
        <f t="shared" si="1"/>
        <v>0</v>
      </c>
      <c r="R15" s="24" t="s">
        <v>35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45577.0</v>
      </c>
      <c r="C16" s="18" t="s">
        <v>800</v>
      </c>
      <c r="D16" s="19">
        <v>51660.0</v>
      </c>
      <c r="E16" s="20" t="s">
        <v>801</v>
      </c>
      <c r="F16" s="22"/>
      <c r="G16" s="22">
        <v>4500.0</v>
      </c>
      <c r="H16" s="22"/>
      <c r="I16" s="21"/>
      <c r="J16" s="21"/>
      <c r="K16" s="22"/>
      <c r="L16" s="22"/>
      <c r="M16" s="22"/>
      <c r="N16" s="22"/>
      <c r="O16" s="22"/>
      <c r="P16" s="24">
        <v>4500.0</v>
      </c>
      <c r="Q16" s="25">
        <f t="shared" si="1"/>
        <v>0</v>
      </c>
      <c r="R16" s="24" t="s">
        <v>57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9">
        <v>45577.0</v>
      </c>
      <c r="C17" s="30" t="s">
        <v>802</v>
      </c>
      <c r="D17" s="31">
        <v>62146.0</v>
      </c>
      <c r="E17" s="32" t="s">
        <v>458</v>
      </c>
      <c r="F17" s="22"/>
      <c r="G17" s="22"/>
      <c r="H17" s="22"/>
      <c r="I17" s="21">
        <v>4500.0</v>
      </c>
      <c r="J17" s="21"/>
      <c r="K17" s="22"/>
      <c r="L17" s="22"/>
      <c r="M17" s="21"/>
      <c r="N17" s="22"/>
      <c r="O17" s="22"/>
      <c r="P17" s="33">
        <v>4500.0</v>
      </c>
      <c r="Q17" s="25">
        <f t="shared" si="1"/>
        <v>0</v>
      </c>
      <c r="R17" s="33" t="s">
        <v>57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7">
        <v>45577.0</v>
      </c>
      <c r="C18" s="18" t="s">
        <v>803</v>
      </c>
      <c r="D18" s="19">
        <v>48631.0</v>
      </c>
      <c r="E18" s="20" t="s">
        <v>59</v>
      </c>
      <c r="F18" s="22"/>
      <c r="G18" s="22"/>
      <c r="H18" s="22"/>
      <c r="I18" s="23"/>
      <c r="J18" s="23"/>
      <c r="K18" s="22">
        <v>1250.0</v>
      </c>
      <c r="L18" s="22"/>
      <c r="M18" s="22"/>
      <c r="N18" s="22"/>
      <c r="O18" s="22"/>
      <c r="P18" s="24">
        <v>1250.0</v>
      </c>
      <c r="Q18" s="25">
        <f t="shared" si="1"/>
        <v>0</v>
      </c>
      <c r="R18" s="24" t="s">
        <v>28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7">
        <v>45577.0</v>
      </c>
      <c r="C19" s="18" t="s">
        <v>804</v>
      </c>
      <c r="D19" s="19">
        <v>57976.0</v>
      </c>
      <c r="E19" s="20" t="s">
        <v>249</v>
      </c>
      <c r="F19" s="21"/>
      <c r="G19" s="22"/>
      <c r="H19" s="22"/>
      <c r="I19" s="35">
        <v>2650.0</v>
      </c>
      <c r="J19" s="22"/>
      <c r="K19" s="36"/>
      <c r="L19" s="22"/>
      <c r="M19" s="22"/>
      <c r="N19" s="22"/>
      <c r="O19" s="22"/>
      <c r="P19" s="24">
        <v>2650.0</v>
      </c>
      <c r="Q19" s="25">
        <f t="shared" si="1"/>
        <v>0</v>
      </c>
      <c r="R19" s="24" t="s">
        <v>57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45577.0</v>
      </c>
      <c r="C20" s="18" t="s">
        <v>805</v>
      </c>
      <c r="D20" s="19">
        <v>82174.0</v>
      </c>
      <c r="E20" s="20" t="s">
        <v>806</v>
      </c>
      <c r="F20" s="21"/>
      <c r="G20" s="22"/>
      <c r="H20" s="22"/>
      <c r="I20" s="21"/>
      <c r="J20" s="21"/>
      <c r="K20" s="21"/>
      <c r="L20" s="22"/>
      <c r="M20" s="22">
        <v>1000.0</v>
      </c>
      <c r="N20" s="22"/>
      <c r="O20" s="22"/>
      <c r="P20" s="24">
        <v>1000.0</v>
      </c>
      <c r="Q20" s="25">
        <f t="shared" si="1"/>
        <v>0</v>
      </c>
      <c r="R20" s="24" t="s">
        <v>48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37">
        <v>45577.0</v>
      </c>
      <c r="C21" s="38" t="s">
        <v>807</v>
      </c>
      <c r="D21" s="39">
        <v>10271.0</v>
      </c>
      <c r="E21" s="40" t="s">
        <v>808</v>
      </c>
      <c r="F21" s="35"/>
      <c r="G21" s="41">
        <v>4500.0</v>
      </c>
      <c r="H21" s="41"/>
      <c r="I21" s="35"/>
      <c r="J21" s="35"/>
      <c r="K21" s="42"/>
      <c r="L21" s="41"/>
      <c r="M21" s="41"/>
      <c r="N21" s="41"/>
      <c r="O21" s="41"/>
      <c r="P21" s="43">
        <v>4500.0</v>
      </c>
      <c r="Q21" s="25">
        <f t="shared" si="1"/>
        <v>0</v>
      </c>
      <c r="R21" s="43" t="s">
        <v>35</v>
      </c>
      <c r="S21" s="26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ht="34.5" customHeight="1">
      <c r="A22" s="16">
        <v>18.0</v>
      </c>
      <c r="B22" s="27">
        <v>45577.0</v>
      </c>
      <c r="C22" s="18" t="s">
        <v>809</v>
      </c>
      <c r="D22" s="19">
        <v>10271.0</v>
      </c>
      <c r="E22" s="20" t="s">
        <v>808</v>
      </c>
      <c r="F22" s="21"/>
      <c r="G22" s="22">
        <v>2550.0</v>
      </c>
      <c r="H22" s="22"/>
      <c r="I22" s="21"/>
      <c r="J22" s="22"/>
      <c r="K22" s="36"/>
      <c r="L22" s="22"/>
      <c r="M22" s="22"/>
      <c r="N22" s="22"/>
      <c r="O22" s="22"/>
      <c r="P22" s="24">
        <v>2550.0</v>
      </c>
      <c r="Q22" s="25">
        <f t="shared" si="1"/>
        <v>0</v>
      </c>
      <c r="R22" s="24" t="s">
        <v>35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45577.0</v>
      </c>
      <c r="C23" s="18" t="s">
        <v>810</v>
      </c>
      <c r="D23" s="19">
        <v>45227.0</v>
      </c>
      <c r="E23" s="20" t="s">
        <v>615</v>
      </c>
      <c r="F23" s="21"/>
      <c r="G23" s="22"/>
      <c r="H23" s="22">
        <v>9200.0</v>
      </c>
      <c r="I23" s="21"/>
      <c r="J23" s="21"/>
      <c r="K23" s="36"/>
      <c r="L23" s="22"/>
      <c r="M23" s="22"/>
      <c r="N23" s="22"/>
      <c r="O23" s="22"/>
      <c r="P23" s="24">
        <v>9200.0</v>
      </c>
      <c r="Q23" s="25">
        <f t="shared" si="1"/>
        <v>0</v>
      </c>
      <c r="R23" s="24"/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45577.0</v>
      </c>
      <c r="C24" s="18" t="s">
        <v>811</v>
      </c>
      <c r="D24" s="19">
        <v>43380.0</v>
      </c>
      <c r="E24" s="20" t="s">
        <v>156</v>
      </c>
      <c r="F24" s="21"/>
      <c r="G24" s="22"/>
      <c r="H24" s="22">
        <v>5000.0</v>
      </c>
      <c r="I24" s="36"/>
      <c r="J24" s="21"/>
      <c r="K24" s="36"/>
      <c r="L24" s="22"/>
      <c r="M24" s="22"/>
      <c r="N24" s="22"/>
      <c r="O24" s="22"/>
      <c r="P24" s="24">
        <v>5000.0</v>
      </c>
      <c r="Q24" s="25">
        <f t="shared" si="1"/>
        <v>0</v>
      </c>
      <c r="R24" s="24"/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45577.0</v>
      </c>
      <c r="C25" s="18" t="s">
        <v>812</v>
      </c>
      <c r="D25" s="19">
        <v>27880.0</v>
      </c>
      <c r="E25" s="20" t="s">
        <v>183</v>
      </c>
      <c r="F25" s="21"/>
      <c r="G25" s="22"/>
      <c r="H25" s="22"/>
      <c r="I25" s="21"/>
      <c r="J25" s="21"/>
      <c r="K25" s="23"/>
      <c r="L25" s="22"/>
      <c r="M25" s="22"/>
      <c r="N25" s="22"/>
      <c r="O25" s="22">
        <v>1200.0</v>
      </c>
      <c r="P25" s="24">
        <v>1200.0</v>
      </c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7.5" customHeight="1">
      <c r="A26" s="16"/>
      <c r="B26" s="27"/>
      <c r="C26" s="18"/>
      <c r="D26" s="19" t="s">
        <v>190</v>
      </c>
      <c r="E26" s="20"/>
      <c r="F26" s="45">
        <f t="shared" ref="F26:Q26" si="2">SUM(F5:F25)</f>
        <v>0</v>
      </c>
      <c r="G26" s="45">
        <f t="shared" si="2"/>
        <v>11550</v>
      </c>
      <c r="H26" s="45">
        <f t="shared" si="2"/>
        <v>14200</v>
      </c>
      <c r="I26" s="45">
        <f t="shared" si="2"/>
        <v>38790</v>
      </c>
      <c r="J26" s="45">
        <f t="shared" si="2"/>
        <v>7510</v>
      </c>
      <c r="K26" s="45">
        <f t="shared" si="2"/>
        <v>21850</v>
      </c>
      <c r="L26" s="45">
        <f t="shared" si="2"/>
        <v>0</v>
      </c>
      <c r="M26" s="45">
        <f t="shared" si="2"/>
        <v>1000</v>
      </c>
      <c r="N26" s="45">
        <f t="shared" si="2"/>
        <v>0</v>
      </c>
      <c r="O26" s="45">
        <f t="shared" si="2"/>
        <v>1200</v>
      </c>
      <c r="P26" s="45">
        <f t="shared" si="2"/>
        <v>96100</v>
      </c>
      <c r="Q26" s="46">
        <f t="shared" si="2"/>
        <v>0</v>
      </c>
      <c r="R26" s="47"/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58.5" customHeight="1">
      <c r="A27" s="48"/>
      <c r="B27" s="48"/>
      <c r="C27" s="49"/>
      <c r="D27" s="48"/>
      <c r="E27" s="48"/>
      <c r="F27" s="50">
        <f>F26+G26+H26+I26+J26+K26+L26+M26+N26+O26</f>
        <v>96100</v>
      </c>
      <c r="P27" s="51"/>
      <c r="Q27" s="51"/>
      <c r="R27" s="48"/>
      <c r="S27" s="48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15.75" customHeight="1">
      <c r="A28" s="4"/>
      <c r="B28" s="4"/>
      <c r="C28" s="5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3" t="s">
        <v>190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2"/>
      <c r="D31" s="4"/>
      <c r="E31" s="54" t="s">
        <v>191</v>
      </c>
      <c r="F31" s="55" t="s">
        <v>683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56" t="s">
        <v>193</v>
      </c>
      <c r="F32" s="60" t="s">
        <v>540</v>
      </c>
      <c r="G32" s="4"/>
      <c r="H32" s="4"/>
      <c r="I32" s="4"/>
      <c r="J32" s="4"/>
      <c r="K32" s="4"/>
      <c r="L32" s="4"/>
      <c r="M32" s="4"/>
      <c r="N32" s="4"/>
      <c r="O32" s="57" t="s">
        <v>190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56" t="s">
        <v>195</v>
      </c>
      <c r="F33" s="55" t="s">
        <v>196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6" t="s">
        <v>197</v>
      </c>
      <c r="F34" s="55" t="s">
        <v>196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198</v>
      </c>
      <c r="F35" s="55" t="s">
        <v>813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814</v>
      </c>
      <c r="F36" s="55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201</v>
      </c>
      <c r="F37" s="61" t="s">
        <v>815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203</v>
      </c>
      <c r="F38" s="58" t="s">
        <v>204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7" t="s">
        <v>190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 t="str">
        <f>I72426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57" t="s">
        <v>205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 t="s">
        <v>190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>
        <v>7.0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7">
    <mergeCell ref="R2:R4"/>
    <mergeCell ref="S2:S4"/>
    <mergeCell ref="F3:F4"/>
    <mergeCell ref="G3:H3"/>
    <mergeCell ref="I3:J3"/>
    <mergeCell ref="K3:K4"/>
    <mergeCell ref="F27:O2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62" t="s">
        <v>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63">
        <v>45577.0</v>
      </c>
      <c r="C5" s="64" t="s">
        <v>817</v>
      </c>
      <c r="D5" s="65">
        <v>36769.0</v>
      </c>
      <c r="E5" s="65" t="s">
        <v>63</v>
      </c>
      <c r="F5" s="66"/>
      <c r="G5" s="67"/>
      <c r="H5" s="67"/>
      <c r="I5" s="66"/>
      <c r="J5" s="67"/>
      <c r="K5" s="67"/>
      <c r="L5" s="67"/>
      <c r="M5" s="68">
        <v>600.0</v>
      </c>
      <c r="N5" s="67"/>
      <c r="O5" s="69"/>
      <c r="P5" s="70">
        <v>600.0</v>
      </c>
      <c r="Q5" s="25">
        <f t="shared" ref="Q5:Q25" si="1">F5+G5+H5+I5+J5+K5+L5+M5+N5+O5-P5</f>
        <v>0</v>
      </c>
      <c r="R5" s="71" t="s">
        <v>132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72">
        <v>45577.0</v>
      </c>
      <c r="C6" s="73" t="s">
        <v>818</v>
      </c>
      <c r="D6" s="74">
        <v>78422.0</v>
      </c>
      <c r="E6" s="74" t="s">
        <v>819</v>
      </c>
      <c r="F6" s="75">
        <v>600.0</v>
      </c>
      <c r="G6" s="67"/>
      <c r="H6" s="66"/>
      <c r="I6" s="66"/>
      <c r="J6" s="68"/>
      <c r="K6" s="67"/>
      <c r="L6" s="67"/>
      <c r="M6" s="67"/>
      <c r="N6" s="67"/>
      <c r="O6" s="69"/>
      <c r="P6" s="76">
        <v>600.0</v>
      </c>
      <c r="Q6" s="25">
        <f t="shared" si="1"/>
        <v>0</v>
      </c>
      <c r="R6" s="77" t="s">
        <v>132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72">
        <v>45577.0</v>
      </c>
      <c r="C7" s="73" t="s">
        <v>820</v>
      </c>
      <c r="D7" s="74">
        <v>45096.0</v>
      </c>
      <c r="E7" s="74" t="s">
        <v>574</v>
      </c>
      <c r="F7" s="75">
        <v>600.0</v>
      </c>
      <c r="G7" s="67"/>
      <c r="H7" s="67"/>
      <c r="I7" s="66"/>
      <c r="J7" s="66"/>
      <c r="K7" s="67"/>
      <c r="L7" s="67"/>
      <c r="M7" s="67"/>
      <c r="N7" s="67"/>
      <c r="O7" s="69"/>
      <c r="P7" s="76">
        <v>600.0</v>
      </c>
      <c r="Q7" s="25">
        <f t="shared" si="1"/>
        <v>0</v>
      </c>
      <c r="R7" s="77" t="s">
        <v>132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72">
        <v>45577.0</v>
      </c>
      <c r="C8" s="73" t="s">
        <v>821</v>
      </c>
      <c r="D8" s="74">
        <v>45096.0</v>
      </c>
      <c r="E8" s="74" t="s">
        <v>574</v>
      </c>
      <c r="F8" s="75">
        <v>300.0</v>
      </c>
      <c r="G8" s="67"/>
      <c r="H8" s="67"/>
      <c r="I8" s="66"/>
      <c r="J8" s="66"/>
      <c r="K8" s="67"/>
      <c r="L8" s="67"/>
      <c r="M8" s="66"/>
      <c r="N8" s="67"/>
      <c r="O8" s="69"/>
      <c r="P8" s="76">
        <v>300.0</v>
      </c>
      <c r="Q8" s="25">
        <f t="shared" si="1"/>
        <v>0</v>
      </c>
      <c r="R8" s="77" t="s">
        <v>132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72">
        <v>45577.0</v>
      </c>
      <c r="C9" s="73" t="s">
        <v>822</v>
      </c>
      <c r="D9" s="74">
        <v>38098.0</v>
      </c>
      <c r="E9" s="74" t="s">
        <v>643</v>
      </c>
      <c r="F9" s="75">
        <v>4640.0</v>
      </c>
      <c r="G9" s="67"/>
      <c r="H9" s="67"/>
      <c r="I9" s="66"/>
      <c r="J9" s="66"/>
      <c r="K9" s="67"/>
      <c r="L9" s="67"/>
      <c r="M9" s="66"/>
      <c r="N9" s="67"/>
      <c r="O9" s="69"/>
      <c r="P9" s="76">
        <v>4640.0</v>
      </c>
      <c r="Q9" s="25">
        <f t="shared" si="1"/>
        <v>0</v>
      </c>
      <c r="R9" s="77" t="s">
        <v>132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72">
        <v>45577.0</v>
      </c>
      <c r="C10" s="73" t="s">
        <v>823</v>
      </c>
      <c r="D10" s="74">
        <v>53808.0</v>
      </c>
      <c r="E10" s="74" t="s">
        <v>751</v>
      </c>
      <c r="F10" s="67"/>
      <c r="G10" s="67"/>
      <c r="H10" s="67"/>
      <c r="I10" s="66"/>
      <c r="J10" s="66"/>
      <c r="K10" s="67"/>
      <c r="L10" s="67"/>
      <c r="M10" s="68">
        <v>4500.0</v>
      </c>
      <c r="N10" s="67"/>
      <c r="O10" s="69"/>
      <c r="P10" s="76">
        <v>4500.0</v>
      </c>
      <c r="Q10" s="25">
        <f t="shared" si="1"/>
        <v>0</v>
      </c>
      <c r="R10" s="77" t="s">
        <v>132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72">
        <v>45577.0</v>
      </c>
      <c r="C11" s="73" t="s">
        <v>824</v>
      </c>
      <c r="D11" s="74">
        <v>59812.0</v>
      </c>
      <c r="E11" s="74" t="s">
        <v>101</v>
      </c>
      <c r="F11" s="67"/>
      <c r="G11" s="67"/>
      <c r="H11" s="67"/>
      <c r="I11" s="66"/>
      <c r="J11" s="66"/>
      <c r="K11" s="67"/>
      <c r="L11" s="67"/>
      <c r="M11" s="68">
        <v>2500.0</v>
      </c>
      <c r="N11" s="67"/>
      <c r="O11" s="69"/>
      <c r="P11" s="76">
        <v>2500.0</v>
      </c>
      <c r="Q11" s="25">
        <f t="shared" si="1"/>
        <v>0</v>
      </c>
      <c r="R11" s="77" t="s">
        <v>132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72">
        <v>45577.0</v>
      </c>
      <c r="C12" s="73" t="s">
        <v>825</v>
      </c>
      <c r="D12" s="74">
        <v>26831.0</v>
      </c>
      <c r="E12" s="74" t="s">
        <v>762</v>
      </c>
      <c r="F12" s="67"/>
      <c r="G12" s="67"/>
      <c r="H12" s="67"/>
      <c r="I12" s="66"/>
      <c r="J12" s="68">
        <v>10280.0</v>
      </c>
      <c r="K12" s="67"/>
      <c r="L12" s="67"/>
      <c r="M12" s="66"/>
      <c r="N12" s="67"/>
      <c r="O12" s="69"/>
      <c r="P12" s="76">
        <v>10280.0</v>
      </c>
      <c r="Q12" s="25">
        <f t="shared" si="1"/>
        <v>0</v>
      </c>
      <c r="R12" s="77" t="s">
        <v>132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72">
        <v>45577.0</v>
      </c>
      <c r="C13" s="73" t="s">
        <v>826</v>
      </c>
      <c r="D13" s="74">
        <v>10008.0</v>
      </c>
      <c r="E13" s="74" t="s">
        <v>52</v>
      </c>
      <c r="F13" s="67"/>
      <c r="G13" s="67"/>
      <c r="H13" s="67"/>
      <c r="I13" s="66"/>
      <c r="J13" s="66"/>
      <c r="K13" s="67"/>
      <c r="L13" s="67"/>
      <c r="M13" s="68">
        <v>4500.0</v>
      </c>
      <c r="N13" s="67"/>
      <c r="O13" s="69"/>
      <c r="P13" s="76">
        <v>4500.0</v>
      </c>
      <c r="Q13" s="25">
        <f t="shared" si="1"/>
        <v>0</v>
      </c>
      <c r="R13" s="77" t="s">
        <v>132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72">
        <v>45577.0</v>
      </c>
      <c r="C14" s="73" t="s">
        <v>827</v>
      </c>
      <c r="D14" s="74">
        <v>10008.0</v>
      </c>
      <c r="E14" s="74" t="s">
        <v>52</v>
      </c>
      <c r="F14" s="67"/>
      <c r="G14" s="67"/>
      <c r="H14" s="67"/>
      <c r="I14" s="66"/>
      <c r="J14" s="66"/>
      <c r="K14" s="67"/>
      <c r="L14" s="67"/>
      <c r="M14" s="68">
        <v>4500.0</v>
      </c>
      <c r="N14" s="67"/>
      <c r="O14" s="69"/>
      <c r="P14" s="76">
        <v>4500.0</v>
      </c>
      <c r="Q14" s="25">
        <f t="shared" si="1"/>
        <v>0</v>
      </c>
      <c r="R14" s="77" t="s">
        <v>132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72">
        <v>45577.0</v>
      </c>
      <c r="C15" s="73" t="s">
        <v>828</v>
      </c>
      <c r="D15" s="74">
        <v>10250.0</v>
      </c>
      <c r="E15" s="74" t="s">
        <v>171</v>
      </c>
      <c r="F15" s="67"/>
      <c r="G15" s="67"/>
      <c r="H15" s="75">
        <v>11900.0</v>
      </c>
      <c r="I15" s="66"/>
      <c r="J15" s="66"/>
      <c r="K15" s="67"/>
      <c r="L15" s="67"/>
      <c r="M15" s="66"/>
      <c r="N15" s="67"/>
      <c r="O15" s="69"/>
      <c r="P15" s="76">
        <v>11900.0</v>
      </c>
      <c r="Q15" s="25">
        <f t="shared" si="1"/>
        <v>0</v>
      </c>
      <c r="R15" s="24"/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72">
        <v>45577.0</v>
      </c>
      <c r="C16" s="73" t="s">
        <v>829</v>
      </c>
      <c r="D16" s="74">
        <v>37135.0</v>
      </c>
      <c r="E16" s="74" t="s">
        <v>830</v>
      </c>
      <c r="F16" s="67"/>
      <c r="G16" s="67"/>
      <c r="H16" s="67"/>
      <c r="I16" s="66"/>
      <c r="J16" s="66"/>
      <c r="K16" s="67"/>
      <c r="L16" s="67"/>
      <c r="M16" s="67"/>
      <c r="N16" s="67"/>
      <c r="O16" s="78">
        <v>1200.0</v>
      </c>
      <c r="P16" s="76">
        <v>1200.0</v>
      </c>
      <c r="Q16" s="25">
        <f t="shared" si="1"/>
        <v>0</v>
      </c>
      <c r="R16" s="24"/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72">
        <v>45577.0</v>
      </c>
      <c r="C17" s="73" t="s">
        <v>831</v>
      </c>
      <c r="D17" s="74">
        <v>32700.0</v>
      </c>
      <c r="E17" s="74" t="s">
        <v>502</v>
      </c>
      <c r="F17" s="67"/>
      <c r="G17" s="67"/>
      <c r="H17" s="67"/>
      <c r="I17" s="66"/>
      <c r="J17" s="66"/>
      <c r="K17" s="67"/>
      <c r="L17" s="67"/>
      <c r="M17" s="66"/>
      <c r="N17" s="67"/>
      <c r="O17" s="78">
        <v>1200.0</v>
      </c>
      <c r="P17" s="76">
        <v>1200.0</v>
      </c>
      <c r="Q17" s="25">
        <f t="shared" si="1"/>
        <v>0</v>
      </c>
      <c r="R17" s="33"/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72">
        <v>45577.0</v>
      </c>
      <c r="C18" s="73" t="s">
        <v>832</v>
      </c>
      <c r="D18" s="74">
        <v>54581.0</v>
      </c>
      <c r="E18" s="74" t="s">
        <v>833</v>
      </c>
      <c r="F18" s="67"/>
      <c r="G18" s="67"/>
      <c r="H18" s="67"/>
      <c r="I18" s="68"/>
      <c r="J18" s="68"/>
      <c r="K18" s="67"/>
      <c r="L18" s="67"/>
      <c r="M18" s="67"/>
      <c r="N18" s="67"/>
      <c r="O18" s="78">
        <v>1200.0</v>
      </c>
      <c r="P18" s="76">
        <v>1200.0</v>
      </c>
      <c r="Q18" s="25">
        <f t="shared" si="1"/>
        <v>0</v>
      </c>
      <c r="R18" s="24"/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72">
        <v>45577.0</v>
      </c>
      <c r="C19" s="73" t="s">
        <v>834</v>
      </c>
      <c r="D19" s="74">
        <v>59812.0</v>
      </c>
      <c r="E19" s="74" t="s">
        <v>101</v>
      </c>
      <c r="F19" s="66"/>
      <c r="G19" s="67"/>
      <c r="H19" s="67"/>
      <c r="I19" s="66"/>
      <c r="J19" s="67"/>
      <c r="K19" s="75"/>
      <c r="L19" s="67"/>
      <c r="M19" s="67"/>
      <c r="N19" s="67"/>
      <c r="O19" s="78">
        <v>3600.0</v>
      </c>
      <c r="P19" s="76">
        <v>3600.0</v>
      </c>
      <c r="Q19" s="25">
        <f t="shared" si="1"/>
        <v>0</v>
      </c>
      <c r="R19" s="24"/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72">
        <v>45577.0</v>
      </c>
      <c r="C20" s="73" t="s">
        <v>835</v>
      </c>
      <c r="D20" s="74">
        <v>26831.0</v>
      </c>
      <c r="E20" s="74" t="s">
        <v>762</v>
      </c>
      <c r="F20" s="66"/>
      <c r="G20" s="67"/>
      <c r="H20" s="67"/>
      <c r="I20" s="66"/>
      <c r="J20" s="66"/>
      <c r="K20" s="66"/>
      <c r="L20" s="67"/>
      <c r="M20" s="67"/>
      <c r="N20" s="67"/>
      <c r="O20" s="78">
        <v>2400.0</v>
      </c>
      <c r="P20" s="76">
        <v>2400.0</v>
      </c>
      <c r="Q20" s="25">
        <f t="shared" si="1"/>
        <v>0</v>
      </c>
      <c r="R20" s="24"/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72">
        <v>45577.0</v>
      </c>
      <c r="C21" s="73" t="s">
        <v>836</v>
      </c>
      <c r="D21" s="74">
        <v>36769.0</v>
      </c>
      <c r="E21" s="74" t="s">
        <v>63</v>
      </c>
      <c r="F21" s="66"/>
      <c r="G21" s="67"/>
      <c r="H21" s="67"/>
      <c r="I21" s="66"/>
      <c r="J21" s="66"/>
      <c r="K21" s="75"/>
      <c r="L21" s="67"/>
      <c r="M21" s="67"/>
      <c r="N21" s="67"/>
      <c r="O21" s="78">
        <v>2400.0</v>
      </c>
      <c r="P21" s="76">
        <v>2400.0</v>
      </c>
      <c r="Q21" s="25">
        <f t="shared" si="1"/>
        <v>0</v>
      </c>
      <c r="R21" s="43"/>
      <c r="S21" s="26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</row>
    <row r="22" ht="34.5" customHeight="1">
      <c r="A22" s="16">
        <v>18.0</v>
      </c>
      <c r="B22" s="79"/>
      <c r="C22" s="80"/>
      <c r="D22" s="81"/>
      <c r="E22" s="82"/>
      <c r="F22" s="66"/>
      <c r="G22" s="67"/>
      <c r="H22" s="67"/>
      <c r="I22" s="66"/>
      <c r="J22" s="67"/>
      <c r="K22" s="75"/>
      <c r="L22" s="67"/>
      <c r="M22" s="67"/>
      <c r="N22" s="67"/>
      <c r="O22" s="67"/>
      <c r="P22" s="83"/>
      <c r="Q22" s="25">
        <f t="shared" si="1"/>
        <v>0</v>
      </c>
      <c r="R22" s="24"/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/>
      <c r="C23" s="18"/>
      <c r="D23" s="19"/>
      <c r="E23" s="20"/>
      <c r="F23" s="21"/>
      <c r="G23" s="22"/>
      <c r="H23" s="22"/>
      <c r="I23" s="21"/>
      <c r="J23" s="21"/>
      <c r="K23" s="36"/>
      <c r="L23" s="22"/>
      <c r="M23" s="22"/>
      <c r="N23" s="22"/>
      <c r="O23" s="22"/>
      <c r="P23" s="24"/>
      <c r="Q23" s="25">
        <f t="shared" si="1"/>
        <v>0</v>
      </c>
      <c r="R23" s="24"/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/>
      <c r="C24" s="18"/>
      <c r="D24" s="19"/>
      <c r="E24" s="20"/>
      <c r="F24" s="21"/>
      <c r="G24" s="22"/>
      <c r="H24" s="22"/>
      <c r="I24" s="36"/>
      <c r="J24" s="21"/>
      <c r="K24" s="36"/>
      <c r="L24" s="22"/>
      <c r="M24" s="22"/>
      <c r="N24" s="22"/>
      <c r="O24" s="22"/>
      <c r="P24" s="24"/>
      <c r="Q24" s="25">
        <f t="shared" si="1"/>
        <v>0</v>
      </c>
      <c r="R24" s="24"/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/>
      <c r="C25" s="18"/>
      <c r="D25" s="19"/>
      <c r="E25" s="20"/>
      <c r="F25" s="21"/>
      <c r="G25" s="22"/>
      <c r="H25" s="22"/>
      <c r="I25" s="21"/>
      <c r="J25" s="21"/>
      <c r="K25" s="23"/>
      <c r="L25" s="22"/>
      <c r="M25" s="22"/>
      <c r="N25" s="22"/>
      <c r="O25" s="22"/>
      <c r="P25" s="24"/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7.5" customHeight="1">
      <c r="A26" s="16"/>
      <c r="B26" s="27"/>
      <c r="C26" s="18"/>
      <c r="D26" s="19" t="s">
        <v>190</v>
      </c>
      <c r="E26" s="20"/>
      <c r="F26" s="45">
        <f t="shared" ref="F26:Q26" si="2">SUM(F5:F25)</f>
        <v>6140</v>
      </c>
      <c r="G26" s="45">
        <f t="shared" si="2"/>
        <v>0</v>
      </c>
      <c r="H26" s="45">
        <f t="shared" si="2"/>
        <v>11900</v>
      </c>
      <c r="I26" s="45">
        <f t="shared" si="2"/>
        <v>0</v>
      </c>
      <c r="J26" s="45">
        <f t="shared" si="2"/>
        <v>10280</v>
      </c>
      <c r="K26" s="45">
        <f t="shared" si="2"/>
        <v>0</v>
      </c>
      <c r="L26" s="45">
        <f t="shared" si="2"/>
        <v>0</v>
      </c>
      <c r="M26" s="45">
        <f t="shared" si="2"/>
        <v>16600</v>
      </c>
      <c r="N26" s="45">
        <f t="shared" si="2"/>
        <v>0</v>
      </c>
      <c r="O26" s="45">
        <f t="shared" si="2"/>
        <v>12000</v>
      </c>
      <c r="P26" s="45">
        <f t="shared" si="2"/>
        <v>56920</v>
      </c>
      <c r="Q26" s="46">
        <f t="shared" si="2"/>
        <v>0</v>
      </c>
      <c r="R26" s="47"/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58.5" customHeight="1">
      <c r="A27" s="48"/>
      <c r="B27" s="48"/>
      <c r="C27" s="49"/>
      <c r="D27" s="48"/>
      <c r="E27" s="48"/>
      <c r="F27" s="50">
        <f>F26+G26+H26+I26+J26+K26+L26+M26+N26+O26</f>
        <v>56920</v>
      </c>
      <c r="P27" s="51"/>
      <c r="Q27" s="51"/>
      <c r="R27" s="48"/>
      <c r="S27" s="48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15.75" customHeight="1">
      <c r="A28" s="4"/>
      <c r="B28" s="4"/>
      <c r="C28" s="5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3" t="s">
        <v>190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2"/>
      <c r="D31" s="4"/>
      <c r="E31" s="54" t="s">
        <v>191</v>
      </c>
      <c r="F31" s="55" t="s">
        <v>683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56" t="s">
        <v>193</v>
      </c>
      <c r="F32" s="60" t="s">
        <v>540</v>
      </c>
      <c r="G32" s="4"/>
      <c r="H32" s="4"/>
      <c r="I32" s="4"/>
      <c r="J32" s="4"/>
      <c r="K32" s="4"/>
      <c r="L32" s="4"/>
      <c r="M32" s="4"/>
      <c r="N32" s="4"/>
      <c r="O32" s="57" t="s">
        <v>190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56" t="s">
        <v>195</v>
      </c>
      <c r="F33" s="55" t="s">
        <v>196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6" t="s">
        <v>197</v>
      </c>
      <c r="F34" s="55" t="s">
        <v>196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198</v>
      </c>
      <c r="F35" s="55" t="s">
        <v>813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837</v>
      </c>
      <c r="F36" s="55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201</v>
      </c>
      <c r="F37" s="61" t="s">
        <v>815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203</v>
      </c>
      <c r="F38" s="58" t="s">
        <v>204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7" t="s">
        <v>190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 t="str">
        <f>I72426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57" t="s">
        <v>205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 t="s">
        <v>190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>
        <v>7.0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7">
    <mergeCell ref="R2:R4"/>
    <mergeCell ref="S2:S4"/>
    <mergeCell ref="F3:F4"/>
    <mergeCell ref="G3:H3"/>
    <mergeCell ref="I3:J3"/>
    <mergeCell ref="K3:K4"/>
    <mergeCell ref="F27:O2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62" t="s">
        <v>838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63">
        <v>45578.0</v>
      </c>
      <c r="C5" s="64" t="s">
        <v>839</v>
      </c>
      <c r="D5" s="65">
        <v>50436.0</v>
      </c>
      <c r="E5" s="65" t="s">
        <v>50</v>
      </c>
      <c r="F5" s="68">
        <v>600.0</v>
      </c>
      <c r="G5" s="67"/>
      <c r="H5" s="67"/>
      <c r="I5" s="66"/>
      <c r="J5" s="67"/>
      <c r="K5" s="67"/>
      <c r="L5" s="67"/>
      <c r="M5" s="66"/>
      <c r="N5" s="67"/>
      <c r="O5" s="69"/>
      <c r="P5" s="70">
        <v>600.0</v>
      </c>
      <c r="Q5" s="25">
        <f t="shared" ref="Q5:Q14" si="1">F5+G5+H5+I5+J5+K5+L5+M5+N5+O5-P5</f>
        <v>0</v>
      </c>
      <c r="R5" s="24"/>
      <c r="S5" s="84" t="s">
        <v>132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72">
        <v>45578.0</v>
      </c>
      <c r="C6" s="73" t="s">
        <v>840</v>
      </c>
      <c r="D6" s="74">
        <v>77034.0</v>
      </c>
      <c r="E6" s="74" t="s">
        <v>841</v>
      </c>
      <c r="F6" s="75">
        <v>300.0</v>
      </c>
      <c r="G6" s="67"/>
      <c r="H6" s="66"/>
      <c r="I6" s="66"/>
      <c r="J6" s="68"/>
      <c r="K6" s="67"/>
      <c r="L6" s="67"/>
      <c r="M6" s="67"/>
      <c r="N6" s="67"/>
      <c r="O6" s="69"/>
      <c r="P6" s="76">
        <v>300.0</v>
      </c>
      <c r="Q6" s="25">
        <f t="shared" si="1"/>
        <v>0</v>
      </c>
      <c r="R6" s="24"/>
      <c r="S6" s="84" t="s">
        <v>132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72">
        <v>45578.0</v>
      </c>
      <c r="C7" s="73" t="s">
        <v>842</v>
      </c>
      <c r="D7" s="74">
        <v>54581.0</v>
      </c>
      <c r="E7" s="74" t="s">
        <v>833</v>
      </c>
      <c r="F7" s="75">
        <v>400.0</v>
      </c>
      <c r="G7" s="67"/>
      <c r="H7" s="67"/>
      <c r="I7" s="66"/>
      <c r="J7" s="66"/>
      <c r="K7" s="67"/>
      <c r="L7" s="67"/>
      <c r="M7" s="67"/>
      <c r="N7" s="67"/>
      <c r="O7" s="69"/>
      <c r="P7" s="76">
        <v>400.0</v>
      </c>
      <c r="Q7" s="25">
        <f t="shared" si="1"/>
        <v>0</v>
      </c>
      <c r="R7" s="24"/>
      <c r="S7" s="84" t="s">
        <v>132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72">
        <v>45578.0</v>
      </c>
      <c r="C8" s="73" t="s">
        <v>843</v>
      </c>
      <c r="D8" s="74">
        <v>75594.0</v>
      </c>
      <c r="E8" s="74" t="s">
        <v>844</v>
      </c>
      <c r="F8" s="67"/>
      <c r="G8" s="67"/>
      <c r="H8" s="67"/>
      <c r="I8" s="66"/>
      <c r="J8" s="66"/>
      <c r="K8" s="67"/>
      <c r="L8" s="67"/>
      <c r="M8" s="68">
        <v>300.0</v>
      </c>
      <c r="N8" s="67"/>
      <c r="O8" s="69"/>
      <c r="P8" s="76">
        <v>300.0</v>
      </c>
      <c r="Q8" s="25">
        <f t="shared" si="1"/>
        <v>0</v>
      </c>
      <c r="R8" s="24"/>
      <c r="S8" s="84" t="s">
        <v>132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72">
        <v>45578.0</v>
      </c>
      <c r="C9" s="73" t="s">
        <v>845</v>
      </c>
      <c r="D9" s="74">
        <v>36768.0</v>
      </c>
      <c r="E9" s="74" t="s">
        <v>846</v>
      </c>
      <c r="F9" s="67"/>
      <c r="G9" s="67"/>
      <c r="H9" s="67"/>
      <c r="I9" s="66"/>
      <c r="J9" s="66"/>
      <c r="K9" s="67"/>
      <c r="L9" s="67"/>
      <c r="M9" s="68">
        <v>1000.0</v>
      </c>
      <c r="N9" s="67"/>
      <c r="O9" s="69"/>
      <c r="P9" s="76">
        <v>1000.0</v>
      </c>
      <c r="Q9" s="25">
        <f t="shared" si="1"/>
        <v>0</v>
      </c>
      <c r="R9" s="24"/>
      <c r="S9" s="84" t="s">
        <v>132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72">
        <v>45578.0</v>
      </c>
      <c r="C10" s="73" t="s">
        <v>847</v>
      </c>
      <c r="D10" s="74">
        <v>83970.0</v>
      </c>
      <c r="E10" s="74" t="s">
        <v>848</v>
      </c>
      <c r="F10" s="67"/>
      <c r="G10" s="67"/>
      <c r="H10" s="67"/>
      <c r="I10" s="66"/>
      <c r="J10" s="66"/>
      <c r="K10" s="67"/>
      <c r="L10" s="67"/>
      <c r="M10" s="68">
        <v>1450.0</v>
      </c>
      <c r="N10" s="67"/>
      <c r="O10" s="69"/>
      <c r="P10" s="76">
        <v>1450.0</v>
      </c>
      <c r="Q10" s="25">
        <f t="shared" si="1"/>
        <v>0</v>
      </c>
      <c r="R10" s="24"/>
      <c r="S10" s="84" t="s">
        <v>132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72">
        <v>45578.0</v>
      </c>
      <c r="C11" s="73" t="s">
        <v>849</v>
      </c>
      <c r="D11" s="74">
        <v>35245.0</v>
      </c>
      <c r="E11" s="74" t="s">
        <v>54</v>
      </c>
      <c r="F11" s="67"/>
      <c r="G11" s="67"/>
      <c r="H11" s="67"/>
      <c r="I11" s="66"/>
      <c r="J11" s="66"/>
      <c r="K11" s="67"/>
      <c r="L11" s="67"/>
      <c r="M11" s="66"/>
      <c r="N11" s="67"/>
      <c r="O11" s="78">
        <v>6400.0</v>
      </c>
      <c r="P11" s="76">
        <v>6400.0</v>
      </c>
      <c r="Q11" s="25">
        <f t="shared" si="1"/>
        <v>0</v>
      </c>
      <c r="R11" s="24"/>
      <c r="S11" s="84" t="s">
        <v>132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5"/>
      <c r="C12" s="86"/>
      <c r="D12" s="87"/>
      <c r="E12" s="87"/>
      <c r="F12" s="67"/>
      <c r="G12" s="67"/>
      <c r="H12" s="67"/>
      <c r="I12" s="66"/>
      <c r="J12" s="66"/>
      <c r="K12" s="67"/>
      <c r="L12" s="67"/>
      <c r="M12" s="66"/>
      <c r="N12" s="67"/>
      <c r="O12" s="69"/>
      <c r="P12" s="88"/>
      <c r="Q12" s="25">
        <f t="shared" si="1"/>
        <v>0</v>
      </c>
      <c r="R12" s="33"/>
      <c r="S12" s="84" t="s">
        <v>132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85"/>
      <c r="C13" s="86"/>
      <c r="D13" s="87"/>
      <c r="E13" s="87"/>
      <c r="F13" s="67"/>
      <c r="G13" s="67"/>
      <c r="H13" s="67"/>
      <c r="I13" s="66"/>
      <c r="J13" s="66"/>
      <c r="K13" s="67"/>
      <c r="L13" s="67"/>
      <c r="M13" s="66"/>
      <c r="N13" s="67"/>
      <c r="O13" s="69"/>
      <c r="P13" s="88"/>
      <c r="Q13" s="25">
        <f t="shared" si="1"/>
        <v>0</v>
      </c>
      <c r="R13" s="24"/>
      <c r="S13" s="84" t="s">
        <v>132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7"/>
      <c r="C14" s="18"/>
      <c r="D14" s="19"/>
      <c r="E14" s="20"/>
      <c r="F14" s="22"/>
      <c r="G14" s="22"/>
      <c r="H14" s="22"/>
      <c r="I14" s="21"/>
      <c r="J14" s="21"/>
      <c r="K14" s="22"/>
      <c r="L14" s="22"/>
      <c r="M14" s="21"/>
      <c r="N14" s="22"/>
      <c r="O14" s="22"/>
      <c r="P14" s="24"/>
      <c r="Q14" s="25">
        <f t="shared" si="1"/>
        <v>0</v>
      </c>
      <c r="R14" s="24"/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7.5" customHeight="1">
      <c r="A15" s="16"/>
      <c r="B15" s="27"/>
      <c r="C15" s="18"/>
      <c r="D15" s="19" t="s">
        <v>190</v>
      </c>
      <c r="E15" s="20"/>
      <c r="F15" s="45">
        <f t="shared" ref="F15:Q15" si="2">SUM(F5:F14)</f>
        <v>1300</v>
      </c>
      <c r="G15" s="45">
        <f t="shared" si="2"/>
        <v>0</v>
      </c>
      <c r="H15" s="45">
        <f t="shared" si="2"/>
        <v>0</v>
      </c>
      <c r="I15" s="45">
        <f t="shared" si="2"/>
        <v>0</v>
      </c>
      <c r="J15" s="45">
        <f t="shared" si="2"/>
        <v>0</v>
      </c>
      <c r="K15" s="45">
        <f t="shared" si="2"/>
        <v>0</v>
      </c>
      <c r="L15" s="45">
        <f t="shared" si="2"/>
        <v>0</v>
      </c>
      <c r="M15" s="45">
        <f t="shared" si="2"/>
        <v>2750</v>
      </c>
      <c r="N15" s="45">
        <f t="shared" si="2"/>
        <v>0</v>
      </c>
      <c r="O15" s="45">
        <f t="shared" si="2"/>
        <v>6400</v>
      </c>
      <c r="P15" s="45">
        <f t="shared" si="2"/>
        <v>10450</v>
      </c>
      <c r="Q15" s="46">
        <f t="shared" si="2"/>
        <v>0</v>
      </c>
      <c r="R15" s="47"/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58.5" customHeight="1">
      <c r="A16" s="48"/>
      <c r="B16" s="48"/>
      <c r="C16" s="49"/>
      <c r="D16" s="48"/>
      <c r="E16" s="48"/>
      <c r="F16" s="50">
        <f>F15+G15+H15+I15+J15+K15+L15+M15+N15+O15</f>
        <v>10450</v>
      </c>
      <c r="P16" s="51"/>
      <c r="Q16" s="51"/>
      <c r="R16" s="48"/>
      <c r="S16" s="48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15.75" customHeight="1">
      <c r="A17" s="4"/>
      <c r="B17" s="4"/>
      <c r="C17" s="5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26.25" customHeight="1">
      <c r="A18" s="4"/>
      <c r="B18" s="4"/>
      <c r="C18" s="5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26.25" customHeight="1">
      <c r="A19" s="4"/>
      <c r="B19" s="4"/>
      <c r="C19" s="53" t="s">
        <v>190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52"/>
      <c r="D20" s="4"/>
      <c r="E20" s="54" t="s">
        <v>191</v>
      </c>
      <c r="F20" s="55" t="s">
        <v>683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52"/>
      <c r="D21" s="4"/>
      <c r="E21" s="56" t="s">
        <v>193</v>
      </c>
      <c r="F21" s="60" t="s">
        <v>540</v>
      </c>
      <c r="G21" s="4"/>
      <c r="H21" s="4"/>
      <c r="I21" s="4"/>
      <c r="J21" s="4"/>
      <c r="K21" s="4"/>
      <c r="L21" s="4"/>
      <c r="M21" s="4"/>
      <c r="N21" s="4"/>
      <c r="O21" s="57" t="s">
        <v>190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52"/>
      <c r="D22" s="4"/>
      <c r="E22" s="56" t="s">
        <v>195</v>
      </c>
      <c r="F22" s="55" t="s">
        <v>196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52"/>
      <c r="D23" s="4"/>
      <c r="E23" s="56" t="s">
        <v>197</v>
      </c>
      <c r="F23" s="55" t="s">
        <v>196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52"/>
      <c r="D24" s="4"/>
      <c r="E24" s="56" t="s">
        <v>198</v>
      </c>
      <c r="F24" s="55" t="s">
        <v>813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52"/>
      <c r="D25" s="4"/>
      <c r="E25" s="56" t="s">
        <v>850</v>
      </c>
      <c r="F25" s="55" t="s">
        <v>196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52"/>
      <c r="D26" s="4"/>
      <c r="E26" s="56" t="s">
        <v>201</v>
      </c>
      <c r="F26" s="61" t="s">
        <v>815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52"/>
      <c r="D27" s="4"/>
      <c r="E27" s="56" t="s">
        <v>203</v>
      </c>
      <c r="F27" s="58" t="s">
        <v>204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7" t="s">
        <v>190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52"/>
      <c r="D28" s="4"/>
      <c r="E28" s="4"/>
      <c r="F28" s="4"/>
      <c r="G28" s="4"/>
      <c r="H28" s="4"/>
      <c r="I28" s="4"/>
      <c r="J28" s="4"/>
      <c r="K28" s="4" t="str">
        <f>I72415</f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5.7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5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2"/>
      <c r="D35" s="4"/>
      <c r="E35" s="4"/>
      <c r="F35" s="4"/>
      <c r="G35" s="4"/>
      <c r="H35" s="4"/>
      <c r="I35" s="57" t="s">
        <v>205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4"/>
      <c r="J36" s="4"/>
      <c r="K36" s="4"/>
      <c r="L36" s="4" t="s">
        <v>190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>
        <v>7.0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mergeCells count="17">
    <mergeCell ref="R2:R4"/>
    <mergeCell ref="S2:S4"/>
    <mergeCell ref="F3:F4"/>
    <mergeCell ref="G3:H3"/>
    <mergeCell ref="I3:J3"/>
    <mergeCell ref="K3:K4"/>
    <mergeCell ref="F16:O1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851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45577.0</v>
      </c>
      <c r="C5" s="18" t="s">
        <v>852</v>
      </c>
      <c r="D5" s="19">
        <v>51017.0</v>
      </c>
      <c r="E5" s="20" t="s">
        <v>165</v>
      </c>
      <c r="F5" s="21"/>
      <c r="G5" s="22">
        <v>24500.0</v>
      </c>
      <c r="H5" s="22"/>
      <c r="I5" s="21"/>
      <c r="J5" s="22"/>
      <c r="K5" s="22"/>
      <c r="L5" s="22"/>
      <c r="M5" s="21"/>
      <c r="N5" s="22"/>
      <c r="O5" s="22"/>
      <c r="P5" s="24">
        <v>24500.0</v>
      </c>
      <c r="Q5" s="25">
        <f t="shared" ref="Q5:Q66" si="1">F5+G5+H5+I5+J5+K5+L5+M5+N5+O5-P5</f>
        <v>0</v>
      </c>
      <c r="R5" s="24" t="s">
        <v>57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45577.0</v>
      </c>
      <c r="C6" s="18" t="s">
        <v>853</v>
      </c>
      <c r="D6" s="19">
        <v>21818.0</v>
      </c>
      <c r="E6" s="20" t="s">
        <v>237</v>
      </c>
      <c r="F6" s="22"/>
      <c r="G6" s="22"/>
      <c r="H6" s="21"/>
      <c r="I6" s="21"/>
      <c r="J6" s="23"/>
      <c r="K6" s="22">
        <v>12000.0</v>
      </c>
      <c r="L6" s="22"/>
      <c r="M6" s="22"/>
      <c r="N6" s="22"/>
      <c r="O6" s="22"/>
      <c r="P6" s="24">
        <v>12000.0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45579.0</v>
      </c>
      <c r="C7" s="18" t="s">
        <v>854</v>
      </c>
      <c r="D7" s="19">
        <v>80775.0</v>
      </c>
      <c r="E7" s="20" t="s">
        <v>855</v>
      </c>
      <c r="F7" s="22"/>
      <c r="G7" s="22"/>
      <c r="H7" s="22"/>
      <c r="I7" s="21">
        <v>3550.0</v>
      </c>
      <c r="J7" s="21"/>
      <c r="K7" s="22"/>
      <c r="L7" s="22"/>
      <c r="M7" s="21"/>
      <c r="N7" s="22"/>
      <c r="O7" s="22"/>
      <c r="P7" s="24">
        <v>3550.0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45579.0</v>
      </c>
      <c r="C8" s="18" t="s">
        <v>856</v>
      </c>
      <c r="D8" s="19">
        <v>83673.0</v>
      </c>
      <c r="E8" s="20" t="s">
        <v>857</v>
      </c>
      <c r="F8" s="22"/>
      <c r="G8" s="22"/>
      <c r="H8" s="22"/>
      <c r="I8" s="21">
        <v>2650.0</v>
      </c>
      <c r="J8" s="21"/>
      <c r="K8" s="22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45579.0</v>
      </c>
      <c r="C9" s="30" t="s">
        <v>858</v>
      </c>
      <c r="D9" s="31">
        <v>33065.0</v>
      </c>
      <c r="E9" s="32" t="s">
        <v>859</v>
      </c>
      <c r="F9" s="22"/>
      <c r="G9" s="22"/>
      <c r="H9" s="22"/>
      <c r="I9" s="21">
        <v>5150.0</v>
      </c>
      <c r="J9" s="21"/>
      <c r="K9" s="22"/>
      <c r="L9" s="22"/>
      <c r="M9" s="21"/>
      <c r="N9" s="22"/>
      <c r="O9" s="22"/>
      <c r="P9" s="33">
        <v>5150.0</v>
      </c>
      <c r="Q9" s="25">
        <f t="shared" si="1"/>
        <v>0</v>
      </c>
      <c r="R9" s="33" t="s">
        <v>57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45579.0</v>
      </c>
      <c r="C10" s="18" t="s">
        <v>860</v>
      </c>
      <c r="D10" s="19">
        <v>22332.0</v>
      </c>
      <c r="E10" s="20" t="s">
        <v>210</v>
      </c>
      <c r="F10" s="22"/>
      <c r="G10" s="22"/>
      <c r="H10" s="22"/>
      <c r="I10" s="21"/>
      <c r="J10" s="21"/>
      <c r="K10" s="22"/>
      <c r="L10" s="22"/>
      <c r="M10" s="21">
        <v>2500.0</v>
      </c>
      <c r="N10" s="22"/>
      <c r="O10" s="22"/>
      <c r="P10" s="24">
        <v>2500.0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45579.0</v>
      </c>
      <c r="C11" s="18" t="s">
        <v>861</v>
      </c>
      <c r="D11" s="19">
        <v>46927.0</v>
      </c>
      <c r="E11" s="20" t="s">
        <v>94</v>
      </c>
      <c r="F11" s="22"/>
      <c r="G11" s="22"/>
      <c r="H11" s="22"/>
      <c r="I11" s="21">
        <v>300.0</v>
      </c>
      <c r="J11" s="21"/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57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45579.0</v>
      </c>
      <c r="C12" s="18" t="s">
        <v>862</v>
      </c>
      <c r="D12" s="19">
        <v>44149.0</v>
      </c>
      <c r="E12" s="20" t="s">
        <v>74</v>
      </c>
      <c r="F12" s="22"/>
      <c r="G12" s="22"/>
      <c r="H12" s="22"/>
      <c r="I12" s="21">
        <v>9500.0</v>
      </c>
      <c r="J12" s="21"/>
      <c r="K12" s="22"/>
      <c r="L12" s="22"/>
      <c r="M12" s="21"/>
      <c r="N12" s="22"/>
      <c r="O12" s="22"/>
      <c r="P12" s="24">
        <v>9500.0</v>
      </c>
      <c r="Q12" s="25">
        <f t="shared" si="1"/>
        <v>0</v>
      </c>
      <c r="R12" s="24" t="s">
        <v>57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45579.0</v>
      </c>
      <c r="C13" s="18" t="s">
        <v>863</v>
      </c>
      <c r="D13" s="19">
        <v>76229.0</v>
      </c>
      <c r="E13" s="20" t="s">
        <v>864</v>
      </c>
      <c r="F13" s="22"/>
      <c r="G13" s="22"/>
      <c r="H13" s="22"/>
      <c r="I13" s="21">
        <v>4650.0</v>
      </c>
      <c r="J13" s="21"/>
      <c r="K13" s="22"/>
      <c r="L13" s="22"/>
      <c r="M13" s="22"/>
      <c r="N13" s="22"/>
      <c r="O13" s="22"/>
      <c r="P13" s="24">
        <v>4650.0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45579.0</v>
      </c>
      <c r="C14" s="30" t="s">
        <v>865</v>
      </c>
      <c r="D14" s="31">
        <v>53067.0</v>
      </c>
      <c r="E14" s="32" t="s">
        <v>866</v>
      </c>
      <c r="F14" s="22"/>
      <c r="G14" s="22"/>
      <c r="H14" s="22"/>
      <c r="I14" s="21"/>
      <c r="J14" s="21">
        <v>1050.0</v>
      </c>
      <c r="K14" s="22"/>
      <c r="L14" s="22"/>
      <c r="M14" s="21"/>
      <c r="N14" s="22"/>
      <c r="O14" s="22"/>
      <c r="P14" s="33">
        <v>1050.0</v>
      </c>
      <c r="Q14" s="25">
        <f t="shared" si="1"/>
        <v>0</v>
      </c>
      <c r="R14" s="33" t="s">
        <v>57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45579.0</v>
      </c>
      <c r="C15" s="18" t="s">
        <v>867</v>
      </c>
      <c r="D15" s="19">
        <v>52083.0</v>
      </c>
      <c r="E15" s="20" t="s">
        <v>24</v>
      </c>
      <c r="F15" s="22"/>
      <c r="G15" s="22"/>
      <c r="H15" s="22"/>
      <c r="I15" s="23">
        <v>3750.0</v>
      </c>
      <c r="J15" s="23"/>
      <c r="K15" s="22"/>
      <c r="L15" s="22"/>
      <c r="M15" s="22"/>
      <c r="N15" s="22"/>
      <c r="O15" s="22"/>
      <c r="P15" s="24">
        <v>3750.0</v>
      </c>
      <c r="Q15" s="25">
        <f t="shared" si="1"/>
        <v>0</v>
      </c>
      <c r="R15" s="24" t="s">
        <v>28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45579.0</v>
      </c>
      <c r="C16" s="18" t="s">
        <v>868</v>
      </c>
      <c r="D16" s="19">
        <v>80924.0</v>
      </c>
      <c r="E16" s="20" t="s">
        <v>869</v>
      </c>
      <c r="F16" s="21"/>
      <c r="G16" s="22"/>
      <c r="H16" s="22"/>
      <c r="I16" s="35"/>
      <c r="J16" s="22">
        <v>300.0</v>
      </c>
      <c r="K16" s="36"/>
      <c r="L16" s="22"/>
      <c r="M16" s="22"/>
      <c r="N16" s="22"/>
      <c r="O16" s="22"/>
      <c r="P16" s="24">
        <v>300.0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45579.0</v>
      </c>
      <c r="C17" s="18" t="s">
        <v>870</v>
      </c>
      <c r="D17" s="19">
        <v>48141.0</v>
      </c>
      <c r="E17" s="20" t="s">
        <v>871</v>
      </c>
      <c r="F17" s="21"/>
      <c r="G17" s="22"/>
      <c r="H17" s="22"/>
      <c r="I17" s="21">
        <v>2650.0</v>
      </c>
      <c r="J17" s="21"/>
      <c r="K17" s="21"/>
      <c r="L17" s="22"/>
      <c r="M17" s="22"/>
      <c r="N17" s="22"/>
      <c r="O17" s="22"/>
      <c r="P17" s="24">
        <v>2650.0</v>
      </c>
      <c r="Q17" s="25">
        <f t="shared" si="1"/>
        <v>0</v>
      </c>
      <c r="R17" s="24" t="s">
        <v>57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45579.0</v>
      </c>
      <c r="C18" s="38" t="s">
        <v>872</v>
      </c>
      <c r="D18" s="39">
        <v>22341.0</v>
      </c>
      <c r="E18" s="40" t="s">
        <v>230</v>
      </c>
      <c r="F18" s="35"/>
      <c r="G18" s="41"/>
      <c r="H18" s="41"/>
      <c r="I18" s="35">
        <v>5150.0</v>
      </c>
      <c r="J18" s="35"/>
      <c r="K18" s="42"/>
      <c r="L18" s="41"/>
      <c r="M18" s="41"/>
      <c r="N18" s="41"/>
      <c r="O18" s="41"/>
      <c r="P18" s="43">
        <v>5150.0</v>
      </c>
      <c r="Q18" s="25">
        <f t="shared" si="1"/>
        <v>0</v>
      </c>
      <c r="R18" s="43" t="s">
        <v>57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45579.0</v>
      </c>
      <c r="C19" s="18" t="s">
        <v>873</v>
      </c>
      <c r="D19" s="19">
        <v>85072.0</v>
      </c>
      <c r="E19" s="20" t="s">
        <v>874</v>
      </c>
      <c r="F19" s="21"/>
      <c r="G19" s="22"/>
      <c r="H19" s="22"/>
      <c r="I19" s="21">
        <v>300.0</v>
      </c>
      <c r="J19" s="22"/>
      <c r="K19" s="36"/>
      <c r="L19" s="22"/>
      <c r="M19" s="22"/>
      <c r="N19" s="22"/>
      <c r="O19" s="22"/>
      <c r="P19" s="24">
        <v>300.0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45579.0</v>
      </c>
      <c r="C20" s="18" t="s">
        <v>875</v>
      </c>
      <c r="D20" s="19">
        <v>69346.0</v>
      </c>
      <c r="E20" s="20" t="s">
        <v>876</v>
      </c>
      <c r="F20" s="21"/>
      <c r="G20" s="22"/>
      <c r="H20" s="22"/>
      <c r="I20" s="21">
        <v>4650.0</v>
      </c>
      <c r="J20" s="21"/>
      <c r="K20" s="36"/>
      <c r="L20" s="22"/>
      <c r="M20" s="22"/>
      <c r="N20" s="22"/>
      <c r="O20" s="22"/>
      <c r="P20" s="24">
        <v>4650.0</v>
      </c>
      <c r="Q20" s="25">
        <f t="shared" si="1"/>
        <v>0</v>
      </c>
      <c r="R20" s="24" t="s">
        <v>48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45579.0</v>
      </c>
      <c r="C21" s="18" t="s">
        <v>877</v>
      </c>
      <c r="D21" s="19">
        <v>85073.0</v>
      </c>
      <c r="E21" s="20" t="s">
        <v>878</v>
      </c>
      <c r="F21" s="21"/>
      <c r="G21" s="22"/>
      <c r="H21" s="22"/>
      <c r="I21" s="36"/>
      <c r="J21" s="21">
        <v>300.0</v>
      </c>
      <c r="K21" s="36"/>
      <c r="L21" s="22"/>
      <c r="M21" s="22"/>
      <c r="N21" s="22"/>
      <c r="O21" s="22"/>
      <c r="P21" s="24">
        <v>300.0</v>
      </c>
      <c r="Q21" s="25">
        <f t="shared" si="1"/>
        <v>0</v>
      </c>
      <c r="R21" s="24" t="s">
        <v>28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45579.0</v>
      </c>
      <c r="C22" s="18" t="s">
        <v>879</v>
      </c>
      <c r="D22" s="19">
        <v>21821.0</v>
      </c>
      <c r="E22" s="20" t="s">
        <v>114</v>
      </c>
      <c r="F22" s="21"/>
      <c r="G22" s="22"/>
      <c r="H22" s="22"/>
      <c r="I22" s="21"/>
      <c r="J22" s="21"/>
      <c r="K22" s="23">
        <v>15000.0</v>
      </c>
      <c r="L22" s="22"/>
      <c r="M22" s="22"/>
      <c r="N22" s="22"/>
      <c r="O22" s="22"/>
      <c r="P22" s="24">
        <v>15000.0</v>
      </c>
      <c r="Q22" s="25">
        <f t="shared" si="1"/>
        <v>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45579.0</v>
      </c>
      <c r="C23" s="18" t="s">
        <v>880</v>
      </c>
      <c r="D23" s="19">
        <v>52373.0</v>
      </c>
      <c r="E23" s="20" t="s">
        <v>881</v>
      </c>
      <c r="F23" s="21"/>
      <c r="G23" s="22"/>
      <c r="H23" s="22"/>
      <c r="I23" s="21"/>
      <c r="J23" s="21">
        <v>18900.0</v>
      </c>
      <c r="K23" s="23"/>
      <c r="L23" s="22"/>
      <c r="M23" s="22"/>
      <c r="N23" s="22"/>
      <c r="O23" s="22"/>
      <c r="P23" s="24">
        <v>18900.0</v>
      </c>
      <c r="Q23" s="25">
        <f t="shared" si="1"/>
        <v>0</v>
      </c>
      <c r="R23" s="24" t="s">
        <v>28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45579.0</v>
      </c>
      <c r="C24" s="18" t="s">
        <v>882</v>
      </c>
      <c r="D24" s="19">
        <v>83049.0</v>
      </c>
      <c r="E24" s="20" t="s">
        <v>883</v>
      </c>
      <c r="F24" s="21"/>
      <c r="G24" s="22"/>
      <c r="H24" s="22"/>
      <c r="I24" s="21">
        <v>3550.0</v>
      </c>
      <c r="J24" s="21"/>
      <c r="K24" s="23"/>
      <c r="L24" s="22"/>
      <c r="M24" s="22"/>
      <c r="N24" s="22"/>
      <c r="O24" s="22"/>
      <c r="P24" s="24">
        <v>3550.0</v>
      </c>
      <c r="Q24" s="25">
        <f t="shared" si="1"/>
        <v>0</v>
      </c>
      <c r="R24" s="24" t="s">
        <v>57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45579.0</v>
      </c>
      <c r="C25" s="18" t="s">
        <v>884</v>
      </c>
      <c r="D25" s="19">
        <v>57773.0</v>
      </c>
      <c r="E25" s="20" t="s">
        <v>397</v>
      </c>
      <c r="F25" s="21"/>
      <c r="G25" s="22"/>
      <c r="H25" s="22"/>
      <c r="I25" s="21">
        <v>1200.0</v>
      </c>
      <c r="J25" s="21"/>
      <c r="K25" s="23"/>
      <c r="L25" s="22"/>
      <c r="M25" s="22"/>
      <c r="N25" s="22"/>
      <c r="O25" s="22"/>
      <c r="P25" s="24">
        <v>1200.0</v>
      </c>
      <c r="Q25" s="25">
        <f t="shared" si="1"/>
        <v>0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45579.0</v>
      </c>
      <c r="C26" s="18" t="s">
        <v>885</v>
      </c>
      <c r="D26" s="19">
        <v>66932.0</v>
      </c>
      <c r="E26" s="20" t="s">
        <v>886</v>
      </c>
      <c r="F26" s="21"/>
      <c r="G26" s="22"/>
      <c r="H26" s="22"/>
      <c r="I26" s="21">
        <v>9800.0</v>
      </c>
      <c r="J26" s="21"/>
      <c r="K26" s="23"/>
      <c r="L26" s="22"/>
      <c r="M26" s="22"/>
      <c r="N26" s="22"/>
      <c r="O26" s="22"/>
      <c r="P26" s="24">
        <v>9800.0</v>
      </c>
      <c r="Q26" s="25">
        <f t="shared" si="1"/>
        <v>0</v>
      </c>
      <c r="R26" s="24" t="s">
        <v>48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45579.0</v>
      </c>
      <c r="C27" s="18" t="s">
        <v>887</v>
      </c>
      <c r="D27" s="19">
        <v>76245.0</v>
      </c>
      <c r="E27" s="20" t="s">
        <v>888</v>
      </c>
      <c r="F27" s="21"/>
      <c r="G27" s="22"/>
      <c r="H27" s="22"/>
      <c r="I27" s="21">
        <v>10000.0</v>
      </c>
      <c r="J27" s="21"/>
      <c r="K27" s="23"/>
      <c r="L27" s="22"/>
      <c r="M27" s="22"/>
      <c r="N27" s="22"/>
      <c r="O27" s="22"/>
      <c r="P27" s="24">
        <v>10000.0</v>
      </c>
      <c r="Q27" s="25">
        <f t="shared" si="1"/>
        <v>0</v>
      </c>
      <c r="R27" s="24" t="s">
        <v>28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45579.0</v>
      </c>
      <c r="C28" s="18" t="s">
        <v>889</v>
      </c>
      <c r="D28" s="19">
        <v>47661.0</v>
      </c>
      <c r="E28" s="20" t="s">
        <v>890</v>
      </c>
      <c r="F28" s="21"/>
      <c r="G28" s="22"/>
      <c r="H28" s="22"/>
      <c r="I28" s="21">
        <v>10000.0</v>
      </c>
      <c r="J28" s="21"/>
      <c r="K28" s="23"/>
      <c r="L28" s="22"/>
      <c r="M28" s="22"/>
      <c r="N28" s="22"/>
      <c r="O28" s="22"/>
      <c r="P28" s="24">
        <v>10000.0</v>
      </c>
      <c r="Q28" s="25">
        <f t="shared" si="1"/>
        <v>0</v>
      </c>
      <c r="R28" s="24" t="s">
        <v>48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45579.0</v>
      </c>
      <c r="C29" s="18" t="s">
        <v>891</v>
      </c>
      <c r="D29" s="19">
        <v>42833.0</v>
      </c>
      <c r="E29" s="20" t="s">
        <v>892</v>
      </c>
      <c r="F29" s="21"/>
      <c r="G29" s="22"/>
      <c r="H29" s="22"/>
      <c r="I29" s="21">
        <v>4000.0</v>
      </c>
      <c r="J29" s="21"/>
      <c r="K29" s="23"/>
      <c r="L29" s="22"/>
      <c r="M29" s="22"/>
      <c r="N29" s="22"/>
      <c r="O29" s="22"/>
      <c r="P29" s="24">
        <v>4000.0</v>
      </c>
      <c r="Q29" s="25">
        <f t="shared" si="1"/>
        <v>0</v>
      </c>
      <c r="R29" s="24" t="s">
        <v>28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45579.0</v>
      </c>
      <c r="C30" s="18" t="s">
        <v>893</v>
      </c>
      <c r="D30" s="19">
        <v>77203.0</v>
      </c>
      <c r="E30" s="20" t="s">
        <v>894</v>
      </c>
      <c r="F30" s="21"/>
      <c r="G30" s="22"/>
      <c r="H30" s="22"/>
      <c r="I30" s="21">
        <v>9500.0</v>
      </c>
      <c r="J30" s="21"/>
      <c r="K30" s="23"/>
      <c r="L30" s="22"/>
      <c r="M30" s="22"/>
      <c r="N30" s="22"/>
      <c r="O30" s="22"/>
      <c r="P30" s="24">
        <v>9500.0</v>
      </c>
      <c r="Q30" s="25">
        <f t="shared" si="1"/>
        <v>0</v>
      </c>
      <c r="R30" s="24" t="s">
        <v>48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45579.0</v>
      </c>
      <c r="C31" s="18" t="s">
        <v>895</v>
      </c>
      <c r="D31" s="19">
        <v>30895.0</v>
      </c>
      <c r="E31" s="20" t="s">
        <v>896</v>
      </c>
      <c r="F31" s="21"/>
      <c r="G31" s="22">
        <v>8000.0</v>
      </c>
      <c r="H31" s="22"/>
      <c r="I31" s="21"/>
      <c r="J31" s="21"/>
      <c r="K31" s="23"/>
      <c r="L31" s="22"/>
      <c r="M31" s="22"/>
      <c r="N31" s="22"/>
      <c r="O31" s="22"/>
      <c r="P31" s="24">
        <v>8000.0</v>
      </c>
      <c r="Q31" s="25">
        <f t="shared" si="1"/>
        <v>0</v>
      </c>
      <c r="R31" s="24" t="s">
        <v>28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45579.0</v>
      </c>
      <c r="C32" s="18" t="s">
        <v>897</v>
      </c>
      <c r="D32" s="19">
        <v>10008.0</v>
      </c>
      <c r="E32" s="20" t="s">
        <v>52</v>
      </c>
      <c r="F32" s="21"/>
      <c r="G32" s="22"/>
      <c r="H32" s="22"/>
      <c r="I32" s="21">
        <v>450.0</v>
      </c>
      <c r="J32" s="21"/>
      <c r="K32" s="23"/>
      <c r="L32" s="22"/>
      <c r="M32" s="22"/>
      <c r="N32" s="22"/>
      <c r="O32" s="22"/>
      <c r="P32" s="24">
        <v>450.0</v>
      </c>
      <c r="Q32" s="25">
        <f t="shared" si="1"/>
        <v>0</v>
      </c>
      <c r="R32" s="24" t="s">
        <v>132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45579.0</v>
      </c>
      <c r="C33" s="18" t="s">
        <v>898</v>
      </c>
      <c r="D33" s="19">
        <v>62809.0</v>
      </c>
      <c r="E33" s="20" t="s">
        <v>321</v>
      </c>
      <c r="F33" s="21"/>
      <c r="G33" s="22"/>
      <c r="H33" s="22"/>
      <c r="I33" s="21">
        <v>2550.0</v>
      </c>
      <c r="J33" s="21"/>
      <c r="K33" s="23"/>
      <c r="L33" s="22"/>
      <c r="M33" s="22"/>
      <c r="N33" s="22"/>
      <c r="O33" s="22"/>
      <c r="P33" s="24">
        <v>2550.0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45579.0</v>
      </c>
      <c r="C34" s="18" t="s">
        <v>899</v>
      </c>
      <c r="D34" s="19">
        <v>13762.0</v>
      </c>
      <c r="E34" s="20" t="s">
        <v>339</v>
      </c>
      <c r="F34" s="21"/>
      <c r="G34" s="22"/>
      <c r="H34" s="22"/>
      <c r="I34" s="21"/>
      <c r="J34" s="21">
        <v>4150.0</v>
      </c>
      <c r="K34" s="23"/>
      <c r="L34" s="22"/>
      <c r="M34" s="22"/>
      <c r="N34" s="22"/>
      <c r="O34" s="22"/>
      <c r="P34" s="24">
        <v>4150.0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45579.0</v>
      </c>
      <c r="C35" s="18" t="s">
        <v>900</v>
      </c>
      <c r="D35" s="19">
        <v>42050.0</v>
      </c>
      <c r="E35" s="20" t="s">
        <v>901</v>
      </c>
      <c r="F35" s="21"/>
      <c r="G35" s="22"/>
      <c r="H35" s="22"/>
      <c r="I35" s="21">
        <v>1050.0</v>
      </c>
      <c r="J35" s="21"/>
      <c r="K35" s="23"/>
      <c r="L35" s="22"/>
      <c r="M35" s="22"/>
      <c r="N35" s="22"/>
      <c r="O35" s="22"/>
      <c r="P35" s="24">
        <v>1050.0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45579.0</v>
      </c>
      <c r="C36" s="18" t="s">
        <v>902</v>
      </c>
      <c r="D36" s="19">
        <v>42071.0</v>
      </c>
      <c r="E36" s="20" t="s">
        <v>903</v>
      </c>
      <c r="F36" s="21"/>
      <c r="G36" s="22"/>
      <c r="H36" s="22"/>
      <c r="I36" s="21"/>
      <c r="J36" s="21">
        <v>7250.0</v>
      </c>
      <c r="K36" s="23"/>
      <c r="L36" s="22"/>
      <c r="M36" s="22"/>
      <c r="N36" s="22"/>
      <c r="O36" s="22"/>
      <c r="P36" s="24">
        <v>7250.0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45579.0</v>
      </c>
      <c r="C37" s="18" t="s">
        <v>904</v>
      </c>
      <c r="D37" s="19">
        <v>54166.0</v>
      </c>
      <c r="E37" s="20" t="s">
        <v>905</v>
      </c>
      <c r="F37" s="21"/>
      <c r="G37" s="22"/>
      <c r="H37" s="22"/>
      <c r="I37" s="21">
        <v>5300.0</v>
      </c>
      <c r="J37" s="21"/>
      <c r="K37" s="23"/>
      <c r="L37" s="22"/>
      <c r="M37" s="22"/>
      <c r="N37" s="22"/>
      <c r="O37" s="22"/>
      <c r="P37" s="24">
        <v>5300.0</v>
      </c>
      <c r="Q37" s="25">
        <f t="shared" si="1"/>
        <v>0</v>
      </c>
      <c r="R37" s="24" t="s">
        <v>25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45579.0</v>
      </c>
      <c r="C38" s="18" t="s">
        <v>906</v>
      </c>
      <c r="D38" s="19">
        <v>80314.0</v>
      </c>
      <c r="E38" s="20" t="s">
        <v>907</v>
      </c>
      <c r="F38" s="21"/>
      <c r="G38" s="22"/>
      <c r="H38" s="22"/>
      <c r="I38" s="21">
        <v>10000.0</v>
      </c>
      <c r="J38" s="21"/>
      <c r="K38" s="23"/>
      <c r="L38" s="22"/>
      <c r="M38" s="22"/>
      <c r="N38" s="22"/>
      <c r="O38" s="22"/>
      <c r="P38" s="24">
        <v>10000.0</v>
      </c>
      <c r="Q38" s="25">
        <f t="shared" si="1"/>
        <v>0</v>
      </c>
      <c r="R38" s="24" t="s">
        <v>57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45579.0</v>
      </c>
      <c r="C39" s="18" t="s">
        <v>908</v>
      </c>
      <c r="D39" s="19">
        <v>22341.0</v>
      </c>
      <c r="E39" s="20" t="s">
        <v>230</v>
      </c>
      <c r="F39" s="21"/>
      <c r="G39" s="22"/>
      <c r="H39" s="22"/>
      <c r="I39" s="21">
        <v>2650.0</v>
      </c>
      <c r="J39" s="21"/>
      <c r="K39" s="23"/>
      <c r="L39" s="22"/>
      <c r="M39" s="22"/>
      <c r="N39" s="22"/>
      <c r="O39" s="22"/>
      <c r="P39" s="24">
        <v>2650.0</v>
      </c>
      <c r="Q39" s="25">
        <f t="shared" si="1"/>
        <v>0</v>
      </c>
      <c r="R39" s="24" t="s">
        <v>48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45579.0</v>
      </c>
      <c r="C40" s="18" t="s">
        <v>909</v>
      </c>
      <c r="D40" s="19">
        <v>22341.0</v>
      </c>
      <c r="E40" s="20" t="s">
        <v>230</v>
      </c>
      <c r="F40" s="21"/>
      <c r="G40" s="22"/>
      <c r="H40" s="22"/>
      <c r="I40" s="21">
        <v>300.0</v>
      </c>
      <c r="J40" s="21"/>
      <c r="K40" s="23"/>
      <c r="L40" s="22"/>
      <c r="M40" s="22"/>
      <c r="N40" s="22"/>
      <c r="O40" s="22"/>
      <c r="P40" s="24">
        <v>300.0</v>
      </c>
      <c r="Q40" s="25">
        <f t="shared" si="1"/>
        <v>0</v>
      </c>
      <c r="R40" s="24" t="s">
        <v>48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45579.0</v>
      </c>
      <c r="C41" s="18" t="s">
        <v>910</v>
      </c>
      <c r="D41" s="19">
        <v>10249.0</v>
      </c>
      <c r="E41" s="20" t="s">
        <v>118</v>
      </c>
      <c r="F41" s="21"/>
      <c r="G41" s="22"/>
      <c r="H41" s="22"/>
      <c r="I41" s="21"/>
      <c r="J41" s="21">
        <v>8750.0</v>
      </c>
      <c r="K41" s="23"/>
      <c r="L41" s="22"/>
      <c r="M41" s="22"/>
      <c r="N41" s="22"/>
      <c r="O41" s="22"/>
      <c r="P41" s="24">
        <v>8750.0</v>
      </c>
      <c r="Q41" s="25">
        <f t="shared" si="1"/>
        <v>0</v>
      </c>
      <c r="R41" s="24" t="s">
        <v>48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45579.0</v>
      </c>
      <c r="C42" s="18" t="s">
        <v>911</v>
      </c>
      <c r="D42" s="19">
        <v>10836.0</v>
      </c>
      <c r="E42" s="20" t="s">
        <v>912</v>
      </c>
      <c r="F42" s="21"/>
      <c r="G42" s="22"/>
      <c r="H42" s="22"/>
      <c r="I42" s="21"/>
      <c r="J42" s="21">
        <v>4650.0</v>
      </c>
      <c r="K42" s="23"/>
      <c r="L42" s="22"/>
      <c r="M42" s="22"/>
      <c r="N42" s="22"/>
      <c r="O42" s="22"/>
      <c r="P42" s="24">
        <v>4650.0</v>
      </c>
      <c r="Q42" s="25">
        <f t="shared" si="1"/>
        <v>0</v>
      </c>
      <c r="R42" s="24" t="s">
        <v>48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45577.0</v>
      </c>
      <c r="C43" s="18" t="s">
        <v>913</v>
      </c>
      <c r="D43" s="19">
        <v>60606.0</v>
      </c>
      <c r="E43" s="20" t="s">
        <v>914</v>
      </c>
      <c r="F43" s="21"/>
      <c r="G43" s="22"/>
      <c r="H43" s="22"/>
      <c r="I43" s="21"/>
      <c r="J43" s="21"/>
      <c r="K43" s="23"/>
      <c r="L43" s="22"/>
      <c r="M43" s="22"/>
      <c r="N43" s="22"/>
      <c r="O43" s="22">
        <v>800.0</v>
      </c>
      <c r="P43" s="24">
        <v>800.0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45577.0</v>
      </c>
      <c r="C44" s="18" t="s">
        <v>915</v>
      </c>
      <c r="D44" s="19">
        <v>60599.0</v>
      </c>
      <c r="E44" s="20" t="s">
        <v>916</v>
      </c>
      <c r="F44" s="21"/>
      <c r="G44" s="22"/>
      <c r="H44" s="22"/>
      <c r="I44" s="21"/>
      <c r="J44" s="21"/>
      <c r="K44" s="23"/>
      <c r="L44" s="22"/>
      <c r="M44" s="22"/>
      <c r="N44" s="22"/>
      <c r="O44" s="22">
        <v>2400.0</v>
      </c>
      <c r="P44" s="24">
        <v>2400.0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45577.0</v>
      </c>
      <c r="C45" s="18" t="s">
        <v>917</v>
      </c>
      <c r="D45" s="19">
        <v>60878.0</v>
      </c>
      <c r="E45" s="20" t="s">
        <v>918</v>
      </c>
      <c r="F45" s="21"/>
      <c r="G45" s="22"/>
      <c r="H45" s="22"/>
      <c r="I45" s="21"/>
      <c r="J45" s="21"/>
      <c r="K45" s="23"/>
      <c r="L45" s="22"/>
      <c r="M45" s="22"/>
      <c r="N45" s="22"/>
      <c r="O45" s="22">
        <v>800.0</v>
      </c>
      <c r="P45" s="24">
        <v>800.0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45577.0</v>
      </c>
      <c r="C46" s="18" t="s">
        <v>919</v>
      </c>
      <c r="D46" s="19">
        <v>60610.0</v>
      </c>
      <c r="E46" s="20" t="s">
        <v>920</v>
      </c>
      <c r="F46" s="21"/>
      <c r="G46" s="22"/>
      <c r="H46" s="22"/>
      <c r="I46" s="21"/>
      <c r="J46" s="21"/>
      <c r="K46" s="23"/>
      <c r="L46" s="22"/>
      <c r="M46" s="22"/>
      <c r="N46" s="22"/>
      <c r="O46" s="22">
        <v>1600.0</v>
      </c>
      <c r="P46" s="24">
        <v>1600.0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45577.0</v>
      </c>
      <c r="C47" s="18" t="s">
        <v>921</v>
      </c>
      <c r="D47" s="19">
        <v>60731.0</v>
      </c>
      <c r="E47" s="20" t="s">
        <v>922</v>
      </c>
      <c r="F47" s="21"/>
      <c r="G47" s="22"/>
      <c r="H47" s="22"/>
      <c r="I47" s="21"/>
      <c r="J47" s="21"/>
      <c r="K47" s="23"/>
      <c r="L47" s="22"/>
      <c r="M47" s="22"/>
      <c r="N47" s="22"/>
      <c r="O47" s="22">
        <v>1600.0</v>
      </c>
      <c r="P47" s="24">
        <v>1600.0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45577.0</v>
      </c>
      <c r="C48" s="18" t="s">
        <v>923</v>
      </c>
      <c r="D48" s="19">
        <v>60734.0</v>
      </c>
      <c r="E48" s="20" t="s">
        <v>924</v>
      </c>
      <c r="F48" s="21"/>
      <c r="G48" s="22"/>
      <c r="H48" s="22"/>
      <c r="I48" s="21"/>
      <c r="J48" s="21"/>
      <c r="K48" s="23"/>
      <c r="L48" s="22"/>
      <c r="M48" s="22"/>
      <c r="N48" s="22"/>
      <c r="O48" s="22">
        <v>1600.0</v>
      </c>
      <c r="P48" s="24">
        <v>1600.0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45577.0</v>
      </c>
      <c r="C49" s="18" t="s">
        <v>925</v>
      </c>
      <c r="D49" s="19">
        <v>60738.0</v>
      </c>
      <c r="E49" s="20" t="s">
        <v>926</v>
      </c>
      <c r="F49" s="21"/>
      <c r="G49" s="22"/>
      <c r="H49" s="22"/>
      <c r="I49" s="21"/>
      <c r="J49" s="21"/>
      <c r="K49" s="23"/>
      <c r="L49" s="22"/>
      <c r="M49" s="22"/>
      <c r="N49" s="22"/>
      <c r="O49" s="22">
        <v>800.0</v>
      </c>
      <c r="P49" s="24">
        <v>800.0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45577.0</v>
      </c>
      <c r="C50" s="18" t="s">
        <v>927</v>
      </c>
      <c r="D50" s="19">
        <v>55199.0</v>
      </c>
      <c r="E50" s="20" t="s">
        <v>928</v>
      </c>
      <c r="F50" s="21"/>
      <c r="G50" s="22"/>
      <c r="H50" s="22"/>
      <c r="I50" s="21"/>
      <c r="J50" s="21"/>
      <c r="K50" s="23"/>
      <c r="L50" s="22"/>
      <c r="M50" s="22"/>
      <c r="N50" s="22"/>
      <c r="O50" s="22">
        <v>2400.0</v>
      </c>
      <c r="P50" s="24">
        <v>2400.0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45577.0</v>
      </c>
      <c r="C51" s="18" t="s">
        <v>929</v>
      </c>
      <c r="D51" s="19">
        <v>55183.0</v>
      </c>
      <c r="E51" s="20" t="s">
        <v>930</v>
      </c>
      <c r="F51" s="21"/>
      <c r="G51" s="22"/>
      <c r="H51" s="22"/>
      <c r="I51" s="21"/>
      <c r="J51" s="21"/>
      <c r="K51" s="23"/>
      <c r="L51" s="22"/>
      <c r="M51" s="22"/>
      <c r="N51" s="22"/>
      <c r="O51" s="22">
        <v>2400.0</v>
      </c>
      <c r="P51" s="24">
        <v>2400.0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45577.0</v>
      </c>
      <c r="C52" s="18" t="s">
        <v>931</v>
      </c>
      <c r="D52" s="19">
        <v>55186.0</v>
      </c>
      <c r="E52" s="20" t="s">
        <v>932</v>
      </c>
      <c r="F52" s="21"/>
      <c r="G52" s="22"/>
      <c r="H52" s="22"/>
      <c r="I52" s="21"/>
      <c r="J52" s="21"/>
      <c r="K52" s="23"/>
      <c r="L52" s="22"/>
      <c r="M52" s="22"/>
      <c r="N52" s="22"/>
      <c r="O52" s="22">
        <v>800.0</v>
      </c>
      <c r="P52" s="24">
        <v>800.0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45577.0</v>
      </c>
      <c r="C53" s="18" t="s">
        <v>933</v>
      </c>
      <c r="D53" s="19">
        <v>52023.0</v>
      </c>
      <c r="E53" s="20" t="s">
        <v>934</v>
      </c>
      <c r="F53" s="21"/>
      <c r="G53" s="22"/>
      <c r="H53" s="22"/>
      <c r="I53" s="21"/>
      <c r="J53" s="21"/>
      <c r="K53" s="23"/>
      <c r="L53" s="22"/>
      <c r="M53" s="22"/>
      <c r="N53" s="22"/>
      <c r="O53" s="22">
        <v>2400.0</v>
      </c>
      <c r="P53" s="24">
        <v>2400.0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45577.0</v>
      </c>
      <c r="C54" s="18" t="s">
        <v>935</v>
      </c>
      <c r="D54" s="19">
        <v>52024.0</v>
      </c>
      <c r="E54" s="20" t="s">
        <v>936</v>
      </c>
      <c r="F54" s="21"/>
      <c r="G54" s="22"/>
      <c r="H54" s="22"/>
      <c r="I54" s="21"/>
      <c r="J54" s="21"/>
      <c r="K54" s="23"/>
      <c r="L54" s="22"/>
      <c r="M54" s="22"/>
      <c r="N54" s="22"/>
      <c r="O54" s="22">
        <v>2400.0</v>
      </c>
      <c r="P54" s="24">
        <v>2400.0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45577.0</v>
      </c>
      <c r="C55" s="18" t="s">
        <v>937</v>
      </c>
      <c r="D55" s="19">
        <v>60600.0</v>
      </c>
      <c r="E55" s="20" t="s">
        <v>938</v>
      </c>
      <c r="F55" s="21"/>
      <c r="G55" s="22"/>
      <c r="H55" s="22"/>
      <c r="I55" s="21"/>
      <c r="J55" s="21"/>
      <c r="K55" s="23"/>
      <c r="L55" s="22"/>
      <c r="M55" s="22"/>
      <c r="N55" s="22"/>
      <c r="O55" s="22">
        <v>2400.0</v>
      </c>
      <c r="P55" s="24">
        <v>2400.0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45577.0</v>
      </c>
      <c r="C56" s="18" t="s">
        <v>939</v>
      </c>
      <c r="D56" s="19">
        <v>52019.0</v>
      </c>
      <c r="E56" s="20" t="s">
        <v>940</v>
      </c>
      <c r="F56" s="21"/>
      <c r="G56" s="22"/>
      <c r="H56" s="22"/>
      <c r="I56" s="21"/>
      <c r="J56" s="21"/>
      <c r="K56" s="23"/>
      <c r="L56" s="22"/>
      <c r="M56" s="22"/>
      <c r="N56" s="22"/>
      <c r="O56" s="22">
        <v>2400.0</v>
      </c>
      <c r="P56" s="24">
        <v>2400.0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45578.0</v>
      </c>
      <c r="C57" s="18" t="s">
        <v>941</v>
      </c>
      <c r="D57" s="19">
        <v>51782.0</v>
      </c>
      <c r="E57" s="20" t="s">
        <v>261</v>
      </c>
      <c r="F57" s="21"/>
      <c r="G57" s="22"/>
      <c r="H57" s="22">
        <v>200.0</v>
      </c>
      <c r="I57" s="21"/>
      <c r="J57" s="21"/>
      <c r="K57" s="23"/>
      <c r="L57" s="22"/>
      <c r="M57" s="22"/>
      <c r="N57" s="22"/>
      <c r="O57" s="22"/>
      <c r="P57" s="24">
        <v>200.0</v>
      </c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7">
        <v>45578.0</v>
      </c>
      <c r="C58" s="18" t="s">
        <v>942</v>
      </c>
      <c r="D58" s="19">
        <v>57328.0</v>
      </c>
      <c r="E58" s="20" t="s">
        <v>943</v>
      </c>
      <c r="F58" s="21"/>
      <c r="G58" s="22"/>
      <c r="H58" s="22">
        <v>7500.0</v>
      </c>
      <c r="I58" s="21"/>
      <c r="J58" s="21"/>
      <c r="K58" s="23"/>
      <c r="L58" s="22"/>
      <c r="M58" s="22"/>
      <c r="N58" s="22"/>
      <c r="O58" s="22"/>
      <c r="P58" s="24">
        <v>7500.0</v>
      </c>
      <c r="Q58" s="25">
        <f t="shared" si="1"/>
        <v>0</v>
      </c>
      <c r="R58" s="24"/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7">
        <v>45579.0</v>
      </c>
      <c r="C59" s="18" t="s">
        <v>944</v>
      </c>
      <c r="D59" s="19">
        <v>52669.0</v>
      </c>
      <c r="E59" s="20" t="s">
        <v>364</v>
      </c>
      <c r="F59" s="21"/>
      <c r="G59" s="22"/>
      <c r="H59" s="22">
        <v>30450.0</v>
      </c>
      <c r="I59" s="21"/>
      <c r="J59" s="21"/>
      <c r="K59" s="23"/>
      <c r="L59" s="22"/>
      <c r="M59" s="22"/>
      <c r="N59" s="22"/>
      <c r="O59" s="22"/>
      <c r="P59" s="24">
        <v>30450.0</v>
      </c>
      <c r="Q59" s="25">
        <f t="shared" si="1"/>
        <v>0</v>
      </c>
      <c r="R59" s="24"/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7">
        <v>45579.0</v>
      </c>
      <c r="C60" s="18" t="s">
        <v>945</v>
      </c>
      <c r="D60" s="19">
        <v>21828.0</v>
      </c>
      <c r="E60" s="20" t="s">
        <v>150</v>
      </c>
      <c r="F60" s="21"/>
      <c r="G60" s="22"/>
      <c r="H60" s="22"/>
      <c r="I60" s="21"/>
      <c r="J60" s="21"/>
      <c r="K60" s="23"/>
      <c r="L60" s="22"/>
      <c r="M60" s="22">
        <v>1250.0</v>
      </c>
      <c r="N60" s="22"/>
      <c r="O60" s="22"/>
      <c r="P60" s="24">
        <v>1250.0</v>
      </c>
      <c r="Q60" s="25">
        <f t="shared" si="1"/>
        <v>0</v>
      </c>
      <c r="R60" s="24"/>
      <c r="S60" s="26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7">
        <v>45579.0</v>
      </c>
      <c r="C61" s="18" t="s">
        <v>946</v>
      </c>
      <c r="D61" s="19">
        <v>35761.0</v>
      </c>
      <c r="E61" s="20" t="s">
        <v>947</v>
      </c>
      <c r="F61" s="21"/>
      <c r="G61" s="22"/>
      <c r="H61" s="22">
        <v>5000.0</v>
      </c>
      <c r="I61" s="21"/>
      <c r="J61" s="21"/>
      <c r="K61" s="23"/>
      <c r="L61" s="22"/>
      <c r="M61" s="22"/>
      <c r="N61" s="22"/>
      <c r="O61" s="22"/>
      <c r="P61" s="24">
        <v>5000.0</v>
      </c>
      <c r="Q61" s="25">
        <f t="shared" si="1"/>
        <v>0</v>
      </c>
      <c r="R61" s="24"/>
      <c r="S61" s="26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7">
        <v>45579.0</v>
      </c>
      <c r="C62" s="18" t="s">
        <v>948</v>
      </c>
      <c r="D62" s="19">
        <v>69346.0</v>
      </c>
      <c r="E62" s="20" t="s">
        <v>876</v>
      </c>
      <c r="F62" s="21"/>
      <c r="G62" s="22"/>
      <c r="H62" s="22"/>
      <c r="I62" s="21"/>
      <c r="J62" s="21"/>
      <c r="K62" s="23"/>
      <c r="L62" s="22"/>
      <c r="M62" s="22"/>
      <c r="N62" s="22"/>
      <c r="O62" s="22">
        <v>2400.0</v>
      </c>
      <c r="P62" s="24">
        <v>2400.0</v>
      </c>
      <c r="Q62" s="25">
        <f t="shared" si="1"/>
        <v>0</v>
      </c>
      <c r="R62" s="24"/>
      <c r="S62" s="26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27">
        <v>45579.0</v>
      </c>
      <c r="C63" s="18" t="s">
        <v>949</v>
      </c>
      <c r="D63" s="19">
        <v>77203.0</v>
      </c>
      <c r="E63" s="20" t="s">
        <v>894</v>
      </c>
      <c r="F63" s="21"/>
      <c r="G63" s="22"/>
      <c r="H63" s="22"/>
      <c r="I63" s="21"/>
      <c r="J63" s="21"/>
      <c r="K63" s="23"/>
      <c r="L63" s="22"/>
      <c r="M63" s="22"/>
      <c r="N63" s="22"/>
      <c r="O63" s="22">
        <v>1200.0</v>
      </c>
      <c r="P63" s="24">
        <v>1200.0</v>
      </c>
      <c r="Q63" s="25">
        <f t="shared" si="1"/>
        <v>0</v>
      </c>
      <c r="R63" s="24"/>
      <c r="S63" s="26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27">
        <v>45579.0</v>
      </c>
      <c r="C64" s="18" t="s">
        <v>950</v>
      </c>
      <c r="D64" s="19">
        <v>30895.0</v>
      </c>
      <c r="E64" s="20" t="s">
        <v>896</v>
      </c>
      <c r="F64" s="21"/>
      <c r="G64" s="22"/>
      <c r="H64" s="22"/>
      <c r="I64" s="21"/>
      <c r="J64" s="21"/>
      <c r="K64" s="23"/>
      <c r="L64" s="22"/>
      <c r="M64" s="22"/>
      <c r="N64" s="22"/>
      <c r="O64" s="22">
        <v>6000.0</v>
      </c>
      <c r="P64" s="24">
        <v>6000.0</v>
      </c>
      <c r="Q64" s="25">
        <f t="shared" si="1"/>
        <v>0</v>
      </c>
      <c r="R64" s="24"/>
      <c r="S64" s="26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27">
        <v>45579.0</v>
      </c>
      <c r="C65" s="18" t="s">
        <v>951</v>
      </c>
      <c r="D65" s="19">
        <v>49943.0</v>
      </c>
      <c r="E65" s="20" t="s">
        <v>952</v>
      </c>
      <c r="F65" s="21"/>
      <c r="G65" s="22"/>
      <c r="H65" s="22"/>
      <c r="I65" s="21"/>
      <c r="J65" s="21"/>
      <c r="K65" s="23"/>
      <c r="L65" s="22"/>
      <c r="M65" s="22"/>
      <c r="N65" s="22"/>
      <c r="O65" s="22">
        <v>1200.0</v>
      </c>
      <c r="P65" s="24">
        <v>1200.0</v>
      </c>
      <c r="Q65" s="25">
        <f t="shared" si="1"/>
        <v>0</v>
      </c>
      <c r="R65" s="24"/>
      <c r="S65" s="26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27">
        <v>45579.0</v>
      </c>
      <c r="C66" s="18" t="s">
        <v>953</v>
      </c>
      <c r="D66" s="19">
        <v>13762.0</v>
      </c>
      <c r="E66" s="20" t="s">
        <v>339</v>
      </c>
      <c r="F66" s="21"/>
      <c r="G66" s="22"/>
      <c r="H66" s="22"/>
      <c r="I66" s="21"/>
      <c r="J66" s="21"/>
      <c r="K66" s="23"/>
      <c r="L66" s="22"/>
      <c r="M66" s="22"/>
      <c r="N66" s="22"/>
      <c r="O66" s="22">
        <v>1200.0</v>
      </c>
      <c r="P66" s="24">
        <v>1200.0</v>
      </c>
      <c r="Q66" s="25">
        <f t="shared" si="1"/>
        <v>0</v>
      </c>
      <c r="R66" s="24"/>
      <c r="S66" s="26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4.5" customHeight="1">
      <c r="A67" s="16"/>
      <c r="B67" s="27"/>
      <c r="C67" s="18"/>
      <c r="D67" s="19"/>
      <c r="E67" s="20"/>
      <c r="F67" s="21"/>
      <c r="G67" s="22"/>
      <c r="H67" s="22"/>
      <c r="I67" s="21"/>
      <c r="J67" s="21"/>
      <c r="K67" s="23"/>
      <c r="L67" s="22"/>
      <c r="M67" s="22"/>
      <c r="N67" s="22"/>
      <c r="O67" s="22"/>
      <c r="P67" s="24"/>
      <c r="Q67" s="25"/>
      <c r="R67" s="24"/>
      <c r="S67" s="26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37.5" customHeight="1">
      <c r="A68" s="16"/>
      <c r="B68" s="27"/>
      <c r="C68" s="18"/>
      <c r="D68" s="19" t="s">
        <v>190</v>
      </c>
      <c r="E68" s="20"/>
      <c r="F68" s="45">
        <f t="shared" ref="F68:O68" si="2">SUM(F5:F66)</f>
        <v>0</v>
      </c>
      <c r="G68" s="45">
        <f t="shared" si="2"/>
        <v>32500</v>
      </c>
      <c r="H68" s="45">
        <f t="shared" si="2"/>
        <v>43150</v>
      </c>
      <c r="I68" s="45">
        <f t="shared" si="2"/>
        <v>112650</v>
      </c>
      <c r="J68" s="45">
        <f t="shared" si="2"/>
        <v>45350</v>
      </c>
      <c r="K68" s="45">
        <f t="shared" si="2"/>
        <v>27000</v>
      </c>
      <c r="L68" s="45">
        <f t="shared" si="2"/>
        <v>0</v>
      </c>
      <c r="M68" s="45">
        <f t="shared" si="2"/>
        <v>3750</v>
      </c>
      <c r="N68" s="45">
        <f t="shared" si="2"/>
        <v>0</v>
      </c>
      <c r="O68" s="45">
        <f t="shared" si="2"/>
        <v>36800</v>
      </c>
      <c r="P68" s="45">
        <f>SUM(P5:P67)</f>
        <v>301200</v>
      </c>
      <c r="Q68" s="46">
        <f>SUM(Q5:Q22)</f>
        <v>0</v>
      </c>
      <c r="R68" s="47"/>
      <c r="S68" s="26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</row>
    <row r="69" ht="58.5" customHeight="1">
      <c r="A69" s="48"/>
      <c r="B69" s="48"/>
      <c r="C69" s="49"/>
      <c r="D69" s="48"/>
      <c r="E69" s="48"/>
      <c r="F69" s="50">
        <f>F68+G68+H68+I68+J68+K68+L68+M68+N68+O68</f>
        <v>301200</v>
      </c>
      <c r="P69" s="51"/>
      <c r="Q69" s="51"/>
      <c r="R69" s="48"/>
      <c r="S69" s="48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53" t="s">
        <v>190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52"/>
      <c r="D73" s="4"/>
      <c r="E73" s="54" t="s">
        <v>191</v>
      </c>
      <c r="F73" s="60" t="s">
        <v>540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52"/>
      <c r="D74" s="4"/>
      <c r="E74" s="56" t="s">
        <v>193</v>
      </c>
      <c r="F74" s="60" t="s">
        <v>622</v>
      </c>
      <c r="G74" s="4"/>
      <c r="H74" s="4"/>
      <c r="I74" s="4"/>
      <c r="J74" s="4"/>
      <c r="K74" s="4"/>
      <c r="L74" s="4"/>
      <c r="M74" s="4"/>
      <c r="N74" s="4"/>
      <c r="O74" s="57" t="s">
        <v>190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52"/>
      <c r="D75" s="4"/>
      <c r="E75" s="56" t="s">
        <v>195</v>
      </c>
      <c r="F75" s="60" t="s">
        <v>622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52"/>
      <c r="D76" s="4"/>
      <c r="E76" s="56" t="s">
        <v>197</v>
      </c>
      <c r="F76" s="55" t="s">
        <v>196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52"/>
      <c r="D77" s="4"/>
      <c r="E77" s="56" t="s">
        <v>198</v>
      </c>
      <c r="F77" s="60" t="s">
        <v>540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52"/>
      <c r="D78" s="4"/>
      <c r="E78" s="56" t="s">
        <v>954</v>
      </c>
      <c r="F78" s="60" t="s">
        <v>540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26.25" customHeight="1">
      <c r="A79" s="4"/>
      <c r="B79" s="4"/>
      <c r="C79" s="52"/>
      <c r="D79" s="4"/>
      <c r="E79" s="56" t="s">
        <v>201</v>
      </c>
      <c r="F79" s="61" t="s">
        <v>815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26.25" customHeight="1">
      <c r="A80" s="4"/>
      <c r="B80" s="4"/>
      <c r="C80" s="52"/>
      <c r="D80" s="4"/>
      <c r="E80" s="56" t="s">
        <v>203</v>
      </c>
      <c r="F80" s="58" t="s">
        <v>204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7" t="s">
        <v>190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26.2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 t="str">
        <f>I72468</f>
        <v/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26.2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57" t="s">
        <v>205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 t="s">
        <v>190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>
        <v>7.0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5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5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5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5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5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5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5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5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5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5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R2:R4"/>
    <mergeCell ref="S2:S4"/>
    <mergeCell ref="F3:F4"/>
    <mergeCell ref="G3:H3"/>
    <mergeCell ref="I3:J3"/>
    <mergeCell ref="K3:K4"/>
    <mergeCell ref="F69:O6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955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45580.0</v>
      </c>
      <c r="C5" s="18" t="s">
        <v>956</v>
      </c>
      <c r="D5" s="19">
        <v>83907.0</v>
      </c>
      <c r="E5" s="20" t="s">
        <v>957</v>
      </c>
      <c r="F5" s="21"/>
      <c r="G5" s="22"/>
      <c r="H5" s="22"/>
      <c r="I5" s="21">
        <v>30000.0</v>
      </c>
      <c r="J5" s="22"/>
      <c r="K5" s="22"/>
      <c r="L5" s="22"/>
      <c r="M5" s="21"/>
      <c r="N5" s="22"/>
      <c r="O5" s="22"/>
      <c r="P5" s="24">
        <v>30000.0</v>
      </c>
      <c r="Q5" s="25">
        <f t="shared" ref="Q5:Q44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45580.0</v>
      </c>
      <c r="C6" s="18" t="s">
        <v>958</v>
      </c>
      <c r="D6" s="19">
        <v>62006.0</v>
      </c>
      <c r="E6" s="20" t="s">
        <v>959</v>
      </c>
      <c r="F6" s="22"/>
      <c r="G6" s="22"/>
      <c r="H6" s="21"/>
      <c r="I6" s="21">
        <v>8350.0</v>
      </c>
      <c r="J6" s="23"/>
      <c r="K6" s="22"/>
      <c r="L6" s="22"/>
      <c r="M6" s="22"/>
      <c r="N6" s="22"/>
      <c r="O6" s="22"/>
      <c r="P6" s="24">
        <v>8350.0</v>
      </c>
      <c r="Q6" s="25">
        <f t="shared" si="1"/>
        <v>0</v>
      </c>
      <c r="R6" s="24" t="s">
        <v>48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45580.0</v>
      </c>
      <c r="C7" s="18" t="s">
        <v>960</v>
      </c>
      <c r="D7" s="19">
        <v>48854.0</v>
      </c>
      <c r="E7" s="20" t="s">
        <v>648</v>
      </c>
      <c r="F7" s="22"/>
      <c r="G7" s="22"/>
      <c r="H7" s="22"/>
      <c r="I7" s="21">
        <v>5150.0</v>
      </c>
      <c r="J7" s="21"/>
      <c r="K7" s="22"/>
      <c r="L7" s="22"/>
      <c r="M7" s="21"/>
      <c r="N7" s="22"/>
      <c r="O7" s="22"/>
      <c r="P7" s="24">
        <v>5150.0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45580.0</v>
      </c>
      <c r="C8" s="18" t="s">
        <v>961</v>
      </c>
      <c r="D8" s="19">
        <v>85078.0</v>
      </c>
      <c r="E8" s="20" t="s">
        <v>962</v>
      </c>
      <c r="F8" s="22"/>
      <c r="G8" s="22"/>
      <c r="H8" s="22"/>
      <c r="I8" s="21">
        <v>300.0</v>
      </c>
      <c r="J8" s="21"/>
      <c r="K8" s="22"/>
      <c r="L8" s="22"/>
      <c r="M8" s="21"/>
      <c r="N8" s="22"/>
      <c r="O8" s="22"/>
      <c r="P8" s="24">
        <v>300.0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45580.0</v>
      </c>
      <c r="C9" s="30" t="s">
        <v>963</v>
      </c>
      <c r="D9" s="31">
        <v>78023.0</v>
      </c>
      <c r="E9" s="32" t="s">
        <v>964</v>
      </c>
      <c r="F9" s="22"/>
      <c r="G9" s="22"/>
      <c r="H9" s="22"/>
      <c r="I9" s="21">
        <v>3550.0</v>
      </c>
      <c r="J9" s="21"/>
      <c r="K9" s="22"/>
      <c r="L9" s="22"/>
      <c r="M9" s="21"/>
      <c r="N9" s="22"/>
      <c r="O9" s="22"/>
      <c r="P9" s="33">
        <v>3550.0</v>
      </c>
      <c r="Q9" s="25">
        <f t="shared" si="1"/>
        <v>0</v>
      </c>
      <c r="R9" s="33" t="s">
        <v>48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45580.0</v>
      </c>
      <c r="C10" s="18" t="s">
        <v>965</v>
      </c>
      <c r="D10" s="19">
        <v>79705.0</v>
      </c>
      <c r="E10" s="20" t="s">
        <v>966</v>
      </c>
      <c r="F10" s="22"/>
      <c r="G10" s="22"/>
      <c r="H10" s="22"/>
      <c r="I10" s="21">
        <v>2700.0</v>
      </c>
      <c r="J10" s="21"/>
      <c r="K10" s="22"/>
      <c r="L10" s="22"/>
      <c r="M10" s="21"/>
      <c r="N10" s="22"/>
      <c r="O10" s="22"/>
      <c r="P10" s="24">
        <v>2700.0</v>
      </c>
      <c r="Q10" s="25">
        <f t="shared" si="1"/>
        <v>0</v>
      </c>
      <c r="R10" s="24" t="s">
        <v>57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45580.0</v>
      </c>
      <c r="C11" s="18" t="s">
        <v>967</v>
      </c>
      <c r="D11" s="19">
        <v>59269.0</v>
      </c>
      <c r="E11" s="20" t="s">
        <v>968</v>
      </c>
      <c r="F11" s="22"/>
      <c r="G11" s="22"/>
      <c r="H11" s="22"/>
      <c r="I11" s="21">
        <v>2650.0</v>
      </c>
      <c r="J11" s="21"/>
      <c r="K11" s="22"/>
      <c r="L11" s="22"/>
      <c r="M11" s="21"/>
      <c r="N11" s="22"/>
      <c r="O11" s="22"/>
      <c r="P11" s="24">
        <v>2650.0</v>
      </c>
      <c r="Q11" s="25">
        <f t="shared" si="1"/>
        <v>0</v>
      </c>
      <c r="R11" s="24" t="s">
        <v>57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45580.0</v>
      </c>
      <c r="C12" s="18" t="s">
        <v>969</v>
      </c>
      <c r="D12" s="19">
        <v>81108.0</v>
      </c>
      <c r="E12" s="20" t="s">
        <v>86</v>
      </c>
      <c r="F12" s="22"/>
      <c r="G12" s="22"/>
      <c r="H12" s="22"/>
      <c r="I12" s="21">
        <v>11900.0</v>
      </c>
      <c r="J12" s="21"/>
      <c r="K12" s="22"/>
      <c r="L12" s="22"/>
      <c r="M12" s="21"/>
      <c r="N12" s="22"/>
      <c r="O12" s="22"/>
      <c r="P12" s="24">
        <v>11900.0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45580.0</v>
      </c>
      <c r="C13" s="18" t="s">
        <v>970</v>
      </c>
      <c r="D13" s="19">
        <v>26831.0</v>
      </c>
      <c r="E13" s="20" t="s">
        <v>762</v>
      </c>
      <c r="F13" s="22"/>
      <c r="G13" s="22"/>
      <c r="H13" s="22"/>
      <c r="I13" s="21"/>
      <c r="J13" s="21">
        <v>14000.0</v>
      </c>
      <c r="K13" s="22"/>
      <c r="L13" s="22"/>
      <c r="M13" s="22"/>
      <c r="N13" s="22"/>
      <c r="O13" s="22"/>
      <c r="P13" s="24">
        <v>14000.0</v>
      </c>
      <c r="Q13" s="25">
        <f t="shared" si="1"/>
        <v>0</v>
      </c>
      <c r="R13" s="24" t="s">
        <v>48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45580.0</v>
      </c>
      <c r="C14" s="30" t="s">
        <v>971</v>
      </c>
      <c r="D14" s="31">
        <v>26831.0</v>
      </c>
      <c r="E14" s="32" t="s">
        <v>762</v>
      </c>
      <c r="F14" s="22"/>
      <c r="G14" s="22"/>
      <c r="H14" s="22"/>
      <c r="I14" s="21"/>
      <c r="J14" s="21">
        <v>25000.0</v>
      </c>
      <c r="K14" s="22"/>
      <c r="L14" s="22"/>
      <c r="M14" s="21"/>
      <c r="N14" s="22"/>
      <c r="O14" s="22"/>
      <c r="P14" s="33">
        <v>25000.0</v>
      </c>
      <c r="Q14" s="25">
        <f t="shared" si="1"/>
        <v>0</v>
      </c>
      <c r="R14" s="33" t="s">
        <v>48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45580.0</v>
      </c>
      <c r="C15" s="18" t="s">
        <v>972</v>
      </c>
      <c r="D15" s="19">
        <v>26831.0</v>
      </c>
      <c r="E15" s="20" t="s">
        <v>762</v>
      </c>
      <c r="F15" s="22"/>
      <c r="G15" s="22"/>
      <c r="H15" s="22"/>
      <c r="I15" s="23"/>
      <c r="J15" s="23">
        <v>5000.0</v>
      </c>
      <c r="K15" s="22"/>
      <c r="L15" s="22"/>
      <c r="M15" s="22"/>
      <c r="N15" s="22"/>
      <c r="O15" s="22"/>
      <c r="P15" s="24">
        <v>5000.0</v>
      </c>
      <c r="Q15" s="25">
        <f t="shared" si="1"/>
        <v>0</v>
      </c>
      <c r="R15" s="24" t="s">
        <v>48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45580.0</v>
      </c>
      <c r="C16" s="18" t="s">
        <v>973</v>
      </c>
      <c r="D16" s="19">
        <v>81767.0</v>
      </c>
      <c r="E16" s="20" t="s">
        <v>974</v>
      </c>
      <c r="F16" s="21"/>
      <c r="G16" s="22"/>
      <c r="H16" s="22"/>
      <c r="I16" s="35"/>
      <c r="J16" s="22">
        <v>300.0</v>
      </c>
      <c r="K16" s="36"/>
      <c r="L16" s="22"/>
      <c r="M16" s="22"/>
      <c r="N16" s="22"/>
      <c r="O16" s="22"/>
      <c r="P16" s="24">
        <v>300.0</v>
      </c>
      <c r="Q16" s="25">
        <f t="shared" si="1"/>
        <v>0</v>
      </c>
      <c r="R16" s="24" t="s">
        <v>35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45580.0</v>
      </c>
      <c r="C17" s="18" t="s">
        <v>975</v>
      </c>
      <c r="D17" s="19">
        <v>46927.0</v>
      </c>
      <c r="E17" s="20" t="s">
        <v>94</v>
      </c>
      <c r="F17" s="21"/>
      <c r="G17" s="22"/>
      <c r="H17" s="22"/>
      <c r="I17" s="21">
        <v>2650.0</v>
      </c>
      <c r="J17" s="21"/>
      <c r="K17" s="21"/>
      <c r="L17" s="22"/>
      <c r="M17" s="22"/>
      <c r="N17" s="22"/>
      <c r="O17" s="22"/>
      <c r="P17" s="24">
        <v>2650.0</v>
      </c>
      <c r="Q17" s="25">
        <f t="shared" si="1"/>
        <v>0</v>
      </c>
      <c r="R17" s="24" t="s">
        <v>35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45580.0</v>
      </c>
      <c r="C18" s="38" t="s">
        <v>976</v>
      </c>
      <c r="D18" s="39">
        <v>77582.0</v>
      </c>
      <c r="E18" s="40" t="s">
        <v>977</v>
      </c>
      <c r="F18" s="35"/>
      <c r="G18" s="41"/>
      <c r="H18" s="41"/>
      <c r="I18" s="35"/>
      <c r="J18" s="35">
        <v>4875.0</v>
      </c>
      <c r="K18" s="42"/>
      <c r="L18" s="41"/>
      <c r="M18" s="41"/>
      <c r="N18" s="41"/>
      <c r="O18" s="41"/>
      <c r="P18" s="43">
        <v>4875.0</v>
      </c>
      <c r="Q18" s="25">
        <f t="shared" si="1"/>
        <v>0</v>
      </c>
      <c r="R18" s="43" t="s">
        <v>35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45580.0</v>
      </c>
      <c r="C19" s="18" t="s">
        <v>978</v>
      </c>
      <c r="D19" s="19">
        <v>85079.0</v>
      </c>
      <c r="E19" s="20" t="s">
        <v>979</v>
      </c>
      <c r="F19" s="21"/>
      <c r="G19" s="22"/>
      <c r="H19" s="22"/>
      <c r="I19" s="21">
        <v>6050.0</v>
      </c>
      <c r="J19" s="22"/>
      <c r="K19" s="36"/>
      <c r="L19" s="22"/>
      <c r="M19" s="22"/>
      <c r="N19" s="22"/>
      <c r="O19" s="22"/>
      <c r="P19" s="24">
        <v>6050.0</v>
      </c>
      <c r="Q19" s="25">
        <f t="shared" si="1"/>
        <v>0</v>
      </c>
      <c r="R19" s="24" t="s">
        <v>25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45580.0</v>
      </c>
      <c r="C20" s="18" t="s">
        <v>980</v>
      </c>
      <c r="D20" s="19">
        <v>85079.0</v>
      </c>
      <c r="E20" s="20" t="s">
        <v>979</v>
      </c>
      <c r="F20" s="21"/>
      <c r="G20" s="22"/>
      <c r="H20" s="22"/>
      <c r="I20" s="21">
        <v>3750.0</v>
      </c>
      <c r="J20" s="21"/>
      <c r="K20" s="36"/>
      <c r="L20" s="22"/>
      <c r="M20" s="22"/>
      <c r="N20" s="22"/>
      <c r="O20" s="22"/>
      <c r="P20" s="24">
        <v>3750.0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45580.0</v>
      </c>
      <c r="C21" s="18" t="s">
        <v>981</v>
      </c>
      <c r="D21" s="19">
        <v>83066.0</v>
      </c>
      <c r="E21" s="20" t="s">
        <v>179</v>
      </c>
      <c r="F21" s="21"/>
      <c r="G21" s="22"/>
      <c r="H21" s="22"/>
      <c r="I21" s="36"/>
      <c r="J21" s="21">
        <v>4500.0</v>
      </c>
      <c r="K21" s="36"/>
      <c r="L21" s="22"/>
      <c r="M21" s="22"/>
      <c r="N21" s="22"/>
      <c r="O21" s="22"/>
      <c r="P21" s="24">
        <v>4500.0</v>
      </c>
      <c r="Q21" s="25">
        <f t="shared" si="1"/>
        <v>0</v>
      </c>
      <c r="R21" s="24" t="s">
        <v>48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45580.0</v>
      </c>
      <c r="C22" s="18" t="s">
        <v>982</v>
      </c>
      <c r="D22" s="19">
        <v>26831.0</v>
      </c>
      <c r="E22" s="20" t="s">
        <v>762</v>
      </c>
      <c r="F22" s="21"/>
      <c r="G22" s="22"/>
      <c r="H22" s="22"/>
      <c r="I22" s="21"/>
      <c r="J22" s="21">
        <v>5000.0</v>
      </c>
      <c r="K22" s="23"/>
      <c r="L22" s="22"/>
      <c r="M22" s="22"/>
      <c r="N22" s="22"/>
      <c r="O22" s="22"/>
      <c r="P22" s="24">
        <v>5000.0</v>
      </c>
      <c r="Q22" s="25">
        <f t="shared" si="1"/>
        <v>0</v>
      </c>
      <c r="R22" s="24" t="s">
        <v>28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45580.0</v>
      </c>
      <c r="C23" s="18" t="s">
        <v>983</v>
      </c>
      <c r="D23" s="19">
        <v>54764.0</v>
      </c>
      <c r="E23" s="20" t="s">
        <v>286</v>
      </c>
      <c r="F23" s="21"/>
      <c r="G23" s="22"/>
      <c r="H23" s="22"/>
      <c r="I23" s="21">
        <v>2000.0</v>
      </c>
      <c r="J23" s="21"/>
      <c r="K23" s="23"/>
      <c r="L23" s="22"/>
      <c r="M23" s="22"/>
      <c r="N23" s="22"/>
      <c r="O23" s="22"/>
      <c r="P23" s="24">
        <v>2000.0</v>
      </c>
      <c r="Q23" s="25">
        <f t="shared" si="1"/>
        <v>0</v>
      </c>
      <c r="R23" s="24" t="s">
        <v>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45580.0</v>
      </c>
      <c r="C24" s="18" t="s">
        <v>984</v>
      </c>
      <c r="D24" s="19">
        <v>29620.0</v>
      </c>
      <c r="E24" s="20" t="s">
        <v>985</v>
      </c>
      <c r="F24" s="21"/>
      <c r="G24" s="22"/>
      <c r="H24" s="22"/>
      <c r="I24" s="21">
        <v>4650.0</v>
      </c>
      <c r="J24" s="21"/>
      <c r="K24" s="23"/>
      <c r="L24" s="22"/>
      <c r="M24" s="22"/>
      <c r="N24" s="22"/>
      <c r="O24" s="22"/>
      <c r="P24" s="24">
        <v>4650.0</v>
      </c>
      <c r="Q24" s="25">
        <f t="shared" si="1"/>
        <v>0</v>
      </c>
      <c r="R24" s="24" t="s">
        <v>57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45580.0</v>
      </c>
      <c r="C25" s="18" t="s">
        <v>986</v>
      </c>
      <c r="D25" s="19">
        <v>36253.0</v>
      </c>
      <c r="E25" s="20" t="s">
        <v>987</v>
      </c>
      <c r="F25" s="21"/>
      <c r="G25" s="22"/>
      <c r="H25" s="22"/>
      <c r="I25" s="21">
        <v>2400.0</v>
      </c>
      <c r="J25" s="21"/>
      <c r="K25" s="23"/>
      <c r="L25" s="22"/>
      <c r="M25" s="22"/>
      <c r="N25" s="22"/>
      <c r="O25" s="22"/>
      <c r="P25" s="24">
        <v>2400.0</v>
      </c>
      <c r="Q25" s="25">
        <f t="shared" si="1"/>
        <v>0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45580.0</v>
      </c>
      <c r="C26" s="18" t="s">
        <v>988</v>
      </c>
      <c r="D26" s="19">
        <v>85081.0</v>
      </c>
      <c r="E26" s="20" t="s">
        <v>989</v>
      </c>
      <c r="F26" s="21"/>
      <c r="G26" s="22"/>
      <c r="H26" s="22"/>
      <c r="I26" s="21"/>
      <c r="J26" s="21">
        <v>300.0</v>
      </c>
      <c r="K26" s="23"/>
      <c r="L26" s="22"/>
      <c r="M26" s="22"/>
      <c r="N26" s="22"/>
      <c r="O26" s="22"/>
      <c r="P26" s="24">
        <v>300.0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45580.0</v>
      </c>
      <c r="C27" s="18" t="s">
        <v>990</v>
      </c>
      <c r="D27" s="19">
        <v>76394.0</v>
      </c>
      <c r="E27" s="20" t="s">
        <v>991</v>
      </c>
      <c r="F27" s="21"/>
      <c r="G27" s="22"/>
      <c r="H27" s="22"/>
      <c r="I27" s="21">
        <v>2650.0</v>
      </c>
      <c r="J27" s="21"/>
      <c r="K27" s="23"/>
      <c r="L27" s="22"/>
      <c r="M27" s="22"/>
      <c r="N27" s="22"/>
      <c r="O27" s="22"/>
      <c r="P27" s="24">
        <v>2650.0</v>
      </c>
      <c r="Q27" s="25">
        <f t="shared" si="1"/>
        <v>0</v>
      </c>
      <c r="R27" s="24" t="s">
        <v>28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45580.0</v>
      </c>
      <c r="C28" s="18" t="s">
        <v>992</v>
      </c>
      <c r="D28" s="19">
        <v>52083.0</v>
      </c>
      <c r="E28" s="20" t="s">
        <v>24</v>
      </c>
      <c r="F28" s="21"/>
      <c r="G28" s="22"/>
      <c r="H28" s="22"/>
      <c r="I28" s="21">
        <v>3600.0</v>
      </c>
      <c r="J28" s="21"/>
      <c r="K28" s="23"/>
      <c r="L28" s="22"/>
      <c r="M28" s="22"/>
      <c r="N28" s="22"/>
      <c r="O28" s="22"/>
      <c r="P28" s="24">
        <v>3600.0</v>
      </c>
      <c r="Q28" s="25">
        <f t="shared" si="1"/>
        <v>0</v>
      </c>
      <c r="R28" s="24" t="s">
        <v>28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45580.0</v>
      </c>
      <c r="C29" s="18" t="s">
        <v>993</v>
      </c>
      <c r="D29" s="19">
        <v>51686.0</v>
      </c>
      <c r="E29" s="20" t="s">
        <v>994</v>
      </c>
      <c r="F29" s="21"/>
      <c r="G29" s="22"/>
      <c r="H29" s="22"/>
      <c r="I29" s="21"/>
      <c r="J29" s="21"/>
      <c r="K29" s="23"/>
      <c r="L29" s="22"/>
      <c r="M29" s="22">
        <v>2500.0</v>
      </c>
      <c r="N29" s="22"/>
      <c r="O29" s="22"/>
      <c r="P29" s="24">
        <v>2500.0</v>
      </c>
      <c r="Q29" s="25">
        <f t="shared" si="1"/>
        <v>0</v>
      </c>
      <c r="R29" s="24" t="s">
        <v>35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45580.0</v>
      </c>
      <c r="C30" s="18" t="s">
        <v>995</v>
      </c>
      <c r="D30" s="19">
        <v>31927.0</v>
      </c>
      <c r="E30" s="20" t="s">
        <v>177</v>
      </c>
      <c r="F30" s="21"/>
      <c r="G30" s="22"/>
      <c r="H30" s="22"/>
      <c r="I30" s="21">
        <v>4500.0</v>
      </c>
      <c r="J30" s="21"/>
      <c r="K30" s="23"/>
      <c r="L30" s="22"/>
      <c r="M30" s="22"/>
      <c r="N30" s="22"/>
      <c r="O30" s="22"/>
      <c r="P30" s="24">
        <v>4500.0</v>
      </c>
      <c r="Q30" s="25">
        <f t="shared" si="1"/>
        <v>0</v>
      </c>
      <c r="R30" s="24" t="s">
        <v>57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45580.0</v>
      </c>
      <c r="C31" s="18" t="s">
        <v>996</v>
      </c>
      <c r="D31" s="19">
        <v>84683.0</v>
      </c>
      <c r="E31" s="20" t="s">
        <v>411</v>
      </c>
      <c r="F31" s="21"/>
      <c r="G31" s="22"/>
      <c r="H31" s="22"/>
      <c r="I31" s="21">
        <v>300.0</v>
      </c>
      <c r="J31" s="21"/>
      <c r="K31" s="23"/>
      <c r="L31" s="22"/>
      <c r="M31" s="22"/>
      <c r="N31" s="22"/>
      <c r="O31" s="22"/>
      <c r="P31" s="24">
        <v>300.0</v>
      </c>
      <c r="Q31" s="25">
        <f t="shared" si="1"/>
        <v>0</v>
      </c>
      <c r="R31" s="24" t="s">
        <v>35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45580.0</v>
      </c>
      <c r="C32" s="18" t="s">
        <v>997</v>
      </c>
      <c r="D32" s="19">
        <v>60369.0</v>
      </c>
      <c r="E32" s="20" t="s">
        <v>998</v>
      </c>
      <c r="F32" s="21"/>
      <c r="G32" s="22"/>
      <c r="H32" s="22"/>
      <c r="I32" s="21"/>
      <c r="J32" s="21">
        <v>2650.0</v>
      </c>
      <c r="K32" s="23"/>
      <c r="L32" s="22"/>
      <c r="M32" s="22"/>
      <c r="N32" s="22"/>
      <c r="O32" s="22"/>
      <c r="P32" s="24">
        <v>2650.0</v>
      </c>
      <c r="Q32" s="25">
        <f t="shared" si="1"/>
        <v>0</v>
      </c>
      <c r="R32" s="24" t="s">
        <v>35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45580.0</v>
      </c>
      <c r="C33" s="18" t="s">
        <v>999</v>
      </c>
      <c r="D33" s="19">
        <v>61445.0</v>
      </c>
      <c r="E33" s="20" t="s">
        <v>351</v>
      </c>
      <c r="F33" s="21"/>
      <c r="G33" s="22"/>
      <c r="H33" s="22"/>
      <c r="I33" s="21"/>
      <c r="J33" s="21"/>
      <c r="K33" s="23"/>
      <c r="L33" s="22"/>
      <c r="M33" s="22">
        <v>5000.0</v>
      </c>
      <c r="N33" s="22"/>
      <c r="O33" s="22"/>
      <c r="P33" s="24">
        <v>5000.0</v>
      </c>
      <c r="Q33" s="25">
        <f t="shared" si="1"/>
        <v>0</v>
      </c>
      <c r="R33" s="24" t="s">
        <v>35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45580.0</v>
      </c>
      <c r="C34" s="18" t="s">
        <v>1000</v>
      </c>
      <c r="D34" s="19">
        <v>21818.0</v>
      </c>
      <c r="E34" s="20" t="s">
        <v>237</v>
      </c>
      <c r="F34" s="21"/>
      <c r="G34" s="22"/>
      <c r="H34" s="22"/>
      <c r="I34" s="21"/>
      <c r="J34" s="21"/>
      <c r="K34" s="23">
        <v>18000.0</v>
      </c>
      <c r="L34" s="22"/>
      <c r="M34" s="22"/>
      <c r="N34" s="22"/>
      <c r="O34" s="22"/>
      <c r="P34" s="24">
        <v>18000.0</v>
      </c>
      <c r="Q34" s="25">
        <f t="shared" si="1"/>
        <v>0</v>
      </c>
      <c r="R34" s="24" t="s">
        <v>35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45580.0</v>
      </c>
      <c r="C35" s="18" t="s">
        <v>1001</v>
      </c>
      <c r="D35" s="19">
        <v>21818.0</v>
      </c>
      <c r="E35" s="20" t="s">
        <v>237</v>
      </c>
      <c r="F35" s="21"/>
      <c r="G35" s="22"/>
      <c r="H35" s="22"/>
      <c r="I35" s="21"/>
      <c r="J35" s="21"/>
      <c r="K35" s="23">
        <v>900.0</v>
      </c>
      <c r="L35" s="22"/>
      <c r="M35" s="22"/>
      <c r="N35" s="22"/>
      <c r="O35" s="22"/>
      <c r="P35" s="24">
        <v>900.0</v>
      </c>
      <c r="Q35" s="25">
        <f t="shared" si="1"/>
        <v>0</v>
      </c>
      <c r="R35" s="24" t="s">
        <v>35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45579.0</v>
      </c>
      <c r="C36" s="18" t="s">
        <v>1002</v>
      </c>
      <c r="D36" s="19">
        <v>51017.0</v>
      </c>
      <c r="E36" s="20" t="s">
        <v>165</v>
      </c>
      <c r="F36" s="21"/>
      <c r="G36" s="22"/>
      <c r="H36" s="22">
        <v>12500.0</v>
      </c>
      <c r="I36" s="21"/>
      <c r="J36" s="21"/>
      <c r="K36" s="23"/>
      <c r="L36" s="22"/>
      <c r="M36" s="22"/>
      <c r="N36" s="22"/>
      <c r="O36" s="22"/>
      <c r="P36" s="24">
        <v>12500.0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45580.0</v>
      </c>
      <c r="C37" s="18" t="s">
        <v>1003</v>
      </c>
      <c r="D37" s="19">
        <v>48854.0</v>
      </c>
      <c r="E37" s="20" t="s">
        <v>648</v>
      </c>
      <c r="F37" s="21"/>
      <c r="G37" s="22"/>
      <c r="H37" s="22"/>
      <c r="I37" s="21"/>
      <c r="J37" s="21"/>
      <c r="K37" s="23"/>
      <c r="L37" s="22"/>
      <c r="M37" s="22"/>
      <c r="N37" s="22"/>
      <c r="O37" s="22">
        <v>1200.0</v>
      </c>
      <c r="P37" s="24">
        <v>1200.0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45580.0</v>
      </c>
      <c r="C38" s="18" t="s">
        <v>1004</v>
      </c>
      <c r="D38" s="19">
        <v>49831.0</v>
      </c>
      <c r="E38" s="20" t="s">
        <v>142</v>
      </c>
      <c r="F38" s="21"/>
      <c r="G38" s="22"/>
      <c r="H38" s="22"/>
      <c r="I38" s="21"/>
      <c r="J38" s="21"/>
      <c r="K38" s="23"/>
      <c r="L38" s="22"/>
      <c r="M38" s="22"/>
      <c r="N38" s="22"/>
      <c r="O38" s="22">
        <v>1200.0</v>
      </c>
      <c r="P38" s="24">
        <v>1200.0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45580.0</v>
      </c>
      <c r="C39" s="18" t="s">
        <v>1005</v>
      </c>
      <c r="D39" s="19">
        <v>59904.0</v>
      </c>
      <c r="E39" s="20" t="s">
        <v>1006</v>
      </c>
      <c r="F39" s="21"/>
      <c r="G39" s="22"/>
      <c r="H39" s="22"/>
      <c r="I39" s="21"/>
      <c r="J39" s="21"/>
      <c r="K39" s="23"/>
      <c r="L39" s="22"/>
      <c r="M39" s="22"/>
      <c r="N39" s="22"/>
      <c r="O39" s="22">
        <v>500.0</v>
      </c>
      <c r="P39" s="24">
        <v>500.0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45580.0</v>
      </c>
      <c r="C40" s="18" t="s">
        <v>1007</v>
      </c>
      <c r="D40" s="19">
        <v>44914.0</v>
      </c>
      <c r="E40" s="20" t="s">
        <v>1008</v>
      </c>
      <c r="F40" s="21"/>
      <c r="G40" s="22"/>
      <c r="H40" s="22"/>
      <c r="I40" s="21"/>
      <c r="J40" s="21"/>
      <c r="K40" s="23"/>
      <c r="L40" s="22"/>
      <c r="M40" s="22"/>
      <c r="N40" s="22"/>
      <c r="O40" s="22">
        <v>800.0</v>
      </c>
      <c r="P40" s="24">
        <v>800.0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45580.0</v>
      </c>
      <c r="C41" s="18" t="s">
        <v>1009</v>
      </c>
      <c r="D41" s="19">
        <v>50148.0</v>
      </c>
      <c r="E41" s="20" t="s">
        <v>274</v>
      </c>
      <c r="F41" s="21"/>
      <c r="G41" s="22"/>
      <c r="H41" s="22">
        <v>1250.0</v>
      </c>
      <c r="I41" s="21"/>
      <c r="J41" s="21"/>
      <c r="K41" s="23"/>
      <c r="L41" s="22"/>
      <c r="M41" s="22"/>
      <c r="N41" s="22"/>
      <c r="O41" s="22"/>
      <c r="P41" s="24">
        <v>1250.0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45580.0</v>
      </c>
      <c r="C42" s="18" t="s">
        <v>1010</v>
      </c>
      <c r="D42" s="19">
        <v>76394.0</v>
      </c>
      <c r="E42" s="20" t="s">
        <v>991</v>
      </c>
      <c r="F42" s="21"/>
      <c r="G42" s="22"/>
      <c r="H42" s="22"/>
      <c r="I42" s="21"/>
      <c r="J42" s="21"/>
      <c r="K42" s="23"/>
      <c r="L42" s="22"/>
      <c r="M42" s="22"/>
      <c r="N42" s="22"/>
      <c r="O42" s="22">
        <v>2000.0</v>
      </c>
      <c r="P42" s="24">
        <v>2000.0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45580.0</v>
      </c>
      <c r="C43" s="18" t="s">
        <v>1011</v>
      </c>
      <c r="D43" s="19">
        <v>12102.0</v>
      </c>
      <c r="E43" s="20" t="s">
        <v>590</v>
      </c>
      <c r="F43" s="21"/>
      <c r="G43" s="22"/>
      <c r="H43" s="22">
        <v>5150.0</v>
      </c>
      <c r="I43" s="21"/>
      <c r="J43" s="21"/>
      <c r="K43" s="23"/>
      <c r="L43" s="22"/>
      <c r="M43" s="22"/>
      <c r="N43" s="22"/>
      <c r="O43" s="22"/>
      <c r="P43" s="24">
        <v>5150.0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45580.0</v>
      </c>
      <c r="C44" s="18" t="s">
        <v>1012</v>
      </c>
      <c r="D44" s="19">
        <v>43955.0</v>
      </c>
      <c r="E44" s="20" t="s">
        <v>1013</v>
      </c>
      <c r="F44" s="21"/>
      <c r="G44" s="22"/>
      <c r="H44" s="22"/>
      <c r="I44" s="21"/>
      <c r="J44" s="21"/>
      <c r="K44" s="23"/>
      <c r="L44" s="22"/>
      <c r="M44" s="22"/>
      <c r="N44" s="22"/>
      <c r="O44" s="22">
        <v>6000.0</v>
      </c>
      <c r="P44" s="24">
        <v>6000.0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/>
      <c r="B45" s="27"/>
      <c r="C45" s="18"/>
      <c r="D45" s="19"/>
      <c r="E45" s="20"/>
      <c r="F45" s="21"/>
      <c r="G45" s="22"/>
      <c r="H45" s="22"/>
      <c r="I45" s="21"/>
      <c r="J45" s="21"/>
      <c r="K45" s="23"/>
      <c r="L45" s="22"/>
      <c r="M45" s="22"/>
      <c r="N45" s="22"/>
      <c r="O45" s="22"/>
      <c r="P45" s="24"/>
      <c r="Q45" s="25"/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7.5" customHeight="1">
      <c r="A46" s="16"/>
      <c r="B46" s="27"/>
      <c r="C46" s="18"/>
      <c r="D46" s="19" t="s">
        <v>190</v>
      </c>
      <c r="E46" s="20"/>
      <c r="F46" s="45">
        <f t="shared" ref="F46:O46" si="2">SUM(F5:F44)</f>
        <v>0</v>
      </c>
      <c r="G46" s="45">
        <f t="shared" si="2"/>
        <v>0</v>
      </c>
      <c r="H46" s="45">
        <f t="shared" si="2"/>
        <v>18900</v>
      </c>
      <c r="I46" s="45">
        <f t="shared" si="2"/>
        <v>97150</v>
      </c>
      <c r="J46" s="45">
        <f t="shared" si="2"/>
        <v>61625</v>
      </c>
      <c r="K46" s="45">
        <f t="shared" si="2"/>
        <v>18900</v>
      </c>
      <c r="L46" s="45">
        <f t="shared" si="2"/>
        <v>0</v>
      </c>
      <c r="M46" s="45">
        <f t="shared" si="2"/>
        <v>7500</v>
      </c>
      <c r="N46" s="45">
        <f t="shared" si="2"/>
        <v>0</v>
      </c>
      <c r="O46" s="45">
        <f t="shared" si="2"/>
        <v>11700</v>
      </c>
      <c r="P46" s="45">
        <f t="shared" ref="P46:Q46" si="3">SUM(P5:P45)</f>
        <v>215775</v>
      </c>
      <c r="Q46" s="46">
        <f t="shared" si="3"/>
        <v>0</v>
      </c>
      <c r="R46" s="47"/>
      <c r="S46" s="26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</row>
    <row r="47" ht="58.5" customHeight="1">
      <c r="A47" s="48"/>
      <c r="B47" s="48"/>
      <c r="C47" s="49"/>
      <c r="D47" s="48"/>
      <c r="E47" s="48"/>
      <c r="F47" s="50">
        <f>F46+G46+H46+I46+J46+K46+L46+M46+N46+O46</f>
        <v>215775</v>
      </c>
      <c r="P47" s="51"/>
      <c r="Q47" s="51"/>
      <c r="R47" s="48"/>
      <c r="S47" s="48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3" t="s">
        <v>190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4" t="s">
        <v>191</v>
      </c>
      <c r="F51" s="60" t="s">
        <v>1014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56" t="s">
        <v>193</v>
      </c>
      <c r="F52" s="60" t="s">
        <v>815</v>
      </c>
      <c r="G52" s="4"/>
      <c r="H52" s="4"/>
      <c r="I52" s="4"/>
      <c r="J52" s="4"/>
      <c r="K52" s="4"/>
      <c r="L52" s="4"/>
      <c r="M52" s="4"/>
      <c r="N52" s="4"/>
      <c r="O52" s="57" t="s">
        <v>190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56" t="s">
        <v>195</v>
      </c>
      <c r="F53" s="60" t="s">
        <v>196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2"/>
      <c r="D54" s="4"/>
      <c r="E54" s="56" t="s">
        <v>197</v>
      </c>
      <c r="F54" s="55" t="s">
        <v>196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52"/>
      <c r="D55" s="4"/>
      <c r="E55" s="56" t="s">
        <v>198</v>
      </c>
      <c r="F55" s="60" t="s">
        <v>782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2"/>
      <c r="D56" s="4"/>
      <c r="E56" s="56" t="s">
        <v>1015</v>
      </c>
      <c r="F56" s="55" t="s">
        <v>196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2"/>
      <c r="D57" s="4"/>
      <c r="E57" s="56" t="s">
        <v>201</v>
      </c>
      <c r="F57" s="61" t="s">
        <v>1016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52"/>
      <c r="D58" s="4"/>
      <c r="E58" s="56" t="s">
        <v>203</v>
      </c>
      <c r="F58" s="58" t="s">
        <v>204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7" t="s">
        <v>190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 t="str">
        <f>I72446</f>
        <v/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57" t="s">
        <v>205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 t="s">
        <v>190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>
        <v>7.0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7">
    <mergeCell ref="R2:R4"/>
    <mergeCell ref="S2:S4"/>
    <mergeCell ref="F3:F4"/>
    <mergeCell ref="G3:H3"/>
    <mergeCell ref="I3:J3"/>
    <mergeCell ref="K3:K4"/>
    <mergeCell ref="F47:O4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1017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45581.0</v>
      </c>
      <c r="C5" s="18" t="s">
        <v>1018</v>
      </c>
      <c r="D5" s="19">
        <v>31927.0</v>
      </c>
      <c r="E5" s="20" t="s">
        <v>177</v>
      </c>
      <c r="F5" s="21"/>
      <c r="G5" s="22"/>
      <c r="H5" s="22"/>
      <c r="I5" s="21">
        <v>1400.0</v>
      </c>
      <c r="J5" s="22"/>
      <c r="K5" s="22"/>
      <c r="L5" s="22"/>
      <c r="M5" s="21"/>
      <c r="N5" s="22"/>
      <c r="O5" s="22"/>
      <c r="P5" s="24">
        <v>1400.0</v>
      </c>
      <c r="Q5" s="25">
        <f t="shared" ref="Q5:Q25" si="1">F5+G5+H5+I5+J5+K5+L5+M5+N5+O5-P5</f>
        <v>0</v>
      </c>
      <c r="R5" s="24" t="s">
        <v>48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45581.0</v>
      </c>
      <c r="C6" s="18" t="s">
        <v>1019</v>
      </c>
      <c r="D6" s="19">
        <v>76396.0</v>
      </c>
      <c r="E6" s="20" t="s">
        <v>1020</v>
      </c>
      <c r="F6" s="22"/>
      <c r="G6" s="22"/>
      <c r="H6" s="21"/>
      <c r="I6" s="21">
        <v>3200.0</v>
      </c>
      <c r="J6" s="23"/>
      <c r="K6" s="22"/>
      <c r="L6" s="22"/>
      <c r="M6" s="22"/>
      <c r="N6" s="22"/>
      <c r="O6" s="22"/>
      <c r="P6" s="24">
        <v>3200.0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45581.0</v>
      </c>
      <c r="C7" s="18" t="s">
        <v>1021</v>
      </c>
      <c r="D7" s="19">
        <v>61582.0</v>
      </c>
      <c r="E7" s="20" t="s">
        <v>669</v>
      </c>
      <c r="F7" s="22"/>
      <c r="G7" s="22"/>
      <c r="H7" s="22"/>
      <c r="I7" s="21">
        <v>7300.0</v>
      </c>
      <c r="J7" s="21"/>
      <c r="K7" s="22"/>
      <c r="L7" s="22"/>
      <c r="M7" s="21"/>
      <c r="N7" s="22"/>
      <c r="O7" s="22"/>
      <c r="P7" s="24">
        <v>7300.0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45581.0</v>
      </c>
      <c r="C8" s="18" t="s">
        <v>1022</v>
      </c>
      <c r="D8" s="19">
        <v>35518.0</v>
      </c>
      <c r="E8" s="20" t="s">
        <v>1023</v>
      </c>
      <c r="F8" s="22"/>
      <c r="G8" s="22"/>
      <c r="H8" s="22"/>
      <c r="I8" s="21">
        <v>2650.0</v>
      </c>
      <c r="J8" s="21"/>
      <c r="K8" s="22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45581.0</v>
      </c>
      <c r="C9" s="30" t="s">
        <v>1024</v>
      </c>
      <c r="D9" s="31">
        <v>51946.0</v>
      </c>
      <c r="E9" s="32" t="s">
        <v>105</v>
      </c>
      <c r="F9" s="22"/>
      <c r="G9" s="22"/>
      <c r="H9" s="22"/>
      <c r="I9" s="21">
        <v>10000.0</v>
      </c>
      <c r="J9" s="21"/>
      <c r="K9" s="22"/>
      <c r="L9" s="22"/>
      <c r="M9" s="21"/>
      <c r="N9" s="22"/>
      <c r="O9" s="22"/>
      <c r="P9" s="33">
        <v>10000.0</v>
      </c>
      <c r="Q9" s="25">
        <f t="shared" si="1"/>
        <v>0</v>
      </c>
      <c r="R9" s="33" t="s">
        <v>48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45581.0</v>
      </c>
      <c r="C10" s="18" t="s">
        <v>1025</v>
      </c>
      <c r="D10" s="19">
        <v>10697.0</v>
      </c>
      <c r="E10" s="20" t="s">
        <v>1026</v>
      </c>
      <c r="F10" s="22"/>
      <c r="G10" s="22"/>
      <c r="H10" s="22"/>
      <c r="I10" s="21">
        <v>2650.0</v>
      </c>
      <c r="J10" s="21"/>
      <c r="K10" s="22"/>
      <c r="L10" s="22"/>
      <c r="M10" s="21"/>
      <c r="N10" s="22"/>
      <c r="O10" s="22"/>
      <c r="P10" s="24">
        <v>2650.0</v>
      </c>
      <c r="Q10" s="25">
        <f t="shared" si="1"/>
        <v>0</v>
      </c>
      <c r="R10" s="24" t="s">
        <v>57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45581.0</v>
      </c>
      <c r="C11" s="18" t="s">
        <v>1027</v>
      </c>
      <c r="D11" s="19">
        <v>52206.0</v>
      </c>
      <c r="E11" s="20" t="s">
        <v>500</v>
      </c>
      <c r="F11" s="22"/>
      <c r="G11" s="22"/>
      <c r="H11" s="22"/>
      <c r="I11" s="21">
        <v>1350.0</v>
      </c>
      <c r="J11" s="21"/>
      <c r="K11" s="22"/>
      <c r="L11" s="22"/>
      <c r="M11" s="21"/>
      <c r="N11" s="22"/>
      <c r="O11" s="22"/>
      <c r="P11" s="24">
        <v>1350.0</v>
      </c>
      <c r="Q11" s="25">
        <f t="shared" si="1"/>
        <v>0</v>
      </c>
      <c r="R11" s="24" t="s">
        <v>28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45581.0</v>
      </c>
      <c r="C12" s="18" t="s">
        <v>1028</v>
      </c>
      <c r="D12" s="19">
        <v>31738.0</v>
      </c>
      <c r="E12" s="20" t="s">
        <v>154</v>
      </c>
      <c r="F12" s="22"/>
      <c r="G12" s="22"/>
      <c r="H12" s="22"/>
      <c r="I12" s="21">
        <v>2800.0</v>
      </c>
      <c r="J12" s="21"/>
      <c r="K12" s="22"/>
      <c r="L12" s="22"/>
      <c r="M12" s="21"/>
      <c r="N12" s="22"/>
      <c r="O12" s="22"/>
      <c r="P12" s="24">
        <v>2800.0</v>
      </c>
      <c r="Q12" s="25">
        <f t="shared" si="1"/>
        <v>0</v>
      </c>
      <c r="R12" s="24" t="s">
        <v>35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45581.0</v>
      </c>
      <c r="C13" s="18" t="s">
        <v>1029</v>
      </c>
      <c r="D13" s="19">
        <v>22332.0</v>
      </c>
      <c r="E13" s="20" t="s">
        <v>210</v>
      </c>
      <c r="F13" s="22"/>
      <c r="G13" s="22"/>
      <c r="H13" s="22"/>
      <c r="I13" s="21"/>
      <c r="J13" s="21">
        <v>25000.0</v>
      </c>
      <c r="K13" s="22"/>
      <c r="L13" s="22"/>
      <c r="M13" s="22"/>
      <c r="N13" s="22"/>
      <c r="O13" s="22"/>
      <c r="P13" s="24">
        <v>25000.0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45581.0</v>
      </c>
      <c r="C14" s="30" t="s">
        <v>1030</v>
      </c>
      <c r="D14" s="31">
        <v>73864.0</v>
      </c>
      <c r="E14" s="32" t="s">
        <v>1031</v>
      </c>
      <c r="F14" s="22"/>
      <c r="G14" s="22"/>
      <c r="H14" s="22"/>
      <c r="I14" s="21">
        <v>5300.0</v>
      </c>
      <c r="J14" s="21"/>
      <c r="K14" s="22"/>
      <c r="L14" s="22"/>
      <c r="M14" s="21"/>
      <c r="N14" s="22"/>
      <c r="O14" s="22"/>
      <c r="P14" s="33">
        <v>5300.0</v>
      </c>
      <c r="Q14" s="25">
        <f t="shared" si="1"/>
        <v>0</v>
      </c>
      <c r="R14" s="33" t="s">
        <v>57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45581.0</v>
      </c>
      <c r="C15" s="18" t="s">
        <v>1032</v>
      </c>
      <c r="D15" s="19">
        <v>78088.0</v>
      </c>
      <c r="E15" s="20" t="s">
        <v>1033</v>
      </c>
      <c r="F15" s="22"/>
      <c r="G15" s="22"/>
      <c r="H15" s="22"/>
      <c r="I15" s="23">
        <v>2650.0</v>
      </c>
      <c r="J15" s="23"/>
      <c r="K15" s="22"/>
      <c r="L15" s="22"/>
      <c r="M15" s="22"/>
      <c r="N15" s="22"/>
      <c r="O15" s="22"/>
      <c r="P15" s="24">
        <v>2650.0</v>
      </c>
      <c r="Q15" s="25">
        <f t="shared" si="1"/>
        <v>0</v>
      </c>
      <c r="R15" s="24" t="s">
        <v>28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45581.0</v>
      </c>
      <c r="C16" s="18" t="s">
        <v>1034</v>
      </c>
      <c r="D16" s="19">
        <v>85091.0</v>
      </c>
      <c r="E16" s="20" t="s">
        <v>1035</v>
      </c>
      <c r="F16" s="21"/>
      <c r="G16" s="22"/>
      <c r="H16" s="22"/>
      <c r="I16" s="35"/>
      <c r="J16" s="22">
        <v>300.0</v>
      </c>
      <c r="K16" s="36"/>
      <c r="L16" s="22"/>
      <c r="M16" s="22"/>
      <c r="N16" s="22"/>
      <c r="O16" s="22"/>
      <c r="P16" s="24">
        <v>300.0</v>
      </c>
      <c r="Q16" s="25">
        <f t="shared" si="1"/>
        <v>0</v>
      </c>
      <c r="R16" s="24" t="s">
        <v>35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45581.0</v>
      </c>
      <c r="C17" s="18" t="s">
        <v>1036</v>
      </c>
      <c r="D17" s="19">
        <v>22332.0</v>
      </c>
      <c r="E17" s="20" t="s">
        <v>210</v>
      </c>
      <c r="F17" s="21"/>
      <c r="G17" s="22"/>
      <c r="H17" s="22"/>
      <c r="I17" s="21">
        <v>2650.0</v>
      </c>
      <c r="J17" s="21"/>
      <c r="K17" s="21"/>
      <c r="L17" s="22"/>
      <c r="M17" s="22"/>
      <c r="N17" s="22"/>
      <c r="O17" s="22"/>
      <c r="P17" s="24">
        <v>2650.0</v>
      </c>
      <c r="Q17" s="25">
        <f t="shared" si="1"/>
        <v>0</v>
      </c>
      <c r="R17" s="24" t="s">
        <v>35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45581.0</v>
      </c>
      <c r="C18" s="38" t="s">
        <v>1037</v>
      </c>
      <c r="D18" s="39">
        <v>84490.0</v>
      </c>
      <c r="E18" s="40" t="s">
        <v>445</v>
      </c>
      <c r="F18" s="35"/>
      <c r="G18" s="41"/>
      <c r="H18" s="41"/>
      <c r="I18" s="35"/>
      <c r="J18" s="35"/>
      <c r="K18" s="42"/>
      <c r="L18" s="41"/>
      <c r="M18" s="41">
        <v>300.0</v>
      </c>
      <c r="N18" s="41"/>
      <c r="O18" s="41"/>
      <c r="P18" s="43">
        <v>300.0</v>
      </c>
      <c r="Q18" s="25">
        <f t="shared" si="1"/>
        <v>0</v>
      </c>
      <c r="R18" s="43" t="s">
        <v>28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45581.0</v>
      </c>
      <c r="C19" s="18" t="s">
        <v>1038</v>
      </c>
      <c r="D19" s="19">
        <v>85016.0</v>
      </c>
      <c r="E19" s="20" t="s">
        <v>1039</v>
      </c>
      <c r="F19" s="21"/>
      <c r="G19" s="22"/>
      <c r="H19" s="22"/>
      <c r="I19" s="21"/>
      <c r="J19" s="22"/>
      <c r="K19" s="36"/>
      <c r="L19" s="22"/>
      <c r="M19" s="22">
        <v>4500.0</v>
      </c>
      <c r="N19" s="22"/>
      <c r="O19" s="22"/>
      <c r="P19" s="24">
        <v>4500.0</v>
      </c>
      <c r="Q19" s="25">
        <f t="shared" si="1"/>
        <v>0</v>
      </c>
      <c r="R19" s="24" t="s">
        <v>35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45581.0</v>
      </c>
      <c r="C20" s="18" t="s">
        <v>1040</v>
      </c>
      <c r="D20" s="19">
        <v>10250.0</v>
      </c>
      <c r="E20" s="20" t="s">
        <v>171</v>
      </c>
      <c r="F20" s="21"/>
      <c r="G20" s="22"/>
      <c r="H20" s="22"/>
      <c r="I20" s="21">
        <v>700.0</v>
      </c>
      <c r="J20" s="21"/>
      <c r="K20" s="36"/>
      <c r="L20" s="22"/>
      <c r="M20" s="22"/>
      <c r="N20" s="22"/>
      <c r="O20" s="22"/>
      <c r="P20" s="24">
        <v>700.0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45580.0</v>
      </c>
      <c r="C21" s="18" t="s">
        <v>1041</v>
      </c>
      <c r="D21" s="19">
        <v>51017.0</v>
      </c>
      <c r="E21" s="20" t="s">
        <v>165</v>
      </c>
      <c r="F21" s="21"/>
      <c r="G21" s="22"/>
      <c r="H21" s="22">
        <v>30000.0</v>
      </c>
      <c r="I21" s="36"/>
      <c r="J21" s="21"/>
      <c r="K21" s="36"/>
      <c r="L21" s="22"/>
      <c r="M21" s="22"/>
      <c r="N21" s="22"/>
      <c r="O21" s="22"/>
      <c r="P21" s="24">
        <v>30000.0</v>
      </c>
      <c r="Q21" s="25">
        <f t="shared" si="1"/>
        <v>0</v>
      </c>
      <c r="R21" s="24"/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45581.0</v>
      </c>
      <c r="C22" s="18" t="s">
        <v>1042</v>
      </c>
      <c r="D22" s="19">
        <v>37642.0</v>
      </c>
      <c r="E22" s="20" t="s">
        <v>416</v>
      </c>
      <c r="F22" s="21"/>
      <c r="G22" s="22"/>
      <c r="H22" s="22">
        <v>10000.0</v>
      </c>
      <c r="I22" s="21"/>
      <c r="J22" s="21"/>
      <c r="K22" s="23"/>
      <c r="L22" s="22"/>
      <c r="M22" s="22"/>
      <c r="N22" s="22"/>
      <c r="O22" s="22"/>
      <c r="P22" s="24">
        <v>10000.0</v>
      </c>
      <c r="Q22" s="25">
        <f t="shared" si="1"/>
        <v>0</v>
      </c>
      <c r="R22" s="24"/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45581.0</v>
      </c>
      <c r="C23" s="18" t="s">
        <v>1043</v>
      </c>
      <c r="D23" s="19">
        <v>57328.0</v>
      </c>
      <c r="E23" s="20" t="s">
        <v>943</v>
      </c>
      <c r="F23" s="21"/>
      <c r="G23" s="22"/>
      <c r="H23" s="22">
        <v>1250.0</v>
      </c>
      <c r="I23" s="21"/>
      <c r="J23" s="21"/>
      <c r="K23" s="23"/>
      <c r="L23" s="22"/>
      <c r="M23" s="22"/>
      <c r="N23" s="22"/>
      <c r="O23" s="22"/>
      <c r="P23" s="24">
        <v>1250.0</v>
      </c>
      <c r="Q23" s="25">
        <f t="shared" si="1"/>
        <v>0</v>
      </c>
      <c r="R23" s="24"/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45581.0</v>
      </c>
      <c r="C24" s="18" t="s">
        <v>1044</v>
      </c>
      <c r="D24" s="19">
        <v>21828.0</v>
      </c>
      <c r="E24" s="20" t="s">
        <v>150</v>
      </c>
      <c r="F24" s="21"/>
      <c r="G24" s="22"/>
      <c r="H24" s="22"/>
      <c r="I24" s="21"/>
      <c r="J24" s="21"/>
      <c r="K24" s="23">
        <v>8500.0</v>
      </c>
      <c r="L24" s="22"/>
      <c r="M24" s="22"/>
      <c r="N24" s="22"/>
      <c r="O24" s="22"/>
      <c r="P24" s="24">
        <v>8500.0</v>
      </c>
      <c r="Q24" s="25">
        <f t="shared" si="1"/>
        <v>0</v>
      </c>
      <c r="R24" s="24"/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45581.0</v>
      </c>
      <c r="C25" s="18" t="s">
        <v>1045</v>
      </c>
      <c r="D25" s="19">
        <v>68284.0</v>
      </c>
      <c r="E25" s="20" t="s">
        <v>1046</v>
      </c>
      <c r="F25" s="21"/>
      <c r="G25" s="22"/>
      <c r="H25" s="22">
        <v>21800.0</v>
      </c>
      <c r="I25" s="21"/>
      <c r="J25" s="21"/>
      <c r="K25" s="23"/>
      <c r="L25" s="22"/>
      <c r="M25" s="22"/>
      <c r="N25" s="22"/>
      <c r="O25" s="22"/>
      <c r="P25" s="24">
        <v>21800.0</v>
      </c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/>
      <c r="B26" s="27"/>
      <c r="C26" s="18"/>
      <c r="D26" s="19"/>
      <c r="E26" s="20"/>
      <c r="F26" s="21"/>
      <c r="G26" s="22"/>
      <c r="H26" s="22"/>
      <c r="I26" s="21"/>
      <c r="J26" s="21"/>
      <c r="K26" s="23"/>
      <c r="L26" s="22"/>
      <c r="M26" s="22"/>
      <c r="N26" s="22"/>
      <c r="O26" s="22"/>
      <c r="P26" s="24"/>
      <c r="Q26" s="25"/>
      <c r="R26" s="24"/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7.5" customHeight="1">
      <c r="A27" s="16"/>
      <c r="B27" s="27"/>
      <c r="C27" s="18"/>
      <c r="D27" s="19" t="s">
        <v>190</v>
      </c>
      <c r="E27" s="20"/>
      <c r="F27" s="45">
        <f t="shared" ref="F27:O27" si="2">SUM(F5:F25)</f>
        <v>0</v>
      </c>
      <c r="G27" s="45">
        <f t="shared" si="2"/>
        <v>0</v>
      </c>
      <c r="H27" s="45">
        <f t="shared" si="2"/>
        <v>63050</v>
      </c>
      <c r="I27" s="45">
        <f t="shared" si="2"/>
        <v>42650</v>
      </c>
      <c r="J27" s="45">
        <f t="shared" si="2"/>
        <v>25300</v>
      </c>
      <c r="K27" s="45">
        <f t="shared" si="2"/>
        <v>8500</v>
      </c>
      <c r="L27" s="45">
        <f t="shared" si="2"/>
        <v>0</v>
      </c>
      <c r="M27" s="45">
        <f t="shared" si="2"/>
        <v>4800</v>
      </c>
      <c r="N27" s="45">
        <f t="shared" si="2"/>
        <v>0</v>
      </c>
      <c r="O27" s="45">
        <f t="shared" si="2"/>
        <v>0</v>
      </c>
      <c r="P27" s="45">
        <f t="shared" ref="P27:Q27" si="3">SUM(P5:P26)</f>
        <v>144300</v>
      </c>
      <c r="Q27" s="46">
        <f t="shared" si="3"/>
        <v>0</v>
      </c>
      <c r="R27" s="47"/>
      <c r="S27" s="26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58.5" customHeight="1">
      <c r="A28" s="48"/>
      <c r="B28" s="48"/>
      <c r="C28" s="49"/>
      <c r="D28" s="48"/>
      <c r="E28" s="48"/>
      <c r="F28" s="50">
        <f>F27+G27+H27+I27+J27+K27+L27+M27+N27+O27</f>
        <v>144300</v>
      </c>
      <c r="P28" s="51"/>
      <c r="Q28" s="51"/>
      <c r="R28" s="48"/>
      <c r="S28" s="48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15.7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3" t="s">
        <v>190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54" t="s">
        <v>191</v>
      </c>
      <c r="F32" s="60" t="s">
        <v>540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56" t="s">
        <v>193</v>
      </c>
      <c r="F33" s="60" t="s">
        <v>1047</v>
      </c>
      <c r="G33" s="4"/>
      <c r="H33" s="4"/>
      <c r="I33" s="4"/>
      <c r="J33" s="4"/>
      <c r="K33" s="4"/>
      <c r="L33" s="4"/>
      <c r="M33" s="4"/>
      <c r="N33" s="4"/>
      <c r="O33" s="57" t="s">
        <v>190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6" t="s">
        <v>195</v>
      </c>
      <c r="F34" s="60" t="s">
        <v>622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197</v>
      </c>
      <c r="F35" s="60" t="s">
        <v>540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198</v>
      </c>
      <c r="F36" s="60" t="s">
        <v>540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1048</v>
      </c>
      <c r="F37" s="60" t="s">
        <v>540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201</v>
      </c>
      <c r="F38" s="61" t="s">
        <v>1016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203</v>
      </c>
      <c r="F39" s="58" t="s">
        <v>204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7" t="s">
        <v>190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 t="str">
        <f>I72427</f>
        <v/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57" t="s">
        <v>205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 t="s">
        <v>190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>
        <v>7.0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7">
    <mergeCell ref="R2:R4"/>
    <mergeCell ref="S2:S4"/>
    <mergeCell ref="F3:F4"/>
    <mergeCell ref="G3:H3"/>
    <mergeCell ref="I3:J3"/>
    <mergeCell ref="K3:K4"/>
    <mergeCell ref="F28:O2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1049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45582.0</v>
      </c>
      <c r="C5" s="18" t="s">
        <v>1050</v>
      </c>
      <c r="D5" s="19">
        <v>26005.0</v>
      </c>
      <c r="E5" s="20" t="s">
        <v>1051</v>
      </c>
      <c r="F5" s="21"/>
      <c r="G5" s="22"/>
      <c r="H5" s="22"/>
      <c r="I5" s="21">
        <v>1400.0</v>
      </c>
      <c r="J5" s="22"/>
      <c r="K5" s="22"/>
      <c r="L5" s="22"/>
      <c r="M5" s="21"/>
      <c r="N5" s="22"/>
      <c r="O5" s="22"/>
      <c r="P5" s="24">
        <v>1400.0</v>
      </c>
      <c r="Q5" s="25">
        <f t="shared" ref="Q5:Q28" si="1">F5+G5+H5+I5+J5+K5+L5+M5+N5+O5-P5</f>
        <v>0</v>
      </c>
      <c r="R5" s="24" t="s">
        <v>48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45582.0</v>
      </c>
      <c r="C6" s="18" t="s">
        <v>1052</v>
      </c>
      <c r="D6" s="19">
        <v>26005.0</v>
      </c>
      <c r="E6" s="20" t="s">
        <v>1051</v>
      </c>
      <c r="F6" s="22"/>
      <c r="G6" s="22"/>
      <c r="H6" s="21"/>
      <c r="I6" s="21">
        <v>4500.0</v>
      </c>
      <c r="J6" s="23"/>
      <c r="K6" s="22"/>
      <c r="L6" s="22"/>
      <c r="M6" s="22"/>
      <c r="N6" s="22"/>
      <c r="O6" s="22"/>
      <c r="P6" s="24">
        <v>4500.0</v>
      </c>
      <c r="Q6" s="25">
        <f t="shared" si="1"/>
        <v>0</v>
      </c>
      <c r="R6" s="24" t="s">
        <v>48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45582.0</v>
      </c>
      <c r="C7" s="18" t="s">
        <v>1053</v>
      </c>
      <c r="D7" s="19">
        <v>84683.0</v>
      </c>
      <c r="E7" s="20" t="s">
        <v>411</v>
      </c>
      <c r="F7" s="22"/>
      <c r="G7" s="22"/>
      <c r="H7" s="22"/>
      <c r="I7" s="21"/>
      <c r="J7" s="21"/>
      <c r="K7" s="22"/>
      <c r="L7" s="22"/>
      <c r="M7" s="21">
        <v>300.0</v>
      </c>
      <c r="N7" s="22"/>
      <c r="O7" s="22"/>
      <c r="P7" s="24">
        <v>300.0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45582.0</v>
      </c>
      <c r="C8" s="18" t="s">
        <v>1054</v>
      </c>
      <c r="D8" s="19">
        <v>85095.0</v>
      </c>
      <c r="E8" s="20" t="s">
        <v>1055</v>
      </c>
      <c r="F8" s="22"/>
      <c r="G8" s="22"/>
      <c r="H8" s="22"/>
      <c r="I8" s="21"/>
      <c r="J8" s="21">
        <v>7300.0</v>
      </c>
      <c r="K8" s="22"/>
      <c r="L8" s="22"/>
      <c r="M8" s="21"/>
      <c r="N8" s="22"/>
      <c r="O8" s="22"/>
      <c r="P8" s="24">
        <v>7300.0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45582.0</v>
      </c>
      <c r="C9" s="30" t="s">
        <v>1056</v>
      </c>
      <c r="D9" s="31">
        <v>50436.0</v>
      </c>
      <c r="E9" s="32" t="s">
        <v>50</v>
      </c>
      <c r="F9" s="22"/>
      <c r="G9" s="22"/>
      <c r="H9" s="22"/>
      <c r="I9" s="21">
        <v>5000.0</v>
      </c>
      <c r="J9" s="21"/>
      <c r="K9" s="22"/>
      <c r="L9" s="22"/>
      <c r="M9" s="21"/>
      <c r="N9" s="22"/>
      <c r="O9" s="22"/>
      <c r="P9" s="33">
        <v>5000.0</v>
      </c>
      <c r="Q9" s="25">
        <f t="shared" si="1"/>
        <v>0</v>
      </c>
      <c r="R9" s="33" t="s">
        <v>48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45582.0</v>
      </c>
      <c r="C10" s="18" t="s">
        <v>1057</v>
      </c>
      <c r="D10" s="19">
        <v>10249.0</v>
      </c>
      <c r="E10" s="20" t="s">
        <v>118</v>
      </c>
      <c r="F10" s="22"/>
      <c r="G10" s="22"/>
      <c r="H10" s="22">
        <v>900.0</v>
      </c>
      <c r="I10" s="21"/>
      <c r="J10" s="21"/>
      <c r="K10" s="22"/>
      <c r="L10" s="22"/>
      <c r="M10" s="21"/>
      <c r="N10" s="22"/>
      <c r="O10" s="22"/>
      <c r="P10" s="24">
        <v>900.0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45582.0</v>
      </c>
      <c r="C11" s="18" t="s">
        <v>1058</v>
      </c>
      <c r="D11" s="19">
        <v>10249.0</v>
      </c>
      <c r="E11" s="20" t="s">
        <v>118</v>
      </c>
      <c r="F11" s="22"/>
      <c r="G11" s="22"/>
      <c r="H11" s="22">
        <v>18000.0</v>
      </c>
      <c r="I11" s="21"/>
      <c r="J11" s="21"/>
      <c r="K11" s="22"/>
      <c r="L11" s="22"/>
      <c r="M11" s="21"/>
      <c r="N11" s="22"/>
      <c r="O11" s="22"/>
      <c r="P11" s="24">
        <v>18000.0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45582.0</v>
      </c>
      <c r="C12" s="18" t="s">
        <v>1059</v>
      </c>
      <c r="D12" s="19">
        <v>62815.0</v>
      </c>
      <c r="E12" s="20" t="s">
        <v>388</v>
      </c>
      <c r="F12" s="22"/>
      <c r="G12" s="22"/>
      <c r="H12" s="22"/>
      <c r="I12" s="21">
        <v>10000.0</v>
      </c>
      <c r="J12" s="21"/>
      <c r="K12" s="22"/>
      <c r="L12" s="22"/>
      <c r="M12" s="21"/>
      <c r="N12" s="22"/>
      <c r="O12" s="22"/>
      <c r="P12" s="24">
        <v>10000.0</v>
      </c>
      <c r="Q12" s="25">
        <f t="shared" si="1"/>
        <v>0</v>
      </c>
      <c r="R12" s="24" t="s">
        <v>35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45582.0</v>
      </c>
      <c r="C13" s="18" t="s">
        <v>1060</v>
      </c>
      <c r="D13" s="19">
        <v>49667.0</v>
      </c>
      <c r="E13" s="20" t="s">
        <v>1061</v>
      </c>
      <c r="F13" s="22"/>
      <c r="G13" s="22"/>
      <c r="H13" s="22"/>
      <c r="I13" s="21">
        <v>2650.0</v>
      </c>
      <c r="J13" s="21"/>
      <c r="K13" s="22"/>
      <c r="L13" s="22"/>
      <c r="M13" s="22"/>
      <c r="N13" s="22"/>
      <c r="O13" s="22"/>
      <c r="P13" s="24">
        <v>2650.0</v>
      </c>
      <c r="Q13" s="25">
        <f t="shared" si="1"/>
        <v>0</v>
      </c>
      <c r="R13" s="24" t="s">
        <v>35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45582.0</v>
      </c>
      <c r="C14" s="30" t="s">
        <v>1062</v>
      </c>
      <c r="D14" s="31">
        <v>81665.0</v>
      </c>
      <c r="E14" s="32" t="s">
        <v>1063</v>
      </c>
      <c r="F14" s="22">
        <v>200.0</v>
      </c>
      <c r="G14" s="22"/>
      <c r="H14" s="22"/>
      <c r="I14" s="21"/>
      <c r="J14" s="21"/>
      <c r="K14" s="22"/>
      <c r="L14" s="22"/>
      <c r="M14" s="21"/>
      <c r="N14" s="22"/>
      <c r="O14" s="22"/>
      <c r="P14" s="33">
        <v>200.0</v>
      </c>
      <c r="Q14" s="25">
        <f t="shared" si="1"/>
        <v>0</v>
      </c>
      <c r="R14" s="33" t="s">
        <v>35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45582.0</v>
      </c>
      <c r="C15" s="18" t="s">
        <v>1064</v>
      </c>
      <c r="D15" s="19">
        <v>48052.0</v>
      </c>
      <c r="E15" s="20" t="s">
        <v>76</v>
      </c>
      <c r="F15" s="22"/>
      <c r="G15" s="22"/>
      <c r="H15" s="22"/>
      <c r="I15" s="23">
        <v>2500.0</v>
      </c>
      <c r="J15" s="23"/>
      <c r="K15" s="22"/>
      <c r="L15" s="22"/>
      <c r="M15" s="22"/>
      <c r="N15" s="22"/>
      <c r="O15" s="22"/>
      <c r="P15" s="24">
        <v>2500.0</v>
      </c>
      <c r="Q15" s="25">
        <f t="shared" si="1"/>
        <v>0</v>
      </c>
      <c r="R15" s="24" t="s">
        <v>48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45582.0</v>
      </c>
      <c r="C16" s="18" t="s">
        <v>1065</v>
      </c>
      <c r="D16" s="19">
        <v>13781.0</v>
      </c>
      <c r="E16" s="20" t="s">
        <v>469</v>
      </c>
      <c r="F16" s="21"/>
      <c r="G16" s="22"/>
      <c r="H16" s="22"/>
      <c r="I16" s="35">
        <v>300.0</v>
      </c>
      <c r="J16" s="22"/>
      <c r="K16" s="36"/>
      <c r="L16" s="22"/>
      <c r="M16" s="22"/>
      <c r="N16" s="22"/>
      <c r="O16" s="22"/>
      <c r="P16" s="24">
        <v>300.0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45582.0</v>
      </c>
      <c r="C17" s="18" t="s">
        <v>1066</v>
      </c>
      <c r="D17" s="19">
        <v>59103.0</v>
      </c>
      <c r="E17" s="20" t="s">
        <v>337</v>
      </c>
      <c r="F17" s="21"/>
      <c r="G17" s="22"/>
      <c r="H17" s="22"/>
      <c r="I17" s="21"/>
      <c r="J17" s="21"/>
      <c r="K17" s="21">
        <v>4500.0</v>
      </c>
      <c r="L17" s="22"/>
      <c r="M17" s="22"/>
      <c r="N17" s="22"/>
      <c r="O17" s="22"/>
      <c r="P17" s="24">
        <v>4500.0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45582.0</v>
      </c>
      <c r="C18" s="38" t="s">
        <v>1067</v>
      </c>
      <c r="D18" s="39">
        <v>25541.0</v>
      </c>
      <c r="E18" s="40" t="s">
        <v>617</v>
      </c>
      <c r="F18" s="35"/>
      <c r="G18" s="41"/>
      <c r="H18" s="41"/>
      <c r="I18" s="35">
        <v>600.0</v>
      </c>
      <c r="J18" s="35"/>
      <c r="K18" s="42"/>
      <c r="L18" s="41"/>
      <c r="M18" s="41"/>
      <c r="N18" s="41"/>
      <c r="O18" s="41"/>
      <c r="P18" s="43">
        <v>600.0</v>
      </c>
      <c r="Q18" s="25">
        <f t="shared" si="1"/>
        <v>0</v>
      </c>
      <c r="R18" s="43" t="s">
        <v>25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45582.0</v>
      </c>
      <c r="C19" s="18" t="s">
        <v>1068</v>
      </c>
      <c r="D19" s="19">
        <v>52396.0</v>
      </c>
      <c r="E19" s="20" t="s">
        <v>1069</v>
      </c>
      <c r="F19" s="21"/>
      <c r="G19" s="22"/>
      <c r="H19" s="22"/>
      <c r="I19" s="21"/>
      <c r="J19" s="22">
        <v>5000.0</v>
      </c>
      <c r="K19" s="36"/>
      <c r="L19" s="22"/>
      <c r="M19" s="22"/>
      <c r="N19" s="22"/>
      <c r="O19" s="22"/>
      <c r="P19" s="24">
        <v>5000.0</v>
      </c>
      <c r="Q19" s="25">
        <f t="shared" si="1"/>
        <v>0</v>
      </c>
      <c r="R19" s="24" t="s">
        <v>48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45582.0</v>
      </c>
      <c r="C20" s="18" t="s">
        <v>1070</v>
      </c>
      <c r="D20" s="19">
        <v>54242.0</v>
      </c>
      <c r="E20" s="20" t="s">
        <v>1071</v>
      </c>
      <c r="F20" s="21"/>
      <c r="G20" s="22"/>
      <c r="H20" s="22"/>
      <c r="I20" s="21"/>
      <c r="J20" s="21">
        <v>5000.0</v>
      </c>
      <c r="K20" s="36"/>
      <c r="L20" s="22"/>
      <c r="M20" s="22"/>
      <c r="N20" s="22"/>
      <c r="O20" s="22"/>
      <c r="P20" s="24">
        <v>5000.0</v>
      </c>
      <c r="Q20" s="25">
        <f t="shared" si="1"/>
        <v>0</v>
      </c>
      <c r="R20" s="24" t="s">
        <v>48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45582.0</v>
      </c>
      <c r="C21" s="18" t="s">
        <v>1072</v>
      </c>
      <c r="D21" s="19">
        <v>52808.0</v>
      </c>
      <c r="E21" s="20" t="s">
        <v>1073</v>
      </c>
      <c r="F21" s="21"/>
      <c r="G21" s="22"/>
      <c r="H21" s="22"/>
      <c r="I21" s="36"/>
      <c r="J21" s="21">
        <v>5000.0</v>
      </c>
      <c r="K21" s="36"/>
      <c r="L21" s="22"/>
      <c r="M21" s="22"/>
      <c r="N21" s="22"/>
      <c r="O21" s="22"/>
      <c r="P21" s="24">
        <v>5000.0</v>
      </c>
      <c r="Q21" s="25">
        <f t="shared" si="1"/>
        <v>0</v>
      </c>
      <c r="R21" s="24" t="s">
        <v>48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45582.0</v>
      </c>
      <c r="C22" s="18" t="s">
        <v>1074</v>
      </c>
      <c r="D22" s="19">
        <v>51301.0</v>
      </c>
      <c r="E22" s="20" t="s">
        <v>1075</v>
      </c>
      <c r="F22" s="21"/>
      <c r="G22" s="22"/>
      <c r="H22" s="22"/>
      <c r="I22" s="21">
        <v>300.0</v>
      </c>
      <c r="J22" s="21"/>
      <c r="K22" s="23"/>
      <c r="L22" s="22"/>
      <c r="M22" s="22"/>
      <c r="N22" s="22"/>
      <c r="O22" s="22"/>
      <c r="P22" s="24">
        <v>300.0</v>
      </c>
      <c r="Q22" s="25">
        <f t="shared" si="1"/>
        <v>0</v>
      </c>
      <c r="R22" s="24" t="s">
        <v>48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45582.0</v>
      </c>
      <c r="C23" s="18" t="s">
        <v>1076</v>
      </c>
      <c r="D23" s="19">
        <v>43955.0</v>
      </c>
      <c r="E23" s="20" t="s">
        <v>1013</v>
      </c>
      <c r="F23" s="21"/>
      <c r="G23" s="22"/>
      <c r="H23" s="22"/>
      <c r="I23" s="21">
        <v>2800.0</v>
      </c>
      <c r="J23" s="21"/>
      <c r="K23" s="23">
        <v>20.0</v>
      </c>
      <c r="L23" s="22"/>
      <c r="M23" s="22"/>
      <c r="N23" s="22"/>
      <c r="O23" s="22"/>
      <c r="P23" s="24">
        <v>2820.0</v>
      </c>
      <c r="Q23" s="25">
        <f t="shared" si="1"/>
        <v>0</v>
      </c>
      <c r="R23" s="24" t="s">
        <v>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45582.0</v>
      </c>
      <c r="C24" s="18" t="s">
        <v>1077</v>
      </c>
      <c r="D24" s="19">
        <v>30895.0</v>
      </c>
      <c r="E24" s="20" t="s">
        <v>896</v>
      </c>
      <c r="F24" s="21"/>
      <c r="G24" s="22"/>
      <c r="H24" s="22"/>
      <c r="I24" s="21"/>
      <c r="J24" s="21"/>
      <c r="K24" s="23">
        <v>2000.0</v>
      </c>
      <c r="L24" s="22"/>
      <c r="M24" s="22"/>
      <c r="N24" s="22"/>
      <c r="O24" s="22"/>
      <c r="P24" s="24">
        <v>2000.0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45582.0</v>
      </c>
      <c r="C25" s="18" t="s">
        <v>1078</v>
      </c>
      <c r="D25" s="19">
        <v>10250.0</v>
      </c>
      <c r="E25" s="20" t="s">
        <v>171</v>
      </c>
      <c r="F25" s="21"/>
      <c r="G25" s="22"/>
      <c r="H25" s="22">
        <v>16500.0</v>
      </c>
      <c r="I25" s="21"/>
      <c r="J25" s="21"/>
      <c r="K25" s="23"/>
      <c r="L25" s="22"/>
      <c r="M25" s="22"/>
      <c r="N25" s="22"/>
      <c r="O25" s="22"/>
      <c r="P25" s="24">
        <v>16500.0</v>
      </c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45582.0</v>
      </c>
      <c r="C26" s="18" t="s">
        <v>1079</v>
      </c>
      <c r="D26" s="19">
        <v>21821.0</v>
      </c>
      <c r="E26" s="20" t="s">
        <v>114</v>
      </c>
      <c r="F26" s="21"/>
      <c r="G26" s="22"/>
      <c r="H26" s="22">
        <v>1000.0</v>
      </c>
      <c r="I26" s="21"/>
      <c r="J26" s="21"/>
      <c r="K26" s="23"/>
      <c r="L26" s="22"/>
      <c r="M26" s="22"/>
      <c r="N26" s="22"/>
      <c r="O26" s="22"/>
      <c r="P26" s="24">
        <v>1000.0</v>
      </c>
      <c r="Q26" s="25">
        <f t="shared" si="1"/>
        <v>0</v>
      </c>
      <c r="R26" s="24"/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45582.0</v>
      </c>
      <c r="C27" s="18" t="s">
        <v>1080</v>
      </c>
      <c r="D27" s="19">
        <v>47787.0</v>
      </c>
      <c r="E27" s="20" t="s">
        <v>432</v>
      </c>
      <c r="F27" s="21"/>
      <c r="G27" s="22"/>
      <c r="H27" s="22">
        <v>14000.0</v>
      </c>
      <c r="I27" s="21"/>
      <c r="J27" s="21"/>
      <c r="K27" s="23"/>
      <c r="L27" s="22"/>
      <c r="M27" s="22"/>
      <c r="N27" s="22"/>
      <c r="O27" s="22"/>
      <c r="P27" s="24">
        <v>14000.0</v>
      </c>
      <c r="Q27" s="25">
        <f t="shared" si="1"/>
        <v>0</v>
      </c>
      <c r="R27" s="24"/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45582.0</v>
      </c>
      <c r="C28" s="18" t="s">
        <v>1081</v>
      </c>
      <c r="D28" s="19">
        <v>85100.0</v>
      </c>
      <c r="E28" s="20" t="s">
        <v>1082</v>
      </c>
      <c r="F28" s="21"/>
      <c r="G28" s="22"/>
      <c r="H28" s="22"/>
      <c r="I28" s="21"/>
      <c r="J28" s="21"/>
      <c r="K28" s="23">
        <v>7300.0</v>
      </c>
      <c r="L28" s="22"/>
      <c r="M28" s="22"/>
      <c r="N28" s="22"/>
      <c r="O28" s="22"/>
      <c r="P28" s="24">
        <v>7300.0</v>
      </c>
      <c r="Q28" s="25">
        <f t="shared" si="1"/>
        <v>0</v>
      </c>
      <c r="R28" s="24"/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7.5" customHeight="1">
      <c r="A29" s="16"/>
      <c r="B29" s="27"/>
      <c r="C29" s="18"/>
      <c r="D29" s="19" t="s">
        <v>190</v>
      </c>
      <c r="E29" s="20"/>
      <c r="F29" s="45">
        <f t="shared" ref="F29:Q29" si="2">SUM(F5:F28)</f>
        <v>200</v>
      </c>
      <c r="G29" s="45">
        <f t="shared" si="2"/>
        <v>0</v>
      </c>
      <c r="H29" s="45">
        <f t="shared" si="2"/>
        <v>50400</v>
      </c>
      <c r="I29" s="45">
        <f t="shared" si="2"/>
        <v>30050</v>
      </c>
      <c r="J29" s="45">
        <f t="shared" si="2"/>
        <v>22300</v>
      </c>
      <c r="K29" s="45">
        <f t="shared" si="2"/>
        <v>13820</v>
      </c>
      <c r="L29" s="45">
        <f t="shared" si="2"/>
        <v>0</v>
      </c>
      <c r="M29" s="45">
        <f t="shared" si="2"/>
        <v>300</v>
      </c>
      <c r="N29" s="45">
        <f t="shared" si="2"/>
        <v>0</v>
      </c>
      <c r="O29" s="45">
        <f t="shared" si="2"/>
        <v>0</v>
      </c>
      <c r="P29" s="45">
        <f t="shared" si="2"/>
        <v>117070</v>
      </c>
      <c r="Q29" s="46">
        <f t="shared" si="2"/>
        <v>0</v>
      </c>
      <c r="R29" s="47"/>
      <c r="S29" s="26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58.5" customHeight="1">
      <c r="A30" s="48"/>
      <c r="B30" s="48"/>
      <c r="C30" s="49"/>
      <c r="D30" s="48"/>
      <c r="E30" s="48"/>
      <c r="F30" s="50">
        <f>F29+G29+H29+I29+J29+K29+L29+M29+N29+O29</f>
        <v>117070</v>
      </c>
      <c r="P30" s="51"/>
      <c r="Q30" s="51"/>
      <c r="R30" s="48"/>
      <c r="S30" s="48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15.7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3" t="s">
        <v>190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4" t="s">
        <v>191</v>
      </c>
      <c r="F34" s="60" t="s">
        <v>196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193</v>
      </c>
      <c r="F35" s="60" t="s">
        <v>196</v>
      </c>
      <c r="G35" s="4"/>
      <c r="H35" s="4"/>
      <c r="I35" s="4"/>
      <c r="J35" s="4"/>
      <c r="K35" s="4"/>
      <c r="L35" s="4"/>
      <c r="M35" s="4"/>
      <c r="N35" s="4"/>
      <c r="O35" s="57" t="s">
        <v>190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195</v>
      </c>
      <c r="F36" s="60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197</v>
      </c>
      <c r="F37" s="60" t="s">
        <v>196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198</v>
      </c>
      <c r="F38" s="60" t="s">
        <v>196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1083</v>
      </c>
      <c r="F39" s="60" t="s">
        <v>196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201</v>
      </c>
      <c r="F40" s="61" t="s">
        <v>1016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203</v>
      </c>
      <c r="F41" s="58" t="s">
        <v>204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7" t="s">
        <v>190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 t="str">
        <f>I72429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57" t="s">
        <v>205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 t="s">
        <v>190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>
        <v>7.0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7">
    <mergeCell ref="R2:R4"/>
    <mergeCell ref="S2:S4"/>
    <mergeCell ref="F3:F4"/>
    <mergeCell ref="G3:H3"/>
    <mergeCell ref="I3:J3"/>
    <mergeCell ref="K3:K4"/>
    <mergeCell ref="F30:O3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1084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45583.0</v>
      </c>
      <c r="C5" s="18" t="s">
        <v>1085</v>
      </c>
      <c r="D5" s="19">
        <v>76245.0</v>
      </c>
      <c r="E5" s="20" t="s">
        <v>888</v>
      </c>
      <c r="F5" s="21"/>
      <c r="G5" s="22"/>
      <c r="H5" s="22"/>
      <c r="I5" s="21">
        <v>10000.0</v>
      </c>
      <c r="J5" s="22"/>
      <c r="K5" s="22"/>
      <c r="L5" s="22"/>
      <c r="M5" s="21"/>
      <c r="N5" s="22"/>
      <c r="O5" s="22"/>
      <c r="P5" s="24">
        <v>10000.0</v>
      </c>
      <c r="Q5" s="25">
        <f t="shared" ref="Q5:Q27" si="1">F5+G5+H5+I5+J5+K5+L5+M5+N5+O5-P5</f>
        <v>0</v>
      </c>
      <c r="R5" s="24" t="s">
        <v>48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45583.0</v>
      </c>
      <c r="C6" s="18" t="s">
        <v>1086</v>
      </c>
      <c r="D6" s="19">
        <v>80375.0</v>
      </c>
      <c r="E6" s="20" t="s">
        <v>78</v>
      </c>
      <c r="F6" s="22"/>
      <c r="G6" s="22"/>
      <c r="H6" s="21"/>
      <c r="I6" s="21"/>
      <c r="J6" s="23">
        <v>2650.0</v>
      </c>
      <c r="K6" s="22"/>
      <c r="L6" s="22"/>
      <c r="M6" s="22"/>
      <c r="N6" s="22"/>
      <c r="O6" s="22"/>
      <c r="P6" s="24">
        <v>2650.0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45583.0</v>
      </c>
      <c r="C7" s="18" t="s">
        <v>1087</v>
      </c>
      <c r="D7" s="19">
        <v>59812.0</v>
      </c>
      <c r="E7" s="20" t="s">
        <v>101</v>
      </c>
      <c r="F7" s="22"/>
      <c r="G7" s="22"/>
      <c r="H7" s="22"/>
      <c r="I7" s="21">
        <v>5150.0</v>
      </c>
      <c r="J7" s="21"/>
      <c r="K7" s="22"/>
      <c r="L7" s="22"/>
      <c r="M7" s="21"/>
      <c r="N7" s="22"/>
      <c r="O7" s="22"/>
      <c r="P7" s="24">
        <v>5150.0</v>
      </c>
      <c r="Q7" s="25">
        <f t="shared" si="1"/>
        <v>0</v>
      </c>
      <c r="R7" s="24" t="s">
        <v>48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45583.0</v>
      </c>
      <c r="C8" s="18" t="s">
        <v>1088</v>
      </c>
      <c r="D8" s="19">
        <v>52083.0</v>
      </c>
      <c r="E8" s="20" t="s">
        <v>24</v>
      </c>
      <c r="F8" s="22"/>
      <c r="G8" s="22"/>
      <c r="H8" s="22"/>
      <c r="I8" s="21">
        <v>7500.0</v>
      </c>
      <c r="J8" s="21"/>
      <c r="K8" s="22"/>
      <c r="L8" s="22"/>
      <c r="M8" s="21"/>
      <c r="N8" s="22"/>
      <c r="O8" s="22"/>
      <c r="P8" s="24">
        <v>7500.0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45583.0</v>
      </c>
      <c r="C9" s="30" t="s">
        <v>1089</v>
      </c>
      <c r="D9" s="31">
        <v>51660.0</v>
      </c>
      <c r="E9" s="32" t="s">
        <v>801</v>
      </c>
      <c r="F9" s="22"/>
      <c r="G9" s="22"/>
      <c r="H9" s="22"/>
      <c r="I9" s="21">
        <v>300.0</v>
      </c>
      <c r="J9" s="21"/>
      <c r="K9" s="22"/>
      <c r="L9" s="22"/>
      <c r="M9" s="21"/>
      <c r="N9" s="22"/>
      <c r="O9" s="22"/>
      <c r="P9" s="33">
        <v>300.0</v>
      </c>
      <c r="Q9" s="25">
        <f t="shared" si="1"/>
        <v>0</v>
      </c>
      <c r="R9" s="33" t="s">
        <v>25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45583.0</v>
      </c>
      <c r="C10" s="18" t="s">
        <v>1090</v>
      </c>
      <c r="D10" s="19">
        <v>52686.0</v>
      </c>
      <c r="E10" s="20" t="s">
        <v>1091</v>
      </c>
      <c r="F10" s="22"/>
      <c r="G10" s="22"/>
      <c r="H10" s="22"/>
      <c r="I10" s="21">
        <v>300.0</v>
      </c>
      <c r="J10" s="21"/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45583.0</v>
      </c>
      <c r="C11" s="18" t="s">
        <v>1092</v>
      </c>
      <c r="D11" s="19">
        <v>46927.0</v>
      </c>
      <c r="E11" s="20" t="s">
        <v>94</v>
      </c>
      <c r="F11" s="22"/>
      <c r="G11" s="22"/>
      <c r="H11" s="22"/>
      <c r="I11" s="21">
        <v>5200.0</v>
      </c>
      <c r="J11" s="21"/>
      <c r="K11" s="22"/>
      <c r="L11" s="22"/>
      <c r="M11" s="21"/>
      <c r="N11" s="22"/>
      <c r="O11" s="22"/>
      <c r="P11" s="24">
        <v>5200.0</v>
      </c>
      <c r="Q11" s="25">
        <f t="shared" si="1"/>
        <v>0</v>
      </c>
      <c r="R11" s="24" t="s">
        <v>48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45583.0</v>
      </c>
      <c r="C12" s="18" t="s">
        <v>1093</v>
      </c>
      <c r="D12" s="19">
        <v>44149.0</v>
      </c>
      <c r="E12" s="20" t="s">
        <v>74</v>
      </c>
      <c r="F12" s="22"/>
      <c r="G12" s="22"/>
      <c r="H12" s="22"/>
      <c r="I12" s="21">
        <v>5150.0</v>
      </c>
      <c r="J12" s="21"/>
      <c r="K12" s="22"/>
      <c r="L12" s="22"/>
      <c r="M12" s="21"/>
      <c r="N12" s="22"/>
      <c r="O12" s="22"/>
      <c r="P12" s="24">
        <v>5150.0</v>
      </c>
      <c r="Q12" s="25">
        <f t="shared" si="1"/>
        <v>0</v>
      </c>
      <c r="R12" s="24" t="s">
        <v>57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45583.0</v>
      </c>
      <c r="C13" s="18" t="s">
        <v>1094</v>
      </c>
      <c r="D13" s="19">
        <v>13133.0</v>
      </c>
      <c r="E13" s="20" t="s">
        <v>757</v>
      </c>
      <c r="F13" s="22"/>
      <c r="G13" s="22"/>
      <c r="H13" s="22"/>
      <c r="I13" s="21"/>
      <c r="J13" s="21">
        <v>5946.0</v>
      </c>
      <c r="K13" s="22"/>
      <c r="L13" s="22"/>
      <c r="M13" s="22"/>
      <c r="N13" s="22"/>
      <c r="O13" s="22"/>
      <c r="P13" s="24">
        <v>5946.0</v>
      </c>
      <c r="Q13" s="25">
        <f t="shared" si="1"/>
        <v>0</v>
      </c>
      <c r="R13" s="24" t="s">
        <v>57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45583.0</v>
      </c>
      <c r="C14" s="30" t="s">
        <v>1095</v>
      </c>
      <c r="D14" s="31">
        <v>39286.0</v>
      </c>
      <c r="E14" s="32" t="s">
        <v>523</v>
      </c>
      <c r="F14" s="22"/>
      <c r="G14" s="22"/>
      <c r="H14" s="22"/>
      <c r="I14" s="21">
        <v>5500.0</v>
      </c>
      <c r="J14" s="21"/>
      <c r="K14" s="22"/>
      <c r="L14" s="22"/>
      <c r="M14" s="21"/>
      <c r="N14" s="22"/>
      <c r="O14" s="22"/>
      <c r="P14" s="33">
        <v>5500.0</v>
      </c>
      <c r="Q14" s="25">
        <f t="shared" si="1"/>
        <v>0</v>
      </c>
      <c r="R14" s="33" t="s">
        <v>25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45583.0</v>
      </c>
      <c r="C15" s="18" t="s">
        <v>1096</v>
      </c>
      <c r="D15" s="19">
        <v>76360.0</v>
      </c>
      <c r="E15" s="20" t="s">
        <v>355</v>
      </c>
      <c r="F15" s="22"/>
      <c r="G15" s="22"/>
      <c r="H15" s="22"/>
      <c r="I15" s="23">
        <v>7500.0</v>
      </c>
      <c r="J15" s="23"/>
      <c r="K15" s="22"/>
      <c r="L15" s="22"/>
      <c r="M15" s="22"/>
      <c r="N15" s="22"/>
      <c r="O15" s="22"/>
      <c r="P15" s="24">
        <v>7500.0</v>
      </c>
      <c r="Q15" s="25">
        <f t="shared" si="1"/>
        <v>0</v>
      </c>
      <c r="R15" s="24" t="s">
        <v>48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45583.0</v>
      </c>
      <c r="C16" s="18" t="s">
        <v>1097</v>
      </c>
      <c r="D16" s="19">
        <v>32700.0</v>
      </c>
      <c r="E16" s="20" t="s">
        <v>502</v>
      </c>
      <c r="F16" s="21"/>
      <c r="G16" s="22"/>
      <c r="H16" s="22"/>
      <c r="I16" s="35"/>
      <c r="J16" s="22">
        <v>10900.0</v>
      </c>
      <c r="K16" s="36"/>
      <c r="L16" s="22"/>
      <c r="M16" s="22"/>
      <c r="N16" s="22"/>
      <c r="O16" s="22"/>
      <c r="P16" s="24">
        <v>10900.0</v>
      </c>
      <c r="Q16" s="25">
        <f t="shared" si="1"/>
        <v>0</v>
      </c>
      <c r="R16" s="24" t="s">
        <v>57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45583.0</v>
      </c>
      <c r="C17" s="18" t="s">
        <v>1098</v>
      </c>
      <c r="D17" s="19">
        <v>82810.0</v>
      </c>
      <c r="E17" s="20" t="s">
        <v>1099</v>
      </c>
      <c r="F17" s="21"/>
      <c r="G17" s="22"/>
      <c r="H17" s="22"/>
      <c r="I17" s="21"/>
      <c r="J17" s="21"/>
      <c r="K17" s="21">
        <v>9800.0</v>
      </c>
      <c r="L17" s="22"/>
      <c r="M17" s="22"/>
      <c r="N17" s="22"/>
      <c r="O17" s="22"/>
      <c r="P17" s="24">
        <v>9800.0</v>
      </c>
      <c r="Q17" s="25">
        <f t="shared" si="1"/>
        <v>0</v>
      </c>
      <c r="R17" s="24" t="s">
        <v>35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45583.0</v>
      </c>
      <c r="C18" s="38" t="s">
        <v>1100</v>
      </c>
      <c r="D18" s="39">
        <v>21818.0</v>
      </c>
      <c r="E18" s="40" t="s">
        <v>237</v>
      </c>
      <c r="F18" s="35"/>
      <c r="G18" s="41"/>
      <c r="H18" s="41"/>
      <c r="I18" s="35"/>
      <c r="J18" s="35"/>
      <c r="K18" s="42">
        <v>420.0</v>
      </c>
      <c r="L18" s="41"/>
      <c r="M18" s="41"/>
      <c r="N18" s="41"/>
      <c r="O18" s="41"/>
      <c r="P18" s="43">
        <v>420.0</v>
      </c>
      <c r="Q18" s="25">
        <f t="shared" si="1"/>
        <v>0</v>
      </c>
      <c r="R18" s="43" t="s">
        <v>35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45583.0</v>
      </c>
      <c r="C19" s="18" t="s">
        <v>1101</v>
      </c>
      <c r="D19" s="19">
        <v>53095.0</v>
      </c>
      <c r="E19" s="20" t="s">
        <v>1102</v>
      </c>
      <c r="F19" s="21"/>
      <c r="G19" s="22"/>
      <c r="H19" s="22"/>
      <c r="I19" s="21"/>
      <c r="J19" s="22"/>
      <c r="K19" s="36"/>
      <c r="L19" s="22"/>
      <c r="M19" s="22">
        <v>5250.0</v>
      </c>
      <c r="N19" s="22"/>
      <c r="O19" s="22"/>
      <c r="P19" s="24">
        <v>5250.0</v>
      </c>
      <c r="Q19" s="25">
        <f t="shared" si="1"/>
        <v>0</v>
      </c>
      <c r="R19" s="24" t="s">
        <v>25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45583.0</v>
      </c>
      <c r="C20" s="18" t="s">
        <v>1103</v>
      </c>
      <c r="D20" s="19">
        <v>51876.0</v>
      </c>
      <c r="E20" s="20" t="s">
        <v>723</v>
      </c>
      <c r="F20" s="21"/>
      <c r="G20" s="22"/>
      <c r="H20" s="22"/>
      <c r="I20" s="21">
        <v>17950.0</v>
      </c>
      <c r="J20" s="21"/>
      <c r="K20" s="36"/>
      <c r="L20" s="22"/>
      <c r="M20" s="22"/>
      <c r="N20" s="22"/>
      <c r="O20" s="22"/>
      <c r="P20" s="24">
        <v>17950.0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45583.0</v>
      </c>
      <c r="C21" s="18" t="s">
        <v>1104</v>
      </c>
      <c r="D21" s="19">
        <v>62146.0</v>
      </c>
      <c r="E21" s="20" t="s">
        <v>458</v>
      </c>
      <c r="F21" s="21"/>
      <c r="G21" s="22"/>
      <c r="H21" s="22"/>
      <c r="I21" s="36">
        <v>1250.0</v>
      </c>
      <c r="J21" s="21"/>
      <c r="K21" s="36"/>
      <c r="L21" s="22"/>
      <c r="M21" s="22"/>
      <c r="N21" s="22"/>
      <c r="O21" s="22"/>
      <c r="P21" s="24">
        <v>1250.0</v>
      </c>
      <c r="Q21" s="25">
        <f t="shared" si="1"/>
        <v>0</v>
      </c>
      <c r="R21" s="24" t="s">
        <v>57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45583.0</v>
      </c>
      <c r="C22" s="18" t="s">
        <v>1105</v>
      </c>
      <c r="D22" s="19">
        <v>52771.0</v>
      </c>
      <c r="E22" s="20" t="s">
        <v>1106</v>
      </c>
      <c r="F22" s="21"/>
      <c r="G22" s="22"/>
      <c r="H22" s="22"/>
      <c r="I22" s="21"/>
      <c r="J22" s="21">
        <v>10900.0</v>
      </c>
      <c r="K22" s="23"/>
      <c r="L22" s="22"/>
      <c r="M22" s="22"/>
      <c r="N22" s="22"/>
      <c r="O22" s="22"/>
      <c r="P22" s="24">
        <v>10900.0</v>
      </c>
      <c r="Q22" s="25">
        <f t="shared" si="1"/>
        <v>0</v>
      </c>
      <c r="R22" s="24" t="s">
        <v>57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45583.0</v>
      </c>
      <c r="C23" s="18" t="s">
        <v>1107</v>
      </c>
      <c r="D23" s="19">
        <v>48631.0</v>
      </c>
      <c r="E23" s="20" t="s">
        <v>59</v>
      </c>
      <c r="F23" s="21"/>
      <c r="G23" s="22"/>
      <c r="H23" s="22"/>
      <c r="I23" s="21">
        <v>800.0</v>
      </c>
      <c r="J23" s="21"/>
      <c r="K23" s="23">
        <v>450.0</v>
      </c>
      <c r="L23" s="22"/>
      <c r="M23" s="22"/>
      <c r="N23" s="22"/>
      <c r="O23" s="22"/>
      <c r="P23" s="24">
        <v>1250.0</v>
      </c>
      <c r="Q23" s="25">
        <f t="shared" si="1"/>
        <v>0</v>
      </c>
      <c r="R23" s="24" t="s">
        <v>48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45583.0</v>
      </c>
      <c r="C24" s="18" t="s">
        <v>1108</v>
      </c>
      <c r="D24" s="19">
        <v>85103.0</v>
      </c>
      <c r="E24" s="20" t="s">
        <v>1109</v>
      </c>
      <c r="F24" s="21"/>
      <c r="G24" s="22"/>
      <c r="H24" s="22"/>
      <c r="I24" s="21">
        <v>300.0</v>
      </c>
      <c r="J24" s="21"/>
      <c r="K24" s="23"/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45583.0</v>
      </c>
      <c r="C25" s="18" t="s">
        <v>1110</v>
      </c>
      <c r="D25" s="19">
        <v>43380.0</v>
      </c>
      <c r="E25" s="20" t="s">
        <v>156</v>
      </c>
      <c r="F25" s="21"/>
      <c r="G25" s="22"/>
      <c r="H25" s="22"/>
      <c r="I25" s="21">
        <v>2650.0</v>
      </c>
      <c r="J25" s="21"/>
      <c r="K25" s="23">
        <v>2350.0</v>
      </c>
      <c r="L25" s="22"/>
      <c r="M25" s="22"/>
      <c r="N25" s="22"/>
      <c r="O25" s="22"/>
      <c r="P25" s="24">
        <v>5000.0</v>
      </c>
      <c r="Q25" s="25">
        <f t="shared" si="1"/>
        <v>0</v>
      </c>
      <c r="R25" s="24" t="s">
        <v>28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45582.0</v>
      </c>
      <c r="C26" s="18" t="s">
        <v>1111</v>
      </c>
      <c r="D26" s="19">
        <v>51017.0</v>
      </c>
      <c r="E26" s="20" t="s">
        <v>165</v>
      </c>
      <c r="F26" s="21"/>
      <c r="G26" s="22"/>
      <c r="H26" s="22">
        <v>12500.0</v>
      </c>
      <c r="I26" s="21"/>
      <c r="J26" s="21"/>
      <c r="K26" s="23"/>
      <c r="L26" s="22"/>
      <c r="M26" s="22"/>
      <c r="N26" s="22"/>
      <c r="O26" s="22"/>
      <c r="P26" s="24">
        <v>12500.0</v>
      </c>
      <c r="Q26" s="25">
        <f t="shared" si="1"/>
        <v>0</v>
      </c>
      <c r="R26" s="24"/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45583.0</v>
      </c>
      <c r="C27" s="18" t="s">
        <v>1112</v>
      </c>
      <c r="D27" s="19">
        <v>85101.0</v>
      </c>
      <c r="E27" s="20" t="s">
        <v>1113</v>
      </c>
      <c r="F27" s="21"/>
      <c r="G27" s="22"/>
      <c r="H27" s="22"/>
      <c r="I27" s="21"/>
      <c r="J27" s="21"/>
      <c r="K27" s="23"/>
      <c r="L27" s="22"/>
      <c r="M27" s="22">
        <v>7000.0</v>
      </c>
      <c r="N27" s="22"/>
      <c r="O27" s="22"/>
      <c r="P27" s="24">
        <v>7000.0</v>
      </c>
      <c r="Q27" s="25">
        <f t="shared" si="1"/>
        <v>0</v>
      </c>
      <c r="R27" s="24"/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7.5" customHeight="1">
      <c r="A28" s="16"/>
      <c r="B28" s="27"/>
      <c r="C28" s="18"/>
      <c r="D28" s="19" t="s">
        <v>190</v>
      </c>
      <c r="E28" s="20"/>
      <c r="F28" s="45">
        <f t="shared" ref="F28:Q28" si="2">SUM(F5:F27)</f>
        <v>0</v>
      </c>
      <c r="G28" s="45">
        <f t="shared" si="2"/>
        <v>0</v>
      </c>
      <c r="H28" s="45">
        <f t="shared" si="2"/>
        <v>12500</v>
      </c>
      <c r="I28" s="45">
        <f t="shared" si="2"/>
        <v>69550</v>
      </c>
      <c r="J28" s="45">
        <f t="shared" si="2"/>
        <v>30396</v>
      </c>
      <c r="K28" s="45">
        <f t="shared" si="2"/>
        <v>13020</v>
      </c>
      <c r="L28" s="45">
        <f t="shared" si="2"/>
        <v>0</v>
      </c>
      <c r="M28" s="45">
        <f t="shared" si="2"/>
        <v>12250</v>
      </c>
      <c r="N28" s="45">
        <f t="shared" si="2"/>
        <v>0</v>
      </c>
      <c r="O28" s="45">
        <f t="shared" si="2"/>
        <v>0</v>
      </c>
      <c r="P28" s="45">
        <f t="shared" si="2"/>
        <v>137716</v>
      </c>
      <c r="Q28" s="46">
        <f t="shared" si="2"/>
        <v>0</v>
      </c>
      <c r="R28" s="47"/>
      <c r="S28" s="26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58.5" customHeight="1">
      <c r="A29" s="48"/>
      <c r="B29" s="48"/>
      <c r="C29" s="49"/>
      <c r="D29" s="48"/>
      <c r="E29" s="48"/>
      <c r="F29" s="50">
        <f>F28+G28+H28+I28+J28+K28+L28+M28+N28+O28</f>
        <v>137716</v>
      </c>
      <c r="P29" s="51"/>
      <c r="Q29" s="51"/>
      <c r="R29" s="48"/>
      <c r="S29" s="48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15.7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3" t="s">
        <v>190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54" t="s">
        <v>191</v>
      </c>
      <c r="F33" s="60" t="s">
        <v>192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6" t="s">
        <v>193</v>
      </c>
      <c r="F34" s="60" t="s">
        <v>192</v>
      </c>
      <c r="G34" s="4"/>
      <c r="H34" s="4"/>
      <c r="I34" s="4"/>
      <c r="J34" s="4"/>
      <c r="K34" s="4"/>
      <c r="L34" s="4"/>
      <c r="M34" s="4"/>
      <c r="N34" s="4"/>
      <c r="O34" s="57" t="s">
        <v>190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195</v>
      </c>
      <c r="F35" s="60" t="s">
        <v>196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197</v>
      </c>
      <c r="F36" s="60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198</v>
      </c>
      <c r="F37" s="60" t="s">
        <v>192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1114</v>
      </c>
      <c r="F38" s="60" t="s">
        <v>196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201</v>
      </c>
      <c r="F39" s="61" t="s">
        <v>1016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203</v>
      </c>
      <c r="F40" s="58" t="s">
        <v>204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7" t="s">
        <v>190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 t="str">
        <f>I72428</f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57" t="s">
        <v>205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 t="s">
        <v>190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>
        <v>7.0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7">
    <mergeCell ref="R2:R4"/>
    <mergeCell ref="S2:S4"/>
    <mergeCell ref="F3:F4"/>
    <mergeCell ref="G3:H3"/>
    <mergeCell ref="I3:J3"/>
    <mergeCell ref="K3:K4"/>
    <mergeCell ref="F29:O2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45583.0</v>
      </c>
      <c r="C5" s="18" t="s">
        <v>1116</v>
      </c>
      <c r="D5" s="19">
        <v>84684.0</v>
      </c>
      <c r="E5" s="20" t="s">
        <v>1117</v>
      </c>
      <c r="F5" s="21"/>
      <c r="G5" s="22">
        <v>570.0</v>
      </c>
      <c r="H5" s="22"/>
      <c r="I5" s="21"/>
      <c r="J5" s="22"/>
      <c r="K5" s="22"/>
      <c r="L5" s="22"/>
      <c r="M5" s="21"/>
      <c r="N5" s="22"/>
      <c r="O5" s="22"/>
      <c r="P5" s="24">
        <v>570.0</v>
      </c>
      <c r="Q5" s="25">
        <f t="shared" ref="Q5:Q33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45584.0</v>
      </c>
      <c r="C6" s="18" t="s">
        <v>1118</v>
      </c>
      <c r="D6" s="19">
        <v>42278.0</v>
      </c>
      <c r="E6" s="20" t="s">
        <v>181</v>
      </c>
      <c r="F6" s="22"/>
      <c r="G6" s="22">
        <v>1450.0</v>
      </c>
      <c r="H6" s="21"/>
      <c r="I6" s="21"/>
      <c r="J6" s="23"/>
      <c r="K6" s="22"/>
      <c r="L6" s="22"/>
      <c r="M6" s="22"/>
      <c r="N6" s="22"/>
      <c r="O6" s="22"/>
      <c r="P6" s="24">
        <v>1450.0</v>
      </c>
      <c r="Q6" s="25">
        <f t="shared" si="1"/>
        <v>0</v>
      </c>
      <c r="R6" s="24" t="s">
        <v>35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45584.0</v>
      </c>
      <c r="C7" s="18" t="s">
        <v>1119</v>
      </c>
      <c r="D7" s="19">
        <v>81859.0</v>
      </c>
      <c r="E7" s="20" t="s">
        <v>1120</v>
      </c>
      <c r="F7" s="22"/>
      <c r="G7" s="22"/>
      <c r="H7" s="22"/>
      <c r="I7" s="21"/>
      <c r="J7" s="21">
        <v>2650.0</v>
      </c>
      <c r="K7" s="22"/>
      <c r="L7" s="22"/>
      <c r="M7" s="21"/>
      <c r="N7" s="22"/>
      <c r="O7" s="22"/>
      <c r="P7" s="24">
        <v>2650.0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45584.0</v>
      </c>
      <c r="C8" s="18" t="s">
        <v>1121</v>
      </c>
      <c r="D8" s="19">
        <v>74342.0</v>
      </c>
      <c r="E8" s="20" t="s">
        <v>1122</v>
      </c>
      <c r="F8" s="22"/>
      <c r="G8" s="22"/>
      <c r="H8" s="22"/>
      <c r="I8" s="21"/>
      <c r="J8" s="21">
        <v>2650.0</v>
      </c>
      <c r="K8" s="22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45584.0</v>
      </c>
      <c r="C9" s="30" t="s">
        <v>1123</v>
      </c>
      <c r="D9" s="31">
        <v>28414.0</v>
      </c>
      <c r="E9" s="32" t="s">
        <v>454</v>
      </c>
      <c r="F9" s="22"/>
      <c r="G9" s="22"/>
      <c r="H9" s="22"/>
      <c r="I9" s="21">
        <v>300.0</v>
      </c>
      <c r="J9" s="21"/>
      <c r="K9" s="22"/>
      <c r="L9" s="22"/>
      <c r="M9" s="21"/>
      <c r="N9" s="22"/>
      <c r="O9" s="22"/>
      <c r="P9" s="33">
        <v>300.0</v>
      </c>
      <c r="Q9" s="25">
        <f t="shared" si="1"/>
        <v>0</v>
      </c>
      <c r="R9" s="33" t="s">
        <v>35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45584.0</v>
      </c>
      <c r="C10" s="18" t="s">
        <v>1124</v>
      </c>
      <c r="D10" s="19">
        <v>22332.0</v>
      </c>
      <c r="E10" s="20" t="s">
        <v>210</v>
      </c>
      <c r="F10" s="22"/>
      <c r="G10" s="22"/>
      <c r="H10" s="22"/>
      <c r="I10" s="21">
        <v>300.0</v>
      </c>
      <c r="J10" s="21"/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35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45584.0</v>
      </c>
      <c r="C11" s="18" t="s">
        <v>1125</v>
      </c>
      <c r="D11" s="19">
        <v>10271.0</v>
      </c>
      <c r="E11" s="20" t="s">
        <v>808</v>
      </c>
      <c r="F11" s="22">
        <v>600.0</v>
      </c>
      <c r="G11" s="22"/>
      <c r="H11" s="22"/>
      <c r="I11" s="21"/>
      <c r="J11" s="21"/>
      <c r="K11" s="22"/>
      <c r="L11" s="22"/>
      <c r="M11" s="21"/>
      <c r="N11" s="22"/>
      <c r="O11" s="22"/>
      <c r="P11" s="24">
        <v>600.0</v>
      </c>
      <c r="Q11" s="25">
        <f t="shared" si="1"/>
        <v>0</v>
      </c>
      <c r="R11" s="24" t="s">
        <v>28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45584.0</v>
      </c>
      <c r="C12" s="18" t="s">
        <v>1126</v>
      </c>
      <c r="D12" s="19">
        <v>54854.0</v>
      </c>
      <c r="E12" s="20" t="s">
        <v>627</v>
      </c>
      <c r="F12" s="22"/>
      <c r="G12" s="22"/>
      <c r="H12" s="22"/>
      <c r="I12" s="21">
        <v>300.0</v>
      </c>
      <c r="J12" s="21"/>
      <c r="K12" s="22"/>
      <c r="L12" s="22"/>
      <c r="M12" s="21"/>
      <c r="N12" s="22"/>
      <c r="O12" s="22"/>
      <c r="P12" s="24">
        <v>300.0</v>
      </c>
      <c r="Q12" s="25">
        <f t="shared" si="1"/>
        <v>0</v>
      </c>
      <c r="R12" s="24" t="s">
        <v>35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45584.0</v>
      </c>
      <c r="C13" s="18" t="s">
        <v>1127</v>
      </c>
      <c r="D13" s="19">
        <v>50072.0</v>
      </c>
      <c r="E13" s="20" t="s">
        <v>1128</v>
      </c>
      <c r="F13" s="22"/>
      <c r="G13" s="22"/>
      <c r="H13" s="22"/>
      <c r="I13" s="21"/>
      <c r="J13" s="21">
        <v>6950.0</v>
      </c>
      <c r="K13" s="22"/>
      <c r="L13" s="22"/>
      <c r="M13" s="22"/>
      <c r="N13" s="22"/>
      <c r="O13" s="22"/>
      <c r="P13" s="24">
        <v>6950.0</v>
      </c>
      <c r="Q13" s="25">
        <f t="shared" si="1"/>
        <v>0</v>
      </c>
      <c r="R13" s="24" t="s">
        <v>28</v>
      </c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45584.0</v>
      </c>
      <c r="C14" s="30" t="s">
        <v>1129</v>
      </c>
      <c r="D14" s="31">
        <v>52240.0</v>
      </c>
      <c r="E14" s="32" t="s">
        <v>235</v>
      </c>
      <c r="F14" s="22"/>
      <c r="G14" s="22"/>
      <c r="H14" s="22"/>
      <c r="I14" s="21"/>
      <c r="J14" s="21">
        <v>2650.0</v>
      </c>
      <c r="K14" s="22"/>
      <c r="L14" s="22"/>
      <c r="M14" s="21"/>
      <c r="N14" s="22"/>
      <c r="O14" s="22"/>
      <c r="P14" s="33">
        <v>2650.0</v>
      </c>
      <c r="Q14" s="25">
        <f t="shared" si="1"/>
        <v>0</v>
      </c>
      <c r="R14" s="33" t="s">
        <v>57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7">
        <v>45584.0</v>
      </c>
      <c r="C15" s="18" t="s">
        <v>1130</v>
      </c>
      <c r="D15" s="19">
        <v>78454.0</v>
      </c>
      <c r="E15" s="20" t="s">
        <v>525</v>
      </c>
      <c r="F15" s="22"/>
      <c r="G15" s="22"/>
      <c r="H15" s="22"/>
      <c r="I15" s="23">
        <v>3100.0</v>
      </c>
      <c r="J15" s="23"/>
      <c r="K15" s="22"/>
      <c r="L15" s="22"/>
      <c r="M15" s="22"/>
      <c r="N15" s="22"/>
      <c r="O15" s="22"/>
      <c r="P15" s="24">
        <v>3100.0</v>
      </c>
      <c r="Q15" s="25">
        <f t="shared" si="1"/>
        <v>0</v>
      </c>
      <c r="R15" s="24" t="s">
        <v>28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45584.0</v>
      </c>
      <c r="C16" s="18" t="s">
        <v>1131</v>
      </c>
      <c r="D16" s="19">
        <v>71126.0</v>
      </c>
      <c r="E16" s="20" t="s">
        <v>1132</v>
      </c>
      <c r="F16" s="21"/>
      <c r="G16" s="22"/>
      <c r="H16" s="22"/>
      <c r="I16" s="35"/>
      <c r="J16" s="22"/>
      <c r="K16" s="36">
        <v>163200.0</v>
      </c>
      <c r="L16" s="22"/>
      <c r="M16" s="22"/>
      <c r="N16" s="22"/>
      <c r="O16" s="22"/>
      <c r="P16" s="24">
        <v>163200.0</v>
      </c>
      <c r="Q16" s="25">
        <f t="shared" si="1"/>
        <v>0</v>
      </c>
      <c r="R16" s="24" t="s">
        <v>35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45584.0</v>
      </c>
      <c r="C17" s="18" t="s">
        <v>1133</v>
      </c>
      <c r="D17" s="19">
        <v>67621.0</v>
      </c>
      <c r="E17" s="20" t="s">
        <v>56</v>
      </c>
      <c r="F17" s="21"/>
      <c r="G17" s="22"/>
      <c r="H17" s="22"/>
      <c r="I17" s="21">
        <v>5000.0</v>
      </c>
      <c r="J17" s="21"/>
      <c r="K17" s="21"/>
      <c r="L17" s="22"/>
      <c r="M17" s="22"/>
      <c r="N17" s="22"/>
      <c r="O17" s="22"/>
      <c r="P17" s="24">
        <v>5000.0</v>
      </c>
      <c r="Q17" s="25">
        <f t="shared" si="1"/>
        <v>0</v>
      </c>
      <c r="R17" s="24" t="s">
        <v>28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37">
        <v>45584.0</v>
      </c>
      <c r="C18" s="38" t="s">
        <v>1134</v>
      </c>
      <c r="D18" s="39">
        <v>62508.0</v>
      </c>
      <c r="E18" s="40" t="s">
        <v>607</v>
      </c>
      <c r="F18" s="35"/>
      <c r="G18" s="41"/>
      <c r="H18" s="41"/>
      <c r="I18" s="35"/>
      <c r="J18" s="35"/>
      <c r="K18" s="42"/>
      <c r="L18" s="41"/>
      <c r="M18" s="41">
        <v>2650.0</v>
      </c>
      <c r="N18" s="41"/>
      <c r="O18" s="41"/>
      <c r="P18" s="43">
        <v>2650.0</v>
      </c>
      <c r="Q18" s="25">
        <f t="shared" si="1"/>
        <v>0</v>
      </c>
      <c r="R18" s="43" t="s">
        <v>57</v>
      </c>
      <c r="S18" s="26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</row>
    <row r="19" ht="34.5" customHeight="1">
      <c r="A19" s="16">
        <v>15.0</v>
      </c>
      <c r="B19" s="27">
        <v>45584.0</v>
      </c>
      <c r="C19" s="18" t="s">
        <v>1135</v>
      </c>
      <c r="D19" s="19">
        <v>48631.0</v>
      </c>
      <c r="E19" s="20" t="s">
        <v>59</v>
      </c>
      <c r="F19" s="21"/>
      <c r="G19" s="22"/>
      <c r="H19" s="22"/>
      <c r="I19" s="21"/>
      <c r="J19" s="22"/>
      <c r="K19" s="36">
        <v>1700.0</v>
      </c>
      <c r="L19" s="22"/>
      <c r="M19" s="22"/>
      <c r="N19" s="22"/>
      <c r="O19" s="22"/>
      <c r="P19" s="24">
        <v>1700.0</v>
      </c>
      <c r="Q19" s="25">
        <f t="shared" si="1"/>
        <v>0</v>
      </c>
      <c r="R19" s="24" t="s">
        <v>28</v>
      </c>
      <c r="S19" s="2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7">
        <v>45584.0</v>
      </c>
      <c r="C20" s="18" t="s">
        <v>1136</v>
      </c>
      <c r="D20" s="19">
        <v>30895.0</v>
      </c>
      <c r="E20" s="20" t="s">
        <v>896</v>
      </c>
      <c r="F20" s="21"/>
      <c r="G20" s="22"/>
      <c r="H20" s="22"/>
      <c r="I20" s="21"/>
      <c r="J20" s="21"/>
      <c r="K20" s="36">
        <v>12500.0</v>
      </c>
      <c r="L20" s="22"/>
      <c r="M20" s="22"/>
      <c r="N20" s="22"/>
      <c r="O20" s="22"/>
      <c r="P20" s="24">
        <v>12500.0</v>
      </c>
      <c r="Q20" s="25">
        <f t="shared" si="1"/>
        <v>0</v>
      </c>
      <c r="R20" s="24" t="s">
        <v>35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45584.0</v>
      </c>
      <c r="C21" s="18" t="s">
        <v>1137</v>
      </c>
      <c r="D21" s="19">
        <v>54211.0</v>
      </c>
      <c r="E21" s="20" t="s">
        <v>640</v>
      </c>
      <c r="F21" s="21"/>
      <c r="G21" s="22"/>
      <c r="H21" s="22"/>
      <c r="I21" s="36">
        <v>5000.0</v>
      </c>
      <c r="J21" s="21"/>
      <c r="K21" s="36"/>
      <c r="L21" s="22"/>
      <c r="M21" s="22"/>
      <c r="N21" s="22"/>
      <c r="O21" s="22"/>
      <c r="P21" s="24">
        <v>5000.0</v>
      </c>
      <c r="Q21" s="25">
        <f t="shared" si="1"/>
        <v>0</v>
      </c>
      <c r="R21" s="24" t="s">
        <v>35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45584.0</v>
      </c>
      <c r="C22" s="18" t="s">
        <v>1138</v>
      </c>
      <c r="D22" s="19">
        <v>22332.0</v>
      </c>
      <c r="E22" s="20" t="s">
        <v>210</v>
      </c>
      <c r="F22" s="21">
        <v>607.0</v>
      </c>
      <c r="G22" s="22"/>
      <c r="H22" s="22"/>
      <c r="I22" s="21"/>
      <c r="J22" s="21"/>
      <c r="K22" s="23">
        <v>843.0</v>
      </c>
      <c r="L22" s="22"/>
      <c r="M22" s="22"/>
      <c r="N22" s="22"/>
      <c r="O22" s="22"/>
      <c r="P22" s="24">
        <v>1450.0</v>
      </c>
      <c r="Q22" s="25">
        <f t="shared" si="1"/>
        <v>0</v>
      </c>
      <c r="R22" s="24" t="s">
        <v>35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45584.0</v>
      </c>
      <c r="C23" s="18" t="s">
        <v>1139</v>
      </c>
      <c r="D23" s="19">
        <v>36826.0</v>
      </c>
      <c r="E23" s="20" t="s">
        <v>1140</v>
      </c>
      <c r="F23" s="21"/>
      <c r="G23" s="22"/>
      <c r="H23" s="22"/>
      <c r="I23" s="21">
        <v>4450.0</v>
      </c>
      <c r="J23" s="21"/>
      <c r="K23" s="23"/>
      <c r="L23" s="22"/>
      <c r="M23" s="22"/>
      <c r="N23" s="22"/>
      <c r="O23" s="22"/>
      <c r="P23" s="24">
        <v>4450.0</v>
      </c>
      <c r="Q23" s="25">
        <f t="shared" si="1"/>
        <v>0</v>
      </c>
      <c r="R23" s="24" t="s">
        <v>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45584.0</v>
      </c>
      <c r="C24" s="18" t="s">
        <v>1141</v>
      </c>
      <c r="D24" s="19">
        <v>52083.0</v>
      </c>
      <c r="E24" s="20" t="s">
        <v>24</v>
      </c>
      <c r="F24" s="21"/>
      <c r="G24" s="22"/>
      <c r="H24" s="22"/>
      <c r="I24" s="21">
        <v>5000.0</v>
      </c>
      <c r="J24" s="21"/>
      <c r="K24" s="23"/>
      <c r="L24" s="22"/>
      <c r="M24" s="22"/>
      <c r="N24" s="22"/>
      <c r="O24" s="22"/>
      <c r="P24" s="24">
        <v>5000.0</v>
      </c>
      <c r="Q24" s="25">
        <f t="shared" si="1"/>
        <v>0</v>
      </c>
      <c r="R24" s="24" t="s">
        <v>48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45584.0</v>
      </c>
      <c r="C25" s="18" t="s">
        <v>1142</v>
      </c>
      <c r="D25" s="19">
        <v>21818.0</v>
      </c>
      <c r="E25" s="20" t="s">
        <v>237</v>
      </c>
      <c r="F25" s="21"/>
      <c r="G25" s="22"/>
      <c r="H25" s="22"/>
      <c r="I25" s="21"/>
      <c r="J25" s="21"/>
      <c r="K25" s="23">
        <v>300.0</v>
      </c>
      <c r="L25" s="22"/>
      <c r="M25" s="22"/>
      <c r="N25" s="22"/>
      <c r="O25" s="22"/>
      <c r="P25" s="24">
        <v>300.0</v>
      </c>
      <c r="Q25" s="25">
        <f t="shared" si="1"/>
        <v>0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45584.0</v>
      </c>
      <c r="C26" s="18" t="s">
        <v>1143</v>
      </c>
      <c r="D26" s="19">
        <v>62146.0</v>
      </c>
      <c r="E26" s="20" t="s">
        <v>458</v>
      </c>
      <c r="F26" s="21"/>
      <c r="G26" s="22"/>
      <c r="H26" s="22"/>
      <c r="I26" s="21">
        <v>450.0</v>
      </c>
      <c r="J26" s="21"/>
      <c r="K26" s="23"/>
      <c r="L26" s="22"/>
      <c r="M26" s="22"/>
      <c r="N26" s="22"/>
      <c r="O26" s="22"/>
      <c r="P26" s="24">
        <v>450.0</v>
      </c>
      <c r="Q26" s="25">
        <f t="shared" si="1"/>
        <v>0</v>
      </c>
      <c r="R26" s="24" t="s">
        <v>48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45584.0</v>
      </c>
      <c r="C27" s="18" t="s">
        <v>1144</v>
      </c>
      <c r="D27" s="19">
        <v>50222.0</v>
      </c>
      <c r="E27" s="20" t="s">
        <v>1145</v>
      </c>
      <c r="F27" s="21"/>
      <c r="G27" s="22"/>
      <c r="H27" s="22"/>
      <c r="I27" s="21">
        <v>1250.0</v>
      </c>
      <c r="J27" s="21"/>
      <c r="K27" s="23"/>
      <c r="L27" s="22"/>
      <c r="M27" s="22"/>
      <c r="N27" s="22"/>
      <c r="O27" s="22"/>
      <c r="P27" s="24">
        <v>1250.0</v>
      </c>
      <c r="Q27" s="25">
        <f t="shared" si="1"/>
        <v>0</v>
      </c>
      <c r="R27" s="24" t="s">
        <v>48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45584.0</v>
      </c>
      <c r="C28" s="18" t="s">
        <v>1146</v>
      </c>
      <c r="D28" s="19">
        <v>50596.0</v>
      </c>
      <c r="E28" s="20" t="s">
        <v>41</v>
      </c>
      <c r="F28" s="21"/>
      <c r="G28" s="22"/>
      <c r="H28" s="22"/>
      <c r="I28" s="21">
        <v>2500.0</v>
      </c>
      <c r="J28" s="21"/>
      <c r="K28" s="23"/>
      <c r="L28" s="22"/>
      <c r="M28" s="22"/>
      <c r="N28" s="22"/>
      <c r="O28" s="22"/>
      <c r="P28" s="24">
        <v>2500.0</v>
      </c>
      <c r="Q28" s="25">
        <f t="shared" si="1"/>
        <v>0</v>
      </c>
      <c r="R28" s="24" t="s">
        <v>28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45584.0</v>
      </c>
      <c r="C29" s="18" t="s">
        <v>1147</v>
      </c>
      <c r="D29" s="19">
        <v>13781.0</v>
      </c>
      <c r="E29" s="20" t="s">
        <v>469</v>
      </c>
      <c r="F29" s="21"/>
      <c r="G29" s="22">
        <v>4500.0</v>
      </c>
      <c r="H29" s="22"/>
      <c r="I29" s="21"/>
      <c r="J29" s="21"/>
      <c r="K29" s="23"/>
      <c r="L29" s="22"/>
      <c r="M29" s="22"/>
      <c r="N29" s="22"/>
      <c r="O29" s="22"/>
      <c r="P29" s="24">
        <v>4500.0</v>
      </c>
      <c r="Q29" s="25">
        <f t="shared" si="1"/>
        <v>0</v>
      </c>
      <c r="R29" s="24" t="s">
        <v>28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45584.0</v>
      </c>
      <c r="C30" s="18" t="s">
        <v>1148</v>
      </c>
      <c r="D30" s="19">
        <v>13781.0</v>
      </c>
      <c r="E30" s="20" t="s">
        <v>469</v>
      </c>
      <c r="F30" s="21"/>
      <c r="G30" s="22">
        <v>1000.0</v>
      </c>
      <c r="H30" s="22"/>
      <c r="I30" s="21"/>
      <c r="J30" s="21"/>
      <c r="K30" s="23"/>
      <c r="L30" s="22"/>
      <c r="M30" s="22"/>
      <c r="N30" s="22"/>
      <c r="O30" s="22"/>
      <c r="P30" s="24">
        <v>1000.0</v>
      </c>
      <c r="Q30" s="25">
        <f t="shared" si="1"/>
        <v>0</v>
      </c>
      <c r="R30" s="24" t="s">
        <v>28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45584.0</v>
      </c>
      <c r="C31" s="18" t="s">
        <v>1149</v>
      </c>
      <c r="D31" s="19">
        <v>81420.0</v>
      </c>
      <c r="E31" s="20" t="s">
        <v>1150</v>
      </c>
      <c r="F31" s="21"/>
      <c r="G31" s="22"/>
      <c r="H31" s="22"/>
      <c r="I31" s="21"/>
      <c r="J31" s="21"/>
      <c r="K31" s="23"/>
      <c r="L31" s="22"/>
      <c r="M31" s="22">
        <v>2000.0</v>
      </c>
      <c r="N31" s="22"/>
      <c r="O31" s="22"/>
      <c r="P31" s="24">
        <v>2000.0</v>
      </c>
      <c r="Q31" s="25">
        <f t="shared" si="1"/>
        <v>0</v>
      </c>
      <c r="R31" s="24" t="s">
        <v>28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45584.0</v>
      </c>
      <c r="C32" s="18" t="s">
        <v>1151</v>
      </c>
      <c r="D32" s="19">
        <v>64461.0</v>
      </c>
      <c r="E32" s="20" t="s">
        <v>1152</v>
      </c>
      <c r="F32" s="21">
        <v>5000.0</v>
      </c>
      <c r="G32" s="22"/>
      <c r="H32" s="22"/>
      <c r="I32" s="21"/>
      <c r="J32" s="21"/>
      <c r="K32" s="23"/>
      <c r="L32" s="22"/>
      <c r="M32" s="22"/>
      <c r="N32" s="22"/>
      <c r="O32" s="22"/>
      <c r="P32" s="24">
        <v>5000.0</v>
      </c>
      <c r="Q32" s="25">
        <f t="shared" si="1"/>
        <v>0</v>
      </c>
      <c r="R32" s="24" t="s">
        <v>35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45584.0</v>
      </c>
      <c r="C33" s="18" t="s">
        <v>1153</v>
      </c>
      <c r="D33" s="19">
        <v>21828.0</v>
      </c>
      <c r="E33" s="20" t="s">
        <v>150</v>
      </c>
      <c r="F33" s="21"/>
      <c r="G33" s="22"/>
      <c r="H33" s="22">
        <v>5000.0</v>
      </c>
      <c r="I33" s="21"/>
      <c r="J33" s="21"/>
      <c r="K33" s="23"/>
      <c r="L33" s="22"/>
      <c r="M33" s="22"/>
      <c r="N33" s="22"/>
      <c r="O33" s="22"/>
      <c r="P33" s="24">
        <v>5000.0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/>
      <c r="B34" s="27"/>
      <c r="C34" s="18"/>
      <c r="D34" s="19"/>
      <c r="E34" s="20"/>
      <c r="F34" s="21"/>
      <c r="G34" s="22"/>
      <c r="H34" s="22"/>
      <c r="I34" s="21"/>
      <c r="J34" s="21"/>
      <c r="K34" s="23"/>
      <c r="L34" s="22"/>
      <c r="M34" s="22"/>
      <c r="N34" s="22"/>
      <c r="O34" s="22"/>
      <c r="P34" s="24"/>
      <c r="Q34" s="25"/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/>
      <c r="B35" s="27"/>
      <c r="C35" s="18"/>
      <c r="D35" s="19"/>
      <c r="E35" s="20"/>
      <c r="F35" s="21"/>
      <c r="G35" s="22"/>
      <c r="H35" s="22"/>
      <c r="I35" s="21"/>
      <c r="J35" s="21"/>
      <c r="K35" s="23"/>
      <c r="L35" s="22"/>
      <c r="M35" s="22"/>
      <c r="N35" s="22"/>
      <c r="O35" s="22"/>
      <c r="P35" s="24"/>
      <c r="Q35" s="25"/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7.5" customHeight="1">
      <c r="A36" s="16"/>
      <c r="B36" s="27"/>
      <c r="C36" s="18"/>
      <c r="D36" s="19" t="s">
        <v>190</v>
      </c>
      <c r="E36" s="20"/>
      <c r="F36" s="45">
        <f t="shared" ref="F36:P36" si="2">SUM(F5:F35)</f>
        <v>6207</v>
      </c>
      <c r="G36" s="45">
        <f t="shared" si="2"/>
        <v>7520</v>
      </c>
      <c r="H36" s="45">
        <f t="shared" si="2"/>
        <v>5000</v>
      </c>
      <c r="I36" s="45">
        <f t="shared" si="2"/>
        <v>27650</v>
      </c>
      <c r="J36" s="45">
        <f t="shared" si="2"/>
        <v>14900</v>
      </c>
      <c r="K36" s="45">
        <f t="shared" si="2"/>
        <v>178543</v>
      </c>
      <c r="L36" s="45">
        <f t="shared" si="2"/>
        <v>0</v>
      </c>
      <c r="M36" s="45">
        <f t="shared" si="2"/>
        <v>4650</v>
      </c>
      <c r="N36" s="45">
        <f t="shared" si="2"/>
        <v>0</v>
      </c>
      <c r="O36" s="45">
        <f t="shared" si="2"/>
        <v>0</v>
      </c>
      <c r="P36" s="45">
        <f t="shared" si="2"/>
        <v>244470</v>
      </c>
      <c r="Q36" s="46">
        <f>SUM(Q5:Q27)</f>
        <v>0</v>
      </c>
      <c r="R36" s="47"/>
      <c r="S36" s="26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ht="58.5" customHeight="1">
      <c r="A37" s="48"/>
      <c r="B37" s="48"/>
      <c r="C37" s="49"/>
      <c r="D37" s="48"/>
      <c r="E37" s="48"/>
      <c r="F37" s="50">
        <f>F36+G36+H36+I36+J36+K36+L36+M36+N36+O36</f>
        <v>244470</v>
      </c>
      <c r="P37" s="51"/>
      <c r="Q37" s="51"/>
      <c r="R37" s="48"/>
      <c r="S37" s="48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3" t="s">
        <v>190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4" t="s">
        <v>191</v>
      </c>
      <c r="F41" s="60" t="s">
        <v>204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6" t="s">
        <v>193</v>
      </c>
      <c r="F42" s="60" t="s">
        <v>194</v>
      </c>
      <c r="G42" s="4"/>
      <c r="H42" s="4"/>
      <c r="I42" s="4"/>
      <c r="J42" s="4"/>
      <c r="K42" s="4"/>
      <c r="L42" s="4"/>
      <c r="M42" s="4"/>
      <c r="N42" s="4"/>
      <c r="O42" s="57" t="s">
        <v>190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195</v>
      </c>
      <c r="F43" s="60" t="s">
        <v>196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197</v>
      </c>
      <c r="F44" s="60" t="s">
        <v>196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198</v>
      </c>
      <c r="F45" s="60" t="s">
        <v>192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1154</v>
      </c>
      <c r="F46" s="60" t="s">
        <v>196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201</v>
      </c>
      <c r="F47" s="61" t="s">
        <v>1016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203</v>
      </c>
      <c r="F48" s="58" t="s">
        <v>204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7" t="s">
        <v>190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57" t="s">
        <v>205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 t="s">
        <v>190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>
        <v>7.0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R2:R4"/>
    <mergeCell ref="S2:S4"/>
    <mergeCell ref="F3:F4"/>
    <mergeCell ref="G3:H3"/>
    <mergeCell ref="I3:J3"/>
    <mergeCell ref="K3:K4"/>
    <mergeCell ref="F37:O3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45584.0</v>
      </c>
      <c r="C5" s="18" t="s">
        <v>1156</v>
      </c>
      <c r="D5" s="19">
        <v>28414.0</v>
      </c>
      <c r="E5" s="20" t="s">
        <v>454</v>
      </c>
      <c r="F5" s="21">
        <v>250.0</v>
      </c>
      <c r="G5" s="22"/>
      <c r="H5" s="22"/>
      <c r="I5" s="21"/>
      <c r="J5" s="22"/>
      <c r="K5" s="22"/>
      <c r="L5" s="22"/>
      <c r="M5" s="21"/>
      <c r="N5" s="22"/>
      <c r="O5" s="22"/>
      <c r="P5" s="24">
        <v>250.0</v>
      </c>
      <c r="Q5" s="25">
        <f t="shared" ref="Q5:Q14" si="1">F5+G5+H5+I5+J5+K5+L5+M5+N5+O5-P5</f>
        <v>0</v>
      </c>
      <c r="R5" s="24" t="s">
        <v>35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45585.0</v>
      </c>
      <c r="C6" s="18" t="s">
        <v>1157</v>
      </c>
      <c r="D6" s="19">
        <v>73016.0</v>
      </c>
      <c r="E6" s="20" t="s">
        <v>1158</v>
      </c>
      <c r="F6" s="22"/>
      <c r="G6" s="22"/>
      <c r="H6" s="21"/>
      <c r="I6" s="21"/>
      <c r="J6" s="23">
        <v>5150.0</v>
      </c>
      <c r="K6" s="22"/>
      <c r="L6" s="22"/>
      <c r="M6" s="22"/>
      <c r="N6" s="22"/>
      <c r="O6" s="22"/>
      <c r="P6" s="24">
        <v>5150.0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45585.0</v>
      </c>
      <c r="C7" s="18" t="s">
        <v>1159</v>
      </c>
      <c r="D7" s="19">
        <v>45813.0</v>
      </c>
      <c r="E7" s="20" t="s">
        <v>1160</v>
      </c>
      <c r="F7" s="22"/>
      <c r="G7" s="22"/>
      <c r="H7" s="22"/>
      <c r="I7" s="21">
        <v>1450.0</v>
      </c>
      <c r="J7" s="21"/>
      <c r="K7" s="22"/>
      <c r="L7" s="22"/>
      <c r="M7" s="21"/>
      <c r="N7" s="22"/>
      <c r="O7" s="22"/>
      <c r="P7" s="24">
        <v>1450.0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45585.0</v>
      </c>
      <c r="C8" s="18" t="s">
        <v>1161</v>
      </c>
      <c r="D8" s="19">
        <v>67621.0</v>
      </c>
      <c r="E8" s="20" t="s">
        <v>56</v>
      </c>
      <c r="F8" s="22"/>
      <c r="G8" s="22"/>
      <c r="H8" s="22"/>
      <c r="I8" s="21">
        <v>4500.0</v>
      </c>
      <c r="J8" s="21"/>
      <c r="K8" s="22"/>
      <c r="L8" s="22"/>
      <c r="M8" s="21"/>
      <c r="N8" s="22"/>
      <c r="O8" s="22"/>
      <c r="P8" s="24">
        <v>4500.0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45585.0</v>
      </c>
      <c r="C9" s="30" t="s">
        <v>1162</v>
      </c>
      <c r="D9" s="31">
        <v>45227.0</v>
      </c>
      <c r="E9" s="32" t="s">
        <v>615</v>
      </c>
      <c r="F9" s="22"/>
      <c r="G9" s="22"/>
      <c r="H9" s="22"/>
      <c r="I9" s="21">
        <v>350.0</v>
      </c>
      <c r="J9" s="21"/>
      <c r="K9" s="22"/>
      <c r="L9" s="22"/>
      <c r="M9" s="21"/>
      <c r="N9" s="22"/>
      <c r="O9" s="22"/>
      <c r="P9" s="33">
        <v>350.0</v>
      </c>
      <c r="Q9" s="25">
        <f t="shared" si="1"/>
        <v>0</v>
      </c>
      <c r="R9" s="33" t="s">
        <v>28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45585.0</v>
      </c>
      <c r="C10" s="18" t="s">
        <v>1163</v>
      </c>
      <c r="D10" s="19">
        <v>81560.0</v>
      </c>
      <c r="E10" s="20" t="s">
        <v>1164</v>
      </c>
      <c r="F10" s="22"/>
      <c r="G10" s="22"/>
      <c r="H10" s="22"/>
      <c r="I10" s="21"/>
      <c r="J10" s="21">
        <v>2300.0</v>
      </c>
      <c r="K10" s="22"/>
      <c r="L10" s="22"/>
      <c r="M10" s="21"/>
      <c r="N10" s="22"/>
      <c r="O10" s="22"/>
      <c r="P10" s="24">
        <v>2300.0</v>
      </c>
      <c r="Q10" s="25">
        <f t="shared" si="1"/>
        <v>0</v>
      </c>
      <c r="R10" s="24" t="s">
        <v>28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45585.0</v>
      </c>
      <c r="C11" s="18" t="s">
        <v>1165</v>
      </c>
      <c r="D11" s="19">
        <v>84033.0</v>
      </c>
      <c r="E11" s="20" t="s">
        <v>584</v>
      </c>
      <c r="F11" s="22"/>
      <c r="G11" s="22"/>
      <c r="H11" s="22"/>
      <c r="I11" s="21">
        <v>2500.0</v>
      </c>
      <c r="J11" s="21"/>
      <c r="K11" s="22"/>
      <c r="L11" s="22"/>
      <c r="M11" s="21"/>
      <c r="N11" s="22"/>
      <c r="O11" s="22"/>
      <c r="P11" s="24">
        <v>2500.0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45585.0</v>
      </c>
      <c r="C12" s="18" t="s">
        <v>1166</v>
      </c>
      <c r="D12" s="19">
        <v>85108.0</v>
      </c>
      <c r="E12" s="20" t="s">
        <v>1167</v>
      </c>
      <c r="F12" s="22"/>
      <c r="G12" s="22"/>
      <c r="H12" s="22"/>
      <c r="I12" s="21">
        <v>300.0</v>
      </c>
      <c r="J12" s="21"/>
      <c r="K12" s="22"/>
      <c r="L12" s="22"/>
      <c r="M12" s="21"/>
      <c r="N12" s="22"/>
      <c r="O12" s="22"/>
      <c r="P12" s="24">
        <v>300.0</v>
      </c>
      <c r="Q12" s="25">
        <f t="shared" si="1"/>
        <v>0</v>
      </c>
      <c r="R12" s="24" t="s">
        <v>28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45584.0</v>
      </c>
      <c r="C13" s="18" t="s">
        <v>1168</v>
      </c>
      <c r="D13" s="19">
        <v>21828.0</v>
      </c>
      <c r="E13" s="20" t="s">
        <v>150</v>
      </c>
      <c r="F13" s="22"/>
      <c r="G13" s="22"/>
      <c r="H13" s="22"/>
      <c r="I13" s="21"/>
      <c r="J13" s="21"/>
      <c r="K13" s="22"/>
      <c r="L13" s="22"/>
      <c r="M13" s="22">
        <v>100.0</v>
      </c>
      <c r="N13" s="22"/>
      <c r="O13" s="22"/>
      <c r="P13" s="24">
        <v>100.0</v>
      </c>
      <c r="Q13" s="25">
        <f t="shared" si="1"/>
        <v>0</v>
      </c>
      <c r="R13" s="24"/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45584.0</v>
      </c>
      <c r="C14" s="30" t="s">
        <v>1169</v>
      </c>
      <c r="D14" s="31">
        <v>21828.0</v>
      </c>
      <c r="E14" s="32" t="s">
        <v>150</v>
      </c>
      <c r="F14" s="22"/>
      <c r="G14" s="22"/>
      <c r="H14" s="22"/>
      <c r="I14" s="21"/>
      <c r="J14" s="21"/>
      <c r="K14" s="22"/>
      <c r="L14" s="22"/>
      <c r="M14" s="21">
        <v>2500.0</v>
      </c>
      <c r="N14" s="22"/>
      <c r="O14" s="22"/>
      <c r="P14" s="33">
        <v>2500.0</v>
      </c>
      <c r="Q14" s="25">
        <f t="shared" si="1"/>
        <v>0</v>
      </c>
      <c r="R14" s="33"/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/>
      <c r="B15" s="27"/>
      <c r="C15" s="18"/>
      <c r="D15" s="19"/>
      <c r="E15" s="20"/>
      <c r="F15" s="21"/>
      <c r="G15" s="22"/>
      <c r="H15" s="22"/>
      <c r="I15" s="21"/>
      <c r="J15" s="21"/>
      <c r="K15" s="23"/>
      <c r="L15" s="22"/>
      <c r="M15" s="22"/>
      <c r="N15" s="22"/>
      <c r="O15" s="22"/>
      <c r="P15" s="24"/>
      <c r="Q15" s="25"/>
      <c r="R15" s="24"/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/>
      <c r="B16" s="27"/>
      <c r="C16" s="18"/>
      <c r="D16" s="19"/>
      <c r="E16" s="20"/>
      <c r="F16" s="21"/>
      <c r="G16" s="22"/>
      <c r="H16" s="22"/>
      <c r="I16" s="21"/>
      <c r="J16" s="21"/>
      <c r="K16" s="23"/>
      <c r="L16" s="22"/>
      <c r="M16" s="22"/>
      <c r="N16" s="22"/>
      <c r="O16" s="22"/>
      <c r="P16" s="24"/>
      <c r="Q16" s="25"/>
      <c r="R16" s="24"/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7.5" customHeight="1">
      <c r="A17" s="16"/>
      <c r="B17" s="27"/>
      <c r="C17" s="18"/>
      <c r="D17" s="19" t="s">
        <v>190</v>
      </c>
      <c r="E17" s="20"/>
      <c r="F17" s="45">
        <f t="shared" ref="F17:P17" si="2">SUM(F5:F16)</f>
        <v>250</v>
      </c>
      <c r="G17" s="45">
        <f t="shared" si="2"/>
        <v>0</v>
      </c>
      <c r="H17" s="45">
        <f t="shared" si="2"/>
        <v>0</v>
      </c>
      <c r="I17" s="45">
        <f t="shared" si="2"/>
        <v>9100</v>
      </c>
      <c r="J17" s="45">
        <f t="shared" si="2"/>
        <v>7450</v>
      </c>
      <c r="K17" s="45">
        <f t="shared" si="2"/>
        <v>0</v>
      </c>
      <c r="L17" s="45">
        <f t="shared" si="2"/>
        <v>0</v>
      </c>
      <c r="M17" s="45">
        <f t="shared" si="2"/>
        <v>2600</v>
      </c>
      <c r="N17" s="45">
        <f t="shared" si="2"/>
        <v>0</v>
      </c>
      <c r="O17" s="45">
        <f t="shared" si="2"/>
        <v>0</v>
      </c>
      <c r="P17" s="45">
        <f t="shared" si="2"/>
        <v>19400</v>
      </c>
      <c r="Q17" s="46">
        <f>SUM(Q5:Q14)</f>
        <v>0</v>
      </c>
      <c r="R17" s="47"/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58.5" customHeight="1">
      <c r="A18" s="48"/>
      <c r="B18" s="48"/>
      <c r="C18" s="49"/>
      <c r="D18" s="48"/>
      <c r="E18" s="48"/>
      <c r="F18" s="50">
        <f>F17+G17+H17+I17+J17+K17+L17+M17+N17+O17</f>
        <v>19400</v>
      </c>
      <c r="P18" s="51"/>
      <c r="Q18" s="51"/>
      <c r="R18" s="48"/>
      <c r="S18" s="48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15.75" customHeight="1">
      <c r="A19" s="4"/>
      <c r="B19" s="4"/>
      <c r="C19" s="5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5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53" t="s">
        <v>190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52"/>
      <c r="D22" s="4"/>
      <c r="E22" s="54" t="s">
        <v>191</v>
      </c>
      <c r="F22" s="60" t="s">
        <v>204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52"/>
      <c r="D23" s="4"/>
      <c r="E23" s="56" t="s">
        <v>193</v>
      </c>
      <c r="F23" s="60" t="s">
        <v>192</v>
      </c>
      <c r="G23" s="4"/>
      <c r="H23" s="4"/>
      <c r="I23" s="4"/>
      <c r="J23" s="4"/>
      <c r="K23" s="4"/>
      <c r="L23" s="4"/>
      <c r="M23" s="4"/>
      <c r="N23" s="4"/>
      <c r="O23" s="57" t="s">
        <v>190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52"/>
      <c r="D24" s="4"/>
      <c r="E24" s="56" t="s">
        <v>195</v>
      </c>
      <c r="F24" s="60" t="s">
        <v>622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52"/>
      <c r="D25" s="4"/>
      <c r="E25" s="56" t="s">
        <v>197</v>
      </c>
      <c r="F25" s="60" t="s">
        <v>192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52"/>
      <c r="D26" s="4"/>
      <c r="E26" s="56" t="s">
        <v>198</v>
      </c>
      <c r="F26" s="60" t="s">
        <v>192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52"/>
      <c r="D27" s="4"/>
      <c r="E27" s="56" t="s">
        <v>1170</v>
      </c>
      <c r="F27" s="60" t="s">
        <v>192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52"/>
      <c r="D28" s="4"/>
      <c r="E28" s="56" t="s">
        <v>201</v>
      </c>
      <c r="F28" s="61" t="s">
        <v>1016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56" t="s">
        <v>203</v>
      </c>
      <c r="F29" s="58" t="s">
        <v>204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7" t="s">
        <v>190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 t="str">
        <f>I72417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5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57" t="s">
        <v>205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 t="s">
        <v>190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>
        <v>7.0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17">
    <mergeCell ref="R2:R4"/>
    <mergeCell ref="S2:S4"/>
    <mergeCell ref="F3:F4"/>
    <mergeCell ref="G3:H3"/>
    <mergeCell ref="I3:J3"/>
    <mergeCell ref="K3:K4"/>
    <mergeCell ref="F18:O1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45585.0</v>
      </c>
      <c r="C5" s="18" t="s">
        <v>1172</v>
      </c>
      <c r="D5" s="19">
        <v>80578.0</v>
      </c>
      <c r="E5" s="20" t="s">
        <v>1173</v>
      </c>
      <c r="F5" s="21"/>
      <c r="G5" s="22"/>
      <c r="H5" s="22"/>
      <c r="I5" s="21">
        <v>2650.0</v>
      </c>
      <c r="J5" s="22"/>
      <c r="K5" s="22"/>
      <c r="L5" s="22"/>
      <c r="M5" s="21"/>
      <c r="N5" s="22"/>
      <c r="O5" s="22"/>
      <c r="P5" s="24">
        <v>2650.0</v>
      </c>
      <c r="Q5" s="25">
        <f t="shared" ref="Q5:Q15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45586.0</v>
      </c>
      <c r="C6" s="18" t="s">
        <v>1174</v>
      </c>
      <c r="D6" s="19">
        <v>77864.0</v>
      </c>
      <c r="E6" s="20" t="s">
        <v>1175</v>
      </c>
      <c r="F6" s="22"/>
      <c r="G6" s="22"/>
      <c r="H6" s="21"/>
      <c r="I6" s="21"/>
      <c r="J6" s="23">
        <v>10000.0</v>
      </c>
      <c r="K6" s="22"/>
      <c r="L6" s="22"/>
      <c r="M6" s="22"/>
      <c r="N6" s="22"/>
      <c r="O6" s="22"/>
      <c r="P6" s="24">
        <v>10000.0</v>
      </c>
      <c r="Q6" s="25">
        <f t="shared" si="1"/>
        <v>0</v>
      </c>
      <c r="R6" s="24" t="s">
        <v>57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45586.0</v>
      </c>
      <c r="C7" s="18" t="s">
        <v>1176</v>
      </c>
      <c r="D7" s="19">
        <v>52083.0</v>
      </c>
      <c r="E7" s="20" t="s">
        <v>24</v>
      </c>
      <c r="F7" s="22"/>
      <c r="G7" s="22"/>
      <c r="H7" s="22"/>
      <c r="I7" s="21">
        <v>1550.0</v>
      </c>
      <c r="J7" s="21"/>
      <c r="K7" s="22"/>
      <c r="L7" s="22"/>
      <c r="M7" s="21"/>
      <c r="N7" s="22"/>
      <c r="O7" s="22"/>
      <c r="P7" s="24">
        <v>1550.0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45586.0</v>
      </c>
      <c r="C8" s="18" t="s">
        <v>1177</v>
      </c>
      <c r="D8" s="19">
        <v>54226.0</v>
      </c>
      <c r="E8" s="20" t="s">
        <v>34</v>
      </c>
      <c r="F8" s="22"/>
      <c r="G8" s="22"/>
      <c r="H8" s="22"/>
      <c r="I8" s="21">
        <v>2650.0</v>
      </c>
      <c r="J8" s="21"/>
      <c r="K8" s="22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45586.0</v>
      </c>
      <c r="C9" s="30" t="s">
        <v>1178</v>
      </c>
      <c r="D9" s="31">
        <v>54763.0</v>
      </c>
      <c r="E9" s="32" t="s">
        <v>284</v>
      </c>
      <c r="F9" s="22"/>
      <c r="G9" s="22"/>
      <c r="H9" s="22"/>
      <c r="I9" s="21">
        <v>4500.0</v>
      </c>
      <c r="J9" s="21"/>
      <c r="K9" s="22"/>
      <c r="L9" s="22"/>
      <c r="M9" s="21"/>
      <c r="N9" s="22"/>
      <c r="O9" s="22"/>
      <c r="P9" s="33">
        <v>4500.0</v>
      </c>
      <c r="Q9" s="25">
        <f t="shared" si="1"/>
        <v>0</v>
      </c>
      <c r="R9" s="33" t="s">
        <v>48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7">
        <v>45586.0</v>
      </c>
      <c r="C10" s="18" t="s">
        <v>1179</v>
      </c>
      <c r="D10" s="19">
        <v>54764.0</v>
      </c>
      <c r="E10" s="20" t="s">
        <v>286</v>
      </c>
      <c r="F10" s="22"/>
      <c r="G10" s="22"/>
      <c r="H10" s="22"/>
      <c r="I10" s="21">
        <v>1730.0</v>
      </c>
      <c r="J10" s="21"/>
      <c r="K10" s="22"/>
      <c r="L10" s="22"/>
      <c r="M10" s="21"/>
      <c r="N10" s="22"/>
      <c r="O10" s="22"/>
      <c r="P10" s="24">
        <v>1730.0</v>
      </c>
      <c r="Q10" s="25">
        <f t="shared" si="1"/>
        <v>0</v>
      </c>
      <c r="R10" s="24" t="s">
        <v>48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45586.0</v>
      </c>
      <c r="C11" s="18" t="s">
        <v>1180</v>
      </c>
      <c r="D11" s="19">
        <v>85110.0</v>
      </c>
      <c r="E11" s="20" t="s">
        <v>1181</v>
      </c>
      <c r="F11" s="22"/>
      <c r="G11" s="22"/>
      <c r="H11" s="22"/>
      <c r="I11" s="21"/>
      <c r="J11" s="21"/>
      <c r="K11" s="22"/>
      <c r="L11" s="22"/>
      <c r="M11" s="21">
        <v>300.0</v>
      </c>
      <c r="N11" s="22"/>
      <c r="O11" s="22"/>
      <c r="P11" s="24">
        <v>300.0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45585.0</v>
      </c>
      <c r="C12" s="18" t="s">
        <v>1182</v>
      </c>
      <c r="D12" s="19">
        <v>51017.0</v>
      </c>
      <c r="E12" s="20" t="s">
        <v>165</v>
      </c>
      <c r="F12" s="22"/>
      <c r="G12" s="22"/>
      <c r="H12" s="22">
        <v>10000.0</v>
      </c>
      <c r="I12" s="21"/>
      <c r="J12" s="21"/>
      <c r="K12" s="22"/>
      <c r="L12" s="22"/>
      <c r="M12" s="21"/>
      <c r="N12" s="22"/>
      <c r="O12" s="22"/>
      <c r="P12" s="24">
        <v>10000.0</v>
      </c>
      <c r="Q12" s="25">
        <f t="shared" si="1"/>
        <v>0</v>
      </c>
      <c r="R12" s="24"/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7">
        <v>45586.0</v>
      </c>
      <c r="C13" s="18" t="s">
        <v>1183</v>
      </c>
      <c r="D13" s="19">
        <v>50148.0</v>
      </c>
      <c r="E13" s="20" t="s">
        <v>274</v>
      </c>
      <c r="F13" s="22"/>
      <c r="G13" s="22"/>
      <c r="H13" s="22">
        <v>10000.0</v>
      </c>
      <c r="I13" s="21"/>
      <c r="J13" s="21"/>
      <c r="K13" s="22"/>
      <c r="L13" s="22"/>
      <c r="M13" s="22"/>
      <c r="N13" s="22"/>
      <c r="O13" s="22"/>
      <c r="P13" s="24">
        <v>10000.0</v>
      </c>
      <c r="Q13" s="25">
        <f t="shared" si="1"/>
        <v>0</v>
      </c>
      <c r="R13" s="24"/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9">
        <v>45586.0</v>
      </c>
      <c r="C14" s="30" t="s">
        <v>1184</v>
      </c>
      <c r="D14" s="31">
        <v>36555.0</v>
      </c>
      <c r="E14" s="32" t="s">
        <v>167</v>
      </c>
      <c r="F14" s="22"/>
      <c r="G14" s="22"/>
      <c r="H14" s="22">
        <v>4500.0</v>
      </c>
      <c r="I14" s="21"/>
      <c r="J14" s="21"/>
      <c r="K14" s="22"/>
      <c r="L14" s="22"/>
      <c r="M14" s="21"/>
      <c r="N14" s="22"/>
      <c r="O14" s="22"/>
      <c r="P14" s="33">
        <v>4500.0</v>
      </c>
      <c r="Q14" s="25">
        <f t="shared" si="1"/>
        <v>0</v>
      </c>
      <c r="R14" s="33"/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45586.0</v>
      </c>
      <c r="C15" s="30" t="s">
        <v>1185</v>
      </c>
      <c r="D15" s="31">
        <v>83404.0</v>
      </c>
      <c r="E15" s="32" t="s">
        <v>1186</v>
      </c>
      <c r="F15" s="22"/>
      <c r="G15" s="22"/>
      <c r="H15" s="22">
        <v>10700.0</v>
      </c>
      <c r="I15" s="21"/>
      <c r="J15" s="21"/>
      <c r="K15" s="22"/>
      <c r="L15" s="22"/>
      <c r="M15" s="21"/>
      <c r="N15" s="22"/>
      <c r="O15" s="22"/>
      <c r="P15" s="33">
        <v>10700.0</v>
      </c>
      <c r="Q15" s="25">
        <f t="shared" si="1"/>
        <v>0</v>
      </c>
      <c r="R15" s="33"/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7.5" customHeight="1">
      <c r="A16" s="16"/>
      <c r="B16" s="27"/>
      <c r="C16" s="18"/>
      <c r="D16" s="19" t="s">
        <v>190</v>
      </c>
      <c r="E16" s="20"/>
      <c r="F16" s="45">
        <f t="shared" ref="F16:P16" si="2">SUM(F5:F15)</f>
        <v>0</v>
      </c>
      <c r="G16" s="45">
        <f t="shared" si="2"/>
        <v>0</v>
      </c>
      <c r="H16" s="45">
        <f t="shared" si="2"/>
        <v>35200</v>
      </c>
      <c r="I16" s="45">
        <f t="shared" si="2"/>
        <v>13080</v>
      </c>
      <c r="J16" s="45">
        <f t="shared" si="2"/>
        <v>10000</v>
      </c>
      <c r="K16" s="45">
        <f t="shared" si="2"/>
        <v>0</v>
      </c>
      <c r="L16" s="45">
        <f t="shared" si="2"/>
        <v>0</v>
      </c>
      <c r="M16" s="45">
        <f t="shared" si="2"/>
        <v>300</v>
      </c>
      <c r="N16" s="45">
        <f t="shared" si="2"/>
        <v>0</v>
      </c>
      <c r="O16" s="45">
        <f t="shared" si="2"/>
        <v>0</v>
      </c>
      <c r="P16" s="45">
        <f t="shared" si="2"/>
        <v>58580</v>
      </c>
      <c r="Q16" s="46">
        <f>SUM(Q5:Q14)</f>
        <v>0</v>
      </c>
      <c r="R16" s="47"/>
      <c r="S16" s="47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58.5" customHeight="1">
      <c r="A17" s="48"/>
      <c r="B17" s="48"/>
      <c r="C17" s="49"/>
      <c r="D17" s="48"/>
      <c r="E17" s="48"/>
      <c r="F17" s="50">
        <f>F16+G16+H16+I16+J16+K16+L16+M16+N16+O16</f>
        <v>58580</v>
      </c>
      <c r="P17" s="51"/>
      <c r="Q17" s="51"/>
      <c r="R17" s="48"/>
      <c r="S17" s="48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15.75" customHeight="1">
      <c r="A18" s="4"/>
      <c r="B18" s="4"/>
      <c r="C18" s="5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26.25" customHeight="1">
      <c r="A19" s="4"/>
      <c r="B19" s="4"/>
      <c r="C19" s="5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53" t="s">
        <v>190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52"/>
      <c r="D21" s="4"/>
      <c r="E21" s="54" t="s">
        <v>191</v>
      </c>
      <c r="F21" s="60" t="s">
        <v>192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52"/>
      <c r="D22" s="4"/>
      <c r="E22" s="56" t="s">
        <v>193</v>
      </c>
      <c r="F22" s="60" t="s">
        <v>192</v>
      </c>
      <c r="G22" s="4"/>
      <c r="H22" s="4"/>
      <c r="I22" s="4"/>
      <c r="J22" s="4"/>
      <c r="K22" s="4"/>
      <c r="L22" s="4"/>
      <c r="M22" s="4"/>
      <c r="N22" s="4"/>
      <c r="O22" s="57" t="s">
        <v>190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52"/>
      <c r="D23" s="4"/>
      <c r="E23" s="56" t="s">
        <v>195</v>
      </c>
      <c r="F23" s="60" t="s">
        <v>196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52"/>
      <c r="D24" s="4"/>
      <c r="E24" s="56" t="s">
        <v>197</v>
      </c>
      <c r="F24" s="60" t="s">
        <v>196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52"/>
      <c r="D25" s="4"/>
      <c r="E25" s="56" t="s">
        <v>198</v>
      </c>
      <c r="F25" s="60" t="s">
        <v>192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52"/>
      <c r="D26" s="4"/>
      <c r="E26" s="56" t="s">
        <v>1187</v>
      </c>
      <c r="F26" s="60" t="s">
        <v>196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52"/>
      <c r="D27" s="4"/>
      <c r="E27" s="56" t="s">
        <v>201</v>
      </c>
      <c r="F27" s="61" t="s">
        <v>682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52"/>
      <c r="D28" s="4"/>
      <c r="E28" s="56" t="s">
        <v>203</v>
      </c>
      <c r="F28" s="58" t="s">
        <v>204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7" t="s">
        <v>190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 t="str">
        <f>I72416</f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5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57" t="s">
        <v>205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 t="s">
        <v>190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>
        <v>7.0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17">
    <mergeCell ref="R2:R4"/>
    <mergeCell ref="S2:S4"/>
    <mergeCell ref="F3:F4"/>
    <mergeCell ref="G3:H3"/>
    <mergeCell ref="I3:J3"/>
    <mergeCell ref="K3:K4"/>
    <mergeCell ref="F17:O1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45587.0</v>
      </c>
      <c r="C5" s="18" t="s">
        <v>1189</v>
      </c>
      <c r="D5" s="19">
        <v>48387.0</v>
      </c>
      <c r="E5" s="20" t="s">
        <v>1190</v>
      </c>
      <c r="F5" s="21"/>
      <c r="G5" s="22"/>
      <c r="H5" s="22"/>
      <c r="I5" s="21">
        <v>29500.0</v>
      </c>
      <c r="J5" s="22"/>
      <c r="K5" s="22"/>
      <c r="L5" s="22"/>
      <c r="M5" s="21"/>
      <c r="N5" s="22"/>
      <c r="O5" s="22"/>
      <c r="P5" s="24">
        <v>29500.0</v>
      </c>
      <c r="Q5" s="25">
        <f t="shared" ref="Q5:Q31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45587.0</v>
      </c>
      <c r="C6" s="18" t="s">
        <v>1191</v>
      </c>
      <c r="D6" s="19">
        <v>37078.0</v>
      </c>
      <c r="E6" s="20" t="s">
        <v>1192</v>
      </c>
      <c r="F6" s="22"/>
      <c r="G6" s="22"/>
      <c r="H6" s="21"/>
      <c r="I6" s="21">
        <v>1350.0</v>
      </c>
      <c r="J6" s="23"/>
      <c r="K6" s="22"/>
      <c r="L6" s="22"/>
      <c r="M6" s="22"/>
      <c r="N6" s="22"/>
      <c r="O6" s="22"/>
      <c r="P6" s="24">
        <v>1350.0</v>
      </c>
      <c r="Q6" s="25">
        <f t="shared" si="1"/>
        <v>0</v>
      </c>
      <c r="R6" s="24" t="s">
        <v>48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45587.0</v>
      </c>
      <c r="C7" s="18" t="s">
        <v>1193</v>
      </c>
      <c r="D7" s="19">
        <v>48973.0</v>
      </c>
      <c r="E7" s="20" t="s">
        <v>1194</v>
      </c>
      <c r="F7" s="22"/>
      <c r="G7" s="22"/>
      <c r="H7" s="22"/>
      <c r="I7" s="21">
        <v>5350.0</v>
      </c>
      <c r="J7" s="21"/>
      <c r="K7" s="22"/>
      <c r="L7" s="22"/>
      <c r="M7" s="21"/>
      <c r="N7" s="22"/>
      <c r="O7" s="22"/>
      <c r="P7" s="24">
        <v>5350.0</v>
      </c>
      <c r="Q7" s="25">
        <f t="shared" si="1"/>
        <v>0</v>
      </c>
      <c r="R7" s="24" t="s">
        <v>35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45587.0</v>
      </c>
      <c r="C8" s="18" t="s">
        <v>1195</v>
      </c>
      <c r="D8" s="19">
        <v>53785.0</v>
      </c>
      <c r="E8" s="20" t="s">
        <v>1196</v>
      </c>
      <c r="F8" s="22"/>
      <c r="G8" s="22"/>
      <c r="H8" s="22"/>
      <c r="I8" s="21">
        <v>600.0</v>
      </c>
      <c r="J8" s="21"/>
      <c r="K8" s="22"/>
      <c r="L8" s="22"/>
      <c r="M8" s="21"/>
      <c r="N8" s="22"/>
      <c r="O8" s="22"/>
      <c r="P8" s="24">
        <v>600.0</v>
      </c>
      <c r="Q8" s="25">
        <f t="shared" si="1"/>
        <v>0</v>
      </c>
      <c r="R8" s="24" t="s">
        <v>48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45587.0</v>
      </c>
      <c r="C9" s="30" t="s">
        <v>1197</v>
      </c>
      <c r="D9" s="31">
        <v>48052.0</v>
      </c>
      <c r="E9" s="32" t="s">
        <v>76</v>
      </c>
      <c r="F9" s="22"/>
      <c r="G9" s="22"/>
      <c r="H9" s="22"/>
      <c r="I9" s="21">
        <v>450.0</v>
      </c>
      <c r="J9" s="21"/>
      <c r="K9" s="22"/>
      <c r="L9" s="22"/>
      <c r="M9" s="21"/>
      <c r="N9" s="22"/>
      <c r="O9" s="22"/>
      <c r="P9" s="33">
        <v>450.0</v>
      </c>
      <c r="Q9" s="25">
        <f t="shared" si="1"/>
        <v>0</v>
      </c>
      <c r="R9" s="33" t="s">
        <v>28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45587.0</v>
      </c>
      <c r="C10" s="30" t="s">
        <v>1198</v>
      </c>
      <c r="D10" s="31">
        <v>55446.0</v>
      </c>
      <c r="E10" s="32" t="s">
        <v>226</v>
      </c>
      <c r="F10" s="22"/>
      <c r="G10" s="22">
        <v>4500.0</v>
      </c>
      <c r="H10" s="22"/>
      <c r="I10" s="21"/>
      <c r="J10" s="21"/>
      <c r="K10" s="22"/>
      <c r="L10" s="22"/>
      <c r="M10" s="21"/>
      <c r="N10" s="22"/>
      <c r="O10" s="22"/>
      <c r="P10" s="33">
        <v>4500.0</v>
      </c>
      <c r="Q10" s="25">
        <f t="shared" si="1"/>
        <v>0</v>
      </c>
      <c r="R10" s="33" t="s">
        <v>28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45587.0</v>
      </c>
      <c r="C11" s="30" t="s">
        <v>1199</v>
      </c>
      <c r="D11" s="31">
        <v>10249.0</v>
      </c>
      <c r="E11" s="32" t="s">
        <v>118</v>
      </c>
      <c r="F11" s="22"/>
      <c r="G11" s="22"/>
      <c r="H11" s="22"/>
      <c r="I11" s="21"/>
      <c r="J11" s="21">
        <v>300.0</v>
      </c>
      <c r="K11" s="22"/>
      <c r="L11" s="22"/>
      <c r="M11" s="21"/>
      <c r="N11" s="22"/>
      <c r="O11" s="22"/>
      <c r="P11" s="33">
        <v>300.0</v>
      </c>
      <c r="Q11" s="25">
        <f t="shared" si="1"/>
        <v>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45587.0</v>
      </c>
      <c r="C12" s="30" t="s">
        <v>1200</v>
      </c>
      <c r="D12" s="31">
        <v>28860.0</v>
      </c>
      <c r="E12" s="32" t="s">
        <v>1201</v>
      </c>
      <c r="F12" s="22"/>
      <c r="G12" s="22"/>
      <c r="H12" s="22"/>
      <c r="I12" s="21">
        <v>2650.0</v>
      </c>
      <c r="J12" s="21"/>
      <c r="K12" s="22"/>
      <c r="L12" s="22"/>
      <c r="M12" s="21"/>
      <c r="N12" s="22"/>
      <c r="O12" s="22"/>
      <c r="P12" s="33">
        <v>2650.0</v>
      </c>
      <c r="Q12" s="25">
        <f t="shared" si="1"/>
        <v>0</v>
      </c>
      <c r="R12" s="33" t="s">
        <v>48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45587.0</v>
      </c>
      <c r="C13" s="30" t="s">
        <v>1202</v>
      </c>
      <c r="D13" s="31">
        <v>75838.0</v>
      </c>
      <c r="E13" s="32" t="s">
        <v>1203</v>
      </c>
      <c r="F13" s="22"/>
      <c r="G13" s="22"/>
      <c r="H13" s="22"/>
      <c r="I13" s="21">
        <v>1400.0</v>
      </c>
      <c r="J13" s="21"/>
      <c r="K13" s="22"/>
      <c r="L13" s="22"/>
      <c r="M13" s="21"/>
      <c r="N13" s="22"/>
      <c r="O13" s="22"/>
      <c r="P13" s="33">
        <v>1400.0</v>
      </c>
      <c r="Q13" s="25">
        <f t="shared" si="1"/>
        <v>0</v>
      </c>
      <c r="R13" s="33" t="s">
        <v>48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45587.0</v>
      </c>
      <c r="C14" s="30" t="s">
        <v>1204</v>
      </c>
      <c r="D14" s="31">
        <v>77609.0</v>
      </c>
      <c r="E14" s="32" t="s">
        <v>1205</v>
      </c>
      <c r="F14" s="22"/>
      <c r="G14" s="22"/>
      <c r="H14" s="22"/>
      <c r="I14" s="21">
        <v>5570.0</v>
      </c>
      <c r="J14" s="21"/>
      <c r="K14" s="22"/>
      <c r="L14" s="22"/>
      <c r="M14" s="21"/>
      <c r="N14" s="22"/>
      <c r="O14" s="22"/>
      <c r="P14" s="33">
        <v>5570.0</v>
      </c>
      <c r="Q14" s="25">
        <f t="shared" si="1"/>
        <v>0</v>
      </c>
      <c r="R14" s="33" t="s">
        <v>28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45587.0</v>
      </c>
      <c r="C15" s="30" t="s">
        <v>1206</v>
      </c>
      <c r="D15" s="31">
        <v>10001.0</v>
      </c>
      <c r="E15" s="32" t="s">
        <v>476</v>
      </c>
      <c r="F15" s="22"/>
      <c r="G15" s="22"/>
      <c r="H15" s="22"/>
      <c r="I15" s="21">
        <v>7350.0</v>
      </c>
      <c r="J15" s="21"/>
      <c r="K15" s="22"/>
      <c r="L15" s="22"/>
      <c r="M15" s="21"/>
      <c r="N15" s="22"/>
      <c r="O15" s="22"/>
      <c r="P15" s="33">
        <v>7350.0</v>
      </c>
      <c r="Q15" s="25">
        <f t="shared" si="1"/>
        <v>0</v>
      </c>
      <c r="R15" s="33" t="s">
        <v>35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45587.0</v>
      </c>
      <c r="C16" s="30" t="s">
        <v>1207</v>
      </c>
      <c r="D16" s="31">
        <v>83561.0</v>
      </c>
      <c r="E16" s="32" t="s">
        <v>1208</v>
      </c>
      <c r="F16" s="22"/>
      <c r="G16" s="22"/>
      <c r="H16" s="22"/>
      <c r="I16" s="21">
        <v>1350.0</v>
      </c>
      <c r="J16" s="21"/>
      <c r="K16" s="22"/>
      <c r="L16" s="22"/>
      <c r="M16" s="21"/>
      <c r="N16" s="22"/>
      <c r="O16" s="22"/>
      <c r="P16" s="33">
        <v>1350.0</v>
      </c>
      <c r="Q16" s="25">
        <f t="shared" si="1"/>
        <v>0</v>
      </c>
      <c r="R16" s="33" t="s">
        <v>48</v>
      </c>
      <c r="S16" s="2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45587.0</v>
      </c>
      <c r="C17" s="30" t="s">
        <v>1209</v>
      </c>
      <c r="D17" s="31">
        <v>48072.0</v>
      </c>
      <c r="E17" s="32" t="s">
        <v>1210</v>
      </c>
      <c r="F17" s="22"/>
      <c r="G17" s="22"/>
      <c r="H17" s="22"/>
      <c r="I17" s="21">
        <v>4950.0</v>
      </c>
      <c r="J17" s="21"/>
      <c r="K17" s="22"/>
      <c r="L17" s="22"/>
      <c r="M17" s="21"/>
      <c r="N17" s="22"/>
      <c r="O17" s="22"/>
      <c r="P17" s="33">
        <v>4950.0</v>
      </c>
      <c r="Q17" s="25">
        <f t="shared" si="1"/>
        <v>0</v>
      </c>
      <c r="R17" s="33" t="s">
        <v>57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45587.0</v>
      </c>
      <c r="C18" s="30" t="s">
        <v>1211</v>
      </c>
      <c r="D18" s="31">
        <v>55497.0</v>
      </c>
      <c r="E18" s="32" t="s">
        <v>1212</v>
      </c>
      <c r="F18" s="22"/>
      <c r="G18" s="22"/>
      <c r="H18" s="22"/>
      <c r="I18" s="21">
        <v>2650.0</v>
      </c>
      <c r="J18" s="21"/>
      <c r="K18" s="22"/>
      <c r="L18" s="22"/>
      <c r="M18" s="21"/>
      <c r="N18" s="22"/>
      <c r="O18" s="22"/>
      <c r="P18" s="33">
        <v>2650.0</v>
      </c>
      <c r="Q18" s="25">
        <f t="shared" si="1"/>
        <v>0</v>
      </c>
      <c r="R18" s="33" t="s">
        <v>48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45587.0</v>
      </c>
      <c r="C19" s="30" t="s">
        <v>1213</v>
      </c>
      <c r="D19" s="31">
        <v>61445.0</v>
      </c>
      <c r="E19" s="32" t="s">
        <v>351</v>
      </c>
      <c r="F19" s="22"/>
      <c r="G19" s="22"/>
      <c r="H19" s="22"/>
      <c r="I19" s="21"/>
      <c r="J19" s="21"/>
      <c r="K19" s="22"/>
      <c r="L19" s="22"/>
      <c r="M19" s="21">
        <v>3500.0</v>
      </c>
      <c r="N19" s="22"/>
      <c r="O19" s="22"/>
      <c r="P19" s="33">
        <v>3500.0</v>
      </c>
      <c r="Q19" s="25">
        <f t="shared" si="1"/>
        <v>0</v>
      </c>
      <c r="R19" s="33" t="s">
        <v>25</v>
      </c>
      <c r="S19" s="26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45587.0</v>
      </c>
      <c r="C20" s="30" t="s">
        <v>1214</v>
      </c>
      <c r="D20" s="31">
        <v>48052.0</v>
      </c>
      <c r="E20" s="32" t="s">
        <v>76</v>
      </c>
      <c r="F20" s="22"/>
      <c r="G20" s="22"/>
      <c r="H20" s="22"/>
      <c r="I20" s="21">
        <v>350.0</v>
      </c>
      <c r="J20" s="21"/>
      <c r="K20" s="22"/>
      <c r="L20" s="22"/>
      <c r="M20" s="21"/>
      <c r="N20" s="22"/>
      <c r="O20" s="22"/>
      <c r="P20" s="33">
        <v>350.0</v>
      </c>
      <c r="Q20" s="25">
        <f t="shared" si="1"/>
        <v>0</v>
      </c>
      <c r="R20" s="33" t="s">
        <v>25</v>
      </c>
      <c r="S20" s="26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45587.0</v>
      </c>
      <c r="C21" s="30" t="s">
        <v>1215</v>
      </c>
      <c r="D21" s="31">
        <v>75603.0</v>
      </c>
      <c r="E21" s="32" t="s">
        <v>1216</v>
      </c>
      <c r="F21" s="22"/>
      <c r="G21" s="22"/>
      <c r="H21" s="22"/>
      <c r="I21" s="21">
        <v>1150.0</v>
      </c>
      <c r="J21" s="21"/>
      <c r="K21" s="22"/>
      <c r="L21" s="22"/>
      <c r="M21" s="21"/>
      <c r="N21" s="22"/>
      <c r="O21" s="22"/>
      <c r="P21" s="33">
        <v>1150.0</v>
      </c>
      <c r="Q21" s="25">
        <f t="shared" si="1"/>
        <v>0</v>
      </c>
      <c r="R21" s="33" t="s">
        <v>25</v>
      </c>
      <c r="S21" s="26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7">
        <v>45587.0</v>
      </c>
      <c r="C22" s="18" t="s">
        <v>1217</v>
      </c>
      <c r="D22" s="19">
        <v>33507.0</v>
      </c>
      <c r="E22" s="20" t="s">
        <v>1218</v>
      </c>
      <c r="F22" s="22"/>
      <c r="G22" s="22"/>
      <c r="H22" s="22"/>
      <c r="I22" s="21">
        <v>5150.0</v>
      </c>
      <c r="J22" s="21"/>
      <c r="K22" s="22"/>
      <c r="L22" s="22"/>
      <c r="M22" s="21"/>
      <c r="N22" s="22"/>
      <c r="O22" s="22"/>
      <c r="P22" s="24">
        <v>5150.0</v>
      </c>
      <c r="Q22" s="25">
        <f t="shared" si="1"/>
        <v>0</v>
      </c>
      <c r="R22" s="24" t="s">
        <v>48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45587.0</v>
      </c>
      <c r="C23" s="18" t="s">
        <v>1219</v>
      </c>
      <c r="D23" s="19">
        <v>25376.0</v>
      </c>
      <c r="E23" s="20" t="s">
        <v>1220</v>
      </c>
      <c r="F23" s="22"/>
      <c r="G23" s="22"/>
      <c r="H23" s="22"/>
      <c r="I23" s="21"/>
      <c r="J23" s="21"/>
      <c r="K23" s="22">
        <v>500.0</v>
      </c>
      <c r="L23" s="22"/>
      <c r="M23" s="21">
        <v>4300.0</v>
      </c>
      <c r="N23" s="22"/>
      <c r="O23" s="22"/>
      <c r="P23" s="24">
        <v>4800.0</v>
      </c>
      <c r="Q23" s="25">
        <f t="shared" si="1"/>
        <v>0</v>
      </c>
      <c r="R23" s="24" t="s">
        <v>25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45587.0</v>
      </c>
      <c r="C24" s="18" t="s">
        <v>1221</v>
      </c>
      <c r="D24" s="19">
        <v>36080.0</v>
      </c>
      <c r="E24" s="20" t="s">
        <v>1222</v>
      </c>
      <c r="F24" s="22"/>
      <c r="G24" s="22"/>
      <c r="H24" s="22"/>
      <c r="I24" s="21">
        <v>50000.0</v>
      </c>
      <c r="J24" s="21"/>
      <c r="K24" s="22"/>
      <c r="L24" s="22"/>
      <c r="M24" s="21"/>
      <c r="N24" s="22"/>
      <c r="O24" s="22"/>
      <c r="P24" s="24">
        <v>50000.0</v>
      </c>
      <c r="Q24" s="25">
        <f t="shared" si="1"/>
        <v>0</v>
      </c>
      <c r="R24" s="24" t="s">
        <v>48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45587.0</v>
      </c>
      <c r="C25" s="18" t="s">
        <v>1223</v>
      </c>
      <c r="D25" s="19">
        <v>10001.0</v>
      </c>
      <c r="E25" s="20" t="s">
        <v>476</v>
      </c>
      <c r="F25" s="22"/>
      <c r="G25" s="22"/>
      <c r="H25" s="22"/>
      <c r="I25" s="21">
        <v>3000.0</v>
      </c>
      <c r="J25" s="21"/>
      <c r="K25" s="22"/>
      <c r="L25" s="22"/>
      <c r="M25" s="22"/>
      <c r="N25" s="22"/>
      <c r="O25" s="22"/>
      <c r="P25" s="24">
        <v>3000.0</v>
      </c>
      <c r="Q25" s="25">
        <f t="shared" si="1"/>
        <v>0</v>
      </c>
      <c r="R25" s="24" t="s">
        <v>48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45587.0</v>
      </c>
      <c r="C26" s="30" t="s">
        <v>1224</v>
      </c>
      <c r="D26" s="31">
        <v>81094.0</v>
      </c>
      <c r="E26" s="32" t="s">
        <v>1225</v>
      </c>
      <c r="F26" s="22"/>
      <c r="G26" s="22"/>
      <c r="H26" s="22"/>
      <c r="I26" s="21">
        <v>2650.0</v>
      </c>
      <c r="J26" s="21"/>
      <c r="K26" s="22"/>
      <c r="L26" s="22"/>
      <c r="M26" s="21"/>
      <c r="N26" s="22"/>
      <c r="O26" s="22"/>
      <c r="P26" s="33">
        <v>2650.0</v>
      </c>
      <c r="Q26" s="25">
        <f t="shared" si="1"/>
        <v>0</v>
      </c>
      <c r="R26" s="33" t="s">
        <v>28</v>
      </c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45587.0</v>
      </c>
      <c r="C27" s="30" t="s">
        <v>1226</v>
      </c>
      <c r="D27" s="31">
        <v>24368.0</v>
      </c>
      <c r="E27" s="32" t="s">
        <v>140</v>
      </c>
      <c r="F27" s="22"/>
      <c r="G27" s="22"/>
      <c r="H27" s="22"/>
      <c r="I27" s="21">
        <v>652.0</v>
      </c>
      <c r="J27" s="21"/>
      <c r="K27" s="22">
        <v>1898.0</v>
      </c>
      <c r="L27" s="22"/>
      <c r="M27" s="21"/>
      <c r="N27" s="22"/>
      <c r="O27" s="22"/>
      <c r="P27" s="33">
        <v>2550.0</v>
      </c>
      <c r="Q27" s="25">
        <f t="shared" si="1"/>
        <v>0</v>
      </c>
      <c r="R27" s="33" t="s">
        <v>48</v>
      </c>
      <c r="S27" s="26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45586.0</v>
      </c>
      <c r="C28" s="30" t="s">
        <v>1227</v>
      </c>
      <c r="D28" s="31">
        <v>51017.0</v>
      </c>
      <c r="E28" s="32" t="s">
        <v>165</v>
      </c>
      <c r="F28" s="22"/>
      <c r="G28" s="22"/>
      <c r="H28" s="22">
        <v>10000.0</v>
      </c>
      <c r="I28" s="21"/>
      <c r="J28" s="21"/>
      <c r="K28" s="22"/>
      <c r="L28" s="22"/>
      <c r="M28" s="21"/>
      <c r="N28" s="22"/>
      <c r="O28" s="22"/>
      <c r="P28" s="33">
        <v>10000.0</v>
      </c>
      <c r="Q28" s="25">
        <f t="shared" si="1"/>
        <v>0</v>
      </c>
      <c r="R28" s="33"/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4.5" customHeight="1">
      <c r="A29" s="16">
        <v>25.0</v>
      </c>
      <c r="B29" s="29">
        <v>45586.0</v>
      </c>
      <c r="C29" s="30" t="s">
        <v>1228</v>
      </c>
      <c r="D29" s="31">
        <v>73356.0</v>
      </c>
      <c r="E29" s="32" t="s">
        <v>1229</v>
      </c>
      <c r="F29" s="22"/>
      <c r="G29" s="22"/>
      <c r="H29" s="22"/>
      <c r="I29" s="21"/>
      <c r="J29" s="21"/>
      <c r="K29" s="22"/>
      <c r="L29" s="22"/>
      <c r="M29" s="21">
        <v>5150.0</v>
      </c>
      <c r="N29" s="22"/>
      <c r="O29" s="22"/>
      <c r="P29" s="33">
        <v>5150.0</v>
      </c>
      <c r="Q29" s="25">
        <f t="shared" si="1"/>
        <v>0</v>
      </c>
      <c r="R29" s="33"/>
      <c r="S29" s="2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34.5" customHeight="1">
      <c r="A30" s="16">
        <v>26.0</v>
      </c>
      <c r="B30" s="29">
        <v>45587.0</v>
      </c>
      <c r="C30" s="30" t="s">
        <v>1230</v>
      </c>
      <c r="D30" s="31">
        <v>79347.0</v>
      </c>
      <c r="E30" s="32" t="s">
        <v>1231</v>
      </c>
      <c r="F30" s="22"/>
      <c r="G30" s="22"/>
      <c r="H30" s="22"/>
      <c r="I30" s="21"/>
      <c r="J30" s="21"/>
      <c r="K30" s="22"/>
      <c r="L30" s="22"/>
      <c r="M30" s="21">
        <v>5150.0</v>
      </c>
      <c r="N30" s="22"/>
      <c r="O30" s="22"/>
      <c r="P30" s="33">
        <v>5150.0</v>
      </c>
      <c r="Q30" s="25">
        <f t="shared" si="1"/>
        <v>0</v>
      </c>
      <c r="R30" s="33"/>
      <c r="S30" s="2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34.5" customHeight="1">
      <c r="A31" s="16">
        <v>27.0</v>
      </c>
      <c r="B31" s="29">
        <v>45587.0</v>
      </c>
      <c r="C31" s="30" t="s">
        <v>1232</v>
      </c>
      <c r="D31" s="31">
        <v>74765.0</v>
      </c>
      <c r="E31" s="32" t="s">
        <v>1233</v>
      </c>
      <c r="F31" s="22"/>
      <c r="G31" s="22"/>
      <c r="H31" s="22"/>
      <c r="I31" s="21"/>
      <c r="J31" s="21"/>
      <c r="K31" s="22"/>
      <c r="L31" s="22"/>
      <c r="M31" s="21">
        <v>4650.0</v>
      </c>
      <c r="N31" s="22"/>
      <c r="O31" s="22"/>
      <c r="P31" s="33">
        <v>4650.0</v>
      </c>
      <c r="Q31" s="25">
        <f t="shared" si="1"/>
        <v>0</v>
      </c>
      <c r="R31" s="33"/>
      <c r="S31" s="2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ht="37.5" customHeight="1">
      <c r="A32" s="16"/>
      <c r="B32" s="27"/>
      <c r="C32" s="18"/>
      <c r="D32" s="19" t="s">
        <v>190</v>
      </c>
      <c r="E32" s="20"/>
      <c r="F32" s="45">
        <f t="shared" ref="F32:P32" si="2">SUM(F5:F31)</f>
        <v>0</v>
      </c>
      <c r="G32" s="45">
        <f t="shared" si="2"/>
        <v>4500</v>
      </c>
      <c r="H32" s="45">
        <f t="shared" si="2"/>
        <v>10000</v>
      </c>
      <c r="I32" s="45">
        <f t="shared" si="2"/>
        <v>126122</v>
      </c>
      <c r="J32" s="45">
        <f t="shared" si="2"/>
        <v>300</v>
      </c>
      <c r="K32" s="45">
        <f t="shared" si="2"/>
        <v>2398</v>
      </c>
      <c r="L32" s="45">
        <f t="shared" si="2"/>
        <v>0</v>
      </c>
      <c r="M32" s="45">
        <f t="shared" si="2"/>
        <v>22750</v>
      </c>
      <c r="N32" s="45">
        <f t="shared" si="2"/>
        <v>0</v>
      </c>
      <c r="O32" s="45">
        <f t="shared" si="2"/>
        <v>0</v>
      </c>
      <c r="P32" s="45">
        <f t="shared" si="2"/>
        <v>166070</v>
      </c>
      <c r="Q32" s="46">
        <f>SUM(Q5:Q26)</f>
        <v>0</v>
      </c>
      <c r="R32" s="47"/>
      <c r="S32" s="47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ht="58.5" customHeight="1">
      <c r="A33" s="48"/>
      <c r="B33" s="48"/>
      <c r="C33" s="49"/>
      <c r="D33" s="48"/>
      <c r="E33" s="48"/>
      <c r="F33" s="50">
        <f>F32+G32+H32+I32+J32+K32+L32+M32+N32+O32</f>
        <v>166070</v>
      </c>
      <c r="P33" s="51"/>
      <c r="Q33" s="51"/>
      <c r="R33" s="48"/>
      <c r="S33" s="48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ht="15.75" customHeight="1">
      <c r="A34" s="4"/>
      <c r="B34" s="4"/>
      <c r="C34" s="5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3" t="s">
        <v>190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4" t="s">
        <v>191</v>
      </c>
      <c r="F37" s="60" t="s">
        <v>192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193</v>
      </c>
      <c r="F38" s="60" t="s">
        <v>192</v>
      </c>
      <c r="G38" s="4"/>
      <c r="H38" s="4"/>
      <c r="I38" s="4"/>
      <c r="J38" s="4"/>
      <c r="K38" s="4"/>
      <c r="L38" s="4"/>
      <c r="M38" s="4"/>
      <c r="N38" s="4"/>
      <c r="O38" s="57" t="s">
        <v>190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195</v>
      </c>
      <c r="F39" s="60" t="s">
        <v>196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197</v>
      </c>
      <c r="F40" s="60" t="s">
        <v>196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198</v>
      </c>
      <c r="F41" s="60" t="s">
        <v>192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6" t="s">
        <v>1234</v>
      </c>
      <c r="F42" s="60" t="s">
        <v>196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201</v>
      </c>
      <c r="F43" s="61" t="s">
        <v>682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203</v>
      </c>
      <c r="F44" s="58" t="s">
        <v>204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7" t="s">
        <v>190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57" t="s">
        <v>205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 t="s">
        <v>190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45589.0</v>
      </c>
      <c r="C5" s="18" t="s">
        <v>1236</v>
      </c>
      <c r="D5" s="19">
        <v>48052.0</v>
      </c>
      <c r="E5" s="20" t="s">
        <v>76</v>
      </c>
      <c r="F5" s="21"/>
      <c r="G5" s="22"/>
      <c r="H5" s="22"/>
      <c r="I5" s="21">
        <v>1250.0</v>
      </c>
      <c r="J5" s="22"/>
      <c r="K5" s="22"/>
      <c r="L5" s="22"/>
      <c r="M5" s="21"/>
      <c r="N5" s="22"/>
      <c r="O5" s="22"/>
      <c r="P5" s="24">
        <v>1250.0</v>
      </c>
      <c r="Q5" s="25">
        <f t="shared" ref="Q5:Q39" si="1">F5+G5+H5+I5+J5+K5+L5+M5+N5+O5-P5</f>
        <v>0</v>
      </c>
      <c r="R5" s="24" t="s">
        <v>57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45589.0</v>
      </c>
      <c r="C6" s="18" t="s">
        <v>1237</v>
      </c>
      <c r="D6" s="19">
        <v>56669.0</v>
      </c>
      <c r="E6" s="20" t="s">
        <v>755</v>
      </c>
      <c r="F6" s="22"/>
      <c r="G6" s="22"/>
      <c r="H6" s="21"/>
      <c r="I6" s="21">
        <v>3550.0</v>
      </c>
      <c r="J6" s="23"/>
      <c r="K6" s="22"/>
      <c r="L6" s="22"/>
      <c r="M6" s="22"/>
      <c r="N6" s="22"/>
      <c r="O6" s="22"/>
      <c r="P6" s="24">
        <v>3550.0</v>
      </c>
      <c r="Q6" s="25">
        <f t="shared" si="1"/>
        <v>0</v>
      </c>
      <c r="R6" s="24" t="s">
        <v>57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45589.0</v>
      </c>
      <c r="C7" s="18" t="s">
        <v>1238</v>
      </c>
      <c r="D7" s="19">
        <v>45096.0</v>
      </c>
      <c r="E7" s="20" t="s">
        <v>574</v>
      </c>
      <c r="F7" s="22"/>
      <c r="G7" s="22"/>
      <c r="H7" s="22"/>
      <c r="I7" s="21">
        <v>3900.0</v>
      </c>
      <c r="J7" s="21"/>
      <c r="K7" s="22"/>
      <c r="L7" s="22"/>
      <c r="M7" s="21"/>
      <c r="N7" s="22"/>
      <c r="O7" s="22"/>
      <c r="P7" s="24">
        <v>3900.0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45589.0</v>
      </c>
      <c r="C8" s="18" t="s">
        <v>1239</v>
      </c>
      <c r="D8" s="19">
        <v>53209.0</v>
      </c>
      <c r="E8" s="20" t="s">
        <v>232</v>
      </c>
      <c r="F8" s="22"/>
      <c r="G8" s="22"/>
      <c r="H8" s="22"/>
      <c r="I8" s="21">
        <v>10000.0</v>
      </c>
      <c r="J8" s="21"/>
      <c r="K8" s="22"/>
      <c r="L8" s="22"/>
      <c r="M8" s="21"/>
      <c r="N8" s="22"/>
      <c r="O8" s="22"/>
      <c r="P8" s="24">
        <v>10000.0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45589.0</v>
      </c>
      <c r="C9" s="30" t="s">
        <v>1240</v>
      </c>
      <c r="D9" s="31">
        <v>56221.0</v>
      </c>
      <c r="E9" s="32" t="s">
        <v>1241</v>
      </c>
      <c r="F9" s="22"/>
      <c r="G9" s="22"/>
      <c r="H9" s="22"/>
      <c r="I9" s="21">
        <v>1400.0</v>
      </c>
      <c r="J9" s="21"/>
      <c r="K9" s="22"/>
      <c r="L9" s="22"/>
      <c r="M9" s="21"/>
      <c r="N9" s="22"/>
      <c r="O9" s="22"/>
      <c r="P9" s="33">
        <v>1400.0</v>
      </c>
      <c r="Q9" s="25">
        <f t="shared" si="1"/>
        <v>0</v>
      </c>
      <c r="R9" s="33" t="s">
        <v>57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45589.0</v>
      </c>
      <c r="C10" s="30" t="s">
        <v>1242</v>
      </c>
      <c r="D10" s="31">
        <v>56995.0</v>
      </c>
      <c r="E10" s="32" t="s">
        <v>1243</v>
      </c>
      <c r="F10" s="22"/>
      <c r="G10" s="22"/>
      <c r="H10" s="22"/>
      <c r="I10" s="21">
        <v>4650.0</v>
      </c>
      <c r="J10" s="21"/>
      <c r="K10" s="22"/>
      <c r="L10" s="22"/>
      <c r="M10" s="21"/>
      <c r="N10" s="22"/>
      <c r="O10" s="22"/>
      <c r="P10" s="33">
        <v>4650.0</v>
      </c>
      <c r="Q10" s="25">
        <f t="shared" si="1"/>
        <v>0</v>
      </c>
      <c r="R10" s="33" t="s">
        <v>57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45589.0</v>
      </c>
      <c r="C11" s="30" t="s">
        <v>1244</v>
      </c>
      <c r="D11" s="31">
        <v>14343.0</v>
      </c>
      <c r="E11" s="32" t="s">
        <v>1245</v>
      </c>
      <c r="F11" s="22"/>
      <c r="G11" s="22"/>
      <c r="H11" s="22"/>
      <c r="I11" s="21">
        <v>13200.0</v>
      </c>
      <c r="J11" s="21"/>
      <c r="K11" s="22"/>
      <c r="L11" s="22"/>
      <c r="M11" s="21"/>
      <c r="N11" s="22"/>
      <c r="O11" s="22"/>
      <c r="P11" s="33">
        <v>13200.0</v>
      </c>
      <c r="Q11" s="25">
        <f t="shared" si="1"/>
        <v>0</v>
      </c>
      <c r="R11" s="33" t="s">
        <v>57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45589.0</v>
      </c>
      <c r="C12" s="30" t="s">
        <v>1246</v>
      </c>
      <c r="D12" s="31">
        <v>54816.0</v>
      </c>
      <c r="E12" s="32" t="s">
        <v>1247</v>
      </c>
      <c r="F12" s="22"/>
      <c r="G12" s="22"/>
      <c r="H12" s="22"/>
      <c r="I12" s="21"/>
      <c r="J12" s="21">
        <v>2650.0</v>
      </c>
      <c r="K12" s="22"/>
      <c r="L12" s="22"/>
      <c r="M12" s="21"/>
      <c r="N12" s="22"/>
      <c r="O12" s="22"/>
      <c r="P12" s="33">
        <v>2650.0</v>
      </c>
      <c r="Q12" s="25">
        <f t="shared" si="1"/>
        <v>0</v>
      </c>
      <c r="R12" s="33" t="s">
        <v>57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45589.0</v>
      </c>
      <c r="C13" s="30" t="s">
        <v>1248</v>
      </c>
      <c r="D13" s="31">
        <v>37242.0</v>
      </c>
      <c r="E13" s="32" t="s">
        <v>1249</v>
      </c>
      <c r="F13" s="22"/>
      <c r="G13" s="22"/>
      <c r="H13" s="22"/>
      <c r="I13" s="21">
        <v>3400.0</v>
      </c>
      <c r="J13" s="21"/>
      <c r="K13" s="22"/>
      <c r="L13" s="22"/>
      <c r="M13" s="21"/>
      <c r="N13" s="22"/>
      <c r="O13" s="22"/>
      <c r="P13" s="33">
        <v>3400.0</v>
      </c>
      <c r="Q13" s="25">
        <f t="shared" si="1"/>
        <v>0</v>
      </c>
      <c r="R13" s="33" t="s">
        <v>48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45589.0</v>
      </c>
      <c r="C14" s="30" t="s">
        <v>1250</v>
      </c>
      <c r="D14" s="31">
        <v>33507.0</v>
      </c>
      <c r="E14" s="32" t="s">
        <v>1218</v>
      </c>
      <c r="F14" s="22"/>
      <c r="G14" s="22"/>
      <c r="H14" s="22"/>
      <c r="I14" s="21">
        <v>200.0</v>
      </c>
      <c r="J14" s="21"/>
      <c r="K14" s="22"/>
      <c r="L14" s="22"/>
      <c r="M14" s="21"/>
      <c r="N14" s="22"/>
      <c r="O14" s="22"/>
      <c r="P14" s="33">
        <v>200.0</v>
      </c>
      <c r="Q14" s="25">
        <f t="shared" si="1"/>
        <v>0</v>
      </c>
      <c r="R14" s="33" t="s">
        <v>25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45589.0</v>
      </c>
      <c r="C15" s="30" t="s">
        <v>1251</v>
      </c>
      <c r="D15" s="31">
        <v>48657.0</v>
      </c>
      <c r="E15" s="32" t="s">
        <v>650</v>
      </c>
      <c r="F15" s="22"/>
      <c r="G15" s="22"/>
      <c r="H15" s="22"/>
      <c r="I15" s="21">
        <v>2650.0</v>
      </c>
      <c r="J15" s="21"/>
      <c r="K15" s="22"/>
      <c r="L15" s="22"/>
      <c r="M15" s="21"/>
      <c r="N15" s="22"/>
      <c r="O15" s="22"/>
      <c r="P15" s="33">
        <v>2650.0</v>
      </c>
      <c r="Q15" s="25">
        <f t="shared" si="1"/>
        <v>0</v>
      </c>
      <c r="R15" s="33" t="s">
        <v>35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45589.0</v>
      </c>
      <c r="C16" s="30" t="s">
        <v>1252</v>
      </c>
      <c r="D16" s="31">
        <v>31738.0</v>
      </c>
      <c r="E16" s="32" t="s">
        <v>154</v>
      </c>
      <c r="F16" s="22"/>
      <c r="G16" s="22"/>
      <c r="H16" s="22"/>
      <c r="I16" s="21">
        <v>1250.0</v>
      </c>
      <c r="J16" s="21"/>
      <c r="K16" s="22"/>
      <c r="L16" s="22"/>
      <c r="M16" s="21"/>
      <c r="N16" s="22"/>
      <c r="O16" s="22"/>
      <c r="P16" s="33">
        <v>1250.0</v>
      </c>
      <c r="Q16" s="25">
        <f t="shared" si="1"/>
        <v>0</v>
      </c>
      <c r="R16" s="33" t="s">
        <v>35</v>
      </c>
      <c r="S16" s="2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45589.0</v>
      </c>
      <c r="C17" s="30" t="s">
        <v>1253</v>
      </c>
      <c r="D17" s="31">
        <v>85128.0</v>
      </c>
      <c r="E17" s="32" t="s">
        <v>1254</v>
      </c>
      <c r="F17" s="22"/>
      <c r="G17" s="22"/>
      <c r="H17" s="22"/>
      <c r="I17" s="21">
        <v>7300.0</v>
      </c>
      <c r="J17" s="21"/>
      <c r="K17" s="22"/>
      <c r="L17" s="22"/>
      <c r="M17" s="21"/>
      <c r="N17" s="22"/>
      <c r="O17" s="22"/>
      <c r="P17" s="33">
        <v>7300.0</v>
      </c>
      <c r="Q17" s="25">
        <f t="shared" si="1"/>
        <v>0</v>
      </c>
      <c r="R17" s="33" t="s">
        <v>35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45589.0</v>
      </c>
      <c r="C18" s="30" t="s">
        <v>1255</v>
      </c>
      <c r="D18" s="31">
        <v>21821.0</v>
      </c>
      <c r="E18" s="32" t="s">
        <v>114</v>
      </c>
      <c r="F18" s="22"/>
      <c r="G18" s="22"/>
      <c r="H18" s="22"/>
      <c r="I18" s="21"/>
      <c r="J18" s="21"/>
      <c r="K18" s="22">
        <v>486000.0</v>
      </c>
      <c r="L18" s="22"/>
      <c r="M18" s="21"/>
      <c r="N18" s="22"/>
      <c r="O18" s="22"/>
      <c r="P18" s="33">
        <v>486000.0</v>
      </c>
      <c r="Q18" s="25">
        <f t="shared" si="1"/>
        <v>0</v>
      </c>
      <c r="R18" s="33" t="s">
        <v>25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45589.0</v>
      </c>
      <c r="C19" s="30" t="s">
        <v>1256</v>
      </c>
      <c r="D19" s="31">
        <v>85129.0</v>
      </c>
      <c r="E19" s="32" t="s">
        <v>1257</v>
      </c>
      <c r="F19" s="22"/>
      <c r="G19" s="22"/>
      <c r="H19" s="22"/>
      <c r="I19" s="21">
        <v>7300.0</v>
      </c>
      <c r="J19" s="21"/>
      <c r="K19" s="22"/>
      <c r="L19" s="22"/>
      <c r="M19" s="21"/>
      <c r="N19" s="22"/>
      <c r="O19" s="22"/>
      <c r="P19" s="33">
        <v>7300.0</v>
      </c>
      <c r="Q19" s="25">
        <f t="shared" si="1"/>
        <v>0</v>
      </c>
      <c r="R19" s="33" t="s">
        <v>35</v>
      </c>
      <c r="S19" s="26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45589.0</v>
      </c>
      <c r="C20" s="30" t="s">
        <v>1258</v>
      </c>
      <c r="D20" s="31">
        <v>84683.0</v>
      </c>
      <c r="E20" s="32" t="s">
        <v>411</v>
      </c>
      <c r="F20" s="22"/>
      <c r="G20" s="22"/>
      <c r="H20" s="22"/>
      <c r="I20" s="21"/>
      <c r="J20" s="21"/>
      <c r="K20" s="22"/>
      <c r="L20" s="22"/>
      <c r="M20" s="21">
        <v>300.0</v>
      </c>
      <c r="N20" s="22"/>
      <c r="O20" s="22"/>
      <c r="P20" s="33">
        <v>300.0</v>
      </c>
      <c r="Q20" s="25">
        <f t="shared" si="1"/>
        <v>0</v>
      </c>
      <c r="R20" s="33" t="s">
        <v>48</v>
      </c>
      <c r="S20" s="26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45589.0</v>
      </c>
      <c r="C21" s="30" t="s">
        <v>1259</v>
      </c>
      <c r="D21" s="31">
        <v>59103.0</v>
      </c>
      <c r="E21" s="32" t="s">
        <v>337</v>
      </c>
      <c r="F21" s="22"/>
      <c r="G21" s="22"/>
      <c r="H21" s="22"/>
      <c r="I21" s="21"/>
      <c r="J21" s="21"/>
      <c r="K21" s="22">
        <v>10000.0</v>
      </c>
      <c r="L21" s="22"/>
      <c r="M21" s="21"/>
      <c r="N21" s="22"/>
      <c r="O21" s="22"/>
      <c r="P21" s="33">
        <v>10000.0</v>
      </c>
      <c r="Q21" s="25">
        <f t="shared" si="1"/>
        <v>0</v>
      </c>
      <c r="R21" s="33" t="s">
        <v>48</v>
      </c>
      <c r="S21" s="26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7">
        <v>45589.0</v>
      </c>
      <c r="C22" s="18" t="s">
        <v>1260</v>
      </c>
      <c r="D22" s="19">
        <v>55360.0</v>
      </c>
      <c r="E22" s="20" t="s">
        <v>1261</v>
      </c>
      <c r="F22" s="22"/>
      <c r="G22" s="22"/>
      <c r="H22" s="22"/>
      <c r="I22" s="21">
        <v>5150.0</v>
      </c>
      <c r="J22" s="21"/>
      <c r="K22" s="22"/>
      <c r="L22" s="22"/>
      <c r="M22" s="21"/>
      <c r="N22" s="22"/>
      <c r="O22" s="22"/>
      <c r="P22" s="24">
        <v>5150.0</v>
      </c>
      <c r="Q22" s="25">
        <f t="shared" si="1"/>
        <v>0</v>
      </c>
      <c r="R22" s="24" t="s">
        <v>35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45589.0</v>
      </c>
      <c r="C23" s="18" t="s">
        <v>1262</v>
      </c>
      <c r="D23" s="19">
        <v>63735.0</v>
      </c>
      <c r="E23" s="20" t="s">
        <v>1263</v>
      </c>
      <c r="F23" s="22"/>
      <c r="G23" s="22"/>
      <c r="H23" s="22"/>
      <c r="I23" s="21">
        <v>5150.0</v>
      </c>
      <c r="J23" s="21"/>
      <c r="K23" s="22"/>
      <c r="L23" s="22"/>
      <c r="M23" s="21"/>
      <c r="N23" s="22"/>
      <c r="O23" s="22"/>
      <c r="P23" s="24">
        <v>5150.0</v>
      </c>
      <c r="Q23" s="25">
        <f t="shared" si="1"/>
        <v>0</v>
      </c>
      <c r="R23" s="24" t="s">
        <v>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45589.0</v>
      </c>
      <c r="C24" s="18" t="s">
        <v>1264</v>
      </c>
      <c r="D24" s="19">
        <v>65406.0</v>
      </c>
      <c r="E24" s="20" t="s">
        <v>1265</v>
      </c>
      <c r="F24" s="22"/>
      <c r="G24" s="22"/>
      <c r="H24" s="22"/>
      <c r="I24" s="21">
        <v>1000.0</v>
      </c>
      <c r="J24" s="21"/>
      <c r="K24" s="22"/>
      <c r="L24" s="22"/>
      <c r="M24" s="21"/>
      <c r="N24" s="22"/>
      <c r="O24" s="22"/>
      <c r="P24" s="24">
        <v>1000.0</v>
      </c>
      <c r="Q24" s="25">
        <f t="shared" si="1"/>
        <v>0</v>
      </c>
      <c r="R24" s="24" t="s">
        <v>35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45589.0</v>
      </c>
      <c r="C25" s="18" t="s">
        <v>1266</v>
      </c>
      <c r="D25" s="19">
        <v>58152.0</v>
      </c>
      <c r="E25" s="20" t="s">
        <v>1267</v>
      </c>
      <c r="F25" s="22"/>
      <c r="G25" s="22"/>
      <c r="H25" s="22"/>
      <c r="I25" s="21">
        <v>2650.0</v>
      </c>
      <c r="J25" s="21"/>
      <c r="K25" s="22" t="s">
        <v>1268</v>
      </c>
      <c r="L25" s="22"/>
      <c r="M25" s="22"/>
      <c r="N25" s="22"/>
      <c r="O25" s="22"/>
      <c r="P25" s="24">
        <v>2650.0</v>
      </c>
      <c r="Q25" s="25" t="str">
        <f t="shared" si="1"/>
        <v>#VALUE!</v>
      </c>
      <c r="R25" s="24" t="s">
        <v>57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45589.0</v>
      </c>
      <c r="C26" s="30" t="s">
        <v>1269</v>
      </c>
      <c r="D26" s="31">
        <v>51512.0</v>
      </c>
      <c r="E26" s="32" t="s">
        <v>634</v>
      </c>
      <c r="F26" s="22"/>
      <c r="G26" s="22"/>
      <c r="H26" s="22"/>
      <c r="I26" s="21"/>
      <c r="J26" s="21">
        <v>850.0</v>
      </c>
      <c r="K26" s="22"/>
      <c r="L26" s="22"/>
      <c r="M26" s="21"/>
      <c r="N26" s="22"/>
      <c r="O26" s="22"/>
      <c r="P26" s="33">
        <v>850.0</v>
      </c>
      <c r="Q26" s="25">
        <f t="shared" si="1"/>
        <v>0</v>
      </c>
      <c r="R26" s="33" t="s">
        <v>57</v>
      </c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45589.0</v>
      </c>
      <c r="C27" s="30" t="s">
        <v>1270</v>
      </c>
      <c r="D27" s="31">
        <v>29621.0</v>
      </c>
      <c r="E27" s="32" t="s">
        <v>96</v>
      </c>
      <c r="F27" s="22"/>
      <c r="G27" s="22"/>
      <c r="H27" s="22"/>
      <c r="I27" s="21">
        <v>1750.0</v>
      </c>
      <c r="J27" s="21"/>
      <c r="K27" s="22"/>
      <c r="L27" s="22"/>
      <c r="M27" s="21"/>
      <c r="N27" s="22"/>
      <c r="O27" s="22"/>
      <c r="P27" s="33">
        <v>1750.0</v>
      </c>
      <c r="Q27" s="25">
        <f t="shared" si="1"/>
        <v>0</v>
      </c>
      <c r="R27" s="33" t="s">
        <v>35</v>
      </c>
      <c r="S27" s="26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45589.0</v>
      </c>
      <c r="C28" s="30" t="s">
        <v>1271</v>
      </c>
      <c r="D28" s="31">
        <v>47576.0</v>
      </c>
      <c r="E28" s="32" t="s">
        <v>134</v>
      </c>
      <c r="F28" s="22"/>
      <c r="G28" s="22"/>
      <c r="H28" s="22"/>
      <c r="I28" s="21"/>
      <c r="J28" s="21">
        <v>2650.0</v>
      </c>
      <c r="K28" s="22"/>
      <c r="L28" s="22"/>
      <c r="M28" s="21"/>
      <c r="N28" s="22"/>
      <c r="O28" s="22"/>
      <c r="P28" s="33">
        <v>2650.0</v>
      </c>
      <c r="Q28" s="25">
        <f t="shared" si="1"/>
        <v>0</v>
      </c>
      <c r="R28" s="33" t="s">
        <v>57</v>
      </c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4.5" customHeight="1">
      <c r="A29" s="16">
        <v>25.0</v>
      </c>
      <c r="B29" s="29">
        <v>45589.0</v>
      </c>
      <c r="C29" s="30" t="s">
        <v>1272</v>
      </c>
      <c r="D29" s="31">
        <v>79181.0</v>
      </c>
      <c r="E29" s="32" t="s">
        <v>1273</v>
      </c>
      <c r="F29" s="22"/>
      <c r="G29" s="22"/>
      <c r="H29" s="22"/>
      <c r="I29" s="21">
        <v>10000.0</v>
      </c>
      <c r="J29" s="21"/>
      <c r="K29" s="22"/>
      <c r="L29" s="22"/>
      <c r="M29" s="21"/>
      <c r="N29" s="22"/>
      <c r="O29" s="22"/>
      <c r="P29" s="33">
        <v>10000.0</v>
      </c>
      <c r="Q29" s="25">
        <f t="shared" si="1"/>
        <v>0</v>
      </c>
      <c r="R29" s="33" t="s">
        <v>25</v>
      </c>
      <c r="S29" s="2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34.5" customHeight="1">
      <c r="A30" s="16">
        <v>26.0</v>
      </c>
      <c r="B30" s="29">
        <v>45589.0</v>
      </c>
      <c r="C30" s="30" t="s">
        <v>1274</v>
      </c>
      <c r="D30" s="31">
        <v>21818.0</v>
      </c>
      <c r="E30" s="32" t="s">
        <v>237</v>
      </c>
      <c r="F30" s="22"/>
      <c r="G30" s="22"/>
      <c r="H30" s="22"/>
      <c r="I30" s="21"/>
      <c r="J30" s="21"/>
      <c r="K30" s="22">
        <v>9000.0</v>
      </c>
      <c r="L30" s="22"/>
      <c r="M30" s="21"/>
      <c r="N30" s="22"/>
      <c r="O30" s="22"/>
      <c r="P30" s="33">
        <v>9000.0</v>
      </c>
      <c r="Q30" s="25">
        <f t="shared" si="1"/>
        <v>0</v>
      </c>
      <c r="R30" s="33" t="s">
        <v>35</v>
      </c>
      <c r="S30" s="2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34.5" customHeight="1">
      <c r="A31" s="16">
        <v>27.0</v>
      </c>
      <c r="B31" s="29">
        <v>45589.0</v>
      </c>
      <c r="C31" s="30" t="s">
        <v>1275</v>
      </c>
      <c r="D31" s="31">
        <v>21818.0</v>
      </c>
      <c r="E31" s="32" t="s">
        <v>237</v>
      </c>
      <c r="F31" s="22"/>
      <c r="G31" s="22"/>
      <c r="H31" s="22"/>
      <c r="I31" s="21"/>
      <c r="J31" s="21"/>
      <c r="K31" s="22">
        <v>6295.0</v>
      </c>
      <c r="L31" s="22"/>
      <c r="M31" s="21"/>
      <c r="N31" s="22"/>
      <c r="O31" s="22"/>
      <c r="P31" s="33">
        <v>6295.0</v>
      </c>
      <c r="Q31" s="25">
        <f t="shared" si="1"/>
        <v>0</v>
      </c>
      <c r="R31" s="33" t="s">
        <v>35</v>
      </c>
      <c r="S31" s="2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ht="34.5" customHeight="1">
      <c r="A32" s="16">
        <v>28.0</v>
      </c>
      <c r="B32" s="29">
        <v>45588.0</v>
      </c>
      <c r="C32" s="30" t="s">
        <v>1276</v>
      </c>
      <c r="D32" s="31">
        <v>49953.0</v>
      </c>
      <c r="E32" s="32" t="s">
        <v>1277</v>
      </c>
      <c r="F32" s="22"/>
      <c r="G32" s="22"/>
      <c r="H32" s="22">
        <v>1250.0</v>
      </c>
      <c r="I32" s="21"/>
      <c r="J32" s="21"/>
      <c r="K32" s="22"/>
      <c r="L32" s="22"/>
      <c r="M32" s="21"/>
      <c r="N32" s="22"/>
      <c r="O32" s="22"/>
      <c r="P32" s="33">
        <v>1250.0</v>
      </c>
      <c r="Q32" s="25">
        <f t="shared" si="1"/>
        <v>0</v>
      </c>
      <c r="R32" s="33"/>
      <c r="S32" s="2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ht="34.5" customHeight="1">
      <c r="A33" s="16">
        <v>29.0</v>
      </c>
      <c r="B33" s="29">
        <v>45589.0</v>
      </c>
      <c r="C33" s="30" t="s">
        <v>1278</v>
      </c>
      <c r="D33" s="31">
        <v>25541.0</v>
      </c>
      <c r="E33" s="32" t="s">
        <v>617</v>
      </c>
      <c r="F33" s="22"/>
      <c r="G33" s="22"/>
      <c r="H33" s="22">
        <v>4500.0</v>
      </c>
      <c r="I33" s="21"/>
      <c r="J33" s="21"/>
      <c r="K33" s="22"/>
      <c r="L33" s="22"/>
      <c r="M33" s="21"/>
      <c r="N33" s="22"/>
      <c r="O33" s="22"/>
      <c r="P33" s="33">
        <v>4500.0</v>
      </c>
      <c r="Q33" s="25">
        <f t="shared" si="1"/>
        <v>0</v>
      </c>
      <c r="R33" s="33"/>
      <c r="S33" s="2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ht="34.5" customHeight="1">
      <c r="A34" s="16">
        <v>30.0</v>
      </c>
      <c r="B34" s="29">
        <v>45589.0</v>
      </c>
      <c r="C34" s="30" t="s">
        <v>1279</v>
      </c>
      <c r="D34" s="31">
        <v>25542.0</v>
      </c>
      <c r="E34" s="32" t="s">
        <v>577</v>
      </c>
      <c r="F34" s="22"/>
      <c r="G34" s="22"/>
      <c r="H34" s="22">
        <v>7000.0</v>
      </c>
      <c r="I34" s="21"/>
      <c r="J34" s="21"/>
      <c r="K34" s="22"/>
      <c r="L34" s="22"/>
      <c r="M34" s="21"/>
      <c r="N34" s="22"/>
      <c r="O34" s="22"/>
      <c r="P34" s="33">
        <v>7000.0</v>
      </c>
      <c r="Q34" s="25">
        <f t="shared" si="1"/>
        <v>0</v>
      </c>
      <c r="R34" s="33"/>
      <c r="S34" s="2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ht="34.5" customHeight="1">
      <c r="A35" s="16">
        <v>31.0</v>
      </c>
      <c r="B35" s="29">
        <v>45589.0</v>
      </c>
      <c r="C35" s="30" t="s">
        <v>1280</v>
      </c>
      <c r="D35" s="31">
        <v>79725.0</v>
      </c>
      <c r="E35" s="32" t="s">
        <v>1281</v>
      </c>
      <c r="F35" s="22"/>
      <c r="G35" s="22"/>
      <c r="H35" s="22"/>
      <c r="I35" s="21"/>
      <c r="J35" s="21"/>
      <c r="K35" s="22">
        <v>9000.0</v>
      </c>
      <c r="L35" s="22"/>
      <c r="M35" s="21"/>
      <c r="N35" s="22"/>
      <c r="O35" s="22"/>
      <c r="P35" s="33">
        <v>9000.0</v>
      </c>
      <c r="Q35" s="25">
        <f t="shared" si="1"/>
        <v>0</v>
      </c>
      <c r="R35" s="33"/>
      <c r="S35" s="2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ht="34.5" customHeight="1">
      <c r="A36" s="16">
        <v>32.0</v>
      </c>
      <c r="B36" s="29">
        <v>45589.0</v>
      </c>
      <c r="C36" s="30" t="s">
        <v>1282</v>
      </c>
      <c r="D36" s="31">
        <v>36555.0</v>
      </c>
      <c r="E36" s="32" t="s">
        <v>167</v>
      </c>
      <c r="F36" s="22"/>
      <c r="G36" s="22"/>
      <c r="H36" s="22">
        <v>5000.0</v>
      </c>
      <c r="I36" s="21"/>
      <c r="J36" s="21"/>
      <c r="K36" s="22"/>
      <c r="L36" s="22"/>
      <c r="M36" s="21"/>
      <c r="N36" s="22"/>
      <c r="O36" s="22"/>
      <c r="P36" s="33">
        <v>5000.0</v>
      </c>
      <c r="Q36" s="25">
        <f t="shared" si="1"/>
        <v>0</v>
      </c>
      <c r="R36" s="33"/>
      <c r="S36" s="2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ht="34.5" customHeight="1">
      <c r="A37" s="16">
        <v>33.0</v>
      </c>
      <c r="B37" s="29">
        <v>45589.0</v>
      </c>
      <c r="C37" s="30" t="s">
        <v>1283</v>
      </c>
      <c r="D37" s="31">
        <v>50595.0</v>
      </c>
      <c r="E37" s="32" t="s">
        <v>486</v>
      </c>
      <c r="F37" s="22"/>
      <c r="G37" s="22"/>
      <c r="H37" s="22">
        <v>20150.0</v>
      </c>
      <c r="I37" s="21"/>
      <c r="J37" s="21"/>
      <c r="K37" s="22"/>
      <c r="L37" s="22"/>
      <c r="M37" s="21"/>
      <c r="N37" s="22"/>
      <c r="O37" s="22"/>
      <c r="P37" s="33">
        <v>20150.0</v>
      </c>
      <c r="Q37" s="25">
        <f t="shared" si="1"/>
        <v>0</v>
      </c>
      <c r="R37" s="33"/>
      <c r="S37" s="2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ht="34.5" customHeight="1">
      <c r="A38" s="16">
        <v>34.0</v>
      </c>
      <c r="B38" s="29">
        <v>45589.0</v>
      </c>
      <c r="C38" s="30" t="s">
        <v>1284</v>
      </c>
      <c r="D38" s="31">
        <v>72839.0</v>
      </c>
      <c r="E38" s="32" t="s">
        <v>1285</v>
      </c>
      <c r="F38" s="22"/>
      <c r="G38" s="22"/>
      <c r="H38" s="22">
        <v>30000.0</v>
      </c>
      <c r="I38" s="21"/>
      <c r="J38" s="21"/>
      <c r="K38" s="22"/>
      <c r="L38" s="22"/>
      <c r="M38" s="21"/>
      <c r="N38" s="22"/>
      <c r="O38" s="22"/>
      <c r="P38" s="33">
        <v>30000.0</v>
      </c>
      <c r="Q38" s="25">
        <f t="shared" si="1"/>
        <v>0</v>
      </c>
      <c r="R38" s="33"/>
      <c r="S38" s="2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ht="34.5" customHeight="1">
      <c r="A39" s="16">
        <v>35.0</v>
      </c>
      <c r="B39" s="29">
        <v>45589.0</v>
      </c>
      <c r="C39" s="30" t="s">
        <v>1286</v>
      </c>
      <c r="D39" s="31">
        <v>35220.0</v>
      </c>
      <c r="E39" s="32" t="s">
        <v>1287</v>
      </c>
      <c r="F39" s="22"/>
      <c r="G39" s="22"/>
      <c r="H39" s="22">
        <v>32500.0</v>
      </c>
      <c r="I39" s="21"/>
      <c r="J39" s="21"/>
      <c r="K39" s="22"/>
      <c r="L39" s="22"/>
      <c r="M39" s="21"/>
      <c r="N39" s="22"/>
      <c r="O39" s="22"/>
      <c r="P39" s="33">
        <v>32500.0</v>
      </c>
      <c r="Q39" s="25">
        <f t="shared" si="1"/>
        <v>0</v>
      </c>
      <c r="R39" s="33"/>
      <c r="S39" s="2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ht="37.5" customHeight="1">
      <c r="A40" s="16"/>
      <c r="B40" s="27"/>
      <c r="C40" s="18"/>
      <c r="D40" s="19" t="s">
        <v>190</v>
      </c>
      <c r="E40" s="20"/>
      <c r="F40" s="45">
        <f t="shared" ref="F40:P40" si="2">SUM(F5:F39)</f>
        <v>0</v>
      </c>
      <c r="G40" s="45">
        <f t="shared" si="2"/>
        <v>0</v>
      </c>
      <c r="H40" s="45">
        <f t="shared" si="2"/>
        <v>100400</v>
      </c>
      <c r="I40" s="45">
        <f t="shared" si="2"/>
        <v>85750</v>
      </c>
      <c r="J40" s="45">
        <f t="shared" si="2"/>
        <v>6150</v>
      </c>
      <c r="K40" s="45">
        <f t="shared" si="2"/>
        <v>520295</v>
      </c>
      <c r="L40" s="45">
        <f t="shared" si="2"/>
        <v>0</v>
      </c>
      <c r="M40" s="45">
        <f t="shared" si="2"/>
        <v>300</v>
      </c>
      <c r="N40" s="45">
        <f t="shared" si="2"/>
        <v>0</v>
      </c>
      <c r="O40" s="45">
        <f t="shared" si="2"/>
        <v>0</v>
      </c>
      <c r="P40" s="45">
        <f t="shared" si="2"/>
        <v>712895</v>
      </c>
      <c r="Q40" s="46" t="str">
        <f>SUM(Q5:Q26)</f>
        <v>#VALUE!</v>
      </c>
      <c r="R40" s="47"/>
      <c r="S40" s="47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ht="58.5" customHeight="1">
      <c r="A41" s="48"/>
      <c r="B41" s="48"/>
      <c r="C41" s="49"/>
      <c r="D41" s="48"/>
      <c r="E41" s="48"/>
      <c r="F41" s="50">
        <f>F40+G40+H40+I40+J40+K40+L40+M40+N40+O40</f>
        <v>712895</v>
      </c>
      <c r="P41" s="51"/>
      <c r="Q41" s="51"/>
      <c r="R41" s="48"/>
      <c r="S41" s="48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3" t="s">
        <v>190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4" t="s">
        <v>191</v>
      </c>
      <c r="F45" s="60" t="s">
        <v>1288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193</v>
      </c>
      <c r="F46" s="60" t="s">
        <v>1289</v>
      </c>
      <c r="G46" s="4"/>
      <c r="H46" s="4"/>
      <c r="I46" s="4"/>
      <c r="J46" s="4"/>
      <c r="K46" s="4"/>
      <c r="L46" s="4"/>
      <c r="M46" s="4"/>
      <c r="N46" s="4"/>
      <c r="O46" s="57" t="s">
        <v>190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195</v>
      </c>
      <c r="F47" s="60" t="s">
        <v>622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197</v>
      </c>
      <c r="F48" s="60" t="s">
        <v>196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198</v>
      </c>
      <c r="F49" s="60" t="s">
        <v>196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56" t="s">
        <v>1290</v>
      </c>
      <c r="F50" s="60" t="s">
        <v>196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56" t="s">
        <v>201</v>
      </c>
      <c r="F51" s="61" t="s">
        <v>682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52"/>
      <c r="D52" s="4"/>
      <c r="E52" s="56" t="s">
        <v>203</v>
      </c>
      <c r="F52" s="58" t="s">
        <v>204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7" t="s">
        <v>190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 t="str">
        <f>I72440</f>
        <v/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57" t="s">
        <v>205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 t="s">
        <v>190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>
        <v>7.0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7">
    <mergeCell ref="R2:R4"/>
    <mergeCell ref="S2:S4"/>
    <mergeCell ref="F3:F4"/>
    <mergeCell ref="G3:H3"/>
    <mergeCell ref="I3:J3"/>
    <mergeCell ref="K3:K4"/>
    <mergeCell ref="F41:O4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45589.0</v>
      </c>
      <c r="C5" s="18" t="s">
        <v>1292</v>
      </c>
      <c r="D5" s="19">
        <v>62085.0</v>
      </c>
      <c r="E5" s="20" t="s">
        <v>1293</v>
      </c>
      <c r="F5" s="21"/>
      <c r="G5" s="22"/>
      <c r="H5" s="22"/>
      <c r="I5" s="21">
        <v>32500.0</v>
      </c>
      <c r="J5" s="22"/>
      <c r="K5" s="22"/>
      <c r="L5" s="22"/>
      <c r="M5" s="21"/>
      <c r="N5" s="22"/>
      <c r="O5" s="22"/>
      <c r="P5" s="24">
        <v>32500.0</v>
      </c>
      <c r="Q5" s="25">
        <f t="shared" ref="Q5:Q26" si="1">F5+G5+H5+I5+J5+K5+L5+M5+N5+O5-P5</f>
        <v>0</v>
      </c>
      <c r="R5" s="24" t="s">
        <v>35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45590.0</v>
      </c>
      <c r="C6" s="18" t="s">
        <v>1294</v>
      </c>
      <c r="D6" s="19">
        <v>51225.0</v>
      </c>
      <c r="E6" s="20" t="s">
        <v>1295</v>
      </c>
      <c r="F6" s="22"/>
      <c r="G6" s="22"/>
      <c r="H6" s="21"/>
      <c r="I6" s="21">
        <v>2650.0</v>
      </c>
      <c r="J6" s="23"/>
      <c r="K6" s="22"/>
      <c r="L6" s="22"/>
      <c r="M6" s="22"/>
      <c r="N6" s="22"/>
      <c r="O6" s="22"/>
      <c r="P6" s="24">
        <v>2650.0</v>
      </c>
      <c r="Q6" s="25">
        <f t="shared" si="1"/>
        <v>0</v>
      </c>
      <c r="R6" s="24" t="s">
        <v>57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45590.0</v>
      </c>
      <c r="C7" s="18" t="s">
        <v>1296</v>
      </c>
      <c r="D7" s="19">
        <v>55409.0</v>
      </c>
      <c r="E7" s="20" t="s">
        <v>1297</v>
      </c>
      <c r="F7" s="22"/>
      <c r="G7" s="22"/>
      <c r="H7" s="22"/>
      <c r="I7" s="21">
        <v>5150.0</v>
      </c>
      <c r="J7" s="21"/>
      <c r="K7" s="22"/>
      <c r="L7" s="22"/>
      <c r="M7" s="21"/>
      <c r="N7" s="22"/>
      <c r="O7" s="22"/>
      <c r="P7" s="24">
        <v>5150.0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45590.0</v>
      </c>
      <c r="C8" s="18" t="s">
        <v>1298</v>
      </c>
      <c r="D8" s="19">
        <v>78850.0</v>
      </c>
      <c r="E8" s="20" t="s">
        <v>1299</v>
      </c>
      <c r="F8" s="22"/>
      <c r="G8" s="22"/>
      <c r="H8" s="22"/>
      <c r="I8" s="21">
        <v>66250.0</v>
      </c>
      <c r="J8" s="21"/>
      <c r="K8" s="22"/>
      <c r="L8" s="22"/>
      <c r="M8" s="21"/>
      <c r="N8" s="22"/>
      <c r="O8" s="22"/>
      <c r="P8" s="24">
        <v>66250.0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45590.0</v>
      </c>
      <c r="C9" s="30" t="s">
        <v>1300</v>
      </c>
      <c r="D9" s="31">
        <v>74054.0</v>
      </c>
      <c r="E9" s="32" t="s">
        <v>1301</v>
      </c>
      <c r="F9" s="22"/>
      <c r="G9" s="22"/>
      <c r="H9" s="22"/>
      <c r="I9" s="21"/>
      <c r="J9" s="21">
        <v>2650.0</v>
      </c>
      <c r="K9" s="22"/>
      <c r="L9" s="22"/>
      <c r="M9" s="21"/>
      <c r="N9" s="22"/>
      <c r="O9" s="22"/>
      <c r="P9" s="33">
        <v>2650.0</v>
      </c>
      <c r="Q9" s="25">
        <f t="shared" si="1"/>
        <v>0</v>
      </c>
      <c r="R9" s="33" t="s">
        <v>57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45590.0</v>
      </c>
      <c r="C10" s="30" t="s">
        <v>1302</v>
      </c>
      <c r="D10" s="31">
        <v>58715.0</v>
      </c>
      <c r="E10" s="32" t="s">
        <v>1303</v>
      </c>
      <c r="F10" s="22"/>
      <c r="G10" s="22"/>
      <c r="H10" s="22"/>
      <c r="I10" s="21">
        <v>500.0</v>
      </c>
      <c r="J10" s="21"/>
      <c r="K10" s="22"/>
      <c r="L10" s="22"/>
      <c r="M10" s="21"/>
      <c r="N10" s="22"/>
      <c r="O10" s="22"/>
      <c r="P10" s="33">
        <v>500.0</v>
      </c>
      <c r="Q10" s="25">
        <f t="shared" si="1"/>
        <v>0</v>
      </c>
      <c r="R10" s="33" t="s">
        <v>28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45590.0</v>
      </c>
      <c r="C11" s="30" t="s">
        <v>1304</v>
      </c>
      <c r="D11" s="31">
        <v>67621.0</v>
      </c>
      <c r="E11" s="32" t="s">
        <v>56</v>
      </c>
      <c r="F11" s="22"/>
      <c r="G11" s="22"/>
      <c r="H11" s="22"/>
      <c r="I11" s="21">
        <v>8000.0</v>
      </c>
      <c r="J11" s="21"/>
      <c r="K11" s="22"/>
      <c r="L11" s="22"/>
      <c r="M11" s="21"/>
      <c r="N11" s="22"/>
      <c r="O11" s="22"/>
      <c r="P11" s="33">
        <v>8000.0</v>
      </c>
      <c r="Q11" s="25">
        <f t="shared" si="1"/>
        <v>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45590.0</v>
      </c>
      <c r="C12" s="30" t="s">
        <v>1305</v>
      </c>
      <c r="D12" s="31">
        <v>50461.0</v>
      </c>
      <c r="E12" s="32" t="s">
        <v>1306</v>
      </c>
      <c r="F12" s="22"/>
      <c r="G12" s="22"/>
      <c r="H12" s="22"/>
      <c r="I12" s="21">
        <v>2500.0</v>
      </c>
      <c r="J12" s="21"/>
      <c r="K12" s="22"/>
      <c r="L12" s="22"/>
      <c r="M12" s="21"/>
      <c r="N12" s="22"/>
      <c r="O12" s="22"/>
      <c r="P12" s="33">
        <v>2500.0</v>
      </c>
      <c r="Q12" s="25">
        <f t="shared" si="1"/>
        <v>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45590.0</v>
      </c>
      <c r="C13" s="30" t="s">
        <v>1307</v>
      </c>
      <c r="D13" s="31">
        <v>77805.0</v>
      </c>
      <c r="E13" s="32" t="s">
        <v>1308</v>
      </c>
      <c r="F13" s="22"/>
      <c r="G13" s="22"/>
      <c r="H13" s="22"/>
      <c r="I13" s="21">
        <v>1400.0</v>
      </c>
      <c r="J13" s="21"/>
      <c r="K13" s="22"/>
      <c r="L13" s="22"/>
      <c r="M13" s="21"/>
      <c r="N13" s="22"/>
      <c r="O13" s="22"/>
      <c r="P13" s="33">
        <v>1400.0</v>
      </c>
      <c r="Q13" s="25">
        <f t="shared" si="1"/>
        <v>0</v>
      </c>
      <c r="R13" s="33" t="s">
        <v>25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45590.0</v>
      </c>
      <c r="C14" s="30" t="s">
        <v>1309</v>
      </c>
      <c r="D14" s="31">
        <v>48482.0</v>
      </c>
      <c r="E14" s="32" t="s">
        <v>1310</v>
      </c>
      <c r="F14" s="22"/>
      <c r="G14" s="22"/>
      <c r="H14" s="22"/>
      <c r="I14" s="21"/>
      <c r="J14" s="21">
        <v>4650.0</v>
      </c>
      <c r="K14" s="22"/>
      <c r="L14" s="22"/>
      <c r="M14" s="21"/>
      <c r="N14" s="22"/>
      <c r="O14" s="22"/>
      <c r="P14" s="33">
        <v>4650.0</v>
      </c>
      <c r="Q14" s="25">
        <f t="shared" si="1"/>
        <v>0</v>
      </c>
      <c r="R14" s="33" t="s">
        <v>28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45590.0</v>
      </c>
      <c r="C15" s="30" t="s">
        <v>1311</v>
      </c>
      <c r="D15" s="31">
        <v>81108.0</v>
      </c>
      <c r="E15" s="32" t="s">
        <v>86</v>
      </c>
      <c r="F15" s="22"/>
      <c r="G15" s="22"/>
      <c r="H15" s="22"/>
      <c r="I15" s="21">
        <v>16200.0</v>
      </c>
      <c r="J15" s="21"/>
      <c r="K15" s="22"/>
      <c r="L15" s="22"/>
      <c r="M15" s="21"/>
      <c r="N15" s="22"/>
      <c r="O15" s="22"/>
      <c r="P15" s="33">
        <v>16200.0</v>
      </c>
      <c r="Q15" s="25">
        <f t="shared" si="1"/>
        <v>0</v>
      </c>
      <c r="R15" s="33" t="s">
        <v>28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45590.0</v>
      </c>
      <c r="C16" s="30" t="s">
        <v>1312</v>
      </c>
      <c r="D16" s="31">
        <v>50871.0</v>
      </c>
      <c r="E16" s="32" t="s">
        <v>1313</v>
      </c>
      <c r="F16" s="22"/>
      <c r="G16" s="22"/>
      <c r="H16" s="22"/>
      <c r="I16" s="21">
        <v>5000.0</v>
      </c>
      <c r="J16" s="21"/>
      <c r="K16" s="22"/>
      <c r="L16" s="22"/>
      <c r="M16" s="21"/>
      <c r="N16" s="22"/>
      <c r="O16" s="22"/>
      <c r="P16" s="33">
        <v>5000.0</v>
      </c>
      <c r="Q16" s="25">
        <f t="shared" si="1"/>
        <v>0</v>
      </c>
      <c r="R16" s="33" t="s">
        <v>35</v>
      </c>
      <c r="S16" s="2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45590.0</v>
      </c>
      <c r="C17" s="30" t="s">
        <v>1314</v>
      </c>
      <c r="D17" s="31">
        <v>52418.0</v>
      </c>
      <c r="E17" s="32" t="s">
        <v>1315</v>
      </c>
      <c r="F17" s="22"/>
      <c r="G17" s="22"/>
      <c r="H17" s="22"/>
      <c r="I17" s="21"/>
      <c r="J17" s="21">
        <v>2650.0</v>
      </c>
      <c r="K17" s="22"/>
      <c r="L17" s="22"/>
      <c r="M17" s="21"/>
      <c r="N17" s="22"/>
      <c r="O17" s="22"/>
      <c r="P17" s="33">
        <v>2650.0</v>
      </c>
      <c r="Q17" s="25">
        <f t="shared" si="1"/>
        <v>0</v>
      </c>
      <c r="R17" s="33" t="s">
        <v>35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45590.0</v>
      </c>
      <c r="C18" s="30" t="s">
        <v>1316</v>
      </c>
      <c r="D18" s="31">
        <v>35227.0</v>
      </c>
      <c r="E18" s="32" t="s">
        <v>224</v>
      </c>
      <c r="F18" s="22"/>
      <c r="G18" s="22"/>
      <c r="H18" s="22"/>
      <c r="I18" s="21">
        <v>1250.0</v>
      </c>
      <c r="J18" s="21"/>
      <c r="K18" s="22"/>
      <c r="L18" s="22"/>
      <c r="M18" s="21"/>
      <c r="N18" s="22"/>
      <c r="O18" s="22"/>
      <c r="P18" s="33">
        <v>1250.0</v>
      </c>
      <c r="Q18" s="25">
        <f t="shared" si="1"/>
        <v>0</v>
      </c>
      <c r="R18" s="33" t="s">
        <v>35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45590.0</v>
      </c>
      <c r="C19" s="30" t="s">
        <v>1317</v>
      </c>
      <c r="D19" s="31">
        <v>84859.0</v>
      </c>
      <c r="E19" s="32" t="s">
        <v>402</v>
      </c>
      <c r="F19" s="22">
        <v>200.0</v>
      </c>
      <c r="G19" s="22"/>
      <c r="H19" s="22"/>
      <c r="I19" s="21"/>
      <c r="J19" s="21"/>
      <c r="K19" s="22"/>
      <c r="L19" s="22"/>
      <c r="M19" s="21"/>
      <c r="N19" s="22"/>
      <c r="O19" s="22"/>
      <c r="P19" s="33">
        <v>200.0</v>
      </c>
      <c r="Q19" s="25">
        <f t="shared" si="1"/>
        <v>0</v>
      </c>
      <c r="R19" s="33" t="s">
        <v>35</v>
      </c>
      <c r="S19" s="26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45590.0</v>
      </c>
      <c r="C20" s="30" t="s">
        <v>1318</v>
      </c>
      <c r="D20" s="31">
        <v>45227.0</v>
      </c>
      <c r="E20" s="32" t="s">
        <v>615</v>
      </c>
      <c r="F20" s="22"/>
      <c r="G20" s="22"/>
      <c r="H20" s="22"/>
      <c r="I20" s="21">
        <v>5000.0</v>
      </c>
      <c r="J20" s="21"/>
      <c r="K20" s="22"/>
      <c r="L20" s="22"/>
      <c r="M20" s="21"/>
      <c r="N20" s="22"/>
      <c r="O20" s="22"/>
      <c r="P20" s="33">
        <v>5000.0</v>
      </c>
      <c r="Q20" s="25">
        <f t="shared" si="1"/>
        <v>0</v>
      </c>
      <c r="R20" s="33" t="s">
        <v>57</v>
      </c>
      <c r="S20" s="26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45590.0</v>
      </c>
      <c r="C21" s="30" t="s">
        <v>1319</v>
      </c>
      <c r="D21" s="31">
        <v>85119.0</v>
      </c>
      <c r="E21" s="32" t="s">
        <v>1320</v>
      </c>
      <c r="F21" s="22">
        <v>5000.0</v>
      </c>
      <c r="G21" s="22"/>
      <c r="H21" s="22"/>
      <c r="I21" s="21"/>
      <c r="J21" s="21"/>
      <c r="K21" s="22"/>
      <c r="L21" s="22"/>
      <c r="M21" s="21"/>
      <c r="N21" s="22"/>
      <c r="O21" s="22"/>
      <c r="P21" s="33">
        <v>5000.0</v>
      </c>
      <c r="Q21" s="25">
        <f t="shared" si="1"/>
        <v>0</v>
      </c>
      <c r="R21" s="33" t="s">
        <v>35</v>
      </c>
      <c r="S21" s="26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7">
        <v>45590.0</v>
      </c>
      <c r="C22" s="18" t="s">
        <v>1321</v>
      </c>
      <c r="D22" s="19">
        <v>84859.0</v>
      </c>
      <c r="E22" s="20" t="s">
        <v>402</v>
      </c>
      <c r="F22" s="22"/>
      <c r="G22" s="22"/>
      <c r="H22" s="22"/>
      <c r="I22" s="21"/>
      <c r="J22" s="21"/>
      <c r="K22" s="22"/>
      <c r="L22" s="22"/>
      <c r="M22" s="21">
        <v>1000.0</v>
      </c>
      <c r="N22" s="22"/>
      <c r="O22" s="22"/>
      <c r="P22" s="24">
        <v>1000.0</v>
      </c>
      <c r="Q22" s="25">
        <f t="shared" si="1"/>
        <v>0</v>
      </c>
      <c r="R22" s="24" t="s">
        <v>35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45590.0</v>
      </c>
      <c r="C23" s="18" t="s">
        <v>1322</v>
      </c>
      <c r="D23" s="19">
        <v>85139.0</v>
      </c>
      <c r="E23" s="20" t="s">
        <v>1323</v>
      </c>
      <c r="F23" s="22"/>
      <c r="G23" s="22"/>
      <c r="H23" s="22"/>
      <c r="I23" s="21"/>
      <c r="J23" s="21"/>
      <c r="K23" s="22"/>
      <c r="L23" s="22"/>
      <c r="M23" s="21">
        <v>300.0</v>
      </c>
      <c r="N23" s="22"/>
      <c r="O23" s="22"/>
      <c r="P23" s="24">
        <v>300.0</v>
      </c>
      <c r="Q23" s="25">
        <f t="shared" si="1"/>
        <v>0</v>
      </c>
      <c r="R23" s="24" t="s">
        <v>28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45590.0</v>
      </c>
      <c r="C24" s="18" t="s">
        <v>1324</v>
      </c>
      <c r="D24" s="19">
        <v>81440.0</v>
      </c>
      <c r="E24" s="20" t="s">
        <v>1325</v>
      </c>
      <c r="F24" s="22"/>
      <c r="G24" s="22"/>
      <c r="H24" s="22"/>
      <c r="I24" s="21"/>
      <c r="J24" s="21"/>
      <c r="K24" s="22"/>
      <c r="L24" s="22"/>
      <c r="M24" s="21">
        <v>2500.0</v>
      </c>
      <c r="N24" s="22"/>
      <c r="O24" s="22"/>
      <c r="P24" s="24">
        <v>2500.0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45589.0</v>
      </c>
      <c r="C25" s="18" t="s">
        <v>1326</v>
      </c>
      <c r="D25" s="19">
        <v>51782.0</v>
      </c>
      <c r="E25" s="20" t="s">
        <v>261</v>
      </c>
      <c r="F25" s="22"/>
      <c r="G25" s="22"/>
      <c r="H25" s="22">
        <v>800.0</v>
      </c>
      <c r="I25" s="21"/>
      <c r="J25" s="21"/>
      <c r="K25" s="22"/>
      <c r="L25" s="22"/>
      <c r="M25" s="22"/>
      <c r="N25" s="22"/>
      <c r="O25" s="22"/>
      <c r="P25" s="24">
        <v>800.0</v>
      </c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45590.0</v>
      </c>
      <c r="C26" s="30" t="s">
        <v>1327</v>
      </c>
      <c r="D26" s="31">
        <v>21828.0</v>
      </c>
      <c r="E26" s="32" t="s">
        <v>150</v>
      </c>
      <c r="F26" s="22"/>
      <c r="G26" s="22"/>
      <c r="H26" s="22"/>
      <c r="I26" s="21"/>
      <c r="J26" s="21"/>
      <c r="K26" s="22">
        <v>2500.0</v>
      </c>
      <c r="L26" s="22"/>
      <c r="M26" s="21"/>
      <c r="N26" s="22"/>
      <c r="O26" s="22"/>
      <c r="P26" s="33">
        <v>2500.0</v>
      </c>
      <c r="Q26" s="25">
        <f t="shared" si="1"/>
        <v>0</v>
      </c>
      <c r="R26" s="33"/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7.5" customHeight="1">
      <c r="A27" s="16"/>
      <c r="B27" s="27"/>
      <c r="C27" s="18"/>
      <c r="D27" s="19" t="s">
        <v>190</v>
      </c>
      <c r="E27" s="20"/>
      <c r="F27" s="45">
        <f t="shared" ref="F27:Q27" si="2">SUM(F5:F26)</f>
        <v>5200</v>
      </c>
      <c r="G27" s="45">
        <f t="shared" si="2"/>
        <v>0</v>
      </c>
      <c r="H27" s="45">
        <f t="shared" si="2"/>
        <v>800</v>
      </c>
      <c r="I27" s="45">
        <f t="shared" si="2"/>
        <v>146400</v>
      </c>
      <c r="J27" s="45">
        <f t="shared" si="2"/>
        <v>9950</v>
      </c>
      <c r="K27" s="45">
        <f t="shared" si="2"/>
        <v>2500</v>
      </c>
      <c r="L27" s="45">
        <f t="shared" si="2"/>
        <v>0</v>
      </c>
      <c r="M27" s="45">
        <f t="shared" si="2"/>
        <v>3800</v>
      </c>
      <c r="N27" s="45">
        <f t="shared" si="2"/>
        <v>0</v>
      </c>
      <c r="O27" s="45">
        <f t="shared" si="2"/>
        <v>0</v>
      </c>
      <c r="P27" s="45">
        <f t="shared" si="2"/>
        <v>168650</v>
      </c>
      <c r="Q27" s="46">
        <f t="shared" si="2"/>
        <v>0</v>
      </c>
      <c r="R27" s="47"/>
      <c r="S27" s="47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58.5" customHeight="1">
      <c r="A28" s="48"/>
      <c r="B28" s="48"/>
      <c r="C28" s="49"/>
      <c r="D28" s="48"/>
      <c r="E28" s="48"/>
      <c r="F28" s="50">
        <f>F27+G27+H27+I27+J27+K27+L27+M27+N27+O27</f>
        <v>168650</v>
      </c>
      <c r="P28" s="51"/>
      <c r="Q28" s="51"/>
      <c r="R28" s="48"/>
      <c r="S28" s="48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15.75" customHeight="1">
      <c r="A29" s="4"/>
      <c r="B29" s="4"/>
      <c r="C29" s="5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3" t="s">
        <v>190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54" t="s">
        <v>191</v>
      </c>
      <c r="F32" s="60" t="s">
        <v>540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56" t="s">
        <v>193</v>
      </c>
      <c r="F33" s="60" t="s">
        <v>540</v>
      </c>
      <c r="G33" s="4"/>
      <c r="H33" s="4"/>
      <c r="I33" s="4"/>
      <c r="J33" s="4"/>
      <c r="K33" s="4"/>
      <c r="L33" s="4"/>
      <c r="M33" s="4"/>
      <c r="N33" s="4"/>
      <c r="O33" s="57" t="s">
        <v>190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6" t="s">
        <v>195</v>
      </c>
      <c r="F34" s="60" t="s">
        <v>196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197</v>
      </c>
      <c r="F35" s="60" t="s">
        <v>196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198</v>
      </c>
      <c r="F36" s="60" t="s">
        <v>540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1328</v>
      </c>
      <c r="F37" s="60" t="s">
        <v>196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201</v>
      </c>
      <c r="F38" s="61" t="s">
        <v>622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203</v>
      </c>
      <c r="F39" s="58" t="s">
        <v>204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7" t="s">
        <v>190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 t="str">
        <f>I72427</f>
        <v/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57" t="s">
        <v>205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 t="s">
        <v>190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>
        <v>7.0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7">
    <mergeCell ref="R2:R4"/>
    <mergeCell ref="S2:S4"/>
    <mergeCell ref="F3:F4"/>
    <mergeCell ref="G3:H3"/>
    <mergeCell ref="I3:J3"/>
    <mergeCell ref="K3:K4"/>
    <mergeCell ref="F28:O2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45591.0</v>
      </c>
      <c r="C5" s="18" t="s">
        <v>1330</v>
      </c>
      <c r="D5" s="19">
        <v>69369.0</v>
      </c>
      <c r="E5" s="20" t="s">
        <v>1331</v>
      </c>
      <c r="F5" s="21"/>
      <c r="G5" s="22"/>
      <c r="H5" s="22"/>
      <c r="I5" s="21">
        <v>10000.0</v>
      </c>
      <c r="J5" s="22"/>
      <c r="K5" s="22"/>
      <c r="L5" s="22"/>
      <c r="M5" s="21"/>
      <c r="N5" s="22"/>
      <c r="O5" s="22"/>
      <c r="P5" s="24">
        <v>10000.0</v>
      </c>
      <c r="Q5" s="25">
        <f t="shared" ref="Q5:Q28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45591.0</v>
      </c>
      <c r="C6" s="18" t="s">
        <v>1332</v>
      </c>
      <c r="D6" s="19">
        <v>42052.0</v>
      </c>
      <c r="E6" s="20" t="s">
        <v>1333</v>
      </c>
      <c r="F6" s="22"/>
      <c r="G6" s="22"/>
      <c r="H6" s="21"/>
      <c r="I6" s="21">
        <v>8090.0</v>
      </c>
      <c r="J6" s="23"/>
      <c r="K6" s="22"/>
      <c r="L6" s="22"/>
      <c r="M6" s="22"/>
      <c r="N6" s="22"/>
      <c r="O6" s="22"/>
      <c r="P6" s="24">
        <v>8090.0</v>
      </c>
      <c r="Q6" s="25">
        <f t="shared" si="1"/>
        <v>0</v>
      </c>
      <c r="R6" s="24" t="s">
        <v>57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45591.0</v>
      </c>
      <c r="C7" s="18" t="s">
        <v>1334</v>
      </c>
      <c r="D7" s="19">
        <v>76101.0</v>
      </c>
      <c r="E7" s="20" t="s">
        <v>103</v>
      </c>
      <c r="F7" s="22"/>
      <c r="G7" s="22"/>
      <c r="H7" s="22"/>
      <c r="I7" s="21">
        <v>2600.0</v>
      </c>
      <c r="J7" s="21"/>
      <c r="K7" s="22"/>
      <c r="L7" s="22"/>
      <c r="M7" s="21"/>
      <c r="N7" s="22"/>
      <c r="O7" s="22"/>
      <c r="P7" s="24">
        <v>2600.0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45591.0</v>
      </c>
      <c r="C8" s="18" t="s">
        <v>1335</v>
      </c>
      <c r="D8" s="19">
        <v>48973.0</v>
      </c>
      <c r="E8" s="20" t="s">
        <v>1194</v>
      </c>
      <c r="F8" s="22"/>
      <c r="G8" s="22"/>
      <c r="H8" s="22"/>
      <c r="I8" s="21">
        <v>8700.0</v>
      </c>
      <c r="J8" s="21"/>
      <c r="K8" s="22"/>
      <c r="L8" s="22"/>
      <c r="M8" s="21"/>
      <c r="N8" s="22"/>
      <c r="O8" s="22"/>
      <c r="P8" s="24">
        <v>8700.0</v>
      </c>
      <c r="Q8" s="25">
        <f t="shared" si="1"/>
        <v>0</v>
      </c>
      <c r="R8" s="24" t="s">
        <v>28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45591.0</v>
      </c>
      <c r="C9" s="30" t="s">
        <v>1336</v>
      </c>
      <c r="D9" s="31">
        <v>57061.0</v>
      </c>
      <c r="E9" s="32" t="s">
        <v>1337</v>
      </c>
      <c r="F9" s="22"/>
      <c r="G9" s="22"/>
      <c r="H9" s="22"/>
      <c r="I9" s="21">
        <v>10000.0</v>
      </c>
      <c r="J9" s="21"/>
      <c r="K9" s="22"/>
      <c r="L9" s="22"/>
      <c r="M9" s="21"/>
      <c r="N9" s="22"/>
      <c r="O9" s="22"/>
      <c r="P9" s="33">
        <v>10000.0</v>
      </c>
      <c r="Q9" s="25">
        <f t="shared" si="1"/>
        <v>0</v>
      </c>
      <c r="R9" s="33" t="s">
        <v>57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45591.0</v>
      </c>
      <c r="C10" s="30" t="s">
        <v>1338</v>
      </c>
      <c r="D10" s="31">
        <v>42278.0</v>
      </c>
      <c r="E10" s="32" t="s">
        <v>181</v>
      </c>
      <c r="F10" s="22"/>
      <c r="G10" s="22">
        <v>1150.0</v>
      </c>
      <c r="H10" s="22"/>
      <c r="I10" s="21"/>
      <c r="J10" s="21"/>
      <c r="K10" s="22">
        <v>300.0</v>
      </c>
      <c r="L10" s="22"/>
      <c r="M10" s="21"/>
      <c r="N10" s="22"/>
      <c r="O10" s="22"/>
      <c r="P10" s="33">
        <v>1450.0</v>
      </c>
      <c r="Q10" s="25">
        <f t="shared" si="1"/>
        <v>0</v>
      </c>
      <c r="R10" s="33" t="s">
        <v>35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45591.0</v>
      </c>
      <c r="C11" s="30" t="s">
        <v>1339</v>
      </c>
      <c r="D11" s="31">
        <v>46778.0</v>
      </c>
      <c r="E11" s="32" t="s">
        <v>107</v>
      </c>
      <c r="F11" s="22"/>
      <c r="G11" s="22"/>
      <c r="H11" s="22"/>
      <c r="I11" s="21"/>
      <c r="J11" s="21">
        <v>1850.0</v>
      </c>
      <c r="K11" s="22"/>
      <c r="L11" s="22"/>
      <c r="M11" s="21"/>
      <c r="N11" s="22"/>
      <c r="O11" s="22"/>
      <c r="P11" s="33">
        <v>1850.0</v>
      </c>
      <c r="Q11" s="25">
        <f t="shared" si="1"/>
        <v>0</v>
      </c>
      <c r="R11" s="33" t="s">
        <v>25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45591.0</v>
      </c>
      <c r="C12" s="30" t="s">
        <v>1340</v>
      </c>
      <c r="D12" s="31">
        <v>26831.0</v>
      </c>
      <c r="E12" s="32" t="s">
        <v>762</v>
      </c>
      <c r="F12" s="22"/>
      <c r="G12" s="22"/>
      <c r="H12" s="22"/>
      <c r="I12" s="21"/>
      <c r="J12" s="21">
        <v>22400.0</v>
      </c>
      <c r="K12" s="22"/>
      <c r="L12" s="22"/>
      <c r="M12" s="21"/>
      <c r="N12" s="22"/>
      <c r="O12" s="22"/>
      <c r="P12" s="33">
        <v>22400.0</v>
      </c>
      <c r="Q12" s="25">
        <f t="shared" si="1"/>
        <v>0</v>
      </c>
      <c r="R12" s="33" t="s">
        <v>35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45591.0</v>
      </c>
      <c r="C13" s="30" t="s">
        <v>1341</v>
      </c>
      <c r="D13" s="31">
        <v>50436.0</v>
      </c>
      <c r="E13" s="32" t="s">
        <v>50</v>
      </c>
      <c r="F13" s="22"/>
      <c r="G13" s="22"/>
      <c r="H13" s="22"/>
      <c r="I13" s="21">
        <v>4992.5</v>
      </c>
      <c r="J13" s="21"/>
      <c r="K13" s="22">
        <v>7.5</v>
      </c>
      <c r="L13" s="22"/>
      <c r="M13" s="21"/>
      <c r="N13" s="22"/>
      <c r="O13" s="22"/>
      <c r="P13" s="33">
        <v>5000.0</v>
      </c>
      <c r="Q13" s="25">
        <f t="shared" si="1"/>
        <v>0</v>
      </c>
      <c r="R13" s="33" t="s">
        <v>35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45591.0</v>
      </c>
      <c r="C14" s="30" t="s">
        <v>1342</v>
      </c>
      <c r="D14" s="31">
        <v>73864.0</v>
      </c>
      <c r="E14" s="32" t="s">
        <v>1031</v>
      </c>
      <c r="F14" s="22"/>
      <c r="G14" s="22"/>
      <c r="H14" s="22"/>
      <c r="I14" s="21">
        <v>4650.0</v>
      </c>
      <c r="J14" s="21"/>
      <c r="K14" s="22"/>
      <c r="L14" s="22"/>
      <c r="M14" s="21"/>
      <c r="N14" s="22"/>
      <c r="O14" s="22"/>
      <c r="P14" s="33">
        <v>4650.0</v>
      </c>
      <c r="Q14" s="25">
        <f t="shared" si="1"/>
        <v>0</v>
      </c>
      <c r="R14" s="33" t="s">
        <v>35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45591.0</v>
      </c>
      <c r="C15" s="30" t="s">
        <v>1343</v>
      </c>
      <c r="D15" s="31">
        <v>51350.0</v>
      </c>
      <c r="E15" s="32" t="s">
        <v>1344</v>
      </c>
      <c r="F15" s="22"/>
      <c r="G15" s="22"/>
      <c r="H15" s="22"/>
      <c r="I15" s="21">
        <v>10000.0</v>
      </c>
      <c r="J15" s="21"/>
      <c r="K15" s="22"/>
      <c r="L15" s="22"/>
      <c r="M15" s="21"/>
      <c r="N15" s="22"/>
      <c r="O15" s="22"/>
      <c r="P15" s="33">
        <v>10000.0</v>
      </c>
      <c r="Q15" s="25">
        <f t="shared" si="1"/>
        <v>0</v>
      </c>
      <c r="R15" s="33" t="s">
        <v>57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45591.0</v>
      </c>
      <c r="C16" s="30" t="s">
        <v>1345</v>
      </c>
      <c r="D16" s="31">
        <v>13762.0</v>
      </c>
      <c r="E16" s="32" t="s">
        <v>339</v>
      </c>
      <c r="F16" s="22"/>
      <c r="G16" s="22"/>
      <c r="H16" s="22"/>
      <c r="I16" s="21"/>
      <c r="J16" s="21"/>
      <c r="K16" s="22"/>
      <c r="L16" s="22"/>
      <c r="M16" s="21">
        <v>3680.0</v>
      </c>
      <c r="N16" s="22"/>
      <c r="O16" s="22"/>
      <c r="P16" s="33">
        <v>3680.0</v>
      </c>
      <c r="Q16" s="25">
        <f t="shared" si="1"/>
        <v>0</v>
      </c>
      <c r="R16" s="33" t="s">
        <v>28</v>
      </c>
      <c r="S16" s="2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45591.0</v>
      </c>
      <c r="C17" s="30" t="s">
        <v>1346</v>
      </c>
      <c r="D17" s="31">
        <v>84451.0</v>
      </c>
      <c r="E17" s="32" t="s">
        <v>1347</v>
      </c>
      <c r="F17" s="22"/>
      <c r="G17" s="22"/>
      <c r="H17" s="22"/>
      <c r="I17" s="21"/>
      <c r="J17" s="21">
        <v>2650.0</v>
      </c>
      <c r="K17" s="22"/>
      <c r="L17" s="22"/>
      <c r="M17" s="21"/>
      <c r="N17" s="22"/>
      <c r="O17" s="22"/>
      <c r="P17" s="33">
        <v>2650.0</v>
      </c>
      <c r="Q17" s="25">
        <f t="shared" si="1"/>
        <v>0</v>
      </c>
      <c r="R17" s="33" t="s">
        <v>57</v>
      </c>
      <c r="S17" s="2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45591.0</v>
      </c>
      <c r="C18" s="30" t="s">
        <v>1348</v>
      </c>
      <c r="D18" s="31">
        <v>58235.0</v>
      </c>
      <c r="E18" s="32" t="s">
        <v>1349</v>
      </c>
      <c r="F18" s="22"/>
      <c r="G18" s="22"/>
      <c r="H18" s="22"/>
      <c r="I18" s="21">
        <v>10000.0</v>
      </c>
      <c r="J18" s="21"/>
      <c r="K18" s="22"/>
      <c r="L18" s="22"/>
      <c r="M18" s="21"/>
      <c r="N18" s="22"/>
      <c r="O18" s="22"/>
      <c r="P18" s="33">
        <v>10000.0</v>
      </c>
      <c r="Q18" s="25">
        <f t="shared" si="1"/>
        <v>0</v>
      </c>
      <c r="R18" s="33" t="s">
        <v>35</v>
      </c>
      <c r="S18" s="2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45591.0</v>
      </c>
      <c r="C19" s="30" t="s">
        <v>1350</v>
      </c>
      <c r="D19" s="31">
        <v>83030.0</v>
      </c>
      <c r="E19" s="32" t="s">
        <v>1351</v>
      </c>
      <c r="F19" s="22"/>
      <c r="G19" s="22"/>
      <c r="H19" s="22"/>
      <c r="I19" s="21"/>
      <c r="J19" s="21"/>
      <c r="K19" s="22">
        <v>7500.0</v>
      </c>
      <c r="L19" s="22"/>
      <c r="M19" s="21"/>
      <c r="N19" s="22"/>
      <c r="O19" s="22"/>
      <c r="P19" s="33">
        <v>7500.0</v>
      </c>
      <c r="Q19" s="25">
        <f t="shared" si="1"/>
        <v>0</v>
      </c>
      <c r="R19" s="33" t="s">
        <v>25</v>
      </c>
      <c r="S19" s="26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45591.0</v>
      </c>
      <c r="C20" s="30" t="s">
        <v>1352</v>
      </c>
      <c r="D20" s="31">
        <v>56747.0</v>
      </c>
      <c r="E20" s="32" t="s">
        <v>1353</v>
      </c>
      <c r="F20" s="22"/>
      <c r="G20" s="22"/>
      <c r="H20" s="22"/>
      <c r="I20" s="21"/>
      <c r="J20" s="21">
        <v>5150.0</v>
      </c>
      <c r="K20" s="22"/>
      <c r="L20" s="22"/>
      <c r="M20" s="21"/>
      <c r="N20" s="22"/>
      <c r="O20" s="22"/>
      <c r="P20" s="33">
        <v>5150.0</v>
      </c>
      <c r="Q20" s="25">
        <f t="shared" si="1"/>
        <v>0</v>
      </c>
      <c r="R20" s="33" t="s">
        <v>25</v>
      </c>
      <c r="S20" s="26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45591.0</v>
      </c>
      <c r="C21" s="30" t="s">
        <v>1354</v>
      </c>
      <c r="D21" s="31">
        <v>78984.0</v>
      </c>
      <c r="E21" s="32" t="s">
        <v>1355</v>
      </c>
      <c r="F21" s="22"/>
      <c r="G21" s="22"/>
      <c r="H21" s="22"/>
      <c r="I21" s="21">
        <v>1150.0</v>
      </c>
      <c r="J21" s="21"/>
      <c r="K21" s="22"/>
      <c r="L21" s="22"/>
      <c r="M21" s="21"/>
      <c r="N21" s="22"/>
      <c r="O21" s="22"/>
      <c r="P21" s="33">
        <v>1150.0</v>
      </c>
      <c r="Q21" s="25">
        <f t="shared" si="1"/>
        <v>0</v>
      </c>
      <c r="R21" s="33" t="s">
        <v>28</v>
      </c>
      <c r="S21" s="26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7">
        <v>45591.0</v>
      </c>
      <c r="C22" s="18" t="s">
        <v>1356</v>
      </c>
      <c r="D22" s="19">
        <v>25650.0</v>
      </c>
      <c r="E22" s="20" t="s">
        <v>169</v>
      </c>
      <c r="F22" s="22"/>
      <c r="G22" s="22">
        <v>1050.0</v>
      </c>
      <c r="H22" s="22"/>
      <c r="I22" s="21"/>
      <c r="J22" s="21"/>
      <c r="K22" s="22"/>
      <c r="L22" s="22"/>
      <c r="M22" s="21"/>
      <c r="N22" s="22"/>
      <c r="O22" s="22"/>
      <c r="P22" s="24">
        <v>1050.0</v>
      </c>
      <c r="Q22" s="25">
        <f t="shared" si="1"/>
        <v>0</v>
      </c>
      <c r="R22" s="24" t="s">
        <v>35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45591.0</v>
      </c>
      <c r="C23" s="18" t="s">
        <v>1357</v>
      </c>
      <c r="D23" s="19">
        <v>62146.0</v>
      </c>
      <c r="E23" s="20" t="s">
        <v>458</v>
      </c>
      <c r="F23" s="22"/>
      <c r="G23" s="22"/>
      <c r="H23" s="22"/>
      <c r="I23" s="21">
        <v>350.0</v>
      </c>
      <c r="J23" s="21"/>
      <c r="K23" s="22"/>
      <c r="L23" s="22"/>
      <c r="M23" s="21"/>
      <c r="N23" s="22"/>
      <c r="O23" s="22"/>
      <c r="P23" s="24">
        <v>350.0</v>
      </c>
      <c r="Q23" s="25">
        <f t="shared" si="1"/>
        <v>0</v>
      </c>
      <c r="R23" s="24" t="s">
        <v>57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45591.0</v>
      </c>
      <c r="C24" s="18" t="s">
        <v>1358</v>
      </c>
      <c r="D24" s="19">
        <v>64457.0</v>
      </c>
      <c r="E24" s="20" t="s">
        <v>1359</v>
      </c>
      <c r="F24" s="22"/>
      <c r="G24" s="22"/>
      <c r="H24" s="22"/>
      <c r="I24" s="21"/>
      <c r="J24" s="21"/>
      <c r="K24" s="22"/>
      <c r="L24" s="22"/>
      <c r="M24" s="21">
        <v>3850.0</v>
      </c>
      <c r="N24" s="22"/>
      <c r="O24" s="22"/>
      <c r="P24" s="24">
        <v>3850.0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45590.0</v>
      </c>
      <c r="C25" s="18" t="s">
        <v>1360</v>
      </c>
      <c r="D25" s="19">
        <v>51017.0</v>
      </c>
      <c r="E25" s="20" t="s">
        <v>165</v>
      </c>
      <c r="F25" s="22"/>
      <c r="G25" s="22"/>
      <c r="H25" s="22">
        <v>10000.0</v>
      </c>
      <c r="I25" s="21"/>
      <c r="J25" s="21"/>
      <c r="K25" s="22"/>
      <c r="L25" s="22"/>
      <c r="M25" s="22"/>
      <c r="N25" s="22"/>
      <c r="O25" s="22"/>
      <c r="P25" s="24">
        <v>10000.0</v>
      </c>
      <c r="Q25" s="25">
        <f t="shared" si="1"/>
        <v>0</v>
      </c>
      <c r="R25" s="24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45591.0</v>
      </c>
      <c r="C26" s="30" t="s">
        <v>1361</v>
      </c>
      <c r="D26" s="31">
        <v>57328.0</v>
      </c>
      <c r="E26" s="32" t="s">
        <v>943</v>
      </c>
      <c r="F26" s="22"/>
      <c r="G26" s="22"/>
      <c r="H26" s="22">
        <v>450.0</v>
      </c>
      <c r="I26" s="21"/>
      <c r="J26" s="21"/>
      <c r="K26" s="22"/>
      <c r="L26" s="22"/>
      <c r="M26" s="21"/>
      <c r="N26" s="22"/>
      <c r="O26" s="22"/>
      <c r="P26" s="33">
        <v>450.0</v>
      </c>
      <c r="Q26" s="25">
        <f t="shared" si="1"/>
        <v>0</v>
      </c>
      <c r="R26" s="33"/>
      <c r="S26" s="26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45591.0</v>
      </c>
      <c r="C27" s="30" t="s">
        <v>1362</v>
      </c>
      <c r="D27" s="31">
        <v>47787.0</v>
      </c>
      <c r="E27" s="32" t="s">
        <v>432</v>
      </c>
      <c r="F27" s="22"/>
      <c r="G27" s="22"/>
      <c r="H27" s="22">
        <v>105000.0</v>
      </c>
      <c r="I27" s="21"/>
      <c r="J27" s="21"/>
      <c r="K27" s="22"/>
      <c r="L27" s="22"/>
      <c r="M27" s="21"/>
      <c r="N27" s="22"/>
      <c r="O27" s="22"/>
      <c r="P27" s="33">
        <v>105000.0</v>
      </c>
      <c r="Q27" s="25">
        <f t="shared" si="1"/>
        <v>0</v>
      </c>
      <c r="R27" s="33"/>
      <c r="S27" s="2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45591.0</v>
      </c>
      <c r="C28" s="30" t="s">
        <v>1363</v>
      </c>
      <c r="D28" s="31">
        <v>80693.0</v>
      </c>
      <c r="E28" s="32" t="s">
        <v>1364</v>
      </c>
      <c r="F28" s="22"/>
      <c r="G28" s="22"/>
      <c r="H28" s="22"/>
      <c r="I28" s="21"/>
      <c r="J28" s="21"/>
      <c r="K28" s="22">
        <v>10000.0</v>
      </c>
      <c r="L28" s="22"/>
      <c r="M28" s="21"/>
      <c r="N28" s="22"/>
      <c r="O28" s="22"/>
      <c r="P28" s="33">
        <v>10000.0</v>
      </c>
      <c r="Q28" s="25">
        <f t="shared" si="1"/>
        <v>0</v>
      </c>
      <c r="R28" s="33"/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4.5" customHeight="1">
      <c r="A29" s="16"/>
      <c r="B29" s="29"/>
      <c r="C29" s="30"/>
      <c r="D29" s="31"/>
      <c r="E29" s="32"/>
      <c r="F29" s="22"/>
      <c r="G29" s="22"/>
      <c r="H29" s="22"/>
      <c r="I29" s="21"/>
      <c r="J29" s="21"/>
      <c r="K29" s="22"/>
      <c r="L29" s="22"/>
      <c r="M29" s="21"/>
      <c r="N29" s="22"/>
      <c r="O29" s="22"/>
      <c r="P29" s="33"/>
      <c r="Q29" s="25"/>
      <c r="R29" s="33"/>
      <c r="S29" s="2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37.5" customHeight="1">
      <c r="A30" s="16"/>
      <c r="B30" s="27"/>
      <c r="C30" s="18"/>
      <c r="D30" s="19" t="s">
        <v>190</v>
      </c>
      <c r="E30" s="20"/>
      <c r="F30" s="45">
        <f t="shared" ref="F30:P30" si="2">SUM(F5:F29)</f>
        <v>0</v>
      </c>
      <c r="G30" s="45">
        <f t="shared" si="2"/>
        <v>2200</v>
      </c>
      <c r="H30" s="45">
        <f t="shared" si="2"/>
        <v>115450</v>
      </c>
      <c r="I30" s="45">
        <f t="shared" si="2"/>
        <v>70532.5</v>
      </c>
      <c r="J30" s="45">
        <f t="shared" si="2"/>
        <v>32050</v>
      </c>
      <c r="K30" s="45">
        <f t="shared" si="2"/>
        <v>17807.5</v>
      </c>
      <c r="L30" s="45">
        <f t="shared" si="2"/>
        <v>0</v>
      </c>
      <c r="M30" s="45">
        <f t="shared" si="2"/>
        <v>7530</v>
      </c>
      <c r="N30" s="45">
        <f t="shared" si="2"/>
        <v>0</v>
      </c>
      <c r="O30" s="45">
        <f t="shared" si="2"/>
        <v>0</v>
      </c>
      <c r="P30" s="45">
        <f t="shared" si="2"/>
        <v>245570</v>
      </c>
      <c r="Q30" s="46">
        <f>SUM(Q5:Q26)</f>
        <v>0</v>
      </c>
      <c r="R30" s="47"/>
      <c r="S30" s="47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58.5" customHeight="1">
      <c r="A31" s="48"/>
      <c r="B31" s="48"/>
      <c r="C31" s="49"/>
      <c r="D31" s="48"/>
      <c r="E31" s="48"/>
      <c r="F31" s="50">
        <f>F30+G30+H30+I30+J30+K30+L30+M30+N30+O30</f>
        <v>245570</v>
      </c>
      <c r="P31" s="51"/>
      <c r="Q31" s="51"/>
      <c r="R31" s="48"/>
      <c r="S31" s="48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ht="15.7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3" t="s">
        <v>190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4" t="s">
        <v>191</v>
      </c>
      <c r="F35" s="60" t="s">
        <v>540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193</v>
      </c>
      <c r="F36" s="60" t="s">
        <v>540</v>
      </c>
      <c r="G36" s="4"/>
      <c r="H36" s="4"/>
      <c r="I36" s="4"/>
      <c r="J36" s="4"/>
      <c r="K36" s="4"/>
      <c r="L36" s="4"/>
      <c r="M36" s="4"/>
      <c r="N36" s="4"/>
      <c r="O36" s="57" t="s">
        <v>190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195</v>
      </c>
      <c r="F37" s="60" t="s">
        <v>196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197</v>
      </c>
      <c r="F38" s="60" t="s">
        <v>196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198</v>
      </c>
      <c r="F39" s="60" t="s">
        <v>540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1365</v>
      </c>
      <c r="F40" s="60" t="s">
        <v>196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201</v>
      </c>
      <c r="F41" s="61" t="s">
        <v>622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6" t="s">
        <v>203</v>
      </c>
      <c r="F42" s="58" t="s">
        <v>204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7" t="s">
        <v>190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57" t="s">
        <v>205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 t="s">
        <v>190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7">
    <mergeCell ref="R2:R4"/>
    <mergeCell ref="S2:S4"/>
    <mergeCell ref="F3:F4"/>
    <mergeCell ref="G3:H3"/>
    <mergeCell ref="I3:J3"/>
    <mergeCell ref="K3:K4"/>
    <mergeCell ref="F31:O3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45591.0</v>
      </c>
      <c r="C5" s="18" t="s">
        <v>1367</v>
      </c>
      <c r="D5" s="19">
        <v>10001.0</v>
      </c>
      <c r="E5" s="20" t="s">
        <v>476</v>
      </c>
      <c r="F5" s="21">
        <v>1032.0</v>
      </c>
      <c r="G5" s="22"/>
      <c r="H5" s="22"/>
      <c r="I5" s="21"/>
      <c r="J5" s="22"/>
      <c r="K5" s="22"/>
      <c r="L5" s="22"/>
      <c r="M5" s="21"/>
      <c r="N5" s="22"/>
      <c r="O5" s="22"/>
      <c r="P5" s="24">
        <v>1032.0</v>
      </c>
      <c r="Q5" s="25">
        <v>0.0</v>
      </c>
      <c r="R5" s="24" t="s">
        <v>35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45591.0</v>
      </c>
      <c r="C6" s="18" t="s">
        <v>1368</v>
      </c>
      <c r="D6" s="19">
        <v>13781.0</v>
      </c>
      <c r="E6" s="20" t="s">
        <v>469</v>
      </c>
      <c r="F6" s="22"/>
      <c r="G6" s="22">
        <v>6000.0</v>
      </c>
      <c r="H6" s="21"/>
      <c r="I6" s="21"/>
      <c r="J6" s="23"/>
      <c r="K6" s="22"/>
      <c r="L6" s="22"/>
      <c r="M6" s="22"/>
      <c r="N6" s="22"/>
      <c r="O6" s="22"/>
      <c r="P6" s="24">
        <v>6000.0</v>
      </c>
      <c r="Q6" s="25">
        <v>0.0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45592.0</v>
      </c>
      <c r="C7" s="18" t="s">
        <v>1369</v>
      </c>
      <c r="D7" s="19">
        <v>19971.0</v>
      </c>
      <c r="E7" s="20" t="s">
        <v>1370</v>
      </c>
      <c r="F7" s="22"/>
      <c r="G7" s="22"/>
      <c r="H7" s="22"/>
      <c r="I7" s="21"/>
      <c r="J7" s="21">
        <v>2650.0</v>
      </c>
      <c r="K7" s="22"/>
      <c r="L7" s="22"/>
      <c r="M7" s="21"/>
      <c r="N7" s="22"/>
      <c r="O7" s="22"/>
      <c r="P7" s="24">
        <v>2650.0</v>
      </c>
      <c r="Q7" s="25">
        <v>0.0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45592.0</v>
      </c>
      <c r="C8" s="18" t="s">
        <v>1371</v>
      </c>
      <c r="D8" s="19">
        <v>19688.0</v>
      </c>
      <c r="E8" s="20" t="s">
        <v>90</v>
      </c>
      <c r="F8" s="22"/>
      <c r="G8" s="22"/>
      <c r="H8" s="22"/>
      <c r="I8" s="21"/>
      <c r="J8" s="21">
        <v>12500.0</v>
      </c>
      <c r="K8" s="22"/>
      <c r="L8" s="22"/>
      <c r="M8" s="21"/>
      <c r="N8" s="22"/>
      <c r="O8" s="22"/>
      <c r="P8" s="24">
        <v>12500.0</v>
      </c>
      <c r="Q8" s="25">
        <v>0.0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45592.0</v>
      </c>
      <c r="C9" s="30" t="s">
        <v>1372</v>
      </c>
      <c r="D9" s="31">
        <v>36769.0</v>
      </c>
      <c r="E9" s="32" t="s">
        <v>63</v>
      </c>
      <c r="F9" s="22"/>
      <c r="G9" s="22"/>
      <c r="H9" s="22"/>
      <c r="I9" s="21">
        <v>5150.0</v>
      </c>
      <c r="J9" s="21"/>
      <c r="K9" s="22"/>
      <c r="L9" s="22"/>
      <c r="M9" s="21"/>
      <c r="N9" s="22"/>
      <c r="O9" s="22"/>
      <c r="P9" s="33">
        <v>5150.0</v>
      </c>
      <c r="Q9" s="25">
        <v>0.0</v>
      </c>
      <c r="R9" s="33" t="s">
        <v>28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45592.0</v>
      </c>
      <c r="C10" s="30" t="s">
        <v>1373</v>
      </c>
      <c r="D10" s="31">
        <v>35227.0</v>
      </c>
      <c r="E10" s="32" t="s">
        <v>224</v>
      </c>
      <c r="F10" s="22"/>
      <c r="G10" s="22"/>
      <c r="H10" s="22"/>
      <c r="I10" s="21">
        <v>1250.0</v>
      </c>
      <c r="J10" s="21"/>
      <c r="K10" s="22"/>
      <c r="L10" s="22"/>
      <c r="M10" s="21"/>
      <c r="N10" s="22"/>
      <c r="O10" s="22"/>
      <c r="P10" s="33">
        <v>1250.0</v>
      </c>
      <c r="Q10" s="25">
        <v>0.0</v>
      </c>
      <c r="R10" s="33" t="s">
        <v>25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45592.0</v>
      </c>
      <c r="C11" s="30" t="s">
        <v>1374</v>
      </c>
      <c r="D11" s="31">
        <v>85128.0</v>
      </c>
      <c r="E11" s="32" t="s">
        <v>1254</v>
      </c>
      <c r="F11" s="22"/>
      <c r="G11" s="22"/>
      <c r="H11" s="22"/>
      <c r="I11" s="21">
        <v>5150.0</v>
      </c>
      <c r="J11" s="21"/>
      <c r="K11" s="22"/>
      <c r="L11" s="22"/>
      <c r="M11" s="21"/>
      <c r="N11" s="22"/>
      <c r="O11" s="22"/>
      <c r="P11" s="33">
        <v>5150.0</v>
      </c>
      <c r="Q11" s="25">
        <v>0.0</v>
      </c>
      <c r="R11" s="33" t="s">
        <v>25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45592.0</v>
      </c>
      <c r="C12" s="30" t="s">
        <v>1375</v>
      </c>
      <c r="D12" s="31">
        <v>55555.0</v>
      </c>
      <c r="E12" s="32" t="s">
        <v>1376</v>
      </c>
      <c r="F12" s="22"/>
      <c r="G12" s="22">
        <v>600.0</v>
      </c>
      <c r="H12" s="22"/>
      <c r="I12" s="21"/>
      <c r="J12" s="21"/>
      <c r="K12" s="22"/>
      <c r="L12" s="22"/>
      <c r="M12" s="21"/>
      <c r="N12" s="22"/>
      <c r="O12" s="22"/>
      <c r="P12" s="33">
        <v>600.0</v>
      </c>
      <c r="Q12" s="25">
        <v>0.0</v>
      </c>
      <c r="R12" s="33" t="s">
        <v>25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45592.0</v>
      </c>
      <c r="C13" s="30" t="s">
        <v>1377</v>
      </c>
      <c r="D13" s="31">
        <v>51166.0</v>
      </c>
      <c r="E13" s="32" t="s">
        <v>1378</v>
      </c>
      <c r="F13" s="22"/>
      <c r="G13" s="22"/>
      <c r="H13" s="22">
        <v>5000.0</v>
      </c>
      <c r="I13" s="21"/>
      <c r="J13" s="21"/>
      <c r="K13" s="22"/>
      <c r="L13" s="22"/>
      <c r="M13" s="21"/>
      <c r="N13" s="22"/>
      <c r="O13" s="22"/>
      <c r="P13" s="33">
        <v>5000.0</v>
      </c>
      <c r="Q13" s="25">
        <v>0.0</v>
      </c>
      <c r="R13" s="33"/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45592.0</v>
      </c>
      <c r="C14" s="30" t="s">
        <v>1379</v>
      </c>
      <c r="D14" s="31">
        <v>84683.0</v>
      </c>
      <c r="E14" s="32" t="s">
        <v>411</v>
      </c>
      <c r="F14" s="22"/>
      <c r="G14" s="22"/>
      <c r="H14" s="22"/>
      <c r="I14" s="21"/>
      <c r="J14" s="21"/>
      <c r="K14" s="22"/>
      <c r="L14" s="22"/>
      <c r="M14" s="21">
        <v>3400.0</v>
      </c>
      <c r="N14" s="22"/>
      <c r="O14" s="22"/>
      <c r="P14" s="33">
        <v>3400.0</v>
      </c>
      <c r="Q14" s="25">
        <v>0.0</v>
      </c>
      <c r="R14" s="33"/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45592.0</v>
      </c>
      <c r="C15" s="30" t="s">
        <v>1380</v>
      </c>
      <c r="D15" s="31">
        <v>85167.0</v>
      </c>
      <c r="E15" s="32" t="s">
        <v>1381</v>
      </c>
      <c r="F15" s="22"/>
      <c r="G15" s="22"/>
      <c r="H15" s="22"/>
      <c r="I15" s="21"/>
      <c r="J15" s="21"/>
      <c r="K15" s="22">
        <v>300.0</v>
      </c>
      <c r="L15" s="22"/>
      <c r="M15" s="21"/>
      <c r="N15" s="22"/>
      <c r="O15" s="22"/>
      <c r="P15" s="33">
        <v>300.0</v>
      </c>
      <c r="Q15" s="25">
        <v>0.0</v>
      </c>
      <c r="R15" s="33"/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/>
      <c r="B16" s="29"/>
      <c r="C16" s="30"/>
      <c r="D16" s="31"/>
      <c r="E16" s="32"/>
      <c r="F16" s="22"/>
      <c r="G16" s="22"/>
      <c r="H16" s="22"/>
      <c r="I16" s="21"/>
      <c r="J16" s="21"/>
      <c r="K16" s="22"/>
      <c r="L16" s="22"/>
      <c r="M16" s="21"/>
      <c r="N16" s="22"/>
      <c r="O16" s="22"/>
      <c r="P16" s="33"/>
      <c r="Q16" s="25"/>
      <c r="R16" s="33"/>
      <c r="S16" s="2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7.5" customHeight="1">
      <c r="A17" s="16"/>
      <c r="B17" s="27"/>
      <c r="C17" s="18"/>
      <c r="D17" s="19" t="s">
        <v>190</v>
      </c>
      <c r="E17" s="20"/>
      <c r="F17" s="45">
        <f t="shared" ref="F17:P17" si="1">SUM(F5:F16)</f>
        <v>1032</v>
      </c>
      <c r="G17" s="45">
        <f t="shared" si="1"/>
        <v>6600</v>
      </c>
      <c r="H17" s="45">
        <f t="shared" si="1"/>
        <v>5000</v>
      </c>
      <c r="I17" s="45">
        <f t="shared" si="1"/>
        <v>11550</v>
      </c>
      <c r="J17" s="45">
        <f t="shared" si="1"/>
        <v>15150</v>
      </c>
      <c r="K17" s="45">
        <f t="shared" si="1"/>
        <v>300</v>
      </c>
      <c r="L17" s="45">
        <f t="shared" si="1"/>
        <v>0</v>
      </c>
      <c r="M17" s="45">
        <f t="shared" si="1"/>
        <v>3400</v>
      </c>
      <c r="N17" s="45">
        <f t="shared" si="1"/>
        <v>0</v>
      </c>
      <c r="O17" s="45">
        <f t="shared" si="1"/>
        <v>0</v>
      </c>
      <c r="P17" s="45">
        <f t="shared" si="1"/>
        <v>43032</v>
      </c>
      <c r="Q17" s="46">
        <f>SUM(Q5:Q15)</f>
        <v>0</v>
      </c>
      <c r="R17" s="47"/>
      <c r="S17" s="47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58.5" customHeight="1">
      <c r="A18" s="48"/>
      <c r="B18" s="48"/>
      <c r="C18" s="49"/>
      <c r="D18" s="48"/>
      <c r="E18" s="48"/>
      <c r="F18" s="50">
        <f>F17+G17+H17+I17+J17+K17+L17+M17+N17+O17</f>
        <v>43032</v>
      </c>
      <c r="P18" s="51"/>
      <c r="Q18" s="51"/>
      <c r="R18" s="48"/>
      <c r="S18" s="48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15.75" customHeight="1">
      <c r="A19" s="4"/>
      <c r="B19" s="4"/>
      <c r="C19" s="5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5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53" t="s">
        <v>190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52"/>
      <c r="D22" s="4"/>
      <c r="E22" s="54" t="s">
        <v>191</v>
      </c>
      <c r="F22" s="60" t="s">
        <v>204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52"/>
      <c r="D23" s="4"/>
      <c r="E23" s="56" t="s">
        <v>193</v>
      </c>
      <c r="F23" s="60" t="s">
        <v>540</v>
      </c>
      <c r="G23" s="4"/>
      <c r="H23" s="4"/>
      <c r="I23" s="4"/>
      <c r="J23" s="4"/>
      <c r="K23" s="4"/>
      <c r="L23" s="4"/>
      <c r="M23" s="4"/>
      <c r="N23" s="4"/>
      <c r="O23" s="57" t="s">
        <v>190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52"/>
      <c r="D24" s="4"/>
      <c r="E24" s="56" t="s">
        <v>195</v>
      </c>
      <c r="F24" s="60" t="s">
        <v>622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52"/>
      <c r="D25" s="4"/>
      <c r="E25" s="56" t="s">
        <v>197</v>
      </c>
      <c r="F25" s="60" t="s">
        <v>540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52"/>
      <c r="D26" s="4"/>
      <c r="E26" s="56" t="s">
        <v>198</v>
      </c>
      <c r="F26" s="60" t="s">
        <v>540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52"/>
      <c r="D27" s="4"/>
      <c r="E27" s="56" t="s">
        <v>1382</v>
      </c>
      <c r="F27" s="60" t="s">
        <v>540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52"/>
      <c r="D28" s="4"/>
      <c r="E28" s="56" t="s">
        <v>201</v>
      </c>
      <c r="F28" s="61" t="s">
        <v>622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/>
      <c r="D29" s="4"/>
      <c r="E29" s="56" t="s">
        <v>203</v>
      </c>
      <c r="F29" s="58" t="s">
        <v>204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7" t="s">
        <v>190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2"/>
      <c r="D30" s="4"/>
      <c r="E30" s="4"/>
      <c r="F30" s="4"/>
      <c r="G30" s="4"/>
      <c r="H30" s="4"/>
      <c r="I30" s="4"/>
      <c r="J30" s="4"/>
      <c r="K30" s="4" t="str">
        <f>I72417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5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57" t="s">
        <v>205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 t="s">
        <v>190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>
        <v>7.0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17">
    <mergeCell ref="R2:R4"/>
    <mergeCell ref="S2:S4"/>
    <mergeCell ref="F3:F4"/>
    <mergeCell ref="G3:H3"/>
    <mergeCell ref="I3:J3"/>
    <mergeCell ref="K3:K4"/>
    <mergeCell ref="F18:O1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0"/>
    <col customWidth="1" min="3" max="3" width="33.5"/>
    <col customWidth="1" min="4" max="4" width="11.25"/>
    <col customWidth="1" min="5" max="5" width="66.75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5.25" customHeight="1">
      <c r="A2" s="89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1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0" t="s">
        <v>7</v>
      </c>
      <c r="S2" s="90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92" t="s">
        <v>9</v>
      </c>
      <c r="G3" s="91" t="s">
        <v>10</v>
      </c>
      <c r="H3" s="9"/>
      <c r="I3" s="91" t="s">
        <v>11</v>
      </c>
      <c r="J3" s="9"/>
      <c r="K3" s="90" t="s">
        <v>12</v>
      </c>
      <c r="L3" s="93"/>
      <c r="M3" s="93"/>
      <c r="N3" s="93"/>
      <c r="O3" s="90" t="s">
        <v>13</v>
      </c>
      <c r="P3" s="90" t="s">
        <v>14</v>
      </c>
      <c r="Q3" s="90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94" t="s">
        <v>16</v>
      </c>
      <c r="H4" s="94" t="s">
        <v>17</v>
      </c>
      <c r="I4" s="94" t="s">
        <v>18</v>
      </c>
      <c r="J4" s="94" t="s">
        <v>19</v>
      </c>
      <c r="K4" s="9"/>
      <c r="L4" s="94" t="s">
        <v>20</v>
      </c>
      <c r="M4" s="94" t="s">
        <v>21</v>
      </c>
      <c r="N4" s="94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45593.0</v>
      </c>
      <c r="C5" s="18" t="s">
        <v>1384</v>
      </c>
      <c r="D5" s="19">
        <v>50136.0</v>
      </c>
      <c r="E5" s="20" t="s">
        <v>1385</v>
      </c>
      <c r="F5" s="21"/>
      <c r="G5" s="22"/>
      <c r="H5" s="22"/>
      <c r="I5" s="21"/>
      <c r="J5" s="22">
        <v>5150.0</v>
      </c>
      <c r="K5" s="22"/>
      <c r="L5" s="22"/>
      <c r="M5" s="21"/>
      <c r="N5" s="22"/>
      <c r="O5" s="22"/>
      <c r="P5" s="24">
        <v>5150.0</v>
      </c>
      <c r="Q5" s="25">
        <v>0.0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45593.0</v>
      </c>
      <c r="C6" s="18" t="s">
        <v>1386</v>
      </c>
      <c r="D6" s="19">
        <v>66770.0</v>
      </c>
      <c r="E6" s="20" t="s">
        <v>1387</v>
      </c>
      <c r="F6" s="22"/>
      <c r="G6" s="22"/>
      <c r="H6" s="21"/>
      <c r="I6" s="21"/>
      <c r="J6" s="23">
        <v>2500.0</v>
      </c>
      <c r="K6" s="22"/>
      <c r="L6" s="22"/>
      <c r="M6" s="22"/>
      <c r="N6" s="22"/>
      <c r="O6" s="22"/>
      <c r="P6" s="24">
        <v>2500.0</v>
      </c>
      <c r="Q6" s="25">
        <v>0.0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45593.0</v>
      </c>
      <c r="C7" s="18" t="s">
        <v>1388</v>
      </c>
      <c r="D7" s="19">
        <v>57499.0</v>
      </c>
      <c r="E7" s="20" t="s">
        <v>1389</v>
      </c>
      <c r="F7" s="22"/>
      <c r="G7" s="22"/>
      <c r="H7" s="22"/>
      <c r="I7" s="21"/>
      <c r="J7" s="21">
        <v>4500.0</v>
      </c>
      <c r="K7" s="22"/>
      <c r="L7" s="22"/>
      <c r="M7" s="21"/>
      <c r="N7" s="22"/>
      <c r="O7" s="22"/>
      <c r="P7" s="24">
        <v>4500.0</v>
      </c>
      <c r="Q7" s="25">
        <v>0.0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45593.0</v>
      </c>
      <c r="C8" s="18" t="s">
        <v>1390</v>
      </c>
      <c r="D8" s="19">
        <v>33065.0</v>
      </c>
      <c r="E8" s="20" t="s">
        <v>859</v>
      </c>
      <c r="F8" s="22"/>
      <c r="G8" s="22"/>
      <c r="H8" s="22"/>
      <c r="I8" s="21">
        <v>5150.0</v>
      </c>
      <c r="J8" s="21"/>
      <c r="K8" s="22"/>
      <c r="L8" s="22"/>
      <c r="M8" s="21"/>
      <c r="N8" s="22"/>
      <c r="O8" s="22"/>
      <c r="P8" s="24">
        <v>5150.0</v>
      </c>
      <c r="Q8" s="25">
        <v>0.0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45593.0</v>
      </c>
      <c r="C9" s="30" t="s">
        <v>1391</v>
      </c>
      <c r="D9" s="31">
        <v>72590.0</v>
      </c>
      <c r="E9" s="32" t="s">
        <v>1392</v>
      </c>
      <c r="F9" s="22"/>
      <c r="G9" s="22"/>
      <c r="H9" s="22"/>
      <c r="I9" s="21">
        <v>2650.0</v>
      </c>
      <c r="J9" s="21"/>
      <c r="K9" s="22"/>
      <c r="L9" s="22"/>
      <c r="M9" s="21"/>
      <c r="N9" s="22"/>
      <c r="O9" s="22"/>
      <c r="P9" s="33">
        <v>2650.0</v>
      </c>
      <c r="Q9" s="25">
        <v>0.0</v>
      </c>
      <c r="R9" s="33" t="s">
        <v>35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45593.0</v>
      </c>
      <c r="C10" s="30" t="s">
        <v>1393</v>
      </c>
      <c r="D10" s="31">
        <v>10357.0</v>
      </c>
      <c r="E10" s="32" t="s">
        <v>160</v>
      </c>
      <c r="F10" s="22"/>
      <c r="G10" s="22"/>
      <c r="H10" s="22">
        <v>5397.0</v>
      </c>
      <c r="I10" s="21"/>
      <c r="J10" s="21"/>
      <c r="K10" s="22"/>
      <c r="L10" s="22"/>
      <c r="M10" s="21"/>
      <c r="N10" s="22"/>
      <c r="O10" s="22"/>
      <c r="P10" s="33">
        <v>5397.0</v>
      </c>
      <c r="Q10" s="25">
        <v>0.0</v>
      </c>
      <c r="R10" s="33" t="s">
        <v>25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45593.0</v>
      </c>
      <c r="C11" s="30" t="s">
        <v>1394</v>
      </c>
      <c r="D11" s="31">
        <v>22341.0</v>
      </c>
      <c r="E11" s="32" t="s">
        <v>230</v>
      </c>
      <c r="F11" s="22"/>
      <c r="G11" s="22"/>
      <c r="H11" s="22"/>
      <c r="I11" s="21">
        <v>1550.0</v>
      </c>
      <c r="J11" s="21"/>
      <c r="K11" s="22"/>
      <c r="L11" s="22"/>
      <c r="M11" s="21"/>
      <c r="N11" s="22"/>
      <c r="O11" s="22"/>
      <c r="P11" s="33">
        <v>1550.0</v>
      </c>
      <c r="Q11" s="25">
        <v>0.0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45593.0</v>
      </c>
      <c r="C12" s="30" t="s">
        <v>1395</v>
      </c>
      <c r="D12" s="31">
        <v>49864.0</v>
      </c>
      <c r="E12" s="32" t="s">
        <v>1396</v>
      </c>
      <c r="F12" s="22"/>
      <c r="G12" s="22"/>
      <c r="H12" s="22"/>
      <c r="I12" s="21">
        <v>15000.0</v>
      </c>
      <c r="J12" s="21"/>
      <c r="K12" s="22"/>
      <c r="L12" s="22"/>
      <c r="M12" s="21"/>
      <c r="N12" s="22"/>
      <c r="O12" s="22"/>
      <c r="P12" s="33">
        <v>15000.0</v>
      </c>
      <c r="Q12" s="25">
        <v>0.0</v>
      </c>
      <c r="R12" s="33" t="s">
        <v>57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45593.0</v>
      </c>
      <c r="C13" s="30" t="s">
        <v>1397</v>
      </c>
      <c r="D13" s="31">
        <v>84036.0</v>
      </c>
      <c r="E13" s="32" t="s">
        <v>1398</v>
      </c>
      <c r="F13" s="22"/>
      <c r="G13" s="22"/>
      <c r="H13" s="22"/>
      <c r="I13" s="21">
        <v>2700.0</v>
      </c>
      <c r="J13" s="21"/>
      <c r="K13" s="22"/>
      <c r="L13" s="22"/>
      <c r="M13" s="21"/>
      <c r="N13" s="22"/>
      <c r="O13" s="22"/>
      <c r="P13" s="33">
        <v>2700.0</v>
      </c>
      <c r="Q13" s="25">
        <v>0.0</v>
      </c>
      <c r="R13" s="33" t="s">
        <v>57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45593.0</v>
      </c>
      <c r="C14" s="30" t="s">
        <v>1399</v>
      </c>
      <c r="D14" s="31">
        <v>85169.0</v>
      </c>
      <c r="E14" s="32" t="s">
        <v>1400</v>
      </c>
      <c r="F14" s="22"/>
      <c r="G14" s="22"/>
      <c r="H14" s="22"/>
      <c r="I14" s="21">
        <v>300.0</v>
      </c>
      <c r="J14" s="21"/>
      <c r="K14" s="22"/>
      <c r="L14" s="22"/>
      <c r="M14" s="21"/>
      <c r="N14" s="22"/>
      <c r="O14" s="22"/>
      <c r="P14" s="33">
        <v>300.0</v>
      </c>
      <c r="Q14" s="25">
        <v>0.0</v>
      </c>
      <c r="R14" s="33" t="s">
        <v>57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45593.0</v>
      </c>
      <c r="C15" s="30" t="s">
        <v>1401</v>
      </c>
      <c r="D15" s="31">
        <v>57499.0</v>
      </c>
      <c r="E15" s="32" t="s">
        <v>1389</v>
      </c>
      <c r="F15" s="22"/>
      <c r="G15" s="22"/>
      <c r="H15" s="22"/>
      <c r="I15" s="21">
        <v>200.0</v>
      </c>
      <c r="J15" s="21"/>
      <c r="K15" s="22"/>
      <c r="L15" s="22"/>
      <c r="M15" s="21"/>
      <c r="N15" s="22"/>
      <c r="O15" s="22"/>
      <c r="P15" s="33">
        <v>200.0</v>
      </c>
      <c r="Q15" s="25">
        <v>0.0</v>
      </c>
      <c r="R15" s="33" t="s">
        <v>57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45593.0</v>
      </c>
      <c r="C16" s="30" t="s">
        <v>1402</v>
      </c>
      <c r="D16" s="31">
        <v>85168.0</v>
      </c>
      <c r="E16" s="32" t="s">
        <v>1403</v>
      </c>
      <c r="F16" s="22"/>
      <c r="G16" s="22"/>
      <c r="H16" s="22"/>
      <c r="I16" s="21">
        <v>7300.0</v>
      </c>
      <c r="J16" s="21"/>
      <c r="K16" s="22"/>
      <c r="L16" s="22"/>
      <c r="M16" s="21"/>
      <c r="N16" s="22"/>
      <c r="O16" s="22"/>
      <c r="P16" s="33">
        <v>7300.0</v>
      </c>
      <c r="Q16" s="25">
        <v>0.0</v>
      </c>
      <c r="R16" s="33" t="s">
        <v>35</v>
      </c>
      <c r="S16" s="2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45593.0</v>
      </c>
      <c r="C17" s="30" t="s">
        <v>1404</v>
      </c>
      <c r="D17" s="31">
        <v>85127.0</v>
      </c>
      <c r="E17" s="32" t="s">
        <v>1405</v>
      </c>
      <c r="F17" s="22"/>
      <c r="G17" s="22"/>
      <c r="H17" s="22"/>
      <c r="I17" s="21"/>
      <c r="J17" s="21">
        <v>1150.0</v>
      </c>
      <c r="K17" s="22"/>
      <c r="L17" s="22"/>
      <c r="M17" s="21"/>
      <c r="N17" s="22"/>
      <c r="O17" s="22"/>
      <c r="P17" s="33">
        <v>1150.0</v>
      </c>
      <c r="Q17" s="25">
        <v>0.0</v>
      </c>
      <c r="R17" s="33" t="s">
        <v>35</v>
      </c>
      <c r="S17" s="2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45593.0</v>
      </c>
      <c r="C18" s="30" t="s">
        <v>1406</v>
      </c>
      <c r="D18" s="31">
        <v>22332.0</v>
      </c>
      <c r="E18" s="32" t="s">
        <v>210</v>
      </c>
      <c r="F18" s="22"/>
      <c r="G18" s="22"/>
      <c r="H18" s="22"/>
      <c r="I18" s="21">
        <v>2750.0</v>
      </c>
      <c r="J18" s="21"/>
      <c r="K18" s="22">
        <v>1000.0</v>
      </c>
      <c r="L18" s="22"/>
      <c r="M18" s="21"/>
      <c r="N18" s="22"/>
      <c r="O18" s="22"/>
      <c r="P18" s="33">
        <v>3750.0</v>
      </c>
      <c r="Q18" s="25">
        <v>0.0</v>
      </c>
      <c r="R18" s="33" t="s">
        <v>28</v>
      </c>
      <c r="S18" s="2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45593.0</v>
      </c>
      <c r="C19" s="30" t="s">
        <v>1407</v>
      </c>
      <c r="D19" s="31">
        <v>24609.0</v>
      </c>
      <c r="E19" s="32" t="s">
        <v>1408</v>
      </c>
      <c r="F19" s="22"/>
      <c r="G19" s="22"/>
      <c r="H19" s="22"/>
      <c r="I19" s="21">
        <v>600.0</v>
      </c>
      <c r="J19" s="21"/>
      <c r="K19" s="22"/>
      <c r="L19" s="22"/>
      <c r="M19" s="21"/>
      <c r="N19" s="22"/>
      <c r="O19" s="22"/>
      <c r="P19" s="33">
        <v>600.0</v>
      </c>
      <c r="Q19" s="25">
        <v>0.0</v>
      </c>
      <c r="R19" s="33" t="s">
        <v>57</v>
      </c>
      <c r="S19" s="2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45593.0</v>
      </c>
      <c r="C20" s="30" t="s">
        <v>1409</v>
      </c>
      <c r="D20" s="31">
        <v>54503.0</v>
      </c>
      <c r="E20" s="32" t="s">
        <v>1410</v>
      </c>
      <c r="F20" s="22"/>
      <c r="G20" s="22"/>
      <c r="H20" s="22"/>
      <c r="I20" s="21"/>
      <c r="J20" s="21">
        <v>5150.0</v>
      </c>
      <c r="K20" s="22"/>
      <c r="L20" s="22"/>
      <c r="M20" s="21"/>
      <c r="N20" s="22"/>
      <c r="O20" s="22"/>
      <c r="P20" s="33">
        <v>5150.0</v>
      </c>
      <c r="Q20" s="25">
        <v>0.0</v>
      </c>
      <c r="R20" s="33" t="s">
        <v>28</v>
      </c>
      <c r="S20" s="2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45593.0</v>
      </c>
      <c r="C21" s="30" t="s">
        <v>1411</v>
      </c>
      <c r="D21" s="31">
        <v>58818.0</v>
      </c>
      <c r="E21" s="32" t="s">
        <v>1412</v>
      </c>
      <c r="F21" s="22"/>
      <c r="G21" s="22"/>
      <c r="H21" s="22"/>
      <c r="I21" s="21">
        <v>4500.0</v>
      </c>
      <c r="J21" s="21"/>
      <c r="K21" s="22"/>
      <c r="L21" s="22"/>
      <c r="M21" s="21"/>
      <c r="N21" s="22"/>
      <c r="O21" s="22"/>
      <c r="P21" s="33">
        <v>4500.0</v>
      </c>
      <c r="Q21" s="25">
        <v>0.0</v>
      </c>
      <c r="R21" s="33" t="s">
        <v>35</v>
      </c>
      <c r="S21" s="2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9">
        <v>45593.0</v>
      </c>
      <c r="C22" s="30" t="s">
        <v>1413</v>
      </c>
      <c r="D22" s="31">
        <v>85067.0</v>
      </c>
      <c r="E22" s="32" t="s">
        <v>1414</v>
      </c>
      <c r="F22" s="22"/>
      <c r="G22" s="22"/>
      <c r="H22" s="22"/>
      <c r="I22" s="21">
        <v>16000.0</v>
      </c>
      <c r="J22" s="21"/>
      <c r="K22" s="22"/>
      <c r="L22" s="22"/>
      <c r="M22" s="21"/>
      <c r="N22" s="22"/>
      <c r="O22" s="22"/>
      <c r="P22" s="33">
        <v>16000.0</v>
      </c>
      <c r="Q22" s="25">
        <v>0.0</v>
      </c>
      <c r="R22" s="33" t="s">
        <v>35</v>
      </c>
      <c r="S22" s="2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ht="34.5" customHeight="1">
      <c r="A23" s="16">
        <v>19.0</v>
      </c>
      <c r="B23" s="29">
        <v>45593.0</v>
      </c>
      <c r="C23" s="30" t="s">
        <v>1415</v>
      </c>
      <c r="D23" s="31">
        <v>77864.0</v>
      </c>
      <c r="E23" s="32" t="s">
        <v>1175</v>
      </c>
      <c r="F23" s="22"/>
      <c r="G23" s="22"/>
      <c r="H23" s="22"/>
      <c r="I23" s="21"/>
      <c r="J23" s="21">
        <v>10000.0</v>
      </c>
      <c r="K23" s="22"/>
      <c r="L23" s="22"/>
      <c r="M23" s="21"/>
      <c r="N23" s="22"/>
      <c r="O23" s="22"/>
      <c r="P23" s="33">
        <v>10000.0</v>
      </c>
      <c r="Q23" s="25">
        <v>0.0</v>
      </c>
      <c r="R23" s="33" t="s">
        <v>28</v>
      </c>
      <c r="S23" s="2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ht="34.5" customHeight="1">
      <c r="A24" s="16">
        <v>20.0</v>
      </c>
      <c r="B24" s="29">
        <v>45593.0</v>
      </c>
      <c r="C24" s="30" t="s">
        <v>1416</v>
      </c>
      <c r="D24" s="31">
        <v>44113.0</v>
      </c>
      <c r="E24" s="32" t="s">
        <v>1417</v>
      </c>
      <c r="F24" s="22"/>
      <c r="G24" s="22"/>
      <c r="H24" s="22"/>
      <c r="I24" s="21">
        <v>5150.0</v>
      </c>
      <c r="J24" s="21"/>
      <c r="K24" s="22"/>
      <c r="L24" s="22"/>
      <c r="M24" s="21"/>
      <c r="N24" s="22"/>
      <c r="O24" s="22"/>
      <c r="P24" s="33">
        <v>5150.0</v>
      </c>
      <c r="Q24" s="25">
        <v>0.0</v>
      </c>
      <c r="R24" s="33" t="s">
        <v>28</v>
      </c>
      <c r="S24" s="2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ht="34.5" customHeight="1">
      <c r="A25" s="16">
        <v>21.0</v>
      </c>
      <c r="B25" s="29">
        <v>45592.0</v>
      </c>
      <c r="C25" s="30" t="s">
        <v>1418</v>
      </c>
      <c r="D25" s="31">
        <v>51017.0</v>
      </c>
      <c r="E25" s="32" t="s">
        <v>165</v>
      </c>
      <c r="F25" s="22"/>
      <c r="G25" s="22"/>
      <c r="H25" s="22">
        <v>10000.0</v>
      </c>
      <c r="I25" s="21"/>
      <c r="J25" s="21"/>
      <c r="K25" s="22"/>
      <c r="L25" s="22"/>
      <c r="M25" s="21"/>
      <c r="N25" s="22"/>
      <c r="O25" s="22"/>
      <c r="P25" s="33">
        <v>10000.0</v>
      </c>
      <c r="Q25" s="25">
        <v>0.0</v>
      </c>
      <c r="R25" s="33"/>
      <c r="S25" s="2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ht="34.5" customHeight="1">
      <c r="A26" s="16">
        <v>22.0</v>
      </c>
      <c r="B26" s="29">
        <v>45592.0</v>
      </c>
      <c r="C26" s="30" t="s">
        <v>1419</v>
      </c>
      <c r="D26" s="31">
        <v>10281.0</v>
      </c>
      <c r="E26" s="32" t="s">
        <v>1420</v>
      </c>
      <c r="F26" s="22"/>
      <c r="G26" s="22"/>
      <c r="H26" s="22">
        <v>4500.0</v>
      </c>
      <c r="I26" s="21"/>
      <c r="J26" s="21"/>
      <c r="K26" s="22"/>
      <c r="L26" s="22"/>
      <c r="M26" s="21"/>
      <c r="N26" s="22"/>
      <c r="O26" s="22"/>
      <c r="P26" s="33">
        <v>4500.0</v>
      </c>
      <c r="Q26" s="25">
        <v>0.0</v>
      </c>
      <c r="R26" s="33"/>
      <c r="S26" s="2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45593.0</v>
      </c>
      <c r="C27" s="30" t="s">
        <v>1421</v>
      </c>
      <c r="D27" s="31">
        <v>43380.0</v>
      </c>
      <c r="E27" s="32" t="s">
        <v>156</v>
      </c>
      <c r="F27" s="22"/>
      <c r="G27" s="22"/>
      <c r="H27" s="22">
        <v>2400.0</v>
      </c>
      <c r="I27" s="21"/>
      <c r="J27" s="21"/>
      <c r="K27" s="22"/>
      <c r="L27" s="22"/>
      <c r="M27" s="21"/>
      <c r="N27" s="22"/>
      <c r="O27" s="22"/>
      <c r="P27" s="33">
        <v>2400.0</v>
      </c>
      <c r="Q27" s="25">
        <v>0.0</v>
      </c>
      <c r="R27" s="33"/>
      <c r="S27" s="2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45593.0</v>
      </c>
      <c r="C28" s="30" t="s">
        <v>1422</v>
      </c>
      <c r="D28" s="31">
        <v>72839.0</v>
      </c>
      <c r="E28" s="32" t="s">
        <v>1285</v>
      </c>
      <c r="F28" s="22"/>
      <c r="G28" s="22"/>
      <c r="H28" s="22">
        <v>20000.0</v>
      </c>
      <c r="I28" s="21"/>
      <c r="J28" s="21"/>
      <c r="K28" s="22"/>
      <c r="L28" s="22"/>
      <c r="M28" s="21"/>
      <c r="N28" s="22"/>
      <c r="O28" s="22"/>
      <c r="P28" s="33">
        <v>20000.0</v>
      </c>
      <c r="Q28" s="25">
        <v>0.0</v>
      </c>
      <c r="R28" s="33"/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7.5" customHeight="1">
      <c r="A29" s="16"/>
      <c r="B29" s="27"/>
      <c r="C29" s="18"/>
      <c r="D29" s="19" t="s">
        <v>190</v>
      </c>
      <c r="E29" s="20"/>
      <c r="F29" s="45">
        <f t="shared" ref="F29:P29" si="1">SUM(F5:F28)</f>
        <v>0</v>
      </c>
      <c r="G29" s="45">
        <f t="shared" si="1"/>
        <v>0</v>
      </c>
      <c r="H29" s="45">
        <f t="shared" si="1"/>
        <v>42297</v>
      </c>
      <c r="I29" s="45">
        <f t="shared" si="1"/>
        <v>63850</v>
      </c>
      <c r="J29" s="45">
        <f t="shared" si="1"/>
        <v>28450</v>
      </c>
      <c r="K29" s="45">
        <f t="shared" si="1"/>
        <v>1000</v>
      </c>
      <c r="L29" s="45">
        <f t="shared" si="1"/>
        <v>0</v>
      </c>
      <c r="M29" s="45">
        <f t="shared" si="1"/>
        <v>0</v>
      </c>
      <c r="N29" s="45">
        <f t="shared" si="1"/>
        <v>0</v>
      </c>
      <c r="O29" s="45">
        <f t="shared" si="1"/>
        <v>0</v>
      </c>
      <c r="P29" s="45">
        <f t="shared" si="1"/>
        <v>135597</v>
      </c>
      <c r="Q29" s="46">
        <f>SUM(Q5:Q15)</f>
        <v>0</v>
      </c>
      <c r="R29" s="47"/>
      <c r="S29" s="47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58.5" customHeight="1">
      <c r="A30" s="48"/>
      <c r="B30" s="48"/>
      <c r="C30" s="49"/>
      <c r="D30" s="48"/>
      <c r="E30" s="48"/>
      <c r="F30" s="50">
        <f>F29+G29+H29+I29+J29+K29+L29+M29+N29+O29</f>
        <v>135597</v>
      </c>
      <c r="P30" s="51"/>
      <c r="Q30" s="51"/>
      <c r="R30" s="48"/>
      <c r="S30" s="48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15.7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3" t="s">
        <v>190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4" t="s">
        <v>191</v>
      </c>
      <c r="F34" s="60" t="s">
        <v>540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193</v>
      </c>
      <c r="F35" s="60" t="s">
        <v>540</v>
      </c>
      <c r="G35" s="4"/>
      <c r="H35" s="4"/>
      <c r="I35" s="4"/>
      <c r="J35" s="4"/>
      <c r="K35" s="4"/>
      <c r="L35" s="4"/>
      <c r="M35" s="4"/>
      <c r="N35" s="4"/>
      <c r="O35" s="57" t="s">
        <v>190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195</v>
      </c>
      <c r="F36" s="60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197</v>
      </c>
      <c r="F37" s="60" t="s">
        <v>196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198</v>
      </c>
      <c r="F38" s="60" t="s">
        <v>540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1423</v>
      </c>
      <c r="F39" s="60" t="s">
        <v>196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201</v>
      </c>
      <c r="F40" s="61" t="s">
        <v>622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203</v>
      </c>
      <c r="F41" s="58" t="s">
        <v>204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7" t="s">
        <v>190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 t="str">
        <f>I72429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57" t="s">
        <v>205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 t="s">
        <v>190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>
        <v>7.0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7">
    <mergeCell ref="R2:R4"/>
    <mergeCell ref="S2:S4"/>
    <mergeCell ref="F3:F4"/>
    <mergeCell ref="G3:H3"/>
    <mergeCell ref="I3:J3"/>
    <mergeCell ref="K3:K4"/>
    <mergeCell ref="F30:O3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16.0"/>
    <col customWidth="1" min="3" max="3" width="33.5"/>
    <col customWidth="1" min="4" max="4" width="11.25"/>
    <col customWidth="1" min="5" max="5" width="73.3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5.25" customHeight="1">
      <c r="A2" s="89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1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0" t="s">
        <v>7</v>
      </c>
      <c r="S2" s="90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92" t="s">
        <v>9</v>
      </c>
      <c r="G3" s="91" t="s">
        <v>10</v>
      </c>
      <c r="H3" s="9"/>
      <c r="I3" s="91" t="s">
        <v>11</v>
      </c>
      <c r="J3" s="9"/>
      <c r="K3" s="90" t="s">
        <v>12</v>
      </c>
      <c r="L3" s="93"/>
      <c r="M3" s="93"/>
      <c r="N3" s="93"/>
      <c r="O3" s="90" t="s">
        <v>13</v>
      </c>
      <c r="P3" s="90" t="s">
        <v>14</v>
      </c>
      <c r="Q3" s="90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94" t="s">
        <v>16</v>
      </c>
      <c r="H4" s="94" t="s">
        <v>17</v>
      </c>
      <c r="I4" s="94" t="s">
        <v>18</v>
      </c>
      <c r="J4" s="94" t="s">
        <v>19</v>
      </c>
      <c r="K4" s="9"/>
      <c r="L4" s="94" t="s">
        <v>20</v>
      </c>
      <c r="M4" s="94" t="s">
        <v>21</v>
      </c>
      <c r="N4" s="94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45593.0</v>
      </c>
      <c r="C5" s="18" t="s">
        <v>1425</v>
      </c>
      <c r="D5" s="19">
        <v>83606.0</v>
      </c>
      <c r="E5" s="20" t="s">
        <v>1426</v>
      </c>
      <c r="F5" s="21"/>
      <c r="G5" s="22"/>
      <c r="H5" s="22"/>
      <c r="I5" s="21">
        <v>1550.0</v>
      </c>
      <c r="J5" s="22"/>
      <c r="K5" s="22"/>
      <c r="L5" s="22"/>
      <c r="M5" s="21"/>
      <c r="N5" s="22"/>
      <c r="O5" s="22"/>
      <c r="P5" s="24">
        <v>1550.0</v>
      </c>
      <c r="Q5" s="25">
        <f t="shared" ref="Q5:Q28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45593.0</v>
      </c>
      <c r="C6" s="18" t="s">
        <v>1427</v>
      </c>
      <c r="D6" s="19">
        <v>50739.0</v>
      </c>
      <c r="E6" s="20" t="s">
        <v>513</v>
      </c>
      <c r="F6" s="22"/>
      <c r="G6" s="22"/>
      <c r="H6" s="21"/>
      <c r="I6" s="21">
        <v>900.0</v>
      </c>
      <c r="J6" s="23"/>
      <c r="K6" s="22"/>
      <c r="L6" s="22"/>
      <c r="M6" s="22"/>
      <c r="N6" s="22"/>
      <c r="O6" s="22"/>
      <c r="P6" s="24">
        <v>900.0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45594.0</v>
      </c>
      <c r="C7" s="18" t="s">
        <v>1428</v>
      </c>
      <c r="D7" s="19">
        <v>29621.0</v>
      </c>
      <c r="E7" s="20" t="s">
        <v>96</v>
      </c>
      <c r="F7" s="22"/>
      <c r="G7" s="22"/>
      <c r="H7" s="22"/>
      <c r="I7" s="21">
        <v>15000.0</v>
      </c>
      <c r="J7" s="21"/>
      <c r="K7" s="22"/>
      <c r="L7" s="22"/>
      <c r="M7" s="21"/>
      <c r="N7" s="22"/>
      <c r="O7" s="22"/>
      <c r="P7" s="24">
        <v>15000.0</v>
      </c>
      <c r="Q7" s="25">
        <f t="shared" si="1"/>
        <v>0</v>
      </c>
      <c r="R7" s="24" t="s">
        <v>28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45594.0</v>
      </c>
      <c r="C8" s="18" t="s">
        <v>1429</v>
      </c>
      <c r="D8" s="19">
        <v>44149.0</v>
      </c>
      <c r="E8" s="20" t="s">
        <v>74</v>
      </c>
      <c r="F8" s="22"/>
      <c r="G8" s="22"/>
      <c r="H8" s="22"/>
      <c r="I8" s="21">
        <v>2500.0</v>
      </c>
      <c r="J8" s="21"/>
      <c r="K8" s="22"/>
      <c r="L8" s="22"/>
      <c r="M8" s="21"/>
      <c r="N8" s="22"/>
      <c r="O8" s="22"/>
      <c r="P8" s="24">
        <v>2500.0</v>
      </c>
      <c r="Q8" s="25">
        <f t="shared" si="1"/>
        <v>0</v>
      </c>
      <c r="R8" s="24" t="s">
        <v>48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45594.0</v>
      </c>
      <c r="C9" s="30" t="s">
        <v>1430</v>
      </c>
      <c r="D9" s="31">
        <v>74087.0</v>
      </c>
      <c r="E9" s="32" t="s">
        <v>126</v>
      </c>
      <c r="F9" s="22"/>
      <c r="G9" s="22"/>
      <c r="H9" s="22"/>
      <c r="I9" s="21"/>
      <c r="J9" s="21">
        <v>15300.0</v>
      </c>
      <c r="K9" s="22"/>
      <c r="L9" s="22"/>
      <c r="M9" s="21"/>
      <c r="N9" s="22"/>
      <c r="O9" s="22"/>
      <c r="P9" s="33">
        <v>15300.0</v>
      </c>
      <c r="Q9" s="25">
        <f t="shared" si="1"/>
        <v>0</v>
      </c>
      <c r="R9" s="33" t="s">
        <v>28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45594.0</v>
      </c>
      <c r="C10" s="30" t="s">
        <v>1431</v>
      </c>
      <c r="D10" s="31">
        <v>21818.0</v>
      </c>
      <c r="E10" s="32" t="s">
        <v>237</v>
      </c>
      <c r="F10" s="22"/>
      <c r="G10" s="22"/>
      <c r="H10" s="22"/>
      <c r="I10" s="21"/>
      <c r="J10" s="21"/>
      <c r="K10" s="22">
        <v>1450.0</v>
      </c>
      <c r="L10" s="22"/>
      <c r="M10" s="21"/>
      <c r="N10" s="22"/>
      <c r="O10" s="22"/>
      <c r="P10" s="33">
        <v>1450.0</v>
      </c>
      <c r="Q10" s="25">
        <f t="shared" si="1"/>
        <v>0</v>
      </c>
      <c r="R10" s="33" t="s">
        <v>25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45594.0</v>
      </c>
      <c r="C11" s="30" t="s">
        <v>1432</v>
      </c>
      <c r="D11" s="31">
        <v>55446.0</v>
      </c>
      <c r="E11" s="32" t="s">
        <v>226</v>
      </c>
      <c r="F11" s="22"/>
      <c r="G11" s="22">
        <v>4500.0</v>
      </c>
      <c r="H11" s="22"/>
      <c r="I11" s="21"/>
      <c r="J11" s="21"/>
      <c r="K11" s="22"/>
      <c r="L11" s="22"/>
      <c r="M11" s="21"/>
      <c r="N11" s="22"/>
      <c r="O11" s="22"/>
      <c r="P11" s="33">
        <v>4500.0</v>
      </c>
      <c r="Q11" s="25">
        <f t="shared" si="1"/>
        <v>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45594.0</v>
      </c>
      <c r="C12" s="30" t="s">
        <v>1433</v>
      </c>
      <c r="D12" s="31">
        <v>10881.0</v>
      </c>
      <c r="E12" s="32" t="s">
        <v>1434</v>
      </c>
      <c r="F12" s="22">
        <v>4500.0</v>
      </c>
      <c r="G12" s="22"/>
      <c r="H12" s="22"/>
      <c r="I12" s="21"/>
      <c r="J12" s="21"/>
      <c r="K12" s="22"/>
      <c r="L12" s="22"/>
      <c r="M12" s="21"/>
      <c r="N12" s="22"/>
      <c r="O12" s="22"/>
      <c r="P12" s="33">
        <v>4500.0</v>
      </c>
      <c r="Q12" s="25">
        <f t="shared" si="1"/>
        <v>0</v>
      </c>
      <c r="R12" s="33" t="s">
        <v>28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45594.0</v>
      </c>
      <c r="C13" s="30" t="s">
        <v>1435</v>
      </c>
      <c r="D13" s="31">
        <v>71126.0</v>
      </c>
      <c r="E13" s="32" t="s">
        <v>1132</v>
      </c>
      <c r="F13" s="22"/>
      <c r="G13" s="22"/>
      <c r="H13" s="22"/>
      <c r="I13" s="21"/>
      <c r="J13" s="21"/>
      <c r="K13" s="22">
        <v>300.0</v>
      </c>
      <c r="L13" s="22"/>
      <c r="M13" s="21"/>
      <c r="N13" s="22"/>
      <c r="O13" s="22"/>
      <c r="P13" s="33">
        <v>300.0</v>
      </c>
      <c r="Q13" s="25">
        <f t="shared" si="1"/>
        <v>0</v>
      </c>
      <c r="R13" s="33" t="s">
        <v>35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45594.0</v>
      </c>
      <c r="C14" s="30" t="s">
        <v>1436</v>
      </c>
      <c r="D14" s="31">
        <v>35227.0</v>
      </c>
      <c r="E14" s="32" t="s">
        <v>224</v>
      </c>
      <c r="F14" s="22"/>
      <c r="G14" s="22"/>
      <c r="H14" s="22"/>
      <c r="I14" s="21">
        <v>4500.0</v>
      </c>
      <c r="J14" s="21"/>
      <c r="K14" s="22"/>
      <c r="L14" s="22"/>
      <c r="M14" s="21"/>
      <c r="N14" s="22"/>
      <c r="O14" s="22"/>
      <c r="P14" s="33">
        <v>4500.0</v>
      </c>
      <c r="Q14" s="25">
        <f t="shared" si="1"/>
        <v>0</v>
      </c>
      <c r="R14" s="33" t="s">
        <v>25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45594.0</v>
      </c>
      <c r="C15" s="30" t="s">
        <v>1437</v>
      </c>
      <c r="D15" s="31">
        <v>50596.0</v>
      </c>
      <c r="E15" s="32" t="s">
        <v>41</v>
      </c>
      <c r="F15" s="22"/>
      <c r="G15" s="22"/>
      <c r="H15" s="22"/>
      <c r="I15" s="21">
        <v>2500.0</v>
      </c>
      <c r="J15" s="21"/>
      <c r="K15" s="22"/>
      <c r="L15" s="22"/>
      <c r="M15" s="21"/>
      <c r="N15" s="22"/>
      <c r="O15" s="22"/>
      <c r="P15" s="33">
        <v>2500.0</v>
      </c>
      <c r="Q15" s="25">
        <f t="shared" si="1"/>
        <v>0</v>
      </c>
      <c r="R15" s="33" t="s">
        <v>48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45594.0</v>
      </c>
      <c r="C16" s="30" t="s">
        <v>1438</v>
      </c>
      <c r="D16" s="31">
        <v>22332.0</v>
      </c>
      <c r="E16" s="32" t="s">
        <v>210</v>
      </c>
      <c r="F16" s="22"/>
      <c r="G16" s="22"/>
      <c r="H16" s="22"/>
      <c r="I16" s="21"/>
      <c r="J16" s="21"/>
      <c r="K16" s="22">
        <v>150.0</v>
      </c>
      <c r="L16" s="22"/>
      <c r="M16" s="21"/>
      <c r="N16" s="22"/>
      <c r="O16" s="22"/>
      <c r="P16" s="33">
        <v>150.0</v>
      </c>
      <c r="Q16" s="25">
        <f t="shared" si="1"/>
        <v>0</v>
      </c>
      <c r="R16" s="33" t="s">
        <v>25</v>
      </c>
      <c r="S16" s="2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45594.0</v>
      </c>
      <c r="C17" s="30" t="s">
        <v>1439</v>
      </c>
      <c r="D17" s="31">
        <v>53249.0</v>
      </c>
      <c r="E17" s="32" t="s">
        <v>88</v>
      </c>
      <c r="F17" s="22"/>
      <c r="G17" s="22"/>
      <c r="H17" s="22"/>
      <c r="I17" s="21"/>
      <c r="J17" s="21">
        <v>15200.0</v>
      </c>
      <c r="K17" s="22"/>
      <c r="L17" s="22"/>
      <c r="M17" s="21"/>
      <c r="N17" s="22"/>
      <c r="O17" s="22"/>
      <c r="P17" s="33">
        <v>15200.0</v>
      </c>
      <c r="Q17" s="25">
        <f t="shared" si="1"/>
        <v>0</v>
      </c>
      <c r="R17" s="33" t="s">
        <v>25</v>
      </c>
      <c r="S17" s="2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45594.0</v>
      </c>
      <c r="C18" s="30" t="s">
        <v>1440</v>
      </c>
      <c r="D18" s="31">
        <v>78096.0</v>
      </c>
      <c r="E18" s="32" t="s">
        <v>548</v>
      </c>
      <c r="F18" s="22"/>
      <c r="G18" s="22"/>
      <c r="H18" s="22"/>
      <c r="I18" s="21">
        <v>11200.0</v>
      </c>
      <c r="J18" s="21"/>
      <c r="K18" s="22"/>
      <c r="L18" s="22"/>
      <c r="M18" s="21"/>
      <c r="N18" s="22"/>
      <c r="O18" s="22"/>
      <c r="P18" s="33">
        <v>11200.0</v>
      </c>
      <c r="Q18" s="25">
        <f t="shared" si="1"/>
        <v>0</v>
      </c>
      <c r="R18" s="33" t="s">
        <v>28</v>
      </c>
      <c r="S18" s="2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45593.0</v>
      </c>
      <c r="C19" s="30" t="s">
        <v>1441</v>
      </c>
      <c r="D19" s="31">
        <v>51017.0</v>
      </c>
      <c r="E19" s="32" t="s">
        <v>165</v>
      </c>
      <c r="F19" s="22"/>
      <c r="G19" s="22"/>
      <c r="H19" s="22">
        <v>12100.0</v>
      </c>
      <c r="I19" s="21"/>
      <c r="J19" s="21"/>
      <c r="K19" s="22"/>
      <c r="L19" s="22"/>
      <c r="M19" s="21"/>
      <c r="N19" s="22"/>
      <c r="O19" s="22"/>
      <c r="P19" s="33">
        <v>12100.0</v>
      </c>
      <c r="Q19" s="25">
        <f t="shared" si="1"/>
        <v>0</v>
      </c>
      <c r="R19" s="33"/>
      <c r="S19" s="2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45594.0</v>
      </c>
      <c r="C20" s="30" t="s">
        <v>1442</v>
      </c>
      <c r="D20" s="31">
        <v>35245.0</v>
      </c>
      <c r="E20" s="32" t="s">
        <v>54</v>
      </c>
      <c r="F20" s="22"/>
      <c r="G20" s="22"/>
      <c r="H20" s="22">
        <v>15000.0</v>
      </c>
      <c r="I20" s="21"/>
      <c r="J20" s="21"/>
      <c r="K20" s="22"/>
      <c r="L20" s="22"/>
      <c r="M20" s="21"/>
      <c r="N20" s="22"/>
      <c r="O20" s="22"/>
      <c r="P20" s="33">
        <v>15000.0</v>
      </c>
      <c r="Q20" s="25">
        <f t="shared" si="1"/>
        <v>0</v>
      </c>
      <c r="R20" s="33"/>
      <c r="S20" s="2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45594.0</v>
      </c>
      <c r="C21" s="30" t="s">
        <v>1443</v>
      </c>
      <c r="D21" s="31">
        <v>54581.0</v>
      </c>
      <c r="E21" s="32" t="s">
        <v>833</v>
      </c>
      <c r="F21" s="22"/>
      <c r="G21" s="22"/>
      <c r="H21" s="22">
        <v>4500.0</v>
      </c>
      <c r="I21" s="21"/>
      <c r="J21" s="21"/>
      <c r="K21" s="22"/>
      <c r="L21" s="22"/>
      <c r="M21" s="21"/>
      <c r="N21" s="22"/>
      <c r="O21" s="22"/>
      <c r="P21" s="33">
        <v>4500.0</v>
      </c>
      <c r="Q21" s="25">
        <f t="shared" si="1"/>
        <v>0</v>
      </c>
      <c r="R21" s="33"/>
      <c r="S21" s="2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9">
        <v>45594.0</v>
      </c>
      <c r="C22" s="30" t="s">
        <v>1444</v>
      </c>
      <c r="D22" s="31">
        <v>54211.0</v>
      </c>
      <c r="E22" s="32" t="s">
        <v>640</v>
      </c>
      <c r="F22" s="22"/>
      <c r="G22" s="22"/>
      <c r="H22" s="22">
        <v>3750.0</v>
      </c>
      <c r="I22" s="21"/>
      <c r="J22" s="21"/>
      <c r="K22" s="22"/>
      <c r="L22" s="22"/>
      <c r="M22" s="21"/>
      <c r="N22" s="22"/>
      <c r="O22" s="22"/>
      <c r="P22" s="33">
        <v>3750.0</v>
      </c>
      <c r="Q22" s="25">
        <f t="shared" si="1"/>
        <v>0</v>
      </c>
      <c r="R22" s="33"/>
      <c r="S22" s="2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ht="34.5" customHeight="1">
      <c r="A23" s="16">
        <v>19.0</v>
      </c>
      <c r="B23" s="29">
        <v>45594.0</v>
      </c>
      <c r="C23" s="30" t="s">
        <v>1445</v>
      </c>
      <c r="D23" s="31">
        <v>54695.0</v>
      </c>
      <c r="E23" s="32" t="s">
        <v>1446</v>
      </c>
      <c r="F23" s="22"/>
      <c r="G23" s="22"/>
      <c r="H23" s="22">
        <v>4500.0</v>
      </c>
      <c r="I23" s="21"/>
      <c r="J23" s="21"/>
      <c r="K23" s="22"/>
      <c r="L23" s="22"/>
      <c r="M23" s="21"/>
      <c r="N23" s="22"/>
      <c r="O23" s="22"/>
      <c r="P23" s="33">
        <v>4500.0</v>
      </c>
      <c r="Q23" s="25">
        <f t="shared" si="1"/>
        <v>0</v>
      </c>
      <c r="R23" s="33"/>
      <c r="S23" s="2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ht="34.5" customHeight="1">
      <c r="A24" s="16">
        <v>20.0</v>
      </c>
      <c r="B24" s="29">
        <v>45594.0</v>
      </c>
      <c r="C24" s="30" t="s">
        <v>1447</v>
      </c>
      <c r="D24" s="31">
        <v>85178.0</v>
      </c>
      <c r="E24" s="32" t="s">
        <v>1448</v>
      </c>
      <c r="F24" s="22"/>
      <c r="G24" s="22"/>
      <c r="H24" s="22"/>
      <c r="I24" s="21"/>
      <c r="J24" s="21"/>
      <c r="K24" s="22"/>
      <c r="L24" s="22"/>
      <c r="M24" s="21">
        <v>300.0</v>
      </c>
      <c r="N24" s="22"/>
      <c r="O24" s="22"/>
      <c r="P24" s="33">
        <v>300.0</v>
      </c>
      <c r="Q24" s="25">
        <f t="shared" si="1"/>
        <v>0</v>
      </c>
      <c r="R24" s="33"/>
      <c r="S24" s="2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ht="34.5" customHeight="1">
      <c r="A25" s="16">
        <v>21.0</v>
      </c>
      <c r="B25" s="29">
        <v>45594.0</v>
      </c>
      <c r="C25" s="30" t="s">
        <v>1449</v>
      </c>
      <c r="D25" s="31">
        <v>85179.0</v>
      </c>
      <c r="E25" s="32" t="s">
        <v>1450</v>
      </c>
      <c r="F25" s="22"/>
      <c r="G25" s="22"/>
      <c r="H25" s="22"/>
      <c r="I25" s="21"/>
      <c r="J25" s="21"/>
      <c r="K25" s="22">
        <v>7000.0</v>
      </c>
      <c r="L25" s="22"/>
      <c r="M25" s="21"/>
      <c r="N25" s="22"/>
      <c r="O25" s="22"/>
      <c r="P25" s="33">
        <v>7000.0</v>
      </c>
      <c r="Q25" s="25">
        <f t="shared" si="1"/>
        <v>0</v>
      </c>
      <c r="R25" s="33"/>
      <c r="S25" s="2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ht="34.5" customHeight="1">
      <c r="A26" s="16">
        <v>22.0</v>
      </c>
      <c r="B26" s="29">
        <v>45594.0</v>
      </c>
      <c r="C26" s="30" t="s">
        <v>1451</v>
      </c>
      <c r="D26" s="31">
        <v>22464.0</v>
      </c>
      <c r="E26" s="32" t="s">
        <v>1452</v>
      </c>
      <c r="F26" s="22"/>
      <c r="G26" s="22"/>
      <c r="H26" s="22"/>
      <c r="I26" s="21"/>
      <c r="J26" s="21"/>
      <c r="K26" s="22">
        <v>4500.0</v>
      </c>
      <c r="L26" s="22"/>
      <c r="M26" s="21"/>
      <c r="N26" s="22"/>
      <c r="O26" s="22"/>
      <c r="P26" s="33">
        <v>4500.0</v>
      </c>
      <c r="Q26" s="25">
        <f t="shared" si="1"/>
        <v>0</v>
      </c>
      <c r="R26" s="33"/>
      <c r="S26" s="2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/>
      <c r="B27" s="29"/>
      <c r="C27" s="30"/>
      <c r="D27" s="31"/>
      <c r="E27" s="32"/>
      <c r="F27" s="22"/>
      <c r="G27" s="22"/>
      <c r="H27" s="22"/>
      <c r="I27" s="21"/>
      <c r="J27" s="21"/>
      <c r="K27" s="22"/>
      <c r="L27" s="22"/>
      <c r="M27" s="21"/>
      <c r="N27" s="22"/>
      <c r="O27" s="22"/>
      <c r="P27" s="33"/>
      <c r="Q27" s="25">
        <f t="shared" si="1"/>
        <v>0</v>
      </c>
      <c r="R27" s="33"/>
      <c r="S27" s="2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/>
      <c r="B28" s="29"/>
      <c r="C28" s="30"/>
      <c r="D28" s="31"/>
      <c r="E28" s="32"/>
      <c r="F28" s="22"/>
      <c r="G28" s="22"/>
      <c r="H28" s="22"/>
      <c r="I28" s="21"/>
      <c r="J28" s="21"/>
      <c r="K28" s="22"/>
      <c r="L28" s="22"/>
      <c r="M28" s="21"/>
      <c r="N28" s="22"/>
      <c r="O28" s="22"/>
      <c r="P28" s="33"/>
      <c r="Q28" s="25">
        <f t="shared" si="1"/>
        <v>0</v>
      </c>
      <c r="R28" s="33"/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7.5" customHeight="1">
      <c r="A29" s="16"/>
      <c r="B29" s="27"/>
      <c r="C29" s="18"/>
      <c r="D29" s="19" t="s">
        <v>190</v>
      </c>
      <c r="E29" s="20"/>
      <c r="F29" s="45">
        <f t="shared" ref="F29:P29" si="2">SUM(F5:F28)</f>
        <v>4500</v>
      </c>
      <c r="G29" s="45">
        <f t="shared" si="2"/>
        <v>4500</v>
      </c>
      <c r="H29" s="45">
        <f t="shared" si="2"/>
        <v>39850</v>
      </c>
      <c r="I29" s="45">
        <f t="shared" si="2"/>
        <v>38150</v>
      </c>
      <c r="J29" s="45">
        <f t="shared" si="2"/>
        <v>30500</v>
      </c>
      <c r="K29" s="45">
        <f t="shared" si="2"/>
        <v>13400</v>
      </c>
      <c r="L29" s="45">
        <f t="shared" si="2"/>
        <v>0</v>
      </c>
      <c r="M29" s="45">
        <f t="shared" si="2"/>
        <v>300</v>
      </c>
      <c r="N29" s="45">
        <f t="shared" si="2"/>
        <v>0</v>
      </c>
      <c r="O29" s="45">
        <f t="shared" si="2"/>
        <v>0</v>
      </c>
      <c r="P29" s="45">
        <f t="shared" si="2"/>
        <v>131200</v>
      </c>
      <c r="Q29" s="46">
        <f>SUM(Q5:Q15)</f>
        <v>0</v>
      </c>
      <c r="R29" s="47"/>
      <c r="S29" s="47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58.5" customHeight="1">
      <c r="A30" s="48"/>
      <c r="B30" s="48"/>
      <c r="C30" s="49"/>
      <c r="D30" s="48"/>
      <c r="E30" s="48"/>
      <c r="F30" s="50">
        <f>F29+G29+H29+I29+J29+K29+L29+M29+N29+O29</f>
        <v>131200</v>
      </c>
      <c r="P30" s="51"/>
      <c r="Q30" s="51"/>
      <c r="R30" s="48"/>
      <c r="S30" s="48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15.75" customHeight="1">
      <c r="A31" s="4"/>
      <c r="B31" s="4"/>
      <c r="C31" s="5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3" t="s">
        <v>190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2"/>
      <c r="D34" s="4"/>
      <c r="E34" s="54" t="s">
        <v>191</v>
      </c>
      <c r="F34" s="60" t="s">
        <v>683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2"/>
      <c r="D35" s="4"/>
      <c r="E35" s="56" t="s">
        <v>193</v>
      </c>
      <c r="F35" s="60" t="s">
        <v>540</v>
      </c>
      <c r="G35" s="4"/>
      <c r="H35" s="4"/>
      <c r="I35" s="4"/>
      <c r="J35" s="4"/>
      <c r="K35" s="4"/>
      <c r="L35" s="4"/>
      <c r="M35" s="4"/>
      <c r="N35" s="4"/>
      <c r="O35" s="57" t="s">
        <v>190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2"/>
      <c r="D36" s="4"/>
      <c r="E36" s="56" t="s">
        <v>195</v>
      </c>
      <c r="F36" s="60" t="s">
        <v>196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56" t="s">
        <v>197</v>
      </c>
      <c r="F37" s="60" t="s">
        <v>196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2"/>
      <c r="D38" s="4"/>
      <c r="E38" s="56" t="s">
        <v>198</v>
      </c>
      <c r="F38" s="60" t="s">
        <v>540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6" t="s">
        <v>1453</v>
      </c>
      <c r="F39" s="60" t="s">
        <v>196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201</v>
      </c>
      <c r="F40" s="61" t="s">
        <v>1454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203</v>
      </c>
      <c r="F41" s="58" t="s">
        <v>204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7" t="s">
        <v>190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 t="str">
        <f>I72429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57" t="s">
        <v>205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 t="s">
        <v>190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>
        <v>7.0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7">
    <mergeCell ref="R2:R4"/>
    <mergeCell ref="S2:S4"/>
    <mergeCell ref="F3:F4"/>
    <mergeCell ref="G3:H3"/>
    <mergeCell ref="I3:J3"/>
    <mergeCell ref="K3:K4"/>
    <mergeCell ref="F30:O3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16.0"/>
    <col customWidth="1" min="3" max="3" width="33.5"/>
    <col customWidth="1" min="4" max="4" width="11.25"/>
    <col customWidth="1" min="5" max="5" width="73.3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1455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5.25" customHeight="1">
      <c r="A2" s="89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1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0" t="s">
        <v>7</v>
      </c>
      <c r="S2" s="90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92" t="s">
        <v>9</v>
      </c>
      <c r="G3" s="91" t="s">
        <v>10</v>
      </c>
      <c r="H3" s="9"/>
      <c r="I3" s="91" t="s">
        <v>11</v>
      </c>
      <c r="J3" s="9"/>
      <c r="K3" s="90" t="s">
        <v>12</v>
      </c>
      <c r="L3" s="93"/>
      <c r="M3" s="93"/>
      <c r="N3" s="93"/>
      <c r="O3" s="90" t="s">
        <v>13</v>
      </c>
      <c r="P3" s="90" t="s">
        <v>14</v>
      </c>
      <c r="Q3" s="90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94" t="s">
        <v>16</v>
      </c>
      <c r="H4" s="94" t="s">
        <v>17</v>
      </c>
      <c r="I4" s="94" t="s">
        <v>18</v>
      </c>
      <c r="J4" s="94" t="s">
        <v>19</v>
      </c>
      <c r="K4" s="9"/>
      <c r="L4" s="94" t="s">
        <v>20</v>
      </c>
      <c r="M4" s="94" t="s">
        <v>21</v>
      </c>
      <c r="N4" s="94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45595.0</v>
      </c>
      <c r="C5" s="18" t="s">
        <v>1456</v>
      </c>
      <c r="D5" s="19">
        <v>31738.0</v>
      </c>
      <c r="E5" s="20" t="s">
        <v>154</v>
      </c>
      <c r="F5" s="21"/>
      <c r="G5" s="22"/>
      <c r="H5" s="22"/>
      <c r="I5" s="21">
        <v>2400.0</v>
      </c>
      <c r="J5" s="22"/>
      <c r="K5" s="22"/>
      <c r="L5" s="22"/>
      <c r="M5" s="21"/>
      <c r="N5" s="22"/>
      <c r="O5" s="22"/>
      <c r="P5" s="24">
        <v>2400.0</v>
      </c>
      <c r="Q5" s="25">
        <f t="shared" ref="Q5:Q36" si="1">F5+G5+H5+I5+J5+K5+L5+M5+N5+O5-P5</f>
        <v>0</v>
      </c>
      <c r="R5" s="24" t="s">
        <v>57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45595.0</v>
      </c>
      <c r="C6" s="18" t="s">
        <v>1457</v>
      </c>
      <c r="D6" s="19">
        <v>21821.0</v>
      </c>
      <c r="E6" s="20" t="s">
        <v>114</v>
      </c>
      <c r="F6" s="22"/>
      <c r="G6" s="22"/>
      <c r="H6" s="21"/>
      <c r="I6" s="21"/>
      <c r="J6" s="23"/>
      <c r="K6" s="22">
        <v>25000.0</v>
      </c>
      <c r="L6" s="22"/>
      <c r="M6" s="22"/>
      <c r="N6" s="22"/>
      <c r="O6" s="22"/>
      <c r="P6" s="24">
        <v>25000.0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45595.0</v>
      </c>
      <c r="C7" s="18" t="s">
        <v>1458</v>
      </c>
      <c r="D7" s="19">
        <v>39803.0</v>
      </c>
      <c r="E7" s="20" t="s">
        <v>1459</v>
      </c>
      <c r="F7" s="22"/>
      <c r="G7" s="22"/>
      <c r="H7" s="22"/>
      <c r="I7" s="21">
        <v>2650.0</v>
      </c>
      <c r="J7" s="21"/>
      <c r="K7" s="22"/>
      <c r="L7" s="22"/>
      <c r="M7" s="21"/>
      <c r="N7" s="22"/>
      <c r="O7" s="22"/>
      <c r="P7" s="24">
        <v>2650.0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45595.0</v>
      </c>
      <c r="C8" s="18" t="s">
        <v>1460</v>
      </c>
      <c r="D8" s="19">
        <v>59812.0</v>
      </c>
      <c r="E8" s="20" t="s">
        <v>101</v>
      </c>
      <c r="F8" s="22"/>
      <c r="G8" s="22"/>
      <c r="H8" s="22"/>
      <c r="I8" s="21">
        <v>14000.0</v>
      </c>
      <c r="J8" s="21"/>
      <c r="K8" s="22"/>
      <c r="L8" s="22"/>
      <c r="M8" s="21"/>
      <c r="N8" s="22"/>
      <c r="O8" s="22"/>
      <c r="P8" s="24">
        <v>14000.0</v>
      </c>
      <c r="Q8" s="25">
        <f t="shared" si="1"/>
        <v>0</v>
      </c>
      <c r="R8" s="24" t="s">
        <v>48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45595.0</v>
      </c>
      <c r="C9" s="30" t="s">
        <v>1461</v>
      </c>
      <c r="D9" s="31">
        <v>50402.0</v>
      </c>
      <c r="E9" s="32" t="s">
        <v>1462</v>
      </c>
      <c r="F9" s="22"/>
      <c r="G9" s="22"/>
      <c r="H9" s="22"/>
      <c r="I9" s="21">
        <v>3200.0</v>
      </c>
      <c r="J9" s="21"/>
      <c r="K9" s="22"/>
      <c r="L9" s="22"/>
      <c r="M9" s="21"/>
      <c r="N9" s="22"/>
      <c r="O9" s="22"/>
      <c r="P9" s="33">
        <v>3200.0</v>
      </c>
      <c r="Q9" s="25">
        <f t="shared" si="1"/>
        <v>0</v>
      </c>
      <c r="R9" s="33" t="s">
        <v>57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45595.0</v>
      </c>
      <c r="C10" s="30" t="s">
        <v>1463</v>
      </c>
      <c r="D10" s="31">
        <v>84036.0</v>
      </c>
      <c r="E10" s="32" t="s">
        <v>1398</v>
      </c>
      <c r="F10" s="22"/>
      <c r="G10" s="22"/>
      <c r="H10" s="22"/>
      <c r="I10" s="21">
        <v>2500.0</v>
      </c>
      <c r="J10" s="21"/>
      <c r="K10" s="22"/>
      <c r="L10" s="22"/>
      <c r="M10" s="21"/>
      <c r="N10" s="22"/>
      <c r="O10" s="22"/>
      <c r="P10" s="33">
        <v>2500.0</v>
      </c>
      <c r="Q10" s="25">
        <f t="shared" si="1"/>
        <v>0</v>
      </c>
      <c r="R10" s="33" t="s">
        <v>57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45595.0</v>
      </c>
      <c r="C11" s="30" t="s">
        <v>1464</v>
      </c>
      <c r="D11" s="31">
        <v>48910.0</v>
      </c>
      <c r="E11" s="32" t="s">
        <v>1465</v>
      </c>
      <c r="F11" s="22"/>
      <c r="G11" s="22"/>
      <c r="H11" s="22"/>
      <c r="I11" s="21"/>
      <c r="J11" s="21">
        <v>10000.0</v>
      </c>
      <c r="K11" s="22"/>
      <c r="L11" s="22"/>
      <c r="M11" s="21"/>
      <c r="N11" s="22"/>
      <c r="O11" s="22"/>
      <c r="P11" s="33">
        <v>10000.0</v>
      </c>
      <c r="Q11" s="25">
        <f t="shared" si="1"/>
        <v>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45595.0</v>
      </c>
      <c r="C12" s="30" t="s">
        <v>1466</v>
      </c>
      <c r="D12" s="31">
        <v>29621.0</v>
      </c>
      <c r="E12" s="32" t="s">
        <v>96</v>
      </c>
      <c r="F12" s="22"/>
      <c r="G12" s="22"/>
      <c r="H12" s="22"/>
      <c r="I12" s="21"/>
      <c r="J12" s="21">
        <v>3750.0</v>
      </c>
      <c r="K12" s="22"/>
      <c r="L12" s="22"/>
      <c r="M12" s="21"/>
      <c r="N12" s="22"/>
      <c r="O12" s="22"/>
      <c r="P12" s="33">
        <v>3750.0</v>
      </c>
      <c r="Q12" s="25">
        <f t="shared" si="1"/>
        <v>0</v>
      </c>
      <c r="R12" s="33" t="s">
        <v>28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45595.0</v>
      </c>
      <c r="C13" s="30" t="s">
        <v>1467</v>
      </c>
      <c r="D13" s="31">
        <v>72839.0</v>
      </c>
      <c r="E13" s="32" t="s">
        <v>1285</v>
      </c>
      <c r="F13" s="22"/>
      <c r="G13" s="22"/>
      <c r="H13" s="22"/>
      <c r="I13" s="21">
        <v>400.0</v>
      </c>
      <c r="J13" s="21"/>
      <c r="K13" s="22">
        <v>4100.0</v>
      </c>
      <c r="L13" s="22"/>
      <c r="M13" s="21"/>
      <c r="N13" s="22"/>
      <c r="O13" s="22"/>
      <c r="P13" s="33">
        <v>4500.0</v>
      </c>
      <c r="Q13" s="25">
        <f t="shared" si="1"/>
        <v>0</v>
      </c>
      <c r="R13" s="33" t="s">
        <v>35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45595.0</v>
      </c>
      <c r="C14" s="30" t="s">
        <v>1468</v>
      </c>
      <c r="D14" s="31">
        <v>26040.0</v>
      </c>
      <c r="E14" s="32" t="s">
        <v>1469</v>
      </c>
      <c r="F14" s="22"/>
      <c r="G14" s="22"/>
      <c r="H14" s="22"/>
      <c r="I14" s="21"/>
      <c r="J14" s="21">
        <v>4650.0</v>
      </c>
      <c r="K14" s="22"/>
      <c r="L14" s="22"/>
      <c r="M14" s="21"/>
      <c r="N14" s="22"/>
      <c r="O14" s="22"/>
      <c r="P14" s="33">
        <v>4650.0</v>
      </c>
      <c r="Q14" s="25">
        <f t="shared" si="1"/>
        <v>0</v>
      </c>
      <c r="R14" s="33" t="s">
        <v>35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45595.0</v>
      </c>
      <c r="C15" s="30" t="s">
        <v>1470</v>
      </c>
      <c r="D15" s="31">
        <v>78726.0</v>
      </c>
      <c r="E15" s="32" t="s">
        <v>1471</v>
      </c>
      <c r="F15" s="22"/>
      <c r="G15" s="22"/>
      <c r="H15" s="22"/>
      <c r="I15" s="21">
        <v>5000.0</v>
      </c>
      <c r="J15" s="21"/>
      <c r="K15" s="22"/>
      <c r="L15" s="22"/>
      <c r="M15" s="21"/>
      <c r="N15" s="22"/>
      <c r="O15" s="22"/>
      <c r="P15" s="33">
        <v>5000.0</v>
      </c>
      <c r="Q15" s="25">
        <f t="shared" si="1"/>
        <v>0</v>
      </c>
      <c r="R15" s="33" t="s">
        <v>28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45595.0</v>
      </c>
      <c r="C16" s="30" t="s">
        <v>1472</v>
      </c>
      <c r="D16" s="31">
        <v>10288.0</v>
      </c>
      <c r="E16" s="32" t="s">
        <v>1473</v>
      </c>
      <c r="F16" s="22"/>
      <c r="G16" s="22"/>
      <c r="H16" s="22"/>
      <c r="I16" s="21">
        <v>900.0</v>
      </c>
      <c r="J16" s="21"/>
      <c r="K16" s="22">
        <v>2700.0</v>
      </c>
      <c r="L16" s="22"/>
      <c r="M16" s="21"/>
      <c r="N16" s="22"/>
      <c r="O16" s="22"/>
      <c r="P16" s="33">
        <v>3600.0</v>
      </c>
      <c r="Q16" s="25">
        <f t="shared" si="1"/>
        <v>0</v>
      </c>
      <c r="R16" s="33" t="s">
        <v>35</v>
      </c>
      <c r="S16" s="2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45595.0</v>
      </c>
      <c r="C17" s="30" t="s">
        <v>1474</v>
      </c>
      <c r="D17" s="31">
        <v>43134.0</v>
      </c>
      <c r="E17" s="32" t="s">
        <v>1475</v>
      </c>
      <c r="F17" s="22"/>
      <c r="G17" s="22"/>
      <c r="H17" s="22"/>
      <c r="I17" s="21">
        <v>10350.0</v>
      </c>
      <c r="J17" s="21"/>
      <c r="K17" s="22"/>
      <c r="L17" s="22"/>
      <c r="M17" s="21"/>
      <c r="N17" s="22"/>
      <c r="O17" s="22"/>
      <c r="P17" s="33">
        <v>10350.0</v>
      </c>
      <c r="Q17" s="25">
        <f t="shared" si="1"/>
        <v>0</v>
      </c>
      <c r="R17" s="33" t="s">
        <v>28</v>
      </c>
      <c r="S17" s="2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45595.0</v>
      </c>
      <c r="C18" s="30" t="s">
        <v>1476</v>
      </c>
      <c r="D18" s="31">
        <v>45227.0</v>
      </c>
      <c r="E18" s="32" t="s">
        <v>615</v>
      </c>
      <c r="F18" s="22"/>
      <c r="G18" s="22"/>
      <c r="H18" s="22"/>
      <c r="I18" s="21">
        <v>6750.0</v>
      </c>
      <c r="J18" s="21"/>
      <c r="K18" s="22"/>
      <c r="L18" s="22"/>
      <c r="M18" s="21"/>
      <c r="N18" s="22"/>
      <c r="O18" s="22"/>
      <c r="P18" s="33">
        <v>6750.0</v>
      </c>
      <c r="Q18" s="25">
        <f t="shared" si="1"/>
        <v>0</v>
      </c>
      <c r="R18" s="33" t="s">
        <v>57</v>
      </c>
      <c r="S18" s="2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45595.0</v>
      </c>
      <c r="C19" s="30" t="s">
        <v>1477</v>
      </c>
      <c r="D19" s="31">
        <v>35227.0</v>
      </c>
      <c r="E19" s="32" t="s">
        <v>224</v>
      </c>
      <c r="F19" s="22"/>
      <c r="G19" s="22"/>
      <c r="H19" s="22"/>
      <c r="I19" s="21">
        <v>5400.0</v>
      </c>
      <c r="J19" s="21"/>
      <c r="K19" s="22"/>
      <c r="L19" s="22"/>
      <c r="M19" s="21"/>
      <c r="N19" s="22"/>
      <c r="O19" s="22"/>
      <c r="P19" s="33">
        <v>5400.0</v>
      </c>
      <c r="Q19" s="25">
        <f t="shared" si="1"/>
        <v>0</v>
      </c>
      <c r="R19" s="33" t="s">
        <v>35</v>
      </c>
      <c r="S19" s="2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45595.0</v>
      </c>
      <c r="C20" s="30" t="s">
        <v>1478</v>
      </c>
      <c r="D20" s="31">
        <v>48910.0</v>
      </c>
      <c r="E20" s="32" t="s">
        <v>1465</v>
      </c>
      <c r="F20" s="22"/>
      <c r="G20" s="22"/>
      <c r="H20" s="22"/>
      <c r="I20" s="21"/>
      <c r="J20" s="21">
        <v>5050.0</v>
      </c>
      <c r="K20" s="22"/>
      <c r="L20" s="22"/>
      <c r="M20" s="21"/>
      <c r="N20" s="22"/>
      <c r="O20" s="22"/>
      <c r="P20" s="33">
        <v>5050.0</v>
      </c>
      <c r="Q20" s="25">
        <f t="shared" si="1"/>
        <v>0</v>
      </c>
      <c r="R20" s="33" t="s">
        <v>35</v>
      </c>
      <c r="S20" s="2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45595.0</v>
      </c>
      <c r="C21" s="30" t="s">
        <v>1479</v>
      </c>
      <c r="D21" s="31">
        <v>46778.0</v>
      </c>
      <c r="E21" s="32" t="s">
        <v>107</v>
      </c>
      <c r="F21" s="22"/>
      <c r="G21" s="22"/>
      <c r="H21" s="22"/>
      <c r="I21" s="21"/>
      <c r="J21" s="21">
        <v>4950.0</v>
      </c>
      <c r="K21" s="22"/>
      <c r="L21" s="22"/>
      <c r="M21" s="21"/>
      <c r="N21" s="22"/>
      <c r="O21" s="22"/>
      <c r="P21" s="33">
        <v>4950.0</v>
      </c>
      <c r="Q21" s="25">
        <f t="shared" si="1"/>
        <v>0</v>
      </c>
      <c r="R21" s="33" t="s">
        <v>57</v>
      </c>
      <c r="S21" s="2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9">
        <v>45595.0</v>
      </c>
      <c r="C22" s="30" t="s">
        <v>1480</v>
      </c>
      <c r="D22" s="31">
        <v>84114.0</v>
      </c>
      <c r="E22" s="32" t="s">
        <v>239</v>
      </c>
      <c r="F22" s="22"/>
      <c r="G22" s="22"/>
      <c r="H22" s="22"/>
      <c r="I22" s="21">
        <v>5150.0</v>
      </c>
      <c r="J22" s="21"/>
      <c r="K22" s="22"/>
      <c r="L22" s="22"/>
      <c r="M22" s="21"/>
      <c r="N22" s="22"/>
      <c r="O22" s="22"/>
      <c r="P22" s="33">
        <v>5150.0</v>
      </c>
      <c r="Q22" s="25">
        <f t="shared" si="1"/>
        <v>0</v>
      </c>
      <c r="R22" s="33" t="s">
        <v>28</v>
      </c>
      <c r="S22" s="2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ht="34.5" customHeight="1">
      <c r="A23" s="16">
        <v>19.0</v>
      </c>
      <c r="B23" s="29">
        <v>45595.0</v>
      </c>
      <c r="C23" s="30" t="s">
        <v>1481</v>
      </c>
      <c r="D23" s="31">
        <v>33065.0</v>
      </c>
      <c r="E23" s="32" t="s">
        <v>859</v>
      </c>
      <c r="F23" s="22"/>
      <c r="G23" s="22"/>
      <c r="H23" s="22"/>
      <c r="I23" s="21">
        <v>2650.0</v>
      </c>
      <c r="J23" s="21"/>
      <c r="K23" s="22"/>
      <c r="L23" s="22"/>
      <c r="M23" s="21"/>
      <c r="N23" s="22"/>
      <c r="O23" s="22"/>
      <c r="P23" s="33">
        <v>2650.0</v>
      </c>
      <c r="Q23" s="25">
        <f t="shared" si="1"/>
        <v>0</v>
      </c>
      <c r="R23" s="33" t="s">
        <v>28</v>
      </c>
      <c r="S23" s="2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ht="34.5" customHeight="1">
      <c r="A24" s="16">
        <v>20.0</v>
      </c>
      <c r="B24" s="29">
        <v>45595.0</v>
      </c>
      <c r="C24" s="30" t="s">
        <v>1482</v>
      </c>
      <c r="D24" s="31">
        <v>13781.0</v>
      </c>
      <c r="E24" s="32" t="s">
        <v>469</v>
      </c>
      <c r="F24" s="22"/>
      <c r="G24" s="22">
        <v>4500.0</v>
      </c>
      <c r="H24" s="22"/>
      <c r="I24" s="21"/>
      <c r="J24" s="21"/>
      <c r="K24" s="22"/>
      <c r="L24" s="22"/>
      <c r="M24" s="21"/>
      <c r="N24" s="22"/>
      <c r="O24" s="22"/>
      <c r="P24" s="33">
        <v>4500.0</v>
      </c>
      <c r="Q24" s="25">
        <f t="shared" si="1"/>
        <v>0</v>
      </c>
      <c r="R24" s="33" t="s">
        <v>28</v>
      </c>
      <c r="S24" s="2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ht="34.5" customHeight="1">
      <c r="A25" s="16">
        <v>21.0</v>
      </c>
      <c r="B25" s="29">
        <v>45595.0</v>
      </c>
      <c r="C25" s="30" t="s">
        <v>1483</v>
      </c>
      <c r="D25" s="31">
        <v>13781.0</v>
      </c>
      <c r="E25" s="32" t="s">
        <v>469</v>
      </c>
      <c r="F25" s="22"/>
      <c r="G25" s="22">
        <v>1400.0</v>
      </c>
      <c r="H25" s="22"/>
      <c r="I25" s="21"/>
      <c r="J25" s="21"/>
      <c r="K25" s="22"/>
      <c r="L25" s="22"/>
      <c r="M25" s="21"/>
      <c r="N25" s="22"/>
      <c r="O25" s="22"/>
      <c r="P25" s="33">
        <v>1400.0</v>
      </c>
      <c r="Q25" s="25">
        <f t="shared" si="1"/>
        <v>0</v>
      </c>
      <c r="R25" s="33" t="s">
        <v>28</v>
      </c>
      <c r="S25" s="2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ht="34.5" customHeight="1">
      <c r="A26" s="16">
        <v>22.0</v>
      </c>
      <c r="B26" s="29">
        <v>45595.0</v>
      </c>
      <c r="C26" s="30" t="s">
        <v>1484</v>
      </c>
      <c r="D26" s="31">
        <v>61445.0</v>
      </c>
      <c r="E26" s="32" t="s">
        <v>351</v>
      </c>
      <c r="F26" s="22"/>
      <c r="G26" s="22"/>
      <c r="H26" s="22"/>
      <c r="I26" s="21">
        <v>2400.0</v>
      </c>
      <c r="J26" s="21"/>
      <c r="K26" s="22"/>
      <c r="L26" s="22"/>
      <c r="M26" s="21"/>
      <c r="N26" s="22"/>
      <c r="O26" s="22"/>
      <c r="P26" s="33">
        <v>2400.0</v>
      </c>
      <c r="Q26" s="25">
        <f t="shared" si="1"/>
        <v>0</v>
      </c>
      <c r="R26" s="33" t="s">
        <v>35</v>
      </c>
      <c r="S26" s="2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45595.0</v>
      </c>
      <c r="C27" s="30" t="s">
        <v>1485</v>
      </c>
      <c r="D27" s="31">
        <v>54763.0</v>
      </c>
      <c r="E27" s="32" t="s">
        <v>284</v>
      </c>
      <c r="F27" s="22"/>
      <c r="G27" s="22"/>
      <c r="H27" s="22"/>
      <c r="I27" s="21"/>
      <c r="J27" s="21"/>
      <c r="K27" s="22"/>
      <c r="L27" s="22"/>
      <c r="M27" s="21">
        <v>5000.0</v>
      </c>
      <c r="N27" s="22"/>
      <c r="O27" s="22"/>
      <c r="P27" s="33">
        <v>5000.0</v>
      </c>
      <c r="Q27" s="25">
        <f t="shared" si="1"/>
        <v>0</v>
      </c>
      <c r="R27" s="33" t="s">
        <v>35</v>
      </c>
      <c r="S27" s="2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45595.0</v>
      </c>
      <c r="C28" s="30" t="s">
        <v>1486</v>
      </c>
      <c r="D28" s="31">
        <v>10701.0</v>
      </c>
      <c r="E28" s="32" t="s">
        <v>1487</v>
      </c>
      <c r="F28" s="22"/>
      <c r="G28" s="22"/>
      <c r="H28" s="22"/>
      <c r="I28" s="21">
        <v>3750.0</v>
      </c>
      <c r="J28" s="21"/>
      <c r="K28" s="22"/>
      <c r="L28" s="22"/>
      <c r="M28" s="21"/>
      <c r="N28" s="22"/>
      <c r="O28" s="22"/>
      <c r="P28" s="33">
        <v>3750.0</v>
      </c>
      <c r="Q28" s="25">
        <f t="shared" si="1"/>
        <v>0</v>
      </c>
      <c r="R28" s="33" t="s">
        <v>35</v>
      </c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4.5" customHeight="1">
      <c r="A29" s="16">
        <v>25.0</v>
      </c>
      <c r="B29" s="29">
        <v>45595.0</v>
      </c>
      <c r="C29" s="30" t="s">
        <v>1488</v>
      </c>
      <c r="D29" s="31">
        <v>35243.0</v>
      </c>
      <c r="E29" s="32" t="s">
        <v>1489</v>
      </c>
      <c r="F29" s="22"/>
      <c r="G29" s="22"/>
      <c r="H29" s="22"/>
      <c r="I29" s="21"/>
      <c r="J29" s="21">
        <v>290.0</v>
      </c>
      <c r="K29" s="22"/>
      <c r="L29" s="22"/>
      <c r="M29" s="21"/>
      <c r="N29" s="22"/>
      <c r="O29" s="22"/>
      <c r="P29" s="33">
        <v>290.0</v>
      </c>
      <c r="Q29" s="25">
        <f t="shared" si="1"/>
        <v>0</v>
      </c>
      <c r="R29" s="33" t="s">
        <v>35</v>
      </c>
      <c r="S29" s="2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34.5" customHeight="1">
      <c r="A30" s="16">
        <v>26.0</v>
      </c>
      <c r="B30" s="29">
        <v>45595.0</v>
      </c>
      <c r="C30" s="30" t="s">
        <v>1490</v>
      </c>
      <c r="D30" s="31">
        <v>28414.0</v>
      </c>
      <c r="E30" s="32" t="s">
        <v>454</v>
      </c>
      <c r="F30" s="22"/>
      <c r="G30" s="22"/>
      <c r="H30" s="22"/>
      <c r="I30" s="21">
        <v>2650.0</v>
      </c>
      <c r="J30" s="21"/>
      <c r="K30" s="22"/>
      <c r="L30" s="22"/>
      <c r="M30" s="21"/>
      <c r="N30" s="22"/>
      <c r="O30" s="22"/>
      <c r="P30" s="33">
        <v>2650.0</v>
      </c>
      <c r="Q30" s="25">
        <f t="shared" si="1"/>
        <v>0</v>
      </c>
      <c r="R30" s="33" t="s">
        <v>35</v>
      </c>
      <c r="S30" s="2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34.5" customHeight="1">
      <c r="A31" s="16">
        <v>27.0</v>
      </c>
      <c r="B31" s="29">
        <v>45595.0</v>
      </c>
      <c r="C31" s="30" t="s">
        <v>1491</v>
      </c>
      <c r="D31" s="31">
        <v>30895.0</v>
      </c>
      <c r="E31" s="32" t="s">
        <v>896</v>
      </c>
      <c r="F31" s="22"/>
      <c r="G31" s="22"/>
      <c r="H31" s="22"/>
      <c r="I31" s="21"/>
      <c r="J31" s="21"/>
      <c r="K31" s="22">
        <v>12500.0</v>
      </c>
      <c r="L31" s="22"/>
      <c r="M31" s="21"/>
      <c r="N31" s="22"/>
      <c r="O31" s="22"/>
      <c r="P31" s="33">
        <v>12500.0</v>
      </c>
      <c r="Q31" s="25">
        <f t="shared" si="1"/>
        <v>0</v>
      </c>
      <c r="R31" s="33" t="s">
        <v>28</v>
      </c>
      <c r="S31" s="2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ht="34.5" customHeight="1">
      <c r="A32" s="16">
        <v>28.0</v>
      </c>
      <c r="B32" s="29">
        <v>45594.0</v>
      </c>
      <c r="C32" s="30" t="s">
        <v>1492</v>
      </c>
      <c r="D32" s="31">
        <v>51017.0</v>
      </c>
      <c r="E32" s="32" t="s">
        <v>165</v>
      </c>
      <c r="F32" s="22"/>
      <c r="G32" s="22"/>
      <c r="H32" s="22">
        <v>7500.0</v>
      </c>
      <c r="I32" s="21"/>
      <c r="J32" s="21"/>
      <c r="K32" s="22"/>
      <c r="L32" s="22"/>
      <c r="M32" s="21"/>
      <c r="N32" s="22"/>
      <c r="O32" s="22"/>
      <c r="P32" s="33">
        <v>7500.0</v>
      </c>
      <c r="Q32" s="25">
        <f t="shared" si="1"/>
        <v>0</v>
      </c>
      <c r="R32" s="33"/>
      <c r="S32" s="2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ht="34.5" customHeight="1">
      <c r="A33" s="16">
        <v>29.0</v>
      </c>
      <c r="B33" s="29">
        <v>45595.0</v>
      </c>
      <c r="C33" s="30" t="s">
        <v>1493</v>
      </c>
      <c r="D33" s="31">
        <v>37642.0</v>
      </c>
      <c r="E33" s="32" t="s">
        <v>416</v>
      </c>
      <c r="F33" s="22"/>
      <c r="G33" s="22"/>
      <c r="H33" s="22">
        <v>10000.0</v>
      </c>
      <c r="I33" s="21"/>
      <c r="J33" s="21"/>
      <c r="K33" s="22"/>
      <c r="L33" s="22"/>
      <c r="M33" s="21"/>
      <c r="N33" s="22"/>
      <c r="O33" s="22"/>
      <c r="P33" s="33">
        <v>10000.0</v>
      </c>
      <c r="Q33" s="25">
        <f t="shared" si="1"/>
        <v>0</v>
      </c>
      <c r="R33" s="33"/>
      <c r="S33" s="2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ht="34.5" customHeight="1">
      <c r="A34" s="16">
        <v>30.0</v>
      </c>
      <c r="B34" s="29">
        <v>45595.0</v>
      </c>
      <c r="C34" s="30" t="s">
        <v>1494</v>
      </c>
      <c r="D34" s="31">
        <v>56980.0</v>
      </c>
      <c r="E34" s="32" t="s">
        <v>185</v>
      </c>
      <c r="F34" s="22"/>
      <c r="G34" s="22"/>
      <c r="H34" s="22">
        <v>5000.0</v>
      </c>
      <c r="I34" s="21"/>
      <c r="J34" s="21"/>
      <c r="K34" s="22"/>
      <c r="L34" s="22"/>
      <c r="M34" s="21"/>
      <c r="N34" s="22"/>
      <c r="O34" s="22"/>
      <c r="P34" s="33">
        <v>5000.0</v>
      </c>
      <c r="Q34" s="25">
        <f t="shared" si="1"/>
        <v>0</v>
      </c>
      <c r="R34" s="33"/>
      <c r="S34" s="2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ht="34.5" customHeight="1">
      <c r="A35" s="16"/>
      <c r="B35" s="29"/>
      <c r="C35" s="30"/>
      <c r="D35" s="31"/>
      <c r="E35" s="32"/>
      <c r="F35" s="22"/>
      <c r="G35" s="22"/>
      <c r="H35" s="22"/>
      <c r="I35" s="21"/>
      <c r="J35" s="21"/>
      <c r="K35" s="22"/>
      <c r="L35" s="22"/>
      <c r="M35" s="21"/>
      <c r="N35" s="22"/>
      <c r="O35" s="22"/>
      <c r="P35" s="33"/>
      <c r="Q35" s="25">
        <f t="shared" si="1"/>
        <v>0</v>
      </c>
      <c r="R35" s="33"/>
      <c r="S35" s="2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ht="34.5" customHeight="1">
      <c r="A36" s="16"/>
      <c r="B36" s="29"/>
      <c r="C36" s="30"/>
      <c r="D36" s="31"/>
      <c r="E36" s="32"/>
      <c r="F36" s="22"/>
      <c r="G36" s="22"/>
      <c r="H36" s="22"/>
      <c r="I36" s="21"/>
      <c r="J36" s="21"/>
      <c r="K36" s="22"/>
      <c r="L36" s="22"/>
      <c r="M36" s="21"/>
      <c r="N36" s="22"/>
      <c r="O36" s="22"/>
      <c r="P36" s="33"/>
      <c r="Q36" s="25">
        <f t="shared" si="1"/>
        <v>0</v>
      </c>
      <c r="R36" s="33"/>
      <c r="S36" s="2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ht="37.5" customHeight="1">
      <c r="A37" s="16"/>
      <c r="B37" s="27"/>
      <c r="C37" s="18"/>
      <c r="D37" s="19" t="s">
        <v>190</v>
      </c>
      <c r="E37" s="20"/>
      <c r="F37" s="45">
        <f t="shared" ref="F37:Q37" si="2">SUM(F5:F36)</f>
        <v>0</v>
      </c>
      <c r="G37" s="45">
        <f t="shared" si="2"/>
        <v>5900</v>
      </c>
      <c r="H37" s="45">
        <f t="shared" si="2"/>
        <v>22500</v>
      </c>
      <c r="I37" s="45">
        <f t="shared" si="2"/>
        <v>70150</v>
      </c>
      <c r="J37" s="45">
        <f t="shared" si="2"/>
        <v>28690</v>
      </c>
      <c r="K37" s="45">
        <f t="shared" si="2"/>
        <v>44300</v>
      </c>
      <c r="L37" s="45">
        <f t="shared" si="2"/>
        <v>0</v>
      </c>
      <c r="M37" s="45">
        <f t="shared" si="2"/>
        <v>5000</v>
      </c>
      <c r="N37" s="45">
        <f t="shared" si="2"/>
        <v>0</v>
      </c>
      <c r="O37" s="45">
        <f t="shared" si="2"/>
        <v>0</v>
      </c>
      <c r="P37" s="45">
        <f t="shared" si="2"/>
        <v>176540</v>
      </c>
      <c r="Q37" s="46">
        <f t="shared" si="2"/>
        <v>0</v>
      </c>
      <c r="R37" s="47"/>
      <c r="S37" s="47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ht="58.5" customHeight="1">
      <c r="A38" s="48"/>
      <c r="B38" s="48"/>
      <c r="C38" s="49"/>
      <c r="D38" s="48"/>
      <c r="E38" s="48"/>
      <c r="F38" s="50">
        <f>F37+G37+H37+I37+J37+K37+L37+M37+N37+O37</f>
        <v>176540</v>
      </c>
      <c r="P38" s="51"/>
      <c r="Q38" s="51"/>
      <c r="R38" s="48"/>
      <c r="S38" s="48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ht="15.75" customHeight="1">
      <c r="A39" s="4"/>
      <c r="B39" s="4"/>
      <c r="C39" s="5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3" t="s">
        <v>190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4" t="s">
        <v>191</v>
      </c>
      <c r="F42" s="60" t="s">
        <v>196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193</v>
      </c>
      <c r="F43" s="60" t="s">
        <v>540</v>
      </c>
      <c r="G43" s="4"/>
      <c r="H43" s="4"/>
      <c r="I43" s="4"/>
      <c r="J43" s="4"/>
      <c r="K43" s="4"/>
      <c r="L43" s="4"/>
      <c r="M43" s="4"/>
      <c r="N43" s="4"/>
      <c r="O43" s="57" t="s">
        <v>190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195</v>
      </c>
      <c r="F44" s="60" t="s">
        <v>196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197</v>
      </c>
      <c r="F45" s="60" t="s">
        <v>196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198</v>
      </c>
      <c r="F46" s="60" t="s">
        <v>541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56" t="s">
        <v>1495</v>
      </c>
      <c r="F47" s="60" t="s">
        <v>196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56" t="s">
        <v>201</v>
      </c>
      <c r="F48" s="61" t="s">
        <v>194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52"/>
      <c r="D49" s="4"/>
      <c r="E49" s="56" t="s">
        <v>203</v>
      </c>
      <c r="F49" s="58" t="s">
        <v>204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7" t="s">
        <v>190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57" t="s">
        <v>205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 t="s">
        <v>190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16.0"/>
    <col customWidth="1" min="3" max="3" width="33.5"/>
    <col customWidth="1" min="4" max="4" width="11.25"/>
    <col customWidth="1" min="5" max="5" width="73.3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59" t="s">
        <v>1496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5.25" customHeight="1">
      <c r="A2" s="89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1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0" t="s">
        <v>7</v>
      </c>
      <c r="S2" s="90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92" t="s">
        <v>9</v>
      </c>
      <c r="G3" s="91" t="s">
        <v>10</v>
      </c>
      <c r="H3" s="9"/>
      <c r="I3" s="91" t="s">
        <v>11</v>
      </c>
      <c r="J3" s="9"/>
      <c r="K3" s="90" t="s">
        <v>12</v>
      </c>
      <c r="L3" s="93"/>
      <c r="M3" s="93"/>
      <c r="N3" s="93"/>
      <c r="O3" s="90" t="s">
        <v>13</v>
      </c>
      <c r="P3" s="90" t="s">
        <v>14</v>
      </c>
      <c r="Q3" s="90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94" t="s">
        <v>16</v>
      </c>
      <c r="H4" s="94" t="s">
        <v>17</v>
      </c>
      <c r="I4" s="94" t="s">
        <v>18</v>
      </c>
      <c r="J4" s="94" t="s">
        <v>19</v>
      </c>
      <c r="K4" s="9"/>
      <c r="L4" s="94" t="s">
        <v>20</v>
      </c>
      <c r="M4" s="94" t="s">
        <v>21</v>
      </c>
      <c r="N4" s="94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27">
        <v>45596.0</v>
      </c>
      <c r="C5" s="18" t="s">
        <v>1497</v>
      </c>
      <c r="D5" s="19">
        <v>55562.0</v>
      </c>
      <c r="E5" s="20" t="s">
        <v>1498</v>
      </c>
      <c r="F5" s="21"/>
      <c r="G5" s="22"/>
      <c r="H5" s="22"/>
      <c r="I5" s="21">
        <v>5000.0</v>
      </c>
      <c r="J5" s="22"/>
      <c r="K5" s="22"/>
      <c r="L5" s="22"/>
      <c r="M5" s="21"/>
      <c r="N5" s="22"/>
      <c r="O5" s="22"/>
      <c r="P5" s="24">
        <v>5000.0</v>
      </c>
      <c r="Q5" s="25">
        <f t="shared" ref="Q5:Q31" si="1">F5+G5+H5+I5+J5+K5+L5+M5+N5+O5-P5</f>
        <v>0</v>
      </c>
      <c r="R5" s="24" t="s">
        <v>28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45596.0</v>
      </c>
      <c r="C6" s="18" t="s">
        <v>1499</v>
      </c>
      <c r="D6" s="19">
        <v>55562.0</v>
      </c>
      <c r="E6" s="20" t="s">
        <v>1498</v>
      </c>
      <c r="F6" s="22"/>
      <c r="G6" s="22"/>
      <c r="H6" s="21"/>
      <c r="I6" s="21">
        <v>5000.0</v>
      </c>
      <c r="J6" s="23"/>
      <c r="K6" s="22"/>
      <c r="L6" s="22"/>
      <c r="M6" s="22"/>
      <c r="N6" s="22"/>
      <c r="O6" s="22"/>
      <c r="P6" s="24">
        <v>5000.0</v>
      </c>
      <c r="Q6" s="25">
        <f t="shared" si="1"/>
        <v>0</v>
      </c>
      <c r="R6" s="24" t="s">
        <v>28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45596.0</v>
      </c>
      <c r="C7" s="18" t="s">
        <v>1500</v>
      </c>
      <c r="D7" s="19">
        <v>76245.0</v>
      </c>
      <c r="E7" s="20" t="s">
        <v>888</v>
      </c>
      <c r="F7" s="22"/>
      <c r="G7" s="22"/>
      <c r="H7" s="22"/>
      <c r="I7" s="21">
        <v>10000.0</v>
      </c>
      <c r="J7" s="21"/>
      <c r="K7" s="22"/>
      <c r="L7" s="22"/>
      <c r="M7" s="21"/>
      <c r="N7" s="22"/>
      <c r="O7" s="22"/>
      <c r="P7" s="24">
        <v>10000.0</v>
      </c>
      <c r="Q7" s="25">
        <f t="shared" si="1"/>
        <v>0</v>
      </c>
      <c r="R7" s="24" t="s">
        <v>57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45596.0</v>
      </c>
      <c r="C8" s="18" t="s">
        <v>1501</v>
      </c>
      <c r="D8" s="19">
        <v>66770.0</v>
      </c>
      <c r="E8" s="20" t="s">
        <v>1387</v>
      </c>
      <c r="F8" s="22"/>
      <c r="G8" s="22"/>
      <c r="H8" s="22"/>
      <c r="I8" s="21"/>
      <c r="J8" s="21">
        <v>5000.0</v>
      </c>
      <c r="K8" s="22"/>
      <c r="L8" s="22"/>
      <c r="M8" s="21"/>
      <c r="N8" s="22"/>
      <c r="O8" s="22"/>
      <c r="P8" s="24">
        <v>5000.0</v>
      </c>
      <c r="Q8" s="25">
        <f t="shared" si="1"/>
        <v>0</v>
      </c>
      <c r="R8" s="24" t="s">
        <v>57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45596.0</v>
      </c>
      <c r="C9" s="30" t="s">
        <v>1502</v>
      </c>
      <c r="D9" s="31">
        <v>24114.0</v>
      </c>
      <c r="E9" s="32" t="s">
        <v>1503</v>
      </c>
      <c r="F9" s="22"/>
      <c r="G9" s="22"/>
      <c r="H9" s="22"/>
      <c r="I9" s="21">
        <v>3600.0</v>
      </c>
      <c r="J9" s="21"/>
      <c r="K9" s="22"/>
      <c r="L9" s="22"/>
      <c r="M9" s="21"/>
      <c r="N9" s="22"/>
      <c r="O9" s="22"/>
      <c r="P9" s="33">
        <v>3600.0</v>
      </c>
      <c r="Q9" s="25">
        <f t="shared" si="1"/>
        <v>0</v>
      </c>
      <c r="R9" s="33" t="s">
        <v>48</v>
      </c>
      <c r="S9" s="2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ht="34.5" customHeight="1">
      <c r="A10" s="16">
        <v>6.0</v>
      </c>
      <c r="B10" s="29">
        <v>45596.0</v>
      </c>
      <c r="C10" s="30" t="s">
        <v>1504</v>
      </c>
      <c r="D10" s="31">
        <v>43955.0</v>
      </c>
      <c r="E10" s="32" t="s">
        <v>1013</v>
      </c>
      <c r="F10" s="22"/>
      <c r="G10" s="22"/>
      <c r="H10" s="22"/>
      <c r="I10" s="21">
        <v>9000.0</v>
      </c>
      <c r="J10" s="21"/>
      <c r="K10" s="22"/>
      <c r="L10" s="22"/>
      <c r="M10" s="21"/>
      <c r="N10" s="22"/>
      <c r="O10" s="22"/>
      <c r="P10" s="33">
        <v>9000.0</v>
      </c>
      <c r="Q10" s="25">
        <f t="shared" si="1"/>
        <v>0</v>
      </c>
      <c r="R10" s="33" t="s">
        <v>28</v>
      </c>
      <c r="S10" s="2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ht="34.5" customHeight="1">
      <c r="A11" s="16">
        <v>7.0</v>
      </c>
      <c r="B11" s="29">
        <v>45596.0</v>
      </c>
      <c r="C11" s="30" t="s">
        <v>1505</v>
      </c>
      <c r="D11" s="31">
        <v>79623.0</v>
      </c>
      <c r="E11" s="32" t="s">
        <v>309</v>
      </c>
      <c r="F11" s="22"/>
      <c r="G11" s="22"/>
      <c r="H11" s="22"/>
      <c r="I11" s="21">
        <v>5150.0</v>
      </c>
      <c r="J11" s="21"/>
      <c r="K11" s="22"/>
      <c r="L11" s="22"/>
      <c r="M11" s="21"/>
      <c r="N11" s="22"/>
      <c r="O11" s="22"/>
      <c r="P11" s="33">
        <v>5150.0</v>
      </c>
      <c r="Q11" s="25">
        <f t="shared" si="1"/>
        <v>0</v>
      </c>
      <c r="R11" s="33" t="s">
        <v>28</v>
      </c>
      <c r="S11" s="2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ht="34.5" customHeight="1">
      <c r="A12" s="16">
        <v>8.0</v>
      </c>
      <c r="B12" s="29">
        <v>45596.0</v>
      </c>
      <c r="C12" s="30" t="s">
        <v>1506</v>
      </c>
      <c r="D12" s="31">
        <v>44149.0</v>
      </c>
      <c r="E12" s="32" t="s">
        <v>74</v>
      </c>
      <c r="F12" s="22"/>
      <c r="G12" s="22"/>
      <c r="H12" s="22"/>
      <c r="I12" s="21">
        <v>5150.0</v>
      </c>
      <c r="J12" s="21"/>
      <c r="K12" s="22"/>
      <c r="L12" s="22"/>
      <c r="M12" s="21"/>
      <c r="N12" s="22"/>
      <c r="O12" s="22"/>
      <c r="P12" s="33">
        <v>5150.0</v>
      </c>
      <c r="Q12" s="25">
        <f t="shared" si="1"/>
        <v>0</v>
      </c>
      <c r="R12" s="33" t="s">
        <v>57</v>
      </c>
      <c r="S12" s="2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ht="34.5" customHeight="1">
      <c r="A13" s="16">
        <v>9.0</v>
      </c>
      <c r="B13" s="29">
        <v>45596.0</v>
      </c>
      <c r="C13" s="30" t="s">
        <v>1507</v>
      </c>
      <c r="D13" s="31">
        <v>81108.0</v>
      </c>
      <c r="E13" s="32" t="s">
        <v>86</v>
      </c>
      <c r="F13" s="22"/>
      <c r="G13" s="22"/>
      <c r="H13" s="22"/>
      <c r="I13" s="21">
        <v>9000.0</v>
      </c>
      <c r="J13" s="21"/>
      <c r="K13" s="22"/>
      <c r="L13" s="22"/>
      <c r="M13" s="21"/>
      <c r="N13" s="22"/>
      <c r="O13" s="22"/>
      <c r="P13" s="33">
        <v>9000.0</v>
      </c>
      <c r="Q13" s="25">
        <f t="shared" si="1"/>
        <v>0</v>
      </c>
      <c r="R13" s="33" t="s">
        <v>25</v>
      </c>
      <c r="S13" s="2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ht="34.5" customHeight="1">
      <c r="A14" s="16">
        <v>10.0</v>
      </c>
      <c r="B14" s="29">
        <v>45596.0</v>
      </c>
      <c r="C14" s="30" t="s">
        <v>1508</v>
      </c>
      <c r="D14" s="31">
        <v>19688.0</v>
      </c>
      <c r="E14" s="32" t="s">
        <v>90</v>
      </c>
      <c r="F14" s="22"/>
      <c r="G14" s="22"/>
      <c r="H14" s="22"/>
      <c r="I14" s="21"/>
      <c r="J14" s="21">
        <v>10450.0</v>
      </c>
      <c r="K14" s="22"/>
      <c r="L14" s="22"/>
      <c r="M14" s="21"/>
      <c r="N14" s="22"/>
      <c r="O14" s="22"/>
      <c r="P14" s="33">
        <v>10450.0</v>
      </c>
      <c r="Q14" s="25">
        <f t="shared" si="1"/>
        <v>0</v>
      </c>
      <c r="R14" s="33" t="s">
        <v>28</v>
      </c>
      <c r="S14" s="2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ht="34.5" customHeight="1">
      <c r="A15" s="16">
        <v>11.0</v>
      </c>
      <c r="B15" s="29">
        <v>45596.0</v>
      </c>
      <c r="C15" s="30" t="s">
        <v>1509</v>
      </c>
      <c r="D15" s="31">
        <v>67899.0</v>
      </c>
      <c r="E15" s="32" t="s">
        <v>1510</v>
      </c>
      <c r="F15" s="22"/>
      <c r="G15" s="22"/>
      <c r="H15" s="22"/>
      <c r="I15" s="21">
        <v>3600.0</v>
      </c>
      <c r="J15" s="21"/>
      <c r="K15" s="22"/>
      <c r="L15" s="22"/>
      <c r="M15" s="21"/>
      <c r="N15" s="22"/>
      <c r="O15" s="22"/>
      <c r="P15" s="33">
        <v>3600.0</v>
      </c>
      <c r="Q15" s="25">
        <f t="shared" si="1"/>
        <v>0</v>
      </c>
      <c r="R15" s="33" t="s">
        <v>35</v>
      </c>
      <c r="S15" s="2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ht="34.5" customHeight="1">
      <c r="A16" s="16">
        <v>12.0</v>
      </c>
      <c r="B16" s="29">
        <v>45596.0</v>
      </c>
      <c r="C16" s="30" t="s">
        <v>1511</v>
      </c>
      <c r="D16" s="31">
        <v>22341.0</v>
      </c>
      <c r="E16" s="32" t="s">
        <v>230</v>
      </c>
      <c r="F16" s="22"/>
      <c r="G16" s="22"/>
      <c r="H16" s="22"/>
      <c r="I16" s="21">
        <v>1600.0</v>
      </c>
      <c r="J16" s="21"/>
      <c r="K16" s="22"/>
      <c r="L16" s="22"/>
      <c r="M16" s="21"/>
      <c r="N16" s="22"/>
      <c r="O16" s="22"/>
      <c r="P16" s="33">
        <v>1600.0</v>
      </c>
      <c r="Q16" s="25">
        <f t="shared" si="1"/>
        <v>0</v>
      </c>
      <c r="R16" s="33" t="s">
        <v>57</v>
      </c>
      <c r="S16" s="2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ht="34.5" customHeight="1">
      <c r="A17" s="16">
        <v>13.0</v>
      </c>
      <c r="B17" s="29">
        <v>45596.0</v>
      </c>
      <c r="C17" s="30" t="s">
        <v>1512</v>
      </c>
      <c r="D17" s="31">
        <v>77179.0</v>
      </c>
      <c r="E17" s="32" t="s">
        <v>1513</v>
      </c>
      <c r="F17" s="22"/>
      <c r="G17" s="22"/>
      <c r="H17" s="22"/>
      <c r="I17" s="21">
        <v>4650.0</v>
      </c>
      <c r="J17" s="21"/>
      <c r="K17" s="22"/>
      <c r="L17" s="22"/>
      <c r="M17" s="21"/>
      <c r="N17" s="22"/>
      <c r="O17" s="22"/>
      <c r="P17" s="33">
        <v>4650.0</v>
      </c>
      <c r="Q17" s="25">
        <f t="shared" si="1"/>
        <v>0</v>
      </c>
      <c r="R17" s="33" t="s">
        <v>57</v>
      </c>
      <c r="S17" s="2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ht="34.5" customHeight="1">
      <c r="A18" s="16">
        <v>14.0</v>
      </c>
      <c r="B18" s="29">
        <v>45596.0</v>
      </c>
      <c r="C18" s="30" t="s">
        <v>1514</v>
      </c>
      <c r="D18" s="31">
        <v>53963.0</v>
      </c>
      <c r="E18" s="32" t="s">
        <v>1515</v>
      </c>
      <c r="F18" s="22"/>
      <c r="G18" s="22"/>
      <c r="H18" s="22"/>
      <c r="I18" s="21"/>
      <c r="J18" s="21">
        <v>10000.0</v>
      </c>
      <c r="K18" s="22"/>
      <c r="L18" s="22"/>
      <c r="M18" s="21"/>
      <c r="N18" s="22"/>
      <c r="O18" s="22"/>
      <c r="P18" s="33">
        <v>10000.0</v>
      </c>
      <c r="Q18" s="25">
        <f t="shared" si="1"/>
        <v>0</v>
      </c>
      <c r="R18" s="33" t="s">
        <v>25</v>
      </c>
      <c r="S18" s="2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ht="34.5" customHeight="1">
      <c r="A19" s="16">
        <v>15.0</v>
      </c>
      <c r="B19" s="29">
        <v>45596.0</v>
      </c>
      <c r="C19" s="30" t="s">
        <v>1516</v>
      </c>
      <c r="D19" s="31">
        <v>54166.0</v>
      </c>
      <c r="E19" s="32" t="s">
        <v>905</v>
      </c>
      <c r="F19" s="22"/>
      <c r="G19" s="22"/>
      <c r="H19" s="22"/>
      <c r="I19" s="21">
        <v>2650.0</v>
      </c>
      <c r="J19" s="21"/>
      <c r="K19" s="22"/>
      <c r="L19" s="22"/>
      <c r="M19" s="21"/>
      <c r="N19" s="22"/>
      <c r="O19" s="22"/>
      <c r="P19" s="33">
        <v>2650.0</v>
      </c>
      <c r="Q19" s="25">
        <f t="shared" si="1"/>
        <v>0</v>
      </c>
      <c r="R19" s="33" t="s">
        <v>28</v>
      </c>
      <c r="S19" s="2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ht="34.5" customHeight="1">
      <c r="A20" s="16">
        <v>16.0</v>
      </c>
      <c r="B20" s="29">
        <v>45596.0</v>
      </c>
      <c r="C20" s="30" t="s">
        <v>1517</v>
      </c>
      <c r="D20" s="31">
        <v>35227.0</v>
      </c>
      <c r="E20" s="32" t="s">
        <v>224</v>
      </c>
      <c r="F20" s="22">
        <v>300.0</v>
      </c>
      <c r="G20" s="22"/>
      <c r="H20" s="22"/>
      <c r="I20" s="21"/>
      <c r="J20" s="21"/>
      <c r="K20" s="22"/>
      <c r="L20" s="22"/>
      <c r="M20" s="21"/>
      <c r="N20" s="22"/>
      <c r="O20" s="22"/>
      <c r="P20" s="33">
        <v>300.0</v>
      </c>
      <c r="Q20" s="25">
        <f t="shared" si="1"/>
        <v>0</v>
      </c>
      <c r="R20" s="33" t="s">
        <v>35</v>
      </c>
      <c r="S20" s="2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ht="34.5" customHeight="1">
      <c r="A21" s="16">
        <v>17.0</v>
      </c>
      <c r="B21" s="29">
        <v>45596.0</v>
      </c>
      <c r="C21" s="30" t="s">
        <v>1518</v>
      </c>
      <c r="D21" s="31">
        <v>35227.0</v>
      </c>
      <c r="E21" s="32" t="s">
        <v>224</v>
      </c>
      <c r="F21" s="22">
        <v>200.0</v>
      </c>
      <c r="G21" s="22"/>
      <c r="H21" s="22"/>
      <c r="I21" s="21">
        <v>800.0</v>
      </c>
      <c r="J21" s="21"/>
      <c r="K21" s="22"/>
      <c r="L21" s="22"/>
      <c r="M21" s="21"/>
      <c r="N21" s="22"/>
      <c r="O21" s="22"/>
      <c r="P21" s="33">
        <v>1000.0</v>
      </c>
      <c r="Q21" s="25">
        <f t="shared" si="1"/>
        <v>0</v>
      </c>
      <c r="R21" s="33" t="s">
        <v>25</v>
      </c>
      <c r="S21" s="2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ht="34.5" customHeight="1">
      <c r="A22" s="16">
        <v>18.0</v>
      </c>
      <c r="B22" s="29">
        <v>45596.0</v>
      </c>
      <c r="C22" s="30" t="s">
        <v>1519</v>
      </c>
      <c r="D22" s="31">
        <v>52776.0</v>
      </c>
      <c r="E22" s="32" t="s">
        <v>1520</v>
      </c>
      <c r="F22" s="22"/>
      <c r="G22" s="22"/>
      <c r="H22" s="22"/>
      <c r="I22" s="21"/>
      <c r="J22" s="21">
        <v>10000.0</v>
      </c>
      <c r="K22" s="22"/>
      <c r="L22" s="22"/>
      <c r="M22" s="21"/>
      <c r="N22" s="22"/>
      <c r="O22" s="22"/>
      <c r="P22" s="33">
        <v>10000.0</v>
      </c>
      <c r="Q22" s="25">
        <f t="shared" si="1"/>
        <v>0</v>
      </c>
      <c r="R22" s="33" t="s">
        <v>28</v>
      </c>
      <c r="S22" s="2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ht="34.5" customHeight="1">
      <c r="A23" s="16">
        <v>19.0</v>
      </c>
      <c r="B23" s="29">
        <v>45596.0</v>
      </c>
      <c r="C23" s="30" t="s">
        <v>1521</v>
      </c>
      <c r="D23" s="31">
        <v>85186.0</v>
      </c>
      <c r="E23" s="32" t="s">
        <v>1522</v>
      </c>
      <c r="F23" s="22"/>
      <c r="G23" s="22"/>
      <c r="H23" s="22"/>
      <c r="I23" s="21">
        <v>7300.0</v>
      </c>
      <c r="J23" s="21"/>
      <c r="K23" s="22"/>
      <c r="L23" s="22"/>
      <c r="M23" s="21"/>
      <c r="N23" s="22"/>
      <c r="O23" s="22"/>
      <c r="P23" s="33">
        <v>7300.0</v>
      </c>
      <c r="Q23" s="25">
        <f t="shared" si="1"/>
        <v>0</v>
      </c>
      <c r="R23" s="33" t="s">
        <v>35</v>
      </c>
      <c r="S23" s="2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ht="34.5" customHeight="1">
      <c r="A24" s="16">
        <v>20.0</v>
      </c>
      <c r="B24" s="29">
        <v>45596.0</v>
      </c>
      <c r="C24" s="30" t="s">
        <v>1523</v>
      </c>
      <c r="D24" s="31">
        <v>28414.0</v>
      </c>
      <c r="E24" s="32" t="s">
        <v>454</v>
      </c>
      <c r="F24" s="22"/>
      <c r="G24" s="22"/>
      <c r="H24" s="22"/>
      <c r="I24" s="21">
        <v>4650.0</v>
      </c>
      <c r="J24" s="21"/>
      <c r="K24" s="22"/>
      <c r="L24" s="22"/>
      <c r="M24" s="21"/>
      <c r="N24" s="22"/>
      <c r="O24" s="22"/>
      <c r="P24" s="33">
        <v>4650.0</v>
      </c>
      <c r="Q24" s="25">
        <f t="shared" si="1"/>
        <v>0</v>
      </c>
      <c r="R24" s="33" t="s">
        <v>28</v>
      </c>
      <c r="S24" s="2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ht="34.5" customHeight="1">
      <c r="A25" s="16">
        <v>21.0</v>
      </c>
      <c r="B25" s="29">
        <v>45596.0</v>
      </c>
      <c r="C25" s="30" t="s">
        <v>1524</v>
      </c>
      <c r="D25" s="31">
        <v>45096.0</v>
      </c>
      <c r="E25" s="32" t="s">
        <v>574</v>
      </c>
      <c r="F25" s="22"/>
      <c r="G25" s="22"/>
      <c r="H25" s="22"/>
      <c r="I25" s="21">
        <v>2650.0</v>
      </c>
      <c r="J25" s="21"/>
      <c r="K25" s="22"/>
      <c r="L25" s="22"/>
      <c r="M25" s="21"/>
      <c r="N25" s="22"/>
      <c r="O25" s="22"/>
      <c r="P25" s="33">
        <v>2650.0</v>
      </c>
      <c r="Q25" s="25">
        <f t="shared" si="1"/>
        <v>0</v>
      </c>
      <c r="R25" s="33" t="s">
        <v>28</v>
      </c>
      <c r="S25" s="2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ht="34.5" customHeight="1">
      <c r="A26" s="16">
        <v>22.0</v>
      </c>
      <c r="B26" s="29">
        <v>45595.0</v>
      </c>
      <c r="C26" s="30" t="s">
        <v>1525</v>
      </c>
      <c r="D26" s="31">
        <v>54234.0</v>
      </c>
      <c r="E26" s="32" t="s">
        <v>1526</v>
      </c>
      <c r="F26" s="22"/>
      <c r="G26" s="22"/>
      <c r="H26" s="22">
        <v>4500.0</v>
      </c>
      <c r="I26" s="21"/>
      <c r="J26" s="21"/>
      <c r="K26" s="22"/>
      <c r="L26" s="22"/>
      <c r="M26" s="21"/>
      <c r="N26" s="22"/>
      <c r="O26" s="22"/>
      <c r="P26" s="33">
        <v>4500.0</v>
      </c>
      <c r="Q26" s="25">
        <f t="shared" si="1"/>
        <v>0</v>
      </c>
      <c r="R26" s="33"/>
      <c r="S26" s="2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ht="34.5" customHeight="1">
      <c r="A27" s="16">
        <v>23.0</v>
      </c>
      <c r="B27" s="29">
        <v>45595.0</v>
      </c>
      <c r="C27" s="30" t="s">
        <v>1527</v>
      </c>
      <c r="D27" s="31">
        <v>10008.0</v>
      </c>
      <c r="E27" s="32" t="s">
        <v>52</v>
      </c>
      <c r="F27" s="22"/>
      <c r="G27" s="22"/>
      <c r="H27" s="22">
        <v>2500.0</v>
      </c>
      <c r="I27" s="21"/>
      <c r="J27" s="21"/>
      <c r="K27" s="22"/>
      <c r="L27" s="22"/>
      <c r="M27" s="21"/>
      <c r="N27" s="22"/>
      <c r="O27" s="22"/>
      <c r="P27" s="33">
        <v>2500.0</v>
      </c>
      <c r="Q27" s="25">
        <f t="shared" si="1"/>
        <v>0</v>
      </c>
      <c r="R27" s="33"/>
      <c r="S27" s="2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ht="34.5" customHeight="1">
      <c r="A28" s="16">
        <v>24.0</v>
      </c>
      <c r="B28" s="29">
        <v>45596.0</v>
      </c>
      <c r="C28" s="30" t="s">
        <v>1528</v>
      </c>
      <c r="D28" s="31">
        <v>21828.0</v>
      </c>
      <c r="E28" s="32" t="s">
        <v>150</v>
      </c>
      <c r="F28" s="22"/>
      <c r="G28" s="22"/>
      <c r="H28" s="22"/>
      <c r="I28" s="21"/>
      <c r="J28" s="21"/>
      <c r="K28" s="22">
        <v>5000.0</v>
      </c>
      <c r="L28" s="22"/>
      <c r="M28" s="21"/>
      <c r="N28" s="22"/>
      <c r="O28" s="22"/>
      <c r="P28" s="33">
        <v>5000.0</v>
      </c>
      <c r="Q28" s="25">
        <f t="shared" si="1"/>
        <v>0</v>
      </c>
      <c r="R28" s="33"/>
      <c r="S28" s="2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ht="34.5" customHeight="1">
      <c r="A29" s="16">
        <v>25.0</v>
      </c>
      <c r="B29" s="29">
        <v>45596.0</v>
      </c>
      <c r="C29" s="30" t="s">
        <v>1529</v>
      </c>
      <c r="D29" s="31">
        <v>31927.0</v>
      </c>
      <c r="E29" s="32" t="s">
        <v>177</v>
      </c>
      <c r="F29" s="22"/>
      <c r="G29" s="22"/>
      <c r="H29" s="22"/>
      <c r="I29" s="21"/>
      <c r="J29" s="21"/>
      <c r="K29" s="22"/>
      <c r="L29" s="22"/>
      <c r="M29" s="21">
        <v>2500.0</v>
      </c>
      <c r="N29" s="22"/>
      <c r="O29" s="22"/>
      <c r="P29" s="33">
        <v>2500.0</v>
      </c>
      <c r="Q29" s="25">
        <f t="shared" si="1"/>
        <v>0</v>
      </c>
      <c r="R29" s="33"/>
      <c r="S29" s="2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ht="34.5" customHeight="1">
      <c r="A30" s="16">
        <v>26.0</v>
      </c>
      <c r="B30" s="29">
        <v>45596.0</v>
      </c>
      <c r="C30" s="30" t="s">
        <v>1530</v>
      </c>
      <c r="D30" s="31">
        <v>85172.0</v>
      </c>
      <c r="E30" s="32" t="s">
        <v>1531</v>
      </c>
      <c r="F30" s="22"/>
      <c r="G30" s="22"/>
      <c r="H30" s="22"/>
      <c r="I30" s="21"/>
      <c r="J30" s="21"/>
      <c r="K30" s="22"/>
      <c r="L30" s="22"/>
      <c r="M30" s="21">
        <v>7000.0</v>
      </c>
      <c r="N30" s="22"/>
      <c r="O30" s="22"/>
      <c r="P30" s="33">
        <v>7000.0</v>
      </c>
      <c r="Q30" s="25">
        <f t="shared" si="1"/>
        <v>0</v>
      </c>
      <c r="R30" s="33"/>
      <c r="S30" s="2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ht="34.5" customHeight="1">
      <c r="A31" s="16">
        <v>27.0</v>
      </c>
      <c r="B31" s="29">
        <v>45596.0</v>
      </c>
      <c r="C31" s="30" t="s">
        <v>1532</v>
      </c>
      <c r="D31" s="31">
        <v>43380.0</v>
      </c>
      <c r="E31" s="32" t="s">
        <v>156</v>
      </c>
      <c r="F31" s="22"/>
      <c r="G31" s="22"/>
      <c r="H31" s="22">
        <v>14500.0</v>
      </c>
      <c r="I31" s="21"/>
      <c r="J31" s="21"/>
      <c r="K31" s="22"/>
      <c r="L31" s="22"/>
      <c r="M31" s="21"/>
      <c r="N31" s="22"/>
      <c r="O31" s="22"/>
      <c r="P31" s="33">
        <v>14500.0</v>
      </c>
      <c r="Q31" s="25">
        <f t="shared" si="1"/>
        <v>0</v>
      </c>
      <c r="R31" s="33"/>
      <c r="S31" s="2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ht="34.5" customHeight="1">
      <c r="A32" s="16"/>
      <c r="B32" s="29"/>
      <c r="C32" s="30"/>
      <c r="D32" s="31"/>
      <c r="E32" s="32"/>
      <c r="F32" s="22"/>
      <c r="G32" s="22"/>
      <c r="H32" s="22"/>
      <c r="I32" s="21"/>
      <c r="J32" s="21"/>
      <c r="K32" s="22"/>
      <c r="L32" s="22"/>
      <c r="M32" s="21"/>
      <c r="N32" s="22"/>
      <c r="O32" s="22"/>
      <c r="P32" s="33"/>
      <c r="Q32" s="25"/>
      <c r="R32" s="33"/>
      <c r="S32" s="2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ht="34.5" customHeight="1">
      <c r="A33" s="16"/>
      <c r="B33" s="29"/>
      <c r="C33" s="30"/>
      <c r="D33" s="31"/>
      <c r="E33" s="32"/>
      <c r="F33" s="22"/>
      <c r="G33" s="22"/>
      <c r="H33" s="22"/>
      <c r="I33" s="21"/>
      <c r="J33" s="21"/>
      <c r="K33" s="22"/>
      <c r="L33" s="22"/>
      <c r="M33" s="21"/>
      <c r="N33" s="22"/>
      <c r="O33" s="22"/>
      <c r="P33" s="33"/>
      <c r="Q33" s="25"/>
      <c r="R33" s="33"/>
      <c r="S33" s="2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ht="37.5" customHeight="1">
      <c r="A34" s="16"/>
      <c r="B34" s="27"/>
      <c r="C34" s="18"/>
      <c r="D34" s="19" t="s">
        <v>190</v>
      </c>
      <c r="E34" s="20"/>
      <c r="F34" s="45">
        <f t="shared" ref="F34:Q34" si="2">SUM(F5:F33)</f>
        <v>500</v>
      </c>
      <c r="G34" s="45">
        <f t="shared" si="2"/>
        <v>0</v>
      </c>
      <c r="H34" s="45">
        <f t="shared" si="2"/>
        <v>21500</v>
      </c>
      <c r="I34" s="45">
        <f t="shared" si="2"/>
        <v>79800</v>
      </c>
      <c r="J34" s="45">
        <f t="shared" si="2"/>
        <v>35450</v>
      </c>
      <c r="K34" s="45">
        <f t="shared" si="2"/>
        <v>5000</v>
      </c>
      <c r="L34" s="45">
        <f t="shared" si="2"/>
        <v>0</v>
      </c>
      <c r="M34" s="45">
        <f t="shared" si="2"/>
        <v>9500</v>
      </c>
      <c r="N34" s="45">
        <f t="shared" si="2"/>
        <v>0</v>
      </c>
      <c r="O34" s="45">
        <f t="shared" si="2"/>
        <v>0</v>
      </c>
      <c r="P34" s="45">
        <f t="shared" si="2"/>
        <v>151750</v>
      </c>
      <c r="Q34" s="46">
        <f t="shared" si="2"/>
        <v>0</v>
      </c>
      <c r="R34" s="47"/>
      <c r="S34" s="47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ht="58.5" customHeight="1">
      <c r="A35" s="48"/>
      <c r="B35" s="48"/>
      <c r="C35" s="49"/>
      <c r="D35" s="48"/>
      <c r="E35" s="48"/>
      <c r="F35" s="50">
        <f>F34+G34+H34+I34+J34+K34+L34+M34+N34+O34</f>
        <v>151750</v>
      </c>
      <c r="P35" s="51"/>
      <c r="Q35" s="51"/>
      <c r="R35" s="48"/>
      <c r="S35" s="48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ht="15.75" customHeight="1">
      <c r="A36" s="4"/>
      <c r="B36" s="4"/>
      <c r="C36" s="5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3" t="s">
        <v>190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2"/>
      <c r="D39" s="4"/>
      <c r="E39" s="54" t="s">
        <v>191</v>
      </c>
      <c r="F39" s="60" t="s">
        <v>540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2"/>
      <c r="D40" s="4"/>
      <c r="E40" s="56" t="s">
        <v>193</v>
      </c>
      <c r="F40" s="60" t="s">
        <v>540</v>
      </c>
      <c r="G40" s="4"/>
      <c r="H40" s="4"/>
      <c r="I40" s="4"/>
      <c r="J40" s="4"/>
      <c r="K40" s="4"/>
      <c r="L40" s="4"/>
      <c r="M40" s="4"/>
      <c r="N40" s="4"/>
      <c r="O40" s="57" t="s">
        <v>190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2"/>
      <c r="D41" s="4"/>
      <c r="E41" s="56" t="s">
        <v>195</v>
      </c>
      <c r="F41" s="60" t="s">
        <v>622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2"/>
      <c r="D42" s="4"/>
      <c r="E42" s="56" t="s">
        <v>197</v>
      </c>
      <c r="F42" s="60" t="s">
        <v>196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2"/>
      <c r="D43" s="4"/>
      <c r="E43" s="56" t="s">
        <v>198</v>
      </c>
      <c r="F43" s="60" t="s">
        <v>541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52"/>
      <c r="D44" s="4"/>
      <c r="E44" s="56" t="s">
        <v>1533</v>
      </c>
      <c r="F44" s="60" t="s">
        <v>196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52"/>
      <c r="D45" s="4"/>
      <c r="E45" s="56" t="s">
        <v>201</v>
      </c>
      <c r="F45" s="61" t="s">
        <v>622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52"/>
      <c r="D46" s="4"/>
      <c r="E46" s="56" t="s">
        <v>203</v>
      </c>
      <c r="F46" s="58" t="s">
        <v>204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7" t="s">
        <v>190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 t="str">
        <f>I72434</f>
        <v/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57" t="s">
        <v>205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 t="s">
        <v>190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>
        <v>7.0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7">
    <mergeCell ref="R2:R4"/>
    <mergeCell ref="S2:S4"/>
    <mergeCell ref="F3:F4"/>
    <mergeCell ref="G3:H3"/>
    <mergeCell ref="I3:J3"/>
    <mergeCell ref="K3:K4"/>
    <mergeCell ref="F35:O3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
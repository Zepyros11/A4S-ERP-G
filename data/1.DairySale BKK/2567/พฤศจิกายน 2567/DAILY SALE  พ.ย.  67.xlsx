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 ต.ค.- 2 พ.ย. 67" sheetId="1" r:id="rId4"/>
    <sheet state="visible" name="3 พ.ย. 67" sheetId="2" r:id="rId5"/>
    <sheet state="visible" name=" 4 พ.ย. 67" sheetId="3" r:id="rId6"/>
    <sheet state="visible" name="5.พ.ย. 67" sheetId="4" r:id="rId7"/>
    <sheet state="visible" name="6.พ.ย. 67" sheetId="5" r:id="rId8"/>
    <sheet state="visible" name="7.พ.ย. 67" sheetId="6" r:id="rId9"/>
    <sheet state="visible" name="8.พ.ย. 67" sheetId="7" r:id="rId10"/>
    <sheet state="visible" name="9.พ.ย. 67" sheetId="8" r:id="rId11"/>
    <sheet state="visible" name="ABB &amp; THE WELLNESS ณ รร.42C จ.น" sheetId="9" r:id="rId12"/>
    <sheet state="visible" name="10.พ.ย. 67" sheetId="10" r:id="rId13"/>
    <sheet state="visible" name="11.พ.ย. 67" sheetId="11" r:id="rId14"/>
    <sheet state="visible" name="12.พ.ย. 67" sheetId="12" r:id="rId15"/>
    <sheet state="visible" name="13.พ.ย. 67" sheetId="13" r:id="rId16"/>
    <sheet state="visible" name="14.พ.ย. 67" sheetId="14" r:id="rId17"/>
    <sheet state="visible" name="15.พ.ย. 67" sheetId="15" r:id="rId18"/>
    <sheet state="visible" name="16.พ.ย. 67" sheetId="16" r:id="rId19"/>
    <sheet state="visible" name="17.พ.ย. 67" sheetId="17" r:id="rId20"/>
    <sheet state="visible" name="18 .พ.ย. 67" sheetId="18" r:id="rId21"/>
    <sheet state="visible" name="19 .พ.ย. 67" sheetId="19" r:id="rId22"/>
    <sheet state="visible" name="20.พ.ย. 67" sheetId="20" r:id="rId23"/>
    <sheet state="visible" name="21 .พ.ย. 67" sheetId="21" r:id="rId24"/>
    <sheet state="visible" name="22 .พ.ย. 67" sheetId="22" r:id="rId25"/>
    <sheet state="visible" name="23 .พ.ย. 67" sheetId="23" r:id="rId26"/>
    <sheet state="visible" name="24.พ.ย. 67" sheetId="24" r:id="rId27"/>
    <sheet state="visible" name="25.พ.ย. 67" sheetId="25" r:id="rId28"/>
    <sheet state="visible" name="26.พ.ย. 67" sheetId="26" r:id="rId29"/>
    <sheet state="visible" name="27.พ.ย. 67" sheetId="27" r:id="rId30"/>
    <sheet state="visible" name="28.พ.ย. 67" sheetId="28" r:id="rId31"/>
    <sheet state="visible" name="29.พ.ย. 67" sheetId="29" r:id="rId32"/>
    <sheet state="visible" name="30 .พ.ย. 67" sheetId="30" r:id="rId33"/>
  </sheets>
  <definedNames/>
  <calcPr/>
  <extLst>
    <ext uri="GoogleSheetsCustomDataVersion2">
      <go:sheetsCustomData xmlns:go="http://customooxmlschemas.google.com/" r:id="rId34" roundtripDataChecksum="uH0NP+o9pB3A2iMnEC/9Z2pYZlHaoFnPyiFNvKxzkNs="/>
    </ext>
  </extLst>
</workbook>
</file>

<file path=xl/sharedStrings.xml><?xml version="1.0" encoding="utf-8"?>
<sst xmlns="http://schemas.openxmlformats.org/spreadsheetml/2006/main" count="3408" uniqueCount="1202">
  <si>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31 ต.ค.  -  2 พ.ย.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</si>
  <si>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</si>
  <si>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</si>
  <si>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</si>
  <si>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</si>
  <si>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</si>
  <si>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</si>
  <si>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ผู้บันทึก</t>
  </si>
  <si>
    <t>หมายเหตุเพิ่มเติม</t>
  </si>
  <si>
    <t>Cash</t>
  </si>
  <si>
    <t>Credit Card</t>
  </si>
  <si>
    <t>Tranfer Money</t>
  </si>
  <si>
    <t>E-WALLET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</si>
  <si>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</si>
  <si>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</si>
  <si>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</si>
  <si>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</si>
  <si>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</si>
  <si>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</si>
  <si>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</si>
  <si>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</si>
  <si>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</si>
  <si>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</si>
  <si>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>STHBKK012410000851</t>
  </si>
  <si>
    <t>นาย สุเมธ จันทร์งาม</t>
  </si>
  <si>
    <t>Ketbkk</t>
  </si>
  <si>
    <t>STHBKK012410000852</t>
  </si>
  <si>
    <t>นางสาว สุพรรณษา ไพศาล</t>
  </si>
  <si>
    <t>TOYBKK</t>
  </si>
  <si>
    <t>STHBKK012410000853</t>
  </si>
  <si>
    <t>บริษัท เค.ที.คอนแทคท์เวิลด์ จำกัด (สำนักงานใหญ่)</t>
  </si>
  <si>
    <t>STHBKK012410000854</t>
  </si>
  <si>
    <t>นาย ยงยุทธ  อรธรรมรัตน์</t>
  </si>
  <si>
    <t>STHBKK012411000001</t>
  </si>
  <si>
    <t>นางสาว สมพร สุพงศ์พาณิช</t>
  </si>
  <si>
    <t>bkk-aoeng</t>
  </si>
  <si>
    <t>STHBKK012411000002</t>
  </si>
  <si>
    <t>นางสาว อารมณ์  ใจซื่อ</t>
  </si>
  <si>
    <t>NEWBKK</t>
  </si>
  <si>
    <t>STHBKK012411000003</t>
  </si>
  <si>
    <t>นาง ศรีประภา  มณีวงษ์</t>
  </si>
  <si>
    <t>STHBKK012411000004</t>
  </si>
  <si>
    <t>นางสาว พรนิภา หาญประยุทธ</t>
  </si>
  <si>
    <t>STHBKK012411000005</t>
  </si>
  <si>
    <t>นาย ศุภศิษฎ์ ภูชฎาภิรมย์</t>
  </si>
  <si>
    <t>STHBKK012411000006</t>
  </si>
  <si>
    <t>นาย อนุศิษฎ์  อนันตะ</t>
  </si>
  <si>
    <t>STHBKK012411000008</t>
  </si>
  <si>
    <t>นาง อมร ชัยศรี</t>
  </si>
  <si>
    <t>Meiy</t>
  </si>
  <si>
    <t>STHBKK012411000009</t>
  </si>
  <si>
    <t>นางสาว ธันย์ณิชา ชำนาญป่า</t>
  </si>
  <si>
    <t>STHBKK012411000010</t>
  </si>
  <si>
    <t>นาย สหชัย ม่วงกล่ำ</t>
  </si>
  <si>
    <t>STHBKK012411000011</t>
  </si>
  <si>
    <t>นาย ชุติเมธ ดียิ่ง</t>
  </si>
  <si>
    <t>STHBKK012411000012</t>
  </si>
  <si>
    <t>นาง ฐานมญ ชลคีรี</t>
  </si>
  <si>
    <t>STHBKK012411000013</t>
  </si>
  <si>
    <t>นาย พิชิต ผิวสุข</t>
  </si>
  <si>
    <t>STHBKK012411000014</t>
  </si>
  <si>
    <t>STHBKK012411000015</t>
  </si>
  <si>
    <t>นางสาว มัลลิกา พลรัตน์</t>
  </si>
  <si>
    <t>STHBKK012411000016</t>
  </si>
  <si>
    <t>STHBKK012411000018</t>
  </si>
  <si>
    <t>นางสาว ศุภาพิชญ์ วุฒิอนุสรณ์</t>
  </si>
  <si>
    <t>STHBKK012411000019</t>
  </si>
  <si>
    <t>นาย ณฐพนธ์ ศรีศักดา</t>
  </si>
  <si>
    <t>STHBKK012411000021</t>
  </si>
  <si>
    <t>นางสาว นุชจรี ไม้เท้าทิพย์</t>
  </si>
  <si>
    <t>STHBKK012411000022</t>
  </si>
  <si>
    <t>นาง ฉัตรวิสาระ อยู่สบาย</t>
  </si>
  <si>
    <t>STHBKK012411000024</t>
  </si>
  <si>
    <t>ห้างหุ้นส่วน ปูแดงพารวย ( สำนักงานใหญ่)</t>
  </si>
  <si>
    <t>STHBKK012411000025</t>
  </si>
  <si>
    <t>นาย สิปปภาส  โรจนวสุธร</t>
  </si>
  <si>
    <t>STHBKK012411000028</t>
  </si>
  <si>
    <t>นาง ขนิษฐา นันทะ</t>
  </si>
  <si>
    <t>STHBKK012411000029</t>
  </si>
  <si>
    <t>นางสาว กัญจน์ณัฏฐ์ บุญเชียงมา</t>
  </si>
  <si>
    <t>STHBKK012411000030</t>
  </si>
  <si>
    <t>นางสาว มัฐยา ลาศา</t>
  </si>
  <si>
    <t>STHBKK012411000031</t>
  </si>
  <si>
    <t>STHBKK012411000032</t>
  </si>
  <si>
    <t>นาง กานดา วงศ์เทพนิวัติ</t>
  </si>
  <si>
    <t>STHBKK012411000034</t>
  </si>
  <si>
    <t>บริษัท ดีเวย์ ริชคอร์ป จำกัด(สำนักงานใหญ่)</t>
  </si>
  <si>
    <t>STHBKK012411000035</t>
  </si>
  <si>
    <t>บริษัท  รินทร์รฐา กรุ๊ป จำกัด(สำนักงานใหญ่)</t>
  </si>
  <si>
    <t>STHBKK012411000036</t>
  </si>
  <si>
    <t>นางสาว ภัทรอาภา  ทวีธนาพร</t>
  </si>
  <si>
    <t>STHBKK012411000037</t>
  </si>
  <si>
    <t>นางสาว สุชานันท์ สะตะ</t>
  </si>
  <si>
    <t>STHBKK012411000038</t>
  </si>
  <si>
    <t>นาย ธนาศุภเดช ภุชพัชราธาดาณัช</t>
  </si>
  <si>
    <t>STHBKK012411000039</t>
  </si>
  <si>
    <t>นาย วรเชษฐ์ ทองหล่อ</t>
  </si>
  <si>
    <t>STHBKK012411000040</t>
  </si>
  <si>
    <t>นาย สาธิต โตตรุชัย</t>
  </si>
  <si>
    <t>STHBKK012411000041</t>
  </si>
  <si>
    <t>บริษัท เค24 โกลบอล จำกัด (สำนักงานใหญ่)</t>
  </si>
  <si>
    <t>STHONLIN2410000448</t>
  </si>
  <si>
    <t>บริษัท แก้วแกมทอง เทรดดิ้ง จำกัด (สำนักงานใหญ่)</t>
  </si>
  <si>
    <t>STHONLIN2410000450</t>
  </si>
  <si>
    <t>นาย บูชาติ หาดสร้อย</t>
  </si>
  <si>
    <t>STHONLIN2410000452</t>
  </si>
  <si>
    <t>นางสาว พิมพ์ชญา  สุริยปรีชาพงษ์</t>
  </si>
  <si>
    <t>STHONLIN2410000453</t>
  </si>
  <si>
    <t>นาย สงขลา กายพันธุ์</t>
  </si>
  <si>
    <t>STHONLIN2410000454</t>
  </si>
  <si>
    <t>นาง สายฝน ขุงชัยภูมิ</t>
  </si>
  <si>
    <t>STHONLIN2411000015</t>
  </si>
  <si>
    <t>นาย ธนบูลย์ แสงฐิตาพันธุ์</t>
  </si>
  <si>
    <t>STHONLIN2411000016</t>
  </si>
  <si>
    <t>STHONLIN2411000017</t>
  </si>
  <si>
    <t>นาย วัชรชัย ขุนศรีรักษา</t>
  </si>
  <si>
    <t>STHONLIN2411000018</t>
  </si>
  <si>
    <t>STHONLIN2411000019</t>
  </si>
  <si>
    <t>นาย สมศักดิ์ เจริญสุข</t>
  </si>
  <si>
    <t>STHONLIN2411000022</t>
  </si>
  <si>
    <t>นาย ติณณวิชญ์ อนันต์พิชัยเดช</t>
  </si>
  <si>
    <t>STHONLIN2411000023</t>
  </si>
  <si>
    <t>STHONLIN2411000024</t>
  </si>
  <si>
    <t xml:space="preserve"> </t>
  </si>
  <si>
    <t xml:space="preserve">ผู้ดึงบิลทางบ้าน (บิล เหม่ย )    </t>
  </si>
  <si>
    <t>----</t>
  </si>
  <si>
    <t xml:space="preserve">ผู้เรียงบิล     </t>
  </si>
  <si>
    <t>นิ้ว</t>
  </si>
  <si>
    <t xml:space="preserve">ผู้สรุปยอด บิลออนไลน์    </t>
  </si>
  <si>
    <t>เอิง</t>
  </si>
  <si>
    <t xml:space="preserve">ผู้ดึงยอด      </t>
  </si>
  <si>
    <t xml:space="preserve">ผู้หยอดบิลลงเดลี่         </t>
  </si>
  <si>
    <t>เอิง/กะตอย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</si>
  <si>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</si>
  <si>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ผู้ตรวจสอบความเรียบร้อยก่อนส่งบัญชี    </t>
  </si>
  <si>
    <t xml:space="preserve">ผู้สรุปยอด E-WALLET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</si>
  <si>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</si>
  <si>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3 พ.ย.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</si>
  <si>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STHBKK012411000042</t>
  </si>
  <si>
    <t>STHBKK012411000043</t>
  </si>
  <si>
    <t>นาย สุรวัฒน์ ตั้งพงศ์ศิรประภา</t>
  </si>
  <si>
    <t>STHBKK012411000044</t>
  </si>
  <si>
    <t>บริษัท สว่างทรัพย์ จำกัด (สำนักงานใหญ่)</t>
  </si>
  <si>
    <t>STHBKK012411000045</t>
  </si>
  <si>
    <t>นางสาว จีรวรรณ ละว้า</t>
  </si>
  <si>
    <t>STHBKK012411000046</t>
  </si>
  <si>
    <t>STHBKK012411000047</t>
  </si>
  <si>
    <t>บริษัท โคบาราเอฟโวลูชั่น (ประเทศไทย)จำกัด ( สำนักงานใหญ่ )</t>
  </si>
  <si>
    <t>STHBKK012411000048</t>
  </si>
  <si>
    <t>บริษัท พิมปรีชา จำกัด (สำนักงานใหญ่)</t>
  </si>
  <si>
    <t>STHBKK012411000050</t>
  </si>
  <si>
    <t>นางสาว จิราภรณ์ เขาทอง</t>
  </si>
  <si>
    <t>STHBKK012411000051</t>
  </si>
  <si>
    <t>นาย ธนวรรธน์  ปราชญ์เรืองนนท์</t>
  </si>
  <si>
    <t>STHBKK012411000053</t>
  </si>
  <si>
    <t>ห้างหุ้นส่วนจำกัด ปูแดงพารวย ( สำนักงานใหญ่)</t>
  </si>
  <si>
    <t>STHONLIN2411000026</t>
  </si>
  <si>
    <t>STHONLIN2411000027</t>
  </si>
  <si>
    <t xml:space="preserve">ผู้ดึงบิลทางบ้าน (บิล เหมย )    </t>
  </si>
  <si>
    <t>เกษ</t>
  </si>
  <si>
    <t>กะตอย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</si>
  <si>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</si>
  <si>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นิ้ว/เกษ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</si>
  <si>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4 พ.ย.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</si>
  <si>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STHBKK012411000054</t>
  </si>
  <si>
    <t>นาย อพิรุณ  คชสิทธิ์</t>
  </si>
  <si>
    <t>STHBKK012411000055</t>
  </si>
  <si>
    <t>นางสาว นภาไพลิน  กาละวันต์</t>
  </si>
  <si>
    <t>STHBKK012411000056</t>
  </si>
  <si>
    <t>นาย สรรเสริญ  จันทร์แดง</t>
  </si>
  <si>
    <t>STHBKK012411000057</t>
  </si>
  <si>
    <t>นาย ภัทรพล ชัยมโนภิรมย์</t>
  </si>
  <si>
    <t>STHBKK012411000058</t>
  </si>
  <si>
    <t>Ms. TAI THI XUAN HUE</t>
  </si>
  <si>
    <t>STHBKK012411000059</t>
  </si>
  <si>
    <t>STHBKK012411000060</t>
  </si>
  <si>
    <t>นางสาว พัชรมณฑ์ พรมทา</t>
  </si>
  <si>
    <t>STHBKK012411000061</t>
  </si>
  <si>
    <t>STHBKK012411000062</t>
  </si>
  <si>
    <t>STHBKK012411000064</t>
  </si>
  <si>
    <t>STHONLIN2411000028</t>
  </si>
  <si>
    <t>นาย อำพล ทรายทอง</t>
  </si>
  <si>
    <t>STHONLIN2411000030</t>
  </si>
  <si>
    <t>STHONLIN2411000031</t>
  </si>
  <si>
    <t>นาง ไขนภา สุทธิอาคาร</t>
  </si>
  <si>
    <t>STHONLIN2411000032</t>
  </si>
  <si>
    <t>นางสาว สุนันท์ พรมทา</t>
  </si>
  <si>
    <t>STHONLIN2411000033</t>
  </si>
  <si>
    <t>นางสาว ฐิติมา ทิศอุ่น</t>
  </si>
  <si>
    <t>STHONLIN2411000039</t>
  </si>
  <si>
    <t xml:space="preserve">                            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</si>
  <si>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</si>
  <si>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5 พ.ย.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</si>
  <si>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STHBKK012411000065</t>
  </si>
  <si>
    <t>นาย ชัยพิชิต​  ศรีชนะ</t>
  </si>
  <si>
    <t>STHBKK012411000066</t>
  </si>
  <si>
    <t>ห้างหุ้นส่วน ไดม่อนอันดามัน เน็ตเวิร์ค  (สำนักงานใหญ่)</t>
  </si>
  <si>
    <t>STHBKK012411000067</t>
  </si>
  <si>
    <t>นางสาว วรรณา ต๊ะแก้ว</t>
  </si>
  <si>
    <t>STHBKK012411000068</t>
  </si>
  <si>
    <t>STHBKK012411000069</t>
  </si>
  <si>
    <t xml:space="preserve">นาย ทนงศักดิ์ รัตนบุรี		</t>
  </si>
  <si>
    <t>STHBKK012411000070</t>
  </si>
  <si>
    <t>นาย เก่งภพ ศุภาภพปภาส</t>
  </si>
  <si>
    <t>STHBKK012411000072</t>
  </si>
  <si>
    <t>นาย ไชยยันต์ รัตนชำนอง</t>
  </si>
  <si>
    <t>STHBKK012411000073</t>
  </si>
  <si>
    <t>นาย วิเชียร พูลบ่อโพธิ์</t>
  </si>
  <si>
    <t>STHBKK012411000074</t>
  </si>
  <si>
    <t>นางสาว วณัฐกมล  วิไลลักษณ์</t>
  </si>
  <si>
    <t>STHBKK012411000075</t>
  </si>
  <si>
    <t>นางสาว นพรัตน์  ศุจิภานันท์</t>
  </si>
  <si>
    <t>STHBKK012411000076</t>
  </si>
  <si>
    <t>นางสาว ภัคชัญญา เทพวรรณ์</t>
  </si>
  <si>
    <t>STHBKK012411000077</t>
  </si>
  <si>
    <t>นาง นารินี กมลสุวรรณ</t>
  </si>
  <si>
    <t>STHBKK012411000079</t>
  </si>
  <si>
    <t>นางสาว คณาง ไพรบึง</t>
  </si>
  <si>
    <t>STHBKK012411000080</t>
  </si>
  <si>
    <t>นาย สิริศักดิ์ นมพุก</t>
  </si>
  <si>
    <t>STHBKK012411000082</t>
  </si>
  <si>
    <t>STHBKK012411000084</t>
  </si>
  <si>
    <t>นาย นพดา  ช่วยขุน</t>
  </si>
  <si>
    <t>STHBKK012411000085</t>
  </si>
  <si>
    <t>นาย เอนก กอนาก</t>
  </si>
  <si>
    <t>STHBKK012411000086</t>
  </si>
  <si>
    <t>นางสาว วิไลพร ไชยะสี</t>
  </si>
  <si>
    <t>STHBKK012411000087</t>
  </si>
  <si>
    <t>บริษัท  ต.ศรีโสภณ จำกัด (สำนักงานใหญ่)</t>
  </si>
  <si>
    <t>STHBKK012411000088</t>
  </si>
  <si>
    <t>นางสาว อาภรณ์ วงษ์คำจันทร์</t>
  </si>
  <si>
    <t>STHBKK012411000089</t>
  </si>
  <si>
    <t>STHBKK012411000090</t>
  </si>
  <si>
    <t>นางสาว ชุติกาญจน์  สอนกลาง</t>
  </si>
  <si>
    <t>STHONLIN2411000041</t>
  </si>
  <si>
    <t>นาย บารมี  พิมพ์มาศ</t>
  </si>
  <si>
    <t>STHONLIN2411000043</t>
  </si>
  <si>
    <t>บริษัท เศรษฐกวี จำกัด ( สำนักงานใหญ่ )</t>
  </si>
  <si>
    <t>STHONLIN2411000044</t>
  </si>
  <si>
    <t>นางสาว จุฑารัตน์ ตรงดี</t>
  </si>
  <si>
    <t>STHONLIN2411000045</t>
  </si>
  <si>
    <t>STHONLIN2411000046</t>
  </si>
  <si>
    <t>STHONLIN2411000047</t>
  </si>
  <si>
    <t>STHONLIN2411000048</t>
  </si>
  <si>
    <t>STHONLIN2411000049</t>
  </si>
  <si>
    <t>บริษัท สยามทวีทิพย์ จำกัด(สำนักงานใหญ่)</t>
  </si>
  <si>
    <t>STHONLIN2411000054</t>
  </si>
  <si>
    <t>STHONLIN2411000055</t>
  </si>
  <si>
    <t>STHONLIN2411000056</t>
  </si>
  <si>
    <t>นาง จุฑารัตน์ รัตนบุรี</t>
  </si>
  <si>
    <t xml:space="preserve">            </t>
  </si>
  <si>
    <t>กะตอย/นิ้ว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</si>
  <si>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</si>
  <si>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6 พ.ย.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</si>
  <si>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STHBKK012411000092</t>
  </si>
  <si>
    <t>STHBKK012411000094</t>
  </si>
  <si>
    <t>STHBKK012411000096</t>
  </si>
  <si>
    <t>นาย ธีรศักดิ์ สุดตลอด</t>
  </si>
  <si>
    <t>STHBKK012411000097</t>
  </si>
  <si>
    <t>จันทร์เพ็ญ วิลัยกุล</t>
  </si>
  <si>
    <t>STHBKK012411000098</t>
  </si>
  <si>
    <t>สนั่น ปริมาณ</t>
  </si>
  <si>
    <t>STHBKK012411000099</t>
  </si>
  <si>
    <t>นาย ปัฐเมส  เอี่ยมตุ้มรัตน์</t>
  </si>
  <si>
    <t>STHBKK012411000100</t>
  </si>
  <si>
    <t>นางสาว ปรางค์วลิน  ม่วงนิ่ม</t>
  </si>
  <si>
    <t>STHBKK012411000101</t>
  </si>
  <si>
    <t>นางสาว พิชาวีร์ บวรธีราเศรษฐ์</t>
  </si>
  <si>
    <t>STHBKK012411000102</t>
  </si>
  <si>
    <t>นาง กิมเล้ง ศรีม่วง</t>
  </si>
  <si>
    <t>STHBKK012411000103</t>
  </si>
  <si>
    <t>นางสาว วิลาวัณย์ กันหาเวียง</t>
  </si>
  <si>
    <t>STHONLIN2411000059</t>
  </si>
  <si>
    <t>นาย ไชยพงศ์ รุ่งอำพินธ์</t>
  </si>
  <si>
    <t>STHONLIN2411000061</t>
  </si>
  <si>
    <t>บริษัท เอ.ซี.พี.เค จำกัด (สำนักงานใหญ่)</t>
  </si>
  <si>
    <t>STHONLIN2411000062</t>
  </si>
  <si>
    <t>บุญเหลือ บุญราช</t>
  </si>
  <si>
    <t>-----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</si>
  <si>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</si>
  <si>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7 พ.ย.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</si>
  <si>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STHBKK012411000104</t>
  </si>
  <si>
    <t>STHBKK012411000105</t>
  </si>
  <si>
    <t>นาย ฉัตรชัย  ม่องคำหมื่น</t>
  </si>
  <si>
    <t>STHBKK012411000106</t>
  </si>
  <si>
    <t>นาย พีรพงศ์ ไชยประเสริฐ</t>
  </si>
  <si>
    <t>STHBKK012411000107</t>
  </si>
  <si>
    <t>STHBKK012411000108</t>
  </si>
  <si>
    <t>ลัดดา เจริญโชติทรัพย์</t>
  </si>
  <si>
    <t>STHBKK012411000109</t>
  </si>
  <si>
    <t>นาย นพดล พวงศรี</t>
  </si>
  <si>
    <t>STHBKK012411000110</t>
  </si>
  <si>
    <t>STHBKK012411000111</t>
  </si>
  <si>
    <t>STHBKK012411000112</t>
  </si>
  <si>
    <t>STHBKK012411000114</t>
  </si>
  <si>
    <t>STHBKK012411000115</t>
  </si>
  <si>
    <t>นาย สามภพ คงเมือง</t>
  </si>
  <si>
    <t>STHBKK012411000116</t>
  </si>
  <si>
    <t>STHBKK012411000117</t>
  </si>
  <si>
    <t>นาย พีรพงศ์ ภรประเสริฐศรี</t>
  </si>
  <si>
    <t>STHBKK012411000118</t>
  </si>
  <si>
    <t>STHBKK012411000119</t>
  </si>
  <si>
    <t>STHBKK012411000120</t>
  </si>
  <si>
    <t>นางสาว นฤมล พุ่มแสง</t>
  </si>
  <si>
    <t>STHBKK012411000121</t>
  </si>
  <si>
    <t>STHBKK012411000122</t>
  </si>
  <si>
    <t>STHBKK012411000124</t>
  </si>
  <si>
    <t>STHBKK012411000125</t>
  </si>
  <si>
    <t>นางสาว ธนกร บณชัยเจริญ</t>
  </si>
  <si>
    <t>STHONLIN2411000065</t>
  </si>
  <si>
    <t>STHONLIN2411000066</t>
  </si>
  <si>
    <t>STHONLIN2411000067</t>
  </si>
  <si>
    <t>นาย ปริญพัชร์ ศรีศุภณัฐธนากุล</t>
  </si>
  <si>
    <t>STHONLIN2411000068</t>
  </si>
  <si>
    <t>นาย ไพรัตน์ หาดสร้อย</t>
  </si>
  <si>
    <t>STHONLIN2411000069</t>
  </si>
  <si>
    <t>STHONLIN2411000070</t>
  </si>
  <si>
    <t>นาง พรทิพย์ ฤทธิรณ</t>
  </si>
  <si>
    <t>STHONLIN2411000071</t>
  </si>
  <si>
    <t>STHONLIN2411000072</t>
  </si>
  <si>
    <t>STHONLIN2411000073</t>
  </si>
  <si>
    <t>นาง ทิพยาภรณ์ ฆ้องวงษ์</t>
  </si>
  <si>
    <t>STHONLIN2411000074</t>
  </si>
  <si>
    <t>STHONLIN2411000075</t>
  </si>
  <si>
    <t>STHONLIN2411000076</t>
  </si>
  <si>
    <t>STHONLIN2411000078</t>
  </si>
  <si>
    <t>นาย ภาวัต นานาภัทรชัย</t>
  </si>
  <si>
    <t>STHONLIN2411000079</t>
  </si>
  <si>
    <t>นาย สุวชัช  อมตวงษ์</t>
  </si>
  <si>
    <t>STHONLIN2411000080</t>
  </si>
  <si>
    <t>STHONLIN2411000081</t>
  </si>
  <si>
    <t>STHONLIN2411000082</t>
  </si>
  <si>
    <t>นาง บุญจันทร์  อุนาสิทธิ์</t>
  </si>
  <si>
    <t>STHONLIN2411000083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</si>
  <si>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</si>
  <si>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8 พ.ย.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</si>
  <si>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STHBKK012411000127</t>
  </si>
  <si>
    <t>STHBKK012411000128</t>
  </si>
  <si>
    <t>STHBKK012411000130</t>
  </si>
  <si>
    <t>STHBKK012411000131</t>
  </si>
  <si>
    <t>นาย นิรันดร์ สันอัด</t>
  </si>
  <si>
    <t>STHBKK012411000132</t>
  </si>
  <si>
    <t>นางสาว มาเรียม ยิ้มสาระ</t>
  </si>
  <si>
    <t>STHBKK012411000133</t>
  </si>
  <si>
    <t>สหกรณ์การเกษตร ศรีประจันต์ จำกัด(สำนักงานใหญ่)</t>
  </si>
  <si>
    <t>STHBKK012411000135</t>
  </si>
  <si>
    <t>นางสาว สุดาวรรณ์  จันทร์แดง</t>
  </si>
  <si>
    <t>STHBKK012411000136</t>
  </si>
  <si>
    <t>นาง ปานรดา อินธิมนต์</t>
  </si>
  <si>
    <t>STHBKK012411000137</t>
  </si>
  <si>
    <t>นางสาว พิมลพัตร พยัคเวชวิกรณ์</t>
  </si>
  <si>
    <t>STHBKK012411000138</t>
  </si>
  <si>
    <t>STHBKK012411000139</t>
  </si>
  <si>
    <t>นาย สรรณ สินธุรัตน์</t>
  </si>
  <si>
    <t>STHBKK012411000140</t>
  </si>
  <si>
    <t>นาย เอกสิทธิ์ ชำนาญผา</t>
  </si>
  <si>
    <t>STHBKK012411000142</t>
  </si>
  <si>
    <t>STHBKK012411000143</t>
  </si>
  <si>
    <t>MRS. THET  THET   MYINT</t>
  </si>
  <si>
    <t>STHBKK012411000144</t>
  </si>
  <si>
    <t>นาย จักรกฤษณ์ ผิวเขียว</t>
  </si>
  <si>
    <t>STHBKK012411000145</t>
  </si>
  <si>
    <t>STHBKK012411000146</t>
  </si>
  <si>
    <t>STHONLIN2411000084</t>
  </si>
  <si>
    <t>STHONLIN2411000085</t>
  </si>
  <si>
    <t>STHONLIN2411000086</t>
  </si>
  <si>
    <t>นาย สิรภพ สุดใจ</t>
  </si>
  <si>
    <t>STHONLIN2411000087</t>
  </si>
  <si>
    <t>นาย สุรพล จันทรานุรักษ์</t>
  </si>
  <si>
    <t>STHONLIN2411000089</t>
  </si>
  <si>
    <t>STHONLIN2411000090</t>
  </si>
  <si>
    <t>นาย สมยศ อภิรัชนากุล</t>
  </si>
  <si>
    <t>STHONLIN2411000091</t>
  </si>
  <si>
    <t>นางสาว อรณิกร บุญเกษม</t>
  </si>
  <si>
    <t>STHONLIN2411000093</t>
  </si>
  <si>
    <t>นางสาว วาสนา บุญเกษม</t>
  </si>
  <si>
    <t>STHONLIN2411000097</t>
  </si>
  <si>
    <t>นางสาว น้อง คงมา</t>
  </si>
  <si>
    <t>ตอย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</si>
  <si>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</si>
  <si>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9 พ.ย.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</si>
  <si>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STHBKK012411000147</t>
  </si>
  <si>
    <t>STHBKK012411000148</t>
  </si>
  <si>
    <t>นางสาว ฤทัยทิพย์ นาโพธิ์</t>
  </si>
  <si>
    <t>STHBKK012411000149</t>
  </si>
  <si>
    <t>STHBKK012411000150</t>
  </si>
  <si>
    <t>นาย พิสิฐพงษ์  ยอดจันทร์</t>
  </si>
  <si>
    <t>STHBKK012411000151</t>
  </si>
  <si>
    <t>STHBKK012411000155</t>
  </si>
  <si>
    <t>STHONLIN2411000100</t>
  </si>
  <si>
    <t>STHONLIN2411000101</t>
  </si>
  <si>
    <t>STHONLIN2411000102</t>
  </si>
  <si>
    <t>STHONLIN2411000104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</si>
  <si>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</si>
  <si>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DAILY  SALE   9 พ.ย. 2567 ABB &amp; THE WELLNESS ณ รร.42C จ.นครสวรรค์ </t>
  </si>
  <si>
    <t>STHBKK012411000153</t>
  </si>
  <si>
    <t>STHBKK012411000154</t>
  </si>
  <si>
    <t>ผู้ดึงบิลทางบ้าน (บิล เหม่ย )</t>
  </si>
  <si>
    <t>ผู้เรียงบิล</t>
  </si>
  <si>
    <t>ผู้สรุปยอด บิลออนไลน์</t>
  </si>
  <si>
    <t>ผู้ดึงยอด</t>
  </si>
  <si>
    <t>ผู้หยอดบิลลงเดลี่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</si>
  <si>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</si>
  <si>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ผู้ตรวจสอบความเรียบร้อยก่อนส่งบัญชี</t>
  </si>
  <si>
    <t>ผู้สรุปยอด E-WALLET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</si>
  <si>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 SALE   10 พ.ย. 2567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</si>
  <si>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STHBKK012411000156</t>
  </si>
  <si>
    <t>มธุรา ชาติสุทธิ์</t>
  </si>
  <si>
    <t>STHBKK012411000157</t>
  </si>
  <si>
    <t>STHBKK012411000161</t>
  </si>
  <si>
    <t>STHBKK012411000162</t>
  </si>
  <si>
    <t>นางสาว กรรณิการ์ คล้ายแก้ว</t>
  </si>
  <si>
    <t>STHBKK012411000164</t>
  </si>
  <si>
    <t>STHBKK012411000165</t>
  </si>
  <si>
    <t>นางสาว พรพรรณ แก้วเพชร</t>
  </si>
  <si>
    <t>STHBKK012411000166</t>
  </si>
  <si>
    <t>นางสาว จำเรียง อินทปัตย์</t>
  </si>
  <si>
    <t>STHBKK012411000167</t>
  </si>
  <si>
    <t>STHBKK012411000168</t>
  </si>
  <si>
    <t>STHBKK012411000169</t>
  </si>
  <si>
    <t>STHBKK012411000171</t>
  </si>
  <si>
    <t>นางสาว พิกุล กลิ่นฟุ้ง</t>
  </si>
  <si>
    <t>STHBKK012411000172</t>
  </si>
  <si>
    <t>นาง อรุณพรรณ  กิ่งแก้ว</t>
  </si>
  <si>
    <t>STHBKK012411000174</t>
  </si>
  <si>
    <t>STHONLIN2411000106</t>
  </si>
  <si>
    <t>นาง สิริรัตน์ อินทร์ศักดิ์</t>
  </si>
  <si>
    <t>STHONLIN2411000107</t>
  </si>
  <si>
    <t>STHONLIN2411000111</t>
  </si>
  <si>
    <t>นาง อสมากร สุขาล</t>
  </si>
  <si>
    <t>STHONLIN2411000113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</si>
  <si>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</si>
  <si>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DAILY  SALE   11 พ.ย. 2567</t>
  </si>
  <si>
    <t>STHBKK012411000175</t>
  </si>
  <si>
    <t>STHBKK012411000176</t>
  </si>
  <si>
    <t>STHBKK012411000178</t>
  </si>
  <si>
    <t>นาย นรชัย ไชยสังข์</t>
  </si>
  <si>
    <t>STHBKK012411000179</t>
  </si>
  <si>
    <t>นางสาว ลำใย  เจริญศิริ</t>
  </si>
  <si>
    <t>STHBKK012411000180</t>
  </si>
  <si>
    <t>STHBKK012411000181</t>
  </si>
  <si>
    <t>STHBKK012411000183</t>
  </si>
  <si>
    <t>STHBKK012411000184</t>
  </si>
  <si>
    <t>STHBKK012411000186</t>
  </si>
  <si>
    <t>นางสาว สุนีย์ คงคูณ</t>
  </si>
  <si>
    <t>STHBKK012411000187</t>
  </si>
  <si>
    <t>นาง กัญจนา ศุภศิษฏ์</t>
  </si>
  <si>
    <t>STHBKK012411000188</t>
  </si>
  <si>
    <t>นางสาว กนกวรรณ สำรี</t>
  </si>
  <si>
    <t>STHBKK012411000189</t>
  </si>
  <si>
    <t>STHBKK012411000191</t>
  </si>
  <si>
    <t>STHBKK012411000192</t>
  </si>
  <si>
    <t>STHBKK012411000196</t>
  </si>
  <si>
    <t>STHBKK012411000199</t>
  </si>
  <si>
    <t>STHBKK012411000200</t>
  </si>
  <si>
    <t>นาย ไทคูณ ไพรบึง</t>
  </si>
  <si>
    <t>STHONLIN2411000114</t>
  </si>
  <si>
    <t>STHONLIN2411000115</t>
  </si>
  <si>
    <t>นาย ภวินท์สุข ตั้งพงษ์ศิรประภา</t>
  </si>
  <si>
    <t>STHONLIN2411000116</t>
  </si>
  <si>
    <t>STHONLIN2411000117</t>
  </si>
  <si>
    <t>STHONLIN2411000118</t>
  </si>
  <si>
    <t>นาย ธนกร อภัยพงศ์</t>
  </si>
  <si>
    <t>STHONLIN2411000119</t>
  </si>
  <si>
    <t>STHONLIN2411000121</t>
  </si>
  <si>
    <t>STHONLIN2411000123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</si>
  <si>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</si>
  <si>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DAILY  SALE   12 พ.ย. 2567</t>
  </si>
  <si>
    <t>STHBKK012411000201</t>
  </si>
  <si>
    <t>STHBKK012411000202</t>
  </si>
  <si>
    <t>นาย สนั่นศักดิ์  สมทอง</t>
  </si>
  <si>
    <t>STHBKK012411000203</t>
  </si>
  <si>
    <t>STHBKK012411000204</t>
  </si>
  <si>
    <t>นาย ปรีชา  แก้วโกถม</t>
  </si>
  <si>
    <t>STHBKK012411000205</t>
  </si>
  <si>
    <t>นาง ศริยา  รักษาราษฎร์</t>
  </si>
  <si>
    <t>STHBKK012411000206</t>
  </si>
  <si>
    <t>นาย นิรุตติ  สมนิ่ม</t>
  </si>
  <si>
    <t>STHBKK012411000207</t>
  </si>
  <si>
    <t>STHBKK012411000208</t>
  </si>
  <si>
    <t>STHBKK012411000210</t>
  </si>
  <si>
    <t>STHBKK012411000211</t>
  </si>
  <si>
    <t>STHBKK012411000212</t>
  </si>
  <si>
    <t>นางสาว นภัทร อินทราพงษ์</t>
  </si>
  <si>
    <t>STHBKK012411000213</t>
  </si>
  <si>
    <t>นาย อุเทน ฉวีวรรณ์</t>
  </si>
  <si>
    <t>STHBKK012411000214</t>
  </si>
  <si>
    <t>STHBKK012411000215</t>
  </si>
  <si>
    <t>STHBKK012411000216</t>
  </si>
  <si>
    <t>นาง ภัคภร ทองประสม</t>
  </si>
  <si>
    <t>STHBKK012411000217</t>
  </si>
  <si>
    <t>นาย สุรัตน์  สุขเพ็ง</t>
  </si>
  <si>
    <t>STHBKK012411000219</t>
  </si>
  <si>
    <t>นาง ปภาสรณ์ จัมปะโสม</t>
  </si>
  <si>
    <t>STHBKK012411000220</t>
  </si>
  <si>
    <t>นางสาว จิดาภา ทองเบ้า</t>
  </si>
  <si>
    <t>STHBKK012411000221</t>
  </si>
  <si>
    <t>น้ำฝน เลี้ยงชั่งทอง</t>
  </si>
  <si>
    <t>STHBKK012411000222</t>
  </si>
  <si>
    <t>นาง ประยอม ศรีสะอาด</t>
  </si>
  <si>
    <t>STHBKK012411000223</t>
  </si>
  <si>
    <t>STHBKK012411000225</t>
  </si>
  <si>
    <t>STHBKK012411000226</t>
  </si>
  <si>
    <t>STHBKK012411000227</t>
  </si>
  <si>
    <t>นาย สุเมธ กลิ่นเย็น</t>
  </si>
  <si>
    <t>STHONLIN2411000124</t>
  </si>
  <si>
    <t>นางสาว ฐาปนีย์ สุขบุรี</t>
  </si>
  <si>
    <t>STHONLIN2411000125</t>
  </si>
  <si>
    <t>STHONLIN2411000126</t>
  </si>
  <si>
    <t>STHONLIN2411000127</t>
  </si>
  <si>
    <t>STHONLIN2411000128</t>
  </si>
  <si>
    <t>STHONLIN2411000129</t>
  </si>
  <si>
    <t>STHONLIN2411000130</t>
  </si>
  <si>
    <t>STHONLIN2411000131</t>
  </si>
  <si>
    <t>นาง ทูนศรี บัวนุช</t>
  </si>
  <si>
    <t>STHONLIN2411000132</t>
  </si>
  <si>
    <t>STHONLIN2411000133</t>
  </si>
  <si>
    <t>STHONLIN2411000134</t>
  </si>
  <si>
    <t>นางสาว ธนพรรษ​ ยี่ภู</t>
  </si>
  <si>
    <t>STHONLIN2411000138</t>
  </si>
  <si>
    <t>นางสาว พัชรพร สุดมี</t>
  </si>
  <si>
    <t>STHONLIN2411000139</t>
  </si>
  <si>
    <t>นาย พุฒิพัฒน์ รัตนพิริยสกุล</t>
  </si>
  <si>
    <t>STHONLIN2411000140</t>
  </si>
  <si>
    <t>นาย วิทยา เทือกสม</t>
  </si>
  <si>
    <t>นิ้ิ้ว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</si>
  <si>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</si>
  <si>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DAILY  SALE   13 พ.ย. 2567</t>
  </si>
  <si>
    <t>STHBKK012411000228</t>
  </si>
  <si>
    <t>นางสาว กุลทรัพย์  จันทะโมโส</t>
  </si>
  <si>
    <t>STHBKK012411000229</t>
  </si>
  <si>
    <t>STHBKK012411000231</t>
  </si>
  <si>
    <t>นาง ปรีชา สีวงกลาง</t>
  </si>
  <si>
    <t>STHBKK012411000232</t>
  </si>
  <si>
    <t>นางสาว เกศร วงษ์วิภาค</t>
  </si>
  <si>
    <t>STHBKK012411000233</t>
  </si>
  <si>
    <t>บริษัท ผักคะน้ากรอบ จำกัด(สำนักงานใหญ่)</t>
  </si>
  <si>
    <t>STHBKK012411000234</t>
  </si>
  <si>
    <t>STHBKK012411000235</t>
  </si>
  <si>
    <t>นางสาว กัญญ์ญภัสส์ ผลิวรรธนะ</t>
  </si>
  <si>
    <t>STHBKK012411000236</t>
  </si>
  <si>
    <t>นาย ศักรินทร์ บุญรอด</t>
  </si>
  <si>
    <t>STHBKK012411000237</t>
  </si>
  <si>
    <t>STHBKK012411000238</t>
  </si>
  <si>
    <t>STHBKK012411000239</t>
  </si>
  <si>
    <t>STHBKK012411000240</t>
  </si>
  <si>
    <t>นาย ทองปน ป้องคำ</t>
  </si>
  <si>
    <t>STHBKK012411000242</t>
  </si>
  <si>
    <t>Mr. Sirajo salisu Jibia</t>
  </si>
  <si>
    <t>STHBKK012411000243</t>
  </si>
  <si>
    <t>นาย เธียรวิชญ์ สิรินรภักดีกุล</t>
  </si>
  <si>
    <t>STHBKK012411000247</t>
  </si>
  <si>
    <t>นาย ณพัฒน์ชภณ นิลสวัสดิ์</t>
  </si>
  <si>
    <t>STHBKK012411000248</t>
  </si>
  <si>
    <t>STHONLIN2411000142</t>
  </si>
  <si>
    <t>STHONLIN2411000143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</si>
  <si>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</si>
  <si>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DAILY  SALE   14 พ.ย. 2567</t>
  </si>
  <si>
    <t>STHBKK012411000250</t>
  </si>
  <si>
    <t>นางสาว ดาณี หมัดหมัน</t>
  </si>
  <si>
    <t>STHBKK012411000251</t>
  </si>
  <si>
    <t>นาย วีระยุทธ์ พิมพ์มะดี</t>
  </si>
  <si>
    <t>STHBKK012411000252</t>
  </si>
  <si>
    <t>นางสาว ภิญญาพัชญ์ เอี่ยมกมล</t>
  </si>
  <si>
    <t>STHBKK012411000253</t>
  </si>
  <si>
    <t>นางสาว สุธรรมา กุสันเทียะ</t>
  </si>
  <si>
    <t>STHBKK012411000254</t>
  </si>
  <si>
    <t>STHBKK012411000255</t>
  </si>
  <si>
    <t>STHBKK012411000256</t>
  </si>
  <si>
    <t>นางสาว กุลนาถ ไตรทัตธนากร</t>
  </si>
  <si>
    <t>STHBKK012411000257</t>
  </si>
  <si>
    <t>STHBKK012411000258</t>
  </si>
  <si>
    <t>STHBKK012411000260</t>
  </si>
  <si>
    <t>นาง สายรุ้ง อินน้ำคบ</t>
  </si>
  <si>
    <t>STHBKK012411000263</t>
  </si>
  <si>
    <t>นางสาว กิ่งดาว  จงจิตร</t>
  </si>
  <si>
    <t>STHBKK012411000264</t>
  </si>
  <si>
    <t>นาย อินทรพิทักฐ์ คนึงคิด</t>
  </si>
  <si>
    <t>STHBKK012411000265</t>
  </si>
  <si>
    <t>STHONLIN2411000147</t>
  </si>
  <si>
    <t>STHONLIN2411000148</t>
  </si>
  <si>
    <t>นาง ทัศนา เลื่อมสำราญ</t>
  </si>
  <si>
    <t>STHONLIN2411000149</t>
  </si>
  <si>
    <t>STHONLIN2411000152</t>
  </si>
  <si>
    <t>นาย นพพล  ปิ่นทอง</t>
  </si>
  <si>
    <t>STHONLIN2411000153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</si>
  <si>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</si>
  <si>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DAILY  SALE   15 พ.ย. 2567</t>
  </si>
  <si>
    <t>STHBKK012411000266</t>
  </si>
  <si>
    <t>STHBKK012411000267</t>
  </si>
  <si>
    <t>วาสนา ดิษปัญญา</t>
  </si>
  <si>
    <t>STHBKK012411000268</t>
  </si>
  <si>
    <t>STHBKK012411000269</t>
  </si>
  <si>
    <t>STHBKK012411000270</t>
  </si>
  <si>
    <t>STHBKK012411000271</t>
  </si>
  <si>
    <t>นาย ดิลก แผ่ทอง</t>
  </si>
  <si>
    <t>STHBKK012411000272</t>
  </si>
  <si>
    <t>นาย อุเทน บุญตา</t>
  </si>
  <si>
    <t>STHONLIN2411000154</t>
  </si>
  <si>
    <t>นาย จิรพันธ์ โสมสุข</t>
  </si>
  <si>
    <t>STHONLIN2411000159</t>
  </si>
  <si>
    <t>STHONLIN2411000160</t>
  </si>
  <si>
    <t>STHONLIN2411000162</t>
  </si>
  <si>
    <t>นางสาว ริญญ์รภัส ศรีศุภณัฐธนากุล</t>
  </si>
  <si>
    <t>STHONLIN2411000163</t>
  </si>
  <si>
    <t>STHONLIN2411000165</t>
  </si>
  <si>
    <t>นาย พรพิชิต กลิ่นฟุ้ง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</si>
  <si>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</si>
  <si>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DAILY  SALE   16 พ.ย. 2567</t>
  </si>
  <si>
    <t>STHBKK012411000273</t>
  </si>
  <si>
    <t>STHBKK012411000274</t>
  </si>
  <si>
    <t>นางสาว ธันยพร เพ็งผล</t>
  </si>
  <si>
    <t>STHBKK012411000275</t>
  </si>
  <si>
    <t>STHBKK012411000276</t>
  </si>
  <si>
    <t>STHBKK012411000277</t>
  </si>
  <si>
    <t>นาง ประชุม แกล้วกสิวิทย์</t>
  </si>
  <si>
    <t>STHBKK012411000278</t>
  </si>
  <si>
    <t>นาง ณัฎฐณันธ์ วงวันดี</t>
  </si>
  <si>
    <t>STHBKK012411000279</t>
  </si>
  <si>
    <t>STHBKK012411000280</t>
  </si>
  <si>
    <t>STHBKK012411000281</t>
  </si>
  <si>
    <t>STHBKK012411000282</t>
  </si>
  <si>
    <t>นางสาว กมลวรรณ์ โพธิ์ประจักษ์</t>
  </si>
  <si>
    <t>STHBKK012411000283</t>
  </si>
  <si>
    <t>นางสาว ธัญวลัย ชัยวัชรเศรษฐี</t>
  </si>
  <si>
    <t>STHBKK012411000284</t>
  </si>
  <si>
    <t>STHBKK012411000285</t>
  </si>
  <si>
    <t>นาย ประภาส แตงหอม</t>
  </si>
  <si>
    <t>STHBKK012411000286</t>
  </si>
  <si>
    <t>นาง บุญญานุช ยอดดี</t>
  </si>
  <si>
    <t>STHBKK012411000288</t>
  </si>
  <si>
    <t>นาย นิวัติ    สมณี</t>
  </si>
  <si>
    <t>STHBKK012411000289</t>
  </si>
  <si>
    <t>STHBKK012411000291</t>
  </si>
  <si>
    <t>นางสาว โนนประภัสสร  พูนนะปันโน</t>
  </si>
  <si>
    <t>STHBKK012411000292</t>
  </si>
  <si>
    <t>STHONLIN2411000174</t>
  </si>
  <si>
    <t>STHONLIN2411000175</t>
  </si>
  <si>
    <t>นาย สุวิทย์  รองชูเพ็ง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</si>
  <si>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</si>
  <si>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DAILY  SALE   17 พ.ย. 2567</t>
  </si>
  <si>
    <t>STHBKK012411000293</t>
  </si>
  <si>
    <t>STHBKK012411000294</t>
  </si>
  <si>
    <t>STHBKK012411000295</t>
  </si>
  <si>
    <t>STHBKK012411000296</t>
  </si>
  <si>
    <t>STHBKK012411000297</t>
  </si>
  <si>
    <t>นางสาว วารุณี คูณเพิ่ม</t>
  </si>
  <si>
    <t>STHBKK012411000298</t>
  </si>
  <si>
    <t>STHBKK012411000299</t>
  </si>
  <si>
    <t>STHBKK012411000300</t>
  </si>
  <si>
    <t>STHBKK012411000301</t>
  </si>
  <si>
    <t>STHBKK012411000302</t>
  </si>
  <si>
    <t>นาย เอกชลิต ธวัชกฤตยา</t>
  </si>
  <si>
    <t>STHBKK012411000303</t>
  </si>
  <si>
    <t>STHONLIN2411000178</t>
  </si>
  <si>
    <t>STHONLIN2411000179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</si>
  <si>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</si>
  <si>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DAILY  SALE 18 พ.ย. 2567</t>
  </si>
  <si>
    <t>STHBKK012411000305</t>
  </si>
  <si>
    <t>STHBKK012411000306</t>
  </si>
  <si>
    <t>นางสาว นิภารัตน์ พละสูรย์</t>
  </si>
  <si>
    <t>STHBKK012411000307</t>
  </si>
  <si>
    <t>นาย สมชาย พิศมัย</t>
  </si>
  <si>
    <t>STHBKK012411000308</t>
  </si>
  <si>
    <t>นางสาว เพลินพิศ ไกรเพชร</t>
  </si>
  <si>
    <t>STHBKK012411000309</t>
  </si>
  <si>
    <t>STHBKK012411000310</t>
  </si>
  <si>
    <t>STHBKK012411000311</t>
  </si>
  <si>
    <t>STHBKK012411000312</t>
  </si>
  <si>
    <t>STHBKK012411000313</t>
  </si>
  <si>
    <t>STHBKK012411000314</t>
  </si>
  <si>
    <t>นาง มัลลิกา พรมมา</t>
  </si>
  <si>
    <t>STHBKK012411000315</t>
  </si>
  <si>
    <t>STHBKK012411000316</t>
  </si>
  <si>
    <t>นาง สายฝน ช่อมะกอก</t>
  </si>
  <si>
    <t>STHBKK012411000317</t>
  </si>
  <si>
    <t>นางสาว ยูรีนา เกษา</t>
  </si>
  <si>
    <t>STHBKK012411000319</t>
  </si>
  <si>
    <t>STHBKK012411000320</t>
  </si>
  <si>
    <t>นางสาว วัชรวรรณ  นิลสุ</t>
  </si>
  <si>
    <t>STHBKK012411000321</t>
  </si>
  <si>
    <t>STHBKK012411000322</t>
  </si>
  <si>
    <t>STHBKK012411000323</t>
  </si>
  <si>
    <t>STHBKK012411000324</t>
  </si>
  <si>
    <t>STHBKK012411000325</t>
  </si>
  <si>
    <t>STHBKK012411000326</t>
  </si>
  <si>
    <t>STHBKK012411000327</t>
  </si>
  <si>
    <t>STHBKK012411000328</t>
  </si>
  <si>
    <t>STHBKK012411000329</t>
  </si>
  <si>
    <t>นาย สมชาย โสภา</t>
  </si>
  <si>
    <t>STHBKK012411000330</t>
  </si>
  <si>
    <t>บริษัท เอส ซี โกรท โกลบอล จำกัด (สำนักงานใหญ่)</t>
  </si>
  <si>
    <t>STHBKK012411000332</t>
  </si>
  <si>
    <t>STHBKK012411000333</t>
  </si>
  <si>
    <t>STHBKK012411000334</t>
  </si>
  <si>
    <t>มินตรา แก้วอำนวยจิตร</t>
  </si>
  <si>
    <t>STHONLIN2411000182</t>
  </si>
  <si>
    <t>STHONLIN2411000183</t>
  </si>
  <si>
    <t>STHONLIN2411000184</t>
  </si>
  <si>
    <t>STHONLIN2411000186</t>
  </si>
  <si>
    <t>นางสาว ธิดารัตน์ สมทรัพย์</t>
  </si>
  <si>
    <t>STHONLIN2411000190</t>
  </si>
  <si>
    <t>นาง สำเนียง ยศวิชัย</t>
  </si>
  <si>
    <t>นิ้้ว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</si>
  <si>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</si>
  <si>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DAILY  SALE 19 พ.ย. 2567</t>
  </si>
  <si>
    <t>STHBKK012411000336</t>
  </si>
  <si>
    <t>STHBKK012411000337</t>
  </si>
  <si>
    <t>นางสาว สันทนา กันหาเวียง</t>
  </si>
  <si>
    <t>STHBKK012411000338</t>
  </si>
  <si>
    <t>Ms. YUA YANG</t>
  </si>
  <si>
    <t>STHBKK012411000340</t>
  </si>
  <si>
    <t>นาย ชาตรี  พิมพ์โพธิชา</t>
  </si>
  <si>
    <t>STHBKK012411000341</t>
  </si>
  <si>
    <t>STHBKK012411000342</t>
  </si>
  <si>
    <t>นาย กฤษณะ ศรีมณฑา</t>
  </si>
  <si>
    <t>STHBKK012411000344</t>
  </si>
  <si>
    <t>นาย ศักดา ตำนาญ</t>
  </si>
  <si>
    <t>STHBKK012411000345</t>
  </si>
  <si>
    <t>นาย ชาติชาย เผ่นจันทึก</t>
  </si>
  <si>
    <t>STHBKK012411000346</t>
  </si>
  <si>
    <t>STHBKK012411000347</t>
  </si>
  <si>
    <t>นาย ฤทธิกร  แก้วมะเริง</t>
  </si>
  <si>
    <t>STHBKK012411000348</t>
  </si>
  <si>
    <t>STHBKK012411000349</t>
  </si>
  <si>
    <t>นาย ธนกร วิไลรัตน์</t>
  </si>
  <si>
    <t>STHBKK012411000350</t>
  </si>
  <si>
    <t>นาย สรรค์สรวง วัชรินทรชัย</t>
  </si>
  <si>
    <t>STHBKK012411000351</t>
  </si>
  <si>
    <t>STHBKK012411000352</t>
  </si>
  <si>
    <t>นางสาว ธนาวดี  เพียรจัด</t>
  </si>
  <si>
    <t>STHBKK012411000353</t>
  </si>
  <si>
    <t>นางสาว สมคิด ยิ้มสาระ</t>
  </si>
  <si>
    <t>STHBKK012411000354</t>
  </si>
  <si>
    <t>STHBKK012411000355</t>
  </si>
  <si>
    <t>นาย ร.ต.อ ธวัช เล็กสูงเนิน</t>
  </si>
  <si>
    <t>STHBKK012411000356</t>
  </si>
  <si>
    <t>STHBKK012411000357</t>
  </si>
  <si>
    <t>STHONLIN2411000197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</si>
  <si>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</si>
  <si>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DAILY  SALE 20 พ.ย. 2567</t>
  </si>
  <si>
    <t>STHBKK012411000358</t>
  </si>
  <si>
    <t>STHBKK012411000361</t>
  </si>
  <si>
    <t>นางสาว ชรินรัตน์  น้อยคำ</t>
  </si>
  <si>
    <t>STHBKK012411000362</t>
  </si>
  <si>
    <t>นางสาว วัชรี    ด้วงนคร</t>
  </si>
  <si>
    <t>STHBKK012411000363</t>
  </si>
  <si>
    <t>STHBKK012411000364</t>
  </si>
  <si>
    <t>STHBKK012411000366</t>
  </si>
  <si>
    <t>STHBKK012411000367</t>
  </si>
  <si>
    <t>นางสาว รุ้งลาวรรณ ศรีศักดา</t>
  </si>
  <si>
    <t>STHBKK012411000369</t>
  </si>
  <si>
    <t>นาง ชลนิกาญจน์ สุวรรณประเสริฐ</t>
  </si>
  <si>
    <t>STHBKK012411000370</t>
  </si>
  <si>
    <t>นางสาว ศิริรัตน์ แก้วม่วง</t>
  </si>
  <si>
    <t>STHBKK012411000371</t>
  </si>
  <si>
    <t>นางสาว จิรภาทิชา โคดมการภัทรารัช</t>
  </si>
  <si>
    <t>STHBKK012411000372</t>
  </si>
  <si>
    <t>STHBKK012411000373</t>
  </si>
  <si>
    <t>นาง ภีรดา  เดชะนามเมือง</t>
  </si>
  <si>
    <t>STHBKK012411000374</t>
  </si>
  <si>
    <t>นางสาว ณัฐธาวี เขมะชัยเวช</t>
  </si>
  <si>
    <t>STHBKK012411000375</t>
  </si>
  <si>
    <t>Mr. BOUNTHOME SOUTHIVONGSA</t>
  </si>
  <si>
    <t>STHBKK012411000376</t>
  </si>
  <si>
    <t>STHBKK012411000377</t>
  </si>
  <si>
    <t>STHONLIN2411000199</t>
  </si>
  <si>
    <t>STHONLIN2411000200</t>
  </si>
  <si>
    <t>STHONLIN2411000202</t>
  </si>
  <si>
    <t>นาง โสภิษมิ์ชญา อนงค์นาฎวารี</t>
  </si>
  <si>
    <t>STHONLIN2411000203</t>
  </si>
  <si>
    <t>นาย ดิเรก  กรีฑา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</si>
  <si>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</si>
  <si>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DAILY  SALE 21 พ.ย. 2567</t>
  </si>
  <si>
    <t>STHBKK012411000378</t>
  </si>
  <si>
    <t>นาย วิเชษฐ สกุลหอม</t>
  </si>
  <si>
    <t>STHBKK012411000379</t>
  </si>
  <si>
    <t>STHBKK012411000380</t>
  </si>
  <si>
    <t>นาย พิสิฐ โฉ่พลกรัง</t>
  </si>
  <si>
    <t>STHBKK012411000382</t>
  </si>
  <si>
    <t>นาย อัครวิทย์  วิริยะ</t>
  </si>
  <si>
    <t>STHBKK012411000383</t>
  </si>
  <si>
    <t>นางสาว วงเดือน บุญพารา</t>
  </si>
  <si>
    <t>STHBKK012411000384</t>
  </si>
  <si>
    <t>STHBKK012411000385</t>
  </si>
  <si>
    <t>STHBKK012411000386</t>
  </si>
  <si>
    <t>ธนวรรธน์ สุขจิตร</t>
  </si>
  <si>
    <t>STHBKK012411000387</t>
  </si>
  <si>
    <t>STHBKK012411000388</t>
  </si>
  <si>
    <t>STHBKK012411000389</t>
  </si>
  <si>
    <t>STHBKK012411000390</t>
  </si>
  <si>
    <t>STHBKK012411000392</t>
  </si>
  <si>
    <t>นาย ชาญวิทย์  โตเพชร</t>
  </si>
  <si>
    <t>STHBKK012411000393</t>
  </si>
  <si>
    <t>STHBKK012411000394</t>
  </si>
  <si>
    <t>STHBKK012411000395</t>
  </si>
  <si>
    <t>STHBKK012411000396</t>
  </si>
  <si>
    <t>STHBKK012411000397</t>
  </si>
  <si>
    <t>STHONLIN2411000210</t>
  </si>
  <si>
    <t>STHONLIN2411000212</t>
  </si>
  <si>
    <t>นางสาว กาญจนา บุญเกษม</t>
  </si>
  <si>
    <t>STHONLIN2411000214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</si>
  <si>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</si>
  <si>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DAILY  SALE 22 พ.ย. 2567</t>
  </si>
  <si>
    <t>STHBKK012411000401</t>
  </si>
  <si>
    <t>STHBKK012411000402</t>
  </si>
  <si>
    <t>นาย สมาน รัตนวัน</t>
  </si>
  <si>
    <t>STHBKK012411000403</t>
  </si>
  <si>
    <t>STHBKK012411000404</t>
  </si>
  <si>
    <t>STHBKK012411000405</t>
  </si>
  <si>
    <t>STHBKK012411000408</t>
  </si>
  <si>
    <t>นาย สมพร ละเอียด</t>
  </si>
  <si>
    <t>STHBKK012411000410</t>
  </si>
  <si>
    <t>นางสาว จินแก้ว เริ่มหาสุข</t>
  </si>
  <si>
    <t>STHBKK012411000412</t>
  </si>
  <si>
    <t>ห้างหุ้นส่วน รีลิกธีน  (สำนักงานใหญ่)</t>
  </si>
  <si>
    <t>STHBKK012411000413</t>
  </si>
  <si>
    <t>นาย ธิติวัฒน์  รัตนภูมิ</t>
  </si>
  <si>
    <t>STHBKK012411000414</t>
  </si>
  <si>
    <t>STHBKK012411000415</t>
  </si>
  <si>
    <t>นาย สกลสักก์ สาครเรืองสิรี</t>
  </si>
  <si>
    <t>STHBKK012411000416</t>
  </si>
  <si>
    <t>STHBKK012411000417</t>
  </si>
  <si>
    <t>STHBKK012411000418</t>
  </si>
  <si>
    <t>STHBKK012411000419</t>
  </si>
  <si>
    <t>นาง วรวีร์ สุขประเสริฐ</t>
  </si>
  <si>
    <t>STHBKK012411000421</t>
  </si>
  <si>
    <t>STHBKK012411000423</t>
  </si>
  <si>
    <t>นาย เอกกวี เจริญผล</t>
  </si>
  <si>
    <t>STHBKK012411000426</t>
  </si>
  <si>
    <t>นางสาว ดวงพร   แก้วเจริญ</t>
  </si>
  <si>
    <t>STHBKK012411000427</t>
  </si>
  <si>
    <t>STHONLIN2411000218</t>
  </si>
  <si>
    <t>STHONLIN2411000219</t>
  </si>
  <si>
    <t>STHONLIN2411000222</t>
  </si>
  <si>
    <t>นาย กฤษดา ดอนสุวรรณ</t>
  </si>
  <si>
    <t>STHONLIN2411000223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</si>
  <si>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</si>
  <si>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นิ้ว </t>
  </si>
  <si>
    <t xml:space="preserve">   DAILY  SALE 23 พ.ย. 2567</t>
  </si>
  <si>
    <t>STHBKK012411000429</t>
  </si>
  <si>
    <t>นาย ปานทอง ภูแสงสั้น</t>
  </si>
  <si>
    <t>STHBKK012411000430</t>
  </si>
  <si>
    <t>นาย อดุลย์ คุณสุข</t>
  </si>
  <si>
    <t>STHBKK012411000431</t>
  </si>
  <si>
    <t>นางสาว สุปรานี เขียวแดง</t>
  </si>
  <si>
    <t>STHBKK012411000432</t>
  </si>
  <si>
    <t>STHBKK012411000434</t>
  </si>
  <si>
    <t>STHBKK012411000435</t>
  </si>
  <si>
    <t>STHBKK012411000436</t>
  </si>
  <si>
    <t>นาย บุญสม อุดมรักษ์</t>
  </si>
  <si>
    <t>STHBKK012411000438</t>
  </si>
  <si>
    <t>STHBKK012411000440</t>
  </si>
  <si>
    <t>STHBKK012411000441</t>
  </si>
  <si>
    <t>นางสาว ธันยาพร สีแก้ว</t>
  </si>
  <si>
    <t>STHBKK012411000442</t>
  </si>
  <si>
    <t>นาย คมสันช์  ชาญธนโชค</t>
  </si>
  <si>
    <t>STHBKK012411000444</t>
  </si>
  <si>
    <t>นาง อารมณ์  ประดิษฐ์</t>
  </si>
  <si>
    <t>STHBKK012411000445</t>
  </si>
  <si>
    <t>STHBKK012411000446</t>
  </si>
  <si>
    <t>นาย ทิวา เตียววิไล</t>
  </si>
  <si>
    <t>STHBKK012411000449</t>
  </si>
  <si>
    <t>นาย ธีรภัทร วิสัยหมั่น</t>
  </si>
  <si>
    <t>STHONLIN2411000225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</si>
  <si>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</si>
  <si>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DAILY  SALE 24 พ.ย. 2567</t>
  </si>
  <si>
    <t>STHBKK012411000450</t>
  </si>
  <si>
    <t>STHBKK012411000451</t>
  </si>
  <si>
    <t>STHBKK012411000452</t>
  </si>
  <si>
    <t>STHBKK012411000453</t>
  </si>
  <si>
    <t>นาง สุภาพร ทองคำพิน</t>
  </si>
  <si>
    <t>STHBKK012411000454</t>
  </si>
  <si>
    <t>STHBKK012411000455</t>
  </si>
  <si>
    <t>นาง รุ่งทิพย์  จตุพรรังสรรค์</t>
  </si>
  <si>
    <t>STHBKK012411000456</t>
  </si>
  <si>
    <t>STHBKK012411000457</t>
  </si>
  <si>
    <t>นางสาว สายพิณ   สาธุชาติ</t>
  </si>
  <si>
    <t>STHBKK012411000458</t>
  </si>
  <si>
    <t>STHBKK012411000459</t>
  </si>
  <si>
    <t>STHBKK012411000460</t>
  </si>
  <si>
    <t>STHBKK012411000462</t>
  </si>
  <si>
    <t>นาย อดุลย์ สุสมบูรณ์</t>
  </si>
  <si>
    <t>STHBKK012411000463</t>
  </si>
  <si>
    <t>STHBKK012411000465</t>
  </si>
  <si>
    <t>STHBKK012411000466</t>
  </si>
  <si>
    <t>STHBKK012411000467</t>
  </si>
  <si>
    <t>STHBKK012411000468</t>
  </si>
  <si>
    <t>STHBKK012411000469</t>
  </si>
  <si>
    <t>STHBKK012411000470</t>
  </si>
  <si>
    <t>STHBKK012411000471</t>
  </si>
  <si>
    <t>STHBKK012411000472</t>
  </si>
  <si>
    <t>นาง กมลวรรณ  จันทรศร</t>
  </si>
  <si>
    <t>STHBKK012411000475</t>
  </si>
  <si>
    <t>STHBKK012411000476</t>
  </si>
  <si>
    <t>นาย สุวรรณ อ่อนคำวงค์</t>
  </si>
  <si>
    <t>STHBKK012411000477</t>
  </si>
  <si>
    <t>STHBKK012411000478</t>
  </si>
  <si>
    <t>STHBKK012411000479</t>
  </si>
  <si>
    <t>STHBKK012411000481</t>
  </si>
  <si>
    <t>เหมย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</si>
  <si>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</si>
  <si>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DAILY  SALE 25. พ.ย. 2567</t>
  </si>
  <si>
    <t>STHBKK012411000482</t>
  </si>
  <si>
    <t>STHBKK012411000483</t>
  </si>
  <si>
    <t>STHBKK012411000484</t>
  </si>
  <si>
    <t>นาง ประไพ ภู่งาม</t>
  </si>
  <si>
    <t>STHBKK012411000485</t>
  </si>
  <si>
    <t>นาง จรรยา แตงโต</t>
  </si>
  <si>
    <t>STHBKK012411000486</t>
  </si>
  <si>
    <t>Mr. NGUYEN TAN TAI</t>
  </si>
  <si>
    <t>STHBKK012411000487</t>
  </si>
  <si>
    <t>STHBKK012411000488</t>
  </si>
  <si>
    <t>ห้างหุ้นส่วน เครือข่ายปิยธนา ( สำนักงานใหญ่ )</t>
  </si>
  <si>
    <t>STHBKK012411000489</t>
  </si>
  <si>
    <t>นาย รังสิมันตุ์ สมโภชน์</t>
  </si>
  <si>
    <t>STHBKK012411000490</t>
  </si>
  <si>
    <t>นางสาว นงพงา ตั้งฤทัยเยี่ยม</t>
  </si>
  <si>
    <t>STHBKK012411000491</t>
  </si>
  <si>
    <t>Ms. OKORIE OLUWATOSIN SILVIA</t>
  </si>
  <si>
    <t>STHBKK012411000492</t>
  </si>
  <si>
    <t>นางสาว ทัศนีย์ พลบุตร</t>
  </si>
  <si>
    <t>STHBKK012411000493</t>
  </si>
  <si>
    <t>นาย นุกูล ทองขาว</t>
  </si>
  <si>
    <t>STHONLIN2411000238</t>
  </si>
  <si>
    <t>STHONLIN2411000239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</si>
  <si>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</si>
  <si>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DAILY  SALE  26. พ.ย. 2567</t>
  </si>
  <si>
    <t>STHBKK012411000495</t>
  </si>
  <si>
    <t>STHBKK012411000496</t>
  </si>
  <si>
    <t>STHBKK012411000497</t>
  </si>
  <si>
    <t>STHBKK012411000498</t>
  </si>
  <si>
    <t>STHBKK012411000499</t>
  </si>
  <si>
    <t>STHBKK012411000500</t>
  </si>
  <si>
    <t>นางสาว สาหร่าย พ่วงจีน</t>
  </si>
  <si>
    <t>STHBKK012411000501</t>
  </si>
  <si>
    <t>นาย วีระ   จันทร์กระจ่าง</t>
  </si>
  <si>
    <t>STHBKK012411000502</t>
  </si>
  <si>
    <t>STHBKK012411000503</t>
  </si>
  <si>
    <t>นางสาว จิดาภา  ลิ้มสุชาพร</t>
  </si>
  <si>
    <t>STHBKK012411000504</t>
  </si>
  <si>
    <t>STHBKK012411000505</t>
  </si>
  <si>
    <t>STHBKK012411000507</t>
  </si>
  <si>
    <t>STHBKK012411000508</t>
  </si>
  <si>
    <t>STHBKK012411000509</t>
  </si>
  <si>
    <t>นาง พิสมัย เอี่ยมศรีวงศา</t>
  </si>
  <si>
    <t>STHBKK012411000510</t>
  </si>
  <si>
    <t>STHBKK012411000513</t>
  </si>
  <si>
    <t>นางสาว พวงเพ็ญ  สุวรรณโณ</t>
  </si>
  <si>
    <t>STHBKK012411000514</t>
  </si>
  <si>
    <t>STHBKK012411000515</t>
  </si>
  <si>
    <t>STHBKK012411000516</t>
  </si>
  <si>
    <t>นาย สถาพร แสงภู่</t>
  </si>
  <si>
    <t>STHBKK012411000517</t>
  </si>
  <si>
    <t>นาย มาโนช  ปั้นนิล</t>
  </si>
  <si>
    <t>STHBKK012411000518</t>
  </si>
  <si>
    <t>นาย สมคิด คงวิริยะโสภณ</t>
  </si>
  <si>
    <t>STHBKK012411000519</t>
  </si>
  <si>
    <t>STHBKK012411000520</t>
  </si>
  <si>
    <t>นาง ชนากานต์ ฉลาดล้น</t>
  </si>
  <si>
    <t>STHBKK012411000521</t>
  </si>
  <si>
    <t>นางสาว แสงมณี บุญทวี</t>
  </si>
  <si>
    <t>STHONLIN2411000245</t>
  </si>
  <si>
    <t>STHONLIN2411000246</t>
  </si>
  <si>
    <t>นาย บัวพา เงางาม</t>
  </si>
  <si>
    <t>STHONLIN2411000247</t>
  </si>
  <si>
    <t>นางสาว สุปราณี สาขำ</t>
  </si>
  <si>
    <t>STHONLIN2411000248</t>
  </si>
  <si>
    <t>นางสาว ลินดา อุปไชย</t>
  </si>
  <si>
    <t>STHONLIN2411000249</t>
  </si>
  <si>
    <t>นางสาว ภริดา รัศมีเพ็ชร</t>
  </si>
  <si>
    <t>STHONLIN2411000250</t>
  </si>
  <si>
    <t>STHONLIN2411000252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</si>
  <si>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</si>
  <si>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DAILY  SALE  27. พ.ย. 2567</t>
  </si>
  <si>
    <t>STHBKK012411000522</t>
  </si>
  <si>
    <t>STHBKK012411000523</t>
  </si>
  <si>
    <t>STHBKK012411000524</t>
  </si>
  <si>
    <t>นาง สายฝน ชัยปรีชา</t>
  </si>
  <si>
    <t>STHBKK012411000525</t>
  </si>
  <si>
    <t>นางสาว นิกุล เสือนุ่ม</t>
  </si>
  <si>
    <t>STHBKK012411000526</t>
  </si>
  <si>
    <t>นาง สีแพร มังกรแก้ว</t>
  </si>
  <si>
    <t>STHBKK012411000527</t>
  </si>
  <si>
    <t>STHBKK012411000528</t>
  </si>
  <si>
    <t>นาง จิราพร โพธิ์ไกร</t>
  </si>
  <si>
    <t>STHBKK012411000529</t>
  </si>
  <si>
    <t>นางสาว มุกดา พวงสง่า</t>
  </si>
  <si>
    <t>STHBKK012411000530</t>
  </si>
  <si>
    <t>STHBKK012411000531</t>
  </si>
  <si>
    <t>STHBKK012411000532</t>
  </si>
  <si>
    <t>STHBKK012411000533</t>
  </si>
  <si>
    <t>STHBKK012411000534</t>
  </si>
  <si>
    <t>นางสาว พรทิพย์  นาสวน</t>
  </si>
  <si>
    <t>STHBKK012411000535</t>
  </si>
  <si>
    <t>ห้างหุ้นส่วน โกรท โกลเบิล เน็ตเวิร์ก (สำนักงานใหญ่)</t>
  </si>
  <si>
    <t>STHBKK012411000536</t>
  </si>
  <si>
    <t>นาง ลำเพลิน  พุ่มไสว</t>
  </si>
  <si>
    <t>STHBKK012411000537</t>
  </si>
  <si>
    <t>STHBKK012411000538</t>
  </si>
  <si>
    <t>นาย จิรวัฒน์ ทิววัฒน์ปกรณ์</t>
  </si>
  <si>
    <t>STHBKK012411000539</t>
  </si>
  <si>
    <t>STHBKK012411000540</t>
  </si>
  <si>
    <t>STHBKK012411000541</t>
  </si>
  <si>
    <t>นาง เกษศิรินทร์ สุรศร</t>
  </si>
  <si>
    <t>STHBKK012411000542</t>
  </si>
  <si>
    <t>STHBKK012411000543</t>
  </si>
  <si>
    <t>STHBKK012411000544</t>
  </si>
  <si>
    <t>STHBKK012411000545</t>
  </si>
  <si>
    <t>STHONLIN2411000256</t>
  </si>
  <si>
    <t>STHONLIN2411000260</t>
  </si>
  <si>
    <t>ตอย/เอิง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</si>
  <si>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</si>
  <si>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DAILY  SALE  28 พ.ย. 2567</t>
  </si>
  <si>
    <t>STHBKK012411000547</t>
  </si>
  <si>
    <t>นาย สังวาลย์ บุญประเสริฐ</t>
  </si>
  <si>
    <t>STHBKK012411000548</t>
  </si>
  <si>
    <t>STHBKK012411000549</t>
  </si>
  <si>
    <t>นาย สุชาติ พุ่มแก้ว</t>
  </si>
  <si>
    <t>STHBKK012411000550</t>
  </si>
  <si>
    <t>นาย ยืนยง ชินมิตโต</t>
  </si>
  <si>
    <t>STHBKK012411000551</t>
  </si>
  <si>
    <t>นางสาว กาญจนา จันทรมณี</t>
  </si>
  <si>
    <t>STHBKK012411000552</t>
  </si>
  <si>
    <t>STHBKK012411000553</t>
  </si>
  <si>
    <t>STHBKK012411000554</t>
  </si>
  <si>
    <t>STHBKK012411000561</t>
  </si>
  <si>
    <t>STHBKK012411000562</t>
  </si>
  <si>
    <t>นางสาว รวีวรรณ จินต์สวัสดิ์</t>
  </si>
  <si>
    <t>STHBKK012411000563</t>
  </si>
  <si>
    <t>STHBKK012411000564</t>
  </si>
  <si>
    <t>นาย ประวิต หล้าสุดตา</t>
  </si>
  <si>
    <t>STHBKK012411000565</t>
  </si>
  <si>
    <t>นาย นันณัชพงศ์ จันทรคล</t>
  </si>
  <si>
    <t>STHBKK012411000566</t>
  </si>
  <si>
    <t>STHBKK012411000567</t>
  </si>
  <si>
    <t>STHBKK012411000568</t>
  </si>
  <si>
    <t>นาย บำรุง  คูณเขตนคร</t>
  </si>
  <si>
    <t>STHBKK012411000569</t>
  </si>
  <si>
    <t>STHBKK012411000570</t>
  </si>
  <si>
    <t>นางสาว พิณภาพร มะโนน้อม</t>
  </si>
  <si>
    <t>STHBKK012411000571</t>
  </si>
  <si>
    <t>STHBKK012411000572</t>
  </si>
  <si>
    <t>STHBKK012411000574</t>
  </si>
  <si>
    <t>STHBKK012411000575</t>
  </si>
  <si>
    <t>นางสาว นางสาว ณัชติพร เร่ในไพร</t>
  </si>
  <si>
    <t>STHBKK012411000576</t>
  </si>
  <si>
    <t>STHBKK012411000577</t>
  </si>
  <si>
    <t>STHBKK012411000578</t>
  </si>
  <si>
    <t>STHBKK012411000579</t>
  </si>
  <si>
    <t>นาย กิจปณัฎฐ์ ศิราเศรณี</t>
  </si>
  <si>
    <t>STHBKK012411000580</t>
  </si>
  <si>
    <t>นาง มะลิวัลย์ แก้วแจริญ</t>
  </si>
  <si>
    <t>STHBKK012411000581</t>
  </si>
  <si>
    <t>STHBKK012411000582</t>
  </si>
  <si>
    <t>STHBKK012411000583</t>
  </si>
  <si>
    <t>STHBKK012411000584</t>
  </si>
  <si>
    <t>STHBKK012411000585</t>
  </si>
  <si>
    <t>STHBKK012411000586</t>
  </si>
  <si>
    <t>STHBKK012411000587</t>
  </si>
  <si>
    <t>STHBKK012411000588</t>
  </si>
  <si>
    <t>นาย วีรวุฒิ สิทธิไกรพงษ์</t>
  </si>
  <si>
    <t>STHONLIN2411000264</t>
  </si>
  <si>
    <t>นาย จักรพงศ์ สินธุรักษ์</t>
  </si>
  <si>
    <t>STHONLIN2411000266</t>
  </si>
  <si>
    <t>นาย สุภาพ  เสริมศรี</t>
  </si>
  <si>
    <t>STHONLIN2411000267</t>
  </si>
  <si>
    <t>นาย มานพ  ค้าสบาย</t>
  </si>
  <si>
    <t>STHONLIN2411000268</t>
  </si>
  <si>
    <t>นาย ดาว  เพิ่มพูน</t>
  </si>
  <si>
    <t>STHONLIN2411000269</t>
  </si>
  <si>
    <t>นาย สุพจน์  แก่นหมั่น</t>
  </si>
  <si>
    <t>STHONLIN2411000270</t>
  </si>
  <si>
    <t>นางสาว สินิทธา  ปุผาโต</t>
  </si>
  <si>
    <t>STHONLIN2411000272</t>
  </si>
  <si>
    <t>STHONLIN2411000275</t>
  </si>
  <si>
    <t>นาย อนุชาติ  มูลทาดี</t>
  </si>
  <si>
    <t>STHONLIN2411000276</t>
  </si>
  <si>
    <t>นาง นฤมล สายดำติ่ง</t>
  </si>
  <si>
    <t>STHONLIN2411000277</t>
  </si>
  <si>
    <t>STHONLIN2411000279</t>
  </si>
  <si>
    <t>นางสาว แตว ศรีแก้ว</t>
  </si>
  <si>
    <t>STHONLIN2411000281</t>
  </si>
  <si>
    <t xml:space="preserve">   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</si>
  <si>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</si>
  <si>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>เอิิง</t>
  </si>
  <si>
    <t>นิ้ว / เกษ</t>
  </si>
  <si>
    <t xml:space="preserve">   DAILY  SALE  29 พ.ย. 2567</t>
  </si>
  <si>
    <t>STHBKK012411000590</t>
  </si>
  <si>
    <t>STHBKK012411000592</t>
  </si>
  <si>
    <t>นาย เพชร ภูมี</t>
  </si>
  <si>
    <t>STHBKK012411000593</t>
  </si>
  <si>
    <t>นาย ฑีปังกร  รักษาพงศ์</t>
  </si>
  <si>
    <t>STHBKK012411000595</t>
  </si>
  <si>
    <t>STHBKK012411000596</t>
  </si>
  <si>
    <t>STHBKK012411000597</t>
  </si>
  <si>
    <t>นางสาว วรภร  ศรุติเตชาภัค</t>
  </si>
  <si>
    <t>STHBKK012411000598</t>
  </si>
  <si>
    <t>STHBKK012411000599</t>
  </si>
  <si>
    <t>STHBKK012411000600</t>
  </si>
  <si>
    <t>STHBKK012411000602</t>
  </si>
  <si>
    <t>STHBKK012411000603</t>
  </si>
  <si>
    <t>นางสาว กัญญาภัค กำเหนิดผล</t>
  </si>
  <si>
    <t>STHBKK012411000604</t>
  </si>
  <si>
    <t>STHBKK012411000605</t>
  </si>
  <si>
    <t>นาย สมจิตต์ เทียนบูชา</t>
  </si>
  <si>
    <t>STHBKK012411000606</t>
  </si>
  <si>
    <t>STHBKK012411000607</t>
  </si>
  <si>
    <t>STHBKK012411000608</t>
  </si>
  <si>
    <t>นาง ภัชษนัญฑ์ ชิเดนทรีย์</t>
  </si>
  <si>
    <t>STHBKK012411000609</t>
  </si>
  <si>
    <t>นาย อนันต์กฤช เต็มศิริพันธุ์</t>
  </si>
  <si>
    <t>STHBKK012411000610</t>
  </si>
  <si>
    <t>STHBKK012411000611</t>
  </si>
  <si>
    <t>STHBKK012411000612</t>
  </si>
  <si>
    <t>นาย วัชรวุทธิ์ หิรัญกิจอนันต์</t>
  </si>
  <si>
    <t>STHBKK012411000613</t>
  </si>
  <si>
    <t>STHBKK012411000614</t>
  </si>
  <si>
    <t>นางสาว โสภา  นายสุข</t>
  </si>
  <si>
    <t>STHBKK012411000616</t>
  </si>
  <si>
    <t>นาย สุนิตย์ เชื้อสาวะถี</t>
  </si>
  <si>
    <t>STHBKK012411000617</t>
  </si>
  <si>
    <t>นางสาว ภกุชา  อติพรวณิชย์</t>
  </si>
  <si>
    <t>STHBKK012411000618</t>
  </si>
  <si>
    <t>นางสาว พันธุ์ทิพา แดงดีมาก</t>
  </si>
  <si>
    <t>STHBKK012411000619</t>
  </si>
  <si>
    <t>นางสาว อภัสนันท์  เจริญศิริวิชญกุล</t>
  </si>
  <si>
    <t>STHBKK012411000620</t>
  </si>
  <si>
    <t>นางสาว ณัฐนันท์ เจริญศิริวิชญกุล</t>
  </si>
  <si>
    <t>STHBKK012411000621</t>
  </si>
  <si>
    <t>STHBKK012411000622</t>
  </si>
  <si>
    <t>นางสาว อัญชนาฬ์ มาลัย</t>
  </si>
  <si>
    <t>STHBKK012411000623</t>
  </si>
  <si>
    <t>STHBKK012411000624</t>
  </si>
  <si>
    <t>นาง ชนิดา สามารถ</t>
  </si>
  <si>
    <t>STHONLIN2411000282</t>
  </si>
  <si>
    <t>นางสาว บุญพา สวนใต้</t>
  </si>
  <si>
    <t>STHONLIN2411000284</t>
  </si>
  <si>
    <t>STHONLIN2411000285</t>
  </si>
  <si>
    <t>นาย นิตินาฎ หมิ่นขัด</t>
  </si>
  <si>
    <t>STHONLIN2411000286</t>
  </si>
  <si>
    <t>นาย สมนึก สร้อยฟ้า</t>
  </si>
  <si>
    <t>STHONLIN2411000287</t>
  </si>
  <si>
    <t>นางสาว ภัทร์ปรียา โชคชัย</t>
  </si>
  <si>
    <t>STHONLIN2411000288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</si>
  <si>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</si>
  <si>
    <t xml:space="preserve">   DAILY  SALE  30  พ.ย. 2567</t>
  </si>
  <si>
    <t>STHBKK012411000625</t>
  </si>
  <si>
    <t>นาย ยศพัทธิ์ ศรีอุทิศ</t>
  </si>
  <si>
    <t>STHBKK012411000626</t>
  </si>
  <si>
    <t>นาย สุวิทย์ มั่นเขตวิทย์</t>
  </si>
  <si>
    <t>STHBKK012411000627</t>
  </si>
  <si>
    <t>นางสาว พรทิพย์ เต้ตัน</t>
  </si>
  <si>
    <t>STHBKK012411000628</t>
  </si>
  <si>
    <t>STHBKK012411000629</t>
  </si>
  <si>
    <t>นางสาว ยุพาภรณ์ พ้นภัย</t>
  </si>
  <si>
    <t>STHBKK012411000630</t>
  </si>
  <si>
    <t>STHBKK012411000631</t>
  </si>
  <si>
    <t>STHBKK012411000632</t>
  </si>
  <si>
    <t>STHBKK012411000633</t>
  </si>
  <si>
    <t>STHBKK012411000634</t>
  </si>
  <si>
    <t>นางสาว พรรณณี จัดคร่อง</t>
  </si>
  <si>
    <t>STHBKK012411000635</t>
  </si>
  <si>
    <t>STHBKK012411000637</t>
  </si>
  <si>
    <t>STHBKK012411000638</t>
  </si>
  <si>
    <t>STHBKK012411000639</t>
  </si>
  <si>
    <t>นาย บุญ&amp;#8203; นา&amp;#8203;ยสุข&amp;#8203;</t>
  </si>
  <si>
    <t>STHBKK012411000640</t>
  </si>
  <si>
    <t>STHBKK012411000641</t>
  </si>
  <si>
    <t>นาย วิโรจน์ อังคเสถียร</t>
  </si>
  <si>
    <t>STHBKK012411000643</t>
  </si>
  <si>
    <t>STHBKK012411000644</t>
  </si>
  <si>
    <t>STHBKK012411000645</t>
  </si>
  <si>
    <t>STHBKK012411000649</t>
  </si>
  <si>
    <t>STHBKK012411000652</t>
  </si>
  <si>
    <t>นางสาว เขมนิจ  อุดมรักษ์</t>
  </si>
  <si>
    <t>STHBKK012411000653</t>
  </si>
  <si>
    <t>STHBKK012411000654</t>
  </si>
  <si>
    <t>นางสาว กนกวรรณ โต๊ะดี</t>
  </si>
  <si>
    <t>STHBKK012411000655</t>
  </si>
  <si>
    <t>STHBKK012411000657</t>
  </si>
  <si>
    <t>STHBKK012411000659</t>
  </si>
  <si>
    <t>STHBKK012411000661</t>
  </si>
  <si>
    <t>นาง พัชรี   ธรรมรักษ์กุล</t>
  </si>
  <si>
    <t>STHBKK012411000662</t>
  </si>
  <si>
    <t>STHBKK012411000664</t>
  </si>
  <si>
    <t>STHBKK012411000665</t>
  </si>
  <si>
    <t>STHBKK012411000667</t>
  </si>
  <si>
    <t>บริษัท ดาโร่ บิ้วตี้ จำกัด ( สำนักงานใหญ่ )</t>
  </si>
  <si>
    <t>STHBKK012411000668</t>
  </si>
  <si>
    <t>STHBKK012411000669</t>
  </si>
  <si>
    <t>STHBKK012411000670</t>
  </si>
  <si>
    <t>STHBKK012411000671</t>
  </si>
  <si>
    <t>STHBKK012411000672</t>
  </si>
  <si>
    <t>STHBKK012411000673</t>
  </si>
  <si>
    <t>STHONLIN2411000296</t>
  </si>
  <si>
    <t>STHONLIN2411000297</t>
  </si>
  <si>
    <t>นาง พิศมัย บุญรักษา</t>
  </si>
  <si>
    <t>STHONLIN2411000298</t>
  </si>
  <si>
    <t>STHONLIN2411000299</t>
  </si>
  <si>
    <t>STHONLIN2411000300</t>
  </si>
  <si>
    <r>
      <rPr>
        <rFont val="Arial"/>
        <b/>
        <color theme="1"/>
        <sz val="18.0"/>
      </rPr>
      <t xml:space="preserve">ผู้ปริ้นเดลี่ ประกบบิลขาย    </t>
    </r>
    <r>
      <rPr>
        <rFont val="Arial"/>
        <b/>
        <color rgb="FFFF9900"/>
        <sz val="18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</si>
</sst>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-41E]#,##0.00"/>
    <numFmt numFmtId="165" formatCode="yyyy-mm-dd"/>
    <numFmt numFmtId="166" formatCode="m/d/yyyy"/>
    <numFmt numFmtId="167" formatCode="#,###_);\(#,###\)"/>
  </numFmts>
  <fonts count="18">
    <font>
      <sz val="10.0"/>
      <color rgb="FF000000"/>
      <name val="Arial"/>
      <scheme val="minor"/>
    </font>
    <font>
      <b/>
      <sz val="30.0"/>
      <color theme="1"/>
      <name val="Arial"/>
    </font>
    <font/>
    <font>
      <color theme="1"/>
      <name val="Arial"/>
    </font>
    <font>
      <b/>
      <sz val="18.0"/>
      <color theme="1"/>
      <name val="Arial"/>
    </font>
    <font>
      <b/>
      <sz val="18.0"/>
      <color rgb="FFFF0000"/>
      <name val="Arial"/>
    </font>
    <font>
      <b/>
      <sz val="20.0"/>
      <color theme="1"/>
      <name val="Arial"/>
    </font>
    <font>
      <b/>
      <sz val="19.0"/>
      <color theme="1"/>
      <name val="Arial"/>
    </font>
    <font>
      <b/>
      <sz val="11.0"/>
      <color theme="0"/>
      <name val="Arial"/>
    </font>
    <font>
      <b/>
      <sz val="20.0"/>
      <color rgb="FF000000"/>
      <name val="Arial"/>
    </font>
    <font>
      <b/>
      <sz val="18.0"/>
      <color rgb="FF000000"/>
      <name val="Arial"/>
    </font>
    <font>
      <b/>
      <sz val="19.0"/>
      <color rgb="FF000000"/>
      <name val="Arial"/>
    </font>
    <font>
      <color rgb="FF000000"/>
      <name val="Arial"/>
    </font>
    <font>
      <b/>
      <sz val="31.0"/>
      <color theme="1"/>
      <name val="Arial"/>
    </font>
    <font>
      <sz val="18.0"/>
      <color theme="1"/>
      <name val="Arial"/>
    </font>
    <font>
      <b/>
      <sz val="18.0"/>
      <color rgb="FF0000FF"/>
      <name val="Arial"/>
    </font>
    <font>
      <sz val="18.0"/>
      <color rgb="FF000000"/>
      <name val="Arial"/>
      <scheme val="minor"/>
    </font>
    <font>
      <b/>
      <sz val="18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3" fontId="4" numFmtId="0" xfId="0" applyAlignment="1" applyBorder="1" applyFont="1">
      <alignment horizontal="center" vertical="bottom"/>
    </xf>
    <xf borderId="6" fillId="0" fontId="2" numFmtId="0" xfId="0" applyBorder="1" applyFont="1"/>
    <xf borderId="7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5" fillId="3" fontId="5" numFmtId="0" xfId="0" applyAlignment="1" applyBorder="1" applyFont="1">
      <alignment horizontal="center" vertical="bottom"/>
    </xf>
    <xf borderId="7" fillId="3" fontId="3" numFmtId="0" xfId="0" applyAlignment="1" applyBorder="1" applyFont="1">
      <alignment vertical="bottom"/>
    </xf>
    <xf borderId="8" fillId="0" fontId="2" numFmtId="0" xfId="0" applyBorder="1" applyFont="1"/>
    <xf borderId="7" fillId="3" fontId="4" numFmtId="0" xfId="0" applyAlignment="1" applyBorder="1" applyFont="1">
      <alignment horizontal="center" vertical="bottom"/>
    </xf>
    <xf borderId="8" fillId="4" fontId="4" numFmtId="0" xfId="0" applyAlignment="1" applyBorder="1" applyFill="1" applyFont="1">
      <alignment horizontal="center" vertical="bottom"/>
    </xf>
    <xf borderId="7" fillId="0" fontId="4" numFmtId="165" xfId="0" applyAlignment="1" applyBorder="1" applyFont="1" applyNumberFormat="1">
      <alignment horizontal="center" readingOrder="0" vertical="bottom"/>
    </xf>
    <xf borderId="7" fillId="0" fontId="4" numFmtId="4" xfId="0" applyAlignment="1" applyBorder="1" applyFont="1" applyNumberFormat="1">
      <alignment horizontal="left" readingOrder="0" vertical="bottom"/>
    </xf>
    <xf borderId="7" fillId="0" fontId="4" numFmtId="0" xfId="0" applyAlignment="1" applyBorder="1" applyFont="1">
      <alignment horizontal="center" readingOrder="0" vertical="bottom"/>
    </xf>
    <xf borderId="7" fillId="0" fontId="4" numFmtId="0" xfId="0" applyAlignment="1" applyBorder="1" applyFont="1">
      <alignment readingOrder="0" vertical="bottom"/>
    </xf>
    <xf borderId="7" fillId="4" fontId="6" numFmtId="38" xfId="0" applyAlignment="1" applyBorder="1" applyFont="1" applyNumberFormat="1">
      <alignment vertical="bottom"/>
    </xf>
    <xf borderId="7" fillId="4" fontId="7" numFmtId="38" xfId="0" applyAlignment="1" applyBorder="1" applyFont="1" applyNumberFormat="1">
      <alignment readingOrder="0" vertical="bottom"/>
    </xf>
    <xf borderId="7" fillId="4" fontId="6" numFmtId="38" xfId="0" applyAlignment="1" applyBorder="1" applyFont="1" applyNumberFormat="1">
      <alignment horizontal="right" vertical="bottom"/>
    </xf>
    <xf borderId="7" fillId="4" fontId="7" numFmtId="38" xfId="0" applyAlignment="1" applyBorder="1" applyFont="1" applyNumberFormat="1">
      <alignment vertical="bottom"/>
    </xf>
    <xf borderId="7" fillId="0" fontId="4" numFmtId="38" xfId="0" applyAlignment="1" applyBorder="1" applyFont="1" applyNumberFormat="1">
      <alignment horizontal="center" readingOrder="0" vertical="bottom"/>
    </xf>
    <xf borderId="7" fillId="4" fontId="5" numFmtId="38" xfId="0" applyAlignment="1" applyBorder="1" applyFont="1" applyNumberFormat="1">
      <alignment horizontal="center" vertical="bottom"/>
    </xf>
    <xf borderId="9" fillId="0" fontId="4" numFmtId="38" xfId="0" applyAlignment="1" applyBorder="1" applyFont="1" applyNumberFormat="1">
      <alignment horizontal="center" vertical="bottom"/>
    </xf>
    <xf borderId="7" fillId="0" fontId="4" numFmtId="166" xfId="0" applyAlignment="1" applyBorder="1" applyFont="1" applyNumberFormat="1">
      <alignment horizontal="center" readingOrder="0" vertical="bottom"/>
    </xf>
    <xf borderId="7" fillId="4" fontId="6" numFmtId="38" xfId="0" applyAlignment="1" applyBorder="1" applyFont="1" applyNumberFormat="1">
      <alignment readingOrder="0" vertical="bottom"/>
    </xf>
    <xf borderId="9" fillId="5" fontId="8" numFmtId="38" xfId="0" applyAlignment="1" applyBorder="1" applyFill="1" applyFont="1" applyNumberFormat="1">
      <alignment horizontal="center" vertical="center"/>
    </xf>
    <xf borderId="7" fillId="4" fontId="4" numFmtId="166" xfId="0" applyAlignment="1" applyBorder="1" applyFont="1" applyNumberFormat="1">
      <alignment horizontal="center" readingOrder="0" vertical="bottom"/>
    </xf>
    <xf borderId="7" fillId="4" fontId="4" numFmtId="4" xfId="0" applyAlignment="1" applyBorder="1" applyFont="1" applyNumberFormat="1">
      <alignment horizontal="left" readingOrder="0" vertical="bottom"/>
    </xf>
    <xf borderId="7" fillId="4" fontId="4" numFmtId="0" xfId="0" applyAlignment="1" applyBorder="1" applyFont="1">
      <alignment horizontal="center" readingOrder="0" vertical="bottom"/>
    </xf>
    <xf borderId="7" fillId="4" fontId="4" numFmtId="0" xfId="0" applyAlignment="1" applyBorder="1" applyFont="1">
      <alignment readingOrder="0" vertical="bottom"/>
    </xf>
    <xf borderId="7" fillId="4" fontId="4" numFmtId="38" xfId="0" applyAlignment="1" applyBorder="1" applyFont="1" applyNumberFormat="1">
      <alignment horizontal="center" readingOrder="0" vertical="bottom"/>
    </xf>
    <xf borderId="0" fillId="4" fontId="3" numFmtId="0" xfId="0" applyAlignment="1" applyFont="1">
      <alignment vertical="bottom"/>
    </xf>
    <xf borderId="7" fillId="4" fontId="6" numFmtId="38" xfId="0" applyAlignment="1" applyBorder="1" applyFont="1" applyNumberFormat="1">
      <alignment horizontal="right" readingOrder="0" vertical="bottom"/>
    </xf>
    <xf borderId="7" fillId="4" fontId="9" numFmtId="38" xfId="0" applyAlignment="1" applyBorder="1" applyFont="1" applyNumberFormat="1">
      <alignment readingOrder="0" vertical="bottom"/>
    </xf>
    <xf borderId="7" fillId="4" fontId="7" numFmtId="38" xfId="0" applyAlignment="1" applyBorder="1" applyFont="1" applyNumberFormat="1">
      <alignment horizontal="right" vertical="bottom"/>
    </xf>
    <xf borderId="7" fillId="4" fontId="10" numFmtId="166" xfId="0" applyAlignment="1" applyBorder="1" applyFont="1" applyNumberFormat="1">
      <alignment horizontal="center" readingOrder="0" vertical="bottom"/>
    </xf>
    <xf borderId="7" fillId="4" fontId="10" numFmtId="4" xfId="0" applyAlignment="1" applyBorder="1" applyFont="1" applyNumberFormat="1">
      <alignment horizontal="left" readingOrder="0" vertical="bottom"/>
    </xf>
    <xf borderId="7" fillId="4" fontId="10" numFmtId="0" xfId="0" applyAlignment="1" applyBorder="1" applyFont="1">
      <alignment horizontal="center" readingOrder="0" vertical="bottom"/>
    </xf>
    <xf borderId="7" fillId="4" fontId="10" numFmtId="0" xfId="0" applyAlignment="1" applyBorder="1" applyFont="1">
      <alignment readingOrder="0" vertical="bottom"/>
    </xf>
    <xf borderId="7" fillId="4" fontId="9" numFmtId="38" xfId="0" applyAlignment="1" applyBorder="1" applyFont="1" applyNumberFormat="1">
      <alignment vertical="bottom"/>
    </xf>
    <xf borderId="7" fillId="4" fontId="11" numFmtId="38" xfId="0" applyAlignment="1" applyBorder="1" applyFont="1" applyNumberFormat="1">
      <alignment vertical="bottom"/>
    </xf>
    <xf borderId="7" fillId="4" fontId="11" numFmtId="38" xfId="0" applyAlignment="1" applyBorder="1" applyFont="1" applyNumberFormat="1">
      <alignment horizontal="right" vertical="bottom"/>
    </xf>
    <xf borderId="7" fillId="4" fontId="10" numFmtId="38" xfId="0" applyAlignment="1" applyBorder="1" applyFont="1" applyNumberFormat="1">
      <alignment horizontal="center" readingOrder="0" vertical="bottom"/>
    </xf>
    <xf borderId="0" fillId="4" fontId="12" numFmtId="0" xfId="0" applyAlignment="1" applyFont="1">
      <alignment vertical="bottom"/>
    </xf>
    <xf borderId="7" fillId="0" fontId="4" numFmtId="38" xfId="0" applyAlignment="1" applyBorder="1" applyFont="1" applyNumberFormat="1">
      <alignment horizontal="center" vertical="bottom"/>
    </xf>
    <xf borderId="7" fillId="0" fontId="4" numFmtId="166" xfId="0" applyAlignment="1" applyBorder="1" applyFont="1" applyNumberFormat="1">
      <alignment horizontal="center" vertical="bottom"/>
    </xf>
    <xf borderId="7" fillId="0" fontId="4" numFmtId="4" xfId="0" applyAlignment="1" applyBorder="1" applyFont="1" applyNumberFormat="1">
      <alignment horizontal="left" vertical="bottom"/>
    </xf>
    <xf borderId="7" fillId="0" fontId="4" numFmtId="0" xfId="0" applyAlignment="1" applyBorder="1" applyFont="1">
      <alignment horizontal="center" vertical="bottom"/>
    </xf>
    <xf borderId="7" fillId="0" fontId="4" numFmtId="0" xfId="0" applyAlignment="1" applyBorder="1" applyFont="1">
      <alignment vertical="bottom"/>
    </xf>
    <xf borderId="7" fillId="6" fontId="4" numFmtId="167" xfId="0" applyAlignment="1" applyBorder="1" applyFill="1" applyFont="1" applyNumberFormat="1">
      <alignment horizontal="center"/>
    </xf>
    <xf borderId="7" fillId="6" fontId="5" numFmtId="167" xfId="0" applyAlignment="1" applyBorder="1" applyFont="1" applyNumberFormat="1">
      <alignment horizontal="center"/>
    </xf>
    <xf borderId="7" fillId="6" fontId="3" numFmtId="0" xfId="0" applyAlignment="1" applyBorder="1" applyFont="1">
      <alignment vertical="bottom"/>
    </xf>
    <xf borderId="0" fillId="7" fontId="3" numFmtId="0" xfId="0" applyAlignment="1" applyFill="1" applyFont="1">
      <alignment vertical="bottom"/>
    </xf>
    <xf borderId="0" fillId="7" fontId="3" numFmtId="0" xfId="0" applyAlignment="1" applyFont="1">
      <alignment horizontal="left" vertical="bottom"/>
    </xf>
    <xf borderId="0" fillId="7" fontId="13" numFmtId="167" xfId="0" applyAlignment="1" applyFont="1" applyNumberFormat="1">
      <alignment horizontal="center" vertical="center"/>
    </xf>
    <xf borderId="0" fillId="7" fontId="3" numFmtId="167" xfId="0" applyFont="1" applyNumberFormat="1"/>
    <xf borderId="0" fillId="0" fontId="3" numFmtId="0" xfId="0" applyAlignment="1" applyFont="1">
      <alignment horizontal="left" vertical="bottom"/>
    </xf>
    <xf borderId="0" fillId="0" fontId="14" numFmtId="0" xfId="0" applyAlignment="1" applyFont="1">
      <alignment horizontal="left" vertical="bottom"/>
    </xf>
    <xf borderId="0" fillId="8" fontId="4" numFmtId="0" xfId="0" applyAlignment="1" applyFill="1" applyFont="1">
      <alignment horizontal="right" vertical="bottom"/>
    </xf>
    <xf borderId="0" fillId="8" fontId="15" numFmtId="0" xfId="0" applyAlignment="1" applyFont="1">
      <alignment horizontal="center" readingOrder="0" vertical="bottom"/>
    </xf>
    <xf borderId="0" fillId="9" fontId="4" numFmtId="0" xfId="0" applyAlignment="1" applyFill="1" applyFont="1">
      <alignment horizontal="right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9" fontId="15" numFmtId="0" xfId="0" applyAlignment="1" applyFont="1">
      <alignment horizontal="center" vertical="bottom"/>
    </xf>
    <xf borderId="7" fillId="4" fontId="4" numFmtId="165" xfId="0" applyAlignment="1" applyBorder="1" applyFont="1" applyNumberFormat="1">
      <alignment horizontal="center" readingOrder="0" vertical="bottom"/>
    </xf>
    <xf borderId="7" fillId="4" fontId="5" numFmtId="38" xfId="0" applyAlignment="1" applyBorder="1" applyFont="1" applyNumberFormat="1">
      <alignment horizontal="center" readingOrder="0" vertical="bottom"/>
    </xf>
    <xf borderId="8" fillId="4" fontId="4" numFmtId="0" xfId="0" applyAlignment="1" applyBorder="1" applyFont="1">
      <alignment horizontal="center" readingOrder="0" vertical="bottom"/>
    </xf>
    <xf borderId="0" fillId="8" fontId="4" numFmtId="0" xfId="0" applyAlignment="1" applyFont="1">
      <alignment horizontal="right" readingOrder="0" vertical="bottom"/>
    </xf>
    <xf borderId="9" fillId="4" fontId="16" numFmtId="165" xfId="0" applyAlignment="1" applyBorder="1" applyFont="1" applyNumberFormat="1">
      <alignment horizontal="center" readingOrder="0"/>
    </xf>
    <xf borderId="9" fillId="0" fontId="16" numFmtId="4" xfId="0" applyAlignment="1" applyBorder="1" applyFont="1" applyNumberFormat="1">
      <alignment horizontal="center" readingOrder="0"/>
    </xf>
    <xf borderId="9" fillId="4" fontId="16" numFmtId="0" xfId="0" applyAlignment="1" applyBorder="1" applyFont="1">
      <alignment horizontal="center" readingOrder="0"/>
    </xf>
    <xf borderId="9" fillId="4" fontId="16" numFmtId="0" xfId="0" applyAlignment="1" applyBorder="1" applyFont="1">
      <alignment horizontal="left" readingOrder="0"/>
    </xf>
    <xf borderId="9" fillId="0" fontId="17" numFmtId="165" xfId="0" applyAlignment="1" applyBorder="1" applyFont="1" applyNumberFormat="1">
      <alignment horizontal="center" readingOrder="0" vertical="bottom"/>
    </xf>
    <xf borderId="9" fillId="0" fontId="17" numFmtId="4" xfId="0" applyAlignment="1" applyBorder="1" applyFont="1" applyNumberFormat="1">
      <alignment horizontal="left" readingOrder="0" vertical="bottom"/>
    </xf>
    <xf borderId="9" fillId="0" fontId="17" numFmtId="0" xfId="0" applyAlignment="1" applyBorder="1" applyFont="1">
      <alignment horizontal="center" readingOrder="0" vertical="bottom"/>
    </xf>
    <xf borderId="9" fillId="0" fontId="17" numFmtId="0" xfId="0" applyAlignment="1" applyBorder="1" applyFont="1">
      <alignment readingOrder="0" vertical="bottom"/>
    </xf>
    <xf borderId="0" fillId="9" fontId="4" numFmtId="0" xfId="0" applyAlignment="1" applyFont="1">
      <alignment horizontal="right" readingOrder="0" vertical="bottom"/>
    </xf>
    <xf borderId="7" fillId="0" fontId="4" numFmtId="4" xfId="0" applyAlignment="1" applyBorder="1" applyFont="1" applyNumberFormat="1">
      <alignment horizontal="center" readingOrder="0" vertical="bottom"/>
    </xf>
    <xf borderId="8" fillId="10" fontId="4" numFmtId="0" xfId="0" applyAlignment="1" applyBorder="1" applyFill="1" applyFont="1">
      <alignment horizontal="center" readingOrder="0" vertical="bottom"/>
    </xf>
    <xf borderId="7" fillId="10" fontId="4" numFmtId="165" xfId="0" applyAlignment="1" applyBorder="1" applyFont="1" applyNumberFormat="1">
      <alignment horizontal="center" readingOrder="0" vertical="bottom"/>
    </xf>
    <xf borderId="7" fillId="10" fontId="4" numFmtId="4" xfId="0" applyAlignment="1" applyBorder="1" applyFont="1" applyNumberFormat="1">
      <alignment horizontal="left" readingOrder="0" vertical="bottom"/>
    </xf>
    <xf borderId="7" fillId="10" fontId="4" numFmtId="0" xfId="0" applyAlignment="1" applyBorder="1" applyFont="1">
      <alignment horizontal="center" readingOrder="0" vertical="bottom"/>
    </xf>
    <xf borderId="7" fillId="10" fontId="4" numFmtId="0" xfId="0" applyAlignment="1" applyBorder="1" applyFont="1">
      <alignment readingOrder="0" vertical="bottom"/>
    </xf>
    <xf borderId="7" fillId="10" fontId="7" numFmtId="38" xfId="0" applyAlignment="1" applyBorder="1" applyFont="1" applyNumberFormat="1">
      <alignment readingOrder="0" vertical="bottom"/>
    </xf>
    <xf borderId="7" fillId="10" fontId="6" numFmtId="38" xfId="0" applyAlignment="1" applyBorder="1" applyFont="1" applyNumberFormat="1">
      <alignment readingOrder="0" vertical="bottom"/>
    </xf>
    <xf borderId="7" fillId="10" fontId="7" numFmtId="38" xfId="0" applyAlignment="1" applyBorder="1" applyFont="1" applyNumberFormat="1">
      <alignment vertical="bottom"/>
    </xf>
    <xf borderId="7" fillId="10" fontId="4" numFmtId="38" xfId="0" applyAlignment="1" applyBorder="1" applyFont="1" applyNumberFormat="1">
      <alignment horizontal="center" readingOrder="0" vertical="bottom"/>
    </xf>
    <xf borderId="7" fillId="10" fontId="5" numFmtId="38" xfId="0" applyAlignment="1" applyBorder="1" applyFont="1" applyNumberFormat="1">
      <alignment horizontal="center" vertical="bottom"/>
    </xf>
    <xf borderId="9" fillId="10" fontId="4" numFmtId="38" xfId="0" applyAlignment="1" applyBorder="1" applyFont="1" applyNumberFormat="1">
      <alignment horizontal="center" vertical="bottom"/>
    </xf>
    <xf borderId="0" fillId="5" fontId="3" numFmtId="0" xfId="0" applyAlignment="1" applyFont="1">
      <alignment vertical="bottom"/>
    </xf>
    <xf borderId="0" fillId="5" fontId="3" numFmtId="0" xfId="0" applyAlignment="1" applyFont="1">
      <alignment readingOrder="0" vertical="bottom"/>
    </xf>
    <xf borderId="7" fillId="10" fontId="6" numFmtId="38" xfId="0" applyAlignment="1" applyBorder="1" applyFont="1" applyNumberFormat="1">
      <alignment vertical="bottom"/>
    </xf>
    <xf borderId="7" fillId="10" fontId="6" numFmtId="38" xfId="0" applyAlignment="1" applyBorder="1" applyFont="1" applyNumberFormat="1">
      <alignment horizontal="right" readingOrder="0" vertical="bottom"/>
    </xf>
    <xf borderId="7" fillId="4" fontId="4" numFmtId="4" xfId="0" applyAlignment="1" applyBorder="1" applyFont="1" applyNumberFormat="1">
      <alignment horizontal="center" readingOrder="0" vertical="bottom"/>
    </xf>
    <xf borderId="9" fillId="4" fontId="8" numFmtId="38" xfId="0" applyAlignment="1" applyBorder="1" applyFont="1" applyNumberFormat="1">
      <alignment horizontal="center" vertical="center"/>
    </xf>
    <xf borderId="9" fillId="4" fontId="4" numFmtId="38" xfId="0" applyAlignment="1" applyBorder="1" applyFont="1" applyNumberFormat="1">
      <alignment horizontal="center" vertical="bottom"/>
    </xf>
    <xf borderId="7" fillId="6" fontId="5" numFmtId="38" xfId="0" applyAlignment="1" applyBorder="1" applyFont="1" applyNumberFormat="1">
      <alignment horizontal="center" vertical="bottom"/>
    </xf>
    <xf borderId="9" fillId="10" fontId="8" numFmtId="38" xfId="0" applyAlignment="1" applyBorder="1" applyFont="1" applyNumberFormat="1">
      <alignment horizontal="center" vertical="center"/>
    </xf>
    <xf borderId="9" fillId="6" fontId="4" numFmtId="38" xfId="0" applyAlignment="1" applyBorder="1" applyFont="1" applyNumberFormat="1">
      <alignment horizontal="center" vertical="bottom"/>
    </xf>
    <xf borderId="7" fillId="10" fontId="4" numFmtId="4" xfId="0" applyAlignment="1" applyBorder="1" applyFont="1" applyNumberFormat="1">
      <alignment horizontal="center" readingOrder="0" vertical="bottom"/>
    </xf>
    <xf borderId="8" fillId="5" fontId="4" numFmtId="0" xfId="0" applyAlignment="1" applyBorder="1" applyFont="1">
      <alignment horizontal="center" readingOrder="0" vertical="bottom"/>
    </xf>
    <xf borderId="7" fillId="5" fontId="4" numFmtId="165" xfId="0" applyAlignment="1" applyBorder="1" applyFont="1" applyNumberFormat="1">
      <alignment horizontal="center" readingOrder="0" vertical="bottom"/>
    </xf>
    <xf borderId="7" fillId="5" fontId="4" numFmtId="4" xfId="0" applyAlignment="1" applyBorder="1" applyFont="1" applyNumberFormat="1">
      <alignment horizontal="left" readingOrder="0" vertical="bottom"/>
    </xf>
    <xf borderId="7" fillId="5" fontId="4" numFmtId="0" xfId="0" applyAlignment="1" applyBorder="1" applyFont="1">
      <alignment horizontal="center" readingOrder="0" vertical="bottom"/>
    </xf>
    <xf borderId="7" fillId="5" fontId="4" numFmtId="0" xfId="0" applyAlignment="1" applyBorder="1" applyFont="1">
      <alignment readingOrder="0" vertical="bottom"/>
    </xf>
    <xf borderId="7" fillId="5" fontId="7" numFmtId="38" xfId="0" applyAlignment="1" applyBorder="1" applyFont="1" applyNumberFormat="1">
      <alignment readingOrder="0" vertical="bottom"/>
    </xf>
    <xf borderId="7" fillId="5" fontId="7" numFmtId="38" xfId="0" applyAlignment="1" applyBorder="1" applyFont="1" applyNumberFormat="1">
      <alignment vertical="bottom"/>
    </xf>
    <xf borderId="7" fillId="5" fontId="6" numFmtId="38" xfId="0" applyAlignment="1" applyBorder="1" applyFont="1" applyNumberFormat="1">
      <alignment readingOrder="0" vertical="bottom"/>
    </xf>
    <xf borderId="7" fillId="5" fontId="4" numFmtId="38" xfId="0" applyAlignment="1" applyBorder="1" applyFont="1" applyNumberFormat="1">
      <alignment horizontal="center" readingOrder="0" vertical="bottom"/>
    </xf>
    <xf borderId="7" fillId="5" fontId="5" numFmtId="38" xfId="0" applyAlignment="1" applyBorder="1" applyFont="1" applyNumberFormat="1">
      <alignment horizontal="center" vertical="bottom"/>
    </xf>
    <xf borderId="9" fillId="5" fontId="4" numFmtId="38" xfId="0" applyAlignment="1" applyBorder="1" applyFont="1" applyNumberFormat="1">
      <alignment horizontal="center" vertical="bottom"/>
    </xf>
    <xf borderId="7" fillId="5" fontId="6" numFmtId="38" xfId="0" applyAlignment="1" applyBorder="1" applyFont="1" applyNumberFormat="1">
      <alignment vertical="bottom"/>
    </xf>
    <xf borderId="7" fillId="5" fontId="6" numFmtId="38" xfId="0" applyAlignment="1" applyBorder="1" applyFont="1" applyNumberFormat="1">
      <alignment horizontal="right" readingOrder="0" vertical="bottom"/>
    </xf>
    <xf borderId="7" fillId="5" fontId="4" numFmtId="167" xfId="0" applyAlignment="1" applyBorder="1" applyFont="1" applyNumberFormat="1">
      <alignment horizontal="center"/>
    </xf>
    <xf borderId="7" fillId="5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customschemas.google.com/relationships/workbookmetadata" Target="metadata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76.63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45596.0</v>
      </c>
      <c r="C5" s="18" t="s">
        <v>23</v>
      </c>
      <c r="D5" s="19">
        <v>52686.0</v>
      </c>
      <c r="E5" s="20" t="s">
        <v>24</v>
      </c>
      <c r="F5" s="21"/>
      <c r="G5" s="22">
        <v>9000.0</v>
      </c>
      <c r="H5" s="21"/>
      <c r="I5" s="23"/>
      <c r="J5" s="23"/>
      <c r="K5" s="22">
        <v>53000.0</v>
      </c>
      <c r="L5" s="24"/>
      <c r="M5" s="21"/>
      <c r="N5" s="24"/>
      <c r="O5" s="24"/>
      <c r="P5" s="25">
        <v>62000.0</v>
      </c>
      <c r="Q5" s="26">
        <f t="shared" ref="Q5:Q55" si="1">F5+G5+H5+I5+J5+K5+L5+M5+N5+O5-P5</f>
        <v>0</v>
      </c>
      <c r="R5" s="25" t="s">
        <v>25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28">
        <v>45596.0</v>
      </c>
      <c r="C6" s="18" t="s">
        <v>26</v>
      </c>
      <c r="D6" s="19">
        <v>59103.0</v>
      </c>
      <c r="E6" s="20" t="s">
        <v>27</v>
      </c>
      <c r="F6" s="21"/>
      <c r="G6" s="24"/>
      <c r="H6" s="24"/>
      <c r="I6" s="29">
        <v>15000.0</v>
      </c>
      <c r="J6" s="24"/>
      <c r="K6" s="24"/>
      <c r="L6" s="24"/>
      <c r="M6" s="21"/>
      <c r="N6" s="24"/>
      <c r="O6" s="24"/>
      <c r="P6" s="25">
        <v>15000.0</v>
      </c>
      <c r="Q6" s="26">
        <f t="shared" si="1"/>
        <v>0</v>
      </c>
      <c r="R6" s="25" t="s">
        <v>28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28">
        <v>45596.0</v>
      </c>
      <c r="C7" s="18" t="s">
        <v>29</v>
      </c>
      <c r="D7" s="19">
        <v>84993.0</v>
      </c>
      <c r="E7" s="20" t="s">
        <v>30</v>
      </c>
      <c r="F7" s="24"/>
      <c r="G7" s="22">
        <v>1000.0</v>
      </c>
      <c r="H7" s="21"/>
      <c r="I7" s="21"/>
      <c r="J7" s="23"/>
      <c r="K7" s="24"/>
      <c r="L7" s="24"/>
      <c r="M7" s="24"/>
      <c r="N7" s="24"/>
      <c r="O7" s="24"/>
      <c r="P7" s="25">
        <v>1000.0</v>
      </c>
      <c r="Q7" s="26">
        <f t="shared" si="1"/>
        <v>0</v>
      </c>
      <c r="R7" s="25" t="s">
        <v>28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28">
        <v>45596.0</v>
      </c>
      <c r="C8" s="18" t="s">
        <v>31</v>
      </c>
      <c r="D8" s="19">
        <v>55555.0</v>
      </c>
      <c r="E8" s="20" t="s">
        <v>32</v>
      </c>
      <c r="F8" s="24"/>
      <c r="G8" s="22">
        <v>7290.0</v>
      </c>
      <c r="H8" s="24"/>
      <c r="I8" s="21"/>
      <c r="J8" s="21"/>
      <c r="K8" s="24"/>
      <c r="L8" s="24"/>
      <c r="M8" s="24"/>
      <c r="N8" s="24"/>
      <c r="O8" s="24"/>
      <c r="P8" s="25">
        <v>7290.0</v>
      </c>
      <c r="Q8" s="26">
        <f t="shared" si="1"/>
        <v>0</v>
      </c>
      <c r="R8" s="25" t="s">
        <v>25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28">
        <v>45597.0</v>
      </c>
      <c r="C9" s="18" t="s">
        <v>33</v>
      </c>
      <c r="D9" s="19">
        <v>64461.0</v>
      </c>
      <c r="E9" s="20" t="s">
        <v>34</v>
      </c>
      <c r="F9" s="24"/>
      <c r="G9" s="24"/>
      <c r="H9" s="24"/>
      <c r="I9" s="29">
        <v>450.0</v>
      </c>
      <c r="J9" s="21"/>
      <c r="K9" s="24"/>
      <c r="L9" s="24"/>
      <c r="M9" s="21"/>
      <c r="N9" s="24"/>
      <c r="O9" s="24"/>
      <c r="P9" s="25">
        <v>450.0</v>
      </c>
      <c r="Q9" s="26">
        <f t="shared" si="1"/>
        <v>0</v>
      </c>
      <c r="R9" s="25" t="s">
        <v>35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28">
        <v>45597.0</v>
      </c>
      <c r="C10" s="18" t="s">
        <v>36</v>
      </c>
      <c r="D10" s="19">
        <v>37242.0</v>
      </c>
      <c r="E10" s="20" t="s">
        <v>37</v>
      </c>
      <c r="F10" s="24"/>
      <c r="G10" s="24"/>
      <c r="H10" s="24"/>
      <c r="I10" s="29">
        <v>874.0</v>
      </c>
      <c r="J10" s="21"/>
      <c r="K10" s="24"/>
      <c r="L10" s="24"/>
      <c r="M10" s="21"/>
      <c r="N10" s="24"/>
      <c r="O10" s="24"/>
      <c r="P10" s="25">
        <v>874.0</v>
      </c>
      <c r="Q10" s="26">
        <f t="shared" si="1"/>
        <v>0</v>
      </c>
      <c r="R10" s="25" t="s">
        <v>38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28">
        <v>45597.0</v>
      </c>
      <c r="C11" s="18" t="s">
        <v>39</v>
      </c>
      <c r="D11" s="19">
        <v>80339.0</v>
      </c>
      <c r="E11" s="20" t="s">
        <v>40</v>
      </c>
      <c r="F11" s="22">
        <v>1000.0</v>
      </c>
      <c r="G11" s="24"/>
      <c r="H11" s="24"/>
      <c r="I11" s="21"/>
      <c r="J11" s="21"/>
      <c r="K11" s="24"/>
      <c r="L11" s="24"/>
      <c r="M11" s="21"/>
      <c r="N11" s="24"/>
      <c r="O11" s="24"/>
      <c r="P11" s="25">
        <v>1000.0</v>
      </c>
      <c r="Q11" s="26">
        <f t="shared" si="1"/>
        <v>0</v>
      </c>
      <c r="R11" s="25" t="s">
        <v>35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28">
        <v>45598.0</v>
      </c>
      <c r="C12" s="18" t="s">
        <v>41</v>
      </c>
      <c r="D12" s="19">
        <v>68841.0</v>
      </c>
      <c r="E12" s="20" t="s">
        <v>42</v>
      </c>
      <c r="F12" s="24"/>
      <c r="G12" s="24"/>
      <c r="H12" s="24"/>
      <c r="I12" s="29">
        <v>5100.0</v>
      </c>
      <c r="J12" s="21"/>
      <c r="K12" s="24"/>
      <c r="L12" s="24"/>
      <c r="M12" s="21"/>
      <c r="N12" s="24"/>
      <c r="O12" s="24"/>
      <c r="P12" s="25">
        <v>5100.0</v>
      </c>
      <c r="Q12" s="26">
        <f t="shared" si="1"/>
        <v>0</v>
      </c>
      <c r="R12" s="25" t="s">
        <v>28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31">
        <v>45598.0</v>
      </c>
      <c r="C13" s="32" t="s">
        <v>43</v>
      </c>
      <c r="D13" s="33">
        <v>69371.0</v>
      </c>
      <c r="E13" s="34" t="s">
        <v>44</v>
      </c>
      <c r="F13" s="24"/>
      <c r="G13" s="24"/>
      <c r="H13" s="24"/>
      <c r="I13" s="29">
        <v>4500.0</v>
      </c>
      <c r="J13" s="21"/>
      <c r="K13" s="24"/>
      <c r="L13" s="24"/>
      <c r="M13" s="21"/>
      <c r="N13" s="24"/>
      <c r="O13" s="24"/>
      <c r="P13" s="35">
        <v>4500.0</v>
      </c>
      <c r="Q13" s="26">
        <f t="shared" si="1"/>
        <v>0</v>
      </c>
      <c r="R13" s="35" t="s">
        <v>28</v>
      </c>
      <c r="S13" s="27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ht="34.5" customHeight="1">
      <c r="A14" s="16">
        <v>10.0</v>
      </c>
      <c r="B14" s="28">
        <v>45598.0</v>
      </c>
      <c r="C14" s="18" t="s">
        <v>45</v>
      </c>
      <c r="D14" s="19">
        <v>66770.0</v>
      </c>
      <c r="E14" s="20" t="s">
        <v>46</v>
      </c>
      <c r="F14" s="24"/>
      <c r="G14" s="24"/>
      <c r="H14" s="24"/>
      <c r="I14" s="21"/>
      <c r="J14" s="29">
        <v>2780.0</v>
      </c>
      <c r="K14" s="24"/>
      <c r="L14" s="24"/>
      <c r="M14" s="21"/>
      <c r="N14" s="24"/>
      <c r="O14" s="24"/>
      <c r="P14" s="25">
        <v>2780.0</v>
      </c>
      <c r="Q14" s="26">
        <f t="shared" si="1"/>
        <v>0</v>
      </c>
      <c r="R14" s="25" t="s">
        <v>35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28">
        <v>45598.0</v>
      </c>
      <c r="C15" s="18" t="s">
        <v>47</v>
      </c>
      <c r="D15" s="19">
        <v>85199.0</v>
      </c>
      <c r="E15" s="20" t="s">
        <v>48</v>
      </c>
      <c r="F15" s="24"/>
      <c r="G15" s="24"/>
      <c r="H15" s="24"/>
      <c r="I15" s="29">
        <v>300.0</v>
      </c>
      <c r="J15" s="21"/>
      <c r="K15" s="24"/>
      <c r="L15" s="24"/>
      <c r="M15" s="21"/>
      <c r="N15" s="24"/>
      <c r="O15" s="24"/>
      <c r="P15" s="25">
        <v>300.0</v>
      </c>
      <c r="Q15" s="26">
        <f t="shared" si="1"/>
        <v>0</v>
      </c>
      <c r="R15" s="25" t="s">
        <v>49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28">
        <v>45598.0</v>
      </c>
      <c r="C16" s="18" t="s">
        <v>50</v>
      </c>
      <c r="D16" s="19">
        <v>52247.0</v>
      </c>
      <c r="E16" s="20" t="s">
        <v>51</v>
      </c>
      <c r="F16" s="24"/>
      <c r="G16" s="24"/>
      <c r="H16" s="24"/>
      <c r="I16" s="29">
        <v>10000.0</v>
      </c>
      <c r="J16" s="21"/>
      <c r="K16" s="24"/>
      <c r="L16" s="24"/>
      <c r="M16" s="21"/>
      <c r="N16" s="24"/>
      <c r="O16" s="24"/>
      <c r="P16" s="25">
        <v>10000.0</v>
      </c>
      <c r="Q16" s="26">
        <f t="shared" si="1"/>
        <v>0</v>
      </c>
      <c r="R16" s="25" t="s">
        <v>49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28">
        <v>45598.0</v>
      </c>
      <c r="C17" s="18" t="s">
        <v>52</v>
      </c>
      <c r="D17" s="19">
        <v>10744.0</v>
      </c>
      <c r="E17" s="20" t="s">
        <v>53</v>
      </c>
      <c r="F17" s="24"/>
      <c r="G17" s="24"/>
      <c r="H17" s="24"/>
      <c r="I17" s="29">
        <v>10000.0</v>
      </c>
      <c r="J17" s="21"/>
      <c r="K17" s="24"/>
      <c r="L17" s="24"/>
      <c r="M17" s="21"/>
      <c r="N17" s="24"/>
      <c r="O17" s="24"/>
      <c r="P17" s="25">
        <v>10000.0</v>
      </c>
      <c r="Q17" s="26">
        <f t="shared" si="1"/>
        <v>0</v>
      </c>
      <c r="R17" s="25" t="s">
        <v>35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28">
        <v>45598.0</v>
      </c>
      <c r="C18" s="18" t="s">
        <v>54</v>
      </c>
      <c r="D18" s="19">
        <v>76101.0</v>
      </c>
      <c r="E18" s="20" t="s">
        <v>55</v>
      </c>
      <c r="F18" s="24"/>
      <c r="G18" s="24"/>
      <c r="H18" s="24"/>
      <c r="I18" s="29">
        <v>8099.0</v>
      </c>
      <c r="J18" s="21"/>
      <c r="K18" s="24"/>
      <c r="L18" s="24"/>
      <c r="M18" s="24"/>
      <c r="N18" s="24"/>
      <c r="O18" s="24"/>
      <c r="P18" s="25">
        <v>8099.0</v>
      </c>
      <c r="Q18" s="26">
        <f t="shared" si="1"/>
        <v>0</v>
      </c>
      <c r="R18" s="25" t="s">
        <v>49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31">
        <v>45598.0</v>
      </c>
      <c r="C19" s="32" t="s">
        <v>56</v>
      </c>
      <c r="D19" s="33">
        <v>36928.0</v>
      </c>
      <c r="E19" s="34" t="s">
        <v>57</v>
      </c>
      <c r="F19" s="24"/>
      <c r="G19" s="24"/>
      <c r="H19" s="24"/>
      <c r="I19" s="29">
        <v>4500.0</v>
      </c>
      <c r="J19" s="21"/>
      <c r="K19" s="24"/>
      <c r="L19" s="24"/>
      <c r="M19" s="21"/>
      <c r="N19" s="24"/>
      <c r="O19" s="24"/>
      <c r="P19" s="35">
        <v>4500.0</v>
      </c>
      <c r="Q19" s="26">
        <f t="shared" si="1"/>
        <v>0</v>
      </c>
      <c r="R19" s="35" t="s">
        <v>38</v>
      </c>
      <c r="S19" s="27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34.5" customHeight="1">
      <c r="A20" s="16">
        <v>16.0</v>
      </c>
      <c r="B20" s="28">
        <v>45598.0</v>
      </c>
      <c r="C20" s="18" t="s">
        <v>58</v>
      </c>
      <c r="D20" s="19">
        <v>67621.0</v>
      </c>
      <c r="E20" s="20" t="s">
        <v>59</v>
      </c>
      <c r="F20" s="24"/>
      <c r="G20" s="24"/>
      <c r="H20" s="24"/>
      <c r="I20" s="37">
        <v>1400.0</v>
      </c>
      <c r="J20" s="23"/>
      <c r="K20" s="24"/>
      <c r="L20" s="24"/>
      <c r="M20" s="24"/>
      <c r="N20" s="24"/>
      <c r="O20" s="24"/>
      <c r="P20" s="25">
        <v>1400.0</v>
      </c>
      <c r="Q20" s="26">
        <f t="shared" si="1"/>
        <v>0</v>
      </c>
      <c r="R20" s="25" t="s">
        <v>49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28">
        <v>45598.0</v>
      </c>
      <c r="C21" s="18" t="s">
        <v>60</v>
      </c>
      <c r="D21" s="19">
        <v>36928.0</v>
      </c>
      <c r="E21" s="20" t="s">
        <v>57</v>
      </c>
      <c r="F21" s="21"/>
      <c r="G21" s="24"/>
      <c r="H21" s="24"/>
      <c r="I21" s="38">
        <v>7250.0</v>
      </c>
      <c r="J21" s="24"/>
      <c r="K21" s="39"/>
      <c r="L21" s="24"/>
      <c r="M21" s="24"/>
      <c r="N21" s="24"/>
      <c r="O21" s="24"/>
      <c r="P21" s="25">
        <v>7250.0</v>
      </c>
      <c r="Q21" s="26">
        <f t="shared" si="1"/>
        <v>0</v>
      </c>
      <c r="R21" s="25" t="s">
        <v>38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28">
        <v>45598.0</v>
      </c>
      <c r="C22" s="18" t="s">
        <v>61</v>
      </c>
      <c r="D22" s="19">
        <v>22341.0</v>
      </c>
      <c r="E22" s="20" t="s">
        <v>62</v>
      </c>
      <c r="F22" s="21"/>
      <c r="G22" s="24"/>
      <c r="H22" s="24"/>
      <c r="I22" s="29">
        <v>5100.0</v>
      </c>
      <c r="J22" s="24"/>
      <c r="K22" s="21"/>
      <c r="L22" s="24"/>
      <c r="M22" s="24"/>
      <c r="N22" s="24"/>
      <c r="O22" s="24"/>
      <c r="P22" s="25">
        <v>5100.0</v>
      </c>
      <c r="Q22" s="26">
        <f t="shared" si="1"/>
        <v>0</v>
      </c>
      <c r="R22" s="25" t="s">
        <v>28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40">
        <v>45598.0</v>
      </c>
      <c r="C23" s="41" t="s">
        <v>63</v>
      </c>
      <c r="D23" s="42">
        <v>36928.0</v>
      </c>
      <c r="E23" s="43" t="s">
        <v>57</v>
      </c>
      <c r="F23" s="44"/>
      <c r="G23" s="45"/>
      <c r="H23" s="45"/>
      <c r="I23" s="38">
        <v>774.0</v>
      </c>
      <c r="J23" s="44"/>
      <c r="K23" s="46"/>
      <c r="L23" s="45"/>
      <c r="M23" s="45"/>
      <c r="N23" s="45"/>
      <c r="O23" s="45"/>
      <c r="P23" s="47">
        <v>774.0</v>
      </c>
      <c r="Q23" s="26">
        <f t="shared" si="1"/>
        <v>0</v>
      </c>
      <c r="R23" s="47" t="s">
        <v>38</v>
      </c>
      <c r="S23" s="27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</row>
    <row r="24" ht="34.5" customHeight="1">
      <c r="A24" s="16">
        <v>20.0</v>
      </c>
      <c r="B24" s="28">
        <v>45598.0</v>
      </c>
      <c r="C24" s="18" t="s">
        <v>64</v>
      </c>
      <c r="D24" s="19">
        <v>43018.0</v>
      </c>
      <c r="E24" s="20" t="s">
        <v>65</v>
      </c>
      <c r="F24" s="21"/>
      <c r="G24" s="24"/>
      <c r="H24" s="24"/>
      <c r="I24" s="29">
        <v>9600.0</v>
      </c>
      <c r="J24" s="24"/>
      <c r="K24" s="39"/>
      <c r="L24" s="24"/>
      <c r="M24" s="24"/>
      <c r="N24" s="24"/>
      <c r="O24" s="24"/>
      <c r="P24" s="25">
        <v>9600.0</v>
      </c>
      <c r="Q24" s="26">
        <f t="shared" si="1"/>
        <v>0</v>
      </c>
      <c r="R24" s="25" t="s">
        <v>49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28">
        <v>45598.0</v>
      </c>
      <c r="C25" s="18" t="s">
        <v>66</v>
      </c>
      <c r="D25" s="19">
        <v>36918.0</v>
      </c>
      <c r="E25" s="20" t="s">
        <v>67</v>
      </c>
      <c r="F25" s="21"/>
      <c r="G25" s="24"/>
      <c r="H25" s="24"/>
      <c r="I25" s="29">
        <v>15000.0</v>
      </c>
      <c r="J25" s="21"/>
      <c r="K25" s="39"/>
      <c r="L25" s="24"/>
      <c r="M25" s="24"/>
      <c r="N25" s="24"/>
      <c r="O25" s="24"/>
      <c r="P25" s="25">
        <v>15000.0</v>
      </c>
      <c r="Q25" s="26">
        <f t="shared" si="1"/>
        <v>0</v>
      </c>
      <c r="R25" s="25" t="s">
        <v>38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28">
        <v>45598.0</v>
      </c>
      <c r="C26" s="18" t="s">
        <v>68</v>
      </c>
      <c r="D26" s="19">
        <v>80716.0</v>
      </c>
      <c r="E26" s="20" t="s">
        <v>69</v>
      </c>
      <c r="F26" s="29">
        <v>2000.0</v>
      </c>
      <c r="G26" s="24"/>
      <c r="H26" s="24"/>
      <c r="I26" s="39"/>
      <c r="J26" s="21"/>
      <c r="K26" s="39"/>
      <c r="L26" s="24"/>
      <c r="M26" s="22">
        <v>2850.0</v>
      </c>
      <c r="N26" s="24"/>
      <c r="O26" s="24"/>
      <c r="P26" s="25">
        <v>4850.0</v>
      </c>
      <c r="Q26" s="26">
        <f t="shared" si="1"/>
        <v>0</v>
      </c>
      <c r="R26" s="25" t="s">
        <v>49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28">
        <v>45598.0</v>
      </c>
      <c r="C27" s="18" t="s">
        <v>70</v>
      </c>
      <c r="D27" s="19">
        <v>76801.0</v>
      </c>
      <c r="E27" s="20" t="s">
        <v>71</v>
      </c>
      <c r="F27" s="21"/>
      <c r="G27" s="24"/>
      <c r="H27" s="24"/>
      <c r="I27" s="29"/>
      <c r="J27" s="29">
        <v>5300.0</v>
      </c>
      <c r="K27" s="23"/>
      <c r="L27" s="24"/>
      <c r="M27" s="24"/>
      <c r="N27" s="24"/>
      <c r="O27" s="24"/>
      <c r="P27" s="25">
        <v>5300.0</v>
      </c>
      <c r="Q27" s="26">
        <f t="shared" si="1"/>
        <v>0</v>
      </c>
      <c r="R27" s="25" t="s">
        <v>35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28">
        <v>45598.0</v>
      </c>
      <c r="C28" s="18" t="s">
        <v>72</v>
      </c>
      <c r="D28" s="19">
        <v>53249.0</v>
      </c>
      <c r="E28" s="20" t="s">
        <v>73</v>
      </c>
      <c r="F28" s="21"/>
      <c r="G28" s="24"/>
      <c r="H28" s="24"/>
      <c r="I28" s="21"/>
      <c r="J28" s="29">
        <v>16000.0</v>
      </c>
      <c r="K28" s="23"/>
      <c r="L28" s="24"/>
      <c r="M28" s="24"/>
      <c r="N28" s="24"/>
      <c r="O28" s="24"/>
      <c r="P28" s="25">
        <v>16000.0</v>
      </c>
      <c r="Q28" s="26">
        <f t="shared" si="1"/>
        <v>0</v>
      </c>
      <c r="R28" s="25" t="s">
        <v>35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28">
        <v>45598.0</v>
      </c>
      <c r="C29" s="18" t="s">
        <v>74</v>
      </c>
      <c r="D29" s="19">
        <v>30895.0</v>
      </c>
      <c r="E29" s="20" t="s">
        <v>75</v>
      </c>
      <c r="F29" s="21"/>
      <c r="G29" s="24"/>
      <c r="H29" s="24"/>
      <c r="I29" s="21"/>
      <c r="J29" s="21"/>
      <c r="K29" s="37">
        <v>5000.0</v>
      </c>
      <c r="L29" s="24"/>
      <c r="M29" s="24"/>
      <c r="N29" s="24"/>
      <c r="O29" s="24"/>
      <c r="P29" s="25">
        <v>5000.0</v>
      </c>
      <c r="Q29" s="26">
        <f t="shared" si="1"/>
        <v>0</v>
      </c>
      <c r="R29" s="25" t="s">
        <v>28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28">
        <v>45598.0</v>
      </c>
      <c r="C30" s="18" t="s">
        <v>76</v>
      </c>
      <c r="D30" s="19">
        <v>75811.0</v>
      </c>
      <c r="E30" s="20" t="s">
        <v>77</v>
      </c>
      <c r="F30" s="29">
        <v>129.0</v>
      </c>
      <c r="G30" s="24"/>
      <c r="H30" s="24"/>
      <c r="I30" s="21"/>
      <c r="J30" s="21"/>
      <c r="K30" s="23"/>
      <c r="L30" s="24"/>
      <c r="M30" s="24"/>
      <c r="N30" s="24"/>
      <c r="O30" s="24"/>
      <c r="P30" s="25">
        <v>129.0</v>
      </c>
      <c r="Q30" s="26">
        <f t="shared" si="1"/>
        <v>0</v>
      </c>
      <c r="R30" s="25" t="s">
        <v>28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28">
        <v>45598.0</v>
      </c>
      <c r="C31" s="18" t="s">
        <v>78</v>
      </c>
      <c r="D31" s="19">
        <v>40649.0</v>
      </c>
      <c r="E31" s="20" t="s">
        <v>79</v>
      </c>
      <c r="F31" s="29">
        <v>129.0</v>
      </c>
      <c r="G31" s="24"/>
      <c r="H31" s="24"/>
      <c r="I31" s="21"/>
      <c r="J31" s="21"/>
      <c r="K31" s="23"/>
      <c r="L31" s="24"/>
      <c r="M31" s="22"/>
      <c r="N31" s="24"/>
      <c r="O31" s="24"/>
      <c r="P31" s="25">
        <v>129.0</v>
      </c>
      <c r="Q31" s="26">
        <f t="shared" si="1"/>
        <v>0</v>
      </c>
      <c r="R31" s="25" t="s">
        <v>28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28">
        <v>45598.0</v>
      </c>
      <c r="C32" s="18" t="s">
        <v>80</v>
      </c>
      <c r="D32" s="19">
        <v>84683.0</v>
      </c>
      <c r="E32" s="20" t="s">
        <v>81</v>
      </c>
      <c r="F32" s="21"/>
      <c r="G32" s="24"/>
      <c r="H32" s="24"/>
      <c r="I32" s="29"/>
      <c r="J32" s="21"/>
      <c r="K32" s="23"/>
      <c r="L32" s="24"/>
      <c r="M32" s="22">
        <v>300.0</v>
      </c>
      <c r="N32" s="24"/>
      <c r="O32" s="24"/>
      <c r="P32" s="25">
        <v>300.0</v>
      </c>
      <c r="Q32" s="26">
        <f t="shared" si="1"/>
        <v>0</v>
      </c>
      <c r="R32" s="25" t="s">
        <v>49</v>
      </c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28">
        <v>45598.0</v>
      </c>
      <c r="C33" s="18" t="s">
        <v>82</v>
      </c>
      <c r="D33" s="19">
        <v>36918.0</v>
      </c>
      <c r="E33" s="20" t="s">
        <v>67</v>
      </c>
      <c r="F33" s="21"/>
      <c r="G33" s="24"/>
      <c r="H33" s="24"/>
      <c r="I33" s="29">
        <v>3600.0</v>
      </c>
      <c r="J33" s="21"/>
      <c r="K33" s="23"/>
      <c r="L33" s="24"/>
      <c r="M33" s="24"/>
      <c r="N33" s="24"/>
      <c r="O33" s="24"/>
      <c r="P33" s="25">
        <v>3600.0</v>
      </c>
      <c r="Q33" s="26">
        <f t="shared" si="1"/>
        <v>0</v>
      </c>
      <c r="R33" s="25" t="s">
        <v>38</v>
      </c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28">
        <v>45598.0</v>
      </c>
      <c r="C34" s="18" t="s">
        <v>83</v>
      </c>
      <c r="D34" s="19">
        <v>62815.0</v>
      </c>
      <c r="E34" s="20" t="s">
        <v>84</v>
      </c>
      <c r="F34" s="21"/>
      <c r="G34" s="24"/>
      <c r="H34" s="24"/>
      <c r="I34" s="29">
        <v>9000.0</v>
      </c>
      <c r="J34" s="21"/>
      <c r="K34" s="23"/>
      <c r="L34" s="24"/>
      <c r="M34" s="24"/>
      <c r="N34" s="24"/>
      <c r="O34" s="24"/>
      <c r="P34" s="25">
        <v>9000.0</v>
      </c>
      <c r="Q34" s="26">
        <f t="shared" si="1"/>
        <v>0</v>
      </c>
      <c r="R34" s="25" t="s">
        <v>49</v>
      </c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28">
        <v>45598.0</v>
      </c>
      <c r="C35" s="18" t="s">
        <v>85</v>
      </c>
      <c r="D35" s="19">
        <v>10006.0</v>
      </c>
      <c r="E35" s="20" t="s">
        <v>86</v>
      </c>
      <c r="F35" s="21"/>
      <c r="G35" s="22">
        <v>2500.0</v>
      </c>
      <c r="H35" s="24"/>
      <c r="I35" s="21"/>
      <c r="J35" s="21"/>
      <c r="K35" s="23"/>
      <c r="L35" s="24"/>
      <c r="M35" s="24"/>
      <c r="N35" s="24"/>
      <c r="O35" s="24"/>
      <c r="P35" s="25">
        <v>2500.0</v>
      </c>
      <c r="Q35" s="26">
        <f t="shared" si="1"/>
        <v>0</v>
      </c>
      <c r="R35" s="25" t="s">
        <v>49</v>
      </c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28">
        <v>45598.0</v>
      </c>
      <c r="C36" s="18" t="s">
        <v>87</v>
      </c>
      <c r="D36" s="19">
        <v>51939.0</v>
      </c>
      <c r="E36" s="20" t="s">
        <v>88</v>
      </c>
      <c r="F36" s="21"/>
      <c r="G36" s="24"/>
      <c r="H36" s="24"/>
      <c r="I36" s="29">
        <v>5450.0</v>
      </c>
      <c r="J36" s="21"/>
      <c r="K36" s="23"/>
      <c r="L36" s="24"/>
      <c r="M36" s="24"/>
      <c r="N36" s="24"/>
      <c r="O36" s="24"/>
      <c r="P36" s="25">
        <v>5450.0</v>
      </c>
      <c r="Q36" s="26">
        <f t="shared" si="1"/>
        <v>0</v>
      </c>
      <c r="R36" s="25" t="s">
        <v>28</v>
      </c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28">
        <v>45598.0</v>
      </c>
      <c r="C37" s="18" t="s">
        <v>89</v>
      </c>
      <c r="D37" s="19">
        <v>49540.0</v>
      </c>
      <c r="E37" s="20" t="s">
        <v>90</v>
      </c>
      <c r="F37" s="21"/>
      <c r="G37" s="24"/>
      <c r="H37" s="24"/>
      <c r="I37" s="29">
        <v>2600.0</v>
      </c>
      <c r="J37" s="21"/>
      <c r="K37" s="23"/>
      <c r="L37" s="24"/>
      <c r="M37" s="24"/>
      <c r="N37" s="24"/>
      <c r="O37" s="24"/>
      <c r="P37" s="25">
        <v>2600.0</v>
      </c>
      <c r="Q37" s="26">
        <f t="shared" si="1"/>
        <v>0</v>
      </c>
      <c r="R37" s="25" t="s">
        <v>28</v>
      </c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28">
        <v>45598.0</v>
      </c>
      <c r="C38" s="18" t="s">
        <v>91</v>
      </c>
      <c r="D38" s="19">
        <v>13762.0</v>
      </c>
      <c r="E38" s="20" t="s">
        <v>92</v>
      </c>
      <c r="F38" s="21"/>
      <c r="G38" s="24"/>
      <c r="H38" s="24"/>
      <c r="I38" s="21"/>
      <c r="J38" s="29">
        <v>900.0</v>
      </c>
      <c r="K38" s="23"/>
      <c r="L38" s="24"/>
      <c r="M38" s="24"/>
      <c r="N38" s="24"/>
      <c r="O38" s="24"/>
      <c r="P38" s="25">
        <v>900.0</v>
      </c>
      <c r="Q38" s="26">
        <f t="shared" si="1"/>
        <v>0</v>
      </c>
      <c r="R38" s="25" t="s">
        <v>49</v>
      </c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28">
        <v>45598.0</v>
      </c>
      <c r="C39" s="18" t="s">
        <v>93</v>
      </c>
      <c r="D39" s="19">
        <v>52083.0</v>
      </c>
      <c r="E39" s="20" t="s">
        <v>94</v>
      </c>
      <c r="F39" s="21"/>
      <c r="G39" s="24"/>
      <c r="H39" s="24"/>
      <c r="I39" s="29">
        <v>2500.0</v>
      </c>
      <c r="J39" s="21"/>
      <c r="K39" s="23"/>
      <c r="L39" s="24"/>
      <c r="M39" s="24"/>
      <c r="N39" s="24"/>
      <c r="O39" s="24"/>
      <c r="P39" s="25">
        <v>2500.0</v>
      </c>
      <c r="Q39" s="26">
        <f t="shared" si="1"/>
        <v>0</v>
      </c>
      <c r="R39" s="25" t="s">
        <v>49</v>
      </c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28">
        <v>45598.0</v>
      </c>
      <c r="C40" s="18" t="s">
        <v>95</v>
      </c>
      <c r="D40" s="19">
        <v>58074.0</v>
      </c>
      <c r="E40" s="20" t="s">
        <v>96</v>
      </c>
      <c r="F40" s="21"/>
      <c r="G40" s="24"/>
      <c r="H40" s="24"/>
      <c r="I40" s="21"/>
      <c r="J40" s="21"/>
      <c r="K40" s="37">
        <v>100.0</v>
      </c>
      <c r="L40" s="24"/>
      <c r="M40" s="24"/>
      <c r="N40" s="24"/>
      <c r="O40" s="24"/>
      <c r="P40" s="25">
        <v>100.0</v>
      </c>
      <c r="Q40" s="26">
        <f t="shared" si="1"/>
        <v>0</v>
      </c>
      <c r="R40" s="25" t="s">
        <v>38</v>
      </c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28">
        <v>45598.0</v>
      </c>
      <c r="C41" s="18" t="s">
        <v>97</v>
      </c>
      <c r="D41" s="19">
        <v>49252.0</v>
      </c>
      <c r="E41" s="20" t="s">
        <v>98</v>
      </c>
      <c r="F41" s="21"/>
      <c r="G41" s="24"/>
      <c r="H41" s="24"/>
      <c r="I41" s="21"/>
      <c r="J41" s="21"/>
      <c r="K41" s="37">
        <v>1550.0</v>
      </c>
      <c r="L41" s="24"/>
      <c r="M41" s="24"/>
      <c r="N41" s="24"/>
      <c r="O41" s="24"/>
      <c r="P41" s="25">
        <v>1550.0</v>
      </c>
      <c r="Q41" s="26">
        <f t="shared" si="1"/>
        <v>0</v>
      </c>
      <c r="R41" s="25" t="s">
        <v>49</v>
      </c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28">
        <v>45598.0</v>
      </c>
      <c r="C42" s="18" t="s">
        <v>99</v>
      </c>
      <c r="D42" s="19">
        <v>10008.0</v>
      </c>
      <c r="E42" s="20" t="s">
        <v>100</v>
      </c>
      <c r="F42" s="29">
        <v>700.0</v>
      </c>
      <c r="G42" s="24"/>
      <c r="H42" s="24"/>
      <c r="I42" s="21"/>
      <c r="J42" s="21"/>
      <c r="K42" s="23"/>
      <c r="L42" s="24"/>
      <c r="M42" s="24"/>
      <c r="N42" s="24"/>
      <c r="O42" s="24"/>
      <c r="P42" s="25">
        <v>700.0</v>
      </c>
      <c r="Q42" s="26">
        <f t="shared" si="1"/>
        <v>0</v>
      </c>
      <c r="R42" s="25" t="s">
        <v>49</v>
      </c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16">
        <v>39.0</v>
      </c>
      <c r="B43" s="28">
        <v>45596.0</v>
      </c>
      <c r="C43" s="18" t="s">
        <v>101</v>
      </c>
      <c r="D43" s="19">
        <v>50595.0</v>
      </c>
      <c r="E43" s="20" t="s">
        <v>102</v>
      </c>
      <c r="F43" s="21"/>
      <c r="G43" s="24"/>
      <c r="H43" s="22">
        <v>10000.0</v>
      </c>
      <c r="I43" s="21"/>
      <c r="J43" s="21"/>
      <c r="K43" s="23"/>
      <c r="L43" s="24"/>
      <c r="M43" s="24"/>
      <c r="N43" s="24"/>
      <c r="O43" s="24"/>
      <c r="P43" s="25">
        <v>10000.0</v>
      </c>
      <c r="Q43" s="26">
        <f t="shared" si="1"/>
        <v>0</v>
      </c>
      <c r="R43" s="49"/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4.5" customHeight="1">
      <c r="A44" s="16">
        <v>40.0</v>
      </c>
      <c r="B44" s="28">
        <v>45596.0</v>
      </c>
      <c r="C44" s="18" t="s">
        <v>103</v>
      </c>
      <c r="D44" s="19">
        <v>54763.0</v>
      </c>
      <c r="E44" s="20" t="s">
        <v>104</v>
      </c>
      <c r="F44" s="21"/>
      <c r="G44" s="24"/>
      <c r="H44" s="24"/>
      <c r="I44" s="21"/>
      <c r="J44" s="21"/>
      <c r="K44" s="37">
        <v>700.0</v>
      </c>
      <c r="L44" s="24"/>
      <c r="M44" s="24"/>
      <c r="N44" s="24"/>
      <c r="O44" s="24"/>
      <c r="P44" s="25">
        <v>700.0</v>
      </c>
      <c r="Q44" s="26">
        <f t="shared" si="1"/>
        <v>0</v>
      </c>
      <c r="R44" s="49"/>
      <c r="S44" s="27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34.5" customHeight="1">
      <c r="A45" s="16">
        <v>41.0</v>
      </c>
      <c r="B45" s="28">
        <v>45596.0</v>
      </c>
      <c r="C45" s="18" t="s">
        <v>105</v>
      </c>
      <c r="D45" s="19">
        <v>36555.0</v>
      </c>
      <c r="E45" s="20" t="s">
        <v>106</v>
      </c>
      <c r="F45" s="21"/>
      <c r="G45" s="24"/>
      <c r="H45" s="22">
        <v>2500.0</v>
      </c>
      <c r="I45" s="21"/>
      <c r="J45" s="21"/>
      <c r="K45" s="23"/>
      <c r="L45" s="24"/>
      <c r="M45" s="24"/>
      <c r="N45" s="24"/>
      <c r="O45" s="24"/>
      <c r="P45" s="25">
        <v>2500.0</v>
      </c>
      <c r="Q45" s="26">
        <f t="shared" si="1"/>
        <v>0</v>
      </c>
      <c r="R45" s="49"/>
      <c r="S45" s="27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34.5" customHeight="1">
      <c r="A46" s="16">
        <v>42.0</v>
      </c>
      <c r="B46" s="28">
        <v>45596.0</v>
      </c>
      <c r="C46" s="18" t="s">
        <v>107</v>
      </c>
      <c r="D46" s="19">
        <v>19122.0</v>
      </c>
      <c r="E46" s="20" t="s">
        <v>108</v>
      </c>
      <c r="F46" s="21"/>
      <c r="G46" s="24"/>
      <c r="H46" s="22">
        <v>4500.0</v>
      </c>
      <c r="I46" s="21"/>
      <c r="J46" s="21"/>
      <c r="K46" s="23"/>
      <c r="L46" s="24"/>
      <c r="M46" s="24"/>
      <c r="N46" s="24"/>
      <c r="O46" s="24"/>
      <c r="P46" s="25">
        <v>4500.0</v>
      </c>
      <c r="Q46" s="26">
        <f t="shared" si="1"/>
        <v>0</v>
      </c>
      <c r="R46" s="49"/>
      <c r="S46" s="27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34.5" customHeight="1">
      <c r="A47" s="16">
        <v>43.0</v>
      </c>
      <c r="B47" s="28">
        <v>45596.0</v>
      </c>
      <c r="C47" s="18" t="s">
        <v>109</v>
      </c>
      <c r="D47" s="19">
        <v>49959.0</v>
      </c>
      <c r="E47" s="20" t="s">
        <v>110</v>
      </c>
      <c r="F47" s="21"/>
      <c r="G47" s="24"/>
      <c r="H47" s="22"/>
      <c r="I47" s="21"/>
      <c r="J47" s="21"/>
      <c r="K47" s="23"/>
      <c r="L47" s="24"/>
      <c r="M47" s="22">
        <v>11400.0</v>
      </c>
      <c r="N47" s="24"/>
      <c r="O47" s="24"/>
      <c r="P47" s="25">
        <v>11400.0</v>
      </c>
      <c r="Q47" s="26">
        <f t="shared" si="1"/>
        <v>0</v>
      </c>
      <c r="R47" s="49"/>
      <c r="S47" s="27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34.5" customHeight="1">
      <c r="A48" s="16">
        <v>44.0</v>
      </c>
      <c r="B48" s="28">
        <v>45598.0</v>
      </c>
      <c r="C48" s="18" t="s">
        <v>111</v>
      </c>
      <c r="D48" s="19">
        <v>21828.0</v>
      </c>
      <c r="E48" s="20" t="s">
        <v>112</v>
      </c>
      <c r="F48" s="21"/>
      <c r="G48" s="24"/>
      <c r="H48" s="24"/>
      <c r="I48" s="21"/>
      <c r="J48" s="21"/>
      <c r="K48" s="23"/>
      <c r="L48" s="24"/>
      <c r="M48" s="24"/>
      <c r="N48" s="24"/>
      <c r="O48" s="22">
        <v>1200.0</v>
      </c>
      <c r="P48" s="25">
        <v>1200.0</v>
      </c>
      <c r="Q48" s="26">
        <f t="shared" si="1"/>
        <v>0</v>
      </c>
      <c r="R48" s="49"/>
      <c r="S48" s="27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34.5" customHeight="1">
      <c r="A49" s="16">
        <v>45.0</v>
      </c>
      <c r="B49" s="28">
        <v>45598.0</v>
      </c>
      <c r="C49" s="18" t="s">
        <v>113</v>
      </c>
      <c r="D49" s="19">
        <v>58074.0</v>
      </c>
      <c r="E49" s="20" t="s">
        <v>96</v>
      </c>
      <c r="F49" s="21"/>
      <c r="G49" s="24"/>
      <c r="H49" s="24"/>
      <c r="I49" s="21"/>
      <c r="J49" s="21"/>
      <c r="K49" s="37">
        <v>390.0</v>
      </c>
      <c r="L49" s="24"/>
      <c r="M49" s="24"/>
      <c r="N49" s="24"/>
      <c r="O49" s="22">
        <v>810.0</v>
      </c>
      <c r="P49" s="25">
        <v>1200.0</v>
      </c>
      <c r="Q49" s="26">
        <f t="shared" si="1"/>
        <v>0</v>
      </c>
      <c r="R49" s="49"/>
      <c r="S49" s="27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34.5" customHeight="1">
      <c r="A50" s="16">
        <v>46.0</v>
      </c>
      <c r="B50" s="28">
        <v>45598.0</v>
      </c>
      <c r="C50" s="18" t="s">
        <v>114</v>
      </c>
      <c r="D50" s="19">
        <v>45937.0</v>
      </c>
      <c r="E50" s="20" t="s">
        <v>115</v>
      </c>
      <c r="F50" s="21"/>
      <c r="G50" s="24"/>
      <c r="H50" s="22">
        <v>1450.0</v>
      </c>
      <c r="I50" s="21"/>
      <c r="J50" s="21"/>
      <c r="K50" s="37"/>
      <c r="L50" s="24"/>
      <c r="M50" s="24"/>
      <c r="N50" s="24"/>
      <c r="O50" s="22"/>
      <c r="P50" s="25">
        <v>1450.0</v>
      </c>
      <c r="Q50" s="26">
        <f t="shared" si="1"/>
        <v>0</v>
      </c>
      <c r="R50" s="49"/>
      <c r="S50" s="27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34.5" customHeight="1">
      <c r="A51" s="16">
        <v>47.0</v>
      </c>
      <c r="B51" s="28">
        <v>45598.0</v>
      </c>
      <c r="C51" s="18" t="s">
        <v>116</v>
      </c>
      <c r="D51" s="19">
        <v>36928.0</v>
      </c>
      <c r="E51" s="20" t="s">
        <v>57</v>
      </c>
      <c r="F51" s="21"/>
      <c r="G51" s="24"/>
      <c r="H51" s="24"/>
      <c r="I51" s="21"/>
      <c r="J51" s="21"/>
      <c r="K51" s="37">
        <v>199.5</v>
      </c>
      <c r="L51" s="24"/>
      <c r="M51" s="24"/>
      <c r="N51" s="24"/>
      <c r="O51" s="22">
        <v>1000.5</v>
      </c>
      <c r="P51" s="25">
        <v>1200.0</v>
      </c>
      <c r="Q51" s="26">
        <f t="shared" si="1"/>
        <v>0</v>
      </c>
      <c r="R51" s="49"/>
      <c r="S51" s="27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34.5" customHeight="1">
      <c r="A52" s="16">
        <v>48.0</v>
      </c>
      <c r="B52" s="28">
        <v>45598.0</v>
      </c>
      <c r="C52" s="18" t="s">
        <v>117</v>
      </c>
      <c r="D52" s="19">
        <v>77275.0</v>
      </c>
      <c r="E52" s="20" t="s">
        <v>118</v>
      </c>
      <c r="F52" s="21"/>
      <c r="G52" s="24"/>
      <c r="H52" s="22">
        <v>5100.0</v>
      </c>
      <c r="I52" s="21"/>
      <c r="J52" s="21"/>
      <c r="K52" s="23"/>
      <c r="L52" s="24"/>
      <c r="M52" s="24"/>
      <c r="N52" s="24"/>
      <c r="O52" s="24"/>
      <c r="P52" s="25">
        <v>5100.0</v>
      </c>
      <c r="Q52" s="26">
        <f t="shared" si="1"/>
        <v>0</v>
      </c>
      <c r="R52" s="49"/>
      <c r="S52" s="27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34.5" customHeight="1">
      <c r="A53" s="16">
        <v>49.0</v>
      </c>
      <c r="B53" s="28">
        <v>45598.0</v>
      </c>
      <c r="C53" s="18" t="s">
        <v>119</v>
      </c>
      <c r="D53" s="19">
        <v>57328.0</v>
      </c>
      <c r="E53" s="20" t="s">
        <v>120</v>
      </c>
      <c r="F53" s="21"/>
      <c r="G53" s="24"/>
      <c r="H53" s="22">
        <v>2500.0</v>
      </c>
      <c r="I53" s="21"/>
      <c r="J53" s="21"/>
      <c r="K53" s="23"/>
      <c r="L53" s="24"/>
      <c r="M53" s="24"/>
      <c r="N53" s="24"/>
      <c r="O53" s="24"/>
      <c r="P53" s="25">
        <v>2500.0</v>
      </c>
      <c r="Q53" s="26">
        <f t="shared" si="1"/>
        <v>0</v>
      </c>
      <c r="R53" s="49"/>
      <c r="S53" s="27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34.5" customHeight="1">
      <c r="A54" s="16">
        <v>50.0</v>
      </c>
      <c r="B54" s="28">
        <v>45598.0</v>
      </c>
      <c r="C54" s="18" t="s">
        <v>121</v>
      </c>
      <c r="D54" s="19">
        <v>57328.0</v>
      </c>
      <c r="E54" s="20" t="s">
        <v>120</v>
      </c>
      <c r="F54" s="21"/>
      <c r="G54" s="24"/>
      <c r="H54" s="24"/>
      <c r="I54" s="21"/>
      <c r="J54" s="21"/>
      <c r="K54" s="23"/>
      <c r="L54" s="24"/>
      <c r="M54" s="24"/>
      <c r="N54" s="24"/>
      <c r="O54" s="22">
        <v>3200.0</v>
      </c>
      <c r="P54" s="25">
        <v>3200.0</v>
      </c>
      <c r="Q54" s="26">
        <f t="shared" si="1"/>
        <v>0</v>
      </c>
      <c r="R54" s="49"/>
      <c r="S54" s="27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34.5" customHeight="1">
      <c r="A55" s="16">
        <v>51.0</v>
      </c>
      <c r="B55" s="28">
        <v>45598.0</v>
      </c>
      <c r="C55" s="18" t="s">
        <v>122</v>
      </c>
      <c r="D55" s="19">
        <v>49252.0</v>
      </c>
      <c r="E55" s="20" t="s">
        <v>98</v>
      </c>
      <c r="F55" s="21"/>
      <c r="G55" s="24"/>
      <c r="H55" s="24"/>
      <c r="I55" s="21"/>
      <c r="J55" s="21"/>
      <c r="K55" s="37">
        <v>215.5</v>
      </c>
      <c r="L55" s="24"/>
      <c r="M55" s="24"/>
      <c r="N55" s="24"/>
      <c r="O55" s="22">
        <v>984.5</v>
      </c>
      <c r="P55" s="25">
        <v>1200.0</v>
      </c>
      <c r="Q55" s="26">
        <f t="shared" si="1"/>
        <v>0</v>
      </c>
      <c r="R55" s="49"/>
      <c r="S55" s="27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37.5" customHeight="1">
      <c r="A56" s="16"/>
      <c r="B56" s="50"/>
      <c r="C56" s="51"/>
      <c r="D56" s="52" t="s">
        <v>123</v>
      </c>
      <c r="E56" s="53"/>
      <c r="F56" s="54">
        <f t="shared" ref="F56:P56" si="2">SUM(F5:F55)</f>
        <v>3958</v>
      </c>
      <c r="G56" s="54">
        <f t="shared" si="2"/>
        <v>19790</v>
      </c>
      <c r="H56" s="54">
        <f t="shared" si="2"/>
        <v>26050</v>
      </c>
      <c r="I56" s="54">
        <f t="shared" si="2"/>
        <v>121097</v>
      </c>
      <c r="J56" s="54">
        <f t="shared" si="2"/>
        <v>24980</v>
      </c>
      <c r="K56" s="54">
        <f t="shared" si="2"/>
        <v>61155</v>
      </c>
      <c r="L56" s="54">
        <f t="shared" si="2"/>
        <v>0</v>
      </c>
      <c r="M56" s="54">
        <f t="shared" si="2"/>
        <v>14550</v>
      </c>
      <c r="N56" s="54">
        <f t="shared" si="2"/>
        <v>0</v>
      </c>
      <c r="O56" s="54">
        <f t="shared" si="2"/>
        <v>7195</v>
      </c>
      <c r="P56" s="54">
        <f t="shared" si="2"/>
        <v>278775</v>
      </c>
      <c r="Q56" s="55">
        <v>0.0</v>
      </c>
      <c r="R56" s="56"/>
      <c r="S56" s="27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</row>
    <row r="57" ht="58.5" customHeight="1">
      <c r="A57" s="57"/>
      <c r="B57" s="57"/>
      <c r="C57" s="58"/>
      <c r="D57" s="57"/>
      <c r="E57" s="57"/>
      <c r="F57" s="59">
        <f>F56+G56+H56+I56+J56+K56+L56+M56+N56+O56</f>
        <v>278775</v>
      </c>
      <c r="P57" s="60"/>
      <c r="Q57" s="60"/>
      <c r="R57" s="57"/>
      <c r="S57" s="57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</row>
    <row r="58" ht="15.75" customHeight="1">
      <c r="A58" s="4"/>
      <c r="B58" s="4"/>
      <c r="C58" s="6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26.25" customHeight="1">
      <c r="A59" s="4"/>
      <c r="B59" s="4"/>
      <c r="C59" s="6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26.25" customHeight="1">
      <c r="A60" s="4"/>
      <c r="B60" s="4"/>
      <c r="C60" s="62" t="s">
        <v>123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26.25" customHeight="1">
      <c r="A61" s="4"/>
      <c r="B61" s="4"/>
      <c r="C61" s="61"/>
      <c r="D61" s="4"/>
      <c r="E61" s="63" t="s">
        <v>124</v>
      </c>
      <c r="F61" s="64" t="s">
        <v>125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26.25" customHeight="1">
      <c r="A62" s="4"/>
      <c r="B62" s="4"/>
      <c r="C62" s="61"/>
      <c r="D62" s="4"/>
      <c r="E62" s="65" t="s">
        <v>126</v>
      </c>
      <c r="F62" s="64" t="s">
        <v>127</v>
      </c>
      <c r="G62" s="4"/>
      <c r="H62" s="4"/>
      <c r="I62" s="4"/>
      <c r="J62" s="4"/>
      <c r="K62" s="4"/>
      <c r="L62" s="4"/>
      <c r="M62" s="4"/>
      <c r="N62" s="4"/>
      <c r="O62" s="66" t="s">
        <v>123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26.25" customHeight="1">
      <c r="A63" s="4"/>
      <c r="B63" s="4"/>
      <c r="C63" s="61"/>
      <c r="D63" s="4"/>
      <c r="E63" s="65" t="s">
        <v>128</v>
      </c>
      <c r="F63" s="64" t="s">
        <v>129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26.25" customHeight="1">
      <c r="A64" s="4"/>
      <c r="B64" s="4"/>
      <c r="C64" s="61"/>
      <c r="D64" s="4"/>
      <c r="E64" s="65" t="s">
        <v>130</v>
      </c>
      <c r="F64" s="64" t="s">
        <v>129</v>
      </c>
      <c r="G64" s="4"/>
      <c r="H64" s="4"/>
      <c r="I64" s="4"/>
      <c r="J64" s="4"/>
      <c r="K64" s="67" t="s">
        <v>123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26.25" customHeight="1">
      <c r="A65" s="4"/>
      <c r="B65" s="4"/>
      <c r="C65" s="61"/>
      <c r="D65" s="4"/>
      <c r="E65" s="65" t="s">
        <v>131</v>
      </c>
      <c r="F65" s="64" t="s">
        <v>132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26.25" customHeight="1">
      <c r="A66" s="4"/>
      <c r="B66" s="4"/>
      <c r="C66" s="61"/>
      <c r="D66" s="4"/>
      <c r="E66" s="65" t="s">
        <v>133</v>
      </c>
      <c r="F66" s="64" t="s">
        <v>129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26.25" customHeight="1">
      <c r="A67" s="4"/>
      <c r="B67" s="4"/>
      <c r="C67" s="61"/>
      <c r="D67" s="4"/>
      <c r="E67" s="65" t="s">
        <v>134</v>
      </c>
      <c r="F67" s="64" t="s">
        <v>127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26.25" customHeight="1">
      <c r="A68" s="4"/>
      <c r="B68" s="4"/>
      <c r="C68" s="61"/>
      <c r="D68" s="4"/>
      <c r="E68" s="65" t="s">
        <v>135</v>
      </c>
      <c r="F68" s="68" t="s">
        <v>125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66" t="s">
        <v>123</v>
      </c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26.25" customHeight="1">
      <c r="A69" s="4"/>
      <c r="B69" s="4"/>
      <c r="C69" s="61"/>
      <c r="D69" s="4"/>
      <c r="E69" s="4"/>
      <c r="F69" s="4"/>
      <c r="G69" s="4"/>
      <c r="H69" s="4"/>
      <c r="I69" s="4"/>
      <c r="J69" s="4"/>
      <c r="K69" s="4" t="str">
        <f>I72456</f>
        <v/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26.25" customHeight="1">
      <c r="A70" s="4"/>
      <c r="B70" s="4"/>
      <c r="C70" s="6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1"/>
      <c r="D76" s="4"/>
      <c r="E76" s="4"/>
      <c r="F76" s="4"/>
      <c r="G76" s="4"/>
      <c r="H76" s="4"/>
      <c r="I76" s="66" t="s">
        <v>136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1"/>
      <c r="D91" s="4"/>
      <c r="E91" s="4"/>
      <c r="F91" s="4"/>
      <c r="G91" s="4"/>
      <c r="H91" s="4"/>
      <c r="I91" s="4"/>
      <c r="J91" s="4"/>
      <c r="K91" s="4"/>
      <c r="L91" s="4"/>
      <c r="M91" s="4">
        <v>7.0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6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6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6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6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6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6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6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6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6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6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61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61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61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61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61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4"/>
      <c r="B284" s="4"/>
      <c r="C284" s="61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4"/>
      <c r="B285" s="4"/>
      <c r="C285" s="61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5.75" customHeight="1">
      <c r="A286" s="4"/>
      <c r="B286" s="4"/>
      <c r="C286" s="61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5.75" customHeight="1">
      <c r="A287" s="4"/>
      <c r="B287" s="4"/>
      <c r="C287" s="61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5.75" customHeight="1">
      <c r="A288" s="4"/>
      <c r="B288" s="4"/>
      <c r="C288" s="61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 ht="15.75" customHeight="1">
      <c r="A289" s="4"/>
      <c r="B289" s="4"/>
      <c r="C289" s="61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ht="15.75" customHeight="1">
      <c r="A290" s="4"/>
      <c r="B290" s="4"/>
      <c r="C290" s="61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 ht="15.75" customHeight="1">
      <c r="A291" s="4"/>
      <c r="B291" s="4"/>
      <c r="C291" s="61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7">
    <mergeCell ref="R2:R4"/>
    <mergeCell ref="S2:S4"/>
    <mergeCell ref="F3:F4"/>
    <mergeCell ref="G3:H3"/>
    <mergeCell ref="I3:J3"/>
    <mergeCell ref="K3:K4"/>
    <mergeCell ref="F57:O57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5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137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45598.0</v>
      </c>
      <c r="C5" s="18" t="s">
        <v>138</v>
      </c>
      <c r="D5" s="19">
        <v>67621.0</v>
      </c>
      <c r="E5" s="20" t="s">
        <v>59</v>
      </c>
      <c r="F5" s="21"/>
      <c r="G5" s="22"/>
      <c r="H5" s="21"/>
      <c r="I5" s="37">
        <v>5000.0</v>
      </c>
      <c r="J5" s="23"/>
      <c r="K5" s="22"/>
      <c r="L5" s="24"/>
      <c r="M5" s="21"/>
      <c r="N5" s="24"/>
      <c r="O5" s="24"/>
      <c r="P5" s="25">
        <v>5000.0</v>
      </c>
      <c r="Q5" s="26">
        <f t="shared" ref="Q5:Q13" si="1">F5+G5+H5+I5+J5+K5+L5+M5+N5+O5-P5</f>
        <v>0</v>
      </c>
      <c r="R5" s="25" t="s">
        <v>38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17">
        <v>45598.0</v>
      </c>
      <c r="C6" s="18" t="s">
        <v>139</v>
      </c>
      <c r="D6" s="19">
        <v>13781.0</v>
      </c>
      <c r="E6" s="20" t="s">
        <v>140</v>
      </c>
      <c r="F6" s="21"/>
      <c r="G6" s="24"/>
      <c r="H6" s="24"/>
      <c r="I6" s="29">
        <v>5000.0</v>
      </c>
      <c r="J6" s="24"/>
      <c r="K6" s="24"/>
      <c r="L6" s="24"/>
      <c r="M6" s="21"/>
      <c r="N6" s="24"/>
      <c r="O6" s="24"/>
      <c r="P6" s="25">
        <v>5000.0</v>
      </c>
      <c r="Q6" s="26">
        <f t="shared" si="1"/>
        <v>0</v>
      </c>
      <c r="R6" s="25" t="s">
        <v>28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17">
        <v>45598.0</v>
      </c>
      <c r="C7" s="18" t="s">
        <v>141</v>
      </c>
      <c r="D7" s="19">
        <v>10001.0</v>
      </c>
      <c r="E7" s="20" t="s">
        <v>142</v>
      </c>
      <c r="F7" s="24"/>
      <c r="G7" s="22"/>
      <c r="H7" s="21"/>
      <c r="I7" s="29">
        <v>4600.0</v>
      </c>
      <c r="J7" s="23"/>
      <c r="K7" s="24"/>
      <c r="L7" s="24"/>
      <c r="M7" s="24"/>
      <c r="N7" s="24"/>
      <c r="O7" s="24"/>
      <c r="P7" s="25">
        <v>4600.0</v>
      </c>
      <c r="Q7" s="26">
        <f t="shared" si="1"/>
        <v>0</v>
      </c>
      <c r="R7" s="25" t="s">
        <v>38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17">
        <v>45598.0</v>
      </c>
      <c r="C8" s="18" t="s">
        <v>143</v>
      </c>
      <c r="D8" s="19">
        <v>69334.0</v>
      </c>
      <c r="E8" s="20" t="s">
        <v>144</v>
      </c>
      <c r="F8" s="22"/>
      <c r="G8" s="22"/>
      <c r="H8" s="24"/>
      <c r="I8" s="21"/>
      <c r="J8" s="29">
        <v>1350.0</v>
      </c>
      <c r="K8" s="24"/>
      <c r="L8" s="24"/>
      <c r="M8" s="24"/>
      <c r="N8" s="24"/>
      <c r="O8" s="24"/>
      <c r="P8" s="25">
        <v>1350.0</v>
      </c>
      <c r="Q8" s="26">
        <f t="shared" si="1"/>
        <v>0</v>
      </c>
      <c r="R8" s="25" t="s">
        <v>28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17">
        <v>45598.0</v>
      </c>
      <c r="C9" s="18" t="s">
        <v>145</v>
      </c>
      <c r="D9" s="19">
        <v>75811.0</v>
      </c>
      <c r="E9" s="20" t="s">
        <v>77</v>
      </c>
      <c r="F9" s="22">
        <v>140.0</v>
      </c>
      <c r="G9" s="24"/>
      <c r="H9" s="24"/>
      <c r="I9" s="29"/>
      <c r="J9" s="21"/>
      <c r="K9" s="24"/>
      <c r="L9" s="24"/>
      <c r="M9" s="21"/>
      <c r="N9" s="24"/>
      <c r="O9" s="24"/>
      <c r="P9" s="25">
        <v>140.0</v>
      </c>
      <c r="Q9" s="26">
        <f t="shared" si="1"/>
        <v>0</v>
      </c>
      <c r="R9" s="25" t="s">
        <v>28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17">
        <v>45599.0</v>
      </c>
      <c r="C10" s="18" t="s">
        <v>146</v>
      </c>
      <c r="D10" s="19">
        <v>52669.0</v>
      </c>
      <c r="E10" s="20" t="s">
        <v>147</v>
      </c>
      <c r="F10" s="24"/>
      <c r="G10" s="24"/>
      <c r="H10" s="24"/>
      <c r="I10" s="29">
        <v>170.0</v>
      </c>
      <c r="J10" s="21"/>
      <c r="K10" s="24"/>
      <c r="L10" s="24"/>
      <c r="M10" s="21"/>
      <c r="N10" s="24"/>
      <c r="O10" s="24"/>
      <c r="P10" s="25">
        <v>170.0</v>
      </c>
      <c r="Q10" s="26">
        <f t="shared" si="1"/>
        <v>0</v>
      </c>
      <c r="R10" s="25" t="s">
        <v>25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17">
        <v>45599.0</v>
      </c>
      <c r="C11" s="18" t="s">
        <v>148</v>
      </c>
      <c r="D11" s="19">
        <v>67797.0</v>
      </c>
      <c r="E11" s="20" t="s">
        <v>149</v>
      </c>
      <c r="F11" s="22"/>
      <c r="G11" s="24"/>
      <c r="H11" s="24"/>
      <c r="I11" s="21"/>
      <c r="J11" s="29">
        <v>27500.0</v>
      </c>
      <c r="K11" s="24"/>
      <c r="L11" s="24"/>
      <c r="M11" s="21"/>
      <c r="N11" s="24"/>
      <c r="O11" s="24"/>
      <c r="P11" s="25">
        <v>27500.0</v>
      </c>
      <c r="Q11" s="26">
        <f t="shared" si="1"/>
        <v>0</v>
      </c>
      <c r="R11" s="25" t="s">
        <v>28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17">
        <v>45599.0</v>
      </c>
      <c r="C12" s="18" t="s">
        <v>150</v>
      </c>
      <c r="D12" s="19">
        <v>51876.0</v>
      </c>
      <c r="E12" s="20" t="s">
        <v>151</v>
      </c>
      <c r="F12" s="24"/>
      <c r="G12" s="24"/>
      <c r="H12" s="24"/>
      <c r="I12" s="29">
        <v>5250.0</v>
      </c>
      <c r="J12" s="21"/>
      <c r="K12" s="24"/>
      <c r="L12" s="24"/>
      <c r="M12" s="21"/>
      <c r="N12" s="24"/>
      <c r="O12" s="24"/>
      <c r="P12" s="25">
        <v>5250.0</v>
      </c>
      <c r="Q12" s="26">
        <f t="shared" si="1"/>
        <v>0</v>
      </c>
      <c r="R12" s="25" t="s">
        <v>38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69">
        <v>45599.0</v>
      </c>
      <c r="C13" s="32" t="s">
        <v>152</v>
      </c>
      <c r="D13" s="33">
        <v>55446.0</v>
      </c>
      <c r="E13" s="34" t="s">
        <v>153</v>
      </c>
      <c r="F13" s="24"/>
      <c r="G13" s="22">
        <v>1268.0</v>
      </c>
      <c r="H13" s="24"/>
      <c r="I13" s="29"/>
      <c r="J13" s="21"/>
      <c r="K13" s="24"/>
      <c r="L13" s="24"/>
      <c r="M13" s="21"/>
      <c r="N13" s="24"/>
      <c r="O13" s="24"/>
      <c r="P13" s="35">
        <v>1268.0</v>
      </c>
      <c r="Q13" s="26">
        <f t="shared" si="1"/>
        <v>0</v>
      </c>
      <c r="R13" s="35" t="s">
        <v>28</v>
      </c>
      <c r="S13" s="27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ht="34.5" customHeight="1">
      <c r="A14" s="16">
        <v>10.0</v>
      </c>
      <c r="B14" s="69">
        <v>45599.0</v>
      </c>
      <c r="C14" s="32" t="s">
        <v>154</v>
      </c>
      <c r="D14" s="19">
        <v>53249.0</v>
      </c>
      <c r="E14" s="20" t="s">
        <v>155</v>
      </c>
      <c r="F14" s="24"/>
      <c r="G14" s="24"/>
      <c r="H14" s="22"/>
      <c r="I14" s="21"/>
      <c r="J14" s="29">
        <v>15000.0</v>
      </c>
      <c r="K14" s="24"/>
      <c r="L14" s="24"/>
      <c r="M14" s="21"/>
      <c r="N14" s="24"/>
      <c r="O14" s="24"/>
      <c r="P14" s="35">
        <v>15000.0</v>
      </c>
      <c r="Q14" s="70">
        <v>0.0</v>
      </c>
      <c r="R14" s="25" t="s">
        <v>25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17">
        <v>45598.0</v>
      </c>
      <c r="C15" s="18" t="s">
        <v>156</v>
      </c>
      <c r="D15" s="19">
        <v>52669.0</v>
      </c>
      <c r="E15" s="20" t="s">
        <v>147</v>
      </c>
      <c r="F15" s="24"/>
      <c r="G15" s="24"/>
      <c r="H15" s="22">
        <v>28050.0</v>
      </c>
      <c r="I15" s="21"/>
      <c r="J15" s="29"/>
      <c r="K15" s="24"/>
      <c r="L15" s="24"/>
      <c r="M15" s="21"/>
      <c r="N15" s="24"/>
      <c r="O15" s="24"/>
      <c r="P15" s="25">
        <v>28050.0</v>
      </c>
      <c r="Q15" s="26">
        <f t="shared" ref="Q15:Q17" si="2">F15+G15+H15+I15+J15+K15+L15+M15+N15+O15-P15</f>
        <v>0</v>
      </c>
      <c r="R15" s="25"/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17">
        <v>45599.0</v>
      </c>
      <c r="C16" s="18" t="s">
        <v>157</v>
      </c>
      <c r="D16" s="19">
        <v>51876.0</v>
      </c>
      <c r="E16" s="20" t="s">
        <v>151</v>
      </c>
      <c r="F16" s="24"/>
      <c r="G16" s="24"/>
      <c r="H16" s="24"/>
      <c r="I16" s="29"/>
      <c r="J16" s="21"/>
      <c r="K16" s="24"/>
      <c r="L16" s="24"/>
      <c r="M16" s="21"/>
      <c r="N16" s="24"/>
      <c r="O16" s="22">
        <v>3600.0</v>
      </c>
      <c r="P16" s="25">
        <v>3600.0</v>
      </c>
      <c r="Q16" s="26">
        <f t="shared" si="2"/>
        <v>0</v>
      </c>
      <c r="R16" s="25"/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71"/>
      <c r="B17" s="17"/>
      <c r="C17" s="18"/>
      <c r="D17" s="19"/>
      <c r="E17" s="20"/>
      <c r="F17" s="21"/>
      <c r="G17" s="24"/>
      <c r="H17" s="24"/>
      <c r="I17" s="21"/>
      <c r="J17" s="21"/>
      <c r="K17" s="37"/>
      <c r="L17" s="24"/>
      <c r="M17" s="24"/>
      <c r="N17" s="24"/>
      <c r="O17" s="22"/>
      <c r="P17" s="25"/>
      <c r="Q17" s="26">
        <f t="shared" si="2"/>
        <v>0</v>
      </c>
      <c r="R17" s="49"/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7.5" customHeight="1">
      <c r="A18" s="16"/>
      <c r="B18" s="50"/>
      <c r="C18" s="51"/>
      <c r="D18" s="52" t="s">
        <v>123</v>
      </c>
      <c r="E18" s="53"/>
      <c r="F18" s="54">
        <f t="shared" ref="F18:P18" si="3">SUM(F5:F17)</f>
        <v>140</v>
      </c>
      <c r="G18" s="54">
        <f t="shared" si="3"/>
        <v>1268</v>
      </c>
      <c r="H18" s="54">
        <f t="shared" si="3"/>
        <v>28050</v>
      </c>
      <c r="I18" s="54">
        <f t="shared" si="3"/>
        <v>20020</v>
      </c>
      <c r="J18" s="54">
        <f t="shared" si="3"/>
        <v>43850</v>
      </c>
      <c r="K18" s="54">
        <f t="shared" si="3"/>
        <v>0</v>
      </c>
      <c r="L18" s="54">
        <f t="shared" si="3"/>
        <v>0</v>
      </c>
      <c r="M18" s="54">
        <f t="shared" si="3"/>
        <v>0</v>
      </c>
      <c r="N18" s="54">
        <f t="shared" si="3"/>
        <v>0</v>
      </c>
      <c r="O18" s="54">
        <f t="shared" si="3"/>
        <v>3600</v>
      </c>
      <c r="P18" s="54">
        <f t="shared" si="3"/>
        <v>96928</v>
      </c>
      <c r="Q18" s="55">
        <v>0.0</v>
      </c>
      <c r="R18" s="56"/>
      <c r="S18" s="27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</row>
    <row r="19" ht="58.5" customHeight="1">
      <c r="A19" s="57"/>
      <c r="B19" s="57"/>
      <c r="C19" s="58"/>
      <c r="D19" s="57"/>
      <c r="E19" s="57"/>
      <c r="F19" s="59">
        <f>F18+G18+H18+I18+J18+K18+L18+M18+N18+O18</f>
        <v>96928</v>
      </c>
      <c r="P19" s="60"/>
      <c r="Q19" s="60"/>
      <c r="R19" s="57"/>
      <c r="S19" s="57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15.75" customHeight="1">
      <c r="A20" s="4"/>
      <c r="B20" s="4"/>
      <c r="C20" s="61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26.25" customHeight="1">
      <c r="A21" s="4"/>
      <c r="B21" s="4"/>
      <c r="C21" s="61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26.25" customHeight="1">
      <c r="A22" s="4"/>
      <c r="B22" s="4"/>
      <c r="C22" s="62" t="s">
        <v>123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6.0" customHeight="1">
      <c r="A23" s="4"/>
      <c r="B23" s="4"/>
      <c r="C23" s="61"/>
      <c r="D23" s="4"/>
      <c r="E23" s="72" t="s">
        <v>158</v>
      </c>
      <c r="F23" s="64" t="s">
        <v>125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26.25" customHeight="1">
      <c r="A24" s="4"/>
      <c r="B24" s="4"/>
      <c r="C24" s="61"/>
      <c r="D24" s="4"/>
      <c r="E24" s="65" t="s">
        <v>126</v>
      </c>
      <c r="F24" s="64" t="s">
        <v>127</v>
      </c>
      <c r="G24" s="4"/>
      <c r="H24" s="4"/>
      <c r="I24" s="4"/>
      <c r="J24" s="4"/>
      <c r="K24" s="4"/>
      <c r="L24" s="4"/>
      <c r="M24" s="4"/>
      <c r="N24" s="4"/>
      <c r="O24" s="66" t="s">
        <v>123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26.25" customHeight="1">
      <c r="A25" s="4"/>
      <c r="B25" s="4"/>
      <c r="C25" s="61"/>
      <c r="D25" s="4"/>
      <c r="E25" s="65" t="s">
        <v>128</v>
      </c>
      <c r="F25" s="64" t="s">
        <v>159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26.25" customHeight="1">
      <c r="A26" s="4"/>
      <c r="B26" s="4"/>
      <c r="C26" s="61"/>
      <c r="D26" s="4"/>
      <c r="E26" s="65" t="s">
        <v>130</v>
      </c>
      <c r="F26" s="64" t="s">
        <v>160</v>
      </c>
      <c r="G26" s="4"/>
      <c r="H26" s="4"/>
      <c r="I26" s="4"/>
      <c r="J26" s="4"/>
      <c r="K26" s="67" t="s">
        <v>123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26.25" customHeight="1">
      <c r="A27" s="4"/>
      <c r="B27" s="4"/>
      <c r="C27" s="61"/>
      <c r="D27" s="4"/>
      <c r="E27" s="65" t="s">
        <v>131</v>
      </c>
      <c r="F27" s="64" t="s">
        <v>160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26.25" customHeight="1">
      <c r="A28" s="4"/>
      <c r="B28" s="4"/>
      <c r="C28" s="61"/>
      <c r="D28" s="4"/>
      <c r="E28" s="65" t="s">
        <v>161</v>
      </c>
      <c r="F28" s="64" t="s">
        <v>160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0.0" customHeight="1">
      <c r="A29" s="4"/>
      <c r="B29" s="4"/>
      <c r="C29" s="61"/>
      <c r="D29" s="4"/>
      <c r="E29" s="65" t="s">
        <v>134</v>
      </c>
      <c r="F29" s="64" t="s">
        <v>162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26.25" customHeight="1">
      <c r="A30" s="4"/>
      <c r="B30" s="4"/>
      <c r="C30" s="61"/>
      <c r="D30" s="4"/>
      <c r="E30" s="65" t="s">
        <v>135</v>
      </c>
      <c r="F30" s="68" t="s">
        <v>125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66" t="s">
        <v>123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26.25" customHeight="1">
      <c r="A31" s="4"/>
      <c r="B31" s="4"/>
      <c r="C31" s="61"/>
      <c r="D31" s="4"/>
      <c r="E31" s="4"/>
      <c r="F31" s="4"/>
      <c r="G31" s="4"/>
      <c r="H31" s="4"/>
      <c r="I31" s="4"/>
      <c r="J31" s="4"/>
      <c r="K31" s="4" t="str">
        <f>I72418</f>
        <v/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61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15.75" customHeight="1">
      <c r="A33" s="4"/>
      <c r="B33" s="4"/>
      <c r="C33" s="61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15.75" customHeight="1">
      <c r="A34" s="4"/>
      <c r="B34" s="4"/>
      <c r="C34" s="6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15.75" customHeight="1">
      <c r="A35" s="4"/>
      <c r="B35" s="4"/>
      <c r="C35" s="61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15.75" customHeight="1">
      <c r="A36" s="4"/>
      <c r="B36" s="4"/>
      <c r="C36" s="6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15.75" customHeight="1">
      <c r="A37" s="4"/>
      <c r="B37" s="4"/>
      <c r="C37" s="6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15.75" customHeight="1">
      <c r="A38" s="4"/>
      <c r="B38" s="4"/>
      <c r="C38" s="61"/>
      <c r="D38" s="4"/>
      <c r="E38" s="4"/>
      <c r="F38" s="4"/>
      <c r="G38" s="4"/>
      <c r="H38" s="4"/>
      <c r="I38" s="66" t="s">
        <v>136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5.75" customHeight="1">
      <c r="A39" s="4"/>
      <c r="B39" s="4"/>
      <c r="C39" s="61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5.75" customHeight="1">
      <c r="A40" s="4"/>
      <c r="B40" s="4"/>
      <c r="C40" s="61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6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6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6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6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6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6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6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6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6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6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6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1"/>
      <c r="D53" s="4"/>
      <c r="E53" s="4"/>
      <c r="F53" s="4"/>
      <c r="G53" s="4"/>
      <c r="H53" s="4"/>
      <c r="I53" s="4"/>
      <c r="J53" s="4"/>
      <c r="K53" s="4"/>
      <c r="L53" s="4"/>
      <c r="M53" s="4">
        <v>7.0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mergeCells count="17">
    <mergeCell ref="R2:R4"/>
    <mergeCell ref="S2:S4"/>
    <mergeCell ref="F3:F4"/>
    <mergeCell ref="G3:H3"/>
    <mergeCell ref="I3:J3"/>
    <mergeCell ref="K3:K4"/>
    <mergeCell ref="F19:O19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5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163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45600.0</v>
      </c>
      <c r="C5" s="18" t="s">
        <v>164</v>
      </c>
      <c r="D5" s="19">
        <v>83606.0</v>
      </c>
      <c r="E5" s="20" t="s">
        <v>165</v>
      </c>
      <c r="F5" s="21"/>
      <c r="G5" s="22"/>
      <c r="H5" s="21"/>
      <c r="I5" s="37">
        <v>5100.0</v>
      </c>
      <c r="J5" s="23"/>
      <c r="K5" s="22"/>
      <c r="L5" s="24"/>
      <c r="M5" s="21"/>
      <c r="N5" s="24"/>
      <c r="O5" s="24"/>
      <c r="P5" s="25">
        <v>5100.0</v>
      </c>
      <c r="Q5" s="26">
        <f t="shared" ref="Q5:Q20" si="1">F5+G5+H5+I5+J5+K5+L5+M5+N5+O5-P5</f>
        <v>0</v>
      </c>
      <c r="R5" s="25" t="s">
        <v>25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17">
        <v>45600.0</v>
      </c>
      <c r="C6" s="18" t="s">
        <v>166</v>
      </c>
      <c r="D6" s="19">
        <v>48052.0</v>
      </c>
      <c r="E6" s="20" t="s">
        <v>167</v>
      </c>
      <c r="F6" s="21"/>
      <c r="G6" s="24"/>
      <c r="H6" s="24"/>
      <c r="I6" s="29">
        <v>1250.0</v>
      </c>
      <c r="J6" s="24"/>
      <c r="K6" s="24"/>
      <c r="L6" s="24"/>
      <c r="M6" s="21"/>
      <c r="N6" s="24"/>
      <c r="O6" s="24"/>
      <c r="P6" s="25">
        <v>1250.0</v>
      </c>
      <c r="Q6" s="26">
        <f t="shared" si="1"/>
        <v>0</v>
      </c>
      <c r="R6" s="25" t="s">
        <v>49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17">
        <v>45600.0</v>
      </c>
      <c r="C7" s="18" t="s">
        <v>168</v>
      </c>
      <c r="D7" s="19">
        <v>49890.0</v>
      </c>
      <c r="E7" s="20" t="s">
        <v>169</v>
      </c>
      <c r="F7" s="24"/>
      <c r="G7" s="22"/>
      <c r="H7" s="21"/>
      <c r="I7" s="29"/>
      <c r="J7" s="37">
        <v>550.0</v>
      </c>
      <c r="K7" s="24"/>
      <c r="L7" s="24"/>
      <c r="M7" s="24"/>
      <c r="N7" s="24"/>
      <c r="O7" s="24"/>
      <c r="P7" s="25">
        <v>550.0</v>
      </c>
      <c r="Q7" s="26">
        <f t="shared" si="1"/>
        <v>0</v>
      </c>
      <c r="R7" s="25" t="s">
        <v>25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17">
        <v>45600.0</v>
      </c>
      <c r="C8" s="18" t="s">
        <v>170</v>
      </c>
      <c r="D8" s="19">
        <v>74778.0</v>
      </c>
      <c r="E8" s="20" t="s">
        <v>171</v>
      </c>
      <c r="F8" s="22"/>
      <c r="G8" s="22"/>
      <c r="H8" s="24"/>
      <c r="I8" s="29">
        <v>1450.0</v>
      </c>
      <c r="J8" s="29"/>
      <c r="K8" s="24"/>
      <c r="L8" s="24"/>
      <c r="M8" s="24"/>
      <c r="N8" s="24"/>
      <c r="O8" s="24"/>
      <c r="P8" s="25">
        <v>1450.0</v>
      </c>
      <c r="Q8" s="26">
        <f t="shared" si="1"/>
        <v>0</v>
      </c>
      <c r="R8" s="25" t="s">
        <v>28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17">
        <v>45600.0</v>
      </c>
      <c r="C9" s="18" t="s">
        <v>172</v>
      </c>
      <c r="D9" s="19">
        <v>76815.0</v>
      </c>
      <c r="E9" s="20" t="s">
        <v>173</v>
      </c>
      <c r="F9" s="22"/>
      <c r="G9" s="24"/>
      <c r="H9" s="24"/>
      <c r="I9" s="29">
        <v>25000.0</v>
      </c>
      <c r="J9" s="21"/>
      <c r="K9" s="24"/>
      <c r="L9" s="24"/>
      <c r="M9" s="21"/>
      <c r="N9" s="24"/>
      <c r="O9" s="24"/>
      <c r="P9" s="25">
        <v>25000.0</v>
      </c>
      <c r="Q9" s="26">
        <f t="shared" si="1"/>
        <v>0</v>
      </c>
      <c r="R9" s="25" t="s">
        <v>35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17">
        <v>45600.0</v>
      </c>
      <c r="C10" s="18" t="s">
        <v>174</v>
      </c>
      <c r="D10" s="19">
        <v>76815.0</v>
      </c>
      <c r="E10" s="20" t="s">
        <v>173</v>
      </c>
      <c r="F10" s="24"/>
      <c r="G10" s="24"/>
      <c r="H10" s="24"/>
      <c r="I10" s="29">
        <v>100.0</v>
      </c>
      <c r="J10" s="21"/>
      <c r="K10" s="24"/>
      <c r="L10" s="24"/>
      <c r="M10" s="21"/>
      <c r="N10" s="24"/>
      <c r="O10" s="24"/>
      <c r="P10" s="25">
        <v>100.0</v>
      </c>
      <c r="Q10" s="26">
        <f t="shared" si="1"/>
        <v>0</v>
      </c>
      <c r="R10" s="25" t="s">
        <v>35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17">
        <v>45600.0</v>
      </c>
      <c r="C11" s="18" t="s">
        <v>175</v>
      </c>
      <c r="D11" s="19">
        <v>43380.0</v>
      </c>
      <c r="E11" s="20" t="s">
        <v>176</v>
      </c>
      <c r="F11" s="24"/>
      <c r="G11" s="24"/>
      <c r="H11" s="24"/>
      <c r="I11" s="29">
        <v>100.0</v>
      </c>
      <c r="J11" s="21"/>
      <c r="K11" s="24"/>
      <c r="L11" s="24"/>
      <c r="M11" s="21"/>
      <c r="N11" s="24"/>
      <c r="O11" s="24"/>
      <c r="P11" s="25">
        <v>100.0</v>
      </c>
      <c r="Q11" s="26">
        <f t="shared" si="1"/>
        <v>0</v>
      </c>
      <c r="R11" s="25" t="s">
        <v>28</v>
      </c>
      <c r="S11" s="3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17">
        <v>45600.0</v>
      </c>
      <c r="C12" s="18" t="s">
        <v>177</v>
      </c>
      <c r="D12" s="19">
        <v>10744.0</v>
      </c>
      <c r="E12" s="20" t="s">
        <v>53</v>
      </c>
      <c r="F12" s="24"/>
      <c r="G12" s="24"/>
      <c r="H12" s="24"/>
      <c r="I12" s="29">
        <v>15000.0</v>
      </c>
      <c r="J12" s="21"/>
      <c r="K12" s="24"/>
      <c r="L12" s="24"/>
      <c r="M12" s="21"/>
      <c r="N12" s="24"/>
      <c r="O12" s="24"/>
      <c r="P12" s="25">
        <v>15000.0</v>
      </c>
      <c r="Q12" s="26">
        <f t="shared" si="1"/>
        <v>0</v>
      </c>
      <c r="R12" s="25" t="s">
        <v>49</v>
      </c>
      <c r="S12" s="3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17">
        <v>45600.0</v>
      </c>
      <c r="C13" s="18" t="s">
        <v>178</v>
      </c>
      <c r="D13" s="19">
        <v>19122.0</v>
      </c>
      <c r="E13" s="20" t="s">
        <v>108</v>
      </c>
      <c r="F13" s="24"/>
      <c r="G13" s="24"/>
      <c r="H13" s="24"/>
      <c r="I13" s="29"/>
      <c r="J13" s="21"/>
      <c r="K13" s="24"/>
      <c r="L13" s="24"/>
      <c r="M13" s="29">
        <v>200.0</v>
      </c>
      <c r="N13" s="24"/>
      <c r="O13" s="24"/>
      <c r="P13" s="25">
        <v>200.0</v>
      </c>
      <c r="Q13" s="26">
        <f t="shared" si="1"/>
        <v>0</v>
      </c>
      <c r="R13" s="25" t="s">
        <v>25</v>
      </c>
      <c r="S13" s="3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16">
        <v>10.0</v>
      </c>
      <c r="B14" s="17">
        <v>45600.0</v>
      </c>
      <c r="C14" s="18" t="s">
        <v>179</v>
      </c>
      <c r="D14" s="19">
        <v>52083.0</v>
      </c>
      <c r="E14" s="20" t="s">
        <v>94</v>
      </c>
      <c r="F14" s="24"/>
      <c r="G14" s="24"/>
      <c r="H14" s="24"/>
      <c r="I14" s="29">
        <v>3400.0</v>
      </c>
      <c r="J14" s="21"/>
      <c r="K14" s="24"/>
      <c r="L14" s="24"/>
      <c r="M14" s="21"/>
      <c r="N14" s="24"/>
      <c r="O14" s="24"/>
      <c r="P14" s="25">
        <v>3400.0</v>
      </c>
      <c r="Q14" s="26">
        <f t="shared" si="1"/>
        <v>0</v>
      </c>
      <c r="R14" s="25" t="s">
        <v>38</v>
      </c>
      <c r="S14" s="3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17">
        <v>45599.0</v>
      </c>
      <c r="C15" s="18" t="s">
        <v>180</v>
      </c>
      <c r="D15" s="19">
        <v>82254.0</v>
      </c>
      <c r="E15" s="20" t="s">
        <v>181</v>
      </c>
      <c r="F15" s="22"/>
      <c r="G15" s="24"/>
      <c r="H15" s="24"/>
      <c r="I15" s="21"/>
      <c r="J15" s="29"/>
      <c r="K15" s="24"/>
      <c r="L15" s="24"/>
      <c r="M15" s="29">
        <v>10000.0</v>
      </c>
      <c r="N15" s="24"/>
      <c r="O15" s="24"/>
      <c r="P15" s="25">
        <v>10000.0</v>
      </c>
      <c r="Q15" s="26">
        <f t="shared" si="1"/>
        <v>0</v>
      </c>
      <c r="R15" s="25"/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17">
        <v>45600.0</v>
      </c>
      <c r="C16" s="18" t="s">
        <v>182</v>
      </c>
      <c r="D16" s="19">
        <v>19122.0</v>
      </c>
      <c r="E16" s="20" t="s">
        <v>108</v>
      </c>
      <c r="F16" s="24"/>
      <c r="G16" s="24"/>
      <c r="H16" s="24"/>
      <c r="I16" s="29"/>
      <c r="J16" s="21"/>
      <c r="K16" s="22">
        <v>132.5</v>
      </c>
      <c r="L16" s="24"/>
      <c r="M16" s="21"/>
      <c r="N16" s="24"/>
      <c r="O16" s="22">
        <v>1067.0</v>
      </c>
      <c r="P16" s="25">
        <v>1200.0</v>
      </c>
      <c r="Q16" s="26">
        <f t="shared" si="1"/>
        <v>-0.5</v>
      </c>
      <c r="R16" s="25"/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3.0" customHeight="1">
      <c r="A17" s="16">
        <v>13.0</v>
      </c>
      <c r="B17" s="69">
        <v>45600.0</v>
      </c>
      <c r="C17" s="32" t="s">
        <v>183</v>
      </c>
      <c r="D17" s="33">
        <v>76972.0</v>
      </c>
      <c r="E17" s="34" t="s">
        <v>184</v>
      </c>
      <c r="F17" s="24"/>
      <c r="G17" s="22"/>
      <c r="H17" s="24"/>
      <c r="I17" s="29"/>
      <c r="J17" s="21"/>
      <c r="K17" s="24"/>
      <c r="L17" s="22"/>
      <c r="M17" s="21"/>
      <c r="N17" s="24"/>
      <c r="O17" s="22">
        <v>1200.0</v>
      </c>
      <c r="P17" s="35">
        <v>1200.0</v>
      </c>
      <c r="Q17" s="26">
        <f t="shared" si="1"/>
        <v>0</v>
      </c>
      <c r="R17" s="35"/>
      <c r="S17" s="27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</row>
    <row r="18" ht="34.5" customHeight="1">
      <c r="A18" s="16">
        <v>14.0</v>
      </c>
      <c r="B18" s="69">
        <v>45600.0</v>
      </c>
      <c r="C18" s="32" t="s">
        <v>185</v>
      </c>
      <c r="D18" s="19">
        <v>43389.0</v>
      </c>
      <c r="E18" s="20" t="s">
        <v>186</v>
      </c>
      <c r="F18" s="24"/>
      <c r="G18" s="24"/>
      <c r="H18" s="22"/>
      <c r="I18" s="21"/>
      <c r="J18" s="29"/>
      <c r="K18" s="24"/>
      <c r="L18" s="24"/>
      <c r="M18" s="21"/>
      <c r="N18" s="24"/>
      <c r="O18" s="22">
        <v>1200.0</v>
      </c>
      <c r="P18" s="35">
        <v>1200.0</v>
      </c>
      <c r="Q18" s="26">
        <f t="shared" si="1"/>
        <v>0</v>
      </c>
      <c r="R18" s="25"/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17">
        <v>45600.0</v>
      </c>
      <c r="C19" s="18" t="s">
        <v>187</v>
      </c>
      <c r="D19" s="19">
        <v>77658.0</v>
      </c>
      <c r="E19" s="20" t="s">
        <v>188</v>
      </c>
      <c r="F19" s="24"/>
      <c r="G19" s="24"/>
      <c r="H19" s="22"/>
      <c r="I19" s="21"/>
      <c r="J19" s="29"/>
      <c r="K19" s="24"/>
      <c r="L19" s="24"/>
      <c r="M19" s="21"/>
      <c r="N19" s="24"/>
      <c r="O19" s="22">
        <v>4800.0</v>
      </c>
      <c r="P19" s="25">
        <v>4800.0</v>
      </c>
      <c r="Q19" s="26">
        <f t="shared" si="1"/>
        <v>0</v>
      </c>
      <c r="R19" s="25"/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16">
        <v>16.0</v>
      </c>
      <c r="B20" s="17">
        <v>45600.0</v>
      </c>
      <c r="C20" s="18" t="s">
        <v>189</v>
      </c>
      <c r="D20" s="19">
        <v>10008.0</v>
      </c>
      <c r="E20" s="20" t="s">
        <v>100</v>
      </c>
      <c r="F20" s="24"/>
      <c r="G20" s="24"/>
      <c r="H20" s="24"/>
      <c r="I20" s="29"/>
      <c r="J20" s="21"/>
      <c r="K20" s="24"/>
      <c r="L20" s="24"/>
      <c r="M20" s="29">
        <v>300.0</v>
      </c>
      <c r="N20" s="24"/>
      <c r="O20" s="22"/>
      <c r="P20" s="25">
        <v>300.0</v>
      </c>
      <c r="Q20" s="26">
        <f t="shared" si="1"/>
        <v>0</v>
      </c>
      <c r="R20" s="25"/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71"/>
      <c r="B21" s="17"/>
      <c r="C21" s="18"/>
      <c r="D21" s="19"/>
      <c r="E21" s="20"/>
      <c r="F21" s="21"/>
      <c r="G21" s="24"/>
      <c r="H21" s="24"/>
      <c r="I21" s="21"/>
      <c r="J21" s="21"/>
      <c r="K21" s="37"/>
      <c r="L21" s="24"/>
      <c r="M21" s="24"/>
      <c r="N21" s="24"/>
      <c r="O21" s="22"/>
      <c r="P21" s="25"/>
      <c r="Q21" s="26"/>
      <c r="R21" s="49"/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7.5" customHeight="1">
      <c r="A22" s="16"/>
      <c r="B22" s="50"/>
      <c r="C22" s="51"/>
      <c r="D22" s="52" t="s">
        <v>123</v>
      </c>
      <c r="E22" s="53"/>
      <c r="F22" s="54">
        <f t="shared" ref="F22:P22" si="2">SUM(F5:F21)</f>
        <v>0</v>
      </c>
      <c r="G22" s="54">
        <f t="shared" si="2"/>
        <v>0</v>
      </c>
      <c r="H22" s="54">
        <f t="shared" si="2"/>
        <v>0</v>
      </c>
      <c r="I22" s="54">
        <f t="shared" si="2"/>
        <v>51400</v>
      </c>
      <c r="J22" s="54">
        <f t="shared" si="2"/>
        <v>550</v>
      </c>
      <c r="K22" s="54">
        <f t="shared" si="2"/>
        <v>132.5</v>
      </c>
      <c r="L22" s="54">
        <f t="shared" si="2"/>
        <v>0</v>
      </c>
      <c r="M22" s="54">
        <f t="shared" si="2"/>
        <v>10500</v>
      </c>
      <c r="N22" s="54">
        <f t="shared" si="2"/>
        <v>0</v>
      </c>
      <c r="O22" s="54">
        <f t="shared" si="2"/>
        <v>8267</v>
      </c>
      <c r="P22" s="54">
        <f t="shared" si="2"/>
        <v>70850</v>
      </c>
      <c r="Q22" s="55">
        <v>0.0</v>
      </c>
      <c r="R22" s="56"/>
      <c r="S22" s="27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</row>
    <row r="23" ht="58.5" customHeight="1">
      <c r="A23" s="57"/>
      <c r="B23" s="57"/>
      <c r="C23" s="58"/>
      <c r="D23" s="57"/>
      <c r="E23" s="57"/>
      <c r="F23" s="59">
        <f>F22+G22+H22+I22+J22+K22+L22+M22+N22+O22</f>
        <v>70849.5</v>
      </c>
      <c r="P23" s="60"/>
      <c r="Q23" s="60"/>
      <c r="R23" s="57"/>
      <c r="S23" s="57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</row>
    <row r="24" ht="15.75" customHeight="1">
      <c r="A24" s="4"/>
      <c r="B24" s="4"/>
      <c r="C24" s="61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26.25" customHeight="1">
      <c r="A25" s="4"/>
      <c r="B25" s="4"/>
      <c r="C25" s="61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26.25" customHeight="1">
      <c r="A26" s="4"/>
      <c r="B26" s="4"/>
      <c r="C26" s="62" t="s">
        <v>123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26.25" customHeight="1">
      <c r="A27" s="4"/>
      <c r="B27" s="4"/>
      <c r="C27" s="61"/>
      <c r="D27" s="4"/>
      <c r="E27" s="63" t="s">
        <v>124</v>
      </c>
      <c r="F27" s="64" t="s">
        <v>160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26.25" customHeight="1">
      <c r="A28" s="4"/>
      <c r="B28" s="4"/>
      <c r="C28" s="61"/>
      <c r="D28" s="4"/>
      <c r="E28" s="65" t="s">
        <v>126</v>
      </c>
      <c r="F28" s="64" t="s">
        <v>127</v>
      </c>
      <c r="G28" s="4"/>
      <c r="H28" s="4"/>
      <c r="I28" s="4"/>
      <c r="J28" s="4"/>
      <c r="K28" s="4"/>
      <c r="L28" s="4"/>
      <c r="M28" s="4"/>
      <c r="N28" s="4"/>
      <c r="O28" s="66" t="s">
        <v>123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26.25" customHeight="1">
      <c r="A29" s="4"/>
      <c r="B29" s="4"/>
      <c r="C29" s="61"/>
      <c r="D29" s="4"/>
      <c r="E29" s="65" t="s">
        <v>128</v>
      </c>
      <c r="F29" s="64" t="s">
        <v>159</v>
      </c>
      <c r="G29" s="4"/>
      <c r="H29" s="4"/>
      <c r="I29" s="67" t="s">
        <v>190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26.25" customHeight="1">
      <c r="A30" s="4"/>
      <c r="B30" s="4"/>
      <c r="C30" s="61"/>
      <c r="D30" s="4"/>
      <c r="E30" s="65" t="s">
        <v>130</v>
      </c>
      <c r="F30" s="64" t="s">
        <v>160</v>
      </c>
      <c r="G30" s="4"/>
      <c r="H30" s="4"/>
      <c r="I30" s="4"/>
      <c r="J30" s="4"/>
      <c r="K30" s="67" t="s">
        <v>123</v>
      </c>
      <c r="L30" s="67" t="s">
        <v>123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26.25" customHeight="1">
      <c r="A31" s="4"/>
      <c r="B31" s="4"/>
      <c r="C31" s="61"/>
      <c r="D31" s="4"/>
      <c r="E31" s="65" t="s">
        <v>131</v>
      </c>
      <c r="F31" s="64" t="s">
        <v>160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61"/>
      <c r="D32" s="4"/>
      <c r="E32" s="65" t="s">
        <v>191</v>
      </c>
      <c r="F32" s="64" t="s">
        <v>160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61"/>
      <c r="D33" s="4"/>
      <c r="E33" s="65" t="s">
        <v>134</v>
      </c>
      <c r="F33" s="64" t="s">
        <v>162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61"/>
      <c r="D34" s="4"/>
      <c r="E34" s="65" t="s">
        <v>135</v>
      </c>
      <c r="F34" s="68" t="s">
        <v>125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66" t="s">
        <v>123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61"/>
      <c r="D35" s="4"/>
      <c r="E35" s="4"/>
      <c r="F35" s="4"/>
      <c r="G35" s="4"/>
      <c r="H35" s="4"/>
      <c r="I35" s="4"/>
      <c r="J35" s="4"/>
      <c r="K35" s="4" t="str">
        <f>I72422</f>
        <v/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6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15.75" customHeight="1">
      <c r="A37" s="4"/>
      <c r="B37" s="4"/>
      <c r="C37" s="6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15.75" customHeight="1">
      <c r="A38" s="4"/>
      <c r="B38" s="4"/>
      <c r="C38" s="61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5.75" customHeight="1">
      <c r="A39" s="4"/>
      <c r="B39" s="4"/>
      <c r="C39" s="61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5.75" customHeight="1">
      <c r="A40" s="4"/>
      <c r="B40" s="4"/>
      <c r="C40" s="61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6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61"/>
      <c r="D42" s="4"/>
      <c r="E42" s="4"/>
      <c r="F42" s="4"/>
      <c r="G42" s="4"/>
      <c r="H42" s="4"/>
      <c r="I42" s="66" t="s">
        <v>136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6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6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6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6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6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6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6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6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6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1"/>
      <c r="D57" s="4"/>
      <c r="E57" s="4"/>
      <c r="F57" s="4"/>
      <c r="G57" s="4"/>
      <c r="H57" s="4"/>
      <c r="I57" s="4"/>
      <c r="J57" s="4"/>
      <c r="K57" s="4"/>
      <c r="L57" s="4"/>
      <c r="M57" s="4">
        <v>7.0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mergeCells count="17">
    <mergeCell ref="R2:R4"/>
    <mergeCell ref="S2:S4"/>
    <mergeCell ref="F3:F4"/>
    <mergeCell ref="G3:H3"/>
    <mergeCell ref="I3:J3"/>
    <mergeCell ref="K3:K4"/>
    <mergeCell ref="F23:O23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5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192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45601.0</v>
      </c>
      <c r="C5" s="18" t="s">
        <v>193</v>
      </c>
      <c r="D5" s="19">
        <v>69575.0</v>
      </c>
      <c r="E5" s="20" t="s">
        <v>194</v>
      </c>
      <c r="F5" s="21"/>
      <c r="G5" s="22"/>
      <c r="H5" s="21"/>
      <c r="I5" s="37">
        <v>1450.0</v>
      </c>
      <c r="J5" s="23"/>
      <c r="K5" s="22"/>
      <c r="L5" s="24"/>
      <c r="M5" s="21"/>
      <c r="N5" s="24"/>
      <c r="O5" s="24"/>
      <c r="P5" s="25">
        <v>1450.0</v>
      </c>
      <c r="Q5" s="26">
        <f t="shared" ref="Q5:Q37" si="1">F5+G5+H5+I5+J5+K5+L5+M5+N5+O5-P5</f>
        <v>0</v>
      </c>
      <c r="R5" s="25" t="s">
        <v>28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16">
        <v>2.0</v>
      </c>
      <c r="B6" s="17">
        <v>45601.0</v>
      </c>
      <c r="C6" s="18" t="s">
        <v>195</v>
      </c>
      <c r="D6" s="19">
        <v>21818.0</v>
      </c>
      <c r="E6" s="20" t="s">
        <v>196</v>
      </c>
      <c r="F6" s="21"/>
      <c r="G6" s="24"/>
      <c r="H6" s="24"/>
      <c r="I6" s="29"/>
      <c r="J6" s="24"/>
      <c r="K6" s="22">
        <v>3487.0</v>
      </c>
      <c r="L6" s="24"/>
      <c r="M6" s="21"/>
      <c r="N6" s="24"/>
      <c r="O6" s="24"/>
      <c r="P6" s="25">
        <v>3487.0</v>
      </c>
      <c r="Q6" s="26">
        <f t="shared" si="1"/>
        <v>0</v>
      </c>
      <c r="R6" s="25" t="s">
        <v>38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17">
        <v>45601.0</v>
      </c>
      <c r="C7" s="18" t="s">
        <v>197</v>
      </c>
      <c r="D7" s="19">
        <v>57230.0</v>
      </c>
      <c r="E7" s="20" t="s">
        <v>198</v>
      </c>
      <c r="F7" s="24"/>
      <c r="G7" s="22"/>
      <c r="H7" s="21"/>
      <c r="I7" s="29"/>
      <c r="J7" s="37">
        <v>2600.0</v>
      </c>
      <c r="K7" s="24"/>
      <c r="L7" s="24"/>
      <c r="M7" s="24"/>
      <c r="N7" s="24"/>
      <c r="O7" s="24"/>
      <c r="P7" s="25">
        <v>2600.0</v>
      </c>
      <c r="Q7" s="26">
        <f t="shared" si="1"/>
        <v>0</v>
      </c>
      <c r="R7" s="25" t="s">
        <v>28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17">
        <v>45601.0</v>
      </c>
      <c r="C8" s="18" t="s">
        <v>199</v>
      </c>
      <c r="D8" s="19">
        <v>30895.0</v>
      </c>
      <c r="E8" s="20" t="s">
        <v>75</v>
      </c>
      <c r="F8" s="22"/>
      <c r="G8" s="22"/>
      <c r="H8" s="24"/>
      <c r="I8" s="29"/>
      <c r="J8" s="29">
        <v>1850.0</v>
      </c>
      <c r="K8" s="24"/>
      <c r="L8" s="24"/>
      <c r="M8" s="24"/>
      <c r="N8" s="24"/>
      <c r="O8" s="24"/>
      <c r="P8" s="25">
        <v>1850.0</v>
      </c>
      <c r="Q8" s="26">
        <f t="shared" si="1"/>
        <v>0</v>
      </c>
      <c r="R8" s="25" t="s">
        <v>49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17">
        <v>45601.0</v>
      </c>
      <c r="C9" s="18" t="s">
        <v>200</v>
      </c>
      <c r="D9" s="19">
        <v>57499.0</v>
      </c>
      <c r="E9" s="20" t="s">
        <v>201</v>
      </c>
      <c r="F9" s="22"/>
      <c r="G9" s="24"/>
      <c r="H9" s="24"/>
      <c r="I9" s="29"/>
      <c r="J9" s="21"/>
      <c r="K9" s="24"/>
      <c r="L9" s="24"/>
      <c r="M9" s="29">
        <v>200.0</v>
      </c>
      <c r="N9" s="24"/>
      <c r="O9" s="24"/>
      <c r="P9" s="25">
        <v>200.0</v>
      </c>
      <c r="Q9" s="26">
        <f t="shared" si="1"/>
        <v>0</v>
      </c>
      <c r="R9" s="25" t="s">
        <v>25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17">
        <v>45601.0</v>
      </c>
      <c r="C10" s="18" t="s">
        <v>202</v>
      </c>
      <c r="D10" s="19">
        <v>51660.0</v>
      </c>
      <c r="E10" s="20" t="s">
        <v>203</v>
      </c>
      <c r="F10" s="24"/>
      <c r="G10" s="24"/>
      <c r="H10" s="24"/>
      <c r="I10" s="29">
        <v>100.0</v>
      </c>
      <c r="J10" s="21"/>
      <c r="K10" s="24"/>
      <c r="L10" s="24"/>
      <c r="M10" s="21"/>
      <c r="N10" s="24"/>
      <c r="O10" s="24"/>
      <c r="P10" s="25">
        <v>100.0</v>
      </c>
      <c r="Q10" s="26">
        <f t="shared" si="1"/>
        <v>0</v>
      </c>
      <c r="R10" s="25" t="s">
        <v>38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17">
        <v>45601.0</v>
      </c>
      <c r="C11" s="18" t="s">
        <v>204</v>
      </c>
      <c r="D11" s="19">
        <v>85209.0</v>
      </c>
      <c r="E11" s="20" t="s">
        <v>205</v>
      </c>
      <c r="F11" s="24"/>
      <c r="G11" s="24"/>
      <c r="H11" s="24"/>
      <c r="I11" s="29">
        <v>300.0</v>
      </c>
      <c r="J11" s="21"/>
      <c r="K11" s="24"/>
      <c r="L11" s="24"/>
      <c r="M11" s="21"/>
      <c r="N11" s="24"/>
      <c r="O11" s="24"/>
      <c r="P11" s="25">
        <v>300.0</v>
      </c>
      <c r="Q11" s="26">
        <f t="shared" si="1"/>
        <v>0</v>
      </c>
      <c r="R11" s="25" t="s">
        <v>49</v>
      </c>
      <c r="S11" s="3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17">
        <v>45601.0</v>
      </c>
      <c r="C12" s="18" t="s">
        <v>206</v>
      </c>
      <c r="D12" s="19">
        <v>34756.0</v>
      </c>
      <c r="E12" s="20" t="s">
        <v>207</v>
      </c>
      <c r="F12" s="24"/>
      <c r="G12" s="24"/>
      <c r="H12" s="24"/>
      <c r="I12" s="29"/>
      <c r="J12" s="29">
        <v>5100.0</v>
      </c>
      <c r="K12" s="24"/>
      <c r="L12" s="24"/>
      <c r="M12" s="21"/>
      <c r="N12" s="24"/>
      <c r="O12" s="24"/>
      <c r="P12" s="25">
        <v>5100.0</v>
      </c>
      <c r="Q12" s="26">
        <f t="shared" si="1"/>
        <v>0</v>
      </c>
      <c r="R12" s="25" t="s">
        <v>49</v>
      </c>
      <c r="S12" s="3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17">
        <v>45601.0</v>
      </c>
      <c r="C13" s="18" t="s">
        <v>208</v>
      </c>
      <c r="D13" s="19">
        <v>44149.0</v>
      </c>
      <c r="E13" s="20" t="s">
        <v>209</v>
      </c>
      <c r="F13" s="24"/>
      <c r="G13" s="24"/>
      <c r="H13" s="24"/>
      <c r="I13" s="29">
        <v>5100.0</v>
      </c>
      <c r="J13" s="21"/>
      <c r="K13" s="24"/>
      <c r="L13" s="24"/>
      <c r="M13" s="29"/>
      <c r="N13" s="24"/>
      <c r="O13" s="24"/>
      <c r="P13" s="25">
        <v>5100.0</v>
      </c>
      <c r="Q13" s="26">
        <f t="shared" si="1"/>
        <v>0</v>
      </c>
      <c r="R13" s="25" t="s">
        <v>49</v>
      </c>
      <c r="S13" s="3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16">
        <v>10.0</v>
      </c>
      <c r="B14" s="17">
        <v>45601.0</v>
      </c>
      <c r="C14" s="18" t="s">
        <v>210</v>
      </c>
      <c r="D14" s="19">
        <v>74087.0</v>
      </c>
      <c r="E14" s="20" t="s">
        <v>211</v>
      </c>
      <c r="F14" s="24"/>
      <c r="G14" s="24"/>
      <c r="H14" s="24"/>
      <c r="I14" s="29"/>
      <c r="J14" s="29">
        <v>8500.0</v>
      </c>
      <c r="K14" s="24"/>
      <c r="L14" s="24"/>
      <c r="M14" s="21"/>
      <c r="N14" s="24"/>
      <c r="O14" s="24"/>
      <c r="P14" s="25">
        <v>8500.0</v>
      </c>
      <c r="Q14" s="26">
        <f t="shared" si="1"/>
        <v>0</v>
      </c>
      <c r="R14" s="25" t="s">
        <v>38</v>
      </c>
      <c r="S14" s="3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17">
        <v>45601.0</v>
      </c>
      <c r="C15" s="18" t="s">
        <v>212</v>
      </c>
      <c r="D15" s="19">
        <v>13209.0</v>
      </c>
      <c r="E15" s="20" t="s">
        <v>213</v>
      </c>
      <c r="F15" s="22"/>
      <c r="G15" s="24"/>
      <c r="H15" s="24"/>
      <c r="I15" s="29">
        <v>4600.0</v>
      </c>
      <c r="J15" s="29"/>
      <c r="K15" s="24"/>
      <c r="L15" s="24"/>
      <c r="M15" s="29"/>
      <c r="N15" s="24"/>
      <c r="O15" s="24"/>
      <c r="P15" s="25">
        <v>4600.0</v>
      </c>
      <c r="Q15" s="26">
        <f t="shared" si="1"/>
        <v>0</v>
      </c>
      <c r="R15" s="25" t="s">
        <v>38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17">
        <v>45601.0</v>
      </c>
      <c r="C16" s="18" t="s">
        <v>214</v>
      </c>
      <c r="D16" s="19">
        <v>30894.0</v>
      </c>
      <c r="E16" s="20" t="s">
        <v>215</v>
      </c>
      <c r="F16" s="24"/>
      <c r="G16" s="24"/>
      <c r="H16" s="24"/>
      <c r="I16" s="29">
        <v>8700.0</v>
      </c>
      <c r="J16" s="21"/>
      <c r="K16" s="22"/>
      <c r="L16" s="24"/>
      <c r="M16" s="21"/>
      <c r="N16" s="24"/>
      <c r="O16" s="22"/>
      <c r="P16" s="25">
        <v>8700.0</v>
      </c>
      <c r="Q16" s="26">
        <f t="shared" si="1"/>
        <v>0</v>
      </c>
      <c r="R16" s="25" t="s">
        <v>28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3.0" customHeight="1">
      <c r="A17" s="16">
        <v>13.0</v>
      </c>
      <c r="B17" s="69">
        <v>45601.0</v>
      </c>
      <c r="C17" s="32" t="s">
        <v>216</v>
      </c>
      <c r="D17" s="33">
        <v>22332.0</v>
      </c>
      <c r="E17" s="34" t="s">
        <v>217</v>
      </c>
      <c r="F17" s="24"/>
      <c r="G17" s="22"/>
      <c r="H17" s="24"/>
      <c r="I17" s="29">
        <v>2600.0</v>
      </c>
      <c r="J17" s="21"/>
      <c r="K17" s="24"/>
      <c r="L17" s="22"/>
      <c r="M17" s="21"/>
      <c r="N17" s="24"/>
      <c r="O17" s="22"/>
      <c r="P17" s="35">
        <v>2600.0</v>
      </c>
      <c r="Q17" s="26">
        <f t="shared" si="1"/>
        <v>0</v>
      </c>
      <c r="R17" s="35" t="s">
        <v>25</v>
      </c>
      <c r="S17" s="27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</row>
    <row r="18" ht="34.5" customHeight="1">
      <c r="A18" s="16">
        <v>14.0</v>
      </c>
      <c r="B18" s="69">
        <v>45601.0</v>
      </c>
      <c r="C18" s="32" t="s">
        <v>218</v>
      </c>
      <c r="D18" s="19">
        <v>48973.0</v>
      </c>
      <c r="E18" s="20" t="s">
        <v>219</v>
      </c>
      <c r="F18" s="24"/>
      <c r="G18" s="24"/>
      <c r="H18" s="22"/>
      <c r="I18" s="29">
        <v>2600.0</v>
      </c>
      <c r="J18" s="29"/>
      <c r="K18" s="24"/>
      <c r="L18" s="24"/>
      <c r="M18" s="21"/>
      <c r="N18" s="24"/>
      <c r="O18" s="22"/>
      <c r="P18" s="35">
        <v>2600.0</v>
      </c>
      <c r="Q18" s="26">
        <f t="shared" si="1"/>
        <v>0</v>
      </c>
      <c r="R18" s="25" t="s">
        <v>25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17">
        <v>45601.0</v>
      </c>
      <c r="C19" s="18" t="s">
        <v>220</v>
      </c>
      <c r="D19" s="19">
        <v>13781.0</v>
      </c>
      <c r="E19" s="20" t="s">
        <v>140</v>
      </c>
      <c r="F19" s="24"/>
      <c r="G19" s="22">
        <v>2900.0</v>
      </c>
      <c r="H19" s="22"/>
      <c r="I19" s="21"/>
      <c r="J19" s="29"/>
      <c r="K19" s="24"/>
      <c r="L19" s="24"/>
      <c r="M19" s="21"/>
      <c r="N19" s="24"/>
      <c r="O19" s="22"/>
      <c r="P19" s="25">
        <v>2900.0</v>
      </c>
      <c r="Q19" s="26">
        <f t="shared" si="1"/>
        <v>0</v>
      </c>
      <c r="R19" s="25" t="s">
        <v>25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16">
        <v>16.0</v>
      </c>
      <c r="B20" s="17">
        <v>45601.0</v>
      </c>
      <c r="C20" s="18" t="s">
        <v>221</v>
      </c>
      <c r="D20" s="19">
        <v>85211.0</v>
      </c>
      <c r="E20" s="20" t="s">
        <v>222</v>
      </c>
      <c r="F20" s="24"/>
      <c r="G20" s="22">
        <v>300.0</v>
      </c>
      <c r="H20" s="24"/>
      <c r="I20" s="29"/>
      <c r="J20" s="21"/>
      <c r="K20" s="24"/>
      <c r="L20" s="24"/>
      <c r="M20" s="29"/>
      <c r="N20" s="24"/>
      <c r="O20" s="22"/>
      <c r="P20" s="25">
        <v>300.0</v>
      </c>
      <c r="Q20" s="26">
        <f t="shared" si="1"/>
        <v>0</v>
      </c>
      <c r="R20" s="25" t="s">
        <v>25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17">
        <v>45601.0</v>
      </c>
      <c r="C21" s="18" t="s">
        <v>223</v>
      </c>
      <c r="D21" s="19">
        <v>25026.0</v>
      </c>
      <c r="E21" s="20" t="s">
        <v>224</v>
      </c>
      <c r="F21" s="21"/>
      <c r="G21" s="24"/>
      <c r="H21" s="24"/>
      <c r="I21" s="29">
        <v>4500.0</v>
      </c>
      <c r="J21" s="21"/>
      <c r="K21" s="37"/>
      <c r="L21" s="24"/>
      <c r="M21" s="24"/>
      <c r="N21" s="24"/>
      <c r="O21" s="22"/>
      <c r="P21" s="25">
        <v>4500.0</v>
      </c>
      <c r="Q21" s="26">
        <f t="shared" si="1"/>
        <v>0</v>
      </c>
      <c r="R21" s="25" t="s">
        <v>28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17">
        <v>45601.0</v>
      </c>
      <c r="C22" s="18" t="s">
        <v>225</v>
      </c>
      <c r="D22" s="19">
        <v>56727.0</v>
      </c>
      <c r="E22" s="20" t="s">
        <v>226</v>
      </c>
      <c r="F22" s="21"/>
      <c r="G22" s="24"/>
      <c r="H22" s="24"/>
      <c r="I22" s="29">
        <v>4500.0</v>
      </c>
      <c r="J22" s="21"/>
      <c r="K22" s="37"/>
      <c r="L22" s="24"/>
      <c r="M22" s="24"/>
      <c r="N22" s="24"/>
      <c r="O22" s="22"/>
      <c r="P22" s="25">
        <v>4500.0</v>
      </c>
      <c r="Q22" s="26">
        <f t="shared" si="1"/>
        <v>0</v>
      </c>
      <c r="R22" s="25" t="s">
        <v>28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17">
        <v>45601.0</v>
      </c>
      <c r="C23" s="18" t="s">
        <v>227</v>
      </c>
      <c r="D23" s="19">
        <v>51017.0</v>
      </c>
      <c r="E23" s="20" t="s">
        <v>228</v>
      </c>
      <c r="F23" s="21"/>
      <c r="G23" s="24"/>
      <c r="H23" s="22">
        <v>17500.0</v>
      </c>
      <c r="I23" s="21"/>
      <c r="J23" s="21"/>
      <c r="K23" s="37"/>
      <c r="L23" s="24"/>
      <c r="M23" s="24"/>
      <c r="N23" s="24"/>
      <c r="O23" s="22"/>
      <c r="P23" s="25">
        <v>17500.0</v>
      </c>
      <c r="Q23" s="26">
        <f t="shared" si="1"/>
        <v>0</v>
      </c>
      <c r="R23" s="25" t="s">
        <v>25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16">
        <v>20.0</v>
      </c>
      <c r="B24" s="17">
        <v>45601.0</v>
      </c>
      <c r="C24" s="18" t="s">
        <v>229</v>
      </c>
      <c r="D24" s="19">
        <v>32283.0</v>
      </c>
      <c r="E24" s="20" t="s">
        <v>230</v>
      </c>
      <c r="F24" s="21"/>
      <c r="G24" s="24"/>
      <c r="H24" s="24"/>
      <c r="I24" s="21"/>
      <c r="J24" s="29">
        <v>10000.0</v>
      </c>
      <c r="K24" s="37"/>
      <c r="L24" s="24"/>
      <c r="M24" s="24"/>
      <c r="N24" s="24"/>
      <c r="O24" s="22"/>
      <c r="P24" s="25">
        <v>10000.0</v>
      </c>
      <c r="Q24" s="26">
        <f t="shared" si="1"/>
        <v>0</v>
      </c>
      <c r="R24" s="25" t="s">
        <v>38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17">
        <v>45601.0</v>
      </c>
      <c r="C25" s="18" t="s">
        <v>231</v>
      </c>
      <c r="D25" s="19">
        <v>36555.0</v>
      </c>
      <c r="E25" s="20" t="s">
        <v>106</v>
      </c>
      <c r="F25" s="21"/>
      <c r="G25" s="24"/>
      <c r="H25" s="24"/>
      <c r="I25" s="29">
        <v>15000.0</v>
      </c>
      <c r="J25" s="21"/>
      <c r="K25" s="37"/>
      <c r="L25" s="24"/>
      <c r="M25" s="24"/>
      <c r="N25" s="24"/>
      <c r="O25" s="22"/>
      <c r="P25" s="25">
        <v>15000.0</v>
      </c>
      <c r="Q25" s="26">
        <f t="shared" si="1"/>
        <v>0</v>
      </c>
      <c r="R25" s="25" t="s">
        <v>38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17">
        <v>45601.0</v>
      </c>
      <c r="C26" s="18" t="s">
        <v>232</v>
      </c>
      <c r="D26" s="19">
        <v>43510.0</v>
      </c>
      <c r="E26" s="20" t="s">
        <v>233</v>
      </c>
      <c r="F26" s="21"/>
      <c r="G26" s="24"/>
      <c r="H26" s="24"/>
      <c r="I26" s="21"/>
      <c r="J26" s="21"/>
      <c r="K26" s="37"/>
      <c r="L26" s="24"/>
      <c r="M26" s="22">
        <v>280.0</v>
      </c>
      <c r="N26" s="24"/>
      <c r="O26" s="22"/>
      <c r="P26" s="25">
        <v>280.0</v>
      </c>
      <c r="Q26" s="26">
        <f t="shared" si="1"/>
        <v>0</v>
      </c>
      <c r="R26" s="25" t="s">
        <v>25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17">
        <v>45600.0</v>
      </c>
      <c r="C27" s="18" t="s">
        <v>234</v>
      </c>
      <c r="D27" s="19">
        <v>78301.0</v>
      </c>
      <c r="E27" s="20" t="s">
        <v>235</v>
      </c>
      <c r="F27" s="21"/>
      <c r="G27" s="24"/>
      <c r="H27" s="24"/>
      <c r="I27" s="21"/>
      <c r="J27" s="21"/>
      <c r="K27" s="37"/>
      <c r="L27" s="24"/>
      <c r="M27" s="22">
        <v>5100.0</v>
      </c>
      <c r="N27" s="24"/>
      <c r="O27" s="22"/>
      <c r="P27" s="25">
        <v>5100.0</v>
      </c>
      <c r="Q27" s="26">
        <f t="shared" si="1"/>
        <v>0</v>
      </c>
      <c r="R27" s="49"/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17">
        <v>45601.0</v>
      </c>
      <c r="C28" s="18" t="s">
        <v>236</v>
      </c>
      <c r="D28" s="19">
        <v>35245.0</v>
      </c>
      <c r="E28" s="20" t="s">
        <v>237</v>
      </c>
      <c r="F28" s="21"/>
      <c r="G28" s="24"/>
      <c r="H28" s="22">
        <v>10000.0</v>
      </c>
      <c r="I28" s="21"/>
      <c r="J28" s="21"/>
      <c r="K28" s="37"/>
      <c r="L28" s="24"/>
      <c r="M28" s="24"/>
      <c r="N28" s="24"/>
      <c r="O28" s="22"/>
      <c r="P28" s="25">
        <v>10000.0</v>
      </c>
      <c r="Q28" s="26">
        <f t="shared" si="1"/>
        <v>0</v>
      </c>
      <c r="R28" s="49"/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17">
        <v>45601.0</v>
      </c>
      <c r="C29" s="18" t="s">
        <v>238</v>
      </c>
      <c r="D29" s="19">
        <v>36903.0</v>
      </c>
      <c r="E29" s="20" t="s">
        <v>239</v>
      </c>
      <c r="F29" s="21"/>
      <c r="G29" s="24"/>
      <c r="H29" s="24"/>
      <c r="I29" s="21"/>
      <c r="J29" s="21"/>
      <c r="K29" s="37"/>
      <c r="L29" s="24"/>
      <c r="M29" s="24"/>
      <c r="N29" s="24"/>
      <c r="O29" s="22">
        <v>3600.0</v>
      </c>
      <c r="P29" s="25">
        <v>3600.0</v>
      </c>
      <c r="Q29" s="26">
        <f t="shared" si="1"/>
        <v>0</v>
      </c>
      <c r="R29" s="49"/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17">
        <v>45601.0</v>
      </c>
      <c r="C30" s="18" t="s">
        <v>240</v>
      </c>
      <c r="D30" s="19">
        <v>50595.0</v>
      </c>
      <c r="E30" s="20" t="s">
        <v>102</v>
      </c>
      <c r="F30" s="21"/>
      <c r="G30" s="24"/>
      <c r="H30" s="22">
        <v>9500.0</v>
      </c>
      <c r="I30" s="21"/>
      <c r="J30" s="21"/>
      <c r="K30" s="37"/>
      <c r="L30" s="24"/>
      <c r="M30" s="24"/>
      <c r="N30" s="24"/>
      <c r="O30" s="22"/>
      <c r="P30" s="25">
        <v>9500.0</v>
      </c>
      <c r="Q30" s="26">
        <f t="shared" si="1"/>
        <v>0</v>
      </c>
      <c r="R30" s="49"/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17">
        <v>45601.0</v>
      </c>
      <c r="C31" s="18" t="s">
        <v>241</v>
      </c>
      <c r="D31" s="19">
        <v>51660.0</v>
      </c>
      <c r="E31" s="20" t="s">
        <v>203</v>
      </c>
      <c r="F31" s="21"/>
      <c r="G31" s="24"/>
      <c r="H31" s="22">
        <v>9500.0</v>
      </c>
      <c r="I31" s="21"/>
      <c r="J31" s="21"/>
      <c r="K31" s="37"/>
      <c r="L31" s="24"/>
      <c r="M31" s="24"/>
      <c r="N31" s="24"/>
      <c r="O31" s="22"/>
      <c r="P31" s="25">
        <v>9500.0</v>
      </c>
      <c r="Q31" s="26">
        <f t="shared" si="1"/>
        <v>0</v>
      </c>
      <c r="R31" s="49"/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17">
        <v>45601.0</v>
      </c>
      <c r="C32" s="18" t="s">
        <v>242</v>
      </c>
      <c r="D32" s="19">
        <v>51660.0</v>
      </c>
      <c r="E32" s="20" t="s">
        <v>203</v>
      </c>
      <c r="F32" s="21"/>
      <c r="G32" s="24"/>
      <c r="H32" s="24"/>
      <c r="I32" s="21"/>
      <c r="J32" s="21"/>
      <c r="K32" s="37"/>
      <c r="L32" s="24"/>
      <c r="M32" s="24"/>
      <c r="N32" s="24"/>
      <c r="O32" s="22">
        <v>1200.0</v>
      </c>
      <c r="P32" s="25">
        <v>1200.0</v>
      </c>
      <c r="Q32" s="26">
        <f t="shared" si="1"/>
        <v>0</v>
      </c>
      <c r="R32" s="49"/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17">
        <v>45601.0</v>
      </c>
      <c r="C33" s="18" t="s">
        <v>243</v>
      </c>
      <c r="D33" s="19">
        <v>74087.0</v>
      </c>
      <c r="E33" s="20" t="s">
        <v>211</v>
      </c>
      <c r="F33" s="21"/>
      <c r="G33" s="24"/>
      <c r="H33" s="24"/>
      <c r="I33" s="21"/>
      <c r="J33" s="21"/>
      <c r="K33" s="37"/>
      <c r="L33" s="24"/>
      <c r="M33" s="24"/>
      <c r="N33" s="24"/>
      <c r="O33" s="22">
        <v>1200.0</v>
      </c>
      <c r="P33" s="25">
        <v>1200.0</v>
      </c>
      <c r="Q33" s="26">
        <f t="shared" si="1"/>
        <v>0</v>
      </c>
      <c r="R33" s="49"/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17">
        <v>45601.0</v>
      </c>
      <c r="C34" s="18" t="s">
        <v>244</v>
      </c>
      <c r="D34" s="19">
        <v>10250.0</v>
      </c>
      <c r="E34" s="20" t="s">
        <v>245</v>
      </c>
      <c r="F34" s="21"/>
      <c r="G34" s="24"/>
      <c r="H34" s="22">
        <v>19000.0</v>
      </c>
      <c r="I34" s="21"/>
      <c r="J34" s="21"/>
      <c r="K34" s="37"/>
      <c r="L34" s="24"/>
      <c r="M34" s="24"/>
      <c r="N34" s="24"/>
      <c r="O34" s="22"/>
      <c r="P34" s="25">
        <v>19000.0</v>
      </c>
      <c r="Q34" s="26">
        <f t="shared" si="1"/>
        <v>0</v>
      </c>
      <c r="R34" s="49"/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17">
        <v>45601.0</v>
      </c>
      <c r="C35" s="18" t="s">
        <v>246</v>
      </c>
      <c r="D35" s="19">
        <v>30895.0</v>
      </c>
      <c r="E35" s="20" t="s">
        <v>75</v>
      </c>
      <c r="F35" s="21"/>
      <c r="G35" s="24"/>
      <c r="H35" s="24"/>
      <c r="I35" s="21"/>
      <c r="J35" s="21"/>
      <c r="K35" s="37"/>
      <c r="L35" s="24"/>
      <c r="M35" s="24"/>
      <c r="N35" s="24"/>
      <c r="O35" s="22">
        <v>3600.0</v>
      </c>
      <c r="P35" s="25">
        <v>3600.0</v>
      </c>
      <c r="Q35" s="26">
        <f t="shared" si="1"/>
        <v>0</v>
      </c>
      <c r="R35" s="49"/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17">
        <v>45601.0</v>
      </c>
      <c r="C36" s="18" t="s">
        <v>247</v>
      </c>
      <c r="D36" s="19">
        <v>30895.0</v>
      </c>
      <c r="E36" s="20" t="s">
        <v>75</v>
      </c>
      <c r="F36" s="21"/>
      <c r="G36" s="24"/>
      <c r="H36" s="24"/>
      <c r="I36" s="21"/>
      <c r="J36" s="21"/>
      <c r="K36" s="37"/>
      <c r="L36" s="24"/>
      <c r="M36" s="24"/>
      <c r="N36" s="24"/>
      <c r="O36" s="22">
        <v>3600.0</v>
      </c>
      <c r="P36" s="25">
        <v>3600.0</v>
      </c>
      <c r="Q36" s="26">
        <f t="shared" si="1"/>
        <v>0</v>
      </c>
      <c r="R36" s="49"/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17">
        <v>45601.0</v>
      </c>
      <c r="C37" s="18" t="s">
        <v>248</v>
      </c>
      <c r="D37" s="19">
        <v>57777.0</v>
      </c>
      <c r="E37" s="20" t="s">
        <v>249</v>
      </c>
      <c r="F37" s="21"/>
      <c r="G37" s="24"/>
      <c r="H37" s="24"/>
      <c r="I37" s="21"/>
      <c r="J37" s="21"/>
      <c r="K37" s="37"/>
      <c r="L37" s="24"/>
      <c r="M37" s="24"/>
      <c r="N37" s="24"/>
      <c r="O37" s="22">
        <v>800.0</v>
      </c>
      <c r="P37" s="25">
        <v>800.0</v>
      </c>
      <c r="Q37" s="26">
        <f t="shared" si="1"/>
        <v>0</v>
      </c>
      <c r="R37" s="49"/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/>
      <c r="B38" s="17"/>
      <c r="C38" s="18"/>
      <c r="D38" s="19"/>
      <c r="E38" s="20"/>
      <c r="F38" s="21"/>
      <c r="G38" s="24"/>
      <c r="H38" s="24"/>
      <c r="I38" s="29"/>
      <c r="J38" s="21"/>
      <c r="K38" s="37"/>
      <c r="L38" s="24"/>
      <c r="M38" s="24"/>
      <c r="N38" s="24"/>
      <c r="O38" s="22"/>
      <c r="P38" s="25"/>
      <c r="Q38" s="26"/>
      <c r="R38" s="49"/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7.5" customHeight="1">
      <c r="A39" s="16"/>
      <c r="B39" s="50"/>
      <c r="C39" s="51"/>
      <c r="D39" s="52" t="s">
        <v>123</v>
      </c>
      <c r="E39" s="53"/>
      <c r="F39" s="54">
        <f>SUM(F5:F22)</f>
        <v>0</v>
      </c>
      <c r="G39" s="54">
        <f t="shared" ref="G39:J39" si="2">SUM(G5:G38)</f>
        <v>3200</v>
      </c>
      <c r="H39" s="54">
        <f t="shared" si="2"/>
        <v>65500</v>
      </c>
      <c r="I39" s="54">
        <f t="shared" si="2"/>
        <v>49450</v>
      </c>
      <c r="J39" s="54">
        <f t="shared" si="2"/>
        <v>28050</v>
      </c>
      <c r="K39" s="54">
        <f t="shared" ref="K39:L39" si="3">SUM(K5:K22)</f>
        <v>3487</v>
      </c>
      <c r="L39" s="54">
        <f t="shared" si="3"/>
        <v>0</v>
      </c>
      <c r="M39" s="54">
        <f>SUM(M5:M38)</f>
        <v>5580</v>
      </c>
      <c r="N39" s="54">
        <f>SUM(N5:N22)</f>
        <v>0</v>
      </c>
      <c r="O39" s="54">
        <f t="shared" ref="O39:P39" si="4">SUM(O5:O38)</f>
        <v>14000</v>
      </c>
      <c r="P39" s="54">
        <f t="shared" si="4"/>
        <v>169267</v>
      </c>
      <c r="Q39" s="55">
        <v>0.0</v>
      </c>
      <c r="R39" s="56"/>
      <c r="S39" s="27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</row>
    <row r="40" ht="58.5" customHeight="1">
      <c r="A40" s="57"/>
      <c r="B40" s="57"/>
      <c r="C40" s="58"/>
      <c r="D40" s="57"/>
      <c r="E40" s="57"/>
      <c r="F40" s="59">
        <f>F39+G39+H39+I39+J39+K39+L39+M39+N39+O39</f>
        <v>169267</v>
      </c>
      <c r="P40" s="60"/>
      <c r="Q40" s="60"/>
      <c r="R40" s="57"/>
      <c r="S40" s="57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</row>
    <row r="41" ht="15.75" customHeight="1">
      <c r="A41" s="4"/>
      <c r="B41" s="4"/>
      <c r="C41" s="6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6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62" t="s">
        <v>123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61"/>
      <c r="D44" s="4"/>
      <c r="E44" s="63" t="s">
        <v>124</v>
      </c>
      <c r="F44" s="64" t="s">
        <v>160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61"/>
      <c r="D45" s="4"/>
      <c r="E45" s="65" t="s">
        <v>126</v>
      </c>
      <c r="F45" s="64" t="s">
        <v>127</v>
      </c>
      <c r="G45" s="4"/>
      <c r="H45" s="4"/>
      <c r="I45" s="4"/>
      <c r="J45" s="4"/>
      <c r="K45" s="4"/>
      <c r="L45" s="4"/>
      <c r="M45" s="4"/>
      <c r="N45" s="4"/>
      <c r="O45" s="66" t="s">
        <v>123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61"/>
      <c r="D46" s="4"/>
      <c r="E46" s="65" t="s">
        <v>128</v>
      </c>
      <c r="F46" s="64" t="s">
        <v>159</v>
      </c>
      <c r="G46" s="4"/>
      <c r="H46" s="4"/>
      <c r="I46" s="67" t="s">
        <v>250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61"/>
      <c r="D47" s="4"/>
      <c r="E47" s="65" t="s">
        <v>130</v>
      </c>
      <c r="F47" s="64" t="s">
        <v>160</v>
      </c>
      <c r="G47" s="4"/>
      <c r="H47" s="4"/>
      <c r="I47" s="4"/>
      <c r="J47" s="4"/>
      <c r="K47" s="67" t="s">
        <v>123</v>
      </c>
      <c r="L47" s="67" t="s">
        <v>123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61"/>
      <c r="D48" s="4"/>
      <c r="E48" s="65" t="s">
        <v>131</v>
      </c>
      <c r="F48" s="64" t="s">
        <v>251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61"/>
      <c r="D49" s="4"/>
      <c r="E49" s="65" t="s">
        <v>252</v>
      </c>
      <c r="F49" s="64" t="s">
        <v>160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61"/>
      <c r="D50" s="4"/>
      <c r="E50" s="65" t="s">
        <v>134</v>
      </c>
      <c r="F50" s="64" t="s">
        <v>162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61"/>
      <c r="D51" s="4"/>
      <c r="E51" s="65" t="s">
        <v>135</v>
      </c>
      <c r="F51" s="68" t="s">
        <v>125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66" t="s">
        <v>123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26.25" customHeight="1">
      <c r="A52" s="4"/>
      <c r="B52" s="4"/>
      <c r="C52" s="61"/>
      <c r="D52" s="4"/>
      <c r="E52" s="4"/>
      <c r="F52" s="4"/>
      <c r="G52" s="4"/>
      <c r="H52" s="4"/>
      <c r="I52" s="4"/>
      <c r="J52" s="4"/>
      <c r="K52" s="4" t="str">
        <f>I72439</f>
        <v/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26.25" customHeight="1">
      <c r="A53" s="4"/>
      <c r="B53" s="4"/>
      <c r="C53" s="6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1"/>
      <c r="D59" s="4"/>
      <c r="E59" s="4"/>
      <c r="F59" s="4"/>
      <c r="G59" s="4"/>
      <c r="H59" s="4"/>
      <c r="I59" s="66" t="s">
        <v>136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1"/>
      <c r="D74" s="4"/>
      <c r="E74" s="4"/>
      <c r="F74" s="4"/>
      <c r="G74" s="4"/>
      <c r="H74" s="4"/>
      <c r="I74" s="4"/>
      <c r="J74" s="4"/>
      <c r="K74" s="4"/>
      <c r="L74" s="4"/>
      <c r="M74" s="4">
        <v>7.0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6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6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6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6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6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6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17">
    <mergeCell ref="R2:R4"/>
    <mergeCell ref="S2:S4"/>
    <mergeCell ref="F3:F4"/>
    <mergeCell ref="G3:H3"/>
    <mergeCell ref="I3:J3"/>
    <mergeCell ref="K3:K4"/>
    <mergeCell ref="F40:O40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5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253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45601.0</v>
      </c>
      <c r="C5" s="18" t="s">
        <v>254</v>
      </c>
      <c r="D5" s="19">
        <v>30895.0</v>
      </c>
      <c r="E5" s="20" t="s">
        <v>75</v>
      </c>
      <c r="F5" s="21"/>
      <c r="G5" s="22">
        <v>5000.0</v>
      </c>
      <c r="H5" s="21"/>
      <c r="I5" s="37"/>
      <c r="J5" s="23"/>
      <c r="K5" s="22"/>
      <c r="L5" s="24"/>
      <c r="M5" s="21"/>
      <c r="N5" s="24"/>
      <c r="O5" s="24"/>
      <c r="P5" s="25">
        <v>5000.0</v>
      </c>
      <c r="Q5" s="26">
        <f t="shared" ref="Q5:Q17" si="1">F5+G5+H5+I5+J5+K5+L5+M5+N5+O5-P5</f>
        <v>0</v>
      </c>
      <c r="R5" s="25" t="s">
        <v>38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6.0" customHeight="1">
      <c r="A6" s="16">
        <v>2.0</v>
      </c>
      <c r="B6" s="17">
        <v>45601.0</v>
      </c>
      <c r="C6" s="18" t="s">
        <v>255</v>
      </c>
      <c r="D6" s="19">
        <v>30895.0</v>
      </c>
      <c r="E6" s="20" t="s">
        <v>75</v>
      </c>
      <c r="F6" s="21"/>
      <c r="G6" s="22">
        <v>387.0</v>
      </c>
      <c r="H6" s="24"/>
      <c r="I6" s="29"/>
      <c r="J6" s="24"/>
      <c r="K6" s="22"/>
      <c r="L6" s="24"/>
      <c r="M6" s="21"/>
      <c r="N6" s="24"/>
      <c r="O6" s="24"/>
      <c r="P6" s="25">
        <v>387.0</v>
      </c>
      <c r="Q6" s="26">
        <f t="shared" si="1"/>
        <v>0</v>
      </c>
      <c r="R6" s="25" t="s">
        <v>38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17">
        <v>45602.0</v>
      </c>
      <c r="C7" s="18" t="s">
        <v>256</v>
      </c>
      <c r="D7" s="19">
        <v>85214.0</v>
      </c>
      <c r="E7" s="20" t="s">
        <v>257</v>
      </c>
      <c r="F7" s="24"/>
      <c r="G7" s="22"/>
      <c r="H7" s="21"/>
      <c r="I7" s="29">
        <v>7300.0</v>
      </c>
      <c r="J7" s="37"/>
      <c r="K7" s="24"/>
      <c r="L7" s="24"/>
      <c r="M7" s="24"/>
      <c r="N7" s="24"/>
      <c r="O7" s="24"/>
      <c r="P7" s="25">
        <v>7300.0</v>
      </c>
      <c r="Q7" s="26">
        <f t="shared" si="1"/>
        <v>0</v>
      </c>
      <c r="R7" s="25" t="s">
        <v>28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17">
        <v>45602.0</v>
      </c>
      <c r="C8" s="18" t="s">
        <v>258</v>
      </c>
      <c r="D8" s="19">
        <v>42052.0</v>
      </c>
      <c r="E8" s="20" t="s">
        <v>259</v>
      </c>
      <c r="F8" s="22"/>
      <c r="G8" s="22"/>
      <c r="H8" s="24"/>
      <c r="I8" s="29">
        <v>1000.0</v>
      </c>
      <c r="J8" s="29"/>
      <c r="K8" s="24"/>
      <c r="L8" s="24"/>
      <c r="M8" s="24"/>
      <c r="N8" s="24"/>
      <c r="O8" s="24"/>
      <c r="P8" s="25">
        <v>1000.0</v>
      </c>
      <c r="Q8" s="26">
        <f t="shared" si="1"/>
        <v>0</v>
      </c>
      <c r="R8" s="25" t="s">
        <v>28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17">
        <v>45602.0</v>
      </c>
      <c r="C9" s="18" t="s">
        <v>260</v>
      </c>
      <c r="D9" s="19">
        <v>37642.0</v>
      </c>
      <c r="E9" s="20" t="s">
        <v>261</v>
      </c>
      <c r="F9" s="22"/>
      <c r="G9" s="22">
        <v>20000.0</v>
      </c>
      <c r="H9" s="24"/>
      <c r="I9" s="29"/>
      <c r="J9" s="21"/>
      <c r="K9" s="24"/>
      <c r="L9" s="24"/>
      <c r="M9" s="29"/>
      <c r="N9" s="24"/>
      <c r="O9" s="24"/>
      <c r="P9" s="25">
        <v>20000.0</v>
      </c>
      <c r="Q9" s="26">
        <f t="shared" si="1"/>
        <v>0</v>
      </c>
      <c r="R9" s="25" t="s">
        <v>25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17">
        <v>45602.0</v>
      </c>
      <c r="C10" s="18" t="s">
        <v>262</v>
      </c>
      <c r="D10" s="19">
        <v>80020.0</v>
      </c>
      <c r="E10" s="20" t="s">
        <v>263</v>
      </c>
      <c r="F10" s="24"/>
      <c r="G10" s="24"/>
      <c r="H10" s="24"/>
      <c r="I10" s="29"/>
      <c r="J10" s="29">
        <v>2600.0</v>
      </c>
      <c r="K10" s="24"/>
      <c r="L10" s="24"/>
      <c r="M10" s="21"/>
      <c r="N10" s="24"/>
      <c r="O10" s="24"/>
      <c r="P10" s="25">
        <v>2600.0</v>
      </c>
      <c r="Q10" s="26">
        <f t="shared" si="1"/>
        <v>0</v>
      </c>
      <c r="R10" s="25" t="s">
        <v>28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17">
        <v>45602.0</v>
      </c>
      <c r="C11" s="18" t="s">
        <v>264</v>
      </c>
      <c r="D11" s="19">
        <v>76229.0</v>
      </c>
      <c r="E11" s="20" t="s">
        <v>265</v>
      </c>
      <c r="F11" s="24"/>
      <c r="G11" s="24"/>
      <c r="H11" s="24"/>
      <c r="I11" s="29">
        <v>2600.0</v>
      </c>
      <c r="J11" s="21"/>
      <c r="K11" s="24"/>
      <c r="L11" s="24"/>
      <c r="M11" s="21"/>
      <c r="N11" s="24"/>
      <c r="O11" s="24"/>
      <c r="P11" s="25">
        <v>2600.0</v>
      </c>
      <c r="Q11" s="26">
        <f t="shared" si="1"/>
        <v>0</v>
      </c>
      <c r="R11" s="25" t="s">
        <v>49</v>
      </c>
      <c r="S11" s="3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17">
        <v>45602.0</v>
      </c>
      <c r="C12" s="18" t="s">
        <v>266</v>
      </c>
      <c r="D12" s="19">
        <v>50436.0</v>
      </c>
      <c r="E12" s="20" t="s">
        <v>267</v>
      </c>
      <c r="F12" s="24"/>
      <c r="G12" s="24"/>
      <c r="H12" s="24"/>
      <c r="I12" s="29">
        <v>4500.0</v>
      </c>
      <c r="J12" s="29"/>
      <c r="K12" s="24"/>
      <c r="L12" s="24"/>
      <c r="M12" s="21"/>
      <c r="N12" s="24"/>
      <c r="O12" s="24"/>
      <c r="P12" s="25">
        <v>4500.0</v>
      </c>
      <c r="Q12" s="26">
        <f t="shared" si="1"/>
        <v>0</v>
      </c>
      <c r="R12" s="25" t="s">
        <v>38</v>
      </c>
      <c r="S12" s="3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17">
        <v>45602.0</v>
      </c>
      <c r="C13" s="18" t="s">
        <v>268</v>
      </c>
      <c r="D13" s="19">
        <v>78238.0</v>
      </c>
      <c r="E13" s="20" t="s">
        <v>269</v>
      </c>
      <c r="F13" s="24"/>
      <c r="G13" s="24"/>
      <c r="H13" s="24"/>
      <c r="I13" s="29">
        <v>5000.0</v>
      </c>
      <c r="J13" s="21"/>
      <c r="K13" s="24"/>
      <c r="L13" s="24"/>
      <c r="M13" s="29"/>
      <c r="N13" s="24"/>
      <c r="O13" s="24"/>
      <c r="P13" s="25">
        <v>5000.0</v>
      </c>
      <c r="Q13" s="26">
        <f t="shared" si="1"/>
        <v>0</v>
      </c>
      <c r="R13" s="25" t="s">
        <v>25</v>
      </c>
      <c r="S13" s="3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71">
        <v>10.0</v>
      </c>
      <c r="B14" s="17">
        <v>45602.0</v>
      </c>
      <c r="C14" s="18" t="s">
        <v>270</v>
      </c>
      <c r="D14" s="19">
        <v>57870.0</v>
      </c>
      <c r="E14" s="20" t="s">
        <v>271</v>
      </c>
      <c r="F14" s="24"/>
      <c r="G14" s="24"/>
      <c r="H14" s="22">
        <v>10000.0</v>
      </c>
      <c r="I14" s="29"/>
      <c r="J14" s="29"/>
      <c r="K14" s="24"/>
      <c r="L14" s="24"/>
      <c r="M14" s="21"/>
      <c r="N14" s="24"/>
      <c r="O14" s="24"/>
      <c r="P14" s="25">
        <v>10000.0</v>
      </c>
      <c r="Q14" s="26">
        <f t="shared" si="1"/>
        <v>0</v>
      </c>
      <c r="R14" s="25"/>
      <c r="S14" s="3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71">
        <v>11.0</v>
      </c>
      <c r="B15" s="17">
        <v>45602.0</v>
      </c>
      <c r="C15" s="18" t="s">
        <v>272</v>
      </c>
      <c r="D15" s="19">
        <v>52214.0</v>
      </c>
      <c r="E15" s="20" t="s">
        <v>273</v>
      </c>
      <c r="F15" s="24"/>
      <c r="G15" s="24"/>
      <c r="H15" s="24"/>
      <c r="I15" s="29"/>
      <c r="J15" s="29"/>
      <c r="K15" s="24"/>
      <c r="L15" s="24"/>
      <c r="M15" s="29">
        <v>700.0</v>
      </c>
      <c r="N15" s="24"/>
      <c r="O15" s="24"/>
      <c r="P15" s="25">
        <v>700.0</v>
      </c>
      <c r="Q15" s="26">
        <f t="shared" si="1"/>
        <v>0</v>
      </c>
      <c r="R15" s="25"/>
      <c r="S15" s="3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71">
        <v>12.0</v>
      </c>
      <c r="B16" s="17">
        <v>45602.0</v>
      </c>
      <c r="C16" s="18" t="s">
        <v>274</v>
      </c>
      <c r="D16" s="19">
        <v>50148.0</v>
      </c>
      <c r="E16" s="20" t="s">
        <v>275</v>
      </c>
      <c r="F16" s="22"/>
      <c r="G16" s="24"/>
      <c r="H16" s="24"/>
      <c r="I16" s="29"/>
      <c r="J16" s="29"/>
      <c r="K16" s="22">
        <v>25000.0</v>
      </c>
      <c r="L16" s="24"/>
      <c r="M16" s="29"/>
      <c r="N16" s="24"/>
      <c r="O16" s="24"/>
      <c r="P16" s="25">
        <v>25000.0</v>
      </c>
      <c r="Q16" s="26">
        <f t="shared" si="1"/>
        <v>0</v>
      </c>
      <c r="R16" s="25"/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71">
        <v>13.0</v>
      </c>
      <c r="B17" s="17">
        <v>45602.0</v>
      </c>
      <c r="C17" s="18" t="s">
        <v>276</v>
      </c>
      <c r="D17" s="19">
        <v>22464.0</v>
      </c>
      <c r="E17" s="20" t="s">
        <v>277</v>
      </c>
      <c r="F17" s="24"/>
      <c r="G17" s="24"/>
      <c r="H17" s="24"/>
      <c r="I17" s="29"/>
      <c r="J17" s="21"/>
      <c r="K17" s="22">
        <v>510.0</v>
      </c>
      <c r="L17" s="24"/>
      <c r="M17" s="21"/>
      <c r="N17" s="24"/>
      <c r="O17" s="22">
        <v>1890.0</v>
      </c>
      <c r="P17" s="25">
        <v>2400.0</v>
      </c>
      <c r="Q17" s="26">
        <f t="shared" si="1"/>
        <v>0</v>
      </c>
      <c r="R17" s="25"/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/>
      <c r="B18" s="17"/>
      <c r="C18" s="18"/>
      <c r="D18" s="19"/>
      <c r="E18" s="20"/>
      <c r="F18" s="21"/>
      <c r="G18" s="24"/>
      <c r="H18" s="24"/>
      <c r="I18" s="29"/>
      <c r="J18" s="21"/>
      <c r="K18" s="37"/>
      <c r="L18" s="24"/>
      <c r="M18" s="24"/>
      <c r="N18" s="24"/>
      <c r="O18" s="22"/>
      <c r="P18" s="25"/>
      <c r="Q18" s="26"/>
      <c r="R18" s="49"/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7.5" customHeight="1">
      <c r="A19" s="16"/>
      <c r="B19" s="50"/>
      <c r="C19" s="51"/>
      <c r="D19" s="52" t="s">
        <v>123</v>
      </c>
      <c r="E19" s="53"/>
      <c r="F19" s="54">
        <f t="shared" ref="F19:P19" si="2">SUM(F5:F18)</f>
        <v>0</v>
      </c>
      <c r="G19" s="54">
        <f t="shared" si="2"/>
        <v>25387</v>
      </c>
      <c r="H19" s="54">
        <f t="shared" si="2"/>
        <v>10000</v>
      </c>
      <c r="I19" s="54">
        <f t="shared" si="2"/>
        <v>20400</v>
      </c>
      <c r="J19" s="54">
        <f t="shared" si="2"/>
        <v>2600</v>
      </c>
      <c r="K19" s="54">
        <f t="shared" si="2"/>
        <v>25510</v>
      </c>
      <c r="L19" s="54">
        <f t="shared" si="2"/>
        <v>0</v>
      </c>
      <c r="M19" s="54">
        <f t="shared" si="2"/>
        <v>700</v>
      </c>
      <c r="N19" s="54">
        <f t="shared" si="2"/>
        <v>0</v>
      </c>
      <c r="O19" s="54">
        <f t="shared" si="2"/>
        <v>1890</v>
      </c>
      <c r="P19" s="54">
        <f t="shared" si="2"/>
        <v>86487</v>
      </c>
      <c r="Q19" s="55">
        <v>0.0</v>
      </c>
      <c r="R19" s="56"/>
      <c r="S19" s="27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58.5" customHeight="1">
      <c r="A20" s="57"/>
      <c r="B20" s="57"/>
      <c r="C20" s="58"/>
      <c r="D20" s="57"/>
      <c r="E20" s="57"/>
      <c r="F20" s="59">
        <f>F19+G19+H19+I19+J19+K19+L19+M19+N19+O19</f>
        <v>86487</v>
      </c>
      <c r="P20" s="60"/>
      <c r="Q20" s="60"/>
      <c r="R20" s="57"/>
      <c r="S20" s="57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</row>
    <row r="21" ht="15.75" customHeight="1">
      <c r="A21" s="4"/>
      <c r="B21" s="4"/>
      <c r="C21" s="61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26.25" customHeight="1">
      <c r="A22" s="4"/>
      <c r="B22" s="4"/>
      <c r="C22" s="61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26.25" customHeight="1">
      <c r="A23" s="4"/>
      <c r="B23" s="4"/>
      <c r="C23" s="62" t="s">
        <v>123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26.25" customHeight="1">
      <c r="A24" s="4"/>
      <c r="B24" s="4"/>
      <c r="C24" s="61"/>
      <c r="D24" s="4"/>
      <c r="E24" s="63" t="s">
        <v>124</v>
      </c>
      <c r="F24" s="64" t="s">
        <v>278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26.25" customHeight="1">
      <c r="A25" s="4"/>
      <c r="B25" s="4"/>
      <c r="C25" s="61"/>
      <c r="D25" s="4"/>
      <c r="E25" s="65" t="s">
        <v>126</v>
      </c>
      <c r="F25" s="64" t="s">
        <v>127</v>
      </c>
      <c r="G25" s="4"/>
      <c r="H25" s="4"/>
      <c r="I25" s="4"/>
      <c r="J25" s="4"/>
      <c r="K25" s="4"/>
      <c r="L25" s="4"/>
      <c r="M25" s="4"/>
      <c r="N25" s="4"/>
      <c r="O25" s="66" t="s">
        <v>123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26.25" customHeight="1">
      <c r="A26" s="4"/>
      <c r="B26" s="4"/>
      <c r="C26" s="61"/>
      <c r="D26" s="4"/>
      <c r="E26" s="65" t="s">
        <v>128</v>
      </c>
      <c r="F26" s="64" t="s">
        <v>129</v>
      </c>
      <c r="G26" s="4"/>
      <c r="H26" s="4"/>
      <c r="I26" s="67" t="s">
        <v>250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26.25" customHeight="1">
      <c r="A27" s="4"/>
      <c r="B27" s="4"/>
      <c r="C27" s="61"/>
      <c r="D27" s="4"/>
      <c r="E27" s="65" t="s">
        <v>130</v>
      </c>
      <c r="F27" s="64" t="s">
        <v>129</v>
      </c>
      <c r="G27" s="4"/>
      <c r="H27" s="4"/>
      <c r="I27" s="4"/>
      <c r="J27" s="4"/>
      <c r="K27" s="67" t="s">
        <v>123</v>
      </c>
      <c r="L27" s="67" t="s">
        <v>123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26.25" customHeight="1">
      <c r="A28" s="4"/>
      <c r="B28" s="4"/>
      <c r="C28" s="61"/>
      <c r="D28" s="4"/>
      <c r="E28" s="65" t="s">
        <v>131</v>
      </c>
      <c r="F28" s="64" t="s">
        <v>160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26.25" customHeight="1">
      <c r="A29" s="4"/>
      <c r="B29" s="4"/>
      <c r="C29" s="61"/>
      <c r="D29" s="4"/>
      <c r="E29" s="65" t="s">
        <v>279</v>
      </c>
      <c r="F29" s="64" t="s">
        <v>129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26.25" customHeight="1">
      <c r="A30" s="4"/>
      <c r="B30" s="4"/>
      <c r="C30" s="61"/>
      <c r="D30" s="4"/>
      <c r="E30" s="65" t="s">
        <v>134</v>
      </c>
      <c r="F30" s="64" t="s">
        <v>162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26.25" customHeight="1">
      <c r="A31" s="4"/>
      <c r="B31" s="4"/>
      <c r="C31" s="61"/>
      <c r="D31" s="4"/>
      <c r="E31" s="65" t="s">
        <v>135</v>
      </c>
      <c r="F31" s="68" t="s">
        <v>125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66" t="s">
        <v>123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61"/>
      <c r="D32" s="4"/>
      <c r="E32" s="4"/>
      <c r="F32" s="4"/>
      <c r="G32" s="4"/>
      <c r="H32" s="4"/>
      <c r="I32" s="4"/>
      <c r="J32" s="4"/>
      <c r="K32" s="4" t="str">
        <f>I72419</f>
        <v/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61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15.75" customHeight="1">
      <c r="A34" s="4"/>
      <c r="B34" s="4"/>
      <c r="C34" s="6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15.75" customHeight="1">
      <c r="A35" s="4"/>
      <c r="B35" s="4"/>
      <c r="C35" s="61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15.75" customHeight="1">
      <c r="A36" s="4"/>
      <c r="B36" s="4"/>
      <c r="C36" s="6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15.75" customHeight="1">
      <c r="A37" s="4"/>
      <c r="B37" s="4"/>
      <c r="C37" s="6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15.75" customHeight="1">
      <c r="A38" s="4"/>
      <c r="B38" s="4"/>
      <c r="C38" s="61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5.75" customHeight="1">
      <c r="A39" s="4"/>
      <c r="B39" s="4"/>
      <c r="C39" s="61"/>
      <c r="D39" s="4"/>
      <c r="E39" s="4"/>
      <c r="F39" s="4"/>
      <c r="G39" s="4"/>
      <c r="H39" s="4"/>
      <c r="I39" s="66" t="s">
        <v>136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5.75" customHeight="1">
      <c r="A40" s="4"/>
      <c r="B40" s="4"/>
      <c r="C40" s="61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6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6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6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6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6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6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6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6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6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6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6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1"/>
      <c r="D54" s="4"/>
      <c r="E54" s="4"/>
      <c r="F54" s="4"/>
      <c r="G54" s="4"/>
      <c r="H54" s="4"/>
      <c r="I54" s="4"/>
      <c r="J54" s="4"/>
      <c r="K54" s="4"/>
      <c r="L54" s="4"/>
      <c r="M54" s="4">
        <v>7.0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</sheetData>
  <mergeCells count="17">
    <mergeCell ref="R2:R4"/>
    <mergeCell ref="S2:S4"/>
    <mergeCell ref="F3:F4"/>
    <mergeCell ref="G3:H3"/>
    <mergeCell ref="I3:J3"/>
    <mergeCell ref="K3:K4"/>
    <mergeCell ref="F20:O20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5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280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45603.0</v>
      </c>
      <c r="C5" s="18" t="s">
        <v>281</v>
      </c>
      <c r="D5" s="19">
        <v>66770.0</v>
      </c>
      <c r="E5" s="20" t="s">
        <v>46</v>
      </c>
      <c r="F5" s="21"/>
      <c r="G5" s="22"/>
      <c r="H5" s="21"/>
      <c r="I5" s="37"/>
      <c r="J5" s="37">
        <v>1000.0</v>
      </c>
      <c r="K5" s="22"/>
      <c r="L5" s="24"/>
      <c r="M5" s="21"/>
      <c r="N5" s="24"/>
      <c r="O5" s="24"/>
      <c r="P5" s="25">
        <v>1000.0</v>
      </c>
      <c r="Q5" s="26">
        <f t="shared" ref="Q5:Q42" si="1">F5+G5+H5+I5+J5+K5+L5+M5+N5+O5-P5</f>
        <v>0</v>
      </c>
      <c r="R5" s="25" t="s">
        <v>49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6.0" customHeight="1">
      <c r="A6" s="16">
        <v>2.0</v>
      </c>
      <c r="B6" s="17">
        <v>45603.0</v>
      </c>
      <c r="C6" s="18" t="s">
        <v>282</v>
      </c>
      <c r="D6" s="19">
        <v>62623.0</v>
      </c>
      <c r="E6" s="20" t="s">
        <v>283</v>
      </c>
      <c r="F6" s="21"/>
      <c r="G6" s="22"/>
      <c r="H6" s="24"/>
      <c r="I6" s="29">
        <v>2850.0</v>
      </c>
      <c r="J6" s="24"/>
      <c r="K6" s="22"/>
      <c r="L6" s="24"/>
      <c r="M6" s="21"/>
      <c r="N6" s="24"/>
      <c r="O6" s="24"/>
      <c r="P6" s="25">
        <v>2850.0</v>
      </c>
      <c r="Q6" s="26">
        <f t="shared" si="1"/>
        <v>0</v>
      </c>
      <c r="R6" s="25" t="s">
        <v>38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17">
        <v>45603.0</v>
      </c>
      <c r="C7" s="18" t="s">
        <v>284</v>
      </c>
      <c r="D7" s="19">
        <v>65361.0</v>
      </c>
      <c r="E7" s="20" t="s">
        <v>285</v>
      </c>
      <c r="F7" s="24"/>
      <c r="G7" s="22"/>
      <c r="H7" s="21"/>
      <c r="I7" s="29"/>
      <c r="J7" s="37">
        <v>100.0</v>
      </c>
      <c r="K7" s="24"/>
      <c r="L7" s="24"/>
      <c r="M7" s="24"/>
      <c r="N7" s="24"/>
      <c r="O7" s="24"/>
      <c r="P7" s="25">
        <v>100.0</v>
      </c>
      <c r="Q7" s="26">
        <f t="shared" si="1"/>
        <v>0</v>
      </c>
      <c r="R7" s="25" t="s">
        <v>38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17">
        <v>45603.0</v>
      </c>
      <c r="C8" s="18" t="s">
        <v>286</v>
      </c>
      <c r="D8" s="19">
        <v>30894.0</v>
      </c>
      <c r="E8" s="20" t="s">
        <v>215</v>
      </c>
      <c r="F8" s="22"/>
      <c r="G8" s="22"/>
      <c r="H8" s="24"/>
      <c r="I8" s="29">
        <v>874.0</v>
      </c>
      <c r="J8" s="29"/>
      <c r="K8" s="24"/>
      <c r="L8" s="24"/>
      <c r="M8" s="24"/>
      <c r="N8" s="24"/>
      <c r="O8" s="24"/>
      <c r="P8" s="25">
        <v>874.0</v>
      </c>
      <c r="Q8" s="26">
        <f t="shared" si="1"/>
        <v>0</v>
      </c>
      <c r="R8" s="25" t="s">
        <v>25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17">
        <v>45603.0</v>
      </c>
      <c r="C9" s="18" t="s">
        <v>287</v>
      </c>
      <c r="D9" s="19">
        <v>11136.0</v>
      </c>
      <c r="E9" s="20" t="s">
        <v>288</v>
      </c>
      <c r="F9" s="22"/>
      <c r="G9" s="22"/>
      <c r="H9" s="24"/>
      <c r="I9" s="29">
        <v>1450.0</v>
      </c>
      <c r="J9" s="29">
        <v>100.0</v>
      </c>
      <c r="K9" s="24"/>
      <c r="L9" s="24"/>
      <c r="M9" s="29"/>
      <c r="N9" s="24"/>
      <c r="O9" s="24"/>
      <c r="P9" s="25">
        <v>1550.0</v>
      </c>
      <c r="Q9" s="26">
        <f t="shared" si="1"/>
        <v>0</v>
      </c>
      <c r="R9" s="25" t="s">
        <v>25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17">
        <v>45603.0</v>
      </c>
      <c r="C10" s="18" t="s">
        <v>289</v>
      </c>
      <c r="D10" s="19">
        <v>84036.0</v>
      </c>
      <c r="E10" s="20" t="s">
        <v>290</v>
      </c>
      <c r="F10" s="24"/>
      <c r="G10" s="24"/>
      <c r="H10" s="24"/>
      <c r="I10" s="29">
        <v>2600.0</v>
      </c>
      <c r="J10" s="29"/>
      <c r="K10" s="24"/>
      <c r="L10" s="24"/>
      <c r="M10" s="21"/>
      <c r="N10" s="24"/>
      <c r="O10" s="24"/>
      <c r="P10" s="25">
        <v>2600.0</v>
      </c>
      <c r="Q10" s="26">
        <f t="shared" si="1"/>
        <v>0</v>
      </c>
      <c r="R10" s="25" t="s">
        <v>25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17">
        <v>45603.0</v>
      </c>
      <c r="C11" s="18" t="s">
        <v>291</v>
      </c>
      <c r="D11" s="19">
        <v>22341.0</v>
      </c>
      <c r="E11" s="20" t="s">
        <v>62</v>
      </c>
      <c r="F11" s="24"/>
      <c r="G11" s="24"/>
      <c r="H11" s="24"/>
      <c r="I11" s="29">
        <v>2600.0</v>
      </c>
      <c r="J11" s="21"/>
      <c r="K11" s="24"/>
      <c r="L11" s="24"/>
      <c r="M11" s="21"/>
      <c r="N11" s="24"/>
      <c r="O11" s="24"/>
      <c r="P11" s="25">
        <v>2600.0</v>
      </c>
      <c r="Q11" s="26">
        <f t="shared" si="1"/>
        <v>0</v>
      </c>
      <c r="R11" s="25" t="s">
        <v>38</v>
      </c>
      <c r="S11" s="3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17">
        <v>45603.0</v>
      </c>
      <c r="C12" s="18" t="s">
        <v>292</v>
      </c>
      <c r="D12" s="19">
        <v>62815.0</v>
      </c>
      <c r="E12" s="20" t="s">
        <v>84</v>
      </c>
      <c r="F12" s="24"/>
      <c r="G12" s="24"/>
      <c r="H12" s="24"/>
      <c r="I12" s="29">
        <v>15000.0</v>
      </c>
      <c r="J12" s="29"/>
      <c r="K12" s="24"/>
      <c r="L12" s="24"/>
      <c r="M12" s="21"/>
      <c r="N12" s="24"/>
      <c r="O12" s="24"/>
      <c r="P12" s="25">
        <v>15000.0</v>
      </c>
      <c r="Q12" s="26">
        <f t="shared" si="1"/>
        <v>0</v>
      </c>
      <c r="R12" s="25" t="s">
        <v>35</v>
      </c>
      <c r="S12" s="3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17">
        <v>45603.0</v>
      </c>
      <c r="C13" s="18" t="s">
        <v>293</v>
      </c>
      <c r="D13" s="19">
        <v>67621.0</v>
      </c>
      <c r="E13" s="20" t="s">
        <v>59</v>
      </c>
      <c r="F13" s="24"/>
      <c r="G13" s="24"/>
      <c r="H13" s="24"/>
      <c r="I13" s="29">
        <v>4800.0</v>
      </c>
      <c r="J13" s="21"/>
      <c r="K13" s="24"/>
      <c r="L13" s="24"/>
      <c r="M13" s="29"/>
      <c r="N13" s="24"/>
      <c r="O13" s="24"/>
      <c r="P13" s="25">
        <v>4800.0</v>
      </c>
      <c r="Q13" s="26">
        <f t="shared" si="1"/>
        <v>0</v>
      </c>
      <c r="R13" s="25" t="s">
        <v>38</v>
      </c>
      <c r="S13" s="3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16">
        <v>10.0</v>
      </c>
      <c r="B14" s="17">
        <v>45603.0</v>
      </c>
      <c r="C14" s="18" t="s">
        <v>294</v>
      </c>
      <c r="D14" s="19">
        <v>36928.0</v>
      </c>
      <c r="E14" s="20" t="s">
        <v>57</v>
      </c>
      <c r="F14" s="24"/>
      <c r="G14" s="24"/>
      <c r="H14" s="22"/>
      <c r="I14" s="29">
        <v>2750.0</v>
      </c>
      <c r="J14" s="29"/>
      <c r="K14" s="24"/>
      <c r="L14" s="24"/>
      <c r="M14" s="21"/>
      <c r="N14" s="24"/>
      <c r="O14" s="24"/>
      <c r="P14" s="25">
        <v>2750.0</v>
      </c>
      <c r="Q14" s="26">
        <f t="shared" si="1"/>
        <v>0</v>
      </c>
      <c r="R14" s="25" t="s">
        <v>38</v>
      </c>
      <c r="S14" s="3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17">
        <v>45603.0</v>
      </c>
      <c r="C15" s="18" t="s">
        <v>295</v>
      </c>
      <c r="D15" s="19">
        <v>52240.0</v>
      </c>
      <c r="E15" s="20" t="s">
        <v>296</v>
      </c>
      <c r="F15" s="24"/>
      <c r="G15" s="24"/>
      <c r="H15" s="24"/>
      <c r="I15" s="29"/>
      <c r="J15" s="29">
        <v>9750.0</v>
      </c>
      <c r="K15" s="24"/>
      <c r="L15" s="24"/>
      <c r="M15" s="29"/>
      <c r="N15" s="24"/>
      <c r="O15" s="24"/>
      <c r="P15" s="25">
        <v>9750.0</v>
      </c>
      <c r="Q15" s="26">
        <f t="shared" si="1"/>
        <v>0</v>
      </c>
      <c r="R15" s="25" t="s">
        <v>38</v>
      </c>
      <c r="S15" s="3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17">
        <v>45603.0</v>
      </c>
      <c r="C16" s="18" t="s">
        <v>297</v>
      </c>
      <c r="D16" s="19">
        <v>36555.0</v>
      </c>
      <c r="E16" s="20" t="s">
        <v>106</v>
      </c>
      <c r="F16" s="22"/>
      <c r="G16" s="24"/>
      <c r="H16" s="24"/>
      <c r="I16" s="29"/>
      <c r="J16" s="29"/>
      <c r="K16" s="22">
        <v>500.0</v>
      </c>
      <c r="L16" s="24"/>
      <c r="M16" s="29"/>
      <c r="N16" s="24"/>
      <c r="O16" s="24"/>
      <c r="P16" s="25">
        <v>500.0</v>
      </c>
      <c r="Q16" s="26">
        <f t="shared" si="1"/>
        <v>0</v>
      </c>
      <c r="R16" s="25" t="s">
        <v>35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17">
        <v>45603.0</v>
      </c>
      <c r="C17" s="18" t="s">
        <v>298</v>
      </c>
      <c r="D17" s="19">
        <v>35227.0</v>
      </c>
      <c r="E17" s="20" t="s">
        <v>299</v>
      </c>
      <c r="F17" s="24"/>
      <c r="G17" s="24"/>
      <c r="H17" s="24"/>
      <c r="I17" s="29">
        <v>2000.0</v>
      </c>
      <c r="J17" s="21"/>
      <c r="K17" s="22"/>
      <c r="L17" s="24"/>
      <c r="M17" s="21"/>
      <c r="N17" s="24"/>
      <c r="O17" s="22"/>
      <c r="P17" s="25">
        <v>2000.0</v>
      </c>
      <c r="Q17" s="26">
        <f t="shared" si="1"/>
        <v>0</v>
      </c>
      <c r="R17" s="25" t="s">
        <v>35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17">
        <v>45603.0</v>
      </c>
      <c r="C18" s="18" t="s">
        <v>300</v>
      </c>
      <c r="D18" s="19">
        <v>10744.0</v>
      </c>
      <c r="E18" s="20" t="s">
        <v>53</v>
      </c>
      <c r="F18" s="24"/>
      <c r="G18" s="24"/>
      <c r="H18" s="24"/>
      <c r="I18" s="29">
        <v>15000.0</v>
      </c>
      <c r="J18" s="21"/>
      <c r="K18" s="22"/>
      <c r="L18" s="24"/>
      <c r="M18" s="21"/>
      <c r="N18" s="24"/>
      <c r="O18" s="22"/>
      <c r="P18" s="25">
        <v>15000.0</v>
      </c>
      <c r="Q18" s="26">
        <f t="shared" si="1"/>
        <v>0</v>
      </c>
      <c r="R18" s="25" t="s">
        <v>25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17">
        <v>45603.0</v>
      </c>
      <c r="C19" s="18" t="s">
        <v>301</v>
      </c>
      <c r="D19" s="19">
        <v>10006.0</v>
      </c>
      <c r="E19" s="20" t="s">
        <v>86</v>
      </c>
      <c r="F19" s="24"/>
      <c r="G19" s="22">
        <v>1450.0</v>
      </c>
      <c r="H19" s="24"/>
      <c r="I19" s="29"/>
      <c r="J19" s="21"/>
      <c r="K19" s="22"/>
      <c r="L19" s="24"/>
      <c r="M19" s="21"/>
      <c r="N19" s="24"/>
      <c r="O19" s="22"/>
      <c r="P19" s="25">
        <v>1450.0</v>
      </c>
      <c r="Q19" s="26">
        <f t="shared" si="1"/>
        <v>0</v>
      </c>
      <c r="R19" s="25" t="s">
        <v>25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16">
        <v>16.0</v>
      </c>
      <c r="B20" s="17">
        <v>45603.0</v>
      </c>
      <c r="C20" s="18" t="s">
        <v>302</v>
      </c>
      <c r="D20" s="19">
        <v>50613.0</v>
      </c>
      <c r="E20" s="20" t="s">
        <v>303</v>
      </c>
      <c r="F20" s="24"/>
      <c r="G20" s="24"/>
      <c r="H20" s="24"/>
      <c r="I20" s="29">
        <v>10650.0</v>
      </c>
      <c r="J20" s="21"/>
      <c r="K20" s="22"/>
      <c r="L20" s="24"/>
      <c r="M20" s="21"/>
      <c r="N20" s="24"/>
      <c r="O20" s="22"/>
      <c r="P20" s="25">
        <v>10650.0</v>
      </c>
      <c r="Q20" s="26">
        <f t="shared" si="1"/>
        <v>0</v>
      </c>
      <c r="R20" s="25" t="s">
        <v>38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17">
        <v>45603.0</v>
      </c>
      <c r="C21" s="18" t="s">
        <v>304</v>
      </c>
      <c r="D21" s="19">
        <v>10008.0</v>
      </c>
      <c r="E21" s="20" t="s">
        <v>100</v>
      </c>
      <c r="F21" s="24"/>
      <c r="G21" s="24"/>
      <c r="H21" s="24"/>
      <c r="I21" s="29">
        <v>240.0</v>
      </c>
      <c r="J21" s="21"/>
      <c r="K21" s="22"/>
      <c r="L21" s="24"/>
      <c r="M21" s="21"/>
      <c r="N21" s="24"/>
      <c r="O21" s="22"/>
      <c r="P21" s="25">
        <v>240.0</v>
      </c>
      <c r="Q21" s="26">
        <f t="shared" si="1"/>
        <v>0</v>
      </c>
      <c r="R21" s="25" t="s">
        <v>25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17">
        <v>45603.0</v>
      </c>
      <c r="C22" s="18" t="s">
        <v>305</v>
      </c>
      <c r="D22" s="19">
        <v>50595.0</v>
      </c>
      <c r="E22" s="20" t="s">
        <v>102</v>
      </c>
      <c r="F22" s="24"/>
      <c r="G22" s="24"/>
      <c r="H22" s="22">
        <v>1194.0</v>
      </c>
      <c r="I22" s="29">
        <v>100.0</v>
      </c>
      <c r="J22" s="21"/>
      <c r="K22" s="22"/>
      <c r="L22" s="24"/>
      <c r="M22" s="21"/>
      <c r="N22" s="24"/>
      <c r="O22" s="22"/>
      <c r="P22" s="25">
        <v>1294.0</v>
      </c>
      <c r="Q22" s="26">
        <f t="shared" si="1"/>
        <v>0</v>
      </c>
      <c r="R22" s="25" t="s">
        <v>35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17">
        <v>45603.0</v>
      </c>
      <c r="C23" s="18" t="s">
        <v>306</v>
      </c>
      <c r="D23" s="19">
        <v>19122.0</v>
      </c>
      <c r="E23" s="20" t="s">
        <v>108</v>
      </c>
      <c r="F23" s="24"/>
      <c r="G23" s="22"/>
      <c r="H23" s="24"/>
      <c r="I23" s="29"/>
      <c r="J23" s="21"/>
      <c r="K23" s="22"/>
      <c r="L23" s="24"/>
      <c r="M23" s="29">
        <v>1450.0</v>
      </c>
      <c r="N23" s="24"/>
      <c r="O23" s="22"/>
      <c r="P23" s="25">
        <v>1450.0</v>
      </c>
      <c r="Q23" s="26">
        <f t="shared" si="1"/>
        <v>0</v>
      </c>
      <c r="R23" s="25" t="s">
        <v>35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16">
        <v>20.0</v>
      </c>
      <c r="B24" s="17">
        <v>45603.0</v>
      </c>
      <c r="C24" s="18" t="s">
        <v>307</v>
      </c>
      <c r="D24" s="19">
        <v>55250.0</v>
      </c>
      <c r="E24" s="20" t="s">
        <v>308</v>
      </c>
      <c r="F24" s="24"/>
      <c r="G24" s="24"/>
      <c r="H24" s="24"/>
      <c r="I24" s="29">
        <v>100.0</v>
      </c>
      <c r="J24" s="21"/>
      <c r="K24" s="22"/>
      <c r="L24" s="24"/>
      <c r="M24" s="21"/>
      <c r="N24" s="24"/>
      <c r="O24" s="22"/>
      <c r="P24" s="25">
        <v>100.0</v>
      </c>
      <c r="Q24" s="26">
        <f t="shared" si="1"/>
        <v>0</v>
      </c>
      <c r="R24" s="25" t="s">
        <v>35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17">
        <v>45603.0</v>
      </c>
      <c r="C25" s="18" t="s">
        <v>309</v>
      </c>
      <c r="D25" s="19">
        <v>65361.0</v>
      </c>
      <c r="E25" s="20" t="s">
        <v>285</v>
      </c>
      <c r="F25" s="24"/>
      <c r="G25" s="24"/>
      <c r="H25" s="24"/>
      <c r="I25" s="29"/>
      <c r="J25" s="21"/>
      <c r="K25" s="22"/>
      <c r="L25" s="24"/>
      <c r="M25" s="21"/>
      <c r="N25" s="24"/>
      <c r="O25" s="22">
        <v>1600.0</v>
      </c>
      <c r="P25" s="25">
        <v>1600.0</v>
      </c>
      <c r="Q25" s="26">
        <f t="shared" si="1"/>
        <v>0</v>
      </c>
      <c r="R25" s="25"/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17">
        <v>45603.0</v>
      </c>
      <c r="C26" s="18" t="s">
        <v>310</v>
      </c>
      <c r="D26" s="19">
        <v>51017.0</v>
      </c>
      <c r="E26" s="20" t="s">
        <v>228</v>
      </c>
      <c r="F26" s="24"/>
      <c r="G26" s="24"/>
      <c r="H26" s="22">
        <v>10000.0</v>
      </c>
      <c r="I26" s="29"/>
      <c r="J26" s="21"/>
      <c r="K26" s="22"/>
      <c r="L26" s="24"/>
      <c r="M26" s="21"/>
      <c r="N26" s="24"/>
      <c r="O26" s="22"/>
      <c r="P26" s="25">
        <v>10000.0</v>
      </c>
      <c r="Q26" s="26">
        <f t="shared" si="1"/>
        <v>0</v>
      </c>
      <c r="R26" s="25"/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17">
        <v>45603.0</v>
      </c>
      <c r="C27" s="18" t="s">
        <v>311</v>
      </c>
      <c r="D27" s="19">
        <v>10249.0</v>
      </c>
      <c r="E27" s="20" t="s">
        <v>312</v>
      </c>
      <c r="F27" s="24"/>
      <c r="G27" s="24"/>
      <c r="H27" s="24"/>
      <c r="I27" s="29"/>
      <c r="J27" s="21"/>
      <c r="K27" s="22"/>
      <c r="L27" s="24"/>
      <c r="M27" s="21"/>
      <c r="N27" s="24"/>
      <c r="O27" s="22">
        <v>1200.0</v>
      </c>
      <c r="P27" s="25">
        <v>1200.0</v>
      </c>
      <c r="Q27" s="26">
        <f t="shared" si="1"/>
        <v>0</v>
      </c>
      <c r="R27" s="25"/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17">
        <v>45603.0</v>
      </c>
      <c r="C28" s="18" t="s">
        <v>313</v>
      </c>
      <c r="D28" s="19">
        <v>54854.0</v>
      </c>
      <c r="E28" s="20" t="s">
        <v>314</v>
      </c>
      <c r="F28" s="24"/>
      <c r="G28" s="24"/>
      <c r="H28" s="24"/>
      <c r="I28" s="29"/>
      <c r="J28" s="21"/>
      <c r="K28" s="22"/>
      <c r="L28" s="24"/>
      <c r="M28" s="21"/>
      <c r="N28" s="24"/>
      <c r="O28" s="22">
        <v>800.0</v>
      </c>
      <c r="P28" s="25">
        <v>800.0</v>
      </c>
      <c r="Q28" s="26">
        <f t="shared" si="1"/>
        <v>0</v>
      </c>
      <c r="R28" s="25"/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17">
        <v>45603.0</v>
      </c>
      <c r="C29" s="18" t="s">
        <v>315</v>
      </c>
      <c r="D29" s="19">
        <v>10249.0</v>
      </c>
      <c r="E29" s="20" t="s">
        <v>312</v>
      </c>
      <c r="F29" s="24"/>
      <c r="G29" s="24"/>
      <c r="H29" s="24"/>
      <c r="I29" s="29"/>
      <c r="J29" s="21"/>
      <c r="K29" s="22"/>
      <c r="L29" s="24"/>
      <c r="M29" s="21"/>
      <c r="N29" s="24"/>
      <c r="O29" s="22">
        <v>800.0</v>
      </c>
      <c r="P29" s="25">
        <v>800.0</v>
      </c>
      <c r="Q29" s="26">
        <f t="shared" si="1"/>
        <v>0</v>
      </c>
      <c r="R29" s="25"/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17">
        <v>45603.0</v>
      </c>
      <c r="C30" s="18" t="s">
        <v>316</v>
      </c>
      <c r="D30" s="19">
        <v>83066.0</v>
      </c>
      <c r="E30" s="20" t="s">
        <v>317</v>
      </c>
      <c r="F30" s="24"/>
      <c r="G30" s="24"/>
      <c r="H30" s="22"/>
      <c r="I30" s="29"/>
      <c r="J30" s="21"/>
      <c r="K30" s="22"/>
      <c r="L30" s="24"/>
      <c r="M30" s="21"/>
      <c r="N30" s="24"/>
      <c r="O30" s="22">
        <v>2000.0</v>
      </c>
      <c r="P30" s="25">
        <v>2000.0</v>
      </c>
      <c r="Q30" s="26">
        <f t="shared" si="1"/>
        <v>0</v>
      </c>
      <c r="R30" s="25"/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>
        <v>27.0</v>
      </c>
      <c r="B31" s="17">
        <v>45603.0</v>
      </c>
      <c r="C31" s="18" t="s">
        <v>318</v>
      </c>
      <c r="D31" s="19">
        <v>36555.0</v>
      </c>
      <c r="E31" s="20" t="s">
        <v>106</v>
      </c>
      <c r="F31" s="24"/>
      <c r="G31" s="24"/>
      <c r="H31" s="22">
        <v>10000.0</v>
      </c>
      <c r="I31" s="29"/>
      <c r="J31" s="21"/>
      <c r="K31" s="22"/>
      <c r="L31" s="24"/>
      <c r="M31" s="21"/>
      <c r="N31" s="24"/>
      <c r="O31" s="22"/>
      <c r="P31" s="25">
        <v>10000.0</v>
      </c>
      <c r="Q31" s="26">
        <f t="shared" si="1"/>
        <v>0</v>
      </c>
      <c r="R31" s="25"/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16">
        <v>28.0</v>
      </c>
      <c r="B32" s="17">
        <v>45603.0</v>
      </c>
      <c r="C32" s="18" t="s">
        <v>319</v>
      </c>
      <c r="D32" s="19">
        <v>50148.0</v>
      </c>
      <c r="E32" s="20" t="s">
        <v>275</v>
      </c>
      <c r="F32" s="24"/>
      <c r="G32" s="24"/>
      <c r="H32" s="24"/>
      <c r="I32" s="29"/>
      <c r="J32" s="21"/>
      <c r="K32" s="22">
        <v>25000.0</v>
      </c>
      <c r="L32" s="24"/>
      <c r="M32" s="21"/>
      <c r="N32" s="24"/>
      <c r="O32" s="22"/>
      <c r="P32" s="25">
        <v>25000.0</v>
      </c>
      <c r="Q32" s="26">
        <f t="shared" si="1"/>
        <v>0</v>
      </c>
      <c r="R32" s="25"/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16">
        <v>29.0</v>
      </c>
      <c r="B33" s="17">
        <v>45603.0</v>
      </c>
      <c r="C33" s="18" t="s">
        <v>320</v>
      </c>
      <c r="D33" s="19">
        <v>31927.0</v>
      </c>
      <c r="E33" s="20" t="s">
        <v>321</v>
      </c>
      <c r="F33" s="24"/>
      <c r="G33" s="24"/>
      <c r="H33" s="24"/>
      <c r="I33" s="29"/>
      <c r="J33" s="21"/>
      <c r="K33" s="22">
        <v>780.0</v>
      </c>
      <c r="L33" s="24"/>
      <c r="M33" s="21"/>
      <c r="N33" s="24"/>
      <c r="O33" s="22">
        <v>420.0</v>
      </c>
      <c r="P33" s="25">
        <v>1200.0</v>
      </c>
      <c r="Q33" s="26">
        <f t="shared" si="1"/>
        <v>0</v>
      </c>
      <c r="R33" s="25"/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16">
        <v>30.0</v>
      </c>
      <c r="B34" s="17">
        <v>45603.0</v>
      </c>
      <c r="C34" s="18" t="s">
        <v>322</v>
      </c>
      <c r="D34" s="19">
        <v>31927.0</v>
      </c>
      <c r="E34" s="20" t="s">
        <v>321</v>
      </c>
      <c r="F34" s="24"/>
      <c r="G34" s="24"/>
      <c r="H34" s="24"/>
      <c r="I34" s="29"/>
      <c r="J34" s="21"/>
      <c r="K34" s="22"/>
      <c r="L34" s="24"/>
      <c r="M34" s="29">
        <v>1200.0</v>
      </c>
      <c r="N34" s="24"/>
      <c r="O34" s="22"/>
      <c r="P34" s="25">
        <v>1200.0</v>
      </c>
      <c r="Q34" s="26">
        <f t="shared" si="1"/>
        <v>0</v>
      </c>
      <c r="R34" s="25"/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16">
        <v>31.0</v>
      </c>
      <c r="B35" s="17">
        <v>45603.0</v>
      </c>
      <c r="C35" s="18" t="s">
        <v>323</v>
      </c>
      <c r="D35" s="19">
        <v>10006.0</v>
      </c>
      <c r="E35" s="20" t="s">
        <v>86</v>
      </c>
      <c r="F35" s="24"/>
      <c r="G35" s="24"/>
      <c r="H35" s="24"/>
      <c r="I35" s="29"/>
      <c r="J35" s="21"/>
      <c r="K35" s="22"/>
      <c r="L35" s="24"/>
      <c r="M35" s="21"/>
      <c r="N35" s="24"/>
      <c r="O35" s="22">
        <v>1200.0</v>
      </c>
      <c r="P35" s="25">
        <v>1200.0</v>
      </c>
      <c r="Q35" s="26">
        <f t="shared" si="1"/>
        <v>0</v>
      </c>
      <c r="R35" s="25"/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16">
        <v>32.0</v>
      </c>
      <c r="B36" s="17">
        <v>45603.0</v>
      </c>
      <c r="C36" s="18" t="s">
        <v>324</v>
      </c>
      <c r="D36" s="19">
        <v>10008.0</v>
      </c>
      <c r="E36" s="20" t="s">
        <v>100</v>
      </c>
      <c r="F36" s="24"/>
      <c r="G36" s="24"/>
      <c r="H36" s="24"/>
      <c r="I36" s="29"/>
      <c r="J36" s="21"/>
      <c r="K36" s="22"/>
      <c r="L36" s="24"/>
      <c r="M36" s="21"/>
      <c r="N36" s="24"/>
      <c r="O36" s="22">
        <v>2000.0</v>
      </c>
      <c r="P36" s="25">
        <v>2000.0</v>
      </c>
      <c r="Q36" s="26">
        <f t="shared" si="1"/>
        <v>0</v>
      </c>
      <c r="R36" s="25"/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16">
        <v>33.0</v>
      </c>
      <c r="B37" s="17">
        <v>45603.0</v>
      </c>
      <c r="C37" s="18" t="s">
        <v>325</v>
      </c>
      <c r="D37" s="19">
        <v>78835.0</v>
      </c>
      <c r="E37" s="20" t="s">
        <v>326</v>
      </c>
      <c r="F37" s="24"/>
      <c r="G37" s="24"/>
      <c r="H37" s="24"/>
      <c r="I37" s="29"/>
      <c r="J37" s="21"/>
      <c r="K37" s="22"/>
      <c r="L37" s="24"/>
      <c r="M37" s="29">
        <v>5100.0</v>
      </c>
      <c r="N37" s="24"/>
      <c r="O37" s="22"/>
      <c r="P37" s="25">
        <v>5100.0</v>
      </c>
      <c r="Q37" s="26">
        <f t="shared" si="1"/>
        <v>0</v>
      </c>
      <c r="R37" s="25"/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16">
        <v>34.0</v>
      </c>
      <c r="B38" s="17">
        <v>45603.0</v>
      </c>
      <c r="C38" s="18" t="s">
        <v>327</v>
      </c>
      <c r="D38" s="19">
        <v>25650.0</v>
      </c>
      <c r="E38" s="20" t="s">
        <v>328</v>
      </c>
      <c r="F38" s="24"/>
      <c r="G38" s="24"/>
      <c r="H38" s="24"/>
      <c r="I38" s="29"/>
      <c r="J38" s="21"/>
      <c r="K38" s="22"/>
      <c r="L38" s="24"/>
      <c r="M38" s="29">
        <v>1400.0</v>
      </c>
      <c r="N38" s="24"/>
      <c r="O38" s="22"/>
      <c r="P38" s="25">
        <v>1400.0</v>
      </c>
      <c r="Q38" s="26">
        <f t="shared" si="1"/>
        <v>0</v>
      </c>
      <c r="R38" s="25"/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16">
        <v>35.0</v>
      </c>
      <c r="B39" s="17">
        <v>45603.0</v>
      </c>
      <c r="C39" s="18" t="s">
        <v>329</v>
      </c>
      <c r="D39" s="19">
        <v>55250.0</v>
      </c>
      <c r="E39" s="20" t="s">
        <v>308</v>
      </c>
      <c r="F39" s="24"/>
      <c r="G39" s="24"/>
      <c r="H39" s="24"/>
      <c r="I39" s="29"/>
      <c r="J39" s="21"/>
      <c r="K39" s="22"/>
      <c r="L39" s="24"/>
      <c r="M39" s="21"/>
      <c r="N39" s="24"/>
      <c r="O39" s="22">
        <v>800.0</v>
      </c>
      <c r="P39" s="25">
        <v>800.0</v>
      </c>
      <c r="Q39" s="26">
        <f t="shared" si="1"/>
        <v>0</v>
      </c>
      <c r="R39" s="25"/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16">
        <v>36.0</v>
      </c>
      <c r="B40" s="17">
        <v>45603.0</v>
      </c>
      <c r="C40" s="18" t="s">
        <v>330</v>
      </c>
      <c r="D40" s="19">
        <v>66770.0</v>
      </c>
      <c r="E40" s="20" t="s">
        <v>46</v>
      </c>
      <c r="F40" s="24"/>
      <c r="G40" s="24"/>
      <c r="H40" s="24"/>
      <c r="I40" s="29"/>
      <c r="J40" s="21"/>
      <c r="K40" s="22"/>
      <c r="L40" s="24"/>
      <c r="M40" s="21"/>
      <c r="N40" s="24"/>
      <c r="O40" s="22">
        <v>4800.0</v>
      </c>
      <c r="P40" s="25">
        <v>4800.0</v>
      </c>
      <c r="Q40" s="26">
        <f t="shared" si="1"/>
        <v>0</v>
      </c>
      <c r="R40" s="25"/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16">
        <v>37.0</v>
      </c>
      <c r="B41" s="17">
        <v>45603.0</v>
      </c>
      <c r="C41" s="18" t="s">
        <v>331</v>
      </c>
      <c r="D41" s="19">
        <v>85218.0</v>
      </c>
      <c r="E41" s="20" t="s">
        <v>332</v>
      </c>
      <c r="F41" s="24"/>
      <c r="G41" s="24"/>
      <c r="H41" s="24"/>
      <c r="I41" s="29"/>
      <c r="J41" s="21"/>
      <c r="K41" s="22">
        <v>6400.0</v>
      </c>
      <c r="L41" s="24"/>
      <c r="M41" s="21"/>
      <c r="N41" s="24"/>
      <c r="O41" s="22"/>
      <c r="P41" s="25">
        <v>6400.0</v>
      </c>
      <c r="Q41" s="26">
        <f t="shared" si="1"/>
        <v>0</v>
      </c>
      <c r="R41" s="25"/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16">
        <v>38.0</v>
      </c>
      <c r="B42" s="17">
        <v>45603.0</v>
      </c>
      <c r="C42" s="18" t="s">
        <v>333</v>
      </c>
      <c r="D42" s="19">
        <v>85218.0</v>
      </c>
      <c r="E42" s="20" t="s">
        <v>332</v>
      </c>
      <c r="F42" s="21"/>
      <c r="G42" s="24"/>
      <c r="H42" s="24"/>
      <c r="I42" s="29"/>
      <c r="J42" s="21"/>
      <c r="K42" s="37">
        <v>300.0</v>
      </c>
      <c r="L42" s="24"/>
      <c r="M42" s="24"/>
      <c r="N42" s="24"/>
      <c r="O42" s="22"/>
      <c r="P42" s="25">
        <v>300.0</v>
      </c>
      <c r="Q42" s="26">
        <f t="shared" si="1"/>
        <v>0</v>
      </c>
      <c r="R42" s="49"/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7.5" customHeight="1">
      <c r="A43" s="16"/>
      <c r="B43" s="50"/>
      <c r="C43" s="51"/>
      <c r="D43" s="52" t="s">
        <v>123</v>
      </c>
      <c r="E43" s="53"/>
      <c r="F43" s="54">
        <f t="shared" ref="F43:P43" si="2">SUM(F5:F42)</f>
        <v>0</v>
      </c>
      <c r="G43" s="54">
        <f t="shared" si="2"/>
        <v>1450</v>
      </c>
      <c r="H43" s="54">
        <f t="shared" si="2"/>
        <v>21194</v>
      </c>
      <c r="I43" s="54">
        <f t="shared" si="2"/>
        <v>61014</v>
      </c>
      <c r="J43" s="54">
        <f t="shared" si="2"/>
        <v>10950</v>
      </c>
      <c r="K43" s="54">
        <f t="shared" si="2"/>
        <v>32980</v>
      </c>
      <c r="L43" s="54">
        <f t="shared" si="2"/>
        <v>0</v>
      </c>
      <c r="M43" s="54">
        <f t="shared" si="2"/>
        <v>9150</v>
      </c>
      <c r="N43" s="54">
        <f t="shared" si="2"/>
        <v>0</v>
      </c>
      <c r="O43" s="54">
        <f t="shared" si="2"/>
        <v>15620</v>
      </c>
      <c r="P43" s="54">
        <f t="shared" si="2"/>
        <v>152358</v>
      </c>
      <c r="Q43" s="55">
        <v>0.0</v>
      </c>
      <c r="R43" s="56"/>
      <c r="S43" s="27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</row>
    <row r="44" ht="58.5" customHeight="1">
      <c r="A44" s="57"/>
      <c r="B44" s="57"/>
      <c r="C44" s="58"/>
      <c r="D44" s="57"/>
      <c r="E44" s="57"/>
      <c r="F44" s="59">
        <f>F43+G43+H43+I43+J43+K43+L43+M43+N43+O43</f>
        <v>152358</v>
      </c>
      <c r="P44" s="60"/>
      <c r="Q44" s="60"/>
      <c r="R44" s="57"/>
      <c r="S44" s="57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</row>
    <row r="45" ht="15.75" customHeight="1">
      <c r="A45" s="4"/>
      <c r="B45" s="4"/>
      <c r="C45" s="6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6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62" t="s">
        <v>123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61"/>
      <c r="D48" s="4"/>
      <c r="E48" s="63" t="s">
        <v>124</v>
      </c>
      <c r="F48" s="64" t="s">
        <v>127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61"/>
      <c r="D49" s="4"/>
      <c r="E49" s="65" t="s">
        <v>126</v>
      </c>
      <c r="F49" s="64" t="s">
        <v>127</v>
      </c>
      <c r="G49" s="4"/>
      <c r="H49" s="4"/>
      <c r="I49" s="4"/>
      <c r="J49" s="4"/>
      <c r="K49" s="4"/>
      <c r="L49" s="4"/>
      <c r="M49" s="4"/>
      <c r="N49" s="4"/>
      <c r="O49" s="66" t="s">
        <v>123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61"/>
      <c r="D50" s="4"/>
      <c r="E50" s="65" t="s">
        <v>128</v>
      </c>
      <c r="F50" s="64" t="s">
        <v>129</v>
      </c>
      <c r="G50" s="4"/>
      <c r="H50" s="4"/>
      <c r="I50" s="67" t="s">
        <v>250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61"/>
      <c r="D51" s="4"/>
      <c r="E51" s="65" t="s">
        <v>130</v>
      </c>
      <c r="F51" s="64" t="s">
        <v>129</v>
      </c>
      <c r="G51" s="4"/>
      <c r="H51" s="4"/>
      <c r="I51" s="4"/>
      <c r="J51" s="4"/>
      <c r="K51" s="67" t="s">
        <v>123</v>
      </c>
      <c r="L51" s="67" t="s">
        <v>123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26.25" customHeight="1">
      <c r="A52" s="4"/>
      <c r="B52" s="4"/>
      <c r="C52" s="61"/>
      <c r="D52" s="4"/>
      <c r="E52" s="65" t="s">
        <v>131</v>
      </c>
      <c r="F52" s="64" t="s">
        <v>129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26.25" customHeight="1">
      <c r="A53" s="4"/>
      <c r="B53" s="4"/>
      <c r="C53" s="61"/>
      <c r="D53" s="4"/>
      <c r="E53" s="65" t="s">
        <v>334</v>
      </c>
      <c r="F53" s="64" t="s">
        <v>129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26.25" customHeight="1">
      <c r="A54" s="4"/>
      <c r="B54" s="4"/>
      <c r="C54" s="61"/>
      <c r="D54" s="4"/>
      <c r="E54" s="65" t="s">
        <v>134</v>
      </c>
      <c r="F54" s="64" t="s">
        <v>162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26.25" customHeight="1">
      <c r="A55" s="4"/>
      <c r="B55" s="4"/>
      <c r="C55" s="61"/>
      <c r="D55" s="4"/>
      <c r="E55" s="65" t="s">
        <v>135</v>
      </c>
      <c r="F55" s="68" t="s">
        <v>125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66" t="s">
        <v>123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26.25" customHeight="1">
      <c r="A56" s="4"/>
      <c r="B56" s="4"/>
      <c r="C56" s="61"/>
      <c r="D56" s="4"/>
      <c r="E56" s="4"/>
      <c r="F56" s="4"/>
      <c r="G56" s="4"/>
      <c r="H56" s="4"/>
      <c r="I56" s="4"/>
      <c r="J56" s="4"/>
      <c r="K56" s="4" t="str">
        <f>I72443</f>
        <v/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26.25" customHeight="1">
      <c r="A57" s="4"/>
      <c r="B57" s="4"/>
      <c r="C57" s="6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1"/>
      <c r="D63" s="4"/>
      <c r="E63" s="4"/>
      <c r="F63" s="4"/>
      <c r="G63" s="4"/>
      <c r="H63" s="4"/>
      <c r="I63" s="66" t="s">
        <v>136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1"/>
      <c r="D78" s="4"/>
      <c r="E78" s="4"/>
      <c r="F78" s="4"/>
      <c r="G78" s="4"/>
      <c r="H78" s="4"/>
      <c r="I78" s="4"/>
      <c r="J78" s="4"/>
      <c r="K78" s="4"/>
      <c r="L78" s="4"/>
      <c r="M78" s="4">
        <v>7.0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6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6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6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6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6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6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6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6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6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6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17">
    <mergeCell ref="R2:R4"/>
    <mergeCell ref="S2:S4"/>
    <mergeCell ref="F3:F4"/>
    <mergeCell ref="G3:H3"/>
    <mergeCell ref="I3:J3"/>
    <mergeCell ref="K3:K4"/>
    <mergeCell ref="F44:O44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5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335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45603.0</v>
      </c>
      <c r="C5" s="18" t="s">
        <v>336</v>
      </c>
      <c r="D5" s="19">
        <v>57499.0</v>
      </c>
      <c r="E5" s="20" t="s">
        <v>201</v>
      </c>
      <c r="F5" s="21"/>
      <c r="G5" s="22"/>
      <c r="H5" s="21"/>
      <c r="I5" s="37">
        <v>140.0</v>
      </c>
      <c r="J5" s="37"/>
      <c r="K5" s="22"/>
      <c r="L5" s="24"/>
      <c r="M5" s="21"/>
      <c r="N5" s="24"/>
      <c r="O5" s="24"/>
      <c r="P5" s="25">
        <v>140.0</v>
      </c>
      <c r="Q5" s="26">
        <f t="shared" ref="Q5:Q31" si="1">F5+G5+H5+I5+J5+K5+L5+M5+N5+O5-P5</f>
        <v>0</v>
      </c>
      <c r="R5" s="25" t="s">
        <v>25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6.0" customHeight="1">
      <c r="A6" s="16">
        <v>2.0</v>
      </c>
      <c r="B6" s="17">
        <v>45603.0</v>
      </c>
      <c r="C6" s="18" t="s">
        <v>337</v>
      </c>
      <c r="D6" s="19">
        <v>10008.0</v>
      </c>
      <c r="E6" s="20" t="s">
        <v>100</v>
      </c>
      <c r="F6" s="21"/>
      <c r="G6" s="22">
        <v>1870.0</v>
      </c>
      <c r="H6" s="24"/>
      <c r="I6" s="29"/>
      <c r="J6" s="24"/>
      <c r="K6" s="22"/>
      <c r="L6" s="24"/>
      <c r="M6" s="29"/>
      <c r="N6" s="24"/>
      <c r="O6" s="24"/>
      <c r="P6" s="25">
        <v>1870.0</v>
      </c>
      <c r="Q6" s="26">
        <f t="shared" si="1"/>
        <v>0</v>
      </c>
      <c r="R6" s="25" t="s">
        <v>38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17">
        <v>45603.0</v>
      </c>
      <c r="C7" s="18" t="s">
        <v>338</v>
      </c>
      <c r="D7" s="19">
        <v>84993.0</v>
      </c>
      <c r="E7" s="20" t="s">
        <v>30</v>
      </c>
      <c r="F7" s="24"/>
      <c r="G7" s="22"/>
      <c r="H7" s="21"/>
      <c r="I7" s="29"/>
      <c r="J7" s="37"/>
      <c r="K7" s="24"/>
      <c r="L7" s="24"/>
      <c r="M7" s="22">
        <v>600.0</v>
      </c>
      <c r="N7" s="24"/>
      <c r="O7" s="24"/>
      <c r="P7" s="25">
        <v>600.0</v>
      </c>
      <c r="Q7" s="26">
        <f t="shared" si="1"/>
        <v>0</v>
      </c>
      <c r="R7" s="25" t="s">
        <v>25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17">
        <v>45604.0</v>
      </c>
      <c r="C8" s="18" t="s">
        <v>339</v>
      </c>
      <c r="D8" s="19">
        <v>22727.0</v>
      </c>
      <c r="E8" s="20" t="s">
        <v>340</v>
      </c>
      <c r="F8" s="22"/>
      <c r="G8" s="22"/>
      <c r="H8" s="24"/>
      <c r="I8" s="29">
        <v>4200.0</v>
      </c>
      <c r="J8" s="29"/>
      <c r="K8" s="24"/>
      <c r="L8" s="24"/>
      <c r="M8" s="24"/>
      <c r="N8" s="24"/>
      <c r="O8" s="24"/>
      <c r="P8" s="25">
        <v>4200.0</v>
      </c>
      <c r="Q8" s="26">
        <f t="shared" si="1"/>
        <v>0</v>
      </c>
      <c r="R8" s="25" t="s">
        <v>28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17">
        <v>45604.0</v>
      </c>
      <c r="C9" s="18" t="s">
        <v>341</v>
      </c>
      <c r="D9" s="19">
        <v>13133.0</v>
      </c>
      <c r="E9" s="20" t="s">
        <v>342</v>
      </c>
      <c r="F9" s="22"/>
      <c r="G9" s="22"/>
      <c r="H9" s="24"/>
      <c r="I9" s="29"/>
      <c r="J9" s="29">
        <v>9780.0</v>
      </c>
      <c r="K9" s="24"/>
      <c r="L9" s="24"/>
      <c r="M9" s="29"/>
      <c r="N9" s="24"/>
      <c r="O9" s="24"/>
      <c r="P9" s="25">
        <v>9780.0</v>
      </c>
      <c r="Q9" s="26">
        <f t="shared" si="1"/>
        <v>0</v>
      </c>
      <c r="R9" s="25" t="s">
        <v>28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6.0</v>
      </c>
      <c r="B10" s="17">
        <v>45604.0</v>
      </c>
      <c r="C10" s="18" t="s">
        <v>343</v>
      </c>
      <c r="D10" s="19">
        <v>84743.0</v>
      </c>
      <c r="E10" s="20" t="s">
        <v>344</v>
      </c>
      <c r="F10" s="24"/>
      <c r="G10" s="24"/>
      <c r="H10" s="24"/>
      <c r="I10" s="29">
        <v>7000.0</v>
      </c>
      <c r="J10" s="29"/>
      <c r="K10" s="24"/>
      <c r="L10" s="24"/>
      <c r="M10" s="21"/>
      <c r="N10" s="24"/>
      <c r="O10" s="24"/>
      <c r="P10" s="25">
        <v>7000.0</v>
      </c>
      <c r="Q10" s="26">
        <f t="shared" si="1"/>
        <v>0</v>
      </c>
      <c r="R10" s="25" t="s">
        <v>25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7.0</v>
      </c>
      <c r="B11" s="17">
        <v>45604.0</v>
      </c>
      <c r="C11" s="18" t="s">
        <v>345</v>
      </c>
      <c r="D11" s="19">
        <v>29621.0</v>
      </c>
      <c r="E11" s="20" t="s">
        <v>346</v>
      </c>
      <c r="F11" s="24"/>
      <c r="G11" s="22">
        <v>2500.0</v>
      </c>
      <c r="H11" s="24"/>
      <c r="I11" s="29"/>
      <c r="J11" s="21"/>
      <c r="K11" s="24"/>
      <c r="L11" s="24"/>
      <c r="M11" s="21"/>
      <c r="N11" s="24"/>
      <c r="O11" s="24"/>
      <c r="P11" s="25">
        <v>2500.0</v>
      </c>
      <c r="Q11" s="26">
        <f t="shared" si="1"/>
        <v>0</v>
      </c>
      <c r="R11" s="25" t="s">
        <v>28</v>
      </c>
      <c r="S11" s="3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8.0</v>
      </c>
      <c r="B12" s="17">
        <v>45604.0</v>
      </c>
      <c r="C12" s="18" t="s">
        <v>347</v>
      </c>
      <c r="D12" s="19">
        <v>81248.0</v>
      </c>
      <c r="E12" s="20" t="s">
        <v>348</v>
      </c>
      <c r="F12" s="24"/>
      <c r="G12" s="24"/>
      <c r="H12" s="24"/>
      <c r="I12" s="29">
        <v>1400.0</v>
      </c>
      <c r="J12" s="29"/>
      <c r="K12" s="24"/>
      <c r="L12" s="24"/>
      <c r="M12" s="21"/>
      <c r="N12" s="24"/>
      <c r="O12" s="24"/>
      <c r="P12" s="25">
        <v>1400.0</v>
      </c>
      <c r="Q12" s="26">
        <f t="shared" si="1"/>
        <v>0</v>
      </c>
      <c r="R12" s="25" t="s">
        <v>28</v>
      </c>
      <c r="S12" s="3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9.0</v>
      </c>
      <c r="B13" s="17">
        <v>45604.0</v>
      </c>
      <c r="C13" s="18" t="s">
        <v>349</v>
      </c>
      <c r="D13" s="19">
        <v>22978.0</v>
      </c>
      <c r="E13" s="20" t="s">
        <v>350</v>
      </c>
      <c r="F13" s="24"/>
      <c r="G13" s="24"/>
      <c r="H13" s="24"/>
      <c r="I13" s="29">
        <v>4600.0</v>
      </c>
      <c r="J13" s="21"/>
      <c r="K13" s="24"/>
      <c r="L13" s="24"/>
      <c r="M13" s="29"/>
      <c r="N13" s="24"/>
      <c r="O13" s="24"/>
      <c r="P13" s="25">
        <v>4600.0</v>
      </c>
      <c r="Q13" s="26">
        <f t="shared" si="1"/>
        <v>0</v>
      </c>
      <c r="R13" s="25" t="s">
        <v>28</v>
      </c>
      <c r="S13" s="3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16">
        <v>10.0</v>
      </c>
      <c r="B14" s="17">
        <v>45604.0</v>
      </c>
      <c r="C14" s="18" t="s">
        <v>351</v>
      </c>
      <c r="D14" s="19">
        <v>59103.0</v>
      </c>
      <c r="E14" s="20" t="s">
        <v>27</v>
      </c>
      <c r="F14" s="24"/>
      <c r="G14" s="24"/>
      <c r="H14" s="22"/>
      <c r="I14" s="29"/>
      <c r="J14" s="29"/>
      <c r="K14" s="22">
        <v>200.0</v>
      </c>
      <c r="L14" s="24"/>
      <c r="M14" s="21"/>
      <c r="N14" s="24"/>
      <c r="O14" s="24"/>
      <c r="P14" s="25">
        <v>200.0</v>
      </c>
      <c r="Q14" s="26">
        <f t="shared" si="1"/>
        <v>0</v>
      </c>
      <c r="R14" s="25" t="s">
        <v>28</v>
      </c>
      <c r="S14" s="30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>
        <v>11.0</v>
      </c>
      <c r="B15" s="17">
        <v>45604.0</v>
      </c>
      <c r="C15" s="18" t="s">
        <v>352</v>
      </c>
      <c r="D15" s="19">
        <v>51040.0</v>
      </c>
      <c r="E15" s="20" t="s">
        <v>353</v>
      </c>
      <c r="F15" s="24"/>
      <c r="G15" s="24"/>
      <c r="H15" s="24"/>
      <c r="I15" s="29">
        <v>15000.0</v>
      </c>
      <c r="J15" s="29"/>
      <c r="K15" s="24"/>
      <c r="L15" s="24"/>
      <c r="M15" s="29"/>
      <c r="N15" s="24"/>
      <c r="O15" s="24"/>
      <c r="P15" s="25">
        <v>15000.0</v>
      </c>
      <c r="Q15" s="26">
        <f t="shared" si="1"/>
        <v>0</v>
      </c>
      <c r="R15" s="25" t="s">
        <v>49</v>
      </c>
      <c r="S15" s="30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>
        <v>12.0</v>
      </c>
      <c r="B16" s="17">
        <v>45604.0</v>
      </c>
      <c r="C16" s="18" t="s">
        <v>354</v>
      </c>
      <c r="D16" s="19">
        <v>57426.0</v>
      </c>
      <c r="E16" s="20" t="s">
        <v>355</v>
      </c>
      <c r="F16" s="22"/>
      <c r="G16" s="24"/>
      <c r="H16" s="24"/>
      <c r="I16" s="29"/>
      <c r="J16" s="29">
        <v>6100.0</v>
      </c>
      <c r="K16" s="22"/>
      <c r="L16" s="24"/>
      <c r="M16" s="29"/>
      <c r="N16" s="24"/>
      <c r="O16" s="24"/>
      <c r="P16" s="25">
        <v>6100.0</v>
      </c>
      <c r="Q16" s="26">
        <f t="shared" si="1"/>
        <v>0</v>
      </c>
      <c r="R16" s="25" t="s">
        <v>49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16">
        <v>13.0</v>
      </c>
      <c r="B17" s="17">
        <v>45604.0</v>
      </c>
      <c r="C17" s="18" t="s">
        <v>356</v>
      </c>
      <c r="D17" s="19">
        <v>81248.0</v>
      </c>
      <c r="E17" s="20" t="s">
        <v>348</v>
      </c>
      <c r="F17" s="24"/>
      <c r="G17" s="24"/>
      <c r="H17" s="24"/>
      <c r="I17" s="29">
        <v>1400.0</v>
      </c>
      <c r="J17" s="21"/>
      <c r="K17" s="22"/>
      <c r="L17" s="24"/>
      <c r="M17" s="21"/>
      <c r="N17" s="24"/>
      <c r="O17" s="22"/>
      <c r="P17" s="25">
        <v>1400.0</v>
      </c>
      <c r="Q17" s="26">
        <f t="shared" si="1"/>
        <v>0</v>
      </c>
      <c r="R17" s="25" t="s">
        <v>25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16">
        <v>14.0</v>
      </c>
      <c r="B18" s="17">
        <v>45604.0</v>
      </c>
      <c r="C18" s="18" t="s">
        <v>357</v>
      </c>
      <c r="D18" s="19">
        <v>85016.0</v>
      </c>
      <c r="E18" s="20" t="s">
        <v>358</v>
      </c>
      <c r="F18" s="22">
        <v>4500.0</v>
      </c>
      <c r="G18" s="24"/>
      <c r="H18" s="24"/>
      <c r="I18" s="29"/>
      <c r="J18" s="21"/>
      <c r="K18" s="22"/>
      <c r="L18" s="24"/>
      <c r="M18" s="21"/>
      <c r="N18" s="24"/>
      <c r="O18" s="22"/>
      <c r="P18" s="25">
        <v>4500.0</v>
      </c>
      <c r="Q18" s="26">
        <f t="shared" si="1"/>
        <v>0</v>
      </c>
      <c r="R18" s="25" t="s">
        <v>25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16">
        <v>15.0</v>
      </c>
      <c r="B19" s="17">
        <v>45604.0</v>
      </c>
      <c r="C19" s="18" t="s">
        <v>359</v>
      </c>
      <c r="D19" s="19">
        <v>69620.0</v>
      </c>
      <c r="E19" s="20" t="s">
        <v>360</v>
      </c>
      <c r="F19" s="24"/>
      <c r="G19" s="22"/>
      <c r="H19" s="24"/>
      <c r="I19" s="29"/>
      <c r="J19" s="29">
        <v>1459.0</v>
      </c>
      <c r="K19" s="22">
        <v>1141.0</v>
      </c>
      <c r="L19" s="24"/>
      <c r="M19" s="21"/>
      <c r="N19" s="24"/>
      <c r="O19" s="22"/>
      <c r="P19" s="25">
        <v>2600.0</v>
      </c>
      <c r="Q19" s="26">
        <f t="shared" si="1"/>
        <v>0</v>
      </c>
      <c r="R19" s="25" t="s">
        <v>49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16">
        <v>16.0</v>
      </c>
      <c r="B20" s="17">
        <v>45604.0</v>
      </c>
      <c r="C20" s="18" t="s">
        <v>361</v>
      </c>
      <c r="D20" s="19">
        <v>37642.0</v>
      </c>
      <c r="E20" s="20" t="s">
        <v>261</v>
      </c>
      <c r="F20" s="24"/>
      <c r="G20" s="22">
        <v>7500.0</v>
      </c>
      <c r="H20" s="24"/>
      <c r="I20" s="29"/>
      <c r="J20" s="21"/>
      <c r="K20" s="22"/>
      <c r="L20" s="24"/>
      <c r="M20" s="21"/>
      <c r="N20" s="24"/>
      <c r="O20" s="22"/>
      <c r="P20" s="25">
        <v>7500.0</v>
      </c>
      <c r="Q20" s="26">
        <f t="shared" si="1"/>
        <v>0</v>
      </c>
      <c r="R20" s="25" t="s">
        <v>28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16">
        <v>17.0</v>
      </c>
      <c r="B21" s="17">
        <v>45604.0</v>
      </c>
      <c r="C21" s="18" t="s">
        <v>362</v>
      </c>
      <c r="D21" s="19">
        <v>37642.0</v>
      </c>
      <c r="E21" s="20" t="s">
        <v>261</v>
      </c>
      <c r="F21" s="22">
        <v>15.0</v>
      </c>
      <c r="G21" s="24"/>
      <c r="H21" s="24"/>
      <c r="I21" s="29"/>
      <c r="J21" s="21"/>
      <c r="K21" s="22"/>
      <c r="L21" s="24"/>
      <c r="M21" s="21"/>
      <c r="N21" s="24"/>
      <c r="O21" s="22"/>
      <c r="P21" s="25">
        <v>15.0</v>
      </c>
      <c r="Q21" s="26">
        <f t="shared" si="1"/>
        <v>0</v>
      </c>
      <c r="R21" s="25" t="s">
        <v>28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16">
        <v>18.0</v>
      </c>
      <c r="B22" s="17">
        <v>45603.0</v>
      </c>
      <c r="C22" s="18" t="s">
        <v>363</v>
      </c>
      <c r="D22" s="19">
        <v>21828.0</v>
      </c>
      <c r="E22" s="20" t="s">
        <v>112</v>
      </c>
      <c r="F22" s="24"/>
      <c r="G22" s="22"/>
      <c r="H22" s="22"/>
      <c r="I22" s="29"/>
      <c r="J22" s="21"/>
      <c r="K22" s="22">
        <v>2500.0</v>
      </c>
      <c r="L22" s="24"/>
      <c r="M22" s="21"/>
      <c r="N22" s="24"/>
      <c r="O22" s="22"/>
      <c r="P22" s="25">
        <v>2500.0</v>
      </c>
      <c r="Q22" s="26">
        <f t="shared" si="1"/>
        <v>0</v>
      </c>
      <c r="R22" s="25"/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16">
        <v>19.0</v>
      </c>
      <c r="B23" s="17">
        <v>45604.0</v>
      </c>
      <c r="C23" s="18" t="s">
        <v>364</v>
      </c>
      <c r="D23" s="19">
        <v>30895.0</v>
      </c>
      <c r="E23" s="20" t="s">
        <v>75</v>
      </c>
      <c r="F23" s="24"/>
      <c r="G23" s="22"/>
      <c r="H23" s="22">
        <v>10200.0</v>
      </c>
      <c r="I23" s="29"/>
      <c r="J23" s="21"/>
      <c r="K23" s="22"/>
      <c r="L23" s="24"/>
      <c r="M23" s="29"/>
      <c r="N23" s="24"/>
      <c r="O23" s="22"/>
      <c r="P23" s="25">
        <v>10200.0</v>
      </c>
      <c r="Q23" s="26">
        <f t="shared" si="1"/>
        <v>0</v>
      </c>
      <c r="R23" s="25"/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16">
        <v>20.0</v>
      </c>
      <c r="B24" s="17">
        <v>45604.0</v>
      </c>
      <c r="C24" s="18" t="s">
        <v>365</v>
      </c>
      <c r="D24" s="19">
        <v>48577.0</v>
      </c>
      <c r="E24" s="20" t="s">
        <v>366</v>
      </c>
      <c r="F24" s="24"/>
      <c r="G24" s="24"/>
      <c r="H24" s="24"/>
      <c r="I24" s="29"/>
      <c r="J24" s="21"/>
      <c r="K24" s="22">
        <v>110.0</v>
      </c>
      <c r="L24" s="24"/>
      <c r="M24" s="21"/>
      <c r="N24" s="24"/>
      <c r="O24" s="22">
        <v>1090.0</v>
      </c>
      <c r="P24" s="25">
        <v>1200.0</v>
      </c>
      <c r="Q24" s="26">
        <f t="shared" si="1"/>
        <v>0</v>
      </c>
      <c r="R24" s="25"/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16">
        <v>21.0</v>
      </c>
      <c r="B25" s="17">
        <v>45604.0</v>
      </c>
      <c r="C25" s="18" t="s">
        <v>367</v>
      </c>
      <c r="D25" s="19">
        <v>30909.0</v>
      </c>
      <c r="E25" s="20" t="s">
        <v>368</v>
      </c>
      <c r="F25" s="24"/>
      <c r="G25" s="24"/>
      <c r="H25" s="22">
        <v>8500.0</v>
      </c>
      <c r="I25" s="29"/>
      <c r="J25" s="21"/>
      <c r="K25" s="22"/>
      <c r="L25" s="24"/>
      <c r="M25" s="21"/>
      <c r="N25" s="24"/>
      <c r="O25" s="22"/>
      <c r="P25" s="25">
        <v>8500.0</v>
      </c>
      <c r="Q25" s="26">
        <f t="shared" si="1"/>
        <v>0</v>
      </c>
      <c r="R25" s="25"/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16">
        <v>22.0</v>
      </c>
      <c r="B26" s="17">
        <v>45604.0</v>
      </c>
      <c r="C26" s="18" t="s">
        <v>369</v>
      </c>
      <c r="D26" s="19">
        <v>43380.0</v>
      </c>
      <c r="E26" s="20" t="s">
        <v>176</v>
      </c>
      <c r="F26" s="24"/>
      <c r="G26" s="24"/>
      <c r="H26" s="22">
        <v>4600.0</v>
      </c>
      <c r="I26" s="29"/>
      <c r="J26" s="21"/>
      <c r="K26" s="22"/>
      <c r="L26" s="24"/>
      <c r="M26" s="21"/>
      <c r="N26" s="24"/>
      <c r="O26" s="22"/>
      <c r="P26" s="25">
        <v>4600.0</v>
      </c>
      <c r="Q26" s="26">
        <f t="shared" si="1"/>
        <v>0</v>
      </c>
      <c r="R26" s="25"/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16">
        <v>23.0</v>
      </c>
      <c r="B27" s="17">
        <v>45604.0</v>
      </c>
      <c r="C27" s="18" t="s">
        <v>370</v>
      </c>
      <c r="D27" s="19">
        <v>52215.0</v>
      </c>
      <c r="E27" s="20" t="s">
        <v>371</v>
      </c>
      <c r="F27" s="24"/>
      <c r="G27" s="24"/>
      <c r="H27" s="22">
        <v>9000.0</v>
      </c>
      <c r="I27" s="29"/>
      <c r="J27" s="21"/>
      <c r="K27" s="22"/>
      <c r="L27" s="24"/>
      <c r="M27" s="21"/>
      <c r="N27" s="24"/>
      <c r="O27" s="22"/>
      <c r="P27" s="25">
        <v>9000.0</v>
      </c>
      <c r="Q27" s="26">
        <f t="shared" si="1"/>
        <v>0</v>
      </c>
      <c r="R27" s="25"/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16">
        <v>24.0</v>
      </c>
      <c r="B28" s="17">
        <v>45604.0</v>
      </c>
      <c r="C28" s="18" t="s">
        <v>372</v>
      </c>
      <c r="D28" s="19">
        <v>27880.0</v>
      </c>
      <c r="E28" s="20" t="s">
        <v>373</v>
      </c>
      <c r="F28" s="24"/>
      <c r="G28" s="24"/>
      <c r="H28" s="22">
        <v>4500.0</v>
      </c>
      <c r="I28" s="29"/>
      <c r="J28" s="21"/>
      <c r="K28" s="22"/>
      <c r="L28" s="24"/>
      <c r="M28" s="21"/>
      <c r="N28" s="24"/>
      <c r="O28" s="22"/>
      <c r="P28" s="25">
        <v>4500.0</v>
      </c>
      <c r="Q28" s="26">
        <f t="shared" si="1"/>
        <v>0</v>
      </c>
      <c r="R28" s="25"/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16">
        <v>25.0</v>
      </c>
      <c r="B29" s="17">
        <v>45604.0</v>
      </c>
      <c r="C29" s="18" t="s">
        <v>374</v>
      </c>
      <c r="D29" s="19">
        <v>25542.0</v>
      </c>
      <c r="E29" s="20" t="s">
        <v>375</v>
      </c>
      <c r="F29" s="24"/>
      <c r="G29" s="24"/>
      <c r="H29" s="22">
        <v>6270.0</v>
      </c>
      <c r="I29" s="29"/>
      <c r="J29" s="21"/>
      <c r="K29" s="22"/>
      <c r="L29" s="24"/>
      <c r="M29" s="21"/>
      <c r="N29" s="24"/>
      <c r="O29" s="22"/>
      <c r="P29" s="25">
        <v>6270.0</v>
      </c>
      <c r="Q29" s="26">
        <f t="shared" si="1"/>
        <v>0</v>
      </c>
      <c r="R29" s="25"/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16">
        <v>26.0</v>
      </c>
      <c r="B30" s="17">
        <v>45604.0</v>
      </c>
      <c r="C30" s="18" t="s">
        <v>376</v>
      </c>
      <c r="D30" s="19">
        <v>57876.0</v>
      </c>
      <c r="E30" s="20" t="s">
        <v>377</v>
      </c>
      <c r="F30" s="24"/>
      <c r="G30" s="24"/>
      <c r="H30" s="22"/>
      <c r="I30" s="29"/>
      <c r="J30" s="21"/>
      <c r="K30" s="22"/>
      <c r="L30" s="24"/>
      <c r="M30" s="21"/>
      <c r="N30" s="24"/>
      <c r="O30" s="22">
        <v>2400.0</v>
      </c>
      <c r="P30" s="25">
        <v>2400.0</v>
      </c>
      <c r="Q30" s="26">
        <f t="shared" si="1"/>
        <v>0</v>
      </c>
      <c r="R30" s="25"/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16"/>
      <c r="B31" s="17"/>
      <c r="C31" s="18"/>
      <c r="D31" s="19"/>
      <c r="E31" s="20"/>
      <c r="F31" s="21"/>
      <c r="G31" s="24"/>
      <c r="H31" s="24"/>
      <c r="I31" s="29"/>
      <c r="J31" s="21"/>
      <c r="K31" s="37"/>
      <c r="L31" s="24"/>
      <c r="M31" s="24"/>
      <c r="N31" s="24"/>
      <c r="O31" s="22"/>
      <c r="P31" s="25"/>
      <c r="Q31" s="26">
        <f t="shared" si="1"/>
        <v>0</v>
      </c>
      <c r="R31" s="49"/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7.5" customHeight="1">
      <c r="A32" s="16"/>
      <c r="B32" s="50"/>
      <c r="C32" s="51"/>
      <c r="D32" s="52" t="s">
        <v>123</v>
      </c>
      <c r="E32" s="53"/>
      <c r="F32" s="54">
        <f t="shared" ref="F32:P32" si="2">SUM(F5:F31)</f>
        <v>4515</v>
      </c>
      <c r="G32" s="54">
        <f t="shared" si="2"/>
        <v>11870</v>
      </c>
      <c r="H32" s="54">
        <f t="shared" si="2"/>
        <v>43070</v>
      </c>
      <c r="I32" s="54">
        <f t="shared" si="2"/>
        <v>33740</v>
      </c>
      <c r="J32" s="54">
        <f t="shared" si="2"/>
        <v>17339</v>
      </c>
      <c r="K32" s="54">
        <f t="shared" si="2"/>
        <v>3951</v>
      </c>
      <c r="L32" s="54">
        <f t="shared" si="2"/>
        <v>0</v>
      </c>
      <c r="M32" s="54">
        <f t="shared" si="2"/>
        <v>600</v>
      </c>
      <c r="N32" s="54">
        <f t="shared" si="2"/>
        <v>0</v>
      </c>
      <c r="O32" s="54">
        <f t="shared" si="2"/>
        <v>3490</v>
      </c>
      <c r="P32" s="54">
        <f t="shared" si="2"/>
        <v>118575</v>
      </c>
      <c r="Q32" s="55">
        <v>0.0</v>
      </c>
      <c r="R32" s="56"/>
      <c r="S32" s="27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</row>
    <row r="33" ht="58.5" customHeight="1">
      <c r="A33" s="57"/>
      <c r="B33" s="57"/>
      <c r="C33" s="58"/>
      <c r="D33" s="57"/>
      <c r="E33" s="57"/>
      <c r="F33" s="59">
        <f>F32+G32+H32+I32+J32+K32+L32+M32+N32+O32</f>
        <v>118575</v>
      </c>
      <c r="P33" s="60"/>
      <c r="Q33" s="60"/>
      <c r="R33" s="57"/>
      <c r="S33" s="57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</row>
    <row r="34" ht="15.75" customHeight="1">
      <c r="A34" s="4"/>
      <c r="B34" s="4"/>
      <c r="C34" s="6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61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62" t="s">
        <v>123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61"/>
      <c r="D37" s="4"/>
      <c r="E37" s="63" t="s">
        <v>124</v>
      </c>
      <c r="F37" s="64" t="s">
        <v>378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61"/>
      <c r="D38" s="4"/>
      <c r="E38" s="65" t="s">
        <v>126</v>
      </c>
      <c r="F38" s="64" t="s">
        <v>127</v>
      </c>
      <c r="G38" s="4"/>
      <c r="H38" s="4"/>
      <c r="I38" s="4"/>
      <c r="J38" s="4"/>
      <c r="K38" s="4"/>
      <c r="L38" s="4"/>
      <c r="M38" s="4"/>
      <c r="N38" s="4"/>
      <c r="O38" s="66" t="s">
        <v>123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61"/>
      <c r="D39" s="4"/>
      <c r="E39" s="65" t="s">
        <v>128</v>
      </c>
      <c r="F39" s="64" t="s">
        <v>159</v>
      </c>
      <c r="G39" s="4"/>
      <c r="H39" s="4"/>
      <c r="I39" s="67" t="s">
        <v>250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61"/>
      <c r="D40" s="4"/>
      <c r="E40" s="65" t="s">
        <v>130</v>
      </c>
      <c r="F40" s="64" t="s">
        <v>127</v>
      </c>
      <c r="G40" s="4"/>
      <c r="H40" s="4"/>
      <c r="I40" s="4"/>
      <c r="J40" s="4"/>
      <c r="K40" s="67" t="s">
        <v>123</v>
      </c>
      <c r="L40" s="67" t="s">
        <v>123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61"/>
      <c r="D41" s="4"/>
      <c r="E41" s="65" t="s">
        <v>131</v>
      </c>
      <c r="F41" s="64" t="s">
        <v>378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61"/>
      <c r="D42" s="4"/>
      <c r="E42" s="65" t="s">
        <v>379</v>
      </c>
      <c r="F42" s="64" t="s">
        <v>378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61"/>
      <c r="D43" s="4"/>
      <c r="E43" s="65" t="s">
        <v>134</v>
      </c>
      <c r="F43" s="64" t="s">
        <v>162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61"/>
      <c r="D44" s="4"/>
      <c r="E44" s="65" t="s">
        <v>135</v>
      </c>
      <c r="F44" s="68" t="s">
        <v>125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66" t="s">
        <v>123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61"/>
      <c r="D45" s="4"/>
      <c r="E45" s="4"/>
      <c r="F45" s="4"/>
      <c r="G45" s="4"/>
      <c r="H45" s="4"/>
      <c r="I45" s="4"/>
      <c r="J45" s="4"/>
      <c r="K45" s="4" t="str">
        <f>I72432</f>
        <v/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6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6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6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6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6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6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1"/>
      <c r="D52" s="4"/>
      <c r="E52" s="4"/>
      <c r="F52" s="4"/>
      <c r="G52" s="4"/>
      <c r="H52" s="4"/>
      <c r="I52" s="66" t="s">
        <v>136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1"/>
      <c r="D67" s="4"/>
      <c r="E67" s="4"/>
      <c r="F67" s="4"/>
      <c r="G67" s="4"/>
      <c r="H67" s="4"/>
      <c r="I67" s="4"/>
      <c r="J67" s="4"/>
      <c r="K67" s="4"/>
      <c r="L67" s="4"/>
      <c r="M67" s="4">
        <v>7.0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17">
    <mergeCell ref="R2:R4"/>
    <mergeCell ref="S2:S4"/>
    <mergeCell ref="F3:F4"/>
    <mergeCell ref="G3:H3"/>
    <mergeCell ref="I3:J3"/>
    <mergeCell ref="K3:K4"/>
    <mergeCell ref="F33:O33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5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380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17">
        <v>45604.0</v>
      </c>
      <c r="C5" s="18" t="s">
        <v>381</v>
      </c>
      <c r="D5" s="19">
        <v>66770.0</v>
      </c>
      <c r="E5" s="20" t="s">
        <v>46</v>
      </c>
      <c r="F5" s="21"/>
      <c r="G5" s="22"/>
      <c r="H5" s="21"/>
      <c r="I5" s="37"/>
      <c r="J5" s="37">
        <v>2500.0</v>
      </c>
      <c r="K5" s="22"/>
      <c r="L5" s="24"/>
      <c r="M5" s="21"/>
      <c r="N5" s="24"/>
      <c r="O5" s="24"/>
      <c r="P5" s="25">
        <v>2500.0</v>
      </c>
      <c r="Q5" s="26">
        <f t="shared" ref="Q5:Q16" si="1">F5+G5+H5+I5+J5+K5+L5+M5+N5+O5-P5</f>
        <v>0</v>
      </c>
      <c r="R5" s="25" t="s">
        <v>38</v>
      </c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6.0" customHeight="1">
      <c r="A6" s="16">
        <v>2.0</v>
      </c>
      <c r="B6" s="17">
        <v>45605.0</v>
      </c>
      <c r="C6" s="18" t="s">
        <v>382</v>
      </c>
      <c r="D6" s="19">
        <v>58050.0</v>
      </c>
      <c r="E6" s="20" t="s">
        <v>383</v>
      </c>
      <c r="F6" s="21"/>
      <c r="G6" s="22"/>
      <c r="H6" s="24"/>
      <c r="I6" s="29"/>
      <c r="J6" s="22">
        <v>3050.0</v>
      </c>
      <c r="K6" s="22"/>
      <c r="L6" s="24"/>
      <c r="M6" s="29"/>
      <c r="N6" s="24"/>
      <c r="O6" s="24"/>
      <c r="P6" s="25">
        <v>3050.0</v>
      </c>
      <c r="Q6" s="26">
        <f t="shared" si="1"/>
        <v>0</v>
      </c>
      <c r="R6" s="25" t="s">
        <v>28</v>
      </c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>
        <v>3.0</v>
      </c>
      <c r="B7" s="17">
        <v>45605.0</v>
      </c>
      <c r="C7" s="18" t="s">
        <v>384</v>
      </c>
      <c r="D7" s="19">
        <v>36918.0</v>
      </c>
      <c r="E7" s="20" t="s">
        <v>67</v>
      </c>
      <c r="F7" s="24"/>
      <c r="G7" s="22"/>
      <c r="H7" s="21"/>
      <c r="I7" s="29">
        <v>10000.0</v>
      </c>
      <c r="J7" s="37"/>
      <c r="K7" s="24"/>
      <c r="L7" s="24"/>
      <c r="M7" s="22"/>
      <c r="N7" s="24"/>
      <c r="O7" s="24"/>
      <c r="P7" s="25">
        <v>10000.0</v>
      </c>
      <c r="Q7" s="26">
        <f t="shared" si="1"/>
        <v>0</v>
      </c>
      <c r="R7" s="25" t="s">
        <v>38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>
        <v>4.0</v>
      </c>
      <c r="B8" s="17">
        <v>45605.0</v>
      </c>
      <c r="C8" s="18" t="s">
        <v>385</v>
      </c>
      <c r="D8" s="19">
        <v>46927.0</v>
      </c>
      <c r="E8" s="20" t="s">
        <v>386</v>
      </c>
      <c r="F8" s="22"/>
      <c r="G8" s="22"/>
      <c r="H8" s="24"/>
      <c r="I8" s="29">
        <v>1550.0</v>
      </c>
      <c r="J8" s="29"/>
      <c r="K8" s="24"/>
      <c r="L8" s="24"/>
      <c r="M8" s="24"/>
      <c r="N8" s="24"/>
      <c r="O8" s="24"/>
      <c r="P8" s="25">
        <v>1550.0</v>
      </c>
      <c r="Q8" s="26">
        <f t="shared" si="1"/>
        <v>0</v>
      </c>
      <c r="R8" s="25" t="s">
        <v>28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>
        <v>5.0</v>
      </c>
      <c r="B9" s="17">
        <v>45605.0</v>
      </c>
      <c r="C9" s="18" t="s">
        <v>387</v>
      </c>
      <c r="D9" s="19">
        <v>74778.0</v>
      </c>
      <c r="E9" s="20" t="s">
        <v>171</v>
      </c>
      <c r="F9" s="22"/>
      <c r="G9" s="22"/>
      <c r="H9" s="24"/>
      <c r="I9" s="29">
        <v>1350.0</v>
      </c>
      <c r="J9" s="29"/>
      <c r="K9" s="24"/>
      <c r="L9" s="24"/>
      <c r="M9" s="29"/>
      <c r="N9" s="24"/>
      <c r="O9" s="24"/>
      <c r="P9" s="25">
        <v>1350.0</v>
      </c>
      <c r="Q9" s="26">
        <f t="shared" si="1"/>
        <v>0</v>
      </c>
      <c r="R9" s="25" t="s">
        <v>38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16">
        <v>8.0</v>
      </c>
      <c r="B10" s="17">
        <v>45605.0</v>
      </c>
      <c r="C10" s="18" t="s">
        <v>388</v>
      </c>
      <c r="D10" s="19">
        <v>50148.0</v>
      </c>
      <c r="E10" s="20" t="s">
        <v>275</v>
      </c>
      <c r="F10" s="24"/>
      <c r="G10" s="22">
        <v>5000.0</v>
      </c>
      <c r="H10" s="24"/>
      <c r="I10" s="29"/>
      <c r="J10" s="29"/>
      <c r="K10" s="24"/>
      <c r="L10" s="24"/>
      <c r="M10" s="21"/>
      <c r="N10" s="24"/>
      <c r="O10" s="24"/>
      <c r="P10" s="25">
        <v>5000.0</v>
      </c>
      <c r="Q10" s="26">
        <f t="shared" si="1"/>
        <v>0</v>
      </c>
      <c r="R10" s="25" t="s">
        <v>25</v>
      </c>
      <c r="S10" s="30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16">
        <v>9.0</v>
      </c>
      <c r="B11" s="17">
        <v>45605.0</v>
      </c>
      <c r="C11" s="18" t="s">
        <v>389</v>
      </c>
      <c r="D11" s="19">
        <v>58050.0</v>
      </c>
      <c r="E11" s="20" t="s">
        <v>383</v>
      </c>
      <c r="F11" s="24"/>
      <c r="G11" s="24"/>
      <c r="H11" s="24"/>
      <c r="I11" s="29"/>
      <c r="J11" s="21"/>
      <c r="K11" s="24"/>
      <c r="L11" s="24"/>
      <c r="M11" s="29"/>
      <c r="N11" s="24"/>
      <c r="O11" s="22">
        <v>14000.0</v>
      </c>
      <c r="P11" s="25">
        <v>14000.0</v>
      </c>
      <c r="Q11" s="26">
        <f t="shared" si="1"/>
        <v>0</v>
      </c>
      <c r="R11" s="25"/>
      <c r="S11" s="30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16">
        <v>10.0</v>
      </c>
      <c r="B12" s="17">
        <v>45605.0</v>
      </c>
      <c r="C12" s="18" t="s">
        <v>390</v>
      </c>
      <c r="D12" s="19">
        <v>36555.0</v>
      </c>
      <c r="E12" s="20" t="s">
        <v>106</v>
      </c>
      <c r="F12" s="24"/>
      <c r="G12" s="24"/>
      <c r="H12" s="22">
        <v>5000.0</v>
      </c>
      <c r="I12" s="29"/>
      <c r="J12" s="29"/>
      <c r="K12" s="22"/>
      <c r="L12" s="24"/>
      <c r="M12" s="21"/>
      <c r="N12" s="24"/>
      <c r="O12" s="24"/>
      <c r="P12" s="25">
        <v>5000.0</v>
      </c>
      <c r="Q12" s="26">
        <f t="shared" si="1"/>
        <v>0</v>
      </c>
      <c r="R12" s="25"/>
      <c r="S12" s="30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16">
        <v>11.0</v>
      </c>
      <c r="B13" s="17">
        <v>45605.0</v>
      </c>
      <c r="C13" s="18" t="s">
        <v>391</v>
      </c>
      <c r="D13" s="19">
        <v>46927.0</v>
      </c>
      <c r="E13" s="20" t="s">
        <v>386</v>
      </c>
      <c r="F13" s="24"/>
      <c r="G13" s="24"/>
      <c r="H13" s="24"/>
      <c r="I13" s="29"/>
      <c r="J13" s="29"/>
      <c r="K13" s="24"/>
      <c r="L13" s="24"/>
      <c r="M13" s="29"/>
      <c r="N13" s="24"/>
      <c r="O13" s="22">
        <v>500.0</v>
      </c>
      <c r="P13" s="25">
        <v>500.0</v>
      </c>
      <c r="Q13" s="26">
        <f t="shared" si="1"/>
        <v>0</v>
      </c>
      <c r="R13" s="25"/>
      <c r="S13" s="30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16">
        <v>12.0</v>
      </c>
      <c r="B14" s="17">
        <v>45605.0</v>
      </c>
      <c r="C14" s="18" t="s">
        <v>392</v>
      </c>
      <c r="D14" s="19">
        <v>50148.0</v>
      </c>
      <c r="E14" s="20" t="s">
        <v>275</v>
      </c>
      <c r="F14" s="22"/>
      <c r="G14" s="24"/>
      <c r="H14" s="22">
        <v>40950.0</v>
      </c>
      <c r="I14" s="29"/>
      <c r="J14" s="29"/>
      <c r="K14" s="22"/>
      <c r="L14" s="24"/>
      <c r="M14" s="29"/>
      <c r="N14" s="24"/>
      <c r="O14" s="24"/>
      <c r="P14" s="25">
        <v>40950.0</v>
      </c>
      <c r="Q14" s="26">
        <f t="shared" si="1"/>
        <v>0</v>
      </c>
      <c r="R14" s="25"/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16"/>
      <c r="B15" s="17"/>
      <c r="C15" s="18"/>
      <c r="D15" s="19"/>
      <c r="E15" s="20"/>
      <c r="F15" s="24"/>
      <c r="G15" s="24"/>
      <c r="H15" s="24"/>
      <c r="I15" s="29"/>
      <c r="J15" s="21"/>
      <c r="K15" s="22"/>
      <c r="L15" s="24"/>
      <c r="M15" s="21"/>
      <c r="N15" s="24"/>
      <c r="O15" s="22"/>
      <c r="P15" s="25"/>
      <c r="Q15" s="26">
        <f t="shared" si="1"/>
        <v>0</v>
      </c>
      <c r="R15" s="25"/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16"/>
      <c r="B16" s="17"/>
      <c r="C16" s="18"/>
      <c r="D16" s="19"/>
      <c r="E16" s="20"/>
      <c r="F16" s="21"/>
      <c r="G16" s="24"/>
      <c r="H16" s="24"/>
      <c r="I16" s="29"/>
      <c r="J16" s="21"/>
      <c r="K16" s="37"/>
      <c r="L16" s="24"/>
      <c r="M16" s="24"/>
      <c r="N16" s="24"/>
      <c r="O16" s="22"/>
      <c r="P16" s="25"/>
      <c r="Q16" s="26">
        <f t="shared" si="1"/>
        <v>0</v>
      </c>
      <c r="R16" s="49"/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7.5" customHeight="1">
      <c r="A17" s="16"/>
      <c r="B17" s="50"/>
      <c r="C17" s="51"/>
      <c r="D17" s="52" t="s">
        <v>123</v>
      </c>
      <c r="E17" s="53"/>
      <c r="F17" s="54">
        <f t="shared" ref="F17:P17" si="2">SUM(F5:F16)</f>
        <v>0</v>
      </c>
      <c r="G17" s="54">
        <f t="shared" si="2"/>
        <v>5000</v>
      </c>
      <c r="H17" s="54">
        <f t="shared" si="2"/>
        <v>45950</v>
      </c>
      <c r="I17" s="54">
        <f t="shared" si="2"/>
        <v>12900</v>
      </c>
      <c r="J17" s="54">
        <f t="shared" si="2"/>
        <v>5550</v>
      </c>
      <c r="K17" s="54">
        <f t="shared" si="2"/>
        <v>0</v>
      </c>
      <c r="L17" s="54">
        <f t="shared" si="2"/>
        <v>0</v>
      </c>
      <c r="M17" s="54">
        <f t="shared" si="2"/>
        <v>0</v>
      </c>
      <c r="N17" s="54">
        <f t="shared" si="2"/>
        <v>0</v>
      </c>
      <c r="O17" s="54">
        <f t="shared" si="2"/>
        <v>14500</v>
      </c>
      <c r="P17" s="54">
        <f t="shared" si="2"/>
        <v>83900</v>
      </c>
      <c r="Q17" s="55">
        <v>0.0</v>
      </c>
      <c r="R17" s="56"/>
      <c r="S17" s="27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</row>
    <row r="18" ht="58.5" customHeight="1">
      <c r="A18" s="57"/>
      <c r="B18" s="57"/>
      <c r="C18" s="58"/>
      <c r="D18" s="57"/>
      <c r="E18" s="57"/>
      <c r="F18" s="59">
        <f>F17+G17+H17+I17+J17+K17+L17+M17+N17+O17</f>
        <v>83900</v>
      </c>
      <c r="P18" s="60"/>
      <c r="Q18" s="60"/>
      <c r="R18" s="57"/>
      <c r="S18" s="57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</row>
    <row r="19" ht="15.75" customHeight="1">
      <c r="A19" s="4"/>
      <c r="B19" s="4"/>
      <c r="C19" s="61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26.25" customHeight="1">
      <c r="A20" s="4"/>
      <c r="B20" s="4"/>
      <c r="C20" s="61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26.25" customHeight="1">
      <c r="A21" s="4"/>
      <c r="B21" s="4"/>
      <c r="C21" s="62" t="s">
        <v>123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26.25" customHeight="1">
      <c r="A22" s="4"/>
      <c r="B22" s="4"/>
      <c r="C22" s="61"/>
      <c r="D22" s="4"/>
      <c r="E22" s="63" t="s">
        <v>124</v>
      </c>
      <c r="F22" s="64" t="s">
        <v>125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26.25" customHeight="1">
      <c r="A23" s="4"/>
      <c r="B23" s="4"/>
      <c r="C23" s="61"/>
      <c r="D23" s="4"/>
      <c r="E23" s="65" t="s">
        <v>126</v>
      </c>
      <c r="F23" s="64" t="s">
        <v>127</v>
      </c>
      <c r="G23" s="4"/>
      <c r="H23" s="4"/>
      <c r="I23" s="4"/>
      <c r="J23" s="4"/>
      <c r="K23" s="4"/>
      <c r="L23" s="4"/>
      <c r="M23" s="4"/>
      <c r="N23" s="4"/>
      <c r="O23" s="66" t="s">
        <v>123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26.25" customHeight="1">
      <c r="A24" s="4"/>
      <c r="B24" s="4"/>
      <c r="C24" s="61"/>
      <c r="D24" s="4"/>
      <c r="E24" s="65" t="s">
        <v>128</v>
      </c>
      <c r="F24" s="64" t="s">
        <v>159</v>
      </c>
      <c r="G24" s="4"/>
      <c r="H24" s="4"/>
      <c r="I24" s="67" t="s">
        <v>250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26.25" customHeight="1">
      <c r="A25" s="4"/>
      <c r="B25" s="4"/>
      <c r="C25" s="61"/>
      <c r="D25" s="4"/>
      <c r="E25" s="65" t="s">
        <v>130</v>
      </c>
      <c r="F25" s="64" t="s">
        <v>127</v>
      </c>
      <c r="G25" s="4"/>
      <c r="H25" s="4"/>
      <c r="I25" s="4"/>
      <c r="J25" s="4"/>
      <c r="K25" s="67" t="s">
        <v>123</v>
      </c>
      <c r="L25" s="67" t="s">
        <v>123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26.25" customHeight="1">
      <c r="A26" s="4"/>
      <c r="B26" s="4"/>
      <c r="C26" s="61"/>
      <c r="D26" s="4"/>
      <c r="E26" s="65" t="s">
        <v>131</v>
      </c>
      <c r="F26" s="64" t="s">
        <v>378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26.25" customHeight="1">
      <c r="A27" s="4"/>
      <c r="B27" s="4"/>
      <c r="C27" s="61"/>
      <c r="D27" s="4"/>
      <c r="E27" s="65" t="s">
        <v>393</v>
      </c>
      <c r="F27" s="64" t="s">
        <v>378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26.25" customHeight="1">
      <c r="A28" s="4"/>
      <c r="B28" s="4"/>
      <c r="C28" s="61"/>
      <c r="D28" s="4"/>
      <c r="E28" s="65" t="s">
        <v>134</v>
      </c>
      <c r="F28" s="64" t="s">
        <v>162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26.25" customHeight="1">
      <c r="A29" s="4"/>
      <c r="B29" s="4"/>
      <c r="C29" s="61"/>
      <c r="D29" s="4"/>
      <c r="E29" s="65" t="s">
        <v>135</v>
      </c>
      <c r="F29" s="68" t="s">
        <v>125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66" t="s">
        <v>123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26.25" customHeight="1">
      <c r="A30" s="4"/>
      <c r="B30" s="4"/>
      <c r="C30" s="61"/>
      <c r="D30" s="4"/>
      <c r="E30" s="4"/>
      <c r="F30" s="4"/>
      <c r="G30" s="4"/>
      <c r="H30" s="4"/>
      <c r="I30" s="4"/>
      <c r="J30" s="4"/>
      <c r="K30" s="4" t="str">
        <f>I72417</f>
        <v/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26.25" customHeight="1">
      <c r="A31" s="4"/>
      <c r="B31" s="4"/>
      <c r="C31" s="6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15.75" customHeight="1">
      <c r="A32" s="4"/>
      <c r="B32" s="4"/>
      <c r="C32" s="61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15.75" customHeight="1">
      <c r="A33" s="4"/>
      <c r="B33" s="4"/>
      <c r="C33" s="61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15.75" customHeight="1">
      <c r="A34" s="4"/>
      <c r="B34" s="4"/>
      <c r="C34" s="6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15.75" customHeight="1">
      <c r="A35" s="4"/>
      <c r="B35" s="4"/>
      <c r="C35" s="61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15.75" customHeight="1">
      <c r="A36" s="4"/>
      <c r="B36" s="4"/>
      <c r="C36" s="6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15.75" customHeight="1">
      <c r="A37" s="4"/>
      <c r="B37" s="4"/>
      <c r="C37" s="61"/>
      <c r="D37" s="4"/>
      <c r="E37" s="4"/>
      <c r="F37" s="4"/>
      <c r="G37" s="4"/>
      <c r="H37" s="4"/>
      <c r="I37" s="66" t="s">
        <v>136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15.75" customHeight="1">
      <c r="A38" s="4"/>
      <c r="B38" s="4"/>
      <c r="C38" s="61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5.75" customHeight="1">
      <c r="A39" s="4"/>
      <c r="B39" s="4"/>
      <c r="C39" s="61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5.75" customHeight="1">
      <c r="A40" s="4"/>
      <c r="B40" s="4"/>
      <c r="C40" s="61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6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6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6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6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6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6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6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6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6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6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6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1"/>
      <c r="D52" s="4"/>
      <c r="E52" s="4"/>
      <c r="F52" s="4"/>
      <c r="G52" s="4"/>
      <c r="H52" s="4"/>
      <c r="I52" s="4"/>
      <c r="J52" s="4"/>
      <c r="K52" s="4"/>
      <c r="L52" s="4"/>
      <c r="M52" s="4">
        <v>7.0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</sheetData>
  <mergeCells count="17">
    <mergeCell ref="R2:R4"/>
    <mergeCell ref="S2:S4"/>
    <mergeCell ref="F3:F4"/>
    <mergeCell ref="G3:H3"/>
    <mergeCell ref="I3:J3"/>
    <mergeCell ref="K3:K4"/>
    <mergeCell ref="F18:O18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0.13"/>
    <col customWidth="1" min="2" max="2" width="17.0"/>
    <col customWidth="1" min="3" max="3" width="33.75"/>
    <col customWidth="1" min="4" max="4" width="10.75"/>
    <col customWidth="1" min="5" max="5" width="55.25"/>
    <col customWidth="1" min="6" max="7" width="18.0"/>
    <col customWidth="1" min="8" max="8" width="10.38"/>
    <col customWidth="1" min="9" max="9" width="21.5"/>
    <col customWidth="1" min="10" max="10" width="7.13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394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16">
        <v>1.0</v>
      </c>
      <c r="B5" s="73">
        <v>45605.0</v>
      </c>
      <c r="C5" s="74" t="s">
        <v>395</v>
      </c>
      <c r="D5" s="75">
        <v>10250.0</v>
      </c>
      <c r="E5" s="76" t="s">
        <v>245</v>
      </c>
      <c r="F5" s="21"/>
      <c r="G5" s="22"/>
      <c r="H5" s="21"/>
      <c r="I5" s="37"/>
      <c r="J5" s="37"/>
      <c r="K5" s="22"/>
      <c r="L5" s="24"/>
      <c r="M5" s="29">
        <v>10250.0</v>
      </c>
      <c r="N5" s="24"/>
      <c r="O5" s="24"/>
      <c r="P5" s="25">
        <v>10250.0</v>
      </c>
      <c r="Q5" s="26">
        <f t="shared" ref="Q5:Q9" si="1">F5+G5+H5+I5+J5+K5+L5+M5+N5+O5-P5</f>
        <v>0</v>
      </c>
      <c r="R5" s="25"/>
      <c r="S5" s="27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6.0" customHeight="1">
      <c r="A6" s="16">
        <v>2.0</v>
      </c>
      <c r="B6" s="73">
        <v>45605.0</v>
      </c>
      <c r="C6" s="74" t="s">
        <v>396</v>
      </c>
      <c r="D6" s="75">
        <v>10250.0</v>
      </c>
      <c r="E6" s="76" t="s">
        <v>245</v>
      </c>
      <c r="F6" s="21"/>
      <c r="G6" s="29">
        <v>23016.0</v>
      </c>
      <c r="H6" s="24"/>
      <c r="I6" s="29"/>
      <c r="J6" s="24"/>
      <c r="K6" s="22"/>
      <c r="L6" s="24"/>
      <c r="M6" s="29"/>
      <c r="N6" s="24"/>
      <c r="O6" s="24"/>
      <c r="P6" s="25">
        <v>23016.0</v>
      </c>
      <c r="Q6" s="26">
        <f t="shared" si="1"/>
        <v>0</v>
      </c>
      <c r="R6" s="25"/>
      <c r="S6" s="27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16"/>
      <c r="B7" s="77"/>
      <c r="C7" s="78"/>
      <c r="D7" s="79"/>
      <c r="E7" s="80"/>
      <c r="F7" s="24"/>
      <c r="G7" s="22"/>
      <c r="H7" s="21"/>
      <c r="I7" s="29"/>
      <c r="J7" s="37"/>
      <c r="K7" s="24"/>
      <c r="L7" s="24"/>
      <c r="M7" s="22"/>
      <c r="N7" s="24"/>
      <c r="O7" s="24"/>
      <c r="P7" s="25"/>
      <c r="Q7" s="26">
        <f t="shared" si="1"/>
        <v>0</v>
      </c>
      <c r="R7" s="25"/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16"/>
      <c r="B8" s="17"/>
      <c r="C8" s="18"/>
      <c r="D8" s="19"/>
      <c r="E8" s="20"/>
      <c r="F8" s="22"/>
      <c r="G8" s="22"/>
      <c r="H8" s="24"/>
      <c r="I8" s="29"/>
      <c r="J8" s="29"/>
      <c r="K8" s="24"/>
      <c r="L8" s="24"/>
      <c r="M8" s="24"/>
      <c r="N8" s="24"/>
      <c r="O8" s="24"/>
      <c r="P8" s="25"/>
      <c r="Q8" s="26">
        <f t="shared" si="1"/>
        <v>0</v>
      </c>
      <c r="R8" s="25"/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16"/>
      <c r="B9" s="17"/>
      <c r="C9" s="18"/>
      <c r="D9" s="19"/>
      <c r="E9" s="20"/>
      <c r="F9" s="21"/>
      <c r="G9" s="24"/>
      <c r="H9" s="24"/>
      <c r="I9" s="29"/>
      <c r="J9" s="21"/>
      <c r="K9" s="37"/>
      <c r="L9" s="24"/>
      <c r="M9" s="24"/>
      <c r="N9" s="24"/>
      <c r="O9" s="22"/>
      <c r="P9" s="25"/>
      <c r="Q9" s="26">
        <f t="shared" si="1"/>
        <v>0</v>
      </c>
      <c r="R9" s="49"/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7.5" customHeight="1">
      <c r="A10" s="16"/>
      <c r="B10" s="50"/>
      <c r="C10" s="51"/>
      <c r="D10" s="52" t="s">
        <v>123</v>
      </c>
      <c r="E10" s="53"/>
      <c r="F10" s="54">
        <f t="shared" ref="F10:P10" si="2">SUM(F5:F9)</f>
        <v>0</v>
      </c>
      <c r="G10" s="54">
        <f t="shared" si="2"/>
        <v>23016</v>
      </c>
      <c r="H10" s="54">
        <f t="shared" si="2"/>
        <v>0</v>
      </c>
      <c r="I10" s="54">
        <f t="shared" si="2"/>
        <v>0</v>
      </c>
      <c r="J10" s="54">
        <f t="shared" si="2"/>
        <v>0</v>
      </c>
      <c r="K10" s="54">
        <f t="shared" si="2"/>
        <v>0</v>
      </c>
      <c r="L10" s="54">
        <f t="shared" si="2"/>
        <v>0</v>
      </c>
      <c r="M10" s="54">
        <f t="shared" si="2"/>
        <v>10250</v>
      </c>
      <c r="N10" s="54">
        <f t="shared" si="2"/>
        <v>0</v>
      </c>
      <c r="O10" s="54">
        <f t="shared" si="2"/>
        <v>0</v>
      </c>
      <c r="P10" s="54">
        <f t="shared" si="2"/>
        <v>33266</v>
      </c>
      <c r="Q10" s="55">
        <v>0.0</v>
      </c>
      <c r="R10" s="56"/>
      <c r="S10" s="27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</row>
    <row r="11" ht="58.5" customHeight="1">
      <c r="A11" s="57"/>
      <c r="B11" s="57"/>
      <c r="C11" s="58"/>
      <c r="D11" s="57"/>
      <c r="E11" s="57"/>
      <c r="F11" s="59">
        <f>F10+G10+H10+I10+J10+K10+L10+M10+N10+O10</f>
        <v>33266</v>
      </c>
      <c r="P11" s="60"/>
      <c r="Q11" s="60"/>
      <c r="R11" s="57"/>
      <c r="S11" s="57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</row>
    <row r="12" ht="15.75" customHeight="1">
      <c r="A12" s="4"/>
      <c r="B12" s="4"/>
      <c r="C12" s="6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26.25" customHeight="1">
      <c r="A13" s="4"/>
      <c r="B13" s="4"/>
      <c r="C13" s="6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26.25" customHeight="1">
      <c r="A14" s="4"/>
      <c r="B14" s="4"/>
      <c r="C14" s="62" t="s">
        <v>123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26.25" customHeight="1">
      <c r="A15" s="4"/>
      <c r="B15" s="4"/>
      <c r="C15" s="61"/>
      <c r="D15" s="4"/>
      <c r="E15" s="72" t="s">
        <v>397</v>
      </c>
      <c r="F15" s="64" t="s">
        <v>278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26.25" customHeight="1">
      <c r="A16" s="4"/>
      <c r="B16" s="4"/>
      <c r="C16" s="61"/>
      <c r="D16" s="4"/>
      <c r="E16" s="81" t="s">
        <v>398</v>
      </c>
      <c r="F16" s="64" t="s">
        <v>129</v>
      </c>
      <c r="G16" s="4"/>
      <c r="H16" s="4"/>
      <c r="I16" s="4"/>
      <c r="J16" s="4"/>
      <c r="K16" s="4"/>
      <c r="L16" s="4"/>
      <c r="M16" s="4"/>
      <c r="N16" s="4"/>
      <c r="O16" s="66" t="s">
        <v>123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26.25" customHeight="1">
      <c r="A17" s="4"/>
      <c r="B17" s="4"/>
      <c r="C17" s="61"/>
      <c r="D17" s="4"/>
      <c r="E17" s="81" t="s">
        <v>399</v>
      </c>
      <c r="F17" s="64" t="s">
        <v>278</v>
      </c>
      <c r="G17" s="4"/>
      <c r="H17" s="4"/>
      <c r="I17" s="67" t="s">
        <v>250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26.25" customHeight="1">
      <c r="A18" s="4"/>
      <c r="B18" s="4"/>
      <c r="C18" s="61"/>
      <c r="D18" s="4"/>
      <c r="E18" s="81" t="s">
        <v>400</v>
      </c>
      <c r="F18" s="64" t="s">
        <v>129</v>
      </c>
      <c r="G18" s="4"/>
      <c r="H18" s="4"/>
      <c r="I18" s="4"/>
      <c r="J18" s="4"/>
      <c r="K18" s="67" t="s">
        <v>123</v>
      </c>
      <c r="L18" s="67" t="s">
        <v>123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26.25" customHeight="1">
      <c r="A19" s="4"/>
      <c r="B19" s="4"/>
      <c r="C19" s="61"/>
      <c r="D19" s="4"/>
      <c r="E19" s="81" t="s">
        <v>401</v>
      </c>
      <c r="F19" s="64" t="s">
        <v>129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26.25" customHeight="1">
      <c r="A20" s="4"/>
      <c r="B20" s="4"/>
      <c r="C20" s="61"/>
      <c r="D20" s="4"/>
      <c r="E20" s="65" t="s">
        <v>402</v>
      </c>
      <c r="F20" s="64" t="s">
        <v>129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26.25" customHeight="1">
      <c r="A21" s="4"/>
      <c r="B21" s="4"/>
      <c r="C21" s="61"/>
      <c r="D21" s="4"/>
      <c r="E21" s="81" t="s">
        <v>403</v>
      </c>
      <c r="F21" s="64" t="s">
        <v>129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26.25" customHeight="1">
      <c r="A22" s="4"/>
      <c r="B22" s="4"/>
      <c r="C22" s="61"/>
      <c r="D22" s="4"/>
      <c r="E22" s="81" t="s">
        <v>404</v>
      </c>
      <c r="F22" s="64" t="s">
        <v>278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66" t="s">
        <v>123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26.25" customHeight="1">
      <c r="A23" s="4"/>
      <c r="B23" s="4"/>
      <c r="C23" s="61"/>
      <c r="D23" s="4"/>
      <c r="E23" s="4"/>
      <c r="F23" s="4"/>
      <c r="G23" s="4"/>
      <c r="H23" s="4"/>
      <c r="I23" s="4"/>
      <c r="J23" s="4"/>
      <c r="K23" s="4" t="str">
        <f>I72410</f>
        <v/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26.25" customHeight="1">
      <c r="A24" s="4"/>
      <c r="B24" s="4"/>
      <c r="C24" s="61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15.75" customHeight="1">
      <c r="A25" s="4"/>
      <c r="B25" s="4"/>
      <c r="C25" s="61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15.75" customHeight="1">
      <c r="A26" s="4"/>
      <c r="B26" s="4"/>
      <c r="C26" s="61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15.75" customHeight="1">
      <c r="A27" s="4"/>
      <c r="B27" s="4"/>
      <c r="C27" s="61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15.75" customHeight="1">
      <c r="A28" s="4"/>
      <c r="B28" s="4"/>
      <c r="C28" s="6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15.75" customHeight="1">
      <c r="A29" s="4"/>
      <c r="B29" s="4"/>
      <c r="C29" s="61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15.75" customHeight="1">
      <c r="A30" s="4"/>
      <c r="B30" s="4"/>
      <c r="C30" s="61"/>
      <c r="D30" s="4"/>
      <c r="E30" s="4"/>
      <c r="F30" s="4"/>
      <c r="G30" s="4"/>
      <c r="H30" s="4"/>
      <c r="I30" s="66" t="s">
        <v>136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15.75" customHeight="1">
      <c r="A31" s="4"/>
      <c r="B31" s="4"/>
      <c r="C31" s="6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15.75" customHeight="1">
      <c r="A32" s="4"/>
      <c r="B32" s="4"/>
      <c r="C32" s="61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15.75" customHeight="1">
      <c r="A33" s="4"/>
      <c r="B33" s="4"/>
      <c r="C33" s="61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15.75" customHeight="1">
      <c r="A34" s="4"/>
      <c r="B34" s="4"/>
      <c r="C34" s="6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15.75" customHeight="1">
      <c r="A35" s="4"/>
      <c r="B35" s="4"/>
      <c r="C35" s="61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15.75" customHeight="1">
      <c r="A36" s="4"/>
      <c r="B36" s="4"/>
      <c r="C36" s="6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15.75" customHeight="1">
      <c r="A37" s="4"/>
      <c r="B37" s="4"/>
      <c r="C37" s="6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15.75" customHeight="1">
      <c r="A38" s="4"/>
      <c r="B38" s="4"/>
      <c r="C38" s="61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5.75" customHeight="1">
      <c r="A39" s="4"/>
      <c r="B39" s="4"/>
      <c r="C39" s="61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5.75" customHeight="1">
      <c r="A40" s="4"/>
      <c r="B40" s="4"/>
      <c r="C40" s="61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6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6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6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6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61"/>
      <c r="D45" s="4"/>
      <c r="E45" s="4"/>
      <c r="F45" s="4"/>
      <c r="G45" s="4"/>
      <c r="H45" s="4"/>
      <c r="I45" s="4"/>
      <c r="J45" s="4"/>
      <c r="K45" s="4"/>
      <c r="L45" s="4"/>
      <c r="M45" s="4">
        <v>7.0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6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6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6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6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6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6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</sheetData>
  <mergeCells count="17">
    <mergeCell ref="R2:R4"/>
    <mergeCell ref="S2:S4"/>
    <mergeCell ref="F3:F4"/>
    <mergeCell ref="G3:H3"/>
    <mergeCell ref="I3:J3"/>
    <mergeCell ref="K3:K4"/>
    <mergeCell ref="F11:O11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5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405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71">
        <v>1.0</v>
      </c>
      <c r="B5" s="17">
        <v>45605.0</v>
      </c>
      <c r="C5" s="18" t="s">
        <v>406</v>
      </c>
      <c r="D5" s="19">
        <v>38098.0</v>
      </c>
      <c r="E5" s="20" t="s">
        <v>407</v>
      </c>
      <c r="F5" s="24"/>
      <c r="G5" s="24"/>
      <c r="H5" s="22"/>
      <c r="I5" s="29"/>
      <c r="J5" s="29"/>
      <c r="K5" s="22"/>
      <c r="L5" s="24"/>
      <c r="M5" s="29">
        <v>290.0</v>
      </c>
      <c r="N5" s="24"/>
      <c r="O5" s="24"/>
      <c r="P5" s="25">
        <v>290.0</v>
      </c>
      <c r="Q5" s="26">
        <f t="shared" ref="Q5:Q21" si="1">F5+G5+H5+I5+J5+K5+L5+M5+N5+O5-P5</f>
        <v>0</v>
      </c>
      <c r="R5" s="25" t="s">
        <v>35</v>
      </c>
      <c r="S5" s="30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71">
        <v>2.0</v>
      </c>
      <c r="B6" s="17">
        <v>45606.0</v>
      </c>
      <c r="C6" s="18" t="s">
        <v>408</v>
      </c>
      <c r="D6" s="19">
        <v>69620.0</v>
      </c>
      <c r="E6" s="20" t="s">
        <v>360</v>
      </c>
      <c r="F6" s="24"/>
      <c r="G6" s="24"/>
      <c r="H6" s="24"/>
      <c r="I6" s="29"/>
      <c r="J6" s="29">
        <v>5100.0</v>
      </c>
      <c r="K6" s="24"/>
      <c r="L6" s="24"/>
      <c r="M6" s="29"/>
      <c r="N6" s="24"/>
      <c r="O6" s="22"/>
      <c r="P6" s="25">
        <v>5100.0</v>
      </c>
      <c r="Q6" s="26">
        <f t="shared" si="1"/>
        <v>0</v>
      </c>
      <c r="R6" s="25" t="s">
        <v>28</v>
      </c>
      <c r="S6" s="30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71">
        <v>3.0</v>
      </c>
      <c r="B7" s="17">
        <v>45606.0</v>
      </c>
      <c r="C7" s="18" t="s">
        <v>409</v>
      </c>
      <c r="D7" s="19">
        <v>10250.0</v>
      </c>
      <c r="E7" s="20" t="s">
        <v>245</v>
      </c>
      <c r="F7" s="22"/>
      <c r="G7" s="24"/>
      <c r="H7" s="22"/>
      <c r="I7" s="29"/>
      <c r="J7" s="29">
        <v>0.0</v>
      </c>
      <c r="K7" s="22"/>
      <c r="L7" s="24"/>
      <c r="M7" s="29"/>
      <c r="N7" s="24"/>
      <c r="O7" s="24"/>
      <c r="P7" s="25">
        <v>24516.0</v>
      </c>
      <c r="Q7" s="26">
        <f t="shared" si="1"/>
        <v>-24516</v>
      </c>
      <c r="R7" s="25" t="s">
        <v>35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71">
        <v>4.0</v>
      </c>
      <c r="B8" s="17">
        <v>45606.0</v>
      </c>
      <c r="C8" s="18" t="s">
        <v>410</v>
      </c>
      <c r="D8" s="19">
        <v>55409.0</v>
      </c>
      <c r="E8" s="20" t="s">
        <v>411</v>
      </c>
      <c r="F8" s="22"/>
      <c r="G8" s="24"/>
      <c r="H8" s="22"/>
      <c r="I8" s="29">
        <v>5100.0</v>
      </c>
      <c r="J8" s="29"/>
      <c r="K8" s="22"/>
      <c r="L8" s="24"/>
      <c r="M8" s="29"/>
      <c r="N8" s="24"/>
      <c r="O8" s="24"/>
      <c r="P8" s="25">
        <v>5100.0</v>
      </c>
      <c r="Q8" s="26">
        <f t="shared" si="1"/>
        <v>0</v>
      </c>
      <c r="R8" s="25" t="s">
        <v>38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71">
        <v>5.0</v>
      </c>
      <c r="B9" s="17">
        <v>45606.0</v>
      </c>
      <c r="C9" s="18" t="s">
        <v>412</v>
      </c>
      <c r="D9" s="19">
        <v>29621.0</v>
      </c>
      <c r="E9" s="20" t="s">
        <v>346</v>
      </c>
      <c r="F9" s="22"/>
      <c r="G9" s="24"/>
      <c r="H9" s="22"/>
      <c r="I9" s="29"/>
      <c r="J9" s="29"/>
      <c r="K9" s="22">
        <v>2950.0</v>
      </c>
      <c r="L9" s="24"/>
      <c r="M9" s="29"/>
      <c r="N9" s="24"/>
      <c r="O9" s="24"/>
      <c r="P9" s="25">
        <v>2950.0</v>
      </c>
      <c r="Q9" s="26">
        <f t="shared" si="1"/>
        <v>0</v>
      </c>
      <c r="R9" s="25" t="s">
        <v>38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71">
        <v>6.0</v>
      </c>
      <c r="B10" s="17">
        <v>45606.0</v>
      </c>
      <c r="C10" s="18" t="s">
        <v>413</v>
      </c>
      <c r="D10" s="19">
        <v>54695.0</v>
      </c>
      <c r="E10" s="20" t="s">
        <v>414</v>
      </c>
      <c r="F10" s="22"/>
      <c r="G10" s="24"/>
      <c r="H10" s="22"/>
      <c r="I10" s="29">
        <v>5100.0</v>
      </c>
      <c r="J10" s="29"/>
      <c r="K10" s="22"/>
      <c r="L10" s="24"/>
      <c r="M10" s="29"/>
      <c r="N10" s="24"/>
      <c r="O10" s="24"/>
      <c r="P10" s="25">
        <v>5100.0</v>
      </c>
      <c r="Q10" s="26">
        <f t="shared" si="1"/>
        <v>0</v>
      </c>
      <c r="R10" s="25" t="s">
        <v>38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71">
        <v>7.0</v>
      </c>
      <c r="B11" s="17">
        <v>45606.0</v>
      </c>
      <c r="C11" s="18" t="s">
        <v>415</v>
      </c>
      <c r="D11" s="19">
        <v>54211.0</v>
      </c>
      <c r="E11" s="20" t="s">
        <v>416</v>
      </c>
      <c r="F11" s="22"/>
      <c r="G11" s="24"/>
      <c r="H11" s="22"/>
      <c r="I11" s="29">
        <v>4500.0</v>
      </c>
      <c r="J11" s="29"/>
      <c r="K11" s="22"/>
      <c r="L11" s="24"/>
      <c r="M11" s="29"/>
      <c r="N11" s="24"/>
      <c r="O11" s="24"/>
      <c r="P11" s="25">
        <v>4500.0</v>
      </c>
      <c r="Q11" s="26">
        <f t="shared" si="1"/>
        <v>0</v>
      </c>
      <c r="R11" s="25" t="s">
        <v>38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71">
        <v>8.0</v>
      </c>
      <c r="B12" s="17">
        <v>45606.0</v>
      </c>
      <c r="C12" s="18" t="s">
        <v>417</v>
      </c>
      <c r="D12" s="19">
        <v>54211.0</v>
      </c>
      <c r="E12" s="20" t="s">
        <v>416</v>
      </c>
      <c r="F12" s="22"/>
      <c r="G12" s="24"/>
      <c r="H12" s="22"/>
      <c r="I12" s="29">
        <v>400.0</v>
      </c>
      <c r="J12" s="29"/>
      <c r="K12" s="22"/>
      <c r="L12" s="24"/>
      <c r="M12" s="29"/>
      <c r="N12" s="24"/>
      <c r="O12" s="24"/>
      <c r="P12" s="25">
        <v>400.0</v>
      </c>
      <c r="Q12" s="26">
        <f t="shared" si="1"/>
        <v>0</v>
      </c>
      <c r="R12" s="25" t="s">
        <v>38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71">
        <v>9.0</v>
      </c>
      <c r="B13" s="17">
        <v>45606.0</v>
      </c>
      <c r="C13" s="18" t="s">
        <v>418</v>
      </c>
      <c r="D13" s="19">
        <v>30895.0</v>
      </c>
      <c r="E13" s="20" t="s">
        <v>75</v>
      </c>
      <c r="F13" s="22"/>
      <c r="G13" s="24"/>
      <c r="H13" s="22"/>
      <c r="I13" s="29">
        <v>15000.0</v>
      </c>
      <c r="J13" s="29"/>
      <c r="K13" s="22"/>
      <c r="L13" s="24"/>
      <c r="M13" s="29"/>
      <c r="N13" s="24"/>
      <c r="O13" s="24"/>
      <c r="P13" s="25">
        <v>15000.0</v>
      </c>
      <c r="Q13" s="26">
        <f t="shared" si="1"/>
        <v>0</v>
      </c>
      <c r="R13" s="25" t="s">
        <v>28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71">
        <v>10.0</v>
      </c>
      <c r="B14" s="17">
        <v>45606.0</v>
      </c>
      <c r="C14" s="18" t="s">
        <v>419</v>
      </c>
      <c r="D14" s="19">
        <v>31927.0</v>
      </c>
      <c r="E14" s="20" t="s">
        <v>321</v>
      </c>
      <c r="F14" s="24"/>
      <c r="G14" s="24"/>
      <c r="H14" s="24"/>
      <c r="I14" s="29">
        <v>1990.0</v>
      </c>
      <c r="J14" s="29"/>
      <c r="K14" s="22"/>
      <c r="L14" s="24"/>
      <c r="M14" s="21"/>
      <c r="N14" s="24"/>
      <c r="O14" s="22"/>
      <c r="P14" s="25">
        <v>1990.0</v>
      </c>
      <c r="Q14" s="26">
        <f t="shared" si="1"/>
        <v>0</v>
      </c>
      <c r="R14" s="25" t="s">
        <v>35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71">
        <v>11.0</v>
      </c>
      <c r="B15" s="17">
        <v>45606.0</v>
      </c>
      <c r="C15" s="18" t="s">
        <v>420</v>
      </c>
      <c r="D15" s="19">
        <v>62146.0</v>
      </c>
      <c r="E15" s="20" t="s">
        <v>421</v>
      </c>
      <c r="F15" s="21"/>
      <c r="G15" s="24"/>
      <c r="H15" s="24"/>
      <c r="I15" s="29">
        <v>700.0</v>
      </c>
      <c r="J15" s="29"/>
      <c r="K15" s="37"/>
      <c r="L15" s="24"/>
      <c r="M15" s="24"/>
      <c r="N15" s="24"/>
      <c r="O15" s="22"/>
      <c r="P15" s="25">
        <v>700.0</v>
      </c>
      <c r="Q15" s="26">
        <f t="shared" si="1"/>
        <v>0</v>
      </c>
      <c r="R15" s="25" t="s">
        <v>28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71">
        <v>12.0</v>
      </c>
      <c r="B16" s="17">
        <v>45606.0</v>
      </c>
      <c r="C16" s="18" t="s">
        <v>422</v>
      </c>
      <c r="D16" s="19">
        <v>70076.0</v>
      </c>
      <c r="E16" s="20" t="s">
        <v>423</v>
      </c>
      <c r="F16" s="21"/>
      <c r="G16" s="24"/>
      <c r="H16" s="24"/>
      <c r="I16" s="29">
        <v>2500.0</v>
      </c>
      <c r="J16" s="29"/>
      <c r="K16" s="37"/>
      <c r="L16" s="24"/>
      <c r="M16" s="24"/>
      <c r="N16" s="24"/>
      <c r="O16" s="22"/>
      <c r="P16" s="25">
        <v>2500.0</v>
      </c>
      <c r="Q16" s="26">
        <f t="shared" si="1"/>
        <v>0</v>
      </c>
      <c r="R16" s="25" t="s">
        <v>38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71">
        <v>13.0</v>
      </c>
      <c r="B17" s="17">
        <v>45606.0</v>
      </c>
      <c r="C17" s="18" t="s">
        <v>424</v>
      </c>
      <c r="D17" s="19">
        <v>51660.0</v>
      </c>
      <c r="E17" s="20" t="s">
        <v>203</v>
      </c>
      <c r="F17" s="21"/>
      <c r="G17" s="22">
        <v>3700.0</v>
      </c>
      <c r="H17" s="24"/>
      <c r="I17" s="29"/>
      <c r="J17" s="21"/>
      <c r="K17" s="37"/>
      <c r="L17" s="24"/>
      <c r="M17" s="24"/>
      <c r="N17" s="24"/>
      <c r="O17" s="22"/>
      <c r="P17" s="25">
        <v>3700.0</v>
      </c>
      <c r="Q17" s="26">
        <f t="shared" si="1"/>
        <v>0</v>
      </c>
      <c r="R17" s="25" t="s">
        <v>25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71">
        <v>18.0</v>
      </c>
      <c r="B18" s="17">
        <v>45605.0</v>
      </c>
      <c r="C18" s="18" t="s">
        <v>425</v>
      </c>
      <c r="D18" s="19">
        <v>48482.0</v>
      </c>
      <c r="E18" s="20" t="s">
        <v>426</v>
      </c>
      <c r="F18" s="21"/>
      <c r="G18" s="24"/>
      <c r="H18" s="24"/>
      <c r="I18" s="29"/>
      <c r="J18" s="21"/>
      <c r="K18" s="37">
        <v>600.0</v>
      </c>
      <c r="L18" s="24"/>
      <c r="M18" s="24"/>
      <c r="N18" s="24"/>
      <c r="O18" s="22">
        <v>1800.0</v>
      </c>
      <c r="P18" s="25">
        <v>2400.0</v>
      </c>
      <c r="Q18" s="26">
        <f t="shared" si="1"/>
        <v>0</v>
      </c>
      <c r="R18" s="49"/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71">
        <v>19.0</v>
      </c>
      <c r="B19" s="17">
        <v>45605.0</v>
      </c>
      <c r="C19" s="18" t="s">
        <v>427</v>
      </c>
      <c r="D19" s="19">
        <v>38098.0</v>
      </c>
      <c r="E19" s="20" t="s">
        <v>407</v>
      </c>
      <c r="F19" s="21"/>
      <c r="G19" s="24"/>
      <c r="H19" s="24"/>
      <c r="I19" s="29"/>
      <c r="J19" s="21"/>
      <c r="K19" s="37">
        <v>311.0</v>
      </c>
      <c r="L19" s="24"/>
      <c r="M19" s="24"/>
      <c r="N19" s="24"/>
      <c r="O19" s="22">
        <v>889.0</v>
      </c>
      <c r="P19" s="25">
        <v>1200.0</v>
      </c>
      <c r="Q19" s="26">
        <f t="shared" si="1"/>
        <v>0</v>
      </c>
      <c r="R19" s="49"/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71">
        <v>20.0</v>
      </c>
      <c r="B20" s="17">
        <v>45606.0</v>
      </c>
      <c r="C20" s="18" t="s">
        <v>428</v>
      </c>
      <c r="D20" s="19">
        <v>54764.0</v>
      </c>
      <c r="E20" s="20" t="s">
        <v>429</v>
      </c>
      <c r="F20" s="21"/>
      <c r="G20" s="24"/>
      <c r="H20" s="24"/>
      <c r="I20" s="29"/>
      <c r="J20" s="21"/>
      <c r="K20" s="37"/>
      <c r="L20" s="24"/>
      <c r="M20" s="24"/>
      <c r="N20" s="24"/>
      <c r="O20" s="22">
        <v>2400.0</v>
      </c>
      <c r="P20" s="25">
        <v>2400.0</v>
      </c>
      <c r="Q20" s="26">
        <f t="shared" si="1"/>
        <v>0</v>
      </c>
      <c r="R20" s="49"/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71">
        <v>21.0</v>
      </c>
      <c r="B21" s="17">
        <v>45606.0</v>
      </c>
      <c r="C21" s="18" t="s">
        <v>430</v>
      </c>
      <c r="D21" s="19">
        <v>54211.0</v>
      </c>
      <c r="E21" s="20" t="s">
        <v>416</v>
      </c>
      <c r="F21" s="21"/>
      <c r="G21" s="24"/>
      <c r="H21" s="24"/>
      <c r="I21" s="29"/>
      <c r="J21" s="21"/>
      <c r="K21" s="37"/>
      <c r="L21" s="24"/>
      <c r="M21" s="24"/>
      <c r="N21" s="24"/>
      <c r="O21" s="22">
        <v>2400.0</v>
      </c>
      <c r="P21" s="25">
        <v>2400.0</v>
      </c>
      <c r="Q21" s="26">
        <f t="shared" si="1"/>
        <v>0</v>
      </c>
      <c r="R21" s="49"/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7.5" customHeight="1">
      <c r="A22" s="16"/>
      <c r="B22" s="50"/>
      <c r="C22" s="51"/>
      <c r="D22" s="52" t="s">
        <v>123</v>
      </c>
      <c r="E22" s="53"/>
      <c r="F22" s="54">
        <f t="shared" ref="F22:Q22" si="2">SUM(F5:F21)</f>
        <v>0</v>
      </c>
      <c r="G22" s="54">
        <f t="shared" si="2"/>
        <v>3700</v>
      </c>
      <c r="H22" s="54">
        <f t="shared" si="2"/>
        <v>0</v>
      </c>
      <c r="I22" s="54">
        <f t="shared" si="2"/>
        <v>35290</v>
      </c>
      <c r="J22" s="54">
        <f t="shared" si="2"/>
        <v>5100</v>
      </c>
      <c r="K22" s="54">
        <f t="shared" si="2"/>
        <v>3861</v>
      </c>
      <c r="L22" s="54">
        <f t="shared" si="2"/>
        <v>0</v>
      </c>
      <c r="M22" s="54">
        <f t="shared" si="2"/>
        <v>290</v>
      </c>
      <c r="N22" s="54">
        <f t="shared" si="2"/>
        <v>0</v>
      </c>
      <c r="O22" s="54">
        <f t="shared" si="2"/>
        <v>7489</v>
      </c>
      <c r="P22" s="54">
        <f t="shared" si="2"/>
        <v>80246</v>
      </c>
      <c r="Q22" s="55">
        <f t="shared" si="2"/>
        <v>-24516</v>
      </c>
      <c r="R22" s="56"/>
      <c r="S22" s="27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</row>
    <row r="23" ht="58.5" customHeight="1">
      <c r="A23" s="57"/>
      <c r="B23" s="57"/>
      <c r="C23" s="58"/>
      <c r="D23" s="57"/>
      <c r="E23" s="57"/>
      <c r="F23" s="59">
        <f>F22+G22+H22+I22+J22+K22+L22+M22+N22+O22</f>
        <v>55730</v>
      </c>
      <c r="P23" s="60"/>
      <c r="Q23" s="60"/>
      <c r="R23" s="57"/>
      <c r="S23" s="57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</row>
    <row r="24" ht="15.75" customHeight="1">
      <c r="A24" s="4"/>
      <c r="B24" s="4"/>
      <c r="C24" s="61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26.25" customHeight="1">
      <c r="A25" s="4"/>
      <c r="B25" s="4"/>
      <c r="C25" s="61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26.25" customHeight="1">
      <c r="A26" s="4"/>
      <c r="B26" s="4"/>
      <c r="C26" s="62" t="s">
        <v>123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26.25" customHeight="1">
      <c r="A27" s="4"/>
      <c r="B27" s="4"/>
      <c r="C27" s="61"/>
      <c r="D27" s="4"/>
      <c r="E27" s="63" t="s">
        <v>124</v>
      </c>
      <c r="F27" s="64" t="s">
        <v>125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26.25" customHeight="1">
      <c r="A28" s="4"/>
      <c r="B28" s="4"/>
      <c r="C28" s="61"/>
      <c r="D28" s="4"/>
      <c r="E28" s="65" t="s">
        <v>126</v>
      </c>
      <c r="F28" s="64" t="s">
        <v>127</v>
      </c>
      <c r="G28" s="4"/>
      <c r="H28" s="4"/>
      <c r="I28" s="4"/>
      <c r="J28" s="4"/>
      <c r="K28" s="4"/>
      <c r="L28" s="4"/>
      <c r="M28" s="4"/>
      <c r="N28" s="4"/>
      <c r="O28" s="66" t="s">
        <v>123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26.25" customHeight="1">
      <c r="A29" s="4"/>
      <c r="B29" s="4"/>
      <c r="C29" s="61"/>
      <c r="D29" s="4"/>
      <c r="E29" s="65" t="s">
        <v>128</v>
      </c>
      <c r="F29" s="64" t="s">
        <v>129</v>
      </c>
      <c r="G29" s="4"/>
      <c r="H29" s="4"/>
      <c r="I29" s="67" t="s">
        <v>250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26.25" customHeight="1">
      <c r="A30" s="4"/>
      <c r="B30" s="4"/>
      <c r="C30" s="61"/>
      <c r="D30" s="4"/>
      <c r="E30" s="65" t="s">
        <v>130</v>
      </c>
      <c r="F30" s="64" t="s">
        <v>129</v>
      </c>
      <c r="G30" s="4"/>
      <c r="H30" s="4"/>
      <c r="I30" s="4"/>
      <c r="J30" s="4"/>
      <c r="K30" s="67" t="s">
        <v>123</v>
      </c>
      <c r="L30" s="67" t="s">
        <v>123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26.25" customHeight="1">
      <c r="A31" s="4"/>
      <c r="B31" s="4"/>
      <c r="C31" s="61"/>
      <c r="D31" s="4"/>
      <c r="E31" s="65" t="s">
        <v>131</v>
      </c>
      <c r="F31" s="64" t="s">
        <v>129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61"/>
      <c r="D32" s="4"/>
      <c r="E32" s="65" t="s">
        <v>431</v>
      </c>
      <c r="F32" s="64" t="s">
        <v>129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61"/>
      <c r="D33" s="4"/>
      <c r="E33" s="65" t="s">
        <v>134</v>
      </c>
      <c r="F33" s="64" t="s">
        <v>162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61"/>
      <c r="D34" s="4"/>
      <c r="E34" s="65" t="s">
        <v>135</v>
      </c>
      <c r="F34" s="68" t="s">
        <v>125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66" t="s">
        <v>123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61"/>
      <c r="D35" s="4"/>
      <c r="E35" s="4"/>
      <c r="F35" s="4"/>
      <c r="G35" s="4"/>
      <c r="H35" s="4"/>
      <c r="I35" s="4"/>
      <c r="J35" s="4"/>
      <c r="K35" s="4" t="str">
        <f>I72422</f>
        <v/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6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15.75" customHeight="1">
      <c r="A37" s="4"/>
      <c r="B37" s="4"/>
      <c r="C37" s="6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15.75" customHeight="1">
      <c r="A38" s="4"/>
      <c r="B38" s="4"/>
      <c r="C38" s="61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5.75" customHeight="1">
      <c r="A39" s="4"/>
      <c r="B39" s="4"/>
      <c r="C39" s="61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5.75" customHeight="1">
      <c r="A40" s="4"/>
      <c r="B40" s="4"/>
      <c r="C40" s="61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6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61"/>
      <c r="D42" s="4"/>
      <c r="E42" s="4"/>
      <c r="F42" s="4"/>
      <c r="G42" s="4"/>
      <c r="H42" s="4"/>
      <c r="I42" s="66" t="s">
        <v>136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6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6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6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6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6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6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6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6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6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1"/>
      <c r="D57" s="4"/>
      <c r="E57" s="4"/>
      <c r="F57" s="4"/>
      <c r="G57" s="4"/>
      <c r="H57" s="4"/>
      <c r="I57" s="4"/>
      <c r="J57" s="4"/>
      <c r="K57" s="4"/>
      <c r="L57" s="4"/>
      <c r="M57" s="4">
        <v>7.0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mergeCells count="17">
    <mergeCell ref="R2:R4"/>
    <mergeCell ref="S2:S4"/>
    <mergeCell ref="F3:F4"/>
    <mergeCell ref="G3:H3"/>
    <mergeCell ref="I3:J3"/>
    <mergeCell ref="K3:K4"/>
    <mergeCell ref="F23:O23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5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432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71">
        <v>1.0</v>
      </c>
      <c r="B5" s="17">
        <v>45606.0</v>
      </c>
      <c r="C5" s="18" t="s">
        <v>433</v>
      </c>
      <c r="D5" s="19">
        <v>22341.0</v>
      </c>
      <c r="E5" s="20" t="s">
        <v>62</v>
      </c>
      <c r="F5" s="24"/>
      <c r="G5" s="24"/>
      <c r="H5" s="22"/>
      <c r="I5" s="29">
        <v>1800.0</v>
      </c>
      <c r="J5" s="29"/>
      <c r="K5" s="22"/>
      <c r="L5" s="24"/>
      <c r="M5" s="29"/>
      <c r="N5" s="24"/>
      <c r="O5" s="24"/>
      <c r="P5" s="25">
        <v>1800.0</v>
      </c>
      <c r="Q5" s="26">
        <f t="shared" ref="Q5:Q29" si="1">F5+G5+H5+I5+J5+K5+L5+M5+N5+O5-P5</f>
        <v>0</v>
      </c>
      <c r="R5" s="25" t="s">
        <v>35</v>
      </c>
      <c r="S5" s="30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71">
        <v>2.0</v>
      </c>
      <c r="B6" s="17">
        <v>45606.0</v>
      </c>
      <c r="C6" s="18" t="s">
        <v>434</v>
      </c>
      <c r="D6" s="19">
        <v>10250.0</v>
      </c>
      <c r="E6" s="20" t="s">
        <v>245</v>
      </c>
      <c r="F6" s="24"/>
      <c r="G6" s="24"/>
      <c r="H6" s="24"/>
      <c r="I6" s="29">
        <v>350.0</v>
      </c>
      <c r="J6" s="29"/>
      <c r="K6" s="24"/>
      <c r="L6" s="24"/>
      <c r="M6" s="29"/>
      <c r="N6" s="24"/>
      <c r="O6" s="22"/>
      <c r="P6" s="25">
        <v>350.0</v>
      </c>
      <c r="Q6" s="26">
        <f t="shared" si="1"/>
        <v>0</v>
      </c>
      <c r="R6" s="25" t="s">
        <v>38</v>
      </c>
      <c r="S6" s="30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71">
        <v>3.0</v>
      </c>
      <c r="B7" s="17">
        <v>45606.0</v>
      </c>
      <c r="C7" s="18" t="s">
        <v>435</v>
      </c>
      <c r="D7" s="19">
        <v>84859.0</v>
      </c>
      <c r="E7" s="20" t="s">
        <v>436</v>
      </c>
      <c r="F7" s="22"/>
      <c r="G7" s="24"/>
      <c r="H7" s="22"/>
      <c r="I7" s="29"/>
      <c r="J7" s="29"/>
      <c r="K7" s="22"/>
      <c r="L7" s="24"/>
      <c r="M7" s="29">
        <v>4500.0</v>
      </c>
      <c r="N7" s="24"/>
      <c r="O7" s="24"/>
      <c r="P7" s="25">
        <v>4500.0</v>
      </c>
      <c r="Q7" s="26">
        <f t="shared" si="1"/>
        <v>0</v>
      </c>
      <c r="R7" s="25" t="s">
        <v>35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71">
        <v>4.0</v>
      </c>
      <c r="B8" s="17">
        <v>45606.0</v>
      </c>
      <c r="C8" s="18" t="s">
        <v>437</v>
      </c>
      <c r="D8" s="19">
        <v>10271.0</v>
      </c>
      <c r="E8" s="20" t="s">
        <v>438</v>
      </c>
      <c r="F8" s="22"/>
      <c r="G8" s="22">
        <v>4500.0</v>
      </c>
      <c r="H8" s="22"/>
      <c r="I8" s="29"/>
      <c r="J8" s="29"/>
      <c r="K8" s="22"/>
      <c r="L8" s="24"/>
      <c r="M8" s="29"/>
      <c r="N8" s="24"/>
      <c r="O8" s="24"/>
      <c r="P8" s="25">
        <v>4500.0</v>
      </c>
      <c r="Q8" s="26">
        <f t="shared" si="1"/>
        <v>0</v>
      </c>
      <c r="R8" s="25" t="s">
        <v>25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71">
        <v>5.0</v>
      </c>
      <c r="B9" s="17">
        <v>45606.0</v>
      </c>
      <c r="C9" s="18" t="s">
        <v>439</v>
      </c>
      <c r="D9" s="19">
        <v>10271.0</v>
      </c>
      <c r="E9" s="20" t="s">
        <v>438</v>
      </c>
      <c r="F9" s="22"/>
      <c r="G9" s="24"/>
      <c r="H9" s="22"/>
      <c r="I9" s="29"/>
      <c r="J9" s="29"/>
      <c r="K9" s="22"/>
      <c r="L9" s="24"/>
      <c r="M9" s="29">
        <v>774.0</v>
      </c>
      <c r="N9" s="24"/>
      <c r="O9" s="24"/>
      <c r="P9" s="25">
        <v>774.0</v>
      </c>
      <c r="Q9" s="26">
        <f t="shared" si="1"/>
        <v>0</v>
      </c>
      <c r="R9" s="25" t="s">
        <v>25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71">
        <v>6.0</v>
      </c>
      <c r="B10" s="17">
        <v>45606.0</v>
      </c>
      <c r="C10" s="18" t="s">
        <v>440</v>
      </c>
      <c r="D10" s="19">
        <v>21818.0</v>
      </c>
      <c r="E10" s="20" t="s">
        <v>196</v>
      </c>
      <c r="F10" s="22"/>
      <c r="G10" s="24"/>
      <c r="H10" s="22"/>
      <c r="I10" s="29"/>
      <c r="J10" s="29"/>
      <c r="K10" s="22">
        <v>258.0</v>
      </c>
      <c r="L10" s="24"/>
      <c r="M10" s="29"/>
      <c r="N10" s="24"/>
      <c r="O10" s="24"/>
      <c r="P10" s="25">
        <v>258.0</v>
      </c>
      <c r="Q10" s="26">
        <f t="shared" si="1"/>
        <v>0</v>
      </c>
      <c r="R10" s="25" t="s">
        <v>25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71">
        <v>7.0</v>
      </c>
      <c r="B11" s="17">
        <v>45607.0</v>
      </c>
      <c r="C11" s="18" t="s">
        <v>441</v>
      </c>
      <c r="D11" s="19">
        <v>52669.0</v>
      </c>
      <c r="E11" s="20" t="s">
        <v>147</v>
      </c>
      <c r="F11" s="22"/>
      <c r="G11" s="24"/>
      <c r="H11" s="22"/>
      <c r="I11" s="29">
        <v>129.0</v>
      </c>
      <c r="J11" s="29"/>
      <c r="K11" s="22"/>
      <c r="L11" s="24"/>
      <c r="M11" s="29"/>
      <c r="N11" s="24"/>
      <c r="O11" s="24"/>
      <c r="P11" s="25">
        <v>129.0</v>
      </c>
      <c r="Q11" s="26">
        <f t="shared" si="1"/>
        <v>0</v>
      </c>
      <c r="R11" s="25" t="s">
        <v>35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71">
        <v>8.0</v>
      </c>
      <c r="B12" s="17">
        <v>45607.0</v>
      </c>
      <c r="C12" s="18" t="s">
        <v>442</v>
      </c>
      <c r="D12" s="19">
        <v>36928.0</v>
      </c>
      <c r="E12" s="20" t="s">
        <v>57</v>
      </c>
      <c r="F12" s="22"/>
      <c r="G12" s="24"/>
      <c r="H12" s="22"/>
      <c r="I12" s="29">
        <v>1700.0</v>
      </c>
      <c r="J12" s="29"/>
      <c r="K12" s="22"/>
      <c r="L12" s="24"/>
      <c r="M12" s="29"/>
      <c r="N12" s="24"/>
      <c r="O12" s="24"/>
      <c r="P12" s="25">
        <v>1700.0</v>
      </c>
      <c r="Q12" s="26">
        <f t="shared" si="1"/>
        <v>0</v>
      </c>
      <c r="R12" s="25" t="s">
        <v>28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71">
        <v>9.0</v>
      </c>
      <c r="B13" s="17">
        <v>45607.0</v>
      </c>
      <c r="C13" s="18" t="s">
        <v>443</v>
      </c>
      <c r="D13" s="19">
        <v>85234.0</v>
      </c>
      <c r="E13" s="20" t="s">
        <v>444</v>
      </c>
      <c r="F13" s="22"/>
      <c r="G13" s="24"/>
      <c r="H13" s="22"/>
      <c r="I13" s="29">
        <v>7300.0</v>
      </c>
      <c r="J13" s="29"/>
      <c r="K13" s="22"/>
      <c r="L13" s="24"/>
      <c r="M13" s="29"/>
      <c r="N13" s="24"/>
      <c r="O13" s="24"/>
      <c r="P13" s="25">
        <v>7300.0</v>
      </c>
      <c r="Q13" s="26">
        <f t="shared" si="1"/>
        <v>0</v>
      </c>
      <c r="R13" s="25" t="s">
        <v>28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71">
        <v>10.0</v>
      </c>
      <c r="B14" s="17">
        <v>45607.0</v>
      </c>
      <c r="C14" s="18" t="s">
        <v>445</v>
      </c>
      <c r="D14" s="19">
        <v>39832.0</v>
      </c>
      <c r="E14" s="20" t="s">
        <v>446</v>
      </c>
      <c r="F14" s="22">
        <v>2500.0</v>
      </c>
      <c r="G14" s="24"/>
      <c r="H14" s="24"/>
      <c r="I14" s="29"/>
      <c r="J14" s="29"/>
      <c r="K14" s="22"/>
      <c r="L14" s="24"/>
      <c r="M14" s="21"/>
      <c r="N14" s="24"/>
      <c r="O14" s="22"/>
      <c r="P14" s="25">
        <v>2500.0</v>
      </c>
      <c r="Q14" s="26">
        <f t="shared" si="1"/>
        <v>0</v>
      </c>
      <c r="R14" s="25" t="s">
        <v>28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71">
        <v>11.0</v>
      </c>
      <c r="B15" s="17">
        <v>45607.0</v>
      </c>
      <c r="C15" s="18" t="s">
        <v>447</v>
      </c>
      <c r="D15" s="19">
        <v>53054.0</v>
      </c>
      <c r="E15" s="20" t="s">
        <v>448</v>
      </c>
      <c r="F15" s="21"/>
      <c r="G15" s="24"/>
      <c r="H15" s="24"/>
      <c r="I15" s="29">
        <v>5000.0</v>
      </c>
      <c r="J15" s="29"/>
      <c r="K15" s="37"/>
      <c r="L15" s="24"/>
      <c r="M15" s="24"/>
      <c r="N15" s="24"/>
      <c r="O15" s="22"/>
      <c r="P15" s="25">
        <v>5000.0</v>
      </c>
      <c r="Q15" s="26">
        <f t="shared" si="1"/>
        <v>0</v>
      </c>
      <c r="R15" s="25" t="s">
        <v>38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71">
        <v>12.0</v>
      </c>
      <c r="B16" s="17">
        <v>45607.0</v>
      </c>
      <c r="C16" s="18" t="s">
        <v>449</v>
      </c>
      <c r="D16" s="19">
        <v>53054.0</v>
      </c>
      <c r="E16" s="20" t="s">
        <v>448</v>
      </c>
      <c r="F16" s="21"/>
      <c r="G16" s="24"/>
      <c r="H16" s="24"/>
      <c r="I16" s="29">
        <v>5000.0</v>
      </c>
      <c r="J16" s="29"/>
      <c r="K16" s="37"/>
      <c r="L16" s="24"/>
      <c r="M16" s="24"/>
      <c r="N16" s="24"/>
      <c r="O16" s="22"/>
      <c r="P16" s="25">
        <v>5000.0</v>
      </c>
      <c r="Q16" s="26">
        <f t="shared" si="1"/>
        <v>0</v>
      </c>
      <c r="R16" s="25" t="s">
        <v>38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71">
        <v>13.0</v>
      </c>
      <c r="B17" s="17">
        <v>45607.0</v>
      </c>
      <c r="C17" s="18" t="s">
        <v>450</v>
      </c>
      <c r="D17" s="19">
        <v>52247.0</v>
      </c>
      <c r="E17" s="20" t="s">
        <v>51</v>
      </c>
      <c r="F17" s="21"/>
      <c r="G17" s="22"/>
      <c r="H17" s="24"/>
      <c r="I17" s="29">
        <v>54500.0</v>
      </c>
      <c r="J17" s="21"/>
      <c r="K17" s="37"/>
      <c r="L17" s="24"/>
      <c r="M17" s="24"/>
      <c r="N17" s="24"/>
      <c r="O17" s="22"/>
      <c r="P17" s="25">
        <v>54500.0</v>
      </c>
      <c r="Q17" s="26">
        <f t="shared" si="1"/>
        <v>0</v>
      </c>
      <c r="R17" s="25" t="s">
        <v>28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71">
        <v>14.0</v>
      </c>
      <c r="B18" s="17">
        <v>45607.0</v>
      </c>
      <c r="C18" s="18" t="s">
        <v>451</v>
      </c>
      <c r="D18" s="19">
        <v>69620.0</v>
      </c>
      <c r="E18" s="20" t="s">
        <v>360</v>
      </c>
      <c r="F18" s="21"/>
      <c r="G18" s="24"/>
      <c r="H18" s="24"/>
      <c r="I18" s="29"/>
      <c r="J18" s="29">
        <v>15000.0</v>
      </c>
      <c r="K18" s="37"/>
      <c r="L18" s="24"/>
      <c r="M18" s="24"/>
      <c r="N18" s="24"/>
      <c r="O18" s="22"/>
      <c r="P18" s="25">
        <v>15000.0</v>
      </c>
      <c r="Q18" s="26">
        <f t="shared" si="1"/>
        <v>0</v>
      </c>
      <c r="R18" s="25" t="s">
        <v>28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71">
        <v>15.0</v>
      </c>
      <c r="B19" s="17">
        <v>45607.0</v>
      </c>
      <c r="C19" s="18" t="s">
        <v>452</v>
      </c>
      <c r="D19" s="19">
        <v>69620.0</v>
      </c>
      <c r="E19" s="20" t="s">
        <v>360</v>
      </c>
      <c r="F19" s="21"/>
      <c r="G19" s="24"/>
      <c r="H19" s="24"/>
      <c r="I19" s="29"/>
      <c r="J19" s="29">
        <v>5000.0</v>
      </c>
      <c r="K19" s="37"/>
      <c r="L19" s="24"/>
      <c r="M19" s="24"/>
      <c r="N19" s="24"/>
      <c r="O19" s="22"/>
      <c r="P19" s="25">
        <v>5000.0</v>
      </c>
      <c r="Q19" s="26">
        <f t="shared" si="1"/>
        <v>0</v>
      </c>
      <c r="R19" s="25" t="s">
        <v>28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71">
        <v>16.0</v>
      </c>
      <c r="B20" s="17">
        <v>45607.0</v>
      </c>
      <c r="C20" s="18" t="s">
        <v>453</v>
      </c>
      <c r="D20" s="19">
        <v>76815.0</v>
      </c>
      <c r="E20" s="20" t="s">
        <v>173</v>
      </c>
      <c r="F20" s="21"/>
      <c r="G20" s="24"/>
      <c r="H20" s="24"/>
      <c r="I20" s="29"/>
      <c r="J20" s="29">
        <v>17000.0</v>
      </c>
      <c r="K20" s="37"/>
      <c r="L20" s="24"/>
      <c r="M20" s="24"/>
      <c r="N20" s="24"/>
      <c r="O20" s="22"/>
      <c r="P20" s="25">
        <v>17000.0</v>
      </c>
      <c r="Q20" s="26">
        <f t="shared" si="1"/>
        <v>0</v>
      </c>
      <c r="R20" s="25" t="s">
        <v>35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71">
        <v>17.0</v>
      </c>
      <c r="B21" s="17">
        <v>45607.0</v>
      </c>
      <c r="C21" s="18" t="s">
        <v>454</v>
      </c>
      <c r="D21" s="19">
        <v>24368.0</v>
      </c>
      <c r="E21" s="20" t="s">
        <v>455</v>
      </c>
      <c r="F21" s="21"/>
      <c r="G21" s="24"/>
      <c r="H21" s="24"/>
      <c r="I21" s="29"/>
      <c r="J21" s="21"/>
      <c r="K21" s="37">
        <v>2000.0</v>
      </c>
      <c r="L21" s="24"/>
      <c r="M21" s="24"/>
      <c r="N21" s="24"/>
      <c r="O21" s="22"/>
      <c r="P21" s="25">
        <v>2000.0</v>
      </c>
      <c r="Q21" s="26">
        <f t="shared" si="1"/>
        <v>0</v>
      </c>
      <c r="R21" s="25" t="s">
        <v>28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71">
        <v>18.0</v>
      </c>
      <c r="B22" s="17">
        <v>45606.0</v>
      </c>
      <c r="C22" s="18" t="s">
        <v>456</v>
      </c>
      <c r="D22" s="19">
        <v>64461.0</v>
      </c>
      <c r="E22" s="20" t="s">
        <v>34</v>
      </c>
      <c r="F22" s="21"/>
      <c r="G22" s="24"/>
      <c r="H22" s="24"/>
      <c r="I22" s="29"/>
      <c r="J22" s="21"/>
      <c r="K22" s="37"/>
      <c r="L22" s="24"/>
      <c r="M22" s="24"/>
      <c r="N22" s="24"/>
      <c r="O22" s="22">
        <v>800.0</v>
      </c>
      <c r="P22" s="25">
        <v>800.0</v>
      </c>
      <c r="Q22" s="26">
        <f t="shared" si="1"/>
        <v>0</v>
      </c>
      <c r="R22" s="49"/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71">
        <v>19.0</v>
      </c>
      <c r="B23" s="17">
        <v>45606.0</v>
      </c>
      <c r="C23" s="18" t="s">
        <v>457</v>
      </c>
      <c r="D23" s="19">
        <v>15837.0</v>
      </c>
      <c r="E23" s="20" t="s">
        <v>458</v>
      </c>
      <c r="F23" s="21"/>
      <c r="G23" s="24"/>
      <c r="H23" s="24"/>
      <c r="I23" s="29"/>
      <c r="J23" s="21"/>
      <c r="K23" s="37">
        <v>407.5</v>
      </c>
      <c r="L23" s="24"/>
      <c r="M23" s="24"/>
      <c r="N23" s="24"/>
      <c r="O23" s="22">
        <v>4792.5</v>
      </c>
      <c r="P23" s="25">
        <v>5200.0</v>
      </c>
      <c r="Q23" s="26">
        <f t="shared" si="1"/>
        <v>0</v>
      </c>
      <c r="R23" s="49"/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71">
        <v>20.0</v>
      </c>
      <c r="B24" s="17">
        <v>45606.0</v>
      </c>
      <c r="C24" s="18" t="s">
        <v>459</v>
      </c>
      <c r="D24" s="19">
        <v>51017.0</v>
      </c>
      <c r="E24" s="20" t="s">
        <v>228</v>
      </c>
      <c r="F24" s="21"/>
      <c r="G24" s="24"/>
      <c r="H24" s="22">
        <v>10000.0</v>
      </c>
      <c r="I24" s="29"/>
      <c r="J24" s="21"/>
      <c r="K24" s="37"/>
      <c r="L24" s="24"/>
      <c r="M24" s="24"/>
      <c r="N24" s="24"/>
      <c r="O24" s="22"/>
      <c r="P24" s="25">
        <v>10000.0</v>
      </c>
      <c r="Q24" s="26">
        <f t="shared" si="1"/>
        <v>0</v>
      </c>
      <c r="R24" s="49"/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71">
        <v>21.0</v>
      </c>
      <c r="B25" s="17">
        <v>45607.0</v>
      </c>
      <c r="C25" s="18" t="s">
        <v>460</v>
      </c>
      <c r="D25" s="19">
        <v>52669.0</v>
      </c>
      <c r="E25" s="20" t="s">
        <v>147</v>
      </c>
      <c r="F25" s="21"/>
      <c r="G25" s="24"/>
      <c r="H25" s="22">
        <v>30200.0</v>
      </c>
      <c r="I25" s="29"/>
      <c r="J25" s="21"/>
      <c r="K25" s="37"/>
      <c r="L25" s="24"/>
      <c r="M25" s="24"/>
      <c r="N25" s="24"/>
      <c r="O25" s="22"/>
      <c r="P25" s="25">
        <v>30200.0</v>
      </c>
      <c r="Q25" s="26">
        <f t="shared" si="1"/>
        <v>0</v>
      </c>
      <c r="R25" s="49"/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71">
        <v>22.0</v>
      </c>
      <c r="B26" s="17">
        <v>45607.0</v>
      </c>
      <c r="C26" s="18" t="s">
        <v>461</v>
      </c>
      <c r="D26" s="19">
        <v>42046.0</v>
      </c>
      <c r="E26" s="20" t="s">
        <v>462</v>
      </c>
      <c r="F26" s="21"/>
      <c r="G26" s="24"/>
      <c r="H26" s="24"/>
      <c r="I26" s="29"/>
      <c r="J26" s="21"/>
      <c r="K26" s="37">
        <v>9.0</v>
      </c>
      <c r="L26" s="24"/>
      <c r="M26" s="24"/>
      <c r="N26" s="24"/>
      <c r="O26" s="22">
        <v>1991.0</v>
      </c>
      <c r="P26" s="25">
        <v>2000.0</v>
      </c>
      <c r="Q26" s="26">
        <f t="shared" si="1"/>
        <v>0</v>
      </c>
      <c r="R26" s="49"/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71">
        <v>23.0</v>
      </c>
      <c r="B27" s="17">
        <v>45607.0</v>
      </c>
      <c r="C27" s="18" t="s">
        <v>463</v>
      </c>
      <c r="D27" s="19">
        <v>57328.0</v>
      </c>
      <c r="E27" s="20" t="s">
        <v>120</v>
      </c>
      <c r="F27" s="21"/>
      <c r="G27" s="24"/>
      <c r="H27" s="22">
        <v>5450.0</v>
      </c>
      <c r="I27" s="29"/>
      <c r="J27" s="21"/>
      <c r="K27" s="37"/>
      <c r="L27" s="24"/>
      <c r="M27" s="24"/>
      <c r="N27" s="24"/>
      <c r="O27" s="22"/>
      <c r="P27" s="25">
        <v>5450.0</v>
      </c>
      <c r="Q27" s="26">
        <f t="shared" si="1"/>
        <v>0</v>
      </c>
      <c r="R27" s="49"/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71">
        <v>24.0</v>
      </c>
      <c r="B28" s="17">
        <v>45607.0</v>
      </c>
      <c r="C28" s="18" t="s">
        <v>464</v>
      </c>
      <c r="D28" s="19">
        <v>51017.0</v>
      </c>
      <c r="E28" s="20" t="s">
        <v>228</v>
      </c>
      <c r="F28" s="21"/>
      <c r="G28" s="24"/>
      <c r="H28" s="22">
        <v>17500.0</v>
      </c>
      <c r="I28" s="29"/>
      <c r="J28" s="21"/>
      <c r="K28" s="37"/>
      <c r="L28" s="24"/>
      <c r="M28" s="24"/>
      <c r="N28" s="24"/>
      <c r="O28" s="22"/>
      <c r="P28" s="25">
        <v>17500.0</v>
      </c>
      <c r="Q28" s="26">
        <f t="shared" si="1"/>
        <v>0</v>
      </c>
      <c r="R28" s="49"/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71">
        <v>25.0</v>
      </c>
      <c r="B29" s="17">
        <v>45607.0</v>
      </c>
      <c r="C29" s="18" t="s">
        <v>465</v>
      </c>
      <c r="D29" s="19">
        <v>24368.0</v>
      </c>
      <c r="E29" s="20" t="s">
        <v>455</v>
      </c>
      <c r="F29" s="21"/>
      <c r="G29" s="24"/>
      <c r="H29" s="24"/>
      <c r="I29" s="29"/>
      <c r="J29" s="21"/>
      <c r="K29" s="37">
        <v>735.0</v>
      </c>
      <c r="L29" s="24"/>
      <c r="M29" s="24"/>
      <c r="N29" s="24"/>
      <c r="O29" s="22">
        <v>465.0</v>
      </c>
      <c r="P29" s="25">
        <v>1200.0</v>
      </c>
      <c r="Q29" s="26">
        <f t="shared" si="1"/>
        <v>0</v>
      </c>
      <c r="R29" s="49"/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7.5" customHeight="1">
      <c r="A30" s="16"/>
      <c r="B30" s="50"/>
      <c r="C30" s="51"/>
      <c r="D30" s="52" t="s">
        <v>123</v>
      </c>
      <c r="E30" s="53"/>
      <c r="F30" s="54">
        <f t="shared" ref="F30:P30" si="2">SUM(F5:F29)</f>
        <v>2500</v>
      </c>
      <c r="G30" s="54">
        <f t="shared" si="2"/>
        <v>4500</v>
      </c>
      <c r="H30" s="54">
        <f t="shared" si="2"/>
        <v>63150</v>
      </c>
      <c r="I30" s="54">
        <f t="shared" si="2"/>
        <v>75779</v>
      </c>
      <c r="J30" s="54">
        <f t="shared" si="2"/>
        <v>37000</v>
      </c>
      <c r="K30" s="54">
        <f t="shared" si="2"/>
        <v>3409.5</v>
      </c>
      <c r="L30" s="54">
        <f t="shared" si="2"/>
        <v>0</v>
      </c>
      <c r="M30" s="54">
        <f t="shared" si="2"/>
        <v>5274</v>
      </c>
      <c r="N30" s="54">
        <f t="shared" si="2"/>
        <v>0</v>
      </c>
      <c r="O30" s="54">
        <f t="shared" si="2"/>
        <v>8048.5</v>
      </c>
      <c r="P30" s="54">
        <f t="shared" si="2"/>
        <v>199661</v>
      </c>
      <c r="Q30" s="55">
        <f>SUM(Q5:Q21)</f>
        <v>0</v>
      </c>
      <c r="R30" s="56"/>
      <c r="S30" s="27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</row>
    <row r="31" ht="58.5" customHeight="1">
      <c r="A31" s="57"/>
      <c r="B31" s="57"/>
      <c r="C31" s="58"/>
      <c r="D31" s="57"/>
      <c r="E31" s="57"/>
      <c r="F31" s="59">
        <f>F30+G30+H30+I30+J30+K30+L30+M30+N30+O30</f>
        <v>199661</v>
      </c>
      <c r="P31" s="60"/>
      <c r="Q31" s="60"/>
      <c r="R31" s="57"/>
      <c r="S31" s="57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</row>
    <row r="32" ht="15.75" customHeight="1">
      <c r="A32" s="4"/>
      <c r="B32" s="4"/>
      <c r="C32" s="61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61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62" t="s">
        <v>123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61"/>
      <c r="D35" s="4"/>
      <c r="E35" s="63" t="s">
        <v>124</v>
      </c>
      <c r="F35" s="64" t="s">
        <v>125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61"/>
      <c r="D36" s="4"/>
      <c r="E36" s="65" t="s">
        <v>126</v>
      </c>
      <c r="F36" s="64" t="s">
        <v>160</v>
      </c>
      <c r="G36" s="4"/>
      <c r="H36" s="4"/>
      <c r="I36" s="4"/>
      <c r="J36" s="4"/>
      <c r="K36" s="4"/>
      <c r="L36" s="4"/>
      <c r="M36" s="4"/>
      <c r="N36" s="4"/>
      <c r="O36" s="66" t="s">
        <v>123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61"/>
      <c r="D37" s="4"/>
      <c r="E37" s="65" t="s">
        <v>128</v>
      </c>
      <c r="F37" s="64" t="s">
        <v>129</v>
      </c>
      <c r="G37" s="4"/>
      <c r="H37" s="4"/>
      <c r="I37" s="67" t="s">
        <v>250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61"/>
      <c r="D38" s="4"/>
      <c r="E38" s="65" t="s">
        <v>130</v>
      </c>
      <c r="F38" s="64" t="s">
        <v>129</v>
      </c>
      <c r="G38" s="4"/>
      <c r="H38" s="4"/>
      <c r="I38" s="4"/>
      <c r="J38" s="4"/>
      <c r="K38" s="67" t="s">
        <v>123</v>
      </c>
      <c r="L38" s="67" t="s">
        <v>123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61"/>
      <c r="D39" s="4"/>
      <c r="E39" s="65" t="s">
        <v>131</v>
      </c>
      <c r="F39" s="64" t="s">
        <v>129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61"/>
      <c r="D40" s="4"/>
      <c r="E40" s="65" t="s">
        <v>466</v>
      </c>
      <c r="F40" s="64" t="s">
        <v>129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61"/>
      <c r="D41" s="4"/>
      <c r="E41" s="65" t="s">
        <v>134</v>
      </c>
      <c r="F41" s="64" t="s">
        <v>162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61"/>
      <c r="D42" s="4"/>
      <c r="E42" s="65" t="s">
        <v>135</v>
      </c>
      <c r="F42" s="68" t="s">
        <v>125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66" t="s">
        <v>123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61"/>
      <c r="D43" s="4"/>
      <c r="E43" s="4"/>
      <c r="F43" s="4"/>
      <c r="G43" s="4"/>
      <c r="H43" s="4"/>
      <c r="I43" s="4"/>
      <c r="J43" s="4"/>
      <c r="K43" s="4" t="str">
        <f>I72430</f>
        <v/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6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6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6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6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6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6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61"/>
      <c r="D50" s="4"/>
      <c r="E50" s="4"/>
      <c r="F50" s="4"/>
      <c r="G50" s="4"/>
      <c r="H50" s="4"/>
      <c r="I50" s="66" t="s">
        <v>136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6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1"/>
      <c r="D65" s="4"/>
      <c r="E65" s="4"/>
      <c r="F65" s="4"/>
      <c r="G65" s="4"/>
      <c r="H65" s="4"/>
      <c r="I65" s="4"/>
      <c r="J65" s="4"/>
      <c r="K65" s="4"/>
      <c r="L65" s="4"/>
      <c r="M65" s="4">
        <v>7.0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mergeCells count="17">
    <mergeCell ref="R2:R4"/>
    <mergeCell ref="S2:S4"/>
    <mergeCell ref="F3:F4"/>
    <mergeCell ref="G3:H3"/>
    <mergeCell ref="I3:J3"/>
    <mergeCell ref="K3:K4"/>
    <mergeCell ref="F31:O31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5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467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71">
        <v>1.0</v>
      </c>
      <c r="B5" s="17">
        <v>45607.0</v>
      </c>
      <c r="C5" s="18" t="s">
        <v>468</v>
      </c>
      <c r="D5" s="19">
        <v>35245.0</v>
      </c>
      <c r="E5" s="20" t="s">
        <v>237</v>
      </c>
      <c r="F5" s="24"/>
      <c r="G5" s="22">
        <v>1400.0</v>
      </c>
      <c r="H5" s="22"/>
      <c r="I5" s="29"/>
      <c r="J5" s="29"/>
      <c r="K5" s="22"/>
      <c r="L5" s="24"/>
      <c r="M5" s="29"/>
      <c r="N5" s="24"/>
      <c r="O5" s="24"/>
      <c r="P5" s="25">
        <v>1400.0</v>
      </c>
      <c r="Q5" s="26">
        <f t="shared" ref="Q5:Q42" si="1">F5+G5+H5+I5+J5+K5+L5+M5+N5+O5-P5</f>
        <v>0</v>
      </c>
      <c r="R5" s="25" t="s">
        <v>35</v>
      </c>
      <c r="S5" s="30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71">
        <v>2.0</v>
      </c>
      <c r="B6" s="17">
        <v>45608.0</v>
      </c>
      <c r="C6" s="18" t="s">
        <v>469</v>
      </c>
      <c r="D6" s="19">
        <v>59244.0</v>
      </c>
      <c r="E6" s="20" t="s">
        <v>470</v>
      </c>
      <c r="F6" s="24"/>
      <c r="G6" s="24"/>
      <c r="H6" s="24"/>
      <c r="I6" s="29">
        <v>250.0</v>
      </c>
      <c r="J6" s="29"/>
      <c r="K6" s="24"/>
      <c r="L6" s="24"/>
      <c r="M6" s="29"/>
      <c r="N6" s="24"/>
      <c r="O6" s="22"/>
      <c r="P6" s="25">
        <v>250.0</v>
      </c>
      <c r="Q6" s="26">
        <f t="shared" si="1"/>
        <v>0</v>
      </c>
      <c r="R6" s="25" t="s">
        <v>49</v>
      </c>
      <c r="S6" s="30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71">
        <v>3.0</v>
      </c>
      <c r="B7" s="17">
        <v>45608.0</v>
      </c>
      <c r="C7" s="18" t="s">
        <v>471</v>
      </c>
      <c r="D7" s="19">
        <v>62146.0</v>
      </c>
      <c r="E7" s="20" t="s">
        <v>421</v>
      </c>
      <c r="F7" s="22"/>
      <c r="G7" s="24"/>
      <c r="H7" s="22"/>
      <c r="I7" s="29">
        <v>350.0</v>
      </c>
      <c r="J7" s="29"/>
      <c r="K7" s="22"/>
      <c r="L7" s="24"/>
      <c r="M7" s="29"/>
      <c r="N7" s="24"/>
      <c r="O7" s="24"/>
      <c r="P7" s="25">
        <v>350.0</v>
      </c>
      <c r="Q7" s="26">
        <f t="shared" si="1"/>
        <v>0</v>
      </c>
      <c r="R7" s="25" t="s">
        <v>49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71">
        <v>4.0</v>
      </c>
      <c r="B8" s="17">
        <v>45608.0</v>
      </c>
      <c r="C8" s="18" t="s">
        <v>472</v>
      </c>
      <c r="D8" s="19">
        <v>46778.0</v>
      </c>
      <c r="E8" s="20" t="s">
        <v>473</v>
      </c>
      <c r="F8" s="22"/>
      <c r="G8" s="22"/>
      <c r="H8" s="22"/>
      <c r="I8" s="29"/>
      <c r="J8" s="29">
        <v>8000.0</v>
      </c>
      <c r="K8" s="22"/>
      <c r="L8" s="24"/>
      <c r="M8" s="29"/>
      <c r="N8" s="24"/>
      <c r="O8" s="24"/>
      <c r="P8" s="25">
        <v>8000.0</v>
      </c>
      <c r="Q8" s="26">
        <f t="shared" si="1"/>
        <v>0</v>
      </c>
      <c r="R8" s="25" t="s">
        <v>49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71">
        <v>5.0</v>
      </c>
      <c r="B9" s="17">
        <v>45608.0</v>
      </c>
      <c r="C9" s="18" t="s">
        <v>474</v>
      </c>
      <c r="D9" s="19">
        <v>43955.0</v>
      </c>
      <c r="E9" s="20" t="s">
        <v>475</v>
      </c>
      <c r="F9" s="22"/>
      <c r="G9" s="24"/>
      <c r="H9" s="22"/>
      <c r="I9" s="29">
        <v>2400.0</v>
      </c>
      <c r="J9" s="29"/>
      <c r="K9" s="22"/>
      <c r="L9" s="24"/>
      <c r="M9" s="29"/>
      <c r="N9" s="24"/>
      <c r="O9" s="24"/>
      <c r="P9" s="25">
        <v>2400.0</v>
      </c>
      <c r="Q9" s="26">
        <f t="shared" si="1"/>
        <v>0</v>
      </c>
      <c r="R9" s="25" t="s">
        <v>38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71">
        <v>6.0</v>
      </c>
      <c r="B10" s="17">
        <v>45608.0</v>
      </c>
      <c r="C10" s="18" t="s">
        <v>476</v>
      </c>
      <c r="D10" s="19">
        <v>78984.0</v>
      </c>
      <c r="E10" s="20" t="s">
        <v>477</v>
      </c>
      <c r="F10" s="22"/>
      <c r="G10" s="24"/>
      <c r="H10" s="22"/>
      <c r="I10" s="29">
        <v>5100.0</v>
      </c>
      <c r="J10" s="29"/>
      <c r="K10" s="22"/>
      <c r="L10" s="24"/>
      <c r="M10" s="29"/>
      <c r="N10" s="24"/>
      <c r="O10" s="24"/>
      <c r="P10" s="25">
        <v>5100.0</v>
      </c>
      <c r="Q10" s="26">
        <f t="shared" si="1"/>
        <v>0</v>
      </c>
      <c r="R10" s="25" t="s">
        <v>38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71">
        <v>7.0</v>
      </c>
      <c r="B11" s="17">
        <v>45608.0</v>
      </c>
      <c r="C11" s="18" t="s">
        <v>478</v>
      </c>
      <c r="D11" s="19">
        <v>43955.0</v>
      </c>
      <c r="E11" s="20" t="s">
        <v>475</v>
      </c>
      <c r="F11" s="22"/>
      <c r="G11" s="24"/>
      <c r="H11" s="22"/>
      <c r="I11" s="29">
        <v>2350.0</v>
      </c>
      <c r="J11" s="29"/>
      <c r="K11" s="22"/>
      <c r="L11" s="24"/>
      <c r="M11" s="29"/>
      <c r="N11" s="24"/>
      <c r="O11" s="24"/>
      <c r="P11" s="25">
        <v>2350.0</v>
      </c>
      <c r="Q11" s="26">
        <f t="shared" si="1"/>
        <v>0</v>
      </c>
      <c r="R11" s="25" t="s">
        <v>38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71">
        <v>8.0</v>
      </c>
      <c r="B12" s="17">
        <v>45608.0</v>
      </c>
      <c r="C12" s="18" t="s">
        <v>479</v>
      </c>
      <c r="D12" s="19">
        <v>69620.0</v>
      </c>
      <c r="E12" s="20" t="s">
        <v>360</v>
      </c>
      <c r="F12" s="22"/>
      <c r="G12" s="24"/>
      <c r="H12" s="22"/>
      <c r="I12" s="29"/>
      <c r="J12" s="29">
        <v>5000.0</v>
      </c>
      <c r="K12" s="22"/>
      <c r="L12" s="24"/>
      <c r="M12" s="29"/>
      <c r="N12" s="24"/>
      <c r="O12" s="24"/>
      <c r="P12" s="25">
        <v>5000.0</v>
      </c>
      <c r="Q12" s="26">
        <f t="shared" si="1"/>
        <v>0</v>
      </c>
      <c r="R12" s="25" t="s">
        <v>28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71">
        <v>9.0</v>
      </c>
      <c r="B13" s="17">
        <v>45608.0</v>
      </c>
      <c r="C13" s="18" t="s">
        <v>480</v>
      </c>
      <c r="D13" s="19">
        <v>69620.0</v>
      </c>
      <c r="E13" s="20" t="s">
        <v>360</v>
      </c>
      <c r="F13" s="22"/>
      <c r="G13" s="24"/>
      <c r="H13" s="22"/>
      <c r="I13" s="29"/>
      <c r="J13" s="29">
        <v>100.0</v>
      </c>
      <c r="K13" s="22"/>
      <c r="L13" s="24"/>
      <c r="M13" s="29"/>
      <c r="N13" s="24"/>
      <c r="O13" s="24"/>
      <c r="P13" s="25">
        <v>100.0</v>
      </c>
      <c r="Q13" s="26">
        <f t="shared" si="1"/>
        <v>0</v>
      </c>
      <c r="R13" s="25" t="s">
        <v>28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71">
        <v>10.0</v>
      </c>
      <c r="B14" s="17">
        <v>45608.0</v>
      </c>
      <c r="C14" s="18" t="s">
        <v>481</v>
      </c>
      <c r="D14" s="19">
        <v>36555.0</v>
      </c>
      <c r="E14" s="20" t="s">
        <v>106</v>
      </c>
      <c r="F14" s="22"/>
      <c r="G14" s="24"/>
      <c r="H14" s="24"/>
      <c r="I14" s="29">
        <v>100.0</v>
      </c>
      <c r="J14" s="29"/>
      <c r="K14" s="22">
        <v>200.0</v>
      </c>
      <c r="L14" s="24"/>
      <c r="M14" s="21"/>
      <c r="N14" s="24"/>
      <c r="O14" s="22"/>
      <c r="P14" s="25">
        <v>300.0</v>
      </c>
      <c r="Q14" s="26">
        <f t="shared" si="1"/>
        <v>0</v>
      </c>
      <c r="R14" s="25" t="s">
        <v>25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71">
        <v>11.0</v>
      </c>
      <c r="B15" s="17">
        <v>45608.0</v>
      </c>
      <c r="C15" s="18" t="s">
        <v>482</v>
      </c>
      <c r="D15" s="19">
        <v>48192.0</v>
      </c>
      <c r="E15" s="20" t="s">
        <v>483</v>
      </c>
      <c r="F15" s="21"/>
      <c r="G15" s="24"/>
      <c r="H15" s="24"/>
      <c r="I15" s="29">
        <v>4500.0</v>
      </c>
      <c r="J15" s="29"/>
      <c r="K15" s="37"/>
      <c r="L15" s="24"/>
      <c r="M15" s="24"/>
      <c r="N15" s="24"/>
      <c r="O15" s="22"/>
      <c r="P15" s="25">
        <v>4500.0</v>
      </c>
      <c r="Q15" s="26">
        <f t="shared" si="1"/>
        <v>0</v>
      </c>
      <c r="R15" s="25" t="s">
        <v>38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71">
        <v>12.0</v>
      </c>
      <c r="B16" s="17">
        <v>45608.0</v>
      </c>
      <c r="C16" s="18" t="s">
        <v>484</v>
      </c>
      <c r="D16" s="19">
        <v>53943.0</v>
      </c>
      <c r="E16" s="20" t="s">
        <v>485</v>
      </c>
      <c r="F16" s="21"/>
      <c r="G16" s="24"/>
      <c r="H16" s="24"/>
      <c r="I16" s="29">
        <v>3520.0</v>
      </c>
      <c r="J16" s="29"/>
      <c r="K16" s="37"/>
      <c r="L16" s="24"/>
      <c r="M16" s="24"/>
      <c r="N16" s="24"/>
      <c r="O16" s="22"/>
      <c r="P16" s="25">
        <v>3520.0</v>
      </c>
      <c r="Q16" s="26">
        <f t="shared" si="1"/>
        <v>0</v>
      </c>
      <c r="R16" s="25" t="s">
        <v>38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71">
        <v>13.0</v>
      </c>
      <c r="B17" s="17">
        <v>45608.0</v>
      </c>
      <c r="C17" s="18" t="s">
        <v>486</v>
      </c>
      <c r="D17" s="19">
        <v>51876.0</v>
      </c>
      <c r="E17" s="20" t="s">
        <v>151</v>
      </c>
      <c r="F17" s="21"/>
      <c r="G17" s="22"/>
      <c r="H17" s="24"/>
      <c r="I17" s="29">
        <v>11000.0</v>
      </c>
      <c r="J17" s="21"/>
      <c r="K17" s="37"/>
      <c r="L17" s="24"/>
      <c r="M17" s="24"/>
      <c r="N17" s="24"/>
      <c r="O17" s="22"/>
      <c r="P17" s="25">
        <v>11000.0</v>
      </c>
      <c r="Q17" s="26">
        <f t="shared" si="1"/>
        <v>0</v>
      </c>
      <c r="R17" s="25" t="s">
        <v>28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71">
        <v>14.0</v>
      </c>
      <c r="B18" s="17">
        <v>45608.0</v>
      </c>
      <c r="C18" s="18" t="s">
        <v>487</v>
      </c>
      <c r="D18" s="19">
        <v>58050.0</v>
      </c>
      <c r="E18" s="20" t="s">
        <v>383</v>
      </c>
      <c r="F18" s="21"/>
      <c r="G18" s="24"/>
      <c r="H18" s="24"/>
      <c r="I18" s="29"/>
      <c r="J18" s="29">
        <v>100.0</v>
      </c>
      <c r="K18" s="37"/>
      <c r="L18" s="24"/>
      <c r="M18" s="24"/>
      <c r="N18" s="24"/>
      <c r="O18" s="22"/>
      <c r="P18" s="25">
        <v>100.0</v>
      </c>
      <c r="Q18" s="26">
        <f t="shared" si="1"/>
        <v>0</v>
      </c>
      <c r="R18" s="25" t="s">
        <v>25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71">
        <v>15.0</v>
      </c>
      <c r="B19" s="17">
        <v>45608.0</v>
      </c>
      <c r="C19" s="18" t="s">
        <v>488</v>
      </c>
      <c r="D19" s="19">
        <v>25376.0</v>
      </c>
      <c r="E19" s="20" t="s">
        <v>489</v>
      </c>
      <c r="F19" s="21"/>
      <c r="G19" s="24"/>
      <c r="H19" s="24"/>
      <c r="I19" s="29"/>
      <c r="J19" s="29"/>
      <c r="K19" s="37"/>
      <c r="L19" s="24"/>
      <c r="M19" s="22">
        <v>4500.0</v>
      </c>
      <c r="N19" s="24"/>
      <c r="O19" s="22"/>
      <c r="P19" s="25">
        <v>4500.0</v>
      </c>
      <c r="Q19" s="26">
        <f t="shared" si="1"/>
        <v>0</v>
      </c>
      <c r="R19" s="25" t="s">
        <v>28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71">
        <v>16.0</v>
      </c>
      <c r="B20" s="17">
        <v>45608.0</v>
      </c>
      <c r="C20" s="18" t="s">
        <v>490</v>
      </c>
      <c r="D20" s="19">
        <v>61445.0</v>
      </c>
      <c r="E20" s="20" t="s">
        <v>491</v>
      </c>
      <c r="F20" s="21"/>
      <c r="G20" s="24"/>
      <c r="H20" s="24"/>
      <c r="I20" s="29"/>
      <c r="J20" s="29"/>
      <c r="K20" s="37"/>
      <c r="L20" s="24"/>
      <c r="M20" s="22">
        <v>19400.0</v>
      </c>
      <c r="N20" s="24"/>
      <c r="O20" s="22"/>
      <c r="P20" s="25">
        <v>19400.0</v>
      </c>
      <c r="Q20" s="26">
        <f t="shared" si="1"/>
        <v>0</v>
      </c>
      <c r="R20" s="25" t="s">
        <v>28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71">
        <v>17.0</v>
      </c>
      <c r="B21" s="17">
        <v>45608.0</v>
      </c>
      <c r="C21" s="18" t="s">
        <v>492</v>
      </c>
      <c r="D21" s="19">
        <v>85244.0</v>
      </c>
      <c r="E21" s="20" t="s">
        <v>493</v>
      </c>
      <c r="F21" s="21"/>
      <c r="G21" s="24"/>
      <c r="H21" s="24"/>
      <c r="I21" s="29">
        <v>300.0</v>
      </c>
      <c r="J21" s="21"/>
      <c r="K21" s="37"/>
      <c r="L21" s="24"/>
      <c r="M21" s="24"/>
      <c r="N21" s="24"/>
      <c r="O21" s="22"/>
      <c r="P21" s="25">
        <v>300.0</v>
      </c>
      <c r="Q21" s="26">
        <f t="shared" si="1"/>
        <v>0</v>
      </c>
      <c r="R21" s="25" t="s">
        <v>28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71">
        <v>18.0</v>
      </c>
      <c r="B22" s="17">
        <v>45608.0</v>
      </c>
      <c r="C22" s="18" t="s">
        <v>494</v>
      </c>
      <c r="D22" s="19">
        <v>78454.0</v>
      </c>
      <c r="E22" s="20" t="s">
        <v>495</v>
      </c>
      <c r="F22" s="21"/>
      <c r="G22" s="24"/>
      <c r="H22" s="24"/>
      <c r="I22" s="29">
        <v>2800.0</v>
      </c>
      <c r="J22" s="21"/>
      <c r="K22" s="37"/>
      <c r="L22" s="24"/>
      <c r="M22" s="24"/>
      <c r="N22" s="24"/>
      <c r="O22" s="22"/>
      <c r="P22" s="25">
        <v>2800.0</v>
      </c>
      <c r="Q22" s="26">
        <f t="shared" si="1"/>
        <v>0</v>
      </c>
      <c r="R22" s="25" t="s">
        <v>49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71">
        <v>19.0</v>
      </c>
      <c r="B23" s="17">
        <v>45608.0</v>
      </c>
      <c r="C23" s="18" t="s">
        <v>496</v>
      </c>
      <c r="D23" s="19">
        <v>85241.0</v>
      </c>
      <c r="E23" s="20" t="s">
        <v>497</v>
      </c>
      <c r="F23" s="21"/>
      <c r="G23" s="24"/>
      <c r="H23" s="24"/>
      <c r="I23" s="29">
        <v>50.0</v>
      </c>
      <c r="J23" s="21"/>
      <c r="K23" s="37"/>
      <c r="L23" s="24"/>
      <c r="M23" s="24"/>
      <c r="N23" s="24"/>
      <c r="O23" s="22"/>
      <c r="P23" s="25">
        <v>50.0</v>
      </c>
      <c r="Q23" s="26">
        <f t="shared" si="1"/>
        <v>0</v>
      </c>
      <c r="R23" s="25" t="s">
        <v>25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71">
        <v>20.0</v>
      </c>
      <c r="B24" s="17">
        <v>45608.0</v>
      </c>
      <c r="C24" s="18" t="s">
        <v>498</v>
      </c>
      <c r="D24" s="19">
        <v>69382.0</v>
      </c>
      <c r="E24" s="20" t="s">
        <v>499</v>
      </c>
      <c r="F24" s="21"/>
      <c r="G24" s="24"/>
      <c r="H24" s="22"/>
      <c r="I24" s="29">
        <v>100.0</v>
      </c>
      <c r="J24" s="21"/>
      <c r="K24" s="37"/>
      <c r="L24" s="24"/>
      <c r="M24" s="24"/>
      <c r="N24" s="24"/>
      <c r="O24" s="22"/>
      <c r="P24" s="25">
        <v>100.0</v>
      </c>
      <c r="Q24" s="26">
        <f t="shared" si="1"/>
        <v>0</v>
      </c>
      <c r="R24" s="25" t="s">
        <v>25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71">
        <v>21.0</v>
      </c>
      <c r="B25" s="17">
        <v>45608.0</v>
      </c>
      <c r="C25" s="18" t="s">
        <v>500</v>
      </c>
      <c r="D25" s="19">
        <v>24368.0</v>
      </c>
      <c r="E25" s="20" t="s">
        <v>455</v>
      </c>
      <c r="F25" s="21"/>
      <c r="G25" s="24"/>
      <c r="H25" s="22"/>
      <c r="I25" s="29">
        <v>4600.0</v>
      </c>
      <c r="J25" s="21"/>
      <c r="K25" s="37"/>
      <c r="L25" s="24"/>
      <c r="M25" s="24"/>
      <c r="N25" s="24"/>
      <c r="O25" s="22"/>
      <c r="P25" s="25">
        <v>4600.0</v>
      </c>
      <c r="Q25" s="26">
        <f t="shared" si="1"/>
        <v>0</v>
      </c>
      <c r="R25" s="25" t="s">
        <v>38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71">
        <v>22.0</v>
      </c>
      <c r="B26" s="17">
        <v>45608.0</v>
      </c>
      <c r="C26" s="18" t="s">
        <v>501</v>
      </c>
      <c r="D26" s="19">
        <v>21818.0</v>
      </c>
      <c r="E26" s="20" t="s">
        <v>196</v>
      </c>
      <c r="F26" s="21"/>
      <c r="G26" s="24"/>
      <c r="H26" s="24"/>
      <c r="I26" s="29"/>
      <c r="J26" s="21"/>
      <c r="K26" s="37">
        <v>5000.0</v>
      </c>
      <c r="L26" s="24"/>
      <c r="M26" s="24"/>
      <c r="N26" s="24"/>
      <c r="O26" s="22"/>
      <c r="P26" s="25">
        <v>5000.0</v>
      </c>
      <c r="Q26" s="26">
        <f t="shared" si="1"/>
        <v>0</v>
      </c>
      <c r="R26" s="25" t="s">
        <v>28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71">
        <v>23.0</v>
      </c>
      <c r="B27" s="17">
        <v>45608.0</v>
      </c>
      <c r="C27" s="18" t="s">
        <v>502</v>
      </c>
      <c r="D27" s="19">
        <v>21818.0</v>
      </c>
      <c r="E27" s="20" t="s">
        <v>196</v>
      </c>
      <c r="F27" s="21"/>
      <c r="G27" s="24"/>
      <c r="H27" s="22"/>
      <c r="I27" s="29"/>
      <c r="J27" s="21"/>
      <c r="K27" s="37">
        <v>2000.0</v>
      </c>
      <c r="L27" s="24"/>
      <c r="M27" s="24"/>
      <c r="N27" s="24"/>
      <c r="O27" s="22"/>
      <c r="P27" s="25">
        <v>2000.0</v>
      </c>
      <c r="Q27" s="26">
        <f t="shared" si="1"/>
        <v>0</v>
      </c>
      <c r="R27" s="25" t="s">
        <v>28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71">
        <v>24.0</v>
      </c>
      <c r="B28" s="17">
        <v>45608.0</v>
      </c>
      <c r="C28" s="18" t="s">
        <v>503</v>
      </c>
      <c r="D28" s="19">
        <v>56980.0</v>
      </c>
      <c r="E28" s="20" t="s">
        <v>504</v>
      </c>
      <c r="F28" s="21"/>
      <c r="G28" s="22"/>
      <c r="H28" s="22">
        <v>10000.0</v>
      </c>
      <c r="I28" s="29"/>
      <c r="J28" s="21"/>
      <c r="K28" s="37"/>
      <c r="L28" s="24"/>
      <c r="M28" s="24"/>
      <c r="N28" s="24"/>
      <c r="O28" s="22"/>
      <c r="P28" s="25">
        <v>10000.0</v>
      </c>
      <c r="Q28" s="26">
        <f t="shared" si="1"/>
        <v>0</v>
      </c>
      <c r="R28" s="25" t="s">
        <v>25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71">
        <v>25.0</v>
      </c>
      <c r="B29" s="17">
        <v>45607.0</v>
      </c>
      <c r="C29" s="18" t="s">
        <v>505</v>
      </c>
      <c r="D29" s="19">
        <v>53634.0</v>
      </c>
      <c r="E29" s="20" t="s">
        <v>506</v>
      </c>
      <c r="F29" s="21"/>
      <c r="G29" s="24"/>
      <c r="H29" s="24"/>
      <c r="I29" s="29"/>
      <c r="J29" s="21"/>
      <c r="K29" s="37"/>
      <c r="L29" s="24"/>
      <c r="M29" s="24"/>
      <c r="N29" s="24"/>
      <c r="O29" s="22">
        <v>1200.0</v>
      </c>
      <c r="P29" s="25">
        <v>1200.0</v>
      </c>
      <c r="Q29" s="26">
        <f t="shared" si="1"/>
        <v>0</v>
      </c>
      <c r="R29" s="49"/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71">
        <v>26.0</v>
      </c>
      <c r="B30" s="17">
        <v>45607.0</v>
      </c>
      <c r="C30" s="18" t="s">
        <v>507</v>
      </c>
      <c r="D30" s="19">
        <v>35245.0</v>
      </c>
      <c r="E30" s="20" t="s">
        <v>237</v>
      </c>
      <c r="F30" s="21"/>
      <c r="G30" s="24"/>
      <c r="H30" s="24"/>
      <c r="I30" s="29"/>
      <c r="J30" s="21"/>
      <c r="K30" s="37"/>
      <c r="L30" s="24"/>
      <c r="M30" s="24"/>
      <c r="N30" s="24"/>
      <c r="O30" s="22">
        <v>4000.0</v>
      </c>
      <c r="P30" s="25">
        <v>4000.0</v>
      </c>
      <c r="Q30" s="26">
        <f t="shared" si="1"/>
        <v>0</v>
      </c>
      <c r="R30" s="49"/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71">
        <v>27.0</v>
      </c>
      <c r="B31" s="17">
        <v>45608.0</v>
      </c>
      <c r="C31" s="18" t="s">
        <v>508</v>
      </c>
      <c r="D31" s="19">
        <v>43955.0</v>
      </c>
      <c r="E31" s="20" t="s">
        <v>475</v>
      </c>
      <c r="F31" s="21"/>
      <c r="G31" s="24"/>
      <c r="H31" s="24"/>
      <c r="I31" s="29"/>
      <c r="J31" s="21"/>
      <c r="K31" s="37"/>
      <c r="L31" s="24"/>
      <c r="M31" s="24"/>
      <c r="N31" s="24"/>
      <c r="O31" s="22">
        <v>2400.0</v>
      </c>
      <c r="P31" s="25">
        <v>2400.0</v>
      </c>
      <c r="Q31" s="26">
        <f t="shared" si="1"/>
        <v>0</v>
      </c>
      <c r="R31" s="49"/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71">
        <v>28.0</v>
      </c>
      <c r="B32" s="17">
        <v>45608.0</v>
      </c>
      <c r="C32" s="18" t="s">
        <v>509</v>
      </c>
      <c r="D32" s="19">
        <v>85241.0</v>
      </c>
      <c r="E32" s="20" t="s">
        <v>497</v>
      </c>
      <c r="F32" s="21"/>
      <c r="G32" s="24"/>
      <c r="H32" s="24"/>
      <c r="I32" s="29"/>
      <c r="J32" s="21"/>
      <c r="K32" s="37"/>
      <c r="L32" s="24"/>
      <c r="M32" s="22">
        <v>300.0</v>
      </c>
      <c r="N32" s="24"/>
      <c r="O32" s="22"/>
      <c r="P32" s="25">
        <v>300.0</v>
      </c>
      <c r="Q32" s="26">
        <f t="shared" si="1"/>
        <v>0</v>
      </c>
      <c r="R32" s="49"/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71">
        <v>29.0</v>
      </c>
      <c r="B33" s="17">
        <v>45608.0</v>
      </c>
      <c r="C33" s="18" t="s">
        <v>510</v>
      </c>
      <c r="D33" s="19">
        <v>36555.0</v>
      </c>
      <c r="E33" s="20" t="s">
        <v>106</v>
      </c>
      <c r="F33" s="21"/>
      <c r="G33" s="24"/>
      <c r="H33" s="22">
        <v>4500.0</v>
      </c>
      <c r="I33" s="29"/>
      <c r="J33" s="21"/>
      <c r="K33" s="37"/>
      <c r="L33" s="24"/>
      <c r="M33" s="24"/>
      <c r="N33" s="24"/>
      <c r="O33" s="22"/>
      <c r="P33" s="25">
        <v>4500.0</v>
      </c>
      <c r="Q33" s="26">
        <f t="shared" si="1"/>
        <v>0</v>
      </c>
      <c r="R33" s="49"/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71">
        <v>30.0</v>
      </c>
      <c r="B34" s="17">
        <v>45608.0</v>
      </c>
      <c r="C34" s="18" t="s">
        <v>511</v>
      </c>
      <c r="D34" s="19">
        <v>37642.0</v>
      </c>
      <c r="E34" s="20" t="s">
        <v>261</v>
      </c>
      <c r="F34" s="21"/>
      <c r="G34" s="24"/>
      <c r="H34" s="22">
        <v>16250.0</v>
      </c>
      <c r="I34" s="29"/>
      <c r="J34" s="21"/>
      <c r="K34" s="37"/>
      <c r="L34" s="24"/>
      <c r="M34" s="24"/>
      <c r="N34" s="24"/>
      <c r="O34" s="22"/>
      <c r="P34" s="25">
        <v>16250.0</v>
      </c>
      <c r="Q34" s="26">
        <f t="shared" si="1"/>
        <v>0</v>
      </c>
      <c r="R34" s="49"/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71">
        <v>31.0</v>
      </c>
      <c r="B35" s="17">
        <v>45608.0</v>
      </c>
      <c r="C35" s="18" t="s">
        <v>512</v>
      </c>
      <c r="D35" s="19">
        <v>69620.0</v>
      </c>
      <c r="E35" s="20" t="s">
        <v>360</v>
      </c>
      <c r="F35" s="21"/>
      <c r="G35" s="24"/>
      <c r="H35" s="24"/>
      <c r="I35" s="29"/>
      <c r="J35" s="21"/>
      <c r="K35" s="37"/>
      <c r="L35" s="24"/>
      <c r="M35" s="24"/>
      <c r="N35" s="24"/>
      <c r="O35" s="22">
        <v>1200.0</v>
      </c>
      <c r="P35" s="25">
        <v>1200.0</v>
      </c>
      <c r="Q35" s="26">
        <f t="shared" si="1"/>
        <v>0</v>
      </c>
      <c r="R35" s="49"/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71">
        <v>32.0</v>
      </c>
      <c r="B36" s="17">
        <v>45608.0</v>
      </c>
      <c r="C36" s="18" t="s">
        <v>513</v>
      </c>
      <c r="D36" s="19">
        <v>54426.0</v>
      </c>
      <c r="E36" s="20" t="s">
        <v>514</v>
      </c>
      <c r="F36" s="21"/>
      <c r="G36" s="24"/>
      <c r="H36" s="24"/>
      <c r="I36" s="29"/>
      <c r="J36" s="21"/>
      <c r="K36" s="37"/>
      <c r="L36" s="24"/>
      <c r="M36" s="24"/>
      <c r="N36" s="24"/>
      <c r="O36" s="22">
        <v>6800.0</v>
      </c>
      <c r="P36" s="25">
        <v>6800.0</v>
      </c>
      <c r="Q36" s="26">
        <f t="shared" si="1"/>
        <v>0</v>
      </c>
      <c r="R36" s="49"/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71">
        <v>33.0</v>
      </c>
      <c r="B37" s="17">
        <v>45608.0</v>
      </c>
      <c r="C37" s="18" t="s">
        <v>515</v>
      </c>
      <c r="D37" s="19">
        <v>25376.0</v>
      </c>
      <c r="E37" s="20" t="s">
        <v>489</v>
      </c>
      <c r="F37" s="21"/>
      <c r="G37" s="24"/>
      <c r="H37" s="24"/>
      <c r="I37" s="29"/>
      <c r="J37" s="21"/>
      <c r="K37" s="37"/>
      <c r="L37" s="24"/>
      <c r="M37" s="24"/>
      <c r="N37" s="24"/>
      <c r="O37" s="22">
        <v>1200.0</v>
      </c>
      <c r="P37" s="25">
        <v>1200.0</v>
      </c>
      <c r="Q37" s="26">
        <f t="shared" si="1"/>
        <v>0</v>
      </c>
      <c r="R37" s="49"/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4.5" customHeight="1">
      <c r="A38" s="71">
        <v>34.0</v>
      </c>
      <c r="B38" s="17">
        <v>45608.0</v>
      </c>
      <c r="C38" s="18" t="s">
        <v>516</v>
      </c>
      <c r="D38" s="19">
        <v>61445.0</v>
      </c>
      <c r="E38" s="21" t="s">
        <v>491</v>
      </c>
      <c r="F38" s="21"/>
      <c r="G38" s="24"/>
      <c r="H38" s="24"/>
      <c r="I38" s="29"/>
      <c r="J38" s="21"/>
      <c r="K38" s="37"/>
      <c r="L38" s="24"/>
      <c r="M38" s="24"/>
      <c r="N38" s="24"/>
      <c r="O38" s="22">
        <v>800.0</v>
      </c>
      <c r="P38" s="25">
        <v>800.0</v>
      </c>
      <c r="Q38" s="26">
        <f t="shared" si="1"/>
        <v>0</v>
      </c>
      <c r="R38" s="49"/>
      <c r="S38" s="27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34.5" customHeight="1">
      <c r="A39" s="71">
        <v>35.0</v>
      </c>
      <c r="B39" s="17">
        <v>45608.0</v>
      </c>
      <c r="C39" s="18" t="s">
        <v>517</v>
      </c>
      <c r="D39" s="19">
        <v>68284.0</v>
      </c>
      <c r="E39" s="20" t="s">
        <v>518</v>
      </c>
      <c r="F39" s="21"/>
      <c r="G39" s="24"/>
      <c r="H39" s="22">
        <v>12700.0</v>
      </c>
      <c r="I39" s="29"/>
      <c r="J39" s="21"/>
      <c r="K39" s="37"/>
      <c r="L39" s="24"/>
      <c r="M39" s="24"/>
      <c r="N39" s="24"/>
      <c r="O39" s="22"/>
      <c r="P39" s="25">
        <v>12700.0</v>
      </c>
      <c r="Q39" s="26">
        <f t="shared" si="1"/>
        <v>0</v>
      </c>
      <c r="R39" s="49"/>
      <c r="S39" s="27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34.5" customHeight="1">
      <c r="A40" s="71">
        <v>36.0</v>
      </c>
      <c r="B40" s="17">
        <v>45608.0</v>
      </c>
      <c r="C40" s="18" t="s">
        <v>519</v>
      </c>
      <c r="D40" s="19">
        <v>77307.0</v>
      </c>
      <c r="E40" s="20" t="s">
        <v>520</v>
      </c>
      <c r="F40" s="21"/>
      <c r="G40" s="24"/>
      <c r="H40" s="24"/>
      <c r="I40" s="29"/>
      <c r="J40" s="21"/>
      <c r="K40" s="37">
        <v>4500.0</v>
      </c>
      <c r="L40" s="24"/>
      <c r="M40" s="24"/>
      <c r="N40" s="24"/>
      <c r="O40" s="22"/>
      <c r="P40" s="25">
        <v>4500.0</v>
      </c>
      <c r="Q40" s="26">
        <f t="shared" si="1"/>
        <v>0</v>
      </c>
      <c r="R40" s="49"/>
      <c r="S40" s="27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34.5" customHeight="1">
      <c r="A41" s="71">
        <v>37.0</v>
      </c>
      <c r="B41" s="17">
        <v>45608.0</v>
      </c>
      <c r="C41" s="18" t="s">
        <v>521</v>
      </c>
      <c r="D41" s="19">
        <v>20541.0</v>
      </c>
      <c r="E41" s="20" t="s">
        <v>522</v>
      </c>
      <c r="F41" s="21"/>
      <c r="G41" s="24"/>
      <c r="H41" s="22">
        <v>4500.0</v>
      </c>
      <c r="I41" s="24"/>
      <c r="J41" s="24"/>
      <c r="K41" s="24"/>
      <c r="L41" s="24"/>
      <c r="M41" s="24"/>
      <c r="N41" s="24"/>
      <c r="O41" s="24"/>
      <c r="P41" s="25">
        <v>4500.0</v>
      </c>
      <c r="Q41" s="26">
        <f t="shared" si="1"/>
        <v>0</v>
      </c>
      <c r="R41" s="49"/>
      <c r="S41" s="27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34.5" customHeight="1">
      <c r="A42" s="71">
        <v>38.0</v>
      </c>
      <c r="B42" s="17">
        <v>45608.0</v>
      </c>
      <c r="C42" s="18" t="s">
        <v>523</v>
      </c>
      <c r="D42" s="19">
        <v>85246.0</v>
      </c>
      <c r="E42" s="20" t="s">
        <v>524</v>
      </c>
      <c r="F42" s="21"/>
      <c r="G42" s="24"/>
      <c r="H42" s="24"/>
      <c r="I42" s="24"/>
      <c r="J42" s="24"/>
      <c r="K42" s="22">
        <v>5450.0</v>
      </c>
      <c r="L42" s="24"/>
      <c r="M42" s="24"/>
      <c r="N42" s="24"/>
      <c r="O42" s="24"/>
      <c r="P42" s="25">
        <v>5450.0</v>
      </c>
      <c r="Q42" s="26">
        <f t="shared" si="1"/>
        <v>0</v>
      </c>
      <c r="R42" s="49"/>
      <c r="S42" s="27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34.5" customHeight="1">
      <c r="A43" s="71"/>
      <c r="B43" s="17"/>
      <c r="C43" s="18"/>
      <c r="D43" s="19"/>
      <c r="E43" s="20"/>
      <c r="F43" s="21"/>
      <c r="G43" s="24"/>
      <c r="H43" s="24"/>
      <c r="I43" s="29"/>
      <c r="J43" s="21"/>
      <c r="K43" s="37"/>
      <c r="L43" s="24"/>
      <c r="M43" s="24"/>
      <c r="N43" s="24"/>
      <c r="O43" s="22"/>
      <c r="P43" s="25"/>
      <c r="Q43" s="26"/>
      <c r="R43" s="49"/>
      <c r="S43" s="27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37.5" customHeight="1">
      <c r="A44" s="16"/>
      <c r="B44" s="50"/>
      <c r="C44" s="51"/>
      <c r="D44" s="52" t="s">
        <v>123</v>
      </c>
      <c r="E44" s="53"/>
      <c r="F44" s="54">
        <f t="shared" ref="F44:G44" si="2">SUM(F5:F29)</f>
        <v>0</v>
      </c>
      <c r="G44" s="54">
        <f t="shared" si="2"/>
        <v>1400</v>
      </c>
      <c r="H44" s="54">
        <f>SUM(H27:H43)</f>
        <v>47950</v>
      </c>
      <c r="I44" s="54">
        <f t="shared" ref="I44:K44" si="3">SUM(I5:I43)</f>
        <v>37420</v>
      </c>
      <c r="J44" s="54">
        <f t="shared" si="3"/>
        <v>13200</v>
      </c>
      <c r="K44" s="54">
        <f t="shared" si="3"/>
        <v>17150</v>
      </c>
      <c r="L44" s="54">
        <f>SUM(L5:L29)</f>
        <v>0</v>
      </c>
      <c r="M44" s="54">
        <f>SUM(M5:M43)</f>
        <v>24200</v>
      </c>
      <c r="N44" s="54">
        <f>SUM(N5:N29)</f>
        <v>0</v>
      </c>
      <c r="O44" s="54">
        <f>SUM(O5:O43)</f>
        <v>17600</v>
      </c>
      <c r="P44" s="54">
        <f>SUM(P5:P29)</f>
        <v>94320</v>
      </c>
      <c r="Q44" s="55">
        <f>SUM(Q5:Q21)</f>
        <v>0</v>
      </c>
      <c r="R44" s="56"/>
      <c r="S44" s="27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</row>
    <row r="45" ht="58.5" customHeight="1">
      <c r="A45" s="57"/>
      <c r="B45" s="57"/>
      <c r="C45" s="58"/>
      <c r="D45" s="57"/>
      <c r="E45" s="57"/>
      <c r="F45" s="59">
        <f>F44+G44+H44+I44+J44+K44+L44+M44+N44+O44</f>
        <v>158920</v>
      </c>
      <c r="P45" s="60"/>
      <c r="Q45" s="60"/>
      <c r="R45" s="57"/>
      <c r="S45" s="57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</row>
    <row r="46" ht="15.75" customHeight="1">
      <c r="A46" s="4"/>
      <c r="B46" s="4"/>
      <c r="C46" s="6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6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62" t="s">
        <v>123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61"/>
      <c r="D49" s="4"/>
      <c r="E49" s="63" t="s">
        <v>124</v>
      </c>
      <c r="F49" s="64" t="s">
        <v>160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61"/>
      <c r="D50" s="4"/>
      <c r="E50" s="65" t="s">
        <v>126</v>
      </c>
      <c r="F50" s="64" t="s">
        <v>525</v>
      </c>
      <c r="G50" s="4"/>
      <c r="H50" s="4"/>
      <c r="I50" s="4"/>
      <c r="J50" s="4"/>
      <c r="K50" s="4"/>
      <c r="L50" s="4"/>
      <c r="M50" s="4"/>
      <c r="N50" s="4"/>
      <c r="O50" s="66" t="s">
        <v>123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61"/>
      <c r="D51" s="4"/>
      <c r="E51" s="65" t="s">
        <v>128</v>
      </c>
      <c r="F51" s="64" t="s">
        <v>159</v>
      </c>
      <c r="G51" s="4"/>
      <c r="H51" s="4"/>
      <c r="I51" s="67" t="s">
        <v>250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26.25" customHeight="1">
      <c r="A52" s="4"/>
      <c r="B52" s="4"/>
      <c r="C52" s="61"/>
      <c r="D52" s="4"/>
      <c r="E52" s="65" t="s">
        <v>130</v>
      </c>
      <c r="F52" s="64" t="s">
        <v>127</v>
      </c>
      <c r="G52" s="4"/>
      <c r="H52" s="4"/>
      <c r="I52" s="4"/>
      <c r="J52" s="4"/>
      <c r="K52" s="67" t="s">
        <v>123</v>
      </c>
      <c r="L52" s="67" t="s">
        <v>123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26.25" customHeight="1">
      <c r="A53" s="4"/>
      <c r="B53" s="4"/>
      <c r="C53" s="61"/>
      <c r="D53" s="4"/>
      <c r="E53" s="65" t="s">
        <v>131</v>
      </c>
      <c r="F53" s="64" t="s">
        <v>160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26.25" customHeight="1">
      <c r="A54" s="4"/>
      <c r="B54" s="4"/>
      <c r="C54" s="61"/>
      <c r="D54" s="4"/>
      <c r="E54" s="65" t="s">
        <v>526</v>
      </c>
      <c r="F54" s="64" t="s">
        <v>160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26.25" customHeight="1">
      <c r="A55" s="4"/>
      <c r="B55" s="4"/>
      <c r="C55" s="61"/>
      <c r="D55" s="4"/>
      <c r="E55" s="65" t="s">
        <v>134</v>
      </c>
      <c r="F55" s="64" t="s">
        <v>162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26.25" customHeight="1">
      <c r="A56" s="4"/>
      <c r="B56" s="4"/>
      <c r="C56" s="61"/>
      <c r="D56" s="4"/>
      <c r="E56" s="65" t="s">
        <v>135</v>
      </c>
      <c r="F56" s="68" t="s">
        <v>125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66" t="s">
        <v>123</v>
      </c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26.25" customHeight="1">
      <c r="A57" s="4"/>
      <c r="B57" s="4"/>
      <c r="C57" s="61"/>
      <c r="D57" s="4"/>
      <c r="E57" s="4"/>
      <c r="F57" s="4"/>
      <c r="G57" s="4"/>
      <c r="H57" s="4"/>
      <c r="I57" s="4"/>
      <c r="J57" s="4"/>
      <c r="K57" s="4" t="str">
        <f>I72444</f>
        <v/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26.25" customHeight="1">
      <c r="A58" s="4"/>
      <c r="B58" s="4"/>
      <c r="C58" s="6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1"/>
      <c r="D64" s="4"/>
      <c r="E64" s="4"/>
      <c r="F64" s="4"/>
      <c r="G64" s="4"/>
      <c r="H64" s="4"/>
      <c r="I64" s="66" t="s">
        <v>136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1"/>
      <c r="D79" s="4"/>
      <c r="E79" s="4"/>
      <c r="F79" s="4"/>
      <c r="G79" s="4"/>
      <c r="H79" s="4"/>
      <c r="I79" s="4"/>
      <c r="J79" s="4"/>
      <c r="K79" s="4"/>
      <c r="L79" s="4"/>
      <c r="M79" s="4">
        <v>7.0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6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6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6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6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6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6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6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6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6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6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61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17">
    <mergeCell ref="R2:R4"/>
    <mergeCell ref="S2:S4"/>
    <mergeCell ref="F3:F4"/>
    <mergeCell ref="G3:H3"/>
    <mergeCell ref="I3:J3"/>
    <mergeCell ref="K3:K4"/>
    <mergeCell ref="F45:O45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5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527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71">
        <v>1.0</v>
      </c>
      <c r="B5" s="17">
        <v>45609.0</v>
      </c>
      <c r="C5" s="18" t="s">
        <v>528</v>
      </c>
      <c r="D5" s="19">
        <v>59284.0</v>
      </c>
      <c r="E5" s="20" t="s">
        <v>529</v>
      </c>
      <c r="F5" s="24"/>
      <c r="G5" s="22"/>
      <c r="H5" s="22"/>
      <c r="I5" s="29">
        <v>10000.0</v>
      </c>
      <c r="J5" s="29"/>
      <c r="K5" s="22"/>
      <c r="L5" s="24"/>
      <c r="M5" s="29"/>
      <c r="N5" s="24"/>
      <c r="O5" s="24"/>
      <c r="P5" s="25">
        <v>10000.0</v>
      </c>
      <c r="Q5" s="26">
        <f t="shared" ref="Q5:Q22" si="1">F5+G5+H5+I5+J5+K5+L5+M5+N5+O5-P5</f>
        <v>0</v>
      </c>
      <c r="R5" s="25" t="s">
        <v>28</v>
      </c>
      <c r="S5" s="30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71">
        <v>2.0</v>
      </c>
      <c r="B6" s="17">
        <v>45609.0</v>
      </c>
      <c r="C6" s="18" t="s">
        <v>530</v>
      </c>
      <c r="D6" s="19">
        <v>62146.0</v>
      </c>
      <c r="E6" s="20" t="s">
        <v>421</v>
      </c>
      <c r="F6" s="24"/>
      <c r="G6" s="24"/>
      <c r="H6" s="24"/>
      <c r="I6" s="29">
        <v>5000.0</v>
      </c>
      <c r="J6" s="29"/>
      <c r="K6" s="24"/>
      <c r="L6" s="24"/>
      <c r="M6" s="29"/>
      <c r="N6" s="24"/>
      <c r="O6" s="22"/>
      <c r="P6" s="25">
        <v>5000.0</v>
      </c>
      <c r="Q6" s="26">
        <f t="shared" si="1"/>
        <v>0</v>
      </c>
      <c r="R6" s="25" t="s">
        <v>49</v>
      </c>
      <c r="S6" s="30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71">
        <v>3.0</v>
      </c>
      <c r="B7" s="17">
        <v>45609.0</v>
      </c>
      <c r="C7" s="18" t="s">
        <v>531</v>
      </c>
      <c r="D7" s="19">
        <v>82083.0</v>
      </c>
      <c r="E7" s="20" t="s">
        <v>532</v>
      </c>
      <c r="F7" s="22"/>
      <c r="G7" s="24"/>
      <c r="H7" s="22"/>
      <c r="I7" s="29">
        <v>1550.0</v>
      </c>
      <c r="J7" s="29"/>
      <c r="K7" s="22"/>
      <c r="L7" s="24"/>
      <c r="M7" s="29"/>
      <c r="N7" s="24"/>
      <c r="O7" s="24"/>
      <c r="P7" s="25">
        <v>1550.0</v>
      </c>
      <c r="Q7" s="26">
        <f t="shared" si="1"/>
        <v>0</v>
      </c>
      <c r="R7" s="25" t="s">
        <v>38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71">
        <v>4.0</v>
      </c>
      <c r="B8" s="17">
        <v>45609.0</v>
      </c>
      <c r="C8" s="18" t="s">
        <v>533</v>
      </c>
      <c r="D8" s="19">
        <v>26831.0</v>
      </c>
      <c r="E8" s="20" t="s">
        <v>534</v>
      </c>
      <c r="F8" s="22"/>
      <c r="G8" s="22"/>
      <c r="H8" s="22"/>
      <c r="I8" s="29"/>
      <c r="J8" s="29">
        <v>2600.0</v>
      </c>
      <c r="K8" s="22"/>
      <c r="L8" s="24"/>
      <c r="M8" s="29"/>
      <c r="N8" s="24"/>
      <c r="O8" s="24"/>
      <c r="P8" s="25">
        <v>2600.0</v>
      </c>
      <c r="Q8" s="26">
        <f t="shared" si="1"/>
        <v>0</v>
      </c>
      <c r="R8" s="25" t="s">
        <v>38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71">
        <v>5.0</v>
      </c>
      <c r="B9" s="17">
        <v>45609.0</v>
      </c>
      <c r="C9" s="18" t="s">
        <v>535</v>
      </c>
      <c r="D9" s="19">
        <v>81108.0</v>
      </c>
      <c r="E9" s="20" t="s">
        <v>536</v>
      </c>
      <c r="F9" s="22"/>
      <c r="G9" s="24"/>
      <c r="H9" s="22"/>
      <c r="I9" s="29">
        <v>19100.0</v>
      </c>
      <c r="J9" s="29"/>
      <c r="K9" s="22"/>
      <c r="L9" s="24"/>
      <c r="M9" s="29"/>
      <c r="N9" s="24"/>
      <c r="O9" s="24"/>
      <c r="P9" s="25">
        <v>19100.0</v>
      </c>
      <c r="Q9" s="26">
        <f t="shared" si="1"/>
        <v>0</v>
      </c>
      <c r="R9" s="25" t="s">
        <v>28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71">
        <v>6.0</v>
      </c>
      <c r="B10" s="17">
        <v>45609.0</v>
      </c>
      <c r="C10" s="18" t="s">
        <v>537</v>
      </c>
      <c r="D10" s="19">
        <v>26831.0</v>
      </c>
      <c r="E10" s="20" t="s">
        <v>534</v>
      </c>
      <c r="F10" s="22"/>
      <c r="G10" s="24"/>
      <c r="H10" s="22"/>
      <c r="I10" s="29"/>
      <c r="J10" s="29">
        <v>280.0</v>
      </c>
      <c r="K10" s="22"/>
      <c r="L10" s="24"/>
      <c r="M10" s="29"/>
      <c r="N10" s="24"/>
      <c r="O10" s="24"/>
      <c r="P10" s="25">
        <v>280.0</v>
      </c>
      <c r="Q10" s="26">
        <f t="shared" si="1"/>
        <v>0</v>
      </c>
      <c r="R10" s="25" t="s">
        <v>38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71">
        <v>7.0</v>
      </c>
      <c r="B11" s="17">
        <v>45609.0</v>
      </c>
      <c r="C11" s="18" t="s">
        <v>538</v>
      </c>
      <c r="D11" s="19">
        <v>34920.0</v>
      </c>
      <c r="E11" s="20" t="s">
        <v>539</v>
      </c>
      <c r="F11" s="22"/>
      <c r="G11" s="24"/>
      <c r="H11" s="22"/>
      <c r="I11" s="29">
        <v>1590.0</v>
      </c>
      <c r="J11" s="29"/>
      <c r="K11" s="22"/>
      <c r="L11" s="24"/>
      <c r="M11" s="29"/>
      <c r="N11" s="24"/>
      <c r="O11" s="24"/>
      <c r="P11" s="25">
        <v>1590.0</v>
      </c>
      <c r="Q11" s="26">
        <f t="shared" si="1"/>
        <v>0</v>
      </c>
      <c r="R11" s="25" t="s">
        <v>28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71">
        <v>8.0</v>
      </c>
      <c r="B12" s="17">
        <v>45609.0</v>
      </c>
      <c r="C12" s="18" t="s">
        <v>540</v>
      </c>
      <c r="D12" s="19">
        <v>80315.0</v>
      </c>
      <c r="E12" s="20" t="s">
        <v>541</v>
      </c>
      <c r="F12" s="22"/>
      <c r="G12" s="24"/>
      <c r="H12" s="22"/>
      <c r="I12" s="29">
        <v>2950.0</v>
      </c>
      <c r="J12" s="29"/>
      <c r="K12" s="22"/>
      <c r="L12" s="24"/>
      <c r="M12" s="29"/>
      <c r="N12" s="24"/>
      <c r="O12" s="24"/>
      <c r="P12" s="25">
        <v>2950.0</v>
      </c>
      <c r="Q12" s="26">
        <f t="shared" si="1"/>
        <v>0</v>
      </c>
      <c r="R12" s="25" t="s">
        <v>28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71">
        <v>9.0</v>
      </c>
      <c r="B13" s="17">
        <v>45609.0</v>
      </c>
      <c r="C13" s="18" t="s">
        <v>542</v>
      </c>
      <c r="D13" s="19">
        <v>30895.0</v>
      </c>
      <c r="E13" s="20" t="s">
        <v>75</v>
      </c>
      <c r="F13" s="22"/>
      <c r="G13" s="24"/>
      <c r="H13" s="22"/>
      <c r="I13" s="29"/>
      <c r="J13" s="29"/>
      <c r="K13" s="22">
        <v>19000.0</v>
      </c>
      <c r="L13" s="24"/>
      <c r="M13" s="29"/>
      <c r="N13" s="24"/>
      <c r="O13" s="24"/>
      <c r="P13" s="25">
        <v>19000.0</v>
      </c>
      <c r="Q13" s="26">
        <f t="shared" si="1"/>
        <v>0</v>
      </c>
      <c r="R13" s="25" t="s">
        <v>28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71">
        <v>10.0</v>
      </c>
      <c r="B14" s="17">
        <v>45609.0</v>
      </c>
      <c r="C14" s="18" t="s">
        <v>543</v>
      </c>
      <c r="D14" s="19">
        <v>42046.0</v>
      </c>
      <c r="E14" s="20" t="s">
        <v>462</v>
      </c>
      <c r="F14" s="22"/>
      <c r="G14" s="24"/>
      <c r="H14" s="24"/>
      <c r="I14" s="29"/>
      <c r="J14" s="29"/>
      <c r="K14" s="22">
        <v>50000.0</v>
      </c>
      <c r="L14" s="24"/>
      <c r="M14" s="21"/>
      <c r="N14" s="24"/>
      <c r="O14" s="22"/>
      <c r="P14" s="25">
        <v>50000.0</v>
      </c>
      <c r="Q14" s="26">
        <f t="shared" si="1"/>
        <v>0</v>
      </c>
      <c r="R14" s="25" t="s">
        <v>35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71">
        <v>11.0</v>
      </c>
      <c r="B15" s="17">
        <v>45609.0</v>
      </c>
      <c r="C15" s="18" t="s">
        <v>544</v>
      </c>
      <c r="D15" s="19">
        <v>69620.0</v>
      </c>
      <c r="E15" s="20" t="s">
        <v>360</v>
      </c>
      <c r="F15" s="21"/>
      <c r="G15" s="24"/>
      <c r="H15" s="24"/>
      <c r="I15" s="29"/>
      <c r="J15" s="29">
        <v>20000.0</v>
      </c>
      <c r="K15" s="37"/>
      <c r="L15" s="24"/>
      <c r="M15" s="24"/>
      <c r="N15" s="24"/>
      <c r="O15" s="22"/>
      <c r="P15" s="25">
        <v>20000.0</v>
      </c>
      <c r="Q15" s="26">
        <f t="shared" si="1"/>
        <v>0</v>
      </c>
      <c r="R15" s="25" t="s">
        <v>28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71">
        <v>12.0</v>
      </c>
      <c r="B16" s="17">
        <v>45609.0</v>
      </c>
      <c r="C16" s="18" t="s">
        <v>545</v>
      </c>
      <c r="D16" s="19">
        <v>80301.0</v>
      </c>
      <c r="E16" s="20" t="s">
        <v>546</v>
      </c>
      <c r="F16" s="21"/>
      <c r="G16" s="24"/>
      <c r="H16" s="24"/>
      <c r="I16" s="29"/>
      <c r="J16" s="29">
        <v>1500.0</v>
      </c>
      <c r="K16" s="37"/>
      <c r="L16" s="24"/>
      <c r="M16" s="24"/>
      <c r="N16" s="24"/>
      <c r="O16" s="22"/>
      <c r="P16" s="25">
        <v>1500.0</v>
      </c>
      <c r="Q16" s="26">
        <f t="shared" si="1"/>
        <v>0</v>
      </c>
      <c r="R16" s="25" t="s">
        <v>38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71">
        <v>13.0</v>
      </c>
      <c r="B17" s="17">
        <v>45609.0</v>
      </c>
      <c r="C17" s="18" t="s">
        <v>547</v>
      </c>
      <c r="D17" s="19">
        <v>85250.0</v>
      </c>
      <c r="E17" s="20" t="s">
        <v>548</v>
      </c>
      <c r="F17" s="21"/>
      <c r="G17" s="22"/>
      <c r="H17" s="24"/>
      <c r="I17" s="29"/>
      <c r="J17" s="21"/>
      <c r="K17" s="37"/>
      <c r="L17" s="24"/>
      <c r="M17" s="22">
        <v>300.0</v>
      </c>
      <c r="N17" s="24"/>
      <c r="O17" s="22"/>
      <c r="P17" s="25">
        <v>300.0</v>
      </c>
      <c r="Q17" s="26">
        <f t="shared" si="1"/>
        <v>0</v>
      </c>
      <c r="R17" s="25" t="s">
        <v>35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71">
        <v>14.0</v>
      </c>
      <c r="B18" s="17">
        <v>45609.0</v>
      </c>
      <c r="C18" s="18" t="s">
        <v>549</v>
      </c>
      <c r="D18" s="19">
        <v>84490.0</v>
      </c>
      <c r="E18" s="20" t="s">
        <v>550</v>
      </c>
      <c r="F18" s="21"/>
      <c r="G18" s="22">
        <v>8880.0</v>
      </c>
      <c r="H18" s="24"/>
      <c r="I18" s="29"/>
      <c r="J18" s="29"/>
      <c r="K18" s="37"/>
      <c r="L18" s="24"/>
      <c r="M18" s="24"/>
      <c r="N18" s="24"/>
      <c r="O18" s="22"/>
      <c r="P18" s="25">
        <v>8880.0</v>
      </c>
      <c r="Q18" s="26">
        <f t="shared" si="1"/>
        <v>0</v>
      </c>
      <c r="R18" s="25" t="s">
        <v>28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71">
        <v>15.0</v>
      </c>
      <c r="B19" s="17">
        <v>45609.0</v>
      </c>
      <c r="C19" s="18" t="s">
        <v>551</v>
      </c>
      <c r="D19" s="19">
        <v>85251.0</v>
      </c>
      <c r="E19" s="20" t="s">
        <v>552</v>
      </c>
      <c r="F19" s="21"/>
      <c r="G19" s="22">
        <v>300.0</v>
      </c>
      <c r="H19" s="24"/>
      <c r="I19" s="29"/>
      <c r="J19" s="29"/>
      <c r="K19" s="37"/>
      <c r="L19" s="24"/>
      <c r="M19" s="22"/>
      <c r="N19" s="24"/>
      <c r="O19" s="22"/>
      <c r="P19" s="25">
        <v>300.0</v>
      </c>
      <c r="Q19" s="26">
        <f t="shared" si="1"/>
        <v>0</v>
      </c>
      <c r="R19" s="25" t="s">
        <v>35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71">
        <v>16.0</v>
      </c>
      <c r="B20" s="17">
        <v>45609.0</v>
      </c>
      <c r="C20" s="18" t="s">
        <v>553</v>
      </c>
      <c r="D20" s="19">
        <v>84490.0</v>
      </c>
      <c r="E20" s="20" t="s">
        <v>550</v>
      </c>
      <c r="F20" s="21"/>
      <c r="G20" s="24"/>
      <c r="H20" s="24"/>
      <c r="I20" s="29"/>
      <c r="J20" s="29"/>
      <c r="K20" s="37"/>
      <c r="L20" s="24"/>
      <c r="M20" s="22">
        <v>300.0</v>
      </c>
      <c r="N20" s="24"/>
      <c r="O20" s="22"/>
      <c r="P20" s="25">
        <v>300.0</v>
      </c>
      <c r="Q20" s="26">
        <f t="shared" si="1"/>
        <v>0</v>
      </c>
      <c r="R20" s="25" t="s">
        <v>35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71">
        <v>17.0</v>
      </c>
      <c r="B21" s="17">
        <v>45609.0</v>
      </c>
      <c r="C21" s="18" t="s">
        <v>554</v>
      </c>
      <c r="D21" s="19">
        <v>52669.0</v>
      </c>
      <c r="E21" s="20" t="s">
        <v>147</v>
      </c>
      <c r="F21" s="21"/>
      <c r="G21" s="24"/>
      <c r="H21" s="22">
        <v>2550.0</v>
      </c>
      <c r="I21" s="29"/>
      <c r="J21" s="21"/>
      <c r="K21" s="37"/>
      <c r="L21" s="24"/>
      <c r="M21" s="24"/>
      <c r="N21" s="24"/>
      <c r="O21" s="22"/>
      <c r="P21" s="25">
        <v>2550.0</v>
      </c>
      <c r="Q21" s="26">
        <f t="shared" si="1"/>
        <v>0</v>
      </c>
      <c r="R21" s="25"/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71">
        <v>18.0</v>
      </c>
      <c r="B22" s="17">
        <v>45609.0</v>
      </c>
      <c r="C22" s="18" t="s">
        <v>555</v>
      </c>
      <c r="D22" s="19">
        <v>84683.0</v>
      </c>
      <c r="E22" s="20" t="s">
        <v>81</v>
      </c>
      <c r="F22" s="21"/>
      <c r="G22" s="24"/>
      <c r="H22" s="24"/>
      <c r="I22" s="29"/>
      <c r="J22" s="21"/>
      <c r="K22" s="37"/>
      <c r="L22" s="24"/>
      <c r="M22" s="22">
        <v>140.0</v>
      </c>
      <c r="N22" s="24"/>
      <c r="O22" s="22"/>
      <c r="P22" s="25">
        <v>140.0</v>
      </c>
      <c r="Q22" s="26">
        <f t="shared" si="1"/>
        <v>0</v>
      </c>
      <c r="R22" s="25"/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71"/>
      <c r="B23" s="17"/>
      <c r="C23" s="18"/>
      <c r="D23" s="19"/>
      <c r="E23" s="20"/>
      <c r="F23" s="21"/>
      <c r="G23" s="24"/>
      <c r="H23" s="24"/>
      <c r="I23" s="29"/>
      <c r="J23" s="21"/>
      <c r="K23" s="37"/>
      <c r="L23" s="24"/>
      <c r="M23" s="24"/>
      <c r="N23" s="24"/>
      <c r="O23" s="22"/>
      <c r="P23" s="25"/>
      <c r="Q23" s="26"/>
      <c r="R23" s="49"/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7.5" customHeight="1">
      <c r="A24" s="16"/>
      <c r="B24" s="50"/>
      <c r="C24" s="51"/>
      <c r="D24" s="52" t="s">
        <v>123</v>
      </c>
      <c r="E24" s="53"/>
      <c r="F24" s="54">
        <f t="shared" ref="F24:O24" si="2">SUM(F5:F23)</f>
        <v>0</v>
      </c>
      <c r="G24" s="54">
        <f t="shared" si="2"/>
        <v>9180</v>
      </c>
      <c r="H24" s="54">
        <f t="shared" si="2"/>
        <v>2550</v>
      </c>
      <c r="I24" s="54">
        <f t="shared" si="2"/>
        <v>40190</v>
      </c>
      <c r="J24" s="54">
        <f t="shared" si="2"/>
        <v>24380</v>
      </c>
      <c r="K24" s="54">
        <f t="shared" si="2"/>
        <v>69000</v>
      </c>
      <c r="L24" s="54">
        <f t="shared" si="2"/>
        <v>0</v>
      </c>
      <c r="M24" s="54">
        <f t="shared" si="2"/>
        <v>740</v>
      </c>
      <c r="N24" s="54">
        <f t="shared" si="2"/>
        <v>0</v>
      </c>
      <c r="O24" s="54">
        <f t="shared" si="2"/>
        <v>0</v>
      </c>
      <c r="P24" s="54">
        <f>SUM(P5:P22)</f>
        <v>146040</v>
      </c>
      <c r="Q24" s="55">
        <f>SUM(Q5:Q21)</f>
        <v>0</v>
      </c>
      <c r="R24" s="56"/>
      <c r="S24" s="27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</row>
    <row r="25" ht="58.5" customHeight="1">
      <c r="A25" s="57"/>
      <c r="B25" s="57"/>
      <c r="C25" s="58"/>
      <c r="D25" s="57"/>
      <c r="E25" s="57"/>
      <c r="F25" s="59">
        <f>F24+G24+H24+I24+J24+K24+L24+M24+N24+O24</f>
        <v>146040</v>
      </c>
      <c r="P25" s="60"/>
      <c r="Q25" s="60"/>
      <c r="R25" s="57"/>
      <c r="S25" s="57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</row>
    <row r="26" ht="15.75" customHeight="1">
      <c r="A26" s="4"/>
      <c r="B26" s="4"/>
      <c r="C26" s="61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26.25" customHeight="1">
      <c r="A27" s="4"/>
      <c r="B27" s="4"/>
      <c r="C27" s="61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26.25" customHeight="1">
      <c r="A28" s="4"/>
      <c r="B28" s="4"/>
      <c r="C28" s="62" t="s">
        <v>123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26.25" customHeight="1">
      <c r="A29" s="4"/>
      <c r="B29" s="4"/>
      <c r="C29" s="61"/>
      <c r="D29" s="4"/>
      <c r="E29" s="63" t="s">
        <v>124</v>
      </c>
      <c r="F29" s="64" t="s">
        <v>125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26.25" customHeight="1">
      <c r="A30" s="4"/>
      <c r="B30" s="4"/>
      <c r="C30" s="61"/>
      <c r="D30" s="4"/>
      <c r="E30" s="65" t="s">
        <v>126</v>
      </c>
      <c r="F30" s="64" t="s">
        <v>127</v>
      </c>
      <c r="G30" s="4"/>
      <c r="H30" s="4"/>
      <c r="I30" s="4"/>
      <c r="J30" s="4"/>
      <c r="K30" s="4"/>
      <c r="L30" s="4"/>
      <c r="M30" s="4"/>
      <c r="N30" s="4"/>
      <c r="O30" s="66" t="s">
        <v>123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26.25" customHeight="1">
      <c r="A31" s="4"/>
      <c r="B31" s="4"/>
      <c r="C31" s="61"/>
      <c r="D31" s="4"/>
      <c r="E31" s="65" t="s">
        <v>128</v>
      </c>
      <c r="F31" s="64" t="s">
        <v>129</v>
      </c>
      <c r="G31" s="4"/>
      <c r="H31" s="4"/>
      <c r="I31" s="67" t="s">
        <v>250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61"/>
      <c r="D32" s="4"/>
      <c r="E32" s="65" t="s">
        <v>130</v>
      </c>
      <c r="F32" s="64" t="s">
        <v>129</v>
      </c>
      <c r="G32" s="4"/>
      <c r="H32" s="4"/>
      <c r="I32" s="4"/>
      <c r="J32" s="4"/>
      <c r="K32" s="67" t="s">
        <v>123</v>
      </c>
      <c r="L32" s="67" t="s">
        <v>123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61"/>
      <c r="D33" s="4"/>
      <c r="E33" s="65" t="s">
        <v>131</v>
      </c>
      <c r="F33" s="64" t="s">
        <v>129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61"/>
      <c r="D34" s="4"/>
      <c r="E34" s="65" t="s">
        <v>556</v>
      </c>
      <c r="F34" s="64" t="s">
        <v>129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61"/>
      <c r="D35" s="4"/>
      <c r="E35" s="65" t="s">
        <v>134</v>
      </c>
      <c r="F35" s="64" t="s">
        <v>162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61"/>
      <c r="D36" s="4"/>
      <c r="E36" s="65" t="s">
        <v>135</v>
      </c>
      <c r="F36" s="68" t="s">
        <v>125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66" t="s">
        <v>123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61"/>
      <c r="D37" s="4"/>
      <c r="E37" s="4"/>
      <c r="F37" s="4"/>
      <c r="G37" s="4"/>
      <c r="H37" s="4"/>
      <c r="I37" s="4"/>
      <c r="J37" s="4"/>
      <c r="K37" s="4" t="str">
        <f>I72424</f>
        <v/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61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5.75" customHeight="1">
      <c r="A39" s="4"/>
      <c r="B39" s="4"/>
      <c r="C39" s="61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5.75" customHeight="1">
      <c r="A40" s="4"/>
      <c r="B40" s="4"/>
      <c r="C40" s="61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6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6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6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61"/>
      <c r="D44" s="4"/>
      <c r="E44" s="4"/>
      <c r="F44" s="4"/>
      <c r="G44" s="4"/>
      <c r="H44" s="4"/>
      <c r="I44" s="66" t="s">
        <v>136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6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6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6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6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6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6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6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1"/>
      <c r="D59" s="4"/>
      <c r="E59" s="4"/>
      <c r="F59" s="4"/>
      <c r="G59" s="4"/>
      <c r="H59" s="4"/>
      <c r="I59" s="4"/>
      <c r="J59" s="4"/>
      <c r="K59" s="4"/>
      <c r="L59" s="4"/>
      <c r="M59" s="4">
        <v>7.0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</sheetData>
  <mergeCells count="17">
    <mergeCell ref="R2:R4"/>
    <mergeCell ref="S2:S4"/>
    <mergeCell ref="F3:F4"/>
    <mergeCell ref="G3:H3"/>
    <mergeCell ref="I3:J3"/>
    <mergeCell ref="K3:K4"/>
    <mergeCell ref="F25:O25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5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557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71">
        <v>1.0</v>
      </c>
      <c r="B5" s="17">
        <v>45610.0</v>
      </c>
      <c r="C5" s="18" t="s">
        <v>558</v>
      </c>
      <c r="D5" s="19">
        <v>50557.0</v>
      </c>
      <c r="E5" s="20" t="s">
        <v>559</v>
      </c>
      <c r="F5" s="24"/>
      <c r="G5" s="22"/>
      <c r="H5" s="22"/>
      <c r="I5" s="29">
        <v>2500.0</v>
      </c>
      <c r="J5" s="29"/>
      <c r="K5" s="22"/>
      <c r="L5" s="24"/>
      <c r="M5" s="29"/>
      <c r="N5" s="24"/>
      <c r="O5" s="24"/>
      <c r="P5" s="25">
        <v>2500.0</v>
      </c>
      <c r="Q5" s="26">
        <f t="shared" ref="Q5:Q22" si="1">F5+G5+H5+I5+J5+K5+L5+M5+N5+O5-P5</f>
        <v>0</v>
      </c>
      <c r="R5" s="25" t="s">
        <v>49</v>
      </c>
      <c r="S5" s="30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71">
        <v>2.0</v>
      </c>
      <c r="B6" s="17">
        <v>45610.0</v>
      </c>
      <c r="C6" s="18" t="s">
        <v>560</v>
      </c>
      <c r="D6" s="19">
        <v>60026.0</v>
      </c>
      <c r="E6" s="20" t="s">
        <v>561</v>
      </c>
      <c r="F6" s="24"/>
      <c r="G6" s="24"/>
      <c r="H6" s="24"/>
      <c r="I6" s="29"/>
      <c r="J6" s="29">
        <v>2600.0</v>
      </c>
      <c r="K6" s="24"/>
      <c r="L6" s="24"/>
      <c r="M6" s="29"/>
      <c r="N6" s="24"/>
      <c r="O6" s="22"/>
      <c r="P6" s="25">
        <v>2600.0</v>
      </c>
      <c r="Q6" s="26">
        <f t="shared" si="1"/>
        <v>0</v>
      </c>
      <c r="R6" s="25" t="s">
        <v>28</v>
      </c>
      <c r="S6" s="30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71">
        <v>3.0</v>
      </c>
      <c r="B7" s="17">
        <v>45610.0</v>
      </c>
      <c r="C7" s="18" t="s">
        <v>562</v>
      </c>
      <c r="D7" s="19">
        <v>46654.0</v>
      </c>
      <c r="E7" s="20" t="s">
        <v>563</v>
      </c>
      <c r="F7" s="22"/>
      <c r="G7" s="24"/>
      <c r="H7" s="22"/>
      <c r="I7" s="29">
        <v>1300.0</v>
      </c>
      <c r="J7" s="29"/>
      <c r="K7" s="22"/>
      <c r="L7" s="24"/>
      <c r="M7" s="29"/>
      <c r="N7" s="24"/>
      <c r="O7" s="24"/>
      <c r="P7" s="25">
        <v>1300.0</v>
      </c>
      <c r="Q7" s="26">
        <f t="shared" si="1"/>
        <v>0</v>
      </c>
      <c r="R7" s="25" t="s">
        <v>25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71">
        <v>4.0</v>
      </c>
      <c r="B8" s="17">
        <v>45610.0</v>
      </c>
      <c r="C8" s="18" t="s">
        <v>564</v>
      </c>
      <c r="D8" s="19">
        <v>67909.0</v>
      </c>
      <c r="E8" s="20" t="s">
        <v>565</v>
      </c>
      <c r="F8" s="22"/>
      <c r="G8" s="22"/>
      <c r="H8" s="22"/>
      <c r="I8" s="29">
        <v>9500.0</v>
      </c>
      <c r="J8" s="29"/>
      <c r="K8" s="22"/>
      <c r="L8" s="24"/>
      <c r="M8" s="29"/>
      <c r="N8" s="24"/>
      <c r="O8" s="24"/>
      <c r="P8" s="25">
        <v>9500.0</v>
      </c>
      <c r="Q8" s="26">
        <f t="shared" si="1"/>
        <v>0</v>
      </c>
      <c r="R8" s="25" t="s">
        <v>28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71">
        <v>5.0</v>
      </c>
      <c r="B9" s="17">
        <v>45610.0</v>
      </c>
      <c r="C9" s="18" t="s">
        <v>566</v>
      </c>
      <c r="D9" s="19">
        <v>62146.0</v>
      </c>
      <c r="E9" s="20" t="s">
        <v>421</v>
      </c>
      <c r="F9" s="22"/>
      <c r="G9" s="24"/>
      <c r="H9" s="22"/>
      <c r="I9" s="29">
        <v>900.0</v>
      </c>
      <c r="J9" s="29"/>
      <c r="K9" s="22"/>
      <c r="L9" s="24"/>
      <c r="M9" s="29"/>
      <c r="N9" s="24"/>
      <c r="O9" s="24"/>
      <c r="P9" s="25">
        <v>900.0</v>
      </c>
      <c r="Q9" s="26">
        <f t="shared" si="1"/>
        <v>0</v>
      </c>
      <c r="R9" s="25" t="s">
        <v>38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71">
        <v>6.0</v>
      </c>
      <c r="B10" s="17">
        <v>45610.0</v>
      </c>
      <c r="C10" s="18" t="s">
        <v>567</v>
      </c>
      <c r="D10" s="19">
        <v>51040.0</v>
      </c>
      <c r="E10" s="20" t="s">
        <v>353</v>
      </c>
      <c r="F10" s="22"/>
      <c r="G10" s="24"/>
      <c r="H10" s="22"/>
      <c r="I10" s="29">
        <v>5010.0</v>
      </c>
      <c r="J10" s="29"/>
      <c r="K10" s="22"/>
      <c r="L10" s="24"/>
      <c r="M10" s="29"/>
      <c r="N10" s="24"/>
      <c r="O10" s="24"/>
      <c r="P10" s="25">
        <v>5010.0</v>
      </c>
      <c r="Q10" s="26">
        <f t="shared" si="1"/>
        <v>0</v>
      </c>
      <c r="R10" s="25" t="s">
        <v>25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71">
        <v>7.0</v>
      </c>
      <c r="B11" s="17">
        <v>45610.0</v>
      </c>
      <c r="C11" s="18" t="s">
        <v>568</v>
      </c>
      <c r="D11" s="19">
        <v>31738.0</v>
      </c>
      <c r="E11" s="20" t="s">
        <v>569</v>
      </c>
      <c r="F11" s="22"/>
      <c r="G11" s="24"/>
      <c r="H11" s="22"/>
      <c r="I11" s="29">
        <v>4600.0</v>
      </c>
      <c r="J11" s="29"/>
      <c r="K11" s="22"/>
      <c r="L11" s="24"/>
      <c r="M11" s="29"/>
      <c r="N11" s="24"/>
      <c r="O11" s="24"/>
      <c r="P11" s="25">
        <v>4600.0</v>
      </c>
      <c r="Q11" s="26">
        <f t="shared" si="1"/>
        <v>0</v>
      </c>
      <c r="R11" s="25" t="s">
        <v>35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71">
        <v>8.0</v>
      </c>
      <c r="B12" s="17">
        <v>45610.0</v>
      </c>
      <c r="C12" s="18" t="s">
        <v>570</v>
      </c>
      <c r="D12" s="19">
        <v>22341.0</v>
      </c>
      <c r="E12" s="20" t="s">
        <v>62</v>
      </c>
      <c r="F12" s="22"/>
      <c r="G12" s="24"/>
      <c r="H12" s="22"/>
      <c r="I12" s="29">
        <v>3000.0</v>
      </c>
      <c r="J12" s="29"/>
      <c r="K12" s="22"/>
      <c r="L12" s="24"/>
      <c r="M12" s="29"/>
      <c r="N12" s="24"/>
      <c r="O12" s="24"/>
      <c r="P12" s="25">
        <v>3000.0</v>
      </c>
      <c r="Q12" s="26">
        <f t="shared" si="1"/>
        <v>0</v>
      </c>
      <c r="R12" s="25" t="s">
        <v>49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71">
        <v>9.0</v>
      </c>
      <c r="B13" s="17">
        <v>45610.0</v>
      </c>
      <c r="C13" s="18" t="s">
        <v>571</v>
      </c>
      <c r="D13" s="19">
        <v>10249.0</v>
      </c>
      <c r="E13" s="20" t="s">
        <v>312</v>
      </c>
      <c r="F13" s="22"/>
      <c r="G13" s="22"/>
      <c r="H13" s="22"/>
      <c r="I13" s="29"/>
      <c r="J13" s="29">
        <v>600.0</v>
      </c>
      <c r="K13" s="22"/>
      <c r="L13" s="24"/>
      <c r="M13" s="29"/>
      <c r="N13" s="24"/>
      <c r="O13" s="24"/>
      <c r="P13" s="25">
        <v>600.0</v>
      </c>
      <c r="Q13" s="26">
        <f t="shared" si="1"/>
        <v>0</v>
      </c>
      <c r="R13" s="25" t="s">
        <v>49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71">
        <v>10.0</v>
      </c>
      <c r="B14" s="17">
        <v>45610.0</v>
      </c>
      <c r="C14" s="18" t="s">
        <v>572</v>
      </c>
      <c r="D14" s="19">
        <v>80437.0</v>
      </c>
      <c r="E14" s="20" t="s">
        <v>573</v>
      </c>
      <c r="F14" s="22"/>
      <c r="G14" s="22">
        <v>4500.0</v>
      </c>
      <c r="H14" s="24"/>
      <c r="I14" s="29"/>
      <c r="J14" s="29"/>
      <c r="K14" s="22"/>
      <c r="L14" s="24"/>
      <c r="M14" s="21"/>
      <c r="N14" s="24"/>
      <c r="O14" s="22"/>
      <c r="P14" s="25">
        <v>4500.0</v>
      </c>
      <c r="Q14" s="26">
        <f t="shared" si="1"/>
        <v>0</v>
      </c>
      <c r="R14" s="25" t="s">
        <v>28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71">
        <v>11.0</v>
      </c>
      <c r="B15" s="17">
        <v>45610.0</v>
      </c>
      <c r="C15" s="18" t="s">
        <v>574</v>
      </c>
      <c r="D15" s="19">
        <v>85257.0</v>
      </c>
      <c r="E15" s="20" t="s">
        <v>575</v>
      </c>
      <c r="F15" s="21"/>
      <c r="G15" s="24"/>
      <c r="H15" s="24"/>
      <c r="I15" s="29">
        <v>300.0</v>
      </c>
      <c r="J15" s="29"/>
      <c r="K15" s="37"/>
      <c r="L15" s="24"/>
      <c r="M15" s="24"/>
      <c r="N15" s="24"/>
      <c r="O15" s="22"/>
      <c r="P15" s="25">
        <v>300.0</v>
      </c>
      <c r="Q15" s="26">
        <f t="shared" si="1"/>
        <v>0</v>
      </c>
      <c r="R15" s="25" t="s">
        <v>25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71">
        <v>12.0</v>
      </c>
      <c r="B16" s="17">
        <v>45610.0</v>
      </c>
      <c r="C16" s="18" t="s">
        <v>576</v>
      </c>
      <c r="D16" s="19">
        <v>85258.0</v>
      </c>
      <c r="E16" s="20" t="s">
        <v>577</v>
      </c>
      <c r="F16" s="21"/>
      <c r="G16" s="24"/>
      <c r="H16" s="24"/>
      <c r="I16" s="29">
        <v>300.0</v>
      </c>
      <c r="J16" s="29"/>
      <c r="K16" s="37"/>
      <c r="L16" s="24"/>
      <c r="M16" s="24"/>
      <c r="N16" s="24"/>
      <c r="O16" s="22"/>
      <c r="P16" s="25">
        <v>300.0</v>
      </c>
      <c r="Q16" s="26">
        <f t="shared" si="1"/>
        <v>0</v>
      </c>
      <c r="R16" s="25" t="s">
        <v>25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71">
        <v>13.0</v>
      </c>
      <c r="B17" s="17">
        <v>45610.0</v>
      </c>
      <c r="C17" s="18" t="s">
        <v>578</v>
      </c>
      <c r="D17" s="19">
        <v>48973.0</v>
      </c>
      <c r="E17" s="20" t="s">
        <v>219</v>
      </c>
      <c r="F17" s="21"/>
      <c r="G17" s="22"/>
      <c r="H17" s="24"/>
      <c r="I17" s="29"/>
      <c r="J17" s="21"/>
      <c r="K17" s="37">
        <v>100.0</v>
      </c>
      <c r="L17" s="24"/>
      <c r="M17" s="22"/>
      <c r="N17" s="24"/>
      <c r="O17" s="22"/>
      <c r="P17" s="25">
        <v>100.0</v>
      </c>
      <c r="Q17" s="26">
        <f t="shared" si="1"/>
        <v>0</v>
      </c>
      <c r="R17" s="25" t="s">
        <v>38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71">
        <v>14.0</v>
      </c>
      <c r="B18" s="17">
        <v>45610.0</v>
      </c>
      <c r="C18" s="18" t="s">
        <v>579</v>
      </c>
      <c r="D18" s="19">
        <v>21828.0</v>
      </c>
      <c r="E18" s="20" t="s">
        <v>112</v>
      </c>
      <c r="F18" s="21"/>
      <c r="G18" s="22"/>
      <c r="H18" s="24"/>
      <c r="I18" s="29"/>
      <c r="J18" s="29"/>
      <c r="K18" s="37">
        <v>2500.0</v>
      </c>
      <c r="L18" s="24"/>
      <c r="M18" s="24"/>
      <c r="N18" s="24"/>
      <c r="O18" s="22"/>
      <c r="P18" s="25">
        <v>2500.0</v>
      </c>
      <c r="Q18" s="26">
        <f t="shared" si="1"/>
        <v>0</v>
      </c>
      <c r="R18" s="25"/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71">
        <v>15.0</v>
      </c>
      <c r="B19" s="17">
        <v>45610.0</v>
      </c>
      <c r="C19" s="18" t="s">
        <v>580</v>
      </c>
      <c r="D19" s="19">
        <v>72839.0</v>
      </c>
      <c r="E19" s="20" t="s">
        <v>581</v>
      </c>
      <c r="F19" s="21"/>
      <c r="G19" s="22"/>
      <c r="H19" s="22">
        <v>10000.0</v>
      </c>
      <c r="I19" s="29"/>
      <c r="J19" s="29"/>
      <c r="K19" s="37"/>
      <c r="L19" s="24"/>
      <c r="M19" s="22"/>
      <c r="N19" s="24"/>
      <c r="O19" s="22"/>
      <c r="P19" s="25">
        <v>10000.0</v>
      </c>
      <c r="Q19" s="26">
        <f t="shared" si="1"/>
        <v>0</v>
      </c>
      <c r="R19" s="25"/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71">
        <v>16.0</v>
      </c>
      <c r="B20" s="17">
        <v>45610.0</v>
      </c>
      <c r="C20" s="18" t="s">
        <v>582</v>
      </c>
      <c r="D20" s="19">
        <v>61445.0</v>
      </c>
      <c r="E20" s="20" t="s">
        <v>491</v>
      </c>
      <c r="F20" s="21"/>
      <c r="G20" s="24"/>
      <c r="H20" s="22">
        <v>2400.0</v>
      </c>
      <c r="I20" s="29"/>
      <c r="J20" s="29"/>
      <c r="K20" s="37"/>
      <c r="L20" s="24"/>
      <c r="M20" s="22"/>
      <c r="N20" s="24"/>
      <c r="O20" s="22"/>
      <c r="P20" s="25">
        <v>2400.0</v>
      </c>
      <c r="Q20" s="26">
        <f t="shared" si="1"/>
        <v>0</v>
      </c>
      <c r="R20" s="25"/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71">
        <v>17.0</v>
      </c>
      <c r="B21" s="17">
        <v>45610.0</v>
      </c>
      <c r="C21" s="18" t="s">
        <v>583</v>
      </c>
      <c r="D21" s="19">
        <v>85256.0</v>
      </c>
      <c r="E21" s="20" t="s">
        <v>584</v>
      </c>
      <c r="F21" s="21"/>
      <c r="G21" s="24"/>
      <c r="H21" s="22"/>
      <c r="I21" s="29"/>
      <c r="J21" s="21"/>
      <c r="K21" s="37">
        <v>300.0</v>
      </c>
      <c r="L21" s="24"/>
      <c r="M21" s="24"/>
      <c r="N21" s="24"/>
      <c r="O21" s="22"/>
      <c r="P21" s="25">
        <v>300.0</v>
      </c>
      <c r="Q21" s="26">
        <f t="shared" si="1"/>
        <v>0</v>
      </c>
      <c r="R21" s="25"/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71">
        <v>18.0</v>
      </c>
      <c r="B22" s="17">
        <v>45610.0</v>
      </c>
      <c r="C22" s="18" t="s">
        <v>585</v>
      </c>
      <c r="D22" s="19">
        <v>48973.0</v>
      </c>
      <c r="E22" s="20" t="s">
        <v>219</v>
      </c>
      <c r="F22" s="21"/>
      <c r="G22" s="24"/>
      <c r="H22" s="24"/>
      <c r="I22" s="29"/>
      <c r="J22" s="21"/>
      <c r="K22" s="37">
        <v>50.0</v>
      </c>
      <c r="L22" s="24"/>
      <c r="M22" s="22"/>
      <c r="N22" s="24"/>
      <c r="O22" s="22">
        <v>2350.0</v>
      </c>
      <c r="P22" s="25">
        <v>2400.0</v>
      </c>
      <c r="Q22" s="26">
        <f t="shared" si="1"/>
        <v>0</v>
      </c>
      <c r="R22" s="25"/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71"/>
      <c r="B23" s="17"/>
      <c r="C23" s="18"/>
      <c r="D23" s="19"/>
      <c r="E23" s="20"/>
      <c r="F23" s="21"/>
      <c r="G23" s="24"/>
      <c r="H23" s="24"/>
      <c r="I23" s="29"/>
      <c r="J23" s="21"/>
      <c r="K23" s="37"/>
      <c r="L23" s="24"/>
      <c r="M23" s="24"/>
      <c r="N23" s="24"/>
      <c r="O23" s="22"/>
      <c r="P23" s="25"/>
      <c r="Q23" s="26"/>
      <c r="R23" s="49"/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7.5" customHeight="1">
      <c r="A24" s="16"/>
      <c r="B24" s="50"/>
      <c r="C24" s="51"/>
      <c r="D24" s="52" t="s">
        <v>123</v>
      </c>
      <c r="E24" s="53"/>
      <c r="F24" s="54">
        <f t="shared" ref="F24:O24" si="2">SUM(F5:F23)</f>
        <v>0</v>
      </c>
      <c r="G24" s="54">
        <f t="shared" si="2"/>
        <v>4500</v>
      </c>
      <c r="H24" s="54">
        <f t="shared" si="2"/>
        <v>12400</v>
      </c>
      <c r="I24" s="54">
        <f t="shared" si="2"/>
        <v>27410</v>
      </c>
      <c r="J24" s="54">
        <f t="shared" si="2"/>
        <v>3200</v>
      </c>
      <c r="K24" s="54">
        <f t="shared" si="2"/>
        <v>2950</v>
      </c>
      <c r="L24" s="54">
        <f t="shared" si="2"/>
        <v>0</v>
      </c>
      <c r="M24" s="54">
        <f t="shared" si="2"/>
        <v>0</v>
      </c>
      <c r="N24" s="54">
        <f t="shared" si="2"/>
        <v>0</v>
      </c>
      <c r="O24" s="54">
        <f t="shared" si="2"/>
        <v>2350</v>
      </c>
      <c r="P24" s="54">
        <f>SUM(P5:P22)</f>
        <v>52810</v>
      </c>
      <c r="Q24" s="55">
        <f>SUM(Q5:Q21)</f>
        <v>0</v>
      </c>
      <c r="R24" s="56"/>
      <c r="S24" s="27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</row>
    <row r="25" ht="58.5" customHeight="1">
      <c r="A25" s="57"/>
      <c r="B25" s="57"/>
      <c r="C25" s="58"/>
      <c r="D25" s="57"/>
      <c r="E25" s="57"/>
      <c r="F25" s="59">
        <f>F24+G24+H24+I24+J24+K24+L24+M24+N24+O24</f>
        <v>52810</v>
      </c>
      <c r="P25" s="60"/>
      <c r="Q25" s="60"/>
      <c r="R25" s="57"/>
      <c r="S25" s="57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</row>
    <row r="26" ht="15.75" customHeight="1">
      <c r="A26" s="4"/>
      <c r="B26" s="4"/>
      <c r="C26" s="61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26.25" customHeight="1">
      <c r="A27" s="4"/>
      <c r="B27" s="4"/>
      <c r="C27" s="61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26.25" customHeight="1">
      <c r="A28" s="4"/>
      <c r="B28" s="4"/>
      <c r="C28" s="62" t="s">
        <v>123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26.25" customHeight="1">
      <c r="A29" s="4"/>
      <c r="B29" s="4"/>
      <c r="C29" s="61"/>
      <c r="D29" s="4"/>
      <c r="E29" s="63" t="s">
        <v>124</v>
      </c>
      <c r="F29" s="64" t="s">
        <v>378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26.25" customHeight="1">
      <c r="A30" s="4"/>
      <c r="B30" s="4"/>
      <c r="C30" s="61"/>
      <c r="D30" s="4"/>
      <c r="E30" s="65" t="s">
        <v>126</v>
      </c>
      <c r="F30" s="64" t="s">
        <v>127</v>
      </c>
      <c r="G30" s="4"/>
      <c r="H30" s="4"/>
      <c r="I30" s="4"/>
      <c r="J30" s="4"/>
      <c r="K30" s="4"/>
      <c r="L30" s="4"/>
      <c r="M30" s="4"/>
      <c r="N30" s="4"/>
      <c r="O30" s="66" t="s">
        <v>123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26.25" customHeight="1">
      <c r="A31" s="4"/>
      <c r="B31" s="4"/>
      <c r="C31" s="61"/>
      <c r="D31" s="4"/>
      <c r="E31" s="65" t="s">
        <v>128</v>
      </c>
      <c r="F31" s="64" t="s">
        <v>159</v>
      </c>
      <c r="G31" s="4"/>
      <c r="H31" s="4"/>
      <c r="I31" s="67" t="s">
        <v>250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61"/>
      <c r="D32" s="4"/>
      <c r="E32" s="65" t="s">
        <v>130</v>
      </c>
      <c r="F32" s="64" t="s">
        <v>378</v>
      </c>
      <c r="G32" s="4"/>
      <c r="H32" s="4"/>
      <c r="I32" s="4"/>
      <c r="J32" s="4"/>
      <c r="K32" s="67" t="s">
        <v>123</v>
      </c>
      <c r="L32" s="67" t="s">
        <v>123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61"/>
      <c r="D33" s="4"/>
      <c r="E33" s="65" t="s">
        <v>131</v>
      </c>
      <c r="F33" s="64" t="s">
        <v>378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61"/>
      <c r="D34" s="4"/>
      <c r="E34" s="65" t="s">
        <v>586</v>
      </c>
      <c r="F34" s="64" t="s">
        <v>378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61"/>
      <c r="D35" s="4"/>
      <c r="E35" s="65" t="s">
        <v>134</v>
      </c>
      <c r="F35" s="64" t="s">
        <v>162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61"/>
      <c r="D36" s="4"/>
      <c r="E36" s="65" t="s">
        <v>135</v>
      </c>
      <c r="F36" s="68" t="s">
        <v>125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66" t="s">
        <v>123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61"/>
      <c r="D37" s="4"/>
      <c r="E37" s="4"/>
      <c r="F37" s="4"/>
      <c r="G37" s="4"/>
      <c r="H37" s="4"/>
      <c r="I37" s="4"/>
      <c r="J37" s="4"/>
      <c r="K37" s="4" t="str">
        <f>I72424</f>
        <v/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61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5.75" customHeight="1">
      <c r="A39" s="4"/>
      <c r="B39" s="4"/>
      <c r="C39" s="61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5.75" customHeight="1">
      <c r="A40" s="4"/>
      <c r="B40" s="4"/>
      <c r="C40" s="61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6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6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6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61"/>
      <c r="D44" s="4"/>
      <c r="E44" s="4"/>
      <c r="F44" s="4"/>
      <c r="G44" s="4"/>
      <c r="H44" s="4"/>
      <c r="I44" s="66" t="s">
        <v>136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6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6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6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6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6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6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6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1"/>
      <c r="D59" s="4"/>
      <c r="E59" s="4"/>
      <c r="F59" s="4"/>
      <c r="G59" s="4"/>
      <c r="H59" s="4"/>
      <c r="I59" s="4"/>
      <c r="J59" s="4"/>
      <c r="K59" s="4"/>
      <c r="L59" s="4"/>
      <c r="M59" s="4">
        <v>7.0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</sheetData>
  <mergeCells count="17">
    <mergeCell ref="R2:R4"/>
    <mergeCell ref="S2:S4"/>
    <mergeCell ref="F3:F4"/>
    <mergeCell ref="G3:H3"/>
    <mergeCell ref="I3:J3"/>
    <mergeCell ref="K3:K4"/>
    <mergeCell ref="F25:O25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5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587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71">
        <v>1.0</v>
      </c>
      <c r="B5" s="17">
        <v>45611.0</v>
      </c>
      <c r="C5" s="18" t="s">
        <v>588</v>
      </c>
      <c r="D5" s="19">
        <v>50595.0</v>
      </c>
      <c r="E5" s="20" t="s">
        <v>102</v>
      </c>
      <c r="F5" s="24"/>
      <c r="G5" s="22"/>
      <c r="H5" s="22"/>
      <c r="I5" s="29">
        <v>100.0</v>
      </c>
      <c r="J5" s="29"/>
      <c r="K5" s="22"/>
      <c r="L5" s="24"/>
      <c r="M5" s="29"/>
      <c r="N5" s="24"/>
      <c r="O5" s="24"/>
      <c r="P5" s="25">
        <v>100.0</v>
      </c>
      <c r="Q5" s="26">
        <f t="shared" ref="Q5:Q17" si="1">F5+G5+H5+I5+J5+K5+L5+M5+N5+O5-P5</f>
        <v>0</v>
      </c>
      <c r="R5" s="82" t="s">
        <v>25</v>
      </c>
      <c r="S5" s="30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71">
        <v>2.0</v>
      </c>
      <c r="B6" s="17">
        <v>45611.0</v>
      </c>
      <c r="C6" s="18" t="s">
        <v>589</v>
      </c>
      <c r="D6" s="19">
        <v>48910.0</v>
      </c>
      <c r="E6" s="20" t="s">
        <v>590</v>
      </c>
      <c r="F6" s="24"/>
      <c r="G6" s="24"/>
      <c r="H6" s="24"/>
      <c r="I6" s="29">
        <v>10000.0</v>
      </c>
      <c r="J6" s="29"/>
      <c r="K6" s="24"/>
      <c r="L6" s="24"/>
      <c r="M6" s="29"/>
      <c r="N6" s="24"/>
      <c r="O6" s="22"/>
      <c r="P6" s="25">
        <v>10000.0</v>
      </c>
      <c r="Q6" s="26">
        <f t="shared" si="1"/>
        <v>0</v>
      </c>
      <c r="R6" s="25" t="s">
        <v>38</v>
      </c>
      <c r="S6" s="30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71">
        <v>3.0</v>
      </c>
      <c r="B7" s="17">
        <v>45611.0</v>
      </c>
      <c r="C7" s="18" t="s">
        <v>591</v>
      </c>
      <c r="D7" s="19">
        <v>51040.0</v>
      </c>
      <c r="E7" s="20" t="s">
        <v>353</v>
      </c>
      <c r="F7" s="22"/>
      <c r="G7" s="24"/>
      <c r="H7" s="22"/>
      <c r="I7" s="29">
        <v>90.0</v>
      </c>
      <c r="J7" s="29"/>
      <c r="K7" s="22"/>
      <c r="L7" s="24"/>
      <c r="M7" s="29"/>
      <c r="N7" s="24"/>
      <c r="O7" s="24"/>
      <c r="P7" s="25">
        <v>90.0</v>
      </c>
      <c r="Q7" s="26">
        <f t="shared" si="1"/>
        <v>0</v>
      </c>
      <c r="R7" s="25" t="s">
        <v>25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71">
        <v>4.0</v>
      </c>
      <c r="B8" s="17">
        <v>45611.0</v>
      </c>
      <c r="C8" s="18" t="s">
        <v>592</v>
      </c>
      <c r="D8" s="19">
        <v>51939.0</v>
      </c>
      <c r="E8" s="20" t="s">
        <v>88</v>
      </c>
      <c r="F8" s="22"/>
      <c r="G8" s="22"/>
      <c r="H8" s="22"/>
      <c r="I8" s="29">
        <v>6350.0</v>
      </c>
      <c r="J8" s="29"/>
      <c r="K8" s="22"/>
      <c r="L8" s="24"/>
      <c r="M8" s="29"/>
      <c r="N8" s="24"/>
      <c r="O8" s="24"/>
      <c r="P8" s="25">
        <v>6350.0</v>
      </c>
      <c r="Q8" s="26">
        <f t="shared" si="1"/>
        <v>0</v>
      </c>
      <c r="R8" s="25" t="s">
        <v>38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71">
        <v>5.0</v>
      </c>
      <c r="B9" s="17">
        <v>45611.0</v>
      </c>
      <c r="C9" s="18" t="s">
        <v>593</v>
      </c>
      <c r="D9" s="19">
        <v>80437.0</v>
      </c>
      <c r="E9" s="20" t="s">
        <v>573</v>
      </c>
      <c r="F9" s="22"/>
      <c r="G9" s="24"/>
      <c r="H9" s="22"/>
      <c r="I9" s="29"/>
      <c r="J9" s="29"/>
      <c r="K9" s="22"/>
      <c r="L9" s="24"/>
      <c r="M9" s="29">
        <v>100.0</v>
      </c>
      <c r="N9" s="24"/>
      <c r="O9" s="24"/>
      <c r="P9" s="25">
        <v>100.0</v>
      </c>
      <c r="Q9" s="26">
        <f t="shared" si="1"/>
        <v>0</v>
      </c>
      <c r="R9" s="25" t="s">
        <v>38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71">
        <v>6.0</v>
      </c>
      <c r="B10" s="17">
        <v>45611.0</v>
      </c>
      <c r="C10" s="18" t="s">
        <v>594</v>
      </c>
      <c r="D10" s="19">
        <v>51512.0</v>
      </c>
      <c r="E10" s="20" t="s">
        <v>595</v>
      </c>
      <c r="F10" s="22"/>
      <c r="G10" s="24"/>
      <c r="H10" s="22"/>
      <c r="I10" s="29"/>
      <c r="J10" s="29">
        <v>2650.0</v>
      </c>
      <c r="K10" s="22"/>
      <c r="L10" s="24"/>
      <c r="M10" s="29"/>
      <c r="N10" s="24"/>
      <c r="O10" s="24"/>
      <c r="P10" s="25">
        <v>2650.0</v>
      </c>
      <c r="Q10" s="26">
        <f t="shared" si="1"/>
        <v>0</v>
      </c>
      <c r="R10" s="25" t="s">
        <v>35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71">
        <v>7.0</v>
      </c>
      <c r="B11" s="17">
        <v>45611.0</v>
      </c>
      <c r="C11" s="18" t="s">
        <v>596</v>
      </c>
      <c r="D11" s="19">
        <v>79186.0</v>
      </c>
      <c r="E11" s="20" t="s">
        <v>597</v>
      </c>
      <c r="F11" s="22"/>
      <c r="G11" s="24"/>
      <c r="H11" s="22"/>
      <c r="I11" s="29">
        <v>14000.0</v>
      </c>
      <c r="J11" s="29"/>
      <c r="K11" s="22"/>
      <c r="L11" s="24"/>
      <c r="M11" s="29"/>
      <c r="N11" s="24"/>
      <c r="O11" s="24"/>
      <c r="P11" s="25">
        <v>14000.0</v>
      </c>
      <c r="Q11" s="26">
        <f t="shared" si="1"/>
        <v>0</v>
      </c>
      <c r="R11" s="25" t="s">
        <v>35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71">
        <v>8.0</v>
      </c>
      <c r="B12" s="17">
        <v>45610.0</v>
      </c>
      <c r="C12" s="18" t="s">
        <v>598</v>
      </c>
      <c r="D12" s="19">
        <v>83280.0</v>
      </c>
      <c r="E12" s="20" t="s">
        <v>599</v>
      </c>
      <c r="F12" s="22"/>
      <c r="G12" s="24"/>
      <c r="H12" s="22">
        <v>3600.0</v>
      </c>
      <c r="I12" s="29"/>
      <c r="J12" s="29"/>
      <c r="K12" s="22"/>
      <c r="L12" s="24"/>
      <c r="M12" s="29"/>
      <c r="N12" s="24"/>
      <c r="O12" s="24"/>
      <c r="P12" s="25">
        <v>3600.0</v>
      </c>
      <c r="Q12" s="26">
        <f t="shared" si="1"/>
        <v>0</v>
      </c>
      <c r="R12" s="25"/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71">
        <v>9.0</v>
      </c>
      <c r="B13" s="17">
        <v>45611.0</v>
      </c>
      <c r="C13" s="18" t="s">
        <v>600</v>
      </c>
      <c r="D13" s="19">
        <v>50595.0</v>
      </c>
      <c r="E13" s="20" t="s">
        <v>102</v>
      </c>
      <c r="F13" s="22"/>
      <c r="G13" s="22"/>
      <c r="H13" s="22">
        <v>5000.0</v>
      </c>
      <c r="I13" s="29"/>
      <c r="J13" s="29"/>
      <c r="K13" s="22"/>
      <c r="L13" s="24"/>
      <c r="M13" s="29"/>
      <c r="N13" s="24"/>
      <c r="O13" s="24"/>
      <c r="P13" s="25">
        <v>5000.0</v>
      </c>
      <c r="Q13" s="26">
        <f t="shared" si="1"/>
        <v>0</v>
      </c>
      <c r="R13" s="25"/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71">
        <v>10.0</v>
      </c>
      <c r="B14" s="17">
        <v>45611.0</v>
      </c>
      <c r="C14" s="18" t="s">
        <v>601</v>
      </c>
      <c r="D14" s="19">
        <v>50595.0</v>
      </c>
      <c r="E14" s="20" t="s">
        <v>102</v>
      </c>
      <c r="F14" s="22"/>
      <c r="G14" s="22"/>
      <c r="H14" s="22">
        <v>16050.0</v>
      </c>
      <c r="I14" s="29"/>
      <c r="J14" s="29"/>
      <c r="K14" s="22"/>
      <c r="L14" s="24"/>
      <c r="M14" s="21"/>
      <c r="N14" s="24"/>
      <c r="O14" s="22"/>
      <c r="P14" s="25">
        <v>16050.0</v>
      </c>
      <c r="Q14" s="26">
        <f t="shared" si="1"/>
        <v>0</v>
      </c>
      <c r="R14" s="25"/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71">
        <v>11.0</v>
      </c>
      <c r="B15" s="17">
        <v>45611.0</v>
      </c>
      <c r="C15" s="18" t="s">
        <v>602</v>
      </c>
      <c r="D15" s="19">
        <v>10281.0</v>
      </c>
      <c r="E15" s="20" t="s">
        <v>603</v>
      </c>
      <c r="F15" s="21"/>
      <c r="G15" s="24"/>
      <c r="H15" s="24"/>
      <c r="I15" s="29"/>
      <c r="J15" s="29"/>
      <c r="K15" s="37"/>
      <c r="L15" s="24"/>
      <c r="M15" s="24"/>
      <c r="N15" s="24"/>
      <c r="O15" s="22">
        <v>2400.0</v>
      </c>
      <c r="P15" s="25">
        <v>2400.0</v>
      </c>
      <c r="Q15" s="26">
        <f t="shared" si="1"/>
        <v>0</v>
      </c>
      <c r="R15" s="25"/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71">
        <v>12.0</v>
      </c>
      <c r="B16" s="17">
        <v>45611.0</v>
      </c>
      <c r="C16" s="18" t="s">
        <v>604</v>
      </c>
      <c r="D16" s="19">
        <v>51512.0</v>
      </c>
      <c r="E16" s="20" t="s">
        <v>595</v>
      </c>
      <c r="F16" s="21"/>
      <c r="G16" s="24"/>
      <c r="H16" s="24"/>
      <c r="I16" s="29"/>
      <c r="J16" s="29"/>
      <c r="K16" s="37"/>
      <c r="L16" s="24"/>
      <c r="M16" s="24"/>
      <c r="N16" s="24"/>
      <c r="O16" s="22">
        <v>1200.0</v>
      </c>
      <c r="P16" s="25">
        <v>1200.0</v>
      </c>
      <c r="Q16" s="26">
        <f t="shared" si="1"/>
        <v>0</v>
      </c>
      <c r="R16" s="25"/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71">
        <v>13.0</v>
      </c>
      <c r="B17" s="17">
        <v>45611.0</v>
      </c>
      <c r="C17" s="18" t="s">
        <v>605</v>
      </c>
      <c r="D17" s="19">
        <v>83599.0</v>
      </c>
      <c r="E17" s="20" t="s">
        <v>606</v>
      </c>
      <c r="F17" s="21"/>
      <c r="G17" s="22"/>
      <c r="H17" s="24"/>
      <c r="I17" s="29"/>
      <c r="J17" s="21"/>
      <c r="K17" s="37"/>
      <c r="L17" s="24"/>
      <c r="M17" s="22"/>
      <c r="N17" s="24"/>
      <c r="O17" s="22">
        <v>1200.0</v>
      </c>
      <c r="P17" s="25">
        <v>1200.0</v>
      </c>
      <c r="Q17" s="26">
        <f t="shared" si="1"/>
        <v>0</v>
      </c>
      <c r="R17" s="25"/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71"/>
      <c r="B18" s="17"/>
      <c r="C18" s="18"/>
      <c r="D18" s="19"/>
      <c r="E18" s="20"/>
      <c r="F18" s="21"/>
      <c r="G18" s="24"/>
      <c r="H18" s="24"/>
      <c r="I18" s="29"/>
      <c r="J18" s="21"/>
      <c r="K18" s="37"/>
      <c r="L18" s="24"/>
      <c r="M18" s="24"/>
      <c r="N18" s="24"/>
      <c r="O18" s="22"/>
      <c r="P18" s="25"/>
      <c r="Q18" s="26"/>
      <c r="R18" s="49"/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7.5" customHeight="1">
      <c r="A19" s="16"/>
      <c r="B19" s="50"/>
      <c r="C19" s="51"/>
      <c r="D19" s="52" t="s">
        <v>123</v>
      </c>
      <c r="E19" s="53"/>
      <c r="F19" s="54">
        <f t="shared" ref="F19:O19" si="2">SUM(F5:F18)</f>
        <v>0</v>
      </c>
      <c r="G19" s="54">
        <f t="shared" si="2"/>
        <v>0</v>
      </c>
      <c r="H19" s="54">
        <f t="shared" si="2"/>
        <v>24650</v>
      </c>
      <c r="I19" s="54">
        <f t="shared" si="2"/>
        <v>30540</v>
      </c>
      <c r="J19" s="54">
        <f t="shared" si="2"/>
        <v>2650</v>
      </c>
      <c r="K19" s="54">
        <f t="shared" si="2"/>
        <v>0</v>
      </c>
      <c r="L19" s="54">
        <f t="shared" si="2"/>
        <v>0</v>
      </c>
      <c r="M19" s="54">
        <f t="shared" si="2"/>
        <v>100</v>
      </c>
      <c r="N19" s="54">
        <f t="shared" si="2"/>
        <v>0</v>
      </c>
      <c r="O19" s="54">
        <f t="shared" si="2"/>
        <v>4800</v>
      </c>
      <c r="P19" s="54">
        <f t="shared" ref="P19:Q19" si="3">SUM(P5:P17)</f>
        <v>62740</v>
      </c>
      <c r="Q19" s="55">
        <f t="shared" si="3"/>
        <v>0</v>
      </c>
      <c r="R19" s="56"/>
      <c r="S19" s="27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58.5" customHeight="1">
      <c r="A20" s="57"/>
      <c r="B20" s="57"/>
      <c r="C20" s="58"/>
      <c r="D20" s="57"/>
      <c r="E20" s="57"/>
      <c r="F20" s="59">
        <f>F19+G19+H19+I19+J19+K19+L19+M19+N19+O19</f>
        <v>62740</v>
      </c>
      <c r="P20" s="60"/>
      <c r="Q20" s="60"/>
      <c r="R20" s="57"/>
      <c r="S20" s="57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</row>
    <row r="21" ht="15.75" customHeight="1">
      <c r="A21" s="4"/>
      <c r="B21" s="4"/>
      <c r="C21" s="61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26.25" customHeight="1">
      <c r="A22" s="4"/>
      <c r="B22" s="4"/>
      <c r="C22" s="61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26.25" customHeight="1">
      <c r="A23" s="4"/>
      <c r="B23" s="4"/>
      <c r="C23" s="62" t="s">
        <v>123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26.25" customHeight="1">
      <c r="A24" s="4"/>
      <c r="B24" s="4"/>
      <c r="C24" s="61"/>
      <c r="D24" s="4"/>
      <c r="E24" s="63" t="s">
        <v>124</v>
      </c>
      <c r="F24" s="64" t="s">
        <v>125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26.25" customHeight="1">
      <c r="A25" s="4"/>
      <c r="B25" s="4"/>
      <c r="C25" s="61"/>
      <c r="D25" s="4"/>
      <c r="E25" s="65" t="s">
        <v>126</v>
      </c>
      <c r="F25" s="64" t="s">
        <v>129</v>
      </c>
      <c r="G25" s="4"/>
      <c r="H25" s="4"/>
      <c r="I25" s="4"/>
      <c r="J25" s="4"/>
      <c r="K25" s="4"/>
      <c r="L25" s="4"/>
      <c r="M25" s="4"/>
      <c r="N25" s="4"/>
      <c r="O25" s="66" t="s">
        <v>123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26.25" customHeight="1">
      <c r="A26" s="4"/>
      <c r="B26" s="4"/>
      <c r="C26" s="61"/>
      <c r="D26" s="4"/>
      <c r="E26" s="65" t="s">
        <v>128</v>
      </c>
      <c r="F26" s="64" t="s">
        <v>129</v>
      </c>
      <c r="G26" s="4"/>
      <c r="H26" s="4"/>
      <c r="I26" s="67" t="s">
        <v>250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26.25" customHeight="1">
      <c r="A27" s="4"/>
      <c r="B27" s="4"/>
      <c r="C27" s="61"/>
      <c r="D27" s="4"/>
      <c r="E27" s="65" t="s">
        <v>130</v>
      </c>
      <c r="F27" s="64" t="s">
        <v>129</v>
      </c>
      <c r="G27" s="4"/>
      <c r="H27" s="4"/>
      <c r="I27" s="4"/>
      <c r="J27" s="4"/>
      <c r="K27" s="67" t="s">
        <v>123</v>
      </c>
      <c r="L27" s="67" t="s">
        <v>123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26.25" customHeight="1">
      <c r="A28" s="4"/>
      <c r="B28" s="4"/>
      <c r="C28" s="61"/>
      <c r="D28" s="4"/>
      <c r="E28" s="65" t="s">
        <v>131</v>
      </c>
      <c r="F28" s="64" t="s">
        <v>129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26.25" customHeight="1">
      <c r="A29" s="4"/>
      <c r="B29" s="4"/>
      <c r="C29" s="61"/>
      <c r="D29" s="4"/>
      <c r="E29" s="65" t="s">
        <v>607</v>
      </c>
      <c r="F29" s="64" t="s">
        <v>129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26.25" customHeight="1">
      <c r="A30" s="4"/>
      <c r="B30" s="4"/>
      <c r="C30" s="61"/>
      <c r="D30" s="4"/>
      <c r="E30" s="65" t="s">
        <v>134</v>
      </c>
      <c r="F30" s="64" t="s">
        <v>162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26.25" customHeight="1">
      <c r="A31" s="4"/>
      <c r="B31" s="4"/>
      <c r="C31" s="61"/>
      <c r="D31" s="4"/>
      <c r="E31" s="65" t="s">
        <v>135</v>
      </c>
      <c r="F31" s="68" t="s">
        <v>125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66" t="s">
        <v>123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61"/>
      <c r="D32" s="4"/>
      <c r="E32" s="4"/>
      <c r="F32" s="4"/>
      <c r="G32" s="4"/>
      <c r="H32" s="4"/>
      <c r="I32" s="4"/>
      <c r="J32" s="4"/>
      <c r="K32" s="4" t="str">
        <f>I72419</f>
        <v/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61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15.75" customHeight="1">
      <c r="A34" s="4"/>
      <c r="B34" s="4"/>
      <c r="C34" s="6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15.75" customHeight="1">
      <c r="A35" s="4"/>
      <c r="B35" s="4"/>
      <c r="C35" s="61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15.75" customHeight="1">
      <c r="A36" s="4"/>
      <c r="B36" s="4"/>
      <c r="C36" s="6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15.75" customHeight="1">
      <c r="A37" s="4"/>
      <c r="B37" s="4"/>
      <c r="C37" s="6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15.75" customHeight="1">
      <c r="A38" s="4"/>
      <c r="B38" s="4"/>
      <c r="C38" s="61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5.75" customHeight="1">
      <c r="A39" s="4"/>
      <c r="B39" s="4"/>
      <c r="C39" s="61"/>
      <c r="D39" s="4"/>
      <c r="E39" s="4"/>
      <c r="F39" s="4"/>
      <c r="G39" s="4"/>
      <c r="H39" s="4"/>
      <c r="I39" s="66" t="s">
        <v>136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5.75" customHeight="1">
      <c r="A40" s="4"/>
      <c r="B40" s="4"/>
      <c r="C40" s="61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6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6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6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6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6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6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6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6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6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6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6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1"/>
      <c r="D54" s="4"/>
      <c r="E54" s="4"/>
      <c r="F54" s="4"/>
      <c r="G54" s="4"/>
      <c r="H54" s="4"/>
      <c r="I54" s="4"/>
      <c r="J54" s="4"/>
      <c r="K54" s="4"/>
      <c r="L54" s="4"/>
      <c r="M54" s="4">
        <v>7.0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</sheetData>
  <mergeCells count="17">
    <mergeCell ref="R2:R4"/>
    <mergeCell ref="S2:S4"/>
    <mergeCell ref="F3:F4"/>
    <mergeCell ref="G3:H3"/>
    <mergeCell ref="I3:J3"/>
    <mergeCell ref="K3:K4"/>
    <mergeCell ref="F20:O20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5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608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71">
        <v>1.0</v>
      </c>
      <c r="B5" s="17">
        <v>45611.0</v>
      </c>
      <c r="C5" s="18" t="s">
        <v>609</v>
      </c>
      <c r="D5" s="19">
        <v>25650.0</v>
      </c>
      <c r="E5" s="20" t="s">
        <v>328</v>
      </c>
      <c r="F5" s="24"/>
      <c r="G5" s="22"/>
      <c r="H5" s="22"/>
      <c r="I5" s="29"/>
      <c r="J5" s="29"/>
      <c r="K5" s="22"/>
      <c r="L5" s="24"/>
      <c r="M5" s="29">
        <v>1450.0</v>
      </c>
      <c r="N5" s="24"/>
      <c r="O5" s="24"/>
      <c r="P5" s="25">
        <v>1450.0</v>
      </c>
      <c r="Q5" s="26">
        <f t="shared" ref="Q5:Q24" si="1">F5+G5+H5+I5+J5+K5+L5+M5+N5+O5-P5</f>
        <v>0</v>
      </c>
      <c r="R5" s="82" t="s">
        <v>38</v>
      </c>
      <c r="S5" s="30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71">
        <v>2.0</v>
      </c>
      <c r="B6" s="17">
        <v>45612.0</v>
      </c>
      <c r="C6" s="18" t="s">
        <v>610</v>
      </c>
      <c r="D6" s="19">
        <v>69565.0</v>
      </c>
      <c r="E6" s="20" t="s">
        <v>611</v>
      </c>
      <c r="F6" s="24"/>
      <c r="G6" s="24"/>
      <c r="H6" s="24"/>
      <c r="I6" s="29">
        <v>12500.0</v>
      </c>
      <c r="J6" s="29"/>
      <c r="K6" s="24"/>
      <c r="L6" s="24"/>
      <c r="M6" s="29"/>
      <c r="N6" s="24"/>
      <c r="O6" s="22"/>
      <c r="P6" s="25">
        <v>12500.0</v>
      </c>
      <c r="Q6" s="26">
        <f t="shared" si="1"/>
        <v>0</v>
      </c>
      <c r="R6" s="25" t="s">
        <v>28</v>
      </c>
      <c r="S6" s="30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71">
        <v>3.0</v>
      </c>
      <c r="B7" s="17">
        <v>45612.0</v>
      </c>
      <c r="C7" s="18" t="s">
        <v>612</v>
      </c>
      <c r="D7" s="19">
        <v>36555.0</v>
      </c>
      <c r="E7" s="20" t="s">
        <v>106</v>
      </c>
      <c r="F7" s="22"/>
      <c r="G7" s="24"/>
      <c r="H7" s="22"/>
      <c r="I7" s="29">
        <v>2279.0</v>
      </c>
      <c r="J7" s="29"/>
      <c r="K7" s="22">
        <v>4721.0</v>
      </c>
      <c r="L7" s="24"/>
      <c r="M7" s="29"/>
      <c r="N7" s="24"/>
      <c r="O7" s="24"/>
      <c r="P7" s="25">
        <v>7000.0</v>
      </c>
      <c r="Q7" s="26">
        <f t="shared" si="1"/>
        <v>0</v>
      </c>
      <c r="R7" s="25" t="s">
        <v>38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71">
        <v>4.0</v>
      </c>
      <c r="B8" s="17">
        <v>45612.0</v>
      </c>
      <c r="C8" s="18" t="s">
        <v>613</v>
      </c>
      <c r="D8" s="19">
        <v>76101.0</v>
      </c>
      <c r="E8" s="20" t="s">
        <v>55</v>
      </c>
      <c r="F8" s="22"/>
      <c r="G8" s="22"/>
      <c r="H8" s="22"/>
      <c r="I8" s="29">
        <v>5100.0</v>
      </c>
      <c r="J8" s="29"/>
      <c r="K8" s="22"/>
      <c r="L8" s="24"/>
      <c r="M8" s="29"/>
      <c r="N8" s="24"/>
      <c r="O8" s="24"/>
      <c r="P8" s="25">
        <v>5100.0</v>
      </c>
      <c r="Q8" s="26">
        <f t="shared" si="1"/>
        <v>0</v>
      </c>
      <c r="R8" s="25" t="s">
        <v>28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71">
        <v>5.0</v>
      </c>
      <c r="B9" s="17">
        <v>45612.0</v>
      </c>
      <c r="C9" s="18" t="s">
        <v>614</v>
      </c>
      <c r="D9" s="19">
        <v>36983.0</v>
      </c>
      <c r="E9" s="20" t="s">
        <v>615</v>
      </c>
      <c r="F9" s="22"/>
      <c r="G9" s="24"/>
      <c r="H9" s="22"/>
      <c r="I9" s="29">
        <v>5100.0</v>
      </c>
      <c r="J9" s="29"/>
      <c r="K9" s="22"/>
      <c r="L9" s="24"/>
      <c r="M9" s="29"/>
      <c r="N9" s="24"/>
      <c r="O9" s="24"/>
      <c r="P9" s="25">
        <v>5100.0</v>
      </c>
      <c r="Q9" s="26">
        <f t="shared" si="1"/>
        <v>0</v>
      </c>
      <c r="R9" s="25" t="s">
        <v>38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71">
        <v>6.0</v>
      </c>
      <c r="B10" s="17">
        <v>45612.0</v>
      </c>
      <c r="C10" s="18" t="s">
        <v>616</v>
      </c>
      <c r="D10" s="19">
        <v>28414.0</v>
      </c>
      <c r="E10" s="20" t="s">
        <v>617</v>
      </c>
      <c r="F10" s="22"/>
      <c r="G10" s="24"/>
      <c r="H10" s="22"/>
      <c r="I10" s="29">
        <v>15000.0</v>
      </c>
      <c r="J10" s="29"/>
      <c r="K10" s="22"/>
      <c r="L10" s="24"/>
      <c r="M10" s="29"/>
      <c r="N10" s="24"/>
      <c r="O10" s="24"/>
      <c r="P10" s="25">
        <v>15000.0</v>
      </c>
      <c r="Q10" s="26">
        <f t="shared" si="1"/>
        <v>0</v>
      </c>
      <c r="R10" s="25" t="s">
        <v>28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71">
        <v>7.0</v>
      </c>
      <c r="B11" s="17">
        <v>45612.0</v>
      </c>
      <c r="C11" s="18" t="s">
        <v>618</v>
      </c>
      <c r="D11" s="19">
        <v>62146.0</v>
      </c>
      <c r="E11" s="20" t="s">
        <v>421</v>
      </c>
      <c r="F11" s="22"/>
      <c r="G11" s="24"/>
      <c r="H11" s="22"/>
      <c r="I11" s="29">
        <v>450.0</v>
      </c>
      <c r="J11" s="29"/>
      <c r="K11" s="22"/>
      <c r="L11" s="24"/>
      <c r="M11" s="29"/>
      <c r="N11" s="24"/>
      <c r="O11" s="24"/>
      <c r="P11" s="25">
        <v>450.0</v>
      </c>
      <c r="Q11" s="26">
        <f t="shared" si="1"/>
        <v>0</v>
      </c>
      <c r="R11" s="25" t="s">
        <v>38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71">
        <v>8.0</v>
      </c>
      <c r="B12" s="17">
        <v>45612.0</v>
      </c>
      <c r="C12" s="18" t="s">
        <v>619</v>
      </c>
      <c r="D12" s="19">
        <v>44149.0</v>
      </c>
      <c r="E12" s="20" t="s">
        <v>209</v>
      </c>
      <c r="F12" s="22"/>
      <c r="G12" s="24"/>
      <c r="H12" s="22"/>
      <c r="I12" s="29">
        <v>7100.0</v>
      </c>
      <c r="J12" s="29"/>
      <c r="K12" s="22"/>
      <c r="L12" s="24"/>
      <c r="M12" s="29"/>
      <c r="N12" s="24"/>
      <c r="O12" s="24"/>
      <c r="P12" s="25">
        <v>7100.0</v>
      </c>
      <c r="Q12" s="26">
        <f t="shared" si="1"/>
        <v>0</v>
      </c>
      <c r="R12" s="25" t="s">
        <v>38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71">
        <v>9.0</v>
      </c>
      <c r="B13" s="17">
        <v>45612.0</v>
      </c>
      <c r="C13" s="18" t="s">
        <v>620</v>
      </c>
      <c r="D13" s="19">
        <v>22332.0</v>
      </c>
      <c r="E13" s="20" t="s">
        <v>217</v>
      </c>
      <c r="F13" s="22"/>
      <c r="G13" s="22"/>
      <c r="H13" s="22"/>
      <c r="I13" s="29">
        <v>473.0</v>
      </c>
      <c r="J13" s="29"/>
      <c r="K13" s="22">
        <v>1077.0</v>
      </c>
      <c r="L13" s="24"/>
      <c r="M13" s="29"/>
      <c r="N13" s="24"/>
      <c r="O13" s="24"/>
      <c r="P13" s="25">
        <v>1550.0</v>
      </c>
      <c r="Q13" s="26">
        <f t="shared" si="1"/>
        <v>0</v>
      </c>
      <c r="R13" s="25" t="s">
        <v>28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71">
        <v>10.0</v>
      </c>
      <c r="B14" s="17">
        <v>45612.0</v>
      </c>
      <c r="C14" s="18" t="s">
        <v>621</v>
      </c>
      <c r="D14" s="19">
        <v>78337.0</v>
      </c>
      <c r="E14" s="20" t="s">
        <v>622</v>
      </c>
      <c r="F14" s="22"/>
      <c r="G14" s="22"/>
      <c r="H14" s="22"/>
      <c r="I14" s="29"/>
      <c r="J14" s="29">
        <v>10000.0</v>
      </c>
      <c r="K14" s="22"/>
      <c r="L14" s="24"/>
      <c r="M14" s="21"/>
      <c r="N14" s="24"/>
      <c r="O14" s="22"/>
      <c r="P14" s="25">
        <v>10000.0</v>
      </c>
      <c r="Q14" s="26">
        <f t="shared" si="1"/>
        <v>0</v>
      </c>
      <c r="R14" s="25" t="s">
        <v>38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71">
        <v>11.0</v>
      </c>
      <c r="B15" s="17">
        <v>45612.0</v>
      </c>
      <c r="C15" s="18" t="s">
        <v>623</v>
      </c>
      <c r="D15" s="19">
        <v>37078.0</v>
      </c>
      <c r="E15" s="20" t="s">
        <v>624</v>
      </c>
      <c r="F15" s="21"/>
      <c r="G15" s="24"/>
      <c r="H15" s="24"/>
      <c r="I15" s="29">
        <v>1300.0</v>
      </c>
      <c r="J15" s="29"/>
      <c r="K15" s="37"/>
      <c r="L15" s="24"/>
      <c r="M15" s="24"/>
      <c r="N15" s="24"/>
      <c r="O15" s="22"/>
      <c r="P15" s="25">
        <v>1300.0</v>
      </c>
      <c r="Q15" s="26">
        <f t="shared" si="1"/>
        <v>0</v>
      </c>
      <c r="R15" s="25" t="s">
        <v>38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71">
        <v>12.0</v>
      </c>
      <c r="B16" s="17">
        <v>45612.0</v>
      </c>
      <c r="C16" s="18" t="s">
        <v>625</v>
      </c>
      <c r="D16" s="19">
        <v>29621.0</v>
      </c>
      <c r="E16" s="20" t="s">
        <v>346</v>
      </c>
      <c r="F16" s="21"/>
      <c r="G16" s="24"/>
      <c r="H16" s="24"/>
      <c r="I16" s="29"/>
      <c r="J16" s="29">
        <v>2500.0</v>
      </c>
      <c r="K16" s="37"/>
      <c r="L16" s="24"/>
      <c r="M16" s="24"/>
      <c r="N16" s="24"/>
      <c r="O16" s="22"/>
      <c r="P16" s="25">
        <v>2500.0</v>
      </c>
      <c r="Q16" s="26">
        <f t="shared" si="1"/>
        <v>0</v>
      </c>
      <c r="R16" s="25" t="s">
        <v>28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71">
        <v>13.0</v>
      </c>
      <c r="B17" s="17">
        <v>45612.0</v>
      </c>
      <c r="C17" s="18" t="s">
        <v>626</v>
      </c>
      <c r="D17" s="19">
        <v>81598.0</v>
      </c>
      <c r="E17" s="20" t="s">
        <v>627</v>
      </c>
      <c r="F17" s="21"/>
      <c r="G17" s="22"/>
      <c r="H17" s="24"/>
      <c r="I17" s="29">
        <v>7100.0</v>
      </c>
      <c r="J17" s="21"/>
      <c r="K17" s="37"/>
      <c r="L17" s="24"/>
      <c r="M17" s="22"/>
      <c r="N17" s="24"/>
      <c r="O17" s="22"/>
      <c r="P17" s="25">
        <v>7100.0</v>
      </c>
      <c r="Q17" s="26">
        <f t="shared" si="1"/>
        <v>0</v>
      </c>
      <c r="R17" s="25" t="s">
        <v>35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71">
        <v>14.0</v>
      </c>
      <c r="B18" s="17">
        <v>45612.0</v>
      </c>
      <c r="C18" s="18" t="s">
        <v>628</v>
      </c>
      <c r="D18" s="19">
        <v>61496.0</v>
      </c>
      <c r="E18" s="20" t="s">
        <v>629</v>
      </c>
      <c r="F18" s="21"/>
      <c r="G18" s="24"/>
      <c r="H18" s="24"/>
      <c r="I18" s="29">
        <v>5100.0</v>
      </c>
      <c r="J18" s="21"/>
      <c r="K18" s="37"/>
      <c r="L18" s="24"/>
      <c r="M18" s="24"/>
      <c r="N18" s="24"/>
      <c r="O18" s="22"/>
      <c r="P18" s="25">
        <v>5100.0</v>
      </c>
      <c r="Q18" s="26">
        <f t="shared" si="1"/>
        <v>0</v>
      </c>
      <c r="R18" s="25" t="s">
        <v>38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71">
        <v>15.0</v>
      </c>
      <c r="B19" s="17">
        <v>45612.0</v>
      </c>
      <c r="C19" s="18" t="s">
        <v>630</v>
      </c>
      <c r="D19" s="19">
        <v>85268.0</v>
      </c>
      <c r="E19" s="20" t="s">
        <v>631</v>
      </c>
      <c r="F19" s="21"/>
      <c r="G19" s="24"/>
      <c r="H19" s="24"/>
      <c r="I19" s="29">
        <v>7300.0</v>
      </c>
      <c r="J19" s="21"/>
      <c r="K19" s="37"/>
      <c r="L19" s="24"/>
      <c r="M19" s="24"/>
      <c r="N19" s="24"/>
      <c r="O19" s="22"/>
      <c r="P19" s="25">
        <v>7300.0</v>
      </c>
      <c r="Q19" s="26">
        <f t="shared" si="1"/>
        <v>0</v>
      </c>
      <c r="R19" s="25" t="s">
        <v>38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71">
        <v>16.0</v>
      </c>
      <c r="B20" s="17">
        <v>45612.0</v>
      </c>
      <c r="C20" s="18" t="s">
        <v>632</v>
      </c>
      <c r="D20" s="19">
        <v>69371.0</v>
      </c>
      <c r="E20" s="20" t="s">
        <v>44</v>
      </c>
      <c r="F20" s="21"/>
      <c r="G20" s="24"/>
      <c r="H20" s="24"/>
      <c r="I20" s="29">
        <v>4500.0</v>
      </c>
      <c r="J20" s="21"/>
      <c r="K20" s="37"/>
      <c r="L20" s="24"/>
      <c r="M20" s="24"/>
      <c r="N20" s="24"/>
      <c r="O20" s="22"/>
      <c r="P20" s="25">
        <v>4500.0</v>
      </c>
      <c r="Q20" s="26">
        <f t="shared" si="1"/>
        <v>0</v>
      </c>
      <c r="R20" s="25" t="s">
        <v>38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71">
        <v>17.0</v>
      </c>
      <c r="B21" s="17">
        <v>45612.0</v>
      </c>
      <c r="C21" s="18" t="s">
        <v>633</v>
      </c>
      <c r="D21" s="19">
        <v>44406.0</v>
      </c>
      <c r="E21" s="20" t="s">
        <v>634</v>
      </c>
      <c r="F21" s="21"/>
      <c r="G21" s="24"/>
      <c r="H21" s="24"/>
      <c r="I21" s="29"/>
      <c r="J21" s="29">
        <v>2600.0</v>
      </c>
      <c r="K21" s="37"/>
      <c r="L21" s="24"/>
      <c r="M21" s="24"/>
      <c r="N21" s="24"/>
      <c r="O21" s="22"/>
      <c r="P21" s="25">
        <v>2600.0</v>
      </c>
      <c r="Q21" s="26">
        <f t="shared" si="1"/>
        <v>0</v>
      </c>
      <c r="R21" s="25" t="s">
        <v>28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71">
        <v>18.0</v>
      </c>
      <c r="B22" s="17">
        <v>45612.0</v>
      </c>
      <c r="C22" s="18" t="s">
        <v>635</v>
      </c>
      <c r="D22" s="19">
        <v>10250.0</v>
      </c>
      <c r="E22" s="20" t="s">
        <v>245</v>
      </c>
      <c r="F22" s="21"/>
      <c r="G22" s="24"/>
      <c r="H22" s="24"/>
      <c r="I22" s="29">
        <v>2400.0</v>
      </c>
      <c r="J22" s="21"/>
      <c r="K22" s="37"/>
      <c r="L22" s="24"/>
      <c r="M22" s="24"/>
      <c r="N22" s="24"/>
      <c r="O22" s="22"/>
      <c r="P22" s="25">
        <v>2400.0</v>
      </c>
      <c r="Q22" s="26">
        <f t="shared" si="1"/>
        <v>0</v>
      </c>
      <c r="R22" s="25" t="s">
        <v>28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71">
        <v>19.0</v>
      </c>
      <c r="B23" s="17">
        <v>45612.0</v>
      </c>
      <c r="C23" s="18" t="s">
        <v>636</v>
      </c>
      <c r="D23" s="19">
        <v>51017.0</v>
      </c>
      <c r="E23" s="20" t="s">
        <v>228</v>
      </c>
      <c r="F23" s="21"/>
      <c r="G23" s="24"/>
      <c r="H23" s="22">
        <v>5000.0</v>
      </c>
      <c r="I23" s="29"/>
      <c r="J23" s="21"/>
      <c r="K23" s="37"/>
      <c r="L23" s="24"/>
      <c r="M23" s="24"/>
      <c r="N23" s="24"/>
      <c r="O23" s="22"/>
      <c r="P23" s="25">
        <v>5000.0</v>
      </c>
      <c r="Q23" s="26">
        <f t="shared" si="1"/>
        <v>0</v>
      </c>
      <c r="R23" s="49"/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71">
        <v>20.0</v>
      </c>
      <c r="B24" s="17">
        <v>45612.0</v>
      </c>
      <c r="C24" s="18" t="s">
        <v>637</v>
      </c>
      <c r="D24" s="19">
        <v>51782.0</v>
      </c>
      <c r="E24" s="20" t="s">
        <v>638</v>
      </c>
      <c r="F24" s="21"/>
      <c r="G24" s="24"/>
      <c r="H24" s="22">
        <v>2500.0</v>
      </c>
      <c r="I24" s="29"/>
      <c r="J24" s="21"/>
      <c r="K24" s="37"/>
      <c r="L24" s="24"/>
      <c r="M24" s="24"/>
      <c r="N24" s="24"/>
      <c r="O24" s="22"/>
      <c r="P24" s="25">
        <v>2500.0</v>
      </c>
      <c r="Q24" s="26">
        <f t="shared" si="1"/>
        <v>0</v>
      </c>
      <c r="R24" s="49"/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7.5" customHeight="1">
      <c r="A25" s="16"/>
      <c r="B25" s="50"/>
      <c r="C25" s="51"/>
      <c r="D25" s="52" t="s">
        <v>123</v>
      </c>
      <c r="E25" s="53"/>
      <c r="F25" s="54">
        <f t="shared" ref="F25:G25" si="2">SUM(F5:F18)</f>
        <v>0</v>
      </c>
      <c r="G25" s="54">
        <f t="shared" si="2"/>
        <v>0</v>
      </c>
      <c r="H25" s="54">
        <f>SUM(H23:H24)</f>
        <v>7500</v>
      </c>
      <c r="I25" s="54">
        <f>SUM(I5:I24)</f>
        <v>75702</v>
      </c>
      <c r="J25" s="54">
        <f>SUM(J14:J24)</f>
        <v>15100</v>
      </c>
      <c r="K25" s="54">
        <f>SUM(K5:K24)</f>
        <v>5798</v>
      </c>
      <c r="L25" s="54">
        <f t="shared" ref="L25:O25" si="3">SUM(L5:L18)</f>
        <v>0</v>
      </c>
      <c r="M25" s="54">
        <f t="shared" si="3"/>
        <v>1450</v>
      </c>
      <c r="N25" s="54">
        <f t="shared" si="3"/>
        <v>0</v>
      </c>
      <c r="O25" s="54">
        <f t="shared" si="3"/>
        <v>0</v>
      </c>
      <c r="P25" s="54">
        <f t="shared" ref="P25:Q25" si="4">SUM(P5:P24)</f>
        <v>105550</v>
      </c>
      <c r="Q25" s="55">
        <f t="shared" si="4"/>
        <v>0</v>
      </c>
      <c r="R25" s="56"/>
      <c r="S25" s="27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</row>
    <row r="26" ht="58.5" customHeight="1">
      <c r="A26" s="57"/>
      <c r="B26" s="57"/>
      <c r="C26" s="58"/>
      <c r="D26" s="57"/>
      <c r="E26" s="57"/>
      <c r="F26" s="59">
        <f>F25+G25+H25+I25+J25+K25+L25+M25+N25+O25</f>
        <v>105550</v>
      </c>
      <c r="P26" s="60"/>
      <c r="Q26" s="60"/>
      <c r="R26" s="57"/>
      <c r="S26" s="57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</row>
    <row r="27" ht="15.75" customHeight="1">
      <c r="A27" s="4"/>
      <c r="B27" s="4"/>
      <c r="C27" s="61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26.25" customHeight="1">
      <c r="A28" s="4"/>
      <c r="B28" s="4"/>
      <c r="C28" s="6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26.25" customHeight="1">
      <c r="A29" s="4"/>
      <c r="B29" s="4"/>
      <c r="C29" s="62" t="s">
        <v>123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26.25" customHeight="1">
      <c r="A30" s="4"/>
      <c r="B30" s="4"/>
      <c r="C30" s="61"/>
      <c r="D30" s="4"/>
      <c r="E30" s="63" t="s">
        <v>124</v>
      </c>
      <c r="F30" s="64" t="s">
        <v>125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26.25" customHeight="1">
      <c r="A31" s="4"/>
      <c r="B31" s="4"/>
      <c r="C31" s="61"/>
      <c r="D31" s="4"/>
      <c r="E31" s="65" t="s">
        <v>126</v>
      </c>
      <c r="F31" s="64" t="s">
        <v>525</v>
      </c>
      <c r="G31" s="4"/>
      <c r="H31" s="4"/>
      <c r="I31" s="4"/>
      <c r="J31" s="4"/>
      <c r="K31" s="4"/>
      <c r="L31" s="4"/>
      <c r="M31" s="4"/>
      <c r="N31" s="4"/>
      <c r="O31" s="66" t="s">
        <v>123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61"/>
      <c r="D32" s="4"/>
      <c r="E32" s="65" t="s">
        <v>128</v>
      </c>
      <c r="F32" s="64" t="s">
        <v>129</v>
      </c>
      <c r="G32" s="4"/>
      <c r="H32" s="4"/>
      <c r="I32" s="67" t="s">
        <v>250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61"/>
      <c r="D33" s="4"/>
      <c r="E33" s="65" t="s">
        <v>130</v>
      </c>
      <c r="F33" s="64" t="s">
        <v>378</v>
      </c>
      <c r="G33" s="4"/>
      <c r="H33" s="4"/>
      <c r="I33" s="4"/>
      <c r="J33" s="4"/>
      <c r="K33" s="67" t="s">
        <v>123</v>
      </c>
      <c r="L33" s="67" t="s">
        <v>123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61"/>
      <c r="D34" s="4"/>
      <c r="E34" s="65" t="s">
        <v>131</v>
      </c>
      <c r="F34" s="64" t="s">
        <v>378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61"/>
      <c r="D35" s="4"/>
      <c r="E35" s="65" t="s">
        <v>639</v>
      </c>
      <c r="F35" s="64" t="s">
        <v>378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61"/>
      <c r="D36" s="4"/>
      <c r="E36" s="65" t="s">
        <v>134</v>
      </c>
      <c r="F36" s="64" t="s">
        <v>162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61"/>
      <c r="D37" s="4"/>
      <c r="E37" s="65" t="s">
        <v>135</v>
      </c>
      <c r="F37" s="68" t="s">
        <v>125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66" t="s">
        <v>123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61"/>
      <c r="D38" s="4"/>
      <c r="E38" s="4"/>
      <c r="F38" s="4"/>
      <c r="G38" s="4"/>
      <c r="H38" s="4"/>
      <c r="I38" s="4"/>
      <c r="J38" s="4"/>
      <c r="K38" s="4" t="str">
        <f>I72425</f>
        <v/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61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5.75" customHeight="1">
      <c r="A40" s="4"/>
      <c r="B40" s="4"/>
      <c r="C40" s="61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6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6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6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6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61"/>
      <c r="D45" s="4"/>
      <c r="E45" s="4"/>
      <c r="F45" s="4"/>
      <c r="G45" s="4"/>
      <c r="H45" s="4"/>
      <c r="I45" s="66" t="s">
        <v>136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6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6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6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6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6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6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1"/>
      <c r="D60" s="4"/>
      <c r="E60" s="4"/>
      <c r="F60" s="4"/>
      <c r="G60" s="4"/>
      <c r="H60" s="4"/>
      <c r="I60" s="4"/>
      <c r="J60" s="4"/>
      <c r="K60" s="4"/>
      <c r="L60" s="4"/>
      <c r="M60" s="4">
        <v>7.0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</sheetData>
  <mergeCells count="17">
    <mergeCell ref="R2:R4"/>
    <mergeCell ref="S2:S4"/>
    <mergeCell ref="F3:F4"/>
    <mergeCell ref="G3:H3"/>
    <mergeCell ref="I3:J3"/>
    <mergeCell ref="K3:K4"/>
    <mergeCell ref="F26:O26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5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640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71">
        <v>1.0</v>
      </c>
      <c r="B5" s="17">
        <v>45612.0</v>
      </c>
      <c r="C5" s="18" t="s">
        <v>641</v>
      </c>
      <c r="D5" s="19">
        <v>53249.0</v>
      </c>
      <c r="E5" s="20" t="s">
        <v>73</v>
      </c>
      <c r="F5" s="24"/>
      <c r="G5" s="22"/>
      <c r="H5" s="22"/>
      <c r="I5" s="29"/>
      <c r="J5" s="29">
        <v>15200.0</v>
      </c>
      <c r="K5" s="22"/>
      <c r="L5" s="24"/>
      <c r="M5" s="29"/>
      <c r="N5" s="24"/>
      <c r="O5" s="24"/>
      <c r="P5" s="25">
        <v>15200.0</v>
      </c>
      <c r="Q5" s="26">
        <f t="shared" ref="Q5:Q18" si="1">F5+G5+H5+I5+J5+K5+L5+M5+N5+O5-P5</f>
        <v>0</v>
      </c>
      <c r="R5" s="82" t="s">
        <v>28</v>
      </c>
      <c r="S5" s="30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71">
        <v>2.0</v>
      </c>
      <c r="B6" s="17">
        <v>45613.0</v>
      </c>
      <c r="C6" s="18" t="s">
        <v>642</v>
      </c>
      <c r="D6" s="19">
        <v>57426.0</v>
      </c>
      <c r="E6" s="20" t="s">
        <v>355</v>
      </c>
      <c r="F6" s="24"/>
      <c r="G6" s="24"/>
      <c r="H6" s="24"/>
      <c r="I6" s="29"/>
      <c r="J6" s="29">
        <v>5100.0</v>
      </c>
      <c r="K6" s="24"/>
      <c r="L6" s="24"/>
      <c r="M6" s="29"/>
      <c r="N6" s="24"/>
      <c r="O6" s="22"/>
      <c r="P6" s="25">
        <v>5100.0</v>
      </c>
      <c r="Q6" s="26">
        <f t="shared" si="1"/>
        <v>0</v>
      </c>
      <c r="R6" s="25" t="s">
        <v>28</v>
      </c>
      <c r="S6" s="30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71">
        <v>3.0</v>
      </c>
      <c r="B7" s="17">
        <v>45613.0</v>
      </c>
      <c r="C7" s="18" t="s">
        <v>643</v>
      </c>
      <c r="D7" s="19">
        <v>42046.0</v>
      </c>
      <c r="E7" s="20" t="s">
        <v>462</v>
      </c>
      <c r="F7" s="22"/>
      <c r="G7" s="24"/>
      <c r="H7" s="22"/>
      <c r="I7" s="29"/>
      <c r="J7" s="29"/>
      <c r="K7" s="22">
        <v>6020.0</v>
      </c>
      <c r="L7" s="24"/>
      <c r="M7" s="29"/>
      <c r="N7" s="24"/>
      <c r="O7" s="24"/>
      <c r="P7" s="25">
        <v>6020.0</v>
      </c>
      <c r="Q7" s="26">
        <f t="shared" si="1"/>
        <v>0</v>
      </c>
      <c r="R7" s="25" t="s">
        <v>38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71">
        <v>4.0</v>
      </c>
      <c r="B8" s="17">
        <v>45613.0</v>
      </c>
      <c r="C8" s="18" t="s">
        <v>644</v>
      </c>
      <c r="D8" s="19">
        <v>85241.0</v>
      </c>
      <c r="E8" s="20" t="s">
        <v>497</v>
      </c>
      <c r="F8" s="22"/>
      <c r="G8" s="22"/>
      <c r="H8" s="22"/>
      <c r="I8" s="29"/>
      <c r="J8" s="29">
        <v>5750.0</v>
      </c>
      <c r="K8" s="22"/>
      <c r="L8" s="24"/>
      <c r="M8" s="29"/>
      <c r="N8" s="24"/>
      <c r="O8" s="24"/>
      <c r="P8" s="25">
        <v>5750.0</v>
      </c>
      <c r="Q8" s="26">
        <f t="shared" si="1"/>
        <v>0</v>
      </c>
      <c r="R8" s="25" t="s">
        <v>25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71">
        <v>5.0</v>
      </c>
      <c r="B9" s="17">
        <v>45613.0</v>
      </c>
      <c r="C9" s="18" t="s">
        <v>645</v>
      </c>
      <c r="D9" s="19">
        <v>80199.0</v>
      </c>
      <c r="E9" s="20" t="s">
        <v>646</v>
      </c>
      <c r="F9" s="22"/>
      <c r="G9" s="24"/>
      <c r="H9" s="22"/>
      <c r="I9" s="29">
        <v>2600.0</v>
      </c>
      <c r="J9" s="29"/>
      <c r="K9" s="22"/>
      <c r="L9" s="24"/>
      <c r="M9" s="29"/>
      <c r="N9" s="24"/>
      <c r="O9" s="24"/>
      <c r="P9" s="25">
        <v>2600.0</v>
      </c>
      <c r="Q9" s="26">
        <f t="shared" si="1"/>
        <v>0</v>
      </c>
      <c r="R9" s="25" t="s">
        <v>38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71">
        <v>6.0</v>
      </c>
      <c r="B10" s="17">
        <v>45613.0</v>
      </c>
      <c r="C10" s="18" t="s">
        <v>647</v>
      </c>
      <c r="D10" s="19">
        <v>35227.0</v>
      </c>
      <c r="E10" s="20" t="s">
        <v>299</v>
      </c>
      <c r="F10" s="22">
        <v>450.0</v>
      </c>
      <c r="G10" s="24"/>
      <c r="H10" s="22"/>
      <c r="I10" s="29"/>
      <c r="J10" s="29"/>
      <c r="K10" s="22"/>
      <c r="L10" s="24"/>
      <c r="M10" s="29"/>
      <c r="N10" s="24"/>
      <c r="O10" s="24"/>
      <c r="P10" s="25">
        <v>450.0</v>
      </c>
      <c r="Q10" s="26">
        <f t="shared" si="1"/>
        <v>0</v>
      </c>
      <c r="R10" s="25" t="s">
        <v>28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71">
        <v>7.0</v>
      </c>
      <c r="B11" s="17">
        <v>45613.0</v>
      </c>
      <c r="C11" s="18" t="s">
        <v>648</v>
      </c>
      <c r="D11" s="19">
        <v>57499.0</v>
      </c>
      <c r="E11" s="20" t="s">
        <v>201</v>
      </c>
      <c r="F11" s="22"/>
      <c r="G11" s="24"/>
      <c r="H11" s="22"/>
      <c r="I11" s="29">
        <v>1000.0</v>
      </c>
      <c r="J11" s="29"/>
      <c r="K11" s="22"/>
      <c r="L11" s="24"/>
      <c r="M11" s="29"/>
      <c r="N11" s="24"/>
      <c r="O11" s="24"/>
      <c r="P11" s="25">
        <v>1000.0</v>
      </c>
      <c r="Q11" s="26">
        <f t="shared" si="1"/>
        <v>0</v>
      </c>
      <c r="R11" s="25" t="s">
        <v>25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71">
        <v>8.0</v>
      </c>
      <c r="B12" s="17">
        <v>45613.0</v>
      </c>
      <c r="C12" s="18" t="s">
        <v>649</v>
      </c>
      <c r="D12" s="19">
        <v>10001.0</v>
      </c>
      <c r="E12" s="20" t="s">
        <v>142</v>
      </c>
      <c r="F12" s="22">
        <v>200.0</v>
      </c>
      <c r="G12" s="24"/>
      <c r="H12" s="22"/>
      <c r="I12" s="29"/>
      <c r="J12" s="29"/>
      <c r="K12" s="22"/>
      <c r="L12" s="24"/>
      <c r="M12" s="29"/>
      <c r="N12" s="24"/>
      <c r="O12" s="24"/>
      <c r="P12" s="25">
        <v>200.0</v>
      </c>
      <c r="Q12" s="26">
        <f t="shared" si="1"/>
        <v>0</v>
      </c>
      <c r="R12" s="25" t="s">
        <v>25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71">
        <v>9.0</v>
      </c>
      <c r="B13" s="17">
        <v>45613.0</v>
      </c>
      <c r="C13" s="18" t="s">
        <v>650</v>
      </c>
      <c r="D13" s="19">
        <v>52083.0</v>
      </c>
      <c r="E13" s="20" t="s">
        <v>94</v>
      </c>
      <c r="F13" s="22"/>
      <c r="G13" s="22"/>
      <c r="H13" s="22"/>
      <c r="I13" s="29">
        <v>2500.0</v>
      </c>
      <c r="J13" s="29"/>
      <c r="K13" s="22"/>
      <c r="L13" s="24"/>
      <c r="M13" s="29"/>
      <c r="N13" s="24"/>
      <c r="O13" s="24"/>
      <c r="P13" s="25">
        <v>2500.0</v>
      </c>
      <c r="Q13" s="26">
        <f t="shared" si="1"/>
        <v>0</v>
      </c>
      <c r="R13" s="25" t="s">
        <v>25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71">
        <v>10.0</v>
      </c>
      <c r="B14" s="17">
        <v>45613.0</v>
      </c>
      <c r="C14" s="18" t="s">
        <v>651</v>
      </c>
      <c r="D14" s="19">
        <v>42278.0</v>
      </c>
      <c r="E14" s="20" t="s">
        <v>652</v>
      </c>
      <c r="F14" s="22"/>
      <c r="G14" s="22">
        <v>1000.0</v>
      </c>
      <c r="H14" s="22"/>
      <c r="I14" s="29"/>
      <c r="J14" s="29"/>
      <c r="K14" s="22"/>
      <c r="L14" s="24"/>
      <c r="M14" s="21"/>
      <c r="N14" s="24"/>
      <c r="O14" s="22"/>
      <c r="P14" s="25">
        <v>1000.0</v>
      </c>
      <c r="Q14" s="26">
        <f t="shared" si="1"/>
        <v>0</v>
      </c>
      <c r="R14" s="25" t="s">
        <v>25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71">
        <v>11.0</v>
      </c>
      <c r="B15" s="17">
        <v>45613.0</v>
      </c>
      <c r="C15" s="18" t="s">
        <v>653</v>
      </c>
      <c r="D15" s="19">
        <v>42278.0</v>
      </c>
      <c r="E15" s="20" t="s">
        <v>652</v>
      </c>
      <c r="F15" s="21"/>
      <c r="G15" s="22">
        <v>4500.0</v>
      </c>
      <c r="H15" s="24"/>
      <c r="I15" s="29"/>
      <c r="J15" s="29"/>
      <c r="K15" s="37"/>
      <c r="L15" s="24"/>
      <c r="M15" s="24"/>
      <c r="N15" s="24"/>
      <c r="O15" s="22"/>
      <c r="P15" s="25">
        <v>4500.0</v>
      </c>
      <c r="Q15" s="26">
        <f t="shared" si="1"/>
        <v>0</v>
      </c>
      <c r="R15" s="25" t="s">
        <v>25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71">
        <v>12.0</v>
      </c>
      <c r="B16" s="17">
        <v>45612.0</v>
      </c>
      <c r="C16" s="18" t="s">
        <v>654</v>
      </c>
      <c r="D16" s="19">
        <v>10250.0</v>
      </c>
      <c r="E16" s="20" t="s">
        <v>245</v>
      </c>
      <c r="F16" s="21"/>
      <c r="G16" s="24"/>
      <c r="H16" s="22">
        <v>19500.0</v>
      </c>
      <c r="I16" s="29"/>
      <c r="J16" s="29"/>
      <c r="K16" s="37"/>
      <c r="L16" s="24"/>
      <c r="M16" s="24"/>
      <c r="N16" s="24"/>
      <c r="O16" s="22"/>
      <c r="P16" s="25">
        <v>19500.0</v>
      </c>
      <c r="Q16" s="26">
        <f t="shared" si="1"/>
        <v>0</v>
      </c>
      <c r="R16" s="25"/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71">
        <v>13.0</v>
      </c>
      <c r="B17" s="17">
        <v>45613.0</v>
      </c>
      <c r="C17" s="18" t="s">
        <v>655</v>
      </c>
      <c r="D17" s="19">
        <v>21828.0</v>
      </c>
      <c r="E17" s="20" t="s">
        <v>112</v>
      </c>
      <c r="F17" s="21"/>
      <c r="G17" s="22"/>
      <c r="H17" s="24"/>
      <c r="I17" s="29"/>
      <c r="J17" s="21"/>
      <c r="K17" s="37">
        <v>2500.0</v>
      </c>
      <c r="L17" s="24"/>
      <c r="M17" s="22"/>
      <c r="N17" s="24"/>
      <c r="O17" s="22"/>
      <c r="P17" s="25">
        <v>2500.0</v>
      </c>
      <c r="Q17" s="26">
        <f t="shared" si="1"/>
        <v>0</v>
      </c>
      <c r="R17" s="25"/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71"/>
      <c r="B18" s="17"/>
      <c r="C18" s="18"/>
      <c r="D18" s="19"/>
      <c r="E18" s="20"/>
      <c r="F18" s="21"/>
      <c r="G18" s="24"/>
      <c r="H18" s="22"/>
      <c r="I18" s="29"/>
      <c r="J18" s="21"/>
      <c r="K18" s="37"/>
      <c r="L18" s="24"/>
      <c r="M18" s="24"/>
      <c r="N18" s="24"/>
      <c r="O18" s="22"/>
      <c r="P18" s="25"/>
      <c r="Q18" s="26">
        <f t="shared" si="1"/>
        <v>0</v>
      </c>
      <c r="R18" s="49"/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71"/>
      <c r="B19" s="17"/>
      <c r="C19" s="18"/>
      <c r="D19" s="19"/>
      <c r="E19" s="20"/>
      <c r="F19" s="21"/>
      <c r="G19" s="24"/>
      <c r="H19" s="22"/>
      <c r="I19" s="29"/>
      <c r="J19" s="21"/>
      <c r="K19" s="37"/>
      <c r="L19" s="24"/>
      <c r="M19" s="24"/>
      <c r="N19" s="24"/>
      <c r="O19" s="22"/>
      <c r="P19" s="25"/>
      <c r="Q19" s="26"/>
      <c r="R19" s="49"/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7.5" customHeight="1">
      <c r="A20" s="16"/>
      <c r="B20" s="50"/>
      <c r="C20" s="51"/>
      <c r="D20" s="52" t="s">
        <v>123</v>
      </c>
      <c r="E20" s="53"/>
      <c r="F20" s="54">
        <f t="shared" ref="F20:G20" si="2">SUM(F5:F17)</f>
        <v>650</v>
      </c>
      <c r="G20" s="54">
        <f t="shared" si="2"/>
        <v>5500</v>
      </c>
      <c r="H20" s="54">
        <f t="shared" ref="H20:K20" si="3">SUM(H5:H19)</f>
        <v>19500</v>
      </c>
      <c r="I20" s="54">
        <f t="shared" si="3"/>
        <v>6100</v>
      </c>
      <c r="J20" s="54">
        <f t="shared" si="3"/>
        <v>26050</v>
      </c>
      <c r="K20" s="54">
        <f t="shared" si="3"/>
        <v>8520</v>
      </c>
      <c r="L20" s="54">
        <f t="shared" ref="L20:O20" si="4">SUM(L5:L17)</f>
        <v>0</v>
      </c>
      <c r="M20" s="54">
        <f t="shared" si="4"/>
        <v>0</v>
      </c>
      <c r="N20" s="54">
        <f t="shared" si="4"/>
        <v>0</v>
      </c>
      <c r="O20" s="54">
        <f t="shared" si="4"/>
        <v>0</v>
      </c>
      <c r="P20" s="54">
        <f t="shared" ref="P20:Q20" si="5">SUM(P5:P19)</f>
        <v>66320</v>
      </c>
      <c r="Q20" s="55">
        <f t="shared" si="5"/>
        <v>0</v>
      </c>
      <c r="R20" s="56"/>
      <c r="S20" s="27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</row>
    <row r="21" ht="58.5" customHeight="1">
      <c r="A21" s="57"/>
      <c r="B21" s="57"/>
      <c r="C21" s="58"/>
      <c r="D21" s="57"/>
      <c r="E21" s="57"/>
      <c r="F21" s="59">
        <f>F20+G20+H20+I20+J20+K20+L20+M20+N20+O20</f>
        <v>66320</v>
      </c>
      <c r="P21" s="60"/>
      <c r="Q21" s="60"/>
      <c r="R21" s="57"/>
      <c r="S21" s="57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</row>
    <row r="22" ht="15.75" customHeight="1">
      <c r="A22" s="4"/>
      <c r="B22" s="4"/>
      <c r="C22" s="61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26.25" customHeight="1">
      <c r="A23" s="4"/>
      <c r="B23" s="4"/>
      <c r="C23" s="6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26.25" customHeight="1">
      <c r="A24" s="4"/>
      <c r="B24" s="4"/>
      <c r="C24" s="62" t="s">
        <v>123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26.25" customHeight="1">
      <c r="A25" s="4"/>
      <c r="B25" s="4"/>
      <c r="C25" s="61"/>
      <c r="D25" s="4"/>
      <c r="E25" s="63" t="s">
        <v>124</v>
      </c>
      <c r="F25" s="64" t="s">
        <v>125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26.25" customHeight="1">
      <c r="A26" s="4"/>
      <c r="B26" s="4"/>
      <c r="C26" s="61"/>
      <c r="D26" s="4"/>
      <c r="E26" s="65" t="s">
        <v>126</v>
      </c>
      <c r="F26" s="64" t="s">
        <v>378</v>
      </c>
      <c r="G26" s="4"/>
      <c r="H26" s="4"/>
      <c r="I26" s="4"/>
      <c r="J26" s="4"/>
      <c r="K26" s="4"/>
      <c r="L26" s="4"/>
      <c r="M26" s="4"/>
      <c r="N26" s="4"/>
      <c r="O26" s="66" t="s">
        <v>123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26.25" customHeight="1">
      <c r="A27" s="4"/>
      <c r="B27" s="4"/>
      <c r="C27" s="61"/>
      <c r="D27" s="4"/>
      <c r="E27" s="65" t="s">
        <v>128</v>
      </c>
      <c r="F27" s="64" t="s">
        <v>159</v>
      </c>
      <c r="G27" s="4"/>
      <c r="H27" s="4"/>
      <c r="I27" s="67" t="s">
        <v>250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26.25" customHeight="1">
      <c r="A28" s="4"/>
      <c r="B28" s="4"/>
      <c r="C28" s="61"/>
      <c r="D28" s="4"/>
      <c r="E28" s="65" t="s">
        <v>130</v>
      </c>
      <c r="F28" s="64" t="s">
        <v>378</v>
      </c>
      <c r="G28" s="4"/>
      <c r="H28" s="4"/>
      <c r="I28" s="4"/>
      <c r="J28" s="4"/>
      <c r="K28" s="67" t="s">
        <v>123</v>
      </c>
      <c r="L28" s="67" t="s">
        <v>123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26.25" customHeight="1">
      <c r="A29" s="4"/>
      <c r="B29" s="4"/>
      <c r="C29" s="61"/>
      <c r="D29" s="4"/>
      <c r="E29" s="65" t="s">
        <v>131</v>
      </c>
      <c r="F29" s="64" t="s">
        <v>378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26.25" customHeight="1">
      <c r="A30" s="4"/>
      <c r="B30" s="4"/>
      <c r="C30" s="61"/>
      <c r="D30" s="4"/>
      <c r="E30" s="65" t="s">
        <v>656</v>
      </c>
      <c r="F30" s="64" t="s">
        <v>378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26.25" customHeight="1">
      <c r="A31" s="4"/>
      <c r="B31" s="4"/>
      <c r="C31" s="61"/>
      <c r="D31" s="4"/>
      <c r="E31" s="65" t="s">
        <v>134</v>
      </c>
      <c r="F31" s="64" t="s">
        <v>162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61"/>
      <c r="D32" s="4"/>
      <c r="E32" s="65" t="s">
        <v>135</v>
      </c>
      <c r="F32" s="68" t="s">
        <v>125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66" t="s">
        <v>123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61"/>
      <c r="D33" s="4"/>
      <c r="E33" s="4"/>
      <c r="F33" s="4"/>
      <c r="G33" s="4"/>
      <c r="H33" s="4"/>
      <c r="I33" s="4"/>
      <c r="J33" s="4"/>
      <c r="K33" s="4" t="str">
        <f>I72420</f>
        <v/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6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15.75" customHeight="1">
      <c r="A35" s="4"/>
      <c r="B35" s="4"/>
      <c r="C35" s="61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15.75" customHeight="1">
      <c r="A36" s="4"/>
      <c r="B36" s="4"/>
      <c r="C36" s="6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15.75" customHeight="1">
      <c r="A37" s="4"/>
      <c r="B37" s="4"/>
      <c r="C37" s="6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15.75" customHeight="1">
      <c r="A38" s="4"/>
      <c r="B38" s="4"/>
      <c r="C38" s="61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5.75" customHeight="1">
      <c r="A39" s="4"/>
      <c r="B39" s="4"/>
      <c r="C39" s="61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5.75" customHeight="1">
      <c r="A40" s="4"/>
      <c r="B40" s="4"/>
      <c r="C40" s="61"/>
      <c r="D40" s="4"/>
      <c r="E40" s="4"/>
      <c r="F40" s="4"/>
      <c r="G40" s="4"/>
      <c r="H40" s="4"/>
      <c r="I40" s="66" t="s">
        <v>136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6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6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6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6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6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6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6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6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6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6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6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1"/>
      <c r="D55" s="4"/>
      <c r="E55" s="4"/>
      <c r="F55" s="4"/>
      <c r="G55" s="4"/>
      <c r="H55" s="4"/>
      <c r="I55" s="4"/>
      <c r="J55" s="4"/>
      <c r="K55" s="4"/>
      <c r="L55" s="4"/>
      <c r="M55" s="4">
        <v>7.0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mergeCells count="17">
    <mergeCell ref="R2:R4"/>
    <mergeCell ref="S2:S4"/>
    <mergeCell ref="F3:F4"/>
    <mergeCell ref="G3:H3"/>
    <mergeCell ref="I3:J3"/>
    <mergeCell ref="K3:K4"/>
    <mergeCell ref="F21:O21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5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18.1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657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71">
        <v>1.0</v>
      </c>
      <c r="B5" s="17">
        <v>45613.0</v>
      </c>
      <c r="C5" s="18" t="s">
        <v>658</v>
      </c>
      <c r="D5" s="19">
        <v>22341.0</v>
      </c>
      <c r="E5" s="20" t="s">
        <v>62</v>
      </c>
      <c r="F5" s="24"/>
      <c r="G5" s="22"/>
      <c r="H5" s="22"/>
      <c r="I5" s="29">
        <v>900.0</v>
      </c>
      <c r="J5" s="29"/>
      <c r="K5" s="22"/>
      <c r="L5" s="24"/>
      <c r="M5" s="29"/>
      <c r="N5" s="24"/>
      <c r="O5" s="24"/>
      <c r="P5" s="25">
        <v>900.0</v>
      </c>
      <c r="Q5" s="26">
        <f t="shared" ref="Q5:Q37" si="1">F5+G5+H5+I5+J5+K5+L5+M5+N5+O5-P5</f>
        <v>0</v>
      </c>
      <c r="R5" s="82" t="s">
        <v>25</v>
      </c>
      <c r="S5" s="30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71">
        <v>2.0</v>
      </c>
      <c r="B6" s="17">
        <v>45613.0</v>
      </c>
      <c r="C6" s="18" t="s">
        <v>659</v>
      </c>
      <c r="D6" s="19">
        <v>68532.0</v>
      </c>
      <c r="E6" s="20" t="s">
        <v>660</v>
      </c>
      <c r="F6" s="24"/>
      <c r="G6" s="24"/>
      <c r="H6" s="24"/>
      <c r="I6" s="29">
        <v>280.0</v>
      </c>
      <c r="J6" s="29"/>
      <c r="K6" s="24"/>
      <c r="L6" s="24"/>
      <c r="M6" s="29"/>
      <c r="N6" s="24"/>
      <c r="O6" s="22"/>
      <c r="P6" s="25">
        <v>280.0</v>
      </c>
      <c r="Q6" s="26">
        <f t="shared" si="1"/>
        <v>0</v>
      </c>
      <c r="R6" s="25" t="s">
        <v>25</v>
      </c>
      <c r="S6" s="30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71">
        <v>3.0</v>
      </c>
      <c r="B7" s="17">
        <v>45614.0</v>
      </c>
      <c r="C7" s="18" t="s">
        <v>661</v>
      </c>
      <c r="D7" s="19">
        <v>58234.0</v>
      </c>
      <c r="E7" s="20" t="s">
        <v>662</v>
      </c>
      <c r="F7" s="22"/>
      <c r="G7" s="24"/>
      <c r="H7" s="22"/>
      <c r="I7" s="29">
        <v>2600.0</v>
      </c>
      <c r="J7" s="29"/>
      <c r="K7" s="22"/>
      <c r="L7" s="24"/>
      <c r="M7" s="29"/>
      <c r="N7" s="24"/>
      <c r="O7" s="24"/>
      <c r="P7" s="25">
        <v>2600.0</v>
      </c>
      <c r="Q7" s="26">
        <f t="shared" si="1"/>
        <v>0</v>
      </c>
      <c r="R7" s="25" t="s">
        <v>49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71">
        <v>4.0</v>
      </c>
      <c r="B8" s="17">
        <v>45614.0</v>
      </c>
      <c r="C8" s="18" t="s">
        <v>663</v>
      </c>
      <c r="D8" s="19">
        <v>82401.0</v>
      </c>
      <c r="E8" s="20" t="s">
        <v>664</v>
      </c>
      <c r="F8" s="22"/>
      <c r="G8" s="22"/>
      <c r="H8" s="22"/>
      <c r="I8" s="29">
        <v>5750.0</v>
      </c>
      <c r="J8" s="29"/>
      <c r="K8" s="22"/>
      <c r="L8" s="24"/>
      <c r="M8" s="29"/>
      <c r="N8" s="24"/>
      <c r="O8" s="24"/>
      <c r="P8" s="25">
        <v>5750.0</v>
      </c>
      <c r="Q8" s="26">
        <f t="shared" si="1"/>
        <v>0</v>
      </c>
      <c r="R8" s="25" t="s">
        <v>38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71">
        <v>5.0</v>
      </c>
      <c r="B9" s="17">
        <v>45614.0</v>
      </c>
      <c r="C9" s="18" t="s">
        <v>665</v>
      </c>
      <c r="D9" s="19">
        <v>48910.0</v>
      </c>
      <c r="E9" s="20" t="s">
        <v>590</v>
      </c>
      <c r="F9" s="22"/>
      <c r="G9" s="24"/>
      <c r="H9" s="22"/>
      <c r="I9" s="29"/>
      <c r="J9" s="29">
        <v>7600.0</v>
      </c>
      <c r="K9" s="22"/>
      <c r="L9" s="24"/>
      <c r="M9" s="29"/>
      <c r="N9" s="24"/>
      <c r="O9" s="24"/>
      <c r="P9" s="25">
        <v>7600.0</v>
      </c>
      <c r="Q9" s="26">
        <f t="shared" si="1"/>
        <v>0</v>
      </c>
      <c r="R9" s="25" t="s">
        <v>35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71">
        <v>6.0</v>
      </c>
      <c r="B10" s="17">
        <v>45614.0</v>
      </c>
      <c r="C10" s="18" t="s">
        <v>666</v>
      </c>
      <c r="D10" s="19">
        <v>48973.0</v>
      </c>
      <c r="E10" s="20" t="s">
        <v>219</v>
      </c>
      <c r="F10" s="22"/>
      <c r="G10" s="24"/>
      <c r="H10" s="22"/>
      <c r="I10" s="29">
        <v>25000.0</v>
      </c>
      <c r="J10" s="29"/>
      <c r="K10" s="22"/>
      <c r="L10" s="24"/>
      <c r="M10" s="29"/>
      <c r="N10" s="24"/>
      <c r="O10" s="24"/>
      <c r="P10" s="25">
        <v>25000.0</v>
      </c>
      <c r="Q10" s="26">
        <f t="shared" si="1"/>
        <v>0</v>
      </c>
      <c r="R10" s="25" t="s">
        <v>38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71">
        <v>7.0</v>
      </c>
      <c r="B11" s="17">
        <v>45614.0</v>
      </c>
      <c r="C11" s="18" t="s">
        <v>667</v>
      </c>
      <c r="D11" s="19">
        <v>84036.0</v>
      </c>
      <c r="E11" s="20" t="s">
        <v>290</v>
      </c>
      <c r="F11" s="22"/>
      <c r="G11" s="24"/>
      <c r="H11" s="22"/>
      <c r="I11" s="29">
        <v>2600.0</v>
      </c>
      <c r="J11" s="29"/>
      <c r="K11" s="22"/>
      <c r="L11" s="24"/>
      <c r="M11" s="29"/>
      <c r="N11" s="24"/>
      <c r="O11" s="24"/>
      <c r="P11" s="25">
        <v>2600.0</v>
      </c>
      <c r="Q11" s="26">
        <f t="shared" si="1"/>
        <v>0</v>
      </c>
      <c r="R11" s="25" t="s">
        <v>35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71">
        <v>8.0</v>
      </c>
      <c r="B12" s="17">
        <v>45614.0</v>
      </c>
      <c r="C12" s="18" t="s">
        <v>668</v>
      </c>
      <c r="D12" s="19">
        <v>67797.0</v>
      </c>
      <c r="E12" s="20" t="s">
        <v>149</v>
      </c>
      <c r="F12" s="22"/>
      <c r="G12" s="24"/>
      <c r="H12" s="22"/>
      <c r="I12" s="29"/>
      <c r="J12" s="29">
        <v>15000.0</v>
      </c>
      <c r="K12" s="22"/>
      <c r="L12" s="24"/>
      <c r="M12" s="29"/>
      <c r="N12" s="24"/>
      <c r="O12" s="24"/>
      <c r="P12" s="25">
        <v>15000.0</v>
      </c>
      <c r="Q12" s="26">
        <f t="shared" si="1"/>
        <v>0</v>
      </c>
      <c r="R12" s="25" t="s">
        <v>35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71">
        <v>9.0</v>
      </c>
      <c r="B13" s="17">
        <v>45614.0</v>
      </c>
      <c r="C13" s="18" t="s">
        <v>669</v>
      </c>
      <c r="D13" s="19">
        <v>81108.0</v>
      </c>
      <c r="E13" s="20" t="s">
        <v>536</v>
      </c>
      <c r="F13" s="22"/>
      <c r="G13" s="22"/>
      <c r="H13" s="22"/>
      <c r="I13" s="29">
        <v>12000.0</v>
      </c>
      <c r="J13" s="29"/>
      <c r="K13" s="22"/>
      <c r="L13" s="24"/>
      <c r="M13" s="29"/>
      <c r="N13" s="24"/>
      <c r="O13" s="24"/>
      <c r="P13" s="25">
        <v>12000.0</v>
      </c>
      <c r="Q13" s="26">
        <f t="shared" si="1"/>
        <v>0</v>
      </c>
      <c r="R13" s="25" t="s">
        <v>25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71">
        <v>10.0</v>
      </c>
      <c r="B14" s="17">
        <v>45614.0</v>
      </c>
      <c r="C14" s="18" t="s">
        <v>670</v>
      </c>
      <c r="D14" s="19">
        <v>54178.0</v>
      </c>
      <c r="E14" s="20" t="s">
        <v>671</v>
      </c>
      <c r="F14" s="22"/>
      <c r="G14" s="22"/>
      <c r="H14" s="22"/>
      <c r="I14" s="29">
        <v>4500.0</v>
      </c>
      <c r="J14" s="29"/>
      <c r="K14" s="22"/>
      <c r="L14" s="24"/>
      <c r="M14" s="21"/>
      <c r="N14" s="24"/>
      <c r="O14" s="22"/>
      <c r="P14" s="25">
        <v>4500.0</v>
      </c>
      <c r="Q14" s="26">
        <f t="shared" si="1"/>
        <v>0</v>
      </c>
      <c r="R14" s="25" t="s">
        <v>38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71">
        <v>11.0</v>
      </c>
      <c r="B15" s="17">
        <v>45614.0</v>
      </c>
      <c r="C15" s="18" t="s">
        <v>672</v>
      </c>
      <c r="D15" s="19">
        <v>54178.0</v>
      </c>
      <c r="E15" s="20" t="s">
        <v>671</v>
      </c>
      <c r="F15" s="21"/>
      <c r="G15" s="22"/>
      <c r="H15" s="24"/>
      <c r="I15" s="29">
        <v>1400.0</v>
      </c>
      <c r="J15" s="29"/>
      <c r="K15" s="37"/>
      <c r="L15" s="24"/>
      <c r="M15" s="24"/>
      <c r="N15" s="24"/>
      <c r="O15" s="22"/>
      <c r="P15" s="25">
        <v>1400.0</v>
      </c>
      <c r="Q15" s="26">
        <f t="shared" si="1"/>
        <v>0</v>
      </c>
      <c r="R15" s="25" t="s">
        <v>38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71">
        <v>12.0</v>
      </c>
      <c r="B16" s="17">
        <v>45614.0</v>
      </c>
      <c r="C16" s="18" t="s">
        <v>673</v>
      </c>
      <c r="D16" s="19">
        <v>82767.0</v>
      </c>
      <c r="E16" s="20" t="s">
        <v>674</v>
      </c>
      <c r="F16" s="21"/>
      <c r="G16" s="24"/>
      <c r="H16" s="22"/>
      <c r="I16" s="29">
        <v>4600.0</v>
      </c>
      <c r="J16" s="29"/>
      <c r="K16" s="37"/>
      <c r="L16" s="24"/>
      <c r="M16" s="24"/>
      <c r="N16" s="24"/>
      <c r="O16" s="22"/>
      <c r="P16" s="25">
        <v>4600.0</v>
      </c>
      <c r="Q16" s="26">
        <f t="shared" si="1"/>
        <v>0</v>
      </c>
      <c r="R16" s="25" t="s">
        <v>25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71">
        <v>13.0</v>
      </c>
      <c r="B17" s="17">
        <v>45614.0</v>
      </c>
      <c r="C17" s="18" t="s">
        <v>675</v>
      </c>
      <c r="D17" s="19">
        <v>49825.0</v>
      </c>
      <c r="E17" s="20" t="s">
        <v>676</v>
      </c>
      <c r="F17" s="21"/>
      <c r="G17" s="22"/>
      <c r="H17" s="24"/>
      <c r="I17" s="29">
        <v>1250.0</v>
      </c>
      <c r="J17" s="21"/>
      <c r="K17" s="37"/>
      <c r="L17" s="24"/>
      <c r="M17" s="22"/>
      <c r="N17" s="24"/>
      <c r="O17" s="22"/>
      <c r="P17" s="25">
        <v>1250.0</v>
      </c>
      <c r="Q17" s="26">
        <f t="shared" si="1"/>
        <v>0</v>
      </c>
      <c r="R17" s="25" t="s">
        <v>35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71">
        <v>14.0</v>
      </c>
      <c r="B18" s="17">
        <v>45614.0</v>
      </c>
      <c r="C18" s="18" t="s">
        <v>677</v>
      </c>
      <c r="D18" s="19">
        <v>10250.0</v>
      </c>
      <c r="E18" s="20" t="s">
        <v>245</v>
      </c>
      <c r="F18" s="21"/>
      <c r="G18" s="22"/>
      <c r="H18" s="24"/>
      <c r="I18" s="29">
        <v>350.0</v>
      </c>
      <c r="J18" s="21"/>
      <c r="K18" s="37"/>
      <c r="L18" s="24"/>
      <c r="M18" s="22"/>
      <c r="N18" s="24"/>
      <c r="O18" s="22"/>
      <c r="P18" s="25">
        <v>350.0</v>
      </c>
      <c r="Q18" s="26">
        <f t="shared" si="1"/>
        <v>0</v>
      </c>
      <c r="R18" s="25" t="s">
        <v>25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71">
        <v>15.0</v>
      </c>
      <c r="B19" s="17">
        <v>45614.0</v>
      </c>
      <c r="C19" s="18" t="s">
        <v>678</v>
      </c>
      <c r="D19" s="19">
        <v>55448.0</v>
      </c>
      <c r="E19" s="20" t="s">
        <v>679</v>
      </c>
      <c r="F19" s="21"/>
      <c r="G19" s="22"/>
      <c r="H19" s="24"/>
      <c r="I19" s="29">
        <v>10000.0</v>
      </c>
      <c r="J19" s="21"/>
      <c r="K19" s="37"/>
      <c r="L19" s="24"/>
      <c r="M19" s="22"/>
      <c r="N19" s="24"/>
      <c r="O19" s="22"/>
      <c r="P19" s="25">
        <v>10000.0</v>
      </c>
      <c r="Q19" s="26">
        <f t="shared" si="1"/>
        <v>0</v>
      </c>
      <c r="R19" s="25" t="s">
        <v>25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71">
        <v>16.0</v>
      </c>
      <c r="B20" s="17">
        <v>45614.0</v>
      </c>
      <c r="C20" s="18" t="s">
        <v>680</v>
      </c>
      <c r="D20" s="19">
        <v>44149.0</v>
      </c>
      <c r="E20" s="20" t="s">
        <v>209</v>
      </c>
      <c r="F20" s="21"/>
      <c r="G20" s="22"/>
      <c r="H20" s="24"/>
      <c r="I20" s="29">
        <v>2600.0</v>
      </c>
      <c r="J20" s="21"/>
      <c r="K20" s="37"/>
      <c r="L20" s="24"/>
      <c r="M20" s="22"/>
      <c r="N20" s="24"/>
      <c r="O20" s="22"/>
      <c r="P20" s="25">
        <v>2600.0</v>
      </c>
      <c r="Q20" s="26">
        <f t="shared" si="1"/>
        <v>0</v>
      </c>
      <c r="R20" s="25" t="s">
        <v>25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71">
        <v>17.0</v>
      </c>
      <c r="B21" s="17">
        <v>45614.0</v>
      </c>
      <c r="C21" s="18" t="s">
        <v>681</v>
      </c>
      <c r="D21" s="19">
        <v>48910.0</v>
      </c>
      <c r="E21" s="20" t="s">
        <v>590</v>
      </c>
      <c r="F21" s="21"/>
      <c r="G21" s="22"/>
      <c r="H21" s="24"/>
      <c r="I21" s="29">
        <v>6450.0</v>
      </c>
      <c r="J21" s="21"/>
      <c r="K21" s="37"/>
      <c r="L21" s="24"/>
      <c r="M21" s="22"/>
      <c r="N21" s="24"/>
      <c r="O21" s="22"/>
      <c r="P21" s="25">
        <v>6450.0</v>
      </c>
      <c r="Q21" s="26">
        <f t="shared" si="1"/>
        <v>0</v>
      </c>
      <c r="R21" s="25" t="s">
        <v>35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71">
        <v>18.0</v>
      </c>
      <c r="B22" s="17">
        <v>45614.0</v>
      </c>
      <c r="C22" s="18" t="s">
        <v>682</v>
      </c>
      <c r="D22" s="19">
        <v>74778.0</v>
      </c>
      <c r="E22" s="20" t="s">
        <v>171</v>
      </c>
      <c r="F22" s="21"/>
      <c r="G22" s="22"/>
      <c r="H22" s="24"/>
      <c r="I22" s="29">
        <v>5500.0</v>
      </c>
      <c r="J22" s="21"/>
      <c r="K22" s="37"/>
      <c r="L22" s="24"/>
      <c r="M22" s="22"/>
      <c r="N22" s="24"/>
      <c r="O22" s="22"/>
      <c r="P22" s="25">
        <v>5500.0</v>
      </c>
      <c r="Q22" s="26">
        <f t="shared" si="1"/>
        <v>0</v>
      </c>
      <c r="R22" s="25" t="s">
        <v>35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71">
        <v>19.0</v>
      </c>
      <c r="B23" s="17">
        <v>45614.0</v>
      </c>
      <c r="C23" s="18" t="s">
        <v>683</v>
      </c>
      <c r="D23" s="19">
        <v>48910.0</v>
      </c>
      <c r="E23" s="20" t="s">
        <v>590</v>
      </c>
      <c r="F23" s="21"/>
      <c r="G23" s="22"/>
      <c r="H23" s="24"/>
      <c r="I23" s="29"/>
      <c r="J23" s="29">
        <v>850.0</v>
      </c>
      <c r="K23" s="37">
        <v>50.0</v>
      </c>
      <c r="L23" s="24"/>
      <c r="M23" s="22"/>
      <c r="N23" s="24"/>
      <c r="O23" s="22"/>
      <c r="P23" s="25">
        <v>900.0</v>
      </c>
      <c r="Q23" s="26">
        <f t="shared" si="1"/>
        <v>0</v>
      </c>
      <c r="R23" s="25" t="s">
        <v>35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71">
        <v>20.0</v>
      </c>
      <c r="B24" s="17">
        <v>45614.0</v>
      </c>
      <c r="C24" s="18" t="s">
        <v>684</v>
      </c>
      <c r="D24" s="19">
        <v>10271.0</v>
      </c>
      <c r="E24" s="20" t="s">
        <v>438</v>
      </c>
      <c r="F24" s="21"/>
      <c r="G24" s="22"/>
      <c r="H24" s="24"/>
      <c r="I24" s="29"/>
      <c r="J24" s="29">
        <v>3050.0</v>
      </c>
      <c r="K24" s="37"/>
      <c r="L24" s="24"/>
      <c r="M24" s="22"/>
      <c r="N24" s="24"/>
      <c r="O24" s="22"/>
      <c r="P24" s="25">
        <v>3050.0</v>
      </c>
      <c r="Q24" s="26">
        <f t="shared" si="1"/>
        <v>0</v>
      </c>
      <c r="R24" s="25" t="s">
        <v>35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71">
        <v>21.0</v>
      </c>
      <c r="B25" s="17">
        <v>45614.0</v>
      </c>
      <c r="C25" s="18" t="s">
        <v>685</v>
      </c>
      <c r="D25" s="19">
        <v>22727.0</v>
      </c>
      <c r="E25" s="20" t="s">
        <v>340</v>
      </c>
      <c r="F25" s="21"/>
      <c r="G25" s="24"/>
      <c r="H25" s="22"/>
      <c r="I25" s="29">
        <v>2500.0</v>
      </c>
      <c r="J25" s="21"/>
      <c r="K25" s="37"/>
      <c r="L25" s="24"/>
      <c r="M25" s="24"/>
      <c r="N25" s="24"/>
      <c r="O25" s="22"/>
      <c r="P25" s="25">
        <v>2500.0</v>
      </c>
      <c r="Q25" s="26">
        <f t="shared" si="1"/>
        <v>0</v>
      </c>
      <c r="R25" s="25" t="s">
        <v>25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71">
        <v>22.0</v>
      </c>
      <c r="B26" s="17">
        <v>45614.0</v>
      </c>
      <c r="C26" s="18" t="s">
        <v>686</v>
      </c>
      <c r="D26" s="19">
        <v>22341.0</v>
      </c>
      <c r="E26" s="20" t="s">
        <v>62</v>
      </c>
      <c r="F26" s="21"/>
      <c r="G26" s="24"/>
      <c r="H26" s="22"/>
      <c r="I26" s="29">
        <v>4500.0</v>
      </c>
      <c r="J26" s="21"/>
      <c r="K26" s="37"/>
      <c r="L26" s="24"/>
      <c r="M26" s="24"/>
      <c r="N26" s="24"/>
      <c r="O26" s="22"/>
      <c r="P26" s="25">
        <v>4500.0</v>
      </c>
      <c r="Q26" s="26">
        <f t="shared" si="1"/>
        <v>0</v>
      </c>
      <c r="R26" s="25" t="s">
        <v>25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71">
        <v>23.0</v>
      </c>
      <c r="B27" s="17">
        <v>45614.0</v>
      </c>
      <c r="C27" s="18" t="s">
        <v>687</v>
      </c>
      <c r="D27" s="19">
        <v>52247.0</v>
      </c>
      <c r="E27" s="20" t="s">
        <v>51</v>
      </c>
      <c r="F27" s="21"/>
      <c r="G27" s="24"/>
      <c r="H27" s="22"/>
      <c r="I27" s="29">
        <v>8200.0</v>
      </c>
      <c r="J27" s="21"/>
      <c r="K27" s="37"/>
      <c r="L27" s="24"/>
      <c r="M27" s="24"/>
      <c r="N27" s="24"/>
      <c r="O27" s="22"/>
      <c r="P27" s="25">
        <v>8200.0</v>
      </c>
      <c r="Q27" s="26">
        <f t="shared" si="1"/>
        <v>0</v>
      </c>
      <c r="R27" s="25" t="s">
        <v>38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71">
        <v>24.0</v>
      </c>
      <c r="B28" s="17">
        <v>45614.0</v>
      </c>
      <c r="C28" s="18" t="s">
        <v>688</v>
      </c>
      <c r="D28" s="19">
        <v>58257.0</v>
      </c>
      <c r="E28" s="20" t="s">
        <v>689</v>
      </c>
      <c r="F28" s="21"/>
      <c r="G28" s="24"/>
      <c r="H28" s="22"/>
      <c r="I28" s="29">
        <v>10000.0</v>
      </c>
      <c r="J28" s="21"/>
      <c r="K28" s="37"/>
      <c r="L28" s="24"/>
      <c r="M28" s="24"/>
      <c r="N28" s="24"/>
      <c r="O28" s="22"/>
      <c r="P28" s="25">
        <v>10000.0</v>
      </c>
      <c r="Q28" s="26">
        <f t="shared" si="1"/>
        <v>0</v>
      </c>
      <c r="R28" s="25" t="s">
        <v>38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71">
        <v>25.0</v>
      </c>
      <c r="B29" s="17">
        <v>45614.0</v>
      </c>
      <c r="C29" s="18" t="s">
        <v>690</v>
      </c>
      <c r="D29" s="19">
        <v>69659.0</v>
      </c>
      <c r="E29" s="20" t="s">
        <v>691</v>
      </c>
      <c r="F29" s="21"/>
      <c r="G29" s="24"/>
      <c r="H29" s="22"/>
      <c r="I29" s="29">
        <v>1450.0</v>
      </c>
      <c r="J29" s="21"/>
      <c r="K29" s="37"/>
      <c r="L29" s="24"/>
      <c r="M29" s="24"/>
      <c r="N29" s="24"/>
      <c r="O29" s="22"/>
      <c r="P29" s="25">
        <v>1450.0</v>
      </c>
      <c r="Q29" s="26">
        <f t="shared" si="1"/>
        <v>0</v>
      </c>
      <c r="R29" s="25" t="s">
        <v>25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71">
        <v>26.0</v>
      </c>
      <c r="B30" s="17">
        <v>45614.0</v>
      </c>
      <c r="C30" s="18" t="s">
        <v>692</v>
      </c>
      <c r="D30" s="19">
        <v>50595.0</v>
      </c>
      <c r="E30" s="20" t="s">
        <v>102</v>
      </c>
      <c r="F30" s="21"/>
      <c r="G30" s="24"/>
      <c r="H30" s="22"/>
      <c r="I30" s="29"/>
      <c r="J30" s="21"/>
      <c r="K30" s="37"/>
      <c r="L30" s="24"/>
      <c r="M30" s="22">
        <v>200.0</v>
      </c>
      <c r="N30" s="24"/>
      <c r="O30" s="22"/>
      <c r="P30" s="25">
        <v>200.0</v>
      </c>
      <c r="Q30" s="26">
        <f t="shared" si="1"/>
        <v>0</v>
      </c>
      <c r="R30" s="25" t="s">
        <v>25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71">
        <v>27.0</v>
      </c>
      <c r="B31" s="17">
        <v>45614.0</v>
      </c>
      <c r="C31" s="18" t="s">
        <v>693</v>
      </c>
      <c r="D31" s="19">
        <v>36555.0</v>
      </c>
      <c r="E31" s="20" t="s">
        <v>106</v>
      </c>
      <c r="F31" s="21"/>
      <c r="G31" s="24"/>
      <c r="H31" s="22"/>
      <c r="I31" s="29">
        <v>300.0</v>
      </c>
      <c r="J31" s="21"/>
      <c r="K31" s="37"/>
      <c r="L31" s="24"/>
      <c r="M31" s="24"/>
      <c r="N31" s="24"/>
      <c r="O31" s="22"/>
      <c r="P31" s="25">
        <v>300.0</v>
      </c>
      <c r="Q31" s="26">
        <f t="shared" si="1"/>
        <v>0</v>
      </c>
      <c r="R31" s="25" t="s">
        <v>38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71">
        <v>28.0</v>
      </c>
      <c r="B32" s="17">
        <v>45614.0</v>
      </c>
      <c r="C32" s="18" t="s">
        <v>694</v>
      </c>
      <c r="D32" s="19">
        <v>76637.0</v>
      </c>
      <c r="E32" s="20" t="s">
        <v>695</v>
      </c>
      <c r="F32" s="21"/>
      <c r="G32" s="24"/>
      <c r="H32" s="22"/>
      <c r="I32" s="29">
        <v>2650.0</v>
      </c>
      <c r="J32" s="21"/>
      <c r="K32" s="37"/>
      <c r="L32" s="24"/>
      <c r="M32" s="24"/>
      <c r="N32" s="24"/>
      <c r="O32" s="22"/>
      <c r="P32" s="25">
        <v>2650.0</v>
      </c>
      <c r="Q32" s="26">
        <f t="shared" si="1"/>
        <v>0</v>
      </c>
      <c r="R32" s="49"/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71">
        <v>29.0</v>
      </c>
      <c r="B33" s="17">
        <v>45614.0</v>
      </c>
      <c r="C33" s="18" t="s">
        <v>696</v>
      </c>
      <c r="D33" s="19">
        <v>51017.0</v>
      </c>
      <c r="E33" s="20" t="s">
        <v>228</v>
      </c>
      <c r="F33" s="21"/>
      <c r="G33" s="24"/>
      <c r="H33" s="22">
        <v>10000.0</v>
      </c>
      <c r="I33" s="29"/>
      <c r="J33" s="21"/>
      <c r="K33" s="37"/>
      <c r="L33" s="24"/>
      <c r="M33" s="24"/>
      <c r="N33" s="24"/>
      <c r="O33" s="22"/>
      <c r="P33" s="25">
        <v>10000.0</v>
      </c>
      <c r="Q33" s="26">
        <f t="shared" si="1"/>
        <v>0</v>
      </c>
      <c r="R33" s="49"/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71">
        <v>30.0</v>
      </c>
      <c r="B34" s="17">
        <v>45614.0</v>
      </c>
      <c r="C34" s="18" t="s">
        <v>697</v>
      </c>
      <c r="D34" s="19">
        <v>10249.0</v>
      </c>
      <c r="E34" s="20" t="s">
        <v>312</v>
      </c>
      <c r="F34" s="21"/>
      <c r="G34" s="24"/>
      <c r="H34" s="22">
        <v>7600.0</v>
      </c>
      <c r="I34" s="29"/>
      <c r="J34" s="21"/>
      <c r="K34" s="37"/>
      <c r="L34" s="24"/>
      <c r="M34" s="24"/>
      <c r="N34" s="24"/>
      <c r="O34" s="22"/>
      <c r="P34" s="25">
        <v>7600.0</v>
      </c>
      <c r="Q34" s="26">
        <f t="shared" si="1"/>
        <v>0</v>
      </c>
      <c r="R34" s="49"/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71">
        <v>31.0</v>
      </c>
      <c r="B35" s="17">
        <v>45614.0</v>
      </c>
      <c r="C35" s="18" t="s">
        <v>698</v>
      </c>
      <c r="D35" s="19">
        <v>10249.0</v>
      </c>
      <c r="E35" s="20" t="s">
        <v>312</v>
      </c>
      <c r="F35" s="21"/>
      <c r="G35" s="24"/>
      <c r="H35" s="22">
        <v>1490.0</v>
      </c>
      <c r="I35" s="29"/>
      <c r="J35" s="21"/>
      <c r="K35" s="37"/>
      <c r="L35" s="24"/>
      <c r="M35" s="24"/>
      <c r="N35" s="24"/>
      <c r="O35" s="22"/>
      <c r="P35" s="25">
        <v>1490.0</v>
      </c>
      <c r="Q35" s="26">
        <f t="shared" si="1"/>
        <v>0</v>
      </c>
      <c r="R35" s="49"/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4.5" customHeight="1">
      <c r="A36" s="71">
        <v>32.0</v>
      </c>
      <c r="B36" s="17">
        <v>45614.0</v>
      </c>
      <c r="C36" s="18" t="s">
        <v>699</v>
      </c>
      <c r="D36" s="19">
        <v>51467.0</v>
      </c>
      <c r="E36" s="20" t="s">
        <v>700</v>
      </c>
      <c r="F36" s="21"/>
      <c r="G36" s="24"/>
      <c r="H36" s="22">
        <v>300.0</v>
      </c>
      <c r="I36" s="29"/>
      <c r="J36" s="21"/>
      <c r="K36" s="37"/>
      <c r="L36" s="24"/>
      <c r="M36" s="24"/>
      <c r="N36" s="24"/>
      <c r="O36" s="22"/>
      <c r="P36" s="25">
        <v>300.0</v>
      </c>
      <c r="Q36" s="26">
        <f t="shared" si="1"/>
        <v>0</v>
      </c>
      <c r="R36" s="49"/>
      <c r="S36" s="27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34.5" customHeight="1">
      <c r="A37" s="71">
        <v>33.0</v>
      </c>
      <c r="B37" s="17">
        <v>45614.0</v>
      </c>
      <c r="C37" s="18" t="s">
        <v>701</v>
      </c>
      <c r="D37" s="19">
        <v>57869.0</v>
      </c>
      <c r="E37" s="20" t="s">
        <v>702</v>
      </c>
      <c r="F37" s="21"/>
      <c r="G37" s="24"/>
      <c r="H37" s="22"/>
      <c r="I37" s="29"/>
      <c r="J37" s="21"/>
      <c r="K37" s="37"/>
      <c r="L37" s="24"/>
      <c r="M37" s="22">
        <v>10000.0</v>
      </c>
      <c r="N37" s="24"/>
      <c r="O37" s="22"/>
      <c r="P37" s="25">
        <v>10000.0</v>
      </c>
      <c r="Q37" s="26">
        <f t="shared" si="1"/>
        <v>0</v>
      </c>
      <c r="R37" s="49"/>
      <c r="S37" s="27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37.5" customHeight="1">
      <c r="A38" s="71"/>
      <c r="B38" s="50"/>
      <c r="C38" s="51"/>
      <c r="D38" s="52" t="s">
        <v>123</v>
      </c>
      <c r="E38" s="53"/>
      <c r="F38" s="54">
        <f t="shared" ref="F38:P38" si="2">SUM(F5:F37)</f>
        <v>0</v>
      </c>
      <c r="G38" s="54">
        <f t="shared" si="2"/>
        <v>0</v>
      </c>
      <c r="H38" s="54">
        <f t="shared" si="2"/>
        <v>19390</v>
      </c>
      <c r="I38" s="54">
        <f t="shared" si="2"/>
        <v>115380</v>
      </c>
      <c r="J38" s="54">
        <f t="shared" si="2"/>
        <v>26500</v>
      </c>
      <c r="K38" s="54">
        <f t="shared" si="2"/>
        <v>50</v>
      </c>
      <c r="L38" s="54">
        <f t="shared" si="2"/>
        <v>0</v>
      </c>
      <c r="M38" s="54">
        <f t="shared" si="2"/>
        <v>10200</v>
      </c>
      <c r="N38" s="54">
        <f t="shared" si="2"/>
        <v>0</v>
      </c>
      <c r="O38" s="54">
        <f t="shared" si="2"/>
        <v>0</v>
      </c>
      <c r="P38" s="54">
        <f t="shared" si="2"/>
        <v>171520</v>
      </c>
      <c r="Q38" s="55">
        <f>SUM(Q5:Q26)</f>
        <v>0</v>
      </c>
      <c r="R38" s="56"/>
      <c r="S38" s="27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</row>
    <row r="39" ht="58.5" customHeight="1">
      <c r="A39" s="57"/>
      <c r="B39" s="57"/>
      <c r="C39" s="58"/>
      <c r="D39" s="57"/>
      <c r="E39" s="57"/>
      <c r="F39" s="59">
        <f>F38+G38+H38+I38+J38+K38+L38+M38+N38+O38</f>
        <v>171520</v>
      </c>
      <c r="P39" s="60"/>
      <c r="Q39" s="60"/>
      <c r="R39" s="57"/>
      <c r="S39" s="57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</row>
    <row r="40" ht="15.75" customHeight="1">
      <c r="A40" s="4"/>
      <c r="B40" s="4"/>
      <c r="C40" s="61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6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62" t="s">
        <v>123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61"/>
      <c r="D43" s="4"/>
      <c r="E43" s="63" t="s">
        <v>124</v>
      </c>
      <c r="F43" s="64" t="s">
        <v>129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61"/>
      <c r="D44" s="4"/>
      <c r="E44" s="65" t="s">
        <v>126</v>
      </c>
      <c r="F44" s="64" t="s">
        <v>703</v>
      </c>
      <c r="G44" s="4"/>
      <c r="H44" s="4"/>
      <c r="I44" s="4"/>
      <c r="J44" s="4"/>
      <c r="K44" s="4"/>
      <c r="L44" s="4"/>
      <c r="M44" s="4"/>
      <c r="N44" s="4"/>
      <c r="O44" s="66" t="s">
        <v>123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61"/>
      <c r="D45" s="4"/>
      <c r="E45" s="65" t="s">
        <v>128</v>
      </c>
      <c r="F45" s="64" t="s">
        <v>129</v>
      </c>
      <c r="G45" s="4"/>
      <c r="H45" s="4"/>
      <c r="I45" s="67" t="s">
        <v>250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61"/>
      <c r="D46" s="4"/>
      <c r="E46" s="65" t="s">
        <v>130</v>
      </c>
      <c r="F46" s="64" t="s">
        <v>129</v>
      </c>
      <c r="G46" s="4"/>
      <c r="H46" s="4"/>
      <c r="I46" s="4"/>
      <c r="J46" s="4"/>
      <c r="K46" s="67" t="s">
        <v>123</v>
      </c>
      <c r="L46" s="67" t="s">
        <v>123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61"/>
      <c r="D47" s="4"/>
      <c r="E47" s="65" t="s">
        <v>131</v>
      </c>
      <c r="F47" s="64" t="s">
        <v>129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61"/>
      <c r="D48" s="4"/>
      <c r="E48" s="65" t="s">
        <v>704</v>
      </c>
      <c r="F48" s="64" t="s">
        <v>129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61"/>
      <c r="D49" s="4"/>
      <c r="E49" s="65" t="s">
        <v>134</v>
      </c>
      <c r="F49" s="64" t="s">
        <v>162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61"/>
      <c r="D50" s="4"/>
      <c r="E50" s="65" t="s">
        <v>135</v>
      </c>
      <c r="F50" s="68" t="s">
        <v>125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66" t="s">
        <v>123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61"/>
      <c r="D51" s="4"/>
      <c r="E51" s="4"/>
      <c r="F51" s="4"/>
      <c r="G51" s="4"/>
      <c r="H51" s="4"/>
      <c r="I51" s="4"/>
      <c r="J51" s="4"/>
      <c r="K51" s="4" t="str">
        <f>I72438</f>
        <v/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26.25" customHeight="1">
      <c r="A52" s="4"/>
      <c r="B52" s="4"/>
      <c r="C52" s="6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1"/>
      <c r="D58" s="4"/>
      <c r="E58" s="4"/>
      <c r="F58" s="4"/>
      <c r="G58" s="4"/>
      <c r="H58" s="4"/>
      <c r="I58" s="66" t="s">
        <v>136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1"/>
      <c r="D73" s="4"/>
      <c r="E73" s="4"/>
      <c r="F73" s="4"/>
      <c r="G73" s="4"/>
      <c r="H73" s="4"/>
      <c r="I73" s="4"/>
      <c r="J73" s="4"/>
      <c r="K73" s="4"/>
      <c r="L73" s="4"/>
      <c r="M73" s="4">
        <v>7.0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6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6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6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6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6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17">
    <mergeCell ref="R2:R4"/>
    <mergeCell ref="S2:S4"/>
    <mergeCell ref="F3:F4"/>
    <mergeCell ref="G3:H3"/>
    <mergeCell ref="I3:J3"/>
    <mergeCell ref="K3:K4"/>
    <mergeCell ref="F39:O39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5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20.6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705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71">
        <v>1.0</v>
      </c>
      <c r="B5" s="17">
        <v>45614.0</v>
      </c>
      <c r="C5" s="18" t="s">
        <v>706</v>
      </c>
      <c r="D5" s="19">
        <v>22341.0</v>
      </c>
      <c r="E5" s="20" t="s">
        <v>62</v>
      </c>
      <c r="F5" s="24"/>
      <c r="G5" s="22"/>
      <c r="H5" s="22"/>
      <c r="I5" s="29">
        <v>1300.0</v>
      </c>
      <c r="J5" s="29"/>
      <c r="K5" s="22"/>
      <c r="L5" s="24"/>
      <c r="M5" s="29"/>
      <c r="N5" s="24"/>
      <c r="O5" s="24"/>
      <c r="P5" s="25">
        <v>1300.0</v>
      </c>
      <c r="Q5" s="26">
        <f t="shared" ref="Q5:Q25" si="1">F5+G5+H5+I5+J5+K5+L5+M5+N5+O5-P5</f>
        <v>0</v>
      </c>
      <c r="R5" s="82" t="s">
        <v>38</v>
      </c>
      <c r="S5" s="30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71">
        <v>2.0</v>
      </c>
      <c r="B6" s="17">
        <v>45614.0</v>
      </c>
      <c r="C6" s="18" t="s">
        <v>707</v>
      </c>
      <c r="D6" s="19">
        <v>57821.0</v>
      </c>
      <c r="E6" s="20" t="s">
        <v>708</v>
      </c>
      <c r="F6" s="24"/>
      <c r="G6" s="24"/>
      <c r="H6" s="22">
        <v>11400.0</v>
      </c>
      <c r="I6" s="29">
        <v>1300.0</v>
      </c>
      <c r="J6" s="29"/>
      <c r="K6" s="24"/>
      <c r="L6" s="24"/>
      <c r="M6" s="29"/>
      <c r="N6" s="24"/>
      <c r="O6" s="22"/>
      <c r="P6" s="25">
        <v>12700.0</v>
      </c>
      <c r="Q6" s="26">
        <f t="shared" si="1"/>
        <v>0</v>
      </c>
      <c r="R6" s="25" t="s">
        <v>25</v>
      </c>
      <c r="S6" s="30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71">
        <v>3.0</v>
      </c>
      <c r="B7" s="17">
        <v>45614.0</v>
      </c>
      <c r="C7" s="18" t="s">
        <v>709</v>
      </c>
      <c r="D7" s="19">
        <v>81562.0</v>
      </c>
      <c r="E7" s="20" t="s">
        <v>710</v>
      </c>
      <c r="F7" s="22"/>
      <c r="G7" s="24"/>
      <c r="H7" s="22"/>
      <c r="I7" s="29">
        <v>3050.0</v>
      </c>
      <c r="J7" s="29"/>
      <c r="K7" s="22"/>
      <c r="L7" s="24"/>
      <c r="M7" s="29"/>
      <c r="N7" s="24"/>
      <c r="O7" s="24"/>
      <c r="P7" s="25">
        <v>3050.0</v>
      </c>
      <c r="Q7" s="26">
        <f t="shared" si="1"/>
        <v>0</v>
      </c>
      <c r="R7" s="25" t="s">
        <v>38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71">
        <v>4.0</v>
      </c>
      <c r="B8" s="17">
        <v>45615.0</v>
      </c>
      <c r="C8" s="18" t="s">
        <v>711</v>
      </c>
      <c r="D8" s="19">
        <v>85279.0</v>
      </c>
      <c r="E8" s="20" t="s">
        <v>712</v>
      </c>
      <c r="F8" s="22"/>
      <c r="G8" s="22"/>
      <c r="H8" s="22"/>
      <c r="I8" s="29">
        <v>6050.0</v>
      </c>
      <c r="J8" s="29"/>
      <c r="K8" s="22"/>
      <c r="L8" s="24"/>
      <c r="M8" s="29"/>
      <c r="N8" s="24"/>
      <c r="O8" s="24"/>
      <c r="P8" s="25">
        <v>6050.0</v>
      </c>
      <c r="Q8" s="26">
        <f t="shared" si="1"/>
        <v>0</v>
      </c>
      <c r="R8" s="25" t="s">
        <v>25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71">
        <v>5.0</v>
      </c>
      <c r="B9" s="17">
        <v>45615.0</v>
      </c>
      <c r="C9" s="18" t="s">
        <v>713</v>
      </c>
      <c r="D9" s="19">
        <v>44149.0</v>
      </c>
      <c r="E9" s="20" t="s">
        <v>209</v>
      </c>
      <c r="F9" s="22"/>
      <c r="G9" s="24"/>
      <c r="H9" s="22"/>
      <c r="I9" s="29">
        <v>9500.0</v>
      </c>
      <c r="J9" s="29"/>
      <c r="K9" s="22"/>
      <c r="L9" s="24"/>
      <c r="M9" s="29"/>
      <c r="N9" s="24"/>
      <c r="O9" s="24"/>
      <c r="P9" s="25">
        <v>9500.0</v>
      </c>
      <c r="Q9" s="26">
        <f t="shared" si="1"/>
        <v>0</v>
      </c>
      <c r="R9" s="25" t="s">
        <v>38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71">
        <v>6.0</v>
      </c>
      <c r="B10" s="17">
        <v>45615.0</v>
      </c>
      <c r="C10" s="18" t="s">
        <v>714</v>
      </c>
      <c r="D10" s="19">
        <v>85204.0</v>
      </c>
      <c r="E10" s="20" t="s">
        <v>715</v>
      </c>
      <c r="F10" s="22"/>
      <c r="G10" s="24"/>
      <c r="H10" s="22"/>
      <c r="I10" s="29">
        <v>7000.0</v>
      </c>
      <c r="J10" s="29"/>
      <c r="K10" s="22"/>
      <c r="L10" s="24"/>
      <c r="M10" s="29"/>
      <c r="N10" s="24"/>
      <c r="O10" s="24"/>
      <c r="P10" s="25">
        <v>7000.0</v>
      </c>
      <c r="Q10" s="26">
        <f t="shared" si="1"/>
        <v>0</v>
      </c>
      <c r="R10" s="25" t="s">
        <v>38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71">
        <v>7.0</v>
      </c>
      <c r="B11" s="17">
        <v>45615.0</v>
      </c>
      <c r="C11" s="18" t="s">
        <v>716</v>
      </c>
      <c r="D11" s="19">
        <v>75045.0</v>
      </c>
      <c r="E11" s="20" t="s">
        <v>717</v>
      </c>
      <c r="F11" s="22"/>
      <c r="G11" s="24"/>
      <c r="H11" s="22"/>
      <c r="I11" s="29">
        <v>2900.0</v>
      </c>
      <c r="J11" s="29"/>
      <c r="K11" s="22"/>
      <c r="L11" s="24"/>
      <c r="M11" s="29"/>
      <c r="N11" s="24"/>
      <c r="O11" s="24"/>
      <c r="P11" s="25">
        <v>2900.0</v>
      </c>
      <c r="Q11" s="26">
        <f t="shared" si="1"/>
        <v>0</v>
      </c>
      <c r="R11" s="25" t="s">
        <v>38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71">
        <v>8.0</v>
      </c>
      <c r="B12" s="17">
        <v>45615.0</v>
      </c>
      <c r="C12" s="18" t="s">
        <v>718</v>
      </c>
      <c r="D12" s="19">
        <v>80242.0</v>
      </c>
      <c r="E12" s="20" t="s">
        <v>719</v>
      </c>
      <c r="F12" s="22"/>
      <c r="G12" s="24"/>
      <c r="H12" s="22"/>
      <c r="I12" s="29">
        <v>30000.0</v>
      </c>
      <c r="J12" s="29"/>
      <c r="K12" s="22"/>
      <c r="L12" s="24"/>
      <c r="M12" s="29"/>
      <c r="N12" s="24"/>
      <c r="O12" s="24"/>
      <c r="P12" s="25">
        <v>30000.0</v>
      </c>
      <c r="Q12" s="26">
        <f t="shared" si="1"/>
        <v>0</v>
      </c>
      <c r="R12" s="25" t="s">
        <v>28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71">
        <v>9.0</v>
      </c>
      <c r="B13" s="17">
        <v>45615.0</v>
      </c>
      <c r="C13" s="18" t="s">
        <v>720</v>
      </c>
      <c r="D13" s="19">
        <v>75045.0</v>
      </c>
      <c r="E13" s="20" t="s">
        <v>717</v>
      </c>
      <c r="F13" s="22"/>
      <c r="G13" s="22"/>
      <c r="H13" s="22"/>
      <c r="I13" s="29">
        <v>4500.0</v>
      </c>
      <c r="J13" s="29"/>
      <c r="K13" s="22"/>
      <c r="L13" s="24"/>
      <c r="M13" s="29"/>
      <c r="N13" s="24"/>
      <c r="O13" s="24"/>
      <c r="P13" s="25">
        <v>4500.0</v>
      </c>
      <c r="Q13" s="26">
        <f t="shared" si="1"/>
        <v>0</v>
      </c>
      <c r="R13" s="25" t="s">
        <v>38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71">
        <v>10.0</v>
      </c>
      <c r="B14" s="17">
        <v>45615.0</v>
      </c>
      <c r="C14" s="18" t="s">
        <v>721</v>
      </c>
      <c r="D14" s="19">
        <v>74331.0</v>
      </c>
      <c r="E14" s="20" t="s">
        <v>722</v>
      </c>
      <c r="F14" s="22"/>
      <c r="G14" s="22"/>
      <c r="H14" s="22"/>
      <c r="I14" s="29">
        <v>3500.0</v>
      </c>
      <c r="J14" s="29"/>
      <c r="K14" s="22"/>
      <c r="L14" s="24"/>
      <c r="M14" s="21"/>
      <c r="N14" s="24"/>
      <c r="O14" s="22"/>
      <c r="P14" s="25">
        <v>3500.0</v>
      </c>
      <c r="Q14" s="26">
        <f t="shared" si="1"/>
        <v>0</v>
      </c>
      <c r="R14" s="25" t="s">
        <v>35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71">
        <v>11.0</v>
      </c>
      <c r="B15" s="17">
        <v>45615.0</v>
      </c>
      <c r="C15" s="18" t="s">
        <v>723</v>
      </c>
      <c r="D15" s="19">
        <v>84859.0</v>
      </c>
      <c r="E15" s="20" t="s">
        <v>436</v>
      </c>
      <c r="F15" s="21"/>
      <c r="G15" s="22"/>
      <c r="H15" s="24"/>
      <c r="I15" s="29"/>
      <c r="J15" s="29"/>
      <c r="K15" s="37"/>
      <c r="L15" s="24"/>
      <c r="M15" s="22">
        <v>200.0</v>
      </c>
      <c r="N15" s="24"/>
      <c r="O15" s="22"/>
      <c r="P15" s="25">
        <v>200.0</v>
      </c>
      <c r="Q15" s="26">
        <f t="shared" si="1"/>
        <v>0</v>
      </c>
      <c r="R15" s="25" t="s">
        <v>25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71">
        <v>12.0</v>
      </c>
      <c r="B16" s="17">
        <v>45615.0</v>
      </c>
      <c r="C16" s="18" t="s">
        <v>724</v>
      </c>
      <c r="D16" s="19">
        <v>23425.0</v>
      </c>
      <c r="E16" s="20" t="s">
        <v>725</v>
      </c>
      <c r="F16" s="21"/>
      <c r="G16" s="24"/>
      <c r="H16" s="22"/>
      <c r="I16" s="29">
        <v>800.0</v>
      </c>
      <c r="J16" s="29"/>
      <c r="K16" s="37"/>
      <c r="L16" s="24"/>
      <c r="M16" s="24"/>
      <c r="N16" s="24"/>
      <c r="O16" s="22"/>
      <c r="P16" s="25">
        <v>800.0</v>
      </c>
      <c r="Q16" s="26">
        <f t="shared" si="1"/>
        <v>0</v>
      </c>
      <c r="R16" s="25" t="s">
        <v>28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71">
        <v>13.0</v>
      </c>
      <c r="B17" s="17">
        <v>45615.0</v>
      </c>
      <c r="C17" s="18" t="s">
        <v>726</v>
      </c>
      <c r="D17" s="19">
        <v>80700.0</v>
      </c>
      <c r="E17" s="20" t="s">
        <v>727</v>
      </c>
      <c r="F17" s="21"/>
      <c r="G17" s="22"/>
      <c r="H17" s="24"/>
      <c r="I17" s="29">
        <v>10000.0</v>
      </c>
      <c r="J17" s="21"/>
      <c r="K17" s="37"/>
      <c r="L17" s="24"/>
      <c r="M17" s="22"/>
      <c r="N17" s="24"/>
      <c r="O17" s="22"/>
      <c r="P17" s="25">
        <v>10000.0</v>
      </c>
      <c r="Q17" s="26">
        <f t="shared" si="1"/>
        <v>0</v>
      </c>
      <c r="R17" s="25" t="s">
        <v>28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71">
        <v>14.0</v>
      </c>
      <c r="B18" s="17">
        <v>45615.0</v>
      </c>
      <c r="C18" s="18" t="s">
        <v>728</v>
      </c>
      <c r="D18" s="19">
        <v>46927.0</v>
      </c>
      <c r="E18" s="20" t="s">
        <v>386</v>
      </c>
      <c r="F18" s="21"/>
      <c r="G18" s="22"/>
      <c r="H18" s="24"/>
      <c r="I18" s="29">
        <v>3940.0</v>
      </c>
      <c r="J18" s="21"/>
      <c r="K18" s="37"/>
      <c r="L18" s="24"/>
      <c r="M18" s="22"/>
      <c r="N18" s="24"/>
      <c r="O18" s="22"/>
      <c r="P18" s="25">
        <v>3940.0</v>
      </c>
      <c r="Q18" s="26">
        <f t="shared" si="1"/>
        <v>0</v>
      </c>
      <c r="R18" s="25" t="s">
        <v>35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71">
        <v>15.0</v>
      </c>
      <c r="B19" s="17">
        <v>45615.0</v>
      </c>
      <c r="C19" s="18" t="s">
        <v>729</v>
      </c>
      <c r="D19" s="19">
        <v>28461.0</v>
      </c>
      <c r="E19" s="20" t="s">
        <v>730</v>
      </c>
      <c r="F19" s="21"/>
      <c r="G19" s="22"/>
      <c r="H19" s="24"/>
      <c r="I19" s="29"/>
      <c r="J19" s="29">
        <v>4600.0</v>
      </c>
      <c r="K19" s="37"/>
      <c r="L19" s="24"/>
      <c r="M19" s="22"/>
      <c r="N19" s="24"/>
      <c r="O19" s="22"/>
      <c r="P19" s="25">
        <v>4600.0</v>
      </c>
      <c r="Q19" s="26">
        <f t="shared" si="1"/>
        <v>0</v>
      </c>
      <c r="R19" s="25" t="s">
        <v>25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71">
        <v>16.0</v>
      </c>
      <c r="B20" s="17">
        <v>45615.0</v>
      </c>
      <c r="C20" s="18" t="s">
        <v>731</v>
      </c>
      <c r="D20" s="19">
        <v>19688.0</v>
      </c>
      <c r="E20" s="20" t="s">
        <v>732</v>
      </c>
      <c r="F20" s="21"/>
      <c r="G20" s="22"/>
      <c r="H20" s="24"/>
      <c r="I20" s="29"/>
      <c r="J20" s="29">
        <v>10000.0</v>
      </c>
      <c r="K20" s="37"/>
      <c r="L20" s="24"/>
      <c r="M20" s="22"/>
      <c r="N20" s="24"/>
      <c r="O20" s="22"/>
      <c r="P20" s="25">
        <v>10000.0</v>
      </c>
      <c r="Q20" s="26">
        <f t="shared" si="1"/>
        <v>0</v>
      </c>
      <c r="R20" s="25" t="s">
        <v>28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71">
        <v>17.0</v>
      </c>
      <c r="B21" s="17">
        <v>45615.0</v>
      </c>
      <c r="C21" s="18" t="s">
        <v>733</v>
      </c>
      <c r="D21" s="19">
        <v>57328.0</v>
      </c>
      <c r="E21" s="20" t="s">
        <v>120</v>
      </c>
      <c r="F21" s="21"/>
      <c r="G21" s="22"/>
      <c r="H21" s="24"/>
      <c r="I21" s="29">
        <v>350.0</v>
      </c>
      <c r="J21" s="21"/>
      <c r="K21" s="37"/>
      <c r="L21" s="24"/>
      <c r="M21" s="22"/>
      <c r="N21" s="24"/>
      <c r="O21" s="22"/>
      <c r="P21" s="25">
        <v>350.0</v>
      </c>
      <c r="Q21" s="26">
        <f t="shared" si="1"/>
        <v>0</v>
      </c>
      <c r="R21" s="25" t="s">
        <v>28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71">
        <v>18.0</v>
      </c>
      <c r="B22" s="17">
        <v>45615.0</v>
      </c>
      <c r="C22" s="18" t="s">
        <v>734</v>
      </c>
      <c r="D22" s="19">
        <v>81789.0</v>
      </c>
      <c r="E22" s="20" t="s">
        <v>735</v>
      </c>
      <c r="F22" s="21"/>
      <c r="G22" s="22"/>
      <c r="H22" s="24"/>
      <c r="I22" s="29"/>
      <c r="J22" s="29">
        <v>5240.0</v>
      </c>
      <c r="K22" s="37"/>
      <c r="L22" s="24"/>
      <c r="M22" s="22"/>
      <c r="N22" s="24"/>
      <c r="O22" s="22"/>
      <c r="P22" s="25">
        <v>5240.0</v>
      </c>
      <c r="Q22" s="26">
        <f t="shared" si="1"/>
        <v>0</v>
      </c>
      <c r="R22" s="25" t="s">
        <v>38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71">
        <v>19.0</v>
      </c>
      <c r="B23" s="17">
        <v>45615.0</v>
      </c>
      <c r="C23" s="18" t="s">
        <v>736</v>
      </c>
      <c r="D23" s="19">
        <v>21828.0</v>
      </c>
      <c r="E23" s="20" t="s">
        <v>112</v>
      </c>
      <c r="F23" s="29">
        <v>4629.0</v>
      </c>
      <c r="G23" s="22"/>
      <c r="H23" s="24"/>
      <c r="I23" s="29"/>
      <c r="J23" s="29"/>
      <c r="K23" s="37"/>
      <c r="L23" s="24"/>
      <c r="M23" s="22"/>
      <c r="N23" s="24"/>
      <c r="O23" s="22"/>
      <c r="P23" s="25">
        <v>4629.0</v>
      </c>
      <c r="Q23" s="26">
        <f t="shared" si="1"/>
        <v>0</v>
      </c>
      <c r="R23" s="25" t="s">
        <v>25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71">
        <v>20.0</v>
      </c>
      <c r="B24" s="17">
        <v>45615.0</v>
      </c>
      <c r="C24" s="18" t="s">
        <v>737</v>
      </c>
      <c r="D24" s="19">
        <v>66770.0</v>
      </c>
      <c r="E24" s="20" t="s">
        <v>46</v>
      </c>
      <c r="F24" s="21"/>
      <c r="G24" s="22"/>
      <c r="H24" s="24"/>
      <c r="I24" s="29"/>
      <c r="J24" s="29">
        <v>2550.0</v>
      </c>
      <c r="K24" s="37"/>
      <c r="L24" s="24"/>
      <c r="M24" s="22"/>
      <c r="N24" s="24"/>
      <c r="O24" s="22"/>
      <c r="P24" s="25">
        <v>2550.0</v>
      </c>
      <c r="Q24" s="26">
        <f t="shared" si="1"/>
        <v>0</v>
      </c>
      <c r="R24" s="25" t="s">
        <v>38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71">
        <v>21.0</v>
      </c>
      <c r="B25" s="17">
        <v>45615.0</v>
      </c>
      <c r="C25" s="18" t="s">
        <v>738</v>
      </c>
      <c r="D25" s="19">
        <v>52669.0</v>
      </c>
      <c r="E25" s="20" t="s">
        <v>147</v>
      </c>
      <c r="F25" s="21"/>
      <c r="G25" s="24"/>
      <c r="H25" s="22">
        <v>4800.0</v>
      </c>
      <c r="I25" s="29"/>
      <c r="J25" s="21"/>
      <c r="K25" s="37"/>
      <c r="L25" s="24"/>
      <c r="M25" s="24"/>
      <c r="N25" s="24"/>
      <c r="O25" s="22"/>
      <c r="P25" s="25">
        <v>4800.0</v>
      </c>
      <c r="Q25" s="26">
        <f t="shared" si="1"/>
        <v>0</v>
      </c>
      <c r="R25" s="25"/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7.5" customHeight="1">
      <c r="A26" s="71"/>
      <c r="B26" s="50"/>
      <c r="C26" s="51"/>
      <c r="D26" s="52" t="s">
        <v>123</v>
      </c>
      <c r="E26" s="53"/>
      <c r="F26" s="54">
        <f t="shared" ref="F26:Q26" si="2">SUM(F5:F25)</f>
        <v>4629</v>
      </c>
      <c r="G26" s="54">
        <f t="shared" si="2"/>
        <v>0</v>
      </c>
      <c r="H26" s="54">
        <f t="shared" si="2"/>
        <v>16200</v>
      </c>
      <c r="I26" s="54">
        <f t="shared" si="2"/>
        <v>84190</v>
      </c>
      <c r="J26" s="54">
        <f t="shared" si="2"/>
        <v>22390</v>
      </c>
      <c r="K26" s="54">
        <f t="shared" si="2"/>
        <v>0</v>
      </c>
      <c r="L26" s="54">
        <f t="shared" si="2"/>
        <v>0</v>
      </c>
      <c r="M26" s="54">
        <f t="shared" si="2"/>
        <v>200</v>
      </c>
      <c r="N26" s="54">
        <f t="shared" si="2"/>
        <v>0</v>
      </c>
      <c r="O26" s="54">
        <f t="shared" si="2"/>
        <v>0</v>
      </c>
      <c r="P26" s="54">
        <f t="shared" si="2"/>
        <v>127609</v>
      </c>
      <c r="Q26" s="55">
        <f t="shared" si="2"/>
        <v>0</v>
      </c>
      <c r="R26" s="56"/>
      <c r="S26" s="27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</row>
    <row r="27" ht="58.5" customHeight="1">
      <c r="A27" s="57"/>
      <c r="B27" s="57"/>
      <c r="C27" s="58"/>
      <c r="D27" s="57"/>
      <c r="E27" s="57"/>
      <c r="F27" s="59">
        <f>F26+G26+H26+I26+J26+K26+L26+M26+N26+O26</f>
        <v>127609</v>
      </c>
      <c r="P27" s="60"/>
      <c r="Q27" s="60"/>
      <c r="R27" s="57"/>
      <c r="S27" s="57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</row>
    <row r="28" ht="15.75" customHeight="1">
      <c r="A28" s="4"/>
      <c r="B28" s="4"/>
      <c r="C28" s="6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26.25" customHeight="1">
      <c r="A29" s="4"/>
      <c r="B29" s="4"/>
      <c r="C29" s="61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26.25" customHeight="1">
      <c r="A30" s="4"/>
      <c r="B30" s="4"/>
      <c r="C30" s="62" t="s">
        <v>123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26.25" customHeight="1">
      <c r="A31" s="4"/>
      <c r="B31" s="4"/>
      <c r="C31" s="61"/>
      <c r="D31" s="4"/>
      <c r="E31" s="63" t="s">
        <v>124</v>
      </c>
      <c r="F31" s="6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61"/>
      <c r="D32" s="4"/>
      <c r="E32" s="65" t="s">
        <v>126</v>
      </c>
      <c r="F32" s="64" t="s">
        <v>703</v>
      </c>
      <c r="G32" s="4"/>
      <c r="H32" s="4"/>
      <c r="I32" s="4"/>
      <c r="J32" s="4"/>
      <c r="K32" s="4"/>
      <c r="L32" s="4"/>
      <c r="M32" s="4"/>
      <c r="N32" s="4"/>
      <c r="O32" s="66" t="s">
        <v>123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61"/>
      <c r="D33" s="4"/>
      <c r="E33" s="65" t="s">
        <v>128</v>
      </c>
      <c r="F33" s="64" t="s">
        <v>129</v>
      </c>
      <c r="G33" s="4"/>
      <c r="H33" s="4"/>
      <c r="I33" s="67" t="s">
        <v>250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61"/>
      <c r="D34" s="4"/>
      <c r="E34" s="65" t="s">
        <v>130</v>
      </c>
      <c r="F34" s="64" t="s">
        <v>129</v>
      </c>
      <c r="G34" s="4"/>
      <c r="H34" s="4"/>
      <c r="I34" s="4"/>
      <c r="J34" s="4"/>
      <c r="K34" s="67" t="s">
        <v>123</v>
      </c>
      <c r="L34" s="67" t="s">
        <v>123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61"/>
      <c r="D35" s="4"/>
      <c r="E35" s="65" t="s">
        <v>131</v>
      </c>
      <c r="F35" s="64" t="s">
        <v>129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61"/>
      <c r="D36" s="4"/>
      <c r="E36" s="65" t="s">
        <v>739</v>
      </c>
      <c r="F36" s="64" t="s">
        <v>129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61"/>
      <c r="D37" s="4"/>
      <c r="E37" s="65" t="s">
        <v>134</v>
      </c>
      <c r="F37" s="64" t="s">
        <v>162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61"/>
      <c r="D38" s="4"/>
      <c r="E38" s="65" t="s">
        <v>135</v>
      </c>
      <c r="F38" s="68" t="s">
        <v>125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66" t="s">
        <v>123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61"/>
      <c r="D39" s="4"/>
      <c r="E39" s="4"/>
      <c r="F39" s="4"/>
      <c r="G39" s="4"/>
      <c r="H39" s="4"/>
      <c r="I39" s="4"/>
      <c r="J39" s="4"/>
      <c r="K39" s="4" t="str">
        <f>I72426</f>
        <v/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61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6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6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6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6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6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61"/>
      <c r="D46" s="4"/>
      <c r="E46" s="4"/>
      <c r="F46" s="4"/>
      <c r="G46" s="4"/>
      <c r="H46" s="4"/>
      <c r="I46" s="66" t="s">
        <v>136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6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6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6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6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6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1"/>
      <c r="D61" s="4"/>
      <c r="E61" s="4"/>
      <c r="F61" s="4"/>
      <c r="G61" s="4"/>
      <c r="H61" s="4"/>
      <c r="I61" s="4"/>
      <c r="J61" s="4"/>
      <c r="K61" s="4"/>
      <c r="L61" s="4"/>
      <c r="M61" s="4">
        <v>7.0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mergeCells count="17">
    <mergeCell ref="R2:R4"/>
    <mergeCell ref="S2:S4"/>
    <mergeCell ref="F3:F4"/>
    <mergeCell ref="G3:H3"/>
    <mergeCell ref="I3:J3"/>
    <mergeCell ref="K3:K4"/>
    <mergeCell ref="F27:O27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5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20.6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740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71">
        <v>1.0</v>
      </c>
      <c r="B5" s="17">
        <v>45615.0</v>
      </c>
      <c r="C5" s="18" t="s">
        <v>741</v>
      </c>
      <c r="D5" s="19">
        <v>66770.0</v>
      </c>
      <c r="E5" s="20" t="s">
        <v>46</v>
      </c>
      <c r="F5" s="24"/>
      <c r="G5" s="22"/>
      <c r="H5" s="22"/>
      <c r="I5" s="29">
        <v>0.0</v>
      </c>
      <c r="J5" s="29"/>
      <c r="K5" s="22"/>
      <c r="L5" s="24"/>
      <c r="M5" s="29"/>
      <c r="N5" s="24"/>
      <c r="O5" s="24"/>
      <c r="P5" s="25">
        <v>2550.0</v>
      </c>
      <c r="Q5" s="26">
        <f t="shared" ref="Q5:Q24" si="1">F5+G5+H5+I5+J5+K5+L5+M5+N5+O5-P5</f>
        <v>-2550</v>
      </c>
      <c r="R5" s="82" t="s">
        <v>38</v>
      </c>
      <c r="S5" s="30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71">
        <v>2.0</v>
      </c>
      <c r="B6" s="17">
        <v>45616.0</v>
      </c>
      <c r="C6" s="18" t="s">
        <v>742</v>
      </c>
      <c r="D6" s="19">
        <v>72414.0</v>
      </c>
      <c r="E6" s="20" t="s">
        <v>743</v>
      </c>
      <c r="F6" s="24"/>
      <c r="G6" s="24"/>
      <c r="H6" s="22"/>
      <c r="I6" s="29"/>
      <c r="J6" s="29">
        <v>2600.0</v>
      </c>
      <c r="K6" s="24"/>
      <c r="L6" s="24"/>
      <c r="M6" s="29"/>
      <c r="N6" s="24"/>
      <c r="O6" s="22"/>
      <c r="P6" s="25">
        <v>2600.0</v>
      </c>
      <c r="Q6" s="26">
        <f t="shared" si="1"/>
        <v>0</v>
      </c>
      <c r="R6" s="25" t="s">
        <v>28</v>
      </c>
      <c r="S6" s="30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71">
        <v>3.0</v>
      </c>
      <c r="B7" s="17">
        <v>45616.0</v>
      </c>
      <c r="C7" s="18" t="s">
        <v>744</v>
      </c>
      <c r="D7" s="19">
        <v>63830.0</v>
      </c>
      <c r="E7" s="20" t="s">
        <v>745</v>
      </c>
      <c r="F7" s="22"/>
      <c r="G7" s="24"/>
      <c r="H7" s="22"/>
      <c r="I7" s="29">
        <v>7600.0</v>
      </c>
      <c r="J7" s="29"/>
      <c r="K7" s="22"/>
      <c r="L7" s="24"/>
      <c r="M7" s="29"/>
      <c r="N7" s="24"/>
      <c r="O7" s="24"/>
      <c r="P7" s="25">
        <v>7600.0</v>
      </c>
      <c r="Q7" s="26">
        <f t="shared" si="1"/>
        <v>0</v>
      </c>
      <c r="R7" s="25" t="s">
        <v>38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71">
        <v>4.0</v>
      </c>
      <c r="B8" s="17">
        <v>45616.0</v>
      </c>
      <c r="C8" s="18" t="s">
        <v>746</v>
      </c>
      <c r="D8" s="19">
        <v>53249.0</v>
      </c>
      <c r="E8" s="20" t="s">
        <v>73</v>
      </c>
      <c r="F8" s="22"/>
      <c r="G8" s="22"/>
      <c r="H8" s="22"/>
      <c r="I8" s="29"/>
      <c r="J8" s="29">
        <v>31300.0</v>
      </c>
      <c r="K8" s="22"/>
      <c r="L8" s="24"/>
      <c r="M8" s="29"/>
      <c r="N8" s="24"/>
      <c r="O8" s="24"/>
      <c r="P8" s="25">
        <v>31300.0</v>
      </c>
      <c r="Q8" s="26">
        <f t="shared" si="1"/>
        <v>0</v>
      </c>
      <c r="R8" s="25" t="s">
        <v>38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71">
        <v>5.0</v>
      </c>
      <c r="B9" s="17">
        <v>45616.0</v>
      </c>
      <c r="C9" s="18" t="s">
        <v>747</v>
      </c>
      <c r="D9" s="19">
        <v>10744.0</v>
      </c>
      <c r="E9" s="20" t="s">
        <v>53</v>
      </c>
      <c r="F9" s="22"/>
      <c r="G9" s="24"/>
      <c r="H9" s="22"/>
      <c r="I9" s="29">
        <v>2350.0</v>
      </c>
      <c r="J9" s="29"/>
      <c r="K9" s="22"/>
      <c r="L9" s="24"/>
      <c r="M9" s="29"/>
      <c r="N9" s="24"/>
      <c r="O9" s="24"/>
      <c r="P9" s="25">
        <v>2350.0</v>
      </c>
      <c r="Q9" s="26">
        <f t="shared" si="1"/>
        <v>0</v>
      </c>
      <c r="R9" s="25" t="s">
        <v>28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71">
        <v>6.0</v>
      </c>
      <c r="B10" s="17">
        <v>45616.0</v>
      </c>
      <c r="C10" s="18" t="s">
        <v>748</v>
      </c>
      <c r="D10" s="19">
        <v>30895.0</v>
      </c>
      <c r="E10" s="20" t="s">
        <v>75</v>
      </c>
      <c r="F10" s="22"/>
      <c r="G10" s="24"/>
      <c r="H10" s="22"/>
      <c r="I10" s="29"/>
      <c r="J10" s="29"/>
      <c r="K10" s="22">
        <v>8000.0</v>
      </c>
      <c r="L10" s="24"/>
      <c r="M10" s="29"/>
      <c r="N10" s="24"/>
      <c r="O10" s="24"/>
      <c r="P10" s="25">
        <v>8000.0</v>
      </c>
      <c r="Q10" s="26">
        <f t="shared" si="1"/>
        <v>0</v>
      </c>
      <c r="R10" s="25" t="s">
        <v>28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71">
        <v>7.0</v>
      </c>
      <c r="B11" s="17">
        <v>45616.0</v>
      </c>
      <c r="C11" s="18" t="s">
        <v>749</v>
      </c>
      <c r="D11" s="19">
        <v>47576.0</v>
      </c>
      <c r="E11" s="20" t="s">
        <v>750</v>
      </c>
      <c r="F11" s="22"/>
      <c r="G11" s="24"/>
      <c r="H11" s="22"/>
      <c r="I11" s="29">
        <v>15000.0</v>
      </c>
      <c r="J11" s="29"/>
      <c r="K11" s="22"/>
      <c r="L11" s="24"/>
      <c r="M11" s="29"/>
      <c r="N11" s="24"/>
      <c r="O11" s="24"/>
      <c r="P11" s="25">
        <v>15000.0</v>
      </c>
      <c r="Q11" s="26">
        <f t="shared" si="1"/>
        <v>0</v>
      </c>
      <c r="R11" s="25" t="s">
        <v>28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71">
        <v>8.0</v>
      </c>
      <c r="B12" s="17">
        <v>45616.0</v>
      </c>
      <c r="C12" s="18" t="s">
        <v>751</v>
      </c>
      <c r="D12" s="19">
        <v>74664.0</v>
      </c>
      <c r="E12" s="20" t="s">
        <v>752</v>
      </c>
      <c r="F12" s="22"/>
      <c r="G12" s="24"/>
      <c r="H12" s="22"/>
      <c r="I12" s="29"/>
      <c r="J12" s="29"/>
      <c r="K12" s="22">
        <v>300.0</v>
      </c>
      <c r="L12" s="24"/>
      <c r="M12" s="29"/>
      <c r="N12" s="24"/>
      <c r="O12" s="24"/>
      <c r="P12" s="25">
        <v>300.0</v>
      </c>
      <c r="Q12" s="26">
        <f t="shared" si="1"/>
        <v>0</v>
      </c>
      <c r="R12" s="25" t="s">
        <v>35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71">
        <v>9.0</v>
      </c>
      <c r="B13" s="17">
        <v>45616.0</v>
      </c>
      <c r="C13" s="18" t="s">
        <v>753</v>
      </c>
      <c r="D13" s="19">
        <v>46558.0</v>
      </c>
      <c r="E13" s="20" t="s">
        <v>754</v>
      </c>
      <c r="F13" s="22"/>
      <c r="G13" s="22"/>
      <c r="H13" s="22"/>
      <c r="I13" s="29">
        <v>4600.0</v>
      </c>
      <c r="J13" s="29"/>
      <c r="K13" s="22"/>
      <c r="L13" s="24"/>
      <c r="M13" s="29"/>
      <c r="N13" s="24"/>
      <c r="O13" s="24"/>
      <c r="P13" s="25">
        <v>4600.0</v>
      </c>
      <c r="Q13" s="26">
        <f t="shared" si="1"/>
        <v>0</v>
      </c>
      <c r="R13" s="25" t="s">
        <v>28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71">
        <v>10.0</v>
      </c>
      <c r="B14" s="17">
        <v>45616.0</v>
      </c>
      <c r="C14" s="18" t="s">
        <v>755</v>
      </c>
      <c r="D14" s="19">
        <v>50596.0</v>
      </c>
      <c r="E14" s="20" t="s">
        <v>756</v>
      </c>
      <c r="F14" s="22"/>
      <c r="G14" s="22"/>
      <c r="H14" s="22"/>
      <c r="I14" s="29">
        <v>5000.0</v>
      </c>
      <c r="J14" s="29"/>
      <c r="K14" s="22"/>
      <c r="L14" s="24"/>
      <c r="M14" s="21"/>
      <c r="N14" s="24"/>
      <c r="O14" s="22"/>
      <c r="P14" s="25">
        <v>5000.0</v>
      </c>
      <c r="Q14" s="26">
        <f t="shared" si="1"/>
        <v>0</v>
      </c>
      <c r="R14" s="25" t="s">
        <v>35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71">
        <v>11.0</v>
      </c>
      <c r="B15" s="17">
        <v>45616.0</v>
      </c>
      <c r="C15" s="18" t="s">
        <v>757</v>
      </c>
      <c r="D15" s="19">
        <v>69620.0</v>
      </c>
      <c r="E15" s="20" t="s">
        <v>360</v>
      </c>
      <c r="F15" s="21"/>
      <c r="G15" s="22"/>
      <c r="H15" s="24"/>
      <c r="I15" s="29"/>
      <c r="J15" s="29">
        <v>10000.0</v>
      </c>
      <c r="K15" s="37"/>
      <c r="L15" s="24"/>
      <c r="M15" s="22"/>
      <c r="N15" s="24"/>
      <c r="O15" s="22"/>
      <c r="P15" s="25">
        <v>10000.0</v>
      </c>
      <c r="Q15" s="26">
        <f t="shared" si="1"/>
        <v>0</v>
      </c>
      <c r="R15" s="25" t="s">
        <v>25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71">
        <v>12.0</v>
      </c>
      <c r="B16" s="17">
        <v>45616.0</v>
      </c>
      <c r="C16" s="18" t="s">
        <v>758</v>
      </c>
      <c r="D16" s="19">
        <v>39803.0</v>
      </c>
      <c r="E16" s="20" t="s">
        <v>759</v>
      </c>
      <c r="F16" s="21"/>
      <c r="G16" s="24"/>
      <c r="H16" s="22"/>
      <c r="I16" s="29">
        <v>550.0</v>
      </c>
      <c r="J16" s="29"/>
      <c r="K16" s="37"/>
      <c r="L16" s="24"/>
      <c r="M16" s="24"/>
      <c r="N16" s="24"/>
      <c r="O16" s="22"/>
      <c r="P16" s="25">
        <v>550.0</v>
      </c>
      <c r="Q16" s="26">
        <f t="shared" si="1"/>
        <v>0</v>
      </c>
      <c r="R16" s="25" t="s">
        <v>25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71">
        <v>13.0</v>
      </c>
      <c r="B17" s="17">
        <v>45616.0</v>
      </c>
      <c r="C17" s="18" t="s">
        <v>760</v>
      </c>
      <c r="D17" s="19">
        <v>49682.0</v>
      </c>
      <c r="E17" s="20" t="s">
        <v>761</v>
      </c>
      <c r="F17" s="21"/>
      <c r="G17" s="22"/>
      <c r="H17" s="24"/>
      <c r="I17" s="29">
        <v>2500.0</v>
      </c>
      <c r="J17" s="21"/>
      <c r="K17" s="37"/>
      <c r="L17" s="24"/>
      <c r="M17" s="22"/>
      <c r="N17" s="24"/>
      <c r="O17" s="22"/>
      <c r="P17" s="25">
        <v>2500.0</v>
      </c>
      <c r="Q17" s="26">
        <f t="shared" si="1"/>
        <v>0</v>
      </c>
      <c r="R17" s="25" t="s">
        <v>38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71">
        <v>14.0</v>
      </c>
      <c r="B18" s="17">
        <v>45616.0</v>
      </c>
      <c r="C18" s="18" t="s">
        <v>762</v>
      </c>
      <c r="D18" s="19">
        <v>83171.0</v>
      </c>
      <c r="E18" s="20" t="s">
        <v>763</v>
      </c>
      <c r="F18" s="29">
        <v>1000.0</v>
      </c>
      <c r="G18" s="22"/>
      <c r="H18" s="24"/>
      <c r="I18" s="29"/>
      <c r="J18" s="21"/>
      <c r="K18" s="37"/>
      <c r="L18" s="24"/>
      <c r="M18" s="22">
        <v>1500.0</v>
      </c>
      <c r="N18" s="24"/>
      <c r="O18" s="22"/>
      <c r="P18" s="25">
        <v>2500.0</v>
      </c>
      <c r="Q18" s="26">
        <f t="shared" si="1"/>
        <v>0</v>
      </c>
      <c r="R18" s="25" t="s">
        <v>25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71">
        <v>15.0</v>
      </c>
      <c r="B19" s="17">
        <v>45616.0</v>
      </c>
      <c r="C19" s="18" t="s">
        <v>764</v>
      </c>
      <c r="D19" s="19">
        <v>52083.0</v>
      </c>
      <c r="E19" s="20" t="s">
        <v>94</v>
      </c>
      <c r="F19" s="21"/>
      <c r="G19" s="22"/>
      <c r="H19" s="24"/>
      <c r="I19" s="29">
        <v>650.0</v>
      </c>
      <c r="J19" s="29"/>
      <c r="K19" s="37"/>
      <c r="L19" s="24"/>
      <c r="M19" s="22"/>
      <c r="N19" s="24"/>
      <c r="O19" s="22"/>
      <c r="P19" s="25">
        <v>650.0</v>
      </c>
      <c r="Q19" s="26">
        <f t="shared" si="1"/>
        <v>0</v>
      </c>
      <c r="R19" s="25" t="s">
        <v>25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71">
        <v>16.0</v>
      </c>
      <c r="B20" s="17">
        <v>45616.0</v>
      </c>
      <c r="C20" s="18" t="s">
        <v>765</v>
      </c>
      <c r="D20" s="19">
        <v>67621.0</v>
      </c>
      <c r="E20" s="20" t="s">
        <v>59</v>
      </c>
      <c r="F20" s="21"/>
      <c r="G20" s="22"/>
      <c r="H20" s="24"/>
      <c r="I20" s="29">
        <v>5000.0</v>
      </c>
      <c r="J20" s="29"/>
      <c r="K20" s="37"/>
      <c r="L20" s="24"/>
      <c r="M20" s="22"/>
      <c r="N20" s="24"/>
      <c r="O20" s="22"/>
      <c r="P20" s="25">
        <v>5000.0</v>
      </c>
      <c r="Q20" s="26">
        <f t="shared" si="1"/>
        <v>0</v>
      </c>
      <c r="R20" s="25" t="s">
        <v>28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71">
        <v>17.0</v>
      </c>
      <c r="B21" s="17">
        <v>45615.0</v>
      </c>
      <c r="C21" s="18" t="s">
        <v>766</v>
      </c>
      <c r="D21" s="19">
        <v>51017.0</v>
      </c>
      <c r="E21" s="20" t="s">
        <v>228</v>
      </c>
      <c r="F21" s="21"/>
      <c r="G21" s="22"/>
      <c r="H21" s="22">
        <v>10000.0</v>
      </c>
      <c r="I21" s="29"/>
      <c r="J21" s="21"/>
      <c r="K21" s="37"/>
      <c r="L21" s="24"/>
      <c r="M21" s="22"/>
      <c r="N21" s="24"/>
      <c r="O21" s="22"/>
      <c r="P21" s="25">
        <v>10000.0</v>
      </c>
      <c r="Q21" s="26">
        <f t="shared" si="1"/>
        <v>0</v>
      </c>
      <c r="R21" s="25"/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71">
        <v>18.0</v>
      </c>
      <c r="B22" s="17">
        <v>45616.0</v>
      </c>
      <c r="C22" s="18" t="s">
        <v>767</v>
      </c>
      <c r="D22" s="19">
        <v>55446.0</v>
      </c>
      <c r="E22" s="20" t="s">
        <v>153</v>
      </c>
      <c r="F22" s="21"/>
      <c r="G22" s="22"/>
      <c r="H22" s="22">
        <v>2500.0</v>
      </c>
      <c r="I22" s="29"/>
      <c r="J22" s="29"/>
      <c r="K22" s="37"/>
      <c r="L22" s="24"/>
      <c r="M22" s="22"/>
      <c r="N22" s="24"/>
      <c r="O22" s="22"/>
      <c r="P22" s="25">
        <v>2500.0</v>
      </c>
      <c r="Q22" s="26">
        <f t="shared" si="1"/>
        <v>0</v>
      </c>
      <c r="R22" s="25"/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71">
        <v>19.0</v>
      </c>
      <c r="B23" s="17">
        <v>45616.0</v>
      </c>
      <c r="C23" s="18" t="s">
        <v>768</v>
      </c>
      <c r="D23" s="19">
        <v>85286.0</v>
      </c>
      <c r="E23" s="20" t="s">
        <v>769</v>
      </c>
      <c r="F23" s="29"/>
      <c r="G23" s="22"/>
      <c r="H23" s="22"/>
      <c r="I23" s="29"/>
      <c r="J23" s="29"/>
      <c r="K23" s="37">
        <v>5750.0</v>
      </c>
      <c r="L23" s="24"/>
      <c r="M23" s="22"/>
      <c r="N23" s="24"/>
      <c r="O23" s="22"/>
      <c r="P23" s="25">
        <v>5750.0</v>
      </c>
      <c r="Q23" s="26">
        <f t="shared" si="1"/>
        <v>0</v>
      </c>
      <c r="R23" s="25"/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71">
        <v>20.0</v>
      </c>
      <c r="B24" s="17">
        <v>45616.0</v>
      </c>
      <c r="C24" s="18" t="s">
        <v>770</v>
      </c>
      <c r="D24" s="19">
        <v>51166.0</v>
      </c>
      <c r="E24" s="20" t="s">
        <v>771</v>
      </c>
      <c r="F24" s="21"/>
      <c r="G24" s="22"/>
      <c r="H24" s="22">
        <v>5000.0</v>
      </c>
      <c r="I24" s="29"/>
      <c r="J24" s="29"/>
      <c r="K24" s="37"/>
      <c r="L24" s="24"/>
      <c r="M24" s="22"/>
      <c r="N24" s="24"/>
      <c r="O24" s="22"/>
      <c r="P24" s="25">
        <v>5000.0</v>
      </c>
      <c r="Q24" s="26">
        <f t="shared" si="1"/>
        <v>0</v>
      </c>
      <c r="R24" s="25"/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71"/>
      <c r="B25" s="17"/>
      <c r="C25" s="18"/>
      <c r="D25" s="19"/>
      <c r="E25" s="20"/>
      <c r="F25" s="21"/>
      <c r="G25" s="24"/>
      <c r="H25" s="22"/>
      <c r="I25" s="29"/>
      <c r="J25" s="21"/>
      <c r="K25" s="37"/>
      <c r="L25" s="24"/>
      <c r="M25" s="24"/>
      <c r="N25" s="24"/>
      <c r="O25" s="22"/>
      <c r="P25" s="25"/>
      <c r="Q25" s="26"/>
      <c r="R25" s="25"/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7.5" customHeight="1">
      <c r="A26" s="71"/>
      <c r="B26" s="50"/>
      <c r="C26" s="51"/>
      <c r="D26" s="52" t="s">
        <v>123</v>
      </c>
      <c r="E26" s="53"/>
      <c r="F26" s="54">
        <f>SUM(F5:F25)</f>
        <v>1000</v>
      </c>
      <c r="G26" s="54"/>
      <c r="H26" s="54">
        <f>SUM(H21:H25)</f>
        <v>17500</v>
      </c>
      <c r="I26" s="54">
        <f t="shared" ref="I26:J26" si="2">SUM(I5:I25)</f>
        <v>43250</v>
      </c>
      <c r="J26" s="54">
        <f t="shared" si="2"/>
        <v>43900</v>
      </c>
      <c r="K26" s="54">
        <f>SUM(K10:K25)</f>
        <v>14050</v>
      </c>
      <c r="L26" s="54"/>
      <c r="M26" s="54">
        <f>SUM(M18:M25)</f>
        <v>1500</v>
      </c>
      <c r="N26" s="54"/>
      <c r="O26" s="54"/>
      <c r="P26" s="54">
        <f t="shared" ref="P26:Q26" si="3">SUM(P5:P24)</f>
        <v>123750</v>
      </c>
      <c r="Q26" s="55">
        <f t="shared" si="3"/>
        <v>-2550</v>
      </c>
      <c r="R26" s="56"/>
      <c r="S26" s="27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</row>
    <row r="27" ht="58.5" customHeight="1">
      <c r="A27" s="57"/>
      <c r="B27" s="57"/>
      <c r="C27" s="58"/>
      <c r="D27" s="57"/>
      <c r="E27" s="57"/>
      <c r="F27" s="59">
        <f>F26+G26+H26+I26+J26+K26+L26+M26+N26+O26</f>
        <v>121200</v>
      </c>
      <c r="P27" s="60"/>
      <c r="Q27" s="60"/>
      <c r="R27" s="57"/>
      <c r="S27" s="57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</row>
    <row r="28" ht="15.75" customHeight="1">
      <c r="A28" s="4"/>
      <c r="B28" s="4"/>
      <c r="C28" s="6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26.25" customHeight="1">
      <c r="A29" s="4"/>
      <c r="B29" s="4"/>
      <c r="C29" s="61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26.25" customHeight="1">
      <c r="A30" s="4"/>
      <c r="B30" s="4"/>
      <c r="C30" s="62" t="s">
        <v>123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26.25" customHeight="1">
      <c r="A31" s="4"/>
      <c r="B31" s="4"/>
      <c r="C31" s="61"/>
      <c r="D31" s="4"/>
      <c r="E31" s="63" t="s">
        <v>124</v>
      </c>
      <c r="F31" s="64" t="s">
        <v>125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61"/>
      <c r="D32" s="4"/>
      <c r="E32" s="65" t="s">
        <v>126</v>
      </c>
      <c r="F32" s="64" t="s">
        <v>525</v>
      </c>
      <c r="G32" s="4"/>
      <c r="H32" s="4"/>
      <c r="I32" s="4"/>
      <c r="J32" s="4"/>
      <c r="K32" s="4"/>
      <c r="L32" s="4"/>
      <c r="M32" s="4"/>
      <c r="N32" s="4"/>
      <c r="O32" s="66" t="s">
        <v>123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61"/>
      <c r="D33" s="4"/>
      <c r="E33" s="65" t="s">
        <v>128</v>
      </c>
      <c r="F33" s="64" t="s">
        <v>159</v>
      </c>
      <c r="G33" s="4"/>
      <c r="H33" s="4"/>
      <c r="I33" s="67" t="s">
        <v>250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61"/>
      <c r="D34" s="4"/>
      <c r="E34" s="65" t="s">
        <v>130</v>
      </c>
      <c r="F34" s="64" t="s">
        <v>378</v>
      </c>
      <c r="G34" s="4"/>
      <c r="H34" s="4"/>
      <c r="I34" s="4"/>
      <c r="J34" s="4"/>
      <c r="K34" s="67" t="s">
        <v>123</v>
      </c>
      <c r="L34" s="67" t="s">
        <v>123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61"/>
      <c r="D35" s="4"/>
      <c r="E35" s="65" t="s">
        <v>131</v>
      </c>
      <c r="F35" s="64" t="s">
        <v>378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61"/>
      <c r="D36" s="4"/>
      <c r="E36" s="65" t="s">
        <v>772</v>
      </c>
      <c r="F36" s="64" t="s">
        <v>378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61"/>
      <c r="D37" s="4"/>
      <c r="E37" s="65" t="s">
        <v>134</v>
      </c>
      <c r="F37" s="64" t="s">
        <v>162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61"/>
      <c r="D38" s="4"/>
      <c r="E38" s="65" t="s">
        <v>135</v>
      </c>
      <c r="F38" s="68" t="s">
        <v>125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66" t="s">
        <v>123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61"/>
      <c r="D39" s="4"/>
      <c r="E39" s="4"/>
      <c r="F39" s="4"/>
      <c r="G39" s="4"/>
      <c r="H39" s="4"/>
      <c r="I39" s="4"/>
      <c r="J39" s="4"/>
      <c r="K39" s="4" t="str">
        <f>I72426</f>
        <v/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61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6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6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6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6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6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61"/>
      <c r="D46" s="4"/>
      <c r="E46" s="4"/>
      <c r="F46" s="4"/>
      <c r="G46" s="4"/>
      <c r="H46" s="4"/>
      <c r="I46" s="66" t="s">
        <v>136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6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6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6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6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6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1"/>
      <c r="D61" s="4"/>
      <c r="E61" s="4"/>
      <c r="F61" s="4"/>
      <c r="G61" s="4"/>
      <c r="H61" s="4"/>
      <c r="I61" s="4"/>
      <c r="J61" s="4"/>
      <c r="K61" s="4"/>
      <c r="L61" s="4"/>
      <c r="M61" s="4">
        <v>7.0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mergeCells count="17">
    <mergeCell ref="R2:R4"/>
    <mergeCell ref="S2:S4"/>
    <mergeCell ref="F3:F4"/>
    <mergeCell ref="G3:H3"/>
    <mergeCell ref="I3:J3"/>
    <mergeCell ref="K3:K4"/>
    <mergeCell ref="F27:O27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5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20.6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773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71">
        <v>1.0</v>
      </c>
      <c r="B5" s="17">
        <v>45617.0</v>
      </c>
      <c r="C5" s="18" t="s">
        <v>774</v>
      </c>
      <c r="D5" s="19">
        <v>45096.0</v>
      </c>
      <c r="E5" s="20" t="s">
        <v>775</v>
      </c>
      <c r="F5" s="24"/>
      <c r="G5" s="22"/>
      <c r="H5" s="22"/>
      <c r="I5" s="29">
        <v>5100.0</v>
      </c>
      <c r="J5" s="29"/>
      <c r="K5" s="22"/>
      <c r="L5" s="24"/>
      <c r="M5" s="29"/>
      <c r="N5" s="24"/>
      <c r="O5" s="24"/>
      <c r="P5" s="25">
        <v>5100.0</v>
      </c>
      <c r="Q5" s="26">
        <f t="shared" ref="Q5:Q25" si="1">F5+G5+H5+I5+J5+K5+L5+M5+N5+O5-P5</f>
        <v>0</v>
      </c>
      <c r="R5" s="82" t="s">
        <v>38</v>
      </c>
      <c r="S5" s="30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71">
        <v>2.0</v>
      </c>
      <c r="B6" s="17">
        <v>45617.0</v>
      </c>
      <c r="C6" s="18" t="s">
        <v>776</v>
      </c>
      <c r="D6" s="19">
        <v>64461.0</v>
      </c>
      <c r="E6" s="20" t="s">
        <v>34</v>
      </c>
      <c r="F6" s="24"/>
      <c r="G6" s="24"/>
      <c r="H6" s="22"/>
      <c r="I6" s="29">
        <v>4500.0</v>
      </c>
      <c r="J6" s="29"/>
      <c r="K6" s="24"/>
      <c r="L6" s="24"/>
      <c r="M6" s="29"/>
      <c r="N6" s="24"/>
      <c r="O6" s="22"/>
      <c r="P6" s="25">
        <v>4500.0</v>
      </c>
      <c r="Q6" s="26">
        <f t="shared" si="1"/>
        <v>0</v>
      </c>
      <c r="R6" s="25" t="s">
        <v>25</v>
      </c>
      <c r="S6" s="30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71">
        <v>3.0</v>
      </c>
      <c r="B7" s="17">
        <v>45617.0</v>
      </c>
      <c r="C7" s="18" t="s">
        <v>777</v>
      </c>
      <c r="D7" s="19">
        <v>49272.0</v>
      </c>
      <c r="E7" s="20" t="s">
        <v>778</v>
      </c>
      <c r="F7" s="22"/>
      <c r="G7" s="24"/>
      <c r="H7" s="22"/>
      <c r="I7" s="29">
        <v>15000.0</v>
      </c>
      <c r="J7" s="29"/>
      <c r="K7" s="22"/>
      <c r="L7" s="24"/>
      <c r="M7" s="29"/>
      <c r="N7" s="24"/>
      <c r="O7" s="24"/>
      <c r="P7" s="25">
        <v>15000.0</v>
      </c>
      <c r="Q7" s="26">
        <f t="shared" si="1"/>
        <v>0</v>
      </c>
      <c r="R7" s="25" t="s">
        <v>38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71">
        <v>4.0</v>
      </c>
      <c r="B8" s="17">
        <v>45617.0</v>
      </c>
      <c r="C8" s="18" t="s">
        <v>779</v>
      </c>
      <c r="D8" s="19">
        <v>85290.0</v>
      </c>
      <c r="E8" s="20" t="s">
        <v>780</v>
      </c>
      <c r="F8" s="22"/>
      <c r="G8" s="22"/>
      <c r="H8" s="22"/>
      <c r="I8" s="29">
        <v>300.0</v>
      </c>
      <c r="J8" s="29"/>
      <c r="K8" s="22"/>
      <c r="L8" s="24"/>
      <c r="M8" s="29"/>
      <c r="N8" s="24"/>
      <c r="O8" s="24"/>
      <c r="P8" s="25">
        <v>300.0</v>
      </c>
      <c r="Q8" s="26">
        <f t="shared" si="1"/>
        <v>0</v>
      </c>
      <c r="R8" s="25" t="s">
        <v>25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71">
        <v>5.0</v>
      </c>
      <c r="B9" s="17">
        <v>45617.0</v>
      </c>
      <c r="C9" s="18" t="s">
        <v>781</v>
      </c>
      <c r="D9" s="19">
        <v>56415.0</v>
      </c>
      <c r="E9" s="20" t="s">
        <v>782</v>
      </c>
      <c r="F9" s="22"/>
      <c r="G9" s="24"/>
      <c r="H9" s="22"/>
      <c r="I9" s="29"/>
      <c r="J9" s="29">
        <v>5100.0</v>
      </c>
      <c r="K9" s="22"/>
      <c r="L9" s="24"/>
      <c r="M9" s="29"/>
      <c r="N9" s="24"/>
      <c r="O9" s="24"/>
      <c r="P9" s="25">
        <v>5100.0</v>
      </c>
      <c r="Q9" s="26">
        <f t="shared" si="1"/>
        <v>0</v>
      </c>
      <c r="R9" s="25" t="s">
        <v>38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71">
        <v>6.0</v>
      </c>
      <c r="B10" s="17">
        <v>45617.0</v>
      </c>
      <c r="C10" s="18" t="s">
        <v>783</v>
      </c>
      <c r="D10" s="19">
        <v>63830.0</v>
      </c>
      <c r="E10" s="20" t="s">
        <v>745</v>
      </c>
      <c r="F10" s="22"/>
      <c r="G10" s="24"/>
      <c r="H10" s="22"/>
      <c r="I10" s="29">
        <v>2600.0</v>
      </c>
      <c r="J10" s="29"/>
      <c r="K10" s="22"/>
      <c r="L10" s="24"/>
      <c r="M10" s="29"/>
      <c r="N10" s="24"/>
      <c r="O10" s="24"/>
      <c r="P10" s="25">
        <v>2600.0</v>
      </c>
      <c r="Q10" s="26">
        <f t="shared" si="1"/>
        <v>0</v>
      </c>
      <c r="R10" s="25" t="s">
        <v>38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71">
        <v>7.0</v>
      </c>
      <c r="B11" s="17">
        <v>45617.0</v>
      </c>
      <c r="C11" s="18" t="s">
        <v>784</v>
      </c>
      <c r="D11" s="19">
        <v>13133.0</v>
      </c>
      <c r="E11" s="20" t="s">
        <v>342</v>
      </c>
      <c r="F11" s="22"/>
      <c r="G11" s="24"/>
      <c r="H11" s="22"/>
      <c r="I11" s="29"/>
      <c r="J11" s="29">
        <v>10000.0</v>
      </c>
      <c r="K11" s="22"/>
      <c r="L11" s="24"/>
      <c r="M11" s="29"/>
      <c r="N11" s="24"/>
      <c r="O11" s="24"/>
      <c r="P11" s="25">
        <v>10000.0</v>
      </c>
      <c r="Q11" s="26">
        <f t="shared" si="1"/>
        <v>0</v>
      </c>
      <c r="R11" s="25" t="s">
        <v>38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71">
        <v>8.0</v>
      </c>
      <c r="B12" s="17">
        <v>45617.0</v>
      </c>
      <c r="C12" s="18" t="s">
        <v>785</v>
      </c>
      <c r="D12" s="19">
        <v>48854.0</v>
      </c>
      <c r="E12" s="20" t="s">
        <v>786</v>
      </c>
      <c r="F12" s="22"/>
      <c r="G12" s="24"/>
      <c r="H12" s="22"/>
      <c r="I12" s="29"/>
      <c r="J12" s="29">
        <v>8850.0</v>
      </c>
      <c r="K12" s="22"/>
      <c r="L12" s="24"/>
      <c r="M12" s="29"/>
      <c r="N12" s="24"/>
      <c r="O12" s="24"/>
      <c r="P12" s="25">
        <v>8850.0</v>
      </c>
      <c r="Q12" s="26">
        <f t="shared" si="1"/>
        <v>0</v>
      </c>
      <c r="R12" s="25" t="s">
        <v>38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71">
        <v>9.0</v>
      </c>
      <c r="B13" s="17">
        <v>45617.0</v>
      </c>
      <c r="C13" s="18" t="s">
        <v>787</v>
      </c>
      <c r="D13" s="19">
        <v>10249.0</v>
      </c>
      <c r="E13" s="20" t="s">
        <v>312</v>
      </c>
      <c r="F13" s="22"/>
      <c r="G13" s="22"/>
      <c r="H13" s="22"/>
      <c r="I13" s="29"/>
      <c r="J13" s="29">
        <v>300.0</v>
      </c>
      <c r="K13" s="22"/>
      <c r="L13" s="24"/>
      <c r="M13" s="29"/>
      <c r="N13" s="24"/>
      <c r="O13" s="24"/>
      <c r="P13" s="25">
        <v>300.0</v>
      </c>
      <c r="Q13" s="26">
        <f t="shared" si="1"/>
        <v>0</v>
      </c>
      <c r="R13" s="25" t="s">
        <v>49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71">
        <v>10.0</v>
      </c>
      <c r="B14" s="17">
        <v>45617.0</v>
      </c>
      <c r="C14" s="18" t="s">
        <v>788</v>
      </c>
      <c r="D14" s="19">
        <v>21818.0</v>
      </c>
      <c r="E14" s="20" t="s">
        <v>196</v>
      </c>
      <c r="F14" s="22"/>
      <c r="G14" s="22"/>
      <c r="H14" s="22"/>
      <c r="I14" s="29"/>
      <c r="J14" s="29"/>
      <c r="K14" s="22">
        <v>8000.0</v>
      </c>
      <c r="L14" s="24"/>
      <c r="M14" s="21"/>
      <c r="N14" s="24"/>
      <c r="O14" s="22"/>
      <c r="P14" s="25">
        <v>8000.0</v>
      </c>
      <c r="Q14" s="26">
        <f t="shared" si="1"/>
        <v>0</v>
      </c>
      <c r="R14" s="25" t="s">
        <v>49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71">
        <v>11.0</v>
      </c>
      <c r="B15" s="17">
        <v>45617.0</v>
      </c>
      <c r="C15" s="18" t="s">
        <v>789</v>
      </c>
      <c r="D15" s="19">
        <v>13781.0</v>
      </c>
      <c r="E15" s="20" t="s">
        <v>140</v>
      </c>
      <c r="F15" s="21"/>
      <c r="G15" s="22">
        <v>20000.0</v>
      </c>
      <c r="H15" s="24"/>
      <c r="I15" s="29"/>
      <c r="J15" s="29"/>
      <c r="K15" s="37"/>
      <c r="L15" s="24"/>
      <c r="M15" s="22"/>
      <c r="N15" s="24"/>
      <c r="O15" s="22"/>
      <c r="P15" s="25">
        <v>20000.0</v>
      </c>
      <c r="Q15" s="26">
        <f t="shared" si="1"/>
        <v>0</v>
      </c>
      <c r="R15" s="25" t="s">
        <v>35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71">
        <v>12.0</v>
      </c>
      <c r="B16" s="17">
        <v>45617.0</v>
      </c>
      <c r="C16" s="18" t="s">
        <v>790</v>
      </c>
      <c r="D16" s="19">
        <v>15837.0</v>
      </c>
      <c r="E16" s="20" t="s">
        <v>458</v>
      </c>
      <c r="F16" s="21"/>
      <c r="G16" s="22">
        <v>4500.0</v>
      </c>
      <c r="H16" s="22"/>
      <c r="I16" s="29"/>
      <c r="J16" s="29"/>
      <c r="K16" s="37"/>
      <c r="L16" s="24"/>
      <c r="M16" s="24"/>
      <c r="N16" s="24"/>
      <c r="O16" s="22"/>
      <c r="P16" s="25">
        <v>4500.0</v>
      </c>
      <c r="Q16" s="26">
        <f t="shared" si="1"/>
        <v>0</v>
      </c>
      <c r="R16" s="25" t="s">
        <v>35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71">
        <v>13.0</v>
      </c>
      <c r="B17" s="17">
        <v>45617.0</v>
      </c>
      <c r="C17" s="18" t="s">
        <v>791</v>
      </c>
      <c r="D17" s="19">
        <v>85291.0</v>
      </c>
      <c r="E17" s="20" t="s">
        <v>792</v>
      </c>
      <c r="F17" s="21"/>
      <c r="G17" s="22"/>
      <c r="H17" s="24"/>
      <c r="I17" s="29">
        <v>300.0</v>
      </c>
      <c r="J17" s="21"/>
      <c r="K17" s="37"/>
      <c r="L17" s="24"/>
      <c r="M17" s="22"/>
      <c r="N17" s="24"/>
      <c r="O17" s="22"/>
      <c r="P17" s="25">
        <v>300.0</v>
      </c>
      <c r="Q17" s="26">
        <f t="shared" si="1"/>
        <v>0</v>
      </c>
      <c r="R17" s="25" t="s">
        <v>25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71">
        <v>14.0</v>
      </c>
      <c r="B18" s="17">
        <v>45617.0</v>
      </c>
      <c r="C18" s="18" t="s">
        <v>793</v>
      </c>
      <c r="D18" s="19">
        <v>21818.0</v>
      </c>
      <c r="E18" s="20" t="s">
        <v>196</v>
      </c>
      <c r="F18" s="29"/>
      <c r="G18" s="22"/>
      <c r="H18" s="24"/>
      <c r="I18" s="29"/>
      <c r="J18" s="21"/>
      <c r="K18" s="37">
        <v>2500.0</v>
      </c>
      <c r="L18" s="24"/>
      <c r="M18" s="22"/>
      <c r="N18" s="24"/>
      <c r="O18" s="22"/>
      <c r="P18" s="25">
        <v>2500.0</v>
      </c>
      <c r="Q18" s="26">
        <f t="shared" si="1"/>
        <v>0</v>
      </c>
      <c r="R18" s="25" t="s">
        <v>38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71">
        <v>15.0</v>
      </c>
      <c r="B19" s="17">
        <v>45617.0</v>
      </c>
      <c r="C19" s="18" t="s">
        <v>794</v>
      </c>
      <c r="D19" s="19">
        <v>35227.0</v>
      </c>
      <c r="E19" s="20" t="s">
        <v>299</v>
      </c>
      <c r="F19" s="21"/>
      <c r="G19" s="22"/>
      <c r="H19" s="24"/>
      <c r="I19" s="29">
        <v>4500.0</v>
      </c>
      <c r="J19" s="29"/>
      <c r="K19" s="37"/>
      <c r="L19" s="24"/>
      <c r="M19" s="22"/>
      <c r="N19" s="24"/>
      <c r="O19" s="22"/>
      <c r="P19" s="25">
        <v>4500.0</v>
      </c>
      <c r="Q19" s="26">
        <f t="shared" si="1"/>
        <v>0</v>
      </c>
      <c r="R19" s="25" t="s">
        <v>25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71">
        <v>16.0</v>
      </c>
      <c r="B20" s="17">
        <v>45617.0</v>
      </c>
      <c r="C20" s="18" t="s">
        <v>795</v>
      </c>
      <c r="D20" s="19">
        <v>30895.0</v>
      </c>
      <c r="E20" s="20" t="s">
        <v>75</v>
      </c>
      <c r="F20" s="21"/>
      <c r="G20" s="22"/>
      <c r="H20" s="24"/>
      <c r="I20" s="29">
        <v>300.0</v>
      </c>
      <c r="J20" s="29"/>
      <c r="K20" s="37"/>
      <c r="L20" s="24"/>
      <c r="M20" s="22"/>
      <c r="N20" s="24"/>
      <c r="O20" s="22"/>
      <c r="P20" s="25">
        <v>300.0</v>
      </c>
      <c r="Q20" s="26">
        <f t="shared" si="1"/>
        <v>0</v>
      </c>
      <c r="R20" s="25" t="s">
        <v>38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71">
        <v>17.0</v>
      </c>
      <c r="B21" s="17">
        <v>45617.0</v>
      </c>
      <c r="C21" s="18" t="s">
        <v>796</v>
      </c>
      <c r="D21" s="19">
        <v>21818.0</v>
      </c>
      <c r="E21" s="20" t="s">
        <v>196</v>
      </c>
      <c r="F21" s="21"/>
      <c r="G21" s="22"/>
      <c r="H21" s="22"/>
      <c r="I21" s="29"/>
      <c r="J21" s="21"/>
      <c r="K21" s="37">
        <v>3250.0</v>
      </c>
      <c r="L21" s="24"/>
      <c r="M21" s="22"/>
      <c r="N21" s="24"/>
      <c r="O21" s="22"/>
      <c r="P21" s="25">
        <v>3250.0</v>
      </c>
      <c r="Q21" s="26">
        <f t="shared" si="1"/>
        <v>0</v>
      </c>
      <c r="R21" s="25" t="s">
        <v>38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71">
        <v>18.0</v>
      </c>
      <c r="B22" s="17">
        <v>45617.0</v>
      </c>
      <c r="C22" s="18" t="s">
        <v>797</v>
      </c>
      <c r="D22" s="19">
        <v>21818.0</v>
      </c>
      <c r="E22" s="20" t="s">
        <v>196</v>
      </c>
      <c r="F22" s="21"/>
      <c r="G22" s="22"/>
      <c r="H22" s="22"/>
      <c r="I22" s="29"/>
      <c r="J22" s="29"/>
      <c r="K22" s="37">
        <v>600.0</v>
      </c>
      <c r="L22" s="24"/>
      <c r="M22" s="22"/>
      <c r="N22" s="24"/>
      <c r="O22" s="22"/>
      <c r="P22" s="25">
        <v>600.0</v>
      </c>
      <c r="Q22" s="26">
        <f t="shared" si="1"/>
        <v>0</v>
      </c>
      <c r="R22" s="25" t="s">
        <v>38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71">
        <v>19.0</v>
      </c>
      <c r="B23" s="17">
        <v>45617.0</v>
      </c>
      <c r="C23" s="18" t="s">
        <v>798</v>
      </c>
      <c r="D23" s="19">
        <v>27880.0</v>
      </c>
      <c r="E23" s="20" t="s">
        <v>373</v>
      </c>
      <c r="F23" s="29"/>
      <c r="G23" s="22"/>
      <c r="H23" s="22">
        <v>5860.0</v>
      </c>
      <c r="I23" s="29"/>
      <c r="J23" s="29"/>
      <c r="K23" s="37"/>
      <c r="L23" s="24"/>
      <c r="M23" s="22"/>
      <c r="N23" s="24"/>
      <c r="O23" s="22"/>
      <c r="P23" s="25">
        <v>5860.0</v>
      </c>
      <c r="Q23" s="26">
        <f t="shared" si="1"/>
        <v>0</v>
      </c>
      <c r="R23" s="25"/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71">
        <v>20.0</v>
      </c>
      <c r="B24" s="17">
        <v>45617.0</v>
      </c>
      <c r="C24" s="18" t="s">
        <v>799</v>
      </c>
      <c r="D24" s="19">
        <v>25541.0</v>
      </c>
      <c r="E24" s="20" t="s">
        <v>800</v>
      </c>
      <c r="F24" s="21"/>
      <c r="G24" s="22"/>
      <c r="H24" s="22">
        <v>4500.0</v>
      </c>
      <c r="I24" s="29"/>
      <c r="J24" s="29"/>
      <c r="K24" s="37"/>
      <c r="L24" s="24"/>
      <c r="M24" s="22"/>
      <c r="N24" s="24"/>
      <c r="O24" s="22"/>
      <c r="P24" s="25">
        <v>4500.0</v>
      </c>
      <c r="Q24" s="26">
        <f t="shared" si="1"/>
        <v>0</v>
      </c>
      <c r="R24" s="25"/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71">
        <v>21.0</v>
      </c>
      <c r="B25" s="17">
        <v>45617.0</v>
      </c>
      <c r="C25" s="18" t="s">
        <v>801</v>
      </c>
      <c r="D25" s="19">
        <v>36555.0</v>
      </c>
      <c r="E25" s="20" t="s">
        <v>106</v>
      </c>
      <c r="F25" s="21"/>
      <c r="G25" s="22"/>
      <c r="H25" s="22">
        <v>10000.0</v>
      </c>
      <c r="I25" s="29"/>
      <c r="J25" s="29"/>
      <c r="K25" s="37"/>
      <c r="L25" s="24"/>
      <c r="M25" s="22"/>
      <c r="N25" s="24"/>
      <c r="O25" s="22"/>
      <c r="P25" s="25">
        <v>10000.0</v>
      </c>
      <c r="Q25" s="26">
        <f t="shared" si="1"/>
        <v>0</v>
      </c>
      <c r="R25" s="25"/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7.5" customHeight="1">
      <c r="A26" s="71"/>
      <c r="B26" s="50"/>
      <c r="C26" s="51"/>
      <c r="D26" s="52" t="s">
        <v>123</v>
      </c>
      <c r="E26" s="53"/>
      <c r="F26" s="54">
        <f t="shared" ref="F26:P26" si="2">SUM(F5:F25)</f>
        <v>0</v>
      </c>
      <c r="G26" s="54">
        <f t="shared" si="2"/>
        <v>24500</v>
      </c>
      <c r="H26" s="54">
        <f t="shared" si="2"/>
        <v>20360</v>
      </c>
      <c r="I26" s="54">
        <f t="shared" si="2"/>
        <v>32600</v>
      </c>
      <c r="J26" s="54">
        <f t="shared" si="2"/>
        <v>24250</v>
      </c>
      <c r="K26" s="54">
        <f t="shared" si="2"/>
        <v>14350</v>
      </c>
      <c r="L26" s="54">
        <f t="shared" si="2"/>
        <v>0</v>
      </c>
      <c r="M26" s="54">
        <f t="shared" si="2"/>
        <v>0</v>
      </c>
      <c r="N26" s="54">
        <f t="shared" si="2"/>
        <v>0</v>
      </c>
      <c r="O26" s="54">
        <f t="shared" si="2"/>
        <v>0</v>
      </c>
      <c r="P26" s="54">
        <f t="shared" si="2"/>
        <v>116060</v>
      </c>
      <c r="Q26" s="55">
        <f>SUM(Q5:Q24)</f>
        <v>0</v>
      </c>
      <c r="R26" s="56"/>
      <c r="S26" s="27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</row>
    <row r="27" ht="58.5" customHeight="1">
      <c r="A27" s="57"/>
      <c r="B27" s="57"/>
      <c r="C27" s="58"/>
      <c r="D27" s="57"/>
      <c r="E27" s="57"/>
      <c r="F27" s="59">
        <f>F26+G26+H26+I26+J26+K26+L26+M26+N26+O26</f>
        <v>116060</v>
      </c>
      <c r="P27" s="60"/>
      <c r="Q27" s="60"/>
      <c r="R27" s="57"/>
      <c r="S27" s="57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</row>
    <row r="28" ht="15.75" customHeight="1">
      <c r="A28" s="4"/>
      <c r="B28" s="4"/>
      <c r="C28" s="6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26.25" customHeight="1">
      <c r="A29" s="4"/>
      <c r="B29" s="4"/>
      <c r="C29" s="61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26.25" customHeight="1">
      <c r="A30" s="4"/>
      <c r="B30" s="4"/>
      <c r="C30" s="62" t="s">
        <v>123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26.25" customHeight="1">
      <c r="A31" s="4"/>
      <c r="B31" s="4"/>
      <c r="C31" s="61"/>
      <c r="D31" s="4"/>
      <c r="E31" s="63" t="s">
        <v>124</v>
      </c>
      <c r="F31" s="64" t="s">
        <v>125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61"/>
      <c r="D32" s="4"/>
      <c r="E32" s="65" t="s">
        <v>126</v>
      </c>
      <c r="F32" s="64" t="s">
        <v>525</v>
      </c>
      <c r="G32" s="4"/>
      <c r="H32" s="4"/>
      <c r="I32" s="4"/>
      <c r="J32" s="4"/>
      <c r="K32" s="4"/>
      <c r="L32" s="4"/>
      <c r="M32" s="4"/>
      <c r="N32" s="4"/>
      <c r="O32" s="66" t="s">
        <v>123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61"/>
      <c r="D33" s="4"/>
      <c r="E33" s="65" t="s">
        <v>128</v>
      </c>
      <c r="F33" s="64" t="s">
        <v>159</v>
      </c>
      <c r="G33" s="4"/>
      <c r="H33" s="4"/>
      <c r="I33" s="67" t="s">
        <v>250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61"/>
      <c r="D34" s="4"/>
      <c r="E34" s="65" t="s">
        <v>130</v>
      </c>
      <c r="F34" s="64" t="s">
        <v>159</v>
      </c>
      <c r="G34" s="4"/>
      <c r="H34" s="4"/>
      <c r="I34" s="4"/>
      <c r="J34" s="4"/>
      <c r="K34" s="67" t="s">
        <v>123</v>
      </c>
      <c r="L34" s="67" t="s">
        <v>123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61"/>
      <c r="D35" s="4"/>
      <c r="E35" s="65" t="s">
        <v>131</v>
      </c>
      <c r="F35" s="64" t="s">
        <v>129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61"/>
      <c r="D36" s="4"/>
      <c r="E36" s="65" t="s">
        <v>802</v>
      </c>
      <c r="F36" s="64" t="s">
        <v>129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61"/>
      <c r="D37" s="4"/>
      <c r="E37" s="65" t="s">
        <v>134</v>
      </c>
      <c r="F37" s="64" t="s">
        <v>162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61"/>
      <c r="D38" s="4"/>
      <c r="E38" s="65" t="s">
        <v>135</v>
      </c>
      <c r="F38" s="68" t="s">
        <v>125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66" t="s">
        <v>123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61"/>
      <c r="D39" s="4"/>
      <c r="E39" s="4"/>
      <c r="F39" s="4"/>
      <c r="G39" s="4"/>
      <c r="H39" s="4"/>
      <c r="I39" s="4"/>
      <c r="J39" s="4"/>
      <c r="K39" s="4" t="str">
        <f>I72426</f>
        <v/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61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6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6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6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6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6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61"/>
      <c r="D46" s="4"/>
      <c r="E46" s="4"/>
      <c r="F46" s="4"/>
      <c r="G46" s="4"/>
      <c r="H46" s="4"/>
      <c r="I46" s="66" t="s">
        <v>136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6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6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6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6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6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1"/>
      <c r="D61" s="4"/>
      <c r="E61" s="4"/>
      <c r="F61" s="4"/>
      <c r="G61" s="4"/>
      <c r="H61" s="4"/>
      <c r="I61" s="4"/>
      <c r="J61" s="4"/>
      <c r="K61" s="4"/>
      <c r="L61" s="4"/>
      <c r="M61" s="4">
        <v>7.0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mergeCells count="17">
    <mergeCell ref="R2:R4"/>
    <mergeCell ref="S2:S4"/>
    <mergeCell ref="F3:F4"/>
    <mergeCell ref="G3:H3"/>
    <mergeCell ref="I3:J3"/>
    <mergeCell ref="K3:K4"/>
    <mergeCell ref="F27:O27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5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20.6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803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71">
        <v>1.0</v>
      </c>
      <c r="B5" s="17">
        <v>45618.0</v>
      </c>
      <c r="C5" s="18" t="s">
        <v>804</v>
      </c>
      <c r="D5" s="19">
        <v>22727.0</v>
      </c>
      <c r="E5" s="20" t="s">
        <v>340</v>
      </c>
      <c r="F5" s="24"/>
      <c r="G5" s="22"/>
      <c r="H5" s="22"/>
      <c r="I5" s="29"/>
      <c r="J5" s="29">
        <v>2500.0</v>
      </c>
      <c r="K5" s="22"/>
      <c r="L5" s="24"/>
      <c r="M5" s="29"/>
      <c r="N5" s="24"/>
      <c r="O5" s="24"/>
      <c r="P5" s="25">
        <v>2500.0</v>
      </c>
      <c r="Q5" s="26">
        <f t="shared" ref="Q5:Q27" si="1">F5+G5+H5+I5+J5+K5+L5+M5+N5+O5-P5</f>
        <v>0</v>
      </c>
      <c r="R5" s="82" t="s">
        <v>28</v>
      </c>
      <c r="S5" s="30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71">
        <v>2.0</v>
      </c>
      <c r="B6" s="17">
        <v>45618.0</v>
      </c>
      <c r="C6" s="18" t="s">
        <v>805</v>
      </c>
      <c r="D6" s="19">
        <v>76245.0</v>
      </c>
      <c r="E6" s="20" t="s">
        <v>806</v>
      </c>
      <c r="F6" s="24"/>
      <c r="G6" s="24"/>
      <c r="H6" s="22"/>
      <c r="I6" s="29">
        <v>5100.0</v>
      </c>
      <c r="J6" s="29"/>
      <c r="K6" s="24"/>
      <c r="L6" s="24"/>
      <c r="M6" s="29"/>
      <c r="N6" s="24"/>
      <c r="O6" s="22"/>
      <c r="P6" s="25">
        <v>5100.0</v>
      </c>
      <c r="Q6" s="26">
        <f t="shared" si="1"/>
        <v>0</v>
      </c>
      <c r="R6" s="25" t="s">
        <v>38</v>
      </c>
      <c r="S6" s="30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71">
        <v>3.0</v>
      </c>
      <c r="B7" s="17">
        <v>45618.0</v>
      </c>
      <c r="C7" s="18" t="s">
        <v>807</v>
      </c>
      <c r="D7" s="19">
        <v>48854.0</v>
      </c>
      <c r="E7" s="20" t="s">
        <v>786</v>
      </c>
      <c r="F7" s="22"/>
      <c r="G7" s="24"/>
      <c r="H7" s="22"/>
      <c r="I7" s="29">
        <v>4400.0</v>
      </c>
      <c r="J7" s="29"/>
      <c r="K7" s="22"/>
      <c r="L7" s="24"/>
      <c r="M7" s="29"/>
      <c r="N7" s="24"/>
      <c r="O7" s="24"/>
      <c r="P7" s="25">
        <v>4400.0</v>
      </c>
      <c r="Q7" s="26">
        <f t="shared" si="1"/>
        <v>0</v>
      </c>
      <c r="R7" s="25" t="s">
        <v>35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71">
        <v>4.0</v>
      </c>
      <c r="B8" s="17">
        <v>45618.0</v>
      </c>
      <c r="C8" s="18" t="s">
        <v>808</v>
      </c>
      <c r="D8" s="19">
        <v>48854.0</v>
      </c>
      <c r="E8" s="20" t="s">
        <v>786</v>
      </c>
      <c r="F8" s="22"/>
      <c r="G8" s="22"/>
      <c r="H8" s="22"/>
      <c r="I8" s="29"/>
      <c r="J8" s="29">
        <v>100.0</v>
      </c>
      <c r="K8" s="22"/>
      <c r="L8" s="24"/>
      <c r="M8" s="29"/>
      <c r="N8" s="24"/>
      <c r="O8" s="24"/>
      <c r="P8" s="25">
        <v>100.0</v>
      </c>
      <c r="Q8" s="26">
        <f t="shared" si="1"/>
        <v>0</v>
      </c>
      <c r="R8" s="25" t="s">
        <v>35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71">
        <v>5.0</v>
      </c>
      <c r="B9" s="17">
        <v>45618.0</v>
      </c>
      <c r="C9" s="18" t="s">
        <v>809</v>
      </c>
      <c r="D9" s="19">
        <v>22332.0</v>
      </c>
      <c r="E9" s="20" t="s">
        <v>217</v>
      </c>
      <c r="F9" s="22"/>
      <c r="G9" s="24"/>
      <c r="H9" s="22"/>
      <c r="I9" s="29">
        <v>5100.0</v>
      </c>
      <c r="J9" s="29"/>
      <c r="K9" s="22"/>
      <c r="L9" s="24"/>
      <c r="M9" s="29"/>
      <c r="N9" s="24"/>
      <c r="O9" s="24"/>
      <c r="P9" s="25">
        <v>5100.0</v>
      </c>
      <c r="Q9" s="26">
        <f t="shared" si="1"/>
        <v>0</v>
      </c>
      <c r="R9" s="25" t="s">
        <v>28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71">
        <v>6.0</v>
      </c>
      <c r="B10" s="17">
        <v>45618.0</v>
      </c>
      <c r="C10" s="18" t="s">
        <v>810</v>
      </c>
      <c r="D10" s="19">
        <v>70184.0</v>
      </c>
      <c r="E10" s="20" t="s">
        <v>811</v>
      </c>
      <c r="F10" s="22"/>
      <c r="G10" s="24"/>
      <c r="H10" s="22"/>
      <c r="I10" s="29"/>
      <c r="J10" s="29">
        <v>5000.0</v>
      </c>
      <c r="K10" s="22"/>
      <c r="L10" s="24"/>
      <c r="M10" s="29"/>
      <c r="N10" s="24"/>
      <c r="O10" s="24"/>
      <c r="P10" s="25">
        <v>5000.0</v>
      </c>
      <c r="Q10" s="26">
        <f t="shared" si="1"/>
        <v>0</v>
      </c>
      <c r="R10" s="25" t="s">
        <v>38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71">
        <v>7.0</v>
      </c>
      <c r="B11" s="17">
        <v>45618.0</v>
      </c>
      <c r="C11" s="18" t="s">
        <v>812</v>
      </c>
      <c r="D11" s="19">
        <v>66213.0</v>
      </c>
      <c r="E11" s="20" t="s">
        <v>813</v>
      </c>
      <c r="F11" s="22"/>
      <c r="G11" s="24"/>
      <c r="H11" s="22"/>
      <c r="I11" s="29"/>
      <c r="J11" s="29">
        <v>5000.0</v>
      </c>
      <c r="K11" s="22"/>
      <c r="L11" s="24"/>
      <c r="M11" s="29"/>
      <c r="N11" s="24"/>
      <c r="O11" s="24"/>
      <c r="P11" s="25">
        <v>5000.0</v>
      </c>
      <c r="Q11" s="26">
        <f t="shared" si="1"/>
        <v>0</v>
      </c>
      <c r="R11" s="25" t="s">
        <v>38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71">
        <v>8.0</v>
      </c>
      <c r="B12" s="17">
        <v>45618.0</v>
      </c>
      <c r="C12" s="18" t="s">
        <v>814</v>
      </c>
      <c r="D12" s="19">
        <v>48631.0</v>
      </c>
      <c r="E12" s="20" t="s">
        <v>815</v>
      </c>
      <c r="F12" s="22"/>
      <c r="G12" s="24"/>
      <c r="H12" s="22"/>
      <c r="I12" s="29">
        <v>1250.0</v>
      </c>
      <c r="J12" s="29"/>
      <c r="K12" s="22"/>
      <c r="L12" s="24"/>
      <c r="M12" s="29"/>
      <c r="N12" s="24"/>
      <c r="O12" s="24"/>
      <c r="P12" s="25">
        <v>1250.0</v>
      </c>
      <c r="Q12" s="26">
        <f t="shared" si="1"/>
        <v>0</v>
      </c>
      <c r="R12" s="25" t="s">
        <v>28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71">
        <v>9.0</v>
      </c>
      <c r="B13" s="17">
        <v>45618.0</v>
      </c>
      <c r="C13" s="18" t="s">
        <v>816</v>
      </c>
      <c r="D13" s="19">
        <v>36826.0</v>
      </c>
      <c r="E13" s="20" t="s">
        <v>817</v>
      </c>
      <c r="F13" s="22"/>
      <c r="G13" s="22"/>
      <c r="H13" s="22"/>
      <c r="I13" s="29"/>
      <c r="J13" s="29">
        <v>5100.0</v>
      </c>
      <c r="K13" s="22"/>
      <c r="L13" s="24"/>
      <c r="M13" s="29"/>
      <c r="N13" s="24"/>
      <c r="O13" s="24"/>
      <c r="P13" s="25">
        <v>5100.0</v>
      </c>
      <c r="Q13" s="26">
        <f t="shared" si="1"/>
        <v>0</v>
      </c>
      <c r="R13" s="25" t="s">
        <v>28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71">
        <v>10.0</v>
      </c>
      <c r="B14" s="17">
        <v>45618.0</v>
      </c>
      <c r="C14" s="18" t="s">
        <v>818</v>
      </c>
      <c r="D14" s="19">
        <v>35227.0</v>
      </c>
      <c r="E14" s="20" t="s">
        <v>299</v>
      </c>
      <c r="F14" s="22"/>
      <c r="G14" s="22"/>
      <c r="H14" s="22"/>
      <c r="I14" s="29">
        <v>450.0</v>
      </c>
      <c r="J14" s="29"/>
      <c r="K14" s="22"/>
      <c r="L14" s="24"/>
      <c r="M14" s="21"/>
      <c r="N14" s="24"/>
      <c r="O14" s="22"/>
      <c r="P14" s="25">
        <v>450.0</v>
      </c>
      <c r="Q14" s="26">
        <f t="shared" si="1"/>
        <v>0</v>
      </c>
      <c r="R14" s="25" t="s">
        <v>28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71">
        <v>11.0</v>
      </c>
      <c r="B15" s="17">
        <v>45618.0</v>
      </c>
      <c r="C15" s="18" t="s">
        <v>819</v>
      </c>
      <c r="D15" s="19">
        <v>50461.0</v>
      </c>
      <c r="E15" s="20" t="s">
        <v>820</v>
      </c>
      <c r="F15" s="21"/>
      <c r="G15" s="22"/>
      <c r="H15" s="24"/>
      <c r="I15" s="29">
        <v>2600.0</v>
      </c>
      <c r="J15" s="29"/>
      <c r="K15" s="37"/>
      <c r="L15" s="24"/>
      <c r="M15" s="22"/>
      <c r="N15" s="24"/>
      <c r="O15" s="22"/>
      <c r="P15" s="25">
        <v>2600.0</v>
      </c>
      <c r="Q15" s="26">
        <f t="shared" si="1"/>
        <v>0</v>
      </c>
      <c r="R15" s="25" t="s">
        <v>38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71">
        <v>12.0</v>
      </c>
      <c r="B16" s="17">
        <v>45618.0</v>
      </c>
      <c r="C16" s="18" t="s">
        <v>821</v>
      </c>
      <c r="D16" s="19">
        <v>22332.0</v>
      </c>
      <c r="E16" s="20" t="s">
        <v>217</v>
      </c>
      <c r="F16" s="21"/>
      <c r="G16" s="22"/>
      <c r="H16" s="22"/>
      <c r="I16" s="29">
        <v>50000.0</v>
      </c>
      <c r="J16" s="29"/>
      <c r="K16" s="37"/>
      <c r="L16" s="24"/>
      <c r="M16" s="24"/>
      <c r="N16" s="24"/>
      <c r="O16" s="22"/>
      <c r="P16" s="25">
        <v>50000.0</v>
      </c>
      <c r="Q16" s="26">
        <f t="shared" si="1"/>
        <v>0</v>
      </c>
      <c r="R16" s="25" t="s">
        <v>28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71">
        <v>13.0</v>
      </c>
      <c r="B17" s="17">
        <v>45618.0</v>
      </c>
      <c r="C17" s="18" t="s">
        <v>822</v>
      </c>
      <c r="D17" s="19">
        <v>85268.0</v>
      </c>
      <c r="E17" s="20" t="s">
        <v>631</v>
      </c>
      <c r="F17" s="21"/>
      <c r="G17" s="22"/>
      <c r="H17" s="22">
        <v>5100.0</v>
      </c>
      <c r="I17" s="29"/>
      <c r="J17" s="21"/>
      <c r="K17" s="37"/>
      <c r="L17" s="24"/>
      <c r="M17" s="22"/>
      <c r="N17" s="24"/>
      <c r="O17" s="22"/>
      <c r="P17" s="25">
        <v>5100.0</v>
      </c>
      <c r="Q17" s="26">
        <f t="shared" si="1"/>
        <v>0</v>
      </c>
      <c r="R17" s="25" t="s">
        <v>38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71">
        <v>14.0</v>
      </c>
      <c r="B18" s="17">
        <v>45618.0</v>
      </c>
      <c r="C18" s="18" t="s">
        <v>823</v>
      </c>
      <c r="D18" s="19">
        <v>22341.0</v>
      </c>
      <c r="E18" s="20" t="s">
        <v>62</v>
      </c>
      <c r="F18" s="29"/>
      <c r="G18" s="22"/>
      <c r="H18" s="24"/>
      <c r="I18" s="29"/>
      <c r="J18" s="21"/>
      <c r="K18" s="37">
        <v>1500.0</v>
      </c>
      <c r="L18" s="24"/>
      <c r="M18" s="22"/>
      <c r="N18" s="24"/>
      <c r="O18" s="22"/>
      <c r="P18" s="25">
        <v>1500.0</v>
      </c>
      <c r="Q18" s="26">
        <f t="shared" si="1"/>
        <v>0</v>
      </c>
      <c r="R18" s="25" t="s">
        <v>28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71">
        <v>15.0</v>
      </c>
      <c r="B19" s="17">
        <v>45618.0</v>
      </c>
      <c r="C19" s="18" t="s">
        <v>824</v>
      </c>
      <c r="D19" s="19">
        <v>40901.0</v>
      </c>
      <c r="E19" s="20" t="s">
        <v>825</v>
      </c>
      <c r="F19" s="21"/>
      <c r="G19" s="22"/>
      <c r="H19" s="24"/>
      <c r="I19" s="29">
        <v>6050.0</v>
      </c>
      <c r="J19" s="29"/>
      <c r="K19" s="37"/>
      <c r="L19" s="24"/>
      <c r="M19" s="22"/>
      <c r="N19" s="24"/>
      <c r="O19" s="22"/>
      <c r="P19" s="25">
        <v>6050.0</v>
      </c>
      <c r="Q19" s="26">
        <f t="shared" si="1"/>
        <v>0</v>
      </c>
      <c r="R19" s="25" t="s">
        <v>49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71">
        <v>16.0</v>
      </c>
      <c r="B20" s="17">
        <v>45618.0</v>
      </c>
      <c r="C20" s="18" t="s">
        <v>826</v>
      </c>
      <c r="D20" s="19">
        <v>48631.0</v>
      </c>
      <c r="E20" s="20" t="s">
        <v>815</v>
      </c>
      <c r="F20" s="21"/>
      <c r="G20" s="22"/>
      <c r="H20" s="24"/>
      <c r="I20" s="29">
        <v>2700.0</v>
      </c>
      <c r="J20" s="29"/>
      <c r="K20" s="37"/>
      <c r="L20" s="24"/>
      <c r="M20" s="22"/>
      <c r="N20" s="24"/>
      <c r="O20" s="22"/>
      <c r="P20" s="25">
        <v>2700.0</v>
      </c>
      <c r="Q20" s="26">
        <f t="shared" si="1"/>
        <v>0</v>
      </c>
      <c r="R20" s="25" t="s">
        <v>35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71">
        <v>17.0</v>
      </c>
      <c r="B21" s="17">
        <v>45618.0</v>
      </c>
      <c r="C21" s="18" t="s">
        <v>827</v>
      </c>
      <c r="D21" s="19">
        <v>85297.0</v>
      </c>
      <c r="E21" s="20" t="s">
        <v>828</v>
      </c>
      <c r="F21" s="21"/>
      <c r="G21" s="22"/>
      <c r="H21" s="22"/>
      <c r="I21" s="29"/>
      <c r="J21" s="29">
        <v>300.0</v>
      </c>
      <c r="K21" s="37"/>
      <c r="L21" s="24"/>
      <c r="M21" s="22"/>
      <c r="N21" s="24"/>
      <c r="O21" s="22"/>
      <c r="P21" s="25">
        <v>300.0</v>
      </c>
      <c r="Q21" s="26">
        <f t="shared" si="1"/>
        <v>0</v>
      </c>
      <c r="R21" s="25" t="s">
        <v>28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71">
        <v>18.0</v>
      </c>
      <c r="B22" s="17">
        <v>45618.0</v>
      </c>
      <c r="C22" s="18" t="s">
        <v>829</v>
      </c>
      <c r="D22" s="19">
        <v>85298.0</v>
      </c>
      <c r="E22" s="20" t="s">
        <v>830</v>
      </c>
      <c r="F22" s="29">
        <v>590.0</v>
      </c>
      <c r="G22" s="22"/>
      <c r="H22" s="22"/>
      <c r="I22" s="29"/>
      <c r="J22" s="29"/>
      <c r="K22" s="37"/>
      <c r="L22" s="24"/>
      <c r="M22" s="22">
        <v>6000.0</v>
      </c>
      <c r="N22" s="24"/>
      <c r="O22" s="22"/>
      <c r="P22" s="25">
        <v>6590.0</v>
      </c>
      <c r="Q22" s="26">
        <f t="shared" si="1"/>
        <v>0</v>
      </c>
      <c r="R22" s="25" t="s">
        <v>38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71">
        <v>19.0</v>
      </c>
      <c r="B23" s="17">
        <v>45618.0</v>
      </c>
      <c r="C23" s="18" t="s">
        <v>831</v>
      </c>
      <c r="D23" s="19">
        <v>43955.0</v>
      </c>
      <c r="E23" s="20" t="s">
        <v>475</v>
      </c>
      <c r="F23" s="29"/>
      <c r="G23" s="22"/>
      <c r="H23" s="22"/>
      <c r="I23" s="29"/>
      <c r="J23" s="29">
        <v>4950.0</v>
      </c>
      <c r="K23" s="37"/>
      <c r="L23" s="24"/>
      <c r="M23" s="22"/>
      <c r="N23" s="24"/>
      <c r="O23" s="22"/>
      <c r="P23" s="25">
        <v>4950.0</v>
      </c>
      <c r="Q23" s="26">
        <f t="shared" si="1"/>
        <v>0</v>
      </c>
      <c r="R23" s="25" t="s">
        <v>35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71">
        <v>20.0</v>
      </c>
      <c r="B24" s="17">
        <v>45618.0</v>
      </c>
      <c r="C24" s="18" t="s">
        <v>832</v>
      </c>
      <c r="D24" s="19">
        <v>21828.0</v>
      </c>
      <c r="E24" s="20" t="s">
        <v>112</v>
      </c>
      <c r="F24" s="21"/>
      <c r="G24" s="22"/>
      <c r="H24" s="22"/>
      <c r="I24" s="29"/>
      <c r="J24" s="29"/>
      <c r="K24" s="37">
        <v>2500.0</v>
      </c>
      <c r="L24" s="24"/>
      <c r="M24" s="22"/>
      <c r="N24" s="24"/>
      <c r="O24" s="22"/>
      <c r="P24" s="25">
        <v>2500.0</v>
      </c>
      <c r="Q24" s="26">
        <f t="shared" si="1"/>
        <v>0</v>
      </c>
      <c r="R24" s="25"/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71">
        <v>21.0</v>
      </c>
      <c r="B25" s="17">
        <v>45618.0</v>
      </c>
      <c r="C25" s="18" t="s">
        <v>833</v>
      </c>
      <c r="D25" s="19">
        <v>51017.0</v>
      </c>
      <c r="E25" s="20" t="s">
        <v>228</v>
      </c>
      <c r="F25" s="21"/>
      <c r="G25" s="22"/>
      <c r="H25" s="22">
        <v>10000.0</v>
      </c>
      <c r="I25" s="29"/>
      <c r="J25" s="29"/>
      <c r="K25" s="37"/>
      <c r="L25" s="24"/>
      <c r="M25" s="22"/>
      <c r="N25" s="24"/>
      <c r="O25" s="22"/>
      <c r="P25" s="25">
        <v>10000.0</v>
      </c>
      <c r="Q25" s="26">
        <f t="shared" si="1"/>
        <v>0</v>
      </c>
      <c r="R25" s="25"/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71">
        <v>22.0</v>
      </c>
      <c r="B26" s="17">
        <v>45618.0</v>
      </c>
      <c r="C26" s="18" t="s">
        <v>834</v>
      </c>
      <c r="D26" s="19">
        <v>85295.0</v>
      </c>
      <c r="E26" s="20" t="s">
        <v>835</v>
      </c>
      <c r="F26" s="21"/>
      <c r="G26" s="22"/>
      <c r="H26" s="22">
        <v>5150.0</v>
      </c>
      <c r="I26" s="29"/>
      <c r="J26" s="29"/>
      <c r="K26" s="37"/>
      <c r="L26" s="24"/>
      <c r="M26" s="22"/>
      <c r="N26" s="24"/>
      <c r="O26" s="22"/>
      <c r="P26" s="25">
        <v>5150.0</v>
      </c>
      <c r="Q26" s="26">
        <f t="shared" si="1"/>
        <v>0</v>
      </c>
      <c r="R26" s="25"/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71">
        <v>23.0</v>
      </c>
      <c r="B27" s="17">
        <v>45618.0</v>
      </c>
      <c r="C27" s="18" t="s">
        <v>836</v>
      </c>
      <c r="D27" s="19">
        <v>21828.0</v>
      </c>
      <c r="E27" s="20" t="s">
        <v>112</v>
      </c>
      <c r="F27" s="21"/>
      <c r="G27" s="22"/>
      <c r="H27" s="22"/>
      <c r="I27" s="29"/>
      <c r="J27" s="29"/>
      <c r="K27" s="37">
        <v>2500.0</v>
      </c>
      <c r="L27" s="24"/>
      <c r="M27" s="22"/>
      <c r="N27" s="24"/>
      <c r="O27" s="22"/>
      <c r="P27" s="25">
        <v>2500.0</v>
      </c>
      <c r="Q27" s="26">
        <f t="shared" si="1"/>
        <v>0</v>
      </c>
      <c r="R27" s="25"/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7.5" customHeight="1">
      <c r="A28" s="71"/>
      <c r="B28" s="50"/>
      <c r="C28" s="51"/>
      <c r="D28" s="52" t="s">
        <v>123</v>
      </c>
      <c r="E28" s="53"/>
      <c r="F28" s="54">
        <f t="shared" ref="F28:P28" si="2">SUM(F5:F27)</f>
        <v>590</v>
      </c>
      <c r="G28" s="54">
        <f t="shared" si="2"/>
        <v>0</v>
      </c>
      <c r="H28" s="54">
        <f t="shared" si="2"/>
        <v>20250</v>
      </c>
      <c r="I28" s="54">
        <f t="shared" si="2"/>
        <v>77650</v>
      </c>
      <c r="J28" s="54">
        <f t="shared" si="2"/>
        <v>22950</v>
      </c>
      <c r="K28" s="54">
        <f t="shared" si="2"/>
        <v>6500</v>
      </c>
      <c r="L28" s="54">
        <f t="shared" si="2"/>
        <v>0</v>
      </c>
      <c r="M28" s="54">
        <f t="shared" si="2"/>
        <v>6000</v>
      </c>
      <c r="N28" s="54">
        <f t="shared" si="2"/>
        <v>0</v>
      </c>
      <c r="O28" s="54">
        <f t="shared" si="2"/>
        <v>0</v>
      </c>
      <c r="P28" s="54">
        <f t="shared" si="2"/>
        <v>133940</v>
      </c>
      <c r="Q28" s="55">
        <f>SUM(Q5:Q24)</f>
        <v>0</v>
      </c>
      <c r="R28" s="56"/>
      <c r="S28" s="27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</row>
    <row r="29" ht="58.5" customHeight="1">
      <c r="A29" s="57"/>
      <c r="B29" s="57"/>
      <c r="C29" s="58"/>
      <c r="D29" s="57"/>
      <c r="E29" s="57"/>
      <c r="F29" s="59">
        <f>F28+G28+H28+I28+J28+K28+L28+M28+N28+O28</f>
        <v>133940</v>
      </c>
      <c r="P29" s="60"/>
      <c r="Q29" s="60"/>
      <c r="R29" s="57"/>
      <c r="S29" s="57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</row>
    <row r="30" ht="15.75" customHeight="1">
      <c r="A30" s="4"/>
      <c r="B30" s="4"/>
      <c r="C30" s="61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26.25" customHeight="1">
      <c r="A31" s="4"/>
      <c r="B31" s="4"/>
      <c r="C31" s="61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62" t="s">
        <v>123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61"/>
      <c r="D33" s="4"/>
      <c r="E33" s="63" t="s">
        <v>124</v>
      </c>
      <c r="F33" s="64" t="s">
        <v>125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61"/>
      <c r="D34" s="4"/>
      <c r="E34" s="65" t="s">
        <v>126</v>
      </c>
      <c r="F34" s="64" t="s">
        <v>525</v>
      </c>
      <c r="G34" s="4"/>
      <c r="H34" s="4"/>
      <c r="I34" s="4"/>
      <c r="J34" s="4"/>
      <c r="K34" s="4"/>
      <c r="L34" s="4"/>
      <c r="M34" s="4"/>
      <c r="N34" s="4"/>
      <c r="O34" s="66" t="s">
        <v>123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61"/>
      <c r="D35" s="4"/>
      <c r="E35" s="65" t="s">
        <v>128</v>
      </c>
      <c r="F35" s="64" t="s">
        <v>129</v>
      </c>
      <c r="G35" s="4"/>
      <c r="H35" s="4"/>
      <c r="I35" s="67" t="s">
        <v>250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61"/>
      <c r="D36" s="4"/>
      <c r="E36" s="65" t="s">
        <v>130</v>
      </c>
      <c r="F36" s="64" t="s">
        <v>129</v>
      </c>
      <c r="G36" s="4"/>
      <c r="H36" s="4"/>
      <c r="I36" s="4"/>
      <c r="J36" s="4"/>
      <c r="K36" s="67" t="s">
        <v>123</v>
      </c>
      <c r="L36" s="67" t="s">
        <v>123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61"/>
      <c r="D37" s="4"/>
      <c r="E37" s="65" t="s">
        <v>131</v>
      </c>
      <c r="F37" s="64" t="s">
        <v>378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61"/>
      <c r="D38" s="4"/>
      <c r="E38" s="65" t="s">
        <v>837</v>
      </c>
      <c r="F38" s="64" t="s">
        <v>129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61"/>
      <c r="D39" s="4"/>
      <c r="E39" s="65" t="s">
        <v>134</v>
      </c>
      <c r="F39" s="64" t="s">
        <v>838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61"/>
      <c r="D40" s="4"/>
      <c r="E40" s="65" t="s">
        <v>135</v>
      </c>
      <c r="F40" s="68" t="s">
        <v>125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66" t="s">
        <v>123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61"/>
      <c r="D41" s="4"/>
      <c r="E41" s="4"/>
      <c r="F41" s="4"/>
      <c r="G41" s="4"/>
      <c r="H41" s="4"/>
      <c r="I41" s="4"/>
      <c r="J41" s="4"/>
      <c r="K41" s="4" t="str">
        <f>I72428</f>
        <v/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6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6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6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6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6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6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61"/>
      <c r="D48" s="4"/>
      <c r="E48" s="4"/>
      <c r="F48" s="4"/>
      <c r="G48" s="4"/>
      <c r="H48" s="4"/>
      <c r="I48" s="66" t="s">
        <v>136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6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6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6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1"/>
      <c r="D63" s="4"/>
      <c r="E63" s="4"/>
      <c r="F63" s="4"/>
      <c r="G63" s="4"/>
      <c r="H63" s="4"/>
      <c r="I63" s="4"/>
      <c r="J63" s="4"/>
      <c r="K63" s="4"/>
      <c r="L63" s="4"/>
      <c r="M63" s="4">
        <v>7.0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mergeCells count="17">
    <mergeCell ref="R2:R4"/>
    <mergeCell ref="S2:S4"/>
    <mergeCell ref="F3:F4"/>
    <mergeCell ref="G3:H3"/>
    <mergeCell ref="I3:J3"/>
    <mergeCell ref="K3:K4"/>
    <mergeCell ref="F29:O29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5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20.6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839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71">
        <v>1.0</v>
      </c>
      <c r="B5" s="17">
        <v>45618.0</v>
      </c>
      <c r="C5" s="18" t="s">
        <v>840</v>
      </c>
      <c r="D5" s="19">
        <v>78865.0</v>
      </c>
      <c r="E5" s="20" t="s">
        <v>841</v>
      </c>
      <c r="F5" s="24"/>
      <c r="G5" s="22"/>
      <c r="H5" s="22"/>
      <c r="I5" s="29"/>
      <c r="J5" s="29">
        <v>2950.0</v>
      </c>
      <c r="K5" s="22"/>
      <c r="L5" s="24"/>
      <c r="M5" s="29"/>
      <c r="N5" s="24"/>
      <c r="O5" s="24"/>
      <c r="P5" s="25">
        <v>2950.0</v>
      </c>
      <c r="Q5" s="26">
        <f t="shared" ref="Q5:Q20" si="1">F5+G5+H5+I5+J5+K5+L5+M5+N5+O5-P5</f>
        <v>0</v>
      </c>
      <c r="R5" s="82" t="s">
        <v>38</v>
      </c>
      <c r="S5" s="30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71">
        <v>2.0</v>
      </c>
      <c r="B6" s="17">
        <v>45619.0</v>
      </c>
      <c r="C6" s="18" t="s">
        <v>842</v>
      </c>
      <c r="D6" s="19">
        <v>77864.0</v>
      </c>
      <c r="E6" s="20" t="s">
        <v>843</v>
      </c>
      <c r="F6" s="24"/>
      <c r="G6" s="24"/>
      <c r="H6" s="22"/>
      <c r="I6" s="29"/>
      <c r="J6" s="29">
        <v>25000.0</v>
      </c>
      <c r="K6" s="24"/>
      <c r="L6" s="24"/>
      <c r="M6" s="29"/>
      <c r="N6" s="24"/>
      <c r="O6" s="22"/>
      <c r="P6" s="25">
        <v>25000.0</v>
      </c>
      <c r="Q6" s="26">
        <f t="shared" si="1"/>
        <v>0</v>
      </c>
      <c r="R6" s="25" t="s">
        <v>38</v>
      </c>
      <c r="S6" s="30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71">
        <v>3.0</v>
      </c>
      <c r="B7" s="17">
        <v>45619.0</v>
      </c>
      <c r="C7" s="18" t="s">
        <v>844</v>
      </c>
      <c r="D7" s="19">
        <v>56747.0</v>
      </c>
      <c r="E7" s="20" t="s">
        <v>845</v>
      </c>
      <c r="F7" s="22"/>
      <c r="G7" s="24"/>
      <c r="H7" s="22"/>
      <c r="I7" s="29"/>
      <c r="J7" s="29">
        <v>5000.0</v>
      </c>
      <c r="K7" s="22"/>
      <c r="L7" s="24"/>
      <c r="M7" s="29"/>
      <c r="N7" s="24"/>
      <c r="O7" s="24"/>
      <c r="P7" s="25">
        <v>5000.0</v>
      </c>
      <c r="Q7" s="26">
        <f t="shared" si="1"/>
        <v>0</v>
      </c>
      <c r="R7" s="25" t="s">
        <v>28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71">
        <v>4.0</v>
      </c>
      <c r="B8" s="17">
        <v>45619.0</v>
      </c>
      <c r="C8" s="18" t="s">
        <v>846</v>
      </c>
      <c r="D8" s="19">
        <v>56747.0</v>
      </c>
      <c r="E8" s="20" t="s">
        <v>845</v>
      </c>
      <c r="F8" s="22"/>
      <c r="G8" s="22"/>
      <c r="H8" s="22"/>
      <c r="I8" s="29"/>
      <c r="J8" s="29">
        <v>5000.0</v>
      </c>
      <c r="K8" s="22"/>
      <c r="L8" s="24"/>
      <c r="M8" s="29"/>
      <c r="N8" s="24"/>
      <c r="O8" s="24"/>
      <c r="P8" s="25">
        <v>5000.0</v>
      </c>
      <c r="Q8" s="26">
        <f t="shared" si="1"/>
        <v>0</v>
      </c>
      <c r="R8" s="25" t="s">
        <v>28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71">
        <v>5.0</v>
      </c>
      <c r="B9" s="17">
        <v>45619.0</v>
      </c>
      <c r="C9" s="18" t="s">
        <v>847</v>
      </c>
      <c r="D9" s="19">
        <v>36826.0</v>
      </c>
      <c r="E9" s="20" t="s">
        <v>817</v>
      </c>
      <c r="F9" s="22"/>
      <c r="G9" s="24"/>
      <c r="H9" s="22"/>
      <c r="I9" s="29">
        <v>2600.0</v>
      </c>
      <c r="J9" s="29"/>
      <c r="K9" s="22"/>
      <c r="L9" s="24"/>
      <c r="M9" s="29"/>
      <c r="N9" s="24"/>
      <c r="O9" s="24"/>
      <c r="P9" s="25">
        <v>2600.0</v>
      </c>
      <c r="Q9" s="26">
        <f t="shared" si="1"/>
        <v>0</v>
      </c>
      <c r="R9" s="25" t="s">
        <v>28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71">
        <v>6.0</v>
      </c>
      <c r="B10" s="17">
        <v>45619.0</v>
      </c>
      <c r="C10" s="18" t="s">
        <v>848</v>
      </c>
      <c r="D10" s="19">
        <v>50461.0</v>
      </c>
      <c r="E10" s="20" t="s">
        <v>820</v>
      </c>
      <c r="F10" s="22"/>
      <c r="G10" s="24"/>
      <c r="H10" s="22"/>
      <c r="I10" s="29">
        <v>2500.0</v>
      </c>
      <c r="J10" s="29"/>
      <c r="K10" s="22"/>
      <c r="L10" s="24"/>
      <c r="M10" s="29"/>
      <c r="N10" s="24"/>
      <c r="O10" s="24"/>
      <c r="P10" s="25">
        <v>2500.0</v>
      </c>
      <c r="Q10" s="26">
        <f t="shared" si="1"/>
        <v>0</v>
      </c>
      <c r="R10" s="25" t="s">
        <v>38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71">
        <v>7.0</v>
      </c>
      <c r="B11" s="17">
        <v>45619.0</v>
      </c>
      <c r="C11" s="18" t="s">
        <v>849</v>
      </c>
      <c r="D11" s="19">
        <v>16390.0</v>
      </c>
      <c r="E11" s="20" t="s">
        <v>850</v>
      </c>
      <c r="F11" s="22"/>
      <c r="G11" s="24"/>
      <c r="H11" s="22"/>
      <c r="I11" s="29">
        <v>4500.0</v>
      </c>
      <c r="J11" s="29"/>
      <c r="K11" s="22"/>
      <c r="L11" s="24"/>
      <c r="M11" s="29"/>
      <c r="N11" s="24"/>
      <c r="O11" s="24"/>
      <c r="P11" s="25">
        <v>4500.0</v>
      </c>
      <c r="Q11" s="26">
        <f t="shared" si="1"/>
        <v>0</v>
      </c>
      <c r="R11" s="25" t="s">
        <v>28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71">
        <v>8.0</v>
      </c>
      <c r="B12" s="17">
        <v>45619.0</v>
      </c>
      <c r="C12" s="18" t="s">
        <v>851</v>
      </c>
      <c r="D12" s="19">
        <v>16390.0</v>
      </c>
      <c r="E12" s="20" t="s">
        <v>850</v>
      </c>
      <c r="F12" s="22"/>
      <c r="G12" s="24"/>
      <c r="H12" s="22"/>
      <c r="I12" s="29">
        <v>4500.0</v>
      </c>
      <c r="J12" s="29"/>
      <c r="K12" s="22"/>
      <c r="L12" s="24"/>
      <c r="M12" s="29"/>
      <c r="N12" s="24"/>
      <c r="O12" s="24"/>
      <c r="P12" s="25">
        <v>4500.0</v>
      </c>
      <c r="Q12" s="26">
        <f t="shared" si="1"/>
        <v>0</v>
      </c>
      <c r="R12" s="25" t="s">
        <v>28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71">
        <v>9.0</v>
      </c>
      <c r="B13" s="17">
        <v>45619.0</v>
      </c>
      <c r="C13" s="18" t="s">
        <v>852</v>
      </c>
      <c r="D13" s="19">
        <v>13209.0</v>
      </c>
      <c r="E13" s="20" t="s">
        <v>213</v>
      </c>
      <c r="F13" s="22"/>
      <c r="G13" s="22"/>
      <c r="H13" s="22"/>
      <c r="I13" s="29">
        <v>4600.0</v>
      </c>
      <c r="J13" s="29"/>
      <c r="K13" s="22"/>
      <c r="L13" s="24"/>
      <c r="M13" s="29"/>
      <c r="N13" s="24"/>
      <c r="O13" s="24"/>
      <c r="P13" s="25">
        <v>4600.0</v>
      </c>
      <c r="Q13" s="26">
        <f t="shared" si="1"/>
        <v>0</v>
      </c>
      <c r="R13" s="25" t="s">
        <v>35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71">
        <v>10.0</v>
      </c>
      <c r="B14" s="17">
        <v>45619.0</v>
      </c>
      <c r="C14" s="18" t="s">
        <v>853</v>
      </c>
      <c r="D14" s="19">
        <v>55969.0</v>
      </c>
      <c r="E14" s="20" t="s">
        <v>854</v>
      </c>
      <c r="F14" s="22"/>
      <c r="G14" s="22"/>
      <c r="H14" s="22"/>
      <c r="I14" s="29">
        <v>15000.0</v>
      </c>
      <c r="J14" s="29"/>
      <c r="K14" s="22"/>
      <c r="L14" s="24"/>
      <c r="M14" s="21"/>
      <c r="N14" s="24"/>
      <c r="O14" s="22"/>
      <c r="P14" s="25">
        <v>15000.0</v>
      </c>
      <c r="Q14" s="26">
        <f t="shared" si="1"/>
        <v>0</v>
      </c>
      <c r="R14" s="25" t="s">
        <v>28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71">
        <v>11.0</v>
      </c>
      <c r="B15" s="17">
        <v>45619.0</v>
      </c>
      <c r="C15" s="18" t="s">
        <v>855</v>
      </c>
      <c r="D15" s="19">
        <v>10684.0</v>
      </c>
      <c r="E15" s="20" t="s">
        <v>856</v>
      </c>
      <c r="F15" s="21"/>
      <c r="G15" s="22"/>
      <c r="H15" s="24"/>
      <c r="I15" s="29">
        <v>5000.0</v>
      </c>
      <c r="J15" s="29"/>
      <c r="K15" s="37"/>
      <c r="L15" s="24"/>
      <c r="M15" s="22"/>
      <c r="N15" s="24"/>
      <c r="O15" s="22"/>
      <c r="P15" s="25">
        <v>5000.0</v>
      </c>
      <c r="Q15" s="26">
        <f t="shared" si="1"/>
        <v>0</v>
      </c>
      <c r="R15" s="25" t="s">
        <v>28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71">
        <v>12.0</v>
      </c>
      <c r="B16" s="17">
        <v>45619.0</v>
      </c>
      <c r="C16" s="18" t="s">
        <v>857</v>
      </c>
      <c r="D16" s="19">
        <v>76525.0</v>
      </c>
      <c r="E16" s="20" t="s">
        <v>858</v>
      </c>
      <c r="F16" s="21"/>
      <c r="G16" s="22"/>
      <c r="H16" s="22"/>
      <c r="I16" s="29"/>
      <c r="J16" s="29">
        <v>2600.0</v>
      </c>
      <c r="K16" s="37"/>
      <c r="L16" s="24"/>
      <c r="M16" s="24"/>
      <c r="N16" s="24"/>
      <c r="O16" s="22"/>
      <c r="P16" s="25">
        <v>2600.0</v>
      </c>
      <c r="Q16" s="26">
        <f t="shared" si="1"/>
        <v>0</v>
      </c>
      <c r="R16" s="25" t="s">
        <v>38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71">
        <v>13.0</v>
      </c>
      <c r="B17" s="17">
        <v>45619.0</v>
      </c>
      <c r="C17" s="18" t="s">
        <v>859</v>
      </c>
      <c r="D17" s="19">
        <v>50436.0</v>
      </c>
      <c r="E17" s="20" t="s">
        <v>267</v>
      </c>
      <c r="F17" s="21"/>
      <c r="G17" s="22"/>
      <c r="H17" s="22"/>
      <c r="I17" s="29">
        <v>5000.0</v>
      </c>
      <c r="J17" s="21"/>
      <c r="K17" s="37"/>
      <c r="L17" s="24"/>
      <c r="M17" s="22"/>
      <c r="N17" s="24"/>
      <c r="O17" s="22"/>
      <c r="P17" s="25">
        <v>5000.0</v>
      </c>
      <c r="Q17" s="26">
        <f t="shared" si="1"/>
        <v>0</v>
      </c>
      <c r="R17" s="25" t="s">
        <v>35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71">
        <v>14.0</v>
      </c>
      <c r="B18" s="17">
        <v>45619.0</v>
      </c>
      <c r="C18" s="18" t="s">
        <v>860</v>
      </c>
      <c r="D18" s="19">
        <v>76189.0</v>
      </c>
      <c r="E18" s="20" t="s">
        <v>861</v>
      </c>
      <c r="F18" s="29"/>
      <c r="G18" s="22"/>
      <c r="H18" s="24"/>
      <c r="I18" s="29">
        <v>5100.0</v>
      </c>
      <c r="J18" s="21"/>
      <c r="K18" s="37"/>
      <c r="L18" s="24"/>
      <c r="M18" s="22"/>
      <c r="N18" s="24"/>
      <c r="O18" s="22"/>
      <c r="P18" s="25">
        <v>5100.0</v>
      </c>
      <c r="Q18" s="26">
        <f t="shared" si="1"/>
        <v>0</v>
      </c>
      <c r="R18" s="25" t="s">
        <v>28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71">
        <v>15.0</v>
      </c>
      <c r="B19" s="17">
        <v>45619.0</v>
      </c>
      <c r="C19" s="18" t="s">
        <v>862</v>
      </c>
      <c r="D19" s="19">
        <v>85306.0</v>
      </c>
      <c r="E19" s="20" t="s">
        <v>863</v>
      </c>
      <c r="F19" s="21"/>
      <c r="G19" s="22"/>
      <c r="H19" s="24"/>
      <c r="I19" s="29">
        <v>7300.0</v>
      </c>
      <c r="J19" s="29"/>
      <c r="K19" s="37"/>
      <c r="L19" s="24"/>
      <c r="M19" s="22"/>
      <c r="N19" s="24"/>
      <c r="O19" s="22"/>
      <c r="P19" s="25">
        <v>7300.0</v>
      </c>
      <c r="Q19" s="26">
        <f t="shared" si="1"/>
        <v>0</v>
      </c>
      <c r="R19" s="25" t="s">
        <v>28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71">
        <v>16.0</v>
      </c>
      <c r="B20" s="17">
        <v>45619.0</v>
      </c>
      <c r="C20" s="18" t="s">
        <v>864</v>
      </c>
      <c r="D20" s="19">
        <v>76972.0</v>
      </c>
      <c r="E20" s="20" t="s">
        <v>184</v>
      </c>
      <c r="F20" s="21"/>
      <c r="G20" s="22"/>
      <c r="H20" s="22">
        <v>3600.0</v>
      </c>
      <c r="I20" s="29"/>
      <c r="J20" s="29"/>
      <c r="K20" s="37"/>
      <c r="L20" s="24"/>
      <c r="M20" s="22"/>
      <c r="N20" s="24"/>
      <c r="O20" s="22"/>
      <c r="P20" s="25">
        <v>3600.0</v>
      </c>
      <c r="Q20" s="26">
        <f t="shared" si="1"/>
        <v>0</v>
      </c>
      <c r="R20" s="25"/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7.5" customHeight="1">
      <c r="A21" s="71"/>
      <c r="B21" s="50"/>
      <c r="C21" s="51"/>
      <c r="D21" s="52" t="s">
        <v>123</v>
      </c>
      <c r="E21" s="53"/>
      <c r="F21" s="54">
        <f t="shared" ref="F21:Q21" si="2">SUM(F5:F20)</f>
        <v>0</v>
      </c>
      <c r="G21" s="54">
        <f t="shared" si="2"/>
        <v>0</v>
      </c>
      <c r="H21" s="54">
        <f t="shared" si="2"/>
        <v>3600</v>
      </c>
      <c r="I21" s="54">
        <f t="shared" si="2"/>
        <v>56100</v>
      </c>
      <c r="J21" s="54">
        <f t="shared" si="2"/>
        <v>40550</v>
      </c>
      <c r="K21" s="54">
        <f t="shared" si="2"/>
        <v>0</v>
      </c>
      <c r="L21" s="54">
        <f t="shared" si="2"/>
        <v>0</v>
      </c>
      <c r="M21" s="54">
        <f t="shared" si="2"/>
        <v>0</v>
      </c>
      <c r="N21" s="54">
        <f t="shared" si="2"/>
        <v>0</v>
      </c>
      <c r="O21" s="54">
        <f t="shared" si="2"/>
        <v>0</v>
      </c>
      <c r="P21" s="54">
        <f t="shared" si="2"/>
        <v>100250</v>
      </c>
      <c r="Q21" s="55">
        <f t="shared" si="2"/>
        <v>0</v>
      </c>
      <c r="R21" s="56"/>
      <c r="S21" s="27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</row>
    <row r="22" ht="58.5" customHeight="1">
      <c r="A22" s="57"/>
      <c r="B22" s="57"/>
      <c r="C22" s="58"/>
      <c r="D22" s="57"/>
      <c r="E22" s="57"/>
      <c r="F22" s="59">
        <f>F21+G21+H21+I21+J21+K21+L21+M21+N21+O21</f>
        <v>100250</v>
      </c>
      <c r="P22" s="60"/>
      <c r="Q22" s="60"/>
      <c r="R22" s="57"/>
      <c r="S22" s="57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</row>
    <row r="23" ht="15.75" customHeight="1">
      <c r="A23" s="4"/>
      <c r="B23" s="4"/>
      <c r="C23" s="6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26.25" customHeight="1">
      <c r="A24" s="4"/>
      <c r="B24" s="4"/>
      <c r="C24" s="61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26.25" customHeight="1">
      <c r="A25" s="4"/>
      <c r="B25" s="4"/>
      <c r="C25" s="62" t="s">
        <v>123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26.25" customHeight="1">
      <c r="A26" s="4"/>
      <c r="B26" s="4"/>
      <c r="C26" s="61"/>
      <c r="D26" s="4"/>
      <c r="E26" s="63" t="s">
        <v>124</v>
      </c>
      <c r="F26" s="64" t="s">
        <v>125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26.25" customHeight="1">
      <c r="A27" s="4"/>
      <c r="B27" s="4"/>
      <c r="C27" s="61"/>
      <c r="D27" s="4"/>
      <c r="E27" s="65" t="s">
        <v>126</v>
      </c>
      <c r="F27" s="64" t="s">
        <v>525</v>
      </c>
      <c r="G27" s="4"/>
      <c r="H27" s="4"/>
      <c r="I27" s="4"/>
      <c r="J27" s="4"/>
      <c r="K27" s="4"/>
      <c r="L27" s="4"/>
      <c r="M27" s="4"/>
      <c r="N27" s="4"/>
      <c r="O27" s="66" t="s">
        <v>123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26.25" customHeight="1">
      <c r="A28" s="4"/>
      <c r="B28" s="4"/>
      <c r="C28" s="61"/>
      <c r="D28" s="4"/>
      <c r="E28" s="65" t="s">
        <v>128</v>
      </c>
      <c r="F28" s="64" t="s">
        <v>129</v>
      </c>
      <c r="G28" s="4"/>
      <c r="H28" s="4"/>
      <c r="I28" s="67" t="s">
        <v>250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26.25" customHeight="1">
      <c r="A29" s="4"/>
      <c r="B29" s="4"/>
      <c r="C29" s="61"/>
      <c r="D29" s="4"/>
      <c r="E29" s="65" t="s">
        <v>130</v>
      </c>
      <c r="F29" s="64" t="s">
        <v>129</v>
      </c>
      <c r="G29" s="4"/>
      <c r="H29" s="4"/>
      <c r="I29" s="4"/>
      <c r="J29" s="4"/>
      <c r="K29" s="67" t="s">
        <v>123</v>
      </c>
      <c r="L29" s="67" t="s">
        <v>123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26.25" customHeight="1">
      <c r="A30" s="4"/>
      <c r="B30" s="4"/>
      <c r="C30" s="61"/>
      <c r="D30" s="4"/>
      <c r="E30" s="65" t="s">
        <v>131</v>
      </c>
      <c r="F30" s="64" t="s">
        <v>378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26.25" customHeight="1">
      <c r="A31" s="4"/>
      <c r="B31" s="4"/>
      <c r="C31" s="61"/>
      <c r="D31" s="4"/>
      <c r="E31" s="65" t="s">
        <v>865</v>
      </c>
      <c r="F31" s="64" t="s">
        <v>129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61"/>
      <c r="D32" s="4"/>
      <c r="E32" s="65" t="s">
        <v>134</v>
      </c>
      <c r="F32" s="64" t="s">
        <v>838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61"/>
      <c r="D33" s="4"/>
      <c r="E33" s="65" t="s">
        <v>135</v>
      </c>
      <c r="F33" s="68" t="s">
        <v>125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66" t="s">
        <v>123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61"/>
      <c r="D34" s="4"/>
      <c r="E34" s="4"/>
      <c r="F34" s="4"/>
      <c r="G34" s="4"/>
      <c r="H34" s="4"/>
      <c r="I34" s="4"/>
      <c r="J34" s="4"/>
      <c r="K34" s="4" t="str">
        <f>I72421</f>
        <v/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61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15.75" customHeight="1">
      <c r="A36" s="4"/>
      <c r="B36" s="4"/>
      <c r="C36" s="6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15.75" customHeight="1">
      <c r="A37" s="4"/>
      <c r="B37" s="4"/>
      <c r="C37" s="6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15.75" customHeight="1">
      <c r="A38" s="4"/>
      <c r="B38" s="4"/>
      <c r="C38" s="61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5.75" customHeight="1">
      <c r="A39" s="4"/>
      <c r="B39" s="4"/>
      <c r="C39" s="61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5.75" customHeight="1">
      <c r="A40" s="4"/>
      <c r="B40" s="4"/>
      <c r="C40" s="61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61"/>
      <c r="D41" s="4"/>
      <c r="E41" s="4"/>
      <c r="F41" s="4"/>
      <c r="G41" s="4"/>
      <c r="H41" s="4"/>
      <c r="I41" s="66" t="s">
        <v>136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6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6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6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6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6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6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6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6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6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6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1"/>
      <c r="D56" s="4"/>
      <c r="E56" s="4"/>
      <c r="F56" s="4"/>
      <c r="G56" s="4"/>
      <c r="H56" s="4"/>
      <c r="I56" s="4"/>
      <c r="J56" s="4"/>
      <c r="K56" s="4"/>
      <c r="L56" s="4"/>
      <c r="M56" s="4">
        <v>7.0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</sheetData>
  <mergeCells count="17">
    <mergeCell ref="R2:R4"/>
    <mergeCell ref="S2:S4"/>
    <mergeCell ref="F3:F4"/>
    <mergeCell ref="G3:H3"/>
    <mergeCell ref="I3:J3"/>
    <mergeCell ref="K3:K4"/>
    <mergeCell ref="F22:O22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5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20.6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866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71">
        <v>1.0</v>
      </c>
      <c r="B5" s="17">
        <v>45619.0</v>
      </c>
      <c r="C5" s="18" t="s">
        <v>867</v>
      </c>
      <c r="D5" s="19">
        <v>13781.0</v>
      </c>
      <c r="E5" s="20" t="s">
        <v>140</v>
      </c>
      <c r="F5" s="24"/>
      <c r="G5" s="22"/>
      <c r="H5" s="22"/>
      <c r="I5" s="29">
        <v>10000.0</v>
      </c>
      <c r="J5" s="29"/>
      <c r="K5" s="22"/>
      <c r="L5" s="24"/>
      <c r="M5" s="29"/>
      <c r="N5" s="24"/>
      <c r="O5" s="24"/>
      <c r="P5" s="25">
        <v>10000.0</v>
      </c>
      <c r="Q5" s="26">
        <f t="shared" ref="Q5:Q13" si="1">F5+G5+H5+I5+J5+K5+L5+M5+N5+O5-P5</f>
        <v>0</v>
      </c>
      <c r="R5" s="82" t="s">
        <v>38</v>
      </c>
      <c r="S5" s="30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71">
        <v>2.0</v>
      </c>
      <c r="B6" s="17">
        <v>45620.0</v>
      </c>
      <c r="C6" s="18" t="s">
        <v>868</v>
      </c>
      <c r="D6" s="19">
        <v>52083.0</v>
      </c>
      <c r="E6" s="20" t="s">
        <v>94</v>
      </c>
      <c r="F6" s="24"/>
      <c r="G6" s="24"/>
      <c r="H6" s="22"/>
      <c r="I6" s="29">
        <v>2500.0</v>
      </c>
      <c r="J6" s="29"/>
      <c r="K6" s="24"/>
      <c r="L6" s="24"/>
      <c r="M6" s="29"/>
      <c r="N6" s="24"/>
      <c r="O6" s="22"/>
      <c r="P6" s="25">
        <v>2500.0</v>
      </c>
      <c r="Q6" s="26">
        <f t="shared" si="1"/>
        <v>0</v>
      </c>
      <c r="R6" s="25" t="s">
        <v>28</v>
      </c>
      <c r="S6" s="30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71">
        <v>3.0</v>
      </c>
      <c r="B7" s="17">
        <v>45620.0</v>
      </c>
      <c r="C7" s="18" t="s">
        <v>869</v>
      </c>
      <c r="D7" s="19">
        <v>66770.0</v>
      </c>
      <c r="E7" s="20" t="s">
        <v>46</v>
      </c>
      <c r="F7" s="22"/>
      <c r="G7" s="24"/>
      <c r="H7" s="22"/>
      <c r="I7" s="29"/>
      <c r="J7" s="29">
        <v>7000.0</v>
      </c>
      <c r="K7" s="22"/>
      <c r="L7" s="24"/>
      <c r="M7" s="29"/>
      <c r="N7" s="24"/>
      <c r="O7" s="24"/>
      <c r="P7" s="25">
        <v>7000.0</v>
      </c>
      <c r="Q7" s="26">
        <f t="shared" si="1"/>
        <v>0</v>
      </c>
      <c r="R7" s="25" t="s">
        <v>38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71">
        <v>4.0</v>
      </c>
      <c r="B8" s="17">
        <v>45620.0</v>
      </c>
      <c r="C8" s="18" t="s">
        <v>870</v>
      </c>
      <c r="D8" s="19">
        <v>81440.0</v>
      </c>
      <c r="E8" s="20" t="s">
        <v>871</v>
      </c>
      <c r="F8" s="22"/>
      <c r="G8" s="22"/>
      <c r="H8" s="22"/>
      <c r="I8" s="29"/>
      <c r="J8" s="29">
        <v>2600.0</v>
      </c>
      <c r="K8" s="22"/>
      <c r="L8" s="24"/>
      <c r="M8" s="29"/>
      <c r="N8" s="24"/>
      <c r="O8" s="24"/>
      <c r="P8" s="25">
        <v>2600.0</v>
      </c>
      <c r="Q8" s="26">
        <f t="shared" si="1"/>
        <v>0</v>
      </c>
      <c r="R8" s="25" t="s">
        <v>38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71">
        <v>5.0</v>
      </c>
      <c r="B9" s="17">
        <v>45620.0</v>
      </c>
      <c r="C9" s="18" t="s">
        <v>872</v>
      </c>
      <c r="D9" s="19">
        <v>22727.0</v>
      </c>
      <c r="E9" s="20" t="s">
        <v>340</v>
      </c>
      <c r="F9" s="22"/>
      <c r="G9" s="24"/>
      <c r="H9" s="22"/>
      <c r="I9" s="29">
        <v>2500.0</v>
      </c>
      <c r="J9" s="29"/>
      <c r="K9" s="22"/>
      <c r="L9" s="24"/>
      <c r="M9" s="29"/>
      <c r="N9" s="24"/>
      <c r="O9" s="24"/>
      <c r="P9" s="25">
        <v>2500.0</v>
      </c>
      <c r="Q9" s="26">
        <f t="shared" si="1"/>
        <v>0</v>
      </c>
      <c r="R9" s="25" t="s">
        <v>49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71">
        <v>6.0</v>
      </c>
      <c r="B10" s="17">
        <v>45620.0</v>
      </c>
      <c r="C10" s="18" t="s">
        <v>873</v>
      </c>
      <c r="D10" s="19">
        <v>73071.0</v>
      </c>
      <c r="E10" s="20" t="s">
        <v>874</v>
      </c>
      <c r="F10" s="22"/>
      <c r="G10" s="24"/>
      <c r="H10" s="22"/>
      <c r="I10" s="29"/>
      <c r="J10" s="29">
        <v>3700.0</v>
      </c>
      <c r="K10" s="22"/>
      <c r="L10" s="24"/>
      <c r="M10" s="29"/>
      <c r="N10" s="24"/>
      <c r="O10" s="24"/>
      <c r="P10" s="25">
        <v>3700.0</v>
      </c>
      <c r="Q10" s="26">
        <f t="shared" si="1"/>
        <v>0</v>
      </c>
      <c r="R10" s="25" t="s">
        <v>28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71">
        <v>7.0</v>
      </c>
      <c r="B11" s="17">
        <v>45620.0</v>
      </c>
      <c r="C11" s="18" t="s">
        <v>875</v>
      </c>
      <c r="D11" s="19">
        <v>75045.0</v>
      </c>
      <c r="E11" s="20" t="s">
        <v>717</v>
      </c>
      <c r="F11" s="22">
        <v>200.0</v>
      </c>
      <c r="G11" s="24"/>
      <c r="H11" s="22"/>
      <c r="I11" s="29"/>
      <c r="J11" s="29"/>
      <c r="K11" s="22"/>
      <c r="L11" s="24"/>
      <c r="M11" s="29"/>
      <c r="N11" s="24"/>
      <c r="O11" s="24"/>
      <c r="P11" s="25">
        <v>200.0</v>
      </c>
      <c r="Q11" s="26">
        <f t="shared" si="1"/>
        <v>0</v>
      </c>
      <c r="R11" s="25" t="s">
        <v>28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71">
        <v>8.0</v>
      </c>
      <c r="B12" s="17">
        <v>45620.0</v>
      </c>
      <c r="C12" s="18" t="s">
        <v>876</v>
      </c>
      <c r="D12" s="19">
        <v>82780.0</v>
      </c>
      <c r="E12" s="20" t="s">
        <v>877</v>
      </c>
      <c r="F12" s="22"/>
      <c r="G12" s="24"/>
      <c r="H12" s="22"/>
      <c r="I12" s="29"/>
      <c r="J12" s="29"/>
      <c r="K12" s="22"/>
      <c r="L12" s="24"/>
      <c r="M12" s="29">
        <v>4700.0</v>
      </c>
      <c r="N12" s="24"/>
      <c r="O12" s="24"/>
      <c r="P12" s="25">
        <v>4700.0</v>
      </c>
      <c r="Q12" s="26">
        <f t="shared" si="1"/>
        <v>0</v>
      </c>
      <c r="R12" s="25" t="s">
        <v>28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71">
        <v>9.0</v>
      </c>
      <c r="B13" s="17">
        <v>45620.0</v>
      </c>
      <c r="C13" s="18" t="s">
        <v>878</v>
      </c>
      <c r="D13" s="19">
        <v>75045.0</v>
      </c>
      <c r="E13" s="20" t="s">
        <v>717</v>
      </c>
      <c r="F13" s="22">
        <v>900.0</v>
      </c>
      <c r="G13" s="22"/>
      <c r="H13" s="22"/>
      <c r="I13" s="29"/>
      <c r="J13" s="29"/>
      <c r="K13" s="22"/>
      <c r="L13" s="24"/>
      <c r="M13" s="29"/>
      <c r="N13" s="24"/>
      <c r="O13" s="24"/>
      <c r="P13" s="25">
        <v>900.0</v>
      </c>
      <c r="Q13" s="26">
        <f t="shared" si="1"/>
        <v>0</v>
      </c>
      <c r="R13" s="25" t="s">
        <v>38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71">
        <v>10.0</v>
      </c>
      <c r="B14" s="17">
        <v>45620.0</v>
      </c>
      <c r="C14" s="18" t="s">
        <v>879</v>
      </c>
      <c r="D14" s="19">
        <v>82780.0</v>
      </c>
      <c r="E14" s="20" t="s">
        <v>877</v>
      </c>
      <c r="F14" s="22" t="s">
        <v>123</v>
      </c>
      <c r="G14" s="22"/>
      <c r="H14" s="22" t="s">
        <v>136</v>
      </c>
      <c r="I14" s="29"/>
      <c r="J14" s="29"/>
      <c r="K14" s="22"/>
      <c r="L14" s="24"/>
      <c r="M14" s="29">
        <v>300.0</v>
      </c>
      <c r="N14" s="24"/>
      <c r="O14" s="22"/>
      <c r="P14" s="25">
        <v>300.0</v>
      </c>
      <c r="Q14" s="70">
        <v>0.0</v>
      </c>
      <c r="R14" s="25" t="s">
        <v>38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71">
        <v>11.0</v>
      </c>
      <c r="B15" s="17">
        <v>45620.0</v>
      </c>
      <c r="C15" s="18" t="s">
        <v>880</v>
      </c>
      <c r="D15" s="19">
        <v>59244.0</v>
      </c>
      <c r="E15" s="20" t="s">
        <v>470</v>
      </c>
      <c r="F15" s="21"/>
      <c r="G15" s="22"/>
      <c r="H15" s="24"/>
      <c r="I15" s="29">
        <v>1000.0</v>
      </c>
      <c r="J15" s="29"/>
      <c r="K15" s="37"/>
      <c r="L15" s="24"/>
      <c r="M15" s="22"/>
      <c r="N15" s="24"/>
      <c r="O15" s="22"/>
      <c r="P15" s="25">
        <v>1000.0</v>
      </c>
      <c r="Q15" s="26">
        <f t="shared" ref="Q15:Q31" si="2">F15+G15+H15+I15+J15+K15+L15+M15+N15+O15-P15</f>
        <v>0</v>
      </c>
      <c r="R15" s="25" t="s">
        <v>28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71">
        <v>12.0</v>
      </c>
      <c r="B16" s="17">
        <v>45620.0</v>
      </c>
      <c r="C16" s="18" t="s">
        <v>881</v>
      </c>
      <c r="D16" s="19">
        <v>85309.0</v>
      </c>
      <c r="E16" s="20" t="s">
        <v>882</v>
      </c>
      <c r="F16" s="21"/>
      <c r="G16" s="22"/>
      <c r="H16" s="22"/>
      <c r="I16" s="29">
        <v>300.0</v>
      </c>
      <c r="J16" s="29"/>
      <c r="K16" s="37"/>
      <c r="L16" s="24"/>
      <c r="M16" s="24"/>
      <c r="N16" s="24"/>
      <c r="O16" s="22"/>
      <c r="P16" s="25">
        <v>300.0</v>
      </c>
      <c r="Q16" s="26">
        <f t="shared" si="2"/>
        <v>0</v>
      </c>
      <c r="R16" s="25" t="s">
        <v>49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71">
        <v>13.0</v>
      </c>
      <c r="B17" s="17">
        <v>45620.0</v>
      </c>
      <c r="C17" s="18" t="s">
        <v>883</v>
      </c>
      <c r="D17" s="19">
        <v>42278.0</v>
      </c>
      <c r="E17" s="20" t="s">
        <v>652</v>
      </c>
      <c r="F17" s="21"/>
      <c r="G17" s="22">
        <v>4500.0</v>
      </c>
      <c r="H17" s="22"/>
      <c r="I17" s="29"/>
      <c r="J17" s="21"/>
      <c r="K17" s="37"/>
      <c r="L17" s="24"/>
      <c r="M17" s="22"/>
      <c r="N17" s="24"/>
      <c r="O17" s="22"/>
      <c r="P17" s="25">
        <v>4500.0</v>
      </c>
      <c r="Q17" s="26">
        <f t="shared" si="2"/>
        <v>0</v>
      </c>
      <c r="R17" s="25" t="s">
        <v>28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71">
        <v>14.0</v>
      </c>
      <c r="B18" s="17">
        <v>45620.0</v>
      </c>
      <c r="C18" s="18" t="s">
        <v>884</v>
      </c>
      <c r="D18" s="19">
        <v>43955.0</v>
      </c>
      <c r="E18" s="20" t="s">
        <v>475</v>
      </c>
      <c r="F18" s="29"/>
      <c r="G18" s="22"/>
      <c r="H18" s="24"/>
      <c r="I18" s="29">
        <v>7300.0</v>
      </c>
      <c r="J18" s="21"/>
      <c r="K18" s="37"/>
      <c r="L18" s="24"/>
      <c r="M18" s="22"/>
      <c r="N18" s="24"/>
      <c r="O18" s="22"/>
      <c r="P18" s="25">
        <v>7300.0</v>
      </c>
      <c r="Q18" s="26">
        <f t="shared" si="2"/>
        <v>0</v>
      </c>
      <c r="R18" s="25" t="s">
        <v>28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71">
        <v>15.0</v>
      </c>
      <c r="B19" s="17">
        <v>45620.0</v>
      </c>
      <c r="C19" s="18" t="s">
        <v>885</v>
      </c>
      <c r="D19" s="19">
        <v>43955.0</v>
      </c>
      <c r="E19" s="20" t="s">
        <v>475</v>
      </c>
      <c r="F19" s="21"/>
      <c r="G19" s="22"/>
      <c r="H19" s="24"/>
      <c r="I19" s="29">
        <v>100.0</v>
      </c>
      <c r="J19" s="29"/>
      <c r="K19" s="37"/>
      <c r="L19" s="24"/>
      <c r="M19" s="22"/>
      <c r="N19" s="24"/>
      <c r="O19" s="22"/>
      <c r="P19" s="25">
        <v>100.0</v>
      </c>
      <c r="Q19" s="26">
        <f t="shared" si="2"/>
        <v>0</v>
      </c>
      <c r="R19" s="25" t="s">
        <v>28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71">
        <v>16.0</v>
      </c>
      <c r="B20" s="17">
        <v>45620.0</v>
      </c>
      <c r="C20" s="18" t="s">
        <v>886</v>
      </c>
      <c r="D20" s="19">
        <v>53943.0</v>
      </c>
      <c r="E20" s="20" t="s">
        <v>485</v>
      </c>
      <c r="F20" s="21"/>
      <c r="G20" s="22"/>
      <c r="H20" s="22"/>
      <c r="I20" s="29">
        <v>2600.0</v>
      </c>
      <c r="J20" s="29"/>
      <c r="K20" s="37"/>
      <c r="L20" s="24"/>
      <c r="M20" s="22"/>
      <c r="N20" s="24"/>
      <c r="O20" s="22"/>
      <c r="P20" s="25">
        <v>2600.0</v>
      </c>
      <c r="Q20" s="26">
        <f t="shared" si="2"/>
        <v>0</v>
      </c>
      <c r="R20" s="25" t="s">
        <v>38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71">
        <v>17.0</v>
      </c>
      <c r="B21" s="17">
        <v>45620.0</v>
      </c>
      <c r="C21" s="18" t="s">
        <v>887</v>
      </c>
      <c r="D21" s="19">
        <v>10271.0</v>
      </c>
      <c r="E21" s="20" t="s">
        <v>438</v>
      </c>
      <c r="F21" s="21"/>
      <c r="G21" s="22">
        <v>3700.0</v>
      </c>
      <c r="H21" s="22"/>
      <c r="I21" s="29"/>
      <c r="J21" s="29"/>
      <c r="K21" s="37"/>
      <c r="L21" s="24"/>
      <c r="M21" s="22"/>
      <c r="N21" s="24"/>
      <c r="O21" s="22"/>
      <c r="P21" s="25">
        <v>3700.0</v>
      </c>
      <c r="Q21" s="26">
        <f t="shared" si="2"/>
        <v>0</v>
      </c>
      <c r="R21" s="25" t="s">
        <v>38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71">
        <v>18.0</v>
      </c>
      <c r="B22" s="17">
        <v>45620.0</v>
      </c>
      <c r="C22" s="18" t="s">
        <v>888</v>
      </c>
      <c r="D22" s="19">
        <v>84683.0</v>
      </c>
      <c r="E22" s="20" t="s">
        <v>81</v>
      </c>
      <c r="F22" s="29">
        <v>499.0</v>
      </c>
      <c r="G22" s="22"/>
      <c r="H22" s="22"/>
      <c r="I22" s="29"/>
      <c r="J22" s="29"/>
      <c r="K22" s="37"/>
      <c r="L22" s="24"/>
      <c r="M22" s="22"/>
      <c r="N22" s="24"/>
      <c r="O22" s="22"/>
      <c r="P22" s="25">
        <v>499.0</v>
      </c>
      <c r="Q22" s="26">
        <f t="shared" si="2"/>
        <v>0</v>
      </c>
      <c r="R22" s="25" t="s">
        <v>38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71">
        <v>19.0</v>
      </c>
      <c r="B23" s="17">
        <v>45620.0</v>
      </c>
      <c r="C23" s="18" t="s">
        <v>889</v>
      </c>
      <c r="D23" s="19">
        <v>30894.0</v>
      </c>
      <c r="E23" s="20" t="s">
        <v>215</v>
      </c>
      <c r="F23" s="21"/>
      <c r="G23" s="22"/>
      <c r="H23" s="22"/>
      <c r="I23" s="29">
        <v>4600.0</v>
      </c>
      <c r="J23" s="29"/>
      <c r="K23" s="37"/>
      <c r="L23" s="24"/>
      <c r="M23" s="22"/>
      <c r="N23" s="24"/>
      <c r="O23" s="22"/>
      <c r="P23" s="25">
        <v>4600.0</v>
      </c>
      <c r="Q23" s="26">
        <f t="shared" si="2"/>
        <v>0</v>
      </c>
      <c r="R23" s="25" t="s">
        <v>49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71">
        <v>20.0</v>
      </c>
      <c r="B24" s="17">
        <v>45620.0</v>
      </c>
      <c r="C24" s="18" t="s">
        <v>890</v>
      </c>
      <c r="D24" s="19">
        <v>74087.0</v>
      </c>
      <c r="E24" s="20" t="s">
        <v>211</v>
      </c>
      <c r="F24" s="21"/>
      <c r="G24" s="22"/>
      <c r="H24" s="22"/>
      <c r="I24" s="29"/>
      <c r="J24" s="29">
        <v>6550.0</v>
      </c>
      <c r="K24" s="37"/>
      <c r="L24" s="24"/>
      <c r="M24" s="22"/>
      <c r="N24" s="24"/>
      <c r="O24" s="22"/>
      <c r="P24" s="25">
        <v>6550.0</v>
      </c>
      <c r="Q24" s="26">
        <f t="shared" si="2"/>
        <v>0</v>
      </c>
      <c r="R24" s="25" t="s">
        <v>38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71">
        <v>21.0</v>
      </c>
      <c r="B25" s="17">
        <v>45620.0</v>
      </c>
      <c r="C25" s="18" t="s">
        <v>891</v>
      </c>
      <c r="D25" s="19">
        <v>80636.0</v>
      </c>
      <c r="E25" s="20" t="s">
        <v>892</v>
      </c>
      <c r="F25" s="21"/>
      <c r="G25" s="22">
        <v>4500.0</v>
      </c>
      <c r="H25" s="22"/>
      <c r="I25" s="29"/>
      <c r="J25" s="29"/>
      <c r="K25" s="37"/>
      <c r="L25" s="24"/>
      <c r="M25" s="22"/>
      <c r="N25" s="24"/>
      <c r="O25" s="22"/>
      <c r="P25" s="25">
        <v>4500.0</v>
      </c>
      <c r="Q25" s="26">
        <f t="shared" si="2"/>
        <v>0</v>
      </c>
      <c r="R25" s="25" t="s">
        <v>38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71">
        <v>22.0</v>
      </c>
      <c r="B26" s="17">
        <v>45620.0</v>
      </c>
      <c r="C26" s="18" t="s">
        <v>893</v>
      </c>
      <c r="D26" s="19">
        <v>75045.0</v>
      </c>
      <c r="E26" s="20" t="s">
        <v>717</v>
      </c>
      <c r="F26" s="29">
        <v>200.0</v>
      </c>
      <c r="G26" s="22"/>
      <c r="H26" s="22"/>
      <c r="I26" s="29"/>
      <c r="J26" s="29"/>
      <c r="K26" s="37"/>
      <c r="L26" s="24"/>
      <c r="M26" s="22"/>
      <c r="N26" s="24"/>
      <c r="O26" s="22"/>
      <c r="P26" s="25">
        <v>200.0</v>
      </c>
      <c r="Q26" s="26">
        <f t="shared" si="2"/>
        <v>0</v>
      </c>
      <c r="R26" s="25" t="s">
        <v>38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71">
        <v>23.0</v>
      </c>
      <c r="B27" s="17">
        <v>45620.0</v>
      </c>
      <c r="C27" s="18" t="s">
        <v>894</v>
      </c>
      <c r="D27" s="19">
        <v>75037.0</v>
      </c>
      <c r="E27" s="20" t="s">
        <v>895</v>
      </c>
      <c r="F27" s="21"/>
      <c r="G27" s="22"/>
      <c r="H27" s="22"/>
      <c r="I27" s="29">
        <v>15000.0</v>
      </c>
      <c r="J27" s="29"/>
      <c r="K27" s="37"/>
      <c r="L27" s="24"/>
      <c r="M27" s="22"/>
      <c r="N27" s="24"/>
      <c r="O27" s="22"/>
      <c r="P27" s="25">
        <v>15000.0</v>
      </c>
      <c r="Q27" s="26">
        <f t="shared" si="2"/>
        <v>0</v>
      </c>
      <c r="R27" s="25" t="s">
        <v>28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71">
        <v>24.0</v>
      </c>
      <c r="B28" s="17">
        <v>45620.0</v>
      </c>
      <c r="C28" s="18" t="s">
        <v>896</v>
      </c>
      <c r="D28" s="19">
        <v>84490.0</v>
      </c>
      <c r="E28" s="20" t="s">
        <v>550</v>
      </c>
      <c r="F28" s="21"/>
      <c r="G28" s="22"/>
      <c r="H28" s="22"/>
      <c r="I28" s="29"/>
      <c r="J28" s="29"/>
      <c r="K28" s="37"/>
      <c r="L28" s="24"/>
      <c r="M28" s="22">
        <v>6200.0</v>
      </c>
      <c r="N28" s="24"/>
      <c r="O28" s="22"/>
      <c r="P28" s="25">
        <v>6200.0</v>
      </c>
      <c r="Q28" s="26">
        <f t="shared" si="2"/>
        <v>0</v>
      </c>
      <c r="R28" s="25" t="s">
        <v>28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71">
        <v>25.0</v>
      </c>
      <c r="B29" s="17">
        <v>45620.0</v>
      </c>
      <c r="C29" s="18" t="s">
        <v>897</v>
      </c>
      <c r="D29" s="19">
        <v>84490.0</v>
      </c>
      <c r="E29" s="20" t="s">
        <v>550</v>
      </c>
      <c r="F29" s="21"/>
      <c r="G29" s="22"/>
      <c r="H29" s="22"/>
      <c r="I29" s="29"/>
      <c r="J29" s="29"/>
      <c r="K29" s="37"/>
      <c r="L29" s="24"/>
      <c r="M29" s="22">
        <v>129.0</v>
      </c>
      <c r="N29" s="24"/>
      <c r="O29" s="22"/>
      <c r="P29" s="25">
        <v>129.0</v>
      </c>
      <c r="Q29" s="26">
        <f t="shared" si="2"/>
        <v>0</v>
      </c>
      <c r="R29" s="25" t="s">
        <v>28</v>
      </c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71">
        <v>26.0</v>
      </c>
      <c r="B30" s="17">
        <v>45620.0</v>
      </c>
      <c r="C30" s="18" t="s">
        <v>898</v>
      </c>
      <c r="D30" s="19">
        <v>84490.0</v>
      </c>
      <c r="E30" s="20" t="s">
        <v>550</v>
      </c>
      <c r="F30" s="21"/>
      <c r="G30" s="22"/>
      <c r="H30" s="22"/>
      <c r="I30" s="29"/>
      <c r="J30" s="29"/>
      <c r="K30" s="37"/>
      <c r="L30" s="24"/>
      <c r="M30" s="22">
        <v>548.0</v>
      </c>
      <c r="N30" s="24"/>
      <c r="O30" s="22"/>
      <c r="P30" s="25">
        <v>548.0</v>
      </c>
      <c r="Q30" s="26">
        <f t="shared" si="2"/>
        <v>0</v>
      </c>
      <c r="R30" s="25" t="s">
        <v>28</v>
      </c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71">
        <v>27.0</v>
      </c>
      <c r="B31" s="17">
        <v>45620.0</v>
      </c>
      <c r="C31" s="18" t="s">
        <v>899</v>
      </c>
      <c r="D31" s="19">
        <v>84683.0</v>
      </c>
      <c r="E31" s="20" t="s">
        <v>81</v>
      </c>
      <c r="F31" s="29">
        <v>100.0</v>
      </c>
      <c r="G31" s="22"/>
      <c r="H31" s="22"/>
      <c r="I31" s="29"/>
      <c r="J31" s="29"/>
      <c r="K31" s="37"/>
      <c r="L31" s="24"/>
      <c r="M31" s="22"/>
      <c r="N31" s="24"/>
      <c r="O31" s="22"/>
      <c r="P31" s="25">
        <v>100.0</v>
      </c>
      <c r="Q31" s="26">
        <f t="shared" si="2"/>
        <v>0</v>
      </c>
      <c r="R31" s="25" t="s">
        <v>28</v>
      </c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7.5" customHeight="1">
      <c r="A32" s="71"/>
      <c r="B32" s="50"/>
      <c r="C32" s="51"/>
      <c r="D32" s="52" t="s">
        <v>123</v>
      </c>
      <c r="E32" s="53"/>
      <c r="F32" s="54">
        <f>SUM(F6:F31)</f>
        <v>1899</v>
      </c>
      <c r="G32" s="54">
        <f>SUM(G5:G31)</f>
        <v>12700</v>
      </c>
      <c r="H32" s="54">
        <f>SUM(H5:H20)</f>
        <v>0</v>
      </c>
      <c r="I32" s="54">
        <f t="shared" ref="I32:J32" si="3">SUM(I5:I31)</f>
        <v>45900</v>
      </c>
      <c r="J32" s="54">
        <f t="shared" si="3"/>
        <v>19850</v>
      </c>
      <c r="K32" s="54">
        <f t="shared" ref="K32:L32" si="4">SUM(K5:K20)</f>
        <v>0</v>
      </c>
      <c r="L32" s="54">
        <f t="shared" si="4"/>
        <v>0</v>
      </c>
      <c r="M32" s="54">
        <f>SUM(M5:M31)</f>
        <v>11877</v>
      </c>
      <c r="N32" s="54">
        <f t="shared" ref="N32:O32" si="5">SUM(N5:N20)</f>
        <v>0</v>
      </c>
      <c r="O32" s="54">
        <f t="shared" si="5"/>
        <v>0</v>
      </c>
      <c r="P32" s="54">
        <f>SUM(P5:P31)</f>
        <v>92226</v>
      </c>
      <c r="Q32" s="55"/>
      <c r="R32" s="56"/>
      <c r="S32" s="27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</row>
    <row r="33" ht="58.5" customHeight="1">
      <c r="A33" s="57"/>
      <c r="B33" s="57"/>
      <c r="C33" s="58"/>
      <c r="D33" s="57"/>
      <c r="E33" s="57"/>
      <c r="F33" s="59">
        <f>F32+G32+H32+I32+J32+K32+L32+M32+N32+O32</f>
        <v>92226</v>
      </c>
      <c r="P33" s="60"/>
      <c r="Q33" s="60"/>
      <c r="R33" s="57"/>
      <c r="S33" s="57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</row>
    <row r="34" ht="15.75" customHeight="1">
      <c r="A34" s="4"/>
      <c r="B34" s="4"/>
      <c r="C34" s="6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61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62" t="s">
        <v>123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61"/>
      <c r="D37" s="4"/>
      <c r="E37" s="63" t="s">
        <v>124</v>
      </c>
      <c r="F37" s="64" t="s">
        <v>125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61"/>
      <c r="D38" s="4"/>
      <c r="E38" s="65" t="s">
        <v>126</v>
      </c>
      <c r="F38" s="64" t="s">
        <v>525</v>
      </c>
      <c r="G38" s="4"/>
      <c r="H38" s="4"/>
      <c r="I38" s="4"/>
      <c r="J38" s="4"/>
      <c r="K38" s="4"/>
      <c r="L38" s="4"/>
      <c r="M38" s="4"/>
      <c r="N38" s="4"/>
      <c r="O38" s="66" t="s">
        <v>123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61"/>
      <c r="D39" s="4"/>
      <c r="E39" s="65" t="s">
        <v>128</v>
      </c>
      <c r="F39" s="64" t="s">
        <v>129</v>
      </c>
      <c r="G39" s="4"/>
      <c r="H39" s="4"/>
      <c r="I39" s="67" t="s">
        <v>250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61"/>
      <c r="D40" s="4"/>
      <c r="E40" s="65" t="s">
        <v>130</v>
      </c>
      <c r="F40" s="64" t="s">
        <v>378</v>
      </c>
      <c r="G40" s="4"/>
      <c r="H40" s="4"/>
      <c r="I40" s="4"/>
      <c r="J40" s="4"/>
      <c r="K40" s="67" t="s">
        <v>123</v>
      </c>
      <c r="L40" s="67" t="s">
        <v>123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61"/>
      <c r="D41" s="4"/>
      <c r="E41" s="65" t="s">
        <v>131</v>
      </c>
      <c r="F41" s="64" t="s">
        <v>900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61"/>
      <c r="D42" s="4"/>
      <c r="E42" s="65" t="s">
        <v>901</v>
      </c>
      <c r="F42" s="64" t="s">
        <v>378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61"/>
      <c r="D43" s="4"/>
      <c r="E43" s="65" t="s">
        <v>134</v>
      </c>
      <c r="F43" s="64" t="s">
        <v>838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61"/>
      <c r="D44" s="4"/>
      <c r="E44" s="65" t="s">
        <v>135</v>
      </c>
      <c r="F44" s="68" t="s">
        <v>125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66" t="s">
        <v>123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61"/>
      <c r="D45" s="4"/>
      <c r="E45" s="4"/>
      <c r="F45" s="4"/>
      <c r="G45" s="4"/>
      <c r="H45" s="4"/>
      <c r="I45" s="4"/>
      <c r="J45" s="4"/>
      <c r="K45" s="4" t="str">
        <f>I72432</f>
        <v/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6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6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6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6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6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6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1"/>
      <c r="D52" s="4"/>
      <c r="E52" s="4"/>
      <c r="F52" s="4"/>
      <c r="G52" s="4"/>
      <c r="H52" s="4"/>
      <c r="I52" s="66" t="s">
        <v>136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1"/>
      <c r="D67" s="4"/>
      <c r="E67" s="4"/>
      <c r="F67" s="4"/>
      <c r="G67" s="4"/>
      <c r="H67" s="4"/>
      <c r="I67" s="4"/>
      <c r="J67" s="4"/>
      <c r="K67" s="4"/>
      <c r="L67" s="4"/>
      <c r="M67" s="4">
        <v>7.0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17">
    <mergeCell ref="R2:R4"/>
    <mergeCell ref="S2:S4"/>
    <mergeCell ref="F3:F4"/>
    <mergeCell ref="G3:H3"/>
    <mergeCell ref="I3:J3"/>
    <mergeCell ref="K3:K4"/>
    <mergeCell ref="F33:O33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5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20.6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902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71">
        <v>1.0</v>
      </c>
      <c r="B5" s="17">
        <v>45620.0</v>
      </c>
      <c r="C5" s="18" t="s">
        <v>903</v>
      </c>
      <c r="D5" s="19">
        <v>57499.0</v>
      </c>
      <c r="E5" s="20" t="s">
        <v>201</v>
      </c>
      <c r="F5" s="24"/>
      <c r="G5" s="22"/>
      <c r="H5" s="22"/>
      <c r="I5" s="29">
        <v>900.0</v>
      </c>
      <c r="J5" s="29"/>
      <c r="K5" s="22"/>
      <c r="L5" s="24"/>
      <c r="M5" s="29"/>
      <c r="N5" s="24"/>
      <c r="O5" s="24"/>
      <c r="P5" s="25">
        <v>900.0</v>
      </c>
      <c r="Q5" s="26">
        <f t="shared" ref="Q5:Q18" si="1">F5+G5+H5+I5+J5+K5+L5+M5+N5+O5-P5</f>
        <v>0</v>
      </c>
      <c r="R5" s="82" t="s">
        <v>28</v>
      </c>
      <c r="S5" s="30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71">
        <v>2.0</v>
      </c>
      <c r="B6" s="17">
        <v>45621.0</v>
      </c>
      <c r="C6" s="18" t="s">
        <v>904</v>
      </c>
      <c r="D6" s="19">
        <v>62146.0</v>
      </c>
      <c r="E6" s="20" t="s">
        <v>421</v>
      </c>
      <c r="F6" s="24"/>
      <c r="G6" s="24"/>
      <c r="H6" s="22"/>
      <c r="I6" s="29">
        <v>950.0</v>
      </c>
      <c r="J6" s="29"/>
      <c r="K6" s="24"/>
      <c r="L6" s="24"/>
      <c r="M6" s="29"/>
      <c r="N6" s="24"/>
      <c r="O6" s="22"/>
      <c r="P6" s="25">
        <v>950.0</v>
      </c>
      <c r="Q6" s="26">
        <f t="shared" si="1"/>
        <v>0</v>
      </c>
      <c r="R6" s="25" t="s">
        <v>25</v>
      </c>
      <c r="S6" s="30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71">
        <v>3.0</v>
      </c>
      <c r="B7" s="17">
        <v>45621.0</v>
      </c>
      <c r="C7" s="18" t="s">
        <v>905</v>
      </c>
      <c r="D7" s="19">
        <v>73522.0</v>
      </c>
      <c r="E7" s="20" t="s">
        <v>906</v>
      </c>
      <c r="F7" s="22"/>
      <c r="G7" s="24"/>
      <c r="H7" s="22"/>
      <c r="I7" s="29">
        <v>10000.0</v>
      </c>
      <c r="J7" s="29"/>
      <c r="K7" s="22"/>
      <c r="L7" s="24"/>
      <c r="M7" s="29"/>
      <c r="N7" s="24"/>
      <c r="O7" s="24"/>
      <c r="P7" s="25">
        <v>10000.0</v>
      </c>
      <c r="Q7" s="26">
        <f t="shared" si="1"/>
        <v>0</v>
      </c>
      <c r="R7" s="25" t="s">
        <v>28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71">
        <v>4.0</v>
      </c>
      <c r="B8" s="17">
        <v>45621.0</v>
      </c>
      <c r="C8" s="18" t="s">
        <v>907</v>
      </c>
      <c r="D8" s="19">
        <v>30525.0</v>
      </c>
      <c r="E8" s="20" t="s">
        <v>908</v>
      </c>
      <c r="F8" s="22"/>
      <c r="G8" s="22"/>
      <c r="H8" s="22"/>
      <c r="I8" s="29"/>
      <c r="J8" s="29">
        <v>8040.0</v>
      </c>
      <c r="K8" s="22"/>
      <c r="L8" s="24"/>
      <c r="M8" s="29"/>
      <c r="N8" s="24"/>
      <c r="O8" s="24"/>
      <c r="P8" s="25">
        <v>8040.0</v>
      </c>
      <c r="Q8" s="26">
        <f t="shared" si="1"/>
        <v>0</v>
      </c>
      <c r="R8" s="25" t="s">
        <v>38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71">
        <v>5.0</v>
      </c>
      <c r="B9" s="17">
        <v>45621.0</v>
      </c>
      <c r="C9" s="18" t="s">
        <v>909</v>
      </c>
      <c r="D9" s="19">
        <v>83997.0</v>
      </c>
      <c r="E9" s="20" t="s">
        <v>910</v>
      </c>
      <c r="F9" s="22"/>
      <c r="G9" s="24"/>
      <c r="H9" s="22"/>
      <c r="I9" s="29"/>
      <c r="J9" s="29"/>
      <c r="K9" s="22">
        <v>100000.0</v>
      </c>
      <c r="L9" s="24"/>
      <c r="M9" s="29"/>
      <c r="N9" s="24"/>
      <c r="O9" s="24"/>
      <c r="P9" s="25">
        <v>100000.0</v>
      </c>
      <c r="Q9" s="26">
        <f t="shared" si="1"/>
        <v>0</v>
      </c>
      <c r="R9" s="25" t="s">
        <v>25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71">
        <v>6.0</v>
      </c>
      <c r="B10" s="17">
        <v>45621.0</v>
      </c>
      <c r="C10" s="18" t="s">
        <v>911</v>
      </c>
      <c r="D10" s="19">
        <v>62146.0</v>
      </c>
      <c r="E10" s="20" t="s">
        <v>421</v>
      </c>
      <c r="F10" s="22"/>
      <c r="G10" s="24"/>
      <c r="H10" s="22"/>
      <c r="I10" s="29">
        <v>500.0</v>
      </c>
      <c r="J10" s="29"/>
      <c r="K10" s="22"/>
      <c r="L10" s="24"/>
      <c r="M10" s="29"/>
      <c r="N10" s="24"/>
      <c r="O10" s="24"/>
      <c r="P10" s="25">
        <v>500.0</v>
      </c>
      <c r="Q10" s="26">
        <f t="shared" si="1"/>
        <v>0</v>
      </c>
      <c r="R10" s="25" t="s">
        <v>38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71">
        <v>7.0</v>
      </c>
      <c r="B11" s="17">
        <v>45621.0</v>
      </c>
      <c r="C11" s="18" t="s">
        <v>912</v>
      </c>
      <c r="D11" s="19">
        <v>21821.0</v>
      </c>
      <c r="E11" s="20" t="s">
        <v>913</v>
      </c>
      <c r="F11" s="22"/>
      <c r="G11" s="24"/>
      <c r="H11" s="22"/>
      <c r="I11" s="29"/>
      <c r="J11" s="29"/>
      <c r="K11" s="22">
        <v>219000.0</v>
      </c>
      <c r="L11" s="24"/>
      <c r="M11" s="29"/>
      <c r="N11" s="24"/>
      <c r="O11" s="24"/>
      <c r="P11" s="25">
        <v>219000.0</v>
      </c>
      <c r="Q11" s="26">
        <f t="shared" si="1"/>
        <v>0</v>
      </c>
      <c r="R11" s="25" t="s">
        <v>25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71">
        <v>8.0</v>
      </c>
      <c r="B12" s="17">
        <v>45621.0</v>
      </c>
      <c r="C12" s="18" t="s">
        <v>914</v>
      </c>
      <c r="D12" s="19">
        <v>79652.0</v>
      </c>
      <c r="E12" s="20" t="s">
        <v>915</v>
      </c>
      <c r="F12" s="22"/>
      <c r="G12" s="24"/>
      <c r="H12" s="22"/>
      <c r="I12" s="29">
        <v>5100.0</v>
      </c>
      <c r="J12" s="29"/>
      <c r="K12" s="22"/>
      <c r="L12" s="24"/>
      <c r="M12" s="29"/>
      <c r="N12" s="24"/>
      <c r="O12" s="24"/>
      <c r="P12" s="25">
        <v>5100.0</v>
      </c>
      <c r="Q12" s="26">
        <f t="shared" si="1"/>
        <v>0</v>
      </c>
      <c r="R12" s="25" t="s">
        <v>38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71">
        <v>9.0</v>
      </c>
      <c r="B13" s="17">
        <v>45621.0</v>
      </c>
      <c r="C13" s="18" t="s">
        <v>916</v>
      </c>
      <c r="D13" s="19">
        <v>69346.0</v>
      </c>
      <c r="E13" s="20" t="s">
        <v>917</v>
      </c>
      <c r="F13" s="22"/>
      <c r="G13" s="22"/>
      <c r="H13" s="22"/>
      <c r="I13" s="29">
        <v>8150.0</v>
      </c>
      <c r="J13" s="29"/>
      <c r="K13" s="22"/>
      <c r="L13" s="24"/>
      <c r="M13" s="29"/>
      <c r="N13" s="24"/>
      <c r="O13" s="24"/>
      <c r="P13" s="25">
        <v>8150.0</v>
      </c>
      <c r="Q13" s="26">
        <f t="shared" si="1"/>
        <v>0</v>
      </c>
      <c r="R13" s="25" t="s">
        <v>38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71">
        <v>10.0</v>
      </c>
      <c r="B14" s="17">
        <v>45621.0</v>
      </c>
      <c r="C14" s="18" t="s">
        <v>918</v>
      </c>
      <c r="D14" s="19">
        <v>81915.0</v>
      </c>
      <c r="E14" s="20" t="s">
        <v>919</v>
      </c>
      <c r="F14" s="22">
        <v>258.0</v>
      </c>
      <c r="G14" s="22"/>
      <c r="H14" s="22"/>
      <c r="I14" s="29"/>
      <c r="J14" s="29"/>
      <c r="K14" s="22"/>
      <c r="L14" s="24"/>
      <c r="M14" s="29"/>
      <c r="N14" s="24"/>
      <c r="O14" s="22"/>
      <c r="P14" s="25">
        <v>258.0</v>
      </c>
      <c r="Q14" s="26">
        <f t="shared" si="1"/>
        <v>0</v>
      </c>
      <c r="R14" s="25" t="s">
        <v>35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71">
        <v>11.0</v>
      </c>
      <c r="B15" s="17">
        <v>45621.0</v>
      </c>
      <c r="C15" s="18" t="s">
        <v>920</v>
      </c>
      <c r="D15" s="19">
        <v>52509.0</v>
      </c>
      <c r="E15" s="20" t="s">
        <v>921</v>
      </c>
      <c r="F15" s="21"/>
      <c r="G15" s="22"/>
      <c r="H15" s="24"/>
      <c r="I15" s="29">
        <v>2600.0</v>
      </c>
      <c r="J15" s="29"/>
      <c r="K15" s="37"/>
      <c r="L15" s="24"/>
      <c r="M15" s="22"/>
      <c r="N15" s="24"/>
      <c r="O15" s="22"/>
      <c r="P15" s="25">
        <v>2600.0</v>
      </c>
      <c r="Q15" s="26">
        <f t="shared" si="1"/>
        <v>0</v>
      </c>
      <c r="R15" s="25" t="s">
        <v>38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71">
        <v>12.0</v>
      </c>
      <c r="B16" s="17">
        <v>45621.0</v>
      </c>
      <c r="C16" s="18" t="s">
        <v>922</v>
      </c>
      <c r="D16" s="19">
        <v>49676.0</v>
      </c>
      <c r="E16" s="20" t="s">
        <v>923</v>
      </c>
      <c r="F16" s="21"/>
      <c r="G16" s="22"/>
      <c r="H16" s="22"/>
      <c r="I16" s="29">
        <v>2600.0</v>
      </c>
      <c r="J16" s="29"/>
      <c r="K16" s="37"/>
      <c r="L16" s="24"/>
      <c r="M16" s="24"/>
      <c r="N16" s="24"/>
      <c r="O16" s="22"/>
      <c r="P16" s="25">
        <v>2600.0</v>
      </c>
      <c r="Q16" s="26">
        <f t="shared" si="1"/>
        <v>0</v>
      </c>
      <c r="R16" s="25" t="s">
        <v>38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71">
        <v>13.0</v>
      </c>
      <c r="B17" s="17">
        <v>45621.0</v>
      </c>
      <c r="C17" s="18" t="s">
        <v>924</v>
      </c>
      <c r="D17" s="19">
        <v>30909.0</v>
      </c>
      <c r="E17" s="20" t="s">
        <v>368</v>
      </c>
      <c r="F17" s="21"/>
      <c r="G17" s="22"/>
      <c r="H17" s="22">
        <v>1500.0</v>
      </c>
      <c r="I17" s="29"/>
      <c r="J17" s="21"/>
      <c r="K17" s="37"/>
      <c r="L17" s="24"/>
      <c r="M17" s="22"/>
      <c r="N17" s="24"/>
      <c r="O17" s="22"/>
      <c r="P17" s="25">
        <v>1500.0</v>
      </c>
      <c r="Q17" s="26">
        <f t="shared" si="1"/>
        <v>0</v>
      </c>
      <c r="R17" s="25"/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71">
        <v>14.0</v>
      </c>
      <c r="B18" s="17">
        <v>45621.0</v>
      </c>
      <c r="C18" s="18" t="s">
        <v>925</v>
      </c>
      <c r="D18" s="19">
        <v>21828.0</v>
      </c>
      <c r="E18" s="20" t="s">
        <v>112</v>
      </c>
      <c r="F18" s="29"/>
      <c r="G18" s="22"/>
      <c r="H18" s="24"/>
      <c r="I18" s="29"/>
      <c r="J18" s="21"/>
      <c r="K18" s="37">
        <v>2500.0</v>
      </c>
      <c r="L18" s="24"/>
      <c r="M18" s="22"/>
      <c r="N18" s="24"/>
      <c r="O18" s="22"/>
      <c r="P18" s="25">
        <v>2500.0</v>
      </c>
      <c r="Q18" s="26">
        <f t="shared" si="1"/>
        <v>0</v>
      </c>
      <c r="R18" s="25"/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71"/>
      <c r="B19" s="17"/>
      <c r="C19" s="18"/>
      <c r="D19" s="19"/>
      <c r="E19" s="20"/>
      <c r="F19" s="29"/>
      <c r="G19" s="22"/>
      <c r="H19" s="22"/>
      <c r="I19" s="29"/>
      <c r="J19" s="29"/>
      <c r="K19" s="37"/>
      <c r="L19" s="24"/>
      <c r="M19" s="22"/>
      <c r="N19" s="24"/>
      <c r="O19" s="22"/>
      <c r="P19" s="25"/>
      <c r="Q19" s="26"/>
      <c r="R19" s="25"/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7.5" customHeight="1">
      <c r="A20" s="71"/>
      <c r="B20" s="50"/>
      <c r="C20" s="51"/>
      <c r="D20" s="52" t="s">
        <v>123</v>
      </c>
      <c r="E20" s="53"/>
      <c r="F20" s="54">
        <f>SUM(F6:F19)</f>
        <v>258</v>
      </c>
      <c r="G20" s="54">
        <f>SUM(G5:G19)</f>
        <v>0</v>
      </c>
      <c r="H20" s="54">
        <f>SUM(H5:H18)</f>
        <v>1500</v>
      </c>
      <c r="I20" s="54">
        <f t="shared" ref="I20:J20" si="2">SUM(I5:I19)</f>
        <v>30800</v>
      </c>
      <c r="J20" s="54">
        <f t="shared" si="2"/>
        <v>8040</v>
      </c>
      <c r="K20" s="54">
        <f t="shared" ref="K20:L20" si="3">SUM(K5:K18)</f>
        <v>321500</v>
      </c>
      <c r="L20" s="54">
        <f t="shared" si="3"/>
        <v>0</v>
      </c>
      <c r="M20" s="54">
        <f>SUM(M5:M19)</f>
        <v>0</v>
      </c>
      <c r="N20" s="54">
        <f t="shared" ref="N20:O20" si="4">SUM(N5:N18)</f>
        <v>0</v>
      </c>
      <c r="O20" s="54">
        <f t="shared" si="4"/>
        <v>0</v>
      </c>
      <c r="P20" s="54">
        <f>SUM(P5:P19)</f>
        <v>362098</v>
      </c>
      <c r="Q20" s="55"/>
      <c r="R20" s="56"/>
      <c r="S20" s="27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</row>
    <row r="21" ht="58.5" customHeight="1">
      <c r="A21" s="57"/>
      <c r="B21" s="57"/>
      <c r="C21" s="58"/>
      <c r="D21" s="57"/>
      <c r="E21" s="57"/>
      <c r="F21" s="59">
        <f>F20+G20+H20+I20+J20+K20+L20+M20+N20+O20</f>
        <v>362098</v>
      </c>
      <c r="P21" s="60"/>
      <c r="Q21" s="60"/>
      <c r="R21" s="57"/>
      <c r="S21" s="57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</row>
    <row r="22" ht="15.75" customHeight="1">
      <c r="A22" s="4"/>
      <c r="B22" s="4"/>
      <c r="C22" s="61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26.25" customHeight="1">
      <c r="A23" s="4"/>
      <c r="B23" s="4"/>
      <c r="C23" s="6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26.25" customHeight="1">
      <c r="A24" s="4"/>
      <c r="B24" s="4"/>
      <c r="C24" s="62" t="s">
        <v>123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26.25" customHeight="1">
      <c r="A25" s="4"/>
      <c r="B25" s="4"/>
      <c r="C25" s="61"/>
      <c r="D25" s="4"/>
      <c r="E25" s="63" t="s">
        <v>124</v>
      </c>
      <c r="F25" s="64" t="s">
        <v>125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26.25" customHeight="1">
      <c r="A26" s="4"/>
      <c r="B26" s="4"/>
      <c r="C26" s="61"/>
      <c r="D26" s="4"/>
      <c r="E26" s="65" t="s">
        <v>126</v>
      </c>
      <c r="F26" s="64" t="s">
        <v>525</v>
      </c>
      <c r="G26" s="4"/>
      <c r="H26" s="4"/>
      <c r="I26" s="4"/>
      <c r="J26" s="4"/>
      <c r="K26" s="4"/>
      <c r="L26" s="4"/>
      <c r="M26" s="4"/>
      <c r="N26" s="4"/>
      <c r="O26" s="66" t="s">
        <v>123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26.25" customHeight="1">
      <c r="A27" s="4"/>
      <c r="B27" s="4"/>
      <c r="C27" s="61"/>
      <c r="D27" s="4"/>
      <c r="E27" s="65" t="s">
        <v>128</v>
      </c>
      <c r="F27" s="64" t="s">
        <v>159</v>
      </c>
      <c r="G27" s="4"/>
      <c r="H27" s="4"/>
      <c r="I27" s="67" t="s">
        <v>250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26.25" customHeight="1">
      <c r="A28" s="4"/>
      <c r="B28" s="4"/>
      <c r="C28" s="61"/>
      <c r="D28" s="4"/>
      <c r="E28" s="65" t="s">
        <v>130</v>
      </c>
      <c r="F28" s="64" t="s">
        <v>378</v>
      </c>
      <c r="G28" s="4"/>
      <c r="H28" s="4"/>
      <c r="I28" s="4"/>
      <c r="J28" s="4"/>
      <c r="K28" s="67" t="s">
        <v>123</v>
      </c>
      <c r="L28" s="67" t="s">
        <v>123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26.25" customHeight="1">
      <c r="A29" s="4"/>
      <c r="B29" s="4"/>
      <c r="C29" s="61"/>
      <c r="D29" s="4"/>
      <c r="E29" s="65" t="s">
        <v>131</v>
      </c>
      <c r="F29" s="64" t="s">
        <v>378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26.25" customHeight="1">
      <c r="A30" s="4"/>
      <c r="B30" s="4"/>
      <c r="C30" s="61"/>
      <c r="D30" s="4"/>
      <c r="E30" s="65" t="s">
        <v>926</v>
      </c>
      <c r="F30" s="64" t="s">
        <v>378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26.25" customHeight="1">
      <c r="A31" s="4"/>
      <c r="B31" s="4"/>
      <c r="C31" s="61"/>
      <c r="D31" s="4"/>
      <c r="E31" s="65" t="s">
        <v>134</v>
      </c>
      <c r="F31" s="64" t="s">
        <v>838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26.25" customHeight="1">
      <c r="A32" s="4"/>
      <c r="B32" s="4"/>
      <c r="C32" s="61"/>
      <c r="D32" s="4"/>
      <c r="E32" s="65" t="s">
        <v>135</v>
      </c>
      <c r="F32" s="68" t="s">
        <v>125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66" t="s">
        <v>123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26.25" customHeight="1">
      <c r="A33" s="4"/>
      <c r="B33" s="4"/>
      <c r="C33" s="61"/>
      <c r="D33" s="4"/>
      <c r="E33" s="4"/>
      <c r="F33" s="4"/>
      <c r="G33" s="4"/>
      <c r="H33" s="4"/>
      <c r="I33" s="4"/>
      <c r="J33" s="4"/>
      <c r="K33" s="4" t="str">
        <f>I72420</f>
        <v/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6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15.75" customHeight="1">
      <c r="A35" s="4"/>
      <c r="B35" s="4"/>
      <c r="C35" s="61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15.75" customHeight="1">
      <c r="A36" s="4"/>
      <c r="B36" s="4"/>
      <c r="C36" s="61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15.75" customHeight="1">
      <c r="A37" s="4"/>
      <c r="B37" s="4"/>
      <c r="C37" s="61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15.75" customHeight="1">
      <c r="A38" s="4"/>
      <c r="B38" s="4"/>
      <c r="C38" s="61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15.75" customHeight="1">
      <c r="A39" s="4"/>
      <c r="B39" s="4"/>
      <c r="C39" s="61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15.75" customHeight="1">
      <c r="A40" s="4"/>
      <c r="B40" s="4"/>
      <c r="C40" s="61"/>
      <c r="D40" s="4"/>
      <c r="E40" s="4"/>
      <c r="F40" s="4"/>
      <c r="G40" s="4"/>
      <c r="H40" s="4"/>
      <c r="I40" s="66" t="s">
        <v>136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15.75" customHeight="1">
      <c r="A41" s="4"/>
      <c r="B41" s="4"/>
      <c r="C41" s="61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15.75" customHeight="1">
      <c r="A42" s="4"/>
      <c r="B42" s="4"/>
      <c r="C42" s="61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15.75" customHeight="1">
      <c r="A43" s="4"/>
      <c r="B43" s="4"/>
      <c r="C43" s="61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15.75" customHeight="1">
      <c r="A44" s="4"/>
      <c r="B44" s="4"/>
      <c r="C44" s="6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15.75" customHeight="1">
      <c r="A45" s="4"/>
      <c r="B45" s="4"/>
      <c r="C45" s="6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6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6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6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6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6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6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1"/>
      <c r="D55" s="4"/>
      <c r="E55" s="4"/>
      <c r="F55" s="4"/>
      <c r="G55" s="4"/>
      <c r="H55" s="4"/>
      <c r="I55" s="4"/>
      <c r="J55" s="4"/>
      <c r="K55" s="4"/>
      <c r="L55" s="4"/>
      <c r="M55" s="4">
        <v>7.0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mergeCells count="17">
    <mergeCell ref="R2:R4"/>
    <mergeCell ref="S2:S4"/>
    <mergeCell ref="F3:F4"/>
    <mergeCell ref="G3:H3"/>
    <mergeCell ref="I3:J3"/>
    <mergeCell ref="K3:K4"/>
    <mergeCell ref="F21:O21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5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20.6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927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71">
        <v>1.0</v>
      </c>
      <c r="B5" s="17">
        <v>45621.0</v>
      </c>
      <c r="C5" s="18" t="s">
        <v>928</v>
      </c>
      <c r="D5" s="19">
        <v>57499.0</v>
      </c>
      <c r="E5" s="20" t="s">
        <v>201</v>
      </c>
      <c r="F5" s="24"/>
      <c r="G5" s="22"/>
      <c r="H5" s="22"/>
      <c r="I5" s="29"/>
      <c r="J5" s="29"/>
      <c r="K5" s="22"/>
      <c r="L5" s="24"/>
      <c r="M5" s="29">
        <v>1200.0</v>
      </c>
      <c r="N5" s="24"/>
      <c r="O5" s="24"/>
      <c r="P5" s="25">
        <v>1200.0</v>
      </c>
      <c r="Q5" s="26">
        <f t="shared" ref="Q5:Q35" si="1">F5+G5+H5+I5+J5+K5+L5+M5+N5+O5-P5</f>
        <v>0</v>
      </c>
      <c r="R5" s="82" t="s">
        <v>28</v>
      </c>
      <c r="S5" s="30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71">
        <v>2.0</v>
      </c>
      <c r="B6" s="17">
        <v>45621.0</v>
      </c>
      <c r="C6" s="18" t="s">
        <v>929</v>
      </c>
      <c r="D6" s="19">
        <v>22332.0</v>
      </c>
      <c r="E6" s="20" t="s">
        <v>217</v>
      </c>
      <c r="F6" s="24"/>
      <c r="G6" s="24"/>
      <c r="H6" s="22"/>
      <c r="I6" s="29">
        <v>3735.0</v>
      </c>
      <c r="J6" s="29"/>
      <c r="K6" s="22">
        <v>1365.0</v>
      </c>
      <c r="L6" s="24"/>
      <c r="M6" s="29"/>
      <c r="N6" s="24"/>
      <c r="O6" s="22"/>
      <c r="P6" s="25">
        <v>5100.0</v>
      </c>
      <c r="Q6" s="26">
        <f t="shared" si="1"/>
        <v>0</v>
      </c>
      <c r="R6" s="25" t="s">
        <v>35</v>
      </c>
      <c r="S6" s="30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71">
        <v>3.0</v>
      </c>
      <c r="B7" s="17">
        <v>45621.0</v>
      </c>
      <c r="C7" s="18" t="s">
        <v>930</v>
      </c>
      <c r="D7" s="19">
        <v>85298.0</v>
      </c>
      <c r="E7" s="20" t="s">
        <v>830</v>
      </c>
      <c r="F7" s="22">
        <v>1000.0</v>
      </c>
      <c r="G7" s="24"/>
      <c r="H7" s="22"/>
      <c r="I7" s="29"/>
      <c r="J7" s="29"/>
      <c r="K7" s="22"/>
      <c r="L7" s="24"/>
      <c r="M7" s="29"/>
      <c r="N7" s="24"/>
      <c r="O7" s="24"/>
      <c r="P7" s="25">
        <v>1000.0</v>
      </c>
      <c r="Q7" s="26">
        <f t="shared" si="1"/>
        <v>0</v>
      </c>
      <c r="R7" s="25" t="s">
        <v>28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71">
        <v>4.0</v>
      </c>
      <c r="B8" s="17">
        <v>45622.0</v>
      </c>
      <c r="C8" s="18" t="s">
        <v>931</v>
      </c>
      <c r="D8" s="19">
        <v>47576.0</v>
      </c>
      <c r="E8" s="20" t="s">
        <v>750</v>
      </c>
      <c r="F8" s="22"/>
      <c r="G8" s="22"/>
      <c r="H8" s="22"/>
      <c r="I8" s="29">
        <v>3500.0</v>
      </c>
      <c r="J8" s="29"/>
      <c r="K8" s="22"/>
      <c r="L8" s="24"/>
      <c r="M8" s="29"/>
      <c r="N8" s="24"/>
      <c r="O8" s="24"/>
      <c r="P8" s="25">
        <v>3500.0</v>
      </c>
      <c r="Q8" s="26">
        <f t="shared" si="1"/>
        <v>0</v>
      </c>
      <c r="R8" s="25" t="s">
        <v>28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71">
        <v>5.0</v>
      </c>
      <c r="B9" s="17">
        <v>45622.0</v>
      </c>
      <c r="C9" s="18" t="s">
        <v>932</v>
      </c>
      <c r="D9" s="19">
        <v>62146.0</v>
      </c>
      <c r="E9" s="20" t="s">
        <v>421</v>
      </c>
      <c r="F9" s="22"/>
      <c r="G9" s="24"/>
      <c r="H9" s="22"/>
      <c r="I9" s="29">
        <v>450.0</v>
      </c>
      <c r="J9" s="29"/>
      <c r="K9" s="22"/>
      <c r="L9" s="24"/>
      <c r="M9" s="29"/>
      <c r="N9" s="24"/>
      <c r="O9" s="24"/>
      <c r="P9" s="25">
        <v>450.0</v>
      </c>
      <c r="Q9" s="26">
        <f t="shared" si="1"/>
        <v>0</v>
      </c>
      <c r="R9" s="25" t="s">
        <v>25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71">
        <v>6.0</v>
      </c>
      <c r="B10" s="17">
        <v>45622.0</v>
      </c>
      <c r="C10" s="18" t="s">
        <v>933</v>
      </c>
      <c r="D10" s="19">
        <v>28860.0</v>
      </c>
      <c r="E10" s="20" t="s">
        <v>934</v>
      </c>
      <c r="F10" s="22"/>
      <c r="G10" s="24"/>
      <c r="H10" s="22"/>
      <c r="I10" s="29"/>
      <c r="J10" s="29">
        <v>5100.0</v>
      </c>
      <c r="K10" s="22"/>
      <c r="L10" s="24"/>
      <c r="M10" s="29"/>
      <c r="N10" s="24"/>
      <c r="O10" s="24"/>
      <c r="P10" s="25">
        <v>5100.0</v>
      </c>
      <c r="Q10" s="26">
        <f t="shared" si="1"/>
        <v>0</v>
      </c>
      <c r="R10" s="25" t="s">
        <v>28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71">
        <v>7.0</v>
      </c>
      <c r="B11" s="17">
        <v>45622.0</v>
      </c>
      <c r="C11" s="18" t="s">
        <v>935</v>
      </c>
      <c r="D11" s="19">
        <v>85320.0</v>
      </c>
      <c r="E11" s="20" t="s">
        <v>936</v>
      </c>
      <c r="F11" s="22"/>
      <c r="G11" s="24"/>
      <c r="H11" s="22"/>
      <c r="I11" s="29">
        <v>7000.0</v>
      </c>
      <c r="J11" s="29"/>
      <c r="K11" s="22"/>
      <c r="L11" s="24"/>
      <c r="M11" s="29"/>
      <c r="N11" s="24"/>
      <c r="O11" s="24"/>
      <c r="P11" s="25">
        <v>7000.0</v>
      </c>
      <c r="Q11" s="26">
        <f t="shared" si="1"/>
        <v>0</v>
      </c>
      <c r="R11" s="25" t="s">
        <v>38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71">
        <v>8.0</v>
      </c>
      <c r="B12" s="17">
        <v>45622.0</v>
      </c>
      <c r="C12" s="18" t="s">
        <v>937</v>
      </c>
      <c r="D12" s="19">
        <v>69659.0</v>
      </c>
      <c r="E12" s="20" t="s">
        <v>691</v>
      </c>
      <c r="F12" s="22"/>
      <c r="G12" s="24"/>
      <c r="H12" s="22"/>
      <c r="I12" s="29">
        <v>1450.0</v>
      </c>
      <c r="J12" s="29"/>
      <c r="K12" s="22"/>
      <c r="L12" s="24"/>
      <c r="M12" s="29"/>
      <c r="N12" s="24"/>
      <c r="O12" s="24"/>
      <c r="P12" s="25">
        <v>1450.0</v>
      </c>
      <c r="Q12" s="26">
        <f t="shared" si="1"/>
        <v>0</v>
      </c>
      <c r="R12" s="25" t="s">
        <v>38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71">
        <v>9.0</v>
      </c>
      <c r="B13" s="17">
        <v>45622.0</v>
      </c>
      <c r="C13" s="18" t="s">
        <v>938</v>
      </c>
      <c r="D13" s="19">
        <v>82484.0</v>
      </c>
      <c r="E13" s="20" t="s">
        <v>939</v>
      </c>
      <c r="F13" s="22"/>
      <c r="G13" s="22"/>
      <c r="H13" s="22"/>
      <c r="I13" s="29">
        <v>2600.0</v>
      </c>
      <c r="J13" s="29"/>
      <c r="K13" s="22"/>
      <c r="L13" s="24"/>
      <c r="M13" s="29"/>
      <c r="N13" s="24"/>
      <c r="O13" s="24"/>
      <c r="P13" s="25">
        <v>2600.0</v>
      </c>
      <c r="Q13" s="26">
        <f t="shared" si="1"/>
        <v>0</v>
      </c>
      <c r="R13" s="25" t="s">
        <v>28</v>
      </c>
      <c r="S13" s="27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71">
        <v>10.0</v>
      </c>
      <c r="B14" s="17">
        <v>45622.0</v>
      </c>
      <c r="C14" s="18" t="s">
        <v>940</v>
      </c>
      <c r="D14" s="19">
        <v>29621.0</v>
      </c>
      <c r="E14" s="20" t="s">
        <v>346</v>
      </c>
      <c r="F14" s="22"/>
      <c r="G14" s="22"/>
      <c r="H14" s="22"/>
      <c r="I14" s="29">
        <v>1700.0</v>
      </c>
      <c r="J14" s="29"/>
      <c r="K14" s="22"/>
      <c r="L14" s="24"/>
      <c r="M14" s="29"/>
      <c r="N14" s="24"/>
      <c r="O14" s="22"/>
      <c r="P14" s="25">
        <v>1700.0</v>
      </c>
      <c r="Q14" s="26">
        <f t="shared" si="1"/>
        <v>0</v>
      </c>
      <c r="R14" s="25" t="s">
        <v>38</v>
      </c>
      <c r="S14" s="27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71">
        <v>11.0</v>
      </c>
      <c r="B15" s="17">
        <v>45622.0</v>
      </c>
      <c r="C15" s="18" t="s">
        <v>941</v>
      </c>
      <c r="D15" s="19">
        <v>61445.0</v>
      </c>
      <c r="E15" s="20" t="s">
        <v>491</v>
      </c>
      <c r="F15" s="21"/>
      <c r="G15" s="22"/>
      <c r="H15" s="24"/>
      <c r="I15" s="29">
        <v>5000.0</v>
      </c>
      <c r="J15" s="29"/>
      <c r="K15" s="37"/>
      <c r="L15" s="24"/>
      <c r="M15" s="22"/>
      <c r="N15" s="24"/>
      <c r="O15" s="22"/>
      <c r="P15" s="25">
        <v>5000.0</v>
      </c>
      <c r="Q15" s="26">
        <f t="shared" si="1"/>
        <v>0</v>
      </c>
      <c r="R15" s="25" t="s">
        <v>28</v>
      </c>
      <c r="S15" s="27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71">
        <v>12.0</v>
      </c>
      <c r="B16" s="17">
        <v>45622.0</v>
      </c>
      <c r="C16" s="18" t="s">
        <v>942</v>
      </c>
      <c r="D16" s="19">
        <v>42046.0</v>
      </c>
      <c r="E16" s="20" t="s">
        <v>462</v>
      </c>
      <c r="F16" s="21"/>
      <c r="G16" s="22"/>
      <c r="H16" s="22"/>
      <c r="I16" s="29"/>
      <c r="J16" s="29"/>
      <c r="K16" s="37">
        <v>55600.0</v>
      </c>
      <c r="L16" s="24"/>
      <c r="M16" s="24"/>
      <c r="N16" s="24"/>
      <c r="O16" s="22"/>
      <c r="P16" s="25">
        <v>55600.0</v>
      </c>
      <c r="Q16" s="26">
        <f t="shared" si="1"/>
        <v>0</v>
      </c>
      <c r="R16" s="25" t="s">
        <v>38</v>
      </c>
      <c r="S16" s="27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71">
        <v>13.0</v>
      </c>
      <c r="B17" s="17">
        <v>45622.0</v>
      </c>
      <c r="C17" s="18" t="s">
        <v>943</v>
      </c>
      <c r="D17" s="19">
        <v>21818.0</v>
      </c>
      <c r="E17" s="20" t="s">
        <v>196</v>
      </c>
      <c r="F17" s="21"/>
      <c r="G17" s="22"/>
      <c r="H17" s="22"/>
      <c r="I17" s="29"/>
      <c r="J17" s="21"/>
      <c r="K17" s="37">
        <v>450.0</v>
      </c>
      <c r="L17" s="24"/>
      <c r="M17" s="22"/>
      <c r="N17" s="24"/>
      <c r="O17" s="22"/>
      <c r="P17" s="25">
        <v>450.0</v>
      </c>
      <c r="Q17" s="26">
        <f t="shared" si="1"/>
        <v>0</v>
      </c>
      <c r="R17" s="25" t="s">
        <v>28</v>
      </c>
      <c r="S17" s="27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71">
        <v>14.0</v>
      </c>
      <c r="B18" s="17">
        <v>45622.0</v>
      </c>
      <c r="C18" s="18" t="s">
        <v>944</v>
      </c>
      <c r="D18" s="19">
        <v>70337.0</v>
      </c>
      <c r="E18" s="20" t="s">
        <v>945</v>
      </c>
      <c r="F18" s="29"/>
      <c r="G18" s="22"/>
      <c r="H18" s="24"/>
      <c r="I18" s="29">
        <v>22760.0</v>
      </c>
      <c r="J18" s="21"/>
      <c r="K18" s="37"/>
      <c r="L18" s="24"/>
      <c r="M18" s="22"/>
      <c r="N18" s="24"/>
      <c r="O18" s="22"/>
      <c r="P18" s="25">
        <v>22760.0</v>
      </c>
      <c r="Q18" s="26">
        <f t="shared" si="1"/>
        <v>0</v>
      </c>
      <c r="R18" s="25" t="s">
        <v>38</v>
      </c>
      <c r="S18" s="27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71">
        <v>15.0</v>
      </c>
      <c r="B19" s="17">
        <v>45622.0</v>
      </c>
      <c r="C19" s="18" t="s">
        <v>946</v>
      </c>
      <c r="D19" s="19">
        <v>78238.0</v>
      </c>
      <c r="E19" s="20" t="s">
        <v>269</v>
      </c>
      <c r="F19" s="29"/>
      <c r="G19" s="22"/>
      <c r="H19" s="22"/>
      <c r="I19" s="29">
        <v>4500.0</v>
      </c>
      <c r="J19" s="29"/>
      <c r="K19" s="37"/>
      <c r="L19" s="24"/>
      <c r="M19" s="22"/>
      <c r="N19" s="24"/>
      <c r="O19" s="22"/>
      <c r="P19" s="25">
        <v>4500.0</v>
      </c>
      <c r="Q19" s="26">
        <f t="shared" si="1"/>
        <v>0</v>
      </c>
      <c r="R19" s="25" t="s">
        <v>38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71">
        <v>16.0</v>
      </c>
      <c r="B20" s="17">
        <v>45622.0</v>
      </c>
      <c r="C20" s="18" t="s">
        <v>947</v>
      </c>
      <c r="D20" s="19">
        <v>10697.0</v>
      </c>
      <c r="E20" s="20" t="s">
        <v>948</v>
      </c>
      <c r="F20" s="29">
        <v>150.0</v>
      </c>
      <c r="G20" s="22"/>
      <c r="H20" s="22"/>
      <c r="I20" s="29"/>
      <c r="J20" s="29"/>
      <c r="K20" s="37"/>
      <c r="L20" s="24"/>
      <c r="M20" s="22"/>
      <c r="N20" s="24"/>
      <c r="O20" s="22"/>
      <c r="P20" s="25">
        <v>150.0</v>
      </c>
      <c r="Q20" s="26">
        <f t="shared" si="1"/>
        <v>0</v>
      </c>
      <c r="R20" s="25" t="s">
        <v>25</v>
      </c>
      <c r="S20" s="27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71">
        <v>17.0</v>
      </c>
      <c r="B21" s="17">
        <v>45622.0</v>
      </c>
      <c r="C21" s="18" t="s">
        <v>949</v>
      </c>
      <c r="D21" s="19">
        <v>21818.0</v>
      </c>
      <c r="E21" s="20" t="s">
        <v>196</v>
      </c>
      <c r="F21" s="29"/>
      <c r="G21" s="22"/>
      <c r="H21" s="22"/>
      <c r="I21" s="29"/>
      <c r="J21" s="29"/>
      <c r="K21" s="37">
        <v>34000.0</v>
      </c>
      <c r="L21" s="24"/>
      <c r="M21" s="22"/>
      <c r="N21" s="24"/>
      <c r="O21" s="22"/>
      <c r="P21" s="25">
        <v>34000.0</v>
      </c>
      <c r="Q21" s="26">
        <f t="shared" si="1"/>
        <v>0</v>
      </c>
      <c r="R21" s="25" t="s">
        <v>28</v>
      </c>
      <c r="S21" s="27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71">
        <v>18.0</v>
      </c>
      <c r="B22" s="17">
        <v>45622.0</v>
      </c>
      <c r="C22" s="18" t="s">
        <v>950</v>
      </c>
      <c r="D22" s="19">
        <v>21818.0</v>
      </c>
      <c r="E22" s="20" t="s">
        <v>196</v>
      </c>
      <c r="F22" s="29"/>
      <c r="G22" s="22"/>
      <c r="H22" s="22"/>
      <c r="I22" s="29"/>
      <c r="J22" s="29"/>
      <c r="K22" s="37">
        <v>7650.0</v>
      </c>
      <c r="L22" s="24"/>
      <c r="M22" s="22"/>
      <c r="N22" s="24"/>
      <c r="O22" s="22"/>
      <c r="P22" s="25">
        <v>7650.0</v>
      </c>
      <c r="Q22" s="26">
        <f t="shared" si="1"/>
        <v>0</v>
      </c>
      <c r="R22" s="25" t="s">
        <v>28</v>
      </c>
      <c r="S22" s="27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71">
        <v>19.0</v>
      </c>
      <c r="B23" s="17">
        <v>45622.0</v>
      </c>
      <c r="C23" s="18" t="s">
        <v>951</v>
      </c>
      <c r="D23" s="19">
        <v>29445.0</v>
      </c>
      <c r="E23" s="20" t="s">
        <v>952</v>
      </c>
      <c r="F23" s="29"/>
      <c r="G23" s="22"/>
      <c r="H23" s="22"/>
      <c r="I23" s="29"/>
      <c r="J23" s="29">
        <v>5100.0</v>
      </c>
      <c r="K23" s="37"/>
      <c r="L23" s="24"/>
      <c r="M23" s="22"/>
      <c r="N23" s="24"/>
      <c r="O23" s="22"/>
      <c r="P23" s="25">
        <v>5100.0</v>
      </c>
      <c r="Q23" s="26">
        <f t="shared" si="1"/>
        <v>0</v>
      </c>
      <c r="R23" s="25" t="s">
        <v>25</v>
      </c>
      <c r="S23" s="27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71">
        <v>20.0</v>
      </c>
      <c r="B24" s="17">
        <v>45622.0</v>
      </c>
      <c r="C24" s="18" t="s">
        <v>953</v>
      </c>
      <c r="D24" s="19">
        <v>47540.0</v>
      </c>
      <c r="E24" s="20" t="s">
        <v>954</v>
      </c>
      <c r="F24" s="29"/>
      <c r="G24" s="22"/>
      <c r="H24" s="22"/>
      <c r="I24" s="29">
        <v>2500.0</v>
      </c>
      <c r="J24" s="29"/>
      <c r="K24" s="37"/>
      <c r="L24" s="24"/>
      <c r="M24" s="22"/>
      <c r="N24" s="24"/>
      <c r="O24" s="22"/>
      <c r="P24" s="25">
        <v>2500.0</v>
      </c>
      <c r="Q24" s="26">
        <f t="shared" si="1"/>
        <v>0</v>
      </c>
      <c r="R24" s="25" t="s">
        <v>28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71">
        <v>21.0</v>
      </c>
      <c r="B25" s="17">
        <v>45622.0</v>
      </c>
      <c r="C25" s="18" t="s">
        <v>955</v>
      </c>
      <c r="D25" s="19">
        <v>58936.0</v>
      </c>
      <c r="E25" s="20" t="s">
        <v>956</v>
      </c>
      <c r="F25" s="29"/>
      <c r="G25" s="22"/>
      <c r="H25" s="22"/>
      <c r="I25" s="29"/>
      <c r="J25" s="29">
        <v>2600.0</v>
      </c>
      <c r="K25" s="37"/>
      <c r="L25" s="24"/>
      <c r="M25" s="22"/>
      <c r="N25" s="24"/>
      <c r="O25" s="22"/>
      <c r="P25" s="25">
        <v>2600.0</v>
      </c>
      <c r="Q25" s="26">
        <f t="shared" si="1"/>
        <v>0</v>
      </c>
      <c r="R25" s="25" t="s">
        <v>38</v>
      </c>
      <c r="S25" s="27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71">
        <v>22.0</v>
      </c>
      <c r="B26" s="17">
        <v>45622.0</v>
      </c>
      <c r="C26" s="18" t="s">
        <v>957</v>
      </c>
      <c r="D26" s="19">
        <v>58050.0</v>
      </c>
      <c r="E26" s="20" t="s">
        <v>383</v>
      </c>
      <c r="F26" s="29"/>
      <c r="G26" s="22"/>
      <c r="H26" s="22"/>
      <c r="I26" s="29"/>
      <c r="J26" s="29">
        <v>2600.0</v>
      </c>
      <c r="K26" s="37"/>
      <c r="L26" s="24"/>
      <c r="M26" s="22"/>
      <c r="N26" s="24"/>
      <c r="O26" s="22"/>
      <c r="P26" s="25">
        <v>2600.0</v>
      </c>
      <c r="Q26" s="26">
        <f t="shared" si="1"/>
        <v>0</v>
      </c>
      <c r="R26" s="25" t="s">
        <v>25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71">
        <v>23.0</v>
      </c>
      <c r="B27" s="17">
        <v>45622.0</v>
      </c>
      <c r="C27" s="18" t="s">
        <v>958</v>
      </c>
      <c r="D27" s="19">
        <v>80151.0</v>
      </c>
      <c r="E27" s="20" t="s">
        <v>959</v>
      </c>
      <c r="F27" s="29"/>
      <c r="G27" s="22"/>
      <c r="H27" s="22"/>
      <c r="I27" s="29"/>
      <c r="J27" s="29">
        <v>7000.0</v>
      </c>
      <c r="K27" s="37"/>
      <c r="L27" s="24"/>
      <c r="M27" s="22"/>
      <c r="N27" s="24"/>
      <c r="O27" s="22"/>
      <c r="P27" s="25">
        <v>7000.0</v>
      </c>
      <c r="Q27" s="26">
        <f t="shared" si="1"/>
        <v>0</v>
      </c>
      <c r="R27" s="25" t="s">
        <v>25</v>
      </c>
      <c r="S27" s="27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71">
        <v>24.0</v>
      </c>
      <c r="B28" s="17">
        <v>45622.0</v>
      </c>
      <c r="C28" s="18" t="s">
        <v>960</v>
      </c>
      <c r="D28" s="19">
        <v>54325.0</v>
      </c>
      <c r="E28" s="20" t="s">
        <v>961</v>
      </c>
      <c r="F28" s="29"/>
      <c r="G28" s="22"/>
      <c r="H28" s="22"/>
      <c r="I28" s="29"/>
      <c r="J28" s="29">
        <v>15000.0</v>
      </c>
      <c r="K28" s="37"/>
      <c r="L28" s="24"/>
      <c r="M28" s="22"/>
      <c r="N28" s="24"/>
      <c r="O28" s="22"/>
      <c r="P28" s="25">
        <v>15000.0</v>
      </c>
      <c r="Q28" s="26">
        <f t="shared" si="1"/>
        <v>0</v>
      </c>
      <c r="R28" s="25" t="s">
        <v>38</v>
      </c>
      <c r="S28" s="27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71">
        <v>25.0</v>
      </c>
      <c r="B29" s="17">
        <v>45622.0</v>
      </c>
      <c r="C29" s="18" t="s">
        <v>962</v>
      </c>
      <c r="D29" s="19">
        <v>36555.0</v>
      </c>
      <c r="E29" s="20" t="s">
        <v>106</v>
      </c>
      <c r="F29" s="29"/>
      <c r="G29" s="22"/>
      <c r="H29" s="22">
        <v>5000.0</v>
      </c>
      <c r="I29" s="29"/>
      <c r="J29" s="29"/>
      <c r="K29" s="37"/>
      <c r="L29" s="24"/>
      <c r="M29" s="22"/>
      <c r="N29" s="24"/>
      <c r="O29" s="22"/>
      <c r="P29" s="25">
        <v>5000.0</v>
      </c>
      <c r="Q29" s="26">
        <f t="shared" si="1"/>
        <v>0</v>
      </c>
      <c r="R29" s="25"/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71">
        <v>26.0</v>
      </c>
      <c r="B30" s="17">
        <v>45622.0</v>
      </c>
      <c r="C30" s="18" t="s">
        <v>963</v>
      </c>
      <c r="D30" s="19">
        <v>54665.0</v>
      </c>
      <c r="E30" s="20" t="s">
        <v>964</v>
      </c>
      <c r="F30" s="29"/>
      <c r="G30" s="22"/>
      <c r="H30" s="22">
        <v>5000.0</v>
      </c>
      <c r="I30" s="29"/>
      <c r="J30" s="29"/>
      <c r="K30" s="37"/>
      <c r="L30" s="24"/>
      <c r="M30" s="22"/>
      <c r="N30" s="24"/>
      <c r="O30" s="22"/>
      <c r="P30" s="25">
        <v>5000.0</v>
      </c>
      <c r="Q30" s="26">
        <f t="shared" si="1"/>
        <v>0</v>
      </c>
      <c r="R30" s="25"/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4.5" customHeight="1">
      <c r="A31" s="71">
        <v>27.0</v>
      </c>
      <c r="B31" s="17">
        <v>45622.0</v>
      </c>
      <c r="C31" s="18" t="s">
        <v>965</v>
      </c>
      <c r="D31" s="19">
        <v>59252.0</v>
      </c>
      <c r="E31" s="20" t="s">
        <v>966</v>
      </c>
      <c r="F31" s="29"/>
      <c r="G31" s="22"/>
      <c r="H31" s="22">
        <v>5000.0</v>
      </c>
      <c r="I31" s="29"/>
      <c r="J31" s="29"/>
      <c r="K31" s="37"/>
      <c r="L31" s="24"/>
      <c r="M31" s="22"/>
      <c r="N31" s="24"/>
      <c r="O31" s="22"/>
      <c r="P31" s="25">
        <v>5000.0</v>
      </c>
      <c r="Q31" s="26">
        <f t="shared" si="1"/>
        <v>0</v>
      </c>
      <c r="R31" s="25"/>
      <c r="S31" s="27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ht="34.5" customHeight="1">
      <c r="A32" s="71">
        <v>28.0</v>
      </c>
      <c r="B32" s="17">
        <v>45622.0</v>
      </c>
      <c r="C32" s="18" t="s">
        <v>967</v>
      </c>
      <c r="D32" s="19">
        <v>79951.0</v>
      </c>
      <c r="E32" s="20" t="s">
        <v>968</v>
      </c>
      <c r="F32" s="29"/>
      <c r="G32" s="22"/>
      <c r="H32" s="22">
        <v>4500.0</v>
      </c>
      <c r="I32" s="29"/>
      <c r="J32" s="29"/>
      <c r="K32" s="37"/>
      <c r="L32" s="24"/>
      <c r="M32" s="22"/>
      <c r="N32" s="24"/>
      <c r="O32" s="22"/>
      <c r="P32" s="25">
        <v>4500.0</v>
      </c>
      <c r="Q32" s="26">
        <f t="shared" si="1"/>
        <v>0</v>
      </c>
      <c r="R32" s="25"/>
      <c r="S32" s="27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ht="34.5" customHeight="1">
      <c r="A33" s="71">
        <v>29.0</v>
      </c>
      <c r="B33" s="17">
        <v>45622.0</v>
      </c>
      <c r="C33" s="18" t="s">
        <v>969</v>
      </c>
      <c r="D33" s="19">
        <v>80469.0</v>
      </c>
      <c r="E33" s="20" t="s">
        <v>970</v>
      </c>
      <c r="F33" s="29"/>
      <c r="G33" s="22"/>
      <c r="H33" s="22">
        <v>6000.0</v>
      </c>
      <c r="I33" s="29"/>
      <c r="J33" s="29"/>
      <c r="K33" s="37"/>
      <c r="L33" s="24"/>
      <c r="M33" s="22"/>
      <c r="N33" s="24"/>
      <c r="O33" s="22"/>
      <c r="P33" s="25">
        <v>6000.0</v>
      </c>
      <c r="Q33" s="26">
        <f t="shared" si="1"/>
        <v>0</v>
      </c>
      <c r="R33" s="25"/>
      <c r="S33" s="27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34.5" customHeight="1">
      <c r="A34" s="71">
        <v>30.0</v>
      </c>
      <c r="B34" s="17">
        <v>45622.0</v>
      </c>
      <c r="C34" s="18" t="s">
        <v>971</v>
      </c>
      <c r="D34" s="19">
        <v>10006.0</v>
      </c>
      <c r="E34" s="20" t="s">
        <v>86</v>
      </c>
      <c r="F34" s="29"/>
      <c r="G34" s="22"/>
      <c r="H34" s="22">
        <v>1450.0</v>
      </c>
      <c r="I34" s="29"/>
      <c r="J34" s="29"/>
      <c r="K34" s="37"/>
      <c r="L34" s="24"/>
      <c r="M34" s="22"/>
      <c r="N34" s="24"/>
      <c r="O34" s="22"/>
      <c r="P34" s="25">
        <v>1450.0</v>
      </c>
      <c r="Q34" s="26">
        <f t="shared" si="1"/>
        <v>0</v>
      </c>
      <c r="R34" s="25"/>
      <c r="S34" s="27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34.5" customHeight="1">
      <c r="A35" s="71">
        <v>31.0</v>
      </c>
      <c r="B35" s="17">
        <v>45622.0</v>
      </c>
      <c r="C35" s="18" t="s">
        <v>972</v>
      </c>
      <c r="D35" s="19">
        <v>42052.0</v>
      </c>
      <c r="E35" s="20" t="s">
        <v>259</v>
      </c>
      <c r="F35" s="29"/>
      <c r="G35" s="22"/>
      <c r="H35" s="22"/>
      <c r="I35" s="29"/>
      <c r="J35" s="29"/>
      <c r="K35" s="37">
        <v>4500.0</v>
      </c>
      <c r="L35" s="24"/>
      <c r="M35" s="22"/>
      <c r="N35" s="24"/>
      <c r="O35" s="22"/>
      <c r="P35" s="25">
        <v>4500.0</v>
      </c>
      <c r="Q35" s="26">
        <f t="shared" si="1"/>
        <v>0</v>
      </c>
      <c r="R35" s="25"/>
      <c r="S35" s="27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37.5" customHeight="1">
      <c r="A36" s="71"/>
      <c r="B36" s="50"/>
      <c r="C36" s="51"/>
      <c r="D36" s="52" t="s">
        <v>123</v>
      </c>
      <c r="E36" s="53"/>
      <c r="F36" s="54">
        <f>SUM(F5:F35)</f>
        <v>1150</v>
      </c>
      <c r="G36" s="54">
        <f>SUM(G5:G19)</f>
        <v>0</v>
      </c>
      <c r="H36" s="54">
        <f t="shared" ref="H36:K36" si="2">SUM(H5:H35)</f>
        <v>26950</v>
      </c>
      <c r="I36" s="54">
        <f t="shared" si="2"/>
        <v>55195</v>
      </c>
      <c r="J36" s="54">
        <f t="shared" si="2"/>
        <v>37400</v>
      </c>
      <c r="K36" s="54">
        <f t="shared" si="2"/>
        <v>103565</v>
      </c>
      <c r="L36" s="54">
        <f>SUM(L5:L18)</f>
        <v>0</v>
      </c>
      <c r="M36" s="54">
        <f>SUM(M5:M19)</f>
        <v>1200</v>
      </c>
      <c r="N36" s="54">
        <f t="shared" ref="N36:O36" si="3">SUM(N5:N18)</f>
        <v>0</v>
      </c>
      <c r="O36" s="54">
        <f t="shared" si="3"/>
        <v>0</v>
      </c>
      <c r="P36" s="54">
        <f>SUM(P5:P35)</f>
        <v>225460</v>
      </c>
      <c r="Q36" s="55"/>
      <c r="R36" s="56"/>
      <c r="S36" s="27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</row>
    <row r="37" ht="58.5" customHeight="1">
      <c r="A37" s="57"/>
      <c r="B37" s="57"/>
      <c r="C37" s="58"/>
      <c r="D37" s="57"/>
      <c r="E37" s="57"/>
      <c r="F37" s="59">
        <f>F36+G36+H36+I36+J36+K36+L36+M36+N36+O36</f>
        <v>225460</v>
      </c>
      <c r="P37" s="60"/>
      <c r="Q37" s="60"/>
      <c r="R37" s="57"/>
      <c r="S37" s="57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</row>
    <row r="38" ht="15.75" customHeight="1">
      <c r="A38" s="4"/>
      <c r="B38" s="4"/>
      <c r="C38" s="61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61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62" t="s">
        <v>123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61"/>
      <c r="D41" s="4"/>
      <c r="E41" s="63" t="s">
        <v>124</v>
      </c>
      <c r="F41" s="64" t="s">
        <v>125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61"/>
      <c r="D42" s="4"/>
      <c r="E42" s="65" t="s">
        <v>126</v>
      </c>
      <c r="F42" s="64" t="s">
        <v>525</v>
      </c>
      <c r="G42" s="4"/>
      <c r="H42" s="4"/>
      <c r="I42" s="4"/>
      <c r="J42" s="4"/>
      <c r="K42" s="4"/>
      <c r="L42" s="4"/>
      <c r="M42" s="4"/>
      <c r="N42" s="4"/>
      <c r="O42" s="66" t="s">
        <v>123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61"/>
      <c r="D43" s="4"/>
      <c r="E43" s="65" t="s">
        <v>128</v>
      </c>
      <c r="F43" s="64" t="s">
        <v>159</v>
      </c>
      <c r="G43" s="4"/>
      <c r="H43" s="4"/>
      <c r="I43" s="67" t="s">
        <v>250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61"/>
      <c r="D44" s="4"/>
      <c r="E44" s="65" t="s">
        <v>130</v>
      </c>
      <c r="F44" s="64" t="s">
        <v>378</v>
      </c>
      <c r="G44" s="4"/>
      <c r="H44" s="4"/>
      <c r="I44" s="4"/>
      <c r="J44" s="4"/>
      <c r="K44" s="67" t="s">
        <v>123</v>
      </c>
      <c r="L44" s="67" t="s">
        <v>123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61"/>
      <c r="D45" s="4"/>
      <c r="E45" s="65" t="s">
        <v>131</v>
      </c>
      <c r="F45" s="64" t="s">
        <v>378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61"/>
      <c r="D46" s="4"/>
      <c r="E46" s="65" t="s">
        <v>973</v>
      </c>
      <c r="F46" s="64" t="s">
        <v>378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61"/>
      <c r="D47" s="4"/>
      <c r="E47" s="65" t="s">
        <v>134</v>
      </c>
      <c r="F47" s="64" t="s">
        <v>838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61"/>
      <c r="D48" s="4"/>
      <c r="E48" s="65" t="s">
        <v>135</v>
      </c>
      <c r="F48" s="68" t="s">
        <v>125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66" t="s">
        <v>123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61"/>
      <c r="D49" s="4"/>
      <c r="E49" s="4"/>
      <c r="F49" s="4"/>
      <c r="G49" s="4"/>
      <c r="H49" s="4"/>
      <c r="I49" s="4"/>
      <c r="J49" s="4"/>
      <c r="K49" s="4" t="str">
        <f>I72436</f>
        <v/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6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6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1"/>
      <c r="D56" s="4"/>
      <c r="E56" s="4"/>
      <c r="F56" s="4"/>
      <c r="G56" s="4"/>
      <c r="H56" s="4"/>
      <c r="I56" s="66" t="s">
        <v>136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1"/>
      <c r="D71" s="4"/>
      <c r="E71" s="4"/>
      <c r="F71" s="4"/>
      <c r="G71" s="4"/>
      <c r="H71" s="4"/>
      <c r="I71" s="4"/>
      <c r="J71" s="4"/>
      <c r="K71" s="4"/>
      <c r="L71" s="4"/>
      <c r="M71" s="4">
        <v>7.0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6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6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6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17">
    <mergeCell ref="R2:R4"/>
    <mergeCell ref="S2:S4"/>
    <mergeCell ref="F3:F4"/>
    <mergeCell ref="G3:H3"/>
    <mergeCell ref="I3:J3"/>
    <mergeCell ref="K3:K4"/>
    <mergeCell ref="F37:O37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5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20.6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974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71">
        <v>1.0</v>
      </c>
      <c r="B5" s="17">
        <v>45622.0</v>
      </c>
      <c r="C5" s="18" t="s">
        <v>975</v>
      </c>
      <c r="D5" s="19">
        <v>80151.0</v>
      </c>
      <c r="E5" s="20" t="s">
        <v>959</v>
      </c>
      <c r="F5" s="24"/>
      <c r="G5" s="22"/>
      <c r="H5" s="22"/>
      <c r="I5" s="29"/>
      <c r="J5" s="29">
        <v>0.0</v>
      </c>
      <c r="K5" s="22"/>
      <c r="L5" s="24"/>
      <c r="M5" s="29"/>
      <c r="N5" s="24"/>
      <c r="O5" s="24"/>
      <c r="P5" s="25">
        <v>5000.0</v>
      </c>
      <c r="Q5" s="26">
        <f t="shared" ref="Q5:Q30" si="1">F5+G5+H5+I5+J5+K5+L5+M5+N5+O5-P5</f>
        <v>-5000</v>
      </c>
      <c r="R5" s="82" t="s">
        <v>25</v>
      </c>
      <c r="S5" s="30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ht="34.5" customHeight="1">
      <c r="A6" s="71">
        <v>2.0</v>
      </c>
      <c r="B6" s="17">
        <v>45622.0</v>
      </c>
      <c r="C6" s="18" t="s">
        <v>976</v>
      </c>
      <c r="D6" s="19">
        <v>80151.0</v>
      </c>
      <c r="E6" s="20" t="s">
        <v>959</v>
      </c>
      <c r="F6" s="24"/>
      <c r="G6" s="24"/>
      <c r="H6" s="22"/>
      <c r="I6" s="29"/>
      <c r="J6" s="29">
        <v>0.0</v>
      </c>
      <c r="K6" s="22"/>
      <c r="L6" s="24"/>
      <c r="M6" s="29"/>
      <c r="N6" s="24"/>
      <c r="O6" s="22"/>
      <c r="P6" s="25">
        <v>2000.0</v>
      </c>
      <c r="Q6" s="26">
        <f t="shared" si="1"/>
        <v>-2000</v>
      </c>
      <c r="R6" s="25" t="s">
        <v>25</v>
      </c>
      <c r="S6" s="30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ht="34.5" customHeight="1">
      <c r="A7" s="71">
        <v>3.0</v>
      </c>
      <c r="B7" s="17">
        <v>45623.0</v>
      </c>
      <c r="C7" s="18" t="s">
        <v>977</v>
      </c>
      <c r="D7" s="19">
        <v>37077.0</v>
      </c>
      <c r="E7" s="20" t="s">
        <v>978</v>
      </c>
      <c r="F7" s="22"/>
      <c r="G7" s="24"/>
      <c r="H7" s="22"/>
      <c r="I7" s="29"/>
      <c r="J7" s="29">
        <v>2600.0</v>
      </c>
      <c r="K7" s="22"/>
      <c r="L7" s="24"/>
      <c r="M7" s="29"/>
      <c r="N7" s="24"/>
      <c r="O7" s="24"/>
      <c r="P7" s="25">
        <v>2600.0</v>
      </c>
      <c r="Q7" s="26">
        <f t="shared" si="1"/>
        <v>0</v>
      </c>
      <c r="R7" s="25" t="s">
        <v>28</v>
      </c>
      <c r="S7" s="27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ht="34.5" customHeight="1">
      <c r="A8" s="71">
        <v>4.0</v>
      </c>
      <c r="B8" s="17">
        <v>45623.0</v>
      </c>
      <c r="C8" s="18" t="s">
        <v>979</v>
      </c>
      <c r="D8" s="19">
        <v>19971.0</v>
      </c>
      <c r="E8" s="20" t="s">
        <v>980</v>
      </c>
      <c r="F8" s="22"/>
      <c r="G8" s="22"/>
      <c r="H8" s="22"/>
      <c r="I8" s="29"/>
      <c r="J8" s="29">
        <v>5100.0</v>
      </c>
      <c r="K8" s="22"/>
      <c r="L8" s="24"/>
      <c r="M8" s="29"/>
      <c r="N8" s="24"/>
      <c r="O8" s="24"/>
      <c r="P8" s="25">
        <v>5100.0</v>
      </c>
      <c r="Q8" s="26">
        <f t="shared" si="1"/>
        <v>0</v>
      </c>
      <c r="R8" s="25" t="s">
        <v>38</v>
      </c>
      <c r="S8" s="27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ht="34.5" customHeight="1">
      <c r="A9" s="71">
        <v>5.0</v>
      </c>
      <c r="B9" s="17">
        <v>45623.0</v>
      </c>
      <c r="C9" s="18" t="s">
        <v>981</v>
      </c>
      <c r="D9" s="19">
        <v>51946.0</v>
      </c>
      <c r="E9" s="20" t="s">
        <v>982</v>
      </c>
      <c r="F9" s="22"/>
      <c r="G9" s="24"/>
      <c r="H9" s="22"/>
      <c r="I9" s="29">
        <v>10000.0</v>
      </c>
      <c r="J9" s="29"/>
      <c r="K9" s="22"/>
      <c r="L9" s="24"/>
      <c r="M9" s="29"/>
      <c r="N9" s="24"/>
      <c r="O9" s="24"/>
      <c r="P9" s="25">
        <v>10000.0</v>
      </c>
      <c r="Q9" s="26">
        <f t="shared" si="1"/>
        <v>0</v>
      </c>
      <c r="R9" s="25" t="s">
        <v>35</v>
      </c>
      <c r="S9" s="27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ht="34.5" customHeight="1">
      <c r="A10" s="71">
        <v>6.0</v>
      </c>
      <c r="B10" s="17">
        <v>45623.0</v>
      </c>
      <c r="C10" s="18" t="s">
        <v>983</v>
      </c>
      <c r="D10" s="19">
        <v>66770.0</v>
      </c>
      <c r="E10" s="20" t="s">
        <v>46</v>
      </c>
      <c r="F10" s="22"/>
      <c r="G10" s="24"/>
      <c r="H10" s="22"/>
      <c r="I10" s="29"/>
      <c r="J10" s="29">
        <v>4500.0</v>
      </c>
      <c r="K10" s="22"/>
      <c r="L10" s="24"/>
      <c r="M10" s="29"/>
      <c r="N10" s="24"/>
      <c r="O10" s="24"/>
      <c r="P10" s="25">
        <v>4500.0</v>
      </c>
      <c r="Q10" s="26">
        <f t="shared" si="1"/>
        <v>0</v>
      </c>
      <c r="R10" s="25" t="s">
        <v>28</v>
      </c>
      <c r="S10" s="2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ht="34.5" customHeight="1">
      <c r="A11" s="71">
        <v>7.0</v>
      </c>
      <c r="B11" s="17">
        <v>45623.0</v>
      </c>
      <c r="C11" s="18" t="s">
        <v>984</v>
      </c>
      <c r="D11" s="19">
        <v>52373.0</v>
      </c>
      <c r="E11" s="20" t="s">
        <v>985</v>
      </c>
      <c r="F11" s="22"/>
      <c r="G11" s="24"/>
      <c r="H11" s="22"/>
      <c r="I11" s="29"/>
      <c r="J11" s="29">
        <v>10000.0</v>
      </c>
      <c r="K11" s="22"/>
      <c r="L11" s="24"/>
      <c r="M11" s="29"/>
      <c r="N11" s="24"/>
      <c r="O11" s="24"/>
      <c r="P11" s="25">
        <v>10000.0</v>
      </c>
      <c r="Q11" s="26">
        <f t="shared" si="1"/>
        <v>0</v>
      </c>
      <c r="R11" s="25" t="s">
        <v>28</v>
      </c>
      <c r="S11" s="27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ht="34.5" customHeight="1">
      <c r="A12" s="71">
        <v>8.0</v>
      </c>
      <c r="B12" s="17">
        <v>45623.0</v>
      </c>
      <c r="C12" s="18" t="s">
        <v>986</v>
      </c>
      <c r="D12" s="19">
        <v>67899.0</v>
      </c>
      <c r="E12" s="20" t="s">
        <v>987</v>
      </c>
      <c r="F12" s="22"/>
      <c r="G12" s="24"/>
      <c r="H12" s="22"/>
      <c r="I12" s="29">
        <v>3600.0</v>
      </c>
      <c r="J12" s="29"/>
      <c r="K12" s="22"/>
      <c r="L12" s="24"/>
      <c r="M12" s="29"/>
      <c r="N12" s="24"/>
      <c r="O12" s="24"/>
      <c r="P12" s="25">
        <v>3600.0</v>
      </c>
      <c r="Q12" s="26">
        <f t="shared" si="1"/>
        <v>0</v>
      </c>
      <c r="R12" s="25" t="s">
        <v>28</v>
      </c>
      <c r="S12" s="27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ht="34.5" customHeight="1">
      <c r="A13" s="83">
        <v>9.0</v>
      </c>
      <c r="B13" s="84">
        <v>45623.0</v>
      </c>
      <c r="C13" s="85" t="s">
        <v>988</v>
      </c>
      <c r="D13" s="86">
        <v>13762.0</v>
      </c>
      <c r="E13" s="87" t="s">
        <v>92</v>
      </c>
      <c r="F13" s="88"/>
      <c r="G13" s="88"/>
      <c r="H13" s="88"/>
      <c r="I13" s="89"/>
      <c r="J13" s="89">
        <v>500.0</v>
      </c>
      <c r="K13" s="88"/>
      <c r="L13" s="90"/>
      <c r="M13" s="89"/>
      <c r="N13" s="90"/>
      <c r="O13" s="90"/>
      <c r="P13" s="91">
        <v>500.0</v>
      </c>
      <c r="Q13" s="92">
        <f t="shared" si="1"/>
        <v>0</v>
      </c>
      <c r="R13" s="91" t="s">
        <v>35</v>
      </c>
      <c r="S13" s="93"/>
      <c r="T13" s="67"/>
      <c r="U13" s="9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ht="34.5" customHeight="1">
      <c r="A14" s="83">
        <v>10.0</v>
      </c>
      <c r="B14" s="84">
        <v>45623.0</v>
      </c>
      <c r="C14" s="85" t="s">
        <v>989</v>
      </c>
      <c r="D14" s="86">
        <v>50436.0</v>
      </c>
      <c r="E14" s="87" t="s">
        <v>267</v>
      </c>
      <c r="F14" s="88"/>
      <c r="G14" s="88"/>
      <c r="H14" s="88"/>
      <c r="I14" s="89">
        <v>1000.0</v>
      </c>
      <c r="J14" s="89"/>
      <c r="K14" s="88"/>
      <c r="L14" s="90"/>
      <c r="M14" s="89"/>
      <c r="N14" s="90"/>
      <c r="O14" s="88"/>
      <c r="P14" s="91">
        <v>1000.0</v>
      </c>
      <c r="Q14" s="92">
        <f t="shared" si="1"/>
        <v>0</v>
      </c>
      <c r="R14" s="91" t="s">
        <v>35</v>
      </c>
      <c r="S14" s="93"/>
      <c r="T14" s="4"/>
      <c r="U14" s="95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ht="34.5" customHeight="1">
      <c r="A15" s="83">
        <v>11.0</v>
      </c>
      <c r="B15" s="84">
        <v>45623.0</v>
      </c>
      <c r="C15" s="85" t="s">
        <v>990</v>
      </c>
      <c r="D15" s="86">
        <v>25541.0</v>
      </c>
      <c r="E15" s="87" t="s">
        <v>800</v>
      </c>
      <c r="F15" s="96"/>
      <c r="G15" s="88"/>
      <c r="H15" s="90"/>
      <c r="I15" s="89"/>
      <c r="J15" s="89">
        <v>500.0</v>
      </c>
      <c r="K15" s="97"/>
      <c r="L15" s="90"/>
      <c r="M15" s="88"/>
      <c r="N15" s="90"/>
      <c r="O15" s="88"/>
      <c r="P15" s="91">
        <v>500.0</v>
      </c>
      <c r="Q15" s="92">
        <f t="shared" si="1"/>
        <v>0</v>
      </c>
      <c r="R15" s="91" t="s">
        <v>35</v>
      </c>
      <c r="S15" s="93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ht="34.5" customHeight="1">
      <c r="A16" s="83">
        <v>12.0</v>
      </c>
      <c r="B16" s="84">
        <v>45623.0</v>
      </c>
      <c r="C16" s="85" t="s">
        <v>991</v>
      </c>
      <c r="D16" s="86">
        <v>42278.0</v>
      </c>
      <c r="E16" s="87" t="s">
        <v>652</v>
      </c>
      <c r="F16" s="96"/>
      <c r="G16" s="88"/>
      <c r="H16" s="88"/>
      <c r="I16" s="89"/>
      <c r="J16" s="89">
        <v>1000.0</v>
      </c>
      <c r="K16" s="97"/>
      <c r="L16" s="90"/>
      <c r="M16" s="90"/>
      <c r="N16" s="90"/>
      <c r="O16" s="88"/>
      <c r="P16" s="91">
        <v>1000.0</v>
      </c>
      <c r="Q16" s="92">
        <f t="shared" si="1"/>
        <v>0</v>
      </c>
      <c r="R16" s="91" t="s">
        <v>35</v>
      </c>
      <c r="S16" s="93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ht="34.5" customHeight="1">
      <c r="A17" s="83">
        <v>13.0</v>
      </c>
      <c r="B17" s="84">
        <v>45623.0</v>
      </c>
      <c r="C17" s="85" t="s">
        <v>992</v>
      </c>
      <c r="D17" s="86">
        <v>61420.0</v>
      </c>
      <c r="E17" s="87" t="s">
        <v>993</v>
      </c>
      <c r="F17" s="96"/>
      <c r="G17" s="88"/>
      <c r="H17" s="88"/>
      <c r="I17" s="89">
        <v>500.0</v>
      </c>
      <c r="J17" s="96"/>
      <c r="K17" s="97"/>
      <c r="L17" s="90"/>
      <c r="M17" s="88"/>
      <c r="N17" s="90"/>
      <c r="O17" s="88"/>
      <c r="P17" s="91">
        <v>500.0</v>
      </c>
      <c r="Q17" s="92">
        <f t="shared" si="1"/>
        <v>0</v>
      </c>
      <c r="R17" s="91" t="s">
        <v>35</v>
      </c>
      <c r="S17" s="93"/>
      <c r="T17" s="4"/>
      <c r="U17" s="4"/>
      <c r="V17" s="4"/>
      <c r="W17" s="4"/>
      <c r="X17" s="9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ht="34.5" customHeight="1">
      <c r="A18" s="83">
        <v>14.0</v>
      </c>
      <c r="B18" s="84">
        <v>45623.0</v>
      </c>
      <c r="C18" s="85" t="s">
        <v>994</v>
      </c>
      <c r="D18" s="86">
        <v>47787.0</v>
      </c>
      <c r="E18" s="87" t="s">
        <v>995</v>
      </c>
      <c r="F18" s="89"/>
      <c r="G18" s="88"/>
      <c r="H18" s="90"/>
      <c r="I18" s="89">
        <v>1000.0</v>
      </c>
      <c r="J18" s="96"/>
      <c r="K18" s="97"/>
      <c r="L18" s="90"/>
      <c r="M18" s="88"/>
      <c r="N18" s="90"/>
      <c r="O18" s="88"/>
      <c r="P18" s="91">
        <v>1000.0</v>
      </c>
      <c r="Q18" s="92">
        <f t="shared" si="1"/>
        <v>0</v>
      </c>
      <c r="R18" s="91" t="s">
        <v>35</v>
      </c>
      <c r="S18" s="93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ht="34.5" customHeight="1">
      <c r="A19" s="71">
        <v>15.0</v>
      </c>
      <c r="B19" s="17">
        <v>45623.0</v>
      </c>
      <c r="C19" s="18" t="s">
        <v>996</v>
      </c>
      <c r="D19" s="19">
        <v>29620.0</v>
      </c>
      <c r="E19" s="20" t="s">
        <v>997</v>
      </c>
      <c r="F19" s="29"/>
      <c r="G19" s="22"/>
      <c r="H19" s="22"/>
      <c r="I19" s="29">
        <v>4600.0</v>
      </c>
      <c r="J19" s="29"/>
      <c r="K19" s="37"/>
      <c r="L19" s="24"/>
      <c r="M19" s="22"/>
      <c r="N19" s="24"/>
      <c r="O19" s="22"/>
      <c r="P19" s="25">
        <v>4600.0</v>
      </c>
      <c r="Q19" s="26">
        <f t="shared" si="1"/>
        <v>0</v>
      </c>
      <c r="R19" s="25" t="s">
        <v>38</v>
      </c>
      <c r="S19" s="27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ht="34.5" customHeight="1">
      <c r="A20" s="83">
        <v>16.0</v>
      </c>
      <c r="B20" s="84">
        <v>45623.0</v>
      </c>
      <c r="C20" s="85" t="s">
        <v>998</v>
      </c>
      <c r="D20" s="86">
        <v>36928.0</v>
      </c>
      <c r="E20" s="87" t="s">
        <v>57</v>
      </c>
      <c r="F20" s="89"/>
      <c r="G20" s="88"/>
      <c r="H20" s="88"/>
      <c r="I20" s="89">
        <v>500.0</v>
      </c>
      <c r="J20" s="89"/>
      <c r="K20" s="97"/>
      <c r="L20" s="90"/>
      <c r="M20" s="88"/>
      <c r="N20" s="90"/>
      <c r="O20" s="88"/>
      <c r="P20" s="91">
        <v>500.0</v>
      </c>
      <c r="Q20" s="92">
        <f t="shared" si="1"/>
        <v>0</v>
      </c>
      <c r="R20" s="91" t="s">
        <v>35</v>
      </c>
      <c r="S20" s="93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ht="34.5" customHeight="1">
      <c r="A21" s="83">
        <v>17.0</v>
      </c>
      <c r="B21" s="84">
        <v>45623.0</v>
      </c>
      <c r="C21" s="85" t="s">
        <v>999</v>
      </c>
      <c r="D21" s="86">
        <v>80924.0</v>
      </c>
      <c r="E21" s="87" t="s">
        <v>1000</v>
      </c>
      <c r="F21" s="89"/>
      <c r="G21" s="88"/>
      <c r="H21" s="88"/>
      <c r="I21" s="89"/>
      <c r="J21" s="89">
        <v>500.0</v>
      </c>
      <c r="K21" s="97"/>
      <c r="L21" s="90"/>
      <c r="M21" s="88"/>
      <c r="N21" s="90"/>
      <c r="O21" s="88"/>
      <c r="P21" s="91">
        <v>500.0</v>
      </c>
      <c r="Q21" s="92">
        <f t="shared" si="1"/>
        <v>0</v>
      </c>
      <c r="R21" s="91" t="s">
        <v>35</v>
      </c>
      <c r="S21" s="93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ht="34.5" customHeight="1">
      <c r="A22" s="83">
        <v>18.0</v>
      </c>
      <c r="B22" s="84">
        <v>45623.0</v>
      </c>
      <c r="C22" s="85" t="s">
        <v>1001</v>
      </c>
      <c r="D22" s="86">
        <v>52247.0</v>
      </c>
      <c r="E22" s="87" t="s">
        <v>51</v>
      </c>
      <c r="F22" s="89"/>
      <c r="G22" s="88"/>
      <c r="H22" s="88"/>
      <c r="I22" s="89">
        <v>500.0</v>
      </c>
      <c r="J22" s="89"/>
      <c r="K22" s="97"/>
      <c r="L22" s="90"/>
      <c r="M22" s="88"/>
      <c r="N22" s="90"/>
      <c r="O22" s="88"/>
      <c r="P22" s="91">
        <v>500.0</v>
      </c>
      <c r="Q22" s="92">
        <f t="shared" si="1"/>
        <v>0</v>
      </c>
      <c r="R22" s="91" t="s">
        <v>35</v>
      </c>
      <c r="S22" s="93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ht="34.5" customHeight="1">
      <c r="A23" s="83">
        <v>19.0</v>
      </c>
      <c r="B23" s="84">
        <v>45623.0</v>
      </c>
      <c r="C23" s="85" t="s">
        <v>1002</v>
      </c>
      <c r="D23" s="86">
        <v>13781.0</v>
      </c>
      <c r="E23" s="87" t="s">
        <v>140</v>
      </c>
      <c r="F23" s="89"/>
      <c r="G23" s="88"/>
      <c r="H23" s="88"/>
      <c r="I23" s="89">
        <v>500.0</v>
      </c>
      <c r="J23" s="89"/>
      <c r="K23" s="97"/>
      <c r="L23" s="90"/>
      <c r="M23" s="88"/>
      <c r="N23" s="90"/>
      <c r="O23" s="88"/>
      <c r="P23" s="91">
        <v>500.0</v>
      </c>
      <c r="Q23" s="92">
        <f t="shared" si="1"/>
        <v>0</v>
      </c>
      <c r="R23" s="91" t="s">
        <v>35</v>
      </c>
      <c r="S23" s="93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ht="34.5" customHeight="1">
      <c r="A24" s="71">
        <v>20.0</v>
      </c>
      <c r="B24" s="17">
        <v>45623.0</v>
      </c>
      <c r="C24" s="18" t="s">
        <v>1003</v>
      </c>
      <c r="D24" s="19">
        <v>80175.0</v>
      </c>
      <c r="E24" s="20" t="s">
        <v>1004</v>
      </c>
      <c r="F24" s="29"/>
      <c r="G24" s="22"/>
      <c r="H24" s="22"/>
      <c r="I24" s="29"/>
      <c r="J24" s="29">
        <v>7000.0</v>
      </c>
      <c r="K24" s="37"/>
      <c r="L24" s="24"/>
      <c r="M24" s="22"/>
      <c r="N24" s="24"/>
      <c r="O24" s="22"/>
      <c r="P24" s="25">
        <v>7000.0</v>
      </c>
      <c r="Q24" s="26">
        <f t="shared" si="1"/>
        <v>0</v>
      </c>
      <c r="R24" s="25" t="s">
        <v>38</v>
      </c>
      <c r="S24" s="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ht="34.5" customHeight="1">
      <c r="A25" s="83">
        <v>21.0</v>
      </c>
      <c r="B25" s="84">
        <v>45623.0</v>
      </c>
      <c r="C25" s="85" t="s">
        <v>1005</v>
      </c>
      <c r="D25" s="86">
        <v>69346.0</v>
      </c>
      <c r="E25" s="87" t="s">
        <v>917</v>
      </c>
      <c r="F25" s="89"/>
      <c r="G25" s="88"/>
      <c r="H25" s="88"/>
      <c r="I25" s="89">
        <v>500.0</v>
      </c>
      <c r="J25" s="89"/>
      <c r="K25" s="97"/>
      <c r="L25" s="90"/>
      <c r="M25" s="88"/>
      <c r="N25" s="90"/>
      <c r="O25" s="88"/>
      <c r="P25" s="91">
        <v>500.0</v>
      </c>
      <c r="Q25" s="92">
        <f t="shared" si="1"/>
        <v>0</v>
      </c>
      <c r="R25" s="91" t="s">
        <v>35</v>
      </c>
      <c r="S25" s="93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ht="34.5" customHeight="1">
      <c r="A26" s="71">
        <v>22.0</v>
      </c>
      <c r="B26" s="17">
        <v>45623.0</v>
      </c>
      <c r="C26" s="18" t="s">
        <v>1006</v>
      </c>
      <c r="D26" s="19">
        <v>24368.0</v>
      </c>
      <c r="E26" s="20" t="s">
        <v>455</v>
      </c>
      <c r="F26" s="29"/>
      <c r="G26" s="22"/>
      <c r="H26" s="22"/>
      <c r="I26" s="29">
        <v>4528.0</v>
      </c>
      <c r="J26" s="29"/>
      <c r="K26" s="37">
        <v>1347.0</v>
      </c>
      <c r="L26" s="24"/>
      <c r="M26" s="22"/>
      <c r="N26" s="24"/>
      <c r="O26" s="22"/>
      <c r="P26" s="25">
        <v>5875.0</v>
      </c>
      <c r="Q26" s="26">
        <f t="shared" si="1"/>
        <v>0</v>
      </c>
      <c r="R26" s="25" t="s">
        <v>38</v>
      </c>
      <c r="S26" s="27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ht="34.5" customHeight="1">
      <c r="A27" s="83">
        <v>23.0</v>
      </c>
      <c r="B27" s="84">
        <v>45623.0</v>
      </c>
      <c r="C27" s="85" t="s">
        <v>1007</v>
      </c>
      <c r="D27" s="86">
        <v>52373.0</v>
      </c>
      <c r="E27" s="87" t="s">
        <v>985</v>
      </c>
      <c r="F27" s="89"/>
      <c r="G27" s="88"/>
      <c r="H27" s="88"/>
      <c r="I27" s="89"/>
      <c r="J27" s="89">
        <v>500.0</v>
      </c>
      <c r="K27" s="97"/>
      <c r="L27" s="90"/>
      <c r="M27" s="88"/>
      <c r="N27" s="90"/>
      <c r="O27" s="88"/>
      <c r="P27" s="91">
        <v>500.0</v>
      </c>
      <c r="Q27" s="92">
        <f t="shared" si="1"/>
        <v>0</v>
      </c>
      <c r="R27" s="91" t="s">
        <v>38</v>
      </c>
      <c r="S27" s="93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ht="34.5" customHeight="1">
      <c r="A28" s="83">
        <v>24.0</v>
      </c>
      <c r="B28" s="84">
        <v>45623.0</v>
      </c>
      <c r="C28" s="85" t="s">
        <v>1008</v>
      </c>
      <c r="D28" s="86">
        <v>45096.0</v>
      </c>
      <c r="E28" s="87" t="s">
        <v>775</v>
      </c>
      <c r="F28" s="89"/>
      <c r="G28" s="88"/>
      <c r="H28" s="88"/>
      <c r="I28" s="89">
        <v>1000.0</v>
      </c>
      <c r="J28" s="89"/>
      <c r="K28" s="97"/>
      <c r="L28" s="90"/>
      <c r="M28" s="88"/>
      <c r="N28" s="90"/>
      <c r="O28" s="88"/>
      <c r="P28" s="91">
        <v>1000.0</v>
      </c>
      <c r="Q28" s="92">
        <f t="shared" si="1"/>
        <v>0</v>
      </c>
      <c r="R28" s="91" t="s">
        <v>38</v>
      </c>
      <c r="S28" s="93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ht="34.5" customHeight="1">
      <c r="A29" s="71">
        <v>25.0</v>
      </c>
      <c r="B29" s="17">
        <v>45622.0</v>
      </c>
      <c r="C29" s="18" t="s">
        <v>1009</v>
      </c>
      <c r="D29" s="19">
        <v>10250.0</v>
      </c>
      <c r="E29" s="20" t="s">
        <v>245</v>
      </c>
      <c r="F29" s="29"/>
      <c r="G29" s="22"/>
      <c r="H29" s="22">
        <v>14500.0</v>
      </c>
      <c r="I29" s="29"/>
      <c r="J29" s="29"/>
      <c r="K29" s="37"/>
      <c r="L29" s="24"/>
      <c r="M29" s="22"/>
      <c r="N29" s="24"/>
      <c r="O29" s="22"/>
      <c r="P29" s="25">
        <v>14500.0</v>
      </c>
      <c r="Q29" s="26">
        <f t="shared" si="1"/>
        <v>0</v>
      </c>
      <c r="R29" s="25"/>
      <c r="S29" s="27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ht="34.5" customHeight="1">
      <c r="A30" s="71">
        <v>26.0</v>
      </c>
      <c r="B30" s="17">
        <v>45623.0</v>
      </c>
      <c r="C30" s="18" t="s">
        <v>1010</v>
      </c>
      <c r="D30" s="19">
        <v>45937.0</v>
      </c>
      <c r="E30" s="20" t="s">
        <v>115</v>
      </c>
      <c r="F30" s="29"/>
      <c r="G30" s="22"/>
      <c r="H30" s="22">
        <v>2500.0</v>
      </c>
      <c r="I30" s="29"/>
      <c r="J30" s="29"/>
      <c r="K30" s="37"/>
      <c r="L30" s="24"/>
      <c r="M30" s="22"/>
      <c r="N30" s="24"/>
      <c r="O30" s="22"/>
      <c r="P30" s="25">
        <v>2500.0</v>
      </c>
      <c r="Q30" s="26">
        <f t="shared" si="1"/>
        <v>0</v>
      </c>
      <c r="R30" s="25"/>
      <c r="S30" s="27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ht="37.5" customHeight="1">
      <c r="A31" s="71"/>
      <c r="B31" s="50"/>
      <c r="C31" s="51"/>
      <c r="D31" s="52" t="s">
        <v>123</v>
      </c>
      <c r="E31" s="53"/>
      <c r="F31" s="54">
        <f>SUM(F5:F30)</f>
        <v>0</v>
      </c>
      <c r="G31" s="54">
        <f>SUM(G5:G19)</f>
        <v>0</v>
      </c>
      <c r="H31" s="54">
        <f t="shared" ref="H31:K31" si="2">SUM(H5:H30)</f>
        <v>17000</v>
      </c>
      <c r="I31" s="54">
        <f t="shared" si="2"/>
        <v>28228</v>
      </c>
      <c r="J31" s="54">
        <f t="shared" si="2"/>
        <v>32200</v>
      </c>
      <c r="K31" s="54">
        <f t="shared" si="2"/>
        <v>1347</v>
      </c>
      <c r="L31" s="54">
        <f>SUM(L5:L18)</f>
        <v>0</v>
      </c>
      <c r="M31" s="54">
        <f>SUM(M5:M19)</f>
        <v>0</v>
      </c>
      <c r="N31" s="54">
        <f t="shared" ref="N31:O31" si="3">SUM(N5:N18)</f>
        <v>0</v>
      </c>
      <c r="O31" s="54">
        <f t="shared" si="3"/>
        <v>0</v>
      </c>
      <c r="P31" s="54">
        <f>SUM(P5:P30)</f>
        <v>85775</v>
      </c>
      <c r="Q31" s="55"/>
      <c r="R31" s="56"/>
      <c r="S31" s="27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</row>
    <row r="32" ht="58.5" customHeight="1">
      <c r="A32" s="57"/>
      <c r="B32" s="57"/>
      <c r="C32" s="58"/>
      <c r="D32" s="57"/>
      <c r="E32" s="57"/>
      <c r="F32" s="59">
        <f>F31+G31+H31+I31+J31+K31+L31+M31+N31+O31</f>
        <v>78775</v>
      </c>
      <c r="P32" s="60"/>
      <c r="Q32" s="60"/>
      <c r="R32" s="57"/>
      <c r="S32" s="57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</row>
    <row r="33" ht="15.75" customHeight="1">
      <c r="A33" s="4"/>
      <c r="B33" s="4"/>
      <c r="C33" s="61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ht="26.25" customHeight="1">
      <c r="A34" s="4"/>
      <c r="B34" s="4"/>
      <c r="C34" s="61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ht="26.25" customHeight="1">
      <c r="A35" s="4"/>
      <c r="B35" s="4"/>
      <c r="C35" s="62" t="s">
        <v>123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ht="26.25" customHeight="1">
      <c r="A36" s="4"/>
      <c r="B36" s="4"/>
      <c r="C36" s="61"/>
      <c r="D36" s="4"/>
      <c r="E36" s="63" t="s">
        <v>124</v>
      </c>
      <c r="F36" s="64" t="s">
        <v>125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ht="26.25" customHeight="1">
      <c r="A37" s="4"/>
      <c r="B37" s="4"/>
      <c r="C37" s="61"/>
      <c r="D37" s="4"/>
      <c r="E37" s="65" t="s">
        <v>126</v>
      </c>
      <c r="F37" s="64" t="s">
        <v>525</v>
      </c>
      <c r="G37" s="4"/>
      <c r="H37" s="4"/>
      <c r="I37" s="4"/>
      <c r="J37" s="4"/>
      <c r="K37" s="4"/>
      <c r="L37" s="4"/>
      <c r="M37" s="4"/>
      <c r="N37" s="4"/>
      <c r="O37" s="66" t="s">
        <v>123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ht="26.25" customHeight="1">
      <c r="A38" s="4"/>
      <c r="B38" s="4"/>
      <c r="C38" s="61"/>
      <c r="D38" s="4"/>
      <c r="E38" s="65" t="s">
        <v>128</v>
      </c>
      <c r="F38" s="64" t="s">
        <v>129</v>
      </c>
      <c r="G38" s="4"/>
      <c r="H38" s="4"/>
      <c r="I38" s="67" t="s">
        <v>250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ht="26.25" customHeight="1">
      <c r="A39" s="4"/>
      <c r="B39" s="4"/>
      <c r="C39" s="61"/>
      <c r="D39" s="4"/>
      <c r="E39" s="65" t="s">
        <v>130</v>
      </c>
      <c r="F39" s="64" t="s">
        <v>378</v>
      </c>
      <c r="G39" s="4"/>
      <c r="H39" s="4"/>
      <c r="I39" s="4"/>
      <c r="J39" s="4"/>
      <c r="K39" s="67" t="s">
        <v>123</v>
      </c>
      <c r="L39" s="67" t="s">
        <v>123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ht="26.25" customHeight="1">
      <c r="A40" s="4"/>
      <c r="B40" s="4"/>
      <c r="C40" s="61"/>
      <c r="D40" s="4"/>
      <c r="E40" s="65" t="s">
        <v>131</v>
      </c>
      <c r="F40" s="64" t="s">
        <v>1011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ht="26.25" customHeight="1">
      <c r="A41" s="4"/>
      <c r="B41" s="4"/>
      <c r="C41" s="61"/>
      <c r="D41" s="4"/>
      <c r="E41" s="65" t="s">
        <v>1012</v>
      </c>
      <c r="F41" s="64" t="s">
        <v>129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ht="26.25" customHeight="1">
      <c r="A42" s="4"/>
      <c r="B42" s="4"/>
      <c r="C42" s="61"/>
      <c r="D42" s="4"/>
      <c r="E42" s="65" t="s">
        <v>134</v>
      </c>
      <c r="F42" s="64" t="s">
        <v>838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ht="26.25" customHeight="1">
      <c r="A43" s="4"/>
      <c r="B43" s="4"/>
      <c r="C43" s="61"/>
      <c r="D43" s="4"/>
      <c r="E43" s="65" t="s">
        <v>135</v>
      </c>
      <c r="F43" s="68" t="s">
        <v>125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66" t="s">
        <v>123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ht="26.25" customHeight="1">
      <c r="A44" s="4"/>
      <c r="B44" s="4"/>
      <c r="C44" s="61"/>
      <c r="D44" s="4"/>
      <c r="E44" s="4"/>
      <c r="F44" s="4"/>
      <c r="G44" s="4"/>
      <c r="H44" s="4"/>
      <c r="I44" s="4"/>
      <c r="J44" s="4"/>
      <c r="K44" s="4" t="str">
        <f>I72431</f>
        <v/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6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15.75" customHeight="1">
      <c r="A46" s="4"/>
      <c r="B46" s="4"/>
      <c r="C46" s="61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15.75" customHeight="1">
      <c r="A47" s="4"/>
      <c r="B47" s="4"/>
      <c r="C47" s="61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15.75" customHeight="1">
      <c r="A48" s="4"/>
      <c r="B48" s="4"/>
      <c r="C48" s="61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15.75" customHeight="1">
      <c r="A49" s="4"/>
      <c r="B49" s="4"/>
      <c r="C49" s="61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15.75" customHeight="1">
      <c r="A50" s="4"/>
      <c r="B50" s="4"/>
      <c r="C50" s="6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15.75" customHeight="1">
      <c r="A51" s="4"/>
      <c r="B51" s="4"/>
      <c r="C51" s="61"/>
      <c r="D51" s="4"/>
      <c r="E51" s="4"/>
      <c r="F51" s="4"/>
      <c r="G51" s="4"/>
      <c r="H51" s="4"/>
      <c r="I51" s="66" t="s">
        <v>136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15.75" customHeight="1">
      <c r="A52" s="4"/>
      <c r="B52" s="4"/>
      <c r="C52" s="61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15.75" customHeight="1">
      <c r="A53" s="4"/>
      <c r="B53" s="4"/>
      <c r="C53" s="61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15.75" customHeight="1">
      <c r="A54" s="4"/>
      <c r="B54" s="4"/>
      <c r="C54" s="6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15.75" customHeight="1">
      <c r="A55" s="4"/>
      <c r="B55" s="4"/>
      <c r="C55" s="6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15.75" customHeight="1">
      <c r="A56" s="4"/>
      <c r="B56" s="4"/>
      <c r="C56" s="6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1"/>
      <c r="D66" s="4"/>
      <c r="E66" s="4"/>
      <c r="F66" s="4"/>
      <c r="G66" s="4"/>
      <c r="H66" s="4"/>
      <c r="I66" s="4"/>
      <c r="J66" s="4"/>
      <c r="K66" s="4"/>
      <c r="L66" s="4"/>
      <c r="M66" s="4">
        <v>7.0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mergeCells count="17">
    <mergeCell ref="R2:R4"/>
    <mergeCell ref="S2:S4"/>
    <mergeCell ref="F3:F4"/>
    <mergeCell ref="G3:H3"/>
    <mergeCell ref="I3:J3"/>
    <mergeCell ref="K3:K4"/>
    <mergeCell ref="F32:O32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5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20.6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1013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71">
        <v>1.0</v>
      </c>
      <c r="B5" s="69">
        <v>45623.0</v>
      </c>
      <c r="C5" s="32" t="s">
        <v>1014</v>
      </c>
      <c r="D5" s="33">
        <v>85331.0</v>
      </c>
      <c r="E5" s="34" t="s">
        <v>1015</v>
      </c>
      <c r="F5" s="24"/>
      <c r="G5" s="22"/>
      <c r="H5" s="22"/>
      <c r="I5" s="29">
        <v>300.0</v>
      </c>
      <c r="J5" s="29"/>
      <c r="K5" s="22"/>
      <c r="L5" s="24"/>
      <c r="M5" s="29"/>
      <c r="N5" s="24"/>
      <c r="O5" s="24"/>
      <c r="P5" s="35">
        <v>300.0</v>
      </c>
      <c r="Q5" s="26">
        <f t="shared" ref="Q5:Q52" si="1">F5+G5+H5+I5+J5+K5+L5+M5+N5+O5-P5</f>
        <v>0</v>
      </c>
      <c r="R5" s="98" t="s">
        <v>35</v>
      </c>
      <c r="S5" s="99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</row>
    <row r="6" ht="34.5" customHeight="1">
      <c r="A6" s="71">
        <v>2.0</v>
      </c>
      <c r="B6" s="69">
        <v>45623.0</v>
      </c>
      <c r="C6" s="32" t="s">
        <v>1016</v>
      </c>
      <c r="D6" s="33">
        <v>22978.0</v>
      </c>
      <c r="E6" s="34" t="s">
        <v>350</v>
      </c>
      <c r="F6" s="24"/>
      <c r="G6" s="24"/>
      <c r="H6" s="22"/>
      <c r="I6" s="29">
        <v>300.0</v>
      </c>
      <c r="J6" s="29"/>
      <c r="K6" s="22"/>
      <c r="L6" s="24"/>
      <c r="M6" s="29"/>
      <c r="N6" s="24"/>
      <c r="O6" s="22"/>
      <c r="P6" s="35">
        <v>300.0</v>
      </c>
      <c r="Q6" s="26">
        <f t="shared" si="1"/>
        <v>0</v>
      </c>
      <c r="R6" s="35" t="s">
        <v>38</v>
      </c>
      <c r="S6" s="99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</row>
    <row r="7" ht="34.5" customHeight="1">
      <c r="A7" s="71">
        <v>3.0</v>
      </c>
      <c r="B7" s="69">
        <v>45624.0</v>
      </c>
      <c r="C7" s="32" t="s">
        <v>1017</v>
      </c>
      <c r="D7" s="33">
        <v>59410.0</v>
      </c>
      <c r="E7" s="34" t="s">
        <v>1018</v>
      </c>
      <c r="F7" s="22"/>
      <c r="G7" s="24"/>
      <c r="H7" s="22"/>
      <c r="I7" s="29">
        <v>2600.0</v>
      </c>
      <c r="J7" s="29"/>
      <c r="K7" s="22"/>
      <c r="L7" s="24"/>
      <c r="M7" s="29"/>
      <c r="N7" s="24"/>
      <c r="O7" s="24"/>
      <c r="P7" s="35">
        <v>2600.0</v>
      </c>
      <c r="Q7" s="26">
        <f t="shared" si="1"/>
        <v>0</v>
      </c>
      <c r="R7" s="35" t="s">
        <v>35</v>
      </c>
      <c r="S7" s="100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</row>
    <row r="8" ht="34.5" customHeight="1">
      <c r="A8" s="71">
        <v>4.0</v>
      </c>
      <c r="B8" s="69">
        <v>45624.0</v>
      </c>
      <c r="C8" s="32" t="s">
        <v>1019</v>
      </c>
      <c r="D8" s="33">
        <v>42339.0</v>
      </c>
      <c r="E8" s="34" t="s">
        <v>1020</v>
      </c>
      <c r="F8" s="22"/>
      <c r="G8" s="22"/>
      <c r="H8" s="22"/>
      <c r="I8" s="29"/>
      <c r="J8" s="29">
        <v>4250.0</v>
      </c>
      <c r="K8" s="22"/>
      <c r="L8" s="24"/>
      <c r="M8" s="29"/>
      <c r="N8" s="24"/>
      <c r="O8" s="24"/>
      <c r="P8" s="35">
        <v>4250.0</v>
      </c>
      <c r="Q8" s="26">
        <f t="shared" si="1"/>
        <v>0</v>
      </c>
      <c r="R8" s="35" t="s">
        <v>38</v>
      </c>
      <c r="S8" s="100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</row>
    <row r="9" ht="34.5" customHeight="1">
      <c r="A9" s="83">
        <v>5.0</v>
      </c>
      <c r="B9" s="84">
        <v>45624.0</v>
      </c>
      <c r="C9" s="85" t="s">
        <v>1021</v>
      </c>
      <c r="D9" s="86">
        <v>54226.0</v>
      </c>
      <c r="E9" s="87" t="s">
        <v>1022</v>
      </c>
      <c r="F9" s="88"/>
      <c r="G9" s="90"/>
      <c r="H9" s="88"/>
      <c r="I9" s="89">
        <v>500.0</v>
      </c>
      <c r="J9" s="89"/>
      <c r="K9" s="88"/>
      <c r="L9" s="90"/>
      <c r="M9" s="89"/>
      <c r="N9" s="90"/>
      <c r="O9" s="90"/>
      <c r="P9" s="91">
        <v>500.0</v>
      </c>
      <c r="Q9" s="92">
        <f t="shared" si="1"/>
        <v>0</v>
      </c>
      <c r="R9" s="91" t="s">
        <v>38</v>
      </c>
      <c r="S9" s="93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</row>
    <row r="10" ht="34.5" customHeight="1">
      <c r="A10" s="83">
        <v>6.0</v>
      </c>
      <c r="B10" s="84">
        <v>45624.0</v>
      </c>
      <c r="C10" s="85" t="s">
        <v>1023</v>
      </c>
      <c r="D10" s="86">
        <v>35245.0</v>
      </c>
      <c r="E10" s="87" t="s">
        <v>237</v>
      </c>
      <c r="F10" s="88"/>
      <c r="G10" s="90"/>
      <c r="H10" s="88"/>
      <c r="I10" s="89">
        <v>1000.0</v>
      </c>
      <c r="J10" s="89"/>
      <c r="K10" s="88"/>
      <c r="L10" s="90"/>
      <c r="M10" s="89"/>
      <c r="N10" s="90"/>
      <c r="O10" s="90"/>
      <c r="P10" s="91">
        <v>1000.0</v>
      </c>
      <c r="Q10" s="92">
        <f t="shared" si="1"/>
        <v>0</v>
      </c>
      <c r="R10" s="91" t="s">
        <v>38</v>
      </c>
      <c r="S10" s="93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</row>
    <row r="11" ht="34.5" customHeight="1">
      <c r="A11" s="71">
        <v>7.0</v>
      </c>
      <c r="B11" s="69">
        <v>45624.0</v>
      </c>
      <c r="C11" s="32" t="s">
        <v>1024</v>
      </c>
      <c r="D11" s="33">
        <v>42339.0</v>
      </c>
      <c r="E11" s="34" t="s">
        <v>1020</v>
      </c>
      <c r="F11" s="22"/>
      <c r="G11" s="24"/>
      <c r="H11" s="22"/>
      <c r="I11" s="29"/>
      <c r="J11" s="29">
        <v>140.0</v>
      </c>
      <c r="K11" s="22"/>
      <c r="L11" s="24"/>
      <c r="M11" s="29"/>
      <c r="N11" s="24"/>
      <c r="O11" s="24"/>
      <c r="P11" s="35">
        <v>140.0</v>
      </c>
      <c r="Q11" s="26">
        <f t="shared" si="1"/>
        <v>0</v>
      </c>
      <c r="R11" s="35" t="s">
        <v>38</v>
      </c>
      <c r="S11" s="100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</row>
    <row r="12" ht="34.5" customHeight="1">
      <c r="A12" s="71">
        <v>8.0</v>
      </c>
      <c r="B12" s="69">
        <v>45624.0</v>
      </c>
      <c r="C12" s="32" t="s">
        <v>1025</v>
      </c>
      <c r="D12" s="33">
        <v>62815.0</v>
      </c>
      <c r="E12" s="34" t="s">
        <v>84</v>
      </c>
      <c r="F12" s="22"/>
      <c r="G12" s="24"/>
      <c r="H12" s="22"/>
      <c r="I12" s="29">
        <v>10000.0</v>
      </c>
      <c r="J12" s="29"/>
      <c r="K12" s="22"/>
      <c r="L12" s="24"/>
      <c r="M12" s="29"/>
      <c r="N12" s="24"/>
      <c r="O12" s="24"/>
      <c r="P12" s="35">
        <v>10000.0</v>
      </c>
      <c r="Q12" s="26">
        <f t="shared" si="1"/>
        <v>0</v>
      </c>
      <c r="R12" s="35" t="s">
        <v>38</v>
      </c>
      <c r="S12" s="100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</row>
    <row r="13" ht="34.5" customHeight="1">
      <c r="A13" s="83">
        <v>9.0</v>
      </c>
      <c r="B13" s="84">
        <v>45624.0</v>
      </c>
      <c r="C13" s="85" t="s">
        <v>1026</v>
      </c>
      <c r="D13" s="86">
        <v>55555.0</v>
      </c>
      <c r="E13" s="87" t="s">
        <v>32</v>
      </c>
      <c r="F13" s="88"/>
      <c r="G13" s="88"/>
      <c r="H13" s="88"/>
      <c r="I13" s="89">
        <v>1000.0</v>
      </c>
      <c r="J13" s="89"/>
      <c r="K13" s="88"/>
      <c r="L13" s="90"/>
      <c r="M13" s="89"/>
      <c r="N13" s="90"/>
      <c r="O13" s="90"/>
      <c r="P13" s="91">
        <v>1000.0</v>
      </c>
      <c r="Q13" s="92">
        <f t="shared" si="1"/>
        <v>0</v>
      </c>
      <c r="R13" s="91" t="s">
        <v>35</v>
      </c>
      <c r="S13" s="93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ht="34.5" customHeight="1">
      <c r="A14" s="71">
        <v>10.0</v>
      </c>
      <c r="B14" s="69">
        <v>45624.0</v>
      </c>
      <c r="C14" s="32" t="s">
        <v>1027</v>
      </c>
      <c r="D14" s="33">
        <v>71126.0</v>
      </c>
      <c r="E14" s="34" t="s">
        <v>1028</v>
      </c>
      <c r="F14" s="22"/>
      <c r="G14" s="22"/>
      <c r="H14" s="22"/>
      <c r="I14" s="29"/>
      <c r="J14" s="29"/>
      <c r="K14" s="22">
        <v>6000.0</v>
      </c>
      <c r="L14" s="24"/>
      <c r="M14" s="29"/>
      <c r="N14" s="24"/>
      <c r="O14" s="22"/>
      <c r="P14" s="35">
        <v>6000.0</v>
      </c>
      <c r="Q14" s="26">
        <f t="shared" si="1"/>
        <v>0</v>
      </c>
      <c r="R14" s="35" t="s">
        <v>25</v>
      </c>
      <c r="S14" s="100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</row>
    <row r="15" ht="34.5" customHeight="1">
      <c r="A15" s="83">
        <v>11.0</v>
      </c>
      <c r="B15" s="84">
        <v>45624.0</v>
      </c>
      <c r="C15" s="85" t="s">
        <v>1029</v>
      </c>
      <c r="D15" s="86">
        <v>55446.0</v>
      </c>
      <c r="E15" s="87" t="s">
        <v>153</v>
      </c>
      <c r="F15" s="96"/>
      <c r="G15" s="88"/>
      <c r="H15" s="90"/>
      <c r="I15" s="89">
        <v>1000.0</v>
      </c>
      <c r="J15" s="89"/>
      <c r="K15" s="97"/>
      <c r="L15" s="90"/>
      <c r="M15" s="88"/>
      <c r="N15" s="90"/>
      <c r="O15" s="88"/>
      <c r="P15" s="91">
        <v>1000.0</v>
      </c>
      <c r="Q15" s="92">
        <f t="shared" si="1"/>
        <v>0</v>
      </c>
      <c r="R15" s="91" t="s">
        <v>35</v>
      </c>
      <c r="S15" s="93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</row>
    <row r="16" ht="34.5" customHeight="1">
      <c r="A16" s="83">
        <v>12.0</v>
      </c>
      <c r="B16" s="84">
        <v>45624.0</v>
      </c>
      <c r="C16" s="85" t="s">
        <v>1030</v>
      </c>
      <c r="D16" s="86">
        <v>65868.0</v>
      </c>
      <c r="E16" s="87" t="s">
        <v>1031</v>
      </c>
      <c r="F16" s="96"/>
      <c r="G16" s="88"/>
      <c r="H16" s="88"/>
      <c r="I16" s="89">
        <v>500.0</v>
      </c>
      <c r="J16" s="89"/>
      <c r="K16" s="97"/>
      <c r="L16" s="90"/>
      <c r="M16" s="90"/>
      <c r="N16" s="90"/>
      <c r="O16" s="88"/>
      <c r="P16" s="91">
        <v>500.0</v>
      </c>
      <c r="Q16" s="92">
        <f t="shared" si="1"/>
        <v>0</v>
      </c>
      <c r="R16" s="91" t="s">
        <v>38</v>
      </c>
      <c r="S16" s="93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</row>
    <row r="17" ht="34.5" customHeight="1">
      <c r="A17" s="71">
        <v>13.0</v>
      </c>
      <c r="B17" s="69">
        <v>45624.0</v>
      </c>
      <c r="C17" s="32" t="s">
        <v>1032</v>
      </c>
      <c r="D17" s="33">
        <v>53209.0</v>
      </c>
      <c r="E17" s="34" t="s">
        <v>1033</v>
      </c>
      <c r="F17" s="21"/>
      <c r="G17" s="22"/>
      <c r="H17" s="22"/>
      <c r="I17" s="29">
        <v>10000.0</v>
      </c>
      <c r="J17" s="21"/>
      <c r="K17" s="37"/>
      <c r="L17" s="24"/>
      <c r="M17" s="22"/>
      <c r="N17" s="24"/>
      <c r="O17" s="22"/>
      <c r="P17" s="35">
        <v>10000.0</v>
      </c>
      <c r="Q17" s="26">
        <f t="shared" si="1"/>
        <v>0</v>
      </c>
      <c r="R17" s="35" t="s">
        <v>38</v>
      </c>
      <c r="S17" s="100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</row>
    <row r="18" ht="34.5" customHeight="1">
      <c r="A18" s="83">
        <v>14.0</v>
      </c>
      <c r="B18" s="84">
        <v>45624.0</v>
      </c>
      <c r="C18" s="85" t="s">
        <v>1034</v>
      </c>
      <c r="D18" s="86">
        <v>22332.0</v>
      </c>
      <c r="E18" s="87" t="s">
        <v>217</v>
      </c>
      <c r="F18" s="89"/>
      <c r="G18" s="88"/>
      <c r="H18" s="90"/>
      <c r="I18" s="89">
        <v>500.0</v>
      </c>
      <c r="J18" s="96"/>
      <c r="K18" s="97"/>
      <c r="L18" s="90"/>
      <c r="M18" s="88"/>
      <c r="N18" s="90"/>
      <c r="O18" s="88"/>
      <c r="P18" s="91">
        <v>500.0</v>
      </c>
      <c r="Q18" s="92">
        <f t="shared" si="1"/>
        <v>0</v>
      </c>
      <c r="R18" s="91" t="s">
        <v>38</v>
      </c>
      <c r="S18" s="93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</row>
    <row r="19" ht="34.5" customHeight="1">
      <c r="A19" s="71">
        <v>15.0</v>
      </c>
      <c r="B19" s="69">
        <v>45624.0</v>
      </c>
      <c r="C19" s="32" t="s">
        <v>1035</v>
      </c>
      <c r="D19" s="33">
        <v>80175.0</v>
      </c>
      <c r="E19" s="34" t="s">
        <v>1004</v>
      </c>
      <c r="F19" s="29"/>
      <c r="G19" s="22"/>
      <c r="H19" s="22"/>
      <c r="I19" s="29"/>
      <c r="J19" s="29">
        <v>0.0</v>
      </c>
      <c r="K19" s="37"/>
      <c r="L19" s="24"/>
      <c r="M19" s="22"/>
      <c r="N19" s="24"/>
      <c r="O19" s="22"/>
      <c r="P19" s="35">
        <v>5000.0</v>
      </c>
      <c r="Q19" s="26">
        <f t="shared" si="1"/>
        <v>-5000</v>
      </c>
      <c r="R19" s="35" t="s">
        <v>25</v>
      </c>
      <c r="S19" s="100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34.5" customHeight="1">
      <c r="A20" s="71">
        <v>16.0</v>
      </c>
      <c r="B20" s="69">
        <v>45624.0</v>
      </c>
      <c r="C20" s="32" t="s">
        <v>1036</v>
      </c>
      <c r="D20" s="33">
        <v>30270.0</v>
      </c>
      <c r="E20" s="34" t="s">
        <v>1037</v>
      </c>
      <c r="F20" s="29"/>
      <c r="G20" s="22"/>
      <c r="H20" s="22"/>
      <c r="I20" s="29"/>
      <c r="J20" s="29">
        <v>5100.0</v>
      </c>
      <c r="K20" s="37"/>
      <c r="L20" s="24"/>
      <c r="M20" s="22"/>
      <c r="N20" s="24"/>
      <c r="O20" s="22"/>
      <c r="P20" s="35">
        <v>5100.0</v>
      </c>
      <c r="Q20" s="26">
        <f t="shared" si="1"/>
        <v>0</v>
      </c>
      <c r="R20" s="35" t="s">
        <v>35</v>
      </c>
      <c r="S20" s="100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</row>
    <row r="21" ht="34.5" customHeight="1">
      <c r="A21" s="71">
        <v>17.0</v>
      </c>
      <c r="B21" s="69">
        <v>45624.0</v>
      </c>
      <c r="C21" s="32" t="s">
        <v>1038</v>
      </c>
      <c r="D21" s="33">
        <v>80175.0</v>
      </c>
      <c r="E21" s="34" t="s">
        <v>1004</v>
      </c>
      <c r="F21" s="29"/>
      <c r="G21" s="22"/>
      <c r="H21" s="22"/>
      <c r="I21" s="29"/>
      <c r="J21" s="29">
        <v>0.0</v>
      </c>
      <c r="K21" s="37"/>
      <c r="L21" s="24"/>
      <c r="M21" s="22"/>
      <c r="N21" s="24"/>
      <c r="O21" s="22"/>
      <c r="P21" s="35">
        <v>2000.0</v>
      </c>
      <c r="Q21" s="26">
        <f t="shared" si="1"/>
        <v>-2000</v>
      </c>
      <c r="R21" s="35" t="s">
        <v>25</v>
      </c>
      <c r="S21" s="100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</row>
    <row r="22" ht="34.5" customHeight="1">
      <c r="A22" s="71">
        <v>18.0</v>
      </c>
      <c r="B22" s="69">
        <v>45624.0</v>
      </c>
      <c r="C22" s="32" t="s">
        <v>1039</v>
      </c>
      <c r="D22" s="33">
        <v>35449.0</v>
      </c>
      <c r="E22" s="34" t="s">
        <v>1040</v>
      </c>
      <c r="F22" s="29"/>
      <c r="G22" s="22"/>
      <c r="H22" s="22"/>
      <c r="I22" s="29"/>
      <c r="J22" s="29">
        <v>4500.0</v>
      </c>
      <c r="K22" s="37"/>
      <c r="L22" s="24"/>
      <c r="M22" s="22"/>
      <c r="N22" s="24"/>
      <c r="O22" s="22"/>
      <c r="P22" s="35">
        <v>4500.0</v>
      </c>
      <c r="Q22" s="26">
        <f t="shared" si="1"/>
        <v>0</v>
      </c>
      <c r="R22" s="35" t="s">
        <v>38</v>
      </c>
      <c r="S22" s="100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</row>
    <row r="23" ht="34.5" customHeight="1">
      <c r="A23" s="83">
        <v>19.0</v>
      </c>
      <c r="B23" s="84">
        <v>45624.0</v>
      </c>
      <c r="C23" s="85" t="s">
        <v>1041</v>
      </c>
      <c r="D23" s="86">
        <v>72839.0</v>
      </c>
      <c r="E23" s="87" t="s">
        <v>581</v>
      </c>
      <c r="F23" s="89"/>
      <c r="G23" s="88"/>
      <c r="H23" s="88"/>
      <c r="I23" s="89">
        <v>500.0</v>
      </c>
      <c r="J23" s="89"/>
      <c r="K23" s="97"/>
      <c r="L23" s="90"/>
      <c r="M23" s="88"/>
      <c r="N23" s="90"/>
      <c r="O23" s="88"/>
      <c r="P23" s="91">
        <v>500.0</v>
      </c>
      <c r="Q23" s="92">
        <f t="shared" si="1"/>
        <v>0</v>
      </c>
      <c r="R23" s="91" t="s">
        <v>35</v>
      </c>
      <c r="S23" s="93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</row>
    <row r="24" ht="34.5" customHeight="1">
      <c r="A24" s="71">
        <v>20.0</v>
      </c>
      <c r="B24" s="69">
        <v>45624.0</v>
      </c>
      <c r="C24" s="32" t="s">
        <v>1042</v>
      </c>
      <c r="D24" s="33">
        <v>35449.0</v>
      </c>
      <c r="E24" s="34" t="s">
        <v>1040</v>
      </c>
      <c r="F24" s="29"/>
      <c r="G24" s="22"/>
      <c r="H24" s="22"/>
      <c r="I24" s="29"/>
      <c r="J24" s="29">
        <v>5000.0</v>
      </c>
      <c r="K24" s="37"/>
      <c r="L24" s="24"/>
      <c r="M24" s="22"/>
      <c r="N24" s="24"/>
      <c r="O24" s="22"/>
      <c r="P24" s="35">
        <v>5000.0</v>
      </c>
      <c r="Q24" s="26">
        <f t="shared" si="1"/>
        <v>0</v>
      </c>
      <c r="R24" s="35" t="s">
        <v>38</v>
      </c>
      <c r="S24" s="100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</row>
    <row r="25" ht="34.5" customHeight="1">
      <c r="A25" s="71">
        <v>21.0</v>
      </c>
      <c r="B25" s="69">
        <v>45624.0</v>
      </c>
      <c r="C25" s="32" t="s">
        <v>1043</v>
      </c>
      <c r="D25" s="33">
        <v>57499.0</v>
      </c>
      <c r="E25" s="34" t="s">
        <v>201</v>
      </c>
      <c r="F25" s="29"/>
      <c r="G25" s="22"/>
      <c r="H25" s="22"/>
      <c r="I25" s="29">
        <v>2500.0</v>
      </c>
      <c r="J25" s="29"/>
      <c r="K25" s="37"/>
      <c r="L25" s="24"/>
      <c r="M25" s="22"/>
      <c r="N25" s="24"/>
      <c r="O25" s="22"/>
      <c r="P25" s="35">
        <v>2500.0</v>
      </c>
      <c r="Q25" s="26">
        <f t="shared" si="1"/>
        <v>0</v>
      </c>
      <c r="R25" s="35" t="s">
        <v>35</v>
      </c>
      <c r="S25" s="100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</row>
    <row r="26" ht="34.5" customHeight="1">
      <c r="A26" s="71">
        <v>22.0</v>
      </c>
      <c r="B26" s="69">
        <v>45624.0</v>
      </c>
      <c r="C26" s="32" t="s">
        <v>1044</v>
      </c>
      <c r="D26" s="33">
        <v>53225.0</v>
      </c>
      <c r="E26" s="34" t="s">
        <v>1045</v>
      </c>
      <c r="F26" s="29"/>
      <c r="G26" s="22"/>
      <c r="H26" s="22"/>
      <c r="I26" s="29">
        <v>5150.0</v>
      </c>
      <c r="J26" s="29"/>
      <c r="K26" s="37"/>
      <c r="L26" s="24"/>
      <c r="M26" s="22"/>
      <c r="N26" s="24"/>
      <c r="O26" s="22"/>
      <c r="P26" s="35">
        <v>5150.0</v>
      </c>
      <c r="Q26" s="26">
        <f t="shared" si="1"/>
        <v>0</v>
      </c>
      <c r="R26" s="35" t="s">
        <v>35</v>
      </c>
      <c r="S26" s="100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</row>
    <row r="27" ht="34.5" customHeight="1">
      <c r="A27" s="83">
        <v>23.0</v>
      </c>
      <c r="B27" s="84">
        <v>45624.0</v>
      </c>
      <c r="C27" s="85" t="s">
        <v>1046</v>
      </c>
      <c r="D27" s="86">
        <v>10249.0</v>
      </c>
      <c r="E27" s="87" t="s">
        <v>312</v>
      </c>
      <c r="F27" s="89"/>
      <c r="G27" s="88"/>
      <c r="H27" s="88"/>
      <c r="I27" s="89"/>
      <c r="J27" s="89">
        <v>1000.0</v>
      </c>
      <c r="K27" s="97"/>
      <c r="L27" s="90"/>
      <c r="M27" s="88"/>
      <c r="N27" s="90"/>
      <c r="O27" s="88"/>
      <c r="P27" s="91">
        <v>1000.0</v>
      </c>
      <c r="Q27" s="92">
        <f t="shared" si="1"/>
        <v>0</v>
      </c>
      <c r="R27" s="91" t="s">
        <v>35</v>
      </c>
      <c r="S27" s="93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</row>
    <row r="28" ht="34.5" customHeight="1">
      <c r="A28" s="83">
        <v>24.0</v>
      </c>
      <c r="B28" s="84">
        <v>45624.0</v>
      </c>
      <c r="C28" s="85" t="s">
        <v>1047</v>
      </c>
      <c r="D28" s="86">
        <v>83066.0</v>
      </c>
      <c r="E28" s="87" t="s">
        <v>317</v>
      </c>
      <c r="F28" s="89"/>
      <c r="G28" s="88"/>
      <c r="H28" s="88"/>
      <c r="I28" s="89"/>
      <c r="J28" s="89">
        <v>1000.0</v>
      </c>
      <c r="K28" s="97"/>
      <c r="L28" s="90"/>
      <c r="M28" s="88"/>
      <c r="N28" s="90"/>
      <c r="O28" s="88"/>
      <c r="P28" s="91">
        <v>1000.0</v>
      </c>
      <c r="Q28" s="92">
        <f t="shared" si="1"/>
        <v>0</v>
      </c>
      <c r="R28" s="91" t="s">
        <v>35</v>
      </c>
      <c r="S28" s="93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</row>
    <row r="29" ht="34.5" customHeight="1">
      <c r="A29" s="71">
        <v>25.0</v>
      </c>
      <c r="B29" s="69">
        <v>45624.0</v>
      </c>
      <c r="C29" s="32" t="s">
        <v>1048</v>
      </c>
      <c r="D29" s="33">
        <v>22727.0</v>
      </c>
      <c r="E29" s="34" t="s">
        <v>340</v>
      </c>
      <c r="F29" s="29"/>
      <c r="G29" s="22"/>
      <c r="H29" s="22"/>
      <c r="I29" s="29">
        <v>4500.0</v>
      </c>
      <c r="J29" s="29"/>
      <c r="K29" s="37"/>
      <c r="L29" s="24"/>
      <c r="M29" s="22"/>
      <c r="N29" s="24"/>
      <c r="O29" s="22"/>
      <c r="P29" s="35">
        <v>4500.0</v>
      </c>
      <c r="Q29" s="26">
        <f t="shared" si="1"/>
        <v>0</v>
      </c>
      <c r="R29" s="35" t="s">
        <v>35</v>
      </c>
      <c r="S29" s="100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</row>
    <row r="30" ht="34.5" customHeight="1">
      <c r="A30" s="83">
        <v>26.0</v>
      </c>
      <c r="B30" s="84">
        <v>45624.0</v>
      </c>
      <c r="C30" s="85" t="s">
        <v>1049</v>
      </c>
      <c r="D30" s="86">
        <v>83056.0</v>
      </c>
      <c r="E30" s="87" t="s">
        <v>1050</v>
      </c>
      <c r="F30" s="89"/>
      <c r="G30" s="88"/>
      <c r="H30" s="88"/>
      <c r="I30" s="89"/>
      <c r="J30" s="89"/>
      <c r="K30" s="97"/>
      <c r="L30" s="90"/>
      <c r="M30" s="88">
        <v>500.0</v>
      </c>
      <c r="N30" s="90"/>
      <c r="O30" s="88"/>
      <c r="P30" s="91">
        <v>500.0</v>
      </c>
      <c r="Q30" s="92">
        <f t="shared" si="1"/>
        <v>0</v>
      </c>
      <c r="R30" s="91" t="s">
        <v>35</v>
      </c>
      <c r="S30" s="93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</row>
    <row r="31" ht="34.5" customHeight="1">
      <c r="A31" s="83">
        <v>27.0</v>
      </c>
      <c r="B31" s="84">
        <v>45624.0</v>
      </c>
      <c r="C31" s="85" t="s">
        <v>1051</v>
      </c>
      <c r="D31" s="86">
        <v>85337.0</v>
      </c>
      <c r="E31" s="87" t="s">
        <v>1052</v>
      </c>
      <c r="F31" s="89"/>
      <c r="G31" s="88"/>
      <c r="H31" s="88"/>
      <c r="I31" s="89"/>
      <c r="J31" s="89"/>
      <c r="K31" s="97"/>
      <c r="L31" s="90"/>
      <c r="M31" s="88">
        <v>1000.0</v>
      </c>
      <c r="N31" s="90"/>
      <c r="O31" s="88"/>
      <c r="P31" s="91">
        <v>1000.0</v>
      </c>
      <c r="Q31" s="92">
        <f t="shared" si="1"/>
        <v>0</v>
      </c>
      <c r="R31" s="91" t="s">
        <v>25</v>
      </c>
      <c r="S31" s="93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</row>
    <row r="32" ht="34.5" customHeight="1">
      <c r="A32" s="71">
        <v>28.0</v>
      </c>
      <c r="B32" s="69">
        <v>45624.0</v>
      </c>
      <c r="C32" s="32" t="s">
        <v>1053</v>
      </c>
      <c r="D32" s="33">
        <v>21828.0</v>
      </c>
      <c r="E32" s="34" t="s">
        <v>112</v>
      </c>
      <c r="F32" s="29"/>
      <c r="G32" s="22"/>
      <c r="H32" s="22"/>
      <c r="I32" s="29"/>
      <c r="J32" s="29">
        <v>2500.0</v>
      </c>
      <c r="K32" s="37"/>
      <c r="L32" s="24"/>
      <c r="M32" s="22"/>
      <c r="N32" s="24"/>
      <c r="O32" s="22"/>
      <c r="P32" s="35">
        <v>2500.0</v>
      </c>
      <c r="Q32" s="26">
        <f t="shared" si="1"/>
        <v>0</v>
      </c>
      <c r="R32" s="35" t="s">
        <v>38</v>
      </c>
      <c r="S32" s="100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</row>
    <row r="33" ht="34.5" customHeight="1">
      <c r="A33" s="71">
        <v>29.0</v>
      </c>
      <c r="B33" s="69">
        <v>45624.0</v>
      </c>
      <c r="C33" s="32" t="s">
        <v>1054</v>
      </c>
      <c r="D33" s="33">
        <v>85337.0</v>
      </c>
      <c r="E33" s="34" t="s">
        <v>1052</v>
      </c>
      <c r="F33" s="29"/>
      <c r="G33" s="22"/>
      <c r="H33" s="22"/>
      <c r="I33" s="29"/>
      <c r="J33" s="29"/>
      <c r="K33" s="37"/>
      <c r="L33" s="24"/>
      <c r="M33" s="22">
        <v>3400.0</v>
      </c>
      <c r="N33" s="24"/>
      <c r="O33" s="22"/>
      <c r="P33" s="35">
        <v>3400.0</v>
      </c>
      <c r="Q33" s="26">
        <f t="shared" si="1"/>
        <v>0</v>
      </c>
      <c r="R33" s="35" t="s">
        <v>25</v>
      </c>
      <c r="S33" s="100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</row>
    <row r="34" ht="34.5" customHeight="1">
      <c r="A34" s="71">
        <v>30.0</v>
      </c>
      <c r="B34" s="69">
        <v>45624.0</v>
      </c>
      <c r="C34" s="32" t="s">
        <v>1055</v>
      </c>
      <c r="D34" s="33">
        <v>19688.0</v>
      </c>
      <c r="E34" s="34" t="s">
        <v>732</v>
      </c>
      <c r="F34" s="29"/>
      <c r="G34" s="22"/>
      <c r="H34" s="22"/>
      <c r="I34" s="29"/>
      <c r="J34" s="29">
        <v>30000.0</v>
      </c>
      <c r="K34" s="37"/>
      <c r="L34" s="24"/>
      <c r="M34" s="22"/>
      <c r="N34" s="24"/>
      <c r="O34" s="22"/>
      <c r="P34" s="35">
        <v>30000.0</v>
      </c>
      <c r="Q34" s="26">
        <f t="shared" si="1"/>
        <v>0</v>
      </c>
      <c r="R34" s="35" t="s">
        <v>25</v>
      </c>
      <c r="S34" s="100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</row>
    <row r="35" ht="34.5" customHeight="1">
      <c r="A35" s="71">
        <v>31.0</v>
      </c>
      <c r="B35" s="69">
        <v>45624.0</v>
      </c>
      <c r="C35" s="32" t="s">
        <v>1056</v>
      </c>
      <c r="D35" s="33">
        <v>53249.0</v>
      </c>
      <c r="E35" s="34" t="s">
        <v>73</v>
      </c>
      <c r="F35" s="29"/>
      <c r="G35" s="22"/>
      <c r="H35" s="22"/>
      <c r="I35" s="29">
        <v>15000.0</v>
      </c>
      <c r="J35" s="29"/>
      <c r="K35" s="37"/>
      <c r="L35" s="24"/>
      <c r="M35" s="22"/>
      <c r="N35" s="24"/>
      <c r="O35" s="22"/>
      <c r="P35" s="35">
        <v>15000.0</v>
      </c>
      <c r="Q35" s="26">
        <f t="shared" si="1"/>
        <v>0</v>
      </c>
      <c r="R35" s="35" t="s">
        <v>35</v>
      </c>
      <c r="S35" s="100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</row>
    <row r="36" ht="34.5" customHeight="1">
      <c r="A36" s="71">
        <v>32.0</v>
      </c>
      <c r="B36" s="69">
        <v>45624.0</v>
      </c>
      <c r="C36" s="32" t="s">
        <v>1057</v>
      </c>
      <c r="D36" s="33">
        <v>57499.0</v>
      </c>
      <c r="E36" s="34" t="s">
        <v>201</v>
      </c>
      <c r="F36" s="29"/>
      <c r="G36" s="22"/>
      <c r="H36" s="22"/>
      <c r="I36" s="29"/>
      <c r="J36" s="29">
        <v>100.0</v>
      </c>
      <c r="K36" s="37"/>
      <c r="L36" s="24"/>
      <c r="M36" s="22"/>
      <c r="N36" s="24"/>
      <c r="O36" s="22"/>
      <c r="P36" s="35">
        <v>100.0</v>
      </c>
      <c r="Q36" s="26">
        <f t="shared" si="1"/>
        <v>0</v>
      </c>
      <c r="R36" s="35" t="s">
        <v>38</v>
      </c>
      <c r="S36" s="100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</row>
    <row r="37" ht="34.5" customHeight="1">
      <c r="A37" s="71">
        <v>33.0</v>
      </c>
      <c r="B37" s="69">
        <v>45624.0</v>
      </c>
      <c r="C37" s="32" t="s">
        <v>1058</v>
      </c>
      <c r="D37" s="33">
        <v>53249.0</v>
      </c>
      <c r="E37" s="34" t="s">
        <v>73</v>
      </c>
      <c r="F37" s="29"/>
      <c r="G37" s="22"/>
      <c r="H37" s="22"/>
      <c r="I37" s="29"/>
      <c r="J37" s="29">
        <v>10100.0</v>
      </c>
      <c r="K37" s="37"/>
      <c r="L37" s="24"/>
      <c r="M37" s="22"/>
      <c r="N37" s="24"/>
      <c r="O37" s="22"/>
      <c r="P37" s="35">
        <v>10100.0</v>
      </c>
      <c r="Q37" s="26">
        <f t="shared" si="1"/>
        <v>0</v>
      </c>
      <c r="R37" s="35" t="s">
        <v>35</v>
      </c>
      <c r="S37" s="100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</row>
    <row r="38" ht="34.5" customHeight="1">
      <c r="A38" s="71">
        <v>34.0</v>
      </c>
      <c r="B38" s="69">
        <v>45624.0</v>
      </c>
      <c r="C38" s="32" t="s">
        <v>1059</v>
      </c>
      <c r="D38" s="33">
        <v>28414.0</v>
      </c>
      <c r="E38" s="34" t="s">
        <v>617</v>
      </c>
      <c r="F38" s="29"/>
      <c r="G38" s="22"/>
      <c r="H38" s="22"/>
      <c r="I38" s="29">
        <v>2600.0</v>
      </c>
      <c r="J38" s="29"/>
      <c r="K38" s="37"/>
      <c r="L38" s="24"/>
      <c r="M38" s="22"/>
      <c r="N38" s="24"/>
      <c r="O38" s="22"/>
      <c r="P38" s="35">
        <v>2600.0</v>
      </c>
      <c r="Q38" s="26">
        <f t="shared" si="1"/>
        <v>0</v>
      </c>
      <c r="R38" s="35" t="s">
        <v>38</v>
      </c>
      <c r="S38" s="100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</row>
    <row r="39" ht="34.5" customHeight="1">
      <c r="A39" s="71">
        <v>35.0</v>
      </c>
      <c r="B39" s="69">
        <v>45624.0</v>
      </c>
      <c r="C39" s="32" t="s">
        <v>1060</v>
      </c>
      <c r="D39" s="33">
        <v>63246.0</v>
      </c>
      <c r="E39" s="34" t="s">
        <v>1061</v>
      </c>
      <c r="F39" s="29"/>
      <c r="G39" s="22"/>
      <c r="H39" s="22"/>
      <c r="I39" s="29">
        <v>7600.0</v>
      </c>
      <c r="J39" s="29"/>
      <c r="K39" s="37"/>
      <c r="L39" s="24"/>
      <c r="M39" s="22"/>
      <c r="N39" s="24"/>
      <c r="O39" s="22"/>
      <c r="P39" s="35">
        <v>7600.0</v>
      </c>
      <c r="Q39" s="26">
        <f t="shared" si="1"/>
        <v>0</v>
      </c>
      <c r="R39" s="35" t="s">
        <v>25</v>
      </c>
      <c r="S39" s="100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</row>
    <row r="40" ht="34.5" customHeight="1">
      <c r="A40" s="71">
        <v>36.0</v>
      </c>
      <c r="B40" s="69">
        <v>45624.0</v>
      </c>
      <c r="C40" s="32" t="s">
        <v>1062</v>
      </c>
      <c r="D40" s="33">
        <v>50342.0</v>
      </c>
      <c r="E40" s="34" t="s">
        <v>1063</v>
      </c>
      <c r="F40" s="29"/>
      <c r="G40" s="22"/>
      <c r="H40" s="22">
        <v>300.0</v>
      </c>
      <c r="I40" s="29"/>
      <c r="J40" s="29"/>
      <c r="K40" s="37"/>
      <c r="L40" s="24"/>
      <c r="M40" s="22"/>
      <c r="N40" s="24"/>
      <c r="O40" s="22"/>
      <c r="P40" s="35">
        <v>300.0</v>
      </c>
      <c r="Q40" s="26">
        <f t="shared" si="1"/>
        <v>0</v>
      </c>
      <c r="R40" s="35"/>
      <c r="S40" s="100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</row>
    <row r="41" ht="34.5" customHeight="1">
      <c r="A41" s="71">
        <v>37.0</v>
      </c>
      <c r="B41" s="69">
        <v>45624.0</v>
      </c>
      <c r="C41" s="32" t="s">
        <v>1064</v>
      </c>
      <c r="D41" s="33">
        <v>85334.0</v>
      </c>
      <c r="E41" s="34" t="s">
        <v>1065</v>
      </c>
      <c r="F41" s="29"/>
      <c r="G41" s="22"/>
      <c r="H41" s="22"/>
      <c r="I41" s="29"/>
      <c r="J41" s="29"/>
      <c r="K41" s="37">
        <v>7300.0</v>
      </c>
      <c r="L41" s="24"/>
      <c r="M41" s="22"/>
      <c r="N41" s="24"/>
      <c r="O41" s="22"/>
      <c r="P41" s="35">
        <v>7300.0</v>
      </c>
      <c r="Q41" s="26">
        <f t="shared" si="1"/>
        <v>0</v>
      </c>
      <c r="R41" s="35"/>
      <c r="S41" s="100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</row>
    <row r="42" ht="34.5" customHeight="1">
      <c r="A42" s="71">
        <v>38.0</v>
      </c>
      <c r="B42" s="69">
        <v>45624.0</v>
      </c>
      <c r="C42" s="32" t="s">
        <v>1066</v>
      </c>
      <c r="D42" s="33">
        <v>85335.0</v>
      </c>
      <c r="E42" s="34" t="s">
        <v>1067</v>
      </c>
      <c r="F42" s="29"/>
      <c r="G42" s="22"/>
      <c r="H42" s="22"/>
      <c r="I42" s="29"/>
      <c r="J42" s="29"/>
      <c r="K42" s="37">
        <v>7300.0</v>
      </c>
      <c r="L42" s="24"/>
      <c r="M42" s="22"/>
      <c r="N42" s="24"/>
      <c r="O42" s="22"/>
      <c r="P42" s="35">
        <v>7300.0</v>
      </c>
      <c r="Q42" s="26">
        <f t="shared" si="1"/>
        <v>0</v>
      </c>
      <c r="R42" s="35"/>
      <c r="S42" s="100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</row>
    <row r="43" ht="34.5" customHeight="1">
      <c r="A43" s="71">
        <v>39.0</v>
      </c>
      <c r="B43" s="69">
        <v>45624.0</v>
      </c>
      <c r="C43" s="32" t="s">
        <v>1068</v>
      </c>
      <c r="D43" s="33">
        <v>85338.0</v>
      </c>
      <c r="E43" s="34" t="s">
        <v>1069</v>
      </c>
      <c r="F43" s="29"/>
      <c r="G43" s="22"/>
      <c r="H43" s="22"/>
      <c r="I43" s="29"/>
      <c r="J43" s="29"/>
      <c r="K43" s="37">
        <v>7300.0</v>
      </c>
      <c r="L43" s="24"/>
      <c r="M43" s="22"/>
      <c r="N43" s="24"/>
      <c r="O43" s="22"/>
      <c r="P43" s="35">
        <v>7300.0</v>
      </c>
      <c r="Q43" s="26">
        <f t="shared" si="1"/>
        <v>0</v>
      </c>
      <c r="R43" s="35"/>
      <c r="S43" s="100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</row>
    <row r="44" ht="34.5" customHeight="1">
      <c r="A44" s="71">
        <v>40.0</v>
      </c>
      <c r="B44" s="69">
        <v>45624.0</v>
      </c>
      <c r="C44" s="32" t="s">
        <v>1070</v>
      </c>
      <c r="D44" s="33">
        <v>85339.0</v>
      </c>
      <c r="E44" s="34" t="s">
        <v>1071</v>
      </c>
      <c r="F44" s="29"/>
      <c r="G44" s="22"/>
      <c r="H44" s="22"/>
      <c r="I44" s="29"/>
      <c r="J44" s="29"/>
      <c r="K44" s="37">
        <v>7300.0</v>
      </c>
      <c r="L44" s="24"/>
      <c r="M44" s="22"/>
      <c r="N44" s="24"/>
      <c r="O44" s="22"/>
      <c r="P44" s="35">
        <v>7300.0</v>
      </c>
      <c r="Q44" s="26">
        <f t="shared" si="1"/>
        <v>0</v>
      </c>
      <c r="R44" s="35"/>
      <c r="S44" s="100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</row>
    <row r="45" ht="34.5" customHeight="1">
      <c r="A45" s="71">
        <v>41.0</v>
      </c>
      <c r="B45" s="69">
        <v>45624.0</v>
      </c>
      <c r="C45" s="32" t="s">
        <v>1072</v>
      </c>
      <c r="D45" s="33">
        <v>85340.0</v>
      </c>
      <c r="E45" s="34" t="s">
        <v>1073</v>
      </c>
      <c r="F45" s="29"/>
      <c r="G45" s="22"/>
      <c r="H45" s="22"/>
      <c r="I45" s="29"/>
      <c r="J45" s="29"/>
      <c r="K45" s="37">
        <v>7300.0</v>
      </c>
      <c r="L45" s="24"/>
      <c r="M45" s="22"/>
      <c r="N45" s="24"/>
      <c r="O45" s="22"/>
      <c r="P45" s="35">
        <v>7300.0</v>
      </c>
      <c r="Q45" s="26">
        <f t="shared" si="1"/>
        <v>0</v>
      </c>
      <c r="R45" s="35"/>
      <c r="S45" s="100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</row>
    <row r="46" ht="34.5" customHeight="1">
      <c r="A46" s="71">
        <v>42.0</v>
      </c>
      <c r="B46" s="69">
        <v>45624.0</v>
      </c>
      <c r="C46" s="32" t="s">
        <v>1074</v>
      </c>
      <c r="D46" s="33">
        <v>85268.0</v>
      </c>
      <c r="E46" s="34" t="s">
        <v>631</v>
      </c>
      <c r="F46" s="29"/>
      <c r="G46" s="22"/>
      <c r="H46" s="22"/>
      <c r="I46" s="29"/>
      <c r="J46" s="29"/>
      <c r="K46" s="37"/>
      <c r="L46" s="24"/>
      <c r="M46" s="22">
        <v>1450.0</v>
      </c>
      <c r="N46" s="24"/>
      <c r="O46" s="22"/>
      <c r="P46" s="35">
        <v>1450.0</v>
      </c>
      <c r="Q46" s="26">
        <f t="shared" si="1"/>
        <v>0</v>
      </c>
      <c r="R46" s="35"/>
      <c r="S46" s="100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</row>
    <row r="47" ht="34.5" customHeight="1">
      <c r="A47" s="71">
        <v>43.0</v>
      </c>
      <c r="B47" s="69">
        <v>45624.0</v>
      </c>
      <c r="C47" s="32" t="s">
        <v>1075</v>
      </c>
      <c r="D47" s="33">
        <v>85342.0</v>
      </c>
      <c r="E47" s="34" t="s">
        <v>1076</v>
      </c>
      <c r="F47" s="29"/>
      <c r="G47" s="22"/>
      <c r="H47" s="22"/>
      <c r="I47" s="29"/>
      <c r="J47" s="29"/>
      <c r="K47" s="37"/>
      <c r="L47" s="24"/>
      <c r="M47" s="22">
        <v>4500.0</v>
      </c>
      <c r="N47" s="24"/>
      <c r="O47" s="22"/>
      <c r="P47" s="35">
        <v>4500.0</v>
      </c>
      <c r="Q47" s="26">
        <f t="shared" si="1"/>
        <v>0</v>
      </c>
      <c r="R47" s="35"/>
      <c r="S47" s="100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</row>
    <row r="48" ht="34.5" customHeight="1">
      <c r="A48" s="71">
        <v>44.0</v>
      </c>
      <c r="B48" s="69">
        <v>45624.0</v>
      </c>
      <c r="C48" s="32" t="s">
        <v>1077</v>
      </c>
      <c r="D48" s="33">
        <v>57943.0</v>
      </c>
      <c r="E48" s="34" t="s">
        <v>1078</v>
      </c>
      <c r="F48" s="29"/>
      <c r="G48" s="22"/>
      <c r="H48" s="22"/>
      <c r="I48" s="29"/>
      <c r="J48" s="29"/>
      <c r="K48" s="37"/>
      <c r="L48" s="24"/>
      <c r="M48" s="22">
        <v>4500.0</v>
      </c>
      <c r="N48" s="24"/>
      <c r="O48" s="22"/>
      <c r="P48" s="35">
        <v>4500.0</v>
      </c>
      <c r="Q48" s="26">
        <f t="shared" si="1"/>
        <v>0</v>
      </c>
      <c r="R48" s="35"/>
      <c r="S48" s="100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</row>
    <row r="49" ht="34.5" customHeight="1">
      <c r="A49" s="71">
        <v>45.0</v>
      </c>
      <c r="B49" s="69">
        <v>45624.0</v>
      </c>
      <c r="C49" s="32" t="s">
        <v>1079</v>
      </c>
      <c r="D49" s="33">
        <v>57870.0</v>
      </c>
      <c r="E49" s="34" t="s">
        <v>271</v>
      </c>
      <c r="F49" s="29"/>
      <c r="G49" s="22"/>
      <c r="H49" s="22"/>
      <c r="I49" s="29"/>
      <c r="J49" s="29"/>
      <c r="K49" s="37"/>
      <c r="L49" s="24"/>
      <c r="M49" s="22">
        <v>12000.0</v>
      </c>
      <c r="N49" s="24"/>
      <c r="O49" s="22"/>
      <c r="P49" s="35">
        <v>12000.0</v>
      </c>
      <c r="Q49" s="26">
        <f t="shared" si="1"/>
        <v>0</v>
      </c>
      <c r="R49" s="35"/>
      <c r="S49" s="100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</row>
    <row r="50" ht="34.5" customHeight="1">
      <c r="A50" s="71">
        <v>46.0</v>
      </c>
      <c r="B50" s="69">
        <v>45624.0</v>
      </c>
      <c r="C50" s="32" t="s">
        <v>1080</v>
      </c>
      <c r="D50" s="33">
        <v>74811.0</v>
      </c>
      <c r="E50" s="34" t="s">
        <v>1081</v>
      </c>
      <c r="F50" s="29"/>
      <c r="G50" s="22"/>
      <c r="H50" s="22"/>
      <c r="I50" s="29"/>
      <c r="J50" s="29"/>
      <c r="K50" s="37">
        <v>5000.0</v>
      </c>
      <c r="L50" s="24"/>
      <c r="M50" s="22"/>
      <c r="N50" s="24"/>
      <c r="O50" s="22"/>
      <c r="P50" s="35">
        <v>5000.0</v>
      </c>
      <c r="Q50" s="26">
        <f t="shared" si="1"/>
        <v>0</v>
      </c>
      <c r="R50" s="35"/>
      <c r="S50" s="100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</row>
    <row r="51" ht="34.5" customHeight="1">
      <c r="A51" s="71">
        <v>47.0</v>
      </c>
      <c r="B51" s="69">
        <v>45624.0</v>
      </c>
      <c r="C51" s="32" t="s">
        <v>1082</v>
      </c>
      <c r="D51" s="33">
        <v>74811.0</v>
      </c>
      <c r="E51" s="34" t="s">
        <v>1081</v>
      </c>
      <c r="F51" s="29"/>
      <c r="G51" s="22"/>
      <c r="H51" s="22"/>
      <c r="I51" s="29"/>
      <c r="J51" s="29"/>
      <c r="K51" s="37">
        <v>1000.0</v>
      </c>
      <c r="L51" s="24"/>
      <c r="M51" s="22"/>
      <c r="N51" s="24"/>
      <c r="O51" s="22"/>
      <c r="P51" s="35">
        <v>1000.0</v>
      </c>
      <c r="Q51" s="26">
        <f t="shared" si="1"/>
        <v>0</v>
      </c>
      <c r="R51" s="35"/>
      <c r="S51" s="100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</row>
    <row r="52" ht="37.5" customHeight="1">
      <c r="A52" s="71"/>
      <c r="B52" s="50"/>
      <c r="C52" s="51"/>
      <c r="D52" s="52" t="s">
        <v>123</v>
      </c>
      <c r="E52" s="53"/>
      <c r="F52" s="54">
        <f t="shared" ref="F52:P52" si="2">SUM(F5:F51)</f>
        <v>0</v>
      </c>
      <c r="G52" s="54">
        <f t="shared" si="2"/>
        <v>0</v>
      </c>
      <c r="H52" s="54">
        <f t="shared" si="2"/>
        <v>300</v>
      </c>
      <c r="I52" s="54">
        <f t="shared" si="2"/>
        <v>65550</v>
      </c>
      <c r="J52" s="54">
        <f t="shared" si="2"/>
        <v>63690</v>
      </c>
      <c r="K52" s="54">
        <f t="shared" si="2"/>
        <v>48500</v>
      </c>
      <c r="L52" s="54">
        <f t="shared" si="2"/>
        <v>0</v>
      </c>
      <c r="M52" s="54">
        <f t="shared" si="2"/>
        <v>27350</v>
      </c>
      <c r="N52" s="54">
        <f t="shared" si="2"/>
        <v>0</v>
      </c>
      <c r="O52" s="54">
        <f t="shared" si="2"/>
        <v>0</v>
      </c>
      <c r="P52" s="54">
        <f t="shared" si="2"/>
        <v>212390</v>
      </c>
      <c r="Q52" s="101">
        <f t="shared" si="1"/>
        <v>-7000</v>
      </c>
      <c r="R52" s="56"/>
      <c r="S52" s="27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</row>
    <row r="53" ht="58.5" customHeight="1">
      <c r="A53" s="57"/>
      <c r="B53" s="57"/>
      <c r="C53" s="58"/>
      <c r="D53" s="57"/>
      <c r="E53" s="57"/>
      <c r="F53" s="59">
        <f>F52+G52+H52+I52+J52+K52+L52+M52+N52+O52</f>
        <v>205390</v>
      </c>
      <c r="P53" s="60"/>
      <c r="Q53" s="60"/>
      <c r="R53" s="57"/>
      <c r="S53" s="57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</row>
    <row r="54" ht="15.75" customHeight="1">
      <c r="A54" s="4"/>
      <c r="B54" s="4"/>
      <c r="C54" s="61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26.25" customHeight="1">
      <c r="A55" s="4"/>
      <c r="B55" s="4"/>
      <c r="C55" s="61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26.25" customHeight="1">
      <c r="A56" s="4"/>
      <c r="B56" s="4"/>
      <c r="C56" s="62" t="s">
        <v>123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26.25" customHeight="1">
      <c r="A57" s="4"/>
      <c r="B57" s="4"/>
      <c r="C57" s="61"/>
      <c r="D57" s="4"/>
      <c r="E57" s="63" t="s">
        <v>124</v>
      </c>
      <c r="F57" s="64" t="s">
        <v>125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26.25" customHeight="1">
      <c r="A58" s="4"/>
      <c r="B58" s="4"/>
      <c r="C58" s="61"/>
      <c r="D58" s="4"/>
      <c r="E58" s="65" t="s">
        <v>126</v>
      </c>
      <c r="F58" s="64" t="s">
        <v>129</v>
      </c>
      <c r="G58" s="4"/>
      <c r="H58" s="4"/>
      <c r="I58" s="4"/>
      <c r="J58" s="4"/>
      <c r="K58" s="4"/>
      <c r="L58" s="4"/>
      <c r="M58" s="4"/>
      <c r="N58" s="4"/>
      <c r="O58" s="66" t="s">
        <v>123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26.25" customHeight="1">
      <c r="A59" s="4"/>
      <c r="B59" s="4"/>
      <c r="C59" s="61"/>
      <c r="D59" s="4"/>
      <c r="E59" s="65" t="s">
        <v>128</v>
      </c>
      <c r="F59" s="64" t="s">
        <v>159</v>
      </c>
      <c r="G59" s="4"/>
      <c r="H59" s="4"/>
      <c r="I59" s="67" t="s">
        <v>250</v>
      </c>
      <c r="J59" s="67" t="s">
        <v>1083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26.25" customHeight="1">
      <c r="A60" s="4"/>
      <c r="B60" s="4"/>
      <c r="C60" s="61"/>
      <c r="D60" s="4"/>
      <c r="E60" s="65" t="s">
        <v>130</v>
      </c>
      <c r="F60" s="64" t="s">
        <v>159</v>
      </c>
      <c r="G60" s="4"/>
      <c r="H60" s="4"/>
      <c r="I60" s="4"/>
      <c r="J60" s="4"/>
      <c r="K60" s="67" t="s">
        <v>123</v>
      </c>
      <c r="L60" s="67" t="s">
        <v>123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26.25" customHeight="1">
      <c r="A61" s="4"/>
      <c r="B61" s="4"/>
      <c r="C61" s="61"/>
      <c r="D61" s="4"/>
      <c r="E61" s="65" t="s">
        <v>131</v>
      </c>
      <c r="F61" s="64" t="s">
        <v>525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26.25" customHeight="1">
      <c r="A62" s="4"/>
      <c r="B62" s="4"/>
      <c r="C62" s="61"/>
      <c r="D62" s="4"/>
      <c r="E62" s="65" t="s">
        <v>1084</v>
      </c>
      <c r="F62" s="64" t="s">
        <v>1085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26.25" customHeight="1">
      <c r="A63" s="4"/>
      <c r="B63" s="4"/>
      <c r="C63" s="61"/>
      <c r="D63" s="4"/>
      <c r="E63" s="65" t="s">
        <v>134</v>
      </c>
      <c r="F63" s="64" t="s">
        <v>1086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26.25" customHeight="1">
      <c r="A64" s="4"/>
      <c r="B64" s="4"/>
      <c r="C64" s="61"/>
      <c r="D64" s="4"/>
      <c r="E64" s="65" t="s">
        <v>135</v>
      </c>
      <c r="F64" s="68" t="s">
        <v>125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66" t="s">
        <v>123</v>
      </c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26.25" customHeight="1">
      <c r="A65" s="4"/>
      <c r="B65" s="4"/>
      <c r="C65" s="61"/>
      <c r="D65" s="4"/>
      <c r="E65" s="4"/>
      <c r="F65" s="4"/>
      <c r="G65" s="4"/>
      <c r="H65" s="4"/>
      <c r="I65" s="4"/>
      <c r="J65" s="4"/>
      <c r="K65" s="4" t="str">
        <f>I72452</f>
        <v/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26.25" customHeight="1">
      <c r="A66" s="4"/>
      <c r="B66" s="4"/>
      <c r="C66" s="6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1"/>
      <c r="D72" s="4"/>
      <c r="E72" s="4"/>
      <c r="F72" s="4"/>
      <c r="G72" s="4"/>
      <c r="H72" s="4"/>
      <c r="I72" s="66" t="s">
        <v>136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1"/>
      <c r="D87" s="4"/>
      <c r="E87" s="4"/>
      <c r="F87" s="4"/>
      <c r="G87" s="4"/>
      <c r="H87" s="4"/>
      <c r="I87" s="4"/>
      <c r="J87" s="4"/>
      <c r="K87" s="4"/>
      <c r="L87" s="4"/>
      <c r="M87" s="4">
        <v>7.0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6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6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6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6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6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6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6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6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6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6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61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61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61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61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61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>
      <c r="A284" s="4"/>
      <c r="B284" s="4"/>
      <c r="C284" s="61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 ht="15.75" customHeight="1">
      <c r="A285" s="4"/>
      <c r="B285" s="4"/>
      <c r="C285" s="61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ht="15.75" customHeight="1">
      <c r="A286" s="4"/>
      <c r="B286" s="4"/>
      <c r="C286" s="61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 ht="15.75" customHeight="1">
      <c r="A287" s="4"/>
      <c r="B287" s="4"/>
      <c r="C287" s="61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7">
    <mergeCell ref="R2:R4"/>
    <mergeCell ref="S2:S4"/>
    <mergeCell ref="F3:F4"/>
    <mergeCell ref="G3:H3"/>
    <mergeCell ref="I3:J3"/>
    <mergeCell ref="K3:K4"/>
    <mergeCell ref="F53:O53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5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20.6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1087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71">
        <v>1.0</v>
      </c>
      <c r="B5" s="69">
        <v>45625.0</v>
      </c>
      <c r="C5" s="32" t="s">
        <v>1088</v>
      </c>
      <c r="D5" s="33">
        <v>62146.0</v>
      </c>
      <c r="E5" s="34" t="s">
        <v>421</v>
      </c>
      <c r="F5" s="24"/>
      <c r="G5" s="22"/>
      <c r="H5" s="22"/>
      <c r="I5" s="29">
        <v>4500.0</v>
      </c>
      <c r="J5" s="29"/>
      <c r="K5" s="22"/>
      <c r="L5" s="24"/>
      <c r="M5" s="29"/>
      <c r="N5" s="24"/>
      <c r="O5" s="24"/>
      <c r="P5" s="35">
        <v>4500.0</v>
      </c>
      <c r="Q5" s="26">
        <f t="shared" ref="Q5:Q42" si="1">F5+G5+H5+I5+J5+K5+L5+M5+N5+O5-P5</f>
        <v>0</v>
      </c>
      <c r="R5" s="98" t="s">
        <v>28</v>
      </c>
      <c r="S5" s="99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</row>
    <row r="6" ht="34.5" customHeight="1">
      <c r="A6" s="83">
        <v>2.0</v>
      </c>
      <c r="B6" s="84">
        <v>45625.0</v>
      </c>
      <c r="C6" s="85" t="s">
        <v>1089</v>
      </c>
      <c r="D6" s="86">
        <v>43134.0</v>
      </c>
      <c r="E6" s="87" t="s">
        <v>1090</v>
      </c>
      <c r="F6" s="90"/>
      <c r="G6" s="90"/>
      <c r="H6" s="88"/>
      <c r="I6" s="89">
        <v>500.0</v>
      </c>
      <c r="J6" s="89"/>
      <c r="K6" s="88"/>
      <c r="L6" s="90"/>
      <c r="M6" s="89"/>
      <c r="N6" s="90"/>
      <c r="O6" s="88"/>
      <c r="P6" s="91">
        <v>500.0</v>
      </c>
      <c r="Q6" s="92">
        <f t="shared" si="1"/>
        <v>0</v>
      </c>
      <c r="R6" s="91" t="s">
        <v>35</v>
      </c>
      <c r="S6" s="10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</row>
    <row r="7" ht="34.5" customHeight="1">
      <c r="A7" s="71">
        <v>3.0</v>
      </c>
      <c r="B7" s="69">
        <v>45625.0</v>
      </c>
      <c r="C7" s="32" t="s">
        <v>1091</v>
      </c>
      <c r="D7" s="33">
        <v>78096.0</v>
      </c>
      <c r="E7" s="34" t="s">
        <v>1092</v>
      </c>
      <c r="F7" s="22"/>
      <c r="G7" s="24"/>
      <c r="H7" s="22"/>
      <c r="I7" s="29">
        <v>5000.0</v>
      </c>
      <c r="J7" s="29"/>
      <c r="K7" s="22"/>
      <c r="L7" s="24"/>
      <c r="M7" s="29"/>
      <c r="N7" s="24"/>
      <c r="O7" s="24"/>
      <c r="P7" s="35">
        <v>5000.0</v>
      </c>
      <c r="Q7" s="26">
        <f t="shared" si="1"/>
        <v>0</v>
      </c>
      <c r="R7" s="35" t="s">
        <v>25</v>
      </c>
      <c r="S7" s="100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</row>
    <row r="8" ht="34.5" customHeight="1">
      <c r="A8" s="71">
        <v>4.0</v>
      </c>
      <c r="B8" s="69">
        <v>45625.0</v>
      </c>
      <c r="C8" s="32" t="s">
        <v>1093</v>
      </c>
      <c r="D8" s="33">
        <v>78096.0</v>
      </c>
      <c r="E8" s="34" t="s">
        <v>1092</v>
      </c>
      <c r="F8" s="22"/>
      <c r="G8" s="22"/>
      <c r="H8" s="22"/>
      <c r="I8" s="29">
        <v>4500.0</v>
      </c>
      <c r="J8" s="29"/>
      <c r="K8" s="22"/>
      <c r="L8" s="24"/>
      <c r="M8" s="29"/>
      <c r="N8" s="24"/>
      <c r="O8" s="24"/>
      <c r="P8" s="35">
        <v>4500.0</v>
      </c>
      <c r="Q8" s="26">
        <f t="shared" si="1"/>
        <v>0</v>
      </c>
      <c r="R8" s="35" t="s">
        <v>25</v>
      </c>
      <c r="S8" s="100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</row>
    <row r="9" ht="34.5" customHeight="1">
      <c r="A9" s="83">
        <v>5.0</v>
      </c>
      <c r="B9" s="84">
        <v>45625.0</v>
      </c>
      <c r="C9" s="85" t="s">
        <v>1094</v>
      </c>
      <c r="D9" s="86">
        <v>51017.0</v>
      </c>
      <c r="E9" s="87" t="s">
        <v>228</v>
      </c>
      <c r="F9" s="88"/>
      <c r="G9" s="90"/>
      <c r="H9" s="88"/>
      <c r="I9" s="89">
        <v>1000.0</v>
      </c>
      <c r="J9" s="89"/>
      <c r="K9" s="88"/>
      <c r="L9" s="90"/>
      <c r="M9" s="89"/>
      <c r="N9" s="90"/>
      <c r="O9" s="90"/>
      <c r="P9" s="91">
        <v>1000.0</v>
      </c>
      <c r="Q9" s="92">
        <f t="shared" si="1"/>
        <v>0</v>
      </c>
      <c r="R9" s="91" t="s">
        <v>28</v>
      </c>
      <c r="S9" s="93"/>
      <c r="T9" s="57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</row>
    <row r="10" ht="34.5" customHeight="1">
      <c r="A10" s="71">
        <v>6.0</v>
      </c>
      <c r="B10" s="69">
        <v>45625.0</v>
      </c>
      <c r="C10" s="32" t="s">
        <v>1095</v>
      </c>
      <c r="D10" s="33">
        <v>52349.0</v>
      </c>
      <c r="E10" s="34" t="s">
        <v>1096</v>
      </c>
      <c r="F10" s="22"/>
      <c r="G10" s="24"/>
      <c r="H10" s="22"/>
      <c r="I10" s="29"/>
      <c r="J10" s="29"/>
      <c r="K10" s="22"/>
      <c r="L10" s="24"/>
      <c r="M10" s="29">
        <v>10500.0</v>
      </c>
      <c r="N10" s="24"/>
      <c r="O10" s="24"/>
      <c r="P10" s="35">
        <v>10500.0</v>
      </c>
      <c r="Q10" s="26">
        <f t="shared" si="1"/>
        <v>0</v>
      </c>
      <c r="R10" s="35" t="s">
        <v>28</v>
      </c>
      <c r="S10" s="100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</row>
    <row r="11" ht="34.5" customHeight="1">
      <c r="A11" s="71">
        <v>7.0</v>
      </c>
      <c r="B11" s="69">
        <v>45625.0</v>
      </c>
      <c r="C11" s="32" t="s">
        <v>1097</v>
      </c>
      <c r="D11" s="33">
        <v>81108.0</v>
      </c>
      <c r="E11" s="34" t="s">
        <v>536</v>
      </c>
      <c r="F11" s="22"/>
      <c r="G11" s="24"/>
      <c r="H11" s="22"/>
      <c r="I11" s="29">
        <v>10950.0</v>
      </c>
      <c r="J11" s="29"/>
      <c r="K11" s="22"/>
      <c r="L11" s="24"/>
      <c r="M11" s="29"/>
      <c r="N11" s="24"/>
      <c r="O11" s="24"/>
      <c r="P11" s="35">
        <v>10950.0</v>
      </c>
      <c r="Q11" s="26">
        <f t="shared" si="1"/>
        <v>0</v>
      </c>
      <c r="R11" s="35" t="s">
        <v>28</v>
      </c>
      <c r="S11" s="100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</row>
    <row r="12" ht="34.5" customHeight="1">
      <c r="A12" s="83">
        <v>8.0</v>
      </c>
      <c r="B12" s="84">
        <v>45625.0</v>
      </c>
      <c r="C12" s="85" t="s">
        <v>1098</v>
      </c>
      <c r="D12" s="86">
        <v>36555.0</v>
      </c>
      <c r="E12" s="87" t="s">
        <v>106</v>
      </c>
      <c r="F12" s="88"/>
      <c r="G12" s="90"/>
      <c r="H12" s="88"/>
      <c r="I12" s="89">
        <v>1000.0</v>
      </c>
      <c r="J12" s="89"/>
      <c r="K12" s="88"/>
      <c r="L12" s="90"/>
      <c r="M12" s="89"/>
      <c r="N12" s="90"/>
      <c r="O12" s="90"/>
      <c r="P12" s="91">
        <v>1000.0</v>
      </c>
      <c r="Q12" s="92">
        <f t="shared" si="1"/>
        <v>0</v>
      </c>
      <c r="R12" s="91" t="s">
        <v>25</v>
      </c>
      <c r="S12" s="93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</row>
    <row r="13" ht="34.5" customHeight="1">
      <c r="A13" s="71">
        <v>9.0</v>
      </c>
      <c r="B13" s="69">
        <v>45625.0</v>
      </c>
      <c r="C13" s="32" t="s">
        <v>1099</v>
      </c>
      <c r="D13" s="33">
        <v>51512.0</v>
      </c>
      <c r="E13" s="34" t="s">
        <v>595</v>
      </c>
      <c r="F13" s="22"/>
      <c r="G13" s="22"/>
      <c r="H13" s="22"/>
      <c r="I13" s="29"/>
      <c r="J13" s="29">
        <v>5100.0</v>
      </c>
      <c r="K13" s="22"/>
      <c r="L13" s="24"/>
      <c r="M13" s="29"/>
      <c r="N13" s="24"/>
      <c r="O13" s="24"/>
      <c r="P13" s="35">
        <v>5100.0</v>
      </c>
      <c r="Q13" s="26">
        <f t="shared" si="1"/>
        <v>0</v>
      </c>
      <c r="R13" s="35" t="s">
        <v>28</v>
      </c>
      <c r="S13" s="100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ht="34.5" customHeight="1">
      <c r="A14" s="83">
        <v>10.0</v>
      </c>
      <c r="B14" s="84">
        <v>45625.0</v>
      </c>
      <c r="C14" s="85" t="s">
        <v>1100</v>
      </c>
      <c r="D14" s="86">
        <v>78454.0</v>
      </c>
      <c r="E14" s="87" t="s">
        <v>495</v>
      </c>
      <c r="F14" s="88"/>
      <c r="G14" s="88"/>
      <c r="H14" s="88"/>
      <c r="I14" s="89">
        <v>1000.0</v>
      </c>
      <c r="J14" s="89"/>
      <c r="K14" s="88"/>
      <c r="L14" s="90"/>
      <c r="M14" s="89"/>
      <c r="N14" s="90"/>
      <c r="O14" s="88"/>
      <c r="P14" s="91">
        <v>1000.0</v>
      </c>
      <c r="Q14" s="92">
        <f t="shared" si="1"/>
        <v>0</v>
      </c>
      <c r="R14" s="91" t="s">
        <v>28</v>
      </c>
      <c r="S14" s="93"/>
      <c r="T14" s="57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</row>
    <row r="15" ht="34.5" customHeight="1">
      <c r="A15" s="71">
        <v>11.0</v>
      </c>
      <c r="B15" s="69">
        <v>45625.0</v>
      </c>
      <c r="C15" s="32" t="s">
        <v>1101</v>
      </c>
      <c r="D15" s="33">
        <v>48657.0</v>
      </c>
      <c r="E15" s="34" t="s">
        <v>1102</v>
      </c>
      <c r="F15" s="21"/>
      <c r="G15" s="22"/>
      <c r="H15" s="24"/>
      <c r="I15" s="29">
        <v>2500.0</v>
      </c>
      <c r="J15" s="29"/>
      <c r="K15" s="37"/>
      <c r="L15" s="24"/>
      <c r="M15" s="22"/>
      <c r="N15" s="24"/>
      <c r="O15" s="22"/>
      <c r="P15" s="35">
        <v>2500.0</v>
      </c>
      <c r="Q15" s="26">
        <f t="shared" si="1"/>
        <v>0</v>
      </c>
      <c r="R15" s="35" t="s">
        <v>28</v>
      </c>
      <c r="S15" s="100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</row>
    <row r="16" ht="34.5" customHeight="1">
      <c r="A16" s="71">
        <v>12.0</v>
      </c>
      <c r="B16" s="69">
        <v>45625.0</v>
      </c>
      <c r="C16" s="32" t="s">
        <v>1103</v>
      </c>
      <c r="D16" s="33">
        <v>46927.0</v>
      </c>
      <c r="E16" s="34" t="s">
        <v>386</v>
      </c>
      <c r="F16" s="21"/>
      <c r="G16" s="22"/>
      <c r="H16" s="22"/>
      <c r="I16" s="29">
        <v>2600.0</v>
      </c>
      <c r="J16" s="29"/>
      <c r="K16" s="37"/>
      <c r="L16" s="24"/>
      <c r="M16" s="24"/>
      <c r="N16" s="24"/>
      <c r="O16" s="22"/>
      <c r="P16" s="35">
        <v>2600.0</v>
      </c>
      <c r="Q16" s="26">
        <f t="shared" si="1"/>
        <v>0</v>
      </c>
      <c r="R16" s="35" t="s">
        <v>35</v>
      </c>
      <c r="S16" s="100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</row>
    <row r="17" ht="34.5" customHeight="1">
      <c r="A17" s="71">
        <v>13.0</v>
      </c>
      <c r="B17" s="69">
        <v>45625.0</v>
      </c>
      <c r="C17" s="32" t="s">
        <v>1104</v>
      </c>
      <c r="D17" s="33">
        <v>51048.0</v>
      </c>
      <c r="E17" s="34" t="s">
        <v>1105</v>
      </c>
      <c r="F17" s="21"/>
      <c r="G17" s="22"/>
      <c r="H17" s="22"/>
      <c r="I17" s="29">
        <v>4850.0</v>
      </c>
      <c r="J17" s="21"/>
      <c r="K17" s="37"/>
      <c r="L17" s="24"/>
      <c r="M17" s="22"/>
      <c r="N17" s="24"/>
      <c r="O17" s="22"/>
      <c r="P17" s="35">
        <v>4850.0</v>
      </c>
      <c r="Q17" s="26">
        <f t="shared" si="1"/>
        <v>0</v>
      </c>
      <c r="R17" s="35" t="s">
        <v>35</v>
      </c>
      <c r="S17" s="100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</row>
    <row r="18" ht="34.5" customHeight="1">
      <c r="A18" s="71">
        <v>14.0</v>
      </c>
      <c r="B18" s="69">
        <v>45625.0</v>
      </c>
      <c r="C18" s="32" t="s">
        <v>1106</v>
      </c>
      <c r="D18" s="33">
        <v>72839.0</v>
      </c>
      <c r="E18" s="34" t="s">
        <v>581</v>
      </c>
      <c r="F18" s="29"/>
      <c r="G18" s="22"/>
      <c r="H18" s="24"/>
      <c r="I18" s="29">
        <v>5000.0</v>
      </c>
      <c r="J18" s="21"/>
      <c r="K18" s="37"/>
      <c r="L18" s="24"/>
      <c r="M18" s="22"/>
      <c r="N18" s="24"/>
      <c r="O18" s="22"/>
      <c r="P18" s="35">
        <v>5000.0</v>
      </c>
      <c r="Q18" s="26">
        <f t="shared" si="1"/>
        <v>0</v>
      </c>
      <c r="R18" s="35" t="s">
        <v>35</v>
      </c>
      <c r="S18" s="100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</row>
    <row r="19" ht="34.5" customHeight="1">
      <c r="A19" s="71">
        <v>15.0</v>
      </c>
      <c r="B19" s="69">
        <v>45625.0</v>
      </c>
      <c r="C19" s="32" t="s">
        <v>1107</v>
      </c>
      <c r="D19" s="33">
        <v>72839.0</v>
      </c>
      <c r="E19" s="34" t="s">
        <v>581</v>
      </c>
      <c r="F19" s="29"/>
      <c r="G19" s="22"/>
      <c r="H19" s="22"/>
      <c r="I19" s="29">
        <v>4500.0</v>
      </c>
      <c r="J19" s="29"/>
      <c r="K19" s="37"/>
      <c r="L19" s="24"/>
      <c r="M19" s="22"/>
      <c r="N19" s="24"/>
      <c r="O19" s="22"/>
      <c r="P19" s="35">
        <v>4500.0</v>
      </c>
      <c r="Q19" s="26">
        <f t="shared" si="1"/>
        <v>0</v>
      </c>
      <c r="R19" s="35" t="s">
        <v>35</v>
      </c>
      <c r="S19" s="100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34.5" customHeight="1">
      <c r="A20" s="71">
        <v>16.0</v>
      </c>
      <c r="B20" s="69">
        <v>45625.0</v>
      </c>
      <c r="C20" s="32" t="s">
        <v>1108</v>
      </c>
      <c r="D20" s="33">
        <v>78726.0</v>
      </c>
      <c r="E20" s="34" t="s">
        <v>1109</v>
      </c>
      <c r="F20" s="29"/>
      <c r="G20" s="22"/>
      <c r="H20" s="22"/>
      <c r="I20" s="29">
        <v>5000.0</v>
      </c>
      <c r="J20" s="29"/>
      <c r="K20" s="37"/>
      <c r="L20" s="24"/>
      <c r="M20" s="22"/>
      <c r="N20" s="24"/>
      <c r="O20" s="22"/>
      <c r="P20" s="35">
        <v>5000.0</v>
      </c>
      <c r="Q20" s="26">
        <f t="shared" si="1"/>
        <v>0</v>
      </c>
      <c r="R20" s="35" t="s">
        <v>35</v>
      </c>
      <c r="S20" s="100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</row>
    <row r="21" ht="34.5" customHeight="1">
      <c r="A21" s="71">
        <v>17.0</v>
      </c>
      <c r="B21" s="69">
        <v>45625.0</v>
      </c>
      <c r="C21" s="32" t="s">
        <v>1110</v>
      </c>
      <c r="D21" s="33">
        <v>10288.0</v>
      </c>
      <c r="E21" s="34" t="s">
        <v>1111</v>
      </c>
      <c r="F21" s="29"/>
      <c r="G21" s="22"/>
      <c r="H21" s="22"/>
      <c r="I21" s="29">
        <v>3600.0</v>
      </c>
      <c r="J21" s="29"/>
      <c r="K21" s="37"/>
      <c r="L21" s="24"/>
      <c r="M21" s="22"/>
      <c r="N21" s="24"/>
      <c r="O21" s="22"/>
      <c r="P21" s="35">
        <v>3600.0</v>
      </c>
      <c r="Q21" s="26">
        <f t="shared" si="1"/>
        <v>0</v>
      </c>
      <c r="R21" s="35" t="s">
        <v>35</v>
      </c>
      <c r="S21" s="100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</row>
    <row r="22" ht="34.5" customHeight="1">
      <c r="A22" s="71">
        <v>18.0</v>
      </c>
      <c r="B22" s="69">
        <v>45625.0</v>
      </c>
      <c r="C22" s="32" t="s">
        <v>1112</v>
      </c>
      <c r="D22" s="33">
        <v>36555.0</v>
      </c>
      <c r="E22" s="34" t="s">
        <v>106</v>
      </c>
      <c r="F22" s="29"/>
      <c r="G22" s="22"/>
      <c r="H22" s="22"/>
      <c r="I22" s="29"/>
      <c r="J22" s="29"/>
      <c r="K22" s="37">
        <v>3710.0</v>
      </c>
      <c r="L22" s="24"/>
      <c r="M22" s="22"/>
      <c r="N22" s="24"/>
      <c r="O22" s="22"/>
      <c r="P22" s="35">
        <v>3710.0</v>
      </c>
      <c r="Q22" s="26">
        <f t="shared" si="1"/>
        <v>0</v>
      </c>
      <c r="R22" s="35" t="s">
        <v>28</v>
      </c>
      <c r="S22" s="100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</row>
    <row r="23" ht="34.5" customHeight="1">
      <c r="A23" s="71">
        <v>19.0</v>
      </c>
      <c r="B23" s="69">
        <v>45625.0</v>
      </c>
      <c r="C23" s="32" t="s">
        <v>1113</v>
      </c>
      <c r="D23" s="33">
        <v>35227.0</v>
      </c>
      <c r="E23" s="34" t="s">
        <v>299</v>
      </c>
      <c r="F23" s="29"/>
      <c r="G23" s="22"/>
      <c r="H23" s="22"/>
      <c r="I23" s="29">
        <v>900.0</v>
      </c>
      <c r="J23" s="29"/>
      <c r="K23" s="37"/>
      <c r="L23" s="24"/>
      <c r="M23" s="22"/>
      <c r="N23" s="24"/>
      <c r="O23" s="22"/>
      <c r="P23" s="35">
        <v>900.0</v>
      </c>
      <c r="Q23" s="26">
        <f t="shared" si="1"/>
        <v>0</v>
      </c>
      <c r="R23" s="35" t="s">
        <v>35</v>
      </c>
      <c r="S23" s="100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</row>
    <row r="24" ht="34.5" customHeight="1">
      <c r="A24" s="71">
        <v>20.0</v>
      </c>
      <c r="B24" s="69">
        <v>45625.0</v>
      </c>
      <c r="C24" s="32" t="s">
        <v>1114</v>
      </c>
      <c r="D24" s="33">
        <v>84114.0</v>
      </c>
      <c r="E24" s="34" t="s">
        <v>1115</v>
      </c>
      <c r="F24" s="29"/>
      <c r="G24" s="22"/>
      <c r="H24" s="22"/>
      <c r="I24" s="29"/>
      <c r="J24" s="29">
        <v>2550.0</v>
      </c>
      <c r="K24" s="37"/>
      <c r="L24" s="24"/>
      <c r="M24" s="22"/>
      <c r="N24" s="24"/>
      <c r="O24" s="22"/>
      <c r="P24" s="35">
        <v>2550.0</v>
      </c>
      <c r="Q24" s="26">
        <f t="shared" si="1"/>
        <v>0</v>
      </c>
      <c r="R24" s="35" t="s">
        <v>35</v>
      </c>
      <c r="S24" s="100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</row>
    <row r="25" ht="34.5" customHeight="1">
      <c r="A25" s="71">
        <v>21.0</v>
      </c>
      <c r="B25" s="69">
        <v>45625.0</v>
      </c>
      <c r="C25" s="32" t="s">
        <v>1116</v>
      </c>
      <c r="D25" s="33">
        <v>53249.0</v>
      </c>
      <c r="E25" s="34" t="s">
        <v>73</v>
      </c>
      <c r="F25" s="29"/>
      <c r="G25" s="22"/>
      <c r="H25" s="22"/>
      <c r="I25" s="29">
        <v>15000.0</v>
      </c>
      <c r="J25" s="29"/>
      <c r="K25" s="37"/>
      <c r="L25" s="24"/>
      <c r="M25" s="22"/>
      <c r="N25" s="24"/>
      <c r="O25" s="22"/>
      <c r="P25" s="35">
        <v>15000.0</v>
      </c>
      <c r="Q25" s="26">
        <f t="shared" si="1"/>
        <v>0</v>
      </c>
      <c r="R25" s="35" t="s">
        <v>25</v>
      </c>
      <c r="S25" s="100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</row>
    <row r="26" ht="34.5" customHeight="1">
      <c r="A26" s="71">
        <v>22.0</v>
      </c>
      <c r="B26" s="69">
        <v>45625.0</v>
      </c>
      <c r="C26" s="32" t="s">
        <v>1117</v>
      </c>
      <c r="D26" s="33">
        <v>44035.0</v>
      </c>
      <c r="E26" s="34" t="s">
        <v>1118</v>
      </c>
      <c r="F26" s="29"/>
      <c r="G26" s="22"/>
      <c r="H26" s="22"/>
      <c r="I26" s="29">
        <v>2950.0</v>
      </c>
      <c r="J26" s="29"/>
      <c r="K26" s="37"/>
      <c r="L26" s="24"/>
      <c r="M26" s="22"/>
      <c r="N26" s="24"/>
      <c r="O26" s="22"/>
      <c r="P26" s="35">
        <v>2950.0</v>
      </c>
      <c r="Q26" s="26">
        <f t="shared" si="1"/>
        <v>0</v>
      </c>
      <c r="R26" s="35" t="s">
        <v>25</v>
      </c>
      <c r="S26" s="100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</row>
    <row r="27" ht="34.5" customHeight="1">
      <c r="A27" s="83">
        <v>23.0</v>
      </c>
      <c r="B27" s="84">
        <v>45625.0</v>
      </c>
      <c r="C27" s="85" t="s">
        <v>1119</v>
      </c>
      <c r="D27" s="86">
        <v>28164.0</v>
      </c>
      <c r="E27" s="87" t="s">
        <v>1120</v>
      </c>
      <c r="F27" s="89"/>
      <c r="G27" s="88"/>
      <c r="H27" s="88"/>
      <c r="I27" s="89"/>
      <c r="J27" s="89">
        <v>500.0</v>
      </c>
      <c r="K27" s="97"/>
      <c r="L27" s="90"/>
      <c r="M27" s="88"/>
      <c r="N27" s="90"/>
      <c r="O27" s="88"/>
      <c r="P27" s="91">
        <v>500.0</v>
      </c>
      <c r="Q27" s="92">
        <f t="shared" si="1"/>
        <v>0</v>
      </c>
      <c r="R27" s="91" t="s">
        <v>25</v>
      </c>
      <c r="S27" s="93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</row>
    <row r="28" ht="34.5" customHeight="1">
      <c r="A28" s="71">
        <v>24.0</v>
      </c>
      <c r="B28" s="69">
        <v>45625.0</v>
      </c>
      <c r="C28" s="32" t="s">
        <v>1121</v>
      </c>
      <c r="D28" s="33">
        <v>10701.0</v>
      </c>
      <c r="E28" s="34" t="s">
        <v>1122</v>
      </c>
      <c r="F28" s="29"/>
      <c r="G28" s="22"/>
      <c r="H28" s="22"/>
      <c r="I28" s="29">
        <v>6250.0</v>
      </c>
      <c r="J28" s="29"/>
      <c r="K28" s="37"/>
      <c r="L28" s="24"/>
      <c r="M28" s="22"/>
      <c r="N28" s="24"/>
      <c r="O28" s="22"/>
      <c r="P28" s="35">
        <v>6250.0</v>
      </c>
      <c r="Q28" s="26">
        <f t="shared" si="1"/>
        <v>0</v>
      </c>
      <c r="R28" s="35" t="s">
        <v>35</v>
      </c>
      <c r="S28" s="100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</row>
    <row r="29" ht="34.5" customHeight="1">
      <c r="A29" s="71">
        <v>25.0</v>
      </c>
      <c r="B29" s="69">
        <v>45625.0</v>
      </c>
      <c r="C29" s="32" t="s">
        <v>1123</v>
      </c>
      <c r="D29" s="33">
        <v>32886.0</v>
      </c>
      <c r="E29" s="34" t="s">
        <v>1124</v>
      </c>
      <c r="F29" s="29"/>
      <c r="G29" s="22"/>
      <c r="H29" s="22"/>
      <c r="I29" s="29">
        <v>1200.0</v>
      </c>
      <c r="J29" s="29"/>
      <c r="K29" s="37"/>
      <c r="L29" s="24"/>
      <c r="M29" s="22"/>
      <c r="N29" s="24"/>
      <c r="O29" s="22"/>
      <c r="P29" s="35">
        <v>1200.0</v>
      </c>
      <c r="Q29" s="26">
        <f t="shared" si="1"/>
        <v>0</v>
      </c>
      <c r="R29" s="35" t="s">
        <v>25</v>
      </c>
      <c r="S29" s="100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</row>
    <row r="30" ht="34.5" customHeight="1">
      <c r="A30" s="83">
        <v>26.0</v>
      </c>
      <c r="B30" s="84">
        <v>45625.0</v>
      </c>
      <c r="C30" s="85" t="s">
        <v>1125</v>
      </c>
      <c r="D30" s="86">
        <v>10255.0</v>
      </c>
      <c r="E30" s="87" t="s">
        <v>1126</v>
      </c>
      <c r="F30" s="89"/>
      <c r="G30" s="88"/>
      <c r="H30" s="88"/>
      <c r="I30" s="89"/>
      <c r="J30" s="89">
        <v>500.0</v>
      </c>
      <c r="K30" s="97"/>
      <c r="L30" s="90"/>
      <c r="M30" s="88"/>
      <c r="N30" s="90"/>
      <c r="O30" s="88"/>
      <c r="P30" s="91">
        <v>500.0</v>
      </c>
      <c r="Q30" s="92">
        <f t="shared" si="1"/>
        <v>0</v>
      </c>
      <c r="R30" s="91" t="s">
        <v>35</v>
      </c>
      <c r="S30" s="93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</row>
    <row r="31" ht="34.5" customHeight="1">
      <c r="A31" s="83">
        <v>27.0</v>
      </c>
      <c r="B31" s="84">
        <v>45625.0</v>
      </c>
      <c r="C31" s="85" t="s">
        <v>1127</v>
      </c>
      <c r="D31" s="86">
        <v>10270.0</v>
      </c>
      <c r="E31" s="87" t="s">
        <v>1128</v>
      </c>
      <c r="F31" s="89"/>
      <c r="G31" s="88"/>
      <c r="H31" s="88"/>
      <c r="I31" s="89"/>
      <c r="J31" s="89">
        <v>500.0</v>
      </c>
      <c r="K31" s="97"/>
      <c r="L31" s="90"/>
      <c r="M31" s="88"/>
      <c r="N31" s="90"/>
      <c r="O31" s="88"/>
      <c r="P31" s="91">
        <v>500.0</v>
      </c>
      <c r="Q31" s="92">
        <f t="shared" si="1"/>
        <v>0</v>
      </c>
      <c r="R31" s="91" t="s">
        <v>35</v>
      </c>
      <c r="S31" s="93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</row>
    <row r="32" ht="34.5" customHeight="1">
      <c r="A32" s="83">
        <v>28.0</v>
      </c>
      <c r="B32" s="84">
        <v>45625.0</v>
      </c>
      <c r="C32" s="85" t="s">
        <v>1129</v>
      </c>
      <c r="D32" s="86">
        <v>10271.0</v>
      </c>
      <c r="E32" s="87" t="s">
        <v>438</v>
      </c>
      <c r="F32" s="89"/>
      <c r="G32" s="88"/>
      <c r="H32" s="88"/>
      <c r="I32" s="89"/>
      <c r="J32" s="89">
        <v>500.0</v>
      </c>
      <c r="K32" s="97"/>
      <c r="L32" s="90"/>
      <c r="M32" s="88"/>
      <c r="N32" s="90"/>
      <c r="O32" s="88"/>
      <c r="P32" s="91">
        <v>500.0</v>
      </c>
      <c r="Q32" s="92">
        <f t="shared" si="1"/>
        <v>0</v>
      </c>
      <c r="R32" s="91" t="s">
        <v>35</v>
      </c>
      <c r="S32" s="93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</row>
    <row r="33" ht="34.5" customHeight="1">
      <c r="A33" s="83">
        <v>29.0</v>
      </c>
      <c r="B33" s="84">
        <v>45625.0</v>
      </c>
      <c r="C33" s="85" t="s">
        <v>1130</v>
      </c>
      <c r="D33" s="86">
        <v>65162.0</v>
      </c>
      <c r="E33" s="87" t="s">
        <v>1131</v>
      </c>
      <c r="F33" s="89"/>
      <c r="G33" s="88"/>
      <c r="H33" s="88"/>
      <c r="I33" s="89"/>
      <c r="J33" s="89">
        <v>500.0</v>
      </c>
      <c r="K33" s="97"/>
      <c r="L33" s="90"/>
      <c r="M33" s="88"/>
      <c r="N33" s="90"/>
      <c r="O33" s="88"/>
      <c r="P33" s="91">
        <v>500.0</v>
      </c>
      <c r="Q33" s="92">
        <f t="shared" si="1"/>
        <v>0</v>
      </c>
      <c r="R33" s="91" t="s">
        <v>35</v>
      </c>
      <c r="S33" s="93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</row>
    <row r="34" ht="34.5" customHeight="1">
      <c r="A34" s="83">
        <v>30.0</v>
      </c>
      <c r="B34" s="84">
        <v>45625.0</v>
      </c>
      <c r="C34" s="85" t="s">
        <v>1132</v>
      </c>
      <c r="D34" s="86">
        <v>30895.0</v>
      </c>
      <c r="E34" s="87" t="s">
        <v>75</v>
      </c>
      <c r="F34" s="89"/>
      <c r="G34" s="88"/>
      <c r="H34" s="88"/>
      <c r="I34" s="89">
        <v>500.0</v>
      </c>
      <c r="J34" s="89"/>
      <c r="K34" s="97"/>
      <c r="L34" s="90"/>
      <c r="M34" s="88"/>
      <c r="N34" s="90"/>
      <c r="O34" s="88"/>
      <c r="P34" s="91">
        <v>500.0</v>
      </c>
      <c r="Q34" s="92">
        <f t="shared" si="1"/>
        <v>0</v>
      </c>
      <c r="R34" s="91" t="s">
        <v>25</v>
      </c>
      <c r="S34" s="93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</row>
    <row r="35" ht="34.5" customHeight="1">
      <c r="A35" s="71">
        <v>31.0</v>
      </c>
      <c r="B35" s="69">
        <v>45625.0</v>
      </c>
      <c r="C35" s="32" t="s">
        <v>1133</v>
      </c>
      <c r="D35" s="33">
        <v>32700.0</v>
      </c>
      <c r="E35" s="34" t="s">
        <v>1134</v>
      </c>
      <c r="F35" s="29"/>
      <c r="G35" s="22"/>
      <c r="H35" s="22"/>
      <c r="I35" s="29"/>
      <c r="J35" s="29">
        <v>5390.0</v>
      </c>
      <c r="K35" s="37"/>
      <c r="L35" s="24"/>
      <c r="M35" s="22"/>
      <c r="N35" s="24"/>
      <c r="O35" s="22"/>
      <c r="P35" s="35">
        <v>5390.0</v>
      </c>
      <c r="Q35" s="26">
        <f t="shared" si="1"/>
        <v>0</v>
      </c>
      <c r="R35" s="35" t="s">
        <v>28</v>
      </c>
      <c r="S35" s="100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</row>
    <row r="36" ht="34.5" customHeight="1">
      <c r="A36" s="71">
        <v>32.0</v>
      </c>
      <c r="B36" s="69">
        <v>45624.0</v>
      </c>
      <c r="C36" s="32" t="s">
        <v>1135</v>
      </c>
      <c r="D36" s="33">
        <v>80778.0</v>
      </c>
      <c r="E36" s="34" t="s">
        <v>1136</v>
      </c>
      <c r="F36" s="29"/>
      <c r="G36" s="22"/>
      <c r="H36" s="22"/>
      <c r="I36" s="29"/>
      <c r="J36" s="29"/>
      <c r="K36" s="37"/>
      <c r="L36" s="24"/>
      <c r="M36" s="22">
        <v>2600.0</v>
      </c>
      <c r="N36" s="24"/>
      <c r="O36" s="22"/>
      <c r="P36" s="35">
        <v>2600.0</v>
      </c>
      <c r="Q36" s="26">
        <f t="shared" si="1"/>
        <v>0</v>
      </c>
      <c r="R36" s="35"/>
      <c r="S36" s="100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</row>
    <row r="37" ht="34.5" customHeight="1">
      <c r="A37" s="71">
        <v>33.0</v>
      </c>
      <c r="B37" s="69">
        <v>45625.0</v>
      </c>
      <c r="C37" s="32" t="s">
        <v>1137</v>
      </c>
      <c r="D37" s="33">
        <v>51017.0</v>
      </c>
      <c r="E37" s="34" t="s">
        <v>228</v>
      </c>
      <c r="F37" s="29"/>
      <c r="G37" s="22"/>
      <c r="H37" s="22">
        <v>12500.0</v>
      </c>
      <c r="I37" s="29"/>
      <c r="J37" s="29"/>
      <c r="K37" s="37"/>
      <c r="L37" s="24"/>
      <c r="M37" s="22"/>
      <c r="N37" s="24"/>
      <c r="O37" s="22"/>
      <c r="P37" s="35">
        <v>12500.0</v>
      </c>
      <c r="Q37" s="26">
        <f t="shared" si="1"/>
        <v>0</v>
      </c>
      <c r="R37" s="35"/>
      <c r="S37" s="100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</row>
    <row r="38" ht="34.5" customHeight="1">
      <c r="A38" s="71">
        <v>34.0</v>
      </c>
      <c r="B38" s="69">
        <v>45625.0</v>
      </c>
      <c r="C38" s="32" t="s">
        <v>1138</v>
      </c>
      <c r="D38" s="33">
        <v>58818.0</v>
      </c>
      <c r="E38" s="34" t="s">
        <v>1139</v>
      </c>
      <c r="F38" s="29"/>
      <c r="G38" s="22"/>
      <c r="H38" s="22">
        <v>4500.0</v>
      </c>
      <c r="I38" s="29"/>
      <c r="J38" s="29"/>
      <c r="K38" s="37"/>
      <c r="L38" s="24"/>
      <c r="M38" s="22"/>
      <c r="N38" s="24"/>
      <c r="O38" s="22"/>
      <c r="P38" s="35">
        <v>4500.0</v>
      </c>
      <c r="Q38" s="26">
        <f t="shared" si="1"/>
        <v>0</v>
      </c>
      <c r="R38" s="35"/>
      <c r="S38" s="100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</row>
    <row r="39" ht="34.5" customHeight="1">
      <c r="A39" s="71">
        <v>35.0</v>
      </c>
      <c r="B39" s="69">
        <v>45625.0</v>
      </c>
      <c r="C39" s="32" t="s">
        <v>1140</v>
      </c>
      <c r="D39" s="33">
        <v>58468.0</v>
      </c>
      <c r="E39" s="34" t="s">
        <v>1141</v>
      </c>
      <c r="F39" s="29"/>
      <c r="G39" s="22"/>
      <c r="H39" s="22">
        <v>4500.0</v>
      </c>
      <c r="I39" s="29"/>
      <c r="J39" s="29"/>
      <c r="K39" s="37"/>
      <c r="L39" s="24"/>
      <c r="M39" s="22"/>
      <c r="N39" s="24"/>
      <c r="O39" s="22"/>
      <c r="P39" s="35">
        <v>4500.0</v>
      </c>
      <c r="Q39" s="26">
        <f t="shared" si="1"/>
        <v>0</v>
      </c>
      <c r="R39" s="35"/>
      <c r="S39" s="100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</row>
    <row r="40" ht="34.5" customHeight="1">
      <c r="A40" s="71">
        <v>36.0</v>
      </c>
      <c r="B40" s="69">
        <v>45625.0</v>
      </c>
      <c r="C40" s="32" t="s">
        <v>1142</v>
      </c>
      <c r="D40" s="33">
        <v>54581.0</v>
      </c>
      <c r="E40" s="34" t="s">
        <v>1143</v>
      </c>
      <c r="F40" s="29"/>
      <c r="G40" s="22"/>
      <c r="H40" s="22">
        <v>4500.0</v>
      </c>
      <c r="I40" s="29"/>
      <c r="J40" s="29"/>
      <c r="K40" s="37"/>
      <c r="L40" s="24"/>
      <c r="M40" s="22"/>
      <c r="N40" s="24"/>
      <c r="O40" s="22"/>
      <c r="P40" s="35">
        <v>4500.0</v>
      </c>
      <c r="Q40" s="26">
        <f t="shared" si="1"/>
        <v>0</v>
      </c>
      <c r="R40" s="35"/>
      <c r="S40" s="100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</row>
    <row r="41" ht="34.5" customHeight="1">
      <c r="A41" s="71">
        <v>37.0</v>
      </c>
      <c r="B41" s="69">
        <v>45625.0</v>
      </c>
      <c r="C41" s="32" t="s">
        <v>1144</v>
      </c>
      <c r="D41" s="33">
        <v>54211.0</v>
      </c>
      <c r="E41" s="34" t="s">
        <v>416</v>
      </c>
      <c r="F41" s="29"/>
      <c r="G41" s="22"/>
      <c r="H41" s="22">
        <v>6400.0</v>
      </c>
      <c r="I41" s="29"/>
      <c r="J41" s="29"/>
      <c r="K41" s="37"/>
      <c r="L41" s="24"/>
      <c r="M41" s="22"/>
      <c r="N41" s="24"/>
      <c r="O41" s="22"/>
      <c r="P41" s="35">
        <v>6400.0</v>
      </c>
      <c r="Q41" s="26">
        <f t="shared" si="1"/>
        <v>0</v>
      </c>
      <c r="R41" s="35"/>
      <c r="S41" s="100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</row>
    <row r="42" ht="37.5" customHeight="1">
      <c r="A42" s="71"/>
      <c r="B42" s="50"/>
      <c r="C42" s="51"/>
      <c r="D42" s="52" t="s">
        <v>123</v>
      </c>
      <c r="E42" s="53"/>
      <c r="F42" s="54">
        <f t="shared" ref="F42:P42" si="2">SUM(F5:F41)</f>
        <v>0</v>
      </c>
      <c r="G42" s="54">
        <f t="shared" si="2"/>
        <v>0</v>
      </c>
      <c r="H42" s="54">
        <f t="shared" si="2"/>
        <v>32400</v>
      </c>
      <c r="I42" s="54">
        <f t="shared" si="2"/>
        <v>83300</v>
      </c>
      <c r="J42" s="54">
        <f t="shared" si="2"/>
        <v>15540</v>
      </c>
      <c r="K42" s="54">
        <f t="shared" si="2"/>
        <v>3710</v>
      </c>
      <c r="L42" s="54">
        <f t="shared" si="2"/>
        <v>0</v>
      </c>
      <c r="M42" s="54">
        <f t="shared" si="2"/>
        <v>13100</v>
      </c>
      <c r="N42" s="54">
        <f t="shared" si="2"/>
        <v>0</v>
      </c>
      <c r="O42" s="54">
        <f t="shared" si="2"/>
        <v>0</v>
      </c>
      <c r="P42" s="54">
        <f t="shared" si="2"/>
        <v>148050</v>
      </c>
      <c r="Q42" s="101">
        <f t="shared" si="1"/>
        <v>0</v>
      </c>
      <c r="R42" s="56"/>
      <c r="S42" s="103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</row>
    <row r="43" ht="58.5" customHeight="1">
      <c r="A43" s="57"/>
      <c r="B43" s="57"/>
      <c r="C43" s="58"/>
      <c r="D43" s="57"/>
      <c r="E43" s="57"/>
      <c r="F43" s="59">
        <f>F42+G42+H42+I42+J42+K42+L42+M42+N42+O42</f>
        <v>148050</v>
      </c>
      <c r="P43" s="60"/>
      <c r="Q43" s="60"/>
      <c r="R43" s="57"/>
      <c r="S43" s="57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</row>
    <row r="44" ht="15.75" customHeight="1">
      <c r="A44" s="4"/>
      <c r="B44" s="4"/>
      <c r="C44" s="61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ht="26.25" customHeight="1">
      <c r="A45" s="4"/>
      <c r="B45" s="4"/>
      <c r="C45" s="61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ht="26.25" customHeight="1">
      <c r="A46" s="4"/>
      <c r="B46" s="4"/>
      <c r="C46" s="62" t="s">
        <v>123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ht="26.25" customHeight="1">
      <c r="A47" s="4"/>
      <c r="B47" s="4"/>
      <c r="C47" s="61"/>
      <c r="D47" s="4"/>
      <c r="E47" s="63" t="s">
        <v>124</v>
      </c>
      <c r="F47" s="64" t="s">
        <v>125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ht="26.25" customHeight="1">
      <c r="A48" s="4"/>
      <c r="B48" s="4"/>
      <c r="C48" s="61"/>
      <c r="D48" s="4"/>
      <c r="E48" s="65" t="s">
        <v>126</v>
      </c>
      <c r="F48" s="64" t="s">
        <v>129</v>
      </c>
      <c r="G48" s="4"/>
      <c r="H48" s="4"/>
      <c r="I48" s="4"/>
      <c r="J48" s="4"/>
      <c r="K48" s="4"/>
      <c r="L48" s="4"/>
      <c r="M48" s="4"/>
      <c r="N48" s="4"/>
      <c r="O48" s="66" t="s">
        <v>123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ht="26.25" customHeight="1">
      <c r="A49" s="4"/>
      <c r="B49" s="4"/>
      <c r="C49" s="61"/>
      <c r="D49" s="4"/>
      <c r="E49" s="65" t="s">
        <v>128</v>
      </c>
      <c r="F49" s="64" t="s">
        <v>129</v>
      </c>
      <c r="G49" s="4"/>
      <c r="H49" s="4"/>
      <c r="I49" s="67" t="s">
        <v>250</v>
      </c>
      <c r="J49" s="67" t="s">
        <v>1083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ht="26.25" customHeight="1">
      <c r="A50" s="4"/>
      <c r="B50" s="4"/>
      <c r="C50" s="61"/>
      <c r="D50" s="4"/>
      <c r="E50" s="65" t="s">
        <v>130</v>
      </c>
      <c r="F50" s="64" t="s">
        <v>129</v>
      </c>
      <c r="G50" s="4"/>
      <c r="H50" s="4"/>
      <c r="I50" s="4"/>
      <c r="J50" s="4"/>
      <c r="K50" s="67" t="s">
        <v>123</v>
      </c>
      <c r="L50" s="67" t="s">
        <v>123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61"/>
      <c r="D51" s="4"/>
      <c r="E51" s="65" t="s">
        <v>131</v>
      </c>
      <c r="F51" s="64" t="s">
        <v>378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26.25" customHeight="1">
      <c r="A52" s="4"/>
      <c r="B52" s="4"/>
      <c r="C52" s="61"/>
      <c r="D52" s="4"/>
      <c r="E52" s="65" t="s">
        <v>1145</v>
      </c>
      <c r="F52" s="64" t="s">
        <v>129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26.25" customHeight="1">
      <c r="A53" s="4"/>
      <c r="B53" s="4"/>
      <c r="C53" s="61"/>
      <c r="D53" s="4"/>
      <c r="E53" s="65" t="s">
        <v>134</v>
      </c>
      <c r="F53" s="64" t="s">
        <v>1086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26.25" customHeight="1">
      <c r="A54" s="4"/>
      <c r="B54" s="4"/>
      <c r="C54" s="61"/>
      <c r="D54" s="4"/>
      <c r="E54" s="65" t="s">
        <v>135</v>
      </c>
      <c r="F54" s="68" t="s">
        <v>125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66" t="s">
        <v>123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26.25" customHeight="1">
      <c r="A55" s="4"/>
      <c r="B55" s="4"/>
      <c r="C55" s="61"/>
      <c r="D55" s="4"/>
      <c r="E55" s="4"/>
      <c r="F55" s="4"/>
      <c r="G55" s="4"/>
      <c r="H55" s="4"/>
      <c r="I55" s="4"/>
      <c r="J55" s="4"/>
      <c r="K55" s="4" t="str">
        <f>I72442</f>
        <v/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26.25" customHeight="1">
      <c r="A56" s="4"/>
      <c r="B56" s="4"/>
      <c r="C56" s="61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15.75" customHeight="1">
      <c r="A57" s="4"/>
      <c r="B57" s="4"/>
      <c r="C57" s="61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15.75" customHeight="1">
      <c r="A58" s="4"/>
      <c r="B58" s="4"/>
      <c r="C58" s="6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15.75" customHeight="1">
      <c r="A59" s="4"/>
      <c r="B59" s="4"/>
      <c r="C59" s="6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15.75" customHeight="1">
      <c r="A60" s="4"/>
      <c r="B60" s="4"/>
      <c r="C60" s="6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15.75" customHeight="1">
      <c r="A61" s="4"/>
      <c r="B61" s="4"/>
      <c r="C61" s="6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15.75" customHeight="1">
      <c r="A62" s="4"/>
      <c r="B62" s="4"/>
      <c r="C62" s="61"/>
      <c r="D62" s="4"/>
      <c r="E62" s="4"/>
      <c r="F62" s="4"/>
      <c r="G62" s="4"/>
      <c r="H62" s="4"/>
      <c r="I62" s="66" t="s">
        <v>136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1"/>
      <c r="D77" s="4"/>
      <c r="E77" s="4"/>
      <c r="F77" s="4"/>
      <c r="G77" s="4"/>
      <c r="H77" s="4"/>
      <c r="I77" s="4"/>
      <c r="J77" s="4"/>
      <c r="K77" s="4"/>
      <c r="L77" s="4"/>
      <c r="M77" s="4">
        <v>7.0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6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6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6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6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6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6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6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6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6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7">
    <mergeCell ref="R2:R4"/>
    <mergeCell ref="S2:S4"/>
    <mergeCell ref="F3:F4"/>
    <mergeCell ref="G3:H3"/>
    <mergeCell ref="I3:J3"/>
    <mergeCell ref="K3:K4"/>
    <mergeCell ref="F43:O43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25"/>
    <col customWidth="1" min="2" max="2" width="16.38"/>
    <col customWidth="1" min="3" max="3" width="33.5"/>
    <col customWidth="1" min="4" max="4" width="11.25"/>
    <col customWidth="1" min="5" max="5" width="85.88"/>
    <col customWidth="1" min="6" max="6" width="20.75"/>
    <col customWidth="1" min="7" max="7" width="18.0"/>
    <col customWidth="1" min="8" max="8" width="15.13"/>
    <col customWidth="1" min="9" max="9" width="14.63"/>
    <col customWidth="1" min="10" max="10" width="13.38"/>
    <col customWidth="1" min="11" max="11" width="16.38"/>
    <col customWidth="1" min="12" max="12" width="20.63"/>
    <col customWidth="1" min="13" max="13" width="15.38"/>
    <col customWidth="1" min="14" max="14" width="14.75"/>
    <col customWidth="1" min="15" max="15" width="14.5"/>
    <col customWidth="1" min="16" max="16" width="17.5"/>
    <col customWidth="1" min="17" max="17" width="13.88"/>
    <col customWidth="1" min="18" max="18" width="17.13"/>
    <col customWidth="1" min="19" max="19" width="24.5"/>
  </cols>
  <sheetData>
    <row r="1" ht="69.0" customHeight="1">
      <c r="A1" s="1" t="s">
        <v>1146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9"/>
      <c r="R2" s="6" t="s">
        <v>7</v>
      </c>
      <c r="S2" s="6" t="s">
        <v>8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10"/>
      <c r="B3" s="11"/>
      <c r="C3" s="11"/>
      <c r="D3" s="11"/>
      <c r="E3" s="11"/>
      <c r="F3" s="12" t="s">
        <v>9</v>
      </c>
      <c r="G3" s="7" t="s">
        <v>10</v>
      </c>
      <c r="H3" s="9"/>
      <c r="I3" s="7" t="s">
        <v>11</v>
      </c>
      <c r="J3" s="9"/>
      <c r="K3" s="6" t="s">
        <v>12</v>
      </c>
      <c r="L3" s="13"/>
      <c r="M3" s="13"/>
      <c r="N3" s="13"/>
      <c r="O3" s="6" t="s">
        <v>13</v>
      </c>
      <c r="P3" s="6" t="s">
        <v>14</v>
      </c>
      <c r="Q3" s="6" t="s">
        <v>15</v>
      </c>
      <c r="R3" s="11"/>
      <c r="S3" s="11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14"/>
      <c r="B4" s="9"/>
      <c r="C4" s="9"/>
      <c r="D4" s="9"/>
      <c r="E4" s="9"/>
      <c r="F4" s="9"/>
      <c r="G4" s="15" t="s">
        <v>16</v>
      </c>
      <c r="H4" s="15" t="s">
        <v>17</v>
      </c>
      <c r="I4" s="15" t="s">
        <v>18</v>
      </c>
      <c r="J4" s="15" t="s">
        <v>19</v>
      </c>
      <c r="K4" s="9"/>
      <c r="L4" s="15" t="s">
        <v>20</v>
      </c>
      <c r="M4" s="15" t="s">
        <v>21</v>
      </c>
      <c r="N4" s="15" t="s">
        <v>22</v>
      </c>
      <c r="O4" s="9"/>
      <c r="P4" s="9"/>
      <c r="Q4" s="9"/>
      <c r="R4" s="9"/>
      <c r="S4" s="9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ht="34.5" customHeight="1">
      <c r="A5" s="83">
        <v>1.0</v>
      </c>
      <c r="B5" s="84">
        <v>45625.0</v>
      </c>
      <c r="C5" s="85" t="s">
        <v>1147</v>
      </c>
      <c r="D5" s="86">
        <v>36769.0</v>
      </c>
      <c r="E5" s="87" t="s">
        <v>1148</v>
      </c>
      <c r="F5" s="90"/>
      <c r="G5" s="88"/>
      <c r="H5" s="88"/>
      <c r="I5" s="89">
        <v>500.0</v>
      </c>
      <c r="J5" s="89"/>
      <c r="K5" s="88"/>
      <c r="L5" s="90"/>
      <c r="M5" s="89"/>
      <c r="N5" s="90"/>
      <c r="O5" s="90"/>
      <c r="P5" s="91">
        <v>500.0</v>
      </c>
      <c r="Q5" s="92">
        <f t="shared" ref="Q5:Q46" si="1">F5+G5+H5+I5+J5+K5+L5+M5+N5+O5-P5</f>
        <v>0</v>
      </c>
      <c r="R5" s="104" t="s">
        <v>35</v>
      </c>
      <c r="S5" s="102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</row>
    <row r="6" ht="34.5" customHeight="1">
      <c r="A6" s="83">
        <v>2.0</v>
      </c>
      <c r="B6" s="84">
        <v>45625.0</v>
      </c>
      <c r="C6" s="85" t="s">
        <v>1149</v>
      </c>
      <c r="D6" s="86">
        <v>39286.0</v>
      </c>
      <c r="E6" s="87" t="s">
        <v>1150</v>
      </c>
      <c r="F6" s="90"/>
      <c r="G6" s="90"/>
      <c r="H6" s="88"/>
      <c r="I6" s="89">
        <v>500.0</v>
      </c>
      <c r="J6" s="89"/>
      <c r="K6" s="88"/>
      <c r="L6" s="90"/>
      <c r="M6" s="89"/>
      <c r="N6" s="90"/>
      <c r="O6" s="88"/>
      <c r="P6" s="91">
        <v>500.0</v>
      </c>
      <c r="Q6" s="92">
        <f t="shared" si="1"/>
        <v>0</v>
      </c>
      <c r="R6" s="91" t="s">
        <v>35</v>
      </c>
      <c r="S6" s="10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</row>
    <row r="7" ht="34.5" customHeight="1">
      <c r="A7" s="105">
        <v>3.0</v>
      </c>
      <c r="B7" s="106">
        <v>45626.0</v>
      </c>
      <c r="C7" s="107" t="s">
        <v>1151</v>
      </c>
      <c r="D7" s="108">
        <v>77578.0</v>
      </c>
      <c r="E7" s="109" t="s">
        <v>1152</v>
      </c>
      <c r="F7" s="110"/>
      <c r="G7" s="111"/>
      <c r="H7" s="110"/>
      <c r="I7" s="112">
        <v>2600.0</v>
      </c>
      <c r="J7" s="112"/>
      <c r="K7" s="110"/>
      <c r="L7" s="111"/>
      <c r="M7" s="112"/>
      <c r="N7" s="111"/>
      <c r="O7" s="111"/>
      <c r="P7" s="113">
        <v>2600.0</v>
      </c>
      <c r="Q7" s="114">
        <f t="shared" si="1"/>
        <v>0</v>
      </c>
      <c r="R7" s="113" t="s">
        <v>28</v>
      </c>
      <c r="S7" s="115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</row>
    <row r="8" ht="34.5" customHeight="1">
      <c r="A8" s="105">
        <v>4.0</v>
      </c>
      <c r="B8" s="106">
        <v>45626.0</v>
      </c>
      <c r="C8" s="107" t="s">
        <v>1153</v>
      </c>
      <c r="D8" s="108">
        <v>36983.0</v>
      </c>
      <c r="E8" s="109" t="s">
        <v>615</v>
      </c>
      <c r="F8" s="110"/>
      <c r="G8" s="110"/>
      <c r="H8" s="110"/>
      <c r="I8" s="112">
        <v>5100.0</v>
      </c>
      <c r="J8" s="112"/>
      <c r="K8" s="110"/>
      <c r="L8" s="111"/>
      <c r="M8" s="112"/>
      <c r="N8" s="111"/>
      <c r="O8" s="111"/>
      <c r="P8" s="113">
        <v>5100.0</v>
      </c>
      <c r="Q8" s="114">
        <f t="shared" si="1"/>
        <v>0</v>
      </c>
      <c r="R8" s="113" t="s">
        <v>28</v>
      </c>
      <c r="S8" s="115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</row>
    <row r="9" ht="34.5" customHeight="1">
      <c r="A9" s="105">
        <v>5.0</v>
      </c>
      <c r="B9" s="106">
        <v>45626.0</v>
      </c>
      <c r="C9" s="107" t="s">
        <v>1154</v>
      </c>
      <c r="D9" s="108">
        <v>56669.0</v>
      </c>
      <c r="E9" s="109" t="s">
        <v>1155</v>
      </c>
      <c r="F9" s="110"/>
      <c r="G9" s="111"/>
      <c r="H9" s="110"/>
      <c r="I9" s="112">
        <v>2600.0</v>
      </c>
      <c r="J9" s="112"/>
      <c r="K9" s="110"/>
      <c r="L9" s="111"/>
      <c r="M9" s="112"/>
      <c r="N9" s="111"/>
      <c r="O9" s="111"/>
      <c r="P9" s="113">
        <v>2600.0</v>
      </c>
      <c r="Q9" s="114">
        <f t="shared" si="1"/>
        <v>0</v>
      </c>
      <c r="R9" s="113" t="s">
        <v>35</v>
      </c>
      <c r="S9" s="115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</row>
    <row r="10" ht="34.5" customHeight="1">
      <c r="A10" s="105">
        <v>6.0</v>
      </c>
      <c r="B10" s="106">
        <v>45626.0</v>
      </c>
      <c r="C10" s="107" t="s">
        <v>1156</v>
      </c>
      <c r="D10" s="108">
        <v>44149.0</v>
      </c>
      <c r="E10" s="109" t="s">
        <v>209</v>
      </c>
      <c r="F10" s="110"/>
      <c r="G10" s="111"/>
      <c r="H10" s="110"/>
      <c r="I10" s="112"/>
      <c r="J10" s="112">
        <v>2600.0</v>
      </c>
      <c r="K10" s="110"/>
      <c r="L10" s="111"/>
      <c r="M10" s="112"/>
      <c r="N10" s="111"/>
      <c r="O10" s="111"/>
      <c r="P10" s="113">
        <v>2600.0</v>
      </c>
      <c r="Q10" s="114">
        <f t="shared" si="1"/>
        <v>0</v>
      </c>
      <c r="R10" s="113" t="s">
        <v>25</v>
      </c>
      <c r="S10" s="115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</row>
    <row r="11" ht="34.5" customHeight="1">
      <c r="A11" s="105">
        <v>7.0</v>
      </c>
      <c r="B11" s="106">
        <v>45626.0</v>
      </c>
      <c r="C11" s="107" t="s">
        <v>1157</v>
      </c>
      <c r="D11" s="108">
        <v>58050.0</v>
      </c>
      <c r="E11" s="109" t="s">
        <v>383</v>
      </c>
      <c r="F11" s="110"/>
      <c r="G11" s="111"/>
      <c r="H11" s="110"/>
      <c r="I11" s="112"/>
      <c r="J11" s="112">
        <v>2600.0</v>
      </c>
      <c r="K11" s="110"/>
      <c r="L11" s="111"/>
      <c r="M11" s="112"/>
      <c r="N11" s="111"/>
      <c r="O11" s="111"/>
      <c r="P11" s="113">
        <v>2600.0</v>
      </c>
      <c r="Q11" s="114">
        <f t="shared" si="1"/>
        <v>0</v>
      </c>
      <c r="R11" s="113" t="s">
        <v>38</v>
      </c>
      <c r="S11" s="115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</row>
    <row r="12" ht="34.5" customHeight="1">
      <c r="A12" s="105">
        <v>8.0</v>
      </c>
      <c r="B12" s="106">
        <v>45626.0</v>
      </c>
      <c r="C12" s="107" t="s">
        <v>1158</v>
      </c>
      <c r="D12" s="108">
        <v>36918.0</v>
      </c>
      <c r="E12" s="109" t="s">
        <v>67</v>
      </c>
      <c r="F12" s="110"/>
      <c r="G12" s="111"/>
      <c r="H12" s="110"/>
      <c r="I12" s="112">
        <v>3950.0</v>
      </c>
      <c r="J12" s="112"/>
      <c r="K12" s="110"/>
      <c r="L12" s="111"/>
      <c r="M12" s="112"/>
      <c r="N12" s="111"/>
      <c r="O12" s="111"/>
      <c r="P12" s="113">
        <v>3950.0</v>
      </c>
      <c r="Q12" s="114">
        <f t="shared" si="1"/>
        <v>0</v>
      </c>
      <c r="R12" s="113" t="s">
        <v>38</v>
      </c>
      <c r="S12" s="115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</row>
    <row r="13" ht="34.5" customHeight="1">
      <c r="A13" s="105">
        <v>9.0</v>
      </c>
      <c r="B13" s="106">
        <v>45626.0</v>
      </c>
      <c r="C13" s="107" t="s">
        <v>1159</v>
      </c>
      <c r="D13" s="108">
        <v>22341.0</v>
      </c>
      <c r="E13" s="109" t="s">
        <v>62</v>
      </c>
      <c r="F13" s="110"/>
      <c r="G13" s="110"/>
      <c r="H13" s="110"/>
      <c r="I13" s="112">
        <v>1620.0</v>
      </c>
      <c r="J13" s="112"/>
      <c r="K13" s="110"/>
      <c r="L13" s="111"/>
      <c r="M13" s="112"/>
      <c r="N13" s="111"/>
      <c r="O13" s="111"/>
      <c r="P13" s="113">
        <v>1620.0</v>
      </c>
      <c r="Q13" s="114">
        <f t="shared" si="1"/>
        <v>0</v>
      </c>
      <c r="R13" s="113" t="s">
        <v>38</v>
      </c>
      <c r="S13" s="115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</row>
    <row r="14" ht="34.5" customHeight="1">
      <c r="A14" s="105">
        <v>10.0</v>
      </c>
      <c r="B14" s="106">
        <v>45626.0</v>
      </c>
      <c r="C14" s="107" t="s">
        <v>1160</v>
      </c>
      <c r="D14" s="108">
        <v>24114.0</v>
      </c>
      <c r="E14" s="109" t="s">
        <v>1161</v>
      </c>
      <c r="F14" s="110"/>
      <c r="G14" s="110"/>
      <c r="H14" s="110"/>
      <c r="I14" s="112">
        <v>3600.0</v>
      </c>
      <c r="J14" s="112"/>
      <c r="K14" s="110"/>
      <c r="L14" s="111"/>
      <c r="M14" s="112"/>
      <c r="N14" s="111"/>
      <c r="O14" s="110"/>
      <c r="P14" s="113">
        <v>3600.0</v>
      </c>
      <c r="Q14" s="114">
        <f t="shared" si="1"/>
        <v>0</v>
      </c>
      <c r="R14" s="113" t="s">
        <v>28</v>
      </c>
      <c r="S14" s="115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</row>
    <row r="15" ht="34.5" customHeight="1">
      <c r="A15" s="105">
        <v>11.0</v>
      </c>
      <c r="B15" s="106">
        <v>45626.0</v>
      </c>
      <c r="C15" s="107" t="s">
        <v>1162</v>
      </c>
      <c r="D15" s="108">
        <v>48631.0</v>
      </c>
      <c r="E15" s="109" t="s">
        <v>815</v>
      </c>
      <c r="F15" s="116"/>
      <c r="G15" s="110"/>
      <c r="H15" s="111"/>
      <c r="I15" s="112"/>
      <c r="J15" s="112"/>
      <c r="K15" s="117">
        <v>4700.0</v>
      </c>
      <c r="L15" s="111"/>
      <c r="M15" s="110"/>
      <c r="N15" s="111"/>
      <c r="O15" s="110"/>
      <c r="P15" s="113">
        <v>4700.0</v>
      </c>
      <c r="Q15" s="114">
        <f t="shared" si="1"/>
        <v>0</v>
      </c>
      <c r="R15" s="113" t="s">
        <v>38</v>
      </c>
      <c r="S15" s="115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</row>
    <row r="16" ht="34.5" customHeight="1">
      <c r="A16" s="105">
        <v>12.0</v>
      </c>
      <c r="B16" s="106">
        <v>45626.0</v>
      </c>
      <c r="C16" s="107" t="s">
        <v>1163</v>
      </c>
      <c r="D16" s="108">
        <v>62815.0</v>
      </c>
      <c r="E16" s="109" t="s">
        <v>84</v>
      </c>
      <c r="F16" s="116"/>
      <c r="G16" s="110"/>
      <c r="H16" s="110"/>
      <c r="I16" s="112">
        <v>10000.0</v>
      </c>
      <c r="J16" s="112"/>
      <c r="K16" s="117"/>
      <c r="L16" s="111"/>
      <c r="M16" s="111"/>
      <c r="N16" s="111"/>
      <c r="O16" s="110"/>
      <c r="P16" s="113">
        <v>10000.0</v>
      </c>
      <c r="Q16" s="114">
        <f t="shared" si="1"/>
        <v>0</v>
      </c>
      <c r="R16" s="113" t="s">
        <v>28</v>
      </c>
      <c r="S16" s="115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</row>
    <row r="17" ht="34.5" customHeight="1">
      <c r="A17" s="105">
        <v>13.0</v>
      </c>
      <c r="B17" s="106">
        <v>45626.0</v>
      </c>
      <c r="C17" s="107" t="s">
        <v>1164</v>
      </c>
      <c r="D17" s="108">
        <v>35245.0</v>
      </c>
      <c r="E17" s="109" t="s">
        <v>237</v>
      </c>
      <c r="F17" s="116"/>
      <c r="G17" s="110"/>
      <c r="H17" s="110"/>
      <c r="I17" s="112"/>
      <c r="J17" s="116"/>
      <c r="K17" s="117">
        <v>15000.0</v>
      </c>
      <c r="L17" s="111"/>
      <c r="M17" s="110"/>
      <c r="N17" s="111"/>
      <c r="O17" s="110"/>
      <c r="P17" s="113">
        <v>15000.0</v>
      </c>
      <c r="Q17" s="114">
        <f t="shared" si="1"/>
        <v>0</v>
      </c>
      <c r="R17" s="113" t="s">
        <v>25</v>
      </c>
      <c r="S17" s="115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</row>
    <row r="18" ht="34.5" customHeight="1">
      <c r="A18" s="105">
        <v>14.0</v>
      </c>
      <c r="B18" s="106">
        <v>45626.0</v>
      </c>
      <c r="C18" s="107" t="s">
        <v>1165</v>
      </c>
      <c r="D18" s="108">
        <v>48740.0</v>
      </c>
      <c r="E18" s="109" t="s">
        <v>1166</v>
      </c>
      <c r="F18" s="112"/>
      <c r="G18" s="110"/>
      <c r="H18" s="111"/>
      <c r="I18" s="112"/>
      <c r="J18" s="116"/>
      <c r="K18" s="117">
        <v>4500.0</v>
      </c>
      <c r="L18" s="111"/>
      <c r="M18" s="110"/>
      <c r="N18" s="111"/>
      <c r="O18" s="110"/>
      <c r="P18" s="113">
        <v>4500.0</v>
      </c>
      <c r="Q18" s="114">
        <f t="shared" si="1"/>
        <v>0</v>
      </c>
      <c r="R18" s="113" t="s">
        <v>25</v>
      </c>
      <c r="S18" s="115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</row>
    <row r="19" ht="34.5" customHeight="1">
      <c r="A19" s="105">
        <v>15.0</v>
      </c>
      <c r="B19" s="106">
        <v>45626.0</v>
      </c>
      <c r="C19" s="107" t="s">
        <v>1167</v>
      </c>
      <c r="D19" s="108">
        <v>47787.0</v>
      </c>
      <c r="E19" s="109" t="s">
        <v>995</v>
      </c>
      <c r="F19" s="112"/>
      <c r="G19" s="110"/>
      <c r="H19" s="110"/>
      <c r="I19" s="112">
        <v>14000.0</v>
      </c>
      <c r="J19" s="112"/>
      <c r="K19" s="117"/>
      <c r="L19" s="111"/>
      <c r="M19" s="110"/>
      <c r="N19" s="111"/>
      <c r="O19" s="110"/>
      <c r="P19" s="113">
        <v>14000.0</v>
      </c>
      <c r="Q19" s="114">
        <f t="shared" si="1"/>
        <v>0</v>
      </c>
      <c r="R19" s="113" t="s">
        <v>28</v>
      </c>
      <c r="S19" s="115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</row>
    <row r="20" ht="34.5" customHeight="1">
      <c r="A20" s="105">
        <v>16.0</v>
      </c>
      <c r="B20" s="106">
        <v>45626.0</v>
      </c>
      <c r="C20" s="107" t="s">
        <v>1168</v>
      </c>
      <c r="D20" s="108">
        <v>33995.0</v>
      </c>
      <c r="E20" s="109" t="s">
        <v>1169</v>
      </c>
      <c r="F20" s="112"/>
      <c r="G20" s="110"/>
      <c r="H20" s="110"/>
      <c r="I20" s="112"/>
      <c r="J20" s="112">
        <v>5100.0</v>
      </c>
      <c r="K20" s="117"/>
      <c r="L20" s="111"/>
      <c r="M20" s="110"/>
      <c r="N20" s="111"/>
      <c r="O20" s="110"/>
      <c r="P20" s="113">
        <v>5100.0</v>
      </c>
      <c r="Q20" s="114">
        <f t="shared" si="1"/>
        <v>0</v>
      </c>
      <c r="R20" s="113" t="s">
        <v>28</v>
      </c>
      <c r="S20" s="115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</row>
    <row r="21" ht="34.5" customHeight="1">
      <c r="A21" s="105">
        <v>17.0</v>
      </c>
      <c r="B21" s="106">
        <v>45626.0</v>
      </c>
      <c r="C21" s="107" t="s">
        <v>1170</v>
      </c>
      <c r="D21" s="108">
        <v>54226.0</v>
      </c>
      <c r="E21" s="109" t="s">
        <v>1022</v>
      </c>
      <c r="F21" s="112"/>
      <c r="G21" s="110"/>
      <c r="H21" s="110"/>
      <c r="I21" s="112">
        <v>8850.0</v>
      </c>
      <c r="J21" s="112"/>
      <c r="K21" s="117"/>
      <c r="L21" s="111"/>
      <c r="M21" s="110"/>
      <c r="N21" s="111"/>
      <c r="O21" s="110"/>
      <c r="P21" s="113">
        <v>8850.0</v>
      </c>
      <c r="Q21" s="114">
        <f t="shared" si="1"/>
        <v>0</v>
      </c>
      <c r="R21" s="113" t="s">
        <v>35</v>
      </c>
      <c r="S21" s="115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</row>
    <row r="22" ht="34.5" customHeight="1">
      <c r="A22" s="105">
        <v>18.0</v>
      </c>
      <c r="B22" s="106">
        <v>45626.0</v>
      </c>
      <c r="C22" s="107" t="s">
        <v>1171</v>
      </c>
      <c r="D22" s="108">
        <v>36769.0</v>
      </c>
      <c r="E22" s="109" t="s">
        <v>1148</v>
      </c>
      <c r="F22" s="112"/>
      <c r="G22" s="110"/>
      <c r="H22" s="110"/>
      <c r="I22" s="112">
        <v>420.0</v>
      </c>
      <c r="J22" s="112"/>
      <c r="K22" s="117"/>
      <c r="L22" s="111"/>
      <c r="M22" s="110"/>
      <c r="N22" s="111"/>
      <c r="O22" s="110"/>
      <c r="P22" s="113">
        <v>420.0</v>
      </c>
      <c r="Q22" s="114">
        <f t="shared" si="1"/>
        <v>0</v>
      </c>
      <c r="R22" s="113" t="s">
        <v>35</v>
      </c>
      <c r="S22" s="115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</row>
    <row r="23" ht="34.5" customHeight="1">
      <c r="A23" s="105">
        <v>19.0</v>
      </c>
      <c r="B23" s="106">
        <v>45626.0</v>
      </c>
      <c r="C23" s="107" t="s">
        <v>1172</v>
      </c>
      <c r="D23" s="108">
        <v>53249.0</v>
      </c>
      <c r="E23" s="109" t="s">
        <v>73</v>
      </c>
      <c r="F23" s="112"/>
      <c r="G23" s="110"/>
      <c r="H23" s="110"/>
      <c r="I23" s="112"/>
      <c r="J23" s="112">
        <v>300.0</v>
      </c>
      <c r="K23" s="117"/>
      <c r="L23" s="111"/>
      <c r="M23" s="110"/>
      <c r="N23" s="111"/>
      <c r="O23" s="110"/>
      <c r="P23" s="113">
        <v>300.0</v>
      </c>
      <c r="Q23" s="114">
        <f t="shared" si="1"/>
        <v>0</v>
      </c>
      <c r="R23" s="113" t="s">
        <v>38</v>
      </c>
      <c r="S23" s="115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</row>
    <row r="24" ht="34.5" customHeight="1">
      <c r="A24" s="105">
        <v>20.0</v>
      </c>
      <c r="B24" s="106">
        <v>45626.0</v>
      </c>
      <c r="C24" s="107" t="s">
        <v>1173</v>
      </c>
      <c r="D24" s="108">
        <v>22332.0</v>
      </c>
      <c r="E24" s="109" t="s">
        <v>217</v>
      </c>
      <c r="F24" s="112"/>
      <c r="G24" s="110"/>
      <c r="H24" s="110"/>
      <c r="I24" s="112"/>
      <c r="J24" s="112"/>
      <c r="K24" s="117"/>
      <c r="L24" s="111"/>
      <c r="M24" s="110">
        <v>2500.0</v>
      </c>
      <c r="N24" s="111"/>
      <c r="O24" s="110"/>
      <c r="P24" s="113">
        <v>2500.0</v>
      </c>
      <c r="Q24" s="114">
        <f t="shared" si="1"/>
        <v>0</v>
      </c>
      <c r="R24" s="113" t="s">
        <v>28</v>
      </c>
      <c r="S24" s="115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</row>
    <row r="25" ht="34.5" customHeight="1">
      <c r="A25" s="105">
        <v>21.0</v>
      </c>
      <c r="B25" s="106">
        <v>45626.0</v>
      </c>
      <c r="C25" s="107" t="s">
        <v>1174</v>
      </c>
      <c r="D25" s="108">
        <v>18701.0</v>
      </c>
      <c r="E25" s="109" t="s">
        <v>1175</v>
      </c>
      <c r="F25" s="112"/>
      <c r="G25" s="110"/>
      <c r="H25" s="110"/>
      <c r="I25" s="112">
        <v>5000.0</v>
      </c>
      <c r="J25" s="112"/>
      <c r="K25" s="117"/>
      <c r="L25" s="111"/>
      <c r="M25" s="110"/>
      <c r="N25" s="111"/>
      <c r="O25" s="110"/>
      <c r="P25" s="113">
        <v>5000.0</v>
      </c>
      <c r="Q25" s="114">
        <f t="shared" si="1"/>
        <v>0</v>
      </c>
      <c r="R25" s="113" t="s">
        <v>38</v>
      </c>
      <c r="S25" s="115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</row>
    <row r="26" ht="34.5" customHeight="1">
      <c r="A26" s="105">
        <v>22.0</v>
      </c>
      <c r="B26" s="106">
        <v>45626.0</v>
      </c>
      <c r="C26" s="107" t="s">
        <v>1176</v>
      </c>
      <c r="D26" s="108">
        <v>51876.0</v>
      </c>
      <c r="E26" s="109" t="s">
        <v>151</v>
      </c>
      <c r="F26" s="112"/>
      <c r="G26" s="110"/>
      <c r="H26" s="110"/>
      <c r="I26" s="112">
        <v>1400.0</v>
      </c>
      <c r="J26" s="112"/>
      <c r="K26" s="117"/>
      <c r="L26" s="111"/>
      <c r="M26" s="110"/>
      <c r="N26" s="111"/>
      <c r="O26" s="110"/>
      <c r="P26" s="113">
        <v>1400.0</v>
      </c>
      <c r="Q26" s="114">
        <f t="shared" si="1"/>
        <v>0</v>
      </c>
      <c r="R26" s="113" t="s">
        <v>28</v>
      </c>
      <c r="S26" s="115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</row>
    <row r="27" ht="34.5" customHeight="1">
      <c r="A27" s="105">
        <v>23.0</v>
      </c>
      <c r="B27" s="106">
        <v>45626.0</v>
      </c>
      <c r="C27" s="107" t="s">
        <v>1177</v>
      </c>
      <c r="D27" s="108">
        <v>53283.0</v>
      </c>
      <c r="E27" s="109" t="s">
        <v>1178</v>
      </c>
      <c r="F27" s="112"/>
      <c r="G27" s="110"/>
      <c r="H27" s="110"/>
      <c r="I27" s="112">
        <v>10000.0</v>
      </c>
      <c r="J27" s="112"/>
      <c r="K27" s="117"/>
      <c r="L27" s="111"/>
      <c r="M27" s="110"/>
      <c r="N27" s="111"/>
      <c r="O27" s="110"/>
      <c r="P27" s="113">
        <v>10000.0</v>
      </c>
      <c r="Q27" s="114">
        <f t="shared" si="1"/>
        <v>0</v>
      </c>
      <c r="R27" s="113" t="s">
        <v>28</v>
      </c>
      <c r="S27" s="115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</row>
    <row r="28" ht="34.5" customHeight="1">
      <c r="A28" s="105">
        <v>24.0</v>
      </c>
      <c r="B28" s="106">
        <v>45626.0</v>
      </c>
      <c r="C28" s="107" t="s">
        <v>1179</v>
      </c>
      <c r="D28" s="108">
        <v>18701.0</v>
      </c>
      <c r="E28" s="109" t="s">
        <v>1175</v>
      </c>
      <c r="F28" s="112"/>
      <c r="G28" s="110"/>
      <c r="H28" s="110"/>
      <c r="I28" s="112">
        <v>5000.0</v>
      </c>
      <c r="J28" s="112"/>
      <c r="K28" s="117"/>
      <c r="L28" s="111"/>
      <c r="M28" s="110"/>
      <c r="N28" s="111"/>
      <c r="O28" s="110"/>
      <c r="P28" s="113">
        <v>5000.0</v>
      </c>
      <c r="Q28" s="114">
        <f t="shared" si="1"/>
        <v>0</v>
      </c>
      <c r="R28" s="113" t="s">
        <v>38</v>
      </c>
      <c r="S28" s="115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</row>
    <row r="29" ht="34.5" customHeight="1">
      <c r="A29" s="105">
        <v>25.0</v>
      </c>
      <c r="B29" s="106">
        <v>45626.0</v>
      </c>
      <c r="C29" s="107" t="s">
        <v>1180</v>
      </c>
      <c r="D29" s="108">
        <v>18701.0</v>
      </c>
      <c r="E29" s="109" t="s">
        <v>1175</v>
      </c>
      <c r="F29" s="112"/>
      <c r="G29" s="110"/>
      <c r="H29" s="110"/>
      <c r="I29" s="112">
        <v>5000.0</v>
      </c>
      <c r="J29" s="112"/>
      <c r="K29" s="117"/>
      <c r="L29" s="111"/>
      <c r="M29" s="110"/>
      <c r="N29" s="111"/>
      <c r="O29" s="110"/>
      <c r="P29" s="113">
        <v>5000.0</v>
      </c>
      <c r="Q29" s="114">
        <f t="shared" si="1"/>
        <v>0</v>
      </c>
      <c r="R29" s="113" t="s">
        <v>38</v>
      </c>
      <c r="S29" s="115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</row>
    <row r="30" ht="34.5" customHeight="1">
      <c r="A30" s="105">
        <v>26.0</v>
      </c>
      <c r="B30" s="106">
        <v>45626.0</v>
      </c>
      <c r="C30" s="107" t="s">
        <v>1181</v>
      </c>
      <c r="D30" s="108">
        <v>18701.0</v>
      </c>
      <c r="E30" s="109" t="s">
        <v>1175</v>
      </c>
      <c r="F30" s="112"/>
      <c r="G30" s="110"/>
      <c r="H30" s="110"/>
      <c r="I30" s="112">
        <v>5000.0</v>
      </c>
      <c r="J30" s="112"/>
      <c r="K30" s="117"/>
      <c r="L30" s="111"/>
      <c r="M30" s="110"/>
      <c r="N30" s="111"/>
      <c r="O30" s="110"/>
      <c r="P30" s="113">
        <v>5000.0</v>
      </c>
      <c r="Q30" s="114">
        <f t="shared" si="1"/>
        <v>0</v>
      </c>
      <c r="R30" s="113" t="s">
        <v>38</v>
      </c>
      <c r="S30" s="115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</row>
    <row r="31" ht="34.5" customHeight="1">
      <c r="A31" s="105">
        <v>27.0</v>
      </c>
      <c r="B31" s="106">
        <v>45626.0</v>
      </c>
      <c r="C31" s="107" t="s">
        <v>1182</v>
      </c>
      <c r="D31" s="108">
        <v>52776.0</v>
      </c>
      <c r="E31" s="109" t="s">
        <v>1183</v>
      </c>
      <c r="F31" s="112"/>
      <c r="G31" s="110"/>
      <c r="H31" s="110"/>
      <c r="I31" s="112"/>
      <c r="J31" s="112">
        <v>10000.0</v>
      </c>
      <c r="K31" s="117"/>
      <c r="L31" s="111"/>
      <c r="M31" s="110"/>
      <c r="N31" s="111"/>
      <c r="O31" s="110"/>
      <c r="P31" s="113">
        <v>10000.0</v>
      </c>
      <c r="Q31" s="114">
        <f t="shared" si="1"/>
        <v>0</v>
      </c>
      <c r="R31" s="113" t="s">
        <v>28</v>
      </c>
      <c r="S31" s="115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</row>
    <row r="32" ht="34.5" customHeight="1">
      <c r="A32" s="105">
        <v>28.0</v>
      </c>
      <c r="B32" s="106">
        <v>45626.0</v>
      </c>
      <c r="C32" s="107" t="s">
        <v>1184</v>
      </c>
      <c r="D32" s="108">
        <v>18701.0</v>
      </c>
      <c r="E32" s="109" t="s">
        <v>1175</v>
      </c>
      <c r="F32" s="112"/>
      <c r="G32" s="110"/>
      <c r="H32" s="110"/>
      <c r="I32" s="112">
        <v>5000.0</v>
      </c>
      <c r="J32" s="112"/>
      <c r="K32" s="117"/>
      <c r="L32" s="111"/>
      <c r="M32" s="110"/>
      <c r="N32" s="111"/>
      <c r="O32" s="110"/>
      <c r="P32" s="113">
        <v>5000.0</v>
      </c>
      <c r="Q32" s="114">
        <f t="shared" si="1"/>
        <v>0</v>
      </c>
      <c r="R32" s="113" t="s">
        <v>38</v>
      </c>
      <c r="S32" s="115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</row>
    <row r="33" ht="34.5" customHeight="1">
      <c r="A33" s="105">
        <v>29.0</v>
      </c>
      <c r="B33" s="106">
        <v>45626.0</v>
      </c>
      <c r="C33" s="107" t="s">
        <v>1185</v>
      </c>
      <c r="D33" s="108">
        <v>10250.0</v>
      </c>
      <c r="E33" s="109" t="s">
        <v>245</v>
      </c>
      <c r="F33" s="112"/>
      <c r="G33" s="110"/>
      <c r="H33" s="110"/>
      <c r="I33" s="112">
        <v>1000.0</v>
      </c>
      <c r="J33" s="112"/>
      <c r="K33" s="117"/>
      <c r="L33" s="111"/>
      <c r="M33" s="110"/>
      <c r="N33" s="111"/>
      <c r="O33" s="110"/>
      <c r="P33" s="113">
        <v>1000.0</v>
      </c>
      <c r="Q33" s="114">
        <f t="shared" si="1"/>
        <v>0</v>
      </c>
      <c r="R33" s="113" t="s">
        <v>25</v>
      </c>
      <c r="S33" s="115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</row>
    <row r="34" ht="34.5" customHeight="1">
      <c r="A34" s="105">
        <v>30.0</v>
      </c>
      <c r="B34" s="106">
        <v>45626.0</v>
      </c>
      <c r="C34" s="107" t="s">
        <v>1186</v>
      </c>
      <c r="D34" s="108">
        <v>18701.0</v>
      </c>
      <c r="E34" s="109" t="s">
        <v>1175</v>
      </c>
      <c r="F34" s="112"/>
      <c r="G34" s="110"/>
      <c r="H34" s="110"/>
      <c r="I34" s="112">
        <v>5000.0</v>
      </c>
      <c r="J34" s="112"/>
      <c r="K34" s="117"/>
      <c r="L34" s="111"/>
      <c r="M34" s="110"/>
      <c r="N34" s="111"/>
      <c r="O34" s="110"/>
      <c r="P34" s="113">
        <v>5000.0</v>
      </c>
      <c r="Q34" s="114">
        <f t="shared" si="1"/>
        <v>0</v>
      </c>
      <c r="R34" s="113" t="s">
        <v>38</v>
      </c>
      <c r="S34" s="115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</row>
    <row r="35" ht="34.5" customHeight="1">
      <c r="A35" s="105">
        <v>31.0</v>
      </c>
      <c r="B35" s="106">
        <v>45626.0</v>
      </c>
      <c r="C35" s="107" t="s">
        <v>1187</v>
      </c>
      <c r="D35" s="108">
        <v>50871.0</v>
      </c>
      <c r="E35" s="109" t="s">
        <v>1188</v>
      </c>
      <c r="F35" s="112"/>
      <c r="G35" s="110"/>
      <c r="H35" s="110"/>
      <c r="I35" s="112">
        <v>5200.0</v>
      </c>
      <c r="J35" s="112"/>
      <c r="K35" s="117"/>
      <c r="L35" s="111"/>
      <c r="M35" s="110"/>
      <c r="N35" s="111"/>
      <c r="O35" s="110"/>
      <c r="P35" s="113">
        <v>5200.0</v>
      </c>
      <c r="Q35" s="114">
        <f t="shared" si="1"/>
        <v>0</v>
      </c>
      <c r="R35" s="113" t="s">
        <v>28</v>
      </c>
      <c r="S35" s="115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</row>
    <row r="36" ht="34.5" customHeight="1">
      <c r="A36" s="105">
        <v>32.0</v>
      </c>
      <c r="B36" s="106">
        <v>45626.0</v>
      </c>
      <c r="C36" s="107" t="s">
        <v>1189</v>
      </c>
      <c r="D36" s="108">
        <v>10270.0</v>
      </c>
      <c r="E36" s="109" t="s">
        <v>1128</v>
      </c>
      <c r="F36" s="112"/>
      <c r="G36" s="110"/>
      <c r="H36" s="110"/>
      <c r="I36" s="112"/>
      <c r="J36" s="112"/>
      <c r="K36" s="117">
        <v>7450.0</v>
      </c>
      <c r="L36" s="111"/>
      <c r="M36" s="110"/>
      <c r="N36" s="111"/>
      <c r="O36" s="110"/>
      <c r="P36" s="113">
        <v>7450.0</v>
      </c>
      <c r="Q36" s="114">
        <f t="shared" si="1"/>
        <v>0</v>
      </c>
      <c r="R36" s="113" t="s">
        <v>28</v>
      </c>
      <c r="S36" s="115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</row>
    <row r="37" ht="34.5" customHeight="1">
      <c r="A37" s="83">
        <v>33.0</v>
      </c>
      <c r="B37" s="84">
        <v>45626.0</v>
      </c>
      <c r="C37" s="85" t="s">
        <v>1190</v>
      </c>
      <c r="D37" s="86">
        <v>52776.0</v>
      </c>
      <c r="E37" s="87" t="s">
        <v>1183</v>
      </c>
      <c r="F37" s="89"/>
      <c r="G37" s="88"/>
      <c r="H37" s="88"/>
      <c r="I37" s="89"/>
      <c r="J37" s="89">
        <v>500.0</v>
      </c>
      <c r="K37" s="97"/>
      <c r="L37" s="90"/>
      <c r="M37" s="88"/>
      <c r="N37" s="90"/>
      <c r="O37" s="88"/>
      <c r="P37" s="91">
        <v>500.0</v>
      </c>
      <c r="Q37" s="92">
        <f t="shared" si="1"/>
        <v>0</v>
      </c>
      <c r="R37" s="91" t="s">
        <v>28</v>
      </c>
      <c r="S37" s="93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</row>
    <row r="38" ht="34.5" customHeight="1">
      <c r="A38" s="83">
        <v>34.0</v>
      </c>
      <c r="B38" s="84">
        <v>45626.0</v>
      </c>
      <c r="C38" s="85" t="s">
        <v>1191</v>
      </c>
      <c r="D38" s="86">
        <v>20541.0</v>
      </c>
      <c r="E38" s="87" t="s">
        <v>522</v>
      </c>
      <c r="F38" s="89"/>
      <c r="G38" s="88"/>
      <c r="H38" s="88"/>
      <c r="I38" s="89">
        <v>500.0</v>
      </c>
      <c r="J38" s="89"/>
      <c r="K38" s="97"/>
      <c r="L38" s="90"/>
      <c r="M38" s="88"/>
      <c r="N38" s="90"/>
      <c r="O38" s="88"/>
      <c r="P38" s="91">
        <v>500.0</v>
      </c>
      <c r="Q38" s="92">
        <f t="shared" si="1"/>
        <v>0</v>
      </c>
      <c r="R38" s="91" t="s">
        <v>25</v>
      </c>
      <c r="S38" s="93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</row>
    <row r="39" ht="34.5" customHeight="1">
      <c r="A39" s="105">
        <v>35.0</v>
      </c>
      <c r="B39" s="106">
        <v>45626.0</v>
      </c>
      <c r="C39" s="107" t="s">
        <v>1192</v>
      </c>
      <c r="D39" s="108">
        <v>50595.0</v>
      </c>
      <c r="E39" s="109" t="s">
        <v>102</v>
      </c>
      <c r="F39" s="112"/>
      <c r="G39" s="110"/>
      <c r="H39" s="110">
        <v>24250.0</v>
      </c>
      <c r="I39" s="112"/>
      <c r="J39" s="112"/>
      <c r="K39" s="117"/>
      <c r="L39" s="111"/>
      <c r="M39" s="110"/>
      <c r="N39" s="111"/>
      <c r="O39" s="110"/>
      <c r="P39" s="113">
        <v>24250.0</v>
      </c>
      <c r="Q39" s="114">
        <f t="shared" si="1"/>
        <v>0</v>
      </c>
      <c r="R39" s="113" t="s">
        <v>35</v>
      </c>
      <c r="S39" s="115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</row>
    <row r="40" ht="34.5" customHeight="1">
      <c r="A40" s="83">
        <v>36.0</v>
      </c>
      <c r="B40" s="84">
        <v>45626.0</v>
      </c>
      <c r="C40" s="85" t="s">
        <v>1193</v>
      </c>
      <c r="D40" s="86">
        <v>13133.0</v>
      </c>
      <c r="E40" s="87" t="s">
        <v>342</v>
      </c>
      <c r="F40" s="89"/>
      <c r="G40" s="88"/>
      <c r="H40" s="88"/>
      <c r="I40" s="89"/>
      <c r="J40" s="89">
        <v>500.0</v>
      </c>
      <c r="K40" s="97"/>
      <c r="L40" s="90"/>
      <c r="M40" s="88"/>
      <c r="N40" s="90"/>
      <c r="O40" s="88"/>
      <c r="P40" s="91">
        <v>500.0</v>
      </c>
      <c r="Q40" s="92">
        <f t="shared" si="1"/>
        <v>0</v>
      </c>
      <c r="R40" s="91" t="s">
        <v>35</v>
      </c>
      <c r="S40" s="93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</row>
    <row r="41" ht="34.5" customHeight="1">
      <c r="A41" s="83">
        <v>37.0</v>
      </c>
      <c r="B41" s="84">
        <v>45626.0</v>
      </c>
      <c r="C41" s="85" t="s">
        <v>1194</v>
      </c>
      <c r="D41" s="86">
        <v>10008.0</v>
      </c>
      <c r="E41" s="87" t="s">
        <v>100</v>
      </c>
      <c r="F41" s="89"/>
      <c r="G41" s="88"/>
      <c r="H41" s="88"/>
      <c r="I41" s="89">
        <v>3000.0</v>
      </c>
      <c r="J41" s="89"/>
      <c r="K41" s="97"/>
      <c r="L41" s="90"/>
      <c r="M41" s="88"/>
      <c r="N41" s="90"/>
      <c r="O41" s="88"/>
      <c r="P41" s="91">
        <v>3000.0</v>
      </c>
      <c r="Q41" s="92">
        <f t="shared" si="1"/>
        <v>0</v>
      </c>
      <c r="R41" s="91" t="s">
        <v>25</v>
      </c>
      <c r="S41" s="93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</row>
    <row r="42" ht="34.5" customHeight="1">
      <c r="A42" s="105">
        <v>38.0</v>
      </c>
      <c r="B42" s="106">
        <v>45626.0</v>
      </c>
      <c r="C42" s="107" t="s">
        <v>1195</v>
      </c>
      <c r="D42" s="108">
        <v>55446.0</v>
      </c>
      <c r="E42" s="109" t="s">
        <v>153</v>
      </c>
      <c r="F42" s="112"/>
      <c r="G42" s="110"/>
      <c r="H42" s="110">
        <v>2040.0</v>
      </c>
      <c r="I42" s="112"/>
      <c r="J42" s="112"/>
      <c r="K42" s="117"/>
      <c r="L42" s="111"/>
      <c r="M42" s="110"/>
      <c r="N42" s="111"/>
      <c r="O42" s="110"/>
      <c r="P42" s="113">
        <v>2040.0</v>
      </c>
      <c r="Q42" s="114">
        <f t="shared" si="1"/>
        <v>0</v>
      </c>
      <c r="R42" s="113"/>
      <c r="S42" s="115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</row>
    <row r="43" ht="34.5" customHeight="1">
      <c r="A43" s="105">
        <v>39.0</v>
      </c>
      <c r="B43" s="106">
        <v>45626.0</v>
      </c>
      <c r="C43" s="107" t="s">
        <v>1196</v>
      </c>
      <c r="D43" s="108">
        <v>72142.0</v>
      </c>
      <c r="E43" s="109" t="s">
        <v>1197</v>
      </c>
      <c r="F43" s="112"/>
      <c r="G43" s="110"/>
      <c r="H43" s="110"/>
      <c r="I43" s="112"/>
      <c r="J43" s="112"/>
      <c r="K43" s="117"/>
      <c r="L43" s="111"/>
      <c r="M43" s="110">
        <v>4300.0</v>
      </c>
      <c r="N43" s="111"/>
      <c r="O43" s="110"/>
      <c r="P43" s="113">
        <v>4300.0</v>
      </c>
      <c r="Q43" s="114">
        <f t="shared" si="1"/>
        <v>0</v>
      </c>
      <c r="R43" s="113"/>
      <c r="S43" s="115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</row>
    <row r="44" ht="34.5" customHeight="1">
      <c r="A44" s="105">
        <v>40.0</v>
      </c>
      <c r="B44" s="69">
        <v>45626.0</v>
      </c>
      <c r="C44" s="32" t="s">
        <v>1198</v>
      </c>
      <c r="D44" s="33">
        <v>51017.0</v>
      </c>
      <c r="E44" s="34" t="s">
        <v>228</v>
      </c>
      <c r="F44" s="29"/>
      <c r="G44" s="22"/>
      <c r="H44" s="22">
        <v>15000.0</v>
      </c>
      <c r="I44" s="29"/>
      <c r="J44" s="29"/>
      <c r="K44" s="37"/>
      <c r="L44" s="24"/>
      <c r="M44" s="22"/>
      <c r="N44" s="24"/>
      <c r="O44" s="22"/>
      <c r="P44" s="35">
        <v>15000.0</v>
      </c>
      <c r="Q44" s="26">
        <f t="shared" si="1"/>
        <v>0</v>
      </c>
      <c r="R44" s="35"/>
      <c r="S44" s="100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</row>
    <row r="45" ht="34.5" customHeight="1">
      <c r="A45" s="105">
        <v>41.0</v>
      </c>
      <c r="B45" s="69">
        <v>45626.0</v>
      </c>
      <c r="C45" s="32" t="s">
        <v>1199</v>
      </c>
      <c r="D45" s="33">
        <v>51017.0</v>
      </c>
      <c r="E45" s="34" t="s">
        <v>228</v>
      </c>
      <c r="F45" s="29"/>
      <c r="G45" s="22"/>
      <c r="H45" s="22">
        <v>15000.0</v>
      </c>
      <c r="I45" s="29"/>
      <c r="J45" s="29"/>
      <c r="K45" s="37"/>
      <c r="L45" s="24"/>
      <c r="M45" s="22"/>
      <c r="N45" s="24"/>
      <c r="O45" s="22"/>
      <c r="P45" s="35">
        <v>15000.0</v>
      </c>
      <c r="Q45" s="26">
        <f t="shared" si="1"/>
        <v>0</v>
      </c>
      <c r="R45" s="35"/>
      <c r="S45" s="100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</row>
    <row r="46" ht="34.5" customHeight="1">
      <c r="A46" s="71">
        <v>42.0</v>
      </c>
      <c r="B46" s="69">
        <v>45626.0</v>
      </c>
      <c r="C46" s="32" t="s">
        <v>1200</v>
      </c>
      <c r="D46" s="33">
        <v>58257.0</v>
      </c>
      <c r="E46" s="34" t="s">
        <v>689</v>
      </c>
      <c r="F46" s="29"/>
      <c r="G46" s="22"/>
      <c r="H46" s="22"/>
      <c r="I46" s="29"/>
      <c r="J46" s="29"/>
      <c r="K46" s="37">
        <v>10000.0</v>
      </c>
      <c r="L46" s="24"/>
      <c r="M46" s="22"/>
      <c r="N46" s="24"/>
      <c r="O46" s="22"/>
      <c r="P46" s="35">
        <v>10000.0</v>
      </c>
      <c r="Q46" s="26">
        <f t="shared" si="1"/>
        <v>0</v>
      </c>
      <c r="R46" s="35"/>
      <c r="S46" s="100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</row>
    <row r="47" ht="37.5" customHeight="1">
      <c r="A47" s="71"/>
      <c r="B47" s="50"/>
      <c r="C47" s="51"/>
      <c r="D47" s="52"/>
      <c r="E47" s="53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4"/>
      <c r="R47" s="119"/>
      <c r="S47" s="115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</row>
    <row r="48" ht="37.5" customHeight="1">
      <c r="A48" s="71"/>
      <c r="B48" s="50"/>
      <c r="C48" s="51"/>
      <c r="D48" s="52" t="s">
        <v>123</v>
      </c>
      <c r="E48" s="53"/>
      <c r="F48" s="54">
        <f t="shared" ref="F48:P48" si="2">SUM(F5:F47)</f>
        <v>0</v>
      </c>
      <c r="G48" s="54">
        <f t="shared" si="2"/>
        <v>0</v>
      </c>
      <c r="H48" s="54">
        <f t="shared" si="2"/>
        <v>56290</v>
      </c>
      <c r="I48" s="54">
        <f t="shared" si="2"/>
        <v>104840</v>
      </c>
      <c r="J48" s="54">
        <f t="shared" si="2"/>
        <v>21600</v>
      </c>
      <c r="K48" s="54">
        <f t="shared" si="2"/>
        <v>41650</v>
      </c>
      <c r="L48" s="54">
        <f t="shared" si="2"/>
        <v>0</v>
      </c>
      <c r="M48" s="54">
        <f t="shared" si="2"/>
        <v>6800</v>
      </c>
      <c r="N48" s="54">
        <f t="shared" si="2"/>
        <v>0</v>
      </c>
      <c r="O48" s="54">
        <f t="shared" si="2"/>
        <v>0</v>
      </c>
      <c r="P48" s="54">
        <f t="shared" si="2"/>
        <v>231180</v>
      </c>
      <c r="Q48" s="101">
        <f>F48+G48+H48+I48+J48+K48+L48+M48+N48+O48-P48</f>
        <v>0</v>
      </c>
      <c r="R48" s="56"/>
      <c r="S48" s="103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</row>
    <row r="49" ht="58.5" customHeight="1">
      <c r="A49" s="57"/>
      <c r="B49" s="57"/>
      <c r="C49" s="58"/>
      <c r="D49" s="57"/>
      <c r="E49" s="57"/>
      <c r="F49" s="59">
        <f>F48+G48+H48+I48+J48+K48+L48+M48+N48+O48</f>
        <v>231180</v>
      </c>
      <c r="P49" s="60"/>
      <c r="Q49" s="60"/>
      <c r="R49" s="57"/>
      <c r="S49" s="57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</row>
    <row r="50" ht="15.75" customHeight="1">
      <c r="A50" s="4"/>
      <c r="B50" s="4"/>
      <c r="C50" s="61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ht="26.25" customHeight="1">
      <c r="A51" s="4"/>
      <c r="B51" s="4"/>
      <c r="C51" s="61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ht="26.25" customHeight="1">
      <c r="A52" s="4"/>
      <c r="B52" s="4"/>
      <c r="C52" s="62" t="s">
        <v>123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ht="26.25" customHeight="1">
      <c r="A53" s="4"/>
      <c r="B53" s="4"/>
      <c r="C53" s="61"/>
      <c r="D53" s="4"/>
      <c r="E53" s="63" t="s">
        <v>124</v>
      </c>
      <c r="F53" s="64" t="s">
        <v>125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ht="26.25" customHeight="1">
      <c r="A54" s="4"/>
      <c r="B54" s="4"/>
      <c r="C54" s="61"/>
      <c r="D54" s="4"/>
      <c r="E54" s="65" t="s">
        <v>126</v>
      </c>
      <c r="F54" s="64" t="s">
        <v>838</v>
      </c>
      <c r="G54" s="4"/>
      <c r="H54" s="4"/>
      <c r="I54" s="4"/>
      <c r="J54" s="4"/>
      <c r="K54" s="4"/>
      <c r="L54" s="4"/>
      <c r="M54" s="4"/>
      <c r="N54" s="4"/>
      <c r="O54" s="66" t="s">
        <v>123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ht="26.25" customHeight="1">
      <c r="A55" s="4"/>
      <c r="B55" s="4"/>
      <c r="C55" s="61"/>
      <c r="D55" s="4"/>
      <c r="E55" s="65" t="s">
        <v>128</v>
      </c>
      <c r="F55" s="64" t="s">
        <v>159</v>
      </c>
      <c r="G55" s="4"/>
      <c r="H55" s="4"/>
      <c r="I55" s="67" t="s">
        <v>250</v>
      </c>
      <c r="J55" s="67" t="s">
        <v>1083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ht="26.25" customHeight="1">
      <c r="A56" s="4"/>
      <c r="B56" s="4"/>
      <c r="C56" s="61"/>
      <c r="D56" s="4"/>
      <c r="E56" s="65" t="s">
        <v>130</v>
      </c>
      <c r="F56" s="64" t="s">
        <v>159</v>
      </c>
      <c r="G56" s="4"/>
      <c r="H56" s="4"/>
      <c r="I56" s="4"/>
      <c r="J56" s="4"/>
      <c r="K56" s="67" t="s">
        <v>123</v>
      </c>
      <c r="L56" s="67" t="s">
        <v>123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ht="26.25" customHeight="1">
      <c r="A57" s="4"/>
      <c r="B57" s="4"/>
      <c r="C57" s="61"/>
      <c r="D57" s="4"/>
      <c r="E57" s="65" t="s">
        <v>131</v>
      </c>
      <c r="F57" s="64" t="s">
        <v>1011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ht="26.25" customHeight="1">
      <c r="A58" s="4"/>
      <c r="B58" s="4"/>
      <c r="C58" s="61"/>
      <c r="D58" s="4"/>
      <c r="E58" s="65" t="s">
        <v>1201</v>
      </c>
      <c r="F58" s="64" t="s">
        <v>159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ht="26.25" customHeight="1">
      <c r="A59" s="4"/>
      <c r="B59" s="4"/>
      <c r="C59" s="61"/>
      <c r="D59" s="4"/>
      <c r="E59" s="65" t="s">
        <v>134</v>
      </c>
      <c r="F59" s="64" t="s">
        <v>1086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ht="26.25" customHeight="1">
      <c r="A60" s="4"/>
      <c r="B60" s="4"/>
      <c r="C60" s="61"/>
      <c r="D60" s="4"/>
      <c r="E60" s="65" t="s">
        <v>135</v>
      </c>
      <c r="F60" s="68" t="s">
        <v>125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66" t="s">
        <v>123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ht="26.25" customHeight="1">
      <c r="A61" s="4"/>
      <c r="B61" s="4"/>
      <c r="C61" s="61"/>
      <c r="D61" s="4"/>
      <c r="E61" s="4"/>
      <c r="F61" s="4"/>
      <c r="G61" s="4"/>
      <c r="H61" s="4"/>
      <c r="I61" s="4"/>
      <c r="J61" s="4"/>
      <c r="K61" s="4" t="str">
        <f>I72448</f>
        <v/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ht="26.25" customHeight="1">
      <c r="A62" s="4"/>
      <c r="B62" s="4"/>
      <c r="C62" s="6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ht="15.75" customHeight="1">
      <c r="A63" s="4"/>
      <c r="B63" s="4"/>
      <c r="C63" s="6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ht="15.75" customHeight="1">
      <c r="A64" s="4"/>
      <c r="B64" s="4"/>
      <c r="C64" s="6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ht="15.75" customHeight="1">
      <c r="A65" s="4"/>
      <c r="B65" s="4"/>
      <c r="C65" s="6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ht="15.75" customHeight="1">
      <c r="A66" s="4"/>
      <c r="B66" s="4"/>
      <c r="C66" s="6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ht="15.75" customHeight="1">
      <c r="A67" s="4"/>
      <c r="B67" s="4"/>
      <c r="C67" s="6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ht="15.75" customHeight="1">
      <c r="A68" s="4"/>
      <c r="B68" s="4"/>
      <c r="C68" s="61"/>
      <c r="D68" s="4"/>
      <c r="E68" s="4"/>
      <c r="F68" s="4"/>
      <c r="G68" s="4"/>
      <c r="H68" s="4"/>
      <c r="I68" s="66" t="s">
        <v>136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ht="15.75" customHeight="1">
      <c r="A69" s="4"/>
      <c r="B69" s="4"/>
      <c r="C69" s="6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ht="15.75" customHeight="1">
      <c r="A70" s="4"/>
      <c r="B70" s="4"/>
      <c r="C70" s="6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ht="15.75" customHeight="1">
      <c r="A71" s="4"/>
      <c r="B71" s="4"/>
      <c r="C71" s="6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ht="15.75" customHeight="1">
      <c r="A72" s="4"/>
      <c r="B72" s="4"/>
      <c r="C72" s="6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ht="15.75" customHeight="1">
      <c r="A73" s="4"/>
      <c r="B73" s="4"/>
      <c r="C73" s="6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ht="15.75" customHeight="1">
      <c r="A74" s="4"/>
      <c r="B74" s="4"/>
      <c r="C74" s="6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ht="15.75" customHeight="1">
      <c r="A75" s="4"/>
      <c r="B75" s="4"/>
      <c r="C75" s="6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ht="15.75" customHeight="1">
      <c r="A76" s="4"/>
      <c r="B76" s="4"/>
      <c r="C76" s="6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ht="15.75" customHeight="1">
      <c r="A77" s="4"/>
      <c r="B77" s="4"/>
      <c r="C77" s="6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ht="15.75" customHeight="1">
      <c r="A78" s="4"/>
      <c r="B78" s="4"/>
      <c r="C78" s="6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ht="15.75" customHeight="1">
      <c r="A79" s="4"/>
      <c r="B79" s="4"/>
      <c r="C79" s="6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ht="15.75" customHeight="1">
      <c r="A80" s="4"/>
      <c r="B80" s="4"/>
      <c r="C80" s="6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ht="15.75" customHeight="1">
      <c r="A81" s="4"/>
      <c r="B81" s="4"/>
      <c r="C81" s="6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ht="15.75" customHeight="1">
      <c r="A82" s="4"/>
      <c r="B82" s="4"/>
      <c r="C82" s="6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ht="15.75" customHeight="1">
      <c r="A83" s="4"/>
      <c r="B83" s="4"/>
      <c r="C83" s="61"/>
      <c r="D83" s="4"/>
      <c r="E83" s="4"/>
      <c r="F83" s="4"/>
      <c r="G83" s="4"/>
      <c r="H83" s="4"/>
      <c r="I83" s="4"/>
      <c r="J83" s="4"/>
      <c r="K83" s="4"/>
      <c r="L83" s="4"/>
      <c r="M83" s="4">
        <v>7.0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ht="15.75" customHeight="1">
      <c r="A84" s="4"/>
      <c r="B84" s="4"/>
      <c r="C84" s="6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ht="15.75" customHeight="1">
      <c r="A85" s="4"/>
      <c r="B85" s="4"/>
      <c r="C85" s="6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ht="15.75" customHeight="1">
      <c r="A86" s="4"/>
      <c r="B86" s="4"/>
      <c r="C86" s="6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ht="15.75" customHeight="1">
      <c r="A87" s="4"/>
      <c r="B87" s="4"/>
      <c r="C87" s="6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ht="15.75" customHeight="1">
      <c r="A88" s="4"/>
      <c r="B88" s="4"/>
      <c r="C88" s="6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ht="15.75" customHeight="1">
      <c r="A89" s="4"/>
      <c r="B89" s="4"/>
      <c r="C89" s="6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ht="15.75" customHeight="1">
      <c r="A90" s="4"/>
      <c r="B90" s="4"/>
      <c r="C90" s="6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ht="15.75" customHeight="1">
      <c r="A91" s="4"/>
      <c r="B91" s="4"/>
      <c r="C91" s="6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ht="15.75" customHeight="1">
      <c r="A92" s="4"/>
      <c r="B92" s="4"/>
      <c r="C92" s="6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ht="15.75" customHeight="1">
      <c r="A93" s="4"/>
      <c r="B93" s="4"/>
      <c r="C93" s="6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ht="15.75" customHeight="1">
      <c r="A94" s="4"/>
      <c r="B94" s="4"/>
      <c r="C94" s="6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ht="15.75" customHeight="1">
      <c r="A95" s="4"/>
      <c r="B95" s="4"/>
      <c r="C95" s="6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ht="15.75" customHeight="1">
      <c r="A96" s="4"/>
      <c r="B96" s="4"/>
      <c r="C96" s="6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ht="15.75" customHeight="1">
      <c r="A97" s="4"/>
      <c r="B97" s="4"/>
      <c r="C97" s="6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ht="15.75" customHeight="1">
      <c r="A98" s="4"/>
      <c r="B98" s="4"/>
      <c r="C98" s="6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ht="15.75" customHeight="1">
      <c r="A99" s="4"/>
      <c r="B99" s="4"/>
      <c r="C99" s="6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ht="15.75" customHeight="1">
      <c r="A100" s="4"/>
      <c r="B100" s="4"/>
      <c r="C100" s="6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ht="15.75" customHeight="1">
      <c r="A101" s="4"/>
      <c r="B101" s="4"/>
      <c r="C101" s="6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ht="15.75" customHeight="1">
      <c r="A102" s="4"/>
      <c r="B102" s="4"/>
      <c r="C102" s="6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ht="15.75" customHeight="1">
      <c r="A103" s="4"/>
      <c r="B103" s="4"/>
      <c r="C103" s="6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ht="15.75" customHeight="1">
      <c r="A104" s="4"/>
      <c r="B104" s="4"/>
      <c r="C104" s="6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ht="15.75" customHeight="1">
      <c r="A105" s="4"/>
      <c r="B105" s="4"/>
      <c r="C105" s="6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ht="15.75" customHeight="1">
      <c r="A106" s="4"/>
      <c r="B106" s="4"/>
      <c r="C106" s="6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ht="15.75" customHeight="1">
      <c r="A107" s="4"/>
      <c r="B107" s="4"/>
      <c r="C107" s="6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ht="15.75" customHeight="1">
      <c r="A108" s="4"/>
      <c r="B108" s="4"/>
      <c r="C108" s="6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ht="15.75" customHeight="1">
      <c r="A109" s="4"/>
      <c r="B109" s="4"/>
      <c r="C109" s="6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ht="15.75" customHeight="1">
      <c r="A110" s="4"/>
      <c r="B110" s="4"/>
      <c r="C110" s="6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ht="15.75" customHeight="1">
      <c r="A111" s="4"/>
      <c r="B111" s="4"/>
      <c r="C111" s="6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ht="15.75" customHeight="1">
      <c r="A112" s="4"/>
      <c r="B112" s="4"/>
      <c r="C112" s="6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ht="15.75" customHeight="1">
      <c r="A113" s="4"/>
      <c r="B113" s="4"/>
      <c r="C113" s="6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ht="15.75" customHeight="1">
      <c r="A114" s="4"/>
      <c r="B114" s="4"/>
      <c r="C114" s="6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ht="15.75" customHeight="1">
      <c r="A115" s="4"/>
      <c r="B115" s="4"/>
      <c r="C115" s="6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ht="15.75" customHeight="1">
      <c r="A116" s="4"/>
      <c r="B116" s="4"/>
      <c r="C116" s="6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ht="15.75" customHeight="1">
      <c r="A117" s="4"/>
      <c r="B117" s="4"/>
      <c r="C117" s="6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ht="15.75" customHeight="1">
      <c r="A118" s="4"/>
      <c r="B118" s="4"/>
      <c r="C118" s="6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ht="15.75" customHeight="1">
      <c r="A119" s="4"/>
      <c r="B119" s="4"/>
      <c r="C119" s="6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ht="15.75" customHeight="1">
      <c r="A120" s="4"/>
      <c r="B120" s="4"/>
      <c r="C120" s="6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ht="15.75" customHeight="1">
      <c r="A121" s="4"/>
      <c r="B121" s="4"/>
      <c r="C121" s="6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ht="15.75" customHeight="1">
      <c r="A122" s="4"/>
      <c r="B122" s="4"/>
      <c r="C122" s="6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ht="15.75" customHeight="1">
      <c r="A123" s="4"/>
      <c r="B123" s="4"/>
      <c r="C123" s="6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ht="15.75" customHeight="1">
      <c r="A124" s="4"/>
      <c r="B124" s="4"/>
      <c r="C124" s="6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ht="15.75" customHeight="1">
      <c r="A125" s="4"/>
      <c r="B125" s="4"/>
      <c r="C125" s="6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ht="15.75" customHeight="1">
      <c r="A126" s="4"/>
      <c r="B126" s="4"/>
      <c r="C126" s="6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ht="15.75" customHeight="1">
      <c r="A127" s="4"/>
      <c r="B127" s="4"/>
      <c r="C127" s="6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ht="15.75" customHeight="1">
      <c r="A128" s="4"/>
      <c r="B128" s="4"/>
      <c r="C128" s="6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ht="15.75" customHeight="1">
      <c r="A129" s="4"/>
      <c r="B129" s="4"/>
      <c r="C129" s="6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ht="15.75" customHeight="1">
      <c r="A130" s="4"/>
      <c r="B130" s="4"/>
      <c r="C130" s="6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ht="15.75" customHeight="1">
      <c r="A131" s="4"/>
      <c r="B131" s="4"/>
      <c r="C131" s="6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ht="15.75" customHeight="1">
      <c r="A132" s="4"/>
      <c r="B132" s="4"/>
      <c r="C132" s="6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ht="15.75" customHeight="1">
      <c r="A133" s="4"/>
      <c r="B133" s="4"/>
      <c r="C133" s="6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ht="15.75" customHeight="1">
      <c r="A134" s="4"/>
      <c r="B134" s="4"/>
      <c r="C134" s="6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ht="15.75" customHeight="1">
      <c r="A135" s="4"/>
      <c r="B135" s="4"/>
      <c r="C135" s="6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ht="15.75" customHeight="1">
      <c r="A136" s="4"/>
      <c r="B136" s="4"/>
      <c r="C136" s="6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ht="15.75" customHeight="1">
      <c r="A137" s="4"/>
      <c r="B137" s="4"/>
      <c r="C137" s="6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ht="15.75" customHeight="1">
      <c r="A138" s="4"/>
      <c r="B138" s="4"/>
      <c r="C138" s="6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ht="15.75" customHeight="1">
      <c r="A139" s="4"/>
      <c r="B139" s="4"/>
      <c r="C139" s="6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ht="15.75" customHeight="1">
      <c r="A140" s="4"/>
      <c r="B140" s="4"/>
      <c r="C140" s="6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ht="15.75" customHeight="1">
      <c r="A141" s="4"/>
      <c r="B141" s="4"/>
      <c r="C141" s="6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ht="15.75" customHeight="1">
      <c r="A142" s="4"/>
      <c r="B142" s="4"/>
      <c r="C142" s="6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ht="15.75" customHeight="1">
      <c r="A143" s="4"/>
      <c r="B143" s="4"/>
      <c r="C143" s="6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ht="15.75" customHeight="1">
      <c r="A144" s="4"/>
      <c r="B144" s="4"/>
      <c r="C144" s="6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ht="15.75" customHeight="1">
      <c r="A145" s="4"/>
      <c r="B145" s="4"/>
      <c r="C145" s="6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ht="15.75" customHeight="1">
      <c r="A146" s="4"/>
      <c r="B146" s="4"/>
      <c r="C146" s="6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ht="15.75" customHeight="1">
      <c r="A147" s="4"/>
      <c r="B147" s="4"/>
      <c r="C147" s="6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ht="15.75" customHeight="1">
      <c r="A148" s="4"/>
      <c r="B148" s="4"/>
      <c r="C148" s="6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ht="15.75" customHeight="1">
      <c r="A149" s="4"/>
      <c r="B149" s="4"/>
      <c r="C149" s="6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ht="15.75" customHeight="1">
      <c r="A150" s="4"/>
      <c r="B150" s="4"/>
      <c r="C150" s="6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ht="15.75" customHeight="1">
      <c r="A151" s="4"/>
      <c r="B151" s="4"/>
      <c r="C151" s="6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ht="15.75" customHeight="1">
      <c r="A152" s="4"/>
      <c r="B152" s="4"/>
      <c r="C152" s="6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ht="15.75" customHeight="1">
      <c r="A153" s="4"/>
      <c r="B153" s="4"/>
      <c r="C153" s="6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ht="15.75" customHeight="1">
      <c r="A154" s="4"/>
      <c r="B154" s="4"/>
      <c r="C154" s="6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ht="15.75" customHeight="1">
      <c r="A155" s="4"/>
      <c r="B155" s="4"/>
      <c r="C155" s="6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ht="15.75" customHeight="1">
      <c r="A156" s="4"/>
      <c r="B156" s="4"/>
      <c r="C156" s="6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ht="15.75" customHeight="1">
      <c r="A157" s="4"/>
      <c r="B157" s="4"/>
      <c r="C157" s="6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ht="15.75" customHeight="1">
      <c r="A158" s="4"/>
      <c r="B158" s="4"/>
      <c r="C158" s="6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ht="15.75" customHeight="1">
      <c r="A159" s="4"/>
      <c r="B159" s="4"/>
      <c r="C159" s="6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ht="15.75" customHeight="1">
      <c r="A160" s="4"/>
      <c r="B160" s="4"/>
      <c r="C160" s="6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ht="15.75" customHeight="1">
      <c r="A161" s="4"/>
      <c r="B161" s="4"/>
      <c r="C161" s="6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ht="15.75" customHeight="1">
      <c r="A162" s="4"/>
      <c r="B162" s="4"/>
      <c r="C162" s="6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ht="15.75" customHeight="1">
      <c r="A163" s="4"/>
      <c r="B163" s="4"/>
      <c r="C163" s="6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ht="15.75" customHeight="1">
      <c r="A164" s="4"/>
      <c r="B164" s="4"/>
      <c r="C164" s="6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ht="15.75" customHeight="1">
      <c r="A165" s="4"/>
      <c r="B165" s="4"/>
      <c r="C165" s="6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ht="15.75" customHeight="1">
      <c r="A166" s="4"/>
      <c r="B166" s="4"/>
      <c r="C166" s="6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ht="15.75" customHeight="1">
      <c r="A167" s="4"/>
      <c r="B167" s="4"/>
      <c r="C167" s="6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ht="15.75" customHeight="1">
      <c r="A168" s="4"/>
      <c r="B168" s="4"/>
      <c r="C168" s="6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ht="15.75" customHeight="1">
      <c r="A169" s="4"/>
      <c r="B169" s="4"/>
      <c r="C169" s="6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ht="15.75" customHeight="1">
      <c r="A170" s="4"/>
      <c r="B170" s="4"/>
      <c r="C170" s="6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ht="15.75" customHeight="1">
      <c r="A171" s="4"/>
      <c r="B171" s="4"/>
      <c r="C171" s="6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ht="15.75" customHeight="1">
      <c r="A172" s="4"/>
      <c r="B172" s="4"/>
      <c r="C172" s="6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ht="15.75" customHeight="1">
      <c r="A173" s="4"/>
      <c r="B173" s="4"/>
      <c r="C173" s="6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ht="15.75" customHeight="1">
      <c r="A174" s="4"/>
      <c r="B174" s="4"/>
      <c r="C174" s="6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ht="15.75" customHeight="1">
      <c r="A175" s="4"/>
      <c r="B175" s="4"/>
      <c r="C175" s="6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ht="15.75" customHeight="1">
      <c r="A176" s="4"/>
      <c r="B176" s="4"/>
      <c r="C176" s="6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ht="15.75" customHeight="1">
      <c r="A177" s="4"/>
      <c r="B177" s="4"/>
      <c r="C177" s="6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ht="15.75" customHeight="1">
      <c r="A178" s="4"/>
      <c r="B178" s="4"/>
      <c r="C178" s="6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ht="15.75" customHeight="1">
      <c r="A179" s="4"/>
      <c r="B179" s="4"/>
      <c r="C179" s="6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ht="15.75" customHeight="1">
      <c r="A180" s="4"/>
      <c r="B180" s="4"/>
      <c r="C180" s="6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ht="15.75" customHeight="1">
      <c r="A181" s="4"/>
      <c r="B181" s="4"/>
      <c r="C181" s="6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ht="15.75" customHeight="1">
      <c r="A182" s="4"/>
      <c r="B182" s="4"/>
      <c r="C182" s="6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ht="15.75" customHeight="1">
      <c r="A183" s="4"/>
      <c r="B183" s="4"/>
      <c r="C183" s="6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ht="15.75" customHeight="1">
      <c r="A184" s="4"/>
      <c r="B184" s="4"/>
      <c r="C184" s="6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ht="15.75" customHeight="1">
      <c r="A185" s="4"/>
      <c r="B185" s="4"/>
      <c r="C185" s="6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ht="15.75" customHeight="1">
      <c r="A186" s="4"/>
      <c r="B186" s="4"/>
      <c r="C186" s="6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ht="15.75" customHeight="1">
      <c r="A187" s="4"/>
      <c r="B187" s="4"/>
      <c r="C187" s="6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ht="15.75" customHeight="1">
      <c r="A188" s="4"/>
      <c r="B188" s="4"/>
      <c r="C188" s="6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ht="15.75" customHeight="1">
      <c r="A189" s="4"/>
      <c r="B189" s="4"/>
      <c r="C189" s="6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ht="15.75" customHeight="1">
      <c r="A190" s="4"/>
      <c r="B190" s="4"/>
      <c r="C190" s="6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ht="15.75" customHeight="1">
      <c r="A191" s="4"/>
      <c r="B191" s="4"/>
      <c r="C191" s="6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ht="15.75" customHeight="1">
      <c r="A192" s="4"/>
      <c r="B192" s="4"/>
      <c r="C192" s="6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ht="15.75" customHeight="1">
      <c r="A193" s="4"/>
      <c r="B193" s="4"/>
      <c r="C193" s="6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ht="15.75" customHeight="1">
      <c r="A194" s="4"/>
      <c r="B194" s="4"/>
      <c r="C194" s="6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ht="15.75" customHeight="1">
      <c r="A195" s="4"/>
      <c r="B195" s="4"/>
      <c r="C195" s="6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ht="15.75" customHeight="1">
      <c r="A196" s="4"/>
      <c r="B196" s="4"/>
      <c r="C196" s="6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ht="15.75" customHeight="1">
      <c r="A197" s="4"/>
      <c r="B197" s="4"/>
      <c r="C197" s="6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ht="15.75" customHeight="1">
      <c r="A198" s="4"/>
      <c r="B198" s="4"/>
      <c r="C198" s="6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ht="15.75" customHeight="1">
      <c r="A199" s="4"/>
      <c r="B199" s="4"/>
      <c r="C199" s="6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ht="15.75" customHeight="1">
      <c r="A200" s="4"/>
      <c r="B200" s="4"/>
      <c r="C200" s="6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ht="15.75" customHeight="1">
      <c r="A201" s="4"/>
      <c r="B201" s="4"/>
      <c r="C201" s="6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ht="15.75" customHeight="1">
      <c r="A202" s="4"/>
      <c r="B202" s="4"/>
      <c r="C202" s="6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ht="15.75" customHeight="1">
      <c r="A203" s="4"/>
      <c r="B203" s="4"/>
      <c r="C203" s="6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ht="15.75" customHeight="1">
      <c r="A204" s="4"/>
      <c r="B204" s="4"/>
      <c r="C204" s="6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ht="15.75" customHeight="1">
      <c r="A205" s="4"/>
      <c r="B205" s="4"/>
      <c r="C205" s="6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ht="15.75" customHeight="1">
      <c r="A206" s="4"/>
      <c r="B206" s="4"/>
      <c r="C206" s="6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ht="15.75" customHeight="1">
      <c r="A207" s="4"/>
      <c r="B207" s="4"/>
      <c r="C207" s="6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ht="15.75" customHeight="1">
      <c r="A208" s="4"/>
      <c r="B208" s="4"/>
      <c r="C208" s="6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ht="15.75" customHeight="1">
      <c r="A209" s="4"/>
      <c r="B209" s="4"/>
      <c r="C209" s="6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ht="15.75" customHeight="1">
      <c r="A210" s="4"/>
      <c r="B210" s="4"/>
      <c r="C210" s="6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ht="15.75" customHeight="1">
      <c r="A211" s="4"/>
      <c r="B211" s="4"/>
      <c r="C211" s="6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ht="15.75" customHeight="1">
      <c r="A212" s="4"/>
      <c r="B212" s="4"/>
      <c r="C212" s="6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ht="15.75" customHeight="1">
      <c r="A213" s="4"/>
      <c r="B213" s="4"/>
      <c r="C213" s="6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ht="15.75" customHeight="1">
      <c r="A214" s="4"/>
      <c r="B214" s="4"/>
      <c r="C214" s="6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ht="15.75" customHeight="1">
      <c r="A215" s="4"/>
      <c r="B215" s="4"/>
      <c r="C215" s="6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ht="15.75" customHeight="1">
      <c r="A216" s="4"/>
      <c r="B216" s="4"/>
      <c r="C216" s="6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ht="15.75" customHeight="1">
      <c r="A217" s="4"/>
      <c r="B217" s="4"/>
      <c r="C217" s="6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ht="15.75" customHeight="1">
      <c r="A218" s="4"/>
      <c r="B218" s="4"/>
      <c r="C218" s="6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ht="15.75" customHeight="1">
      <c r="A219" s="4"/>
      <c r="B219" s="4"/>
      <c r="C219" s="6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ht="15.75" customHeight="1">
      <c r="A220" s="4"/>
      <c r="B220" s="4"/>
      <c r="C220" s="6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ht="15.75" customHeight="1">
      <c r="A221" s="4"/>
      <c r="B221" s="4"/>
      <c r="C221" s="6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ht="15.75" customHeight="1">
      <c r="A222" s="4"/>
      <c r="B222" s="4"/>
      <c r="C222" s="6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ht="15.75" customHeight="1">
      <c r="A223" s="4"/>
      <c r="B223" s="4"/>
      <c r="C223" s="6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ht="15.75" customHeight="1">
      <c r="A224" s="4"/>
      <c r="B224" s="4"/>
      <c r="C224" s="6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ht="15.75" customHeight="1">
      <c r="A225" s="4"/>
      <c r="B225" s="4"/>
      <c r="C225" s="6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ht="15.75" customHeight="1">
      <c r="A226" s="4"/>
      <c r="B226" s="4"/>
      <c r="C226" s="6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ht="15.75" customHeight="1">
      <c r="A227" s="4"/>
      <c r="B227" s="4"/>
      <c r="C227" s="6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ht="15.75" customHeight="1">
      <c r="A228" s="4"/>
      <c r="B228" s="4"/>
      <c r="C228" s="6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ht="15.75" customHeight="1">
      <c r="A229" s="4"/>
      <c r="B229" s="4"/>
      <c r="C229" s="6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ht="15.75" customHeight="1">
      <c r="A230" s="4"/>
      <c r="B230" s="4"/>
      <c r="C230" s="6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ht="15.75" customHeight="1">
      <c r="A231" s="4"/>
      <c r="B231" s="4"/>
      <c r="C231" s="6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ht="15.75" customHeight="1">
      <c r="A232" s="4"/>
      <c r="B232" s="4"/>
      <c r="C232" s="6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ht="15.75" customHeight="1">
      <c r="A233" s="4"/>
      <c r="B233" s="4"/>
      <c r="C233" s="6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ht="15.75" customHeight="1">
      <c r="A234" s="4"/>
      <c r="B234" s="4"/>
      <c r="C234" s="6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ht="15.75" customHeight="1">
      <c r="A235" s="4"/>
      <c r="B235" s="4"/>
      <c r="C235" s="6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ht="15.75" customHeight="1">
      <c r="A236" s="4"/>
      <c r="B236" s="4"/>
      <c r="C236" s="6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ht="15.75" customHeight="1">
      <c r="A237" s="4"/>
      <c r="B237" s="4"/>
      <c r="C237" s="6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ht="15.75" customHeight="1">
      <c r="A238" s="4"/>
      <c r="B238" s="4"/>
      <c r="C238" s="6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ht="15.75" customHeight="1">
      <c r="A239" s="4"/>
      <c r="B239" s="4"/>
      <c r="C239" s="6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ht="15.75" customHeight="1">
      <c r="A240" s="4"/>
      <c r="B240" s="4"/>
      <c r="C240" s="6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ht="15.75" customHeight="1">
      <c r="A241" s="4"/>
      <c r="B241" s="4"/>
      <c r="C241" s="6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ht="15.75" customHeight="1">
      <c r="A242" s="4"/>
      <c r="B242" s="4"/>
      <c r="C242" s="6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ht="15.75" customHeight="1">
      <c r="A243" s="4"/>
      <c r="B243" s="4"/>
      <c r="C243" s="6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ht="15.75" customHeight="1">
      <c r="A244" s="4"/>
      <c r="B244" s="4"/>
      <c r="C244" s="6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ht="15.75" customHeight="1">
      <c r="A245" s="4"/>
      <c r="B245" s="4"/>
      <c r="C245" s="6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ht="15.75" customHeight="1">
      <c r="A246" s="4"/>
      <c r="B246" s="4"/>
      <c r="C246" s="6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ht="15.75" customHeight="1">
      <c r="A247" s="4"/>
      <c r="B247" s="4"/>
      <c r="C247" s="6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ht="15.75" customHeight="1">
      <c r="A248" s="4"/>
      <c r="B248" s="4"/>
      <c r="C248" s="6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ht="15.75" customHeight="1">
      <c r="A249" s="4"/>
      <c r="B249" s="4"/>
      <c r="C249" s="6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ht="15.75" customHeight="1">
      <c r="A250" s="4"/>
      <c r="B250" s="4"/>
      <c r="C250" s="6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ht="15.75" customHeight="1">
      <c r="A251" s="4"/>
      <c r="B251" s="4"/>
      <c r="C251" s="6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ht="15.75" customHeight="1">
      <c r="A252" s="4"/>
      <c r="B252" s="4"/>
      <c r="C252" s="6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ht="15.75" customHeight="1">
      <c r="A253" s="4"/>
      <c r="B253" s="4"/>
      <c r="C253" s="6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ht="15.75" customHeight="1">
      <c r="A254" s="4"/>
      <c r="B254" s="4"/>
      <c r="C254" s="6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ht="15.75" customHeight="1">
      <c r="A255" s="4"/>
      <c r="B255" s="4"/>
      <c r="C255" s="6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ht="15.75" customHeight="1">
      <c r="A256" s="4"/>
      <c r="B256" s="4"/>
      <c r="C256" s="6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ht="15.75" customHeight="1">
      <c r="A257" s="4"/>
      <c r="B257" s="4"/>
      <c r="C257" s="6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ht="15.75" customHeight="1">
      <c r="A258" s="4"/>
      <c r="B258" s="4"/>
      <c r="C258" s="6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ht="15.75" customHeight="1">
      <c r="A259" s="4"/>
      <c r="B259" s="4"/>
      <c r="C259" s="6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ht="15.75" customHeight="1">
      <c r="A260" s="4"/>
      <c r="B260" s="4"/>
      <c r="C260" s="6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ht="15.75" customHeight="1">
      <c r="A261" s="4"/>
      <c r="B261" s="4"/>
      <c r="C261" s="6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ht="15.75" customHeight="1">
      <c r="A262" s="4"/>
      <c r="B262" s="4"/>
      <c r="C262" s="6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ht="15.75" customHeight="1">
      <c r="A263" s="4"/>
      <c r="B263" s="4"/>
      <c r="C263" s="6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ht="15.75" customHeight="1">
      <c r="A264" s="4"/>
      <c r="B264" s="4"/>
      <c r="C264" s="6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ht="15.75" customHeight="1">
      <c r="A265" s="4"/>
      <c r="B265" s="4"/>
      <c r="C265" s="6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ht="15.75" customHeight="1">
      <c r="A266" s="4"/>
      <c r="B266" s="4"/>
      <c r="C266" s="6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ht="15.75" customHeight="1">
      <c r="A267" s="4"/>
      <c r="B267" s="4"/>
      <c r="C267" s="6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ht="15.75" customHeight="1">
      <c r="A268" s="4"/>
      <c r="B268" s="4"/>
      <c r="C268" s="6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ht="15.75" customHeight="1">
      <c r="A269" s="4"/>
      <c r="B269" s="4"/>
      <c r="C269" s="6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ht="15.75" customHeight="1">
      <c r="A270" s="4"/>
      <c r="B270" s="4"/>
      <c r="C270" s="6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ht="15.75" customHeight="1">
      <c r="A271" s="4"/>
      <c r="B271" s="4"/>
      <c r="C271" s="6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ht="15.75" customHeight="1">
      <c r="A272" s="4"/>
      <c r="B272" s="4"/>
      <c r="C272" s="6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ht="15.75" customHeight="1">
      <c r="A273" s="4"/>
      <c r="B273" s="4"/>
      <c r="C273" s="6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ht="15.75" customHeight="1">
      <c r="A274" s="4"/>
      <c r="B274" s="4"/>
      <c r="C274" s="6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ht="15.75" customHeight="1">
      <c r="A275" s="4"/>
      <c r="B275" s="4"/>
      <c r="C275" s="6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ht="15.75" customHeight="1">
      <c r="A276" s="4"/>
      <c r="B276" s="4"/>
      <c r="C276" s="6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ht="15.75" customHeight="1">
      <c r="A277" s="4"/>
      <c r="B277" s="4"/>
      <c r="C277" s="6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ht="15.75" customHeight="1">
      <c r="A278" s="4"/>
      <c r="B278" s="4"/>
      <c r="C278" s="6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ht="15.75" customHeight="1">
      <c r="A279" s="4"/>
      <c r="B279" s="4"/>
      <c r="C279" s="61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ht="15.75" customHeight="1">
      <c r="A280" s="4"/>
      <c r="B280" s="4"/>
      <c r="C280" s="61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 ht="15.75" customHeight="1">
      <c r="A281" s="4"/>
      <c r="B281" s="4"/>
      <c r="C281" s="61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ht="15.75" customHeight="1">
      <c r="A282" s="4"/>
      <c r="B282" s="4"/>
      <c r="C282" s="61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 ht="15.75" customHeight="1">
      <c r="A283" s="4"/>
      <c r="B283" s="4"/>
      <c r="C283" s="61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17">
    <mergeCell ref="R2:R4"/>
    <mergeCell ref="S2:S4"/>
    <mergeCell ref="F3:F4"/>
    <mergeCell ref="G3:H3"/>
    <mergeCell ref="I3:J3"/>
    <mergeCell ref="K3:K4"/>
    <mergeCell ref="F49:O49"/>
    <mergeCell ref="O3:O4"/>
    <mergeCell ref="P3:P4"/>
    <mergeCell ref="A1:S1"/>
    <mergeCell ref="A2:A4"/>
    <mergeCell ref="B2:B4"/>
    <mergeCell ref="C2:C4"/>
    <mergeCell ref="D2:D4"/>
    <mergeCell ref="E2:E4"/>
    <mergeCell ref="F2:Q2"/>
    <mergeCell ref="Q3:Q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
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4-2.5-69" sheetId="1" r:id="rId4"/>
    <sheet state="visible" name="3-5-69" sheetId="2" r:id="rId5"/>
    <sheet state="visible" name="4-5-69" sheetId="3" r:id="rId6"/>
    <sheet state="visible" name="5-5-69" sheetId="4" r:id="rId7"/>
    <sheet state="visible" name="6-5-69" sheetId="5" r:id="rId8"/>
    <sheet state="visible" name="7-5-69" sheetId="6" r:id="rId9"/>
    <sheet state="visible" name="8-5-69" sheetId="7" r:id="rId10"/>
    <sheet state="visible" name="9-5-69" sheetId="8" r:id="rId11"/>
    <sheet state="visible" name="10-5-69" sheetId="9" r:id="rId12"/>
    <sheet state="visible" name="11-5-69" sheetId="10" r:id="rId13"/>
    <sheet state="visible" name="12-5-69" sheetId="11" r:id="rId14"/>
    <sheet state="visible" name="13-5-69" sheetId="12" r:id="rId15"/>
    <sheet state="visible" name="14-5-69" sheetId="13" r:id="rId16"/>
    <sheet state="visible" name="15-5-69" sheetId="14" r:id="rId17"/>
    <sheet state="visible" name="16-5-69" sheetId="15" r:id="rId18"/>
    <sheet state="visible" name="17-5-69" sheetId="16" r:id="rId19"/>
    <sheet state="visible" name="18-5-69" sheetId="17" r:id="rId20"/>
    <sheet state="visible" name="19-5-69" sheetId="18" r:id="rId21"/>
    <sheet state="visible" name="20-5-69" sheetId="19" r:id="rId22"/>
    <sheet state="visible" name="21-5-69" sheetId="20" r:id="rId23"/>
    <sheet state="visible" name="22-5-69" sheetId="21" r:id="rId24"/>
    <sheet state="visible" name="23-5-69" sheetId="22" r:id="rId25"/>
    <sheet state="visible" name="24-5-69" sheetId="23" r:id="rId26"/>
    <sheet state="visible" name="25-5-69" sheetId="24" r:id="rId27"/>
    <sheet state="visible" name="26-5-69" sheetId="25" r:id="rId28"/>
    <sheet state="visible" name="27-5-69" sheetId="26" r:id="rId29"/>
    <sheet state="visible" name="28-5-69" sheetId="27" r:id="rId30"/>
    <sheet state="visible" name="29-5-69" sheetId="28" r:id="rId31"/>
    <sheet state="visible" name="30-5-69" sheetId="29" r:id="rId32"/>
    <sheet state="visible" name="31-5-69" sheetId="30" r:id="rId33"/>
  </sheets>
  <definedNames/>
  <calcPr/>
  <extLst>
    <ext uri="GoogleSheetsCustomDataVersion2">
      <go:sheetsCustomData xmlns:go="http://customooxmlschemas.google.com/" r:id="rId34" roundtripDataChecksum="10TIcyM88dzsQMvK3LQBYUGCxla3nn5hv5bwLuTvOqM="/>
    </ext>
  </extLst>
</workbook>
</file>

<file path=xl/sharedStrings.xml><?xml version="1.0" encoding="utf-8"?>
<sst xmlns="http://schemas.openxmlformats.org/spreadsheetml/2006/main" count="2420" uniqueCount="333">
  <si>
    <t xml:space="preserve">              สรุปยอด บิลออนไลน์  จัดส่ง / นำเข้า DP ดึงตั้งแต่  30 เมษายน - 2 พฤษภาคม 2569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</si>
  <si>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</si>
  <si>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</si>
  <si>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</si>
  <si>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</si>
  <si>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</si>
  <si>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</si>
  <si>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</si>
  <si>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</si>
  <si>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</si>
  <si>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</si>
  <si>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</si>
  <si>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</si>
  <si>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</si>
  <si>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</si>
  <si>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</si>
  <si>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4/30/2026</t>
  </si>
  <si>
    <t>STHONLIN2604006634</t>
  </si>
  <si>
    <t>นาย สุเมธ จันทร์งาม</t>
  </si>
  <si>
    <t>BKK</t>
  </si>
  <si>
    <t>รับเอง กทม.</t>
  </si>
  <si>
    <t>2</t>
  </si>
  <si>
    <t>STHONLIN2604006636</t>
  </si>
  <si>
    <t>นางสาว ภูว์ศรีลักษณ์ โพธิ์ศรีรัตนบุศย์</t>
  </si>
  <si>
    <t>3</t>
  </si>
  <si>
    <t>STHONLIN2604006647</t>
  </si>
  <si>
    <t>สิทธิศักดิ์ สีต้น</t>
  </si>
  <si>
    <t>4</t>
  </si>
  <si>
    <t>STHONLIN2604006683</t>
  </si>
  <si>
    <t>นางสาวธัญญรัตน์  นิภิรมย์</t>
  </si>
  <si>
    <t>5</t>
  </si>
  <si>
    <t>STHONLIN2605000013</t>
  </si>
  <si>
    <t>Kullada Mounkaew</t>
  </si>
  <si>
    <t>6</t>
  </si>
  <si>
    <t>STHONLIN2605000099</t>
  </si>
  <si>
    <t>บริษัท โคบาราเอฟโวลูชั่น (ประเทศไทย)จำกัด ( สำนักงานใหญ่ )</t>
  </si>
  <si>
    <t>NP</t>
  </si>
  <si>
    <t>รับเอง DP</t>
  </si>
  <si>
    <t>7</t>
  </si>
  <si>
    <t>STHONLIN2605000100</t>
  </si>
  <si>
    <t>นางสาว ลำใย  เจริญศิริ</t>
  </si>
  <si>
    <t>8</t>
  </si>
  <si>
    <t>STHONLIN2605000102</t>
  </si>
  <si>
    <t>นางสาว ธนพรรษ​ ยี่ภู่</t>
  </si>
  <si>
    <t>9</t>
  </si>
  <si>
    <t>10</t>
  </si>
  <si>
    <t>11</t>
  </si>
  <si>
    <t>12</t>
  </si>
  <si>
    <t>13</t>
  </si>
  <si>
    <t>15</t>
  </si>
  <si>
    <t>จัดส่ง กทม.</t>
  </si>
  <si>
    <t>16</t>
  </si>
  <si>
    <t>17</t>
  </si>
  <si>
    <t>18</t>
  </si>
  <si>
    <t xml:space="preserve">              สรุปยอด บิลออนไลน์  จัดส่ง / นำเข้า DP ดึงตั้งแต่   3  พฤษภาคม  2569                                                                                             </t>
  </si>
  <si>
    <t>STHONLIN2605000199</t>
  </si>
  <si>
    <t>นาย ณรงค์ชัย บุญจันทร์</t>
  </si>
  <si>
    <t>STHONLIN2605000205</t>
  </si>
  <si>
    <t>นาย สุวิทย์  รองชูเพ็ง</t>
  </si>
  <si>
    <t>NB</t>
  </si>
  <si>
    <t>STHONLIN2605000206</t>
  </si>
  <si>
    <t>ห้างหุ้นส่วน โกรท โกลเบิล เน็ตเวิร์ก (สำนักงานใหญ่)</t>
  </si>
  <si>
    <t>STHONLIN2605000207</t>
  </si>
  <si>
    <t>ห้างหุ้นส่วน ขุนศรี โกลเบิล (สำนักงานใหญ่)</t>
  </si>
  <si>
    <t>14</t>
  </si>
  <si>
    <t xml:space="preserve">              สรุปยอด บิลออนไลน์  จัดส่ง / นำเข้า DP ดึงตั้งแต่   4  พฤษภาคม  2569                                                                                               </t>
  </si>
  <si>
    <t>STHONLIN2605000249</t>
  </si>
  <si>
    <t>นาย ธนบูลย์ แสงฐิตาพันธุ์</t>
  </si>
  <si>
    <t>STHONLIN2605000250</t>
  </si>
  <si>
    <t>นาย สาธิต คำรังษี</t>
  </si>
  <si>
    <t>STHONLIN2605000251</t>
  </si>
  <si>
    <t>นาง ชิโลบล กำลังสิงห์</t>
  </si>
  <si>
    <t>STHONLIN2605000279</t>
  </si>
  <si>
    <t>จิรัฏฐ์ จงรักษ์คชาพงษ์</t>
  </si>
  <si>
    <t>STHONLIN2605000317</t>
  </si>
  <si>
    <t>บริษัท เค24 โกลบอล จำกัด (สำนักงานใหญ่)</t>
  </si>
  <si>
    <t xml:space="preserve">              สรุปยอด บิลออนไลน์  จัดส่ง / นำเข้า DP ดึงตั้งแต่   5  พฤษภาคม 2569                                                                                                </t>
  </si>
  <si>
    <t>STHONLIN2605000685</t>
  </si>
  <si>
    <t>นางสาว ฐิติมา ทิศอุ่น</t>
  </si>
  <si>
    <t>STHONLIN2605000692</t>
  </si>
  <si>
    <t>บริษัท เศรษฐกวี จำกัด ( สำนักงานใหญ่ )</t>
  </si>
  <si>
    <t>STHONLIN2605000699</t>
  </si>
  <si>
    <t>ห้างหุ้นส่วน ปูแดงพารวย ( สำนักงานใหญ่)</t>
  </si>
  <si>
    <t>STHONLIN2605000701</t>
  </si>
  <si>
    <t>นางสาว ธันยาพร สีแก้ว</t>
  </si>
  <si>
    <t>STHONLIN2605000702</t>
  </si>
  <si>
    <t>นางสาว ทิพวัลย์  เหลือรักษ์</t>
  </si>
  <si>
    <t>STHONLIN2605000707</t>
  </si>
  <si>
    <t>นาย ถนอม ยาตรา</t>
  </si>
  <si>
    <t xml:space="preserve">              สรุปยอด บิลออนไลน์  จัดส่ง / นำเข้า DP ดึงตั้งแต่   6  พฤษภาคม 2569                                                                                                </t>
  </si>
  <si>
    <t>STHONLIN2605001037</t>
  </si>
  <si>
    <t>นางสาว วันวิสาข แก้วแกมทอง</t>
  </si>
  <si>
    <t>STHONLIN2605001038</t>
  </si>
  <si>
    <t>STHONLIN2605001039</t>
  </si>
  <si>
    <t>บริษัท  ต.ศรีโสภณ จำกัด (สำนักงานใหญ่)</t>
  </si>
  <si>
    <t>STHONLIN2605001046</t>
  </si>
  <si>
    <t>นาง รุ่งรวี  ประสิทธิการกุล</t>
  </si>
  <si>
    <t>STHONLIN2605001049</t>
  </si>
  <si>
    <t>นางสาว เพลิน รายสันเทียะ</t>
  </si>
  <si>
    <t xml:space="preserve">              สรุปยอด บิลออนไลน์  จัดส่ง / นำเข้า DP ดึงตั้งแต่   7  พฤษภาคม 2569                                                                                                </t>
  </si>
  <si>
    <t>STHONLIN2605001144</t>
  </si>
  <si>
    <t>นางสาว พิมพ์ชญา  สุริยปรีชาพงษ์</t>
  </si>
  <si>
    <t>STHONLIN2605001250</t>
  </si>
  <si>
    <t>STHONLIN2605001263</t>
  </si>
  <si>
    <t>นาย อุทัย กุลดี</t>
  </si>
  <si>
    <t>STHONLIN2605001283</t>
  </si>
  <si>
    <t>เอกฐากร ปั้นมีรส</t>
  </si>
  <si>
    <t xml:space="preserve">              สรุปยอด บิลออนไลน์  จัดส่ง / นำเข้า DP ดึงตั้งแต่   8 พฤษภาคม 2569                                                                                                </t>
  </si>
  <si>
    <t>STHONLIN2605001337</t>
  </si>
  <si>
    <t>Mr. Traore Yaya</t>
  </si>
  <si>
    <t>STHONLIN2605001350</t>
  </si>
  <si>
    <t>STHONLIN2605001369</t>
  </si>
  <si>
    <t>STHONLIN2605001377</t>
  </si>
  <si>
    <t>STHONLIN2605001385</t>
  </si>
  <si>
    <t>STHONLIN2605001390</t>
  </si>
  <si>
    <t>STHONLIN2605001397</t>
  </si>
  <si>
    <t>STHONLIN2605001494</t>
  </si>
  <si>
    <t>นางสาว พรพิมล ลาภเกิด</t>
  </si>
  <si>
    <t>STHONLIN2605001495</t>
  </si>
  <si>
    <t>Mr. Sekou Diaby</t>
  </si>
  <si>
    <t>STHONLIN2605001496</t>
  </si>
  <si>
    <t>Ms. M’mah Camara</t>
  </si>
  <si>
    <t>STHONLIN2605001497</t>
  </si>
  <si>
    <t>Ms. Estelle Assale</t>
  </si>
  <si>
    <t>STHONLIN2605001498</t>
  </si>
  <si>
    <t>Mr. Amara Traore</t>
  </si>
  <si>
    <t>STHONLIN2605001499</t>
  </si>
  <si>
    <t>Ms. Aminata Toure</t>
  </si>
  <si>
    <t>STHONLIN2605001500</t>
  </si>
  <si>
    <t>นางสาว อรณิกร บุญเกษม</t>
  </si>
  <si>
    <t>STHONLIN2605001502</t>
  </si>
  <si>
    <t>Ms. Hawa Fofana</t>
  </si>
  <si>
    <t>STHONLIN2605001503</t>
  </si>
  <si>
    <t>STHONLIN2605001509</t>
  </si>
  <si>
    <t>Mr. FREDERICK BALOKO</t>
  </si>
  <si>
    <t>STHONLIN2605001535</t>
  </si>
  <si>
    <t>นาย ยงยุทธ  อรธรรมรัตน์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</si>
  <si>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</si>
  <si>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</si>
  <si>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</si>
  <si>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</si>
  <si>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</si>
  <si>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</si>
  <si>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</si>
  <si>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</si>
  <si>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</si>
  <si>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</si>
  <si>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</si>
  <si>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 xml:space="preserve">              สรุปยอด บิลออนไลน์  จัดส่ง / นำเข้า DP ดึงตั้งแต่   9 พฤษภาคม 2569                                                                                                </t>
  </si>
  <si>
    <t>STHONLIN2605001710</t>
  </si>
  <si>
    <t>นาย ธีรพัฒน์ สัพลักษณ์</t>
  </si>
  <si>
    <t>STHONLIN2605001715</t>
  </si>
  <si>
    <t>STHONLIN2605001716</t>
  </si>
  <si>
    <t>Benny Stephanie</t>
  </si>
  <si>
    <t xml:space="preserve">              สรุปยอด บิลออนไลน์  จัดส่ง / นำเข้า DP ดึงตั้งแต่   10 พฤษภาคม 2569                                                                                                </t>
  </si>
  <si>
    <t>STHONLIN2605001843</t>
  </si>
  <si>
    <t>STHONLIN2605001844</t>
  </si>
  <si>
    <t>นางสาว นงพงา ตั้งฤทัยเยี่ยม</t>
  </si>
  <si>
    <t>STHONLIN2605001849</t>
  </si>
  <si>
    <t>นาง ศรีเอกอัมพร พุทธสุวรรณ</t>
  </si>
  <si>
    <t>STHONLIN2605001856</t>
  </si>
  <si>
    <t>นางสาว มัลลิกา พลรัตน์</t>
  </si>
  <si>
    <t>STHONLIN2605001857</t>
  </si>
  <si>
    <t>นาย วิเชษฐ สกุลหอม</t>
  </si>
  <si>
    <t>STHONLIN2605001860</t>
  </si>
  <si>
    <t xml:space="preserve">              สรุปยอด บิลออนไลน์  จัดส่ง / นำเข้า DP ดึงตั้งแต่   11 พฤษภาคม 2569                                                                                                </t>
  </si>
  <si>
    <t>STHONLIN2605001890</t>
  </si>
  <si>
    <t>นาย ชัยนรินทร์  ศิริวรรณางกูล</t>
  </si>
  <si>
    <t>STHONLIN2605001913</t>
  </si>
  <si>
    <t>ดรรชนี  อิฐรัตน์</t>
  </si>
  <si>
    <t>STHONLIN2605001968</t>
  </si>
  <si>
    <t>นางสาว พัชรมณฑ์ พรมทา</t>
  </si>
  <si>
    <t>STHONLIN2605001969</t>
  </si>
  <si>
    <t>STHONLIN2605001972</t>
  </si>
  <si>
    <t>นางสาว สมคิด ยิ้มสาระ</t>
  </si>
  <si>
    <t>STHONLIN2605001973</t>
  </si>
  <si>
    <t>STHONLIN2605002023</t>
  </si>
  <si>
    <t>ห้างหุ้นส่วน ไดม่อนอันดามัน เน็ตเวิร์ค  (สำนักงานใหญ่)</t>
  </si>
  <si>
    <t>STHONLIN2605002024</t>
  </si>
  <si>
    <t>นาย พชร จิรรัตน์พิทักษ์</t>
  </si>
  <si>
    <t>STHONLIN2605002025</t>
  </si>
  <si>
    <t>นาง สมหมาย จิรรัตน์พิทักษ์</t>
  </si>
  <si>
    <t xml:space="preserve">              สรุปยอด บิลออนไลน์  จัดส่ง / นำเข้า DP ดึงตั้งแต่   12 พฤษภาคม 2569                                                                                                </t>
  </si>
  <si>
    <t>STHONLIN2605002245</t>
  </si>
  <si>
    <t>นางสาว จิรภาทิชา โคดมการภัทรารัช</t>
  </si>
  <si>
    <t>STHONLIN2605002255</t>
  </si>
  <si>
    <t>นางสาว พรพนา ทรงเจริญ</t>
  </si>
  <si>
    <t xml:space="preserve">              สรุปยอด บิลออนไลน์  จัดส่ง / นำเข้า DP ดึงตั้งแต่   13  พฤษภาคม 2569                                                                                                </t>
  </si>
  <si>
    <t>STHONLIN2605002487</t>
  </si>
  <si>
    <t>STHONLIN2605002502</t>
  </si>
  <si>
    <t>STHONLIN2605002515</t>
  </si>
  <si>
    <t>STHONLIN2605002542</t>
  </si>
  <si>
    <t>นาย ภวินท์สุข ตั้งพงษ์ศิรประภา</t>
  </si>
  <si>
    <t xml:space="preserve">              สรุปยอด บิลออนไลน์  จัดส่ง / นำเข้า DP ดึงตั้งแต่   14  พฤษภาคม 2569                                                                                                </t>
  </si>
  <si>
    <t>STHONLIN2605002856</t>
  </si>
  <si>
    <t>STHONLIN2605002858</t>
  </si>
  <si>
    <t>ศุภวัลย์ สิทธิแสงวัฒนา</t>
  </si>
  <si>
    <t>STHONLIN2605002861</t>
  </si>
  <si>
    <t>STHONLIN2605002920</t>
  </si>
  <si>
    <t>นาย ปรเมศวร์ ธรรมโชติ</t>
  </si>
  <si>
    <t xml:space="preserve">              สรุปยอด บิลออนไลน์  จัดส่ง / นำเข้า DP ดึงตั้งแต่   15  พฤษภาคม 2569                                                                                                </t>
  </si>
  <si>
    <t>STHONLIN2605002971</t>
  </si>
  <si>
    <t>นาย นิวัติ  มีงาม</t>
  </si>
  <si>
    <t>STHONLIN2605002991</t>
  </si>
  <si>
    <t>มิ่งขวัญ  เฟื่องกาญจนกุล</t>
  </si>
  <si>
    <t>STHONLIN2605003116</t>
  </si>
  <si>
    <t>นาย ศักดา หงส์วิไลมงคล</t>
  </si>
  <si>
    <t>STHONLIN2605003117</t>
  </si>
  <si>
    <t>จัดส่ง DP</t>
  </si>
  <si>
    <t>STHONLIN2605003118</t>
  </si>
  <si>
    <t>นาย สุวชัช  อมตวงษ์</t>
  </si>
  <si>
    <t>STHONLIN2605003120</t>
  </si>
  <si>
    <t>STHONLIN2605003127</t>
  </si>
  <si>
    <t xml:space="preserve">              สรุปยอด บิลออนไลน์  จัดส่ง / นำเข้า DP ดึงตั้งแต่   16  พฤษภาคม 2569                                                                                                </t>
  </si>
  <si>
    <t>STHONLIN2605003496</t>
  </si>
  <si>
    <t>STHONLIN2605003510</t>
  </si>
  <si>
    <t>นาย ณัฐวุฒิ ศรีศักดา</t>
  </si>
  <si>
    <t xml:space="preserve">              สรุปยอด บิลออนไลน์  จัดส่ง / นำเข้า DP ดึงตั้งแต่   17  พฤษภาคม 2569                                                                                                </t>
  </si>
  <si>
    <t>STHONLIN2605003746</t>
  </si>
  <si>
    <t xml:space="preserve">              สรุปยอด บิลออนไลน์  จัดส่ง / นำเข้า DP ดึงตั้งแต่   18  พฤษภาคม 2569                                                                                                </t>
  </si>
  <si>
    <t>STHONLIN2605003882</t>
  </si>
  <si>
    <t>นางสาว สุภาพร สรนิกร</t>
  </si>
  <si>
    <t>STHONLIN2605003883</t>
  </si>
  <si>
    <t>STHONLIN2605003886</t>
  </si>
  <si>
    <t xml:space="preserve">              สรุปยอด บิลออนไลน์  จัดส่ง / นำเข้า DP ดึงตั้งแต่   19  พฤษภาคม 2569                                                                                                </t>
  </si>
  <si>
    <t>STHONLIN2605003987</t>
  </si>
  <si>
    <t>นาย ทรงกลด กันตังกุล</t>
  </si>
  <si>
    <t>STHONLIN2605004024</t>
  </si>
  <si>
    <t>Mrs. Mrs. Nake Fuam Christabel</t>
  </si>
  <si>
    <t>STHONLIN2605004271</t>
  </si>
  <si>
    <t>STHONLIN2605004282</t>
  </si>
  <si>
    <t>นางสาว ธิดารัตน์ สมทรัพย์</t>
  </si>
  <si>
    <t>STHONLIN2605004284</t>
  </si>
  <si>
    <t xml:space="preserve">              สรุปยอด บิลออนไลน์  จัดส่ง / นำเข้า DP ดึงตั้งแต่   20  พฤษภาคม 2569                                                                                                </t>
  </si>
  <si>
    <t>STHONLIN2605004688</t>
  </si>
  <si>
    <t>STHONLIN2605004755</t>
  </si>
  <si>
    <t>STHONLIN2605004775</t>
  </si>
  <si>
    <t xml:space="preserve">              สรุปยอด บิลออนไลน์  จัดส่ง / นำเข้า DP ดึงตั้งแต่   21  พฤษภาคม 2569                                                                                                </t>
  </si>
  <si>
    <t>STHONLIN2605005058</t>
  </si>
  <si>
    <t>STHONLIN2605005060</t>
  </si>
  <si>
    <t>STHONLIN2605005063</t>
  </si>
  <si>
    <t>STHONLIN2605005114</t>
  </si>
  <si>
    <t xml:space="preserve">              สรุปยอด บิลออนไลน์  จัดส่ง / นำเข้า DP ดึงตั้งแต่   22  พฤษภาคม 2569                                                                                                </t>
  </si>
  <si>
    <t>STHONLIN2605005156</t>
  </si>
  <si>
    <t>นาย อำพล ทรายทอง</t>
  </si>
  <si>
    <t>STHONLIN2605005287</t>
  </si>
  <si>
    <t>นางสาว สมใจ มั่นคง</t>
  </si>
  <si>
    <t>DP</t>
  </si>
  <si>
    <t>STHONLIN2605005289</t>
  </si>
  <si>
    <t>STHONLIN2605005296</t>
  </si>
  <si>
    <t>นางสาว รังสิตา หงสกุล</t>
  </si>
  <si>
    <t xml:space="preserve">              สรุปยอด บิลออนไลน์  จัดส่ง / นำเข้า DP ดึงตั้งแต่   23  พฤษภาคม 2569                                                                                                </t>
  </si>
  <si>
    <t>STHONLIN2605005429</t>
  </si>
  <si>
    <t>Mr. SULEMANA AYUBA</t>
  </si>
  <si>
    <t>STHONLIN2605005537</t>
  </si>
  <si>
    <t>STHONLIN2605005539</t>
  </si>
  <si>
    <t>Ms. SHILPI JAIN</t>
  </si>
  <si>
    <t>STHONLIN2605005540</t>
  </si>
  <si>
    <t>STHONLIN2605005543</t>
  </si>
  <si>
    <t>STHONLIN2605005575</t>
  </si>
  <si>
    <t>Ms. Eghomba Ernestine Alih</t>
  </si>
  <si>
    <t xml:space="preserve">              สรุปยอด บิลออนไลน์  จัดส่ง / นำเข้า DP ดึงตั้งแต่   24  พฤษภาคม 2569                                                                                                </t>
  </si>
  <si>
    <t>STHONLIN2605005652</t>
  </si>
  <si>
    <t>STHONLIN2605005812</t>
  </si>
  <si>
    <t>STHONLIN2605005815</t>
  </si>
  <si>
    <t xml:space="preserve">              สรุปยอด บิลออนไลน์  จัดส่ง / นำเข้า DP ดึงตั้งแต่   25  พฤษภาคม 2569                                                                                                </t>
  </si>
  <si>
    <t>STHONLIN2605005895</t>
  </si>
  <si>
    <t>นาง สุวภัทร ปาละมะ</t>
  </si>
  <si>
    <t>STHONLIN2605005897</t>
  </si>
  <si>
    <t xml:space="preserve">              สรุปยอด บิลออนไลน์  จัดส่ง / นำเข้า DP ดึงตั้งแต่   26  พฤษภาคม 2569                                                                                                </t>
  </si>
  <si>
    <t>STHONLIN2605006087</t>
  </si>
  <si>
    <t>นางสาว สายฝน ศรีสุขใส</t>
  </si>
  <si>
    <t>STHONLIN2605006088</t>
  </si>
  <si>
    <t>STHONLIN2605006089</t>
  </si>
  <si>
    <t>STHONLIN2605006094</t>
  </si>
  <si>
    <t>STHONLIN2605006097</t>
  </si>
  <si>
    <t>STHONLIN2605006106</t>
  </si>
  <si>
    <t>นาย เก่งภพ ศุภาภพปภาส</t>
  </si>
  <si>
    <t>STHONLIN2605006120</t>
  </si>
  <si>
    <t>นางสาว รวีวรรณ จินต์สวัสดิ์</t>
  </si>
  <si>
    <t xml:space="preserve">              สรุปยอด บิลออนไลน์  จัดส่ง / นำเข้า DP ดึงตั้งแต่   27  พฤษภาคม 2569                                                                                                </t>
  </si>
  <si>
    <t>STHONLIN2605006138</t>
  </si>
  <si>
    <t>ไพรินทร์ นามสุขี</t>
  </si>
  <si>
    <t>STHONLIN2605006424</t>
  </si>
  <si>
    <t>นาย จักรพงศ์ สินธุรักษ์</t>
  </si>
  <si>
    <t>STHONLIN2605006427</t>
  </si>
  <si>
    <t>นาย สมศักดิ์  แสงรัตนเจริญ</t>
  </si>
  <si>
    <t xml:space="preserve">              สรุปยอด บิลออนไลน์  จัดส่ง / นำเข้า DP ดึงตั้งแต่   28  พฤษภาคม 2569                                                                                                </t>
  </si>
  <si>
    <t>STHONLIN2605006480</t>
  </si>
  <si>
    <t>นางสาว มารยาท อ่อนศรี</t>
  </si>
  <si>
    <t>STHONLIN2605006499</t>
  </si>
  <si>
    <t>STHONLIN2605006564</t>
  </si>
  <si>
    <t>Ms. Noxolo  Badi</t>
  </si>
  <si>
    <t>STHONLIN2605006589</t>
  </si>
  <si>
    <t>นาย โชติพงษ์ ณ เชียงรุ้ง</t>
  </si>
  <si>
    <t>STHONLIN2605006590</t>
  </si>
  <si>
    <t>STHONLIN2605006591</t>
  </si>
  <si>
    <t xml:space="preserve">              สรุปยอด บิลออนไลน์  จัดส่ง / นำเข้า DP ดึงตั้งแต่   29  พฤษภาคม 2569                                                                                                </t>
  </si>
  <si>
    <t>STHONLIN2605006853</t>
  </si>
  <si>
    <t>บริษัท ดีเวย์ ริชคอร์ป จำกัด(สำนักงานใหญ่)</t>
  </si>
  <si>
    <t>STHONLIN2605007049</t>
  </si>
  <si>
    <t>นาย ดิเรก  กรีฑา</t>
  </si>
  <si>
    <t>STHONLIN2605007081</t>
  </si>
  <si>
    <t>STHONLIN2605007111</t>
  </si>
  <si>
    <t>STHONLIN2605007132</t>
  </si>
  <si>
    <t xml:space="preserve">              สรุปยอด บิลออนไลน์  จัดส่ง / นำเข้า DP ดึงตั้งแต่   30  พฤษภาคม 2569                                                                                                </t>
  </si>
  <si>
    <t>STHONLIN2605007317</t>
  </si>
  <si>
    <t>นาง ปริษา ปรัชญาโชติการ</t>
  </si>
  <si>
    <t>STHONLIN2605007457</t>
  </si>
  <si>
    <t>STHONLIN2605007484</t>
  </si>
  <si>
    <t>STHONLIN2605007485</t>
  </si>
  <si>
    <t>นาง วิชญ์ชยา ภูธนโรจน์สิริ</t>
  </si>
  <si>
    <t>STHONLIN2605007496</t>
  </si>
  <si>
    <t>นาย มนัสวี ภักดีใหม่</t>
  </si>
  <si>
    <t>STHONLIN2605007544</t>
  </si>
  <si>
    <t>STHONLIN2605007625</t>
  </si>
  <si>
    <t>STHONLIN2605007758</t>
  </si>
  <si>
    <t>นาย ปริญพัชร์ ศรีศุภณัฐธนากุล</t>
  </si>
  <si>
    <t>STHONLIN2605007759</t>
  </si>
  <si>
    <t>STHONLIN2605007760</t>
  </si>
  <si>
    <t>นาย ดำรงค์ ปฏิสังข์</t>
  </si>
  <si>
    <t>STHONLIN2605007761</t>
  </si>
  <si>
    <t>นาย คณิศร กรีฑา</t>
  </si>
  <si>
    <t>STHONLIN2605007763</t>
  </si>
  <si>
    <t>Mr. Mosoke Peter fele</t>
  </si>
  <si>
    <t>STHONLIN2605007771</t>
  </si>
  <si>
    <t>STHONLIN2605007775</t>
  </si>
  <si>
    <t>STHONLIN2605007776</t>
  </si>
  <si>
    <t>พสิษฐ์ สุวรรณพิทักษ์</t>
  </si>
  <si>
    <t>STHONLIN2605007786</t>
  </si>
  <si>
    <t>Ms. Lufila Doka Christelle</t>
  </si>
  <si>
    <t>STHONLIN2605007787</t>
  </si>
  <si>
    <t>นาย กัมปนาท รุ่งโรจน์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</si>
</sst>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m/d/yyyy"/>
  </numFmts>
  <fonts count="42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b/>
      <sz val="26.0"/>
      <color theme="1"/>
      <name val="Arial"/>
    </font>
    <font>
      <sz val="23.0"/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b/>
      <sz val="18.0"/>
      <color theme="1"/>
      <name val="Arial"/>
    </font>
    <font>
      <sz val="24.0"/>
      <color rgb="FFFF0000"/>
      <name val="Arial"/>
    </font>
    <font>
      <sz val="24.0"/>
      <color theme="1"/>
      <name val="Arial"/>
    </font>
    <font>
      <sz val="18.0"/>
      <color theme="1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3.0"/>
      <color theme="1"/>
      <name val="Arial"/>
    </font>
    <font>
      <sz val="21.0"/>
      <color theme="1"/>
      <name val="Arial"/>
    </font>
    <font>
      <b/>
      <sz val="22.0"/>
      <color theme="1"/>
      <name val="Arial"/>
    </font>
    <font>
      <b/>
      <sz val="25.0"/>
      <color theme="1"/>
      <name val="Arial"/>
    </font>
    <font>
      <b/>
      <sz val="29.0"/>
      <color rgb="FFFF0000"/>
      <name val="Arial"/>
    </font>
    <font>
      <b/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4.0"/>
      <color theme="1"/>
      <name val="Aptos Narrow"/>
    </font>
    <font>
      <sz val="26.0"/>
      <color rgb="FF000000"/>
      <name val="Arial"/>
    </font>
    <font>
      <b/>
      <sz val="24.0"/>
      <color theme="1"/>
      <name val="Arial"/>
    </font>
    <font>
      <b/>
      <sz val="26.0"/>
      <color rgb="FF000000"/>
      <name val="Arial"/>
    </font>
    <font>
      <sz val="20.0"/>
      <color theme="1"/>
      <name val="Arial"/>
    </font>
    <font>
      <b/>
      <sz val="42.0"/>
      <color rgb="FFFF0000"/>
      <name val="Angsana New"/>
    </font>
    <font>
      <b/>
      <sz val="43.0"/>
      <color rgb="FFFF0000"/>
      <name val="Angsana New"/>
    </font>
  </fonts>
  <fills count="12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0" xfId="0" applyAlignment="1" applyBorder="1" applyFon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7" numFmtId="38" xfId="0" applyAlignment="1" applyBorder="1" applyFont="1" applyNumberFormat="1">
      <alignment horizontal="center" readingOrder="0"/>
    </xf>
    <xf borderId="12" fillId="4" fontId="10" numFmtId="38" xfId="0" applyAlignment="1" applyBorder="1" applyFont="1" applyNumberFormat="1">
      <alignment horizontal="right" vertical="bottom"/>
    </xf>
    <xf borderId="12" fillId="4" fontId="11" numFmtId="38" xfId="0" applyAlignment="1" applyBorder="1" applyFont="1" applyNumberFormat="1">
      <alignment vertical="bottom"/>
    </xf>
    <xf borderId="11" fillId="4" fontId="12" numFmtId="0" xfId="0" applyBorder="1" applyFont="1"/>
    <xf borderId="11" fillId="4" fontId="12" numFmtId="3" xfId="0" applyBorder="1" applyFont="1" applyNumberFormat="1"/>
    <xf borderId="11" fillId="4" fontId="12" numFmtId="0" xfId="0" applyAlignment="1" applyBorder="1" applyFont="1">
      <alignment horizontal="center"/>
    </xf>
    <xf borderId="11" fillId="4" fontId="13" numFmtId="0" xfId="0" applyAlignment="1" applyBorder="1" applyFont="1">
      <alignment horizontal="center" vertical="center"/>
    </xf>
    <xf borderId="11" fillId="4" fontId="12" numFmtId="0" xfId="0" applyAlignment="1" applyBorder="1" applyFont="1">
      <alignment horizontal="center" vertical="center"/>
    </xf>
    <xf borderId="0" fillId="0" fontId="14" numFmtId="0" xfId="0" applyFont="1"/>
    <xf borderId="11" fillId="5" fontId="15" numFmtId="49" xfId="0" applyAlignment="1" applyBorder="1" applyFill="1" applyFont="1" applyNumberFormat="1">
      <alignment horizontal="center" shrinkToFit="0" vertical="center" wrapText="0"/>
    </xf>
    <xf borderId="11" fillId="5" fontId="7" numFmtId="0" xfId="0" applyAlignment="1" applyBorder="1" applyFon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7" numFmtId="38" xfId="0" applyAlignment="1" applyBorder="1" applyFont="1" applyNumberFormat="1">
      <alignment horizontal="center" readingOrder="0"/>
    </xf>
    <xf borderId="12" fillId="5" fontId="16" numFmtId="38" xfId="0" applyAlignment="1" applyBorder="1" applyFont="1" applyNumberFormat="1">
      <alignment horizontal="right" vertical="bottom"/>
    </xf>
    <xf borderId="11" fillId="5" fontId="11" numFmtId="0" xfId="0" applyBorder="1" applyFont="1"/>
    <xf borderId="11" fillId="5" fontId="11" numFmtId="3" xfId="0" applyAlignment="1" applyBorder="1" applyFont="1" applyNumberFormat="1">
      <alignment horizontal="center"/>
    </xf>
    <xf borderId="11" fillId="5" fontId="17" numFmtId="0" xfId="0" applyAlignment="1" applyBorder="1" applyFont="1">
      <alignment horizontal="center" vertical="center"/>
    </xf>
    <xf borderId="11" fillId="5" fontId="18" numFmtId="0" xfId="0" applyAlignment="1" applyBorder="1" applyFont="1">
      <alignment horizontal="center"/>
    </xf>
    <xf borderId="12" fillId="4" fontId="8" numFmtId="0" xfId="0" applyAlignment="1" applyBorder="1" applyFont="1">
      <alignment horizontal="center" readingOrder="0" vertical="bottom"/>
    </xf>
    <xf borderId="12" fillId="4" fontId="19" numFmtId="4" xfId="0" applyAlignment="1" applyBorder="1" applyFont="1" applyNumberFormat="1">
      <alignment readingOrder="0" vertical="bottom"/>
    </xf>
    <xf borderId="12" fillId="4" fontId="19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7" numFmtId="38" xfId="0" applyAlignment="1" applyBorder="1" applyFont="1" applyNumberFormat="1">
      <alignment horizontal="right" vertical="bottom"/>
    </xf>
    <xf borderId="12" fillId="4" fontId="16" numFmtId="38" xfId="0" applyAlignment="1" applyBorder="1" applyFont="1" applyNumberFormat="1">
      <alignment horizontal="right" vertical="bottom"/>
    </xf>
    <xf borderId="12" fillId="4" fontId="11" numFmtId="38" xfId="0" applyAlignment="1" applyBorder="1" applyFont="1" applyNumberFormat="1">
      <alignment readingOrder="0" vertical="bottom"/>
    </xf>
    <xf borderId="11" fillId="4" fontId="20" numFmtId="0" xfId="0" applyAlignment="1" applyBorder="1" applyFont="1">
      <alignment horizontal="center" shrinkToFit="0" vertical="center" wrapText="1"/>
    </xf>
    <xf borderId="11" fillId="4" fontId="11" numFmtId="3" xfId="0" applyAlignment="1" applyBorder="1" applyFont="1" applyNumberFormat="1">
      <alignment horizontal="center" shrinkToFit="0" vertical="center" wrapText="1"/>
    </xf>
    <xf borderId="11" fillId="4" fontId="21" numFmtId="0" xfId="0" applyAlignment="1" applyBorder="1" applyFont="1">
      <alignment horizontal="center" vertical="center"/>
    </xf>
    <xf borderId="11" fillId="0" fontId="18" numFmtId="0" xfId="0" applyAlignment="1" applyBorder="1" applyFont="1">
      <alignment horizontal="center"/>
    </xf>
    <xf borderId="12" fillId="4" fontId="8" numFmtId="164" xfId="0" applyAlignment="1" applyBorder="1" applyFont="1" applyNumberFormat="1">
      <alignment horizontal="center" readingOrder="0" vertical="bottom"/>
    </xf>
    <xf borderId="12" fillId="4" fontId="22" numFmtId="38" xfId="0" applyAlignment="1" applyBorder="1" applyFont="1" applyNumberFormat="1">
      <alignment horizontal="right" readingOrder="0" vertical="bottom"/>
    </xf>
    <xf borderId="12" fillId="4" fontId="16" numFmtId="38" xfId="0" applyAlignment="1" applyBorder="1" applyFont="1" applyNumberFormat="1">
      <alignment horizontal="right" readingOrder="0" vertical="bottom"/>
    </xf>
    <xf borderId="12" fillId="4" fontId="12" numFmtId="38" xfId="0" applyAlignment="1" applyBorder="1" applyFont="1" applyNumberFormat="1">
      <alignment vertical="bottom"/>
    </xf>
    <xf borderId="12" fillId="4" fontId="23" numFmtId="0" xfId="0" applyAlignment="1" applyBorder="1" applyFont="1">
      <alignment readingOrder="0" vertical="bottom"/>
    </xf>
    <xf borderId="12" fillId="4" fontId="24" numFmtId="38" xfId="0" applyAlignment="1" applyBorder="1" applyFont="1" applyNumberFormat="1">
      <alignment horizontal="right" readingOrder="0" vertical="bottom"/>
    </xf>
    <xf borderId="11" fillId="4" fontId="25" numFmtId="38" xfId="0" applyAlignment="1" applyBorder="1" applyFont="1" applyNumberFormat="1">
      <alignment vertical="bottom"/>
    </xf>
    <xf borderId="11" fillId="4" fontId="22" numFmtId="3" xfId="0" applyAlignment="1" applyBorder="1" applyFont="1" applyNumberFormat="1">
      <alignment horizontal="center" shrinkToFit="0" vertical="center" wrapText="1"/>
    </xf>
    <xf borderId="11" fillId="4" fontId="26" numFmtId="0" xfId="0" applyAlignment="1" applyBorder="1" applyFont="1">
      <alignment horizontal="center" vertical="center"/>
    </xf>
    <xf borderId="11" fillId="0" fontId="23" numFmtId="0" xfId="0" applyAlignment="1" applyBorder="1" applyFont="1">
      <alignment horizontal="center"/>
    </xf>
    <xf borderId="12" fillId="4" fontId="8" numFmtId="164" xfId="0" applyAlignment="1" applyBorder="1" applyFont="1" applyNumberFormat="1">
      <alignment horizontal="center" vertical="bottom"/>
    </xf>
    <xf borderId="12" fillId="4" fontId="19" numFmtId="4" xfId="0" applyAlignment="1" applyBorder="1" applyFont="1" applyNumberFormat="1">
      <alignment vertical="bottom"/>
    </xf>
    <xf borderId="12" fillId="4" fontId="19" numFmtId="1" xfId="0" applyAlignment="1" applyBorder="1" applyFont="1" applyNumberFormat="1">
      <alignment horizontal="center" vertical="bottom"/>
    </xf>
    <xf borderId="12" fillId="4" fontId="19" numFmtId="0" xfId="0" applyAlignment="1" applyBorder="1" applyFont="1">
      <alignment vertical="bottom"/>
    </xf>
    <xf borderId="12" fillId="4" fontId="24" numFmtId="38" xfId="0" applyAlignment="1" applyBorder="1" applyFont="1" applyNumberFormat="1">
      <alignment horizontal="right" vertical="bottom"/>
    </xf>
    <xf borderId="12" fillId="4" fontId="25" numFmtId="38" xfId="0" applyAlignment="1" applyBorder="1" applyFont="1" applyNumberFormat="1">
      <alignment horizontal="right" vertical="bottom"/>
    </xf>
    <xf borderId="11" fillId="4" fontId="25" numFmtId="38" xfId="0" applyAlignment="1" applyBorder="1" applyFont="1" applyNumberFormat="1">
      <alignment horizontal="right" vertical="bottom"/>
    </xf>
    <xf borderId="11" fillId="4" fontId="16" numFmtId="38" xfId="0" applyAlignment="1" applyBorder="1" applyFont="1" applyNumberFormat="1">
      <alignment horizontal="right" vertical="bottom"/>
    </xf>
    <xf borderId="11" fillId="4" fontId="27" numFmtId="38" xfId="0" applyAlignment="1" applyBorder="1" applyFont="1" applyNumberFormat="1">
      <alignment horizontal="right" vertical="bottom"/>
    </xf>
    <xf borderId="11" fillId="5" fontId="11" numFmtId="0" xfId="0" applyAlignment="1" applyBorder="1" applyFont="1">
      <alignment horizontal="center"/>
    </xf>
    <xf borderId="0" fillId="0" fontId="14" numFmtId="3" xfId="0" applyFont="1" applyNumberFormat="1"/>
    <xf borderId="12" fillId="4" fontId="8" numFmtId="0" xfId="0" applyAlignment="1" applyBorder="1" applyFont="1">
      <alignment horizontal="center" vertical="bottom"/>
    </xf>
    <xf borderId="1" fillId="6" fontId="28" numFmtId="0" xfId="0" applyAlignment="1" applyBorder="1" applyFill="1" applyFont="1">
      <alignment horizontal="center"/>
    </xf>
    <xf borderId="13" fillId="6" fontId="29" numFmtId="3" xfId="0" applyAlignment="1" applyBorder="1" applyFont="1" applyNumberFormat="1">
      <alignment horizontal="center"/>
    </xf>
    <xf borderId="11" fillId="6" fontId="30" numFmtId="3" xfId="0" applyAlignment="1" applyBorder="1" applyFont="1" applyNumberFormat="1">
      <alignment horizontal="center"/>
    </xf>
    <xf borderId="11" fillId="6" fontId="31" numFmtId="3" xfId="0" applyAlignment="1" applyBorder="1" applyFont="1" applyNumberFormat="1">
      <alignment horizontal="right"/>
    </xf>
    <xf borderId="1" fillId="7" fontId="29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shrinkToFit="0" vertical="center" wrapText="0"/>
    </xf>
    <xf borderId="11" fillId="4" fontId="7" numFmtId="165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32" numFmtId="38" xfId="0" applyAlignment="1" applyBorder="1" applyFont="1" applyNumberFormat="1">
      <alignment horizontal="center" readingOrder="0"/>
    </xf>
    <xf borderId="12" fillId="4" fontId="33" numFmtId="38" xfId="0" applyAlignment="1" applyBorder="1" applyFont="1" applyNumberFormat="1">
      <alignment horizontal="right" vertical="bottom"/>
    </xf>
    <xf borderId="11" fillId="4" fontId="32" numFmtId="38" xfId="0" applyAlignment="1" applyBorder="1" applyFont="1" applyNumberFormat="1">
      <alignment horizontal="center"/>
    </xf>
    <xf borderId="11" fillId="4" fontId="18" numFmtId="0" xfId="0" applyBorder="1" applyFont="1"/>
    <xf borderId="11" fillId="4" fontId="18" numFmtId="3" xfId="0" applyBorder="1" applyFont="1" applyNumberFormat="1"/>
    <xf borderId="11" fillId="4" fontId="12" numFmtId="0" xfId="0" applyAlignment="1" applyBorder="1" applyFont="1">
      <alignment horizontal="center" readingOrder="0"/>
    </xf>
    <xf borderId="11" fillId="4" fontId="34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left" readingOrder="0"/>
    </xf>
    <xf borderId="11" fillId="4" fontId="9" numFmtId="3" xfId="0" applyAlignment="1" applyBorder="1" applyFont="1" applyNumberFormat="1">
      <alignment horizontal="center" vertical="center"/>
    </xf>
    <xf borderId="11" fillId="4" fontId="18" numFmtId="3" xfId="0" applyAlignment="1" applyBorder="1" applyFont="1" applyNumberFormat="1">
      <alignment horizontal="center"/>
    </xf>
    <xf borderId="11" fillId="4" fontId="11" numFmtId="0" xfId="0" applyAlignment="1" applyBorder="1" applyFont="1">
      <alignment horizontal="center" readingOrder="0"/>
    </xf>
    <xf borderId="11" fillId="4" fontId="9" numFmtId="0" xfId="0" applyAlignment="1" applyBorder="1" applyFont="1">
      <alignment horizontal="center" readingOrder="0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8" numFmtId="38" xfId="0" applyAlignment="1" applyBorder="1" applyFont="1" applyNumberFormat="1">
      <alignment horizontal="right" readingOrder="0" vertical="bottom"/>
    </xf>
    <xf borderId="11" fillId="4" fontId="32" numFmtId="38" xfId="0" applyAlignment="1" applyBorder="1" applyFont="1" applyNumberFormat="1">
      <alignment horizontal="center" vertical="bottom"/>
    </xf>
    <xf borderId="11" fillId="4" fontId="35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2" fillId="4" fontId="36" numFmtId="0" xfId="0" applyAlignment="1" applyBorder="1" applyFont="1">
      <alignment horizontal="center" readingOrder="0" vertical="center"/>
    </xf>
    <xf borderId="12" fillId="4" fontId="19" numFmtId="0" xfId="0" applyAlignment="1" applyBorder="1" applyFont="1">
      <alignment readingOrder="0" vertical="bottom"/>
    </xf>
    <xf borderId="12" fillId="4" fontId="18" numFmtId="38" xfId="0" applyAlignment="1" applyBorder="1" applyFont="1" applyNumberFormat="1">
      <alignment horizontal="right" vertical="bottom"/>
    </xf>
    <xf borderId="11" fillId="4" fontId="18" numFmtId="38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/>
    </xf>
    <xf borderId="2" fillId="4" fontId="36" numFmtId="0" xfId="0" applyAlignment="1" applyBorder="1" applyFont="1">
      <alignment horizontal="center" vertical="center"/>
    </xf>
    <xf borderId="12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horizontal="center" vertical="bottom"/>
    </xf>
    <xf borderId="11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vertical="bottom"/>
    </xf>
    <xf borderId="11" fillId="4" fontId="37" numFmtId="3" xfId="0" applyAlignment="1" applyBorder="1" applyFont="1" applyNumberFormat="1">
      <alignment horizontal="center" shrinkToFit="0" vertical="center" wrapText="1"/>
    </xf>
    <xf borderId="9" fillId="4" fontId="38" numFmtId="0" xfId="0" applyAlignment="1" applyBorder="1" applyFont="1">
      <alignment horizontal="center" vertical="center"/>
    </xf>
    <xf borderId="11" fillId="0" fontId="8" numFmtId="165" xfId="0" applyAlignment="1" applyBorder="1" applyFont="1" applyNumberFormat="1">
      <alignment horizontal="center" readingOrder="0"/>
    </xf>
    <xf borderId="11" fillId="0" fontId="8" numFmtId="4" xfId="0" applyAlignment="1" applyBorder="1" applyFont="1" applyNumberFormat="1">
      <alignment readingOrder="0"/>
    </xf>
    <xf borderId="11" fillId="0" fontId="8" numFmtId="1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readingOrder="0"/>
    </xf>
    <xf borderId="11" fillId="8" fontId="8" numFmtId="3" xfId="0" applyAlignment="1" applyBorder="1" applyFill="1" applyFont="1" applyNumberFormat="1">
      <alignment readingOrder="0"/>
    </xf>
    <xf borderId="11" fillId="9" fontId="8" numFmtId="3" xfId="0" applyBorder="1" applyFill="1" applyFont="1" applyNumberFormat="1"/>
    <xf borderId="11" fillId="10" fontId="8" numFmtId="3" xfId="0" applyAlignment="1" applyBorder="1" applyFill="1" applyFont="1" applyNumberFormat="1">
      <alignment horizontal="right"/>
    </xf>
    <xf borderId="11" fillId="11" fontId="8" numFmtId="3" xfId="0" applyBorder="1" applyFill="1" applyFont="1" applyNumberFormat="1"/>
    <xf borderId="11" fillId="4" fontId="12" numFmtId="0" xfId="0" applyAlignment="1" applyBorder="1" applyFont="1">
      <alignment horizontal="center" readingOrder="0" vertical="center"/>
    </xf>
    <xf borderId="11" fillId="4" fontId="8" numFmtId="165" xfId="0" applyAlignment="1" applyBorder="1" applyFont="1" applyNumberFormat="1">
      <alignment horizontal="center" readingOrder="0"/>
    </xf>
    <xf borderId="11" fillId="4" fontId="8" numFmtId="1" xfId="0" applyAlignment="1" applyBorder="1" applyFont="1" applyNumberFormat="1">
      <alignment horizontal="center" readingOrder="0"/>
    </xf>
    <xf borderId="11" fillId="4" fontId="8" numFmtId="0" xfId="0" applyAlignment="1" applyBorder="1" applyFont="1">
      <alignment readingOrder="0"/>
    </xf>
    <xf borderId="11" fillId="8" fontId="8" numFmtId="3" xfId="0" applyAlignment="1" applyBorder="1" applyFont="1" applyNumberFormat="1">
      <alignment horizontal="right" readingOrder="0"/>
    </xf>
    <xf borderId="11" fillId="10" fontId="8" numFmtId="3" xfId="0" applyBorder="1" applyFont="1" applyNumberFormat="1"/>
    <xf borderId="11" fillId="8" fontId="8" numFmtId="3" xfId="0" applyBorder="1" applyFont="1" applyNumberFormat="1"/>
    <xf borderId="11" fillId="4" fontId="18" numFmtId="3" xfId="0" applyAlignment="1" applyBorder="1" applyFont="1" applyNumberForma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/>
    </xf>
    <xf borderId="12" fillId="9" fontId="18" numFmtId="38" xfId="0" applyAlignment="1" applyBorder="1" applyFont="1" applyNumberFormat="1">
      <alignment horizontal="right" vertical="bottom"/>
    </xf>
    <xf borderId="11" fillId="10" fontId="18" numFmtId="38" xfId="0" applyAlignment="1" applyBorder="1" applyFont="1" applyNumberFormat="1">
      <alignment horizontal="center" vertical="bottom"/>
    </xf>
    <xf borderId="11" fillId="11" fontId="35" numFmtId="0" xfId="0" applyAlignment="1" applyBorder="1" applyFont="1">
      <alignment horizontal="center" shrinkToFit="0" vertical="center" wrapText="1"/>
    </xf>
    <xf borderId="12" fillId="9" fontId="37" numFmtId="38" xfId="0" applyAlignment="1" applyBorder="1" applyFont="1" applyNumberFormat="1">
      <alignment horizontal="right" vertical="bottom"/>
    </xf>
    <xf borderId="11" fillId="10" fontId="37" numFmtId="38" xfId="0" applyAlignment="1" applyBorder="1" applyFont="1" applyNumberFormat="1">
      <alignment horizontal="center" vertical="bottom"/>
    </xf>
    <xf borderId="11" fillId="4" fontId="8" numFmtId="3" xfId="0" applyAlignment="1" applyBorder="1" applyFont="1" applyNumberFormat="1">
      <alignment readingOrder="0"/>
    </xf>
    <xf borderId="11" fillId="4" fontId="8" numFmtId="3" xfId="0" applyBorder="1" applyFont="1" applyNumberFormat="1"/>
    <xf borderId="11" fillId="4" fontId="39" numFmtId="3" xfId="0" applyAlignment="1" applyBorder="1" applyFont="1" applyNumberFormat="1">
      <alignment horizontal="center" vertical="center"/>
    </xf>
    <xf borderId="11" fillId="4" fontId="8" numFmtId="3" xfId="0" applyAlignment="1" applyBorder="1" applyFont="1" applyNumberFormat="1">
      <alignment horizontal="right" readingOrder="0"/>
    </xf>
    <xf borderId="11" fillId="4" fontId="8" numFmtId="3" xfId="0" applyAlignment="1" applyBorder="1" applyFont="1" applyNumberFormat="1">
      <alignment horizontal="right"/>
    </xf>
    <xf borderId="11" fillId="0" fontId="8" numFmtId="1" xfId="0" applyAlignment="1" applyBorder="1" applyFont="1" applyNumberFormat="1">
      <alignment readingOrder="0"/>
    </xf>
    <xf borderId="11" fillId="5" fontId="8" numFmtId="3" xfId="0" applyBorder="1" applyFont="1" applyNumberFormat="1"/>
    <xf borderId="11" fillId="4" fontId="37" numFmtId="38" xfId="0" applyAlignment="1" applyBorder="1" applyFont="1" applyNumberFormat="1">
      <alignment horizontal="center" readingOrder="0" vertical="bottom"/>
    </xf>
    <xf borderId="11" fillId="5" fontId="8" numFmtId="3" xfId="0" applyAlignment="1" applyBorder="1" applyFont="1" applyNumberFormat="1">
      <alignment readingOrder="0"/>
    </xf>
    <xf borderId="12" fillId="4" fontId="37" numFmtId="38" xfId="0" applyAlignment="1" applyBorder="1" applyFont="1" applyNumberFormat="1">
      <alignment horizontal="right" readingOrder="0" vertical="bottom"/>
    </xf>
    <xf borderId="11" fillId="4" fontId="39" numFmtId="3" xfId="0" applyAlignment="1" applyBorder="1" applyFont="1" applyNumberFormat="1">
      <alignment horizontal="center" readingOrder="0" vertical="center"/>
    </xf>
    <xf borderId="13" fillId="6" fontId="40" numFmtId="3" xfId="0" applyAlignment="1" applyBorder="1" applyFont="1" applyNumberFormat="1">
      <alignment horizontal="center"/>
    </xf>
    <xf borderId="13" fillId="6" fontId="41" numFmtId="3" xfId="0" applyAlignment="1" applyBorder="1" applyFont="1" applyNumberFormat="1">
      <alignment horizontal="center"/>
    </xf>
    <xf borderId="11" fillId="4" fontId="39" numFmtId="3" xfId="0" applyAlignment="1" applyBorder="1" applyFont="1" applyNumberFormat="1">
      <alignment readingOrder="0"/>
    </xf>
    <xf borderId="11" fillId="4" fontId="39" numFmtId="3" xfId="0" applyAlignment="1" applyBorder="1" applyFont="1" applyNumberFormat="1">
      <alignment horizontal="right" readingOrder="0"/>
    </xf>
    <xf borderId="11" fillId="5" fontId="39" numFmtId="3" xfId="0" applyAlignment="1" applyBorder="1" applyFont="1" applyNumberFormat="1">
      <alignment readingOrder="0"/>
    </xf>
    <xf borderId="12" fillId="4" fontId="16" numFmtId="166" xfId="0" applyAlignment="1" applyBorder="1" applyFont="1" applyNumberFormat="1">
      <alignment horizontal="center" readingOrder="0" vertical="bottom"/>
    </xf>
    <xf borderId="12" fillId="4" fontId="16" numFmtId="4" xfId="0" applyAlignment="1" applyBorder="1" applyFont="1" applyNumberFormat="1">
      <alignment readingOrder="0" vertical="bottom"/>
    </xf>
    <xf borderId="12" fillId="4" fontId="16" numFmtId="1" xfId="0" applyAlignment="1" applyBorder="1" applyFont="1" applyNumberFormat="1">
      <alignment horizontal="center" readingOrder="0" vertical="bottom"/>
    </xf>
    <xf borderId="12" fillId="4" fontId="16" numFmtId="0" xfId="0" applyAlignment="1" applyBorder="1" applyFont="1">
      <alignment readingOrder="0" vertical="bottom"/>
    </xf>
    <xf borderId="0" fillId="0" fontId="14" numFmtId="0" xfId="0" applyAlignment="1" applyFont="1">
      <alignment readingOrder="0"/>
    </xf>
    <xf borderId="0" fillId="0" fontId="1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0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180975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4.63"/>
    <col customWidth="1" min="6" max="6" width="14.13"/>
    <col customWidth="1" min="7" max="7" width="15.88"/>
    <col customWidth="1" min="8" max="8" width="17.63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 t="s">
        <v>16</v>
      </c>
      <c r="C4" s="18" t="s">
        <v>17</v>
      </c>
      <c r="D4" s="19">
        <v>52686.0</v>
      </c>
      <c r="E4" s="20" t="s">
        <v>18</v>
      </c>
      <c r="F4" s="21">
        <v>4500.0</v>
      </c>
      <c r="G4" s="22"/>
      <c r="H4" s="23"/>
      <c r="I4" s="24"/>
      <c r="J4" s="25"/>
      <c r="K4" s="26" t="s">
        <v>19</v>
      </c>
      <c r="L4" s="27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31" t="s">
        <v>16</v>
      </c>
      <c r="C5" s="32" t="s">
        <v>22</v>
      </c>
      <c r="D5" s="33">
        <v>65611.0</v>
      </c>
      <c r="E5" s="34" t="s">
        <v>23</v>
      </c>
      <c r="F5" s="35">
        <v>3200.0</v>
      </c>
      <c r="G5" s="36"/>
      <c r="H5" s="23"/>
      <c r="I5" s="37"/>
      <c r="J5" s="38"/>
      <c r="K5" s="26" t="s">
        <v>19</v>
      </c>
      <c r="L5" s="39"/>
      <c r="M5" s="4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24</v>
      </c>
      <c r="B6" s="41" t="s">
        <v>16</v>
      </c>
      <c r="C6" s="42" t="s">
        <v>25</v>
      </c>
      <c r="D6" s="43">
        <v>119065.0</v>
      </c>
      <c r="E6" s="44" t="s">
        <v>26</v>
      </c>
      <c r="F6" s="45"/>
      <c r="G6" s="46"/>
      <c r="H6" s="47">
        <v>350.0</v>
      </c>
      <c r="I6" s="48"/>
      <c r="J6" s="49"/>
      <c r="K6" s="26" t="s">
        <v>19</v>
      </c>
      <c r="L6" s="50"/>
      <c r="M6" s="51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41" t="s">
        <v>16</v>
      </c>
      <c r="C7" s="42" t="s">
        <v>28</v>
      </c>
      <c r="D7" s="43">
        <v>119073.0</v>
      </c>
      <c r="E7" s="44" t="s">
        <v>29</v>
      </c>
      <c r="F7" s="45"/>
      <c r="G7" s="46"/>
      <c r="H7" s="47">
        <v>350.0</v>
      </c>
      <c r="I7" s="48"/>
      <c r="J7" s="49"/>
      <c r="K7" s="26" t="s">
        <v>19</v>
      </c>
      <c r="L7" s="50"/>
      <c r="M7" s="51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52">
        <v>46027.0</v>
      </c>
      <c r="C8" s="42" t="s">
        <v>31</v>
      </c>
      <c r="D8" s="43">
        <v>119103.0</v>
      </c>
      <c r="E8" s="44" t="s">
        <v>32</v>
      </c>
      <c r="F8" s="45"/>
      <c r="G8" s="46"/>
      <c r="H8" s="53">
        <v>350.0</v>
      </c>
      <c r="I8" s="48"/>
      <c r="J8" s="49"/>
      <c r="K8" s="26" t="s">
        <v>19</v>
      </c>
      <c r="L8" s="50"/>
      <c r="M8" s="51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52">
        <v>46058.0</v>
      </c>
      <c r="C9" s="42" t="s">
        <v>34</v>
      </c>
      <c r="D9" s="43">
        <v>52669.0</v>
      </c>
      <c r="E9" s="44" t="s">
        <v>35</v>
      </c>
      <c r="F9" s="45"/>
      <c r="G9" s="46"/>
      <c r="H9" s="47">
        <v>26950.0</v>
      </c>
      <c r="I9" s="48"/>
      <c r="J9" s="49"/>
      <c r="K9" s="26" t="s">
        <v>36</v>
      </c>
      <c r="L9" s="50"/>
      <c r="M9" s="51" t="s">
        <v>37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>
        <v>46058.0</v>
      </c>
      <c r="C10" s="42" t="s">
        <v>39</v>
      </c>
      <c r="D10" s="43">
        <v>10271.0</v>
      </c>
      <c r="E10" s="44" t="s">
        <v>40</v>
      </c>
      <c r="F10" s="45"/>
      <c r="G10" s="54">
        <v>1000.0</v>
      </c>
      <c r="H10" s="55"/>
      <c r="I10" s="48"/>
      <c r="J10" s="49"/>
      <c r="K10" s="26" t="s">
        <v>19</v>
      </c>
      <c r="L10" s="50"/>
      <c r="M10" s="51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41</v>
      </c>
      <c r="B11" s="52">
        <v>46058.0</v>
      </c>
      <c r="C11" s="42" t="s">
        <v>42</v>
      </c>
      <c r="D11" s="43">
        <v>68284.0</v>
      </c>
      <c r="E11" s="56" t="s">
        <v>43</v>
      </c>
      <c r="F11" s="57">
        <v>2480.0</v>
      </c>
      <c r="G11" s="46"/>
      <c r="H11" s="58"/>
      <c r="I11" s="48"/>
      <c r="J11" s="59"/>
      <c r="K11" s="26" t="s">
        <v>19</v>
      </c>
      <c r="L11" s="60"/>
      <c r="M11" s="61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44</v>
      </c>
      <c r="B12" s="62"/>
      <c r="C12" s="63"/>
      <c r="D12" s="64"/>
      <c r="E12" s="65"/>
      <c r="F12" s="66"/>
      <c r="G12" s="46"/>
      <c r="H12" s="58"/>
      <c r="I12" s="48"/>
      <c r="J12" s="59"/>
      <c r="K12" s="26" t="s">
        <v>19</v>
      </c>
      <c r="L12" s="60"/>
      <c r="M12" s="61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45</v>
      </c>
      <c r="B13" s="62"/>
      <c r="C13" s="63"/>
      <c r="D13" s="64"/>
      <c r="E13" s="65"/>
      <c r="F13" s="67"/>
      <c r="G13" s="46"/>
      <c r="H13" s="58"/>
      <c r="I13" s="48"/>
      <c r="J13" s="59"/>
      <c r="K13" s="26" t="s">
        <v>19</v>
      </c>
      <c r="L13" s="60"/>
      <c r="M13" s="61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62"/>
      <c r="C14" s="63"/>
      <c r="D14" s="64"/>
      <c r="E14" s="65"/>
      <c r="F14" s="68"/>
      <c r="G14" s="46"/>
      <c r="H14" s="58"/>
      <c r="I14" s="48"/>
      <c r="J14" s="59"/>
      <c r="K14" s="26" t="s">
        <v>19</v>
      </c>
      <c r="L14" s="60"/>
      <c r="M14" s="61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2"/>
      <c r="C15" s="63"/>
      <c r="D15" s="64"/>
      <c r="E15" s="65"/>
      <c r="F15" s="68"/>
      <c r="G15" s="69"/>
      <c r="H15" s="58"/>
      <c r="I15" s="48"/>
      <c r="J15" s="59"/>
      <c r="K15" s="26" t="s">
        <v>19</v>
      </c>
      <c r="L15" s="60"/>
      <c r="M15" s="61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 t="s">
        <v>48</v>
      </c>
      <c r="B16" s="62"/>
      <c r="C16" s="63"/>
      <c r="D16" s="64"/>
      <c r="E16" s="65"/>
      <c r="F16" s="70"/>
      <c r="G16" s="69"/>
      <c r="H16" s="58"/>
      <c r="I16" s="48"/>
      <c r="J16" s="59"/>
      <c r="K16" s="26" t="s">
        <v>19</v>
      </c>
      <c r="L16" s="60"/>
      <c r="M16" s="61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62"/>
      <c r="C17" s="63"/>
      <c r="D17" s="64"/>
      <c r="E17" s="65"/>
      <c r="F17" s="70"/>
      <c r="G17" s="69"/>
      <c r="H17" s="58"/>
      <c r="I17" s="48"/>
      <c r="J17" s="59"/>
      <c r="K17" s="71"/>
      <c r="L17" s="60"/>
      <c r="M17" s="6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49</v>
      </c>
      <c r="B18" s="62"/>
      <c r="C18" s="63"/>
      <c r="D18" s="64"/>
      <c r="E18" s="65"/>
      <c r="F18" s="70"/>
      <c r="G18" s="69"/>
      <c r="H18" s="58"/>
      <c r="I18" s="48"/>
      <c r="J18" s="59"/>
      <c r="K18" s="71"/>
      <c r="L18" s="60"/>
      <c r="M18" s="61" t="s">
        <v>50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51</v>
      </c>
      <c r="B19" s="62"/>
      <c r="C19" s="63"/>
      <c r="D19" s="64"/>
      <c r="E19" s="65"/>
      <c r="F19" s="70"/>
      <c r="G19" s="69"/>
      <c r="H19" s="58"/>
      <c r="I19" s="48"/>
      <c r="J19" s="59"/>
      <c r="K19" s="71"/>
      <c r="L19" s="60"/>
      <c r="M19" s="61" t="s">
        <v>50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62"/>
      <c r="C20" s="63"/>
      <c r="D20" s="64"/>
      <c r="E20" s="65"/>
      <c r="F20" s="70"/>
      <c r="G20" s="69"/>
      <c r="H20" s="58"/>
      <c r="I20" s="48"/>
      <c r="J20" s="59"/>
      <c r="K20" s="71"/>
      <c r="L20" s="60"/>
      <c r="M20" s="61" t="s">
        <v>50</v>
      </c>
      <c r="N20" s="29"/>
      <c r="O20" s="29"/>
      <c r="P20" s="72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 t="s">
        <v>53</v>
      </c>
      <c r="B21" s="62"/>
      <c r="C21" s="63"/>
      <c r="D21" s="64"/>
      <c r="E21" s="65"/>
      <c r="F21" s="68"/>
      <c r="G21" s="69"/>
      <c r="H21" s="58"/>
      <c r="I21" s="48"/>
      <c r="J21" s="59"/>
      <c r="K21" s="71"/>
      <c r="L21" s="60"/>
      <c r="M21" s="61" t="s">
        <v>20</v>
      </c>
      <c r="N21" s="29"/>
      <c r="O21" s="29"/>
      <c r="P21" s="72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/>
      <c r="B22" s="62"/>
      <c r="C22" s="63"/>
      <c r="D22" s="64"/>
      <c r="E22" s="65"/>
      <c r="F22" s="68"/>
      <c r="G22" s="69"/>
      <c r="H22" s="58"/>
      <c r="I22" s="48"/>
      <c r="J22" s="59"/>
      <c r="K22" s="38"/>
      <c r="L22" s="60"/>
      <c r="M22" s="61"/>
      <c r="N22" s="29"/>
      <c r="O22" s="29"/>
      <c r="P22" s="72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73"/>
      <c r="C23" s="63"/>
      <c r="D23" s="64"/>
      <c r="E23" s="65"/>
      <c r="F23" s="68"/>
      <c r="G23" s="69"/>
      <c r="H23" s="58"/>
      <c r="I23" s="48"/>
      <c r="J23" s="59"/>
      <c r="K23" s="71"/>
      <c r="L23" s="60"/>
      <c r="M23" s="61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74"/>
      <c r="B24" s="2"/>
      <c r="C24" s="2"/>
      <c r="D24" s="2"/>
      <c r="E24" s="3"/>
      <c r="F24" s="75">
        <f>SUM(F4:F23)</f>
        <v>10180</v>
      </c>
      <c r="G24" s="75">
        <f t="shared" ref="G24:J24" si="1">SUM(G4:G14)</f>
        <v>1000</v>
      </c>
      <c r="H24" s="75">
        <f t="shared" si="1"/>
        <v>28000</v>
      </c>
      <c r="I24" s="75">
        <f t="shared" si="1"/>
        <v>0</v>
      </c>
      <c r="J24" s="75">
        <f t="shared" si="1"/>
        <v>0</v>
      </c>
      <c r="K24" s="76"/>
      <c r="L24" s="76"/>
      <c r="M24" s="77"/>
    </row>
    <row r="25" ht="48.0" customHeight="1">
      <c r="F25" s="78">
        <f>F24+G24+H24+I24+J24</f>
        <v>39180</v>
      </c>
      <c r="G25" s="2"/>
      <c r="H25" s="2"/>
      <c r="I25" s="2"/>
      <c r="J2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2">
    <mergeCell ref="K2:K3"/>
    <mergeCell ref="L2:L3"/>
    <mergeCell ref="A24:E24"/>
    <mergeCell ref="F25:J25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2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80">
        <v>46145.0</v>
      </c>
      <c r="C4" s="18" t="s">
        <v>55</v>
      </c>
      <c r="D4" s="19">
        <v>43102.0</v>
      </c>
      <c r="E4" s="81" t="s">
        <v>56</v>
      </c>
      <c r="F4" s="82">
        <v>5100.0</v>
      </c>
      <c r="G4" s="83"/>
      <c r="H4" s="84"/>
      <c r="I4" s="85"/>
      <c r="J4" s="86"/>
      <c r="K4" s="87" t="s">
        <v>19</v>
      </c>
      <c r="L4" s="88"/>
      <c r="M4" s="28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80">
        <v>46145.0</v>
      </c>
      <c r="C5" s="18" t="s">
        <v>57</v>
      </c>
      <c r="D5" s="19">
        <v>51782.0</v>
      </c>
      <c r="E5" s="89" t="s">
        <v>58</v>
      </c>
      <c r="F5" s="82">
        <v>200.0</v>
      </c>
      <c r="G5" s="83"/>
      <c r="H5" s="90"/>
      <c r="I5" s="85"/>
      <c r="J5" s="91"/>
      <c r="K5" s="92" t="s">
        <v>59</v>
      </c>
      <c r="L5" s="88"/>
      <c r="M5" s="93" t="s">
        <v>37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52">
        <v>46145.0</v>
      </c>
      <c r="C6" s="42" t="s">
        <v>60</v>
      </c>
      <c r="D6" s="94">
        <v>47787.0</v>
      </c>
      <c r="E6" s="95" t="s">
        <v>61</v>
      </c>
      <c r="F6" s="96">
        <v>6000.0</v>
      </c>
      <c r="G6" s="83"/>
      <c r="H6" s="97"/>
      <c r="I6" s="98"/>
      <c r="J6" s="99"/>
      <c r="K6" s="100" t="s">
        <v>59</v>
      </c>
      <c r="L6" s="88"/>
      <c r="M6" s="93" t="s">
        <v>37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52">
        <v>46145.0</v>
      </c>
      <c r="C7" s="42" t="s">
        <v>62</v>
      </c>
      <c r="D7" s="43">
        <v>45937.0</v>
      </c>
      <c r="E7" s="101" t="s">
        <v>63</v>
      </c>
      <c r="F7" s="96">
        <v>1550.0</v>
      </c>
      <c r="G7" s="102"/>
      <c r="H7" s="103"/>
      <c r="I7" s="98"/>
      <c r="J7" s="99"/>
      <c r="K7" s="100" t="s">
        <v>19</v>
      </c>
      <c r="L7" s="50"/>
      <c r="M7" s="104" t="s">
        <v>50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62"/>
      <c r="C8" s="63"/>
      <c r="D8" s="64"/>
      <c r="E8" s="65"/>
      <c r="F8" s="102"/>
      <c r="G8" s="102"/>
      <c r="H8" s="103"/>
      <c r="I8" s="98"/>
      <c r="J8" s="99"/>
      <c r="K8" s="105"/>
      <c r="L8" s="50"/>
      <c r="M8" s="104" t="s">
        <v>37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62"/>
      <c r="C9" s="63"/>
      <c r="D9" s="64"/>
      <c r="E9" s="65"/>
      <c r="F9" s="102"/>
      <c r="G9" s="102"/>
      <c r="H9" s="103"/>
      <c r="I9" s="98"/>
      <c r="J9" s="99"/>
      <c r="K9" s="105"/>
      <c r="L9" s="50"/>
      <c r="M9" s="104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62"/>
      <c r="C10" s="63"/>
      <c r="D10" s="64"/>
      <c r="E10" s="65"/>
      <c r="F10" s="106"/>
      <c r="G10" s="106"/>
      <c r="H10" s="107"/>
      <c r="I10" s="98"/>
      <c r="J10" s="99"/>
      <c r="K10" s="105"/>
      <c r="L10" s="50"/>
      <c r="M10" s="104" t="s">
        <v>50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62"/>
      <c r="C11" s="63"/>
      <c r="D11" s="64"/>
      <c r="E11" s="65"/>
      <c r="F11" s="106"/>
      <c r="G11" s="106"/>
      <c r="H11" s="107"/>
      <c r="I11" s="98"/>
      <c r="J11" s="99"/>
      <c r="K11" s="105" t="s">
        <v>19</v>
      </c>
      <c r="L11" s="50"/>
      <c r="M11" s="10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62"/>
      <c r="C12" s="63"/>
      <c r="D12" s="64"/>
      <c r="E12" s="65"/>
      <c r="F12" s="106"/>
      <c r="G12" s="106"/>
      <c r="H12" s="107"/>
      <c r="I12" s="98"/>
      <c r="J12" s="99"/>
      <c r="K12" s="105" t="s">
        <v>19</v>
      </c>
      <c r="L12" s="50"/>
      <c r="M12" s="104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45</v>
      </c>
      <c r="B13" s="62"/>
      <c r="C13" s="63"/>
      <c r="D13" s="64"/>
      <c r="E13" s="65"/>
      <c r="F13" s="106"/>
      <c r="G13" s="106"/>
      <c r="H13" s="107"/>
      <c r="I13" s="98"/>
      <c r="J13" s="99"/>
      <c r="K13" s="105" t="s">
        <v>19</v>
      </c>
      <c r="L13" s="50"/>
      <c r="M13" s="10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62"/>
      <c r="C14" s="63"/>
      <c r="D14" s="64"/>
      <c r="E14" s="65"/>
      <c r="F14" s="106"/>
      <c r="G14" s="106"/>
      <c r="H14" s="107"/>
      <c r="I14" s="98"/>
      <c r="J14" s="99"/>
      <c r="K14" s="105" t="s">
        <v>19</v>
      </c>
      <c r="L14" s="50"/>
      <c r="M14" s="104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2"/>
      <c r="C15" s="63"/>
      <c r="D15" s="64"/>
      <c r="E15" s="65"/>
      <c r="F15" s="106"/>
      <c r="G15" s="106"/>
      <c r="H15" s="107"/>
      <c r="I15" s="98"/>
      <c r="J15" s="99"/>
      <c r="K15" s="105" t="s">
        <v>19</v>
      </c>
      <c r="L15" s="50"/>
      <c r="M15" s="104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62"/>
      <c r="C16" s="63"/>
      <c r="D16" s="64"/>
      <c r="E16" s="65"/>
      <c r="F16" s="106"/>
      <c r="G16" s="106"/>
      <c r="H16" s="107"/>
      <c r="I16" s="98"/>
      <c r="J16" s="99"/>
      <c r="K16" s="105" t="s">
        <v>19</v>
      </c>
      <c r="L16" s="50"/>
      <c r="M16" s="10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62"/>
      <c r="C17" s="63"/>
      <c r="D17" s="64"/>
      <c r="E17" s="65"/>
      <c r="F17" s="106"/>
      <c r="G17" s="106"/>
      <c r="H17" s="107"/>
      <c r="I17" s="98"/>
      <c r="J17" s="99"/>
      <c r="K17" s="105" t="s">
        <v>19</v>
      </c>
      <c r="L17" s="50"/>
      <c r="M17" s="104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62"/>
      <c r="C18" s="63"/>
      <c r="D18" s="64"/>
      <c r="E18" s="65"/>
      <c r="F18" s="106"/>
      <c r="G18" s="106"/>
      <c r="H18" s="107"/>
      <c r="I18" s="98"/>
      <c r="J18" s="99"/>
      <c r="K18" s="105" t="s">
        <v>19</v>
      </c>
      <c r="L18" s="50"/>
      <c r="M18" s="104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62"/>
      <c r="C19" s="63"/>
      <c r="D19" s="64"/>
      <c r="E19" s="65"/>
      <c r="F19" s="106"/>
      <c r="G19" s="106"/>
      <c r="H19" s="107"/>
      <c r="I19" s="98"/>
      <c r="J19" s="99"/>
      <c r="K19" s="105"/>
      <c r="L19" s="50"/>
      <c r="M19" s="104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2"/>
      <c r="C20" s="63"/>
      <c r="D20" s="64"/>
      <c r="E20" s="65"/>
      <c r="F20" s="108"/>
      <c r="G20" s="106"/>
      <c r="H20" s="109"/>
      <c r="I20" s="98"/>
      <c r="J20" s="110"/>
      <c r="K20" s="111"/>
      <c r="L20" s="60"/>
      <c r="M20" s="10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12850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12850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12">
        <v>46146.0</v>
      </c>
      <c r="C4" s="113" t="s">
        <v>66</v>
      </c>
      <c r="D4" s="114">
        <v>21828.0</v>
      </c>
      <c r="E4" s="115" t="s">
        <v>67</v>
      </c>
      <c r="F4" s="116">
        <v>5000.0</v>
      </c>
      <c r="G4" s="117"/>
      <c r="H4" s="118"/>
      <c r="I4" s="119"/>
      <c r="J4" s="86"/>
      <c r="K4" s="26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46146.0</v>
      </c>
      <c r="C5" s="18" t="s">
        <v>68</v>
      </c>
      <c r="D5" s="122">
        <v>83352.0</v>
      </c>
      <c r="E5" s="123" t="s">
        <v>69</v>
      </c>
      <c r="F5" s="124">
        <v>25000.0</v>
      </c>
      <c r="G5" s="117"/>
      <c r="H5" s="125"/>
      <c r="I5" s="119"/>
      <c r="J5" s="91"/>
      <c r="K5" s="26" t="s">
        <v>19</v>
      </c>
      <c r="L5" s="88"/>
      <c r="M5" s="93" t="s">
        <v>50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46146.0</v>
      </c>
      <c r="C6" s="18" t="s">
        <v>70</v>
      </c>
      <c r="D6" s="122">
        <v>57363.0</v>
      </c>
      <c r="E6" s="123" t="s">
        <v>71</v>
      </c>
      <c r="F6" s="126"/>
      <c r="G6" s="117"/>
      <c r="H6" s="118"/>
      <c r="I6" s="119"/>
      <c r="J6" s="127">
        <v>72.0</v>
      </c>
      <c r="K6" s="26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12">
        <v>46146.0</v>
      </c>
      <c r="C7" s="113" t="s">
        <v>72</v>
      </c>
      <c r="D7" s="114">
        <v>119252.0</v>
      </c>
      <c r="E7" s="115" t="s">
        <v>73</v>
      </c>
      <c r="F7" s="116">
        <v>350.0</v>
      </c>
      <c r="G7" s="117"/>
      <c r="H7" s="118"/>
      <c r="I7" s="119"/>
      <c r="J7" s="99"/>
      <c r="K7" s="26" t="s">
        <v>19</v>
      </c>
      <c r="L7" s="50"/>
      <c r="M7" s="128" t="s">
        <v>50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46146.0</v>
      </c>
      <c r="C8" s="113" t="s">
        <v>74</v>
      </c>
      <c r="D8" s="114">
        <v>10008.0</v>
      </c>
      <c r="E8" s="115" t="s">
        <v>75</v>
      </c>
      <c r="F8" s="126"/>
      <c r="G8" s="117"/>
      <c r="H8" s="125"/>
      <c r="I8" s="119"/>
      <c r="J8" s="127">
        <v>151.0</v>
      </c>
      <c r="K8" s="26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62"/>
      <c r="C9" s="63"/>
      <c r="D9" s="64"/>
      <c r="E9" s="65"/>
      <c r="F9" s="102"/>
      <c r="G9" s="129"/>
      <c r="H9" s="130"/>
      <c r="I9" s="131"/>
      <c r="J9" s="99"/>
      <c r="K9" s="26" t="s">
        <v>19</v>
      </c>
      <c r="L9" s="50"/>
      <c r="M9" s="104" t="s">
        <v>50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62"/>
      <c r="C10" s="63"/>
      <c r="D10" s="64"/>
      <c r="E10" s="65"/>
      <c r="F10" s="106"/>
      <c r="G10" s="132"/>
      <c r="H10" s="133"/>
      <c r="I10" s="131"/>
      <c r="J10" s="99"/>
      <c r="K10" s="26" t="s">
        <v>19</v>
      </c>
      <c r="L10" s="50"/>
      <c r="M10" s="104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41</v>
      </c>
      <c r="B11" s="62"/>
      <c r="C11" s="63"/>
      <c r="D11" s="64"/>
      <c r="E11" s="65"/>
      <c r="F11" s="106"/>
      <c r="G11" s="132"/>
      <c r="H11" s="133"/>
      <c r="I11" s="131"/>
      <c r="J11" s="99"/>
      <c r="K11" s="26" t="s">
        <v>19</v>
      </c>
      <c r="L11" s="50"/>
      <c r="M11" s="104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9"/>
      <c r="B12" s="62"/>
      <c r="C12" s="63"/>
      <c r="D12" s="64"/>
      <c r="E12" s="65"/>
      <c r="F12" s="106"/>
      <c r="G12" s="132"/>
      <c r="H12" s="133"/>
      <c r="I12" s="131"/>
      <c r="J12" s="99"/>
      <c r="K12" s="105" t="s">
        <v>19</v>
      </c>
      <c r="L12" s="50"/>
      <c r="M12" s="104" t="s">
        <v>50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45</v>
      </c>
      <c r="B13" s="62"/>
      <c r="C13" s="63"/>
      <c r="D13" s="64"/>
      <c r="E13" s="65"/>
      <c r="F13" s="106"/>
      <c r="G13" s="106"/>
      <c r="H13" s="107"/>
      <c r="I13" s="98"/>
      <c r="J13" s="99"/>
      <c r="K13" s="105" t="s">
        <v>19</v>
      </c>
      <c r="L13" s="50"/>
      <c r="M13" s="104" t="s">
        <v>50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62"/>
      <c r="C14" s="63"/>
      <c r="D14" s="64"/>
      <c r="E14" s="65"/>
      <c r="F14" s="106"/>
      <c r="G14" s="106"/>
      <c r="H14" s="107"/>
      <c r="I14" s="98"/>
      <c r="J14" s="99"/>
      <c r="K14" s="105" t="s">
        <v>19</v>
      </c>
      <c r="L14" s="50"/>
      <c r="M14" s="104" t="s">
        <v>37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2"/>
      <c r="C15" s="63"/>
      <c r="D15" s="64"/>
      <c r="E15" s="65"/>
      <c r="F15" s="106"/>
      <c r="G15" s="106"/>
      <c r="H15" s="107"/>
      <c r="I15" s="98"/>
      <c r="J15" s="99"/>
      <c r="K15" s="105" t="s">
        <v>19</v>
      </c>
      <c r="L15" s="50"/>
      <c r="M15" s="104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62"/>
      <c r="C16" s="63"/>
      <c r="D16" s="64"/>
      <c r="E16" s="65"/>
      <c r="F16" s="106"/>
      <c r="G16" s="106"/>
      <c r="H16" s="107"/>
      <c r="I16" s="98"/>
      <c r="J16" s="99"/>
      <c r="K16" s="105" t="s">
        <v>19</v>
      </c>
      <c r="L16" s="50"/>
      <c r="M16" s="104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62"/>
      <c r="C17" s="63"/>
      <c r="D17" s="64"/>
      <c r="E17" s="65"/>
      <c r="F17" s="106"/>
      <c r="G17" s="106"/>
      <c r="H17" s="107"/>
      <c r="I17" s="98"/>
      <c r="J17" s="99"/>
      <c r="K17" s="105" t="s">
        <v>19</v>
      </c>
      <c r="L17" s="50"/>
      <c r="M17" s="104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62"/>
      <c r="C18" s="63"/>
      <c r="D18" s="64"/>
      <c r="E18" s="65"/>
      <c r="F18" s="106"/>
      <c r="G18" s="106"/>
      <c r="H18" s="107"/>
      <c r="I18" s="98"/>
      <c r="J18" s="99"/>
      <c r="K18" s="105" t="s">
        <v>19</v>
      </c>
      <c r="L18" s="50"/>
      <c r="M18" s="104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51</v>
      </c>
      <c r="B19" s="62"/>
      <c r="C19" s="63"/>
      <c r="D19" s="64"/>
      <c r="E19" s="65"/>
      <c r="F19" s="106"/>
      <c r="G19" s="106"/>
      <c r="H19" s="107"/>
      <c r="I19" s="98"/>
      <c r="J19" s="99"/>
      <c r="K19" s="105" t="s">
        <v>19</v>
      </c>
      <c r="L19" s="50"/>
      <c r="M19" s="104" t="s">
        <v>50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2"/>
      <c r="C20" s="63"/>
      <c r="D20" s="64"/>
      <c r="E20" s="65"/>
      <c r="F20" s="108"/>
      <c r="G20" s="106"/>
      <c r="H20" s="109"/>
      <c r="I20" s="98"/>
      <c r="J20" s="110"/>
      <c r="K20" s="111"/>
      <c r="L20" s="60"/>
      <c r="M20" s="10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30350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223</v>
      </c>
      <c r="K21" s="76"/>
      <c r="L21" s="76"/>
      <c r="M21" s="77"/>
    </row>
    <row r="22" ht="48.0" customHeight="1">
      <c r="F22" s="78">
        <f>F21+G21+H21+I21+J21</f>
        <v>30573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46147.0</v>
      </c>
      <c r="C4" s="18" t="s">
        <v>77</v>
      </c>
      <c r="D4" s="122">
        <v>77658.0</v>
      </c>
      <c r="E4" s="123" t="s">
        <v>78</v>
      </c>
      <c r="F4" s="134">
        <v>9500.0</v>
      </c>
      <c r="G4" s="135"/>
      <c r="H4" s="136"/>
      <c r="I4" s="135"/>
      <c r="J4" s="86"/>
      <c r="K4" s="105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46147.0</v>
      </c>
      <c r="C5" s="18" t="s">
        <v>79</v>
      </c>
      <c r="D5" s="122">
        <v>35245.0</v>
      </c>
      <c r="E5" s="123" t="s">
        <v>80</v>
      </c>
      <c r="F5" s="137">
        <v>3500.0</v>
      </c>
      <c r="G5" s="135"/>
      <c r="H5" s="135"/>
      <c r="I5" s="135"/>
      <c r="J5" s="91"/>
      <c r="K5" s="105" t="s">
        <v>59</v>
      </c>
      <c r="L5" s="88"/>
      <c r="M5" s="93" t="s">
        <v>50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46147.0</v>
      </c>
      <c r="C6" s="18" t="s">
        <v>81</v>
      </c>
      <c r="D6" s="122">
        <v>53249.0</v>
      </c>
      <c r="E6" s="123" t="s">
        <v>82</v>
      </c>
      <c r="F6" s="135"/>
      <c r="G6" s="135"/>
      <c r="H6" s="138"/>
      <c r="I6" s="135"/>
      <c r="J6" s="127">
        <v>35.0</v>
      </c>
      <c r="K6" s="105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46147.0</v>
      </c>
      <c r="C7" s="18" t="s">
        <v>83</v>
      </c>
      <c r="D7" s="122">
        <v>55969.0</v>
      </c>
      <c r="E7" s="123" t="s">
        <v>84</v>
      </c>
      <c r="F7" s="135"/>
      <c r="G7" s="135"/>
      <c r="H7" s="138"/>
      <c r="I7" s="135"/>
      <c r="J7" s="127">
        <v>35.0</v>
      </c>
      <c r="K7" s="105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46147.0</v>
      </c>
      <c r="C8" s="113" t="s">
        <v>85</v>
      </c>
      <c r="D8" s="139">
        <v>56033.0</v>
      </c>
      <c r="E8" s="115" t="s">
        <v>86</v>
      </c>
      <c r="F8" s="140"/>
      <c r="G8" s="140"/>
      <c r="H8" s="140"/>
      <c r="I8" s="140"/>
      <c r="J8" s="127">
        <v>35.0</v>
      </c>
      <c r="K8" s="105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52">
        <v>46147.0</v>
      </c>
      <c r="C9" s="42" t="s">
        <v>87</v>
      </c>
      <c r="D9" s="43">
        <v>66961.0</v>
      </c>
      <c r="E9" s="101" t="s">
        <v>88</v>
      </c>
      <c r="F9" s="106"/>
      <c r="G9" s="106"/>
      <c r="H9" s="141">
        <v>1000.0</v>
      </c>
      <c r="I9" s="98"/>
      <c r="J9" s="99"/>
      <c r="K9" s="105" t="s">
        <v>19</v>
      </c>
      <c r="L9" s="50"/>
      <c r="M9" s="128" t="s">
        <v>50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62"/>
      <c r="C10" s="63"/>
      <c r="D10" s="64"/>
      <c r="E10" s="65"/>
      <c r="F10" s="106"/>
      <c r="G10" s="106"/>
      <c r="H10" s="107"/>
      <c r="I10" s="98"/>
      <c r="J10" s="99"/>
      <c r="K10" s="105" t="s">
        <v>19</v>
      </c>
      <c r="L10" s="50"/>
      <c r="M10" s="104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41</v>
      </c>
      <c r="B11" s="62"/>
      <c r="C11" s="63"/>
      <c r="D11" s="64"/>
      <c r="E11" s="65"/>
      <c r="F11" s="106"/>
      <c r="G11" s="106"/>
      <c r="H11" s="107"/>
      <c r="I11" s="98"/>
      <c r="J11" s="99"/>
      <c r="K11" s="105" t="s">
        <v>19</v>
      </c>
      <c r="L11" s="50"/>
      <c r="M11" s="10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62"/>
      <c r="C12" s="63"/>
      <c r="D12" s="64"/>
      <c r="E12" s="65"/>
      <c r="F12" s="106"/>
      <c r="G12" s="106"/>
      <c r="H12" s="107"/>
      <c r="I12" s="98"/>
      <c r="J12" s="99"/>
      <c r="K12" s="105" t="s">
        <v>19</v>
      </c>
      <c r="L12" s="50"/>
      <c r="M12" s="104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45</v>
      </c>
      <c r="B13" s="62"/>
      <c r="C13" s="63"/>
      <c r="D13" s="64"/>
      <c r="E13" s="65"/>
      <c r="F13" s="106"/>
      <c r="G13" s="106"/>
      <c r="H13" s="107"/>
      <c r="I13" s="98"/>
      <c r="J13" s="99"/>
      <c r="K13" s="105" t="s">
        <v>19</v>
      </c>
      <c r="L13" s="50"/>
      <c r="M13" s="10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62"/>
      <c r="C14" s="63"/>
      <c r="D14" s="64"/>
      <c r="E14" s="65"/>
      <c r="F14" s="106"/>
      <c r="G14" s="106"/>
      <c r="H14" s="107"/>
      <c r="I14" s="98"/>
      <c r="J14" s="99"/>
      <c r="K14" s="105" t="s">
        <v>19</v>
      </c>
      <c r="L14" s="50"/>
      <c r="M14" s="104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2"/>
      <c r="C15" s="63"/>
      <c r="D15" s="64"/>
      <c r="E15" s="65"/>
      <c r="F15" s="106"/>
      <c r="G15" s="106"/>
      <c r="H15" s="107"/>
      <c r="I15" s="98"/>
      <c r="J15" s="99"/>
      <c r="K15" s="105" t="s">
        <v>19</v>
      </c>
      <c r="L15" s="50"/>
      <c r="M15" s="104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62"/>
      <c r="C16" s="63"/>
      <c r="D16" s="64"/>
      <c r="E16" s="65"/>
      <c r="F16" s="106"/>
      <c r="G16" s="106"/>
      <c r="H16" s="107"/>
      <c r="I16" s="98"/>
      <c r="J16" s="99"/>
      <c r="K16" s="105" t="s">
        <v>19</v>
      </c>
      <c r="L16" s="50"/>
      <c r="M16" s="104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62"/>
      <c r="C17" s="63"/>
      <c r="D17" s="64"/>
      <c r="E17" s="65"/>
      <c r="F17" s="106"/>
      <c r="G17" s="106"/>
      <c r="H17" s="107"/>
      <c r="I17" s="98"/>
      <c r="J17" s="99"/>
      <c r="K17" s="105" t="s">
        <v>19</v>
      </c>
      <c r="L17" s="50"/>
      <c r="M17" s="104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62"/>
      <c r="C18" s="63"/>
      <c r="D18" s="64"/>
      <c r="E18" s="65"/>
      <c r="F18" s="106"/>
      <c r="G18" s="106"/>
      <c r="H18" s="107"/>
      <c r="I18" s="98"/>
      <c r="J18" s="99"/>
      <c r="K18" s="105" t="s">
        <v>19</v>
      </c>
      <c r="L18" s="50"/>
      <c r="M18" s="104" t="s">
        <v>50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51</v>
      </c>
      <c r="B19" s="62"/>
      <c r="C19" s="63"/>
      <c r="D19" s="64"/>
      <c r="E19" s="65"/>
      <c r="F19" s="102"/>
      <c r="G19" s="102"/>
      <c r="H19" s="103"/>
      <c r="I19" s="98"/>
      <c r="J19" s="99"/>
      <c r="K19" s="105"/>
      <c r="L19" s="50"/>
      <c r="M19" s="104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79" t="s">
        <v>52</v>
      </c>
      <c r="B20" s="62"/>
      <c r="C20" s="63"/>
      <c r="D20" s="64"/>
      <c r="E20" s="65"/>
      <c r="F20" s="108"/>
      <c r="G20" s="106"/>
      <c r="H20" s="109"/>
      <c r="I20" s="98"/>
      <c r="J20" s="110"/>
      <c r="K20" s="111"/>
      <c r="L20" s="60"/>
      <c r="M20" s="10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13000</v>
      </c>
      <c r="G21" s="75">
        <f t="shared" si="1"/>
        <v>0</v>
      </c>
      <c r="H21" s="75">
        <f t="shared" si="1"/>
        <v>1000</v>
      </c>
      <c r="I21" s="75">
        <f t="shared" si="1"/>
        <v>0</v>
      </c>
      <c r="J21" s="75">
        <f t="shared" si="1"/>
        <v>105</v>
      </c>
      <c r="K21" s="76"/>
      <c r="L21" s="76"/>
      <c r="M21" s="77"/>
    </row>
    <row r="22" ht="48.0" customHeight="1">
      <c r="F22" s="78">
        <f>F21+G21+H21+I21+J21</f>
        <v>14105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46148.0</v>
      </c>
      <c r="C4" s="18" t="s">
        <v>90</v>
      </c>
      <c r="D4" s="122">
        <v>50595.0</v>
      </c>
      <c r="E4" s="123" t="s">
        <v>91</v>
      </c>
      <c r="F4" s="134">
        <v>5000.0</v>
      </c>
      <c r="G4" s="135"/>
      <c r="H4" s="136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46148.0</v>
      </c>
      <c r="C5" s="18" t="s">
        <v>92</v>
      </c>
      <c r="D5" s="122">
        <v>47787.0</v>
      </c>
      <c r="E5" s="123" t="s">
        <v>61</v>
      </c>
      <c r="F5" s="137">
        <v>10000.0</v>
      </c>
      <c r="G5" s="135"/>
      <c r="H5" s="135"/>
      <c r="I5" s="135"/>
      <c r="J5" s="91"/>
      <c r="K5" s="100" t="s">
        <v>59</v>
      </c>
      <c r="L5" s="88"/>
      <c r="M5" s="93" t="s">
        <v>37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46148.0</v>
      </c>
      <c r="C6" s="18" t="s">
        <v>93</v>
      </c>
      <c r="D6" s="122">
        <v>51017.0</v>
      </c>
      <c r="E6" s="123" t="s">
        <v>94</v>
      </c>
      <c r="F6" s="134">
        <v>5000.0</v>
      </c>
      <c r="G6" s="135"/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46148.0</v>
      </c>
      <c r="C7" s="18" t="s">
        <v>95</v>
      </c>
      <c r="D7" s="122">
        <v>98882.0</v>
      </c>
      <c r="E7" s="123" t="s">
        <v>96</v>
      </c>
      <c r="F7" s="135"/>
      <c r="G7" s="135"/>
      <c r="H7" s="137">
        <v>2500.0</v>
      </c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46148.0</v>
      </c>
      <c r="C8" s="113" t="s">
        <v>97</v>
      </c>
      <c r="D8" s="114">
        <v>26040.0</v>
      </c>
      <c r="E8" s="115" t="s">
        <v>98</v>
      </c>
      <c r="F8" s="140"/>
      <c r="G8" s="140"/>
      <c r="H8" s="140"/>
      <c r="I8" s="140"/>
      <c r="J8" s="127">
        <v>35.0</v>
      </c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52"/>
      <c r="C9" s="42"/>
      <c r="D9" s="43"/>
      <c r="E9" s="101"/>
      <c r="F9" s="106"/>
      <c r="G9" s="106"/>
      <c r="H9" s="141"/>
      <c r="I9" s="98"/>
      <c r="J9" s="99"/>
      <c r="K9" s="105"/>
      <c r="L9" s="50"/>
      <c r="M9" s="1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/>
      <c r="B10" s="62"/>
      <c r="C10" s="63"/>
      <c r="D10" s="64"/>
      <c r="E10" s="65"/>
      <c r="F10" s="106"/>
      <c r="G10" s="106"/>
      <c r="H10" s="107"/>
      <c r="I10" s="98"/>
      <c r="J10" s="99"/>
      <c r="K10" s="105"/>
      <c r="L10" s="50"/>
      <c r="M10" s="104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62"/>
      <c r="C11" s="63"/>
      <c r="D11" s="64"/>
      <c r="E11" s="65"/>
      <c r="F11" s="106"/>
      <c r="G11" s="106"/>
      <c r="H11" s="107"/>
      <c r="I11" s="98"/>
      <c r="J11" s="99"/>
      <c r="K11" s="105"/>
      <c r="L11" s="50"/>
      <c r="M11" s="10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62"/>
      <c r="C12" s="63"/>
      <c r="D12" s="64"/>
      <c r="E12" s="65"/>
      <c r="F12" s="106"/>
      <c r="G12" s="106"/>
      <c r="H12" s="107"/>
      <c r="I12" s="98"/>
      <c r="J12" s="99"/>
      <c r="K12" s="105" t="s">
        <v>19</v>
      </c>
      <c r="L12" s="50"/>
      <c r="M12" s="104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45</v>
      </c>
      <c r="B13" s="62"/>
      <c r="C13" s="63"/>
      <c r="D13" s="64"/>
      <c r="E13" s="65"/>
      <c r="F13" s="106"/>
      <c r="G13" s="106"/>
      <c r="H13" s="107"/>
      <c r="I13" s="98"/>
      <c r="J13" s="99"/>
      <c r="K13" s="105" t="s">
        <v>19</v>
      </c>
      <c r="L13" s="50"/>
      <c r="M13" s="10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62"/>
      <c r="C14" s="63"/>
      <c r="D14" s="64"/>
      <c r="E14" s="65"/>
      <c r="F14" s="106"/>
      <c r="G14" s="106"/>
      <c r="H14" s="107"/>
      <c r="I14" s="98"/>
      <c r="J14" s="99"/>
      <c r="K14" s="105" t="s">
        <v>19</v>
      </c>
      <c r="L14" s="50"/>
      <c r="M14" s="104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2"/>
      <c r="C15" s="63"/>
      <c r="D15" s="64"/>
      <c r="E15" s="65"/>
      <c r="F15" s="106"/>
      <c r="G15" s="106"/>
      <c r="H15" s="107"/>
      <c r="I15" s="98"/>
      <c r="J15" s="99"/>
      <c r="K15" s="105" t="s">
        <v>19</v>
      </c>
      <c r="L15" s="50"/>
      <c r="M15" s="104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62"/>
      <c r="C16" s="63"/>
      <c r="D16" s="64"/>
      <c r="E16" s="65"/>
      <c r="F16" s="106"/>
      <c r="G16" s="106"/>
      <c r="H16" s="107"/>
      <c r="I16" s="98"/>
      <c r="J16" s="99"/>
      <c r="K16" s="105" t="s">
        <v>19</v>
      </c>
      <c r="L16" s="50"/>
      <c r="M16" s="104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62"/>
      <c r="C17" s="63"/>
      <c r="D17" s="64"/>
      <c r="E17" s="65"/>
      <c r="F17" s="106"/>
      <c r="G17" s="106"/>
      <c r="H17" s="107"/>
      <c r="I17" s="98"/>
      <c r="J17" s="99"/>
      <c r="K17" s="105" t="s">
        <v>19</v>
      </c>
      <c r="L17" s="50"/>
      <c r="M17" s="104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62"/>
      <c r="C18" s="63"/>
      <c r="D18" s="64"/>
      <c r="E18" s="65"/>
      <c r="F18" s="106"/>
      <c r="G18" s="106"/>
      <c r="H18" s="107"/>
      <c r="I18" s="98"/>
      <c r="J18" s="99"/>
      <c r="K18" s="105" t="s">
        <v>19</v>
      </c>
      <c r="L18" s="50"/>
      <c r="M18" s="104" t="s">
        <v>50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51</v>
      </c>
      <c r="B19" s="62"/>
      <c r="C19" s="63"/>
      <c r="D19" s="64"/>
      <c r="E19" s="65"/>
      <c r="F19" s="102"/>
      <c r="G19" s="102"/>
      <c r="H19" s="103"/>
      <c r="I19" s="98"/>
      <c r="J19" s="99"/>
      <c r="K19" s="105"/>
      <c r="L19" s="50"/>
      <c r="M19" s="104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79" t="s">
        <v>52</v>
      </c>
      <c r="B20" s="62"/>
      <c r="C20" s="63"/>
      <c r="D20" s="64"/>
      <c r="E20" s="65"/>
      <c r="F20" s="108"/>
      <c r="G20" s="106"/>
      <c r="H20" s="109"/>
      <c r="I20" s="98"/>
      <c r="J20" s="110"/>
      <c r="K20" s="111"/>
      <c r="L20" s="60"/>
      <c r="M20" s="10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20000</v>
      </c>
      <c r="G21" s="75">
        <f t="shared" si="1"/>
        <v>0</v>
      </c>
      <c r="H21" s="75">
        <f t="shared" si="1"/>
        <v>2500</v>
      </c>
      <c r="I21" s="75">
        <f t="shared" si="1"/>
        <v>0</v>
      </c>
      <c r="J21" s="75">
        <f t="shared" si="1"/>
        <v>35</v>
      </c>
      <c r="K21" s="76"/>
      <c r="L21" s="76"/>
      <c r="M21" s="77"/>
    </row>
    <row r="22" ht="48.0" customHeight="1">
      <c r="F22" s="78">
        <f>F21+G21+H21+I21+J21</f>
        <v>22535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46148.0</v>
      </c>
      <c r="C4" s="18" t="s">
        <v>100</v>
      </c>
      <c r="D4" s="122">
        <v>36555.0</v>
      </c>
      <c r="E4" s="123" t="s">
        <v>101</v>
      </c>
      <c r="F4" s="134">
        <v>4500.0</v>
      </c>
      <c r="G4" s="135"/>
      <c r="H4" s="136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46149.0</v>
      </c>
      <c r="C5" s="18" t="s">
        <v>102</v>
      </c>
      <c r="D5" s="122">
        <v>47787.0</v>
      </c>
      <c r="E5" s="123" t="s">
        <v>61</v>
      </c>
      <c r="F5" s="137">
        <v>10000.0</v>
      </c>
      <c r="G5" s="135"/>
      <c r="H5" s="135"/>
      <c r="I5" s="135"/>
      <c r="J5" s="91"/>
      <c r="K5" s="100" t="s">
        <v>59</v>
      </c>
      <c r="L5" s="88"/>
      <c r="M5" s="93" t="s">
        <v>37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46149.0</v>
      </c>
      <c r="C6" s="18" t="s">
        <v>103</v>
      </c>
      <c r="D6" s="122">
        <v>115390.0</v>
      </c>
      <c r="E6" s="123" t="s">
        <v>104</v>
      </c>
      <c r="F6" s="134"/>
      <c r="G6" s="134">
        <v>4600.0</v>
      </c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46149.0</v>
      </c>
      <c r="C7" s="18" t="s">
        <v>105</v>
      </c>
      <c r="D7" s="122">
        <v>119545.0</v>
      </c>
      <c r="E7" s="123" t="s">
        <v>106</v>
      </c>
      <c r="F7" s="135"/>
      <c r="G7" s="135"/>
      <c r="H7" s="137">
        <v>300.0</v>
      </c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/>
      <c r="C8" s="113"/>
      <c r="D8" s="114"/>
      <c r="E8" s="115"/>
      <c r="F8" s="140"/>
      <c r="G8" s="140"/>
      <c r="H8" s="140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52"/>
      <c r="C9" s="42"/>
      <c r="D9" s="43"/>
      <c r="E9" s="101"/>
      <c r="F9" s="106"/>
      <c r="G9" s="106"/>
      <c r="H9" s="141"/>
      <c r="I9" s="98"/>
      <c r="J9" s="99"/>
      <c r="K9" s="105"/>
      <c r="L9" s="50"/>
      <c r="M9" s="1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/>
      <c r="B10" s="62"/>
      <c r="C10" s="63"/>
      <c r="D10" s="64"/>
      <c r="E10" s="65"/>
      <c r="F10" s="106"/>
      <c r="G10" s="106"/>
      <c r="H10" s="107"/>
      <c r="I10" s="98"/>
      <c r="J10" s="99"/>
      <c r="K10" s="105"/>
      <c r="L10" s="50"/>
      <c r="M10" s="104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62"/>
      <c r="C11" s="63"/>
      <c r="D11" s="64"/>
      <c r="E11" s="65"/>
      <c r="F11" s="106"/>
      <c r="G11" s="106"/>
      <c r="H11" s="107"/>
      <c r="I11" s="98"/>
      <c r="J11" s="99"/>
      <c r="K11" s="105"/>
      <c r="L11" s="50"/>
      <c r="M11" s="10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62"/>
      <c r="C12" s="63"/>
      <c r="D12" s="64"/>
      <c r="E12" s="65"/>
      <c r="F12" s="106"/>
      <c r="G12" s="106"/>
      <c r="H12" s="107"/>
      <c r="I12" s="98"/>
      <c r="J12" s="99"/>
      <c r="K12" s="105" t="s">
        <v>19</v>
      </c>
      <c r="L12" s="50"/>
      <c r="M12" s="104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45</v>
      </c>
      <c r="B13" s="62"/>
      <c r="C13" s="63"/>
      <c r="D13" s="64"/>
      <c r="E13" s="65"/>
      <c r="F13" s="106"/>
      <c r="G13" s="106"/>
      <c r="H13" s="107"/>
      <c r="I13" s="98"/>
      <c r="J13" s="99"/>
      <c r="K13" s="105" t="s">
        <v>19</v>
      </c>
      <c r="L13" s="50"/>
      <c r="M13" s="10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62"/>
      <c r="C14" s="63"/>
      <c r="D14" s="64"/>
      <c r="E14" s="65"/>
      <c r="F14" s="106"/>
      <c r="G14" s="106"/>
      <c r="H14" s="107"/>
      <c r="I14" s="98"/>
      <c r="J14" s="99"/>
      <c r="K14" s="105" t="s">
        <v>19</v>
      </c>
      <c r="L14" s="50"/>
      <c r="M14" s="104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2"/>
      <c r="C15" s="63"/>
      <c r="D15" s="64"/>
      <c r="E15" s="65"/>
      <c r="F15" s="106"/>
      <c r="G15" s="106"/>
      <c r="H15" s="107"/>
      <c r="I15" s="98"/>
      <c r="J15" s="99"/>
      <c r="K15" s="105" t="s">
        <v>19</v>
      </c>
      <c r="L15" s="50"/>
      <c r="M15" s="104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62"/>
      <c r="C16" s="63"/>
      <c r="D16" s="64"/>
      <c r="E16" s="65"/>
      <c r="F16" s="106"/>
      <c r="G16" s="106"/>
      <c r="H16" s="107"/>
      <c r="I16" s="98"/>
      <c r="J16" s="99"/>
      <c r="K16" s="105" t="s">
        <v>19</v>
      </c>
      <c r="L16" s="50"/>
      <c r="M16" s="104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62"/>
      <c r="C17" s="63"/>
      <c r="D17" s="64"/>
      <c r="E17" s="65"/>
      <c r="F17" s="106"/>
      <c r="G17" s="106"/>
      <c r="H17" s="107"/>
      <c r="I17" s="98"/>
      <c r="J17" s="99"/>
      <c r="K17" s="105" t="s">
        <v>19</v>
      </c>
      <c r="L17" s="50"/>
      <c r="M17" s="104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62"/>
      <c r="C18" s="63"/>
      <c r="D18" s="64"/>
      <c r="E18" s="65"/>
      <c r="F18" s="106"/>
      <c r="G18" s="106"/>
      <c r="H18" s="107"/>
      <c r="I18" s="98"/>
      <c r="J18" s="99"/>
      <c r="K18" s="105" t="s">
        <v>19</v>
      </c>
      <c r="L18" s="50"/>
      <c r="M18" s="104" t="s">
        <v>50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51</v>
      </c>
      <c r="B19" s="62"/>
      <c r="C19" s="63"/>
      <c r="D19" s="64"/>
      <c r="E19" s="65"/>
      <c r="F19" s="102"/>
      <c r="G19" s="102"/>
      <c r="H19" s="103"/>
      <c r="I19" s="98"/>
      <c r="J19" s="99"/>
      <c r="K19" s="105"/>
      <c r="L19" s="50"/>
      <c r="M19" s="104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79" t="s">
        <v>52</v>
      </c>
      <c r="B20" s="62"/>
      <c r="C20" s="63"/>
      <c r="D20" s="64"/>
      <c r="E20" s="65"/>
      <c r="F20" s="108"/>
      <c r="G20" s="106"/>
      <c r="H20" s="109"/>
      <c r="I20" s="98"/>
      <c r="J20" s="110"/>
      <c r="K20" s="111"/>
      <c r="L20" s="60"/>
      <c r="M20" s="10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14500</v>
      </c>
      <c r="G21" s="75">
        <f t="shared" si="1"/>
        <v>4600</v>
      </c>
      <c r="H21" s="75">
        <f t="shared" si="1"/>
        <v>300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19400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46149.0</v>
      </c>
      <c r="C4" s="18" t="s">
        <v>108</v>
      </c>
      <c r="D4" s="122">
        <v>115134.0</v>
      </c>
      <c r="E4" s="123" t="s">
        <v>109</v>
      </c>
      <c r="F4" s="134"/>
      <c r="G4" s="134">
        <v>300.0</v>
      </c>
      <c r="H4" s="136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46149.0</v>
      </c>
      <c r="C5" s="18" t="s">
        <v>110</v>
      </c>
      <c r="D5" s="122">
        <v>115134.0</v>
      </c>
      <c r="E5" s="123" t="s">
        <v>109</v>
      </c>
      <c r="F5" s="137"/>
      <c r="G5" s="134">
        <v>300.0</v>
      </c>
      <c r="H5" s="135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46149.0</v>
      </c>
      <c r="C6" s="18" t="s">
        <v>111</v>
      </c>
      <c r="D6" s="122">
        <v>115134.0</v>
      </c>
      <c r="E6" s="123" t="s">
        <v>109</v>
      </c>
      <c r="F6" s="134"/>
      <c r="G6" s="134">
        <v>300.0</v>
      </c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46149.0</v>
      </c>
      <c r="C7" s="18" t="s">
        <v>112</v>
      </c>
      <c r="D7" s="122">
        <v>115134.0</v>
      </c>
      <c r="E7" s="123" t="s">
        <v>109</v>
      </c>
      <c r="F7" s="135"/>
      <c r="G7" s="134">
        <v>300.0</v>
      </c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46149.0</v>
      </c>
      <c r="C8" s="113" t="s">
        <v>113</v>
      </c>
      <c r="D8" s="114">
        <v>115134.0</v>
      </c>
      <c r="E8" s="115" t="s">
        <v>109</v>
      </c>
      <c r="F8" s="140"/>
      <c r="G8" s="142">
        <v>300.0</v>
      </c>
      <c r="H8" s="140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46149.0</v>
      </c>
      <c r="C9" s="42" t="s">
        <v>114</v>
      </c>
      <c r="D9" s="43">
        <v>115134.0</v>
      </c>
      <c r="E9" s="101" t="s">
        <v>109</v>
      </c>
      <c r="F9" s="106"/>
      <c r="G9" s="143">
        <v>300.0</v>
      </c>
      <c r="H9" s="141"/>
      <c r="I9" s="98"/>
      <c r="J9" s="99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>
        <v>46149.0</v>
      </c>
      <c r="C10" s="42" t="s">
        <v>115</v>
      </c>
      <c r="D10" s="43">
        <v>115134.0</v>
      </c>
      <c r="E10" s="101" t="s">
        <v>109</v>
      </c>
      <c r="F10" s="106"/>
      <c r="G10" s="143">
        <v>300.0</v>
      </c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>
        <v>46150.0</v>
      </c>
      <c r="C11" s="42" t="s">
        <v>116</v>
      </c>
      <c r="D11" s="43">
        <v>83957.0</v>
      </c>
      <c r="E11" s="101" t="s">
        <v>117</v>
      </c>
      <c r="F11" s="143">
        <v>550.0</v>
      </c>
      <c r="G11" s="106"/>
      <c r="H11" s="107"/>
      <c r="I11" s="98"/>
      <c r="J11" s="99"/>
      <c r="K11" s="100" t="s">
        <v>19</v>
      </c>
      <c r="L11" s="50"/>
      <c r="M11" s="128" t="s">
        <v>50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>
        <v>46150.0</v>
      </c>
      <c r="C12" s="42" t="s">
        <v>118</v>
      </c>
      <c r="D12" s="43">
        <v>119588.0</v>
      </c>
      <c r="E12" s="101" t="s">
        <v>119</v>
      </c>
      <c r="F12" s="106"/>
      <c r="G12" s="106"/>
      <c r="H12" s="141">
        <v>9300.0</v>
      </c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 t="s">
        <v>45</v>
      </c>
      <c r="B13" s="52">
        <v>46150.0</v>
      </c>
      <c r="C13" s="42" t="s">
        <v>120</v>
      </c>
      <c r="D13" s="43">
        <v>119586.0</v>
      </c>
      <c r="E13" s="101" t="s">
        <v>121</v>
      </c>
      <c r="F13" s="106"/>
      <c r="G13" s="106"/>
      <c r="H13" s="141">
        <v>2950.0</v>
      </c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79" t="s">
        <v>46</v>
      </c>
      <c r="B14" s="52">
        <v>46150.0</v>
      </c>
      <c r="C14" s="42" t="s">
        <v>122</v>
      </c>
      <c r="D14" s="43">
        <v>119592.0</v>
      </c>
      <c r="E14" s="101" t="s">
        <v>123</v>
      </c>
      <c r="F14" s="106"/>
      <c r="G14" s="106"/>
      <c r="H14" s="141">
        <v>2950.0</v>
      </c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47</v>
      </c>
      <c r="B15" s="52">
        <v>46150.0</v>
      </c>
      <c r="C15" s="42" t="s">
        <v>124</v>
      </c>
      <c r="D15" s="43">
        <v>119581.0</v>
      </c>
      <c r="E15" s="101" t="s">
        <v>125</v>
      </c>
      <c r="F15" s="106"/>
      <c r="G15" s="106"/>
      <c r="H15" s="141">
        <v>2950.0</v>
      </c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79" t="s">
        <v>48</v>
      </c>
      <c r="B16" s="52">
        <v>46150.0</v>
      </c>
      <c r="C16" s="42" t="s">
        <v>126</v>
      </c>
      <c r="D16" s="43">
        <v>119584.0</v>
      </c>
      <c r="E16" s="101" t="s">
        <v>127</v>
      </c>
      <c r="F16" s="106"/>
      <c r="G16" s="106"/>
      <c r="H16" s="141">
        <v>5450.0</v>
      </c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64</v>
      </c>
      <c r="B17" s="52">
        <v>46150.0</v>
      </c>
      <c r="C17" s="42" t="s">
        <v>128</v>
      </c>
      <c r="D17" s="43">
        <v>27880.0</v>
      </c>
      <c r="E17" s="101" t="s">
        <v>129</v>
      </c>
      <c r="F17" s="143">
        <v>4500.0</v>
      </c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79" t="s">
        <v>49</v>
      </c>
      <c r="B18" s="52">
        <v>46150.0</v>
      </c>
      <c r="C18" s="42" t="s">
        <v>130</v>
      </c>
      <c r="D18" s="43">
        <v>119594.0</v>
      </c>
      <c r="E18" s="101" t="s">
        <v>131</v>
      </c>
      <c r="F18" s="106"/>
      <c r="G18" s="106"/>
      <c r="H18" s="141">
        <v>2950.0</v>
      </c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79" t="s">
        <v>51</v>
      </c>
      <c r="B19" s="52">
        <v>46150.0</v>
      </c>
      <c r="C19" s="42" t="s">
        <v>132</v>
      </c>
      <c r="D19" s="43">
        <v>27880.0</v>
      </c>
      <c r="E19" s="101" t="s">
        <v>129</v>
      </c>
      <c r="F19" s="96">
        <v>5140.0</v>
      </c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 t="s">
        <v>52</v>
      </c>
      <c r="B20" s="52">
        <v>46150.0</v>
      </c>
      <c r="C20" s="42" t="s">
        <v>133</v>
      </c>
      <c r="D20" s="43">
        <v>87820.0</v>
      </c>
      <c r="E20" s="101" t="s">
        <v>134</v>
      </c>
      <c r="F20" s="96">
        <v>5100.0</v>
      </c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9" t="s">
        <v>53</v>
      </c>
      <c r="B21" s="52">
        <v>46150.0</v>
      </c>
      <c r="C21" s="42" t="s">
        <v>135</v>
      </c>
      <c r="D21" s="43">
        <v>55555.0</v>
      </c>
      <c r="E21" s="101" t="s">
        <v>136</v>
      </c>
      <c r="F21" s="102"/>
      <c r="G21" s="96">
        <v>3540.0</v>
      </c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75">
        <f t="shared" ref="F33:J33" si="1">SUM(F4:F32)</f>
        <v>15290</v>
      </c>
      <c r="G33" s="75">
        <f t="shared" si="1"/>
        <v>5640</v>
      </c>
      <c r="H33" s="75">
        <f t="shared" si="1"/>
        <v>26550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47480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46151.0</v>
      </c>
      <c r="C4" s="18" t="s">
        <v>149</v>
      </c>
      <c r="D4" s="122">
        <v>62780.0</v>
      </c>
      <c r="E4" s="123" t="s">
        <v>150</v>
      </c>
      <c r="F4" s="134"/>
      <c r="G4" s="134"/>
      <c r="H4" s="144">
        <v>5100.0</v>
      </c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46151.0</v>
      </c>
      <c r="C5" s="18" t="s">
        <v>151</v>
      </c>
      <c r="D5" s="122">
        <v>51017.0</v>
      </c>
      <c r="E5" s="123" t="s">
        <v>94</v>
      </c>
      <c r="F5" s="137">
        <v>5000.0</v>
      </c>
      <c r="G5" s="134"/>
      <c r="H5" s="135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46151.0</v>
      </c>
      <c r="C6" s="18" t="s">
        <v>152</v>
      </c>
      <c r="D6" s="122">
        <v>111100.0</v>
      </c>
      <c r="E6" s="123" t="s">
        <v>153</v>
      </c>
      <c r="F6" s="134"/>
      <c r="G6" s="134">
        <v>2950.0</v>
      </c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30" t="s">
        <v>27</v>
      </c>
      <c r="B7" s="121"/>
      <c r="C7" s="18"/>
      <c r="D7" s="122"/>
      <c r="E7" s="123"/>
      <c r="F7" s="135"/>
      <c r="G7" s="134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79" t="s">
        <v>30</v>
      </c>
      <c r="B8" s="112"/>
      <c r="C8" s="113"/>
      <c r="D8" s="114"/>
      <c r="E8" s="115"/>
      <c r="F8" s="140"/>
      <c r="G8" s="142"/>
      <c r="H8" s="140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9" t="s">
        <v>33</v>
      </c>
      <c r="B9" s="52"/>
      <c r="C9" s="42"/>
      <c r="D9" s="43"/>
      <c r="E9" s="101"/>
      <c r="F9" s="106"/>
      <c r="G9" s="143"/>
      <c r="H9" s="141"/>
      <c r="I9" s="98"/>
      <c r="J9" s="99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30" t="s">
        <v>38</v>
      </c>
      <c r="B10" s="52"/>
      <c r="C10" s="42"/>
      <c r="D10" s="43"/>
      <c r="E10" s="101"/>
      <c r="F10" s="106"/>
      <c r="G10" s="143"/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9" t="s">
        <v>41</v>
      </c>
      <c r="B11" s="52"/>
      <c r="C11" s="42"/>
      <c r="D11" s="43"/>
      <c r="E11" s="101"/>
      <c r="F11" s="143"/>
      <c r="G11" s="106"/>
      <c r="H11" s="107"/>
      <c r="I11" s="98"/>
      <c r="J11" s="99"/>
      <c r="K11" s="100" t="s">
        <v>19</v>
      </c>
      <c r="L11" s="50"/>
      <c r="M11" s="128" t="s">
        <v>50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44</v>
      </c>
      <c r="B12" s="52"/>
      <c r="C12" s="42"/>
      <c r="D12" s="43"/>
      <c r="E12" s="101"/>
      <c r="F12" s="106"/>
      <c r="G12" s="106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30"/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75">
        <f t="shared" ref="F33:J33" si="1">SUM(F4:F32)</f>
        <v>5000</v>
      </c>
      <c r="G33" s="75">
        <f t="shared" si="1"/>
        <v>2950</v>
      </c>
      <c r="H33" s="75">
        <f t="shared" si="1"/>
        <v>5100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13050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46152.0</v>
      </c>
      <c r="C4" s="18" t="s">
        <v>155</v>
      </c>
      <c r="D4" s="122">
        <v>47787.0</v>
      </c>
      <c r="E4" s="123" t="s">
        <v>61</v>
      </c>
      <c r="F4" s="134">
        <v>10000.0</v>
      </c>
      <c r="G4" s="134"/>
      <c r="H4" s="144"/>
      <c r="I4" s="135"/>
      <c r="J4" s="86"/>
      <c r="K4" s="100" t="s">
        <v>59</v>
      </c>
      <c r="L4" s="88"/>
      <c r="M4" s="120" t="s">
        <v>37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46152.0</v>
      </c>
      <c r="C5" s="18" t="s">
        <v>156</v>
      </c>
      <c r="D5" s="122">
        <v>69346.0</v>
      </c>
      <c r="E5" s="123" t="s">
        <v>157</v>
      </c>
      <c r="F5" s="137">
        <v>6750.0</v>
      </c>
      <c r="G5" s="134"/>
      <c r="H5" s="135"/>
      <c r="I5" s="135"/>
      <c r="J5" s="91"/>
      <c r="K5" s="100" t="s">
        <v>19</v>
      </c>
      <c r="L5" s="88"/>
      <c r="M5" s="93" t="s">
        <v>50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46152.0</v>
      </c>
      <c r="C6" s="18" t="s">
        <v>158</v>
      </c>
      <c r="D6" s="122">
        <v>119695.0</v>
      </c>
      <c r="E6" s="123" t="s">
        <v>159</v>
      </c>
      <c r="F6" s="134"/>
      <c r="G6" s="134">
        <v>2400.0</v>
      </c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46152.0</v>
      </c>
      <c r="C7" s="18" t="s">
        <v>160</v>
      </c>
      <c r="D7" s="122">
        <v>22341.0</v>
      </c>
      <c r="E7" s="123" t="s">
        <v>161</v>
      </c>
      <c r="F7" s="135"/>
      <c r="G7" s="134"/>
      <c r="H7" s="137"/>
      <c r="I7" s="135"/>
      <c r="J7" s="127">
        <v>35.0</v>
      </c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46152.0</v>
      </c>
      <c r="C8" s="113" t="s">
        <v>162</v>
      </c>
      <c r="D8" s="114">
        <v>45096.0</v>
      </c>
      <c r="E8" s="115" t="s">
        <v>163</v>
      </c>
      <c r="F8" s="140"/>
      <c r="G8" s="142"/>
      <c r="H8" s="140"/>
      <c r="I8" s="140"/>
      <c r="J8" s="127">
        <v>35.0</v>
      </c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46152.0</v>
      </c>
      <c r="C9" s="42" t="s">
        <v>164</v>
      </c>
      <c r="D9" s="43">
        <v>35245.0</v>
      </c>
      <c r="E9" s="101" t="s">
        <v>80</v>
      </c>
      <c r="F9" s="106"/>
      <c r="G9" s="143"/>
      <c r="H9" s="141"/>
      <c r="I9" s="98"/>
      <c r="J9" s="127">
        <v>23.0</v>
      </c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30" t="s">
        <v>38</v>
      </c>
      <c r="B10" s="52"/>
      <c r="C10" s="42"/>
      <c r="D10" s="43"/>
      <c r="E10" s="101"/>
      <c r="F10" s="106"/>
      <c r="G10" s="143"/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9" t="s">
        <v>41</v>
      </c>
      <c r="B11" s="52"/>
      <c r="C11" s="42"/>
      <c r="D11" s="43"/>
      <c r="E11" s="101"/>
      <c r="F11" s="143"/>
      <c r="G11" s="106"/>
      <c r="H11" s="107"/>
      <c r="I11" s="98"/>
      <c r="J11" s="99"/>
      <c r="K11" s="100" t="s">
        <v>19</v>
      </c>
      <c r="L11" s="50"/>
      <c r="M11" s="128" t="s">
        <v>50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44</v>
      </c>
      <c r="B12" s="52"/>
      <c r="C12" s="42"/>
      <c r="D12" s="43"/>
      <c r="E12" s="101"/>
      <c r="F12" s="106"/>
      <c r="G12" s="106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16750</v>
      </c>
      <c r="G33" s="146">
        <f t="shared" si="1"/>
        <v>2400</v>
      </c>
      <c r="H33" s="75">
        <f t="shared" si="1"/>
        <v>0</v>
      </c>
      <c r="I33" s="75">
        <f t="shared" si="1"/>
        <v>0</v>
      </c>
      <c r="J33" s="75">
        <f t="shared" si="1"/>
        <v>93</v>
      </c>
      <c r="K33" s="76"/>
      <c r="L33" s="76"/>
      <c r="M33" s="77"/>
    </row>
    <row r="34" ht="48.0" customHeight="1">
      <c r="F34" s="78">
        <f>F33+G33+H33+I33+J33</f>
        <v>19243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46152.0</v>
      </c>
      <c r="C4" s="18" t="s">
        <v>166</v>
      </c>
      <c r="D4" s="122">
        <v>117981.0</v>
      </c>
      <c r="E4" s="123" t="s">
        <v>167</v>
      </c>
      <c r="F4" s="134">
        <v>2500.0</v>
      </c>
      <c r="G4" s="134"/>
      <c r="H4" s="144"/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46152.0</v>
      </c>
      <c r="C5" s="18" t="s">
        <v>168</v>
      </c>
      <c r="D5" s="122">
        <v>10826.0</v>
      </c>
      <c r="E5" s="123" t="s">
        <v>169</v>
      </c>
      <c r="F5" s="137"/>
      <c r="G5" s="134">
        <v>2400.0</v>
      </c>
      <c r="H5" s="135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46153.0</v>
      </c>
      <c r="C6" s="18" t="s">
        <v>170</v>
      </c>
      <c r="D6" s="122">
        <v>43380.0</v>
      </c>
      <c r="E6" s="123" t="s">
        <v>171</v>
      </c>
      <c r="F6" s="134">
        <v>15200.0</v>
      </c>
      <c r="G6" s="134"/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46153.0</v>
      </c>
      <c r="C7" s="18" t="s">
        <v>172</v>
      </c>
      <c r="D7" s="122">
        <v>43380.0</v>
      </c>
      <c r="E7" s="123" t="s">
        <v>171</v>
      </c>
      <c r="F7" s="134">
        <v>600.0</v>
      </c>
      <c r="G7" s="134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46153.0</v>
      </c>
      <c r="C8" s="113" t="s">
        <v>173</v>
      </c>
      <c r="D8" s="114">
        <v>19688.0</v>
      </c>
      <c r="E8" s="115" t="s">
        <v>174</v>
      </c>
      <c r="F8" s="140"/>
      <c r="G8" s="142"/>
      <c r="H8" s="140"/>
      <c r="I8" s="140"/>
      <c r="J8" s="127">
        <v>35.0</v>
      </c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46153.0</v>
      </c>
      <c r="C9" s="42" t="s">
        <v>175</v>
      </c>
      <c r="D9" s="43">
        <v>36555.0</v>
      </c>
      <c r="E9" s="101" t="s">
        <v>101</v>
      </c>
      <c r="F9" s="143">
        <v>8450.0</v>
      </c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>
        <v>46153.0</v>
      </c>
      <c r="C10" s="42" t="s">
        <v>176</v>
      </c>
      <c r="D10" s="43">
        <v>21818.0</v>
      </c>
      <c r="E10" s="101" t="s">
        <v>177</v>
      </c>
      <c r="F10" s="106"/>
      <c r="G10" s="143">
        <v>4500.0</v>
      </c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>
        <v>46153.0</v>
      </c>
      <c r="C11" s="42" t="s">
        <v>178</v>
      </c>
      <c r="D11" s="43">
        <v>21928.0</v>
      </c>
      <c r="E11" s="101" t="s">
        <v>179</v>
      </c>
      <c r="F11" s="143"/>
      <c r="G11" s="143">
        <v>4500.0</v>
      </c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>
        <v>46153.0</v>
      </c>
      <c r="C12" s="42" t="s">
        <v>180</v>
      </c>
      <c r="D12" s="43">
        <v>38299.0</v>
      </c>
      <c r="E12" s="101" t="s">
        <v>181</v>
      </c>
      <c r="F12" s="106"/>
      <c r="G12" s="143">
        <v>3600.0</v>
      </c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26750</v>
      </c>
      <c r="G33" s="146">
        <f t="shared" si="1"/>
        <v>15000</v>
      </c>
      <c r="H33" s="75">
        <f t="shared" si="1"/>
        <v>0</v>
      </c>
      <c r="I33" s="75">
        <f t="shared" si="1"/>
        <v>0</v>
      </c>
      <c r="J33" s="75">
        <f t="shared" si="1"/>
        <v>35</v>
      </c>
      <c r="K33" s="76"/>
      <c r="L33" s="76"/>
      <c r="M33" s="77"/>
    </row>
    <row r="34" ht="48.0" customHeight="1">
      <c r="F34" s="78">
        <f>F33+G33+H33+I33+J33</f>
        <v>41785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46154.0</v>
      </c>
      <c r="C4" s="18" t="s">
        <v>183</v>
      </c>
      <c r="D4" s="122">
        <v>50596.0</v>
      </c>
      <c r="E4" s="123" t="s">
        <v>184</v>
      </c>
      <c r="F4" s="147">
        <v>2900.0</v>
      </c>
      <c r="G4" s="134"/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46154.0</v>
      </c>
      <c r="C5" s="18" t="s">
        <v>185</v>
      </c>
      <c r="D5" s="122">
        <v>118823.0</v>
      </c>
      <c r="E5" s="123" t="s">
        <v>186</v>
      </c>
      <c r="F5" s="148">
        <v>2600.0</v>
      </c>
      <c r="G5" s="134"/>
      <c r="H5" s="135"/>
      <c r="I5" s="135"/>
      <c r="J5" s="91"/>
      <c r="K5" s="100" t="s">
        <v>19</v>
      </c>
      <c r="L5" s="88"/>
      <c r="M5" s="93" t="s">
        <v>50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/>
      <c r="C6" s="18"/>
      <c r="D6" s="122"/>
      <c r="E6" s="123"/>
      <c r="F6" s="134"/>
      <c r="G6" s="134"/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/>
      <c r="C7" s="18"/>
      <c r="D7" s="122"/>
      <c r="E7" s="123"/>
      <c r="F7" s="134"/>
      <c r="G7" s="134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/>
      <c r="C8" s="113"/>
      <c r="D8" s="114"/>
      <c r="E8" s="115"/>
      <c r="F8" s="140"/>
      <c r="G8" s="142"/>
      <c r="H8" s="140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/>
      <c r="C10" s="42"/>
      <c r="D10" s="43"/>
      <c r="E10" s="101"/>
      <c r="F10" s="106"/>
      <c r="G10" s="143"/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5500</v>
      </c>
      <c r="G33" s="146">
        <f t="shared" si="1"/>
        <v>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5500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46155.0</v>
      </c>
      <c r="C4" s="18" t="s">
        <v>188</v>
      </c>
      <c r="D4" s="122">
        <v>52669.0</v>
      </c>
      <c r="E4" s="123" t="s">
        <v>35</v>
      </c>
      <c r="F4" s="147">
        <v>25200.0</v>
      </c>
      <c r="G4" s="134"/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46155.0</v>
      </c>
      <c r="C5" s="18" t="s">
        <v>189</v>
      </c>
      <c r="D5" s="122">
        <v>47787.0</v>
      </c>
      <c r="E5" s="123" t="s">
        <v>61</v>
      </c>
      <c r="F5" s="148">
        <v>14500.0</v>
      </c>
      <c r="G5" s="134"/>
      <c r="H5" s="135"/>
      <c r="I5" s="135"/>
      <c r="J5" s="91"/>
      <c r="K5" s="100" t="s">
        <v>59</v>
      </c>
      <c r="L5" s="88"/>
      <c r="M5" s="93" t="s">
        <v>37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46155.0</v>
      </c>
      <c r="C6" s="18" t="s">
        <v>190</v>
      </c>
      <c r="D6" s="122">
        <v>47787.0</v>
      </c>
      <c r="E6" s="123" t="s">
        <v>61</v>
      </c>
      <c r="F6" s="134">
        <v>250.0</v>
      </c>
      <c r="G6" s="134"/>
      <c r="H6" s="138"/>
      <c r="I6" s="135"/>
      <c r="J6" s="127"/>
      <c r="K6" s="100" t="s">
        <v>59</v>
      </c>
      <c r="L6" s="88"/>
      <c r="M6" s="93" t="s">
        <v>37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46155.0</v>
      </c>
      <c r="C7" s="18" t="s">
        <v>191</v>
      </c>
      <c r="D7" s="122">
        <v>15837.0</v>
      </c>
      <c r="E7" s="123" t="s">
        <v>192</v>
      </c>
      <c r="F7" s="134"/>
      <c r="G7" s="134"/>
      <c r="H7" s="137"/>
      <c r="I7" s="135"/>
      <c r="J7" s="127">
        <v>70.0</v>
      </c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79" t="s">
        <v>30</v>
      </c>
      <c r="B8" s="112"/>
      <c r="C8" s="113"/>
      <c r="D8" s="114"/>
      <c r="E8" s="115"/>
      <c r="F8" s="140"/>
      <c r="G8" s="142"/>
      <c r="H8" s="140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30" t="s">
        <v>38</v>
      </c>
      <c r="B10" s="52"/>
      <c r="C10" s="42"/>
      <c r="D10" s="43"/>
      <c r="E10" s="101"/>
      <c r="F10" s="106"/>
      <c r="G10" s="143"/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39950</v>
      </c>
      <c r="G33" s="146">
        <f t="shared" si="1"/>
        <v>0</v>
      </c>
      <c r="H33" s="75">
        <f t="shared" si="1"/>
        <v>0</v>
      </c>
      <c r="I33" s="75">
        <f t="shared" si="1"/>
        <v>0</v>
      </c>
      <c r="J33" s="75">
        <f t="shared" si="1"/>
        <v>70</v>
      </c>
      <c r="K33" s="76"/>
      <c r="L33" s="76"/>
      <c r="M33" s="77"/>
    </row>
    <row r="34" ht="48.0" customHeight="1">
      <c r="F34" s="78">
        <f>F33+G33+H33+I33+J33</f>
        <v>40020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46156.0</v>
      </c>
      <c r="C4" s="18" t="s">
        <v>194</v>
      </c>
      <c r="D4" s="122">
        <v>47787.0</v>
      </c>
      <c r="E4" s="123" t="s">
        <v>61</v>
      </c>
      <c r="F4" s="147">
        <v>10000.0</v>
      </c>
      <c r="G4" s="134"/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46156.0</v>
      </c>
      <c r="C5" s="18" t="s">
        <v>195</v>
      </c>
      <c r="D5" s="122">
        <v>120086.0</v>
      </c>
      <c r="E5" s="123" t="s">
        <v>196</v>
      </c>
      <c r="F5" s="148"/>
      <c r="G5" s="134"/>
      <c r="H5" s="134">
        <v>350.0</v>
      </c>
      <c r="I5" s="135"/>
      <c r="J5" s="91"/>
      <c r="K5" s="100" t="s">
        <v>59</v>
      </c>
      <c r="L5" s="88"/>
      <c r="M5" s="93" t="s">
        <v>50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46156.0</v>
      </c>
      <c r="C6" s="18" t="s">
        <v>197</v>
      </c>
      <c r="D6" s="122">
        <v>51017.0</v>
      </c>
      <c r="E6" s="123" t="s">
        <v>94</v>
      </c>
      <c r="F6" s="134">
        <v>10000.0</v>
      </c>
      <c r="G6" s="134"/>
      <c r="H6" s="138"/>
      <c r="I6" s="135"/>
      <c r="J6" s="127"/>
      <c r="K6" s="100" t="s">
        <v>59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46156.0</v>
      </c>
      <c r="C7" s="18" t="s">
        <v>198</v>
      </c>
      <c r="D7" s="122">
        <v>48306.0</v>
      </c>
      <c r="E7" s="123" t="s">
        <v>199</v>
      </c>
      <c r="F7" s="134"/>
      <c r="G7" s="134">
        <v>2500.0</v>
      </c>
      <c r="H7" s="137"/>
      <c r="I7" s="135"/>
      <c r="J7" s="127"/>
      <c r="K7" s="100" t="s">
        <v>19</v>
      </c>
      <c r="L7" s="50"/>
      <c r="M7" s="93" t="s">
        <v>50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79" t="s">
        <v>30</v>
      </c>
      <c r="B8" s="112"/>
      <c r="C8" s="113"/>
      <c r="D8" s="114"/>
      <c r="E8" s="115"/>
      <c r="F8" s="140"/>
      <c r="G8" s="142"/>
      <c r="H8" s="140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30" t="s">
        <v>38</v>
      </c>
      <c r="B10" s="52"/>
      <c r="C10" s="42"/>
      <c r="D10" s="43"/>
      <c r="E10" s="101"/>
      <c r="F10" s="106"/>
      <c r="G10" s="143"/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20000</v>
      </c>
      <c r="G33" s="146">
        <f t="shared" si="1"/>
        <v>2500</v>
      </c>
      <c r="H33" s="75">
        <f t="shared" si="1"/>
        <v>350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22850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46156.0</v>
      </c>
      <c r="C4" s="18" t="s">
        <v>201</v>
      </c>
      <c r="D4" s="122">
        <v>114803.0</v>
      </c>
      <c r="E4" s="123" t="s">
        <v>202</v>
      </c>
      <c r="F4" s="147"/>
      <c r="G4" s="134">
        <v>2500.0</v>
      </c>
      <c r="H4" s="144"/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46156.0</v>
      </c>
      <c r="C5" s="18" t="s">
        <v>203</v>
      </c>
      <c r="D5" s="122">
        <v>120131.0</v>
      </c>
      <c r="E5" s="123" t="s">
        <v>204</v>
      </c>
      <c r="F5" s="148"/>
      <c r="G5" s="134"/>
      <c r="H5" s="134">
        <v>350.0</v>
      </c>
      <c r="I5" s="135"/>
      <c r="J5" s="91"/>
      <c r="K5" s="100" t="s">
        <v>19</v>
      </c>
      <c r="L5" s="88"/>
      <c r="M5" s="93" t="s">
        <v>50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46157.0</v>
      </c>
      <c r="C6" s="18" t="s">
        <v>205</v>
      </c>
      <c r="D6" s="122">
        <v>120180.0</v>
      </c>
      <c r="E6" s="123" t="s">
        <v>206</v>
      </c>
      <c r="F6" s="134">
        <v>2400.0</v>
      </c>
      <c r="G6" s="134"/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46157.0</v>
      </c>
      <c r="C7" s="18" t="s">
        <v>207</v>
      </c>
      <c r="D7" s="122">
        <v>47787.0</v>
      </c>
      <c r="E7" s="123" t="s">
        <v>61</v>
      </c>
      <c r="F7" s="134">
        <v>450.0</v>
      </c>
      <c r="G7" s="134"/>
      <c r="H7" s="137"/>
      <c r="I7" s="135"/>
      <c r="J7" s="127"/>
      <c r="K7" s="100" t="s">
        <v>59</v>
      </c>
      <c r="L7" s="50"/>
      <c r="M7" s="93" t="s">
        <v>208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46157.0</v>
      </c>
      <c r="C8" s="113" t="s">
        <v>209</v>
      </c>
      <c r="D8" s="114">
        <v>25650.0</v>
      </c>
      <c r="E8" s="115" t="s">
        <v>210</v>
      </c>
      <c r="F8" s="140"/>
      <c r="G8" s="142"/>
      <c r="H8" s="142">
        <v>6600.0</v>
      </c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46157.0</v>
      </c>
      <c r="C9" s="42" t="s">
        <v>211</v>
      </c>
      <c r="D9" s="43">
        <v>120131.0</v>
      </c>
      <c r="E9" s="101" t="s">
        <v>204</v>
      </c>
      <c r="F9" s="143"/>
      <c r="G9" s="143">
        <v>2400.0</v>
      </c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>
        <v>46157.0</v>
      </c>
      <c r="C10" s="42" t="s">
        <v>212</v>
      </c>
      <c r="D10" s="43">
        <v>68284.0</v>
      </c>
      <c r="E10" s="101" t="s">
        <v>43</v>
      </c>
      <c r="F10" s="143">
        <v>8020.0</v>
      </c>
      <c r="G10" s="143"/>
      <c r="H10" s="107"/>
      <c r="I10" s="98"/>
      <c r="J10" s="99"/>
      <c r="K10" s="100" t="s">
        <v>19</v>
      </c>
      <c r="L10" s="50"/>
      <c r="M10" s="128" t="s">
        <v>50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10870</v>
      </c>
      <c r="G33" s="146">
        <f t="shared" si="1"/>
        <v>4900</v>
      </c>
      <c r="H33" s="75">
        <f t="shared" si="1"/>
        <v>6950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22720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46158.0</v>
      </c>
      <c r="C4" s="18" t="s">
        <v>214</v>
      </c>
      <c r="D4" s="122">
        <v>47787.0</v>
      </c>
      <c r="E4" s="123" t="s">
        <v>61</v>
      </c>
      <c r="F4" s="147">
        <v>10000.0</v>
      </c>
      <c r="G4" s="134"/>
      <c r="H4" s="144"/>
      <c r="I4" s="135"/>
      <c r="J4" s="86"/>
      <c r="K4" s="100" t="s">
        <v>19</v>
      </c>
      <c r="L4" s="88"/>
      <c r="M4" s="120" t="s">
        <v>37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46158.0</v>
      </c>
      <c r="C5" s="18" t="s">
        <v>215</v>
      </c>
      <c r="D5" s="122">
        <v>52070.0</v>
      </c>
      <c r="E5" s="123" t="s">
        <v>216</v>
      </c>
      <c r="F5" s="148"/>
      <c r="G5" s="134">
        <v>2500.0</v>
      </c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/>
      <c r="C6" s="18"/>
      <c r="D6" s="122"/>
      <c r="E6" s="123"/>
      <c r="F6" s="134"/>
      <c r="G6" s="134"/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/>
      <c r="C7" s="18"/>
      <c r="D7" s="122"/>
      <c r="E7" s="123"/>
      <c r="F7" s="134"/>
      <c r="G7" s="134"/>
      <c r="H7" s="137"/>
      <c r="I7" s="135"/>
      <c r="J7" s="127"/>
      <c r="K7" s="100" t="s">
        <v>59</v>
      </c>
      <c r="L7" s="50"/>
      <c r="M7" s="93" t="s">
        <v>208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/>
      <c r="C8" s="113"/>
      <c r="D8" s="114"/>
      <c r="E8" s="115"/>
      <c r="F8" s="140"/>
      <c r="G8" s="142"/>
      <c r="H8" s="142"/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 t="s">
        <v>19</v>
      </c>
      <c r="L10" s="50"/>
      <c r="M10" s="128" t="s">
        <v>50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10000</v>
      </c>
      <c r="G33" s="146">
        <f t="shared" si="1"/>
        <v>2500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12500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46159.0</v>
      </c>
      <c r="C4" s="18" t="s">
        <v>218</v>
      </c>
      <c r="D4" s="122">
        <v>83352.0</v>
      </c>
      <c r="E4" s="123" t="s">
        <v>69</v>
      </c>
      <c r="F4" s="147">
        <v>26100.0</v>
      </c>
      <c r="G4" s="134"/>
      <c r="H4" s="144"/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/>
      <c r="C5" s="18"/>
      <c r="D5" s="122"/>
      <c r="E5" s="123"/>
      <c r="F5" s="148"/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/>
      <c r="C6" s="18"/>
      <c r="D6" s="122"/>
      <c r="E6" s="123"/>
      <c r="F6" s="134"/>
      <c r="G6" s="134"/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/>
      <c r="C7" s="18"/>
      <c r="D7" s="122"/>
      <c r="E7" s="123"/>
      <c r="F7" s="134"/>
      <c r="G7" s="134"/>
      <c r="H7" s="137"/>
      <c r="I7" s="135"/>
      <c r="J7" s="127"/>
      <c r="K7" s="100" t="s">
        <v>59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/>
      <c r="C8" s="113"/>
      <c r="D8" s="114"/>
      <c r="E8" s="115"/>
      <c r="F8" s="140"/>
      <c r="G8" s="142"/>
      <c r="H8" s="142"/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 t="s">
        <v>19</v>
      </c>
      <c r="L10" s="50"/>
      <c r="M10" s="128" t="s">
        <v>50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26100</v>
      </c>
      <c r="G33" s="146">
        <f t="shared" si="1"/>
        <v>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26100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46160.0</v>
      </c>
      <c r="C4" s="18" t="s">
        <v>220</v>
      </c>
      <c r="D4" s="122">
        <v>77283.0</v>
      </c>
      <c r="E4" s="123" t="s">
        <v>221</v>
      </c>
      <c r="F4" s="147"/>
      <c r="G4" s="134"/>
      <c r="H4" s="144">
        <v>5100.0</v>
      </c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46160.0</v>
      </c>
      <c r="C5" s="18" t="s">
        <v>222</v>
      </c>
      <c r="D5" s="122">
        <v>51017.0</v>
      </c>
      <c r="E5" s="123" t="s">
        <v>94</v>
      </c>
      <c r="F5" s="148">
        <v>10900.0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46160.0</v>
      </c>
      <c r="C6" s="18" t="s">
        <v>223</v>
      </c>
      <c r="D6" s="122">
        <v>50596.0</v>
      </c>
      <c r="E6" s="123" t="s">
        <v>184</v>
      </c>
      <c r="F6" s="134">
        <v>2500.0</v>
      </c>
      <c r="G6" s="134"/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/>
      <c r="C7" s="18"/>
      <c r="D7" s="122"/>
      <c r="E7" s="123"/>
      <c r="F7" s="134"/>
      <c r="G7" s="134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/>
      <c r="C8" s="113"/>
      <c r="D8" s="114"/>
      <c r="E8" s="115"/>
      <c r="F8" s="140"/>
      <c r="G8" s="142"/>
      <c r="H8" s="142"/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 t="s">
        <v>19</v>
      </c>
      <c r="L10" s="50"/>
      <c r="M10" s="128" t="s">
        <v>50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13400</v>
      </c>
      <c r="G33" s="146">
        <f t="shared" si="1"/>
        <v>0</v>
      </c>
      <c r="H33" s="75">
        <f t="shared" si="1"/>
        <v>5100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18500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46160.0</v>
      </c>
      <c r="C4" s="18" t="s">
        <v>225</v>
      </c>
      <c r="D4" s="122">
        <v>112900.0</v>
      </c>
      <c r="E4" s="123" t="s">
        <v>226</v>
      </c>
      <c r="F4" s="147"/>
      <c r="G4" s="134"/>
      <c r="H4" s="144">
        <v>9850.0</v>
      </c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46160.0</v>
      </c>
      <c r="C5" s="18" t="s">
        <v>227</v>
      </c>
      <c r="D5" s="122">
        <v>120514.0</v>
      </c>
      <c r="E5" s="123" t="s">
        <v>228</v>
      </c>
      <c r="F5" s="148"/>
      <c r="G5" s="134"/>
      <c r="H5" s="134">
        <v>300.0</v>
      </c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46161.0</v>
      </c>
      <c r="C6" s="18" t="s">
        <v>229</v>
      </c>
      <c r="D6" s="122">
        <v>77658.0</v>
      </c>
      <c r="E6" s="123" t="s">
        <v>78</v>
      </c>
      <c r="F6" s="134">
        <v>10000.0</v>
      </c>
      <c r="G6" s="134"/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21">
        <v>46161.0</v>
      </c>
      <c r="C7" s="18" t="s">
        <v>230</v>
      </c>
      <c r="D7" s="122">
        <v>51467.0</v>
      </c>
      <c r="E7" s="123" t="s">
        <v>231</v>
      </c>
      <c r="F7" s="134">
        <v>10000.0</v>
      </c>
      <c r="G7" s="134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30</v>
      </c>
      <c r="B8" s="112">
        <v>46161.0</v>
      </c>
      <c r="C8" s="113" t="s">
        <v>232</v>
      </c>
      <c r="D8" s="114">
        <v>43380.0</v>
      </c>
      <c r="E8" s="115" t="s">
        <v>171</v>
      </c>
      <c r="F8" s="142">
        <v>4600.0</v>
      </c>
      <c r="G8" s="142"/>
      <c r="H8" s="142"/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 t="s">
        <v>19</v>
      </c>
      <c r="L10" s="50"/>
      <c r="M10" s="128" t="s">
        <v>50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 t="s">
        <v>19</v>
      </c>
      <c r="L11" s="50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24600</v>
      </c>
      <c r="G33" s="146">
        <f t="shared" si="1"/>
        <v>0</v>
      </c>
      <c r="H33" s="75">
        <f t="shared" si="1"/>
        <v>10150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34750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46162.0</v>
      </c>
      <c r="C4" s="18" t="s">
        <v>234</v>
      </c>
      <c r="D4" s="122">
        <v>52669.0</v>
      </c>
      <c r="E4" s="123" t="s">
        <v>35</v>
      </c>
      <c r="F4" s="147">
        <v>29550.0</v>
      </c>
      <c r="G4" s="134"/>
      <c r="H4" s="144"/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46162.0</v>
      </c>
      <c r="C5" s="18" t="s">
        <v>235</v>
      </c>
      <c r="D5" s="122">
        <v>47787.0</v>
      </c>
      <c r="E5" s="123" t="s">
        <v>61</v>
      </c>
      <c r="F5" s="148">
        <v>10000.0</v>
      </c>
      <c r="G5" s="134"/>
      <c r="H5" s="134"/>
      <c r="I5" s="135"/>
      <c r="J5" s="91"/>
      <c r="K5" s="100" t="s">
        <v>59</v>
      </c>
      <c r="L5" s="88"/>
      <c r="M5" s="93" t="s">
        <v>37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46162.0</v>
      </c>
      <c r="C6" s="18" t="s">
        <v>236</v>
      </c>
      <c r="D6" s="122">
        <v>21818.0</v>
      </c>
      <c r="E6" s="123" t="s">
        <v>177</v>
      </c>
      <c r="F6" s="134"/>
      <c r="G6" s="134">
        <v>2400.0</v>
      </c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30"/>
      <c r="B7" s="121"/>
      <c r="C7" s="18"/>
      <c r="D7" s="122"/>
      <c r="E7" s="123"/>
      <c r="F7" s="134"/>
      <c r="G7" s="134"/>
      <c r="H7" s="137"/>
      <c r="I7" s="135"/>
      <c r="J7" s="127"/>
      <c r="K7" s="100"/>
      <c r="L7" s="50"/>
      <c r="M7" s="9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79"/>
      <c r="B8" s="112"/>
      <c r="C8" s="113"/>
      <c r="D8" s="114"/>
      <c r="E8" s="115"/>
      <c r="F8" s="142"/>
      <c r="G8" s="142"/>
      <c r="H8" s="142"/>
      <c r="I8" s="140"/>
      <c r="J8" s="127"/>
      <c r="K8" s="100"/>
      <c r="L8" s="50"/>
      <c r="M8" s="1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9"/>
      <c r="B9" s="52"/>
      <c r="C9" s="42"/>
      <c r="D9" s="43"/>
      <c r="E9" s="101"/>
      <c r="F9" s="143"/>
      <c r="G9" s="143"/>
      <c r="H9" s="141"/>
      <c r="I9" s="98"/>
      <c r="J9" s="127"/>
      <c r="K9" s="100"/>
      <c r="L9" s="50"/>
      <c r="M9" s="1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30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9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9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79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79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30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79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30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39550</v>
      </c>
      <c r="G33" s="146">
        <f t="shared" si="1"/>
        <v>2400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41950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46163.0</v>
      </c>
      <c r="C4" s="18" t="s">
        <v>238</v>
      </c>
      <c r="D4" s="122">
        <v>27880.0</v>
      </c>
      <c r="E4" s="123" t="s">
        <v>129</v>
      </c>
      <c r="F4" s="147">
        <v>4500.0</v>
      </c>
      <c r="G4" s="134"/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46163.0</v>
      </c>
      <c r="C5" s="18" t="s">
        <v>239</v>
      </c>
      <c r="D5" s="122">
        <v>27880.0</v>
      </c>
      <c r="E5" s="123" t="s">
        <v>129</v>
      </c>
      <c r="F5" s="148">
        <v>4900.0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46163.0</v>
      </c>
      <c r="C6" s="18" t="s">
        <v>240</v>
      </c>
      <c r="D6" s="122">
        <v>77658.0</v>
      </c>
      <c r="E6" s="123" t="s">
        <v>78</v>
      </c>
      <c r="F6" s="147">
        <v>15000.0</v>
      </c>
      <c r="G6" s="134"/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46163.0</v>
      </c>
      <c r="C7" s="18" t="s">
        <v>241</v>
      </c>
      <c r="D7" s="122">
        <v>48306.0</v>
      </c>
      <c r="E7" s="123" t="s">
        <v>199</v>
      </c>
      <c r="F7" s="134"/>
      <c r="G7" s="147">
        <v>1300.0</v>
      </c>
      <c r="H7" s="137"/>
      <c r="I7" s="135"/>
      <c r="J7" s="127"/>
      <c r="K7" s="100" t="s">
        <v>19</v>
      </c>
      <c r="L7" s="50"/>
      <c r="M7" s="93" t="s">
        <v>50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/>
      <c r="C8" s="113"/>
      <c r="D8" s="114"/>
      <c r="E8" s="115"/>
      <c r="F8" s="142"/>
      <c r="G8" s="142"/>
      <c r="H8" s="142"/>
      <c r="I8" s="140"/>
      <c r="J8" s="127"/>
      <c r="K8" s="100"/>
      <c r="L8" s="50"/>
      <c r="M8" s="1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/>
      <c r="L9" s="50"/>
      <c r="M9" s="1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24400</v>
      </c>
      <c r="G33" s="146">
        <f t="shared" si="1"/>
        <v>1300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25700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46163.0</v>
      </c>
      <c r="C4" s="18" t="s">
        <v>243</v>
      </c>
      <c r="D4" s="122">
        <v>82254.0</v>
      </c>
      <c r="E4" s="123" t="s">
        <v>244</v>
      </c>
      <c r="F4" s="147"/>
      <c r="G4" s="134"/>
      <c r="H4" s="144">
        <v>5100.0</v>
      </c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46164.0</v>
      </c>
      <c r="C5" s="18" t="s">
        <v>245</v>
      </c>
      <c r="D5" s="122">
        <v>119912.0</v>
      </c>
      <c r="E5" s="123" t="s">
        <v>246</v>
      </c>
      <c r="F5" s="148">
        <v>10250.0</v>
      </c>
      <c r="G5" s="134"/>
      <c r="H5" s="134"/>
      <c r="I5" s="135"/>
      <c r="J5" s="91"/>
      <c r="K5" s="100" t="s">
        <v>247</v>
      </c>
      <c r="L5" s="88"/>
      <c r="M5" s="93" t="s">
        <v>37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46164.0</v>
      </c>
      <c r="C6" s="18" t="s">
        <v>248</v>
      </c>
      <c r="D6" s="122">
        <v>47787.0</v>
      </c>
      <c r="E6" s="123" t="s">
        <v>61</v>
      </c>
      <c r="F6" s="147">
        <v>2500.0</v>
      </c>
      <c r="G6" s="134"/>
      <c r="H6" s="138"/>
      <c r="I6" s="135"/>
      <c r="J6" s="127"/>
      <c r="K6" s="100" t="s">
        <v>19</v>
      </c>
      <c r="L6" s="88"/>
      <c r="M6" s="93" t="s">
        <v>50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46164.0</v>
      </c>
      <c r="C7" s="18" t="s">
        <v>249</v>
      </c>
      <c r="D7" s="122">
        <v>120115.0</v>
      </c>
      <c r="E7" s="123" t="s">
        <v>250</v>
      </c>
      <c r="F7" s="134">
        <v>2500.0</v>
      </c>
      <c r="G7" s="147"/>
      <c r="H7" s="137"/>
      <c r="I7" s="135"/>
      <c r="J7" s="127"/>
      <c r="K7" s="100" t="s">
        <v>19</v>
      </c>
      <c r="L7" s="50"/>
      <c r="M7" s="93" t="s">
        <v>50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/>
      <c r="C8" s="113"/>
      <c r="D8" s="114"/>
      <c r="E8" s="115"/>
      <c r="F8" s="142"/>
      <c r="G8" s="142"/>
      <c r="H8" s="142"/>
      <c r="I8" s="140"/>
      <c r="J8" s="127"/>
      <c r="K8" s="100" t="s">
        <v>19</v>
      </c>
      <c r="L8" s="50"/>
      <c r="M8" s="1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/>
      <c r="L9" s="50"/>
      <c r="M9" s="1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15250</v>
      </c>
      <c r="G33" s="146">
        <f t="shared" si="1"/>
        <v>0</v>
      </c>
      <c r="H33" s="75">
        <f t="shared" si="1"/>
        <v>5100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20350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46164.0</v>
      </c>
      <c r="C4" s="18" t="s">
        <v>252</v>
      </c>
      <c r="D4" s="122">
        <v>120287.0</v>
      </c>
      <c r="E4" s="123" t="s">
        <v>253</v>
      </c>
      <c r="F4" s="147"/>
      <c r="G4" s="147">
        <v>2400.0</v>
      </c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46165.0</v>
      </c>
      <c r="C5" s="18" t="s">
        <v>254</v>
      </c>
      <c r="D5" s="122">
        <v>21828.0</v>
      </c>
      <c r="E5" s="123" t="s">
        <v>67</v>
      </c>
      <c r="F5" s="148">
        <v>32700.0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46165.0</v>
      </c>
      <c r="C6" s="18" t="s">
        <v>255</v>
      </c>
      <c r="D6" s="122">
        <v>116048.0</v>
      </c>
      <c r="E6" s="123" t="s">
        <v>256</v>
      </c>
      <c r="F6" s="147"/>
      <c r="G6" s="147">
        <v>2500.0</v>
      </c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46165.0</v>
      </c>
      <c r="C7" s="18" t="s">
        <v>257</v>
      </c>
      <c r="D7" s="122">
        <v>50596.0</v>
      </c>
      <c r="E7" s="123" t="s">
        <v>184</v>
      </c>
      <c r="F7" s="147">
        <v>2700.0</v>
      </c>
      <c r="G7" s="147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>
        <v>46165.0</v>
      </c>
      <c r="C8" s="113" t="s">
        <v>258</v>
      </c>
      <c r="D8" s="114">
        <v>51017.0</v>
      </c>
      <c r="E8" s="115" t="s">
        <v>94</v>
      </c>
      <c r="F8" s="149">
        <v>10900.0</v>
      </c>
      <c r="G8" s="142"/>
      <c r="H8" s="142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46165.0</v>
      </c>
      <c r="C9" s="42" t="s">
        <v>259</v>
      </c>
      <c r="D9" s="43">
        <v>106403.0</v>
      </c>
      <c r="E9" s="101" t="s">
        <v>260</v>
      </c>
      <c r="F9" s="143"/>
      <c r="G9" s="143">
        <v>450.0</v>
      </c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46300</v>
      </c>
      <c r="G33" s="146">
        <f t="shared" si="1"/>
        <v>5350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51650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46165.0</v>
      </c>
      <c r="C4" s="18" t="s">
        <v>262</v>
      </c>
      <c r="D4" s="122">
        <v>10008.0</v>
      </c>
      <c r="E4" s="123" t="s">
        <v>75</v>
      </c>
      <c r="F4" s="147">
        <v>900.0</v>
      </c>
      <c r="G4" s="147"/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46166.0</v>
      </c>
      <c r="C5" s="18" t="s">
        <v>263</v>
      </c>
      <c r="D5" s="122">
        <v>52669.0</v>
      </c>
      <c r="E5" s="123" t="s">
        <v>35</v>
      </c>
      <c r="F5" s="148">
        <v>25200.0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46166.0</v>
      </c>
      <c r="C6" s="18" t="s">
        <v>264</v>
      </c>
      <c r="D6" s="122">
        <v>21818.0</v>
      </c>
      <c r="E6" s="123" t="s">
        <v>177</v>
      </c>
      <c r="F6" s="147"/>
      <c r="G6" s="147">
        <v>6400.0</v>
      </c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/>
      <c r="C7" s="18"/>
      <c r="D7" s="122"/>
      <c r="E7" s="123"/>
      <c r="F7" s="147"/>
      <c r="G7" s="147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/>
      <c r="C8" s="113"/>
      <c r="D8" s="114"/>
      <c r="E8" s="115"/>
      <c r="F8" s="149"/>
      <c r="G8" s="142"/>
      <c r="H8" s="142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26100</v>
      </c>
      <c r="G33" s="146">
        <f t="shared" si="1"/>
        <v>6400</v>
      </c>
      <c r="H33" s="75">
        <f t="shared" si="1"/>
        <v>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32500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46167.0</v>
      </c>
      <c r="C4" s="18" t="s">
        <v>266</v>
      </c>
      <c r="D4" s="122">
        <v>90030.0</v>
      </c>
      <c r="E4" s="123" t="s">
        <v>267</v>
      </c>
      <c r="F4" s="147"/>
      <c r="G4" s="147"/>
      <c r="H4" s="144">
        <v>560.0</v>
      </c>
      <c r="I4" s="135"/>
      <c r="J4" s="86"/>
      <c r="K4" s="100" t="s">
        <v>19</v>
      </c>
      <c r="L4" s="88"/>
      <c r="M4" s="120" t="s">
        <v>50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46167.0</v>
      </c>
      <c r="C5" s="18" t="s">
        <v>268</v>
      </c>
      <c r="D5" s="122">
        <v>50596.0</v>
      </c>
      <c r="E5" s="123" t="s">
        <v>184</v>
      </c>
      <c r="F5" s="148">
        <v>2700.0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/>
      <c r="C6" s="18"/>
      <c r="D6" s="122"/>
      <c r="E6" s="123"/>
      <c r="F6" s="147"/>
      <c r="G6" s="147"/>
      <c r="H6" s="138"/>
      <c r="I6" s="135"/>
      <c r="J6" s="127"/>
      <c r="K6" s="100" t="s">
        <v>19</v>
      </c>
      <c r="L6" s="88"/>
      <c r="M6" s="9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/>
      <c r="C7" s="18"/>
      <c r="D7" s="122"/>
      <c r="E7" s="123"/>
      <c r="F7" s="147"/>
      <c r="G7" s="147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/>
      <c r="C8" s="113"/>
      <c r="D8" s="114"/>
      <c r="E8" s="115"/>
      <c r="F8" s="149"/>
      <c r="G8" s="142"/>
      <c r="H8" s="142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2700</v>
      </c>
      <c r="G33" s="146">
        <f t="shared" si="1"/>
        <v>0</v>
      </c>
      <c r="H33" s="75">
        <f t="shared" si="1"/>
        <v>560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3260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21">
        <v>46168.0</v>
      </c>
      <c r="C4" s="18" t="s">
        <v>270</v>
      </c>
      <c r="D4" s="122">
        <v>81107.0</v>
      </c>
      <c r="E4" s="123" t="s">
        <v>271</v>
      </c>
      <c r="F4" s="147"/>
      <c r="G4" s="147"/>
      <c r="H4" s="144">
        <v>2400.0</v>
      </c>
      <c r="I4" s="135"/>
      <c r="J4" s="86"/>
      <c r="K4" s="100" t="s">
        <v>19</v>
      </c>
      <c r="L4" s="88"/>
      <c r="M4" s="120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21">
        <v>46168.0</v>
      </c>
      <c r="C5" s="18" t="s">
        <v>272</v>
      </c>
      <c r="D5" s="122">
        <v>50595.0</v>
      </c>
      <c r="E5" s="123" t="s">
        <v>91</v>
      </c>
      <c r="F5" s="148">
        <v>5000.0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46168.0</v>
      </c>
      <c r="C6" s="18" t="s">
        <v>273</v>
      </c>
      <c r="D6" s="122">
        <v>47787.0</v>
      </c>
      <c r="E6" s="123" t="s">
        <v>61</v>
      </c>
      <c r="F6" s="147">
        <v>10250.0</v>
      </c>
      <c r="G6" s="147"/>
      <c r="H6" s="138"/>
      <c r="I6" s="135"/>
      <c r="J6" s="127"/>
      <c r="K6" s="100" t="s">
        <v>247</v>
      </c>
      <c r="L6" s="88"/>
      <c r="M6" s="93" t="s">
        <v>37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46168.0</v>
      </c>
      <c r="C7" s="18" t="s">
        <v>274</v>
      </c>
      <c r="D7" s="122">
        <v>51017.0</v>
      </c>
      <c r="E7" s="123" t="s">
        <v>94</v>
      </c>
      <c r="F7" s="147">
        <v>10000.0</v>
      </c>
      <c r="G7" s="147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>
        <v>46168.0</v>
      </c>
      <c r="C8" s="113" t="s">
        <v>275</v>
      </c>
      <c r="D8" s="114">
        <v>83352.0</v>
      </c>
      <c r="E8" s="115" t="s">
        <v>69</v>
      </c>
      <c r="F8" s="149">
        <v>25000.0</v>
      </c>
      <c r="G8" s="142"/>
      <c r="H8" s="142"/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46168.0</v>
      </c>
      <c r="C9" s="42" t="s">
        <v>276</v>
      </c>
      <c r="D9" s="43">
        <v>51660.0</v>
      </c>
      <c r="E9" s="101" t="s">
        <v>277</v>
      </c>
      <c r="F9" s="143">
        <v>6000.0</v>
      </c>
      <c r="G9" s="143"/>
      <c r="H9" s="141"/>
      <c r="I9" s="98"/>
      <c r="J9" s="127"/>
      <c r="K9" s="100" t="s">
        <v>19</v>
      </c>
      <c r="L9" s="50"/>
      <c r="M9" s="128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>
        <v>46168.0</v>
      </c>
      <c r="C10" s="42" t="s">
        <v>278</v>
      </c>
      <c r="D10" s="43">
        <v>71126.0</v>
      </c>
      <c r="E10" s="101" t="s">
        <v>279</v>
      </c>
      <c r="F10" s="143">
        <v>4600.0</v>
      </c>
      <c r="G10" s="143"/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 t="s">
        <v>147</v>
      </c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60850</v>
      </c>
      <c r="G33" s="146">
        <f t="shared" si="1"/>
        <v>0</v>
      </c>
      <c r="H33" s="75">
        <f t="shared" si="1"/>
        <v>2400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63250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50">
        <v>46168.0</v>
      </c>
      <c r="C4" s="151" t="s">
        <v>281</v>
      </c>
      <c r="D4" s="152">
        <v>121353.0</v>
      </c>
      <c r="E4" s="153" t="s">
        <v>282</v>
      </c>
      <c r="F4" s="147"/>
      <c r="G4" s="147"/>
      <c r="H4" s="144">
        <v>300.0</v>
      </c>
      <c r="I4" s="135"/>
      <c r="J4" s="86"/>
      <c r="K4" s="100" t="s">
        <v>19</v>
      </c>
      <c r="L4" s="88"/>
      <c r="M4" s="120" t="s">
        <v>20</v>
      </c>
      <c r="N4" s="29"/>
      <c r="O4" s="29"/>
      <c r="P4" s="154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50">
        <v>46169.0</v>
      </c>
      <c r="C5" s="151" t="s">
        <v>283</v>
      </c>
      <c r="D5" s="152">
        <v>50342.0</v>
      </c>
      <c r="E5" s="153" t="s">
        <v>284</v>
      </c>
      <c r="F5" s="134">
        <v>5000.0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155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46169.0</v>
      </c>
      <c r="C6" s="18" t="s">
        <v>285</v>
      </c>
      <c r="D6" s="122">
        <v>83404.0</v>
      </c>
      <c r="E6" s="123" t="s">
        <v>286</v>
      </c>
      <c r="F6" s="137">
        <v>5100.0</v>
      </c>
      <c r="G6" s="147"/>
      <c r="H6" s="137"/>
      <c r="I6" s="135"/>
      <c r="J6" s="127"/>
      <c r="K6" s="100" t="s">
        <v>19</v>
      </c>
      <c r="L6" s="88"/>
      <c r="M6" s="93" t="s">
        <v>50</v>
      </c>
      <c r="N6" s="29"/>
      <c r="O6" s="29"/>
      <c r="P6" s="155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79" t="s">
        <v>27</v>
      </c>
      <c r="B7" s="121"/>
      <c r="C7" s="18"/>
      <c r="D7" s="122"/>
      <c r="E7" s="123"/>
      <c r="F7" s="147"/>
      <c r="G7" s="147"/>
      <c r="H7" s="137"/>
      <c r="I7" s="135"/>
      <c r="J7" s="127"/>
      <c r="K7" s="100"/>
      <c r="L7" s="50"/>
      <c r="M7" s="9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30" t="s">
        <v>30</v>
      </c>
      <c r="B8" s="112"/>
      <c r="C8" s="113"/>
      <c r="D8" s="114"/>
      <c r="E8" s="115"/>
      <c r="F8" s="149"/>
      <c r="G8" s="142"/>
      <c r="H8" s="142"/>
      <c r="I8" s="140"/>
      <c r="J8" s="127"/>
      <c r="K8" s="100"/>
      <c r="L8" s="50"/>
      <c r="M8" s="1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/>
      <c r="L9" s="50"/>
      <c r="M9" s="1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10100</v>
      </c>
      <c r="G33" s="146">
        <f t="shared" si="1"/>
        <v>0</v>
      </c>
      <c r="H33" s="75">
        <f t="shared" si="1"/>
        <v>300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10400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50">
        <v>46169.0</v>
      </c>
      <c r="C4" s="151" t="s">
        <v>288</v>
      </c>
      <c r="D4" s="152">
        <v>79584.0</v>
      </c>
      <c r="E4" s="153" t="s">
        <v>289</v>
      </c>
      <c r="F4" s="147"/>
      <c r="G4" s="147"/>
      <c r="H4" s="144">
        <v>4500.0</v>
      </c>
      <c r="I4" s="135"/>
      <c r="J4" s="86"/>
      <c r="K4" s="100" t="s">
        <v>19</v>
      </c>
      <c r="L4" s="88"/>
      <c r="M4" s="120" t="s">
        <v>50</v>
      </c>
      <c r="N4" s="29"/>
      <c r="O4" s="29"/>
      <c r="P4" s="154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50">
        <v>46169.0</v>
      </c>
      <c r="C5" s="151" t="s">
        <v>290</v>
      </c>
      <c r="D5" s="152">
        <v>51660.0</v>
      </c>
      <c r="E5" s="153" t="s">
        <v>277</v>
      </c>
      <c r="F5" s="134">
        <v>4500.0</v>
      </c>
      <c r="G5" s="134"/>
      <c r="H5" s="134"/>
      <c r="I5" s="135"/>
      <c r="J5" s="91"/>
      <c r="K5" s="100" t="s">
        <v>19</v>
      </c>
      <c r="L5" s="88"/>
      <c r="M5" s="93" t="s">
        <v>20</v>
      </c>
      <c r="N5" s="29"/>
      <c r="O5" s="29"/>
      <c r="P5" s="155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46170.0</v>
      </c>
      <c r="C6" s="18" t="s">
        <v>291</v>
      </c>
      <c r="D6" s="122">
        <v>115561.0</v>
      </c>
      <c r="E6" s="123" t="s">
        <v>292</v>
      </c>
      <c r="F6" s="137"/>
      <c r="G6" s="147">
        <v>2500.0</v>
      </c>
      <c r="H6" s="137"/>
      <c r="I6" s="135"/>
      <c r="J6" s="127"/>
      <c r="K6" s="100" t="s">
        <v>19</v>
      </c>
      <c r="L6" s="88"/>
      <c r="M6" s="93" t="s">
        <v>20</v>
      </c>
      <c r="N6" s="29"/>
      <c r="O6" s="29"/>
      <c r="P6" s="155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46170.0</v>
      </c>
      <c r="C7" s="18" t="s">
        <v>293</v>
      </c>
      <c r="D7" s="122">
        <v>92637.0</v>
      </c>
      <c r="E7" s="123" t="s">
        <v>294</v>
      </c>
      <c r="F7" s="147"/>
      <c r="G7" s="147"/>
      <c r="H7" s="137">
        <v>4500.0</v>
      </c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>
        <v>46170.0</v>
      </c>
      <c r="C8" s="113" t="s">
        <v>295</v>
      </c>
      <c r="D8" s="114">
        <v>43380.0</v>
      </c>
      <c r="E8" s="115" t="s">
        <v>171</v>
      </c>
      <c r="F8" s="149">
        <v>9000.0</v>
      </c>
      <c r="G8" s="142"/>
      <c r="H8" s="142"/>
      <c r="I8" s="140"/>
      <c r="J8" s="127"/>
      <c r="K8" s="100" t="s">
        <v>19</v>
      </c>
      <c r="L8" s="50"/>
      <c r="M8" s="128" t="s">
        <v>50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46170.0</v>
      </c>
      <c r="C9" s="42" t="s">
        <v>296</v>
      </c>
      <c r="D9" s="43">
        <v>47787.0</v>
      </c>
      <c r="E9" s="101" t="s">
        <v>61</v>
      </c>
      <c r="F9" s="143">
        <v>10000.0</v>
      </c>
      <c r="G9" s="143"/>
      <c r="H9" s="141"/>
      <c r="I9" s="98"/>
      <c r="J9" s="127"/>
      <c r="K9" s="100" t="s">
        <v>19</v>
      </c>
      <c r="L9" s="50"/>
      <c r="M9" s="128" t="s">
        <v>37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23500</v>
      </c>
      <c r="G33" s="146">
        <f t="shared" si="1"/>
        <v>2500</v>
      </c>
      <c r="H33" s="75">
        <f t="shared" si="1"/>
        <v>9000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35000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50">
        <v>46170.0</v>
      </c>
      <c r="C4" s="151" t="s">
        <v>298</v>
      </c>
      <c r="D4" s="152">
        <v>10006.0</v>
      </c>
      <c r="E4" s="153" t="s">
        <v>299</v>
      </c>
      <c r="F4" s="147"/>
      <c r="G4" s="147">
        <v>4800.0</v>
      </c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154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50">
        <v>46171.0</v>
      </c>
      <c r="C5" s="151" t="s">
        <v>300</v>
      </c>
      <c r="D5" s="152">
        <v>51166.0</v>
      </c>
      <c r="E5" s="153" t="s">
        <v>301</v>
      </c>
      <c r="F5" s="134"/>
      <c r="G5" s="134"/>
      <c r="H5" s="134">
        <v>4600.0</v>
      </c>
      <c r="I5" s="135"/>
      <c r="J5" s="91"/>
      <c r="K5" s="100" t="s">
        <v>19</v>
      </c>
      <c r="L5" s="88"/>
      <c r="M5" s="93" t="s">
        <v>50</v>
      </c>
      <c r="N5" s="29"/>
      <c r="O5" s="29"/>
      <c r="P5" s="155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46171.0</v>
      </c>
      <c r="C6" s="18" t="s">
        <v>302</v>
      </c>
      <c r="D6" s="122">
        <v>47787.0</v>
      </c>
      <c r="E6" s="123" t="s">
        <v>61</v>
      </c>
      <c r="F6" s="137">
        <v>500.0</v>
      </c>
      <c r="G6" s="147"/>
      <c r="H6" s="137"/>
      <c r="I6" s="135"/>
      <c r="J6" s="127"/>
      <c r="K6" s="100" t="s">
        <v>247</v>
      </c>
      <c r="L6" s="88"/>
      <c r="M6" s="93" t="s">
        <v>37</v>
      </c>
      <c r="N6" s="29"/>
      <c r="O6" s="29"/>
      <c r="P6" s="155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46171.0</v>
      </c>
      <c r="C7" s="18" t="s">
        <v>303</v>
      </c>
      <c r="D7" s="122">
        <v>10008.0</v>
      </c>
      <c r="E7" s="123" t="s">
        <v>75</v>
      </c>
      <c r="F7" s="147"/>
      <c r="G7" s="147">
        <v>5200.0</v>
      </c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>
        <v>46171.0</v>
      </c>
      <c r="C8" s="113" t="s">
        <v>304</v>
      </c>
      <c r="D8" s="114">
        <v>47787.0</v>
      </c>
      <c r="E8" s="115" t="s">
        <v>61</v>
      </c>
      <c r="F8" s="149">
        <v>10000.0</v>
      </c>
      <c r="G8" s="142"/>
      <c r="H8" s="142"/>
      <c r="I8" s="140"/>
      <c r="J8" s="127"/>
      <c r="K8" s="100" t="s">
        <v>247</v>
      </c>
      <c r="L8" s="50"/>
      <c r="M8" s="128" t="s">
        <v>37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37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10500</v>
      </c>
      <c r="G33" s="146">
        <f t="shared" si="1"/>
        <v>10000</v>
      </c>
      <c r="H33" s="75">
        <f t="shared" si="1"/>
        <v>4600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25100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50">
        <v>46171.0</v>
      </c>
      <c r="C4" s="151" t="s">
        <v>306</v>
      </c>
      <c r="D4" s="152">
        <v>108364.0</v>
      </c>
      <c r="E4" s="153" t="s">
        <v>307</v>
      </c>
      <c r="F4" s="147"/>
      <c r="G4" s="147">
        <v>2500.0</v>
      </c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154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50">
        <v>46172.0</v>
      </c>
      <c r="C5" s="151" t="s">
        <v>308</v>
      </c>
      <c r="D5" s="152">
        <v>77283.0</v>
      </c>
      <c r="E5" s="153" t="s">
        <v>221</v>
      </c>
      <c r="F5" s="134"/>
      <c r="G5" s="134"/>
      <c r="H5" s="147">
        <v>5100.0</v>
      </c>
      <c r="I5" s="135"/>
      <c r="J5" s="91"/>
      <c r="K5" s="100" t="s">
        <v>19</v>
      </c>
      <c r="L5" s="88"/>
      <c r="M5" s="93" t="s">
        <v>50</v>
      </c>
      <c r="N5" s="29"/>
      <c r="O5" s="29"/>
      <c r="P5" s="155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46172.0</v>
      </c>
      <c r="C6" s="18" t="s">
        <v>309</v>
      </c>
      <c r="D6" s="122">
        <v>68284.0</v>
      </c>
      <c r="E6" s="123" t="s">
        <v>43</v>
      </c>
      <c r="F6" s="148">
        <v>1870.0</v>
      </c>
      <c r="G6" s="147"/>
      <c r="H6" s="137"/>
      <c r="I6" s="135"/>
      <c r="J6" s="127"/>
      <c r="K6" s="100" t="s">
        <v>19</v>
      </c>
      <c r="L6" s="88"/>
      <c r="M6" s="93" t="s">
        <v>50</v>
      </c>
      <c r="N6" s="29"/>
      <c r="O6" s="29"/>
      <c r="P6" s="155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46172.0</v>
      </c>
      <c r="C7" s="18" t="s">
        <v>310</v>
      </c>
      <c r="D7" s="122">
        <v>52685.0</v>
      </c>
      <c r="E7" s="123" t="s">
        <v>311</v>
      </c>
      <c r="F7" s="147">
        <v>4500.0</v>
      </c>
      <c r="G7" s="147"/>
      <c r="H7" s="137"/>
      <c r="I7" s="135"/>
      <c r="J7" s="127"/>
      <c r="K7" s="100" t="s">
        <v>19</v>
      </c>
      <c r="L7" s="50"/>
      <c r="M7" s="9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>
        <v>46172.0</v>
      </c>
      <c r="C8" s="113" t="s">
        <v>312</v>
      </c>
      <c r="D8" s="114">
        <v>109518.0</v>
      </c>
      <c r="E8" s="115" t="s">
        <v>313</v>
      </c>
      <c r="F8" s="149">
        <v>2400.0</v>
      </c>
      <c r="G8" s="142"/>
      <c r="H8" s="142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/>
      <c r="C9" s="42"/>
      <c r="D9" s="43"/>
      <c r="E9" s="101"/>
      <c r="F9" s="143"/>
      <c r="G9" s="143"/>
      <c r="H9" s="141"/>
      <c r="I9" s="98"/>
      <c r="J9" s="127"/>
      <c r="K9" s="100" t="s">
        <v>19</v>
      </c>
      <c r="L9" s="50"/>
      <c r="M9" s="128" t="s">
        <v>37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/>
      <c r="C10" s="42"/>
      <c r="D10" s="43"/>
      <c r="E10" s="101"/>
      <c r="F10" s="143"/>
      <c r="G10" s="143"/>
      <c r="H10" s="107"/>
      <c r="I10" s="98"/>
      <c r="J10" s="99"/>
      <c r="K10" s="100"/>
      <c r="L10" s="50"/>
      <c r="M10" s="1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41</v>
      </c>
      <c r="B11" s="52"/>
      <c r="C11" s="42"/>
      <c r="D11" s="43"/>
      <c r="E11" s="101"/>
      <c r="F11" s="143"/>
      <c r="G11" s="143"/>
      <c r="H11" s="107"/>
      <c r="I11" s="98"/>
      <c r="J11" s="99"/>
      <c r="K11" s="100"/>
      <c r="L11" s="50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9" t="s">
        <v>44</v>
      </c>
      <c r="B12" s="52"/>
      <c r="C12" s="42"/>
      <c r="D12" s="43"/>
      <c r="E12" s="101"/>
      <c r="F12" s="106"/>
      <c r="G12" s="143"/>
      <c r="H12" s="141"/>
      <c r="I12" s="98"/>
      <c r="J12" s="99"/>
      <c r="K12" s="105"/>
      <c r="L12" s="50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9" t="s">
        <v>45</v>
      </c>
      <c r="B13" s="52"/>
      <c r="C13" s="42"/>
      <c r="D13" s="43"/>
      <c r="E13" s="101"/>
      <c r="F13" s="106"/>
      <c r="G13" s="106"/>
      <c r="H13" s="141"/>
      <c r="I13" s="98"/>
      <c r="J13" s="99"/>
      <c r="K13" s="105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46</v>
      </c>
      <c r="B14" s="52"/>
      <c r="C14" s="42"/>
      <c r="D14" s="43"/>
      <c r="E14" s="101"/>
      <c r="F14" s="106"/>
      <c r="G14" s="106"/>
      <c r="H14" s="141"/>
      <c r="I14" s="98"/>
      <c r="J14" s="99"/>
      <c r="K14" s="105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9" t="s">
        <v>47</v>
      </c>
      <c r="B15" s="52"/>
      <c r="C15" s="42"/>
      <c r="D15" s="43"/>
      <c r="E15" s="101"/>
      <c r="F15" s="106"/>
      <c r="G15" s="106"/>
      <c r="H15" s="141"/>
      <c r="I15" s="98"/>
      <c r="J15" s="99"/>
      <c r="K15" s="105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8770</v>
      </c>
      <c r="G33" s="146">
        <f t="shared" si="1"/>
        <v>2500</v>
      </c>
      <c r="H33" s="75">
        <f t="shared" si="1"/>
        <v>5100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16370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150">
        <v>46172.0</v>
      </c>
      <c r="C4" s="151" t="s">
        <v>314</v>
      </c>
      <c r="D4" s="152">
        <v>52669.0</v>
      </c>
      <c r="E4" s="153" t="s">
        <v>35</v>
      </c>
      <c r="F4" s="147">
        <v>4500.0</v>
      </c>
      <c r="G4" s="147"/>
      <c r="H4" s="144"/>
      <c r="I4" s="135"/>
      <c r="J4" s="86"/>
      <c r="K4" s="100" t="s">
        <v>19</v>
      </c>
      <c r="L4" s="88"/>
      <c r="M4" s="120" t="s">
        <v>20</v>
      </c>
      <c r="N4" s="29"/>
      <c r="O4" s="29"/>
      <c r="P4" s="154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50">
        <v>46172.0</v>
      </c>
      <c r="C5" s="151" t="s">
        <v>315</v>
      </c>
      <c r="D5" s="152">
        <v>83352.0</v>
      </c>
      <c r="E5" s="153" t="s">
        <v>69</v>
      </c>
      <c r="F5" s="134">
        <v>25200.0</v>
      </c>
      <c r="G5" s="134"/>
      <c r="H5" s="147"/>
      <c r="I5" s="135"/>
      <c r="J5" s="91"/>
      <c r="K5" s="100" t="s">
        <v>19</v>
      </c>
      <c r="L5" s="88"/>
      <c r="M5" s="93" t="s">
        <v>50</v>
      </c>
      <c r="N5" s="29"/>
      <c r="O5" s="29"/>
      <c r="P5" s="155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24</v>
      </c>
      <c r="B6" s="121">
        <v>46173.0</v>
      </c>
      <c r="C6" s="18" t="s">
        <v>316</v>
      </c>
      <c r="D6" s="122">
        <v>10249.0</v>
      </c>
      <c r="E6" s="123" t="s">
        <v>317</v>
      </c>
      <c r="F6" s="148"/>
      <c r="G6" s="147"/>
      <c r="H6" s="137">
        <v>5100.0</v>
      </c>
      <c r="I6" s="135"/>
      <c r="J6" s="127"/>
      <c r="K6" s="100" t="s">
        <v>19</v>
      </c>
      <c r="L6" s="88"/>
      <c r="M6" s="93" t="s">
        <v>50</v>
      </c>
      <c r="N6" s="29"/>
      <c r="O6" s="29"/>
      <c r="P6" s="155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27</v>
      </c>
      <c r="B7" s="121">
        <v>46173.0</v>
      </c>
      <c r="C7" s="18" t="s">
        <v>318</v>
      </c>
      <c r="D7" s="122">
        <v>47787.0</v>
      </c>
      <c r="E7" s="123" t="s">
        <v>61</v>
      </c>
      <c r="F7" s="147">
        <v>10200.0</v>
      </c>
      <c r="G7" s="147"/>
      <c r="H7" s="137"/>
      <c r="I7" s="135"/>
      <c r="J7" s="127"/>
      <c r="K7" s="100" t="s">
        <v>247</v>
      </c>
      <c r="L7" s="50"/>
      <c r="M7" s="93" t="s">
        <v>37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112">
        <v>46173.0</v>
      </c>
      <c r="C8" s="113" t="s">
        <v>319</v>
      </c>
      <c r="D8" s="114">
        <v>10357.0</v>
      </c>
      <c r="E8" s="115" t="s">
        <v>320</v>
      </c>
      <c r="F8" s="149">
        <v>4000.0</v>
      </c>
      <c r="G8" s="142"/>
      <c r="H8" s="142"/>
      <c r="I8" s="140"/>
      <c r="J8" s="127"/>
      <c r="K8" s="100" t="s">
        <v>19</v>
      </c>
      <c r="L8" s="50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33</v>
      </c>
      <c r="B9" s="52">
        <v>46173.0</v>
      </c>
      <c r="C9" s="42" t="s">
        <v>321</v>
      </c>
      <c r="D9" s="43">
        <v>93986.0</v>
      </c>
      <c r="E9" s="101" t="s">
        <v>322</v>
      </c>
      <c r="F9" s="143"/>
      <c r="G9" s="143"/>
      <c r="H9" s="141">
        <v>1000.0</v>
      </c>
      <c r="I9" s="98"/>
      <c r="J9" s="127"/>
      <c r="K9" s="100" t="s">
        <v>19</v>
      </c>
      <c r="L9" s="50"/>
      <c r="M9" s="128" t="s">
        <v>50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38</v>
      </c>
      <c r="B10" s="52">
        <v>46173.0</v>
      </c>
      <c r="C10" s="42" t="s">
        <v>323</v>
      </c>
      <c r="D10" s="43">
        <v>108626.0</v>
      </c>
      <c r="E10" s="101" t="s">
        <v>324</v>
      </c>
      <c r="F10" s="143"/>
      <c r="G10" s="143">
        <v>2950.0</v>
      </c>
      <c r="H10" s="107"/>
      <c r="I10" s="98"/>
      <c r="J10" s="99"/>
      <c r="K10" s="100" t="s">
        <v>19</v>
      </c>
      <c r="L10" s="50"/>
      <c r="M10" s="128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41</v>
      </c>
      <c r="B11" s="52">
        <v>46173.0</v>
      </c>
      <c r="C11" s="42" t="s">
        <v>325</v>
      </c>
      <c r="D11" s="43">
        <v>77658.0</v>
      </c>
      <c r="E11" s="101" t="s">
        <v>78</v>
      </c>
      <c r="F11" s="143">
        <v>34600.0</v>
      </c>
      <c r="G11" s="143"/>
      <c r="H11" s="107"/>
      <c r="I11" s="98"/>
      <c r="J11" s="99"/>
      <c r="K11" s="100" t="s">
        <v>19</v>
      </c>
      <c r="L11" s="50"/>
      <c r="M11" s="128" t="s">
        <v>50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9" t="s">
        <v>44</v>
      </c>
      <c r="B12" s="52">
        <v>46173.0</v>
      </c>
      <c r="C12" s="42" t="s">
        <v>326</v>
      </c>
      <c r="D12" s="43">
        <v>10008.0</v>
      </c>
      <c r="E12" s="101" t="s">
        <v>75</v>
      </c>
      <c r="F12" s="143">
        <v>2400.0</v>
      </c>
      <c r="G12" s="143"/>
      <c r="H12" s="141"/>
      <c r="I12" s="98"/>
      <c r="J12" s="99"/>
      <c r="K12" s="100" t="s">
        <v>19</v>
      </c>
      <c r="L12" s="50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 t="s">
        <v>45</v>
      </c>
      <c r="B13" s="52">
        <v>46173.0</v>
      </c>
      <c r="C13" s="42" t="s">
        <v>327</v>
      </c>
      <c r="D13" s="43">
        <v>10411.0</v>
      </c>
      <c r="E13" s="101" t="s">
        <v>328</v>
      </c>
      <c r="F13" s="143">
        <v>2400.0</v>
      </c>
      <c r="G13" s="106"/>
      <c r="H13" s="141"/>
      <c r="I13" s="98"/>
      <c r="J13" s="99"/>
      <c r="K13" s="100" t="s">
        <v>19</v>
      </c>
      <c r="L13" s="50"/>
      <c r="M13" s="128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46</v>
      </c>
      <c r="B14" s="52">
        <v>46173.0</v>
      </c>
      <c r="C14" s="42" t="s">
        <v>329</v>
      </c>
      <c r="D14" s="43">
        <v>121905.0</v>
      </c>
      <c r="E14" s="101" t="s">
        <v>330</v>
      </c>
      <c r="F14" s="106"/>
      <c r="G14" s="143">
        <v>1450.0</v>
      </c>
      <c r="H14" s="141"/>
      <c r="I14" s="98"/>
      <c r="J14" s="99"/>
      <c r="K14" s="100" t="s">
        <v>19</v>
      </c>
      <c r="L14" s="50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79" t="s">
        <v>47</v>
      </c>
      <c r="B15" s="52">
        <v>46173.0</v>
      </c>
      <c r="C15" s="42" t="s">
        <v>331</v>
      </c>
      <c r="D15" s="43">
        <v>105021.0</v>
      </c>
      <c r="E15" s="101" t="s">
        <v>332</v>
      </c>
      <c r="F15" s="106"/>
      <c r="G15" s="143">
        <v>19700.0</v>
      </c>
      <c r="H15" s="141"/>
      <c r="I15" s="98"/>
      <c r="J15" s="99"/>
      <c r="K15" s="100" t="s">
        <v>19</v>
      </c>
      <c r="L15" s="50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79" t="s">
        <v>48</v>
      </c>
      <c r="B16" s="52"/>
      <c r="C16" s="42"/>
      <c r="D16" s="43"/>
      <c r="E16" s="101"/>
      <c r="F16" s="106"/>
      <c r="G16" s="106"/>
      <c r="H16" s="141"/>
      <c r="I16" s="98"/>
      <c r="J16" s="99"/>
      <c r="K16" s="105" t="s">
        <v>19</v>
      </c>
      <c r="L16" s="50"/>
      <c r="M16" s="128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64</v>
      </c>
      <c r="B17" s="52"/>
      <c r="C17" s="42"/>
      <c r="D17" s="43"/>
      <c r="E17" s="101"/>
      <c r="F17" s="143"/>
      <c r="G17" s="106"/>
      <c r="H17" s="107"/>
      <c r="I17" s="98"/>
      <c r="J17" s="99"/>
      <c r="K17" s="105" t="s">
        <v>19</v>
      </c>
      <c r="L17" s="50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9" t="s">
        <v>49</v>
      </c>
      <c r="B18" s="52"/>
      <c r="C18" s="42"/>
      <c r="D18" s="43"/>
      <c r="E18" s="101"/>
      <c r="F18" s="106"/>
      <c r="G18" s="106"/>
      <c r="H18" s="141"/>
      <c r="I18" s="98"/>
      <c r="J18" s="99"/>
      <c r="K18" s="105" t="s">
        <v>19</v>
      </c>
      <c r="L18" s="50"/>
      <c r="M18" s="128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9" t="s">
        <v>51</v>
      </c>
      <c r="B19" s="52"/>
      <c r="C19" s="42"/>
      <c r="D19" s="43"/>
      <c r="E19" s="101"/>
      <c r="F19" s="96"/>
      <c r="G19" s="102"/>
      <c r="H19" s="103"/>
      <c r="I19" s="98"/>
      <c r="J19" s="99"/>
      <c r="K19" s="105"/>
      <c r="L19" s="50"/>
      <c r="M19" s="128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52</v>
      </c>
      <c r="B20" s="52"/>
      <c r="C20" s="42"/>
      <c r="D20" s="43"/>
      <c r="E20" s="101"/>
      <c r="F20" s="96"/>
      <c r="G20" s="102"/>
      <c r="H20" s="103"/>
      <c r="I20" s="98"/>
      <c r="J20" s="99"/>
      <c r="K20" s="105"/>
      <c r="L20" s="50"/>
      <c r="M20" s="128" t="s">
        <v>20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79" t="s">
        <v>53</v>
      </c>
      <c r="B21" s="52"/>
      <c r="C21" s="42"/>
      <c r="D21" s="43"/>
      <c r="E21" s="101"/>
      <c r="F21" s="102"/>
      <c r="G21" s="96"/>
      <c r="H21" s="103"/>
      <c r="I21" s="98"/>
      <c r="J21" s="99"/>
      <c r="K21" s="105"/>
      <c r="L21" s="50"/>
      <c r="M21" s="128" t="s">
        <v>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79" t="s">
        <v>137</v>
      </c>
      <c r="B22" s="62"/>
      <c r="C22" s="63"/>
      <c r="D22" s="64"/>
      <c r="E22" s="65"/>
      <c r="F22" s="102"/>
      <c r="G22" s="102"/>
      <c r="H22" s="103"/>
      <c r="I22" s="98"/>
      <c r="J22" s="99"/>
      <c r="K22" s="105"/>
      <c r="L22" s="50"/>
      <c r="M22" s="128" t="s">
        <v>20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138</v>
      </c>
      <c r="B23" s="62"/>
      <c r="C23" s="63"/>
      <c r="D23" s="64"/>
      <c r="E23" s="65"/>
      <c r="F23" s="102"/>
      <c r="G23" s="102"/>
      <c r="H23" s="103"/>
      <c r="I23" s="98"/>
      <c r="J23" s="99"/>
      <c r="K23" s="105"/>
      <c r="L23" s="50"/>
      <c r="M23" s="10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79" t="s">
        <v>139</v>
      </c>
      <c r="B24" s="62"/>
      <c r="C24" s="63"/>
      <c r="D24" s="64"/>
      <c r="E24" s="65"/>
      <c r="F24" s="102"/>
      <c r="G24" s="102"/>
      <c r="H24" s="103"/>
      <c r="I24" s="98"/>
      <c r="J24" s="99"/>
      <c r="K24" s="105"/>
      <c r="L24" s="50"/>
      <c r="M24" s="10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79" t="s">
        <v>140</v>
      </c>
      <c r="B25" s="62"/>
      <c r="C25" s="63"/>
      <c r="D25" s="64"/>
      <c r="E25" s="65"/>
      <c r="F25" s="102"/>
      <c r="G25" s="102"/>
      <c r="H25" s="103"/>
      <c r="I25" s="98"/>
      <c r="J25" s="99"/>
      <c r="K25" s="105"/>
      <c r="L25" s="50"/>
      <c r="M25" s="10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30" t="s">
        <v>141</v>
      </c>
      <c r="B26" s="62"/>
      <c r="C26" s="63"/>
      <c r="D26" s="64"/>
      <c r="E26" s="65"/>
      <c r="F26" s="102"/>
      <c r="G26" s="102"/>
      <c r="H26" s="103"/>
      <c r="I26" s="98"/>
      <c r="J26" s="99"/>
      <c r="K26" s="105"/>
      <c r="L26" s="50"/>
      <c r="M26" s="10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79" t="s">
        <v>142</v>
      </c>
      <c r="B27" s="62"/>
      <c r="C27" s="63"/>
      <c r="D27" s="64"/>
      <c r="E27" s="65"/>
      <c r="F27" s="102"/>
      <c r="G27" s="102"/>
      <c r="H27" s="103"/>
      <c r="I27" s="98"/>
      <c r="J27" s="99"/>
      <c r="K27" s="105"/>
      <c r="L27" s="50"/>
      <c r="M27" s="10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79" t="s">
        <v>143</v>
      </c>
      <c r="B28" s="62"/>
      <c r="C28" s="63"/>
      <c r="D28" s="64"/>
      <c r="E28" s="65"/>
      <c r="F28" s="102"/>
      <c r="G28" s="102"/>
      <c r="H28" s="103"/>
      <c r="I28" s="98"/>
      <c r="J28" s="99"/>
      <c r="K28" s="105"/>
      <c r="L28" s="50"/>
      <c r="M28" s="10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144</v>
      </c>
      <c r="B29" s="62"/>
      <c r="C29" s="63"/>
      <c r="D29" s="64"/>
      <c r="E29" s="65"/>
      <c r="F29" s="102"/>
      <c r="G29" s="102"/>
      <c r="H29" s="103"/>
      <c r="I29" s="98"/>
      <c r="J29" s="99"/>
      <c r="K29" s="105"/>
      <c r="L29" s="50"/>
      <c r="M29" s="10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79" t="s">
        <v>145</v>
      </c>
      <c r="B30" s="62"/>
      <c r="C30" s="63"/>
      <c r="D30" s="64"/>
      <c r="E30" s="65"/>
      <c r="F30" s="102"/>
      <c r="G30" s="102"/>
      <c r="H30" s="103"/>
      <c r="I30" s="98"/>
      <c r="J30" s="99"/>
      <c r="K30" s="105"/>
      <c r="L30" s="50"/>
      <c r="M30" s="10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79" t="s">
        <v>146</v>
      </c>
      <c r="B31" s="62"/>
      <c r="C31" s="63"/>
      <c r="D31" s="64"/>
      <c r="E31" s="65"/>
      <c r="F31" s="102"/>
      <c r="G31" s="102"/>
      <c r="H31" s="103"/>
      <c r="I31" s="98"/>
      <c r="J31" s="99"/>
      <c r="K31" s="105"/>
      <c r="L31" s="50"/>
      <c r="M31" s="10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30"/>
      <c r="B32" s="62"/>
      <c r="C32" s="63"/>
      <c r="D32" s="64"/>
      <c r="E32" s="65"/>
      <c r="F32" s="108"/>
      <c r="G32" s="106"/>
      <c r="H32" s="109"/>
      <c r="I32" s="98"/>
      <c r="J32" s="110"/>
      <c r="K32" s="111"/>
      <c r="L32" s="60"/>
      <c r="M32" s="10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4"/>
      <c r="B33" s="2"/>
      <c r="C33" s="2"/>
      <c r="D33" s="2"/>
      <c r="E33" s="3"/>
      <c r="F33" s="145">
        <f t="shared" ref="F33:J33" si="1">SUM(F4:F32)</f>
        <v>83300</v>
      </c>
      <c r="G33" s="146">
        <f t="shared" si="1"/>
        <v>24100</v>
      </c>
      <c r="H33" s="75">
        <f t="shared" si="1"/>
        <v>6100</v>
      </c>
      <c r="I33" s="75">
        <f t="shared" si="1"/>
        <v>0</v>
      </c>
      <c r="J33" s="75">
        <f t="shared" si="1"/>
        <v>0</v>
      </c>
      <c r="K33" s="76"/>
      <c r="L33" s="76"/>
      <c r="M33" s="77"/>
    </row>
    <row r="34" ht="48.0" customHeight="1">
      <c r="F34" s="78">
        <f>F33+G33+H33+I33+J33</f>
        <v>113500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
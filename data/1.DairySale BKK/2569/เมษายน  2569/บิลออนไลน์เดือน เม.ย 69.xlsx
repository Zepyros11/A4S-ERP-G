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1.3-1.4-69" sheetId="1" r:id="rId4"/>
    <sheet state="visible" name="2-4-69" sheetId="2" r:id="rId5"/>
    <sheet state="visible" name="3-4-69" sheetId="3" r:id="rId6"/>
    <sheet state="visible" name="4-4-69" sheetId="4" r:id="rId7"/>
    <sheet state="visible" name="5-4-69" sheetId="5" r:id="rId8"/>
    <sheet state="visible" name="6-4-69" sheetId="6" r:id="rId9"/>
    <sheet state="visible" name="7-4-69" sheetId="7" r:id="rId10"/>
    <sheet state="visible" name="8-4-69" sheetId="8" r:id="rId11"/>
    <sheet state="visible" name="9-4-69" sheetId="9" r:id="rId12"/>
    <sheet state="visible" name="10-4-69" sheetId="10" r:id="rId13"/>
    <sheet state="visible" name="11-4-69" sheetId="11" r:id="rId14"/>
    <sheet state="visible" name="12-4-69" sheetId="12" r:id="rId15"/>
    <sheet state="visible" name="16-4-69" sheetId="13" r:id="rId16"/>
    <sheet state="visible" name="17-4-69" sheetId="14" r:id="rId17"/>
    <sheet state="visible" name="18-4-69" sheetId="15" r:id="rId18"/>
    <sheet state="visible" name="19-4-69" sheetId="16" r:id="rId19"/>
    <sheet state="visible" name="20-4-69" sheetId="17" r:id="rId20"/>
    <sheet state="visible" name="21-4-69" sheetId="18" r:id="rId21"/>
    <sheet state="visible" name="22-4-69" sheetId="19" r:id="rId22"/>
    <sheet state="visible" name="23-4-69" sheetId="20" r:id="rId23"/>
    <sheet state="visible" name="24-4-69" sheetId="21" r:id="rId24"/>
    <sheet state="visible" name="25-4-69" sheetId="22" r:id="rId25"/>
    <sheet state="visible" name="26-4-69" sheetId="23" r:id="rId26"/>
    <sheet state="visible" name="27-4-69" sheetId="24" r:id="rId27"/>
    <sheet state="visible" name="28-4-69" sheetId="25" r:id="rId28"/>
    <sheet state="visible" name="29-4-69" sheetId="26" r:id="rId29"/>
    <sheet state="visible" name="30-4-69" sheetId="27" r:id="rId30"/>
  </sheets>
  <definedNames/>
  <calcPr/>
  <extLst>
    <ext uri="GoogleSheetsCustomDataVersion2">
      <go:sheetsCustomData xmlns:go="http://customooxmlschemas.google.com/" r:id="rId31" roundtripDataChecksum="h4IO++bHLEttDW5UeFA3mPLDDYCcQhjYMl4p7n5+CX4="/>
    </ext>
  </extLst>
</workbook>
</file>

<file path=xl/sharedStrings.xml><?xml version="1.0" encoding="utf-8"?>
<sst xmlns="http://schemas.openxmlformats.org/spreadsheetml/2006/main" count="1588" uniqueCount="330">
  <si>
    <t xml:space="preserve">              สรุปยอด บิลออนไลน์  จัดส่ง / นำเข้า DP ดึงตั้งแต่  31 มีนาคม - 1 เมษายน 2569                                                                                           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</si>
  <si>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</si>
  <si>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</si>
  <si>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</si>
  <si>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</si>
  <si>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</si>
  <si>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</si>
  <si>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</si>
  <si>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</si>
  <si>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</si>
  <si>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ONLINE</t>
  </si>
  <si>
    <t>e-wallet</t>
  </si>
  <si>
    <t>QR</t>
  </si>
  <si>
    <t>หักคอม</t>
  </si>
  <si>
    <t>arp (usd)</t>
  </si>
  <si>
    <t>1</t>
  </si>
  <si>
    <t>STHONLIN2603006098</t>
  </si>
  <si>
    <t>นางสาว อารีย์ ลี้อุดม</t>
  </si>
  <si>
    <t>BKK</t>
  </si>
  <si>
    <t>รับเอง กทม.</t>
  </si>
  <si>
    <t>2</t>
  </si>
  <si>
    <t>STHONLIN2603006100</t>
  </si>
  <si>
    <t>นาย กฤตณัฎฐ์ ไพศาลธนธีรกุล</t>
  </si>
  <si>
    <t>3</t>
  </si>
  <si>
    <t>STHONLIN2603006102</t>
  </si>
  <si>
    <t>นาง จิตสิริ แพวัฒนเลิศ</t>
  </si>
  <si>
    <t>4</t>
  </si>
  <si>
    <t>STHONLIN2603006111</t>
  </si>
  <si>
    <t>นางสาว ภูว์ศรีลักษณ์ โพธิ์ศรีรัตนบุศย์</t>
  </si>
  <si>
    <t>5</t>
  </si>
  <si>
    <t>STHONLIN2603006112</t>
  </si>
  <si>
    <t>นาย สุเมธ จันทร์งาม</t>
  </si>
  <si>
    <t>6</t>
  </si>
  <si>
    <t>STHONLIN2603006136</t>
  </si>
  <si>
    <t>นาย สมชาย โสภา</t>
  </si>
  <si>
    <t>NP</t>
  </si>
  <si>
    <t>รับเอง DP</t>
  </si>
  <si>
    <t>7</t>
  </si>
  <si>
    <t>STHONLIN2604000016</t>
  </si>
  <si>
    <t>นางสาว ประภัสสร แก่นแก้ว</t>
  </si>
  <si>
    <t>8</t>
  </si>
  <si>
    <t>STHONLIN2604000025</t>
  </si>
  <si>
    <t>Ms. Miss OLUMUH ANGELINE EYERE</t>
  </si>
  <si>
    <t>9</t>
  </si>
  <si>
    <t>STHONLIN2604000033</t>
  </si>
  <si>
    <t>Mr. Mr. ABDULAHI ABOUBAKAR AZA</t>
  </si>
  <si>
    <t>10</t>
  </si>
  <si>
    <t>STHONLIN2604000037</t>
  </si>
  <si>
    <t>Ms. Josephine Etoh Tabe</t>
  </si>
  <si>
    <t>11</t>
  </si>
  <si>
    <t>STHONLIN2604000045</t>
  </si>
  <si>
    <t>Ms. Dosi Mirabel Chusie</t>
  </si>
  <si>
    <t>12</t>
  </si>
  <si>
    <t>STHONLIN2604000117</t>
  </si>
  <si>
    <t>Ms. DIBO SCHOLASTICA EMERI</t>
  </si>
  <si>
    <t>13</t>
  </si>
  <si>
    <t>STHONLIN2604000128</t>
  </si>
  <si>
    <t>นาย ปริญพัชร์ ศรีศุภณัฐธนากุล</t>
  </si>
  <si>
    <t>15</t>
  </si>
  <si>
    <t>จัดส่ง กทม.</t>
  </si>
  <si>
    <t>16</t>
  </si>
  <si>
    <t>17</t>
  </si>
  <si>
    <t>18</t>
  </si>
  <si>
    <t xml:space="preserve">              สรุปยอด บิลออนไลน์  จัดส่ง / นำเข้า DP ดึงตั้งแต่   2  เมษายน  2569                                                                                             </t>
  </si>
  <si>
    <t>STHONLIN2604000134</t>
  </si>
  <si>
    <t>นางสาว ศศิพิมพ์ ไพศูนย์</t>
  </si>
  <si>
    <t>STHONLIN2604000159</t>
  </si>
  <si>
    <t>Mr. FREDERICK BALOKO</t>
  </si>
  <si>
    <t>STHONLIN2604000161</t>
  </si>
  <si>
    <t>นางสาว พัชรมณฑ์ พรมทา</t>
  </si>
  <si>
    <t>STHONLIN2604000162</t>
  </si>
  <si>
    <t>นาย จักรพงศ์ สินธุรักษ์</t>
  </si>
  <si>
    <t>STHONLIN2604000179</t>
  </si>
  <si>
    <t>บริษัท สยามทวีทิพย์ จำกัด(สำนักงานใหญ่)</t>
  </si>
  <si>
    <t>STHONLIN2604000182</t>
  </si>
  <si>
    <t>นางสาว วันวิสาข แก้วแกมทอง</t>
  </si>
  <si>
    <t>STHONLIN2604000231</t>
  </si>
  <si>
    <t>Mr. Mr. ENDUM AUGUSTINE EDONGNECK</t>
  </si>
  <si>
    <t>14</t>
  </si>
  <si>
    <t xml:space="preserve">              สรุปยอด บิลออนไลน์  จัดส่ง / นำเข้า DP ดึงตั้งแต่   3  เมษายน  2569                                                                                               </t>
  </si>
  <si>
    <t>STHONLIN2604000364</t>
  </si>
  <si>
    <t>นาย ทรงกลด กันตังกุล</t>
  </si>
  <si>
    <t>STHONLIN2604000519</t>
  </si>
  <si>
    <t>บริษัท โคบาราเอฟโวลูชั่น (ประเทศไทย)จำกัด ( สำนักงานใหญ่ )</t>
  </si>
  <si>
    <t>STHONLIN2604000520</t>
  </si>
  <si>
    <t>ห้างหุ้นส่วน โกรท โกลเบิล เน็ตเวิร์ก (สำนักงานใหญ่)</t>
  </si>
  <si>
    <t>NB</t>
  </si>
  <si>
    <t>STHONLIN2604000522</t>
  </si>
  <si>
    <t>นาย สมคิด</t>
  </si>
  <si>
    <t>STHONLIN2604000523</t>
  </si>
  <si>
    <t>บริษัท เอ.ซี.พี.เค จำกัด (สำนักงานใหญ่)</t>
  </si>
  <si>
    <t>STHONLIN2604000537</t>
  </si>
  <si>
    <t>VICTOR JR SALDO</t>
  </si>
  <si>
    <t>STHONLIN2604000544</t>
  </si>
  <si>
    <t>Ms. Eghomba Ernestine Alih</t>
  </si>
  <si>
    <t>STHONLIN2604000547</t>
  </si>
  <si>
    <t>Loveline Bih</t>
  </si>
  <si>
    <t xml:space="preserve">              สรุปยอด บิลออนไลน์  จัดส่ง / นำเข้า DP ดึงตั้งแต่   4  เมษายน 2569                                                                                                </t>
  </si>
  <si>
    <t>STHONLIN2604000694</t>
  </si>
  <si>
    <t>STHONLIN2604000700</t>
  </si>
  <si>
    <t>นาง ฐานมญ ชลคีรี</t>
  </si>
  <si>
    <t>STHONLIN2604000725</t>
  </si>
  <si>
    <t>นางสาว ธนพรรษ​ ยี่ภู่</t>
  </si>
  <si>
    <t xml:space="preserve">              สรุปยอด บิลออนไลน์  จัดส่ง / นำเข้า DP ดึงตั้งแต่   5  เมษายน  2569                                                                                                </t>
  </si>
  <si>
    <t>STHONLIN2604000762</t>
  </si>
  <si>
    <t>นางสาว ลำใย  เจริญศิริ</t>
  </si>
  <si>
    <t>STHONLIN2604000898</t>
  </si>
  <si>
    <t>STHONLIN2604000903</t>
  </si>
  <si>
    <t>STHONLIN2604000904</t>
  </si>
  <si>
    <t>STHONLIN2604000906</t>
  </si>
  <si>
    <t>Ms. Alice wangare njoka</t>
  </si>
  <si>
    <t>STHONLIN2604000907</t>
  </si>
  <si>
    <t>นาย ทนงศักดิ์ ศิษย์พุทธธรรม</t>
  </si>
  <si>
    <t>STHONLIN2604000908</t>
  </si>
  <si>
    <t>บริษัท เศรษฐกวี จำกัด ( สำนักงานใหญ่ )</t>
  </si>
  <si>
    <t xml:space="preserve">              สรุปยอด บิลออนไลน์  จัดส่ง / นำเข้า DP ดึงตั้งแต่   6  เมษายน  2569                                                                                                </t>
  </si>
  <si>
    <t xml:space="preserve">              สรุปยอด บิลออนไลน์  จัดส่ง / นำเข้า DP ดึงตั้งแต่   7  เมษายน  2569                                                                                                </t>
  </si>
  <si>
    <t>STHONLIN2604000953</t>
  </si>
  <si>
    <t>นาย อุทัย กุลดี</t>
  </si>
  <si>
    <t>STHONLIN2604000955</t>
  </si>
  <si>
    <t>สุภาวดี  สุโคตร</t>
  </si>
  <si>
    <t>STHONLIN2604000959</t>
  </si>
  <si>
    <t>STHONLIN2604000978</t>
  </si>
  <si>
    <t>นางสาว ธนัญกานต์ แสงสุวรรณ์พร</t>
  </si>
  <si>
    <t>STHONLIN2604000981</t>
  </si>
  <si>
    <t>STHONLIN2604001048</t>
  </si>
  <si>
    <t>บริษัท  ต.ศรีโสภณ จำกัด (สำนักงานใหญ่)</t>
  </si>
  <si>
    <t>STHONLIN2604001049</t>
  </si>
  <si>
    <t>DP</t>
  </si>
  <si>
    <t>STHONLIN2604001051</t>
  </si>
  <si>
    <t xml:space="preserve">              สรุปยอด บิลออนไลน์  จัดส่ง / นำเข้า DP ดึงตั้งแต่   8  เมษายน  2569                                                                                                </t>
  </si>
  <si>
    <t>STHONLIN2604001219</t>
  </si>
  <si>
    <t>Ms. Mispa Osonge</t>
  </si>
  <si>
    <t>STHONLIN2604001331</t>
  </si>
  <si>
    <t>STHONLIN2604001332</t>
  </si>
  <si>
    <t>นางสาว วาสนา บุญเกษม</t>
  </si>
  <si>
    <t>STHONLIN2604001334</t>
  </si>
  <si>
    <t>STHONLIN2604001349</t>
  </si>
  <si>
    <t>นางสาว สุพัตรา คุณเชื่อง</t>
  </si>
  <si>
    <t>STHONLIN2604001350</t>
  </si>
  <si>
    <t>นาย สิปปภาส  โรจนวสุธร</t>
  </si>
  <si>
    <t xml:space="preserve">              สรุปยอด บิลออนไลน์  จัดส่ง / นำเข้า DP ดึงตั้งแต่   9  เมษายน  2569                                                                                                </t>
  </si>
  <si>
    <t>STHONLIN2604001383</t>
  </si>
  <si>
    <t>นาย ชาญชัย   วิธานสรกิจ</t>
  </si>
  <si>
    <t>STHONLIN2604001415</t>
  </si>
  <si>
    <t>นางสาว ดารดี ญาณกวี</t>
  </si>
  <si>
    <t>STHONLIN2604001655</t>
  </si>
  <si>
    <t>นางสาว นงพงา ตั้งฤทัยเยี่ยม</t>
  </si>
  <si>
    <t>STHONLIN2604001656</t>
  </si>
  <si>
    <t>STHONLIN2604001661</t>
  </si>
  <si>
    <t>STHONLIN2604001688</t>
  </si>
  <si>
    <t>Mr. BAMBA ABDUL HAMID</t>
  </si>
  <si>
    <t>STHONLIN2604001717</t>
  </si>
  <si>
    <t>นางสาว ปิยภรณ์  อังคเสถียร</t>
  </si>
  <si>
    <t>STHONLIN2604001719</t>
  </si>
  <si>
    <t>นาย วิโรจน์ อังคเสถียร</t>
  </si>
  <si>
    <t>STHONLIN2604001727</t>
  </si>
  <si>
    <t>นางสาว วาชินี  อังคเสถียร</t>
  </si>
  <si>
    <t xml:space="preserve">              สรุปยอด บิลออนไลน์  จัดส่ง / นำเข้า DP ดึงตั้งแต่   10  เมษายน  2569                                                                                                </t>
  </si>
  <si>
    <t>STHONLIN2604001948</t>
  </si>
  <si>
    <t>STHONLIN2604001950</t>
  </si>
  <si>
    <t>นางสาว คณาง ไพรบึง</t>
  </si>
  <si>
    <t>STHONLIN2604001954</t>
  </si>
  <si>
    <t>STHONLIN2604001957</t>
  </si>
  <si>
    <t>นาย ปรเมศวร์ ธรรมโชติ</t>
  </si>
  <si>
    <t xml:space="preserve">              สรุปยอด บิลออนไลน์  จัดส่ง / นำเข้า DP ดึงตั้งแต่   11  เมษายน  2569                                                                                                </t>
  </si>
  <si>
    <t>STHONLIN2604002186</t>
  </si>
  <si>
    <t>นางสาว ฐิติมา ทิศอุ่น</t>
  </si>
  <si>
    <t>STHONLIN2604002190</t>
  </si>
  <si>
    <t xml:space="preserve">              สรุปยอด บิลออนไลน์  จัดส่ง / นำเข้า DP ดึงตั้งแต่   12  เมษายน  2569                                                                                                </t>
  </si>
  <si>
    <t>STHONLIN2604002336</t>
  </si>
  <si>
    <t>นาย สุรวัฒน์ ตั้งพงศ์ศิรประภา</t>
  </si>
  <si>
    <t>STHONLIN2604002339</t>
  </si>
  <si>
    <t>STHONLIN2604002353</t>
  </si>
  <si>
    <t>Mr. JELKYES  YERSE</t>
  </si>
  <si>
    <t>STHONLIN2604002357</t>
  </si>
  <si>
    <t>นาย พชร จิรรัตน์พิทักษ์</t>
  </si>
  <si>
    <t>STHONLIN2604002358</t>
  </si>
  <si>
    <t>นาง สมหมาย จิรรัตน์พิทักษ์</t>
  </si>
  <si>
    <t xml:space="preserve">              สรุปยอด บิลออนไลน์  จัดส่ง / นำเข้า DP ดึงตั้งแต่   16  เมษายน  2569                                                                                                </t>
  </si>
  <si>
    <t>STHONLIN2604003064</t>
  </si>
  <si>
    <t>นาง ปริษา ปรัชญาโชติการ</t>
  </si>
  <si>
    <t>STHONLIN2604003121</t>
  </si>
  <si>
    <t>นาย พลวัฒน์ หวลจันทึก</t>
  </si>
  <si>
    <t>STHONLIN2604003181</t>
  </si>
  <si>
    <t>นาย กัมปนาท รุ่งโรจน์</t>
  </si>
  <si>
    <t xml:space="preserve">              สรุปยอด บิลออนไลน์  จัดส่ง / นำเข้า DP ดึงตั้งแต่   17  เมษายน  2569                                                                                                </t>
  </si>
  <si>
    <t xml:space="preserve">ไม่มีบิลออนไลน์  </t>
  </si>
  <si>
    <t xml:space="preserve">              สรุปยอด บิลออนไลน์  จัดส่ง / นำเข้า DP ดึงตั้งแต่   18  เมษายน  2569                                                                                                </t>
  </si>
  <si>
    <t>STHONLIN2604003609</t>
  </si>
  <si>
    <t>นาย ดิเรก  กรีฑา</t>
  </si>
  <si>
    <t>STHONLIN2604003610</t>
  </si>
  <si>
    <t>STHONLIN2604003614</t>
  </si>
  <si>
    <t>บริษัท ดีเวย์ ริชคอร์ป จำกัด(สำนักงานใหญ่)</t>
  </si>
  <si>
    <t>STHONLIN2604003621</t>
  </si>
  <si>
    <t>STHONLIN2604003628</t>
  </si>
  <si>
    <t>Mrs. Cantiller Armie Mayang</t>
  </si>
  <si>
    <t>STHONLIN2604003642</t>
  </si>
  <si>
    <t xml:space="preserve">              สรุปยอด บิลออนไลน์  จัดส่ง / นำเข้า DP ดึงตั้งแต่   19  เมษายน  2569                                                                                                </t>
  </si>
  <si>
    <t>STHONLIN2604003678</t>
  </si>
  <si>
    <t>Solache   Eneh</t>
  </si>
  <si>
    <t>STHONLIN2604003681</t>
  </si>
  <si>
    <t>STHONLIN2604003774</t>
  </si>
  <si>
    <t>นางสาว ธนิชชนันท์ สิริภาคยะประภา</t>
  </si>
  <si>
    <t>STHONLIN2604003778</t>
  </si>
  <si>
    <t>นาย นพรัตน์ โชติเกษมกุล</t>
  </si>
  <si>
    <t xml:space="preserve">              สรุปยอด บิลออนไลน์  จัดส่ง / นำเข้า DP ดึงตั้งแต่   20  เมษายน  2569                                                                                                </t>
  </si>
  <si>
    <t>STHONLIN2604003869</t>
  </si>
  <si>
    <t>STHONLIN2604003870</t>
  </si>
  <si>
    <t xml:space="preserve">              สรุปยอด บิลออนไลน์  จัดส่ง / นำเข้า DP ดึงตั้งแต่   21  เมษายน  2569                                                                                                </t>
  </si>
  <si>
    <t>STHONLIN2604003953</t>
  </si>
  <si>
    <t>STHONLIN2604004235</t>
  </si>
  <si>
    <t>นาง ปวีณา   ปาทา</t>
  </si>
  <si>
    <t>STHONLIN2604004237</t>
  </si>
  <si>
    <t>STHONLIN2604004241</t>
  </si>
  <si>
    <t>STHONLIN2604004245</t>
  </si>
  <si>
    <t>STHONLIN2604004253</t>
  </si>
  <si>
    <t xml:space="preserve">              สรุปยอด บิลออนไลน์  จัดส่ง / นำเข้า DP ดึงตั้งแต่   22  เมษายน  2569                                                                                                </t>
  </si>
  <si>
    <t>STHONLIN2604004351</t>
  </si>
  <si>
    <t>EFFA CATHERINE NGoB</t>
  </si>
  <si>
    <t>STHONLIN2604004494</t>
  </si>
  <si>
    <t>Mr. YOUMBI NJAWE OLIVIER</t>
  </si>
  <si>
    <t>STHONLIN2604004496</t>
  </si>
  <si>
    <t>นาง กัญฐ์ภิญญา จงยันต์ธนกุล</t>
  </si>
  <si>
    <t>STHONLIN2604004497</t>
  </si>
  <si>
    <t>STHONLIN2604004499</t>
  </si>
  <si>
    <t>นางสาว ภรภัทร  อธิเกษมสุข</t>
  </si>
  <si>
    <t xml:space="preserve">              สรุปยอด บิลออนไลน์  จัดส่ง / นำเข้า DP ดึงตั้งแต่   23  เมษายน  2569                                                                                                </t>
  </si>
  <si>
    <t xml:space="preserve">                                      ไม่มีบิลออนไลน์  </t>
  </si>
  <si>
    <t xml:space="preserve">              สรุปยอด บิลออนไลน์  จัดส่ง / นำเข้า DP ดึงตั้งแต่   24  เมษายน  2569                                                                                                </t>
  </si>
  <si>
    <t>STHONLIN2604004772</t>
  </si>
  <si>
    <t>ไพโรจน์ นันทะวงศ์</t>
  </si>
  <si>
    <t>STHONLIN2604004876</t>
  </si>
  <si>
    <t>นางสาว ภควรรณ  คงแก้ว</t>
  </si>
  <si>
    <t>STHONLIN2604004988</t>
  </si>
  <si>
    <t xml:space="preserve">              สรุปยอด บิลออนไลน์  จัดส่ง / นำเข้า DP ดึงตั้งแต่   25  เมษายน  2569                                                                                                </t>
  </si>
  <si>
    <t xml:space="preserve">              สรุปยอด บิลออนไลน์  จัดส่ง / นำเข้า DP ดึงตั้งแต่   26  เมษายน  2569                                                                                                </t>
  </si>
  <si>
    <t>STHONLIN2604005370</t>
  </si>
  <si>
    <t>STHONLIN2604005435</t>
  </si>
  <si>
    <t>นาย ณฐพนธ์ ศรีศักดา</t>
  </si>
  <si>
    <t>STHONLIN2604005436</t>
  </si>
  <si>
    <t>ผุสดี ฤทธิ์ช่วยรอด</t>
  </si>
  <si>
    <t xml:space="preserve">              สรุปยอด บิลออนไลน์  จัดส่ง / นำเข้า DP ดึงตั้งแต่   27 เมษายน  2569                                                                                                </t>
  </si>
  <si>
    <t>STHONLIN2604005450</t>
  </si>
  <si>
    <t>นาย สุวิทย์  รองชูเพ็ง</t>
  </si>
  <si>
    <t>STHONLIN2604005500</t>
  </si>
  <si>
    <t>นาย ธนบูลย์ แสงฐิตาพันธุ์</t>
  </si>
  <si>
    <t>STHONLIN2604005501</t>
  </si>
  <si>
    <t xml:space="preserve">              สรุปยอด บิลออนไลน์  จัดส่ง / นำเข้า DP ดึงตั้งแต่   28 เมษายน  2569                                                                                                </t>
  </si>
  <si>
    <t>STHONLIN2604005761</t>
  </si>
  <si>
    <t>STHONLIN2604005762</t>
  </si>
  <si>
    <t>STHONLIN2604005766</t>
  </si>
  <si>
    <t>STHONLIN2604005769</t>
  </si>
  <si>
    <t>นาง ออน ศักดี</t>
  </si>
  <si>
    <t>STHONLIN2604005791</t>
  </si>
  <si>
    <t>นาย อดุลย์ กลิ่นหอมอุทิศ</t>
  </si>
  <si>
    <t>STHONLIN2604005842</t>
  </si>
  <si>
    <t>นางสาว มัลลิกา พลรัตน์</t>
  </si>
  <si>
    <t xml:space="preserve">              สรุปยอด บิลออนไลน์  จัดส่ง / นำเข้า DP ดึงตั้งแต่   29 เมษายน  2569                                                                                                </t>
  </si>
  <si>
    <t>STHONLIN2604006131</t>
  </si>
  <si>
    <t>STHONLIN2604006134</t>
  </si>
  <si>
    <t>STHONLIN2604006141</t>
  </si>
  <si>
    <t>นาย โชติพงษ์ ณ เชียงรุ้ง</t>
  </si>
  <si>
    <t>STHONLIN2604006145</t>
  </si>
  <si>
    <t>นาย สมหมาย ทับทอง</t>
  </si>
  <si>
    <t>STHONLIN2604006166</t>
  </si>
  <si>
    <t>นาย ดำรงค์ ปฏิสังข์</t>
  </si>
  <si>
    <t>STHONLIN2604006175</t>
  </si>
  <si>
    <t>นางสาว รวินท์รัตน์ เหลืองอ่อน</t>
  </si>
  <si>
    <t>STHONLIN2604006177</t>
  </si>
  <si>
    <t>นางสาว เยาวรินทร์ ศรีชัยนันท์</t>
  </si>
  <si>
    <t>STHONLIN2604006178</t>
  </si>
  <si>
    <t>นาย เก่งภพ ศุภาภพปภาส</t>
  </si>
  <si>
    <t>STHONLIN2604006191</t>
  </si>
  <si>
    <t>STHONLIN2604006203</t>
  </si>
  <si>
    <t>นาง วันทนา  กลีบเมฆ</t>
  </si>
  <si>
    <t>STHBKK012604000364</t>
  </si>
  <si>
    <t>สรุปยอด บิลออนไลน์  จัดส่ง / นำเข้า DP ดึงตั้งแต่   30 เมษายน  2569</t>
  </si>
  <si>
    <t>STHONLIN2604006271</t>
  </si>
  <si>
    <t>STHONLIN2604006375</t>
  </si>
  <si>
    <t>STHONLIN2604006488</t>
  </si>
  <si>
    <t>STHONLIN2604006493</t>
  </si>
  <si>
    <t>STHONLIN2604006495</t>
  </si>
  <si>
    <t>STHONLIN2604006497</t>
  </si>
  <si>
    <t>นาย เถลิงศักดิ์ ประภัสสร</t>
  </si>
  <si>
    <t>STHONLIN2604006499</t>
  </si>
  <si>
    <t>STHONLIN2604006501</t>
  </si>
  <si>
    <t>นาย สมยศ อภิรัชนากุล</t>
  </si>
  <si>
    <t>STHONLIN2604006502</t>
  </si>
  <si>
    <t>นางสาว ณัฐนันท์ เจริญศิริวิชญกุล</t>
  </si>
  <si>
    <t>STHONLIN2604006504</t>
  </si>
  <si>
    <t>นาย ณัฐพล ไกรเพิ่ม</t>
  </si>
  <si>
    <t>STHONLIN2604006510</t>
  </si>
  <si>
    <t>นาย ปรมัตถุ อัศวฤทธำรง</t>
  </si>
  <si>
    <t>STHONLIN2604006516</t>
  </si>
  <si>
    <t>STHONLIN2604006518</t>
  </si>
  <si>
    <t>STHONLIN2604006523</t>
  </si>
  <si>
    <t>STHONLIN2604006527</t>
  </si>
  <si>
    <t>นาง วริชา จันทรังษี</t>
  </si>
  <si>
    <t>STHONLIN2604006533</t>
  </si>
  <si>
    <t>นาง วิชญ์ชยา ภูธนโรจน์สิริ</t>
  </si>
  <si>
    <t>STHONLIN2604006539</t>
  </si>
  <si>
    <t>STHONLIN2604006566</t>
  </si>
  <si>
    <t>นาย  จักรพงศ์ เพชรเหลี่ยม</t>
  </si>
  <si>
    <t>19</t>
  </si>
  <si>
    <t>STHONLIN2604006569</t>
  </si>
  <si>
    <t>นาย พงษ์เทพ เกตุแก้ว</t>
  </si>
  <si>
    <t>20</t>
  </si>
  <si>
    <t>STHONLIN2604006573</t>
  </si>
  <si>
    <t>21</t>
  </si>
  <si>
    <t>STHONLIN2604006575</t>
  </si>
  <si>
    <t>ธันย์ธิวัฒน์ อนุมาศ</t>
  </si>
  <si>
    <t>22</t>
  </si>
  <si>
    <t>STHONLIN2604006579</t>
  </si>
  <si>
    <t>กรณ์ธนัตถ์ บุญมีสุขสัณห์</t>
  </si>
  <si>
    <t>23</t>
  </si>
  <si>
    <t>STHONLIN2604006586</t>
  </si>
  <si>
    <t>24</t>
  </si>
  <si>
    <t>STHONLIN2604006587</t>
  </si>
  <si>
    <t>นาย อิทธิพล วรรณอุ่น</t>
  </si>
  <si>
    <t>25</t>
  </si>
  <si>
    <t>STHONLIN2604006601</t>
  </si>
  <si>
    <t>26</t>
  </si>
  <si>
    <t>STHONLIN2604006609</t>
  </si>
  <si>
    <t>นาง รษิกา อยู่นาน</t>
  </si>
  <si>
    <t>28</t>
  </si>
  <si>
    <t>STHONLIN2604006617</t>
  </si>
  <si>
    <t>29</t>
  </si>
  <si>
    <t>30</t>
  </si>
  <si>
    <t>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</si>
</sst>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45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19.0"/>
      <color theme="1"/>
      <name val="Aptos Narrow"/>
    </font>
    <font>
      <b/>
      <sz val="26.0"/>
      <color rgb="FF000000"/>
      <name val="Angsana New"/>
    </font>
    <font>
      <sz val="22.0"/>
      <color theme="1"/>
      <name val="Arial"/>
    </font>
    <font>
      <sz val="19.0"/>
      <color theme="1"/>
      <name val="Arial"/>
    </font>
    <font>
      <sz val="25.0"/>
      <color theme="1"/>
      <name val="Arial"/>
    </font>
    <font>
      <sz val="24.0"/>
      <color theme="1"/>
      <name val="Arial"/>
    </font>
    <font>
      <b/>
      <sz val="26.0"/>
      <color theme="1"/>
      <name val="Arial"/>
    </font>
    <font>
      <color theme="1"/>
      <name val="Arial"/>
    </font>
    <font>
      <sz val="26.0"/>
      <color theme="1"/>
      <name val="Arial"/>
    </font>
    <font>
      <sz val="26.0"/>
      <color rgb="FFFF0000"/>
      <name val="Arial"/>
    </font>
    <font>
      <sz val="29.0"/>
      <color theme="1"/>
      <name val="Aptos Narrow"/>
    </font>
    <font>
      <b/>
      <sz val="29.0"/>
      <color rgb="FF000000"/>
      <name val="Angsana New"/>
    </font>
    <font>
      <sz val="18.0"/>
      <color theme="1"/>
      <name val="Arial"/>
    </font>
    <font>
      <b/>
      <sz val="18.0"/>
      <color theme="1"/>
      <name val="Arial"/>
    </font>
    <font>
      <sz val="23.0"/>
      <color theme="1"/>
      <name val="Arial"/>
    </font>
    <font>
      <sz val="24.0"/>
      <color rgb="FFFF0000"/>
      <name val="Arial"/>
    </font>
    <font>
      <b/>
      <sz val="25.0"/>
      <color theme="1"/>
      <name val="Aptos Narrow"/>
    </font>
    <font>
      <b/>
      <sz val="18.0"/>
      <color rgb="FFFF0000"/>
      <name val="Arial"/>
    </font>
    <font>
      <b/>
      <sz val="25.0"/>
      <color theme="1"/>
      <name val="Arial"/>
    </font>
    <font>
      <b/>
      <sz val="23.0"/>
      <color theme="1"/>
      <name val="Arial"/>
    </font>
    <font>
      <b/>
      <sz val="29.0"/>
      <color rgb="FFFF0000"/>
      <name val="Arial"/>
    </font>
    <font>
      <sz val="21.0"/>
      <color theme="1"/>
      <name val="Arial"/>
    </font>
    <font>
      <b/>
      <sz val="21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27.0"/>
      <color theme="1"/>
      <name val="Arial"/>
    </font>
    <font>
      <b/>
      <sz val="27.0"/>
      <color theme="1"/>
      <name val="Arial"/>
    </font>
    <font>
      <sz val="27.0"/>
      <color rgb="FFFF0000"/>
      <name val="Arial"/>
    </font>
    <font>
      <b/>
      <sz val="24.0"/>
      <color theme="1"/>
      <name val="Aptos Narrow"/>
    </font>
    <font>
      <sz val="26.0"/>
      <color rgb="FF000000"/>
      <name val="Arial"/>
    </font>
    <font>
      <b/>
      <sz val="24.0"/>
      <color theme="1"/>
      <name val="Arial"/>
    </font>
    <font>
      <b/>
      <sz val="26.0"/>
      <color rgb="FF000000"/>
      <name val="Arial"/>
    </font>
    <font>
      <sz val="20.0"/>
      <color theme="1"/>
      <name val="Arial"/>
    </font>
    <font>
      <sz val="19.0"/>
      <color rgb="FFFF0000"/>
      <name val="Arial"/>
    </font>
    <font>
      <sz val="19.0"/>
      <color rgb="FF000000"/>
      <name val="Arial"/>
    </font>
    <font>
      <sz val="28.0"/>
      <color theme="1"/>
      <name val="AngsanaUPC"/>
    </font>
    <font>
      <sz val="28.0"/>
      <color rgb="FF000000"/>
      <name val="AngsanaUPC"/>
    </font>
    <font>
      <sz val="28.0"/>
      <color rgb="FFFF0000"/>
      <name val="AngsanaUPC"/>
    </font>
  </fonts>
  <fills count="12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2" fillId="0" fontId="2" numFmtId="0" xfId="0" applyBorder="1" applyFont="1"/>
    <xf borderId="11" fillId="4" fontId="6" numFmtId="49" xfId="0" applyAlignment="1" applyBorder="1" applyFill="1" applyFont="1" applyNumberFormat="1">
      <alignment horizontal="center" shrinkToFit="0" vertical="center" wrapText="0"/>
    </xf>
    <xf borderId="11" fillId="4" fontId="7" numFmtId="164" xfId="0" applyAlignment="1" applyBorder="1" applyFont="1" applyNumberFormat="1">
      <alignment horizontal="right" readingOrder="0"/>
    </xf>
    <xf borderId="11" fillId="4" fontId="8" numFmtId="4" xfId="0" applyAlignment="1" applyBorder="1" applyFont="1" applyNumberFormat="1">
      <alignment readingOrder="0"/>
    </xf>
    <xf borderId="11" fillId="4" fontId="7" numFmtId="1" xfId="0" applyAlignment="1" applyBorder="1" applyFont="1" applyNumberFormat="1">
      <alignment horizontal="center" readingOrder="0"/>
    </xf>
    <xf borderId="11" fillId="4" fontId="9" numFmtId="0" xfId="0" applyAlignment="1" applyBorder="1" applyFont="1">
      <alignment readingOrder="0"/>
    </xf>
    <xf borderId="11" fillId="4" fontId="10" numFmtId="38" xfId="0" applyAlignment="1" applyBorder="1" applyFont="1" applyNumberFormat="1">
      <alignment horizontal="center" readingOrder="0"/>
    </xf>
    <xf borderId="12" fillId="4" fontId="11" numFmtId="38" xfId="0" applyAlignment="1" applyBorder="1" applyFont="1" applyNumberFormat="1">
      <alignment horizontal="right" vertical="bottom"/>
    </xf>
    <xf borderId="12" fillId="4" fontId="12" numFmtId="38" xfId="0" applyAlignment="1" applyBorder="1" applyFont="1" applyNumberFormat="1">
      <alignment vertical="bottom"/>
    </xf>
    <xf borderId="11" fillId="4" fontId="13" numFmtId="0" xfId="0" applyBorder="1" applyFont="1"/>
    <xf borderId="11" fillId="4" fontId="13" numFmtId="3" xfId="0" applyBorder="1" applyFont="1" applyNumberFormat="1"/>
    <xf borderId="11" fillId="4" fontId="13" numFmtId="0" xfId="0" applyAlignment="1" applyBorder="1" applyFont="1">
      <alignment horizontal="center" readingOrder="0"/>
    </xf>
    <xf borderId="11" fillId="4" fontId="14" numFmtId="0" xfId="0" applyAlignment="1" applyBorder="1" applyFont="1">
      <alignment horizontal="center" vertical="center"/>
    </xf>
    <xf borderId="11" fillId="4" fontId="13" numFmtId="0" xfId="0" applyAlignment="1" applyBorder="1" applyFont="1">
      <alignment horizontal="center" vertical="center"/>
    </xf>
    <xf borderId="0" fillId="0" fontId="15" numFmtId="0" xfId="0" applyFont="1"/>
    <xf borderId="11" fillId="5" fontId="16" numFmtId="49" xfId="0" applyAlignment="1" applyBorder="1" applyFill="1" applyFont="1" applyNumberFormat="1">
      <alignment horizontal="center" shrinkToFit="0" vertical="center" wrapText="0"/>
    </xf>
    <xf borderId="11" fillId="5" fontId="7" numFmtId="164" xfId="0" applyAlignment="1" applyBorder="1" applyFont="1" applyNumberFormat="1">
      <alignment horizontal="right" readingOrder="0"/>
    </xf>
    <xf borderId="11" fillId="5" fontId="8" numFmtId="4" xfId="0" applyAlignment="1" applyBorder="1" applyFont="1" applyNumberFormat="1">
      <alignment readingOrder="0"/>
    </xf>
    <xf borderId="11" fillId="5" fontId="7" numFmtId="1" xfId="0" applyAlignment="1" applyBorder="1" applyFont="1" applyNumberFormat="1">
      <alignment horizontal="center" readingOrder="0"/>
    </xf>
    <xf borderId="11" fillId="5" fontId="9" numFmtId="0" xfId="0" applyAlignment="1" applyBorder="1" applyFont="1">
      <alignment readingOrder="0"/>
    </xf>
    <xf borderId="11" fillId="5" fontId="17" numFmtId="38" xfId="0" applyAlignment="1" applyBorder="1" applyFont="1" applyNumberFormat="1">
      <alignment horizontal="center" readingOrder="0"/>
    </xf>
    <xf borderId="12" fillId="5" fontId="18" numFmtId="38" xfId="0" applyAlignment="1" applyBorder="1" applyFont="1" applyNumberFormat="1">
      <alignment horizontal="right" vertical="bottom"/>
    </xf>
    <xf borderId="11" fillId="5" fontId="19" numFmtId="0" xfId="0" applyBorder="1" applyFont="1"/>
    <xf borderId="11" fillId="5" fontId="19" numFmtId="3" xfId="0" applyAlignment="1" applyBorder="1" applyFont="1" applyNumberFormat="1">
      <alignment horizontal="center"/>
    </xf>
    <xf borderId="11" fillId="5" fontId="20" numFmtId="0" xfId="0" applyAlignment="1" applyBorder="1" applyFont="1">
      <alignment horizontal="center" vertical="center"/>
    </xf>
    <xf borderId="11" fillId="5" fontId="10" numFmtId="0" xfId="0" applyAlignment="1" applyBorder="1" applyFont="1">
      <alignment horizontal="center"/>
    </xf>
    <xf borderId="12" fillId="4" fontId="8" numFmtId="164" xfId="0" applyAlignment="1" applyBorder="1" applyFont="1" applyNumberFormat="1">
      <alignment horizontal="center" readingOrder="0" vertical="bottom"/>
    </xf>
    <xf borderId="12" fillId="4" fontId="17" numFmtId="4" xfId="0" applyAlignment="1" applyBorder="1" applyFont="1" applyNumberFormat="1">
      <alignment readingOrder="0" vertical="bottom"/>
    </xf>
    <xf borderId="12" fillId="4" fontId="17" numFmtId="1" xfId="0" applyAlignment="1" applyBorder="1" applyFont="1" applyNumberFormat="1">
      <alignment horizontal="center" readingOrder="0" vertical="bottom"/>
    </xf>
    <xf borderId="12" fillId="4" fontId="9" numFmtId="0" xfId="0" applyAlignment="1" applyBorder="1" applyFont="1">
      <alignment readingOrder="0" vertical="bottom"/>
    </xf>
    <xf borderId="12" fillId="4" fontId="9" numFmtId="38" xfId="0" applyAlignment="1" applyBorder="1" applyFont="1" applyNumberFormat="1">
      <alignment horizontal="right" readingOrder="0" vertical="bottom"/>
    </xf>
    <xf borderId="12" fillId="4" fontId="18" numFmtId="38" xfId="0" applyAlignment="1" applyBorder="1" applyFont="1" applyNumberFormat="1">
      <alignment horizontal="right" vertical="bottom"/>
    </xf>
    <xf borderId="11" fillId="4" fontId="21" numFmtId="0" xfId="0" applyAlignment="1" applyBorder="1" applyFont="1">
      <alignment horizontal="center" shrinkToFit="0" vertical="center" wrapText="1"/>
    </xf>
    <xf borderId="11" fillId="4" fontId="19" numFmtId="3" xfId="0" applyAlignment="1" applyBorder="1" applyFont="1" applyNumberFormat="1">
      <alignment horizontal="center" shrinkToFit="0" vertical="center" wrapText="1"/>
    </xf>
    <xf borderId="11" fillId="4" fontId="22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/>
    </xf>
    <xf borderId="12" fillId="4" fontId="9" numFmtId="38" xfId="0" applyAlignment="1" applyBorder="1" applyFont="1" applyNumberFormat="1">
      <alignment horizontal="right" vertical="bottom"/>
    </xf>
    <xf borderId="12" fillId="4" fontId="18" numFmtId="38" xfId="0" applyAlignment="1" applyBorder="1" applyFont="1" applyNumberFormat="1">
      <alignment horizontal="right" readingOrder="0" vertical="bottom"/>
    </xf>
    <xf borderId="11" fillId="0" fontId="10" numFmtId="0" xfId="0" applyAlignment="1" applyBorder="1" applyFont="1">
      <alignment horizontal="center" readingOrder="0"/>
    </xf>
    <xf borderId="12" fillId="4" fontId="13" numFmtId="38" xfId="0" applyAlignment="1" applyBorder="1" applyFont="1" applyNumberFormat="1">
      <alignment readingOrder="0" vertical="bottom"/>
    </xf>
    <xf borderId="12" fillId="4" fontId="17" numFmtId="0" xfId="0" applyAlignment="1" applyBorder="1" applyFont="1">
      <alignment readingOrder="0" vertical="bottom"/>
    </xf>
    <xf borderId="12" fillId="4" fontId="23" numFmtId="38" xfId="0" applyAlignment="1" applyBorder="1" applyFont="1" applyNumberFormat="1">
      <alignment horizontal="right" vertical="bottom"/>
    </xf>
    <xf borderId="11" fillId="4" fontId="23" numFmtId="38" xfId="0" applyAlignment="1" applyBorder="1" applyFont="1" applyNumberFormat="1">
      <alignment readingOrder="0" vertical="bottom"/>
    </xf>
    <xf borderId="11" fillId="4" fontId="24" numFmtId="3" xfId="0" applyAlignment="1" applyBorder="1" applyFont="1" applyNumberFormat="1">
      <alignment horizontal="center" shrinkToFit="0" vertical="center" wrapText="1"/>
    </xf>
    <xf borderId="11" fillId="4" fontId="25" numFmtId="0" xfId="0" applyAlignment="1" applyBorder="1" applyFont="1">
      <alignment horizontal="center" vertical="center"/>
    </xf>
    <xf borderId="11" fillId="0" fontId="26" numFmtId="0" xfId="0" applyAlignment="1" applyBorder="1" applyFont="1">
      <alignment horizontal="center" readingOrder="0"/>
    </xf>
    <xf borderId="12" fillId="4" fontId="23" numFmtId="38" xfId="0" applyAlignment="1" applyBorder="1" applyFont="1" applyNumberFormat="1">
      <alignment horizontal="right" readingOrder="0" vertical="bottom"/>
    </xf>
    <xf borderId="11" fillId="4" fontId="23" numFmtId="38" xfId="0" applyAlignment="1" applyBorder="1" applyFont="1" applyNumberFormat="1">
      <alignment vertical="bottom"/>
    </xf>
    <xf borderId="11" fillId="4" fontId="23" numFmtId="38" xfId="0" applyAlignment="1" applyBorder="1" applyFont="1" applyNumberFormat="1">
      <alignment horizontal="right" vertical="bottom"/>
    </xf>
    <xf borderId="11" fillId="4" fontId="18" numFmtId="38" xfId="0" applyAlignment="1" applyBorder="1" applyFont="1" applyNumberFormat="1">
      <alignment horizontal="right" vertical="bottom"/>
    </xf>
    <xf borderId="11" fillId="4" fontId="27" numFmtId="38" xfId="0" applyAlignment="1" applyBorder="1" applyFont="1" applyNumberFormat="1">
      <alignment horizontal="right" vertical="bottom"/>
    </xf>
    <xf borderId="12" fillId="4" fontId="8" numFmtId="164" xfId="0" applyAlignment="1" applyBorder="1" applyFont="1" applyNumberFormat="1">
      <alignment horizontal="center" vertical="bottom"/>
    </xf>
    <xf borderId="12" fillId="4" fontId="17" numFmtId="4" xfId="0" applyAlignment="1" applyBorder="1" applyFont="1" applyNumberFormat="1">
      <alignment vertical="bottom"/>
    </xf>
    <xf borderId="12" fillId="4" fontId="17" numFmtId="1" xfId="0" applyAlignment="1" applyBorder="1" applyFont="1" applyNumberFormat="1">
      <alignment horizontal="center" vertical="bottom"/>
    </xf>
    <xf borderId="12" fillId="4" fontId="17" numFmtId="0" xfId="0" applyAlignment="1" applyBorder="1" applyFont="1">
      <alignment vertical="bottom"/>
    </xf>
    <xf borderId="11" fillId="5" fontId="19" numFmtId="0" xfId="0" applyAlignment="1" applyBorder="1" applyFont="1">
      <alignment horizontal="center"/>
    </xf>
    <xf borderId="11" fillId="0" fontId="26" numFmtId="0" xfId="0" applyAlignment="1" applyBorder="1" applyFont="1">
      <alignment horizontal="center"/>
    </xf>
    <xf borderId="0" fillId="0" fontId="15" numFmtId="3" xfId="0" applyFont="1" applyNumberFormat="1"/>
    <xf borderId="12" fillId="4" fontId="8" numFmtId="0" xfId="0" applyAlignment="1" applyBorder="1" applyFont="1">
      <alignment horizontal="center" vertical="bottom"/>
    </xf>
    <xf borderId="1" fillId="6" fontId="28" numFmtId="0" xfId="0" applyAlignment="1" applyBorder="1" applyFill="1" applyFont="1">
      <alignment horizontal="center"/>
    </xf>
    <xf borderId="13" fillId="6" fontId="29" numFmtId="3" xfId="0" applyAlignment="1" applyBorder="1" applyFont="1" applyNumberFormat="1">
      <alignment horizontal="center"/>
    </xf>
    <xf borderId="11" fillId="6" fontId="30" numFmtId="3" xfId="0" applyAlignment="1" applyBorder="1" applyFont="1" applyNumberFormat="1">
      <alignment horizontal="center"/>
    </xf>
    <xf borderId="11" fillId="6" fontId="31" numFmtId="3" xfId="0" applyAlignment="1" applyBorder="1" applyFont="1" applyNumberFormat="1">
      <alignment horizontal="right"/>
    </xf>
    <xf borderId="1" fillId="7" fontId="29" numFmtId="3" xfId="0" applyAlignment="1" applyBorder="1" applyFill="1" applyFont="1" applyNumberFormat="1">
      <alignment horizontal="center" vertical="top"/>
    </xf>
    <xf borderId="11" fillId="5" fontId="6" numFmtId="49" xfId="0" applyAlignment="1" applyBorder="1" applyFont="1" applyNumberFormat="1">
      <alignment horizontal="center" readingOrder="0" shrinkToFit="0" vertical="center" wrapText="0"/>
    </xf>
    <xf borderId="11" fillId="4" fontId="7" numFmtId="165" xfId="0" applyAlignment="1" applyBorder="1" applyFont="1" applyNumberFormat="1">
      <alignment horizontal="center" readingOrder="0"/>
    </xf>
    <xf borderId="11" fillId="4" fontId="7" numFmtId="0" xfId="0" applyAlignment="1" applyBorder="1" applyFont="1">
      <alignment readingOrder="0"/>
    </xf>
    <xf borderId="11" fillId="4" fontId="32" numFmtId="38" xfId="0" applyAlignment="1" applyBorder="1" applyFont="1" applyNumberFormat="1">
      <alignment horizontal="center"/>
    </xf>
    <xf borderId="12" fillId="4" fontId="33" numFmtId="38" xfId="0" applyAlignment="1" applyBorder="1" applyFont="1" applyNumberFormat="1">
      <alignment horizontal="right" vertical="bottom"/>
    </xf>
    <xf borderId="11" fillId="4" fontId="32" numFmtId="38" xfId="0" applyAlignment="1" applyBorder="1" applyFont="1" applyNumberFormat="1">
      <alignment horizontal="center" readingOrder="0"/>
    </xf>
    <xf borderId="11" fillId="4" fontId="10" numFmtId="0" xfId="0" applyBorder="1" applyFont="1"/>
    <xf borderId="11" fillId="4" fontId="10" numFmtId="3" xfId="0" applyBorder="1" applyFont="1" applyNumberFormat="1"/>
    <xf borderId="11" fillId="4" fontId="13" numFmtId="0" xfId="0" applyAlignment="1" applyBorder="1" applyFont="1">
      <alignment horizontal="center"/>
    </xf>
    <xf borderId="11" fillId="4" fontId="34" numFmtId="0" xfId="0" applyAlignment="1" applyBorder="1" applyFont="1">
      <alignment horizontal="center" vertical="center"/>
    </xf>
    <xf borderId="11" fillId="4" fontId="13" numFmtId="0" xfId="0" applyAlignment="1" applyBorder="1" applyFont="1">
      <alignment horizontal="center" readingOrder="0" vertical="center"/>
    </xf>
    <xf borderId="11" fillId="5" fontId="16" numFmtId="49" xfId="0" applyAlignment="1" applyBorder="1" applyFont="1" applyNumberFormat="1">
      <alignment horizontal="center" readingOrder="0" shrinkToFit="0" vertical="center" wrapText="0"/>
    </xf>
    <xf borderId="11" fillId="4" fontId="7" numFmtId="0" xfId="0" applyAlignment="1" applyBorder="1" applyFont="1">
      <alignment horizontal="left" readingOrder="0"/>
    </xf>
    <xf borderId="11" fillId="4" fontId="9" numFmtId="3" xfId="0" applyAlignment="1" applyBorder="1" applyFont="1" applyNumberFormat="1">
      <alignment horizontal="center" readingOrder="0" vertical="center"/>
    </xf>
    <xf borderId="11" fillId="4" fontId="10" numFmtId="3" xfId="0" applyAlignment="1" applyBorder="1" applyFont="1" applyNumberFormat="1">
      <alignment horizontal="center"/>
    </xf>
    <xf borderId="11" fillId="4" fontId="19" numFmtId="0" xfId="0" applyAlignment="1" applyBorder="1" applyFont="1">
      <alignment horizontal="center"/>
    </xf>
    <xf borderId="11" fillId="4" fontId="9" numFmtId="0" xfId="0" applyAlignment="1" applyBorder="1" applyFont="1">
      <alignment horizontal="center" readingOrder="0"/>
    </xf>
    <xf borderId="12" fillId="4" fontId="8" numFmtId="1" xfId="0" applyAlignment="1" applyBorder="1" applyFont="1" applyNumberFormat="1">
      <alignment horizontal="center" readingOrder="0" vertical="bottom"/>
    </xf>
    <xf borderId="12" fillId="4" fontId="8" numFmtId="0" xfId="0" applyAlignment="1" applyBorder="1" applyFont="1">
      <alignment readingOrder="0" vertical="bottom"/>
    </xf>
    <xf borderId="12" fillId="4" fontId="10" numFmtId="38" xfId="0" applyAlignment="1" applyBorder="1" applyFont="1" applyNumberFormat="1">
      <alignment horizontal="right" readingOrder="0" vertical="bottom"/>
    </xf>
    <xf borderId="11" fillId="4" fontId="32" numFmtId="38" xfId="0" applyAlignment="1" applyBorder="1" applyFont="1" applyNumberFormat="1">
      <alignment horizontal="center" vertical="bottom"/>
    </xf>
    <xf borderId="11" fillId="4" fontId="35" numFmtId="0" xfId="0" applyAlignment="1" applyBorder="1" applyFont="1">
      <alignment horizontal="center" shrinkToFit="0" vertical="center" wrapText="1"/>
    </xf>
    <xf borderId="11" fillId="4" fontId="10" numFmtId="3" xfId="0" applyAlignment="1" applyBorder="1" applyFont="1" applyNumberFormat="1">
      <alignment horizontal="center" shrinkToFit="0" vertical="center" wrapText="1"/>
    </xf>
    <xf borderId="2" fillId="4" fontId="36" numFmtId="0" xfId="0" applyAlignment="1" applyBorder="1" applyFont="1">
      <alignment horizontal="center" vertical="center"/>
    </xf>
    <xf borderId="12" fillId="4" fontId="10" numFmtId="38" xfId="0" applyAlignment="1" applyBorder="1" applyFont="1" applyNumberFormat="1">
      <alignment horizontal="right" vertical="bottom"/>
    </xf>
    <xf borderId="11" fillId="4" fontId="10" numFmtId="38" xfId="0" applyAlignment="1" applyBorder="1" applyFont="1" applyNumberFormat="1">
      <alignment horizontal="center" vertical="bottom"/>
    </xf>
    <xf borderId="11" fillId="0" fontId="9" numFmtId="0" xfId="0" applyAlignment="1" applyBorder="1" applyFont="1">
      <alignment horizontal="center" readingOrder="0"/>
    </xf>
    <xf borderId="12" fillId="4" fontId="37" numFmtId="38" xfId="0" applyAlignment="1" applyBorder="1" applyFont="1" applyNumberFormat="1">
      <alignment horizontal="right" vertical="bottom"/>
    </xf>
    <xf borderId="11" fillId="4" fontId="37" numFmtId="38" xfId="0" applyAlignment="1" applyBorder="1" applyFont="1" applyNumberFormat="1">
      <alignment horizontal="center" readingOrder="0" vertical="bottom"/>
    </xf>
    <xf borderId="11" fillId="4" fontId="37" numFmtId="38" xfId="0" applyAlignment="1" applyBorder="1" applyFont="1" applyNumberFormat="1">
      <alignment horizontal="center" vertical="bottom"/>
    </xf>
    <xf borderId="11" fillId="0" fontId="9" numFmtId="0" xfId="0" applyAlignment="1" applyBorder="1" applyFont="1">
      <alignment horizontal="center"/>
    </xf>
    <xf borderId="11" fillId="5" fontId="6" numFmtId="49" xfId="0" applyAlignment="1" applyBorder="1" applyFont="1" applyNumberFormat="1">
      <alignment horizontal="center" shrinkToFit="0" vertical="center" wrapText="0"/>
    </xf>
    <xf borderId="11" fillId="4" fontId="37" numFmtId="38" xfId="0" applyAlignment="1" applyBorder="1" applyFont="1" applyNumberFormat="1">
      <alignment horizontal="right" vertical="bottom"/>
    </xf>
    <xf borderId="11" fillId="4" fontId="37" numFmtId="38" xfId="0" applyAlignment="1" applyBorder="1" applyFont="1" applyNumberFormat="1">
      <alignment vertical="bottom"/>
    </xf>
    <xf borderId="11" fillId="4" fontId="37" numFmtId="3" xfId="0" applyAlignment="1" applyBorder="1" applyFont="1" applyNumberFormat="1">
      <alignment horizontal="center" shrinkToFit="0" vertical="center" wrapText="1"/>
    </xf>
    <xf borderId="9" fillId="4" fontId="38" numFmtId="0" xfId="0" applyAlignment="1" applyBorder="1" applyFont="1">
      <alignment horizontal="center" vertical="center"/>
    </xf>
    <xf borderId="11" fillId="0" fontId="8" numFmtId="165" xfId="0" applyAlignment="1" applyBorder="1" applyFont="1" applyNumberFormat="1">
      <alignment horizontal="center" readingOrder="0"/>
    </xf>
    <xf borderId="11" fillId="0" fontId="8" numFmtId="4" xfId="0" applyAlignment="1" applyBorder="1" applyFont="1" applyNumberFormat="1">
      <alignment readingOrder="0"/>
    </xf>
    <xf borderId="11" fillId="0" fontId="8" numFmtId="1" xfId="0" applyAlignment="1" applyBorder="1" applyFont="1" applyNumberFormat="1">
      <alignment horizontal="center" readingOrder="0"/>
    </xf>
    <xf borderId="11" fillId="0" fontId="8" numFmtId="0" xfId="0" applyAlignment="1" applyBorder="1" applyFont="1">
      <alignment readingOrder="0"/>
    </xf>
    <xf borderId="11" fillId="8" fontId="8" numFmtId="3" xfId="0" applyBorder="1" applyFill="1" applyFont="1" applyNumberFormat="1"/>
    <xf borderId="11" fillId="9" fontId="8" numFmtId="3" xfId="0" applyBorder="1" applyFill="1" applyFont="1" applyNumberFormat="1"/>
    <xf borderId="11" fillId="10" fontId="8" numFmtId="3" xfId="0" applyAlignment="1" applyBorder="1" applyFill="1" applyFont="1" applyNumberFormat="1">
      <alignment horizontal="right" readingOrder="0"/>
    </xf>
    <xf borderId="11" fillId="11" fontId="8" numFmtId="3" xfId="0" applyBorder="1" applyFill="1" applyFont="1" applyNumberFormat="1"/>
    <xf borderId="11" fillId="4" fontId="8" numFmtId="165" xfId="0" applyAlignment="1" applyBorder="1" applyFont="1" applyNumberFormat="1">
      <alignment horizontal="center" readingOrder="0"/>
    </xf>
    <xf borderId="11" fillId="4" fontId="8" numFmtId="1" xfId="0" applyAlignment="1" applyBorder="1" applyFont="1" applyNumberFormat="1">
      <alignment horizontal="center" readingOrder="0"/>
    </xf>
    <xf borderId="11" fillId="4" fontId="8" numFmtId="0" xfId="0" applyAlignment="1" applyBorder="1" applyFont="1">
      <alignment readingOrder="0"/>
    </xf>
    <xf borderId="11" fillId="8" fontId="8" numFmtId="3" xfId="0" applyAlignment="1" applyBorder="1" applyFont="1" applyNumberFormat="1">
      <alignment horizontal="right" readingOrder="0"/>
    </xf>
    <xf borderId="11" fillId="10" fontId="8" numFmtId="3" xfId="0" applyBorder="1" applyFont="1" applyNumberFormat="1"/>
    <xf borderId="11" fillId="8" fontId="8" numFmtId="3" xfId="0" applyAlignment="1" applyBorder="1" applyFont="1" applyNumberFormat="1">
      <alignment readingOrder="0"/>
    </xf>
    <xf borderId="11" fillId="10" fontId="8" numFmtId="3" xfId="0" applyAlignment="1" applyBorder="1" applyFont="1" applyNumberFormat="1">
      <alignment horizontal="right"/>
    </xf>
    <xf borderId="11" fillId="9" fontId="8" numFmtId="3" xfId="0" applyAlignment="1" applyBorder="1" applyFont="1" applyNumberFormat="1">
      <alignment readingOrder="0"/>
    </xf>
    <xf borderId="12" fillId="9" fontId="10" numFmtId="38" xfId="0" applyAlignment="1" applyBorder="1" applyFont="1" applyNumberFormat="1">
      <alignment horizontal="right" vertical="bottom"/>
    </xf>
    <xf borderId="11" fillId="10" fontId="10" numFmtId="38" xfId="0" applyAlignment="1" applyBorder="1" applyFont="1" applyNumberFormat="1">
      <alignment horizontal="center" readingOrder="0" vertical="bottom"/>
    </xf>
    <xf borderId="11" fillId="11" fontId="35" numFmtId="0" xfId="0" applyAlignment="1" applyBorder="1" applyFont="1">
      <alignment horizontal="center" shrinkToFit="0" vertical="center" wrapText="1"/>
    </xf>
    <xf borderId="12" fillId="9" fontId="37" numFmtId="38" xfId="0" applyAlignment="1" applyBorder="1" applyFont="1" applyNumberFormat="1">
      <alignment horizontal="right" readingOrder="0" vertical="bottom"/>
    </xf>
    <xf borderId="11" fillId="10" fontId="37" numFmtId="38" xfId="0" applyAlignment="1" applyBorder="1" applyFont="1" applyNumberFormat="1">
      <alignment horizontal="center" vertical="bottom"/>
    </xf>
    <xf borderId="12" fillId="9" fontId="37" numFmtId="38" xfId="0" applyAlignment="1" applyBorder="1" applyFont="1" applyNumberFormat="1">
      <alignment horizontal="right" vertical="bottom"/>
    </xf>
    <xf borderId="11" fillId="4" fontId="8" numFmtId="3" xfId="0" applyBorder="1" applyFont="1" applyNumberFormat="1"/>
    <xf borderId="11" fillId="4" fontId="8" numFmtId="3" xfId="0" applyAlignment="1" applyBorder="1" applyFont="1" applyNumberFormat="1">
      <alignment readingOrder="0"/>
    </xf>
    <xf borderId="11" fillId="4" fontId="8" numFmtId="3" xfId="0" applyAlignment="1" applyBorder="1" applyFont="1" applyNumberFormat="1">
      <alignment horizontal="right"/>
    </xf>
    <xf borderId="11" fillId="4" fontId="10" numFmtId="3" xfId="0" applyAlignment="1" applyBorder="1" applyFont="1" applyNumberFormat="1">
      <alignment horizontal="center" readingOrder="0"/>
    </xf>
    <xf borderId="11" fillId="4" fontId="19" numFmtId="0" xfId="0" applyAlignment="1" applyBorder="1" applyFont="1">
      <alignment horizontal="center" readingOrder="0"/>
    </xf>
    <xf borderId="2" fillId="4" fontId="36" numFmtId="0" xfId="0" applyAlignment="1" applyBorder="1" applyFont="1">
      <alignment horizontal="center" readingOrder="0" vertical="center"/>
    </xf>
    <xf borderId="11" fillId="4" fontId="8" numFmtId="165" xfId="0" applyAlignment="1" applyBorder="1" applyFont="1" applyNumberFormat="1">
      <alignment horizontal="center"/>
    </xf>
    <xf borderId="11" fillId="4" fontId="8" numFmtId="4" xfId="0" applyBorder="1" applyFont="1" applyNumberFormat="1"/>
    <xf borderId="11" fillId="4" fontId="8" numFmtId="1" xfId="0" applyAlignment="1" applyBorder="1" applyFont="1" applyNumberFormat="1">
      <alignment horizontal="center"/>
    </xf>
    <xf borderId="11" fillId="4" fontId="8" numFmtId="0" xfId="0" applyBorder="1" applyFont="1"/>
    <xf borderId="11" fillId="4" fontId="9" numFmtId="0" xfId="0" applyAlignment="1" applyBorder="1" applyFont="1">
      <alignment horizontal="center"/>
    </xf>
    <xf borderId="11" fillId="0" fontId="8" numFmtId="165" xfId="0" applyAlignment="1" applyBorder="1" applyFont="1" applyNumberFormat="1">
      <alignment horizontal="center"/>
    </xf>
    <xf borderId="11" fillId="0" fontId="8" numFmtId="4" xfId="0" applyBorder="1" applyFont="1" applyNumberFormat="1"/>
    <xf borderId="11" fillId="0" fontId="8" numFmtId="1" xfId="0" applyAlignment="1" applyBorder="1" applyFont="1" applyNumberFormat="1">
      <alignment horizontal="center"/>
    </xf>
    <xf borderId="11" fillId="0" fontId="8" numFmtId="0" xfId="0" applyBorder="1" applyFont="1"/>
    <xf borderId="11" fillId="5" fontId="8" numFmtId="3" xfId="0" applyBorder="1" applyFont="1" applyNumberFormat="1"/>
    <xf borderId="11" fillId="4" fontId="10" numFmtId="3" xfId="0" applyAlignment="1" applyBorder="1" applyFont="1" applyNumberFormat="1">
      <alignment readingOrder="0"/>
    </xf>
    <xf borderId="11" fillId="4" fontId="8" numFmtId="3" xfId="0" applyAlignment="1" applyBorder="1" applyFont="1" applyNumberFormat="1">
      <alignment horizontal="right" readingOrder="0"/>
    </xf>
    <xf borderId="11" fillId="4" fontId="10" numFmtId="3" xfId="0" applyAlignment="1" applyBorder="1" applyFont="1" applyNumberFormat="1">
      <alignment horizontal="center" readingOrder="0" shrinkToFit="0" vertical="center" wrapText="1"/>
    </xf>
    <xf borderId="11" fillId="0" fontId="8" numFmtId="1" xfId="0" applyAlignment="1" applyBorder="1" applyFont="1" applyNumberFormat="1">
      <alignment readingOrder="0"/>
    </xf>
    <xf borderId="11" fillId="5" fontId="8" numFmtId="3" xfId="0" applyAlignment="1" applyBorder="1" applyFont="1" applyNumberFormat="1">
      <alignment readingOrder="0"/>
    </xf>
    <xf borderId="12" fillId="4" fontId="37" numFmtId="38" xfId="0" applyAlignment="1" applyBorder="1" applyFont="1" applyNumberFormat="1">
      <alignment horizontal="right" readingOrder="0" vertical="bottom"/>
    </xf>
    <xf borderId="11" fillId="0" fontId="8" numFmtId="1" xfId="0" applyBorder="1" applyFont="1" applyNumberFormat="1"/>
    <xf borderId="11" fillId="4" fontId="39" numFmtId="3" xfId="0" applyAlignment="1" applyBorder="1" applyFont="1" applyNumberFormat="1">
      <alignment horizontal="center" readingOrder="0" vertical="center"/>
    </xf>
    <xf borderId="11" fillId="4" fontId="40" numFmtId="0" xfId="0" applyAlignment="1" applyBorder="1" applyFont="1">
      <alignment horizontal="center" readingOrder="0" vertical="center"/>
    </xf>
    <xf borderId="11" fillId="4" fontId="41" numFmtId="0" xfId="0" applyAlignment="1" applyBorder="1" applyFont="1">
      <alignment horizontal="left" readingOrder="0" vertical="center"/>
    </xf>
    <xf borderId="12" fillId="4" fontId="8" numFmtId="165" xfId="0" applyAlignment="1" applyBorder="1" applyFont="1" applyNumberFormat="1">
      <alignment horizontal="center" readingOrder="0" vertical="bottom"/>
    </xf>
    <xf borderId="11" fillId="4" fontId="41" numFmtId="0" xfId="0" applyAlignment="1" applyBorder="1" applyFont="1">
      <alignment horizontal="left" readingOrder="0" shrinkToFit="0" vertical="center" wrapText="1"/>
    </xf>
    <xf borderId="11" fillId="9" fontId="6" numFmtId="49" xfId="0" applyAlignment="1" applyBorder="1" applyFont="1" applyNumberFormat="1">
      <alignment horizontal="center" shrinkToFit="0" vertical="center" wrapText="0"/>
    </xf>
    <xf borderId="11" fillId="9" fontId="8" numFmtId="165" xfId="0" applyAlignment="1" applyBorder="1" applyFont="1" applyNumberFormat="1">
      <alignment horizontal="center" readingOrder="0" vertical="center"/>
    </xf>
    <xf borderId="11" fillId="9" fontId="8" numFmtId="4" xfId="0" applyAlignment="1" applyBorder="1" applyFont="1" applyNumberFormat="1">
      <alignment readingOrder="0" vertical="center"/>
    </xf>
    <xf borderId="11" fillId="9" fontId="8" numFmtId="1" xfId="0" applyAlignment="1" applyBorder="1" applyFont="1" applyNumberFormat="1">
      <alignment horizontal="center" readingOrder="0" vertical="center"/>
    </xf>
    <xf borderId="11" fillId="9" fontId="42" numFmtId="0" xfId="0" applyAlignment="1" applyBorder="1" applyFont="1">
      <alignment readingOrder="0" vertical="center"/>
    </xf>
    <xf borderId="11" fillId="9" fontId="8" numFmtId="3" xfId="0" applyAlignment="1" applyBorder="1" applyFont="1" applyNumberFormat="1">
      <alignment horizontal="center" readingOrder="0" vertical="center"/>
    </xf>
    <xf borderId="11" fillId="9" fontId="39" numFmtId="3" xfId="0" applyAlignment="1" applyBorder="1" applyFont="1" applyNumberFormat="1">
      <alignment horizontal="center" readingOrder="0" vertical="center"/>
    </xf>
    <xf borderId="11" fillId="9" fontId="10" numFmtId="3" xfId="0" applyAlignment="1" applyBorder="1" applyFont="1" applyNumberFormat="1">
      <alignment readingOrder="0"/>
    </xf>
    <xf borderId="2" fillId="9" fontId="36" numFmtId="0" xfId="0" applyAlignment="1" applyBorder="1" applyFont="1">
      <alignment horizontal="center" readingOrder="0" vertical="center"/>
    </xf>
    <xf borderId="11" fillId="9" fontId="34" numFmtId="0" xfId="0" applyAlignment="1" applyBorder="1" applyFont="1">
      <alignment horizontal="center" vertical="center"/>
    </xf>
    <xf borderId="11" fillId="9" fontId="13" numFmtId="0" xfId="0" applyAlignment="1" applyBorder="1" applyFont="1">
      <alignment horizontal="center" readingOrder="0" vertical="center"/>
    </xf>
    <xf borderId="11" fillId="4" fontId="8" numFmtId="165" xfId="0" applyAlignment="1" applyBorder="1" applyFont="1" applyNumberFormat="1">
      <alignment horizontal="center" readingOrder="0" vertical="center"/>
    </xf>
    <xf borderId="11" fillId="4" fontId="8" numFmtId="4" xfId="0" applyAlignment="1" applyBorder="1" applyFont="1" applyNumberFormat="1">
      <alignment readingOrder="0" vertical="center"/>
    </xf>
    <xf borderId="11" fillId="4" fontId="8" numFmtId="1" xfId="0" applyAlignment="1" applyBorder="1" applyFont="1" applyNumberFormat="1">
      <alignment horizontal="center" readingOrder="0" vertical="center"/>
    </xf>
    <xf borderId="11" fillId="4" fontId="42" numFmtId="0" xfId="0" applyAlignment="1" applyBorder="1" applyFont="1">
      <alignment readingOrder="0" vertical="center"/>
    </xf>
    <xf borderId="11" fillId="4" fontId="8" numFmtId="3" xfId="0" applyAlignment="1" applyBorder="1" applyFont="1" applyNumberFormat="1">
      <alignment horizontal="center" readingOrder="0" vertical="center"/>
    </xf>
    <xf borderId="11" fillId="4" fontId="8" numFmtId="4" xfId="0" applyAlignment="1" applyBorder="1" applyFont="1" applyNumberFormat="1">
      <alignment horizontal="center" readingOrder="0" vertical="center"/>
    </xf>
    <xf borderId="11" fillId="4" fontId="43" numFmtId="0" xfId="0" applyAlignment="1" applyBorder="1" applyFont="1">
      <alignment horizontal="left" readingOrder="0" shrinkToFit="0" vertical="center" wrapText="1"/>
    </xf>
    <xf borderId="11" fillId="0" fontId="8" numFmtId="165" xfId="0" applyAlignment="1" applyBorder="1" applyFont="1" applyNumberFormat="1">
      <alignment horizontal="center" readingOrder="0" vertical="center"/>
    </xf>
    <xf borderId="11" fillId="0" fontId="8" numFmtId="4" xfId="0" applyAlignment="1" applyBorder="1" applyFont="1" applyNumberFormat="1">
      <alignment readingOrder="0" vertical="center"/>
    </xf>
    <xf borderId="11" fillId="0" fontId="8" numFmtId="1" xfId="0" applyAlignment="1" applyBorder="1" applyFont="1" applyNumberFormat="1">
      <alignment horizontal="center" readingOrder="0" vertical="center"/>
    </xf>
    <xf borderId="11" fillId="0" fontId="42" numFmtId="0" xfId="0" applyAlignment="1" applyBorder="1" applyFont="1">
      <alignment readingOrder="0" vertical="center"/>
    </xf>
    <xf borderId="11" fillId="5" fontId="8" numFmtId="3" xfId="0" applyAlignment="1" applyBorder="1" applyFont="1" applyNumberFormat="1">
      <alignment horizontal="center" readingOrder="0" vertical="center"/>
    </xf>
    <xf borderId="11" fillId="5" fontId="8" numFmtId="165" xfId="0" applyAlignment="1" applyBorder="1" applyFont="1" applyNumberFormat="1">
      <alignment horizontal="center" readingOrder="0" vertical="center"/>
    </xf>
    <xf borderId="11" fillId="5" fontId="8" numFmtId="4" xfId="0" applyAlignment="1" applyBorder="1" applyFont="1" applyNumberFormat="1">
      <alignment readingOrder="0" vertical="center"/>
    </xf>
    <xf borderId="11" fillId="5" fontId="8" numFmtId="1" xfId="0" applyAlignment="1" applyBorder="1" applyFont="1" applyNumberFormat="1">
      <alignment horizontal="center" readingOrder="0" vertical="center"/>
    </xf>
    <xf borderId="11" fillId="5" fontId="42" numFmtId="0" xfId="0" applyAlignment="1" applyBorder="1" applyFont="1">
      <alignment readingOrder="0" vertical="center"/>
    </xf>
    <xf borderId="11" fillId="5" fontId="39" numFmtId="3" xfId="0" applyAlignment="1" applyBorder="1" applyFont="1" applyNumberFormat="1">
      <alignment horizontal="center" readingOrder="0" vertical="center"/>
    </xf>
    <xf borderId="11" fillId="5" fontId="10" numFmtId="3" xfId="0" applyAlignment="1" applyBorder="1" applyFont="1" applyNumberFormat="1">
      <alignment readingOrder="0"/>
    </xf>
    <xf borderId="2" fillId="5" fontId="36" numFmtId="0" xfId="0" applyAlignment="1" applyBorder="1" applyFont="1">
      <alignment horizontal="center" readingOrder="0" vertical="center"/>
    </xf>
    <xf borderId="11" fillId="5" fontId="34" numFmtId="0" xfId="0" applyAlignment="1" applyBorder="1" applyFont="1">
      <alignment horizontal="center" vertical="center"/>
    </xf>
    <xf borderId="11" fillId="5" fontId="13" numFmtId="0" xfId="0" applyAlignment="1" applyBorder="1" applyFont="1">
      <alignment horizontal="center" readingOrder="0" vertical="center"/>
    </xf>
    <xf borderId="11" fillId="4" fontId="44" numFmtId="0" xfId="0" applyAlignment="1" applyBorder="1" applyFont="1">
      <alignment readingOrder="0" vertical="center"/>
    </xf>
    <xf borderId="11" fillId="9" fontId="16" numFmtId="49" xfId="0" applyAlignment="1" applyBorder="1" applyFont="1" applyNumberFormat="1">
      <alignment horizontal="center" shrinkToFit="0" vertical="center" wrapText="0"/>
    </xf>
    <xf borderId="11" fillId="9" fontId="10" numFmtId="3" xfId="0" applyAlignment="1" applyBorder="1" applyFont="1" applyNumberFormat="1">
      <alignment horizontal="center" readingOrder="0"/>
    </xf>
    <xf borderId="11" fillId="9" fontId="9" numFmtId="0" xfId="0" applyAlignment="1" applyBorder="1" applyFont="1">
      <alignment horizontal="center" readingOrder="0"/>
    </xf>
    <xf borderId="11" fillId="4" fontId="16" numFmtId="49" xfId="0" applyAlignment="1" applyBorder="1" applyFont="1" applyNumberFormat="1">
      <alignment horizontal="center" shrinkToFit="0" vertical="center" wrapText="0"/>
    </xf>
    <xf borderId="11" fillId="4" fontId="8" numFmtId="3" xfId="0" applyAlignment="1" applyBorder="1" applyFont="1" applyNumberFormat="1">
      <alignment horizontal="center" readingOrder="0"/>
    </xf>
    <xf borderId="11" fillId="4" fontId="10" numFmtId="38" xfId="0" applyAlignment="1" applyBorder="1" applyFont="1" applyNumberFormat="1">
      <alignment horizontal="center" readingOrder="0" vertical="bottom"/>
    </xf>
    <xf borderId="11" fillId="4" fontId="37" numFmtId="38" xfId="0" applyAlignment="1" applyBorder="1" applyFont="1" applyNumberFormat="1">
      <alignment readingOrder="0" vertical="bottom"/>
    </xf>
    <xf borderId="11" fillId="4" fontId="37" numFmtId="38" xfId="0" applyAlignment="1" applyBorder="1" applyFont="1" applyNumberFormat="1">
      <alignment horizontal="right" readingOrder="0" vertical="bottom"/>
    </xf>
    <xf borderId="2" fillId="4" fontId="38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customschemas.google.com/relationships/workbookmetadata" Target="metadata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419100</xdr:colOff>
      <xdr:row>0</xdr:row>
      <xdr:rowOff>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190500</xdr:rowOff>
    </xdr:from>
    <xdr:ext cx="295275" cy="371475"/>
    <xdr:sp>
      <xdr:nvSpPr>
        <xdr:cNvPr id="3" name="Shape 3"/>
        <xdr:cNvSpPr txBox="1"/>
      </xdr:nvSpPr>
      <xdr:spPr>
        <a:xfrm>
          <a:off x="5203125" y="3599025"/>
          <a:ext cx="285750" cy="36195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46112.0</v>
      </c>
      <c r="C4" s="18" t="s">
        <v>16</v>
      </c>
      <c r="D4" s="19">
        <v>105983.0</v>
      </c>
      <c r="E4" s="20" t="s">
        <v>17</v>
      </c>
      <c r="F4" s="21">
        <v>4500.0</v>
      </c>
      <c r="G4" s="22"/>
      <c r="H4" s="23"/>
      <c r="I4" s="24"/>
      <c r="J4" s="25"/>
      <c r="K4" s="26" t="s">
        <v>18</v>
      </c>
      <c r="L4" s="27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31">
        <v>46112.0</v>
      </c>
      <c r="C5" s="32" t="s">
        <v>21</v>
      </c>
      <c r="D5" s="33">
        <v>115712.0</v>
      </c>
      <c r="E5" s="34" t="s">
        <v>22</v>
      </c>
      <c r="F5" s="35">
        <v>2500.0</v>
      </c>
      <c r="G5" s="36"/>
      <c r="H5" s="23"/>
      <c r="I5" s="37"/>
      <c r="J5" s="38"/>
      <c r="K5" s="26" t="s">
        <v>18</v>
      </c>
      <c r="L5" s="39"/>
      <c r="M5" s="40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23</v>
      </c>
      <c r="B6" s="41">
        <v>46112.0</v>
      </c>
      <c r="C6" s="42" t="s">
        <v>24</v>
      </c>
      <c r="D6" s="43">
        <v>111565.0</v>
      </c>
      <c r="E6" s="44" t="s">
        <v>25</v>
      </c>
      <c r="F6" s="45">
        <v>2500.0</v>
      </c>
      <c r="G6" s="46"/>
      <c r="H6" s="23"/>
      <c r="I6" s="47"/>
      <c r="J6" s="48"/>
      <c r="K6" s="26" t="s">
        <v>18</v>
      </c>
      <c r="L6" s="49"/>
      <c r="M6" s="50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41">
        <v>46112.0</v>
      </c>
      <c r="C7" s="42" t="s">
        <v>27</v>
      </c>
      <c r="D7" s="43">
        <v>65611.0</v>
      </c>
      <c r="E7" s="44" t="s">
        <v>28</v>
      </c>
      <c r="F7" s="45">
        <v>3200.0</v>
      </c>
      <c r="G7" s="46"/>
      <c r="H7" s="23"/>
      <c r="I7" s="47"/>
      <c r="J7" s="48"/>
      <c r="K7" s="26" t="s">
        <v>18</v>
      </c>
      <c r="L7" s="49"/>
      <c r="M7" s="50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29</v>
      </c>
      <c r="B8" s="41">
        <v>46112.0</v>
      </c>
      <c r="C8" s="42" t="s">
        <v>30</v>
      </c>
      <c r="D8" s="43">
        <v>52686.0</v>
      </c>
      <c r="E8" s="44" t="s">
        <v>31</v>
      </c>
      <c r="F8" s="45">
        <v>4500.0</v>
      </c>
      <c r="G8" s="46"/>
      <c r="H8" s="46"/>
      <c r="I8" s="47"/>
      <c r="J8" s="48"/>
      <c r="K8" s="26" t="s">
        <v>18</v>
      </c>
      <c r="L8" s="49"/>
      <c r="M8" s="50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41">
        <v>46112.0</v>
      </c>
      <c r="C9" s="42" t="s">
        <v>33</v>
      </c>
      <c r="D9" s="43">
        <v>58257.0</v>
      </c>
      <c r="E9" s="44" t="s">
        <v>34</v>
      </c>
      <c r="F9" s="51"/>
      <c r="G9" s="52">
        <v>4500.0</v>
      </c>
      <c r="H9" s="23"/>
      <c r="I9" s="47"/>
      <c r="J9" s="48"/>
      <c r="K9" s="26" t="s">
        <v>35</v>
      </c>
      <c r="L9" s="49"/>
      <c r="M9" s="53" t="s">
        <v>36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37</v>
      </c>
      <c r="B10" s="41">
        <v>46113.0</v>
      </c>
      <c r="C10" s="42" t="s">
        <v>38</v>
      </c>
      <c r="D10" s="43">
        <v>82053.0</v>
      </c>
      <c r="E10" s="44" t="s">
        <v>39</v>
      </c>
      <c r="F10" s="51"/>
      <c r="G10" s="46"/>
      <c r="H10" s="54">
        <v>6000.0</v>
      </c>
      <c r="I10" s="47"/>
      <c r="J10" s="48"/>
      <c r="K10" s="26" t="s">
        <v>18</v>
      </c>
      <c r="L10" s="49"/>
      <c r="M10" s="50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40</v>
      </c>
      <c r="B11" s="41">
        <v>46113.0</v>
      </c>
      <c r="C11" s="42" t="s">
        <v>41</v>
      </c>
      <c r="D11" s="43">
        <v>109755.0</v>
      </c>
      <c r="E11" s="55" t="s">
        <v>42</v>
      </c>
      <c r="F11" s="56"/>
      <c r="G11" s="46"/>
      <c r="H11" s="57">
        <v>6000.0</v>
      </c>
      <c r="I11" s="47"/>
      <c r="J11" s="58"/>
      <c r="K11" s="26" t="s">
        <v>18</v>
      </c>
      <c r="L11" s="59"/>
      <c r="M11" s="60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43</v>
      </c>
      <c r="B12" s="41">
        <v>46113.0</v>
      </c>
      <c r="C12" s="42" t="s">
        <v>44</v>
      </c>
      <c r="D12" s="43">
        <v>115963.0</v>
      </c>
      <c r="E12" s="55" t="s">
        <v>45</v>
      </c>
      <c r="F12" s="61">
        <v>4150.0</v>
      </c>
      <c r="G12" s="46"/>
      <c r="H12" s="62"/>
      <c r="I12" s="47"/>
      <c r="J12" s="58"/>
      <c r="K12" s="26" t="s">
        <v>18</v>
      </c>
      <c r="L12" s="59"/>
      <c r="M12" s="60" t="s">
        <v>19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46</v>
      </c>
      <c r="B13" s="41">
        <v>46113.0</v>
      </c>
      <c r="C13" s="42" t="s">
        <v>47</v>
      </c>
      <c r="D13" s="43">
        <v>116678.0</v>
      </c>
      <c r="E13" s="55" t="s">
        <v>48</v>
      </c>
      <c r="F13" s="56"/>
      <c r="G13" s="46"/>
      <c r="H13" s="57">
        <v>3500.0</v>
      </c>
      <c r="I13" s="47"/>
      <c r="J13" s="58"/>
      <c r="K13" s="26" t="s">
        <v>18</v>
      </c>
      <c r="L13" s="59"/>
      <c r="M13" s="60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49</v>
      </c>
      <c r="B14" s="41">
        <v>46113.0</v>
      </c>
      <c r="C14" s="42" t="s">
        <v>50</v>
      </c>
      <c r="D14" s="43">
        <v>116575.0</v>
      </c>
      <c r="E14" s="55" t="s">
        <v>51</v>
      </c>
      <c r="F14" s="63"/>
      <c r="G14" s="46"/>
      <c r="H14" s="57">
        <v>14000.0</v>
      </c>
      <c r="I14" s="47"/>
      <c r="J14" s="58"/>
      <c r="K14" s="26" t="s">
        <v>18</v>
      </c>
      <c r="L14" s="59"/>
      <c r="M14" s="60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 t="s">
        <v>52</v>
      </c>
      <c r="B15" s="41">
        <v>46113.0</v>
      </c>
      <c r="C15" s="42" t="s">
        <v>53</v>
      </c>
      <c r="D15" s="43">
        <v>114797.0</v>
      </c>
      <c r="E15" s="55" t="s">
        <v>54</v>
      </c>
      <c r="F15" s="63"/>
      <c r="G15" s="64"/>
      <c r="H15" s="57">
        <v>5100.0</v>
      </c>
      <c r="I15" s="47"/>
      <c r="J15" s="58"/>
      <c r="K15" s="26" t="s">
        <v>18</v>
      </c>
      <c r="L15" s="59"/>
      <c r="M15" s="60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30" t="s">
        <v>55</v>
      </c>
      <c r="B16" s="41">
        <v>46113.0</v>
      </c>
      <c r="C16" s="42" t="s">
        <v>56</v>
      </c>
      <c r="D16" s="43">
        <v>10249.0</v>
      </c>
      <c r="E16" s="55" t="s">
        <v>57</v>
      </c>
      <c r="F16" s="65"/>
      <c r="G16" s="64"/>
      <c r="H16" s="57">
        <v>300.0</v>
      </c>
      <c r="I16" s="47"/>
      <c r="J16" s="58"/>
      <c r="K16" s="26" t="s">
        <v>18</v>
      </c>
      <c r="L16" s="59"/>
      <c r="M16" s="60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/>
      <c r="B17" s="66"/>
      <c r="C17" s="67"/>
      <c r="D17" s="68"/>
      <c r="E17" s="69"/>
      <c r="F17" s="65"/>
      <c r="G17" s="64"/>
      <c r="H17" s="62"/>
      <c r="I17" s="47"/>
      <c r="J17" s="58"/>
      <c r="K17" s="70"/>
      <c r="L17" s="59"/>
      <c r="M17" s="7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 t="s">
        <v>58</v>
      </c>
      <c r="B18" s="66"/>
      <c r="C18" s="67"/>
      <c r="D18" s="68"/>
      <c r="E18" s="69"/>
      <c r="F18" s="65"/>
      <c r="G18" s="64"/>
      <c r="H18" s="62"/>
      <c r="I18" s="47"/>
      <c r="J18" s="58"/>
      <c r="K18" s="70"/>
      <c r="L18" s="59"/>
      <c r="M18" s="71" t="s">
        <v>59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65"/>
      <c r="G19" s="64"/>
      <c r="H19" s="62"/>
      <c r="I19" s="47"/>
      <c r="J19" s="58"/>
      <c r="K19" s="70"/>
      <c r="L19" s="59"/>
      <c r="M19" s="71" t="s">
        <v>59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61</v>
      </c>
      <c r="B20" s="66"/>
      <c r="C20" s="67"/>
      <c r="D20" s="68"/>
      <c r="E20" s="69"/>
      <c r="F20" s="65"/>
      <c r="G20" s="64"/>
      <c r="H20" s="62"/>
      <c r="I20" s="47"/>
      <c r="J20" s="58"/>
      <c r="K20" s="70"/>
      <c r="L20" s="59"/>
      <c r="M20" s="71" t="s">
        <v>59</v>
      </c>
      <c r="N20" s="29"/>
      <c r="O20" s="29"/>
      <c r="P20" s="72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30" t="s">
        <v>62</v>
      </c>
      <c r="B21" s="66"/>
      <c r="C21" s="67"/>
      <c r="D21" s="68"/>
      <c r="E21" s="69"/>
      <c r="F21" s="63"/>
      <c r="G21" s="64"/>
      <c r="H21" s="62"/>
      <c r="I21" s="47"/>
      <c r="J21" s="58"/>
      <c r="K21" s="70"/>
      <c r="L21" s="59"/>
      <c r="M21" s="71" t="s">
        <v>19</v>
      </c>
      <c r="N21" s="29"/>
      <c r="O21" s="29"/>
      <c r="P21" s="72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/>
      <c r="B22" s="66"/>
      <c r="C22" s="67"/>
      <c r="D22" s="68"/>
      <c r="E22" s="69"/>
      <c r="F22" s="63"/>
      <c r="G22" s="64"/>
      <c r="H22" s="62"/>
      <c r="I22" s="47"/>
      <c r="J22" s="58"/>
      <c r="K22" s="38"/>
      <c r="L22" s="59"/>
      <c r="M22" s="71"/>
      <c r="N22" s="29"/>
      <c r="O22" s="29"/>
      <c r="P22" s="72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/>
      <c r="B23" s="73"/>
      <c r="C23" s="67"/>
      <c r="D23" s="68"/>
      <c r="E23" s="69"/>
      <c r="F23" s="63"/>
      <c r="G23" s="64"/>
      <c r="H23" s="62"/>
      <c r="I23" s="47"/>
      <c r="J23" s="58"/>
      <c r="K23" s="70"/>
      <c r="L23" s="59"/>
      <c r="M23" s="71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74"/>
      <c r="B24" s="2"/>
      <c r="C24" s="2"/>
      <c r="D24" s="2"/>
      <c r="E24" s="3"/>
      <c r="F24" s="75">
        <f>SUM(F4:F23)</f>
        <v>21350</v>
      </c>
      <c r="G24" s="75">
        <f t="shared" ref="G24:J24" si="1">SUM(G4:G14)</f>
        <v>4500</v>
      </c>
      <c r="H24" s="75">
        <f t="shared" si="1"/>
        <v>29500</v>
      </c>
      <c r="I24" s="75">
        <f t="shared" si="1"/>
        <v>0</v>
      </c>
      <c r="J24" s="75">
        <f t="shared" si="1"/>
        <v>0</v>
      </c>
      <c r="K24" s="76"/>
      <c r="L24" s="76"/>
      <c r="M24" s="77"/>
    </row>
    <row r="25" ht="48.0" customHeight="1">
      <c r="F25" s="78">
        <f>F24+G24+H24+I24+J24</f>
        <v>55350</v>
      </c>
      <c r="G25" s="2"/>
      <c r="H25" s="2"/>
      <c r="I25" s="2"/>
      <c r="J2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2">
    <mergeCell ref="K2:K3"/>
    <mergeCell ref="L2:L3"/>
    <mergeCell ref="A24:E24"/>
    <mergeCell ref="F25:J25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2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9" t="s">
        <v>15</v>
      </c>
      <c r="B4" s="80">
        <v>46113.0</v>
      </c>
      <c r="C4" s="18" t="s">
        <v>64</v>
      </c>
      <c r="D4" s="19">
        <v>116905.0</v>
      </c>
      <c r="E4" s="81" t="s">
        <v>65</v>
      </c>
      <c r="F4" s="82"/>
      <c r="G4" s="83"/>
      <c r="H4" s="84">
        <v>3050.0</v>
      </c>
      <c r="I4" s="85"/>
      <c r="J4" s="86"/>
      <c r="K4" s="87"/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90" t="s">
        <v>20</v>
      </c>
      <c r="B5" s="80">
        <v>46114.0</v>
      </c>
      <c r="C5" s="18" t="s">
        <v>66</v>
      </c>
      <c r="D5" s="19">
        <v>87820.0</v>
      </c>
      <c r="E5" s="91" t="s">
        <v>67</v>
      </c>
      <c r="F5" s="82"/>
      <c r="G5" s="83"/>
      <c r="H5" s="92">
        <v>5000.0</v>
      </c>
      <c r="I5" s="85"/>
      <c r="J5" s="93"/>
      <c r="K5" s="94"/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9" t="s">
        <v>23</v>
      </c>
      <c r="B6" s="41">
        <v>46114.0</v>
      </c>
      <c r="C6" s="42" t="s">
        <v>68</v>
      </c>
      <c r="D6" s="96">
        <v>43380.0</v>
      </c>
      <c r="E6" s="97" t="s">
        <v>69</v>
      </c>
      <c r="F6" s="98">
        <v>9000.0</v>
      </c>
      <c r="G6" s="83"/>
      <c r="H6" s="99"/>
      <c r="I6" s="100"/>
      <c r="J6" s="101"/>
      <c r="K6" s="102"/>
      <c r="L6" s="88"/>
      <c r="M6" s="95" t="s">
        <v>59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90" t="s">
        <v>26</v>
      </c>
      <c r="B7" s="41">
        <v>46114.0</v>
      </c>
      <c r="C7" s="42" t="s">
        <v>70</v>
      </c>
      <c r="D7" s="43">
        <v>50342.0</v>
      </c>
      <c r="E7" s="55" t="s">
        <v>71</v>
      </c>
      <c r="F7" s="103"/>
      <c r="G7" s="98">
        <v>10000.0</v>
      </c>
      <c r="H7" s="104"/>
      <c r="I7" s="100"/>
      <c r="J7" s="101"/>
      <c r="K7" s="102"/>
      <c r="L7" s="49"/>
      <c r="M7" s="105" t="s">
        <v>59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9" t="s">
        <v>29</v>
      </c>
      <c r="B8" s="41">
        <v>46114.0</v>
      </c>
      <c r="C8" s="42" t="s">
        <v>72</v>
      </c>
      <c r="D8" s="43">
        <v>10250.0</v>
      </c>
      <c r="E8" s="55" t="s">
        <v>73</v>
      </c>
      <c r="F8" s="98">
        <v>10000.0</v>
      </c>
      <c r="G8" s="103"/>
      <c r="H8" s="104"/>
      <c r="I8" s="100"/>
      <c r="J8" s="101"/>
      <c r="K8" s="102"/>
      <c r="L8" s="49"/>
      <c r="M8" s="105" t="s">
        <v>36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0" t="s">
        <v>32</v>
      </c>
      <c r="B9" s="41">
        <v>46114.0</v>
      </c>
      <c r="C9" s="42" t="s">
        <v>74</v>
      </c>
      <c r="D9" s="43">
        <v>50595.0</v>
      </c>
      <c r="E9" s="55" t="s">
        <v>75</v>
      </c>
      <c r="F9" s="98">
        <v>7500.0</v>
      </c>
      <c r="G9" s="103"/>
      <c r="H9" s="104"/>
      <c r="I9" s="100"/>
      <c r="J9" s="101"/>
      <c r="K9" s="102"/>
      <c r="L9" s="49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79" t="s">
        <v>37</v>
      </c>
      <c r="B10" s="41">
        <v>46114.0</v>
      </c>
      <c r="C10" s="42" t="s">
        <v>76</v>
      </c>
      <c r="D10" s="43">
        <v>116085.0</v>
      </c>
      <c r="E10" s="55" t="s">
        <v>77</v>
      </c>
      <c r="F10" s="106"/>
      <c r="G10" s="106"/>
      <c r="H10" s="107">
        <v>3050.0</v>
      </c>
      <c r="I10" s="100"/>
      <c r="J10" s="101"/>
      <c r="K10" s="102"/>
      <c r="L10" s="49"/>
      <c r="M10" s="105" t="s">
        <v>59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66"/>
      <c r="C11" s="67"/>
      <c r="D11" s="68"/>
      <c r="E11" s="69"/>
      <c r="F11" s="106"/>
      <c r="G11" s="106"/>
      <c r="H11" s="108"/>
      <c r="I11" s="100"/>
      <c r="J11" s="101"/>
      <c r="K11" s="102" t="s">
        <v>18</v>
      </c>
      <c r="L11" s="49"/>
      <c r="M11" s="10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66"/>
      <c r="C12" s="67"/>
      <c r="D12" s="68"/>
      <c r="E12" s="69"/>
      <c r="F12" s="106"/>
      <c r="G12" s="106"/>
      <c r="H12" s="108"/>
      <c r="I12" s="100"/>
      <c r="J12" s="101"/>
      <c r="K12" s="102" t="s">
        <v>18</v>
      </c>
      <c r="L12" s="49"/>
      <c r="M12" s="10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 t="s">
        <v>18</v>
      </c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30"/>
      <c r="B19" s="66"/>
      <c r="C19" s="67"/>
      <c r="D19" s="68"/>
      <c r="E19" s="69"/>
      <c r="F19" s="106"/>
      <c r="G19" s="106"/>
      <c r="H19" s="108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26500</v>
      </c>
      <c r="G21" s="75">
        <f t="shared" si="1"/>
        <v>10000</v>
      </c>
      <c r="H21" s="75">
        <f t="shared" si="1"/>
        <v>11100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47600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15">
        <v>46114.0</v>
      </c>
      <c r="C4" s="116" t="s">
        <v>80</v>
      </c>
      <c r="D4" s="117">
        <v>112900.0</v>
      </c>
      <c r="E4" s="118" t="s">
        <v>81</v>
      </c>
      <c r="F4" s="119"/>
      <c r="G4" s="120"/>
      <c r="H4" s="121">
        <v>4600.0</v>
      </c>
      <c r="I4" s="122"/>
      <c r="J4" s="86"/>
      <c r="K4" s="87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46115.0</v>
      </c>
      <c r="C5" s="18" t="s">
        <v>82</v>
      </c>
      <c r="D5" s="124">
        <v>52669.0</v>
      </c>
      <c r="E5" s="125" t="s">
        <v>83</v>
      </c>
      <c r="F5" s="126">
        <v>25200.0</v>
      </c>
      <c r="G5" s="120"/>
      <c r="H5" s="127"/>
      <c r="I5" s="122"/>
      <c r="J5" s="93"/>
      <c r="K5" s="87" t="s">
        <v>18</v>
      </c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46115.0</v>
      </c>
      <c r="C6" s="18" t="s">
        <v>84</v>
      </c>
      <c r="D6" s="124">
        <v>47787.0</v>
      </c>
      <c r="E6" s="125" t="s">
        <v>85</v>
      </c>
      <c r="F6" s="128">
        <v>10000.0</v>
      </c>
      <c r="G6" s="120"/>
      <c r="H6" s="129"/>
      <c r="I6" s="122"/>
      <c r="J6" s="101"/>
      <c r="K6" s="94" t="s">
        <v>86</v>
      </c>
      <c r="L6" s="88"/>
      <c r="M6" s="95" t="s">
        <v>36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15">
        <v>46115.0</v>
      </c>
      <c r="C7" s="116" t="s">
        <v>87</v>
      </c>
      <c r="D7" s="117">
        <v>117051.0</v>
      </c>
      <c r="E7" s="118" t="s">
        <v>88</v>
      </c>
      <c r="F7" s="128">
        <v>300.0</v>
      </c>
      <c r="G7" s="120"/>
      <c r="H7" s="129"/>
      <c r="I7" s="122"/>
      <c r="J7" s="101"/>
      <c r="K7" s="102" t="s">
        <v>18</v>
      </c>
      <c r="L7" s="49"/>
      <c r="M7" s="10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>
        <v>46115.0</v>
      </c>
      <c r="C8" s="116" t="s">
        <v>89</v>
      </c>
      <c r="D8" s="117">
        <v>50148.0</v>
      </c>
      <c r="E8" s="118" t="s">
        <v>90</v>
      </c>
      <c r="F8" s="128"/>
      <c r="G8" s="130">
        <v>25000.0</v>
      </c>
      <c r="H8" s="127"/>
      <c r="I8" s="122"/>
      <c r="J8" s="101"/>
      <c r="K8" s="102" t="s">
        <v>18</v>
      </c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41">
        <v>46115.0</v>
      </c>
      <c r="C9" s="42" t="s">
        <v>91</v>
      </c>
      <c r="D9" s="43">
        <v>117058.0</v>
      </c>
      <c r="E9" s="55" t="s">
        <v>92</v>
      </c>
      <c r="F9" s="103"/>
      <c r="G9" s="131"/>
      <c r="H9" s="132">
        <v>350.0</v>
      </c>
      <c r="I9" s="133"/>
      <c r="J9" s="101"/>
      <c r="K9" s="102" t="s">
        <v>18</v>
      </c>
      <c r="L9" s="49"/>
      <c r="M9" s="105" t="s">
        <v>59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 t="s">
        <v>37</v>
      </c>
      <c r="B10" s="41">
        <v>46115.0</v>
      </c>
      <c r="C10" s="42" t="s">
        <v>93</v>
      </c>
      <c r="D10" s="43">
        <v>106403.0</v>
      </c>
      <c r="E10" s="55" t="s">
        <v>94</v>
      </c>
      <c r="F10" s="106"/>
      <c r="G10" s="134">
        <v>5250.0</v>
      </c>
      <c r="H10" s="135"/>
      <c r="I10" s="133"/>
      <c r="J10" s="101"/>
      <c r="K10" s="102" t="s">
        <v>18</v>
      </c>
      <c r="L10" s="49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40</v>
      </c>
      <c r="B11" s="41">
        <v>46115.0</v>
      </c>
      <c r="C11" s="42" t="s">
        <v>95</v>
      </c>
      <c r="D11" s="43">
        <v>108500.0</v>
      </c>
      <c r="E11" s="55" t="s">
        <v>96</v>
      </c>
      <c r="F11" s="106"/>
      <c r="G11" s="134">
        <v>2500.0</v>
      </c>
      <c r="H11" s="135"/>
      <c r="I11" s="133"/>
      <c r="J11" s="101"/>
      <c r="K11" s="102" t="s">
        <v>18</v>
      </c>
      <c r="L11" s="49"/>
      <c r="M11" s="105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10"/>
      <c r="B12" s="66"/>
      <c r="C12" s="67"/>
      <c r="D12" s="68"/>
      <c r="E12" s="69"/>
      <c r="F12" s="106"/>
      <c r="G12" s="136"/>
      <c r="H12" s="135"/>
      <c r="I12" s="133"/>
      <c r="J12" s="101"/>
      <c r="K12" s="102" t="s">
        <v>18</v>
      </c>
      <c r="L12" s="49"/>
      <c r="M12" s="109" t="s">
        <v>59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 t="s">
        <v>18</v>
      </c>
      <c r="L13" s="49"/>
      <c r="M13" s="109" t="s">
        <v>59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36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6"/>
      <c r="G19" s="106"/>
      <c r="H19" s="108"/>
      <c r="I19" s="100"/>
      <c r="J19" s="101"/>
      <c r="K19" s="102" t="s">
        <v>18</v>
      </c>
      <c r="L19" s="49"/>
      <c r="M19" s="109" t="s">
        <v>59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35500</v>
      </c>
      <c r="G21" s="75">
        <f t="shared" si="1"/>
        <v>32750</v>
      </c>
      <c r="H21" s="75">
        <f t="shared" si="1"/>
        <v>4950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73200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97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46116.0</v>
      </c>
      <c r="C4" s="18" t="s">
        <v>98</v>
      </c>
      <c r="D4" s="124">
        <v>50342.0</v>
      </c>
      <c r="E4" s="125" t="s">
        <v>71</v>
      </c>
      <c r="F4" s="137"/>
      <c r="G4" s="138">
        <v>10000.0</v>
      </c>
      <c r="H4" s="139"/>
      <c r="I4" s="137"/>
      <c r="J4" s="86"/>
      <c r="K4" s="26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46116.0</v>
      </c>
      <c r="C5" s="18" t="s">
        <v>99</v>
      </c>
      <c r="D5" s="124">
        <v>36928.0</v>
      </c>
      <c r="E5" s="125" t="s">
        <v>100</v>
      </c>
      <c r="F5" s="139"/>
      <c r="G5" s="137"/>
      <c r="H5" s="137"/>
      <c r="I5" s="137"/>
      <c r="J5" s="140">
        <v>37.0</v>
      </c>
      <c r="K5" s="141" t="s">
        <v>18</v>
      </c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46116.0</v>
      </c>
      <c r="C6" s="18" t="s">
        <v>101</v>
      </c>
      <c r="D6" s="124">
        <v>68284.0</v>
      </c>
      <c r="E6" s="125" t="s">
        <v>102</v>
      </c>
      <c r="F6" s="138">
        <v>8070.0</v>
      </c>
      <c r="G6" s="137"/>
      <c r="H6" s="139"/>
      <c r="I6" s="137"/>
      <c r="J6" s="101"/>
      <c r="K6" s="142" t="s">
        <v>18</v>
      </c>
      <c r="L6" s="88"/>
      <c r="M6" s="95" t="s">
        <v>59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143"/>
      <c r="C7" s="144"/>
      <c r="D7" s="145"/>
      <c r="E7" s="146"/>
      <c r="F7" s="137"/>
      <c r="G7" s="137"/>
      <c r="H7" s="139"/>
      <c r="I7" s="137"/>
      <c r="J7" s="101"/>
      <c r="K7" s="102"/>
      <c r="L7" s="49"/>
      <c r="M7" s="147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10" t="s">
        <v>29</v>
      </c>
      <c r="B8" s="148"/>
      <c r="C8" s="149"/>
      <c r="D8" s="150"/>
      <c r="E8" s="151"/>
      <c r="F8" s="152"/>
      <c r="G8" s="152"/>
      <c r="H8" s="152"/>
      <c r="I8" s="152"/>
      <c r="J8" s="101"/>
      <c r="K8" s="102"/>
      <c r="L8" s="49"/>
      <c r="M8" s="10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 t="s">
        <v>32</v>
      </c>
      <c r="B9" s="66"/>
      <c r="C9" s="67"/>
      <c r="D9" s="68"/>
      <c r="E9" s="69"/>
      <c r="F9" s="103"/>
      <c r="G9" s="103"/>
      <c r="H9" s="104"/>
      <c r="I9" s="100"/>
      <c r="J9" s="101"/>
      <c r="K9" s="102"/>
      <c r="L9" s="49"/>
      <c r="M9" s="10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66"/>
      <c r="C10" s="67"/>
      <c r="D10" s="68"/>
      <c r="E10" s="69"/>
      <c r="F10" s="103"/>
      <c r="G10" s="106"/>
      <c r="H10" s="108"/>
      <c r="I10" s="100"/>
      <c r="J10" s="101"/>
      <c r="K10" s="102"/>
      <c r="L10" s="49"/>
      <c r="M10" s="10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66"/>
      <c r="C11" s="67"/>
      <c r="D11" s="68"/>
      <c r="E11" s="69"/>
      <c r="F11" s="106"/>
      <c r="G11" s="106"/>
      <c r="H11" s="108"/>
      <c r="I11" s="100"/>
      <c r="J11" s="101"/>
      <c r="K11" s="102" t="s">
        <v>18</v>
      </c>
      <c r="L11" s="49"/>
      <c r="M11" s="109" t="s">
        <v>59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66"/>
      <c r="C12" s="67"/>
      <c r="D12" s="68"/>
      <c r="E12" s="69"/>
      <c r="F12" s="106"/>
      <c r="G12" s="106"/>
      <c r="H12" s="108"/>
      <c r="I12" s="100"/>
      <c r="J12" s="101"/>
      <c r="K12" s="102" t="s">
        <v>18</v>
      </c>
      <c r="L12" s="49"/>
      <c r="M12" s="109" t="s">
        <v>59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 t="s">
        <v>18</v>
      </c>
      <c r="L13" s="49"/>
      <c r="M13" s="109" t="s">
        <v>59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36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6"/>
      <c r="G19" s="106"/>
      <c r="H19" s="108"/>
      <c r="I19" s="100"/>
      <c r="J19" s="101"/>
      <c r="K19" s="102" t="s">
        <v>18</v>
      </c>
      <c r="L19" s="49"/>
      <c r="M19" s="109" t="s">
        <v>59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8070</v>
      </c>
      <c r="G21" s="75">
        <f t="shared" si="1"/>
        <v>10000</v>
      </c>
      <c r="H21" s="75">
        <f t="shared" si="1"/>
        <v>0</v>
      </c>
      <c r="I21" s="75">
        <f t="shared" si="1"/>
        <v>0</v>
      </c>
      <c r="J21" s="75">
        <f t="shared" si="1"/>
        <v>37</v>
      </c>
      <c r="K21" s="76"/>
      <c r="L21" s="76"/>
      <c r="M21" s="77"/>
    </row>
    <row r="22" ht="48.0" customHeight="1">
      <c r="F22" s="78">
        <f>F21+G21+H21+I21+J21</f>
        <v>18107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46116.0</v>
      </c>
      <c r="C4" s="18" t="s">
        <v>104</v>
      </c>
      <c r="D4" s="124">
        <v>10271.0</v>
      </c>
      <c r="E4" s="125" t="s">
        <v>105</v>
      </c>
      <c r="F4" s="137"/>
      <c r="G4" s="137"/>
      <c r="H4" s="139"/>
      <c r="I4" s="137"/>
      <c r="J4" s="153">
        <v>107.0</v>
      </c>
      <c r="K4" s="102" t="s">
        <v>18</v>
      </c>
      <c r="L4" s="88"/>
      <c r="M4" s="89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46117.0</v>
      </c>
      <c r="C5" s="18" t="s">
        <v>106</v>
      </c>
      <c r="D5" s="124">
        <v>10250.0</v>
      </c>
      <c r="E5" s="125" t="s">
        <v>73</v>
      </c>
      <c r="F5" s="154">
        <v>15000.0</v>
      </c>
      <c r="G5" s="138"/>
      <c r="H5" s="137"/>
      <c r="I5" s="137"/>
      <c r="J5" s="93"/>
      <c r="K5" s="142" t="s">
        <v>86</v>
      </c>
      <c r="L5" s="88"/>
      <c r="M5" s="95" t="s">
        <v>36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46117.0</v>
      </c>
      <c r="C6" s="18" t="s">
        <v>107</v>
      </c>
      <c r="D6" s="124">
        <v>52686.0</v>
      </c>
      <c r="E6" s="125" t="s">
        <v>31</v>
      </c>
      <c r="F6" s="137"/>
      <c r="G6" s="137"/>
      <c r="H6" s="139"/>
      <c r="I6" s="137"/>
      <c r="J6" s="155">
        <v>74.0</v>
      </c>
      <c r="K6" s="10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>
        <v>46117.0</v>
      </c>
      <c r="C7" s="18" t="s">
        <v>108</v>
      </c>
      <c r="D7" s="124">
        <v>52686.0</v>
      </c>
      <c r="E7" s="125" t="s">
        <v>31</v>
      </c>
      <c r="F7" s="137"/>
      <c r="G7" s="137"/>
      <c r="H7" s="139"/>
      <c r="I7" s="137"/>
      <c r="J7" s="155">
        <v>74.0</v>
      </c>
      <c r="K7" s="102" t="s">
        <v>18</v>
      </c>
      <c r="L7" s="49"/>
      <c r="M7" s="9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>
        <v>46117.0</v>
      </c>
      <c r="C8" s="116" t="s">
        <v>109</v>
      </c>
      <c r="D8" s="156">
        <v>116161.0</v>
      </c>
      <c r="E8" s="118" t="s">
        <v>110</v>
      </c>
      <c r="F8" s="152"/>
      <c r="G8" s="157">
        <v>2790.0</v>
      </c>
      <c r="H8" s="152"/>
      <c r="I8" s="152"/>
      <c r="J8" s="101"/>
      <c r="K8" s="102" t="s">
        <v>18</v>
      </c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41">
        <v>46117.0</v>
      </c>
      <c r="C9" s="42" t="s">
        <v>111</v>
      </c>
      <c r="D9" s="43">
        <v>113488.0</v>
      </c>
      <c r="E9" s="55" t="s">
        <v>112</v>
      </c>
      <c r="F9" s="103"/>
      <c r="G9" s="98">
        <v>4500.0</v>
      </c>
      <c r="H9" s="104"/>
      <c r="I9" s="100"/>
      <c r="J9" s="101"/>
      <c r="K9" s="102" t="s">
        <v>18</v>
      </c>
      <c r="L9" s="49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 t="s">
        <v>37</v>
      </c>
      <c r="B10" s="41">
        <v>46117.0</v>
      </c>
      <c r="C10" s="42" t="s">
        <v>113</v>
      </c>
      <c r="D10" s="43">
        <v>35245.0</v>
      </c>
      <c r="E10" s="55" t="s">
        <v>114</v>
      </c>
      <c r="F10" s="158">
        <v>2400.0</v>
      </c>
      <c r="G10" s="158"/>
      <c r="H10" s="108"/>
      <c r="I10" s="100"/>
      <c r="J10" s="101"/>
      <c r="K10" s="102" t="s">
        <v>18</v>
      </c>
      <c r="L10" s="49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/>
      <c r="B11" s="66"/>
      <c r="C11" s="67"/>
      <c r="D11" s="68"/>
      <c r="E11" s="69"/>
      <c r="F11" s="106"/>
      <c r="G11" s="106"/>
      <c r="H11" s="108"/>
      <c r="I11" s="100"/>
      <c r="J11" s="101"/>
      <c r="K11" s="102" t="s">
        <v>18</v>
      </c>
      <c r="L11" s="49"/>
      <c r="M11" s="105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66"/>
      <c r="C12" s="67"/>
      <c r="D12" s="68"/>
      <c r="E12" s="69"/>
      <c r="F12" s="106"/>
      <c r="G12" s="106"/>
      <c r="H12" s="108"/>
      <c r="I12" s="100"/>
      <c r="J12" s="101"/>
      <c r="K12" s="102" t="s">
        <v>18</v>
      </c>
      <c r="L12" s="49"/>
      <c r="M12" s="109" t="s">
        <v>59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 t="s">
        <v>18</v>
      </c>
      <c r="L13" s="49"/>
      <c r="M13" s="109" t="s">
        <v>59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36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6"/>
      <c r="G19" s="106"/>
      <c r="H19" s="108"/>
      <c r="I19" s="100"/>
      <c r="J19" s="101"/>
      <c r="K19" s="102" t="s">
        <v>18</v>
      </c>
      <c r="L19" s="49"/>
      <c r="M19" s="109" t="s">
        <v>59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17400</v>
      </c>
      <c r="G21" s="75">
        <f t="shared" si="1"/>
        <v>7290</v>
      </c>
      <c r="H21" s="75">
        <f t="shared" si="1"/>
        <v>0</v>
      </c>
      <c r="I21" s="75">
        <f t="shared" si="1"/>
        <v>0</v>
      </c>
      <c r="J21" s="75">
        <f t="shared" si="1"/>
        <v>255</v>
      </c>
      <c r="K21" s="76"/>
      <c r="L21" s="76"/>
      <c r="M21" s="77"/>
    </row>
    <row r="22" ht="48.0" customHeight="1">
      <c r="F22" s="78">
        <f>F21+G21+H21+I21+J21</f>
        <v>24945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115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43"/>
      <c r="C4" s="144"/>
      <c r="D4" s="145"/>
      <c r="E4" s="146"/>
      <c r="F4" s="137"/>
      <c r="G4" s="137"/>
      <c r="H4" s="139"/>
      <c r="I4" s="137"/>
      <c r="J4" s="86"/>
      <c r="K4" s="87"/>
      <c r="L4" s="88"/>
      <c r="M4" s="28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43"/>
      <c r="C5" s="144"/>
      <c r="D5" s="145"/>
      <c r="E5" s="146"/>
      <c r="F5" s="139"/>
      <c r="G5" s="137"/>
      <c r="H5" s="137"/>
      <c r="I5" s="137"/>
      <c r="J5" s="93"/>
      <c r="K5" s="94"/>
      <c r="L5" s="88"/>
      <c r="M5" s="147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43"/>
      <c r="C6" s="144"/>
      <c r="D6" s="145"/>
      <c r="E6" s="146"/>
      <c r="F6" s="137"/>
      <c r="G6" s="137"/>
      <c r="H6" s="139"/>
      <c r="I6" s="137"/>
      <c r="J6" s="101"/>
      <c r="K6" s="102"/>
      <c r="L6" s="88"/>
      <c r="M6" s="147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43"/>
      <c r="C7" s="144"/>
      <c r="D7" s="145"/>
      <c r="E7" s="146"/>
      <c r="F7" s="137"/>
      <c r="G7" s="137"/>
      <c r="H7" s="139"/>
      <c r="I7" s="137"/>
      <c r="J7" s="101"/>
      <c r="K7" s="102"/>
      <c r="L7" s="49"/>
      <c r="M7" s="147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48"/>
      <c r="C8" s="149"/>
      <c r="D8" s="159"/>
      <c r="E8" s="151"/>
      <c r="F8" s="152"/>
      <c r="G8" s="152"/>
      <c r="H8" s="152"/>
      <c r="I8" s="152"/>
      <c r="J8" s="101"/>
      <c r="K8" s="102"/>
      <c r="L8" s="49"/>
      <c r="M8" s="10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66"/>
      <c r="C9" s="67"/>
      <c r="D9" s="68"/>
      <c r="E9" s="69"/>
      <c r="F9" s="103"/>
      <c r="G9" s="103"/>
      <c r="H9" s="104"/>
      <c r="I9" s="100"/>
      <c r="J9" s="101"/>
      <c r="K9" s="102"/>
      <c r="L9" s="49"/>
      <c r="M9" s="10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66"/>
      <c r="C10" s="67"/>
      <c r="D10" s="68"/>
      <c r="E10" s="69"/>
      <c r="F10" s="106"/>
      <c r="G10" s="106"/>
      <c r="H10" s="108"/>
      <c r="I10" s="100"/>
      <c r="J10" s="101"/>
      <c r="K10" s="102" t="s">
        <v>18</v>
      </c>
      <c r="L10" s="49"/>
      <c r="M10" s="109" t="s">
        <v>59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66"/>
      <c r="C11" s="67"/>
      <c r="D11" s="68"/>
      <c r="E11" s="69"/>
      <c r="F11" s="106"/>
      <c r="G11" s="106"/>
      <c r="H11" s="108"/>
      <c r="I11" s="100"/>
      <c r="J11" s="101"/>
      <c r="K11" s="102" t="s">
        <v>18</v>
      </c>
      <c r="L11" s="49"/>
      <c r="M11" s="109" t="s">
        <v>59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66"/>
      <c r="C12" s="67"/>
      <c r="D12" s="68"/>
      <c r="E12" s="69"/>
      <c r="F12" s="106"/>
      <c r="G12" s="106"/>
      <c r="H12" s="108"/>
      <c r="I12" s="100"/>
      <c r="J12" s="101"/>
      <c r="K12" s="102" t="s">
        <v>18</v>
      </c>
      <c r="L12" s="49"/>
      <c r="M12" s="109" t="s">
        <v>59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 t="s">
        <v>18</v>
      </c>
      <c r="L13" s="49"/>
      <c r="M13" s="109" t="s">
        <v>59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36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19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6"/>
      <c r="G19" s="106"/>
      <c r="H19" s="108"/>
      <c r="I19" s="100"/>
      <c r="J19" s="101"/>
      <c r="K19" s="102" t="s">
        <v>18</v>
      </c>
      <c r="L19" s="49"/>
      <c r="M19" s="109" t="s">
        <v>59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0</v>
      </c>
      <c r="G21" s="75">
        <f t="shared" si="1"/>
        <v>0</v>
      </c>
      <c r="H21" s="75">
        <f t="shared" si="1"/>
        <v>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116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46118.0</v>
      </c>
      <c r="C4" s="18" t="s">
        <v>117</v>
      </c>
      <c r="D4" s="124">
        <v>115390.0</v>
      </c>
      <c r="E4" s="125" t="s">
        <v>118</v>
      </c>
      <c r="F4" s="137"/>
      <c r="G4" s="137"/>
      <c r="H4" s="154">
        <v>2500.0</v>
      </c>
      <c r="I4" s="137"/>
      <c r="J4" s="86"/>
      <c r="K4" s="102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46118.0</v>
      </c>
      <c r="C5" s="18" t="s">
        <v>119</v>
      </c>
      <c r="D5" s="124">
        <v>117193.0</v>
      </c>
      <c r="E5" s="125" t="s">
        <v>120</v>
      </c>
      <c r="F5" s="139"/>
      <c r="G5" s="137"/>
      <c r="H5" s="138">
        <v>350.0</v>
      </c>
      <c r="I5" s="137"/>
      <c r="J5" s="93"/>
      <c r="K5" s="102" t="s">
        <v>18</v>
      </c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46118.0</v>
      </c>
      <c r="C6" s="18" t="s">
        <v>121</v>
      </c>
      <c r="D6" s="124">
        <v>117193.0</v>
      </c>
      <c r="E6" s="125" t="s">
        <v>120</v>
      </c>
      <c r="F6" s="137"/>
      <c r="G6" s="137"/>
      <c r="H6" s="154">
        <v>3700.0</v>
      </c>
      <c r="I6" s="137"/>
      <c r="J6" s="101"/>
      <c r="K6" s="102" t="s">
        <v>18</v>
      </c>
      <c r="L6" s="88"/>
      <c r="M6" s="95" t="s">
        <v>59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>
        <v>46118.0</v>
      </c>
      <c r="C7" s="18" t="s">
        <v>122</v>
      </c>
      <c r="D7" s="124">
        <v>117203.0</v>
      </c>
      <c r="E7" s="125" t="s">
        <v>123</v>
      </c>
      <c r="F7" s="137"/>
      <c r="G7" s="137"/>
      <c r="H7" s="154">
        <v>300.0</v>
      </c>
      <c r="I7" s="137"/>
      <c r="J7" s="101"/>
      <c r="K7" s="102" t="s">
        <v>18</v>
      </c>
      <c r="L7" s="49"/>
      <c r="M7" s="95" t="s">
        <v>59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>
        <v>46118.0</v>
      </c>
      <c r="C8" s="116" t="s">
        <v>124</v>
      </c>
      <c r="D8" s="156">
        <v>117203.0</v>
      </c>
      <c r="E8" s="118" t="s">
        <v>123</v>
      </c>
      <c r="F8" s="152"/>
      <c r="G8" s="152"/>
      <c r="H8" s="157">
        <v>2890.0</v>
      </c>
      <c r="I8" s="152"/>
      <c r="J8" s="101"/>
      <c r="K8" s="102" t="s">
        <v>18</v>
      </c>
      <c r="L8" s="49"/>
      <c r="M8" s="105" t="s">
        <v>59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0" t="s">
        <v>37</v>
      </c>
      <c r="B9" s="41">
        <v>46119.0</v>
      </c>
      <c r="C9" s="42" t="s">
        <v>125</v>
      </c>
      <c r="D9" s="43">
        <v>51017.0</v>
      </c>
      <c r="E9" s="55" t="s">
        <v>126</v>
      </c>
      <c r="F9" s="158">
        <v>5000.0</v>
      </c>
      <c r="G9" s="106"/>
      <c r="H9" s="108"/>
      <c r="I9" s="100"/>
      <c r="J9" s="101"/>
      <c r="K9" s="102" t="s">
        <v>18</v>
      </c>
      <c r="L9" s="49"/>
      <c r="M9" s="109" t="s">
        <v>59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40</v>
      </c>
      <c r="B10" s="41">
        <v>46119.0</v>
      </c>
      <c r="C10" s="42" t="s">
        <v>127</v>
      </c>
      <c r="D10" s="43">
        <v>47787.0</v>
      </c>
      <c r="E10" s="55" t="s">
        <v>85</v>
      </c>
      <c r="F10" s="158">
        <v>10250.0</v>
      </c>
      <c r="G10" s="106"/>
      <c r="H10" s="108"/>
      <c r="I10" s="100"/>
      <c r="J10" s="101"/>
      <c r="K10" s="142" t="s">
        <v>128</v>
      </c>
      <c r="L10" s="49"/>
      <c r="M10" s="105" t="s">
        <v>36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0" t="s">
        <v>43</v>
      </c>
      <c r="B11" s="41">
        <v>46119.0</v>
      </c>
      <c r="C11" s="42" t="s">
        <v>129</v>
      </c>
      <c r="D11" s="43">
        <v>50342.0</v>
      </c>
      <c r="E11" s="55" t="s">
        <v>71</v>
      </c>
      <c r="F11" s="106"/>
      <c r="G11" s="158">
        <v>25000.0</v>
      </c>
      <c r="H11" s="108"/>
      <c r="I11" s="100"/>
      <c r="J11" s="101"/>
      <c r="K11" s="102" t="s">
        <v>18</v>
      </c>
      <c r="L11" s="49"/>
      <c r="M11" s="109" t="s">
        <v>59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46</v>
      </c>
      <c r="B12" s="66"/>
      <c r="C12" s="67"/>
      <c r="D12" s="68"/>
      <c r="E12" s="69"/>
      <c r="F12" s="106"/>
      <c r="G12" s="106"/>
      <c r="H12" s="108"/>
      <c r="I12" s="100"/>
      <c r="J12" s="101"/>
      <c r="K12" s="102" t="s">
        <v>18</v>
      </c>
      <c r="L12" s="49"/>
      <c r="M12" s="109" t="s">
        <v>59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10" t="s">
        <v>49</v>
      </c>
      <c r="B13" s="66"/>
      <c r="C13" s="67"/>
      <c r="D13" s="68"/>
      <c r="E13" s="69"/>
      <c r="F13" s="106"/>
      <c r="G13" s="106"/>
      <c r="H13" s="108"/>
      <c r="I13" s="100"/>
      <c r="J13" s="101"/>
      <c r="K13" s="102" t="s">
        <v>18</v>
      </c>
      <c r="L13" s="49"/>
      <c r="M13" s="109" t="s">
        <v>36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52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10" t="s">
        <v>55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 t="s">
        <v>78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10" t="s">
        <v>58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 t="s">
        <v>60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59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61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62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15250</v>
      </c>
      <c r="G21" s="75">
        <f t="shared" si="1"/>
        <v>25000</v>
      </c>
      <c r="H21" s="75">
        <f t="shared" si="1"/>
        <v>9740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49990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46119.0</v>
      </c>
      <c r="C4" s="18" t="s">
        <v>131</v>
      </c>
      <c r="D4" s="124">
        <v>95503.0</v>
      </c>
      <c r="E4" s="125" t="s">
        <v>132</v>
      </c>
      <c r="F4" s="137"/>
      <c r="G4" s="137"/>
      <c r="H4" s="160">
        <v>5100.0</v>
      </c>
      <c r="I4" s="137"/>
      <c r="J4" s="86"/>
      <c r="K4" s="102" t="s">
        <v>18</v>
      </c>
      <c r="L4" s="88"/>
      <c r="M4" s="89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46120.0</v>
      </c>
      <c r="C5" s="18" t="s">
        <v>133</v>
      </c>
      <c r="D5" s="124">
        <v>10250.0</v>
      </c>
      <c r="E5" s="125" t="s">
        <v>73</v>
      </c>
      <c r="F5" s="154">
        <v>15000.0</v>
      </c>
      <c r="G5" s="137"/>
      <c r="H5" s="138"/>
      <c r="I5" s="137"/>
      <c r="J5" s="93"/>
      <c r="K5" s="142" t="s">
        <v>128</v>
      </c>
      <c r="L5" s="88"/>
      <c r="M5" s="95" t="s">
        <v>36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46120.0</v>
      </c>
      <c r="C6" s="18" t="s">
        <v>134</v>
      </c>
      <c r="D6" s="124">
        <v>25542.0</v>
      </c>
      <c r="E6" s="125" t="s">
        <v>135</v>
      </c>
      <c r="F6" s="138">
        <v>4500.0</v>
      </c>
      <c r="G6" s="137"/>
      <c r="H6" s="154"/>
      <c r="I6" s="137"/>
      <c r="J6" s="101"/>
      <c r="K6" s="10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>
        <v>46120.0</v>
      </c>
      <c r="C7" s="18" t="s">
        <v>136</v>
      </c>
      <c r="D7" s="124">
        <v>25542.0</v>
      </c>
      <c r="E7" s="125" t="s">
        <v>135</v>
      </c>
      <c r="F7" s="138">
        <v>4900.0</v>
      </c>
      <c r="G7" s="137"/>
      <c r="H7" s="154"/>
      <c r="I7" s="137"/>
      <c r="J7" s="101"/>
      <c r="K7" s="102" t="s">
        <v>18</v>
      </c>
      <c r="L7" s="49"/>
      <c r="M7" s="9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>
        <v>46120.0</v>
      </c>
      <c r="C8" s="116" t="s">
        <v>137</v>
      </c>
      <c r="D8" s="156">
        <v>98948.0</v>
      </c>
      <c r="E8" s="118" t="s">
        <v>138</v>
      </c>
      <c r="F8" s="157">
        <v>10000.0</v>
      </c>
      <c r="G8" s="152"/>
      <c r="H8" s="157"/>
      <c r="I8" s="152"/>
      <c r="J8" s="101"/>
      <c r="K8" s="102" t="s">
        <v>18</v>
      </c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0" t="s">
        <v>37</v>
      </c>
      <c r="B9" s="41">
        <v>46120.0</v>
      </c>
      <c r="C9" s="42" t="s">
        <v>139</v>
      </c>
      <c r="D9" s="43">
        <v>30895.0</v>
      </c>
      <c r="E9" s="55" t="s">
        <v>140</v>
      </c>
      <c r="F9" s="158">
        <v>5000.0</v>
      </c>
      <c r="G9" s="106"/>
      <c r="H9" s="108"/>
      <c r="I9" s="100"/>
      <c r="J9" s="101"/>
      <c r="K9" s="102" t="s">
        <v>18</v>
      </c>
      <c r="L9" s="49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40</v>
      </c>
      <c r="B10" s="41"/>
      <c r="C10" s="42"/>
      <c r="D10" s="43"/>
      <c r="E10" s="55"/>
      <c r="F10" s="158"/>
      <c r="G10" s="106"/>
      <c r="H10" s="108"/>
      <c r="I10" s="100"/>
      <c r="J10" s="101"/>
      <c r="K10" s="102" t="s">
        <v>18</v>
      </c>
      <c r="L10" s="49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10" t="s">
        <v>43</v>
      </c>
      <c r="B11" s="41"/>
      <c r="C11" s="42"/>
      <c r="D11" s="43"/>
      <c r="E11" s="55"/>
      <c r="F11" s="106"/>
      <c r="G11" s="158"/>
      <c r="H11" s="108"/>
      <c r="I11" s="100"/>
      <c r="J11" s="101"/>
      <c r="K11" s="102" t="s">
        <v>18</v>
      </c>
      <c r="L11" s="49"/>
      <c r="M11" s="109" t="s">
        <v>59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46</v>
      </c>
      <c r="B12" s="66"/>
      <c r="C12" s="67"/>
      <c r="D12" s="68"/>
      <c r="E12" s="69"/>
      <c r="F12" s="106"/>
      <c r="G12" s="106"/>
      <c r="H12" s="108"/>
      <c r="I12" s="100"/>
      <c r="J12" s="101"/>
      <c r="K12" s="102" t="s">
        <v>18</v>
      </c>
      <c r="L12" s="49"/>
      <c r="M12" s="109" t="s">
        <v>59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10" t="s">
        <v>49</v>
      </c>
      <c r="B13" s="66"/>
      <c r="C13" s="67"/>
      <c r="D13" s="68"/>
      <c r="E13" s="69"/>
      <c r="F13" s="106"/>
      <c r="G13" s="106"/>
      <c r="H13" s="108"/>
      <c r="I13" s="100"/>
      <c r="J13" s="101"/>
      <c r="K13" s="102" t="s">
        <v>18</v>
      </c>
      <c r="L13" s="49"/>
      <c r="M13" s="109" t="s">
        <v>36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30" t="s">
        <v>52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10" t="s">
        <v>55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30" t="s">
        <v>78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110" t="s">
        <v>58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 t="s">
        <v>60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59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61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62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39400</v>
      </c>
      <c r="G21" s="75">
        <f t="shared" si="1"/>
        <v>0</v>
      </c>
      <c r="H21" s="75">
        <f t="shared" si="1"/>
        <v>5100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44500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46120.0</v>
      </c>
      <c r="C4" s="18" t="s">
        <v>142</v>
      </c>
      <c r="D4" s="124">
        <v>84540.0</v>
      </c>
      <c r="E4" s="125" t="s">
        <v>143</v>
      </c>
      <c r="F4" s="138">
        <v>5100.0</v>
      </c>
      <c r="G4" s="137"/>
      <c r="H4" s="160"/>
      <c r="I4" s="137"/>
      <c r="J4" s="86"/>
      <c r="K4" s="102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46120.0</v>
      </c>
      <c r="C5" s="18" t="s">
        <v>144</v>
      </c>
      <c r="D5" s="124">
        <v>42095.0</v>
      </c>
      <c r="E5" s="125" t="s">
        <v>145</v>
      </c>
      <c r="F5" s="154"/>
      <c r="G5" s="138">
        <v>6090.0</v>
      </c>
      <c r="H5" s="138"/>
      <c r="I5" s="137"/>
      <c r="J5" s="93"/>
      <c r="K5" s="102" t="s">
        <v>18</v>
      </c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46121.0</v>
      </c>
      <c r="C6" s="18" t="s">
        <v>146</v>
      </c>
      <c r="D6" s="124">
        <v>69346.0</v>
      </c>
      <c r="E6" s="125" t="s">
        <v>147</v>
      </c>
      <c r="F6" s="138">
        <v>33900.0</v>
      </c>
      <c r="G6" s="137"/>
      <c r="H6" s="154"/>
      <c r="I6" s="137"/>
      <c r="J6" s="101"/>
      <c r="K6" s="10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>
        <v>46121.0</v>
      </c>
      <c r="C7" s="18" t="s">
        <v>148</v>
      </c>
      <c r="D7" s="124">
        <v>69346.0</v>
      </c>
      <c r="E7" s="125" t="s">
        <v>147</v>
      </c>
      <c r="F7" s="138">
        <v>4500.0</v>
      </c>
      <c r="G7" s="137"/>
      <c r="H7" s="154"/>
      <c r="I7" s="137"/>
      <c r="J7" s="101"/>
      <c r="K7" s="102" t="s">
        <v>18</v>
      </c>
      <c r="L7" s="49"/>
      <c r="M7" s="9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>
        <v>46121.0</v>
      </c>
      <c r="C8" s="116" t="s">
        <v>149</v>
      </c>
      <c r="D8" s="156">
        <v>50342.0</v>
      </c>
      <c r="E8" s="118" t="s">
        <v>71</v>
      </c>
      <c r="F8" s="157">
        <v>25000.0</v>
      </c>
      <c r="G8" s="152"/>
      <c r="H8" s="157"/>
      <c r="I8" s="152"/>
      <c r="J8" s="101"/>
      <c r="K8" s="142" t="s">
        <v>128</v>
      </c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41">
        <v>46121.0</v>
      </c>
      <c r="C9" s="42" t="s">
        <v>150</v>
      </c>
      <c r="D9" s="43">
        <v>88485.0</v>
      </c>
      <c r="E9" s="55" t="s">
        <v>151</v>
      </c>
      <c r="F9" s="158"/>
      <c r="G9" s="158">
        <v>280.0</v>
      </c>
      <c r="H9" s="108"/>
      <c r="I9" s="100"/>
      <c r="J9" s="101"/>
      <c r="K9" s="102" t="s">
        <v>18</v>
      </c>
      <c r="L9" s="49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 t="s">
        <v>37</v>
      </c>
      <c r="B10" s="41">
        <v>46121.0</v>
      </c>
      <c r="C10" s="42" t="s">
        <v>152</v>
      </c>
      <c r="D10" s="43">
        <v>38698.0</v>
      </c>
      <c r="E10" s="55" t="s">
        <v>153</v>
      </c>
      <c r="F10" s="158"/>
      <c r="G10" s="106"/>
      <c r="H10" s="108"/>
      <c r="I10" s="100"/>
      <c r="J10" s="155">
        <v>23.0</v>
      </c>
      <c r="K10" s="102" t="s">
        <v>18</v>
      </c>
      <c r="L10" s="49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40</v>
      </c>
      <c r="B11" s="41">
        <v>46121.0</v>
      </c>
      <c r="C11" s="42" t="s">
        <v>154</v>
      </c>
      <c r="D11" s="43">
        <v>33995.0</v>
      </c>
      <c r="E11" s="55" t="s">
        <v>155</v>
      </c>
      <c r="F11" s="106"/>
      <c r="G11" s="158"/>
      <c r="H11" s="108"/>
      <c r="I11" s="100"/>
      <c r="J11" s="155">
        <v>70.0</v>
      </c>
      <c r="K11" s="102" t="s">
        <v>18</v>
      </c>
      <c r="L11" s="49"/>
      <c r="M11" s="105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10" t="s">
        <v>43</v>
      </c>
      <c r="B12" s="41">
        <v>46121.0</v>
      </c>
      <c r="C12" s="42" t="s">
        <v>156</v>
      </c>
      <c r="D12" s="43">
        <v>38697.0</v>
      </c>
      <c r="E12" s="55" t="s">
        <v>157</v>
      </c>
      <c r="F12" s="106"/>
      <c r="G12" s="106"/>
      <c r="H12" s="108"/>
      <c r="I12" s="100"/>
      <c r="J12" s="155">
        <v>70.0</v>
      </c>
      <c r="K12" s="102" t="s">
        <v>18</v>
      </c>
      <c r="L12" s="49"/>
      <c r="M12" s="105" t="s">
        <v>19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 t="s">
        <v>18</v>
      </c>
      <c r="L13" s="49"/>
      <c r="M13" s="109" t="s">
        <v>36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59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68500</v>
      </c>
      <c r="G21" s="75">
        <f t="shared" si="1"/>
        <v>6370</v>
      </c>
      <c r="H21" s="75">
        <f t="shared" si="1"/>
        <v>0</v>
      </c>
      <c r="I21" s="75">
        <f t="shared" si="1"/>
        <v>0</v>
      </c>
      <c r="J21" s="75">
        <f t="shared" si="1"/>
        <v>163</v>
      </c>
      <c r="K21" s="76"/>
      <c r="L21" s="76"/>
      <c r="M21" s="77"/>
    </row>
    <row r="22" ht="48.0" customHeight="1">
      <c r="F22" s="78">
        <f>F21+G21+H21+I21+J21</f>
        <v>75033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46122.0</v>
      </c>
      <c r="C4" s="18" t="s">
        <v>159</v>
      </c>
      <c r="D4" s="124">
        <v>50148.0</v>
      </c>
      <c r="E4" s="125" t="s">
        <v>90</v>
      </c>
      <c r="F4" s="138">
        <v>10000.0</v>
      </c>
      <c r="G4" s="137"/>
      <c r="H4" s="160"/>
      <c r="I4" s="137"/>
      <c r="J4" s="86"/>
      <c r="K4" s="142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46122.0</v>
      </c>
      <c r="C5" s="18" t="s">
        <v>160</v>
      </c>
      <c r="D5" s="124">
        <v>22332.0</v>
      </c>
      <c r="E5" s="125" t="s">
        <v>161</v>
      </c>
      <c r="F5" s="154"/>
      <c r="G5" s="138"/>
      <c r="H5" s="138"/>
      <c r="I5" s="137"/>
      <c r="J5" s="140">
        <v>23.0</v>
      </c>
      <c r="K5" s="142" t="s">
        <v>18</v>
      </c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46122.0</v>
      </c>
      <c r="C6" s="18" t="s">
        <v>162</v>
      </c>
      <c r="D6" s="124">
        <v>51017.0</v>
      </c>
      <c r="E6" s="125" t="s">
        <v>126</v>
      </c>
      <c r="F6" s="138">
        <v>5000.0</v>
      </c>
      <c r="G6" s="137"/>
      <c r="H6" s="154"/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>
        <v>46122.0</v>
      </c>
      <c r="C7" s="18" t="s">
        <v>163</v>
      </c>
      <c r="D7" s="124">
        <v>48306.0</v>
      </c>
      <c r="E7" s="125" t="s">
        <v>164</v>
      </c>
      <c r="F7" s="138"/>
      <c r="G7" s="138">
        <v>3700.0</v>
      </c>
      <c r="H7" s="154"/>
      <c r="I7" s="137"/>
      <c r="J7" s="101"/>
      <c r="K7" s="142" t="s">
        <v>18</v>
      </c>
      <c r="L7" s="49"/>
      <c r="M7" s="95" t="s">
        <v>59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/>
      <c r="C8" s="116"/>
      <c r="D8" s="156"/>
      <c r="E8" s="118"/>
      <c r="F8" s="15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 t="s">
        <v>32</v>
      </c>
      <c r="B9" s="41"/>
      <c r="C9" s="42"/>
      <c r="D9" s="43"/>
      <c r="E9" s="55"/>
      <c r="F9" s="158"/>
      <c r="G9" s="158"/>
      <c r="H9" s="108"/>
      <c r="I9" s="100"/>
      <c r="J9" s="101"/>
      <c r="K9" s="10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59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15000</v>
      </c>
      <c r="G21" s="75">
        <f t="shared" si="1"/>
        <v>3700</v>
      </c>
      <c r="H21" s="75">
        <f t="shared" si="1"/>
        <v>0</v>
      </c>
      <c r="I21" s="75">
        <f t="shared" si="1"/>
        <v>0</v>
      </c>
      <c r="J21" s="75">
        <f t="shared" si="1"/>
        <v>23</v>
      </c>
      <c r="K21" s="76"/>
      <c r="L21" s="76"/>
      <c r="M21" s="77"/>
    </row>
    <row r="22" ht="48.0" customHeight="1">
      <c r="F22" s="78">
        <f>F21+G21+H21+I21+J21</f>
        <v>18723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46123.0</v>
      </c>
      <c r="C4" s="18" t="s">
        <v>166</v>
      </c>
      <c r="D4" s="124">
        <v>77658.0</v>
      </c>
      <c r="E4" s="125" t="s">
        <v>167</v>
      </c>
      <c r="F4" s="138">
        <v>15000.0</v>
      </c>
      <c r="G4" s="137"/>
      <c r="H4" s="160"/>
      <c r="I4" s="137"/>
      <c r="J4" s="86"/>
      <c r="K4" s="142"/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46123.0</v>
      </c>
      <c r="C5" s="18" t="s">
        <v>168</v>
      </c>
      <c r="D5" s="124">
        <v>50148.0</v>
      </c>
      <c r="E5" s="125" t="s">
        <v>90</v>
      </c>
      <c r="F5" s="154"/>
      <c r="G5" s="138">
        <v>25000.0</v>
      </c>
      <c r="H5" s="138"/>
      <c r="I5" s="137"/>
      <c r="J5" s="140"/>
      <c r="K5" s="142"/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/>
      <c r="B6" s="123"/>
      <c r="C6" s="18"/>
      <c r="D6" s="124"/>
      <c r="E6" s="125"/>
      <c r="F6" s="138"/>
      <c r="G6" s="137"/>
      <c r="H6" s="154"/>
      <c r="I6" s="137"/>
      <c r="J6" s="101"/>
      <c r="K6" s="142"/>
      <c r="L6" s="88"/>
      <c r="M6" s="95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123"/>
      <c r="C7" s="18"/>
      <c r="D7" s="124"/>
      <c r="E7" s="125"/>
      <c r="F7" s="138"/>
      <c r="G7" s="138"/>
      <c r="H7" s="154"/>
      <c r="I7" s="137"/>
      <c r="J7" s="101"/>
      <c r="K7" s="142"/>
      <c r="L7" s="49"/>
      <c r="M7" s="95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/>
      <c r="B8" s="115"/>
      <c r="C8" s="116"/>
      <c r="D8" s="156"/>
      <c r="E8" s="118"/>
      <c r="F8" s="15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 t="s">
        <v>32</v>
      </c>
      <c r="B9" s="41"/>
      <c r="C9" s="42"/>
      <c r="D9" s="43"/>
      <c r="E9" s="55"/>
      <c r="F9" s="158"/>
      <c r="G9" s="158"/>
      <c r="H9" s="108"/>
      <c r="I9" s="100"/>
      <c r="J9" s="101"/>
      <c r="K9" s="10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59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15000</v>
      </c>
      <c r="G21" s="75">
        <f t="shared" si="1"/>
        <v>25000</v>
      </c>
      <c r="H21" s="75">
        <f t="shared" si="1"/>
        <v>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40000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46124.0</v>
      </c>
      <c r="C4" s="18" t="s">
        <v>170</v>
      </c>
      <c r="D4" s="124">
        <v>13781.0</v>
      </c>
      <c r="E4" s="125" t="s">
        <v>171</v>
      </c>
      <c r="F4" s="138"/>
      <c r="G4" s="137"/>
      <c r="H4" s="160"/>
      <c r="I4" s="137"/>
      <c r="J4" s="153">
        <v>163.0</v>
      </c>
      <c r="K4" s="142" t="s">
        <v>18</v>
      </c>
      <c r="L4" s="88"/>
      <c r="M4" s="89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46124.0</v>
      </c>
      <c r="C5" s="18" t="s">
        <v>172</v>
      </c>
      <c r="D5" s="124">
        <v>47787.0</v>
      </c>
      <c r="E5" s="125" t="s">
        <v>85</v>
      </c>
      <c r="F5" s="154">
        <v>10000.0</v>
      </c>
      <c r="G5" s="138"/>
      <c r="H5" s="138"/>
      <c r="I5" s="137"/>
      <c r="J5" s="140"/>
      <c r="K5" s="142" t="s">
        <v>86</v>
      </c>
      <c r="L5" s="88"/>
      <c r="M5" s="95" t="s">
        <v>36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46124.0</v>
      </c>
      <c r="C6" s="18" t="s">
        <v>173</v>
      </c>
      <c r="D6" s="124">
        <v>109962.0</v>
      </c>
      <c r="E6" s="125" t="s">
        <v>174</v>
      </c>
      <c r="F6" s="138"/>
      <c r="G6" s="137"/>
      <c r="H6" s="154">
        <v>2500.0</v>
      </c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>
        <v>46124.0</v>
      </c>
      <c r="C7" s="18" t="s">
        <v>175</v>
      </c>
      <c r="D7" s="124">
        <v>21928.0</v>
      </c>
      <c r="E7" s="125" t="s">
        <v>176</v>
      </c>
      <c r="F7" s="138"/>
      <c r="G7" s="138"/>
      <c r="H7" s="154">
        <v>4500.0</v>
      </c>
      <c r="I7" s="137"/>
      <c r="J7" s="101"/>
      <c r="K7" s="142" t="s">
        <v>18</v>
      </c>
      <c r="L7" s="49"/>
      <c r="M7" s="9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>
        <v>46124.0</v>
      </c>
      <c r="C8" s="116" t="s">
        <v>177</v>
      </c>
      <c r="D8" s="156">
        <v>38299.0</v>
      </c>
      <c r="E8" s="118" t="s">
        <v>178</v>
      </c>
      <c r="F8" s="157"/>
      <c r="G8" s="152"/>
      <c r="H8" s="157">
        <v>3600.0</v>
      </c>
      <c r="I8" s="152"/>
      <c r="J8" s="101"/>
      <c r="K8" s="142" t="s">
        <v>18</v>
      </c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 t="s">
        <v>32</v>
      </c>
      <c r="B9" s="41"/>
      <c r="C9" s="42"/>
      <c r="D9" s="43"/>
      <c r="E9" s="55"/>
      <c r="F9" s="158"/>
      <c r="G9" s="158"/>
      <c r="H9" s="108"/>
      <c r="I9" s="100"/>
      <c r="J9" s="101"/>
      <c r="K9" s="10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 t="s">
        <v>18</v>
      </c>
      <c r="L14" s="49"/>
      <c r="M14" s="109" t="s">
        <v>19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 t="s">
        <v>18</v>
      </c>
      <c r="L15" s="49"/>
      <c r="M15" s="109" t="s">
        <v>19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 t="s">
        <v>18</v>
      </c>
      <c r="L16" s="49"/>
      <c r="M16" s="109" t="s">
        <v>19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 t="s">
        <v>18</v>
      </c>
      <c r="L17" s="49"/>
      <c r="M17" s="109" t="s">
        <v>19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 t="s">
        <v>18</v>
      </c>
      <c r="L18" s="49"/>
      <c r="M18" s="109" t="s">
        <v>59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10000</v>
      </c>
      <c r="G21" s="75">
        <f t="shared" si="1"/>
        <v>0</v>
      </c>
      <c r="H21" s="75">
        <f t="shared" si="1"/>
        <v>10600</v>
      </c>
      <c r="I21" s="75">
        <f t="shared" si="1"/>
        <v>0</v>
      </c>
      <c r="J21" s="75">
        <f t="shared" si="1"/>
        <v>163</v>
      </c>
      <c r="K21" s="76"/>
      <c r="L21" s="76"/>
      <c r="M21" s="77"/>
    </row>
    <row r="22" ht="48.0" customHeight="1">
      <c r="F22" s="78">
        <f>F21+G21+H21+I21+J21</f>
        <v>20763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46127.0</v>
      </c>
      <c r="C4" s="18" t="s">
        <v>180</v>
      </c>
      <c r="D4" s="124">
        <v>108364.0</v>
      </c>
      <c r="E4" s="125" t="s">
        <v>181</v>
      </c>
      <c r="F4" s="138"/>
      <c r="G4" s="137"/>
      <c r="H4" s="160">
        <v>22750.0</v>
      </c>
      <c r="I4" s="137"/>
      <c r="J4" s="153"/>
      <c r="K4" s="142" t="s">
        <v>18</v>
      </c>
      <c r="L4" s="88"/>
      <c r="M4" s="89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46128.0</v>
      </c>
      <c r="C5" s="18" t="s">
        <v>182</v>
      </c>
      <c r="D5" s="124">
        <v>77022.0</v>
      </c>
      <c r="E5" s="125" t="s">
        <v>183</v>
      </c>
      <c r="F5" s="154"/>
      <c r="G5" s="138"/>
      <c r="H5" s="138">
        <v>2600.0</v>
      </c>
      <c r="I5" s="137"/>
      <c r="J5" s="140"/>
      <c r="K5" s="142" t="s">
        <v>18</v>
      </c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46128.0</v>
      </c>
      <c r="C6" s="18" t="s">
        <v>184</v>
      </c>
      <c r="D6" s="124">
        <v>105021.0</v>
      </c>
      <c r="E6" s="125" t="s">
        <v>185</v>
      </c>
      <c r="F6" s="138"/>
      <c r="G6" s="138">
        <v>2400.0</v>
      </c>
      <c r="H6" s="154"/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/>
      <c r="C7" s="18"/>
      <c r="D7" s="124"/>
      <c r="E7" s="125"/>
      <c r="F7" s="138"/>
      <c r="G7" s="138"/>
      <c r="H7" s="154"/>
      <c r="I7" s="137"/>
      <c r="J7" s="101"/>
      <c r="K7" s="142"/>
      <c r="L7" s="49"/>
      <c r="M7" s="95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/>
      <c r="C8" s="116"/>
      <c r="D8" s="156"/>
      <c r="E8" s="118"/>
      <c r="F8" s="15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41"/>
      <c r="C9" s="42"/>
      <c r="D9" s="43"/>
      <c r="E9" s="55"/>
      <c r="F9" s="158"/>
      <c r="G9" s="158"/>
      <c r="H9" s="108"/>
      <c r="I9" s="100"/>
      <c r="J9" s="101"/>
      <c r="K9" s="10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0</v>
      </c>
      <c r="G21" s="75">
        <f t="shared" si="1"/>
        <v>2400</v>
      </c>
      <c r="H21" s="75">
        <f t="shared" si="1"/>
        <v>25350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27750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/>
      <c r="C4" s="18"/>
      <c r="D4" s="124"/>
      <c r="E4" s="125"/>
      <c r="F4" s="138"/>
      <c r="G4" s="137"/>
      <c r="H4" s="160"/>
      <c r="I4" s="137"/>
      <c r="J4" s="153"/>
      <c r="K4" s="142" t="s">
        <v>18</v>
      </c>
      <c r="L4" s="88"/>
      <c r="M4" s="89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/>
      <c r="C5" s="18"/>
      <c r="D5" s="124"/>
      <c r="E5" s="125"/>
      <c r="F5" s="154"/>
      <c r="G5" s="138"/>
      <c r="H5" s="138"/>
      <c r="I5" s="137"/>
      <c r="J5" s="140"/>
      <c r="K5" s="142" t="s">
        <v>18</v>
      </c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/>
      <c r="C6" s="18"/>
      <c r="D6" s="124"/>
      <c r="E6" s="161" t="s">
        <v>187</v>
      </c>
      <c r="F6" s="138"/>
      <c r="G6" s="138"/>
      <c r="H6" s="154"/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/>
      <c r="C7" s="18"/>
      <c r="D7" s="124"/>
      <c r="E7" s="125"/>
      <c r="F7" s="138"/>
      <c r="G7" s="138"/>
      <c r="H7" s="154"/>
      <c r="I7" s="137"/>
      <c r="J7" s="101"/>
      <c r="K7" s="142"/>
      <c r="L7" s="49"/>
      <c r="M7" s="95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/>
      <c r="C8" s="116"/>
      <c r="D8" s="156"/>
      <c r="E8" s="118"/>
      <c r="F8" s="15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41"/>
      <c r="C9" s="42"/>
      <c r="D9" s="43"/>
      <c r="E9" s="55"/>
      <c r="F9" s="158"/>
      <c r="G9" s="158"/>
      <c r="H9" s="108"/>
      <c r="I9" s="100"/>
      <c r="J9" s="101"/>
      <c r="K9" s="10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0</v>
      </c>
      <c r="G21" s="75">
        <f t="shared" si="1"/>
        <v>0</v>
      </c>
      <c r="H21" s="75">
        <f t="shared" si="1"/>
        <v>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46130.0</v>
      </c>
      <c r="C4" s="18" t="s">
        <v>189</v>
      </c>
      <c r="D4" s="124">
        <v>51166.0</v>
      </c>
      <c r="E4" s="125" t="s">
        <v>190</v>
      </c>
      <c r="F4" s="138"/>
      <c r="G4" s="137"/>
      <c r="H4" s="160">
        <v>5100.0</v>
      </c>
      <c r="I4" s="137"/>
      <c r="J4" s="153"/>
      <c r="K4" s="142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46130.0</v>
      </c>
      <c r="C5" s="18" t="s">
        <v>191</v>
      </c>
      <c r="D5" s="124">
        <v>116678.0</v>
      </c>
      <c r="E5" s="125" t="s">
        <v>48</v>
      </c>
      <c r="F5" s="154"/>
      <c r="G5" s="138"/>
      <c r="H5" s="138">
        <v>3050.0</v>
      </c>
      <c r="I5" s="137"/>
      <c r="J5" s="140"/>
      <c r="K5" s="142" t="s">
        <v>18</v>
      </c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46130.0</v>
      </c>
      <c r="C6" s="18" t="s">
        <v>192</v>
      </c>
      <c r="D6" s="124">
        <v>10006.0</v>
      </c>
      <c r="E6" s="162" t="s">
        <v>193</v>
      </c>
      <c r="F6" s="138">
        <v>5100.0</v>
      </c>
      <c r="G6" s="138"/>
      <c r="H6" s="154"/>
      <c r="I6" s="137"/>
      <c r="J6" s="101"/>
      <c r="K6" s="142" t="s">
        <v>18</v>
      </c>
      <c r="L6" s="88"/>
      <c r="M6" s="95" t="s">
        <v>59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>
        <v>46130.0</v>
      </c>
      <c r="C7" s="18" t="s">
        <v>194</v>
      </c>
      <c r="D7" s="124">
        <v>50342.0</v>
      </c>
      <c r="E7" s="125" t="s">
        <v>71</v>
      </c>
      <c r="F7" s="138">
        <v>550.0</v>
      </c>
      <c r="G7" s="138"/>
      <c r="H7" s="154"/>
      <c r="I7" s="137"/>
      <c r="J7" s="101"/>
      <c r="K7" s="142" t="s">
        <v>18</v>
      </c>
      <c r="L7" s="49"/>
      <c r="M7" s="95" t="s">
        <v>59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>
        <v>46130.0</v>
      </c>
      <c r="C8" s="116" t="s">
        <v>195</v>
      </c>
      <c r="D8" s="156">
        <v>118099.0</v>
      </c>
      <c r="E8" s="118" t="s">
        <v>196</v>
      </c>
      <c r="F8" s="157"/>
      <c r="G8" s="152"/>
      <c r="H8" s="157">
        <v>300.0</v>
      </c>
      <c r="I8" s="152"/>
      <c r="J8" s="101"/>
      <c r="K8" s="142" t="s">
        <v>18</v>
      </c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32</v>
      </c>
      <c r="B9" s="163">
        <v>46130.0</v>
      </c>
      <c r="C9" s="42" t="s">
        <v>197</v>
      </c>
      <c r="D9" s="43">
        <v>51017.0</v>
      </c>
      <c r="E9" s="55" t="s">
        <v>126</v>
      </c>
      <c r="F9" s="98">
        <v>10000.0</v>
      </c>
      <c r="G9" s="158"/>
      <c r="H9" s="108"/>
      <c r="I9" s="100"/>
      <c r="J9" s="101"/>
      <c r="K9" s="142" t="s">
        <v>18</v>
      </c>
      <c r="L9" s="49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15650</v>
      </c>
      <c r="G21" s="75">
        <f t="shared" si="1"/>
        <v>0</v>
      </c>
      <c r="H21" s="75">
        <f t="shared" si="1"/>
        <v>8450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24100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46130.0</v>
      </c>
      <c r="C4" s="18" t="s">
        <v>199</v>
      </c>
      <c r="D4" s="124">
        <v>118130.0</v>
      </c>
      <c r="E4" s="125" t="s">
        <v>200</v>
      </c>
      <c r="F4" s="138"/>
      <c r="G4" s="137"/>
      <c r="H4" s="160">
        <v>300.0</v>
      </c>
      <c r="I4" s="137"/>
      <c r="J4" s="153"/>
      <c r="K4" s="142" t="s">
        <v>18</v>
      </c>
      <c r="L4" s="88"/>
      <c r="M4" s="89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46130.0</v>
      </c>
      <c r="C5" s="18" t="s">
        <v>201</v>
      </c>
      <c r="D5" s="124">
        <v>118130.0</v>
      </c>
      <c r="E5" s="125" t="s">
        <v>200</v>
      </c>
      <c r="F5" s="154"/>
      <c r="G5" s="138"/>
      <c r="H5" s="138">
        <v>6450.0</v>
      </c>
      <c r="I5" s="137"/>
      <c r="J5" s="140"/>
      <c r="K5" s="142" t="s">
        <v>18</v>
      </c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46131.0</v>
      </c>
      <c r="C6" s="18" t="s">
        <v>202</v>
      </c>
      <c r="D6" s="124">
        <v>59137.0</v>
      </c>
      <c r="E6" s="164" t="s">
        <v>203</v>
      </c>
      <c r="F6" s="138">
        <v>2800.0</v>
      </c>
      <c r="G6" s="138"/>
      <c r="H6" s="154"/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>
        <v>46131.0</v>
      </c>
      <c r="C7" s="18" t="s">
        <v>204</v>
      </c>
      <c r="D7" s="124">
        <v>117354.0</v>
      </c>
      <c r="E7" s="125" t="s">
        <v>205</v>
      </c>
      <c r="F7" s="138">
        <v>2500.0</v>
      </c>
      <c r="G7" s="138"/>
      <c r="H7" s="154"/>
      <c r="I7" s="137"/>
      <c r="J7" s="101"/>
      <c r="K7" s="142" t="s">
        <v>18</v>
      </c>
      <c r="L7" s="49"/>
      <c r="M7" s="95" t="s">
        <v>59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/>
      <c r="B8" s="115"/>
      <c r="C8" s="116"/>
      <c r="D8" s="156"/>
      <c r="E8" s="118"/>
      <c r="F8" s="15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41"/>
      <c r="C9" s="42"/>
      <c r="D9" s="43"/>
      <c r="E9" s="55"/>
      <c r="F9" s="158"/>
      <c r="G9" s="158"/>
      <c r="H9" s="108"/>
      <c r="I9" s="100"/>
      <c r="J9" s="101"/>
      <c r="K9" s="10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5300</v>
      </c>
      <c r="G21" s="75">
        <f t="shared" si="1"/>
        <v>0</v>
      </c>
      <c r="H21" s="75">
        <f t="shared" si="1"/>
        <v>6750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12050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46132.0</v>
      </c>
      <c r="C4" s="18" t="s">
        <v>207</v>
      </c>
      <c r="D4" s="124">
        <v>50148.0</v>
      </c>
      <c r="E4" s="125" t="s">
        <v>90</v>
      </c>
      <c r="F4" s="138">
        <v>25000.0</v>
      </c>
      <c r="G4" s="137"/>
      <c r="H4" s="160"/>
      <c r="I4" s="137"/>
      <c r="J4" s="153"/>
      <c r="K4" s="142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46132.0</v>
      </c>
      <c r="C5" s="18" t="s">
        <v>208</v>
      </c>
      <c r="D5" s="124">
        <v>50148.0</v>
      </c>
      <c r="E5" s="125" t="s">
        <v>90</v>
      </c>
      <c r="F5" s="154">
        <v>22500.0</v>
      </c>
      <c r="G5" s="138"/>
      <c r="H5" s="138"/>
      <c r="I5" s="137"/>
      <c r="J5" s="140"/>
      <c r="K5" s="142" t="s">
        <v>18</v>
      </c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/>
      <c r="C6" s="18"/>
      <c r="D6" s="124"/>
      <c r="E6" s="164"/>
      <c r="F6" s="138"/>
      <c r="G6" s="138"/>
      <c r="H6" s="154"/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/>
      <c r="C7" s="18"/>
      <c r="D7" s="124"/>
      <c r="E7" s="125"/>
      <c r="F7" s="138"/>
      <c r="G7" s="138"/>
      <c r="H7" s="154"/>
      <c r="I7" s="137"/>
      <c r="J7" s="101"/>
      <c r="K7" s="142" t="s">
        <v>18</v>
      </c>
      <c r="L7" s="49"/>
      <c r="M7" s="95" t="s">
        <v>59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/>
      <c r="B8" s="115"/>
      <c r="C8" s="116"/>
      <c r="D8" s="156"/>
      <c r="E8" s="118"/>
      <c r="F8" s="15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41"/>
      <c r="C9" s="42"/>
      <c r="D9" s="43"/>
      <c r="E9" s="55"/>
      <c r="F9" s="158"/>
      <c r="G9" s="158"/>
      <c r="H9" s="108"/>
      <c r="I9" s="100"/>
      <c r="J9" s="101"/>
      <c r="K9" s="10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10" t="s">
        <v>37</v>
      </c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47500</v>
      </c>
      <c r="G21" s="75">
        <f t="shared" si="1"/>
        <v>0</v>
      </c>
      <c r="H21" s="75">
        <f t="shared" si="1"/>
        <v>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47500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23">
        <v>46132.0</v>
      </c>
      <c r="C4" s="18" t="s">
        <v>210</v>
      </c>
      <c r="D4" s="124">
        <v>51166.0</v>
      </c>
      <c r="E4" s="125" t="s">
        <v>190</v>
      </c>
      <c r="F4" s="138"/>
      <c r="G4" s="137"/>
      <c r="H4" s="160">
        <v>4700.0</v>
      </c>
      <c r="I4" s="137"/>
      <c r="J4" s="153"/>
      <c r="K4" s="142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23">
        <v>46133.0</v>
      </c>
      <c r="C5" s="18" t="s">
        <v>211</v>
      </c>
      <c r="D5" s="124">
        <v>73660.0</v>
      </c>
      <c r="E5" s="125" t="s">
        <v>212</v>
      </c>
      <c r="F5" s="154"/>
      <c r="G5" s="138"/>
      <c r="H5" s="138">
        <v>3150.0</v>
      </c>
      <c r="I5" s="137"/>
      <c r="J5" s="140"/>
      <c r="K5" s="142" t="s">
        <v>18</v>
      </c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23">
        <v>46133.0</v>
      </c>
      <c r="C6" s="18" t="s">
        <v>213</v>
      </c>
      <c r="D6" s="124">
        <v>50342.0</v>
      </c>
      <c r="E6" s="164" t="s">
        <v>71</v>
      </c>
      <c r="F6" s="138"/>
      <c r="G6" s="138">
        <v>34000.0</v>
      </c>
      <c r="H6" s="154"/>
      <c r="I6" s="137"/>
      <c r="J6" s="101"/>
      <c r="K6" s="142" t="s">
        <v>18</v>
      </c>
      <c r="L6" s="88"/>
      <c r="M6" s="95" t="s">
        <v>59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23">
        <v>46133.0</v>
      </c>
      <c r="C7" s="18" t="s">
        <v>214</v>
      </c>
      <c r="D7" s="124">
        <v>25542.0</v>
      </c>
      <c r="E7" s="125" t="s">
        <v>135</v>
      </c>
      <c r="F7" s="138">
        <v>4500.0</v>
      </c>
      <c r="G7" s="138"/>
      <c r="H7" s="154"/>
      <c r="I7" s="137"/>
      <c r="J7" s="101"/>
      <c r="K7" s="142" t="s">
        <v>18</v>
      </c>
      <c r="L7" s="49"/>
      <c r="M7" s="9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15">
        <v>46133.0</v>
      </c>
      <c r="C8" s="116" t="s">
        <v>215</v>
      </c>
      <c r="D8" s="156">
        <v>25542.0</v>
      </c>
      <c r="E8" s="118" t="s">
        <v>135</v>
      </c>
      <c r="F8" s="157">
        <v>4900.0</v>
      </c>
      <c r="G8" s="152"/>
      <c r="H8" s="157"/>
      <c r="I8" s="152"/>
      <c r="J8" s="101"/>
      <c r="K8" s="142" t="s">
        <v>18</v>
      </c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0" t="s">
        <v>32</v>
      </c>
      <c r="B9" s="41">
        <v>46133.0</v>
      </c>
      <c r="C9" s="42" t="s">
        <v>216</v>
      </c>
      <c r="D9" s="43">
        <v>35245.0</v>
      </c>
      <c r="E9" s="55" t="s">
        <v>114</v>
      </c>
      <c r="F9" s="158">
        <v>9000.0</v>
      </c>
      <c r="G9" s="158"/>
      <c r="H9" s="108"/>
      <c r="I9" s="100"/>
      <c r="J9" s="101"/>
      <c r="K9" s="142" t="s">
        <v>18</v>
      </c>
      <c r="L9" s="49"/>
      <c r="M9" s="105" t="s">
        <v>59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 t="s">
        <v>37</v>
      </c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18400</v>
      </c>
      <c r="G21" s="75">
        <f t="shared" si="1"/>
        <v>34000</v>
      </c>
      <c r="H21" s="75">
        <f t="shared" si="1"/>
        <v>7850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60250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5" t="s">
        <v>15</v>
      </c>
      <c r="B4" s="166">
        <v>46133.0</v>
      </c>
      <c r="C4" s="167" t="s">
        <v>218</v>
      </c>
      <c r="D4" s="168">
        <v>118373.0</v>
      </c>
      <c r="E4" s="169" t="s">
        <v>219</v>
      </c>
      <c r="F4" s="170"/>
      <c r="G4" s="120"/>
      <c r="H4" s="171">
        <v>350.0</v>
      </c>
      <c r="I4" s="120"/>
      <c r="J4" s="172"/>
      <c r="K4" s="173" t="s">
        <v>18</v>
      </c>
      <c r="L4" s="174"/>
      <c r="M4" s="175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76">
        <v>46134.0</v>
      </c>
      <c r="C5" s="177" t="s">
        <v>220</v>
      </c>
      <c r="D5" s="178">
        <v>118419.0</v>
      </c>
      <c r="E5" s="179" t="s">
        <v>221</v>
      </c>
      <c r="F5" s="180"/>
      <c r="G5" s="138"/>
      <c r="H5" s="180">
        <v>300.0</v>
      </c>
      <c r="I5" s="137"/>
      <c r="J5" s="140"/>
      <c r="K5" s="142" t="s">
        <v>18</v>
      </c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76">
        <v>46134.0</v>
      </c>
      <c r="C6" s="181" t="s">
        <v>222</v>
      </c>
      <c r="D6" s="178">
        <v>97731.0</v>
      </c>
      <c r="E6" s="182" t="s">
        <v>223</v>
      </c>
      <c r="F6" s="180">
        <v>350.0</v>
      </c>
      <c r="G6" s="138"/>
      <c r="H6" s="154"/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76">
        <v>46134.0</v>
      </c>
      <c r="C7" s="177" t="s">
        <v>224</v>
      </c>
      <c r="D7" s="178">
        <v>50342.0</v>
      </c>
      <c r="E7" s="179" t="s">
        <v>71</v>
      </c>
      <c r="F7" s="180">
        <v>22500.0</v>
      </c>
      <c r="G7" s="138"/>
      <c r="H7" s="154"/>
      <c r="I7" s="137"/>
      <c r="J7" s="101"/>
      <c r="K7" s="142" t="s">
        <v>18</v>
      </c>
      <c r="L7" s="49"/>
      <c r="M7" s="95" t="s">
        <v>59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83">
        <v>46134.0</v>
      </c>
      <c r="C8" s="184" t="s">
        <v>225</v>
      </c>
      <c r="D8" s="185">
        <v>118421.0</v>
      </c>
      <c r="E8" s="186" t="s">
        <v>226</v>
      </c>
      <c r="F8" s="187">
        <v>4750.0</v>
      </c>
      <c r="G8" s="152"/>
      <c r="H8" s="157"/>
      <c r="I8" s="152"/>
      <c r="J8" s="101"/>
      <c r="K8" s="142" t="s">
        <v>18</v>
      </c>
      <c r="L8" s="49"/>
      <c r="M8" s="105" t="s">
        <v>59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0"/>
      <c r="B9" s="41"/>
      <c r="C9" s="42"/>
      <c r="D9" s="43"/>
      <c r="E9" s="55"/>
      <c r="F9" s="158"/>
      <c r="G9" s="158"/>
      <c r="H9" s="108"/>
      <c r="I9" s="100"/>
      <c r="J9" s="101"/>
      <c r="K9" s="14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/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27600</v>
      </c>
      <c r="G21" s="75">
        <f t="shared" si="1"/>
        <v>0</v>
      </c>
      <c r="H21" s="75">
        <f t="shared" si="1"/>
        <v>650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28250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10" t="s">
        <v>15</v>
      </c>
      <c r="B4" s="188"/>
      <c r="C4" s="189"/>
      <c r="D4" s="190"/>
      <c r="E4" s="191"/>
      <c r="F4" s="187"/>
      <c r="G4" s="152"/>
      <c r="H4" s="192"/>
      <c r="I4" s="152"/>
      <c r="J4" s="193"/>
      <c r="K4" s="194"/>
      <c r="L4" s="195"/>
      <c r="M4" s="196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20</v>
      </c>
      <c r="B5" s="176"/>
      <c r="C5" s="177"/>
      <c r="D5" s="178"/>
      <c r="E5" s="197" t="s">
        <v>228</v>
      </c>
      <c r="F5" s="180"/>
      <c r="G5" s="138"/>
      <c r="H5" s="180"/>
      <c r="I5" s="137"/>
      <c r="J5" s="140"/>
      <c r="K5" s="142"/>
      <c r="L5" s="88"/>
      <c r="M5" s="95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76"/>
      <c r="C6" s="181"/>
      <c r="D6" s="178"/>
      <c r="E6" s="182"/>
      <c r="F6" s="180"/>
      <c r="G6" s="138"/>
      <c r="H6" s="154"/>
      <c r="I6" s="137"/>
      <c r="J6" s="101"/>
      <c r="K6" s="142"/>
      <c r="L6" s="88"/>
      <c r="M6" s="95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26</v>
      </c>
      <c r="B7" s="176"/>
      <c r="C7" s="177"/>
      <c r="D7" s="178"/>
      <c r="E7" s="179"/>
      <c r="F7" s="180"/>
      <c r="G7" s="138"/>
      <c r="H7" s="154"/>
      <c r="I7" s="137"/>
      <c r="J7" s="101"/>
      <c r="K7" s="142"/>
      <c r="L7" s="49"/>
      <c r="M7" s="95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 t="s">
        <v>29</v>
      </c>
      <c r="B8" s="183"/>
      <c r="C8" s="184"/>
      <c r="D8" s="185"/>
      <c r="E8" s="186"/>
      <c r="F8" s="18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0"/>
      <c r="B9" s="41"/>
      <c r="C9" s="42"/>
      <c r="D9" s="43"/>
      <c r="E9" s="55"/>
      <c r="F9" s="158"/>
      <c r="G9" s="158"/>
      <c r="H9" s="108"/>
      <c r="I9" s="100"/>
      <c r="J9" s="101"/>
      <c r="K9" s="14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/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0</v>
      </c>
      <c r="G21" s="75">
        <f t="shared" si="1"/>
        <v>0</v>
      </c>
      <c r="H21" s="75">
        <f t="shared" si="1"/>
        <v>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5" t="s">
        <v>15</v>
      </c>
      <c r="B4" s="166">
        <v>46135.0</v>
      </c>
      <c r="C4" s="167" t="s">
        <v>230</v>
      </c>
      <c r="D4" s="168">
        <v>118528.0</v>
      </c>
      <c r="E4" s="169" t="s">
        <v>231</v>
      </c>
      <c r="F4" s="170"/>
      <c r="G4" s="120"/>
      <c r="H4" s="171">
        <v>350.0</v>
      </c>
      <c r="I4" s="120"/>
      <c r="J4" s="172"/>
      <c r="K4" s="173" t="s">
        <v>18</v>
      </c>
      <c r="L4" s="174"/>
      <c r="M4" s="175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8" t="s">
        <v>20</v>
      </c>
      <c r="B5" s="166">
        <v>46135.0</v>
      </c>
      <c r="C5" s="167" t="s">
        <v>232</v>
      </c>
      <c r="D5" s="168">
        <v>118555.0</v>
      </c>
      <c r="E5" s="169" t="s">
        <v>233</v>
      </c>
      <c r="F5" s="170"/>
      <c r="G5" s="130"/>
      <c r="H5" s="170">
        <v>300.0</v>
      </c>
      <c r="I5" s="120"/>
      <c r="J5" s="199"/>
      <c r="K5" s="173" t="s">
        <v>18</v>
      </c>
      <c r="L5" s="174"/>
      <c r="M5" s="200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76">
        <v>46136.0</v>
      </c>
      <c r="C6" s="181" t="s">
        <v>234</v>
      </c>
      <c r="D6" s="178">
        <v>50342.0</v>
      </c>
      <c r="E6" s="182" t="s">
        <v>71</v>
      </c>
      <c r="F6" s="180"/>
      <c r="G6" s="138">
        <v>11500.0</v>
      </c>
      <c r="H6" s="154"/>
      <c r="I6" s="137"/>
      <c r="J6" s="101"/>
      <c r="K6" s="142" t="s">
        <v>18</v>
      </c>
      <c r="L6" s="88"/>
      <c r="M6" s="95" t="s">
        <v>59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176"/>
      <c r="C7" s="177"/>
      <c r="D7" s="178"/>
      <c r="E7" s="179"/>
      <c r="F7" s="180"/>
      <c r="G7" s="138"/>
      <c r="H7" s="154"/>
      <c r="I7" s="137"/>
      <c r="J7" s="101"/>
      <c r="K7" s="142"/>
      <c r="L7" s="49"/>
      <c r="M7" s="95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/>
      <c r="B8" s="183"/>
      <c r="C8" s="184"/>
      <c r="D8" s="185"/>
      <c r="E8" s="186"/>
      <c r="F8" s="18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0"/>
      <c r="B9" s="41"/>
      <c r="C9" s="42"/>
      <c r="D9" s="43"/>
      <c r="E9" s="55"/>
      <c r="F9" s="158"/>
      <c r="G9" s="158"/>
      <c r="H9" s="108"/>
      <c r="I9" s="100"/>
      <c r="J9" s="101"/>
      <c r="K9" s="14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/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0</v>
      </c>
      <c r="G21" s="75">
        <f t="shared" si="1"/>
        <v>11500</v>
      </c>
      <c r="H21" s="75">
        <f t="shared" si="1"/>
        <v>650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12150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6"/>
      <c r="C4" s="177"/>
      <c r="D4" s="178"/>
      <c r="E4" s="179"/>
      <c r="F4" s="180"/>
      <c r="G4" s="137"/>
      <c r="H4" s="160"/>
      <c r="I4" s="137"/>
      <c r="J4" s="153"/>
      <c r="K4" s="142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01" t="s">
        <v>20</v>
      </c>
      <c r="B5" s="176"/>
      <c r="C5" s="177"/>
      <c r="D5" s="178"/>
      <c r="E5" s="179"/>
      <c r="F5" s="180"/>
      <c r="G5" s="138"/>
      <c r="H5" s="180"/>
      <c r="I5" s="137"/>
      <c r="J5" s="140"/>
      <c r="K5" s="142" t="s">
        <v>18</v>
      </c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76"/>
      <c r="C6" s="181"/>
      <c r="D6" s="178"/>
      <c r="E6" s="182"/>
      <c r="F6" s="180"/>
      <c r="G6" s="138"/>
      <c r="H6" s="154"/>
      <c r="I6" s="137"/>
      <c r="J6" s="101"/>
      <c r="K6" s="142" t="s">
        <v>18</v>
      </c>
      <c r="L6" s="88"/>
      <c r="M6" s="95" t="s">
        <v>59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176"/>
      <c r="C7" s="177"/>
      <c r="D7" s="178"/>
      <c r="E7" s="179"/>
      <c r="F7" s="180"/>
      <c r="G7" s="138"/>
      <c r="H7" s="154"/>
      <c r="I7" s="137"/>
      <c r="J7" s="101"/>
      <c r="K7" s="142"/>
      <c r="L7" s="49"/>
      <c r="M7" s="95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/>
      <c r="B8" s="183"/>
      <c r="C8" s="184"/>
      <c r="D8" s="185"/>
      <c r="E8" s="186"/>
      <c r="F8" s="18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0"/>
      <c r="B9" s="41"/>
      <c r="C9" s="42"/>
      <c r="D9" s="43"/>
      <c r="E9" s="55"/>
      <c r="F9" s="158"/>
      <c r="G9" s="158"/>
      <c r="H9" s="108"/>
      <c r="I9" s="100"/>
      <c r="J9" s="101"/>
      <c r="K9" s="14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/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0</v>
      </c>
      <c r="G21" s="75">
        <f t="shared" si="1"/>
        <v>0</v>
      </c>
      <c r="H21" s="75">
        <f t="shared" si="1"/>
        <v>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6">
        <v>46137.0</v>
      </c>
      <c r="C4" s="177" t="s">
        <v>237</v>
      </c>
      <c r="D4" s="178">
        <v>95503.0</v>
      </c>
      <c r="E4" s="179" t="s">
        <v>132</v>
      </c>
      <c r="F4" s="180"/>
      <c r="G4" s="137"/>
      <c r="H4" s="160">
        <v>4400.0</v>
      </c>
      <c r="I4" s="137"/>
      <c r="J4" s="153"/>
      <c r="K4" s="142" t="s">
        <v>18</v>
      </c>
      <c r="L4" s="88"/>
      <c r="M4" s="89" t="s">
        <v>59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01" t="s">
        <v>20</v>
      </c>
      <c r="B5" s="176">
        <v>46138.0</v>
      </c>
      <c r="C5" s="177" t="s">
        <v>238</v>
      </c>
      <c r="D5" s="178">
        <v>36918.0</v>
      </c>
      <c r="E5" s="179" t="s">
        <v>239</v>
      </c>
      <c r="F5" s="180"/>
      <c r="G5" s="138"/>
      <c r="H5" s="180">
        <v>600.0</v>
      </c>
      <c r="I5" s="137"/>
      <c r="J5" s="140"/>
      <c r="K5" s="142" t="s">
        <v>18</v>
      </c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76">
        <v>46138.0</v>
      </c>
      <c r="C6" s="181" t="s">
        <v>240</v>
      </c>
      <c r="D6" s="178">
        <v>118711.0</v>
      </c>
      <c r="E6" s="182" t="s">
        <v>241</v>
      </c>
      <c r="F6" s="180"/>
      <c r="G6" s="138"/>
      <c r="H6" s="202">
        <v>350.0</v>
      </c>
      <c r="I6" s="137"/>
      <c r="J6" s="101"/>
      <c r="K6" s="142" t="s">
        <v>18</v>
      </c>
      <c r="L6" s="88"/>
      <c r="M6" s="95" t="s">
        <v>59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176"/>
      <c r="C7" s="177"/>
      <c r="D7" s="178"/>
      <c r="E7" s="179"/>
      <c r="F7" s="180"/>
      <c r="G7" s="138"/>
      <c r="H7" s="154"/>
      <c r="I7" s="137"/>
      <c r="J7" s="101"/>
      <c r="K7" s="142"/>
      <c r="L7" s="49"/>
      <c r="M7" s="95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/>
      <c r="B8" s="183"/>
      <c r="C8" s="184"/>
      <c r="D8" s="185"/>
      <c r="E8" s="186"/>
      <c r="F8" s="18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0"/>
      <c r="B9" s="41"/>
      <c r="C9" s="42"/>
      <c r="D9" s="43"/>
      <c r="E9" s="55"/>
      <c r="F9" s="158"/>
      <c r="G9" s="158"/>
      <c r="H9" s="108"/>
      <c r="I9" s="100"/>
      <c r="J9" s="101"/>
      <c r="K9" s="14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/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0</v>
      </c>
      <c r="G21" s="75">
        <f t="shared" si="1"/>
        <v>0</v>
      </c>
      <c r="H21" s="75">
        <f t="shared" si="1"/>
        <v>5350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5350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6">
        <v>46138.0</v>
      </c>
      <c r="C4" s="177" t="s">
        <v>243</v>
      </c>
      <c r="D4" s="178">
        <v>51782.0</v>
      </c>
      <c r="E4" s="179" t="s">
        <v>244</v>
      </c>
      <c r="F4" s="180">
        <v>2500.0</v>
      </c>
      <c r="G4" s="137"/>
      <c r="H4" s="160"/>
      <c r="I4" s="137"/>
      <c r="J4" s="153"/>
      <c r="K4" s="142" t="s">
        <v>18</v>
      </c>
      <c r="L4" s="88"/>
      <c r="M4" s="89" t="s">
        <v>36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01" t="s">
        <v>20</v>
      </c>
      <c r="B5" s="176">
        <v>46139.0</v>
      </c>
      <c r="C5" s="177" t="s">
        <v>245</v>
      </c>
      <c r="D5" s="178">
        <v>21828.0</v>
      </c>
      <c r="E5" s="179" t="s">
        <v>246</v>
      </c>
      <c r="F5" s="180"/>
      <c r="G5" s="138">
        <v>5000.0</v>
      </c>
      <c r="H5" s="180"/>
      <c r="I5" s="137"/>
      <c r="J5" s="140"/>
      <c r="K5" s="142" t="s">
        <v>18</v>
      </c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76">
        <v>46139.0</v>
      </c>
      <c r="C6" s="181" t="s">
        <v>247</v>
      </c>
      <c r="D6" s="178">
        <v>51017.0</v>
      </c>
      <c r="E6" s="182" t="s">
        <v>126</v>
      </c>
      <c r="F6" s="180"/>
      <c r="G6" s="138">
        <v>7500.0</v>
      </c>
      <c r="H6" s="202"/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176"/>
      <c r="C7" s="177"/>
      <c r="D7" s="178"/>
      <c r="E7" s="179"/>
      <c r="F7" s="180"/>
      <c r="G7" s="138"/>
      <c r="H7" s="154"/>
      <c r="I7" s="137"/>
      <c r="J7" s="101"/>
      <c r="K7" s="142"/>
      <c r="L7" s="49"/>
      <c r="M7" s="95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10"/>
      <c r="B8" s="183"/>
      <c r="C8" s="184"/>
      <c r="D8" s="185"/>
      <c r="E8" s="186"/>
      <c r="F8" s="187"/>
      <c r="G8" s="152"/>
      <c r="H8" s="157"/>
      <c r="I8" s="152"/>
      <c r="J8" s="101"/>
      <c r="K8" s="142"/>
      <c r="L8" s="49"/>
      <c r="M8" s="105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90"/>
      <c r="B9" s="41"/>
      <c r="C9" s="42"/>
      <c r="D9" s="43"/>
      <c r="E9" s="55"/>
      <c r="F9" s="158"/>
      <c r="G9" s="158"/>
      <c r="H9" s="108"/>
      <c r="I9" s="100"/>
      <c r="J9" s="101"/>
      <c r="K9" s="142"/>
      <c r="L9" s="49"/>
      <c r="M9" s="105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/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2500</v>
      </c>
      <c r="G21" s="75">
        <f t="shared" si="1"/>
        <v>12500</v>
      </c>
      <c r="H21" s="75">
        <f t="shared" si="1"/>
        <v>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15000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6">
        <v>46140.0</v>
      </c>
      <c r="C4" s="177" t="s">
        <v>249</v>
      </c>
      <c r="D4" s="178">
        <v>50342.0</v>
      </c>
      <c r="E4" s="179" t="s">
        <v>71</v>
      </c>
      <c r="F4" s="180">
        <v>300.0</v>
      </c>
      <c r="G4" s="137"/>
      <c r="H4" s="160"/>
      <c r="I4" s="137"/>
      <c r="J4" s="153"/>
      <c r="K4" s="142" t="s">
        <v>18</v>
      </c>
      <c r="L4" s="88"/>
      <c r="M4" s="89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01" t="s">
        <v>20</v>
      </c>
      <c r="B5" s="176">
        <v>46140.0</v>
      </c>
      <c r="C5" s="177" t="s">
        <v>250</v>
      </c>
      <c r="D5" s="178">
        <v>50342.0</v>
      </c>
      <c r="E5" s="179" t="s">
        <v>71</v>
      </c>
      <c r="F5" s="180"/>
      <c r="G5" s="138">
        <v>5100.0</v>
      </c>
      <c r="H5" s="180"/>
      <c r="I5" s="137"/>
      <c r="J5" s="140"/>
      <c r="K5" s="142" t="s">
        <v>18</v>
      </c>
      <c r="L5" s="88"/>
      <c r="M5" s="95" t="s">
        <v>59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10" t="s">
        <v>23</v>
      </c>
      <c r="B6" s="176">
        <v>46140.0</v>
      </c>
      <c r="C6" s="181" t="s">
        <v>251</v>
      </c>
      <c r="D6" s="178">
        <v>69346.0</v>
      </c>
      <c r="E6" s="182" t="s">
        <v>147</v>
      </c>
      <c r="F6" s="180">
        <v>300.0</v>
      </c>
      <c r="G6" s="138"/>
      <c r="H6" s="202"/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6" t="s">
        <v>26</v>
      </c>
      <c r="B7" s="176">
        <v>46140.0</v>
      </c>
      <c r="C7" s="177" t="s">
        <v>252</v>
      </c>
      <c r="D7" s="178">
        <v>118825.0</v>
      </c>
      <c r="E7" s="179" t="s">
        <v>253</v>
      </c>
      <c r="F7" s="180">
        <v>5290.0</v>
      </c>
      <c r="G7" s="138"/>
      <c r="H7" s="154"/>
      <c r="I7" s="137"/>
      <c r="J7" s="101"/>
      <c r="K7" s="142"/>
      <c r="L7" s="49"/>
      <c r="M7" s="95" t="s">
        <v>59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1" t="s">
        <v>29</v>
      </c>
      <c r="B8" s="183">
        <v>46140.0</v>
      </c>
      <c r="C8" s="184" t="s">
        <v>254</v>
      </c>
      <c r="D8" s="185">
        <v>41982.0</v>
      </c>
      <c r="E8" s="186" t="s">
        <v>255</v>
      </c>
      <c r="F8" s="187"/>
      <c r="G8" s="157">
        <v>300.0</v>
      </c>
      <c r="H8" s="157"/>
      <c r="I8" s="152"/>
      <c r="J8" s="101"/>
      <c r="K8" s="142"/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10" t="s">
        <v>32</v>
      </c>
      <c r="B9" s="41">
        <v>46140.0</v>
      </c>
      <c r="C9" s="42" t="s">
        <v>256</v>
      </c>
      <c r="D9" s="43">
        <v>22341.0</v>
      </c>
      <c r="E9" s="55" t="s">
        <v>257</v>
      </c>
      <c r="F9" s="158"/>
      <c r="G9" s="158">
        <v>3600.0</v>
      </c>
      <c r="H9" s="108"/>
      <c r="I9" s="100"/>
      <c r="J9" s="101"/>
      <c r="K9" s="142"/>
      <c r="L9" s="49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10"/>
      <c r="B10" s="41"/>
      <c r="C10" s="42"/>
      <c r="D10" s="43"/>
      <c r="E10" s="55"/>
      <c r="F10" s="158"/>
      <c r="G10" s="106"/>
      <c r="H10" s="108"/>
      <c r="I10" s="100"/>
      <c r="J10" s="155"/>
      <c r="K10" s="102"/>
      <c r="L10" s="49"/>
      <c r="M10" s="105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40</v>
      </c>
      <c r="B11" s="41"/>
      <c r="C11" s="42"/>
      <c r="D11" s="43"/>
      <c r="E11" s="55"/>
      <c r="F11" s="106"/>
      <c r="G11" s="158"/>
      <c r="H11" s="108"/>
      <c r="I11" s="100"/>
      <c r="J11" s="155"/>
      <c r="K11" s="102"/>
      <c r="L11" s="49"/>
      <c r="M11" s="105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10" t="s">
        <v>43</v>
      </c>
      <c r="B12" s="41"/>
      <c r="C12" s="42"/>
      <c r="D12" s="43"/>
      <c r="E12" s="55"/>
      <c r="F12" s="106"/>
      <c r="G12" s="106"/>
      <c r="H12" s="108"/>
      <c r="I12" s="100"/>
      <c r="J12" s="155"/>
      <c r="K12" s="102"/>
      <c r="L12" s="49"/>
      <c r="M12" s="105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46</v>
      </c>
      <c r="B13" s="66"/>
      <c r="C13" s="67"/>
      <c r="D13" s="68"/>
      <c r="E13" s="69"/>
      <c r="F13" s="106"/>
      <c r="G13" s="106"/>
      <c r="H13" s="108"/>
      <c r="I13" s="100"/>
      <c r="J13" s="101"/>
      <c r="K13" s="102"/>
      <c r="L13" s="49"/>
      <c r="M13" s="10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10" t="s">
        <v>49</v>
      </c>
      <c r="B14" s="66"/>
      <c r="C14" s="67"/>
      <c r="D14" s="68"/>
      <c r="E14" s="69"/>
      <c r="F14" s="106"/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52</v>
      </c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 t="s">
        <v>55</v>
      </c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78</v>
      </c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 t="s">
        <v>58</v>
      </c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60</v>
      </c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 t="s">
        <v>61</v>
      </c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5890</v>
      </c>
      <c r="G21" s="75">
        <f t="shared" si="1"/>
        <v>9000</v>
      </c>
      <c r="H21" s="75">
        <f t="shared" si="1"/>
        <v>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14890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6">
        <v>46141.0</v>
      </c>
      <c r="C4" s="177" t="s">
        <v>259</v>
      </c>
      <c r="D4" s="178">
        <v>10006.0</v>
      </c>
      <c r="E4" s="179" t="s">
        <v>193</v>
      </c>
      <c r="F4" s="180"/>
      <c r="G4" s="138">
        <v>4500.0</v>
      </c>
      <c r="H4" s="160"/>
      <c r="I4" s="137"/>
      <c r="J4" s="153"/>
      <c r="K4" s="142" t="s">
        <v>18</v>
      </c>
      <c r="L4" s="88"/>
      <c r="M4" s="89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01" t="s">
        <v>20</v>
      </c>
      <c r="B5" s="176">
        <v>46141.0</v>
      </c>
      <c r="C5" s="177" t="s">
        <v>260</v>
      </c>
      <c r="D5" s="178">
        <v>50342.0</v>
      </c>
      <c r="E5" s="179" t="s">
        <v>71</v>
      </c>
      <c r="F5" s="180">
        <v>300.0</v>
      </c>
      <c r="G5" s="138"/>
      <c r="H5" s="180"/>
      <c r="I5" s="137"/>
      <c r="J5" s="140"/>
      <c r="K5" s="142" t="s">
        <v>18</v>
      </c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76">
        <v>46141.0</v>
      </c>
      <c r="C6" s="181" t="s">
        <v>261</v>
      </c>
      <c r="D6" s="178">
        <v>92637.0</v>
      </c>
      <c r="E6" s="182" t="s">
        <v>262</v>
      </c>
      <c r="F6" s="180"/>
      <c r="G6" s="138"/>
      <c r="H6" s="202">
        <v>4500.0</v>
      </c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1" t="s">
        <v>26</v>
      </c>
      <c r="B7" s="176">
        <v>46141.0</v>
      </c>
      <c r="C7" s="177" t="s">
        <v>263</v>
      </c>
      <c r="D7" s="178">
        <v>87115.0</v>
      </c>
      <c r="E7" s="179" t="s">
        <v>264</v>
      </c>
      <c r="F7" s="180"/>
      <c r="G7" s="138"/>
      <c r="H7" s="154">
        <v>2600.0</v>
      </c>
      <c r="I7" s="137"/>
      <c r="J7" s="101"/>
      <c r="K7" s="142" t="s">
        <v>18</v>
      </c>
      <c r="L7" s="49"/>
      <c r="M7" s="9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183">
        <v>46141.0</v>
      </c>
      <c r="C8" s="184" t="s">
        <v>265</v>
      </c>
      <c r="D8" s="185">
        <v>10357.0</v>
      </c>
      <c r="E8" s="186" t="s">
        <v>266</v>
      </c>
      <c r="F8" s="187"/>
      <c r="G8" s="157">
        <v>4000.0</v>
      </c>
      <c r="H8" s="157"/>
      <c r="I8" s="152"/>
      <c r="J8" s="101"/>
      <c r="K8" s="142" t="s">
        <v>18</v>
      </c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201" t="s">
        <v>32</v>
      </c>
      <c r="B9" s="41">
        <v>46141.0</v>
      </c>
      <c r="C9" s="42" t="s">
        <v>267</v>
      </c>
      <c r="D9" s="43">
        <v>99223.0</v>
      </c>
      <c r="E9" s="55" t="s">
        <v>268</v>
      </c>
      <c r="F9" s="158">
        <v>4500.0</v>
      </c>
      <c r="G9" s="158"/>
      <c r="H9" s="108"/>
      <c r="I9" s="100"/>
      <c r="J9" s="101"/>
      <c r="K9" s="142" t="s">
        <v>18</v>
      </c>
      <c r="L9" s="49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37</v>
      </c>
      <c r="B10" s="41">
        <v>46141.0</v>
      </c>
      <c r="C10" s="42" t="s">
        <v>269</v>
      </c>
      <c r="D10" s="43">
        <v>105555.0</v>
      </c>
      <c r="E10" s="55" t="s">
        <v>270</v>
      </c>
      <c r="F10" s="158">
        <v>4500.0</v>
      </c>
      <c r="G10" s="106"/>
      <c r="H10" s="108"/>
      <c r="I10" s="100"/>
      <c r="J10" s="155"/>
      <c r="K10" s="142" t="s">
        <v>18</v>
      </c>
      <c r="L10" s="49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1" t="s">
        <v>40</v>
      </c>
      <c r="B11" s="41">
        <v>46141.0</v>
      </c>
      <c r="C11" s="42" t="s">
        <v>271</v>
      </c>
      <c r="D11" s="43">
        <v>51660.0</v>
      </c>
      <c r="E11" s="55" t="s">
        <v>272</v>
      </c>
      <c r="F11" s="158">
        <v>4500.0</v>
      </c>
      <c r="G11" s="158"/>
      <c r="H11" s="108"/>
      <c r="I11" s="100"/>
      <c r="J11" s="155"/>
      <c r="K11" s="142" t="s">
        <v>18</v>
      </c>
      <c r="L11" s="49"/>
      <c r="M11" s="105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 t="s">
        <v>43</v>
      </c>
      <c r="B12" s="41">
        <v>46141.0</v>
      </c>
      <c r="C12" s="42" t="s">
        <v>273</v>
      </c>
      <c r="D12" s="43">
        <v>10271.0</v>
      </c>
      <c r="E12" s="55" t="s">
        <v>105</v>
      </c>
      <c r="F12" s="106"/>
      <c r="G12" s="158">
        <v>4900.0</v>
      </c>
      <c r="H12" s="108"/>
      <c r="I12" s="100"/>
      <c r="J12" s="155"/>
      <c r="K12" s="142" t="s">
        <v>18</v>
      </c>
      <c r="L12" s="49"/>
      <c r="M12" s="105" t="s">
        <v>19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201" t="s">
        <v>46</v>
      </c>
      <c r="B13" s="41">
        <v>46141.0</v>
      </c>
      <c r="C13" s="42" t="s">
        <v>274</v>
      </c>
      <c r="D13" s="43">
        <v>102014.0</v>
      </c>
      <c r="E13" s="55" t="s">
        <v>275</v>
      </c>
      <c r="F13" s="158">
        <v>4500.0</v>
      </c>
      <c r="G13" s="106"/>
      <c r="H13" s="108"/>
      <c r="I13" s="100"/>
      <c r="J13" s="101"/>
      <c r="K13" s="142" t="s">
        <v>18</v>
      </c>
      <c r="L13" s="49"/>
      <c r="M13" s="105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6" t="s">
        <v>49</v>
      </c>
      <c r="B14" s="41">
        <v>46142.0</v>
      </c>
      <c r="C14" s="42" t="s">
        <v>276</v>
      </c>
      <c r="D14" s="43">
        <v>97731.0</v>
      </c>
      <c r="E14" s="55" t="s">
        <v>223</v>
      </c>
      <c r="F14" s="158">
        <v>4500.0</v>
      </c>
      <c r="G14" s="106"/>
      <c r="H14" s="108"/>
      <c r="I14" s="100"/>
      <c r="J14" s="101"/>
      <c r="K14" s="102"/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/>
      <c r="B15" s="66"/>
      <c r="C15" s="67"/>
      <c r="D15" s="68"/>
      <c r="E15" s="69"/>
      <c r="F15" s="106"/>
      <c r="G15" s="106"/>
      <c r="H15" s="108"/>
      <c r="I15" s="100"/>
      <c r="J15" s="101"/>
      <c r="K15" s="102"/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110"/>
      <c r="B16" s="66"/>
      <c r="C16" s="67"/>
      <c r="D16" s="68"/>
      <c r="E16" s="69"/>
      <c r="F16" s="106"/>
      <c r="G16" s="106"/>
      <c r="H16" s="108"/>
      <c r="I16" s="100"/>
      <c r="J16" s="101"/>
      <c r="K16" s="102"/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6"/>
      <c r="C17" s="67"/>
      <c r="D17" s="68"/>
      <c r="E17" s="69"/>
      <c r="F17" s="106"/>
      <c r="G17" s="106"/>
      <c r="H17" s="108"/>
      <c r="I17" s="100"/>
      <c r="J17" s="101"/>
      <c r="K17" s="102"/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110"/>
      <c r="B18" s="66"/>
      <c r="C18" s="67"/>
      <c r="D18" s="68"/>
      <c r="E18" s="69"/>
      <c r="F18" s="106"/>
      <c r="G18" s="106"/>
      <c r="H18" s="108"/>
      <c r="I18" s="100"/>
      <c r="J18" s="101"/>
      <c r="K18" s="102"/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6"/>
      <c r="C19" s="67"/>
      <c r="D19" s="68"/>
      <c r="E19" s="69"/>
      <c r="F19" s="103"/>
      <c r="G19" s="103"/>
      <c r="H19" s="104"/>
      <c r="I19" s="100"/>
      <c r="J19" s="101"/>
      <c r="K19" s="102"/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110"/>
      <c r="B20" s="66"/>
      <c r="C20" s="67"/>
      <c r="D20" s="68"/>
      <c r="E20" s="69"/>
      <c r="F20" s="111"/>
      <c r="G20" s="106"/>
      <c r="H20" s="112"/>
      <c r="I20" s="100"/>
      <c r="J20" s="113"/>
      <c r="K20" s="114"/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4"/>
      <c r="B21" s="2"/>
      <c r="C21" s="2"/>
      <c r="D21" s="2"/>
      <c r="E21" s="3"/>
      <c r="F21" s="75">
        <f t="shared" ref="F21:J21" si="1">SUM(F4:F20)</f>
        <v>22800</v>
      </c>
      <c r="G21" s="75">
        <f t="shared" si="1"/>
        <v>13400</v>
      </c>
      <c r="H21" s="75">
        <f t="shared" si="1"/>
        <v>7100</v>
      </c>
      <c r="I21" s="75">
        <f t="shared" si="1"/>
        <v>0</v>
      </c>
      <c r="J21" s="75">
        <f t="shared" si="1"/>
        <v>0</v>
      </c>
      <c r="K21" s="76"/>
      <c r="L21" s="76"/>
      <c r="M21" s="77"/>
    </row>
    <row r="22" ht="48.0" customHeight="1">
      <c r="F22" s="78">
        <f>F21+G21+H21+I21+J21</f>
        <v>43300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93.88"/>
    <col customWidth="1" min="6" max="6" width="20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277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6">
        <v>46141.0</v>
      </c>
      <c r="C4" s="177" t="s">
        <v>278</v>
      </c>
      <c r="D4" s="178">
        <v>50342.0</v>
      </c>
      <c r="E4" s="179" t="s">
        <v>71</v>
      </c>
      <c r="F4" s="180">
        <v>300.0</v>
      </c>
      <c r="G4" s="138"/>
      <c r="H4" s="160"/>
      <c r="I4" s="137"/>
      <c r="J4" s="153"/>
      <c r="K4" s="142" t="s">
        <v>18</v>
      </c>
      <c r="L4" s="88"/>
      <c r="M4" s="89" t="s">
        <v>19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201" t="s">
        <v>20</v>
      </c>
      <c r="B5" s="176">
        <v>46142.0</v>
      </c>
      <c r="C5" s="177" t="s">
        <v>279</v>
      </c>
      <c r="D5" s="178">
        <v>105021.0</v>
      </c>
      <c r="E5" s="179" t="s">
        <v>185</v>
      </c>
      <c r="F5" s="180"/>
      <c r="G5" s="138">
        <v>1200.0</v>
      </c>
      <c r="H5" s="180"/>
      <c r="I5" s="137"/>
      <c r="J5" s="140"/>
      <c r="K5" s="142" t="s">
        <v>18</v>
      </c>
      <c r="L5" s="88"/>
      <c r="M5" s="95" t="s">
        <v>19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23</v>
      </c>
      <c r="B6" s="176">
        <v>46142.0</v>
      </c>
      <c r="C6" s="181" t="s">
        <v>280</v>
      </c>
      <c r="D6" s="178">
        <v>52669.0</v>
      </c>
      <c r="E6" s="182" t="s">
        <v>83</v>
      </c>
      <c r="F6" s="180">
        <v>10000.0</v>
      </c>
      <c r="G6" s="138"/>
      <c r="H6" s="202"/>
      <c r="I6" s="137"/>
      <c r="J6" s="101"/>
      <c r="K6" s="142" t="s">
        <v>18</v>
      </c>
      <c r="L6" s="88"/>
      <c r="M6" s="95" t="s">
        <v>19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201" t="s">
        <v>26</v>
      </c>
      <c r="B7" s="176">
        <v>46142.0</v>
      </c>
      <c r="C7" s="177" t="s">
        <v>281</v>
      </c>
      <c r="D7" s="178">
        <v>35245.0</v>
      </c>
      <c r="E7" s="179" t="s">
        <v>114</v>
      </c>
      <c r="F7" s="180">
        <v>8600.0</v>
      </c>
      <c r="G7" s="138"/>
      <c r="H7" s="154"/>
      <c r="I7" s="137"/>
      <c r="J7" s="101"/>
      <c r="K7" s="142" t="s">
        <v>18</v>
      </c>
      <c r="L7" s="49"/>
      <c r="M7" s="95" t="s">
        <v>19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29</v>
      </c>
      <c r="B8" s="183">
        <v>46142.0</v>
      </c>
      <c r="C8" s="184" t="s">
        <v>282</v>
      </c>
      <c r="D8" s="185">
        <v>58257.0</v>
      </c>
      <c r="E8" s="186" t="s">
        <v>34</v>
      </c>
      <c r="F8" s="187">
        <v>3700.0</v>
      </c>
      <c r="G8" s="157"/>
      <c r="H8" s="157"/>
      <c r="I8" s="152"/>
      <c r="J8" s="101"/>
      <c r="K8" s="142" t="s">
        <v>18</v>
      </c>
      <c r="L8" s="49"/>
      <c r="M8" s="105" t="s">
        <v>19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201" t="s">
        <v>32</v>
      </c>
      <c r="B9" s="41">
        <v>46142.0</v>
      </c>
      <c r="C9" s="42" t="s">
        <v>283</v>
      </c>
      <c r="D9" s="43">
        <v>57923.0</v>
      </c>
      <c r="E9" s="55" t="s">
        <v>284</v>
      </c>
      <c r="F9" s="158"/>
      <c r="G9" s="158"/>
      <c r="H9" s="107">
        <v>10000.0</v>
      </c>
      <c r="I9" s="100"/>
      <c r="J9" s="101"/>
      <c r="K9" s="142" t="s">
        <v>18</v>
      </c>
      <c r="L9" s="49"/>
      <c r="M9" s="105" t="s">
        <v>19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37</v>
      </c>
      <c r="B10" s="41">
        <v>46142.0</v>
      </c>
      <c r="C10" s="42" t="s">
        <v>285</v>
      </c>
      <c r="D10" s="43">
        <v>47787.0</v>
      </c>
      <c r="E10" s="55" t="s">
        <v>85</v>
      </c>
      <c r="F10" s="158">
        <v>5000.0</v>
      </c>
      <c r="G10" s="106"/>
      <c r="H10" s="108"/>
      <c r="I10" s="100"/>
      <c r="J10" s="155"/>
      <c r="K10" s="142" t="s">
        <v>18</v>
      </c>
      <c r="L10" s="49"/>
      <c r="M10" s="105" t="s">
        <v>19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201" t="s">
        <v>40</v>
      </c>
      <c r="B11" s="41">
        <v>46142.0</v>
      </c>
      <c r="C11" s="42" t="s">
        <v>286</v>
      </c>
      <c r="D11" s="43">
        <v>52215.0</v>
      </c>
      <c r="E11" s="55" t="s">
        <v>287</v>
      </c>
      <c r="F11" s="158">
        <v>9000.0</v>
      </c>
      <c r="G11" s="158"/>
      <c r="H11" s="108"/>
      <c r="I11" s="100"/>
      <c r="J11" s="155"/>
      <c r="K11" s="142" t="s">
        <v>18</v>
      </c>
      <c r="L11" s="49"/>
      <c r="M11" s="105" t="s">
        <v>19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 t="s">
        <v>43</v>
      </c>
      <c r="B12" s="41">
        <v>46142.0</v>
      </c>
      <c r="C12" s="42" t="s">
        <v>288</v>
      </c>
      <c r="D12" s="43">
        <v>10270.0</v>
      </c>
      <c r="E12" s="55" t="s">
        <v>289</v>
      </c>
      <c r="F12" s="158">
        <v>4500.0</v>
      </c>
      <c r="G12" s="158"/>
      <c r="H12" s="108"/>
      <c r="I12" s="100"/>
      <c r="J12" s="155"/>
      <c r="K12" s="142" t="s">
        <v>18</v>
      </c>
      <c r="L12" s="49"/>
      <c r="M12" s="105" t="s">
        <v>19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201" t="s">
        <v>46</v>
      </c>
      <c r="B13" s="41">
        <v>46142.0</v>
      </c>
      <c r="C13" s="42" t="s">
        <v>290</v>
      </c>
      <c r="D13" s="43">
        <v>119019.0</v>
      </c>
      <c r="E13" s="55" t="s">
        <v>291</v>
      </c>
      <c r="F13" s="158"/>
      <c r="G13" s="106"/>
      <c r="H13" s="107">
        <v>300.0</v>
      </c>
      <c r="I13" s="100"/>
      <c r="J13" s="101"/>
      <c r="K13" s="142" t="s">
        <v>18</v>
      </c>
      <c r="L13" s="49"/>
      <c r="M13" s="105" t="s">
        <v>19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16" t="s">
        <v>49</v>
      </c>
      <c r="B14" s="41">
        <v>46142.0</v>
      </c>
      <c r="C14" s="42" t="s">
        <v>292</v>
      </c>
      <c r="D14" s="43">
        <v>79473.0</v>
      </c>
      <c r="E14" s="55" t="s">
        <v>293</v>
      </c>
      <c r="F14" s="158"/>
      <c r="G14" s="106"/>
      <c r="H14" s="107">
        <v>500.0</v>
      </c>
      <c r="I14" s="100"/>
      <c r="J14" s="101"/>
      <c r="K14" s="142" t="s">
        <v>18</v>
      </c>
      <c r="L14" s="49"/>
      <c r="M14" s="10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201" t="s">
        <v>52</v>
      </c>
      <c r="B15" s="41">
        <v>46142.0</v>
      </c>
      <c r="C15" s="42" t="s">
        <v>294</v>
      </c>
      <c r="D15" s="43">
        <v>87820.0</v>
      </c>
      <c r="E15" s="55" t="s">
        <v>67</v>
      </c>
      <c r="F15" s="158">
        <v>11900.0</v>
      </c>
      <c r="G15" s="106"/>
      <c r="H15" s="108"/>
      <c r="I15" s="100"/>
      <c r="J15" s="101"/>
      <c r="K15" s="142" t="s">
        <v>18</v>
      </c>
      <c r="L15" s="49"/>
      <c r="M15" s="10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16" t="s">
        <v>55</v>
      </c>
      <c r="B16" s="41">
        <v>46142.0</v>
      </c>
      <c r="C16" s="42" t="s">
        <v>295</v>
      </c>
      <c r="D16" s="43">
        <v>21828.0</v>
      </c>
      <c r="E16" s="55" t="s">
        <v>246</v>
      </c>
      <c r="F16" s="158">
        <v>300.0</v>
      </c>
      <c r="G16" s="106"/>
      <c r="H16" s="108"/>
      <c r="I16" s="100"/>
      <c r="J16" s="101"/>
      <c r="K16" s="142" t="s">
        <v>18</v>
      </c>
      <c r="L16" s="49"/>
      <c r="M16" s="10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201" t="s">
        <v>78</v>
      </c>
      <c r="B17" s="41">
        <v>46142.0</v>
      </c>
      <c r="C17" s="42" t="s">
        <v>296</v>
      </c>
      <c r="D17" s="43">
        <v>50342.0</v>
      </c>
      <c r="E17" s="55" t="s">
        <v>71</v>
      </c>
      <c r="F17" s="158">
        <v>2400.0</v>
      </c>
      <c r="G17" s="106"/>
      <c r="H17" s="108"/>
      <c r="I17" s="100"/>
      <c r="J17" s="101"/>
      <c r="K17" s="142" t="s">
        <v>18</v>
      </c>
      <c r="L17" s="49"/>
      <c r="M17" s="10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customHeight="1">
      <c r="A18" s="16" t="s">
        <v>58</v>
      </c>
      <c r="B18" s="41">
        <v>46142.0</v>
      </c>
      <c r="C18" s="42" t="s">
        <v>297</v>
      </c>
      <c r="D18" s="43">
        <v>111074.0</v>
      </c>
      <c r="E18" s="55" t="s">
        <v>298</v>
      </c>
      <c r="F18" s="158">
        <v>5000.0</v>
      </c>
      <c r="G18" s="106"/>
      <c r="H18" s="108"/>
      <c r="I18" s="100"/>
      <c r="J18" s="101"/>
      <c r="K18" s="142" t="s">
        <v>18</v>
      </c>
      <c r="L18" s="49"/>
      <c r="M18" s="10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customHeight="1">
      <c r="A19" s="201" t="s">
        <v>60</v>
      </c>
      <c r="B19" s="41">
        <v>46142.0</v>
      </c>
      <c r="C19" s="42" t="s">
        <v>299</v>
      </c>
      <c r="D19" s="43">
        <v>52685.0</v>
      </c>
      <c r="E19" s="55" t="s">
        <v>300</v>
      </c>
      <c r="F19" s="103"/>
      <c r="G19" s="103"/>
      <c r="H19" s="203">
        <v>1300.0</v>
      </c>
      <c r="I19" s="100"/>
      <c r="J19" s="101"/>
      <c r="K19" s="142" t="s">
        <v>18</v>
      </c>
      <c r="L19" s="49"/>
      <c r="M19" s="10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16" t="s">
        <v>61</v>
      </c>
      <c r="B20" s="41">
        <v>46142.0</v>
      </c>
      <c r="C20" s="42" t="s">
        <v>301</v>
      </c>
      <c r="D20" s="43">
        <v>47787.0</v>
      </c>
      <c r="E20" s="55" t="s">
        <v>85</v>
      </c>
      <c r="F20" s="111"/>
      <c r="G20" s="106"/>
      <c r="H20" s="204">
        <v>2500.0</v>
      </c>
      <c r="I20" s="100"/>
      <c r="J20" s="113"/>
      <c r="K20" s="142" t="s">
        <v>18</v>
      </c>
      <c r="L20" s="59"/>
      <c r="M20" s="10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201" t="s">
        <v>62</v>
      </c>
      <c r="B21" s="41">
        <v>46142.0</v>
      </c>
      <c r="C21" s="42" t="s">
        <v>302</v>
      </c>
      <c r="D21" s="43">
        <v>55992.0</v>
      </c>
      <c r="E21" s="55" t="s">
        <v>303</v>
      </c>
      <c r="F21" s="111"/>
      <c r="G21" s="205">
        <v>2400.0</v>
      </c>
      <c r="H21" s="112"/>
      <c r="I21" s="100"/>
      <c r="J21" s="113"/>
      <c r="K21" s="142" t="s">
        <v>18</v>
      </c>
      <c r="L21" s="59"/>
      <c r="M21" s="10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customHeight="1">
      <c r="A22" s="16" t="s">
        <v>304</v>
      </c>
      <c r="B22" s="41">
        <v>46142.0</v>
      </c>
      <c r="C22" s="42" t="s">
        <v>305</v>
      </c>
      <c r="D22" s="43">
        <v>119034.0</v>
      </c>
      <c r="E22" s="55" t="s">
        <v>306</v>
      </c>
      <c r="F22" s="111"/>
      <c r="G22" s="111"/>
      <c r="H22" s="204">
        <v>350.0</v>
      </c>
      <c r="I22" s="100"/>
      <c r="J22" s="113"/>
      <c r="K22" s="142" t="s">
        <v>18</v>
      </c>
      <c r="L22" s="59"/>
      <c r="M22" s="10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customHeight="1">
      <c r="A23" s="201" t="s">
        <v>307</v>
      </c>
      <c r="B23" s="41">
        <v>46142.0</v>
      </c>
      <c r="C23" s="42" t="s">
        <v>308</v>
      </c>
      <c r="D23" s="43">
        <v>10006.0</v>
      </c>
      <c r="E23" s="55" t="s">
        <v>193</v>
      </c>
      <c r="F23" s="111"/>
      <c r="G23" s="111"/>
      <c r="H23" s="204">
        <v>350.0</v>
      </c>
      <c r="I23" s="100"/>
      <c r="J23" s="113"/>
      <c r="K23" s="142" t="s">
        <v>18</v>
      </c>
      <c r="L23" s="59"/>
      <c r="M23" s="10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16" t="s">
        <v>309</v>
      </c>
      <c r="B24" s="41">
        <v>46142.0</v>
      </c>
      <c r="C24" s="42" t="s">
        <v>310</v>
      </c>
      <c r="D24" s="43">
        <v>119044.0</v>
      </c>
      <c r="E24" s="55" t="s">
        <v>311</v>
      </c>
      <c r="F24" s="111"/>
      <c r="G24" s="205">
        <v>2400.0</v>
      </c>
      <c r="H24" s="112"/>
      <c r="I24" s="100"/>
      <c r="J24" s="113"/>
      <c r="K24" s="142" t="s">
        <v>18</v>
      </c>
      <c r="L24" s="59"/>
      <c r="M24" s="10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ht="49.5" customHeight="1">
      <c r="A25" s="201" t="s">
        <v>312</v>
      </c>
      <c r="B25" s="41">
        <v>46142.0</v>
      </c>
      <c r="C25" s="42" t="s">
        <v>313</v>
      </c>
      <c r="D25" s="43">
        <v>119046.0</v>
      </c>
      <c r="E25" s="55" t="s">
        <v>314</v>
      </c>
      <c r="F25" s="111"/>
      <c r="G25" s="111"/>
      <c r="H25" s="204">
        <v>300.0</v>
      </c>
      <c r="I25" s="100"/>
      <c r="J25" s="113"/>
      <c r="K25" s="142" t="s">
        <v>18</v>
      </c>
      <c r="L25" s="59"/>
      <c r="M25" s="10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ht="49.5" customHeight="1">
      <c r="A26" s="16" t="s">
        <v>315</v>
      </c>
      <c r="B26" s="41">
        <v>46142.0</v>
      </c>
      <c r="C26" s="42" t="s">
        <v>316</v>
      </c>
      <c r="D26" s="43">
        <v>10006.0</v>
      </c>
      <c r="E26" s="55" t="s">
        <v>193</v>
      </c>
      <c r="F26" s="205">
        <v>2400.0</v>
      </c>
      <c r="G26" s="111"/>
      <c r="H26" s="112"/>
      <c r="I26" s="100"/>
      <c r="J26" s="113"/>
      <c r="K26" s="142" t="s">
        <v>18</v>
      </c>
      <c r="L26" s="59"/>
      <c r="M26" s="10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ht="49.5" customHeight="1">
      <c r="A27" s="201" t="s">
        <v>317</v>
      </c>
      <c r="B27" s="41">
        <v>46142.0</v>
      </c>
      <c r="C27" s="42" t="s">
        <v>318</v>
      </c>
      <c r="D27" s="43">
        <v>119048.0</v>
      </c>
      <c r="E27" s="55" t="s">
        <v>319</v>
      </c>
      <c r="F27" s="111"/>
      <c r="G27" s="205">
        <v>4500.0</v>
      </c>
      <c r="H27" s="112"/>
      <c r="I27" s="100"/>
      <c r="J27" s="113"/>
      <c r="K27" s="142" t="s">
        <v>18</v>
      </c>
      <c r="L27" s="59"/>
      <c r="M27" s="10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ht="49.5" customHeight="1">
      <c r="A28" s="16" t="s">
        <v>320</v>
      </c>
      <c r="B28" s="41">
        <v>46142.0</v>
      </c>
      <c r="C28" s="42" t="s">
        <v>321</v>
      </c>
      <c r="D28" s="43">
        <v>105983.0</v>
      </c>
      <c r="E28" s="55" t="s">
        <v>17</v>
      </c>
      <c r="F28" s="205">
        <v>2400.0</v>
      </c>
      <c r="G28" s="111"/>
      <c r="H28" s="112"/>
      <c r="I28" s="100"/>
      <c r="J28" s="113"/>
      <c r="K28" s="142" t="s">
        <v>18</v>
      </c>
      <c r="L28" s="59"/>
      <c r="M28" s="10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ht="49.5" customHeight="1">
      <c r="A29" s="201" t="s">
        <v>322</v>
      </c>
      <c r="B29" s="41">
        <v>46142.0</v>
      </c>
      <c r="C29" s="42" t="s">
        <v>323</v>
      </c>
      <c r="D29" s="43">
        <v>108883.0</v>
      </c>
      <c r="E29" s="55" t="s">
        <v>324</v>
      </c>
      <c r="F29" s="205">
        <v>2400.0</v>
      </c>
      <c r="G29" s="111"/>
      <c r="H29" s="112"/>
      <c r="I29" s="100"/>
      <c r="J29" s="113"/>
      <c r="K29" s="142" t="s">
        <v>18</v>
      </c>
      <c r="L29" s="59"/>
      <c r="M29" s="10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ht="49.5" customHeight="1">
      <c r="A30" s="201" t="s">
        <v>325</v>
      </c>
      <c r="B30" s="41">
        <v>46142.0</v>
      </c>
      <c r="C30" s="42" t="s">
        <v>326</v>
      </c>
      <c r="D30" s="43">
        <v>51017.0</v>
      </c>
      <c r="E30" s="55" t="s">
        <v>126</v>
      </c>
      <c r="F30" s="205">
        <v>5000.0</v>
      </c>
      <c r="G30" s="111"/>
      <c r="H30" s="112"/>
      <c r="I30" s="100"/>
      <c r="J30" s="113"/>
      <c r="K30" s="142" t="s">
        <v>18</v>
      </c>
      <c r="L30" s="59"/>
      <c r="M30" s="10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ht="49.5" customHeight="1">
      <c r="A31" s="16" t="s">
        <v>327</v>
      </c>
      <c r="B31" s="66"/>
      <c r="C31" s="67"/>
      <c r="D31" s="68"/>
      <c r="E31" s="69"/>
      <c r="F31" s="111"/>
      <c r="G31" s="111"/>
      <c r="H31" s="112"/>
      <c r="I31" s="100"/>
      <c r="J31" s="113"/>
      <c r="K31" s="206"/>
      <c r="L31" s="59"/>
      <c r="M31" s="10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ht="49.5" customHeight="1">
      <c r="A32" s="201" t="s">
        <v>328</v>
      </c>
      <c r="B32" s="66"/>
      <c r="C32" s="67"/>
      <c r="D32" s="68"/>
      <c r="E32" s="69"/>
      <c r="F32" s="111"/>
      <c r="G32" s="111"/>
      <c r="H32" s="112"/>
      <c r="I32" s="100"/>
      <c r="J32" s="113"/>
      <c r="K32" s="206"/>
      <c r="L32" s="59"/>
      <c r="M32" s="10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ht="49.5" customHeight="1">
      <c r="A33" s="16" t="s">
        <v>329</v>
      </c>
      <c r="B33" s="41"/>
      <c r="C33" s="42"/>
      <c r="D33" s="43"/>
      <c r="E33" s="55"/>
      <c r="F33" s="205"/>
      <c r="G33" s="111"/>
      <c r="H33" s="112"/>
      <c r="I33" s="100"/>
      <c r="J33" s="113"/>
      <c r="K33" s="142" t="s">
        <v>18</v>
      </c>
      <c r="L33" s="59"/>
      <c r="M33" s="10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ht="49.5" customHeight="1">
      <c r="A34" s="74"/>
      <c r="B34" s="2"/>
      <c r="C34" s="2"/>
      <c r="D34" s="2"/>
      <c r="E34" s="3"/>
      <c r="F34" s="75">
        <f t="shared" ref="F34:J34" si="1">SUM(F4:F33)</f>
        <v>72900</v>
      </c>
      <c r="G34" s="75">
        <f t="shared" si="1"/>
        <v>10500</v>
      </c>
      <c r="H34" s="75">
        <f t="shared" si="1"/>
        <v>15600</v>
      </c>
      <c r="I34" s="75">
        <f t="shared" si="1"/>
        <v>0</v>
      </c>
      <c r="J34" s="75">
        <f t="shared" si="1"/>
        <v>0</v>
      </c>
      <c r="K34" s="76"/>
      <c r="L34" s="76"/>
      <c r="M34" s="77"/>
    </row>
    <row r="35" ht="48.0" customHeight="1">
      <c r="F35" s="78">
        <f>F34+G34+H34+I34+J34</f>
        <v>99000</v>
      </c>
      <c r="G35" s="2"/>
      <c r="H35" s="2"/>
      <c r="I35" s="2"/>
      <c r="J35" s="3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</sheetData>
  <mergeCells count="12">
    <mergeCell ref="K2:K3"/>
    <mergeCell ref="L2:L3"/>
    <mergeCell ref="A34:E34"/>
    <mergeCell ref="F35:J35"/>
    <mergeCell ref="A2:A3"/>
    <mergeCell ref="B2:B3"/>
    <mergeCell ref="C2:C3"/>
    <mergeCell ref="D2:D3"/>
    <mergeCell ref="E2:E3"/>
    <mergeCell ref="F2:J2"/>
    <mergeCell ref="M2:M3"/>
    <mergeCell ref="A1:M1"/>
  </mergeCells>
  <dataValidations>
    <dataValidation type="list" allowBlank="1" showErrorMessage="1" sqref="M4:M3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
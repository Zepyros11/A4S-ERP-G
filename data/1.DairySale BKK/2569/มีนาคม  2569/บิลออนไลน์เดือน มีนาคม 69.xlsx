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2-1.3-69" sheetId="1" r:id="rId4"/>
    <sheet state="visible" name="2-3-69" sheetId="2" r:id="rId5"/>
    <sheet state="visible" name="3-3-69" sheetId="3" r:id="rId6"/>
    <sheet state="visible" name="4-3-69" sheetId="4" r:id="rId7"/>
    <sheet state="visible" name="5--69" sheetId="5" r:id="rId8"/>
    <sheet state="visible" name="6-3-69" sheetId="6" r:id="rId9"/>
    <sheet state="visible" name="7-3-69" sheetId="7" r:id="rId10"/>
    <sheet state="visible" name="8-3-69" sheetId="8" r:id="rId11"/>
    <sheet state="visible" name="9-3-69" sheetId="9" r:id="rId12"/>
    <sheet state="visible" name="10-3-69" sheetId="10" r:id="rId13"/>
    <sheet state="visible" name="11-3-69" sheetId="11" r:id="rId14"/>
    <sheet state="visible" name="12-3-69" sheetId="12" r:id="rId15"/>
    <sheet state="visible" name="13-3-69" sheetId="13" r:id="rId16"/>
    <sheet state="visible" name="14-3-69" sheetId="14" r:id="rId17"/>
    <sheet state="visible" name="15-3-69" sheetId="15" r:id="rId18"/>
    <sheet state="visible" name="16-3-69" sheetId="16" r:id="rId19"/>
    <sheet state="visible" name="17-3-69" sheetId="17" r:id="rId20"/>
    <sheet state="visible" name="18-3-69" sheetId="18" r:id="rId21"/>
    <sheet state="visible" name="19-3-69" sheetId="19" r:id="rId22"/>
    <sheet state="visible" name="20-3-69" sheetId="20" r:id="rId23"/>
    <sheet state="visible" name="21-3-69" sheetId="21" r:id="rId24"/>
    <sheet state="visible" name="22-3-69" sheetId="22" r:id="rId25"/>
    <sheet state="visible" name="23-3-69" sheetId="23" r:id="rId26"/>
    <sheet state="visible" name="24-3-69" sheetId="24" r:id="rId27"/>
    <sheet state="visible" name="25-3-69" sheetId="25" r:id="rId28"/>
    <sheet state="visible" name="26-3-69" sheetId="26" r:id="rId29"/>
    <sheet state="visible" name="27-3-69" sheetId="27" r:id="rId30"/>
    <sheet state="visible" name="28-3-69" sheetId="28" r:id="rId31"/>
    <sheet state="visible" name="29-3-69" sheetId="29" r:id="rId32"/>
    <sheet state="visible" name="30-3-69" sheetId="30" r:id="rId33"/>
    <sheet state="visible" name="31-3-69" sheetId="31" r:id="rId34"/>
  </sheets>
  <definedNames/>
  <calcPr/>
  <extLst>
    <ext uri="GoogleSheetsCustomDataVersion2">
      <go:sheetsCustomData xmlns:go="http://customooxmlschemas.google.com/" r:id="rId35" roundtripDataChecksum="Gy/ix5KDJ2wN/QGMt690jC96fEjkdlivmnjVWq1L7I0="/>
    </ext>
  </extLst>
</workbook>
</file>

<file path=xl/sharedStrings.xml><?xml version="1.0" encoding="utf-8"?>
<sst xmlns="http://schemas.openxmlformats.org/spreadsheetml/2006/main" count="1475" uniqueCount="292">
  <si>
    <t xml:space="preserve">              สรุปยอด บิลออนไลน์  จัดส่ง / นำเข้า DP ดึงตั้งแต่  28 กุมภาพันธ์ - 1 มีนาคม 2569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</si>
  <si>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</si>
  <si>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</si>
  <si>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</si>
  <si>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</si>
  <si>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</si>
  <si>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</si>
  <si>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</si>
  <si>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</si>
  <si>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</si>
  <si>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</si>
  <si>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</si>
  <si>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</si>
  <si>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</si>
  <si>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</si>
  <si>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</si>
  <si>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2/28/2026</t>
  </si>
  <si>
    <t>STHONLIN2602006112</t>
  </si>
  <si>
    <t>นาย สุเมธ จันทร์งาม</t>
  </si>
  <si>
    <t>รับเอง กทม.</t>
  </si>
  <si>
    <t>2</t>
  </si>
  <si>
    <t>STHONLIN2602006116</t>
  </si>
  <si>
    <t>นาง วันทนา  กลีบเมฆ</t>
  </si>
  <si>
    <t>3</t>
  </si>
  <si>
    <t>STHONLIN2602006118</t>
  </si>
  <si>
    <t>นาง รษิกา อยู่นาน</t>
  </si>
  <si>
    <t>4</t>
  </si>
  <si>
    <t>STHONLIN2602006120</t>
  </si>
  <si>
    <t>นางสาว เยาวรินทร์ ศรีชัยนันท์</t>
  </si>
  <si>
    <t>5</t>
  </si>
  <si>
    <t>STHONLIN2602006133</t>
  </si>
  <si>
    <t>นาย ขุนทอง ดงพรหม</t>
  </si>
  <si>
    <t>6</t>
  </si>
  <si>
    <t>STHONLIN2602006175</t>
  </si>
  <si>
    <t>บริษัท ดีเวย์ ริชคอร์ป จำกัด(สำนักงานใหญ่)</t>
  </si>
  <si>
    <t>7</t>
  </si>
  <si>
    <t>STHONLIN2602006225</t>
  </si>
  <si>
    <t>นาย อุทัย  หวังอ้อมกลาง</t>
  </si>
  <si>
    <t>15</t>
  </si>
  <si>
    <t>จัดส่ง กทม.</t>
  </si>
  <si>
    <t>16</t>
  </si>
  <si>
    <t>17</t>
  </si>
  <si>
    <t>18</t>
  </si>
  <si>
    <t xml:space="preserve">              สรุปยอด บิลออนไลน์  จัดส่ง / นำเข้า DP ดึงตั้งแต่   2  มีนาคม  2569                                                                                             </t>
  </si>
  <si>
    <t>STHONLIN2603000126</t>
  </si>
  <si>
    <t>นาย สาธิต คำรังษี</t>
  </si>
  <si>
    <t>BKK</t>
  </si>
  <si>
    <t>STHONLIN2603000137</t>
  </si>
  <si>
    <t>นาย วิษณุ ทวีทรัพย์</t>
  </si>
  <si>
    <t>8</t>
  </si>
  <si>
    <t>9</t>
  </si>
  <si>
    <t>10</t>
  </si>
  <si>
    <t>11</t>
  </si>
  <si>
    <t>12</t>
  </si>
  <si>
    <t>13</t>
  </si>
  <si>
    <t>14</t>
  </si>
  <si>
    <t xml:space="preserve">              สรุปยอด บิลออนไลน์  จัดส่ง / นำเข้า DP ดึงตั้งแต่   3  มีนาคม  2569                                                                                               </t>
  </si>
  <si>
    <t>STHONLIN2603000375</t>
  </si>
  <si>
    <t>นาย ธนบูลย์ แสงฐิตาพันธุ์</t>
  </si>
  <si>
    <t>STHONLIN2603000376</t>
  </si>
  <si>
    <t>บริษัท สยามทวีทิพย์ จำกัด(สำนักงานใหญ่)</t>
  </si>
  <si>
    <t>NB</t>
  </si>
  <si>
    <t>รับเอง DP</t>
  </si>
  <si>
    <t>STHONLIN2603000378</t>
  </si>
  <si>
    <t>บริษัท  ต.ศรีโสภณ จำกัด (สำนักงานใหญ่)</t>
  </si>
  <si>
    <t>STHONLIN2603000381</t>
  </si>
  <si>
    <t>Ms. DIBO SCHOLASTICA EMERI</t>
  </si>
  <si>
    <t>STHONLIN2603000392</t>
  </si>
  <si>
    <t>นิวัติ  มีงาม</t>
  </si>
  <si>
    <t xml:space="preserve">              สรุปยอด บิลออนไลน์  จัดส่ง / นำเข้า DP ดึงตั้งแต่   4  มีนาคม 2569                                                                                                </t>
  </si>
  <si>
    <t>STHONLIN2603000518</t>
  </si>
  <si>
    <t>นาย สามารถ ทัศนสุวรรณ</t>
  </si>
  <si>
    <t>STHONLIN2603000619</t>
  </si>
  <si>
    <t>นาย ปรเมศวร์ ธรรมโชติ</t>
  </si>
  <si>
    <t>STHONLIN2603000675</t>
  </si>
  <si>
    <t>DR. CHRIATAIN RAMOND</t>
  </si>
  <si>
    <t>STHONLIN2603000681</t>
  </si>
  <si>
    <t>ห้างหุ้นส่วน โกรท โกลเบิล เน็ตเวิร์ก (สำนักงานใหญ่)</t>
  </si>
  <si>
    <t>STHONLIN2603000683</t>
  </si>
  <si>
    <t>STHONLIN2603000719</t>
  </si>
  <si>
    <t>STHONLIN2603000722</t>
  </si>
  <si>
    <t>นาย สดใส กาพย์กลอน</t>
  </si>
  <si>
    <t xml:space="preserve">              สรุปยอด บิลออนไลน์  จัดส่ง / นำเข้า DP ดึงตั้งแต่   5  มีนาคม  2569                                                                                                </t>
  </si>
  <si>
    <t>STHONLIN2603000856</t>
  </si>
  <si>
    <t>บริษัท โคบาราเอฟโวลูชั่น (ประเทศไทย)จำกัด ( สำนักงานใหญ่ )</t>
  </si>
  <si>
    <t>STHONLIN2603000860</t>
  </si>
  <si>
    <t>นาย เธียรวิชญ์ สิรินรภักดีกุล</t>
  </si>
  <si>
    <t>STHONLIN2603000862</t>
  </si>
  <si>
    <t>นางสาว วันวิสาข แก้วแกมทอง</t>
  </si>
  <si>
    <t>STHONLIN2603000881</t>
  </si>
  <si>
    <t xml:space="preserve">              สรุปยอด บิลออนไลน์  จัดส่ง / นำเข้า DP ดึงตั้งแต่   6  มีนาคม  2569                                                                                                </t>
  </si>
  <si>
    <t xml:space="preserve">              สรุปยอด บิลออนไลน์  จัดส่ง / นำเข้า DP ดึงตั้งแต่   7  มีนาคม  2569                                                                                                </t>
  </si>
  <si>
    <t>STHONLIN2603001378</t>
  </si>
  <si>
    <t>STHONLIN2603001386</t>
  </si>
  <si>
    <t>STHONLIN2603001395</t>
  </si>
  <si>
    <t>Mr. FREDERICK BALOKO</t>
  </si>
  <si>
    <t>STHONLIN2603001396</t>
  </si>
  <si>
    <t>นางสาว ธนพรรษ​ ยี่ภู่</t>
  </si>
  <si>
    <t xml:space="preserve">              สรุปยอด บิลออนไลน์  จัดส่ง / นำเข้า DP ดึงตั้งแต่   8  มีนาคม 2569                                                                                                </t>
  </si>
  <si>
    <t>STHONLIN2603001478</t>
  </si>
  <si>
    <t>นาย ธนกร อภัยพงศ์</t>
  </si>
  <si>
    <t>STHONLIN2603001480</t>
  </si>
  <si>
    <t>STHONLIN2603001490</t>
  </si>
  <si>
    <t>นางสาว ลำใย  เจริญศิริ</t>
  </si>
  <si>
    <t xml:space="preserve">              สรุปยอด บิลออนไลน์  จัดส่ง / นำเข้า DP ดึงตั้งแต่   9  มีนาคม 2569                                                                                                </t>
  </si>
  <si>
    <t>STHONLIN2603001561</t>
  </si>
  <si>
    <t xml:space="preserve">              สรุปยอด บิลออนไลน์  จัดส่ง / นำเข้า DP ดึงตั้งแต่   10  มีนาคม 2569                                                                                                </t>
  </si>
  <si>
    <t>STHONLIN2603001814</t>
  </si>
  <si>
    <t xml:space="preserve">              สรุปยอด บิลออนไลน์  จัดส่ง / นำเข้า DP ดึงตั้งแต่   11  มีนาคม 2569                                                                                                </t>
  </si>
  <si>
    <t>STHONLIN2603001866</t>
  </si>
  <si>
    <t>บริษัท เศรษฐกวี จำกัด ( สำนักงานใหญ่ )</t>
  </si>
  <si>
    <t>STHONLIN2603001973</t>
  </si>
  <si>
    <t>EYONG NICO</t>
  </si>
  <si>
    <t>STHONLIN2603002048</t>
  </si>
  <si>
    <t>นางสาว วาสนา บุญเกษม</t>
  </si>
  <si>
    <t>STHONLIN2603002050</t>
  </si>
  <si>
    <t>STHONLIN2603002054</t>
  </si>
  <si>
    <t>จัดส่ง DP</t>
  </si>
  <si>
    <t>STHONLIN2603002076</t>
  </si>
  <si>
    <t>นาย อุทัย กุลดี</t>
  </si>
  <si>
    <t xml:space="preserve">              สรุปยอด บิลออนไลน์  จัดส่ง / นำเข้า DP ดึงตั้งแต่   12  มีนาคม 2569                                                                                                </t>
  </si>
  <si>
    <t>STHONLIN2603002299</t>
  </si>
  <si>
    <t>STHONLIN2603002300</t>
  </si>
  <si>
    <t>ณภัทร พชรบุญญนันท์</t>
  </si>
  <si>
    <t>STHONLIN2603002302</t>
  </si>
  <si>
    <t>นางสาว วรรณิภา นวนพนัด</t>
  </si>
  <si>
    <t>STHONLIN2603002307</t>
  </si>
  <si>
    <t>STHONLIN2603002308</t>
  </si>
  <si>
    <t>จันทร์เพ็ญ วิลัยกุล</t>
  </si>
  <si>
    <t>STHONLIN2603002321</t>
  </si>
  <si>
    <t>นางสาว นงพงา ตั้งฤทัยเยี่ยม</t>
  </si>
  <si>
    <t>STHONLIN2603002328</t>
  </si>
  <si>
    <t>นาง อรุณพรรณ  กิ่งแก้ว</t>
  </si>
  <si>
    <t xml:space="preserve">              สรุปยอด บิลออนไลน์  จัดส่ง / นำเข้า DP ดึงตั้งแต่   13  มีนาคม 2569                                                                                                </t>
  </si>
  <si>
    <t>STHONLIN2603002385</t>
  </si>
  <si>
    <t>นาง สุพรรษา สุขหิ้น</t>
  </si>
  <si>
    <t>STHONLIN2603002386</t>
  </si>
  <si>
    <t>นางสาว วันดี อุดหลี</t>
  </si>
  <si>
    <t>STHONLIN2603002388</t>
  </si>
  <si>
    <t>นางสาว รัตจิรา พูลเกิด</t>
  </si>
  <si>
    <t>STHONLIN2603002522</t>
  </si>
  <si>
    <t>นาย สมหมาย ทับทอง</t>
  </si>
  <si>
    <t>STHONLIN2603002523</t>
  </si>
  <si>
    <t>ธัญญธร  พรพงษ์</t>
  </si>
  <si>
    <t>STHONLIN2603002525</t>
  </si>
  <si>
    <t>นางสาว พิมพ์ชญา  สุริยปรีชาพงษ์</t>
  </si>
  <si>
    <t>STHONLIN2603002527</t>
  </si>
  <si>
    <t>STHONLIN2603002528</t>
  </si>
  <si>
    <t xml:space="preserve">              สรุปยอด บิลออนไลน์  จัดส่ง / นำเข้า DP ดึงตั้งแต่   14  มีนาคม 2569                                                                                                </t>
  </si>
  <si>
    <t>STHONLIN2603002578</t>
  </si>
  <si>
    <t>Noxolo  Badi</t>
  </si>
  <si>
    <t>STHONLIN2603002620</t>
  </si>
  <si>
    <t>ESTHER IFEoMA</t>
  </si>
  <si>
    <t>STHONLIN2603002628</t>
  </si>
  <si>
    <t>Dr. Abraham Samuel</t>
  </si>
  <si>
    <t>STHONLIN2603002654</t>
  </si>
  <si>
    <t>CHE PASCAL EYALI</t>
  </si>
  <si>
    <t>STHONLIN2603002789</t>
  </si>
  <si>
    <t>นาย ธีรพัฒน์ สัพลักษณ์</t>
  </si>
  <si>
    <t>STHONLIN2603002790</t>
  </si>
  <si>
    <t>Nozipho Ndesi</t>
  </si>
  <si>
    <t>STHONLIN2603002798</t>
  </si>
  <si>
    <t>Beaullah Mudara</t>
  </si>
  <si>
    <t>STHONLIN2603002805</t>
  </si>
  <si>
    <t>นาย กฤตพัส  วงศ์สว่าง</t>
  </si>
  <si>
    <t xml:space="preserve">              สรุปยอด บิลออนไลน์  จัดส่ง / นำเข้า DP ดึงตั้งแต่   15  มีนาคม 2569                                                                                                </t>
  </si>
  <si>
    <t>STHONLIN2603002826</t>
  </si>
  <si>
    <t>นาย ปริญพัชร์ ศรีศุภณัฐธนากุล</t>
  </si>
  <si>
    <t>STHONLIN2603002871</t>
  </si>
  <si>
    <t>YAMBUIN EPHICIENT</t>
  </si>
  <si>
    <t>STHONLIN2603002917</t>
  </si>
  <si>
    <t>STHONLIN2603002931</t>
  </si>
  <si>
    <t>นาย สนั่นศักดิ์  สมทอง</t>
  </si>
  <si>
    <t>STHONLIN2603002932</t>
  </si>
  <si>
    <t>นาง ผิว เกษประกอบ</t>
  </si>
  <si>
    <t>STHONLIN2603002933</t>
  </si>
  <si>
    <t>นางสาว ภรณ์ธิดา สมทอง</t>
  </si>
  <si>
    <t>STHONLIN2603002954</t>
  </si>
  <si>
    <t>Mr. Diagne Serigne Abdou Khadre</t>
  </si>
  <si>
    <t xml:space="preserve">              สรุปยอด บิลออนไลน์  จัดส่ง / นำเข้า DP ดึงตั้งแต่   16  มีนาคม 2569                                                                                                </t>
  </si>
  <si>
    <t>STHONLIN2603003034</t>
  </si>
  <si>
    <t>นางสาว พลอยณิษา สินณัฐสิทธิ์</t>
  </si>
  <si>
    <t xml:space="preserve">              สรุปยอด บิลออนไลน์  จัดส่ง / นำเข้า DP ดึงตั้งแต่   17  มีนาคม 2569                                                                                                </t>
  </si>
  <si>
    <t>STHONLIN2603003156</t>
  </si>
  <si>
    <t>Mr. Mbutuh Nvenyi Celestine</t>
  </si>
  <si>
    <t>STHONLIN2603003251</t>
  </si>
  <si>
    <t>NP</t>
  </si>
  <si>
    <t>STHONLIN2603003295</t>
  </si>
  <si>
    <t xml:space="preserve">              สรุปยอด บิลออนไลน์  จัดส่ง / นำเข้า DP ดึงตั้งแต่   18  มีนาคม 2569                                                                                                </t>
  </si>
  <si>
    <t>STHONLIN2603003500</t>
  </si>
  <si>
    <t>STHONLIN2603003532</t>
  </si>
  <si>
    <t xml:space="preserve">              สรุปยอด บิลออนไลน์  จัดส่ง / นำเข้า DP ดึงตั้งแต่   19  มีนาคม 2569                                                                                                </t>
  </si>
  <si>
    <t>STHONLIN2603003735</t>
  </si>
  <si>
    <t>Mr. Mr. ABDULAHI ABOUBAKAR AZA</t>
  </si>
  <si>
    <t>STHONLIN2603003736</t>
  </si>
  <si>
    <t>STHONLIN2603003737</t>
  </si>
  <si>
    <t>STHONLIN2603003738</t>
  </si>
  <si>
    <t xml:space="preserve">              สรุปยอด บิลออนไลน์  จัดส่ง / นำเข้า DP ดึงตั้งแต่   20  มีนาคม 2569                                                                                                </t>
  </si>
  <si>
    <t>STHONLIN2603003842</t>
  </si>
  <si>
    <t>Kenneth Mpapale</t>
  </si>
  <si>
    <t>bkk</t>
  </si>
  <si>
    <t xml:space="preserve">              สรุปยอด บิลออนไลน์  จัดส่ง / นำเข้า DP ดึงตั้งแต่   21  มีนาคม 2569                                                                                                </t>
  </si>
  <si>
    <t>STHONLIN2603003981</t>
  </si>
  <si>
    <t>Ms. Ms AGNES CHAMBOLI</t>
  </si>
  <si>
    <t>STHONLIN2603004030</t>
  </si>
  <si>
    <t>Mr. Mr. ENDUM AUGUSTINE EDONGNECK</t>
  </si>
  <si>
    <t>STHONLIN2603004087</t>
  </si>
  <si>
    <t>นาย โชติพงษ์ ณ เชียงรุ้ง</t>
  </si>
  <si>
    <t>STHONLIN2603004088</t>
  </si>
  <si>
    <t xml:space="preserve">              สรุปยอด บิลออนไลน์  จัดส่ง / นำเข้า DP ดึงตั้งแต่   22  มีนาคม 2569                                                                                                </t>
  </si>
  <si>
    <t>STHONLIN2603004218</t>
  </si>
  <si>
    <t>STHONLIN2603004219</t>
  </si>
  <si>
    <t>STHONLIN2603004222</t>
  </si>
  <si>
    <t>นางสาว ดารดี ญาณกวี</t>
  </si>
  <si>
    <t>STHONLIN2603004224</t>
  </si>
  <si>
    <t>บริษัท ฟองใหญ่ จำกัด (สำนักงานใหญ่)</t>
  </si>
  <si>
    <t>STHONLIN2603004229</t>
  </si>
  <si>
    <t xml:space="preserve">              สรุปยอด บิลออนไลน์  จัดส่ง / นำเข้า DP ดึงตั้งแต่   23  มีนาคม 2569                                                                                                </t>
  </si>
  <si>
    <t>STHONLIN2603004324</t>
  </si>
  <si>
    <t>STHONLIN2603004325</t>
  </si>
  <si>
    <t>STHONLIN2603004326</t>
  </si>
  <si>
    <t>STHONLIN2603004344</t>
  </si>
  <si>
    <t>นาย กัมปนาท รุ่งโรจน์</t>
  </si>
  <si>
    <t xml:space="preserve">              สรุปยอด บิลออนไลน์  จัดส่ง / นำเข้า DP ดึงตั้งแต่   24  มีนาคม 2569                                                                                                </t>
  </si>
  <si>
    <t>ไม่มีบิลออนไลน์</t>
  </si>
  <si>
    <t xml:space="preserve">              สรุปยอด บิลออนไลน์  จัดส่ง / นำเข้า DP ดึงตั้งแต่   25  มีนาคม 2569                                                                                                </t>
  </si>
  <si>
    <t>STHONLIN2603004853</t>
  </si>
  <si>
    <t>นางสาว พัชรมณฑ์ พรมทา</t>
  </si>
  <si>
    <t xml:space="preserve">              สรุปยอด บิลออนไลน์  จัดส่ง / นำเข้า DP ดึงตั้งแต่   26  มีนาคม 2569                                                                                                </t>
  </si>
  <si>
    <t>STHONLIN2603004895</t>
  </si>
  <si>
    <t>STHONLIN2603004947</t>
  </si>
  <si>
    <t>Lucas Ngeson Fotso</t>
  </si>
  <si>
    <t>STHONLIN2603004969</t>
  </si>
  <si>
    <t>STHONLIN2603005048</t>
  </si>
  <si>
    <t>STHONLIN2603005062</t>
  </si>
  <si>
    <t>นาง กัญฐ์ภิญญา จงยันต์ธนกุล</t>
  </si>
  <si>
    <t>STHONLIN2603005063</t>
  </si>
  <si>
    <t>STHONLIN2603005065</t>
  </si>
  <si>
    <t>นางสาว รวินท์รัตน์ เหลืองอ่อน</t>
  </si>
  <si>
    <t xml:space="preserve">              สรุปยอด บิลออนไลน์  จัดส่ง / นำเข้า DP ดึงตั้งแต่   27  มีนาคม 2569                                                                                                </t>
  </si>
  <si>
    <t>STHONLIN2603005289</t>
  </si>
  <si>
    <t>STHONLIN2603005290</t>
  </si>
  <si>
    <t>STHONLIN2603005294</t>
  </si>
  <si>
    <t>นาย ดิเรก  กรีฑา</t>
  </si>
  <si>
    <t xml:space="preserve">              สรุปยอด บิลออนไลน์  จัดส่ง / นำเข้า DP ดึงตั้งแต่   28  มีนาคม 2569                                                                                                </t>
  </si>
  <si>
    <t>STHONLIN2603005348</t>
  </si>
  <si>
    <t>Ms. Dosi Mirabel Chusie</t>
  </si>
  <si>
    <t>STHONLIN2603005471</t>
  </si>
  <si>
    <t>STHONLIN2603005500</t>
  </si>
  <si>
    <t>STHONLIN2603005502</t>
  </si>
  <si>
    <t>STHONLIN2603005504</t>
  </si>
  <si>
    <t>STHONLIN2603005505</t>
  </si>
  <si>
    <t xml:space="preserve">              สรุปยอด บิลออนไลน์  จัดส่ง / นำเข้า DP ดึงตั้งแต่   29  มีนาคม 2569                                                                                                </t>
  </si>
  <si>
    <t>STHONLIN2603005622</t>
  </si>
  <si>
    <t>Ms. Josephine Etoh Tabe</t>
  </si>
  <si>
    <t xml:space="preserve">              สรุปยอด บิลออนไลน์  จัดส่ง / นำเข้า DP ดึงตั้งแต่   30  มีนาคม 2569                                                                                                </t>
  </si>
  <si>
    <t>STHONLIN2603005642</t>
  </si>
  <si>
    <t>BOJA HARIETTA ASHIE</t>
  </si>
  <si>
    <t>STHONLIN2603005644</t>
  </si>
  <si>
    <t>นาย เก่งภพ ศุภาภพปภาส</t>
  </si>
  <si>
    <t>STHONLIN2603005647</t>
  </si>
  <si>
    <t>Ms. Eghomba Ernestine Alih</t>
  </si>
  <si>
    <t>STHONLIN2603005651</t>
  </si>
  <si>
    <t>ห้างหุ้นส่วน ไดม่อนอันดามัน เน็ตเวิร์ค  (สำนักงานใหญ่)</t>
  </si>
  <si>
    <t>STHONLIN2603005735</t>
  </si>
  <si>
    <t xml:space="preserve">              สรุปยอด บิลออนไลน์  จัดส่ง / นำเข้า DP ดึงตั้งแต่   31  มีนาคม 2569                                                                                                </t>
  </si>
  <si>
    <t>STHONLIN2603005870</t>
  </si>
  <si>
    <t>STHONLIN2603006014</t>
  </si>
  <si>
    <t>บริษัท เค24 โกลบอล จำกัด (สำนักงานใหญ่)</t>
  </si>
  <si>
    <t>STHONLIN2603006015</t>
  </si>
  <si>
    <t>วรนุช จันทรานุรักษ์</t>
  </si>
  <si>
    <t>STHONLIN2603006018</t>
  </si>
  <si>
    <t>STHONLIN2603006020</t>
  </si>
  <si>
    <t>STHONLIN2603006021</t>
  </si>
  <si>
    <t>STHONLIN2603006022</t>
  </si>
  <si>
    <t>Ernest Boja</t>
  </si>
  <si>
    <t>STHONLIN2603006029</t>
  </si>
  <si>
    <t>บี ฮัมเบิล แอนด์ เมอร์ซี กรุ๊ป  (สำนักงานใหญ่)</t>
  </si>
  <si>
    <t>STHONLIN2603006032</t>
  </si>
  <si>
    <t>Ashley Mira</t>
  </si>
  <si>
    <t>STHONLIN2603006035</t>
  </si>
  <si>
    <t>STHONLIN2603006036</t>
  </si>
  <si>
    <t>STHONLIN2603006037</t>
  </si>
  <si>
    <t>STHONLIN2603006044</t>
  </si>
  <si>
    <t>นาง วิชญ์ชยา ภูธนโรจน์สิริ</t>
  </si>
  <si>
    <t>STHONLIN2603006059</t>
  </si>
  <si>
    <t>นาย ดำรงค์ ปฏิสังข์</t>
  </si>
  <si>
    <t>STHONLIN2603006060</t>
  </si>
  <si>
    <t>นาย ณรงค์ชัย บุญจันทร์</t>
  </si>
  <si>
    <t>STHONLIN2603006082</t>
  </si>
  <si>
    <t>STHONLIN2603006083</t>
  </si>
  <si>
    <t>นางสาว ภัทราวดี พวงดอกไม้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</si>
</sst>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m/d/yyyy"/>
  </numFmts>
  <fonts count="43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sz val="18.0"/>
      <color theme="1"/>
      <name val="Arial"/>
    </font>
    <font>
      <b/>
      <sz val="18.0"/>
      <color theme="1"/>
      <name val="Arial"/>
    </font>
    <font>
      <sz val="23.0"/>
      <color theme="1"/>
      <name val="Arial"/>
    </font>
    <font>
      <sz val="24.0"/>
      <color rgb="FFFF0000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5.0"/>
      <color theme="1"/>
      <name val="Arial"/>
    </font>
    <font>
      <b/>
      <sz val="23.0"/>
      <color theme="1"/>
      <name val="Arial"/>
    </font>
    <font>
      <b/>
      <sz val="29.0"/>
      <color rgb="FFFF0000"/>
      <name val="Arial"/>
    </font>
    <font>
      <sz val="21.0"/>
      <color theme="1"/>
      <name val="Arial"/>
    </font>
    <font>
      <b/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4.0"/>
      <color theme="1"/>
      <name val="Aptos Narrow"/>
    </font>
    <font>
      <sz val="26.0"/>
      <color rgb="FF000000"/>
      <name val="Arial"/>
    </font>
    <font>
      <b/>
      <sz val="24.0"/>
      <color theme="1"/>
      <name val="Arial"/>
    </font>
    <font>
      <b/>
      <sz val="26.0"/>
      <color rgb="FF000000"/>
      <name val="Arial"/>
    </font>
    <font>
      <b/>
      <sz val="41.0"/>
      <color rgb="FFFF0000"/>
      <name val="Angsana New"/>
    </font>
    <font>
      <sz val="19.0"/>
      <color rgb="FFFF0000"/>
      <name val="Arial"/>
    </font>
    <font>
      <sz val="29.0"/>
      <color rgb="FF000000"/>
      <name val="Angsana New"/>
    </font>
    <font>
      <sz val="26.0"/>
      <color rgb="FF000000"/>
      <name val="Angsana New"/>
    </font>
  </fonts>
  <fills count="12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0" xfId="0" applyAlignment="1" applyBorder="1" applyFon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10" numFmtId="38" xfId="0" applyAlignment="1" applyBorder="1" applyFont="1" applyNumberFormat="1">
      <alignment horizontal="center" readingOrder="0"/>
    </xf>
    <xf borderId="12" fillId="4" fontId="11" numFmtId="38" xfId="0" applyAlignment="1" applyBorder="1" applyFont="1" applyNumberFormat="1">
      <alignment horizontal="right" vertical="bottom"/>
    </xf>
    <xf borderId="12" fillId="4" fontId="12" numFmtId="38" xfId="0" applyAlignment="1" applyBorder="1" applyFont="1" applyNumberFormat="1">
      <alignment vertical="bottom"/>
    </xf>
    <xf borderId="11" fillId="4" fontId="13" numFmtId="0" xfId="0" applyBorder="1" applyFont="1"/>
    <xf borderId="11" fillId="4" fontId="13" numFmtId="3" xfId="0" applyBorder="1" applyFont="1" applyNumberFormat="1"/>
    <xf borderId="11" fillId="4" fontId="13" numFmtId="0" xfId="0" applyAlignment="1" applyBorder="1" applyFont="1">
      <alignment horizontal="center"/>
    </xf>
    <xf borderId="11" fillId="4" fontId="14" numFmtId="0" xfId="0" applyAlignment="1" applyBorder="1" applyFont="1">
      <alignment horizontal="center" vertical="center"/>
    </xf>
    <xf borderId="11" fillId="4" fontId="13" numFmtId="0" xfId="0" applyAlignment="1" applyBorder="1" applyFont="1">
      <alignment horizontal="center" vertical="center"/>
    </xf>
    <xf borderId="0" fillId="0" fontId="15" numFmtId="0" xfId="0" applyFont="1"/>
    <xf borderId="11" fillId="5" fontId="16" numFmtId="49" xfId="0" applyAlignment="1" applyBorder="1" applyFill="1" applyFont="1" applyNumberFormat="1">
      <alignment horizontal="center" shrinkToFit="0" vertical="center" wrapText="0"/>
    </xf>
    <xf borderId="11" fillId="5" fontId="7" numFmtId="0" xfId="0" applyAlignment="1" applyBorder="1" applyFon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17" numFmtId="38" xfId="0" applyAlignment="1" applyBorder="1" applyFont="1" applyNumberFormat="1">
      <alignment horizontal="center" readingOrder="0"/>
    </xf>
    <xf borderId="12" fillId="5" fontId="18" numFmtId="38" xfId="0" applyAlignment="1" applyBorder="1" applyFont="1" applyNumberFormat="1">
      <alignment horizontal="right" vertical="bottom"/>
    </xf>
    <xf borderId="11" fillId="5" fontId="19" numFmtId="0" xfId="0" applyBorder="1" applyFont="1"/>
    <xf borderId="11" fillId="5" fontId="19" numFmtId="3" xfId="0" applyAlignment="1" applyBorder="1" applyFont="1" applyNumberFormat="1">
      <alignment horizontal="center"/>
    </xf>
    <xf borderId="11" fillId="5" fontId="19" numFmtId="0" xfId="0" applyAlignment="1" applyBorder="1" applyFont="1">
      <alignment horizontal="center"/>
    </xf>
    <xf borderId="11" fillId="5" fontId="20" numFmtId="0" xfId="0" applyAlignment="1" applyBorder="1" applyFont="1">
      <alignment horizontal="center" vertical="center"/>
    </xf>
    <xf borderId="11" fillId="5" fontId="10" numFmtId="0" xfId="0" applyAlignment="1" applyBorder="1" applyFont="1">
      <alignment horizontal="center"/>
    </xf>
    <xf borderId="12" fillId="4" fontId="8" numFmtId="0" xfId="0" applyAlignment="1" applyBorder="1" applyFont="1">
      <alignment horizontal="center" readingOrder="0" vertical="bottom"/>
    </xf>
    <xf borderId="12" fillId="4" fontId="17" numFmtId="4" xfId="0" applyAlignment="1" applyBorder="1" applyFont="1" applyNumberFormat="1">
      <alignment readingOrder="0" vertical="bottom"/>
    </xf>
    <xf borderId="12" fillId="4" fontId="17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9" numFmtId="38" xfId="0" applyAlignment="1" applyBorder="1" applyFont="1" applyNumberFormat="1">
      <alignment horizontal="right" readingOrder="0" vertical="bottom"/>
    </xf>
    <xf borderId="12" fillId="4" fontId="18" numFmtId="38" xfId="0" applyAlignment="1" applyBorder="1" applyFont="1" applyNumberFormat="1">
      <alignment horizontal="right" vertical="bottom"/>
    </xf>
    <xf borderId="11" fillId="4" fontId="21" numFmtId="0" xfId="0" applyAlignment="1" applyBorder="1" applyFont="1">
      <alignment horizontal="center" shrinkToFit="0" vertical="center" wrapText="1"/>
    </xf>
    <xf borderId="11" fillId="4" fontId="19" numFmtId="3" xfId="0" applyAlignment="1" applyBorder="1" applyFont="1" applyNumberFormat="1">
      <alignment horizontal="center" shrinkToFit="0" vertical="center" wrapText="1"/>
    </xf>
    <xf borderId="11" fillId="4" fontId="22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/>
    </xf>
    <xf borderId="12" fillId="4" fontId="9" numFmtId="38" xfId="0" applyAlignment="1" applyBorder="1" applyFont="1" applyNumberFormat="1">
      <alignment horizontal="right" vertical="bottom"/>
    </xf>
    <xf borderId="12" fillId="4" fontId="18" numFmtId="38" xfId="0" applyAlignment="1" applyBorder="1" applyFont="1" applyNumberFormat="1">
      <alignment horizontal="right" readingOrder="0" vertical="bottom"/>
    </xf>
    <xf borderId="12" fillId="4" fontId="8" numFmtId="164" xfId="0" applyAlignment="1" applyBorder="1" applyFont="1" applyNumberFormat="1">
      <alignment horizontal="center" vertical="bottom"/>
    </xf>
    <xf borderId="12" fillId="4" fontId="17" numFmtId="4" xfId="0" applyAlignment="1" applyBorder="1" applyFont="1" applyNumberFormat="1">
      <alignment vertical="bottom"/>
    </xf>
    <xf borderId="12" fillId="4" fontId="17" numFmtId="1" xfId="0" applyAlignment="1" applyBorder="1" applyFont="1" applyNumberFormat="1">
      <alignment horizontal="center" vertical="bottom"/>
    </xf>
    <xf borderId="12" fillId="4" fontId="17" numFmtId="0" xfId="0" applyAlignment="1" applyBorder="1" applyFont="1">
      <alignment vertical="bottom"/>
    </xf>
    <xf borderId="12" fillId="4" fontId="23" numFmtId="38" xfId="0" applyAlignment="1" applyBorder="1" applyFont="1" applyNumberFormat="1">
      <alignment horizontal="right" vertical="bottom"/>
    </xf>
    <xf borderId="11" fillId="4" fontId="23" numFmtId="38" xfId="0" applyAlignment="1" applyBorder="1" applyFont="1" applyNumberFormat="1">
      <alignment vertical="bottom"/>
    </xf>
    <xf borderId="11" fillId="4" fontId="24" numFmtId="3" xfId="0" applyAlignment="1" applyBorder="1" applyFont="1" applyNumberFormat="1">
      <alignment horizontal="center" shrinkToFit="0" vertical="center" wrapText="1"/>
    </xf>
    <xf borderId="11" fillId="4" fontId="25" numFmtId="0" xfId="0" applyAlignment="1" applyBorder="1" applyFont="1">
      <alignment horizontal="center" vertical="center"/>
    </xf>
    <xf borderId="11" fillId="0" fontId="26" numFmtId="0" xfId="0" applyAlignment="1" applyBorder="1" applyFont="1">
      <alignment horizontal="center"/>
    </xf>
    <xf borderId="11" fillId="4" fontId="23" numFmtId="38" xfId="0" applyAlignment="1" applyBorder="1" applyFont="1" applyNumberFormat="1">
      <alignment horizontal="right" vertical="bottom"/>
    </xf>
    <xf borderId="11" fillId="4" fontId="18" numFmtId="38" xfId="0" applyAlignment="1" applyBorder="1" applyFont="1" applyNumberFormat="1">
      <alignment horizontal="right" vertical="bottom"/>
    </xf>
    <xf borderId="11" fillId="4" fontId="27" numFmtId="38" xfId="0" applyAlignment="1" applyBorder="1" applyFont="1" applyNumberFormat="1">
      <alignment horizontal="right" vertical="bottom"/>
    </xf>
    <xf borderId="0" fillId="0" fontId="15" numFmtId="3" xfId="0" applyFont="1" applyNumberFormat="1"/>
    <xf borderId="12" fillId="4" fontId="8" numFmtId="0" xfId="0" applyAlignment="1" applyBorder="1" applyFont="1">
      <alignment horizontal="center" vertical="bottom"/>
    </xf>
    <xf borderId="1" fillId="6" fontId="28" numFmtId="0" xfId="0" applyAlignment="1" applyBorder="1" applyFill="1" applyFont="1">
      <alignment horizontal="center"/>
    </xf>
    <xf borderId="13" fillId="6" fontId="29" numFmtId="3" xfId="0" applyAlignment="1" applyBorder="1" applyFont="1" applyNumberFormat="1">
      <alignment horizontal="center"/>
    </xf>
    <xf borderId="11" fillId="6" fontId="30" numFmtId="3" xfId="0" applyAlignment="1" applyBorder="1" applyFont="1" applyNumberFormat="1">
      <alignment horizontal="center"/>
    </xf>
    <xf borderId="11" fillId="6" fontId="31" numFmtId="3" xfId="0" applyAlignment="1" applyBorder="1" applyFont="1" applyNumberFormat="1">
      <alignment horizontal="right"/>
    </xf>
    <xf borderId="1" fillId="7" fontId="29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shrinkToFit="0" vertical="center" wrapText="0"/>
    </xf>
    <xf borderId="11" fillId="4" fontId="7" numFmtId="165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32" numFmtId="38" xfId="0" applyAlignment="1" applyBorder="1" applyFont="1" applyNumberFormat="1">
      <alignment horizontal="center" readingOrder="0"/>
    </xf>
    <xf borderId="12" fillId="4" fontId="33" numFmtId="38" xfId="0" applyAlignment="1" applyBorder="1" applyFont="1" applyNumberFormat="1">
      <alignment horizontal="right" readingOrder="0" vertical="bottom"/>
    </xf>
    <xf borderId="11" fillId="4" fontId="32" numFmtId="38" xfId="0" applyAlignment="1" applyBorder="1" applyFont="1" applyNumberFormat="1">
      <alignment horizontal="center"/>
    </xf>
    <xf borderId="11" fillId="4" fontId="10" numFmtId="0" xfId="0" applyBorder="1" applyFont="1"/>
    <xf borderId="11" fillId="4" fontId="10" numFmtId="3" xfId="0" applyBorder="1" applyFont="1" applyNumberFormat="1"/>
    <xf borderId="11" fillId="4" fontId="34" numFmtId="0" xfId="0" applyAlignment="1" applyBorder="1" applyFont="1">
      <alignment horizontal="center" vertical="center"/>
    </xf>
    <xf borderId="11" fillId="4" fontId="13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left" readingOrder="0"/>
    </xf>
    <xf borderId="12" fillId="4" fontId="33" numFmtId="38" xfId="0" applyAlignment="1" applyBorder="1" applyFont="1" applyNumberFormat="1">
      <alignment horizontal="right" vertical="bottom"/>
    </xf>
    <xf borderId="11" fillId="4" fontId="9" numFmtId="3" xfId="0" applyAlignment="1" applyBorder="1" applyFont="1" applyNumberFormat="1">
      <alignment horizontal="center" vertical="center"/>
    </xf>
    <xf borderId="11" fillId="4" fontId="10" numFmtId="3" xfId="0" applyAlignment="1" applyBorder="1" applyFont="1" applyNumberFormat="1">
      <alignment horizontal="center"/>
    </xf>
    <xf borderId="11" fillId="4" fontId="19" numFmtId="0" xfId="0" applyAlignment="1" applyBorder="1" applyFont="1">
      <alignment horizontal="center"/>
    </xf>
    <xf borderId="11" fillId="4" fontId="9" numFmtId="0" xfId="0" applyAlignment="1" applyBorder="1" applyFont="1">
      <alignment horizontal="center" readingOrder="0"/>
    </xf>
    <xf borderId="12" fillId="4" fontId="8" numFmtId="164" xfId="0" applyAlignment="1" applyBorder="1" applyFont="1" applyNumberFormat="1">
      <alignment horizontal="center" readingOrder="0" vertical="bottom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0" numFmtId="38" xfId="0" applyAlignment="1" applyBorder="1" applyFont="1" applyNumberFormat="1">
      <alignment horizontal="right" vertical="bottom"/>
    </xf>
    <xf borderId="11" fillId="4" fontId="32" numFmtId="38" xfId="0" applyAlignment="1" applyBorder="1" applyFont="1" applyNumberFormat="1">
      <alignment horizontal="center" readingOrder="0" vertical="bottom"/>
    </xf>
    <xf borderId="11" fillId="4" fontId="35" numFmtId="0" xfId="0" applyAlignment="1" applyBorder="1" applyFont="1">
      <alignment horizontal="center" shrinkToFit="0" vertical="center" wrapText="1"/>
    </xf>
    <xf borderId="11" fillId="4" fontId="10" numFmtId="3" xfId="0" applyAlignment="1" applyBorder="1" applyFont="1" applyNumberFormat="1">
      <alignment horizontal="center" shrinkToFit="0" vertical="center" wrapText="1"/>
    </xf>
    <xf borderId="2" fillId="4" fontId="36" numFmtId="0" xfId="0" applyAlignment="1" applyBorder="1" applyFont="1">
      <alignment horizontal="center" vertical="center"/>
    </xf>
    <xf borderId="11" fillId="4" fontId="9" numFmtId="0" xfId="0" applyAlignment="1" applyBorder="1" applyFont="1">
      <alignment horizontal="center"/>
    </xf>
    <xf borderId="12" fillId="4" fontId="17" numFmtId="0" xfId="0" applyAlignment="1" applyBorder="1" applyFont="1">
      <alignment readingOrder="0" vertical="bottom"/>
    </xf>
    <xf borderId="12" fillId="4" fontId="10" numFmtId="38" xfId="0" applyAlignment="1" applyBorder="1" applyFont="1" applyNumberFormat="1">
      <alignment horizontal="right" readingOrder="0" vertical="bottom"/>
    </xf>
    <xf borderId="11" fillId="4" fontId="10" numFmtId="38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/>
    </xf>
    <xf borderId="12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horizontal="center" vertical="bottom"/>
    </xf>
    <xf borderId="11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vertical="bottom"/>
    </xf>
    <xf borderId="11" fillId="4" fontId="37" numFmtId="3" xfId="0" applyAlignment="1" applyBorder="1" applyFont="1" applyNumberFormat="1">
      <alignment horizontal="center" shrinkToFit="0" vertical="center" wrapText="1"/>
    </xf>
    <xf borderId="9" fillId="4" fontId="38" numFmtId="0" xfId="0" applyAlignment="1" applyBorder="1" applyFont="1">
      <alignment horizontal="center" vertical="center"/>
    </xf>
    <xf borderId="11" fillId="0" fontId="8" numFmtId="165" xfId="0" applyAlignment="1" applyBorder="1" applyFont="1" applyNumberFormat="1">
      <alignment horizontal="center" readingOrder="0"/>
    </xf>
    <xf borderId="11" fillId="0" fontId="8" numFmtId="4" xfId="0" applyAlignment="1" applyBorder="1" applyFont="1" applyNumberFormat="1">
      <alignment readingOrder="0"/>
    </xf>
    <xf borderId="11" fillId="0" fontId="8" numFmtId="1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readingOrder="0"/>
    </xf>
    <xf borderId="11" fillId="8" fontId="8" numFmtId="3" xfId="0" applyBorder="1" applyFill="1" applyFont="1" applyNumberFormat="1"/>
    <xf borderId="11" fillId="9" fontId="8" numFmtId="3" xfId="0" applyAlignment="1" applyBorder="1" applyFill="1" applyFont="1" applyNumberFormat="1">
      <alignment readingOrder="0"/>
    </xf>
    <xf borderId="11" fillId="10" fontId="8" numFmtId="3" xfId="0" applyAlignment="1" applyBorder="1" applyFill="1" applyFont="1" applyNumberFormat="1">
      <alignment horizontal="right"/>
    </xf>
    <xf borderId="11" fillId="11" fontId="8" numFmtId="3" xfId="0" applyBorder="1" applyFill="1" applyFont="1" applyNumberFormat="1"/>
    <xf borderId="11" fillId="4" fontId="13" numFmtId="0" xfId="0" applyAlignment="1" applyBorder="1" applyFont="1">
      <alignment horizontal="center" readingOrder="0"/>
    </xf>
    <xf borderId="11" fillId="4" fontId="8" numFmtId="165" xfId="0" applyAlignment="1" applyBorder="1" applyFont="1" applyNumberFormat="1">
      <alignment horizontal="center" readingOrder="0"/>
    </xf>
    <xf borderId="11" fillId="4" fontId="8" numFmtId="1" xfId="0" applyAlignment="1" applyBorder="1" applyFont="1" applyNumberFormat="1">
      <alignment horizontal="center" readingOrder="0"/>
    </xf>
    <xf borderId="11" fillId="4" fontId="8" numFmtId="0" xfId="0" applyAlignment="1" applyBorder="1" applyFont="1">
      <alignment readingOrder="0"/>
    </xf>
    <xf borderId="11" fillId="8" fontId="8" numFmtId="3" xfId="0" applyAlignment="1" applyBorder="1" applyFont="1" applyNumberFormat="1">
      <alignment horizontal="right"/>
    </xf>
    <xf borderId="11" fillId="9" fontId="8" numFmtId="3" xfId="0" applyBorder="1" applyFont="1" applyNumberFormat="1"/>
    <xf borderId="11" fillId="10" fontId="8" numFmtId="3" xfId="0" applyAlignment="1" applyBorder="1" applyFont="1" applyNumberFormat="1">
      <alignment readingOrder="0"/>
    </xf>
    <xf borderId="11" fillId="4" fontId="19" numFmtId="0" xfId="0" applyAlignment="1" applyBorder="1" applyFont="1">
      <alignment horizontal="center" readingOrder="0"/>
    </xf>
    <xf borderId="11" fillId="8" fontId="8" numFmtId="3" xfId="0" applyAlignment="1" applyBorder="1" applyFont="1" applyNumberFormat="1">
      <alignment readingOrder="0"/>
    </xf>
    <xf borderId="2" fillId="4" fontId="36" numFmtId="0" xfId="0" applyAlignment="1" applyBorder="1" applyFont="1">
      <alignment horizontal="center" readingOrder="0" vertical="center"/>
    </xf>
    <xf borderId="11" fillId="10" fontId="8" numFmtId="3" xfId="0" applyAlignment="1" applyBorder="1" applyFont="1" applyNumberFormat="1">
      <alignment horizontal="right" readingOrder="0"/>
    </xf>
    <xf borderId="11" fillId="0" fontId="9" numFmtId="0" xfId="0" applyAlignment="1" applyBorder="1" applyFont="1">
      <alignment horizontal="center" readingOrder="0"/>
    </xf>
    <xf borderId="11" fillId="4" fontId="8" numFmtId="3" xfId="0" applyBorder="1" applyFont="1" applyNumberFormat="1"/>
    <xf borderId="11" fillId="4" fontId="8" numFmtId="3" xfId="0" applyAlignment="1" applyBorder="1" applyFont="1" applyNumberFormat="1">
      <alignment readingOrder="0"/>
    </xf>
    <xf borderId="11" fillId="4" fontId="8" numFmtId="3" xfId="0" applyAlignment="1" applyBorder="1" applyFont="1" applyNumberFormat="1">
      <alignment horizontal="right" readingOrder="0"/>
    </xf>
    <xf borderId="11" fillId="4" fontId="8" numFmtId="3" xfId="0" applyAlignment="1" applyBorder="1" applyFont="1" applyNumberFormat="1">
      <alignment horizontal="right"/>
    </xf>
    <xf borderId="11" fillId="5" fontId="8" numFmtId="3" xfId="0" applyAlignment="1" applyBorder="1" applyFont="1" applyNumberFormat="1">
      <alignment readingOrder="0"/>
    </xf>
    <xf borderId="11" fillId="5" fontId="8" numFmtId="3" xfId="0" applyBorder="1" applyFont="1" applyNumberFormat="1"/>
    <xf borderId="11" fillId="0" fontId="8" numFmtId="165" xfId="0" applyAlignment="1" applyBorder="1" applyFont="1" applyNumberFormat="1">
      <alignment horizontal="center"/>
    </xf>
    <xf borderId="11" fillId="0" fontId="8" numFmtId="4" xfId="0" applyBorder="1" applyFont="1" applyNumberFormat="1"/>
    <xf borderId="11" fillId="0" fontId="8" numFmtId="1" xfId="0" applyBorder="1" applyFont="1" applyNumberFormat="1"/>
    <xf borderId="11" fillId="0" fontId="8" numFmtId="0" xfId="0" applyBorder="1" applyFont="1"/>
    <xf borderId="11" fillId="4" fontId="16" numFmtId="49" xfId="0" applyAlignment="1" applyBorder="1" applyFont="1" applyNumberFormat="1">
      <alignment horizontal="center" shrinkToFit="0" vertical="center" wrapText="0"/>
    </xf>
    <xf borderId="11" fillId="4" fontId="8" numFmtId="164" xfId="0" applyAlignment="1" applyBorder="1" applyFont="1" applyNumberFormat="1">
      <alignment horizontal="center" readingOrder="0"/>
    </xf>
    <xf borderId="11" fillId="4" fontId="8" numFmtId="3" xfId="0" applyAlignment="1" applyBorder="1" applyFont="1" applyNumberFormat="1">
      <alignment horizontal="center" readingOrder="0"/>
    </xf>
    <xf borderId="11" fillId="4" fontId="10" numFmtId="3" xfId="0" applyAlignment="1" applyBorder="1" applyFont="1" applyNumberFormat="1">
      <alignment horizontal="center" readingOrder="0"/>
    </xf>
    <xf borderId="11" fillId="4" fontId="10" numFmtId="3" xfId="0" applyAlignment="1" applyBorder="1" applyFont="1" applyNumberFormat="1">
      <alignment horizontal="center" readingOrder="0" shrinkToFit="0" vertical="center" wrapText="1"/>
    </xf>
    <xf borderId="11" fillId="4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1" fillId="0" fontId="8" numFmtId="1" xfId="0" applyAlignment="1" applyBorder="1" applyFont="1" applyNumberFormat="1">
      <alignment readingOrder="0"/>
    </xf>
    <xf borderId="12" fillId="4" fontId="37" numFmtId="38" xfId="0" applyAlignment="1" applyBorder="1" applyFont="1" applyNumberFormat="1">
      <alignment horizontal="right" readingOrder="0" vertical="bottom"/>
    </xf>
    <xf borderId="11" fillId="4" fontId="26" numFmtId="3" xfId="0" applyAlignment="1" applyBorder="1" applyFont="1" applyNumberFormat="1">
      <alignment horizontal="center" vertical="center"/>
    </xf>
    <xf borderId="11" fillId="4" fontId="26" numFmtId="3" xfId="0" applyAlignment="1" applyBorder="1" applyFont="1" applyNumberFormat="1">
      <alignment horizontal="center" readingOrder="0" vertical="center"/>
    </xf>
    <xf borderId="11" fillId="0" fontId="8" numFmtId="164" xfId="0" applyAlignment="1" applyBorder="1" applyFont="1" applyNumberFormat="1">
      <alignment horizontal="center" readingOrder="0"/>
    </xf>
    <xf borderId="11" fillId="0" fontId="8" numFmtId="1" xfId="0" applyAlignment="1" applyBorder="1" applyFont="1" applyNumberFormat="1">
      <alignment horizontal="center" readingOrder="0" vertical="bottom"/>
    </xf>
    <xf borderId="11" fillId="4" fontId="10" numFmtId="38" xfId="0" applyAlignment="1" applyBorder="1" applyFont="1" applyNumberFormat="1">
      <alignment horizontal="center" readingOrder="0" vertical="bottom"/>
    </xf>
    <xf borderId="11" fillId="4" fontId="6" numFmtId="49" xfId="0" applyAlignment="1" applyBorder="1" applyFont="1" applyNumberFormat="1">
      <alignment horizontal="center" readingOrder="0" shrinkToFit="0" vertical="center" wrapText="0"/>
    </xf>
    <xf borderId="11" fillId="4" fontId="37" numFmtId="38" xfId="0" applyAlignment="1" applyBorder="1" applyFont="1" applyNumberFormat="1">
      <alignment horizontal="center" readingOrder="0" vertical="bottom"/>
    </xf>
    <xf borderId="11" fillId="9" fontId="6" numFmtId="49" xfId="0" applyAlignment="1" applyBorder="1" applyFont="1" applyNumberFormat="1">
      <alignment horizontal="center" shrinkToFit="0" vertical="center" wrapText="0"/>
    </xf>
    <xf borderId="11" fillId="9" fontId="8" numFmtId="164" xfId="0" applyAlignment="1" applyBorder="1" applyFont="1" applyNumberFormat="1">
      <alignment horizontal="center" readingOrder="0"/>
    </xf>
    <xf borderId="11" fillId="9" fontId="8" numFmtId="4" xfId="0" applyAlignment="1" applyBorder="1" applyFont="1" applyNumberFormat="1">
      <alignment readingOrder="0"/>
    </xf>
    <xf borderId="11" fillId="9" fontId="8" numFmtId="1" xfId="0" applyAlignment="1" applyBorder="1" applyFont="1" applyNumberFormat="1">
      <alignment horizontal="center" readingOrder="0"/>
    </xf>
    <xf borderId="11" fillId="9" fontId="8" numFmtId="0" xfId="0" applyAlignment="1" applyBorder="1" applyFont="1">
      <alignment readingOrder="0"/>
    </xf>
    <xf borderId="11" fillId="9" fontId="26" numFmtId="3" xfId="0" applyAlignment="1" applyBorder="1" applyFont="1" applyNumberFormat="1">
      <alignment horizontal="center" readingOrder="0" vertical="center"/>
    </xf>
    <xf borderId="11" fillId="9" fontId="8" numFmtId="3" xfId="0" applyAlignment="1" applyBorder="1" applyFont="1" applyNumberFormat="1">
      <alignment horizontal="right" readingOrder="0"/>
    </xf>
    <xf borderId="11" fillId="9" fontId="19" numFmtId="0" xfId="0" applyAlignment="1" applyBorder="1" applyFont="1">
      <alignment horizontal="center" readingOrder="0"/>
    </xf>
    <xf borderId="11" fillId="9" fontId="34" numFmtId="0" xfId="0" applyAlignment="1" applyBorder="1" applyFont="1">
      <alignment horizontal="center" vertical="center"/>
    </xf>
    <xf borderId="11" fillId="9" fontId="13" numFmtId="0" xfId="0" applyAlignment="1" applyBorder="1" applyFont="1">
      <alignment horizontal="center" readingOrder="0" vertical="center"/>
    </xf>
    <xf borderId="11" fillId="9" fontId="16" numFmtId="49" xfId="0" applyAlignment="1" applyBorder="1" applyFont="1" applyNumberFormat="1">
      <alignment horizontal="center" shrinkToFit="0" vertical="center" wrapText="0"/>
    </xf>
    <xf borderId="11" fillId="9" fontId="9" numFmtId="0" xfId="0" applyAlignment="1" applyBorder="1" applyFont="1">
      <alignment horizontal="center" readingOrder="0"/>
    </xf>
    <xf borderId="11" fillId="5" fontId="26" numFmtId="3" xfId="0" applyAlignment="1" applyBorder="1" applyFont="1" applyNumberFormat="1">
      <alignment horizontal="center" readingOrder="0"/>
    </xf>
    <xf borderId="12" fillId="4" fontId="26" numFmtId="38" xfId="0" applyAlignment="1" applyBorder="1" applyFont="1" applyNumberFormat="1">
      <alignment horizontal="right" readingOrder="0" vertical="bottom"/>
    </xf>
    <xf borderId="12" fillId="4" fontId="17" numFmtId="166" xfId="0" applyAlignment="1" applyBorder="1" applyFont="1" applyNumberFormat="1">
      <alignment horizontal="center" vertical="bottom"/>
    </xf>
    <xf borderId="12" fillId="4" fontId="8" numFmtId="38" xfId="0" applyAlignment="1" applyBorder="1" applyFont="1" applyNumberFormat="1">
      <alignment readingOrder="0" vertical="bottom"/>
    </xf>
    <xf borderId="13" fillId="6" fontId="39" numFmtId="3" xfId="0" applyAlignment="1" applyBorder="1" applyFont="1" applyNumberFormat="1">
      <alignment horizontal="center"/>
    </xf>
    <xf borderId="11" fillId="4" fontId="16" numFmtId="49" xfId="0" applyAlignment="1" applyBorder="1" applyFont="1" applyNumberFormat="1">
      <alignment horizontal="center" readingOrder="0" shrinkToFit="0" vertical="center" wrapText="0"/>
    </xf>
    <xf borderId="11" fillId="4" fontId="40" numFmtId="0" xfId="0" applyAlignment="1" applyBorder="1" applyFont="1">
      <alignment readingOrder="0"/>
    </xf>
    <xf borderId="11" fillId="4" fontId="41" numFmtId="49" xfId="0" applyAlignment="1" applyBorder="1" applyFont="1" applyNumberFormat="1">
      <alignment horizontal="center" readingOrder="0" shrinkToFit="0" vertical="center" wrapText="0"/>
    </xf>
    <xf borderId="11" fillId="4" fontId="42" numFmtId="49" xfId="0" applyAlignment="1" applyBorder="1" applyFont="1" applyNumberFormat="1">
      <alignment horizontal="center" readingOrder="0" shrinkToFit="0" vertical="center" wrapText="0"/>
    </xf>
    <xf borderId="12" fillId="4" fontId="8" numFmtId="164" xfId="0" applyAlignment="1" applyBorder="1" applyFont="1" applyNumberFormat="1">
      <alignment horizontal="center" readingOrder="0"/>
    </xf>
    <xf borderId="12" fillId="4" fontId="8" numFmtId="4" xfId="0" applyAlignment="1" applyBorder="1" applyFont="1" applyNumberFormat="1">
      <alignment readingOrder="0"/>
    </xf>
    <xf borderId="12" fillId="4" fontId="8" numFmtId="1" xfId="0" applyAlignment="1" applyBorder="1" applyFont="1" applyNumberFormat="1">
      <alignment horizontal="center" readingOrder="0"/>
    </xf>
    <xf borderId="12" fillId="4" fontId="8" numFmtId="0" xfId="0" applyAlignment="1" applyBorder="1" applyFont="1">
      <alignment readingOrder="0"/>
    </xf>
    <xf borderId="12" fillId="4" fontId="8" numFmtId="3" xfId="0" applyAlignment="1" applyBorder="1" applyFont="1" applyNumberFormat="1">
      <alignment readingOrder="0"/>
    </xf>
    <xf borderId="2" fillId="4" fontId="1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0</xdr:row>
      <xdr:rowOff>0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200025</xdr:rowOff>
    </xdr:from>
    <xdr:ext cx="285750" cy="361950"/>
    <xdr:sp>
      <xdr:nvSpPr>
        <xdr:cNvPr id="3" name="Shape 3"/>
        <xdr:cNvSpPr txBox="1"/>
      </xdr:nvSpPr>
      <xdr:spPr>
        <a:xfrm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 t="s">
        <v>16</v>
      </c>
      <c r="C4" s="18" t="s">
        <v>17</v>
      </c>
      <c r="D4" s="19">
        <v>52686.0</v>
      </c>
      <c r="E4" s="20" t="s">
        <v>18</v>
      </c>
      <c r="F4" s="21">
        <v>6000.0</v>
      </c>
      <c r="G4" s="22"/>
      <c r="H4" s="23"/>
      <c r="I4" s="24"/>
      <c r="J4" s="25"/>
      <c r="K4" s="26"/>
      <c r="L4" s="27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31" t="s">
        <v>16</v>
      </c>
      <c r="C5" s="32" t="s">
        <v>21</v>
      </c>
      <c r="D5" s="33">
        <v>102014.0</v>
      </c>
      <c r="E5" s="34" t="s">
        <v>22</v>
      </c>
      <c r="F5" s="35">
        <v>4500.0</v>
      </c>
      <c r="G5" s="36"/>
      <c r="H5" s="23"/>
      <c r="I5" s="37"/>
      <c r="J5" s="38"/>
      <c r="K5" s="39"/>
      <c r="L5" s="40"/>
      <c r="M5" s="41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23</v>
      </c>
      <c r="B6" s="42" t="s">
        <v>16</v>
      </c>
      <c r="C6" s="43" t="s">
        <v>24</v>
      </c>
      <c r="D6" s="44">
        <v>108883.0</v>
      </c>
      <c r="E6" s="45" t="s">
        <v>25</v>
      </c>
      <c r="F6" s="46">
        <v>2500.0</v>
      </c>
      <c r="G6" s="47"/>
      <c r="H6" s="23"/>
      <c r="I6" s="48"/>
      <c r="J6" s="49"/>
      <c r="K6" s="39"/>
      <c r="L6" s="50"/>
      <c r="M6" s="51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2" t="s">
        <v>16</v>
      </c>
      <c r="C7" s="43" t="s">
        <v>27</v>
      </c>
      <c r="D7" s="44">
        <v>105555.0</v>
      </c>
      <c r="E7" s="45" t="s">
        <v>28</v>
      </c>
      <c r="F7" s="52"/>
      <c r="G7" s="53">
        <v>4500.0</v>
      </c>
      <c r="H7" s="23"/>
      <c r="I7" s="48"/>
      <c r="J7" s="49"/>
      <c r="K7" s="39"/>
      <c r="L7" s="50"/>
      <c r="M7" s="51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29</v>
      </c>
      <c r="B8" s="42" t="s">
        <v>16</v>
      </c>
      <c r="C8" s="43" t="s">
        <v>30</v>
      </c>
      <c r="D8" s="44">
        <v>98887.0</v>
      </c>
      <c r="E8" s="45" t="s">
        <v>31</v>
      </c>
      <c r="F8" s="52"/>
      <c r="G8" s="47"/>
      <c r="H8" s="47">
        <v>4000.0</v>
      </c>
      <c r="I8" s="48"/>
      <c r="J8" s="49"/>
      <c r="K8" s="39"/>
      <c r="L8" s="50"/>
      <c r="M8" s="51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2" t="s">
        <v>16</v>
      </c>
      <c r="C9" s="43" t="s">
        <v>33</v>
      </c>
      <c r="D9" s="44">
        <v>10006.0</v>
      </c>
      <c r="E9" s="45" t="s">
        <v>34</v>
      </c>
      <c r="F9" s="46">
        <v>4800.0</v>
      </c>
      <c r="G9" s="47"/>
      <c r="H9" s="23"/>
      <c r="I9" s="48"/>
      <c r="J9" s="49"/>
      <c r="K9" s="39"/>
      <c r="L9" s="50"/>
      <c r="M9" s="51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35</v>
      </c>
      <c r="B10" s="42" t="s">
        <v>16</v>
      </c>
      <c r="C10" s="43" t="s">
        <v>36</v>
      </c>
      <c r="D10" s="44">
        <v>58698.0</v>
      </c>
      <c r="E10" s="45" t="s">
        <v>37</v>
      </c>
      <c r="F10" s="46">
        <v>2950.0</v>
      </c>
      <c r="G10" s="47"/>
      <c r="H10" s="23"/>
      <c r="I10" s="48"/>
      <c r="J10" s="49"/>
      <c r="K10" s="39"/>
      <c r="L10" s="50"/>
      <c r="M10" s="51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54"/>
      <c r="C11" s="55"/>
      <c r="D11" s="56"/>
      <c r="E11" s="57"/>
      <c r="F11" s="58"/>
      <c r="G11" s="47"/>
      <c r="H11" s="59"/>
      <c r="I11" s="48"/>
      <c r="J11" s="60"/>
      <c r="K11" s="39"/>
      <c r="L11" s="61"/>
      <c r="M11" s="6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/>
      <c r="B12" s="54"/>
      <c r="C12" s="55"/>
      <c r="D12" s="56"/>
      <c r="E12" s="57"/>
      <c r="F12" s="58"/>
      <c r="G12" s="47"/>
      <c r="H12" s="59"/>
      <c r="I12" s="48"/>
      <c r="J12" s="60"/>
      <c r="K12" s="39"/>
      <c r="L12" s="61"/>
      <c r="M12" s="6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54"/>
      <c r="C13" s="55"/>
      <c r="D13" s="56"/>
      <c r="E13" s="57"/>
      <c r="F13" s="58"/>
      <c r="G13" s="47"/>
      <c r="H13" s="59"/>
      <c r="I13" s="48"/>
      <c r="J13" s="60"/>
      <c r="K13" s="39"/>
      <c r="L13" s="61"/>
      <c r="M13" s="62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/>
      <c r="B14" s="54"/>
      <c r="C14" s="55"/>
      <c r="D14" s="56"/>
      <c r="E14" s="57"/>
      <c r="F14" s="63"/>
      <c r="G14" s="47"/>
      <c r="H14" s="59"/>
      <c r="I14" s="48"/>
      <c r="J14" s="60"/>
      <c r="K14" s="39"/>
      <c r="L14" s="61"/>
      <c r="M14" s="62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54"/>
      <c r="C15" s="55"/>
      <c r="D15" s="56"/>
      <c r="E15" s="57"/>
      <c r="F15" s="63"/>
      <c r="G15" s="64"/>
      <c r="H15" s="59"/>
      <c r="I15" s="48"/>
      <c r="J15" s="60"/>
      <c r="K15" s="39"/>
      <c r="L15" s="61"/>
      <c r="M15" s="62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/>
      <c r="B16" s="54"/>
      <c r="C16" s="55"/>
      <c r="D16" s="56"/>
      <c r="E16" s="57"/>
      <c r="F16" s="65"/>
      <c r="G16" s="64"/>
      <c r="H16" s="59"/>
      <c r="I16" s="48"/>
      <c r="J16" s="60"/>
      <c r="K16" s="39"/>
      <c r="L16" s="61"/>
      <c r="M16" s="62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55"/>
      <c r="D17" s="56"/>
      <c r="E17" s="57"/>
      <c r="F17" s="65"/>
      <c r="G17" s="64"/>
      <c r="H17" s="59"/>
      <c r="I17" s="48"/>
      <c r="J17" s="60"/>
      <c r="K17" s="39"/>
      <c r="L17" s="61"/>
      <c r="M17" s="62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38</v>
      </c>
      <c r="B18" s="54"/>
      <c r="C18" s="55"/>
      <c r="D18" s="56"/>
      <c r="E18" s="57"/>
      <c r="F18" s="65"/>
      <c r="G18" s="64"/>
      <c r="H18" s="59"/>
      <c r="I18" s="48"/>
      <c r="J18" s="60"/>
      <c r="K18" s="39"/>
      <c r="L18" s="61"/>
      <c r="M18" s="62" t="s">
        <v>39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40</v>
      </c>
      <c r="B19" s="54"/>
      <c r="C19" s="55"/>
      <c r="D19" s="56"/>
      <c r="E19" s="57"/>
      <c r="F19" s="65"/>
      <c r="G19" s="64"/>
      <c r="H19" s="59"/>
      <c r="I19" s="48"/>
      <c r="J19" s="60"/>
      <c r="K19" s="39"/>
      <c r="L19" s="61"/>
      <c r="M19" s="62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41</v>
      </c>
      <c r="B20" s="54"/>
      <c r="C20" s="55"/>
      <c r="D20" s="56"/>
      <c r="E20" s="57"/>
      <c r="F20" s="65"/>
      <c r="G20" s="64"/>
      <c r="H20" s="59"/>
      <c r="I20" s="48"/>
      <c r="J20" s="60"/>
      <c r="K20" s="39"/>
      <c r="L20" s="61"/>
      <c r="M20" s="62" t="s">
        <v>39</v>
      </c>
      <c r="N20" s="29"/>
      <c r="O20" s="29"/>
      <c r="P20" s="66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 t="s">
        <v>42</v>
      </c>
      <c r="B21" s="54"/>
      <c r="C21" s="55"/>
      <c r="D21" s="56"/>
      <c r="E21" s="57"/>
      <c r="F21" s="63"/>
      <c r="G21" s="64"/>
      <c r="H21" s="59"/>
      <c r="I21" s="48"/>
      <c r="J21" s="60"/>
      <c r="K21" s="39"/>
      <c r="L21" s="61"/>
      <c r="M21" s="62" t="s">
        <v>19</v>
      </c>
      <c r="N21" s="29"/>
      <c r="O21" s="29"/>
      <c r="P21" s="66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/>
      <c r="B22" s="54"/>
      <c r="C22" s="55"/>
      <c r="D22" s="56"/>
      <c r="E22" s="57"/>
      <c r="F22" s="63"/>
      <c r="G22" s="64"/>
      <c r="H22" s="59"/>
      <c r="I22" s="48"/>
      <c r="J22" s="60"/>
      <c r="K22" s="38"/>
      <c r="L22" s="61"/>
      <c r="M22" s="62"/>
      <c r="N22" s="29"/>
      <c r="O22" s="29"/>
      <c r="P22" s="66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67"/>
      <c r="C23" s="55"/>
      <c r="D23" s="56"/>
      <c r="E23" s="57"/>
      <c r="F23" s="63"/>
      <c r="G23" s="64"/>
      <c r="H23" s="59"/>
      <c r="I23" s="48"/>
      <c r="J23" s="60"/>
      <c r="K23" s="39"/>
      <c r="L23" s="61"/>
      <c r="M23" s="62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68"/>
      <c r="B24" s="2"/>
      <c r="C24" s="2"/>
      <c r="D24" s="2"/>
      <c r="E24" s="3"/>
      <c r="F24" s="69">
        <f>SUM(F4:F23)</f>
        <v>20750</v>
      </c>
      <c r="G24" s="69">
        <f t="shared" ref="G24:J24" si="1">SUM(G4:G14)</f>
        <v>4500</v>
      </c>
      <c r="H24" s="69">
        <f t="shared" si="1"/>
        <v>4000</v>
      </c>
      <c r="I24" s="69">
        <f t="shared" si="1"/>
        <v>0</v>
      </c>
      <c r="J24" s="69">
        <f t="shared" si="1"/>
        <v>0</v>
      </c>
      <c r="K24" s="70"/>
      <c r="L24" s="70"/>
      <c r="M24" s="71"/>
    </row>
    <row r="25" ht="48.0" customHeight="1">
      <c r="F25" s="72">
        <f>F24+G24+H24+I24+J24</f>
        <v>29250</v>
      </c>
      <c r="G25" s="2"/>
      <c r="H25" s="2"/>
      <c r="I25" s="2"/>
      <c r="J2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2">
    <mergeCell ref="K2:K3"/>
    <mergeCell ref="L2:L3"/>
    <mergeCell ref="A24:E24"/>
    <mergeCell ref="F25:J25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2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3" t="s">
        <v>15</v>
      </c>
      <c r="B4" s="74">
        <v>46083.0</v>
      </c>
      <c r="C4" s="18" t="s">
        <v>44</v>
      </c>
      <c r="D4" s="19">
        <v>83352.0</v>
      </c>
      <c r="E4" s="75" t="s">
        <v>45</v>
      </c>
      <c r="F4" s="76">
        <v>25200.0</v>
      </c>
      <c r="G4" s="77"/>
      <c r="H4" s="78"/>
      <c r="I4" s="79"/>
      <c r="J4" s="80"/>
      <c r="K4" s="26" t="s">
        <v>46</v>
      </c>
      <c r="L4" s="81"/>
      <c r="M4" s="82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74">
        <v>46083.0</v>
      </c>
      <c r="C5" s="18" t="s">
        <v>47</v>
      </c>
      <c r="D5" s="19">
        <v>113875.0</v>
      </c>
      <c r="E5" s="83" t="s">
        <v>48</v>
      </c>
      <c r="F5" s="76">
        <v>2500.0</v>
      </c>
      <c r="G5" s="84"/>
      <c r="H5" s="85"/>
      <c r="I5" s="79"/>
      <c r="J5" s="86"/>
      <c r="K5" s="87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/>
      <c r="B6" s="89"/>
      <c r="C6" s="43"/>
      <c r="D6" s="90"/>
      <c r="E6" s="91"/>
      <c r="F6" s="92"/>
      <c r="G6" s="84"/>
      <c r="H6" s="93"/>
      <c r="I6" s="94"/>
      <c r="J6" s="95"/>
      <c r="K6" s="96"/>
      <c r="L6" s="81"/>
      <c r="M6" s="9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30"/>
      <c r="B7" s="89"/>
      <c r="C7" s="43"/>
      <c r="D7" s="44"/>
      <c r="E7" s="98"/>
      <c r="F7" s="99"/>
      <c r="G7" s="92"/>
      <c r="H7" s="100"/>
      <c r="I7" s="94"/>
      <c r="J7" s="95"/>
      <c r="K7" s="96"/>
      <c r="L7" s="50"/>
      <c r="M7" s="10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73"/>
      <c r="B8" s="54"/>
      <c r="C8" s="55"/>
      <c r="D8" s="56"/>
      <c r="E8" s="57"/>
      <c r="F8" s="92"/>
      <c r="G8" s="92"/>
      <c r="H8" s="100"/>
      <c r="I8" s="94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/>
      <c r="B9" s="54"/>
      <c r="C9" s="55"/>
      <c r="D9" s="56"/>
      <c r="E9" s="57"/>
      <c r="F9" s="92"/>
      <c r="G9" s="92"/>
      <c r="H9" s="100"/>
      <c r="I9" s="94"/>
      <c r="J9" s="95"/>
      <c r="K9" s="96"/>
      <c r="L9" s="50"/>
      <c r="M9" s="10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3" t="s">
        <v>35</v>
      </c>
      <c r="B10" s="54"/>
      <c r="C10" s="55"/>
      <c r="D10" s="56"/>
      <c r="E10" s="57"/>
      <c r="F10" s="102"/>
      <c r="G10" s="102"/>
      <c r="H10" s="103"/>
      <c r="I10" s="94"/>
      <c r="J10" s="95"/>
      <c r="K10" s="96" t="s">
        <v>46</v>
      </c>
      <c r="L10" s="50"/>
      <c r="M10" s="10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 t="s">
        <v>46</v>
      </c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 t="s">
        <v>46</v>
      </c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 t="s">
        <v>46</v>
      </c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3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 t="s">
        <v>46</v>
      </c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 t="s">
        <v>46</v>
      </c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 t="s">
        <v>46</v>
      </c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 t="s">
        <v>46</v>
      </c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 t="s">
        <v>46</v>
      </c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54"/>
      <c r="C19" s="55"/>
      <c r="D19" s="56"/>
      <c r="E19" s="57"/>
      <c r="F19" s="102"/>
      <c r="G19" s="102"/>
      <c r="H19" s="103"/>
      <c r="I19" s="94"/>
      <c r="J19" s="95"/>
      <c r="K19" s="96"/>
      <c r="L19" s="50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27700</v>
      </c>
      <c r="G21" s="69">
        <f t="shared" si="1"/>
        <v>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27700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3" t="s">
        <v>15</v>
      </c>
      <c r="B4" s="108">
        <v>46084.0</v>
      </c>
      <c r="C4" s="109" t="s">
        <v>57</v>
      </c>
      <c r="D4" s="110">
        <v>21828.0</v>
      </c>
      <c r="E4" s="111" t="s">
        <v>58</v>
      </c>
      <c r="F4" s="112"/>
      <c r="G4" s="113">
        <v>5000.0</v>
      </c>
      <c r="H4" s="114"/>
      <c r="I4" s="115"/>
      <c r="J4" s="80"/>
      <c r="K4" s="116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17">
        <v>46084.0</v>
      </c>
      <c r="C5" s="18" t="s">
        <v>59</v>
      </c>
      <c r="D5" s="118">
        <v>10250.0</v>
      </c>
      <c r="E5" s="119" t="s">
        <v>60</v>
      </c>
      <c r="F5" s="120"/>
      <c r="G5" s="121"/>
      <c r="H5" s="122">
        <v>10000.0</v>
      </c>
      <c r="I5" s="115"/>
      <c r="J5" s="86"/>
      <c r="K5" s="123" t="s">
        <v>61</v>
      </c>
      <c r="L5" s="81"/>
      <c r="M5" s="88" t="s">
        <v>62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17">
        <v>46084.0</v>
      </c>
      <c r="C6" s="18" t="s">
        <v>63</v>
      </c>
      <c r="D6" s="118">
        <v>51017.0</v>
      </c>
      <c r="E6" s="119" t="s">
        <v>64</v>
      </c>
      <c r="F6" s="124">
        <v>8400.0</v>
      </c>
      <c r="G6" s="121"/>
      <c r="H6" s="114"/>
      <c r="I6" s="115"/>
      <c r="J6" s="95"/>
      <c r="K6" s="125" t="s">
        <v>46</v>
      </c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08">
        <v>46084.0</v>
      </c>
      <c r="C7" s="109" t="s">
        <v>65</v>
      </c>
      <c r="D7" s="110">
        <v>114797.0</v>
      </c>
      <c r="E7" s="111" t="s">
        <v>66</v>
      </c>
      <c r="F7" s="112"/>
      <c r="G7" s="121"/>
      <c r="H7" s="126">
        <v>300.0</v>
      </c>
      <c r="I7" s="115"/>
      <c r="J7" s="95"/>
      <c r="K7" s="125" t="s">
        <v>46</v>
      </c>
      <c r="L7" s="50"/>
      <c r="M7" s="127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3" t="s">
        <v>29</v>
      </c>
      <c r="B8" s="108">
        <v>46084.0</v>
      </c>
      <c r="C8" s="109" t="s">
        <v>67</v>
      </c>
      <c r="D8" s="110">
        <v>114803.0</v>
      </c>
      <c r="E8" s="111" t="s">
        <v>68</v>
      </c>
      <c r="F8" s="112"/>
      <c r="G8" s="121"/>
      <c r="H8" s="122">
        <v>350.0</v>
      </c>
      <c r="I8" s="115"/>
      <c r="J8" s="95"/>
      <c r="K8" s="125" t="s">
        <v>46</v>
      </c>
      <c r="L8" s="50"/>
      <c r="M8" s="127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54"/>
      <c r="C9" s="55"/>
      <c r="D9" s="56"/>
      <c r="E9" s="57"/>
      <c r="F9" s="92"/>
      <c r="G9" s="92"/>
      <c r="H9" s="100"/>
      <c r="I9" s="94"/>
      <c r="J9" s="95"/>
      <c r="K9" s="96"/>
      <c r="L9" s="50"/>
      <c r="M9" s="10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3" t="s">
        <v>35</v>
      </c>
      <c r="B10" s="54"/>
      <c r="C10" s="55"/>
      <c r="D10" s="56"/>
      <c r="E10" s="57"/>
      <c r="F10" s="102"/>
      <c r="G10" s="102"/>
      <c r="H10" s="103"/>
      <c r="I10" s="94"/>
      <c r="J10" s="95"/>
      <c r="K10" s="96" t="s">
        <v>46</v>
      </c>
      <c r="L10" s="50"/>
      <c r="M10" s="101" t="s">
        <v>39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 t="s">
        <v>46</v>
      </c>
      <c r="L11" s="50"/>
      <c r="M11" s="101" t="s">
        <v>39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 t="s">
        <v>46</v>
      </c>
      <c r="L12" s="50"/>
      <c r="M12" s="101" t="s">
        <v>39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 t="s">
        <v>46</v>
      </c>
      <c r="L13" s="50"/>
      <c r="M13" s="101" t="s">
        <v>39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3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 t="s">
        <v>46</v>
      </c>
      <c r="L14" s="50"/>
      <c r="M14" s="101" t="s">
        <v>62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 t="s">
        <v>46</v>
      </c>
      <c r="L15" s="50"/>
      <c r="M15" s="101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 t="s">
        <v>46</v>
      </c>
      <c r="L16" s="50"/>
      <c r="M16" s="101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 t="s">
        <v>46</v>
      </c>
      <c r="L17" s="50"/>
      <c r="M17" s="101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 t="s">
        <v>46</v>
      </c>
      <c r="L18" s="50"/>
      <c r="M18" s="101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 t="s">
        <v>46</v>
      </c>
      <c r="L19" s="50"/>
      <c r="M19" s="101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8400</v>
      </c>
      <c r="G21" s="69">
        <f t="shared" si="1"/>
        <v>5000</v>
      </c>
      <c r="H21" s="69">
        <f t="shared" si="1"/>
        <v>10650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24050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3" t="s">
        <v>15</v>
      </c>
      <c r="B4" s="117">
        <v>46084.0</v>
      </c>
      <c r="C4" s="18" t="s">
        <v>70</v>
      </c>
      <c r="D4" s="118">
        <v>87601.0</v>
      </c>
      <c r="E4" s="119" t="s">
        <v>71</v>
      </c>
      <c r="F4" s="128"/>
      <c r="G4" s="129"/>
      <c r="H4" s="130">
        <v>5100.0</v>
      </c>
      <c r="I4" s="128"/>
      <c r="J4" s="80"/>
      <c r="K4" s="116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17">
        <v>46085.0</v>
      </c>
      <c r="C5" s="18" t="s">
        <v>72</v>
      </c>
      <c r="D5" s="118">
        <v>48306.0</v>
      </c>
      <c r="E5" s="119" t="s">
        <v>73</v>
      </c>
      <c r="F5" s="131"/>
      <c r="G5" s="129">
        <v>3700.0</v>
      </c>
      <c r="H5" s="129"/>
      <c r="I5" s="128"/>
      <c r="J5" s="86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17">
        <v>46085.0</v>
      </c>
      <c r="C6" s="18" t="s">
        <v>74</v>
      </c>
      <c r="D6" s="118">
        <v>114869.0</v>
      </c>
      <c r="E6" s="119" t="s">
        <v>75</v>
      </c>
      <c r="F6" s="129"/>
      <c r="G6" s="128"/>
      <c r="H6" s="130">
        <v>300.0</v>
      </c>
      <c r="I6" s="128"/>
      <c r="J6" s="95"/>
      <c r="K6" s="125" t="s">
        <v>46</v>
      </c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17">
        <v>46085.0</v>
      </c>
      <c r="C7" s="18" t="s">
        <v>76</v>
      </c>
      <c r="D7" s="118">
        <v>47787.0</v>
      </c>
      <c r="E7" s="119" t="s">
        <v>77</v>
      </c>
      <c r="F7" s="129">
        <v>700.0</v>
      </c>
      <c r="G7" s="128"/>
      <c r="H7" s="130"/>
      <c r="I7" s="128"/>
      <c r="J7" s="95"/>
      <c r="K7" s="125" t="s">
        <v>61</v>
      </c>
      <c r="L7" s="50"/>
      <c r="M7" s="88" t="s">
        <v>62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3" t="s">
        <v>29</v>
      </c>
      <c r="B8" s="108">
        <v>46085.0</v>
      </c>
      <c r="C8" s="109" t="s">
        <v>78</v>
      </c>
      <c r="D8" s="110">
        <v>47787.0</v>
      </c>
      <c r="E8" s="111" t="s">
        <v>77</v>
      </c>
      <c r="F8" s="132">
        <v>10000.0</v>
      </c>
      <c r="G8" s="133"/>
      <c r="H8" s="132"/>
      <c r="I8" s="133"/>
      <c r="J8" s="95"/>
      <c r="K8" s="125" t="s">
        <v>61</v>
      </c>
      <c r="L8" s="50"/>
      <c r="M8" s="127" t="s">
        <v>62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89">
        <v>46085.0</v>
      </c>
      <c r="C9" s="43" t="s">
        <v>79</v>
      </c>
      <c r="D9" s="44">
        <v>47787.0</v>
      </c>
      <c r="E9" s="98" t="s">
        <v>77</v>
      </c>
      <c r="F9" s="99">
        <v>250.0</v>
      </c>
      <c r="G9" s="92"/>
      <c r="H9" s="100"/>
      <c r="I9" s="94"/>
      <c r="J9" s="95"/>
      <c r="K9" s="125" t="s">
        <v>61</v>
      </c>
      <c r="L9" s="50"/>
      <c r="M9" s="127" t="s">
        <v>62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3" t="s">
        <v>35</v>
      </c>
      <c r="B10" s="89">
        <v>46085.0</v>
      </c>
      <c r="C10" s="43" t="s">
        <v>80</v>
      </c>
      <c r="D10" s="44">
        <v>81672.0</v>
      </c>
      <c r="E10" s="98" t="s">
        <v>81</v>
      </c>
      <c r="F10" s="99">
        <v>2400.0</v>
      </c>
      <c r="G10" s="102"/>
      <c r="H10" s="103"/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 t="s">
        <v>46</v>
      </c>
      <c r="L11" s="50"/>
      <c r="M11" s="101" t="s">
        <v>39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 t="s">
        <v>46</v>
      </c>
      <c r="L12" s="50"/>
      <c r="M12" s="101" t="s">
        <v>39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 t="s">
        <v>46</v>
      </c>
      <c r="L13" s="50"/>
      <c r="M13" s="101" t="s">
        <v>39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3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 t="s">
        <v>46</v>
      </c>
      <c r="L14" s="50"/>
      <c r="M14" s="101" t="s">
        <v>62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 t="s">
        <v>46</v>
      </c>
      <c r="L15" s="50"/>
      <c r="M15" s="101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 t="s">
        <v>46</v>
      </c>
      <c r="L16" s="50"/>
      <c r="M16" s="101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 t="s">
        <v>46</v>
      </c>
      <c r="L17" s="50"/>
      <c r="M17" s="101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 t="s">
        <v>46</v>
      </c>
      <c r="L18" s="50"/>
      <c r="M18" s="101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 t="s">
        <v>46</v>
      </c>
      <c r="L19" s="50"/>
      <c r="M19" s="101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13350</v>
      </c>
      <c r="G21" s="69">
        <f t="shared" si="1"/>
        <v>3700</v>
      </c>
      <c r="H21" s="69">
        <f t="shared" si="1"/>
        <v>5400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22450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3" t="s">
        <v>15</v>
      </c>
      <c r="B4" s="117">
        <v>46086.0</v>
      </c>
      <c r="C4" s="18" t="s">
        <v>83</v>
      </c>
      <c r="D4" s="118">
        <v>52669.0</v>
      </c>
      <c r="E4" s="119" t="s">
        <v>84</v>
      </c>
      <c r="F4" s="129">
        <v>25000.0</v>
      </c>
      <c r="G4" s="128"/>
      <c r="H4" s="130"/>
      <c r="I4" s="128"/>
      <c r="J4" s="80"/>
      <c r="K4" s="26"/>
      <c r="L4" s="81"/>
      <c r="M4" s="28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17">
        <v>46086.0</v>
      </c>
      <c r="C5" s="18" t="s">
        <v>85</v>
      </c>
      <c r="D5" s="118">
        <v>84490.0</v>
      </c>
      <c r="E5" s="119" t="s">
        <v>86</v>
      </c>
      <c r="F5" s="131"/>
      <c r="G5" s="128"/>
      <c r="H5" s="129">
        <v>23.0</v>
      </c>
      <c r="I5" s="128"/>
      <c r="J5" s="86"/>
      <c r="K5" s="87"/>
      <c r="L5" s="81"/>
      <c r="M5" s="97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17">
        <v>46086.0</v>
      </c>
      <c r="C6" s="18" t="s">
        <v>87</v>
      </c>
      <c r="D6" s="118">
        <v>50595.0</v>
      </c>
      <c r="E6" s="119" t="s">
        <v>88</v>
      </c>
      <c r="F6" s="129">
        <v>10000.0</v>
      </c>
      <c r="G6" s="128"/>
      <c r="H6" s="131"/>
      <c r="I6" s="128"/>
      <c r="J6" s="95"/>
      <c r="K6" s="96"/>
      <c r="L6" s="81"/>
      <c r="M6" s="9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17">
        <v>46086.0</v>
      </c>
      <c r="C7" s="18" t="s">
        <v>89</v>
      </c>
      <c r="D7" s="118">
        <v>21828.0</v>
      </c>
      <c r="E7" s="119" t="s">
        <v>58</v>
      </c>
      <c r="F7" s="128"/>
      <c r="G7" s="129">
        <v>7500.0</v>
      </c>
      <c r="H7" s="131"/>
      <c r="I7" s="128"/>
      <c r="J7" s="95"/>
      <c r="K7" s="96"/>
      <c r="L7" s="50"/>
      <c r="M7" s="9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3" t="s">
        <v>29</v>
      </c>
      <c r="B8" s="134"/>
      <c r="C8" s="135"/>
      <c r="D8" s="136"/>
      <c r="E8" s="137"/>
      <c r="F8" s="133"/>
      <c r="G8" s="133"/>
      <c r="H8" s="133"/>
      <c r="I8" s="133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54"/>
      <c r="C9" s="55"/>
      <c r="D9" s="56"/>
      <c r="E9" s="57"/>
      <c r="F9" s="92"/>
      <c r="G9" s="92"/>
      <c r="H9" s="100"/>
      <c r="I9" s="94"/>
      <c r="J9" s="95"/>
      <c r="K9" s="96"/>
      <c r="L9" s="50"/>
      <c r="M9" s="10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3" t="s">
        <v>35</v>
      </c>
      <c r="B10" s="54"/>
      <c r="C10" s="55"/>
      <c r="D10" s="56"/>
      <c r="E10" s="57"/>
      <c r="F10" s="102"/>
      <c r="G10" s="102"/>
      <c r="H10" s="103"/>
      <c r="I10" s="94"/>
      <c r="J10" s="95"/>
      <c r="K10" s="96" t="s">
        <v>46</v>
      </c>
      <c r="L10" s="50"/>
      <c r="M10" s="101" t="s">
        <v>39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 t="s">
        <v>46</v>
      </c>
      <c r="L11" s="50"/>
      <c r="M11" s="101" t="s">
        <v>39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 t="s">
        <v>46</v>
      </c>
      <c r="L12" s="50"/>
      <c r="M12" s="101" t="s">
        <v>39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 t="s">
        <v>46</v>
      </c>
      <c r="L13" s="50"/>
      <c r="M13" s="101" t="s">
        <v>39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3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 t="s">
        <v>46</v>
      </c>
      <c r="L14" s="50"/>
      <c r="M14" s="101" t="s">
        <v>62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 t="s">
        <v>46</v>
      </c>
      <c r="L15" s="50"/>
      <c r="M15" s="101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 t="s">
        <v>46</v>
      </c>
      <c r="L16" s="50"/>
      <c r="M16" s="101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 t="s">
        <v>46</v>
      </c>
      <c r="L17" s="50"/>
      <c r="M17" s="101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 t="s">
        <v>46</v>
      </c>
      <c r="L18" s="50"/>
      <c r="M18" s="101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 t="s">
        <v>46</v>
      </c>
      <c r="L19" s="50"/>
      <c r="M19" s="101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35000</v>
      </c>
      <c r="G21" s="69">
        <f t="shared" si="1"/>
        <v>7500</v>
      </c>
      <c r="H21" s="69">
        <f t="shared" si="1"/>
        <v>23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42523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3" t="s">
        <v>15</v>
      </c>
      <c r="B4" s="117"/>
      <c r="C4" s="18"/>
      <c r="D4" s="118"/>
      <c r="E4" s="119"/>
      <c r="F4" s="129"/>
      <c r="G4" s="128"/>
      <c r="H4" s="130"/>
      <c r="I4" s="128"/>
      <c r="J4" s="80"/>
      <c r="K4" s="26"/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17"/>
      <c r="C5" s="18"/>
      <c r="D5" s="118"/>
      <c r="E5" s="119"/>
      <c r="F5" s="131"/>
      <c r="G5" s="128"/>
      <c r="H5" s="129"/>
      <c r="I5" s="128"/>
      <c r="J5" s="86"/>
      <c r="K5" s="87"/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17"/>
      <c r="C6" s="18"/>
      <c r="D6" s="118"/>
      <c r="E6" s="119"/>
      <c r="F6" s="129"/>
      <c r="G6" s="128"/>
      <c r="H6" s="131"/>
      <c r="I6" s="128"/>
      <c r="J6" s="95"/>
      <c r="K6" s="96"/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17"/>
      <c r="C7" s="18"/>
      <c r="D7" s="118"/>
      <c r="E7" s="119"/>
      <c r="F7" s="128"/>
      <c r="G7" s="129"/>
      <c r="H7" s="131"/>
      <c r="I7" s="128"/>
      <c r="J7" s="95"/>
      <c r="K7" s="96"/>
      <c r="L7" s="50"/>
      <c r="M7" s="88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3" t="s">
        <v>29</v>
      </c>
      <c r="B8" s="134"/>
      <c r="C8" s="135"/>
      <c r="D8" s="136"/>
      <c r="E8" s="137"/>
      <c r="F8" s="133"/>
      <c r="G8" s="133"/>
      <c r="H8" s="133"/>
      <c r="I8" s="133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54"/>
      <c r="C9" s="55"/>
      <c r="D9" s="56"/>
      <c r="E9" s="57"/>
      <c r="F9" s="92"/>
      <c r="G9" s="92"/>
      <c r="H9" s="100"/>
      <c r="I9" s="94"/>
      <c r="J9" s="95"/>
      <c r="K9" s="96"/>
      <c r="L9" s="50"/>
      <c r="M9" s="10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3" t="s">
        <v>35</v>
      </c>
      <c r="B10" s="54"/>
      <c r="C10" s="55"/>
      <c r="D10" s="56"/>
      <c r="E10" s="57"/>
      <c r="F10" s="102"/>
      <c r="G10" s="102"/>
      <c r="H10" s="103"/>
      <c r="I10" s="94"/>
      <c r="J10" s="95"/>
      <c r="K10" s="96" t="s">
        <v>46</v>
      </c>
      <c r="L10" s="50"/>
      <c r="M10" s="101" t="s">
        <v>39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 t="s">
        <v>46</v>
      </c>
      <c r="L11" s="50"/>
      <c r="M11" s="101" t="s">
        <v>39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 t="s">
        <v>46</v>
      </c>
      <c r="L12" s="50"/>
      <c r="M12" s="101" t="s">
        <v>39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 t="s">
        <v>46</v>
      </c>
      <c r="L13" s="50"/>
      <c r="M13" s="101" t="s">
        <v>39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3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 t="s">
        <v>46</v>
      </c>
      <c r="L14" s="50"/>
      <c r="M14" s="101" t="s">
        <v>62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 t="s">
        <v>46</v>
      </c>
      <c r="L15" s="50"/>
      <c r="M15" s="101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 t="s">
        <v>46</v>
      </c>
      <c r="L16" s="50"/>
      <c r="M16" s="101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 t="s">
        <v>46</v>
      </c>
      <c r="L17" s="50"/>
      <c r="M17" s="101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 t="s">
        <v>46</v>
      </c>
      <c r="L18" s="50"/>
      <c r="M18" s="101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 t="s">
        <v>46</v>
      </c>
      <c r="L19" s="50"/>
      <c r="M19" s="101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0</v>
      </c>
      <c r="G21" s="69">
        <f t="shared" si="1"/>
        <v>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17">
        <v>46088.0</v>
      </c>
      <c r="C4" s="18" t="s">
        <v>92</v>
      </c>
      <c r="D4" s="118">
        <v>52669.0</v>
      </c>
      <c r="E4" s="119" t="s">
        <v>84</v>
      </c>
      <c r="F4" s="129">
        <v>4650.0</v>
      </c>
      <c r="G4" s="128"/>
      <c r="H4" s="131"/>
      <c r="I4" s="128"/>
      <c r="J4" s="80"/>
      <c r="K4" s="116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17">
        <v>46088.0</v>
      </c>
      <c r="C5" s="18" t="s">
        <v>93</v>
      </c>
      <c r="D5" s="118">
        <v>10250.0</v>
      </c>
      <c r="E5" s="119" t="s">
        <v>60</v>
      </c>
      <c r="F5" s="130">
        <v>14500.0</v>
      </c>
      <c r="G5" s="128"/>
      <c r="H5" s="128"/>
      <c r="I5" s="128"/>
      <c r="J5" s="86"/>
      <c r="K5" s="123" t="s">
        <v>61</v>
      </c>
      <c r="L5" s="81"/>
      <c r="M5" s="88" t="s">
        <v>62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17">
        <v>46088.0</v>
      </c>
      <c r="C6" s="18" t="s">
        <v>94</v>
      </c>
      <c r="D6" s="118">
        <v>87820.0</v>
      </c>
      <c r="E6" s="119" t="s">
        <v>95</v>
      </c>
      <c r="F6" s="128"/>
      <c r="G6" s="128"/>
      <c r="H6" s="130">
        <v>4740.0</v>
      </c>
      <c r="I6" s="128"/>
      <c r="J6" s="95"/>
      <c r="K6" s="125" t="s">
        <v>46</v>
      </c>
      <c r="L6" s="81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17">
        <v>46088.0</v>
      </c>
      <c r="C7" s="18" t="s">
        <v>96</v>
      </c>
      <c r="D7" s="118">
        <v>68284.0</v>
      </c>
      <c r="E7" s="119" t="s">
        <v>97</v>
      </c>
      <c r="F7" s="129">
        <v>4190.0</v>
      </c>
      <c r="G7" s="128"/>
      <c r="H7" s="131"/>
      <c r="I7" s="128"/>
      <c r="J7" s="95"/>
      <c r="K7" s="125" t="s">
        <v>46</v>
      </c>
      <c r="L7" s="50"/>
      <c r="M7" s="88" t="s">
        <v>39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3"/>
      <c r="B8" s="134"/>
      <c r="C8" s="135"/>
      <c r="D8" s="136"/>
      <c r="E8" s="137"/>
      <c r="F8" s="133"/>
      <c r="G8" s="133"/>
      <c r="H8" s="133"/>
      <c r="I8" s="133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54"/>
      <c r="C9" s="55"/>
      <c r="D9" s="56"/>
      <c r="E9" s="57"/>
      <c r="F9" s="92"/>
      <c r="G9" s="92"/>
      <c r="H9" s="100"/>
      <c r="I9" s="94"/>
      <c r="J9" s="95"/>
      <c r="K9" s="96"/>
      <c r="L9" s="50"/>
      <c r="M9" s="10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3" t="s">
        <v>35</v>
      </c>
      <c r="B10" s="54"/>
      <c r="C10" s="55"/>
      <c r="D10" s="56"/>
      <c r="E10" s="57"/>
      <c r="F10" s="102"/>
      <c r="G10" s="102"/>
      <c r="H10" s="103"/>
      <c r="I10" s="94"/>
      <c r="J10" s="95"/>
      <c r="K10" s="96" t="s">
        <v>46</v>
      </c>
      <c r="L10" s="50"/>
      <c r="M10" s="101" t="s">
        <v>39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 t="s">
        <v>46</v>
      </c>
      <c r="L11" s="50"/>
      <c r="M11" s="101" t="s">
        <v>39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 t="s">
        <v>46</v>
      </c>
      <c r="L12" s="50"/>
      <c r="M12" s="101" t="s">
        <v>39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 t="s">
        <v>46</v>
      </c>
      <c r="L13" s="50"/>
      <c r="M13" s="101" t="s">
        <v>39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3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 t="s">
        <v>46</v>
      </c>
      <c r="L14" s="50"/>
      <c r="M14" s="101" t="s">
        <v>62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 t="s">
        <v>46</v>
      </c>
      <c r="L15" s="50"/>
      <c r="M15" s="101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 t="s">
        <v>46</v>
      </c>
      <c r="L16" s="50"/>
      <c r="M16" s="101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 t="s">
        <v>46</v>
      </c>
      <c r="L17" s="50"/>
      <c r="M17" s="101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 t="s">
        <v>46</v>
      </c>
      <c r="L18" s="50"/>
      <c r="M18" s="101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 t="s">
        <v>46</v>
      </c>
      <c r="L19" s="50"/>
      <c r="M19" s="101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23340</v>
      </c>
      <c r="G21" s="69">
        <f t="shared" si="1"/>
        <v>0</v>
      </c>
      <c r="H21" s="69">
        <f t="shared" si="1"/>
        <v>4740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28080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46089.0</v>
      </c>
      <c r="C4" s="18" t="s">
        <v>99</v>
      </c>
      <c r="D4" s="118">
        <v>42046.0</v>
      </c>
      <c r="E4" s="119" t="s">
        <v>100</v>
      </c>
      <c r="F4" s="129"/>
      <c r="G4" s="128"/>
      <c r="H4" s="140"/>
      <c r="I4" s="128"/>
      <c r="J4" s="141">
        <v>23.0</v>
      </c>
      <c r="K4" s="116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>
        <v>46089.0</v>
      </c>
      <c r="C5" s="18" t="s">
        <v>101</v>
      </c>
      <c r="D5" s="118">
        <v>114797.0</v>
      </c>
      <c r="E5" s="119" t="s">
        <v>66</v>
      </c>
      <c r="F5" s="130"/>
      <c r="G5" s="128"/>
      <c r="H5" s="140">
        <v>5100.0</v>
      </c>
      <c r="I5" s="128"/>
      <c r="J5" s="86"/>
      <c r="K5" s="123" t="s">
        <v>46</v>
      </c>
      <c r="L5" s="81"/>
      <c r="M5" s="88" t="s">
        <v>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39">
        <v>46089.0</v>
      </c>
      <c r="C6" s="18" t="s">
        <v>102</v>
      </c>
      <c r="D6" s="118">
        <v>10271.0</v>
      </c>
      <c r="E6" s="119" t="s">
        <v>103</v>
      </c>
      <c r="F6" s="129"/>
      <c r="G6" s="128"/>
      <c r="H6" s="140"/>
      <c r="I6" s="128"/>
      <c r="J6" s="142">
        <v>107.0</v>
      </c>
      <c r="K6" s="123" t="s">
        <v>46</v>
      </c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6"/>
      <c r="B7" s="143"/>
      <c r="C7" s="18"/>
      <c r="D7" s="118"/>
      <c r="E7" s="119"/>
      <c r="F7" s="128"/>
      <c r="G7" s="129"/>
      <c r="H7" s="131"/>
      <c r="I7" s="128"/>
      <c r="J7" s="95"/>
      <c r="K7" s="96"/>
      <c r="L7" s="50"/>
      <c r="M7" s="9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38"/>
      <c r="B8" s="144"/>
      <c r="C8" s="109"/>
      <c r="D8" s="145"/>
      <c r="E8" s="111"/>
      <c r="F8" s="133"/>
      <c r="G8" s="133"/>
      <c r="H8" s="132"/>
      <c r="I8" s="133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73"/>
      <c r="B9" s="42"/>
      <c r="C9" s="43"/>
      <c r="D9" s="44"/>
      <c r="E9" s="98"/>
      <c r="F9" s="99"/>
      <c r="G9" s="92"/>
      <c r="H9" s="100"/>
      <c r="I9" s="94"/>
      <c r="J9" s="95"/>
      <c r="K9" s="96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42"/>
      <c r="C10" s="43"/>
      <c r="D10" s="44"/>
      <c r="E10" s="98"/>
      <c r="F10" s="146"/>
      <c r="G10" s="102"/>
      <c r="H10" s="103"/>
      <c r="I10" s="94"/>
      <c r="J10" s="95"/>
      <c r="K10" s="96"/>
      <c r="L10" s="50"/>
      <c r="M10" s="10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38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38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3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/>
      <c r="L19" s="50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38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0</v>
      </c>
      <c r="G21" s="69">
        <f t="shared" si="1"/>
        <v>0</v>
      </c>
      <c r="H21" s="69">
        <f t="shared" si="1"/>
        <v>5100</v>
      </c>
      <c r="I21" s="69">
        <f t="shared" si="1"/>
        <v>0</v>
      </c>
      <c r="J21" s="69">
        <f t="shared" si="1"/>
        <v>130</v>
      </c>
      <c r="K21" s="70"/>
      <c r="L21" s="70"/>
      <c r="M21" s="71"/>
    </row>
    <row r="22" ht="48.0" customHeight="1">
      <c r="F22" s="72">
        <f>F21+G21+H21+I21+J21</f>
        <v>5230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46090.0</v>
      </c>
      <c r="C4" s="18" t="s">
        <v>105</v>
      </c>
      <c r="D4" s="118">
        <v>51017.0</v>
      </c>
      <c r="E4" s="119" t="s">
        <v>64</v>
      </c>
      <c r="F4" s="147">
        <v>5000.0</v>
      </c>
      <c r="G4" s="128"/>
      <c r="H4" s="130"/>
      <c r="I4" s="128"/>
      <c r="J4" s="80"/>
      <c r="K4" s="116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/>
      <c r="C5" s="18"/>
      <c r="D5" s="118"/>
      <c r="E5" s="119"/>
      <c r="F5" s="130"/>
      <c r="G5" s="128"/>
      <c r="H5" s="129"/>
      <c r="I5" s="128"/>
      <c r="J5" s="86"/>
      <c r="K5" s="87"/>
      <c r="L5" s="81"/>
      <c r="M5" s="88" t="s">
        <v>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39"/>
      <c r="C6" s="18"/>
      <c r="D6" s="118"/>
      <c r="E6" s="119"/>
      <c r="F6" s="129"/>
      <c r="G6" s="128"/>
      <c r="H6" s="130"/>
      <c r="I6" s="128"/>
      <c r="J6" s="95"/>
      <c r="K6" s="87"/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43"/>
      <c r="C7" s="18"/>
      <c r="D7" s="118"/>
      <c r="E7" s="119"/>
      <c r="F7" s="128"/>
      <c r="G7" s="129"/>
      <c r="H7" s="131"/>
      <c r="I7" s="128"/>
      <c r="J7" s="95"/>
      <c r="K7" s="96"/>
      <c r="L7" s="50"/>
      <c r="M7" s="9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38" t="s">
        <v>29</v>
      </c>
      <c r="B8" s="144"/>
      <c r="C8" s="109"/>
      <c r="D8" s="145"/>
      <c r="E8" s="111"/>
      <c r="F8" s="133"/>
      <c r="G8" s="133"/>
      <c r="H8" s="132"/>
      <c r="I8" s="133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3" t="s">
        <v>32</v>
      </c>
      <c r="B9" s="42"/>
      <c r="C9" s="43"/>
      <c r="D9" s="44"/>
      <c r="E9" s="98"/>
      <c r="F9" s="99"/>
      <c r="G9" s="92"/>
      <c r="H9" s="100"/>
      <c r="I9" s="94"/>
      <c r="J9" s="95"/>
      <c r="K9" s="96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42"/>
      <c r="C10" s="43"/>
      <c r="D10" s="44"/>
      <c r="E10" s="98"/>
      <c r="F10" s="146"/>
      <c r="G10" s="102"/>
      <c r="H10" s="103"/>
      <c r="I10" s="94"/>
      <c r="J10" s="95"/>
      <c r="K10" s="96"/>
      <c r="L10" s="50"/>
      <c r="M10" s="10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38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38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3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/>
      <c r="L19" s="50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38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5000</v>
      </c>
      <c r="G21" s="69">
        <f t="shared" si="1"/>
        <v>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5000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46091.0</v>
      </c>
      <c r="C4" s="18" t="s">
        <v>107</v>
      </c>
      <c r="D4" s="118">
        <v>21828.0</v>
      </c>
      <c r="E4" s="119" t="s">
        <v>58</v>
      </c>
      <c r="F4" s="147"/>
      <c r="G4" s="129">
        <v>5000.0</v>
      </c>
      <c r="H4" s="130"/>
      <c r="I4" s="128"/>
      <c r="J4" s="80"/>
      <c r="K4" s="116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/>
      <c r="C5" s="18"/>
      <c r="D5" s="118"/>
      <c r="E5" s="119"/>
      <c r="F5" s="130"/>
      <c r="G5" s="128"/>
      <c r="H5" s="129"/>
      <c r="I5" s="128"/>
      <c r="J5" s="86"/>
      <c r="K5" s="87"/>
      <c r="L5" s="81"/>
      <c r="M5" s="88" t="s">
        <v>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39"/>
      <c r="C6" s="18"/>
      <c r="D6" s="118"/>
      <c r="E6" s="119"/>
      <c r="F6" s="129"/>
      <c r="G6" s="128"/>
      <c r="H6" s="130"/>
      <c r="I6" s="128"/>
      <c r="J6" s="95"/>
      <c r="K6" s="87"/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43"/>
      <c r="C7" s="18"/>
      <c r="D7" s="118"/>
      <c r="E7" s="119"/>
      <c r="F7" s="128"/>
      <c r="G7" s="129"/>
      <c r="H7" s="131"/>
      <c r="I7" s="128"/>
      <c r="J7" s="95"/>
      <c r="K7" s="96"/>
      <c r="L7" s="50"/>
      <c r="M7" s="9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38" t="s">
        <v>29</v>
      </c>
      <c r="B8" s="144"/>
      <c r="C8" s="109"/>
      <c r="D8" s="145"/>
      <c r="E8" s="111"/>
      <c r="F8" s="133"/>
      <c r="G8" s="133"/>
      <c r="H8" s="132"/>
      <c r="I8" s="133"/>
      <c r="J8" s="95"/>
      <c r="K8" s="96"/>
      <c r="L8" s="50"/>
      <c r="M8" s="10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3" t="s">
        <v>32</v>
      </c>
      <c r="B9" s="42"/>
      <c r="C9" s="43"/>
      <c r="D9" s="44"/>
      <c r="E9" s="98"/>
      <c r="F9" s="99"/>
      <c r="G9" s="92"/>
      <c r="H9" s="100"/>
      <c r="I9" s="94"/>
      <c r="J9" s="95"/>
      <c r="K9" s="96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42"/>
      <c r="C10" s="43"/>
      <c r="D10" s="44"/>
      <c r="E10" s="98"/>
      <c r="F10" s="146"/>
      <c r="G10" s="102"/>
      <c r="H10" s="103"/>
      <c r="I10" s="94"/>
      <c r="J10" s="95"/>
      <c r="K10" s="96"/>
      <c r="L10" s="50"/>
      <c r="M10" s="10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38" t="s">
        <v>49</v>
      </c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38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3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/>
      <c r="L19" s="50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38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0</v>
      </c>
      <c r="G21" s="69">
        <f t="shared" si="1"/>
        <v>5000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5000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46091.0</v>
      </c>
      <c r="C4" s="18" t="s">
        <v>109</v>
      </c>
      <c r="D4" s="118">
        <v>35245.0</v>
      </c>
      <c r="E4" s="119" t="s">
        <v>110</v>
      </c>
      <c r="F4" s="148">
        <v>8400.0</v>
      </c>
      <c r="G4" s="129"/>
      <c r="H4" s="130"/>
      <c r="I4" s="128"/>
      <c r="J4" s="80"/>
      <c r="K4" s="116" t="s">
        <v>46</v>
      </c>
      <c r="L4" s="81"/>
      <c r="M4" s="82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>
        <v>46091.0</v>
      </c>
      <c r="C5" s="18" t="s">
        <v>111</v>
      </c>
      <c r="D5" s="118">
        <v>115348.0</v>
      </c>
      <c r="E5" s="119" t="s">
        <v>112</v>
      </c>
      <c r="F5" s="130"/>
      <c r="G5" s="128"/>
      <c r="H5" s="129">
        <v>300.0</v>
      </c>
      <c r="I5" s="128"/>
      <c r="J5" s="86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39">
        <v>46092.0</v>
      </c>
      <c r="C6" s="18" t="s">
        <v>113</v>
      </c>
      <c r="D6" s="118">
        <v>25542.0</v>
      </c>
      <c r="E6" s="119" t="s">
        <v>114</v>
      </c>
      <c r="F6" s="129">
        <v>4500.0</v>
      </c>
      <c r="G6" s="128"/>
      <c r="H6" s="130"/>
      <c r="I6" s="128"/>
      <c r="J6" s="95"/>
      <c r="K6" s="123" t="s">
        <v>46</v>
      </c>
      <c r="L6" s="81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39">
        <v>46092.0</v>
      </c>
      <c r="C7" s="18" t="s">
        <v>115</v>
      </c>
      <c r="D7" s="118">
        <v>25542.0</v>
      </c>
      <c r="E7" s="119" t="s">
        <v>114</v>
      </c>
      <c r="F7" s="129">
        <v>4860.0</v>
      </c>
      <c r="G7" s="129"/>
      <c r="H7" s="131"/>
      <c r="I7" s="128"/>
      <c r="J7" s="95"/>
      <c r="K7" s="125" t="s">
        <v>46</v>
      </c>
      <c r="L7" s="50"/>
      <c r="M7" s="88" t="s">
        <v>39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38" t="s">
        <v>29</v>
      </c>
      <c r="B8" s="149">
        <v>46092.0</v>
      </c>
      <c r="C8" s="109" t="s">
        <v>116</v>
      </c>
      <c r="D8" s="150">
        <v>10250.0</v>
      </c>
      <c r="E8" s="111" t="s">
        <v>60</v>
      </c>
      <c r="F8" s="132">
        <v>15000.0</v>
      </c>
      <c r="G8" s="133"/>
      <c r="H8" s="132"/>
      <c r="I8" s="133"/>
      <c r="J8" s="95"/>
      <c r="K8" s="125" t="s">
        <v>61</v>
      </c>
      <c r="L8" s="50"/>
      <c r="M8" s="127" t="s">
        <v>117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3" t="s">
        <v>32</v>
      </c>
      <c r="B9" s="89">
        <v>46092.0</v>
      </c>
      <c r="C9" s="43" t="s">
        <v>118</v>
      </c>
      <c r="D9" s="44">
        <v>115390.0</v>
      </c>
      <c r="E9" s="98" t="s">
        <v>119</v>
      </c>
      <c r="F9" s="99"/>
      <c r="G9" s="92"/>
      <c r="H9" s="151">
        <v>350.0</v>
      </c>
      <c r="I9" s="94"/>
      <c r="J9" s="95"/>
      <c r="K9" s="125" t="s">
        <v>46</v>
      </c>
      <c r="L9" s="50"/>
      <c r="M9" s="127" t="s">
        <v>39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42"/>
      <c r="C10" s="43"/>
      <c r="D10" s="44"/>
      <c r="E10" s="98"/>
      <c r="F10" s="146"/>
      <c r="G10" s="102"/>
      <c r="H10" s="103"/>
      <c r="I10" s="94"/>
      <c r="J10" s="95"/>
      <c r="K10" s="96"/>
      <c r="L10" s="50"/>
      <c r="M10" s="10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38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38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3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/>
      <c r="L19" s="50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38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32760</v>
      </c>
      <c r="G21" s="69">
        <f t="shared" si="1"/>
        <v>0</v>
      </c>
      <c r="H21" s="69">
        <f t="shared" si="1"/>
        <v>650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33410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46093.0</v>
      </c>
      <c r="C4" s="18" t="s">
        <v>121</v>
      </c>
      <c r="D4" s="118">
        <v>47787.0</v>
      </c>
      <c r="E4" s="119" t="s">
        <v>77</v>
      </c>
      <c r="F4" s="148">
        <v>10000.0</v>
      </c>
      <c r="G4" s="129"/>
      <c r="H4" s="130"/>
      <c r="I4" s="128"/>
      <c r="J4" s="80"/>
      <c r="K4" s="116" t="s">
        <v>61</v>
      </c>
      <c r="L4" s="81"/>
      <c r="M4" s="82" t="s">
        <v>117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>
        <v>46093.0</v>
      </c>
      <c r="C5" s="18" t="s">
        <v>122</v>
      </c>
      <c r="D5" s="118">
        <v>115452.0</v>
      </c>
      <c r="E5" s="119" t="s">
        <v>123</v>
      </c>
      <c r="F5" s="130"/>
      <c r="G5" s="128"/>
      <c r="H5" s="129">
        <v>300.0</v>
      </c>
      <c r="I5" s="128"/>
      <c r="J5" s="86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3" t="s">
        <v>23</v>
      </c>
      <c r="B6" s="139">
        <v>46093.0</v>
      </c>
      <c r="C6" s="18" t="s">
        <v>124</v>
      </c>
      <c r="D6" s="118">
        <v>60220.0</v>
      </c>
      <c r="E6" s="119" t="s">
        <v>125</v>
      </c>
      <c r="F6" s="129">
        <v>5100.0</v>
      </c>
      <c r="G6" s="128"/>
      <c r="H6" s="130"/>
      <c r="I6" s="128"/>
      <c r="J6" s="95"/>
      <c r="K6" s="123" t="s">
        <v>46</v>
      </c>
      <c r="L6" s="81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39">
        <v>46093.0</v>
      </c>
      <c r="C7" s="18" t="s">
        <v>126</v>
      </c>
      <c r="D7" s="118">
        <v>50595.0</v>
      </c>
      <c r="E7" s="119" t="s">
        <v>88</v>
      </c>
      <c r="F7" s="129">
        <v>5000.0</v>
      </c>
      <c r="G7" s="129"/>
      <c r="H7" s="131"/>
      <c r="I7" s="128"/>
      <c r="J7" s="95"/>
      <c r="K7" s="125" t="s">
        <v>46</v>
      </c>
      <c r="L7" s="50"/>
      <c r="M7" s="88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38" t="s">
        <v>29</v>
      </c>
      <c r="B8" s="149">
        <v>46093.0</v>
      </c>
      <c r="C8" s="109" t="s">
        <v>127</v>
      </c>
      <c r="D8" s="150">
        <v>42052.0</v>
      </c>
      <c r="E8" s="111" t="s">
        <v>128</v>
      </c>
      <c r="F8" s="132"/>
      <c r="G8" s="133"/>
      <c r="H8" s="132">
        <v>35.0</v>
      </c>
      <c r="I8" s="133"/>
      <c r="J8" s="95"/>
      <c r="K8" s="125" t="s">
        <v>46</v>
      </c>
      <c r="L8" s="50"/>
      <c r="M8" s="127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3" t="s">
        <v>32</v>
      </c>
      <c r="B9" s="89">
        <v>46093.0</v>
      </c>
      <c r="C9" s="43" t="s">
        <v>129</v>
      </c>
      <c r="D9" s="44">
        <v>69346.0</v>
      </c>
      <c r="E9" s="98" t="s">
        <v>130</v>
      </c>
      <c r="F9" s="99"/>
      <c r="G9" s="92"/>
      <c r="H9" s="151">
        <v>35.0</v>
      </c>
      <c r="I9" s="94"/>
      <c r="J9" s="95"/>
      <c r="K9" s="125" t="s">
        <v>46</v>
      </c>
      <c r="L9" s="50"/>
      <c r="M9" s="127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52" t="s">
        <v>35</v>
      </c>
      <c r="B10" s="89">
        <v>46093.0</v>
      </c>
      <c r="C10" s="43" t="s">
        <v>131</v>
      </c>
      <c r="D10" s="44">
        <v>70076.0</v>
      </c>
      <c r="E10" s="98" t="s">
        <v>132</v>
      </c>
      <c r="F10" s="146"/>
      <c r="G10" s="102"/>
      <c r="H10" s="153">
        <v>70.0</v>
      </c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38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38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73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3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54"/>
      <c r="C19" s="55"/>
      <c r="D19" s="56"/>
      <c r="E19" s="57"/>
      <c r="F19" s="102"/>
      <c r="G19" s="102"/>
      <c r="H19" s="103"/>
      <c r="I19" s="94"/>
      <c r="J19" s="95"/>
      <c r="K19" s="96"/>
      <c r="L19" s="50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38"/>
      <c r="B20" s="54"/>
      <c r="C20" s="55"/>
      <c r="D20" s="56"/>
      <c r="E20" s="57"/>
      <c r="F20" s="104"/>
      <c r="G20" s="102"/>
      <c r="H20" s="105"/>
      <c r="I20" s="94"/>
      <c r="J20" s="106"/>
      <c r="K20" s="107"/>
      <c r="L20" s="61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69">
        <f t="shared" ref="F21:J21" si="1">SUM(F4:F20)</f>
        <v>20100</v>
      </c>
      <c r="G21" s="69">
        <f t="shared" si="1"/>
        <v>0</v>
      </c>
      <c r="H21" s="69">
        <f t="shared" si="1"/>
        <v>440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20540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54" t="s">
        <v>15</v>
      </c>
      <c r="B4" s="155">
        <v>46093.0</v>
      </c>
      <c r="C4" s="156" t="s">
        <v>134</v>
      </c>
      <c r="D4" s="157">
        <v>84821.0</v>
      </c>
      <c r="E4" s="158" t="s">
        <v>135</v>
      </c>
      <c r="F4" s="159"/>
      <c r="G4" s="113"/>
      <c r="H4" s="160"/>
      <c r="I4" s="121"/>
      <c r="J4" s="160">
        <v>69.0</v>
      </c>
      <c r="K4" s="161" t="s">
        <v>46</v>
      </c>
      <c r="L4" s="162"/>
      <c r="M4" s="163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4" t="s">
        <v>20</v>
      </c>
      <c r="B5" s="155">
        <v>46093.0</v>
      </c>
      <c r="C5" s="156" t="s">
        <v>136</v>
      </c>
      <c r="D5" s="157">
        <v>83693.0</v>
      </c>
      <c r="E5" s="158" t="s">
        <v>137</v>
      </c>
      <c r="F5" s="160"/>
      <c r="G5" s="121"/>
      <c r="H5" s="113"/>
      <c r="I5" s="121"/>
      <c r="J5" s="113">
        <v>23.0</v>
      </c>
      <c r="K5" s="161" t="s">
        <v>46</v>
      </c>
      <c r="L5" s="162"/>
      <c r="M5" s="16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4" t="s">
        <v>23</v>
      </c>
      <c r="B6" s="155">
        <v>46093.0</v>
      </c>
      <c r="C6" s="156" t="s">
        <v>138</v>
      </c>
      <c r="D6" s="157">
        <v>83940.0</v>
      </c>
      <c r="E6" s="158" t="s">
        <v>139</v>
      </c>
      <c r="F6" s="113"/>
      <c r="G6" s="121"/>
      <c r="H6" s="160"/>
      <c r="I6" s="121"/>
      <c r="J6" s="160">
        <v>23.0</v>
      </c>
      <c r="K6" s="161" t="s">
        <v>46</v>
      </c>
      <c r="L6" s="162"/>
      <c r="M6" s="16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39">
        <v>46094.0</v>
      </c>
      <c r="C7" s="18" t="s">
        <v>140</v>
      </c>
      <c r="D7" s="118">
        <v>87115.0</v>
      </c>
      <c r="E7" s="119" t="s">
        <v>141</v>
      </c>
      <c r="F7" s="129"/>
      <c r="G7" s="129"/>
      <c r="H7" s="130">
        <v>2600.0</v>
      </c>
      <c r="I7" s="128"/>
      <c r="J7" s="95"/>
      <c r="K7" s="125" t="s">
        <v>46</v>
      </c>
      <c r="L7" s="50"/>
      <c r="M7" s="88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38" t="s">
        <v>29</v>
      </c>
      <c r="B8" s="149">
        <v>46094.0</v>
      </c>
      <c r="C8" s="109" t="s">
        <v>142</v>
      </c>
      <c r="D8" s="150">
        <v>111873.0</v>
      </c>
      <c r="E8" s="111" t="s">
        <v>143</v>
      </c>
      <c r="F8" s="166">
        <v>2600.0</v>
      </c>
      <c r="G8" s="133"/>
      <c r="H8" s="132"/>
      <c r="I8" s="133"/>
      <c r="J8" s="95"/>
      <c r="K8" s="125" t="s">
        <v>46</v>
      </c>
      <c r="L8" s="50"/>
      <c r="M8" s="127" t="s">
        <v>39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73" t="s">
        <v>32</v>
      </c>
      <c r="B9" s="89">
        <v>46094.0</v>
      </c>
      <c r="C9" s="43" t="s">
        <v>144</v>
      </c>
      <c r="D9" s="44">
        <v>36555.0</v>
      </c>
      <c r="E9" s="98" t="s">
        <v>145</v>
      </c>
      <c r="F9" s="167">
        <v>12700.0</v>
      </c>
      <c r="G9" s="92"/>
      <c r="H9" s="151"/>
      <c r="I9" s="94"/>
      <c r="J9" s="95"/>
      <c r="K9" s="125" t="s">
        <v>46</v>
      </c>
      <c r="L9" s="50"/>
      <c r="M9" s="127" t="s">
        <v>39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52" t="s">
        <v>35</v>
      </c>
      <c r="B10" s="89">
        <v>46094.0</v>
      </c>
      <c r="C10" s="43" t="s">
        <v>146</v>
      </c>
      <c r="D10" s="44">
        <v>36555.0</v>
      </c>
      <c r="E10" s="98" t="s">
        <v>145</v>
      </c>
      <c r="F10" s="146"/>
      <c r="G10" s="102"/>
      <c r="H10" s="153"/>
      <c r="I10" s="94"/>
      <c r="J10" s="142">
        <v>35.0</v>
      </c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38" t="s">
        <v>50</v>
      </c>
      <c r="B11" s="168">
        <v>46094.0</v>
      </c>
      <c r="C11" s="55" t="s">
        <v>147</v>
      </c>
      <c r="D11" s="56">
        <v>52669.0</v>
      </c>
      <c r="E11" s="57" t="s">
        <v>84</v>
      </c>
      <c r="F11" s="169">
        <v>29500.0</v>
      </c>
      <c r="G11" s="23"/>
      <c r="H11" s="47"/>
      <c r="I11" s="94"/>
      <c r="J11" s="95"/>
      <c r="K11" s="125" t="s">
        <v>46</v>
      </c>
      <c r="L11" s="50"/>
      <c r="M11" s="127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3" t="s">
        <v>51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52" t="s">
        <v>52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53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38" t="s">
        <v>54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3" t="s">
        <v>55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52" t="s">
        <v>38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40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73" t="s">
        <v>41</v>
      </c>
      <c r="B19" s="54"/>
      <c r="C19" s="55"/>
      <c r="D19" s="56"/>
      <c r="E19" s="57"/>
      <c r="F19" s="104"/>
      <c r="G19" s="102"/>
      <c r="H19" s="105"/>
      <c r="I19" s="94"/>
      <c r="J19" s="106"/>
      <c r="K19" s="107"/>
      <c r="L19" s="61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52" t="s">
        <v>42</v>
      </c>
      <c r="B20" s="54"/>
      <c r="C20" s="55"/>
      <c r="D20" s="56"/>
      <c r="E20" s="57"/>
      <c r="F20" s="102"/>
      <c r="G20" s="102"/>
      <c r="H20" s="103"/>
      <c r="I20" s="94"/>
      <c r="J20" s="95"/>
      <c r="K20" s="96"/>
      <c r="L20" s="5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 t="shared" ref="F21:J21" si="1">SUM(F4:F20)</f>
        <v>44800</v>
      </c>
      <c r="G21" s="69">
        <f t="shared" si="1"/>
        <v>0</v>
      </c>
      <c r="H21" s="69">
        <f t="shared" si="1"/>
        <v>2600</v>
      </c>
      <c r="I21" s="69">
        <f t="shared" si="1"/>
        <v>0</v>
      </c>
      <c r="J21" s="69">
        <f t="shared" si="1"/>
        <v>150</v>
      </c>
      <c r="K21" s="70"/>
      <c r="L21" s="70"/>
      <c r="M21" s="71"/>
    </row>
    <row r="22" ht="48.0" customHeight="1">
      <c r="F22" s="72">
        <f>F21+G21+H21+I21+J21</f>
        <v>47550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46094.0</v>
      </c>
      <c r="C4" s="18" t="s">
        <v>149</v>
      </c>
      <c r="D4" s="118">
        <v>115561.0</v>
      </c>
      <c r="E4" s="119" t="s">
        <v>150</v>
      </c>
      <c r="F4" s="148"/>
      <c r="G4" s="129"/>
      <c r="H4" s="130">
        <v>300.0</v>
      </c>
      <c r="I4" s="128"/>
      <c r="J4" s="130"/>
      <c r="K4" s="123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>
        <v>46094.0</v>
      </c>
      <c r="C5" s="18" t="s">
        <v>151</v>
      </c>
      <c r="D5" s="118">
        <v>115573.0</v>
      </c>
      <c r="E5" s="119" t="s">
        <v>152</v>
      </c>
      <c r="F5" s="130"/>
      <c r="G5" s="128"/>
      <c r="H5" s="129">
        <v>300.0</v>
      </c>
      <c r="I5" s="128"/>
      <c r="J5" s="129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39">
        <v>46094.0</v>
      </c>
      <c r="C6" s="18" t="s">
        <v>153</v>
      </c>
      <c r="D6" s="118">
        <v>115577.0</v>
      </c>
      <c r="E6" s="119" t="s">
        <v>154</v>
      </c>
      <c r="F6" s="129"/>
      <c r="G6" s="128"/>
      <c r="H6" s="130">
        <v>300.0</v>
      </c>
      <c r="I6" s="128"/>
      <c r="J6" s="130"/>
      <c r="K6" s="123" t="s">
        <v>46</v>
      </c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39">
        <v>46094.0</v>
      </c>
      <c r="C7" s="18" t="s">
        <v>155</v>
      </c>
      <c r="D7" s="118">
        <v>115584.0</v>
      </c>
      <c r="E7" s="119" t="s">
        <v>156</v>
      </c>
      <c r="F7" s="129"/>
      <c r="G7" s="129"/>
      <c r="H7" s="130">
        <v>350.0</v>
      </c>
      <c r="I7" s="128"/>
      <c r="J7" s="95"/>
      <c r="K7" s="125" t="s">
        <v>46</v>
      </c>
      <c r="L7" s="50"/>
      <c r="M7" s="88" t="s">
        <v>39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49">
        <v>46095.0</v>
      </c>
      <c r="C8" s="109" t="s">
        <v>157</v>
      </c>
      <c r="D8" s="150">
        <v>62780.0</v>
      </c>
      <c r="E8" s="111" t="s">
        <v>158</v>
      </c>
      <c r="F8" s="166"/>
      <c r="G8" s="133"/>
      <c r="H8" s="132">
        <v>5100.0</v>
      </c>
      <c r="I8" s="133"/>
      <c r="J8" s="95"/>
      <c r="K8" s="125" t="s">
        <v>46</v>
      </c>
      <c r="L8" s="50"/>
      <c r="M8" s="127" t="s">
        <v>39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38" t="s">
        <v>32</v>
      </c>
      <c r="B9" s="89">
        <v>46095.0</v>
      </c>
      <c r="C9" s="43" t="s">
        <v>159</v>
      </c>
      <c r="D9" s="44">
        <v>115620.0</v>
      </c>
      <c r="E9" s="98" t="s">
        <v>160</v>
      </c>
      <c r="F9" s="167"/>
      <c r="G9" s="92"/>
      <c r="H9" s="151">
        <v>300.0</v>
      </c>
      <c r="I9" s="94"/>
      <c r="J9" s="95"/>
      <c r="K9" s="125" t="s">
        <v>46</v>
      </c>
      <c r="L9" s="50"/>
      <c r="M9" s="127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89">
        <v>46095.0</v>
      </c>
      <c r="C10" s="43" t="s">
        <v>161</v>
      </c>
      <c r="D10" s="44">
        <v>115626.0</v>
      </c>
      <c r="E10" s="98" t="s">
        <v>162</v>
      </c>
      <c r="F10" s="102"/>
      <c r="G10" s="102"/>
      <c r="H10" s="153">
        <v>300.0</v>
      </c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49</v>
      </c>
      <c r="B11" s="89">
        <v>46095.0</v>
      </c>
      <c r="C11" s="43" t="s">
        <v>163</v>
      </c>
      <c r="D11" s="44">
        <v>48031.0</v>
      </c>
      <c r="E11" s="98" t="s">
        <v>164</v>
      </c>
      <c r="F11" s="102"/>
      <c r="G11" s="102"/>
      <c r="H11" s="153">
        <v>600.0</v>
      </c>
      <c r="I11" s="94"/>
      <c r="J11" s="95"/>
      <c r="K11" s="125" t="s">
        <v>46</v>
      </c>
      <c r="L11" s="50"/>
      <c r="M11" s="127" t="s">
        <v>39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38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4"/>
      <c r="G17" s="102"/>
      <c r="H17" s="105"/>
      <c r="I17" s="94"/>
      <c r="J17" s="106"/>
      <c r="K17" s="107"/>
      <c r="L17" s="61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168"/>
      <c r="C19" s="55"/>
      <c r="D19" s="56"/>
      <c r="E19" s="57"/>
      <c r="F19" s="169"/>
      <c r="G19" s="23"/>
      <c r="H19" s="47"/>
      <c r="I19" s="94"/>
      <c r="J19" s="95"/>
      <c r="K19" s="125"/>
      <c r="L19" s="50"/>
      <c r="M19" s="127" t="s">
        <v>19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 t="s">
        <v>19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 t="shared" ref="F21:J21" si="1">SUM(F4:F20)</f>
        <v>0</v>
      </c>
      <c r="G21" s="69">
        <f t="shared" si="1"/>
        <v>0</v>
      </c>
      <c r="H21" s="69">
        <f t="shared" si="1"/>
        <v>7550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7550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46095.0</v>
      </c>
      <c r="C4" s="18" t="s">
        <v>166</v>
      </c>
      <c r="D4" s="118">
        <v>10249.0</v>
      </c>
      <c r="E4" s="119" t="s">
        <v>167</v>
      </c>
      <c r="F4" s="148"/>
      <c r="G4" s="129"/>
      <c r="H4" s="130">
        <v>2950.0</v>
      </c>
      <c r="I4" s="128"/>
      <c r="J4" s="130"/>
      <c r="K4" s="123" t="s">
        <v>46</v>
      </c>
      <c r="L4" s="81"/>
      <c r="M4" s="82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38" t="s">
        <v>20</v>
      </c>
      <c r="B5" s="139">
        <v>46095.0</v>
      </c>
      <c r="C5" s="18" t="s">
        <v>168</v>
      </c>
      <c r="D5" s="118">
        <v>115660.0</v>
      </c>
      <c r="E5" s="119" t="s">
        <v>169</v>
      </c>
      <c r="F5" s="130"/>
      <c r="G5" s="128"/>
      <c r="H5" s="129">
        <v>300.0</v>
      </c>
      <c r="I5" s="128"/>
      <c r="J5" s="129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39">
        <v>46096.0</v>
      </c>
      <c r="C6" s="18" t="s">
        <v>170</v>
      </c>
      <c r="D6" s="118">
        <v>21828.0</v>
      </c>
      <c r="E6" s="119" t="s">
        <v>58</v>
      </c>
      <c r="F6" s="129">
        <v>5100.0</v>
      </c>
      <c r="G6" s="128"/>
      <c r="H6" s="130"/>
      <c r="I6" s="128"/>
      <c r="J6" s="130"/>
      <c r="K6" s="123" t="s">
        <v>46</v>
      </c>
      <c r="L6" s="81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39">
        <v>46096.0</v>
      </c>
      <c r="C7" s="18" t="s">
        <v>171</v>
      </c>
      <c r="D7" s="118">
        <v>59244.0</v>
      </c>
      <c r="E7" s="119" t="s">
        <v>172</v>
      </c>
      <c r="F7" s="129"/>
      <c r="G7" s="129"/>
      <c r="H7" s="130"/>
      <c r="I7" s="128"/>
      <c r="J7" s="142">
        <v>69.0</v>
      </c>
      <c r="K7" s="125" t="s">
        <v>61</v>
      </c>
      <c r="L7" s="50"/>
      <c r="M7" s="88" t="s">
        <v>62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49">
        <v>46096.0</v>
      </c>
      <c r="C8" s="109" t="s">
        <v>173</v>
      </c>
      <c r="D8" s="150">
        <v>80885.0</v>
      </c>
      <c r="E8" s="111" t="s">
        <v>174</v>
      </c>
      <c r="F8" s="166"/>
      <c r="G8" s="133"/>
      <c r="H8" s="132"/>
      <c r="I8" s="133"/>
      <c r="J8" s="142">
        <v>46.0</v>
      </c>
      <c r="K8" s="125" t="s">
        <v>61</v>
      </c>
      <c r="L8" s="50"/>
      <c r="M8" s="127" t="s">
        <v>62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38" t="s">
        <v>32</v>
      </c>
      <c r="B9" s="89">
        <v>46096.0</v>
      </c>
      <c r="C9" s="43" t="s">
        <v>175</v>
      </c>
      <c r="D9" s="44">
        <v>80402.0</v>
      </c>
      <c r="E9" s="98" t="s">
        <v>176</v>
      </c>
      <c r="F9" s="167"/>
      <c r="G9" s="92"/>
      <c r="H9" s="151"/>
      <c r="I9" s="94"/>
      <c r="J9" s="142">
        <v>46.0</v>
      </c>
      <c r="K9" s="125" t="s">
        <v>61</v>
      </c>
      <c r="L9" s="50"/>
      <c r="M9" s="127" t="s">
        <v>62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35</v>
      </c>
      <c r="B10" s="89">
        <v>46096.0</v>
      </c>
      <c r="C10" s="43" t="s">
        <v>177</v>
      </c>
      <c r="D10" s="44">
        <v>112830.0</v>
      </c>
      <c r="E10" s="98" t="s">
        <v>178</v>
      </c>
      <c r="F10" s="102"/>
      <c r="G10" s="99">
        <v>5400.0</v>
      </c>
      <c r="H10" s="153"/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/>
      <c r="B11" s="89"/>
      <c r="C11" s="43"/>
      <c r="D11" s="44"/>
      <c r="E11" s="98"/>
      <c r="F11" s="102"/>
      <c r="G11" s="102"/>
      <c r="H11" s="153"/>
      <c r="I11" s="94"/>
      <c r="J11" s="95"/>
      <c r="K11" s="125"/>
      <c r="L11" s="50"/>
      <c r="M11" s="12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38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4"/>
      <c r="G17" s="102"/>
      <c r="H17" s="105"/>
      <c r="I17" s="94"/>
      <c r="J17" s="106"/>
      <c r="K17" s="107"/>
      <c r="L17" s="61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168"/>
      <c r="C19" s="55"/>
      <c r="D19" s="56"/>
      <c r="E19" s="57"/>
      <c r="F19" s="169"/>
      <c r="G19" s="23"/>
      <c r="H19" s="47"/>
      <c r="I19" s="94"/>
      <c r="J19" s="95"/>
      <c r="K19" s="125"/>
      <c r="L19" s="50"/>
      <c r="M19" s="127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 t="shared" ref="F21:J21" si="1">SUM(F4:F20)</f>
        <v>5100</v>
      </c>
      <c r="G21" s="69">
        <f t="shared" si="1"/>
        <v>5400</v>
      </c>
      <c r="H21" s="69">
        <f t="shared" si="1"/>
        <v>3250</v>
      </c>
      <c r="I21" s="69">
        <f t="shared" si="1"/>
        <v>0</v>
      </c>
      <c r="J21" s="69">
        <f t="shared" si="1"/>
        <v>161</v>
      </c>
      <c r="K21" s="70"/>
      <c r="L21" s="70"/>
      <c r="M21" s="71"/>
    </row>
    <row r="22" ht="48.0" customHeight="1">
      <c r="F22" s="72">
        <f>F21+G21+H21+I21+J21</f>
        <v>13911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9">
        <v>46097.0</v>
      </c>
      <c r="C4" s="18" t="s">
        <v>180</v>
      </c>
      <c r="D4" s="118">
        <v>98911.0</v>
      </c>
      <c r="E4" s="119" t="s">
        <v>181</v>
      </c>
      <c r="F4" s="148"/>
      <c r="G4" s="129"/>
      <c r="H4" s="130">
        <v>1300.0</v>
      </c>
      <c r="I4" s="128"/>
      <c r="J4" s="130"/>
      <c r="K4" s="123" t="s">
        <v>46</v>
      </c>
      <c r="L4" s="81"/>
      <c r="M4" s="82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hidden="1" customHeight="1">
      <c r="A5" s="138"/>
      <c r="B5" s="139"/>
      <c r="C5" s="18"/>
      <c r="D5" s="118"/>
      <c r="E5" s="119"/>
      <c r="F5" s="130"/>
      <c r="G5" s="128"/>
      <c r="H5" s="129"/>
      <c r="I5" s="128"/>
      <c r="J5" s="129"/>
      <c r="K5" s="123"/>
      <c r="L5" s="81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hidden="1" customHeight="1">
      <c r="A6" s="16"/>
      <c r="B6" s="139"/>
      <c r="C6" s="18"/>
      <c r="D6" s="118"/>
      <c r="E6" s="119"/>
      <c r="F6" s="129"/>
      <c r="G6" s="128"/>
      <c r="H6" s="130"/>
      <c r="I6" s="128"/>
      <c r="J6" s="130"/>
      <c r="K6" s="123"/>
      <c r="L6" s="81"/>
      <c r="M6" s="8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6"/>
      <c r="B7" s="139"/>
      <c r="C7" s="18"/>
      <c r="D7" s="118"/>
      <c r="E7" s="119"/>
      <c r="F7" s="129"/>
      <c r="G7" s="129"/>
      <c r="H7" s="130"/>
      <c r="I7" s="128"/>
      <c r="J7" s="142"/>
      <c r="K7" s="125"/>
      <c r="L7" s="50"/>
      <c r="M7" s="88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6"/>
      <c r="B8" s="149"/>
      <c r="C8" s="109"/>
      <c r="D8" s="150"/>
      <c r="E8" s="111"/>
      <c r="F8" s="166"/>
      <c r="G8" s="133"/>
      <c r="H8" s="132"/>
      <c r="I8" s="133"/>
      <c r="J8" s="142"/>
      <c r="K8" s="125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38"/>
      <c r="B9" s="89"/>
      <c r="C9" s="43"/>
      <c r="D9" s="44"/>
      <c r="E9" s="98"/>
      <c r="F9" s="167"/>
      <c r="G9" s="92"/>
      <c r="H9" s="151"/>
      <c r="I9" s="94"/>
      <c r="J9" s="142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99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/>
      <c r="B11" s="89"/>
      <c r="C11" s="43"/>
      <c r="D11" s="44"/>
      <c r="E11" s="98"/>
      <c r="F11" s="102"/>
      <c r="G11" s="102"/>
      <c r="H11" s="153"/>
      <c r="I11" s="94"/>
      <c r="J11" s="95"/>
      <c r="K11" s="125"/>
      <c r="L11" s="50"/>
      <c r="M11" s="12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50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38" t="s">
        <v>51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52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53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6" t="s">
        <v>54</v>
      </c>
      <c r="B16" s="54"/>
      <c r="C16" s="55"/>
      <c r="D16" s="56"/>
      <c r="E16" s="57"/>
      <c r="F16" s="102"/>
      <c r="G16" s="102"/>
      <c r="H16" s="103"/>
      <c r="I16" s="94"/>
      <c r="J16" s="95"/>
      <c r="K16" s="96"/>
      <c r="L16" s="50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38" t="s">
        <v>55</v>
      </c>
      <c r="B17" s="54"/>
      <c r="C17" s="55"/>
      <c r="D17" s="56"/>
      <c r="E17" s="57"/>
      <c r="F17" s="104"/>
      <c r="G17" s="102"/>
      <c r="H17" s="105"/>
      <c r="I17" s="94"/>
      <c r="J17" s="106"/>
      <c r="K17" s="107"/>
      <c r="L17" s="61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38</v>
      </c>
      <c r="B18" s="54"/>
      <c r="C18" s="55"/>
      <c r="D18" s="56"/>
      <c r="E18" s="57"/>
      <c r="F18" s="102"/>
      <c r="G18" s="102"/>
      <c r="H18" s="103"/>
      <c r="I18" s="94"/>
      <c r="J18" s="95"/>
      <c r="K18" s="96"/>
      <c r="L18" s="50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40</v>
      </c>
      <c r="B19" s="168"/>
      <c r="C19" s="55"/>
      <c r="D19" s="56"/>
      <c r="E19" s="57"/>
      <c r="F19" s="169"/>
      <c r="G19" s="23"/>
      <c r="H19" s="47"/>
      <c r="I19" s="94"/>
      <c r="J19" s="95"/>
      <c r="K19" s="125"/>
      <c r="L19" s="50"/>
      <c r="M19" s="127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 t="shared" ref="F21:J21" si="1">SUM(F4:F20)</f>
        <v>0</v>
      </c>
      <c r="G21" s="69">
        <f t="shared" si="1"/>
        <v>0</v>
      </c>
      <c r="H21" s="69">
        <f t="shared" si="1"/>
        <v>1300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1300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46097.0</v>
      </c>
      <c r="C4" s="18" t="s">
        <v>183</v>
      </c>
      <c r="D4" s="118">
        <v>89807.0</v>
      </c>
      <c r="E4" s="119" t="s">
        <v>184</v>
      </c>
      <c r="F4" s="130"/>
      <c r="G4" s="128"/>
      <c r="H4" s="129">
        <v>10000.0</v>
      </c>
      <c r="I4" s="128"/>
      <c r="J4" s="129"/>
      <c r="K4" s="123" t="s">
        <v>46</v>
      </c>
      <c r="L4" s="81"/>
      <c r="M4" s="88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>
        <v>46098.0</v>
      </c>
      <c r="C5" s="18" t="s">
        <v>185</v>
      </c>
      <c r="D5" s="118">
        <v>10250.0</v>
      </c>
      <c r="E5" s="119" t="s">
        <v>60</v>
      </c>
      <c r="F5" s="129">
        <v>20500.0</v>
      </c>
      <c r="G5" s="128"/>
      <c r="H5" s="130"/>
      <c r="I5" s="128"/>
      <c r="J5" s="130"/>
      <c r="K5" s="123" t="s">
        <v>186</v>
      </c>
      <c r="L5" s="81"/>
      <c r="M5" s="88" t="s">
        <v>62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>
        <v>46098.0</v>
      </c>
      <c r="C6" s="18" t="s">
        <v>187</v>
      </c>
      <c r="D6" s="118">
        <v>51017.0</v>
      </c>
      <c r="E6" s="119" t="s">
        <v>64</v>
      </c>
      <c r="F6" s="129">
        <v>12000.0</v>
      </c>
      <c r="G6" s="129"/>
      <c r="H6" s="130"/>
      <c r="I6" s="128"/>
      <c r="J6" s="142"/>
      <c r="K6" s="125" t="s">
        <v>46</v>
      </c>
      <c r="L6" s="50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/>
      <c r="B7" s="149"/>
      <c r="C7" s="109"/>
      <c r="D7" s="150"/>
      <c r="E7" s="111"/>
      <c r="F7" s="166"/>
      <c r="G7" s="133"/>
      <c r="H7" s="132"/>
      <c r="I7" s="133"/>
      <c r="J7" s="142"/>
      <c r="K7" s="125"/>
      <c r="L7" s="50"/>
      <c r="M7" s="12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38"/>
      <c r="B8" s="89"/>
      <c r="C8" s="43"/>
      <c r="D8" s="44"/>
      <c r="E8" s="98"/>
      <c r="F8" s="167"/>
      <c r="G8" s="92"/>
      <c r="H8" s="151"/>
      <c r="I8" s="94"/>
      <c r="J8" s="142"/>
      <c r="K8" s="125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50</v>
      </c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38" t="s">
        <v>51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52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53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54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38" t="s">
        <v>55</v>
      </c>
      <c r="B16" s="54"/>
      <c r="C16" s="55"/>
      <c r="D16" s="56"/>
      <c r="E16" s="57"/>
      <c r="F16" s="104"/>
      <c r="G16" s="102"/>
      <c r="H16" s="105"/>
      <c r="I16" s="94"/>
      <c r="J16" s="106"/>
      <c r="K16" s="107"/>
      <c r="L16" s="61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6" t="s">
        <v>38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40</v>
      </c>
      <c r="B18" s="168"/>
      <c r="C18" s="55"/>
      <c r="D18" s="56"/>
      <c r="E18" s="57"/>
      <c r="F18" s="169"/>
      <c r="G18" s="23"/>
      <c r="H18" s="47"/>
      <c r="I18" s="94"/>
      <c r="J18" s="95"/>
      <c r="K18" s="125"/>
      <c r="L18" s="50"/>
      <c r="M18" s="12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15</v>
      </c>
      <c r="B19" s="139"/>
      <c r="C19" s="18"/>
      <c r="D19" s="118"/>
      <c r="E19" s="119"/>
      <c r="F19" s="148"/>
      <c r="G19" s="129"/>
      <c r="H19" s="130"/>
      <c r="I19" s="128"/>
      <c r="J19" s="130"/>
      <c r="K19" s="123" t="s">
        <v>46</v>
      </c>
      <c r="L19" s="81"/>
      <c r="M19" s="82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>F5+F6+F7+F20</f>
        <v>32500</v>
      </c>
      <c r="G21" s="69">
        <f t="shared" ref="G21:J21" si="1">SUM(G19:G20)</f>
        <v>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32500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46099.0</v>
      </c>
      <c r="C4" s="18" t="s">
        <v>189</v>
      </c>
      <c r="D4" s="118">
        <v>83352.0</v>
      </c>
      <c r="E4" s="119" t="s">
        <v>45</v>
      </c>
      <c r="F4" s="130">
        <v>25000.0</v>
      </c>
      <c r="G4" s="128"/>
      <c r="H4" s="129"/>
      <c r="I4" s="128"/>
      <c r="J4" s="129"/>
      <c r="K4" s="123" t="s">
        <v>46</v>
      </c>
      <c r="L4" s="81"/>
      <c r="M4" s="88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>
        <v>46099.0</v>
      </c>
      <c r="C5" s="18" t="s">
        <v>190</v>
      </c>
      <c r="D5" s="118">
        <v>69346.0</v>
      </c>
      <c r="E5" s="119" t="s">
        <v>130</v>
      </c>
      <c r="F5" s="129">
        <v>30600.0</v>
      </c>
      <c r="G5" s="128"/>
      <c r="H5" s="130"/>
      <c r="I5" s="128"/>
      <c r="J5" s="130"/>
      <c r="K5" s="123" t="s">
        <v>46</v>
      </c>
      <c r="L5" s="81"/>
      <c r="M5" s="88" t="s">
        <v>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/>
      <c r="C6" s="18"/>
      <c r="D6" s="118"/>
      <c r="E6" s="119"/>
      <c r="F6" s="129"/>
      <c r="G6" s="129"/>
      <c r="H6" s="130"/>
      <c r="I6" s="128"/>
      <c r="J6" s="142"/>
      <c r="K6" s="125" t="s">
        <v>46</v>
      </c>
      <c r="L6" s="50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/>
      <c r="B7" s="149"/>
      <c r="C7" s="109"/>
      <c r="D7" s="150"/>
      <c r="E7" s="111"/>
      <c r="F7" s="166"/>
      <c r="G7" s="133"/>
      <c r="H7" s="132"/>
      <c r="I7" s="133"/>
      <c r="J7" s="142"/>
      <c r="K7" s="125"/>
      <c r="L7" s="50"/>
      <c r="M7" s="12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38"/>
      <c r="B8" s="89"/>
      <c r="C8" s="43"/>
      <c r="D8" s="44"/>
      <c r="E8" s="98"/>
      <c r="F8" s="167"/>
      <c r="G8" s="92"/>
      <c r="H8" s="151"/>
      <c r="I8" s="94"/>
      <c r="J8" s="142"/>
      <c r="K8" s="125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50</v>
      </c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38" t="s">
        <v>51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52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53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54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38" t="s">
        <v>55</v>
      </c>
      <c r="B16" s="54"/>
      <c r="C16" s="55"/>
      <c r="D16" s="56"/>
      <c r="E16" s="57"/>
      <c r="F16" s="104"/>
      <c r="G16" s="102"/>
      <c r="H16" s="105"/>
      <c r="I16" s="94"/>
      <c r="J16" s="106"/>
      <c r="K16" s="107"/>
      <c r="L16" s="61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6" t="s">
        <v>38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40</v>
      </c>
      <c r="B18" s="168"/>
      <c r="C18" s="55"/>
      <c r="D18" s="56"/>
      <c r="E18" s="57"/>
      <c r="F18" s="169"/>
      <c r="G18" s="23"/>
      <c r="H18" s="47"/>
      <c r="I18" s="94"/>
      <c r="J18" s="95"/>
      <c r="K18" s="125"/>
      <c r="L18" s="50"/>
      <c r="M18" s="12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15</v>
      </c>
      <c r="B19" s="139"/>
      <c r="C19" s="18"/>
      <c r="D19" s="118"/>
      <c r="E19" s="119"/>
      <c r="F19" s="148"/>
      <c r="G19" s="129"/>
      <c r="H19" s="130"/>
      <c r="I19" s="128"/>
      <c r="J19" s="130"/>
      <c r="K19" s="123" t="s">
        <v>46</v>
      </c>
      <c r="L19" s="81"/>
      <c r="M19" s="82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>F4+F5+F6+F7+F20</f>
        <v>55600</v>
      </c>
      <c r="G21" s="69">
        <f t="shared" ref="G21:J21" si="1">SUM(G19:G20)</f>
        <v>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55600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46100.0</v>
      </c>
      <c r="C4" s="18" t="s">
        <v>192</v>
      </c>
      <c r="D4" s="118">
        <v>115963.0</v>
      </c>
      <c r="E4" s="119" t="s">
        <v>193</v>
      </c>
      <c r="F4" s="130"/>
      <c r="G4" s="129">
        <v>300.0</v>
      </c>
      <c r="H4" s="129"/>
      <c r="I4" s="128"/>
      <c r="J4" s="129"/>
      <c r="K4" s="123" t="s">
        <v>46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>
        <v>46100.0</v>
      </c>
      <c r="C5" s="18" t="s">
        <v>194</v>
      </c>
      <c r="D5" s="118">
        <v>51017.0</v>
      </c>
      <c r="E5" s="119" t="s">
        <v>64</v>
      </c>
      <c r="F5" s="129">
        <v>5000.0</v>
      </c>
      <c r="G5" s="128"/>
      <c r="H5" s="130"/>
      <c r="I5" s="128"/>
      <c r="J5" s="130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>
        <v>46100.0</v>
      </c>
      <c r="C6" s="18" t="s">
        <v>195</v>
      </c>
      <c r="D6" s="118">
        <v>115963.0</v>
      </c>
      <c r="E6" s="119" t="s">
        <v>193</v>
      </c>
      <c r="F6" s="129"/>
      <c r="G6" s="129">
        <v>3050.0</v>
      </c>
      <c r="H6" s="130"/>
      <c r="I6" s="128"/>
      <c r="J6" s="142"/>
      <c r="K6" s="125" t="s">
        <v>46</v>
      </c>
      <c r="L6" s="50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1" t="s">
        <v>26</v>
      </c>
      <c r="B7" s="149">
        <v>46100.0</v>
      </c>
      <c r="C7" s="109" t="s">
        <v>196</v>
      </c>
      <c r="D7" s="150">
        <v>10250.0</v>
      </c>
      <c r="E7" s="111" t="s">
        <v>60</v>
      </c>
      <c r="F7" s="166">
        <v>10000.0</v>
      </c>
      <c r="G7" s="133"/>
      <c r="H7" s="132"/>
      <c r="I7" s="133"/>
      <c r="J7" s="142"/>
      <c r="K7" s="125" t="s">
        <v>61</v>
      </c>
      <c r="L7" s="50"/>
      <c r="M7" s="127" t="s">
        <v>62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38"/>
      <c r="B8" s="89"/>
      <c r="C8" s="43"/>
      <c r="D8" s="44"/>
      <c r="E8" s="98"/>
      <c r="F8" s="167"/>
      <c r="G8" s="92"/>
      <c r="H8" s="151"/>
      <c r="I8" s="94"/>
      <c r="J8" s="142"/>
      <c r="K8" s="125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50</v>
      </c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38" t="s">
        <v>51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52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53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54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38" t="s">
        <v>55</v>
      </c>
      <c r="B16" s="54"/>
      <c r="C16" s="55"/>
      <c r="D16" s="56"/>
      <c r="E16" s="57"/>
      <c r="F16" s="104"/>
      <c r="G16" s="102"/>
      <c r="H16" s="105"/>
      <c r="I16" s="94"/>
      <c r="J16" s="106"/>
      <c r="K16" s="107"/>
      <c r="L16" s="61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6" t="s">
        <v>38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40</v>
      </c>
      <c r="B18" s="168"/>
      <c r="C18" s="55"/>
      <c r="D18" s="56"/>
      <c r="E18" s="57"/>
      <c r="F18" s="169"/>
      <c r="G18" s="23"/>
      <c r="H18" s="47"/>
      <c r="I18" s="94"/>
      <c r="J18" s="95"/>
      <c r="K18" s="125"/>
      <c r="L18" s="50"/>
      <c r="M18" s="12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15</v>
      </c>
      <c r="B19" s="139"/>
      <c r="C19" s="18"/>
      <c r="D19" s="118"/>
      <c r="E19" s="119"/>
      <c r="F19" s="148"/>
      <c r="G19" s="129"/>
      <c r="H19" s="130"/>
      <c r="I19" s="128"/>
      <c r="J19" s="130"/>
      <c r="K19" s="123" t="s">
        <v>46</v>
      </c>
      <c r="L19" s="81"/>
      <c r="M19" s="82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>F4+F5+F6+F7+F20</f>
        <v>15000</v>
      </c>
      <c r="G21" s="69">
        <f t="shared" ref="G21:J21" si="1">SUM(G19:G20)</f>
        <v>0</v>
      </c>
      <c r="H21" s="69">
        <f t="shared" si="1"/>
        <v>0</v>
      </c>
      <c r="I21" s="69">
        <f t="shared" si="1"/>
        <v>0</v>
      </c>
      <c r="J21" s="69">
        <f t="shared" si="1"/>
        <v>0</v>
      </c>
      <c r="K21" s="70"/>
      <c r="L21" s="70"/>
      <c r="M21" s="71"/>
    </row>
    <row r="22" ht="48.0" customHeight="1">
      <c r="F22" s="72">
        <f>F21+G21+H21+I21+J21</f>
        <v>15000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46100.0</v>
      </c>
      <c r="C4" s="18" t="s">
        <v>198</v>
      </c>
      <c r="D4" s="118">
        <v>116010.0</v>
      </c>
      <c r="E4" s="119" t="s">
        <v>199</v>
      </c>
      <c r="F4" s="130"/>
      <c r="G4" s="129"/>
      <c r="H4" s="129">
        <v>300.0</v>
      </c>
      <c r="I4" s="128"/>
      <c r="J4" s="129"/>
      <c r="K4" s="123" t="s">
        <v>200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hidden="1" customHeight="1">
      <c r="A5" s="152"/>
      <c r="B5" s="139"/>
      <c r="C5" s="18"/>
      <c r="D5" s="118"/>
      <c r="E5" s="119"/>
      <c r="F5" s="129"/>
      <c r="G5" s="128"/>
      <c r="H5" s="130"/>
      <c r="I5" s="128"/>
      <c r="J5" s="130"/>
      <c r="K5" s="123"/>
      <c r="L5" s="81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hidden="1" customHeight="1">
      <c r="A6" s="152"/>
      <c r="B6" s="139"/>
      <c r="C6" s="18"/>
      <c r="D6" s="118"/>
      <c r="E6" s="119"/>
      <c r="F6" s="129"/>
      <c r="G6" s="129"/>
      <c r="H6" s="130"/>
      <c r="I6" s="128"/>
      <c r="J6" s="142"/>
      <c r="K6" s="125"/>
      <c r="L6" s="50"/>
      <c r="M6" s="8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71"/>
      <c r="B7" s="149"/>
      <c r="C7" s="109"/>
      <c r="D7" s="150"/>
      <c r="E7" s="111"/>
      <c r="F7" s="166"/>
      <c r="G7" s="133"/>
      <c r="H7" s="132"/>
      <c r="I7" s="133"/>
      <c r="J7" s="142"/>
      <c r="K7" s="125"/>
      <c r="L7" s="50"/>
      <c r="M7" s="12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38"/>
      <c r="B8" s="89"/>
      <c r="C8" s="43"/>
      <c r="D8" s="44"/>
      <c r="E8" s="98"/>
      <c r="F8" s="167"/>
      <c r="G8" s="92"/>
      <c r="H8" s="151"/>
      <c r="I8" s="94"/>
      <c r="J8" s="142"/>
      <c r="K8" s="125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50</v>
      </c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38" t="s">
        <v>51</v>
      </c>
      <c r="B12" s="54"/>
      <c r="C12" s="55"/>
      <c r="D12" s="56"/>
      <c r="E12" s="57"/>
      <c r="F12" s="102"/>
      <c r="G12" s="102"/>
      <c r="H12" s="103"/>
      <c r="I12" s="94"/>
      <c r="J12" s="95"/>
      <c r="K12" s="96"/>
      <c r="L12" s="50"/>
      <c r="M12" s="101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52</v>
      </c>
      <c r="B13" s="54"/>
      <c r="C13" s="55"/>
      <c r="D13" s="56"/>
      <c r="E13" s="57"/>
      <c r="F13" s="102"/>
      <c r="G13" s="102"/>
      <c r="H13" s="103"/>
      <c r="I13" s="94"/>
      <c r="J13" s="95"/>
      <c r="K13" s="96"/>
      <c r="L13" s="50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 t="s">
        <v>53</v>
      </c>
      <c r="B14" s="54"/>
      <c r="C14" s="55"/>
      <c r="D14" s="56"/>
      <c r="E14" s="57"/>
      <c r="F14" s="102"/>
      <c r="G14" s="102"/>
      <c r="H14" s="103"/>
      <c r="I14" s="94"/>
      <c r="J14" s="95"/>
      <c r="K14" s="96"/>
      <c r="L14" s="50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6" t="s">
        <v>54</v>
      </c>
      <c r="B15" s="54"/>
      <c r="C15" s="55"/>
      <c r="D15" s="56"/>
      <c r="E15" s="57"/>
      <c r="F15" s="102"/>
      <c r="G15" s="102"/>
      <c r="H15" s="103"/>
      <c r="I15" s="94"/>
      <c r="J15" s="95"/>
      <c r="K15" s="96"/>
      <c r="L15" s="50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38" t="s">
        <v>55</v>
      </c>
      <c r="B16" s="54"/>
      <c r="C16" s="55"/>
      <c r="D16" s="56"/>
      <c r="E16" s="57"/>
      <c r="F16" s="104"/>
      <c r="G16" s="102"/>
      <c r="H16" s="105"/>
      <c r="I16" s="94"/>
      <c r="J16" s="106"/>
      <c r="K16" s="107"/>
      <c r="L16" s="61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6" t="s">
        <v>38</v>
      </c>
      <c r="B17" s="54"/>
      <c r="C17" s="55"/>
      <c r="D17" s="56"/>
      <c r="E17" s="57"/>
      <c r="F17" s="102"/>
      <c r="G17" s="102"/>
      <c r="H17" s="103"/>
      <c r="I17" s="94"/>
      <c r="J17" s="95"/>
      <c r="K17" s="96"/>
      <c r="L17" s="50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6" t="s">
        <v>40</v>
      </c>
      <c r="B18" s="168"/>
      <c r="C18" s="55"/>
      <c r="D18" s="56"/>
      <c r="E18" s="57"/>
      <c r="F18" s="169"/>
      <c r="G18" s="23"/>
      <c r="H18" s="47"/>
      <c r="I18" s="94"/>
      <c r="J18" s="95"/>
      <c r="K18" s="125"/>
      <c r="L18" s="50"/>
      <c r="M18" s="12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16" t="s">
        <v>15</v>
      </c>
      <c r="B19" s="139"/>
      <c r="C19" s="18"/>
      <c r="D19" s="118"/>
      <c r="E19" s="119"/>
      <c r="F19" s="148"/>
      <c r="G19" s="129"/>
      <c r="H19" s="130"/>
      <c r="I19" s="128"/>
      <c r="J19" s="130"/>
      <c r="K19" s="123" t="s">
        <v>46</v>
      </c>
      <c r="L19" s="81"/>
      <c r="M19" s="82" t="s">
        <v>39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/>
      <c r="B20" s="89"/>
      <c r="C20" s="43"/>
      <c r="D20" s="44"/>
      <c r="E20" s="98"/>
      <c r="F20" s="146"/>
      <c r="G20" s="102"/>
      <c r="H20" s="153"/>
      <c r="I20" s="94"/>
      <c r="J20" s="142"/>
      <c r="K20" s="125"/>
      <c r="L20" s="50"/>
      <c r="M20" s="12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68"/>
      <c r="B21" s="2"/>
      <c r="C21" s="2"/>
      <c r="D21" s="2"/>
      <c r="E21" s="3"/>
      <c r="F21" s="170">
        <f t="shared" ref="F21:G21" si="1">SUM(F19:F20)</f>
        <v>0</v>
      </c>
      <c r="G21" s="69">
        <f t="shared" si="1"/>
        <v>0</v>
      </c>
      <c r="H21" s="69">
        <f>H4+H20</f>
        <v>300</v>
      </c>
      <c r="I21" s="69">
        <f t="shared" ref="I21:J21" si="2">SUM(I19:I20)</f>
        <v>0</v>
      </c>
      <c r="J21" s="69">
        <f t="shared" si="2"/>
        <v>0</v>
      </c>
      <c r="K21" s="70"/>
      <c r="L21" s="70"/>
      <c r="M21" s="71"/>
    </row>
    <row r="22" ht="48.0" customHeight="1">
      <c r="F22" s="72">
        <f>F21+G21+H21+I21+J21</f>
        <v>300</v>
      </c>
      <c r="G22" s="2"/>
      <c r="H22" s="2"/>
      <c r="I22" s="2"/>
      <c r="J22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46101.0</v>
      </c>
      <c r="C4" s="18" t="s">
        <v>202</v>
      </c>
      <c r="D4" s="118">
        <v>116055.0</v>
      </c>
      <c r="E4" s="119" t="s">
        <v>203</v>
      </c>
      <c r="F4" s="130"/>
      <c r="G4" s="129"/>
      <c r="H4" s="129">
        <v>300.0</v>
      </c>
      <c r="I4" s="128"/>
      <c r="J4" s="129"/>
      <c r="K4" s="123" t="s">
        <v>46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>
        <v>46101.0</v>
      </c>
      <c r="C5" s="18" t="s">
        <v>204</v>
      </c>
      <c r="D5" s="118">
        <v>116085.0</v>
      </c>
      <c r="E5" s="119" t="s">
        <v>205</v>
      </c>
      <c r="F5" s="129"/>
      <c r="G5" s="128"/>
      <c r="H5" s="130">
        <v>300.0</v>
      </c>
      <c r="I5" s="128"/>
      <c r="J5" s="130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>
        <v>46102.0</v>
      </c>
      <c r="C6" s="18" t="s">
        <v>206</v>
      </c>
      <c r="D6" s="118">
        <v>92637.0</v>
      </c>
      <c r="E6" s="119" t="s">
        <v>207</v>
      </c>
      <c r="F6" s="129"/>
      <c r="G6" s="129"/>
      <c r="H6" s="130">
        <v>4500.0</v>
      </c>
      <c r="I6" s="128"/>
      <c r="J6" s="142"/>
      <c r="K6" s="123" t="s">
        <v>46</v>
      </c>
      <c r="L6" s="50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1" t="s">
        <v>26</v>
      </c>
      <c r="B7" s="149">
        <v>46102.0</v>
      </c>
      <c r="C7" s="109" t="s">
        <v>208</v>
      </c>
      <c r="D7" s="150">
        <v>47787.0</v>
      </c>
      <c r="E7" s="111" t="s">
        <v>77</v>
      </c>
      <c r="F7" s="166"/>
      <c r="G7" s="132">
        <v>5000.0</v>
      </c>
      <c r="H7" s="132"/>
      <c r="I7" s="133"/>
      <c r="J7" s="142"/>
      <c r="K7" s="123" t="s">
        <v>46</v>
      </c>
      <c r="L7" s="50"/>
      <c r="M7" s="127" t="s">
        <v>62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38"/>
      <c r="B8" s="89"/>
      <c r="C8" s="43"/>
      <c r="D8" s="44"/>
      <c r="E8" s="98"/>
      <c r="F8" s="167"/>
      <c r="G8" s="92"/>
      <c r="H8" s="151"/>
      <c r="I8" s="94"/>
      <c r="J8" s="142"/>
      <c r="K8" s="125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0</v>
      </c>
      <c r="G13" s="170">
        <f t="shared" si="1"/>
        <v>5000</v>
      </c>
      <c r="H13" s="170">
        <f t="shared" si="1"/>
        <v>5100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/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46103.0</v>
      </c>
      <c r="C4" s="18" t="s">
        <v>210</v>
      </c>
      <c r="D4" s="118">
        <v>47787.0</v>
      </c>
      <c r="E4" s="119" t="s">
        <v>77</v>
      </c>
      <c r="F4" s="130"/>
      <c r="G4" s="129">
        <v>500.0</v>
      </c>
      <c r="H4" s="129"/>
      <c r="I4" s="128"/>
      <c r="J4" s="129"/>
      <c r="K4" s="123" t="s">
        <v>46</v>
      </c>
      <c r="L4" s="81"/>
      <c r="M4" s="88" t="s">
        <v>62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>
        <v>46103.0</v>
      </c>
      <c r="C5" s="18" t="s">
        <v>211</v>
      </c>
      <c r="D5" s="118">
        <v>47787.0</v>
      </c>
      <c r="E5" s="119" t="s">
        <v>77</v>
      </c>
      <c r="F5" s="129">
        <v>15000.0</v>
      </c>
      <c r="G5" s="128"/>
      <c r="H5" s="130"/>
      <c r="I5" s="128"/>
      <c r="J5" s="130"/>
      <c r="K5" s="123" t="s">
        <v>46</v>
      </c>
      <c r="L5" s="81"/>
      <c r="M5" s="88" t="s">
        <v>62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>
        <v>46103.0</v>
      </c>
      <c r="C6" s="18" t="s">
        <v>212</v>
      </c>
      <c r="D6" s="118">
        <v>42095.0</v>
      </c>
      <c r="E6" s="119" t="s">
        <v>213</v>
      </c>
      <c r="F6" s="129"/>
      <c r="G6" s="129"/>
      <c r="H6" s="130">
        <v>320.0</v>
      </c>
      <c r="I6" s="128"/>
      <c r="J6" s="142"/>
      <c r="K6" s="123" t="s">
        <v>46</v>
      </c>
      <c r="L6" s="50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1" t="s">
        <v>26</v>
      </c>
      <c r="B7" s="149">
        <v>46103.0</v>
      </c>
      <c r="C7" s="109" t="s">
        <v>214</v>
      </c>
      <c r="D7" s="150">
        <v>49953.0</v>
      </c>
      <c r="E7" s="111" t="s">
        <v>215</v>
      </c>
      <c r="F7" s="166">
        <v>800.0</v>
      </c>
      <c r="G7" s="132"/>
      <c r="H7" s="132"/>
      <c r="I7" s="133"/>
      <c r="J7" s="142"/>
      <c r="K7" s="123" t="s">
        <v>46</v>
      </c>
      <c r="L7" s="50"/>
      <c r="M7" s="127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1" t="s">
        <v>29</v>
      </c>
      <c r="B8" s="89">
        <v>46103.0</v>
      </c>
      <c r="C8" s="43" t="s">
        <v>216</v>
      </c>
      <c r="D8" s="44">
        <v>10249.0</v>
      </c>
      <c r="E8" s="98" t="s">
        <v>167</v>
      </c>
      <c r="F8" s="167"/>
      <c r="G8" s="92"/>
      <c r="H8" s="151">
        <v>3250.0</v>
      </c>
      <c r="I8" s="94"/>
      <c r="J8" s="142"/>
      <c r="K8" s="123" t="s">
        <v>46</v>
      </c>
      <c r="L8" s="50"/>
      <c r="M8" s="127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15800</v>
      </c>
      <c r="G13" s="170">
        <f t="shared" si="1"/>
        <v>500</v>
      </c>
      <c r="H13" s="170">
        <f t="shared" si="1"/>
        <v>3570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19870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46104.0</v>
      </c>
      <c r="C4" s="18" t="s">
        <v>218</v>
      </c>
      <c r="D4" s="118">
        <v>51017.0</v>
      </c>
      <c r="E4" s="119" t="s">
        <v>64</v>
      </c>
      <c r="F4" s="130">
        <v>5000.0</v>
      </c>
      <c r="G4" s="129"/>
      <c r="H4" s="129"/>
      <c r="I4" s="128"/>
      <c r="J4" s="129"/>
      <c r="K4" s="123" t="s">
        <v>46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>
        <v>46104.0</v>
      </c>
      <c r="C5" s="18" t="s">
        <v>219</v>
      </c>
      <c r="D5" s="118">
        <v>51017.0</v>
      </c>
      <c r="E5" s="119" t="s">
        <v>64</v>
      </c>
      <c r="F5" s="129">
        <v>5000.0</v>
      </c>
      <c r="G5" s="128"/>
      <c r="H5" s="130"/>
      <c r="I5" s="128"/>
      <c r="J5" s="130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>
        <v>46104.0</v>
      </c>
      <c r="C6" s="18" t="s">
        <v>220</v>
      </c>
      <c r="D6" s="118">
        <v>68284.0</v>
      </c>
      <c r="E6" s="119" t="s">
        <v>97</v>
      </c>
      <c r="F6" s="129">
        <v>5000.0</v>
      </c>
      <c r="G6" s="129"/>
      <c r="H6" s="130"/>
      <c r="I6" s="128"/>
      <c r="J6" s="142"/>
      <c r="K6" s="123" t="s">
        <v>46</v>
      </c>
      <c r="L6" s="50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1" t="s">
        <v>26</v>
      </c>
      <c r="B7" s="149">
        <v>46104.0</v>
      </c>
      <c r="C7" s="109" t="s">
        <v>221</v>
      </c>
      <c r="D7" s="150">
        <v>105021.0</v>
      </c>
      <c r="E7" s="111" t="s">
        <v>222</v>
      </c>
      <c r="F7" s="166"/>
      <c r="G7" s="132"/>
      <c r="H7" s="132">
        <v>2400.0</v>
      </c>
      <c r="I7" s="133"/>
      <c r="J7" s="142"/>
      <c r="K7" s="123" t="s">
        <v>46</v>
      </c>
      <c r="L7" s="50"/>
      <c r="M7" s="127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1"/>
      <c r="B8" s="89"/>
      <c r="C8" s="43"/>
      <c r="D8" s="44"/>
      <c r="E8" s="98"/>
      <c r="F8" s="167"/>
      <c r="G8" s="92"/>
      <c r="H8" s="151"/>
      <c r="I8" s="94"/>
      <c r="J8" s="142"/>
      <c r="K8" s="123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15000</v>
      </c>
      <c r="G13" s="170">
        <f t="shared" si="1"/>
        <v>0</v>
      </c>
      <c r="H13" s="170">
        <f t="shared" si="1"/>
        <v>2400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17400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/>
      <c r="C4" s="18"/>
      <c r="D4" s="118"/>
      <c r="E4" s="119"/>
      <c r="F4" s="130"/>
      <c r="G4" s="129"/>
      <c r="H4" s="129"/>
      <c r="I4" s="128"/>
      <c r="J4" s="129"/>
      <c r="K4" s="123"/>
      <c r="L4" s="81"/>
      <c r="M4" s="88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 t="s">
        <v>20</v>
      </c>
      <c r="B5" s="139"/>
      <c r="C5" s="18"/>
      <c r="D5" s="118"/>
      <c r="E5" s="172" t="s">
        <v>224</v>
      </c>
      <c r="F5" s="129"/>
      <c r="G5" s="128"/>
      <c r="H5" s="130"/>
      <c r="I5" s="128"/>
      <c r="J5" s="130"/>
      <c r="K5" s="123"/>
      <c r="L5" s="81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2" t="s">
        <v>23</v>
      </c>
      <c r="B6" s="139"/>
      <c r="C6" s="18"/>
      <c r="D6" s="118"/>
      <c r="E6" s="119"/>
      <c r="F6" s="129"/>
      <c r="G6" s="129"/>
      <c r="H6" s="130"/>
      <c r="I6" s="128"/>
      <c r="J6" s="142"/>
      <c r="K6" s="123"/>
      <c r="L6" s="50"/>
      <c r="M6" s="8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1" t="s">
        <v>26</v>
      </c>
      <c r="B7" s="149"/>
      <c r="C7" s="109"/>
      <c r="D7" s="150"/>
      <c r="E7" s="111"/>
      <c r="F7" s="166"/>
      <c r="G7" s="132"/>
      <c r="H7" s="132"/>
      <c r="I7" s="133"/>
      <c r="J7" s="142"/>
      <c r="K7" s="123"/>
      <c r="L7" s="50"/>
      <c r="M7" s="12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1"/>
      <c r="B8" s="89"/>
      <c r="C8" s="43"/>
      <c r="D8" s="44"/>
      <c r="E8" s="98"/>
      <c r="F8" s="167"/>
      <c r="G8" s="92"/>
      <c r="H8" s="151"/>
      <c r="I8" s="94"/>
      <c r="J8" s="142"/>
      <c r="K8" s="123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0</v>
      </c>
      <c r="G13" s="170">
        <f t="shared" si="1"/>
        <v>0</v>
      </c>
      <c r="H13" s="170">
        <f t="shared" si="1"/>
        <v>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1" t="s">
        <v>15</v>
      </c>
      <c r="B4" s="139">
        <v>46106.0</v>
      </c>
      <c r="C4" s="18" t="s">
        <v>226</v>
      </c>
      <c r="D4" s="118">
        <v>43380.0</v>
      </c>
      <c r="E4" s="119" t="s">
        <v>227</v>
      </c>
      <c r="F4" s="130">
        <v>10000.0</v>
      </c>
      <c r="G4" s="129"/>
      <c r="H4" s="129"/>
      <c r="I4" s="128"/>
      <c r="J4" s="129"/>
      <c r="K4" s="123" t="s">
        <v>46</v>
      </c>
      <c r="L4" s="81"/>
      <c r="M4" s="88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52"/>
      <c r="B5" s="139"/>
      <c r="C5" s="18"/>
      <c r="D5" s="118"/>
      <c r="E5" s="172"/>
      <c r="F5" s="129"/>
      <c r="G5" s="128"/>
      <c r="H5" s="130"/>
      <c r="I5" s="128"/>
      <c r="J5" s="130"/>
      <c r="K5" s="123"/>
      <c r="L5" s="81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hidden="1" customHeight="1">
      <c r="A6" s="152"/>
      <c r="B6" s="139"/>
      <c r="C6" s="18"/>
      <c r="D6" s="118"/>
      <c r="E6" s="119"/>
      <c r="F6" s="129"/>
      <c r="G6" s="129"/>
      <c r="H6" s="130"/>
      <c r="I6" s="128"/>
      <c r="J6" s="142"/>
      <c r="K6" s="123"/>
      <c r="L6" s="50"/>
      <c r="M6" s="8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71"/>
      <c r="B7" s="149"/>
      <c r="C7" s="109"/>
      <c r="D7" s="150"/>
      <c r="E7" s="111"/>
      <c r="F7" s="166"/>
      <c r="G7" s="132"/>
      <c r="H7" s="132"/>
      <c r="I7" s="133"/>
      <c r="J7" s="142"/>
      <c r="K7" s="123"/>
      <c r="L7" s="50"/>
      <c r="M7" s="12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71"/>
      <c r="B8" s="89"/>
      <c r="C8" s="43"/>
      <c r="D8" s="44"/>
      <c r="E8" s="98"/>
      <c r="F8" s="167"/>
      <c r="G8" s="92"/>
      <c r="H8" s="151"/>
      <c r="I8" s="94"/>
      <c r="J8" s="142"/>
      <c r="K8" s="123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/>
      <c r="B9" s="89"/>
      <c r="C9" s="43"/>
      <c r="D9" s="44"/>
      <c r="E9" s="98"/>
      <c r="F9" s="102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89"/>
      <c r="C10" s="43"/>
      <c r="D10" s="44"/>
      <c r="E10" s="98"/>
      <c r="F10" s="102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10000</v>
      </c>
      <c r="G13" s="170">
        <f t="shared" si="1"/>
        <v>0</v>
      </c>
      <c r="H13" s="170">
        <f t="shared" si="1"/>
        <v>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10000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3" t="s">
        <v>15</v>
      </c>
      <c r="B4" s="139">
        <v>46106.0</v>
      </c>
      <c r="C4" s="18" t="s">
        <v>229</v>
      </c>
      <c r="D4" s="118">
        <v>21828.0</v>
      </c>
      <c r="E4" s="119" t="s">
        <v>58</v>
      </c>
      <c r="F4" s="130">
        <v>450.0</v>
      </c>
      <c r="G4" s="129"/>
      <c r="H4" s="129"/>
      <c r="I4" s="128"/>
      <c r="J4" s="129"/>
      <c r="K4" s="123" t="s">
        <v>46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74" t="s">
        <v>20</v>
      </c>
      <c r="B5" s="139">
        <v>46106.0</v>
      </c>
      <c r="C5" s="18" t="s">
        <v>230</v>
      </c>
      <c r="D5" s="118">
        <v>108628.0</v>
      </c>
      <c r="E5" s="119" t="s">
        <v>231</v>
      </c>
      <c r="F5" s="129"/>
      <c r="G5" s="129">
        <v>2350.0</v>
      </c>
      <c r="H5" s="130"/>
      <c r="I5" s="128"/>
      <c r="J5" s="130"/>
      <c r="K5" s="123" t="s">
        <v>46</v>
      </c>
      <c r="L5" s="81"/>
      <c r="M5" s="88" t="s">
        <v>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74" t="s">
        <v>23</v>
      </c>
      <c r="B6" s="139">
        <v>46106.0</v>
      </c>
      <c r="C6" s="18" t="s">
        <v>232</v>
      </c>
      <c r="D6" s="118">
        <v>115963.0</v>
      </c>
      <c r="E6" s="119" t="s">
        <v>193</v>
      </c>
      <c r="F6" s="129"/>
      <c r="G6" s="129"/>
      <c r="H6" s="130">
        <v>20000.0</v>
      </c>
      <c r="I6" s="128"/>
      <c r="J6" s="142"/>
      <c r="K6" s="123" t="s">
        <v>46</v>
      </c>
      <c r="L6" s="50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3" t="s">
        <v>26</v>
      </c>
      <c r="B7" s="149">
        <v>46107.0</v>
      </c>
      <c r="C7" s="109" t="s">
        <v>233</v>
      </c>
      <c r="D7" s="150">
        <v>47787.0</v>
      </c>
      <c r="E7" s="111" t="s">
        <v>77</v>
      </c>
      <c r="F7" s="166">
        <v>10000.0</v>
      </c>
      <c r="G7" s="132"/>
      <c r="H7" s="132"/>
      <c r="I7" s="133"/>
      <c r="J7" s="142"/>
      <c r="K7" s="123" t="s">
        <v>61</v>
      </c>
      <c r="L7" s="50"/>
      <c r="M7" s="127" t="s">
        <v>62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3" t="s">
        <v>29</v>
      </c>
      <c r="B8" s="89">
        <v>46107.0</v>
      </c>
      <c r="C8" s="43" t="s">
        <v>234</v>
      </c>
      <c r="D8" s="44">
        <v>97731.0</v>
      </c>
      <c r="E8" s="98" t="s">
        <v>235</v>
      </c>
      <c r="F8" s="167">
        <v>4500.0</v>
      </c>
      <c r="G8" s="92"/>
      <c r="H8" s="151"/>
      <c r="I8" s="94"/>
      <c r="J8" s="142"/>
      <c r="K8" s="123" t="s">
        <v>46</v>
      </c>
      <c r="L8" s="50"/>
      <c r="M8" s="127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74" t="s">
        <v>32</v>
      </c>
      <c r="B9" s="89">
        <v>46107.0</v>
      </c>
      <c r="C9" s="43" t="s">
        <v>236</v>
      </c>
      <c r="D9" s="44">
        <v>105555.0</v>
      </c>
      <c r="E9" s="98" t="s">
        <v>28</v>
      </c>
      <c r="F9" s="99">
        <v>4500.0</v>
      </c>
      <c r="G9" s="99"/>
      <c r="H9" s="153"/>
      <c r="I9" s="94"/>
      <c r="J9" s="95"/>
      <c r="K9" s="125" t="s">
        <v>46</v>
      </c>
      <c r="L9" s="50"/>
      <c r="M9" s="127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74" t="s">
        <v>35</v>
      </c>
      <c r="B10" s="89">
        <v>46107.0</v>
      </c>
      <c r="C10" s="43" t="s">
        <v>237</v>
      </c>
      <c r="D10" s="44">
        <v>99223.0</v>
      </c>
      <c r="E10" s="98" t="s">
        <v>238</v>
      </c>
      <c r="F10" s="99">
        <v>4500.0</v>
      </c>
      <c r="G10" s="102"/>
      <c r="H10" s="153"/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23950</v>
      </c>
      <c r="G13" s="170">
        <f t="shared" si="1"/>
        <v>2350</v>
      </c>
      <c r="H13" s="170">
        <f t="shared" si="1"/>
        <v>20000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46300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3" t="s">
        <v>15</v>
      </c>
      <c r="B4" s="139">
        <v>46108.0</v>
      </c>
      <c r="C4" s="18" t="s">
        <v>240</v>
      </c>
      <c r="D4" s="118">
        <v>50595.0</v>
      </c>
      <c r="E4" s="119" t="s">
        <v>88</v>
      </c>
      <c r="F4" s="130">
        <v>7500.0</v>
      </c>
      <c r="G4" s="129"/>
      <c r="H4" s="129"/>
      <c r="I4" s="128"/>
      <c r="J4" s="129"/>
      <c r="K4" s="123" t="s">
        <v>46</v>
      </c>
      <c r="L4" s="81"/>
      <c r="M4" s="88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74" t="s">
        <v>20</v>
      </c>
      <c r="B5" s="139">
        <v>46108.0</v>
      </c>
      <c r="C5" s="18" t="s">
        <v>241</v>
      </c>
      <c r="D5" s="118">
        <v>102014.0</v>
      </c>
      <c r="E5" s="119" t="s">
        <v>22</v>
      </c>
      <c r="F5" s="129">
        <v>7450.0</v>
      </c>
      <c r="G5" s="129"/>
      <c r="H5" s="130"/>
      <c r="I5" s="128"/>
      <c r="J5" s="130"/>
      <c r="K5" s="123" t="s">
        <v>46</v>
      </c>
      <c r="L5" s="81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74" t="s">
        <v>23</v>
      </c>
      <c r="B6" s="139">
        <v>46108.0</v>
      </c>
      <c r="C6" s="18" t="s">
        <v>242</v>
      </c>
      <c r="D6" s="118">
        <v>51166.0</v>
      </c>
      <c r="E6" s="119" t="s">
        <v>243</v>
      </c>
      <c r="F6" s="129"/>
      <c r="G6" s="129"/>
      <c r="H6" s="130">
        <v>5200.0</v>
      </c>
      <c r="I6" s="128"/>
      <c r="J6" s="142"/>
      <c r="K6" s="123" t="s">
        <v>46</v>
      </c>
      <c r="L6" s="50"/>
      <c r="M6" s="88" t="s">
        <v>39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3" t="s">
        <v>26</v>
      </c>
      <c r="B7" s="149"/>
      <c r="C7" s="109"/>
      <c r="D7" s="150"/>
      <c r="E7" s="111"/>
      <c r="F7" s="166"/>
      <c r="G7" s="132"/>
      <c r="H7" s="132"/>
      <c r="I7" s="133"/>
      <c r="J7" s="142"/>
      <c r="K7" s="123" t="s">
        <v>61</v>
      </c>
      <c r="L7" s="50"/>
      <c r="M7" s="127" t="s">
        <v>62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3" t="s">
        <v>29</v>
      </c>
      <c r="B8" s="89"/>
      <c r="C8" s="43"/>
      <c r="D8" s="44"/>
      <c r="E8" s="98"/>
      <c r="F8" s="167"/>
      <c r="G8" s="92"/>
      <c r="H8" s="151"/>
      <c r="I8" s="94"/>
      <c r="J8" s="142"/>
      <c r="K8" s="123" t="s">
        <v>46</v>
      </c>
      <c r="L8" s="50"/>
      <c r="M8" s="127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74" t="s">
        <v>32</v>
      </c>
      <c r="B9" s="89"/>
      <c r="C9" s="43"/>
      <c r="D9" s="44"/>
      <c r="E9" s="98"/>
      <c r="F9" s="99"/>
      <c r="G9" s="99"/>
      <c r="H9" s="153"/>
      <c r="I9" s="94"/>
      <c r="J9" s="95"/>
      <c r="K9" s="125" t="s">
        <v>46</v>
      </c>
      <c r="L9" s="50"/>
      <c r="M9" s="127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74" t="s">
        <v>35</v>
      </c>
      <c r="B10" s="89"/>
      <c r="C10" s="43"/>
      <c r="D10" s="44"/>
      <c r="E10" s="98"/>
      <c r="F10" s="99"/>
      <c r="G10" s="102"/>
      <c r="H10" s="153"/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14950</v>
      </c>
      <c r="G13" s="170">
        <f t="shared" si="1"/>
        <v>0</v>
      </c>
      <c r="H13" s="170">
        <f t="shared" si="1"/>
        <v>5200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20150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3" t="s">
        <v>15</v>
      </c>
      <c r="B4" s="139">
        <v>46108.0</v>
      </c>
      <c r="C4" s="18" t="s">
        <v>245</v>
      </c>
      <c r="D4" s="118">
        <v>116575.0</v>
      </c>
      <c r="E4" s="119" t="s">
        <v>246</v>
      </c>
      <c r="F4" s="130"/>
      <c r="G4" s="129"/>
      <c r="H4" s="129">
        <v>300.0</v>
      </c>
      <c r="I4" s="128"/>
      <c r="J4" s="129"/>
      <c r="K4" s="123" t="s">
        <v>46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74" t="s">
        <v>20</v>
      </c>
      <c r="B5" s="139">
        <v>46109.0</v>
      </c>
      <c r="C5" s="18" t="s">
        <v>247</v>
      </c>
      <c r="D5" s="118">
        <v>68284.0</v>
      </c>
      <c r="E5" s="119" t="s">
        <v>97</v>
      </c>
      <c r="F5" s="129">
        <v>5000.0</v>
      </c>
      <c r="G5" s="129"/>
      <c r="H5" s="130"/>
      <c r="I5" s="128"/>
      <c r="J5" s="130"/>
      <c r="K5" s="123" t="s">
        <v>46</v>
      </c>
      <c r="L5" s="81"/>
      <c r="M5" s="88" t="s">
        <v>39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74" t="s">
        <v>23</v>
      </c>
      <c r="B6" s="139">
        <v>46109.0</v>
      </c>
      <c r="C6" s="18" t="s">
        <v>248</v>
      </c>
      <c r="D6" s="118">
        <v>10006.0</v>
      </c>
      <c r="E6" s="119" t="s">
        <v>34</v>
      </c>
      <c r="F6" s="129">
        <v>4500.0</v>
      </c>
      <c r="G6" s="129"/>
      <c r="H6" s="130"/>
      <c r="I6" s="128"/>
      <c r="J6" s="142"/>
      <c r="K6" s="123" t="s">
        <v>46</v>
      </c>
      <c r="L6" s="50"/>
      <c r="M6" s="88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3" t="s">
        <v>26</v>
      </c>
      <c r="B7" s="149">
        <v>46109.0</v>
      </c>
      <c r="C7" s="109" t="s">
        <v>249</v>
      </c>
      <c r="D7" s="150">
        <v>51017.0</v>
      </c>
      <c r="E7" s="111" t="s">
        <v>64</v>
      </c>
      <c r="F7" s="166">
        <v>5900.0</v>
      </c>
      <c r="G7" s="132"/>
      <c r="H7" s="132"/>
      <c r="I7" s="133"/>
      <c r="J7" s="142"/>
      <c r="K7" s="123" t="s">
        <v>61</v>
      </c>
      <c r="L7" s="50"/>
      <c r="M7" s="127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3" t="s">
        <v>29</v>
      </c>
      <c r="B8" s="89">
        <v>46109.0</v>
      </c>
      <c r="C8" s="43" t="s">
        <v>250</v>
      </c>
      <c r="D8" s="44">
        <v>83352.0</v>
      </c>
      <c r="E8" s="98" t="s">
        <v>45</v>
      </c>
      <c r="F8" s="167">
        <v>25000.0</v>
      </c>
      <c r="G8" s="92"/>
      <c r="H8" s="151"/>
      <c r="I8" s="94"/>
      <c r="J8" s="142"/>
      <c r="K8" s="123" t="s">
        <v>46</v>
      </c>
      <c r="L8" s="50"/>
      <c r="M8" s="127" t="s">
        <v>39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74" t="s">
        <v>32</v>
      </c>
      <c r="B9" s="89">
        <v>46109.0</v>
      </c>
      <c r="C9" s="43" t="s">
        <v>251</v>
      </c>
      <c r="D9" s="44">
        <v>83352.0</v>
      </c>
      <c r="E9" s="98" t="s">
        <v>45</v>
      </c>
      <c r="F9" s="99">
        <v>200.0</v>
      </c>
      <c r="G9" s="99"/>
      <c r="H9" s="153"/>
      <c r="I9" s="94"/>
      <c r="J9" s="95"/>
      <c r="K9" s="125" t="s">
        <v>46</v>
      </c>
      <c r="L9" s="50"/>
      <c r="M9" s="127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74" t="s">
        <v>35</v>
      </c>
      <c r="B10" s="89"/>
      <c r="C10" s="43"/>
      <c r="D10" s="44"/>
      <c r="E10" s="98"/>
      <c r="F10" s="99"/>
      <c r="G10" s="102"/>
      <c r="H10" s="153"/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40600</v>
      </c>
      <c r="G13" s="170">
        <f t="shared" si="1"/>
        <v>0</v>
      </c>
      <c r="H13" s="170">
        <f t="shared" si="1"/>
        <v>300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40900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3" t="s">
        <v>15</v>
      </c>
      <c r="B4" s="139">
        <v>46110.0</v>
      </c>
      <c r="C4" s="18" t="s">
        <v>253</v>
      </c>
      <c r="D4" s="118">
        <v>116678.0</v>
      </c>
      <c r="E4" s="119" t="s">
        <v>254</v>
      </c>
      <c r="F4" s="130"/>
      <c r="G4" s="129"/>
      <c r="H4" s="129">
        <v>300.0</v>
      </c>
      <c r="I4" s="128"/>
      <c r="J4" s="129"/>
      <c r="K4" s="123" t="s">
        <v>200</v>
      </c>
      <c r="L4" s="81"/>
      <c r="M4" s="8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74" t="s">
        <v>20</v>
      </c>
      <c r="B5" s="139"/>
      <c r="C5" s="18"/>
      <c r="D5" s="118"/>
      <c r="E5" s="119"/>
      <c r="F5" s="129"/>
      <c r="G5" s="129"/>
      <c r="H5" s="130"/>
      <c r="I5" s="128"/>
      <c r="J5" s="130"/>
      <c r="K5" s="123"/>
      <c r="L5" s="81"/>
      <c r="M5" s="8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hidden="1" customHeight="1">
      <c r="A6" s="174" t="s">
        <v>23</v>
      </c>
      <c r="B6" s="139"/>
      <c r="C6" s="18"/>
      <c r="D6" s="118"/>
      <c r="E6" s="119"/>
      <c r="F6" s="129"/>
      <c r="G6" s="129"/>
      <c r="H6" s="130"/>
      <c r="I6" s="128"/>
      <c r="J6" s="142"/>
      <c r="K6" s="123"/>
      <c r="L6" s="50"/>
      <c r="M6" s="88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73" t="s">
        <v>26</v>
      </c>
      <c r="B7" s="149"/>
      <c r="C7" s="109"/>
      <c r="D7" s="150"/>
      <c r="E7" s="111"/>
      <c r="F7" s="166"/>
      <c r="G7" s="132"/>
      <c r="H7" s="132"/>
      <c r="I7" s="133"/>
      <c r="J7" s="142"/>
      <c r="K7" s="123"/>
      <c r="L7" s="50"/>
      <c r="M7" s="12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73" t="s">
        <v>29</v>
      </c>
      <c r="B8" s="89"/>
      <c r="C8" s="43"/>
      <c r="D8" s="44"/>
      <c r="E8" s="98"/>
      <c r="F8" s="167"/>
      <c r="G8" s="92"/>
      <c r="H8" s="151"/>
      <c r="I8" s="94"/>
      <c r="J8" s="142"/>
      <c r="K8" s="123"/>
      <c r="L8" s="50"/>
      <c r="M8" s="12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74" t="s">
        <v>32</v>
      </c>
      <c r="B9" s="89"/>
      <c r="C9" s="43"/>
      <c r="D9" s="44"/>
      <c r="E9" s="98"/>
      <c r="F9" s="99"/>
      <c r="G9" s="99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74" t="s">
        <v>35</v>
      </c>
      <c r="B10" s="89"/>
      <c r="C10" s="43"/>
      <c r="D10" s="44"/>
      <c r="E10" s="98"/>
      <c r="F10" s="99"/>
      <c r="G10" s="102"/>
      <c r="H10" s="153"/>
      <c r="I10" s="94"/>
      <c r="J10" s="95"/>
      <c r="K10" s="125"/>
      <c r="L10" s="50"/>
      <c r="M10" s="12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/>
      <c r="B11" s="54"/>
      <c r="C11" s="55"/>
      <c r="D11" s="56"/>
      <c r="E11" s="57"/>
      <c r="F11" s="102"/>
      <c r="G11" s="102"/>
      <c r="H11" s="103"/>
      <c r="I11" s="94"/>
      <c r="J11" s="95"/>
      <c r="K11" s="96"/>
      <c r="L11" s="50"/>
      <c r="M11" s="10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F4+F5+F6+F7+F8+F9+F10+F11++F12</f>
        <v>0</v>
      </c>
      <c r="G13" s="170">
        <f t="shared" si="1"/>
        <v>0</v>
      </c>
      <c r="H13" s="170">
        <f t="shared" si="1"/>
        <v>300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300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3" t="s">
        <v>15</v>
      </c>
      <c r="B4" s="139">
        <v>46110.0</v>
      </c>
      <c r="C4" s="18" t="s">
        <v>256</v>
      </c>
      <c r="D4" s="118">
        <v>116690.0</v>
      </c>
      <c r="E4" s="119" t="s">
        <v>257</v>
      </c>
      <c r="F4" s="130">
        <v>4600.0</v>
      </c>
      <c r="G4" s="129"/>
      <c r="H4" s="129"/>
      <c r="I4" s="128"/>
      <c r="J4" s="129"/>
      <c r="K4" s="123"/>
      <c r="L4" s="81"/>
      <c r="M4" s="88" t="s">
        <v>39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74" t="s">
        <v>20</v>
      </c>
      <c r="B5" s="139">
        <v>46110.0</v>
      </c>
      <c r="C5" s="18" t="s">
        <v>258</v>
      </c>
      <c r="D5" s="118">
        <v>51660.0</v>
      </c>
      <c r="E5" s="119" t="s">
        <v>259</v>
      </c>
      <c r="F5" s="129"/>
      <c r="G5" s="129"/>
      <c r="H5" s="130">
        <v>300.0</v>
      </c>
      <c r="I5" s="128"/>
      <c r="J5" s="142"/>
      <c r="K5" s="123"/>
      <c r="L5" s="50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73" t="s">
        <v>23</v>
      </c>
      <c r="B6" s="149">
        <v>46110.0</v>
      </c>
      <c r="C6" s="109" t="s">
        <v>260</v>
      </c>
      <c r="D6" s="150">
        <v>106403.0</v>
      </c>
      <c r="E6" s="111" t="s">
        <v>261</v>
      </c>
      <c r="F6" s="166"/>
      <c r="G6" s="132">
        <v>2500.0</v>
      </c>
      <c r="H6" s="132"/>
      <c r="I6" s="133"/>
      <c r="J6" s="142"/>
      <c r="K6" s="123"/>
      <c r="L6" s="50"/>
      <c r="M6" s="127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3" t="s">
        <v>26</v>
      </c>
      <c r="B7" s="89">
        <v>46110.0</v>
      </c>
      <c r="C7" s="43" t="s">
        <v>262</v>
      </c>
      <c r="D7" s="44">
        <v>21818.0</v>
      </c>
      <c r="E7" s="98" t="s">
        <v>263</v>
      </c>
      <c r="F7" s="167"/>
      <c r="G7" s="99">
        <v>300.0</v>
      </c>
      <c r="H7" s="151"/>
      <c r="I7" s="94"/>
      <c r="J7" s="142"/>
      <c r="K7" s="123"/>
      <c r="L7" s="50"/>
      <c r="M7" s="127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4" t="s">
        <v>29</v>
      </c>
      <c r="B8" s="89">
        <v>46111.0</v>
      </c>
      <c r="C8" s="43" t="s">
        <v>264</v>
      </c>
      <c r="D8" s="44">
        <v>47787.0</v>
      </c>
      <c r="E8" s="98" t="s">
        <v>77</v>
      </c>
      <c r="F8" s="99">
        <v>10000.0</v>
      </c>
      <c r="G8" s="99"/>
      <c r="H8" s="153"/>
      <c r="I8" s="94"/>
      <c r="J8" s="95"/>
      <c r="K8" s="125"/>
      <c r="L8" s="50"/>
      <c r="M8" s="127" t="s">
        <v>62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73" t="s">
        <v>32</v>
      </c>
      <c r="B9" s="89"/>
      <c r="C9" s="43"/>
      <c r="D9" s="44"/>
      <c r="E9" s="98"/>
      <c r="F9" s="99"/>
      <c r="G9" s="102"/>
      <c r="H9" s="153"/>
      <c r="I9" s="94"/>
      <c r="J9" s="95"/>
      <c r="K9" s="125"/>
      <c r="L9" s="50"/>
      <c r="M9" s="12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73" t="s">
        <v>35</v>
      </c>
      <c r="B10" s="54"/>
      <c r="C10" s="55"/>
      <c r="D10" s="56"/>
      <c r="E10" s="57"/>
      <c r="F10" s="102"/>
      <c r="G10" s="102"/>
      <c r="H10" s="103"/>
      <c r="I10" s="94"/>
      <c r="J10" s="95"/>
      <c r="K10" s="96"/>
      <c r="L10" s="50"/>
      <c r="M10" s="10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74" t="s">
        <v>49</v>
      </c>
      <c r="B11" s="139"/>
      <c r="C11" s="18"/>
      <c r="D11" s="118"/>
      <c r="E11" s="119"/>
      <c r="F11" s="129"/>
      <c r="G11" s="129"/>
      <c r="H11" s="130"/>
      <c r="I11" s="128"/>
      <c r="J11" s="130"/>
      <c r="K11" s="123"/>
      <c r="L11" s="81"/>
      <c r="M11" s="8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89"/>
      <c r="C12" s="43"/>
      <c r="D12" s="44"/>
      <c r="E12" s="98"/>
      <c r="F12" s="146"/>
      <c r="G12" s="102"/>
      <c r="H12" s="153"/>
      <c r="I12" s="94"/>
      <c r="J12" s="142"/>
      <c r="K12" s="125"/>
      <c r="L12" s="50"/>
      <c r="M12" s="12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68"/>
      <c r="B13" s="2"/>
      <c r="C13" s="2"/>
      <c r="D13" s="2"/>
      <c r="E13" s="3"/>
      <c r="F13" s="170">
        <f t="shared" ref="F13:J13" si="1">F4+F11+F5+F6+F7+F8+F9+F10++F12</f>
        <v>14600</v>
      </c>
      <c r="G13" s="170">
        <f t="shared" si="1"/>
        <v>2800</v>
      </c>
      <c r="H13" s="170">
        <f t="shared" si="1"/>
        <v>300</v>
      </c>
      <c r="I13" s="170">
        <f t="shared" si="1"/>
        <v>0</v>
      </c>
      <c r="J13" s="170">
        <f t="shared" si="1"/>
        <v>0</v>
      </c>
      <c r="K13" s="70"/>
      <c r="L13" s="70"/>
      <c r="M13" s="71"/>
    </row>
    <row r="14" ht="48.0" customHeight="1">
      <c r="F14" s="72">
        <f>F13+G13+H13+I13+J13+F15</f>
        <v>17700</v>
      </c>
      <c r="G14" s="2"/>
      <c r="H14" s="2"/>
      <c r="I14" s="2"/>
      <c r="J14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2">
    <mergeCell ref="K2:K3"/>
    <mergeCell ref="L2:L3"/>
    <mergeCell ref="E2:E3"/>
    <mergeCell ref="A13:E13"/>
    <mergeCell ref="F14:J1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1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3" t="s">
        <v>15</v>
      </c>
      <c r="B4" s="155">
        <v>46111.0</v>
      </c>
      <c r="C4" s="156" t="s">
        <v>266</v>
      </c>
      <c r="D4" s="157">
        <v>116010.0</v>
      </c>
      <c r="E4" s="158" t="s">
        <v>199</v>
      </c>
      <c r="F4" s="160"/>
      <c r="G4" s="113">
        <v>2400.0</v>
      </c>
      <c r="H4" s="113"/>
      <c r="I4" s="121"/>
      <c r="J4" s="113"/>
      <c r="K4" s="161" t="s">
        <v>46</v>
      </c>
      <c r="L4" s="162"/>
      <c r="M4" s="165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74" t="s">
        <v>20</v>
      </c>
      <c r="B5" s="139">
        <v>46112.0</v>
      </c>
      <c r="C5" s="18" t="s">
        <v>267</v>
      </c>
      <c r="D5" s="118">
        <v>10008.0</v>
      </c>
      <c r="E5" s="119" t="s">
        <v>268</v>
      </c>
      <c r="F5" s="129"/>
      <c r="G5" s="129">
        <v>4000.0</v>
      </c>
      <c r="H5" s="130"/>
      <c r="I5" s="128"/>
      <c r="J5" s="142"/>
      <c r="K5" s="123" t="s">
        <v>46</v>
      </c>
      <c r="L5" s="50"/>
      <c r="M5" s="88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73" t="s">
        <v>23</v>
      </c>
      <c r="B6" s="149">
        <v>46112.0</v>
      </c>
      <c r="C6" s="109" t="s">
        <v>269</v>
      </c>
      <c r="D6" s="150">
        <v>30910.0</v>
      </c>
      <c r="E6" s="111" t="s">
        <v>270</v>
      </c>
      <c r="F6" s="166">
        <v>2500.0</v>
      </c>
      <c r="G6" s="132"/>
      <c r="H6" s="132"/>
      <c r="I6" s="133"/>
      <c r="J6" s="142"/>
      <c r="K6" s="123" t="s">
        <v>46</v>
      </c>
      <c r="L6" s="50"/>
      <c r="M6" s="127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73" t="s">
        <v>26</v>
      </c>
      <c r="B7" s="89">
        <v>46112.0</v>
      </c>
      <c r="C7" s="43" t="s">
        <v>271</v>
      </c>
      <c r="D7" s="44">
        <v>51166.0</v>
      </c>
      <c r="E7" s="98" t="s">
        <v>243</v>
      </c>
      <c r="F7" s="167"/>
      <c r="G7" s="99"/>
      <c r="H7" s="151">
        <v>2500.0</v>
      </c>
      <c r="I7" s="94"/>
      <c r="J7" s="142"/>
      <c r="K7" s="123" t="s">
        <v>46</v>
      </c>
      <c r="L7" s="50"/>
      <c r="M7" s="127" t="s">
        <v>39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74" t="s">
        <v>29</v>
      </c>
      <c r="B8" s="89">
        <v>46112.0</v>
      </c>
      <c r="C8" s="43" t="s">
        <v>272</v>
      </c>
      <c r="D8" s="44">
        <v>10006.0</v>
      </c>
      <c r="E8" s="98" t="s">
        <v>34</v>
      </c>
      <c r="F8" s="99"/>
      <c r="G8" s="99">
        <v>4800.0</v>
      </c>
      <c r="H8" s="153"/>
      <c r="I8" s="94"/>
      <c r="J8" s="95"/>
      <c r="K8" s="125" t="s">
        <v>46</v>
      </c>
      <c r="L8" s="50"/>
      <c r="M8" s="127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73" t="s">
        <v>32</v>
      </c>
      <c r="B9" s="89">
        <v>46112.0</v>
      </c>
      <c r="C9" s="43" t="s">
        <v>273</v>
      </c>
      <c r="D9" s="44">
        <v>51017.0</v>
      </c>
      <c r="E9" s="98" t="s">
        <v>64</v>
      </c>
      <c r="F9" s="99">
        <v>4750.0</v>
      </c>
      <c r="G9" s="102"/>
      <c r="H9" s="153"/>
      <c r="I9" s="94"/>
      <c r="J9" s="95"/>
      <c r="K9" s="125" t="s">
        <v>46</v>
      </c>
      <c r="L9" s="50"/>
      <c r="M9" s="127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74" t="s">
        <v>35</v>
      </c>
      <c r="B10" s="89">
        <v>46112.0</v>
      </c>
      <c r="C10" s="43" t="s">
        <v>274</v>
      </c>
      <c r="D10" s="44">
        <v>108634.0</v>
      </c>
      <c r="E10" s="98" t="s">
        <v>275</v>
      </c>
      <c r="F10" s="99"/>
      <c r="G10" s="146">
        <v>450.0</v>
      </c>
      <c r="H10" s="153"/>
      <c r="I10" s="94"/>
      <c r="J10" s="95"/>
      <c r="K10" s="125" t="s">
        <v>46</v>
      </c>
      <c r="L10" s="50"/>
      <c r="M10" s="127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73" t="s">
        <v>49</v>
      </c>
      <c r="B11" s="89">
        <v>46112.0</v>
      </c>
      <c r="C11" s="43" t="s">
        <v>276</v>
      </c>
      <c r="D11" s="44">
        <v>49655.0</v>
      </c>
      <c r="E11" s="98" t="s">
        <v>277</v>
      </c>
      <c r="F11" s="99"/>
      <c r="G11" s="146">
        <v>10000.0</v>
      </c>
      <c r="H11" s="153"/>
      <c r="I11" s="94"/>
      <c r="J11" s="95"/>
      <c r="K11" s="125" t="s">
        <v>61</v>
      </c>
      <c r="L11" s="50"/>
      <c r="M11" s="127" t="s">
        <v>62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74" t="s">
        <v>50</v>
      </c>
      <c r="B12" s="89">
        <v>46112.0</v>
      </c>
      <c r="C12" s="43" t="s">
        <v>278</v>
      </c>
      <c r="D12" s="44">
        <v>111515.0</v>
      </c>
      <c r="E12" s="98" t="s">
        <v>279</v>
      </c>
      <c r="F12" s="99"/>
      <c r="G12" s="146">
        <v>2950.0</v>
      </c>
      <c r="H12" s="153"/>
      <c r="I12" s="94"/>
      <c r="J12" s="95"/>
      <c r="K12" s="125" t="s">
        <v>46</v>
      </c>
      <c r="L12" s="50"/>
      <c r="M12" s="127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73" t="s">
        <v>51</v>
      </c>
      <c r="B13" s="89">
        <v>46112.0</v>
      </c>
      <c r="C13" s="43" t="s">
        <v>280</v>
      </c>
      <c r="D13" s="44">
        <v>106403.0</v>
      </c>
      <c r="E13" s="98" t="s">
        <v>261</v>
      </c>
      <c r="F13" s="99"/>
      <c r="G13" s="146">
        <v>2500.0</v>
      </c>
      <c r="H13" s="153"/>
      <c r="I13" s="94"/>
      <c r="J13" s="95"/>
      <c r="K13" s="125" t="s">
        <v>46</v>
      </c>
      <c r="L13" s="50"/>
      <c r="M13" s="127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74" t="s">
        <v>52</v>
      </c>
      <c r="B14" s="89">
        <v>46112.0</v>
      </c>
      <c r="C14" s="43" t="s">
        <v>281</v>
      </c>
      <c r="D14" s="44">
        <v>106403.0</v>
      </c>
      <c r="E14" s="98" t="s">
        <v>261</v>
      </c>
      <c r="F14" s="102"/>
      <c r="G14" s="146">
        <v>450.0</v>
      </c>
      <c r="H14" s="103"/>
      <c r="I14" s="94"/>
      <c r="J14" s="95"/>
      <c r="K14" s="125" t="s">
        <v>46</v>
      </c>
      <c r="L14" s="50"/>
      <c r="M14" s="127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173" t="s">
        <v>53</v>
      </c>
      <c r="B15" s="175">
        <v>46112.0</v>
      </c>
      <c r="C15" s="176" t="s">
        <v>282</v>
      </c>
      <c r="D15" s="177">
        <v>116690.0</v>
      </c>
      <c r="E15" s="178" t="s">
        <v>257</v>
      </c>
      <c r="F15" s="179"/>
      <c r="G15" s="179">
        <v>450.0</v>
      </c>
      <c r="H15" s="130"/>
      <c r="I15" s="128"/>
      <c r="J15" s="130"/>
      <c r="K15" s="180" t="s">
        <v>46</v>
      </c>
      <c r="L15" s="81"/>
      <c r="M15" s="88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174" t="s">
        <v>54</v>
      </c>
      <c r="B16" s="175">
        <v>46112.0</v>
      </c>
      <c r="C16" s="176" t="s">
        <v>283</v>
      </c>
      <c r="D16" s="177">
        <v>52685.0</v>
      </c>
      <c r="E16" s="178" t="s">
        <v>284</v>
      </c>
      <c r="F16" s="179">
        <v>4600.0</v>
      </c>
      <c r="G16" s="179"/>
      <c r="H16" s="130"/>
      <c r="I16" s="128"/>
      <c r="J16" s="130"/>
      <c r="K16" s="180" t="s">
        <v>46</v>
      </c>
      <c r="L16" s="81"/>
      <c r="M16" s="88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173" t="s">
        <v>55</v>
      </c>
      <c r="B17" s="175">
        <v>46112.0</v>
      </c>
      <c r="C17" s="176" t="s">
        <v>285</v>
      </c>
      <c r="D17" s="177">
        <v>10357.0</v>
      </c>
      <c r="E17" s="178" t="s">
        <v>286</v>
      </c>
      <c r="F17" s="179">
        <v>4000.0</v>
      </c>
      <c r="G17" s="179"/>
      <c r="H17" s="130"/>
      <c r="I17" s="128"/>
      <c r="J17" s="130"/>
      <c r="K17" s="180" t="s">
        <v>46</v>
      </c>
      <c r="L17" s="81"/>
      <c r="M17" s="88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174" t="s">
        <v>38</v>
      </c>
      <c r="B18" s="175">
        <v>46112.0</v>
      </c>
      <c r="C18" s="176" t="s">
        <v>287</v>
      </c>
      <c r="D18" s="177">
        <v>43102.0</v>
      </c>
      <c r="E18" s="178" t="s">
        <v>288</v>
      </c>
      <c r="F18" s="179">
        <v>5000.0</v>
      </c>
      <c r="G18" s="179"/>
      <c r="H18" s="130"/>
      <c r="I18" s="128"/>
      <c r="J18" s="130"/>
      <c r="K18" s="180" t="s">
        <v>46</v>
      </c>
      <c r="L18" s="81"/>
      <c r="M18" s="88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173" t="s">
        <v>40</v>
      </c>
      <c r="B19" s="175">
        <v>46112.0</v>
      </c>
      <c r="C19" s="176" t="s">
        <v>289</v>
      </c>
      <c r="D19" s="177">
        <v>10006.0</v>
      </c>
      <c r="E19" s="178" t="s">
        <v>34</v>
      </c>
      <c r="F19" s="179">
        <v>2400.0</v>
      </c>
      <c r="G19" s="179"/>
      <c r="H19" s="130"/>
      <c r="I19" s="128"/>
      <c r="J19" s="130"/>
      <c r="K19" s="180" t="s">
        <v>46</v>
      </c>
      <c r="L19" s="81"/>
      <c r="M19" s="88" t="s">
        <v>19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74" t="s">
        <v>41</v>
      </c>
      <c r="B20" s="175">
        <v>46112.0</v>
      </c>
      <c r="C20" s="176" t="s">
        <v>290</v>
      </c>
      <c r="D20" s="177">
        <v>38416.0</v>
      </c>
      <c r="E20" s="178" t="s">
        <v>291</v>
      </c>
      <c r="F20" s="179">
        <v>3700.0</v>
      </c>
      <c r="G20" s="179"/>
      <c r="H20" s="130"/>
      <c r="I20" s="128"/>
      <c r="J20" s="130"/>
      <c r="K20" s="180" t="s">
        <v>46</v>
      </c>
      <c r="L20" s="81"/>
      <c r="M20" s="88" t="s">
        <v>19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173"/>
      <c r="B21" s="139"/>
      <c r="C21" s="18"/>
      <c r="D21" s="118"/>
      <c r="E21" s="119"/>
      <c r="F21" s="129"/>
      <c r="G21" s="129"/>
      <c r="H21" s="130"/>
      <c r="I21" s="128"/>
      <c r="J21" s="130"/>
      <c r="K21" s="123"/>
      <c r="L21" s="81"/>
      <c r="M21" s="8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16"/>
      <c r="B22" s="89"/>
      <c r="C22" s="43"/>
      <c r="D22" s="44"/>
      <c r="E22" s="98"/>
      <c r="F22" s="146"/>
      <c r="G22" s="102"/>
      <c r="H22" s="153"/>
      <c r="I22" s="94"/>
      <c r="J22" s="142"/>
      <c r="K22" s="125"/>
      <c r="L22" s="50"/>
      <c r="M22" s="127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customHeight="1">
      <c r="A23" s="68"/>
      <c r="B23" s="2"/>
      <c r="C23" s="2"/>
      <c r="D23" s="2"/>
      <c r="E23" s="3"/>
      <c r="F23" s="170">
        <f t="shared" ref="F23:J23" si="1">SUM(F4:F22)</f>
        <v>26950</v>
      </c>
      <c r="G23" s="170">
        <f t="shared" si="1"/>
        <v>28000</v>
      </c>
      <c r="H23" s="170">
        <f t="shared" si="1"/>
        <v>2500</v>
      </c>
      <c r="I23" s="170">
        <f t="shared" si="1"/>
        <v>0</v>
      </c>
      <c r="J23" s="170">
        <f t="shared" si="1"/>
        <v>0</v>
      </c>
      <c r="K23" s="70"/>
      <c r="L23" s="70"/>
      <c r="M23" s="71"/>
    </row>
    <row r="24" ht="48.0" customHeight="1">
      <c r="F24" s="72">
        <f>F23+G23+H23+I23+J23+F25</f>
        <v>57450</v>
      </c>
      <c r="G24" s="2"/>
      <c r="H24" s="2"/>
      <c r="I24" s="2"/>
      <c r="J24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23:E23"/>
    <mergeCell ref="F24:J24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2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
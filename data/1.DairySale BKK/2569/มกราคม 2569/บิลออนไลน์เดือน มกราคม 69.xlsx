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.. 30-12-50169" sheetId="1" r:id="rId4"/>
    <sheet state="visible" name="6-1-69" sheetId="2" r:id="rId5"/>
    <sheet state="visible" name="7-1-69" sheetId="3" r:id="rId6"/>
    <sheet state="visible" name="8-1-69" sheetId="4" r:id="rId7"/>
    <sheet state="visible" name="9-1-69" sheetId="5" r:id="rId8"/>
    <sheet state="visible" name="10-1-69" sheetId="6" r:id="rId9"/>
    <sheet state="visible" name="11-1-69" sheetId="7" r:id="rId10"/>
    <sheet state="visible" name="12-1-69" sheetId="8" r:id="rId11"/>
    <sheet state="visible" name="13-1-69" sheetId="9" r:id="rId12"/>
    <sheet state="visible" name="14-1-69" sheetId="10" r:id="rId13"/>
    <sheet state="visible" name="15-1-69" sheetId="11" r:id="rId14"/>
    <sheet state="visible" name="16-1-69" sheetId="12" r:id="rId15"/>
    <sheet state="visible" name="17-1-69" sheetId="13" r:id="rId16"/>
    <sheet state="visible" name="18-1-69" sheetId="14" r:id="rId17"/>
    <sheet state="visible" name="19-1-69" sheetId="15" r:id="rId18"/>
    <sheet state="visible" name="20-1-69" sheetId="16" r:id="rId19"/>
    <sheet state="visible" name="21-1-69" sheetId="17" r:id="rId20"/>
    <sheet state="visible" name="22-1-69" sheetId="18" r:id="rId21"/>
    <sheet state="visible" name="23-1-69" sheetId="19" r:id="rId22"/>
    <sheet state="visible" name="24-1-69" sheetId="20" r:id="rId23"/>
    <sheet state="visible" name="25-1-69" sheetId="21" r:id="rId24"/>
    <sheet state="visible" name="26-1-69" sheetId="22" r:id="rId25"/>
    <sheet state="visible" name="27-1-69" sheetId="23" r:id="rId26"/>
    <sheet state="visible" name="28-1-69" sheetId="24" r:id="rId27"/>
    <sheet state="visible" name="29-1-69" sheetId="25" r:id="rId28"/>
    <sheet state="visible" name="30-1-69" sheetId="26" r:id="rId29"/>
    <sheet state="visible" name="31-1-69" sheetId="27" r:id="rId30"/>
  </sheets>
  <definedNames/>
  <calcPr/>
  <extLst>
    <ext uri="GoogleSheetsCustomDataVersion2">
      <go:sheetsCustomData xmlns:go="http://customooxmlschemas.google.com/" r:id="rId31" roundtripDataChecksum="4In3LVIpk4E3shvj1Nbx9ZBMSngPFLGrYBQuvDnAUpU="/>
    </ext>
  </extLst>
</workbook>
</file>

<file path=xl/sharedStrings.xml><?xml version="1.0" encoding="utf-8"?>
<sst xmlns="http://schemas.openxmlformats.org/spreadsheetml/2006/main" count="2079" uniqueCount="474">
  <si>
    <t xml:space="preserve">              สรุปยอด บิลออนไลน์  จัดส่ง / นำเข้า DP ดึงตั้งแต่  30  ธันวาคม  2568 - 5 มกราคม 2569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</si>
  <si>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</si>
  <si>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</si>
  <si>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</si>
  <si>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</si>
  <si>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</si>
  <si>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</si>
  <si>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</si>
  <si>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</si>
  <si>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</si>
  <si>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</si>
  <si>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</si>
  <si>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</si>
  <si>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</si>
  <si>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</si>
  <si>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</si>
  <si>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12/30/2025</t>
  </si>
  <si>
    <t>STHONLIN2512008109</t>
  </si>
  <si>
    <t>บริษัท ดีเวย์ ริชคอร์ป จำกัด(สำนักงานใหญ่)</t>
  </si>
  <si>
    <t>BKK</t>
  </si>
  <si>
    <t>รับเอง กทม.</t>
  </si>
  <si>
    <t>2</t>
  </si>
  <si>
    <t>STHONLIN2512008164</t>
  </si>
  <si>
    <t>3</t>
  </si>
  <si>
    <t>12/31/2025</t>
  </si>
  <si>
    <t>STHONLIN2512008442</t>
  </si>
  <si>
    <t>Mrs. Ndele Nahlela Ndipnu</t>
  </si>
  <si>
    <t>4</t>
  </si>
  <si>
    <t>STHONLIN2512008478</t>
  </si>
  <si>
    <t>นาย กฤตพัส  วงศ์สว่าง</t>
  </si>
  <si>
    <t>5</t>
  </si>
  <si>
    <t>STHONLIN2601000015</t>
  </si>
  <si>
    <t>นาง ตะวันฉาย สุทธิอาจ</t>
  </si>
  <si>
    <t>6</t>
  </si>
  <si>
    <t>STHONLIN2601000063</t>
  </si>
  <si>
    <t>นางสาว ชารอน สุทธิอาจ</t>
  </si>
  <si>
    <t>7</t>
  </si>
  <si>
    <t>STHONLIN2601000064</t>
  </si>
  <si>
    <t>นาย วันชัย วาโย</t>
  </si>
  <si>
    <t>8</t>
  </si>
  <si>
    <t>STHONLIN2601000065</t>
  </si>
  <si>
    <t>นางสาว เมธาวี สุขเฉลิม</t>
  </si>
  <si>
    <t>9</t>
  </si>
  <si>
    <t>STHONLIN2601000142</t>
  </si>
  <si>
    <t>บริษัท สยามทวีทิพย์ จำกัด(สำนักงานใหญ่)</t>
  </si>
  <si>
    <t>NB</t>
  </si>
  <si>
    <t>จัดส่ง DP</t>
  </si>
  <si>
    <t>10</t>
  </si>
  <si>
    <t>STHONLIN2601000146</t>
  </si>
  <si>
    <t>นาย อภิรัตน์ เพชรพรรณ</t>
  </si>
  <si>
    <t>11</t>
  </si>
  <si>
    <t>STHONLIN2601000158</t>
  </si>
  <si>
    <t>นาย ธาตุพนม โคตรประดา</t>
  </si>
  <si>
    <t>12</t>
  </si>
  <si>
    <t>STHONLIN2601000235</t>
  </si>
  <si>
    <t>นาง ชนิดา พงษ์เสริม</t>
  </si>
  <si>
    <t>13</t>
  </si>
  <si>
    <t>STHONLIN2601000236</t>
  </si>
  <si>
    <t>14</t>
  </si>
  <si>
    <t>STHONLIN2601000372</t>
  </si>
  <si>
    <t>ห้างหุ้นส่วน โกรท โกลเบิล เน็ตเวิร์ก (สำนักงานใหญ่)</t>
  </si>
  <si>
    <t>15</t>
  </si>
  <si>
    <t>STHONLIN2601000376</t>
  </si>
  <si>
    <t>นางสาว กิ่งแก้ว บุญโยประการ</t>
  </si>
  <si>
    <t>จัดส่ง กทม.</t>
  </si>
  <si>
    <t>16</t>
  </si>
  <si>
    <t>STHONLIN2601000377</t>
  </si>
  <si>
    <t>นาย กฤตภาส อยู่เย็น</t>
  </si>
  <si>
    <t>17</t>
  </si>
  <si>
    <t>STHONLIN2601000378</t>
  </si>
  <si>
    <t>นาย ธนบูลย์ แสงฐิตาพันธุ์</t>
  </si>
  <si>
    <t>18</t>
  </si>
  <si>
    <t>STHONLIN2601000379</t>
  </si>
  <si>
    <t xml:space="preserve">              สรุปยอด บิลออนไลน์  จัดส่ง / นำเข้า DP ดึงตั้งแต่   6  ธันวาคม  2568                                                                                                </t>
  </si>
  <si>
    <t>STHONLIN2601000443</t>
  </si>
  <si>
    <t>นาย อรรถ​วัฒน์​ พงศ์​ธนโรจน์</t>
  </si>
  <si>
    <t>BKK01</t>
  </si>
  <si>
    <t>STHONLIN2601000463</t>
  </si>
  <si>
    <t>Mr. FREDERICK BALOKO</t>
  </si>
  <si>
    <t>STHONLIN2601000474</t>
  </si>
  <si>
    <t>Mr. Mr. EMMANUEL ALONGAMOH FOLEFAC</t>
  </si>
  <si>
    <t>STHONLIN2601000475</t>
  </si>
  <si>
    <t>JEREMIAH ITOE NDOUMBE</t>
  </si>
  <si>
    <t>STHONLIN2601000478</t>
  </si>
  <si>
    <t>EMILIA NDOITA</t>
  </si>
  <si>
    <t>STHONLIN2601000484</t>
  </si>
  <si>
    <t>SILDA MBONG</t>
  </si>
  <si>
    <t>STHONLIN2601000493</t>
  </si>
  <si>
    <t>SILDA NGONG</t>
  </si>
  <si>
    <t>STHONLIN2601000637</t>
  </si>
  <si>
    <t>STHONLIN2601000639</t>
  </si>
  <si>
    <t>นาย สุรพล จันทรานุรักษ์</t>
  </si>
  <si>
    <t>STHONLIN2601000641</t>
  </si>
  <si>
    <t>นาย บูชาติ หาดสร้อย</t>
  </si>
  <si>
    <t>STHONLIN2601000644</t>
  </si>
  <si>
    <t>Mr. lontsi bala belmond</t>
  </si>
  <si>
    <t>STHONLIN2601000647</t>
  </si>
  <si>
    <t>Ms. Eghomba Ernestine Alih</t>
  </si>
  <si>
    <t>STHONLIN2601000649</t>
  </si>
  <si>
    <t>STHONLIN2601000669</t>
  </si>
  <si>
    <t>Mr. Godwin Amanui Ngongang</t>
  </si>
  <si>
    <t>STHONLIN2601000672</t>
  </si>
  <si>
    <t>นาย จักรพงศ์ สินธุรักษ์</t>
  </si>
  <si>
    <t xml:space="preserve">              สรุปยอด บิลออนไลน์  จัดส่ง / นำเข้า DP ดึงตั้งแต่   7  ธันวาคม  2568                                                                                                </t>
  </si>
  <si>
    <t>STHONLIN2601000755</t>
  </si>
  <si>
    <t>Male Samuel</t>
  </si>
  <si>
    <t>STHONLIN2601000757</t>
  </si>
  <si>
    <t>Ntoh Cliton</t>
  </si>
  <si>
    <t>STHONLIN2601000760</t>
  </si>
  <si>
    <t>ห้างหุ้นส่วน ไดม่อนอันดามัน เน็ตเวิร์ค  (สำนักงานใหญ่)</t>
  </si>
  <si>
    <t>STHONLIN2601000946</t>
  </si>
  <si>
    <t>นาย สาธิต คำรังษี</t>
  </si>
  <si>
    <t>STHONLIN2601000952</t>
  </si>
  <si>
    <t>วราภรณ์   เตชะนันท์</t>
  </si>
  <si>
    <t>STHONLIN2601000968</t>
  </si>
  <si>
    <t>นาง ปริษา ปรัชญาโชติการ</t>
  </si>
  <si>
    <t>รับเอง DP</t>
  </si>
  <si>
    <t xml:space="preserve">              สรุปยอด บิลออนไลน์  จัดส่ง / นำเข้า DP ดึงตั้งแต่   8  ธันวาคม  2568                                                                                                </t>
  </si>
  <si>
    <t>STHONLIN2601001288</t>
  </si>
  <si>
    <t>นาง นิภาพรรณ วงษ์หอม</t>
  </si>
  <si>
    <t>STHONLIN2601001297</t>
  </si>
  <si>
    <t>บริษัท เศรษฐกวี จำกัด ( สำนักงานใหญ่ )</t>
  </si>
  <si>
    <t>STHONLIN2601001328</t>
  </si>
  <si>
    <t>Ms. Chatchaya Wutthiamornthada</t>
  </si>
  <si>
    <t>STHONLIN2601001329</t>
  </si>
  <si>
    <t xml:space="preserve">              สรุปยอด บิลออนไลน์  จัดส่ง / นำเข้า DP ดึงตั้งแต่   9  ธันวาคม  2568                                                                                                </t>
  </si>
  <si>
    <t>STHONLIN2601001370</t>
  </si>
  <si>
    <t>STHONLIN2601001393</t>
  </si>
  <si>
    <t>Beatrice Nanyinge Lumbe</t>
  </si>
  <si>
    <t>STHONLIN2601001395</t>
  </si>
  <si>
    <t>Mathias Nanje</t>
  </si>
  <si>
    <t>STHONLIN2601001396</t>
  </si>
  <si>
    <t>Legwongong Paul Fondungulah</t>
  </si>
  <si>
    <t>STHONLIN2601001398</t>
  </si>
  <si>
    <t>Pascaline ndum buh</t>
  </si>
  <si>
    <t>STHONLIN2601001401</t>
  </si>
  <si>
    <t>Mbianca Martin</t>
  </si>
  <si>
    <t>STHONLIN2601001413</t>
  </si>
  <si>
    <t>Njodzefe Olivia limnyuy</t>
  </si>
  <si>
    <t>STHONLIN2601001567</t>
  </si>
  <si>
    <t>นาย ไพฑูรย์ โนนพลกรัง</t>
  </si>
  <si>
    <t>STHONLIN2601001569</t>
  </si>
  <si>
    <t>นาย สมยศ อภิรัชนากุล</t>
  </si>
  <si>
    <t>STHONLIN2601001576</t>
  </si>
  <si>
    <t>นาย โสภณวิชญ์ วงษกร</t>
  </si>
  <si>
    <t>STHONLIN2601001619</t>
  </si>
  <si>
    <t>Ms. Miss OLUMUH ANGELINE EYERE</t>
  </si>
  <si>
    <t>STHONLIN2601001621</t>
  </si>
  <si>
    <t xml:space="preserve">              สรุปยอด บิลออนไลน์  จัดส่ง / นำเข้า DP ดึงตั้งแต่   10  ธันวาคม  2568                                                                                                </t>
  </si>
  <si>
    <t>STHONLIN2601001834</t>
  </si>
  <si>
    <t>STHONLIN2601001841</t>
  </si>
  <si>
    <t>STHONLIN2601001843</t>
  </si>
  <si>
    <t>นาง สิริรักษ์ ผิวอ่อน</t>
  </si>
  <si>
    <t>STHONLIN2601001862</t>
  </si>
  <si>
    <t>STHONLIN2601001865</t>
  </si>
  <si>
    <t>ปราณี  บุญเป็ง</t>
  </si>
  <si>
    <t>STHONLIN2601001869</t>
  </si>
  <si>
    <t>Mr. Wende Gilbert Ike Igelle</t>
  </si>
  <si>
    <t>STHONLIN2601001878</t>
  </si>
  <si>
    <t>STHONLIN2601001881</t>
  </si>
  <si>
    <t>บริษัทสว่างทรัพย์  จำกัด</t>
  </si>
  <si>
    <t xml:space="preserve">              สรุปยอด บิลออนไลน์  จัดส่ง / นำเข้า DP ดึงตั้งแต่   11  ธันวาคม  2568                                                                                                </t>
  </si>
  <si>
    <t>STHONLIN2601001910</t>
  </si>
  <si>
    <t>แกรนด์ วานิชสุจริต</t>
  </si>
  <si>
    <t>STHONLIN2601001976</t>
  </si>
  <si>
    <t>STHONLIN2601002074</t>
  </si>
  <si>
    <t>Mr. Okeme Felix Oyo</t>
  </si>
  <si>
    <t>STHONLIN2601002075</t>
  </si>
  <si>
    <t>นาย พีรพงศ์ ภรประเสริฐศรี</t>
  </si>
  <si>
    <t>STHONLIN2601002076</t>
  </si>
  <si>
    <t>นาง กัญฐ์ภิญญา จงยันต์ธนกุล</t>
  </si>
  <si>
    <t>STHONLIN2601002077</t>
  </si>
  <si>
    <t>นาง ณัฏฐ์เขมิกา ปรินชาน์พันธุ์กร</t>
  </si>
  <si>
    <t>STHONLIN2601002078</t>
  </si>
  <si>
    <t>STHONLIN2601002079</t>
  </si>
  <si>
    <t>นางสาว รวินท์รัตน์ เหลืองอ่อน</t>
  </si>
  <si>
    <t>STHONLIN2601002080</t>
  </si>
  <si>
    <t>STHONLIN2601002082</t>
  </si>
  <si>
    <t>STHONLIN2601002091</t>
  </si>
  <si>
    <t>นาย สุรวัฒน์ ตั้งพงศ์ศิรประภา</t>
  </si>
  <si>
    <t>STHONLIN2601002105</t>
  </si>
  <si>
    <t xml:space="preserve">              สรุปยอด บิลออนไลน์  จัดส่ง / นำเข้า DP ดึงตั้งแต่   12  ธันวาคม  2568                                                                                                </t>
  </si>
  <si>
    <t>STHONLIN2601002118</t>
  </si>
  <si>
    <t>STHONLIN2601002173</t>
  </si>
  <si>
    <t>นางสาว อรณิกร บุญเกษม</t>
  </si>
  <si>
    <t>STHONLIN2601002175</t>
  </si>
  <si>
    <t>STHONLIN2601002177</t>
  </si>
  <si>
    <t>Hamusaveni</t>
  </si>
  <si>
    <t>STHONLIN2601002178</t>
  </si>
  <si>
    <t>Muthalakan Rajaram</t>
  </si>
  <si>
    <t>STHONLIN2601002180</t>
  </si>
  <si>
    <t xml:space="preserve">              สรุปยอด บิลออนไลน์  จัดส่ง / นำเข้า DP ดึงตั้งแต่   13  ธันวาคม  2568                                                                                                </t>
  </si>
  <si>
    <t>STHONLIN2601002261</t>
  </si>
  <si>
    <t>บริษัท  ต.ศรีโสภณ จำกัด (สำนักงานใหญ่)</t>
  </si>
  <si>
    <t>1/13/2026</t>
  </si>
  <si>
    <t>STHONLIN2601002453</t>
  </si>
  <si>
    <t>บริษัท โคบาราเอฟโวลูชั่น (ประเทศไทย)จำกัด ( สำนักงานใหญ่ )</t>
  </si>
  <si>
    <t>STHONLIN2601002463</t>
  </si>
  <si>
    <t>Mr. PAUL EPANG KOME</t>
  </si>
  <si>
    <t>STHONLIN2601002469</t>
  </si>
  <si>
    <t>STHONLIN2601002485</t>
  </si>
  <si>
    <t xml:space="preserve">              สรุปยอด บิลออนไลน์  จัดส่ง / นำเข้า DP ดึงตั้งแต่   14  ธันวาคม  2568                                                                                                </t>
  </si>
  <si>
    <t>STHONLIN2601002597</t>
  </si>
  <si>
    <t>Mr. Mr BETANA SIRANTIS MBIAKAETAPO</t>
  </si>
  <si>
    <t>STHONLIN2601002630</t>
  </si>
  <si>
    <t>Mr.Ayah</t>
  </si>
  <si>
    <t>STHONLIN2601002633</t>
  </si>
  <si>
    <t>Lebonge Divine</t>
  </si>
  <si>
    <t>STHONLIN2601002637</t>
  </si>
  <si>
    <t>SUREAH RAJ A/L PERMAL</t>
  </si>
  <si>
    <t>STHONLIN2601002656</t>
  </si>
  <si>
    <t>นางสาว ภรณ์ธิดา สมทอง</t>
  </si>
  <si>
    <t>STHONLIN2601002659</t>
  </si>
  <si>
    <t>Dah Prodencia</t>
  </si>
  <si>
    <t>STHONLIN2601002822</t>
  </si>
  <si>
    <t>ธนพงษ์ ปะตะคามินทร์</t>
  </si>
  <si>
    <t>STHONLIN2601002823</t>
  </si>
  <si>
    <t>Mr. Mvenyi Gerald Tetenyi</t>
  </si>
  <si>
    <t>STHONLIN2601002824</t>
  </si>
  <si>
    <t>Mr. Assa Malvine Eyong</t>
  </si>
  <si>
    <t>STHONLIN2601002826</t>
  </si>
  <si>
    <t>นาย พงศ์พณิช. จิรวัฒน์พงศา</t>
  </si>
  <si>
    <t>STHONLIN2601002827</t>
  </si>
  <si>
    <t>น.ส. ชาริสา  โอแอม</t>
  </si>
  <si>
    <t>STHONLIN2601002828</t>
  </si>
  <si>
    <t>นางสาว พิมพ์ชญา  สุริยปรีชาพงษ์</t>
  </si>
  <si>
    <t>STHONLIN2601002830</t>
  </si>
  <si>
    <t>นางสาว กมลชนก อ่อนศรี</t>
  </si>
  <si>
    <t>STHONLIN2601002840</t>
  </si>
  <si>
    <t>นาง สมจิต คุ้มเรือน</t>
  </si>
  <si>
    <t xml:space="preserve">              สรุปยอด บิลออนไลน์  จัดส่ง / นำเข้า DP ดึงตั้งแต่   15  ธันวาคม  2568                                                                                                </t>
  </si>
  <si>
    <t>STHONLIN2601002906</t>
  </si>
  <si>
    <t>Ambosi Dakene</t>
  </si>
  <si>
    <t>STHONLIN2601002934</t>
  </si>
  <si>
    <t>นางสาว ธนิชชนันท์ สิริภาคยะประภา</t>
  </si>
  <si>
    <t>STHONLIN2601002943</t>
  </si>
  <si>
    <t>นาย ถนอม ยาตรา</t>
  </si>
  <si>
    <t>STHONLIN2601002967</t>
  </si>
  <si>
    <t>Fungylang Emmanuel Neba</t>
  </si>
  <si>
    <t>STHONLIN2601002969</t>
  </si>
  <si>
    <t>Folang Charles Cyrile</t>
  </si>
  <si>
    <t>STHONLIN2601002970</t>
  </si>
  <si>
    <t>Dah Precilla Tangu</t>
  </si>
  <si>
    <t>STHONLIN2601002973</t>
  </si>
  <si>
    <t>Neyoh Daniel</t>
  </si>
  <si>
    <t>STHONLIN2601002974</t>
  </si>
  <si>
    <t>Ngwa Albert Ndum</t>
  </si>
  <si>
    <t>STHONLIN2601002979</t>
  </si>
  <si>
    <t>MARCEL E. BOJA</t>
  </si>
  <si>
    <t>STHONLIN2601002984</t>
  </si>
  <si>
    <t>บุษกล สมใจ</t>
  </si>
  <si>
    <t>STHONLIN2601003033</t>
  </si>
  <si>
    <t>Mr. Yiweh Constantine Mvenyi</t>
  </si>
  <si>
    <t>STHONLIN2601003034</t>
  </si>
  <si>
    <t>นาย เอกชลิต ธวัชกฤตยา</t>
  </si>
  <si>
    <t>STHONLIN2601003035</t>
  </si>
  <si>
    <t>STHONLIN2601003036</t>
  </si>
  <si>
    <t>Mr. Eyaba Eugene Ogodu</t>
  </si>
  <si>
    <t>STHONLIN2601003037</t>
  </si>
  <si>
    <t>นาย เดชชาติ ภิญญากมลชาติ</t>
  </si>
  <si>
    <t>STHONLIN2601003039</t>
  </si>
  <si>
    <t>STHONLIN2601003040</t>
  </si>
  <si>
    <t>วราภรณ์  แถมมี</t>
  </si>
  <si>
    <t>STHONLIN2601003045</t>
  </si>
  <si>
    <t>นาง ภัคภร ทองประสม</t>
  </si>
  <si>
    <t>19</t>
  </si>
  <si>
    <t>STHONLIN2601003052</t>
  </si>
  <si>
    <t>ปภาภรณ์ ทอนจรุง</t>
  </si>
  <si>
    <t>20</t>
  </si>
  <si>
    <t>STHONLIN2601003053</t>
  </si>
  <si>
    <t>น.ส. อุทัยวรรณ  ศรีสกุลเมฆี</t>
  </si>
  <si>
    <t>21</t>
  </si>
  <si>
    <t>STHONLIN2601003060</t>
  </si>
  <si>
    <t>นางสาว พัชรมณฑ์ พรมทา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</si>
  <si>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</si>
  <si>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</si>
  <si>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</si>
  <si>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</si>
  <si>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</si>
  <si>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</si>
  <si>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</si>
  <si>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</si>
  <si>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</si>
  <si>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</si>
  <si>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</si>
  <si>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</si>
  <si>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</si>
  <si>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</si>
  <si>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 xml:space="preserve">              สรุปยอด บิลออนไลน์  จัดส่ง / นำเข้า DP ดึงตั้งแต่   16  ธันวาคม  2568                                                                                                </t>
  </si>
  <si>
    <t>STHONLIN2601003213</t>
  </si>
  <si>
    <t>นางสาว สุภาภรณ์  เยาว์แสง</t>
  </si>
  <si>
    <t>STHONLIN2601003279</t>
  </si>
  <si>
    <t>นางสาว ปราณี  บุญเป็ง</t>
  </si>
  <si>
    <t>STHONLIN2601003286</t>
  </si>
  <si>
    <t>Mr. Chinwendo</t>
  </si>
  <si>
    <t>STHONLIN2601003450</t>
  </si>
  <si>
    <t>STHONLIN2601003452</t>
  </si>
  <si>
    <t>STHONLIN2601003453</t>
  </si>
  <si>
    <t>นาย สิปปภาส  โรจนวสุธร</t>
  </si>
  <si>
    <t>STHONLIN2601003454</t>
  </si>
  <si>
    <t>STHONLIN2601003455</t>
  </si>
  <si>
    <t>STHONLIN2601003457</t>
  </si>
  <si>
    <t>นาย ดิเรก  กรีฑา</t>
  </si>
  <si>
    <t>STHONLIN2601003458</t>
  </si>
  <si>
    <t>นาย พิสุทธิ์. บุญเสฎฐ์พานิช</t>
  </si>
  <si>
    <t>STHONLIN2601003459</t>
  </si>
  <si>
    <t>STHONLIN2601003471</t>
  </si>
  <si>
    <t>นาย สมบูรณ์  อรุณพูลศิลป์</t>
  </si>
  <si>
    <t xml:space="preserve">              สรุปยอด บิลออนไลน์  จัดส่ง / นำเข้า DP ดึงตั้งแต่   17  ธันวาคม  2568                                                                                                </t>
  </si>
  <si>
    <t>STHONLIN2601003492</t>
  </si>
  <si>
    <t>ชนิสรา เพ็ชรคล้าย</t>
  </si>
  <si>
    <t>STHONLIN2601003494</t>
  </si>
  <si>
    <t>Mr. Mbutuh Nvenyi Celestine</t>
  </si>
  <si>
    <t>STHONLIN2601003514</t>
  </si>
  <si>
    <t>STHONLIN2601003526</t>
  </si>
  <si>
    <t>STHONLIN2601003537</t>
  </si>
  <si>
    <t>Bozi Robert Ofon</t>
  </si>
  <si>
    <t>STHONLIN2601003658</t>
  </si>
  <si>
    <t>STHONLIN2601003659</t>
  </si>
  <si>
    <t>STHONLIN2601003673</t>
  </si>
  <si>
    <t xml:space="preserve">              สรุปยอด บิลออนไลน์  จัดส่ง / นำเข้า DP ดึงตั้งแต่   18  ธันวาคม  2568                                                                                                </t>
  </si>
  <si>
    <t>STHONLIN2601003691</t>
  </si>
  <si>
    <t>โกวิท  เคล้าเครือ</t>
  </si>
  <si>
    <t>STHONLIN2601003769</t>
  </si>
  <si>
    <t>นางพัชรี  นาคพันธุ์</t>
  </si>
  <si>
    <t>STHONLIN2601003773</t>
  </si>
  <si>
    <t>STHONLIN2601003846</t>
  </si>
  <si>
    <t>STHONLIN2601003867</t>
  </si>
  <si>
    <t>น.ส วรภรณ์. แถมมี</t>
  </si>
  <si>
    <t>STHONLIN2601003868</t>
  </si>
  <si>
    <t xml:space="preserve">              สรุปยอด บิลออนไลน์  จัดส่ง / นำเข้า DP ดึงตั้งแต่   19  ธันวาคม  2568                                                                                                </t>
  </si>
  <si>
    <t>STHONLIN2601003977</t>
  </si>
  <si>
    <t>นางสาว ประภัสสร  ดีดวงพันธ์</t>
  </si>
  <si>
    <t>STHONLIN2601003978</t>
  </si>
  <si>
    <t>STHONLIN2601004010</t>
  </si>
  <si>
    <t>STHONLIN2601004023</t>
  </si>
  <si>
    <t>นางสาว นงพงา ตั้งฤทัยเยี่ยม</t>
  </si>
  <si>
    <t>STHONLIN2601004033</t>
  </si>
  <si>
    <t>นาง ประเสริฐ นิ้มแพร</t>
  </si>
  <si>
    <t xml:space="preserve">              สรุปยอด บิลออนไลน์  จัดส่ง / นำเข้า DP ดึงตั้งแต่   20  ธันวาคม  2568                                                                                                </t>
  </si>
  <si>
    <t>STHONLIN2601004104</t>
  </si>
  <si>
    <t>STHONLIN2601004304</t>
  </si>
  <si>
    <t>STHONLIN2601004306</t>
  </si>
  <si>
    <t>STHONLIN2601004308</t>
  </si>
  <si>
    <t>นาย ศักดิ์ชัย พบหิรรั</t>
  </si>
  <si>
    <t>STHONLIN2601004318</t>
  </si>
  <si>
    <t xml:space="preserve">              สรุปยอด บิลออนไลน์  จัดส่ง / นำเข้า DP ดึงตั้งแต่   21  ธันวาคม  2568                                                                                                </t>
  </si>
  <si>
    <t>STHONLIN2601004668</t>
  </si>
  <si>
    <t>STHONLIN2601004669</t>
  </si>
  <si>
    <t>STHONLIN2601004670</t>
  </si>
  <si>
    <t xml:space="preserve">              สรุปยอด บิลออนไลน์  จัดส่ง / นำเข้า DP ดึงตั้งแต่   22  ธันวาคม  2568                                                                                                </t>
  </si>
  <si>
    <t>STHONLIN2601004768</t>
  </si>
  <si>
    <t>น.ส. สิริรัตน์.  ทองอุไรสิน</t>
  </si>
  <si>
    <t>STHONLIN2601004819</t>
  </si>
  <si>
    <t>น.ส. กิ่งเดือน  กิจชัยนุกูล</t>
  </si>
  <si>
    <t>STHONLIN2601004820</t>
  </si>
  <si>
    <t>STHONLIN2601004833</t>
  </si>
  <si>
    <t>น.ส. นภสร  แปลกพงษ์ศิริ</t>
  </si>
  <si>
    <t>STHONLIN2601004834</t>
  </si>
  <si>
    <t>น.ส.พัชรา. แก้วสังข์</t>
  </si>
  <si>
    <t>STHONLIN2601004968</t>
  </si>
  <si>
    <t>นาย สมหมาย ทับทอง</t>
  </si>
  <si>
    <t>STHONLIN2601005012</t>
  </si>
  <si>
    <t>Armstrong Losah</t>
  </si>
  <si>
    <t xml:space="preserve">              สรุปยอด บิลออนไลน์  จัดส่ง / นำเข้า DP ดึงตั้งแต่   23  ธันวาคม  2568                                                                                                </t>
  </si>
  <si>
    <t>STHONLIN2601005347</t>
  </si>
  <si>
    <t>นาย เก่งภพ ศุภาภพปภาส</t>
  </si>
  <si>
    <t xml:space="preserve">              สรุปยอด บิลออนไลน์  จัดส่ง / นำเข้า DP ดึงตั้งแต่   24  ธันวาคม  2568                                                                                                </t>
  </si>
  <si>
    <t>STHONLIN2601005488</t>
  </si>
  <si>
    <t>Ms. Mispa Osonge</t>
  </si>
  <si>
    <t>STHONLIN2601005679</t>
  </si>
  <si>
    <t>มาเรียม   พุ่มพวง</t>
  </si>
  <si>
    <t xml:space="preserve">              สรุปยอด บิลออนไลน์  จัดส่ง / นำเข้า DP ดึงตั้งแต่   25  ธันวาคม  2568                                                                                                </t>
  </si>
  <si>
    <t>STHONLIN2601005748</t>
  </si>
  <si>
    <t>STHONLIN2601005765</t>
  </si>
  <si>
    <t>STHONLIN2601005770</t>
  </si>
  <si>
    <t>ธนาภา.  กิจชัยนุกูล</t>
  </si>
  <si>
    <t>STHONLIN2601005775</t>
  </si>
  <si>
    <t>ธนภัทร.  กิจชัย</t>
  </si>
  <si>
    <t>STHONLIN2601005778</t>
  </si>
  <si>
    <t>STHONLIN2601005788</t>
  </si>
  <si>
    <t>จีรวัชญ์   ศักดิ์ธนโรจน์</t>
  </si>
  <si>
    <t>STHONLIN2601005825</t>
  </si>
  <si>
    <t>สำอางค์ โชควัฒน์วิกุล</t>
  </si>
  <si>
    <t>STHONLIN2601005888</t>
  </si>
  <si>
    <t>RANDY REX RAOUL</t>
  </si>
  <si>
    <t>STHONLIN2601005892</t>
  </si>
  <si>
    <t>Darrelle Aimee Fortune</t>
  </si>
  <si>
    <t>STHONLIN2601005902</t>
  </si>
  <si>
    <t>TAMBELIN JOAN BESSEM</t>
  </si>
  <si>
    <t>STHONLIN2601005903</t>
  </si>
  <si>
    <t>Kudi Blaise Igang</t>
  </si>
  <si>
    <t xml:space="preserve">              สรุปยอด บิลออนไลน์  จัดส่ง / นำเข้า DP ดึงตั้งแต่   26  ธันวาคม  2568                                                                                                </t>
  </si>
  <si>
    <t>STHONLIN2601005961</t>
  </si>
  <si>
    <t>Kuddi Mendi Lysonge</t>
  </si>
  <si>
    <t>STHONLIN2601005973</t>
  </si>
  <si>
    <t xml:space="preserve">              สรุปยอด บิลออนไลน์  จัดส่ง / นำเข้า DP ดึงตั้งแต่   27 ธันวาคม  2568                                                                                                </t>
  </si>
  <si>
    <t>STHONLIN2601006013</t>
  </si>
  <si>
    <t>STHONLIN2601006056</t>
  </si>
  <si>
    <t>STHONLIN2601006070</t>
  </si>
  <si>
    <t>STHONLIN2601006074</t>
  </si>
  <si>
    <t>Ashley Mira</t>
  </si>
  <si>
    <t>STHONLIN2601006235</t>
  </si>
  <si>
    <t>STHONLIN2601006272</t>
  </si>
  <si>
    <t xml:space="preserve">              สรุปยอด บิลออนไลน์  จัดส่ง / นำเข้า DP ดึงตั้งแต่   28 ธันวาคม  2568                                                                                                </t>
  </si>
  <si>
    <t>STHONLIN2601006446</t>
  </si>
  <si>
    <t>STHONLIN2601006530</t>
  </si>
  <si>
    <t>STHONLIN2601006532</t>
  </si>
  <si>
    <t>นาย ธวัชชัย คำยันต์</t>
  </si>
  <si>
    <t>STHONLIN2601006533</t>
  </si>
  <si>
    <t>Mr. Dibo Louis Koffi</t>
  </si>
  <si>
    <t>STHONLIN2601006535</t>
  </si>
  <si>
    <t>STHONLIN2601006536</t>
  </si>
  <si>
    <t>นาย กัมปนาท รุ่งโรจน์</t>
  </si>
  <si>
    <t>STHONLIN2601006539</t>
  </si>
  <si>
    <t>บริษัท เอ.ซี.พี.เค จำกัด (สำนักงานใหญ่)</t>
  </si>
  <si>
    <t>STHONLIN2601006550</t>
  </si>
  <si>
    <t>STHONLIN2601006551</t>
  </si>
  <si>
    <t xml:space="preserve">              สรุปยอด บิลออนไลน์  จัดส่ง / นำเข้า DP ดึงตั้งแต่   29 ธันวาคม  2568                                                                                                </t>
  </si>
  <si>
    <t>STHONLIN2601006731</t>
  </si>
  <si>
    <t>น.ส. ภัททิรา  ใจสี</t>
  </si>
  <si>
    <t>STHONLIN2601006790</t>
  </si>
  <si>
    <t>นาย สมภูมิ กลางจันอัด</t>
  </si>
  <si>
    <t xml:space="preserve">              สรุปยอด บิลออนไลน์  จัดส่ง / นำเข้า DP ดึงตั้งแต่   30 ธันวาคม  2568                                                                                                </t>
  </si>
  <si>
    <t>STHONLIN2601006870</t>
  </si>
  <si>
    <t>STHONLIN2601006894</t>
  </si>
  <si>
    <t>ภัทรนุช กุลทนันท์</t>
  </si>
  <si>
    <t>STHONLIN2601006909</t>
  </si>
  <si>
    <t>ธัญญธร  พรพงษ์</t>
  </si>
  <si>
    <t>STHONLIN2601006910</t>
  </si>
  <si>
    <t>Mr. Sheridan Mbiakaetapo Efamba</t>
  </si>
  <si>
    <t>STHONLIN2601006928</t>
  </si>
  <si>
    <t>STHONLIN2601007181</t>
  </si>
  <si>
    <t>นาย ดำรงค์ ปฏิสังข์</t>
  </si>
  <si>
    <t>STHONLIN2601007207</t>
  </si>
  <si>
    <t>STHONLIN2601007208</t>
  </si>
  <si>
    <t>STHONLIN2601007210</t>
  </si>
  <si>
    <t>ญาณัชชา พงษ์สุวรรณ</t>
  </si>
  <si>
    <t>STHONLIN2601007215</t>
  </si>
  <si>
    <t>STHONLIN2601007220</t>
  </si>
  <si>
    <t>นาง ทัศนา เลื่อมสำราญ</t>
  </si>
  <si>
    <t>STHONLIN2601007227</t>
  </si>
  <si>
    <t xml:space="preserve">              สรุปยอด บิลออนไลน์  จัดส่ง / นำเข้า DP ดึงตั้งแต่   31 ธันวาคม  2568                                                                                                </t>
  </si>
  <si>
    <t>STHONLIN2601007293</t>
  </si>
  <si>
    <t>นางสาว พลอยณิษา สินณัฐสิทธิ์</t>
  </si>
  <si>
    <t>STHONLIN2601007313</t>
  </si>
  <si>
    <t>STHONLIN2601007320</t>
  </si>
  <si>
    <t>นาง วิชญ์ชยา ภูธนโรจน์สิริ</t>
  </si>
  <si>
    <t>STHONLIN2601007342</t>
  </si>
  <si>
    <t>นางสาว ภัทราวดี พวงดอกไม้</t>
  </si>
  <si>
    <t>STHONLIN2601007344</t>
  </si>
  <si>
    <t>Mr. Mr  KUTIEU SAMUEL YUNGHO</t>
  </si>
  <si>
    <t>STHONLIN2601007617</t>
  </si>
  <si>
    <t>บริษัท เค24 โกลบอล จำกัด (สำนักงานใหญ่)</t>
  </si>
  <si>
    <t>STHONLIN2601007618</t>
  </si>
  <si>
    <t>นางสาว ริญญ์รภัส ศรีศุภณัฐธนากุล</t>
  </si>
  <si>
    <t>STHONLIN2601007620</t>
  </si>
  <si>
    <t>STHONLIN2601007621</t>
  </si>
  <si>
    <t>STHONLIN2601007622</t>
  </si>
  <si>
    <t>STHONLIN2601007625</t>
  </si>
  <si>
    <t>STHONLIN2601007630</t>
  </si>
  <si>
    <t>STHONLIN2601007632</t>
  </si>
  <si>
    <t>STHONLIN2601007635</t>
  </si>
  <si>
    <t>นางสาว นิวรรณรัตน์ สังฆธรรม</t>
  </si>
  <si>
    <t>STHONLIN2601007636</t>
  </si>
  <si>
    <t>STHONLIN2601007639</t>
  </si>
  <si>
    <t>STHONLIN2601007649</t>
  </si>
  <si>
    <t>STHONLIN2601007655</t>
  </si>
  <si>
    <t>STHONLIN2601007656</t>
  </si>
  <si>
    <t>นางสาว ชลธิชา  ยุ้ยจำเริญทรัพย์</t>
  </si>
  <si>
    <t>STHONLIN2601007666</t>
  </si>
  <si>
    <t>STHONLIN2601007669</t>
  </si>
  <si>
    <t>STHONLIN2601007673</t>
  </si>
  <si>
    <t>นาย คมพัชญ์ วิรัตน์มาลัย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</si>
</sst>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1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sz val="18.0"/>
      <color theme="1"/>
      <name val="Arial"/>
    </font>
    <font>
      <b/>
      <sz val="18.0"/>
      <color theme="1"/>
      <name val="Arial"/>
    </font>
    <font>
      <sz val="23.0"/>
      <color theme="1"/>
      <name val="Arial"/>
    </font>
    <font>
      <sz val="24.0"/>
      <color rgb="FFFF0000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3.0"/>
      <color theme="1"/>
      <name val="Arial"/>
    </font>
    <font>
      <b/>
      <sz val="29.0"/>
      <color rgb="FFFF0000"/>
      <name val="Arial"/>
    </font>
    <font>
      <sz val="21.0"/>
      <color theme="1"/>
      <name val="Arial"/>
    </font>
    <font>
      <b/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2.0"/>
      <color rgb="FF000000"/>
      <name val="Arial"/>
    </font>
    <font>
      <sz val="18.0"/>
      <color rgb="FFFF0000"/>
      <name val="Arial"/>
    </font>
    <font>
      <b/>
      <sz val="26.0"/>
      <color rgb="FF000000"/>
      <name val="Arial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4.0"/>
      <color theme="1"/>
      <name val="Aptos Narrow"/>
    </font>
    <font>
      <sz val="26.0"/>
      <color rgb="FF000000"/>
      <name val="Arial"/>
    </font>
    <font>
      <b/>
      <sz val="24.0"/>
      <color theme="1"/>
      <name val="Arial"/>
    </font>
    <font>
      <sz val="2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0" xfId="0" applyAlignment="1" applyBorder="1" applyFon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10" numFmtId="38" xfId="0" applyAlignment="1" applyBorder="1" applyFont="1" applyNumberFormat="1">
      <alignment horizontal="center" readingOrder="0"/>
    </xf>
    <xf borderId="12" fillId="4" fontId="11" numFmtId="38" xfId="0" applyAlignment="1" applyBorder="1" applyFont="1" applyNumberFormat="1">
      <alignment horizontal="right" vertical="bottom"/>
    </xf>
    <xf borderId="11" fillId="4" fontId="7" numFmtId="38" xfId="0" applyAlignment="1" applyBorder="1" applyFont="1" applyNumberFormat="1">
      <alignment readingOrder="0"/>
    </xf>
    <xf borderId="11" fillId="4" fontId="12" numFmtId="0" xfId="0" applyBorder="1" applyFont="1"/>
    <xf borderId="11" fillId="4" fontId="12" numFmtId="3" xfId="0" applyBorder="1" applyFont="1" applyNumberFormat="1"/>
    <xf borderId="11" fillId="4" fontId="12" numFmtId="0" xfId="0" applyAlignment="1" applyBorder="1" applyFont="1">
      <alignment horizontal="center"/>
    </xf>
    <xf borderId="11" fillId="4" fontId="13" numFmtId="0" xfId="0" applyAlignment="1" applyBorder="1" applyFont="1">
      <alignment horizontal="center" vertical="center"/>
    </xf>
    <xf borderId="11" fillId="4" fontId="12" numFmtId="0" xfId="0" applyAlignment="1" applyBorder="1" applyFont="1">
      <alignment horizontal="center" readingOrder="0" vertical="center"/>
    </xf>
    <xf borderId="0" fillId="0" fontId="14" numFmtId="0" xfId="0" applyFont="1"/>
    <xf borderId="11" fillId="5" fontId="15" numFmtId="49" xfId="0" applyAlignment="1" applyBorder="1" applyFill="1" applyFont="1" applyNumberFormat="1">
      <alignment horizontal="center" shrinkToFit="0" vertical="center" wrapText="0"/>
    </xf>
    <xf borderId="11" fillId="5" fontId="7" numFmtId="0" xfId="0" applyAlignment="1" applyBorder="1" applyFon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16" numFmtId="38" xfId="0" applyAlignment="1" applyBorder="1" applyFont="1" applyNumberFormat="1">
      <alignment horizontal="center" readingOrder="0"/>
    </xf>
    <xf borderId="12" fillId="5" fontId="17" numFmtId="38" xfId="0" applyAlignment="1" applyBorder="1" applyFont="1" applyNumberFormat="1">
      <alignment horizontal="right" vertical="bottom"/>
    </xf>
    <xf borderId="11" fillId="5" fontId="18" numFmtId="38" xfId="0" applyAlignment="1" applyBorder="1" applyFont="1" applyNumberFormat="1">
      <alignment readingOrder="0"/>
    </xf>
    <xf borderId="11" fillId="5" fontId="18" numFmtId="0" xfId="0" applyBorder="1" applyFont="1"/>
    <xf borderId="11" fillId="5" fontId="18" numFmtId="3" xfId="0" applyAlignment="1" applyBorder="1" applyFont="1" applyNumberFormat="1">
      <alignment horizontal="center"/>
    </xf>
    <xf borderId="11" fillId="5" fontId="18" numFmtId="0" xfId="0" applyAlignment="1" applyBorder="1" applyFont="1">
      <alignment horizontal="center"/>
    </xf>
    <xf borderId="11" fillId="5" fontId="19" numFmtId="0" xfId="0" applyAlignment="1" applyBorder="1" applyFont="1">
      <alignment horizontal="center" vertical="center"/>
    </xf>
    <xf borderId="11" fillId="5" fontId="10" numFmtId="0" xfId="0" applyAlignment="1" applyBorder="1" applyFont="1">
      <alignment horizontal="center" readingOrder="0"/>
    </xf>
    <xf borderId="12" fillId="4" fontId="8" numFmtId="0" xfId="0" applyAlignment="1" applyBorder="1" applyFont="1">
      <alignment horizontal="center" readingOrder="0" vertical="bottom"/>
    </xf>
    <xf borderId="12" fillId="4" fontId="16" numFmtId="4" xfId="0" applyAlignment="1" applyBorder="1" applyFont="1" applyNumberFormat="1">
      <alignment readingOrder="0" vertical="bottom"/>
    </xf>
    <xf borderId="12" fillId="4" fontId="16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9" numFmtId="38" xfId="0" applyAlignment="1" applyBorder="1" applyFont="1" applyNumberFormat="1">
      <alignment horizontal="right" vertical="bottom"/>
    </xf>
    <xf borderId="12" fillId="4" fontId="17" numFmtId="38" xfId="0" applyAlignment="1" applyBorder="1" applyFont="1" applyNumberFormat="1">
      <alignment horizontal="right" vertical="bottom"/>
    </xf>
    <xf borderId="11" fillId="4" fontId="20" numFmtId="38" xfId="0" applyAlignment="1" applyBorder="1" applyFont="1" applyNumberFormat="1">
      <alignment readingOrder="0" vertical="bottom"/>
    </xf>
    <xf borderId="11" fillId="4" fontId="21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11" fillId="4" fontId="22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readingOrder="0"/>
    </xf>
    <xf borderId="12" fillId="4" fontId="8" numFmtId="164" xfId="0" applyAlignment="1" applyBorder="1" applyFont="1" applyNumberFormat="1">
      <alignment horizontal="center" readingOrder="0" vertical="bottom"/>
    </xf>
    <xf borderId="12" fillId="4" fontId="9" numFmtId="38" xfId="0" applyAlignment="1" applyBorder="1" applyFont="1" applyNumberFormat="1">
      <alignment horizontal="right" readingOrder="0" vertical="bottom"/>
    </xf>
    <xf borderId="12" fillId="4" fontId="16" numFmtId="0" xfId="0" applyAlignment="1" applyBorder="1" applyFont="1">
      <alignment readingOrder="0" vertical="bottom"/>
    </xf>
    <xf borderId="12" fillId="4" fontId="20" numFmtId="38" xfId="0" applyAlignment="1" applyBorder="1" applyFont="1" applyNumberFormat="1">
      <alignment horizontal="right" readingOrder="0" vertical="bottom"/>
    </xf>
    <xf borderId="11" fillId="4" fontId="23" numFmtId="3" xfId="0" applyAlignment="1" applyBorder="1" applyFont="1" applyNumberFormat="1">
      <alignment horizontal="center" shrinkToFit="0" vertical="center" wrapText="1"/>
    </xf>
    <xf borderId="11" fillId="4" fontId="24" numFmtId="0" xfId="0" applyAlignment="1" applyBorder="1" applyFont="1">
      <alignment horizontal="center" vertical="center"/>
    </xf>
    <xf borderId="11" fillId="0" fontId="25" numFmtId="0" xfId="0" applyAlignment="1" applyBorder="1" applyFont="1">
      <alignment horizontal="center" readingOrder="0"/>
    </xf>
    <xf borderId="12" fillId="4" fontId="20" numFmtId="38" xfId="0" applyAlignment="1" applyBorder="1" applyFont="1" applyNumberFormat="1">
      <alignment horizontal="right" vertical="bottom"/>
    </xf>
    <xf borderId="12" fillId="4" fontId="17" numFmtId="38" xfId="0" applyAlignment="1" applyBorder="1" applyFont="1" applyNumberFormat="1">
      <alignment horizontal="right" readingOrder="0" vertical="bottom"/>
    </xf>
    <xf borderId="11" fillId="4" fontId="20" numFmtId="38" xfId="0" applyAlignment="1" applyBorder="1" applyFont="1" applyNumberFormat="1">
      <alignment vertical="bottom"/>
    </xf>
    <xf borderId="11" fillId="5" fontId="18" numFmtId="0" xfId="0" applyAlignment="1" applyBorder="1" applyFont="1">
      <alignment horizontal="center" readingOrder="0"/>
    </xf>
    <xf borderId="11" fillId="4" fontId="20" numFmtId="38" xfId="0" applyAlignment="1" applyBorder="1" applyFont="1" applyNumberFormat="1">
      <alignment horizontal="right" vertical="bottom"/>
    </xf>
    <xf borderId="11" fillId="4" fontId="17" numFmtId="38" xfId="0" applyAlignment="1" applyBorder="1" applyFont="1" applyNumberFormat="1">
      <alignment horizontal="right" vertical="bottom"/>
    </xf>
    <xf borderId="11" fillId="4" fontId="26" numFmtId="38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readingOrder="0"/>
    </xf>
    <xf borderId="11" fillId="4" fontId="26" numFmtId="38" xfId="0" applyAlignment="1" applyBorder="1" applyFont="1" applyNumberFormat="1">
      <alignment horizontal="right" vertical="bottom"/>
    </xf>
    <xf borderId="11" fillId="4" fontId="17" numFmtId="38" xfId="0" applyAlignment="1" applyBorder="1" applyFont="1" applyNumberFormat="1">
      <alignment horizontal="right" readingOrder="0" vertical="bottom"/>
    </xf>
    <xf borderId="0" fillId="0" fontId="14" numFmtId="3" xfId="0" applyAlignment="1" applyFont="1" applyNumberFormat="1">
      <alignment readingOrder="0"/>
    </xf>
    <xf borderId="11" fillId="5" fontId="18" numFmtId="3" xfId="0" applyAlignment="1" applyBorder="1" applyFont="1" applyNumberFormat="1">
      <alignment horizontal="center" readingOrder="0"/>
    </xf>
    <xf borderId="11" fillId="0" fontId="25" numFmtId="0" xfId="0" applyAlignment="1" applyBorder="1" applyFont="1">
      <alignment horizontal="center"/>
    </xf>
    <xf borderId="12" fillId="4" fontId="8" numFmtId="0" xfId="0" applyAlignment="1" applyBorder="1" applyFont="1">
      <alignment horizontal="center" vertical="bottom"/>
    </xf>
    <xf borderId="12" fillId="4" fontId="16" numFmtId="4" xfId="0" applyAlignment="1" applyBorder="1" applyFont="1" applyNumberFormat="1">
      <alignment vertical="bottom"/>
    </xf>
    <xf borderId="12" fillId="4" fontId="16" numFmtId="1" xfId="0" applyAlignment="1" applyBorder="1" applyFont="1" applyNumberFormat="1">
      <alignment horizontal="center" vertical="bottom"/>
    </xf>
    <xf borderId="12" fillId="4" fontId="16" numFmtId="0" xfId="0" applyAlignment="1" applyBorder="1" applyFont="1">
      <alignment vertical="bottom"/>
    </xf>
    <xf borderId="1" fillId="6" fontId="27" numFmtId="0" xfId="0" applyAlignment="1" applyBorder="1" applyFill="1" applyFont="1">
      <alignment horizontal="center"/>
    </xf>
    <xf borderId="13" fillId="6" fontId="28" numFmtId="3" xfId="0" applyAlignment="1" applyBorder="1" applyFont="1" applyNumberFormat="1">
      <alignment horizontal="center"/>
    </xf>
    <xf borderId="11" fillId="6" fontId="29" numFmtId="3" xfId="0" applyAlignment="1" applyBorder="1" applyFont="1" applyNumberFormat="1">
      <alignment horizontal="center"/>
    </xf>
    <xf borderId="11" fillId="6" fontId="30" numFmtId="3" xfId="0" applyAlignment="1" applyBorder="1" applyFont="1" applyNumberFormat="1">
      <alignment horizontal="right"/>
    </xf>
    <xf borderId="1" fillId="7" fontId="28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shrinkToFit="0" vertical="center" wrapText="0"/>
    </xf>
    <xf borderId="11" fillId="5" fontId="7" numFmtId="165" xfId="0" applyAlignment="1" applyBorder="1" applyFont="1" applyNumberFormat="1">
      <alignment horizontal="right" readingOrder="0"/>
    </xf>
    <xf borderId="11" fillId="5" fontId="7" numFmtId="0" xfId="0" applyAlignment="1" applyBorder="1" applyFont="1">
      <alignment readingOrder="0"/>
    </xf>
    <xf borderId="11" fillId="5" fontId="12" numFmtId="38" xfId="0" applyAlignment="1" applyBorder="1" applyFont="1" applyNumberFormat="1">
      <alignment horizontal="center"/>
    </xf>
    <xf borderId="12" fillId="5" fontId="11" numFmtId="38" xfId="0" applyAlignment="1" applyBorder="1" applyFont="1" applyNumberFormat="1">
      <alignment horizontal="right" vertical="bottom"/>
    </xf>
    <xf borderId="11" fillId="5" fontId="7" numFmtId="38" xfId="0" applyAlignment="1" applyBorder="1" applyFont="1" applyNumberFormat="1">
      <alignment readingOrder="0"/>
    </xf>
    <xf borderId="11" fillId="5" fontId="12" numFmtId="0" xfId="0" applyBorder="1" applyFont="1"/>
    <xf borderId="11" fillId="5" fontId="12" numFmtId="3" xfId="0" applyBorder="1" applyFont="1" applyNumberFormat="1"/>
    <xf borderId="11" fillId="5" fontId="12" numFmtId="0" xfId="0" applyAlignment="1" applyBorder="1" applyFont="1">
      <alignment horizontal="center"/>
    </xf>
    <xf borderId="11" fillId="5" fontId="13" numFmtId="0" xfId="0" applyAlignment="1" applyBorder="1" applyFont="1">
      <alignment horizontal="center" vertical="center"/>
    </xf>
    <xf borderId="11" fillId="5" fontId="12" numFmtId="0" xfId="0" applyAlignment="1" applyBorder="1" applyFont="1">
      <alignment horizontal="center" vertical="center"/>
    </xf>
    <xf borderId="11" fillId="5" fontId="31" numFmtId="0" xfId="0" applyAlignment="1" applyBorder="1" applyFont="1">
      <alignment horizontal="left" readingOrder="0"/>
    </xf>
    <xf borderId="11" fillId="5" fontId="16" numFmtId="38" xfId="0" applyAlignment="1" applyBorder="1" applyFont="1" applyNumberFormat="1">
      <alignment horizontal="center"/>
    </xf>
    <xf borderId="11" fillId="5" fontId="32" numFmtId="0" xfId="0" applyAlignment="1" applyBorder="1" applyFont="1">
      <alignment horizontal="center" vertical="center"/>
    </xf>
    <xf borderId="11" fillId="5" fontId="16" numFmtId="0" xfId="0" applyAlignment="1" applyBorder="1" applyFont="1">
      <alignment horizontal="center" readingOrder="0"/>
    </xf>
    <xf borderId="11" fillId="5" fontId="15" numFmtId="49" xfId="0" applyAlignment="1" applyBorder="1" applyFont="1" applyNumberFormat="1">
      <alignment horizontal="center" readingOrder="0" shrinkToFit="0" vertical="center" wrapText="0"/>
    </xf>
    <xf borderId="11" fillId="0" fontId="16" numFmtId="0" xfId="0" applyAlignment="1" applyBorder="1" applyFont="1">
      <alignment horizontal="center" readingOrder="0"/>
    </xf>
    <xf borderId="11" fillId="4" fontId="20" numFmtId="38" xfId="0" applyAlignment="1" applyBorder="1" applyFont="1" applyNumberFormat="1">
      <alignment horizontal="right" readingOrder="0" vertical="bottom"/>
    </xf>
    <xf borderId="11" fillId="4" fontId="21" numFmtId="0" xfId="0" applyAlignment="1" applyBorder="1" applyFont="1">
      <alignment horizontal="center" readingOrder="0" shrinkToFit="0" vertical="center" wrapText="1"/>
    </xf>
    <xf borderId="11" fillId="5" fontId="12" numFmtId="0" xfId="0" applyAlignment="1" applyBorder="1" applyFont="1">
      <alignment horizontal="center" readingOrder="0"/>
    </xf>
    <xf borderId="12" fillId="4" fontId="8" numFmtId="164" xfId="0" applyAlignment="1" applyBorder="1" applyFont="1" applyNumberFormat="1">
      <alignment horizontal="center" vertical="bottom"/>
    </xf>
    <xf borderId="2" fillId="4" fontId="33" numFmtId="0" xfId="0" applyAlignment="1" applyBorder="1" applyFont="1">
      <alignment horizontal="center" vertical="center"/>
    </xf>
    <xf borderId="11" fillId="0" fontId="16" numFmtId="0" xfId="0" applyBorder="1" applyFont="1"/>
    <xf borderId="11" fillId="4" fontId="7" numFmtId="165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34" numFmtId="38" xfId="0" applyAlignment="1" applyBorder="1" applyFont="1" applyNumberFormat="1">
      <alignment horizontal="center"/>
    </xf>
    <xf borderId="12" fillId="4" fontId="35" numFmtId="38" xfId="0" applyAlignment="1" applyBorder="1" applyFont="1" applyNumberFormat="1">
      <alignment horizontal="right" vertical="bottom"/>
    </xf>
    <xf borderId="11" fillId="4" fontId="34" numFmtId="38" xfId="0" applyAlignment="1" applyBorder="1" applyFont="1" applyNumberFormat="1">
      <alignment horizontal="center" readingOrder="0"/>
    </xf>
    <xf borderId="11" fillId="4" fontId="10" numFmtId="0" xfId="0" applyBorder="1" applyFont="1"/>
    <xf borderId="11" fillId="4" fontId="10" numFmtId="3" xfId="0" applyBorder="1" applyFont="1" applyNumberFormat="1"/>
    <xf borderId="11" fillId="4" fontId="12" numFmtId="0" xfId="0" applyAlignment="1" applyBorder="1" applyFont="1">
      <alignment horizontal="center" readingOrder="0"/>
    </xf>
    <xf borderId="11" fillId="4" fontId="36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left" readingOrder="0"/>
    </xf>
    <xf borderId="11" fillId="4" fontId="10" numFmtId="3" xfId="0" applyAlignment="1" applyBorder="1" applyFont="1" applyNumberFormat="1">
      <alignment horizontal="center"/>
    </xf>
    <xf borderId="11" fillId="4" fontId="18" numFmtId="0" xfId="0" applyAlignment="1" applyBorder="1" applyFont="1">
      <alignment horizontal="center" readingOrder="0"/>
    </xf>
    <xf borderId="11" fillId="4" fontId="9" numFmtId="0" xfId="0" applyAlignment="1" applyBorder="1" applyFont="1">
      <alignment horizontal="center" readingOrder="0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0" numFmtId="38" xfId="0" applyAlignment="1" applyBorder="1" applyFont="1" applyNumberFormat="1">
      <alignment horizontal="right" vertical="bottom"/>
    </xf>
    <xf borderId="11" fillId="4" fontId="34" numFmtId="38" xfId="0" applyAlignment="1" applyBorder="1" applyFont="1" applyNumberFormat="1">
      <alignment horizontal="center" readingOrder="0" vertical="bottom"/>
    </xf>
    <xf borderId="11" fillId="4" fontId="37" numFmtId="0" xfId="0" applyAlignment="1" applyBorder="1" applyFont="1">
      <alignment horizontal="center" shrinkToFit="0" vertical="center" wrapText="1"/>
    </xf>
    <xf borderId="11" fillId="4" fontId="10" numFmtId="3" xfId="0" applyAlignment="1" applyBorder="1" applyFont="1" applyNumberFormat="1">
      <alignment horizontal="center" shrinkToFit="0" vertical="center" wrapText="1"/>
    </xf>
    <xf borderId="2" fillId="4" fontId="38" numFmtId="0" xfId="0" applyAlignment="1" applyBorder="1" applyFont="1">
      <alignment horizontal="center" readingOrder="0" vertical="center"/>
    </xf>
    <xf borderId="12" fillId="4" fontId="10" numFmtId="38" xfId="0" applyAlignment="1" applyBorder="1" applyFont="1" applyNumberFormat="1">
      <alignment horizontal="right" readingOrder="0" vertical="bottom"/>
    </xf>
    <xf borderId="11" fillId="4" fontId="10" numFmtId="38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 readingOrder="0"/>
    </xf>
    <xf borderId="11" fillId="4" fontId="10" numFmtId="38" xfId="0" applyAlignment="1" applyBorder="1" applyFont="1" applyNumberFormat="1">
      <alignment horizontal="center" readingOrder="0" vertical="bottom"/>
    </xf>
    <xf borderId="12" fillId="4" fontId="39" numFmtId="38" xfId="0" applyAlignment="1" applyBorder="1" applyFont="1" applyNumberFormat="1">
      <alignment horizontal="right" vertical="bottom"/>
    </xf>
    <xf borderId="11" fillId="4" fontId="39" numFmtId="38" xfId="0" applyAlignment="1" applyBorder="1" applyFont="1" applyNumberFormat="1">
      <alignment horizontal="center" vertical="bottom"/>
    </xf>
    <xf borderId="2" fillId="4" fontId="38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/>
    </xf>
    <xf borderId="11" fillId="4" fontId="39" numFmtId="38" xfId="0" applyAlignment="1" applyBorder="1" applyFont="1" applyNumberFormat="1">
      <alignment horizontal="right" vertical="bottom"/>
    </xf>
    <xf borderId="11" fillId="4" fontId="39" numFmtId="38" xfId="0" applyAlignment="1" applyBorder="1" applyFont="1" applyNumberFormat="1">
      <alignment vertical="bottom"/>
    </xf>
    <xf borderId="11" fillId="4" fontId="39" numFmtId="3" xfId="0" applyAlignment="1" applyBorder="1" applyFont="1" applyNumberFormat="1">
      <alignment horizontal="center" shrinkToFit="0" vertical="center" wrapText="1"/>
    </xf>
    <xf borderId="9" fillId="4" fontId="33" numFmtId="0" xfId="0" applyAlignment="1" applyBorder="1" applyFont="1">
      <alignment horizontal="center" vertical="center"/>
    </xf>
    <xf borderId="11" fillId="0" fontId="8" numFmtId="165" xfId="0" applyAlignment="1" applyBorder="1" applyFont="1" applyNumberFormat="1">
      <alignment horizontal="center" readingOrder="0"/>
    </xf>
    <xf borderId="11" fillId="0" fontId="8" numFmtId="4" xfId="0" applyAlignment="1" applyBorder="1" applyFont="1" applyNumberFormat="1">
      <alignment readingOrder="0"/>
    </xf>
    <xf borderId="11" fillId="0" fontId="8" numFmtId="1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readingOrder="0"/>
    </xf>
    <xf borderId="11" fillId="8" fontId="8" numFmtId="3" xfId="0" applyBorder="1" applyFill="1" applyFont="1" applyNumberFormat="1"/>
    <xf borderId="11" fillId="9" fontId="8" numFmtId="3" xfId="0" applyBorder="1" applyFill="1" applyFont="1" applyNumberFormat="1"/>
    <xf borderId="11" fillId="10" fontId="8" numFmtId="3" xfId="0" applyAlignment="1" applyBorder="1" applyFill="1" applyFont="1" applyNumberFormat="1">
      <alignment horizontal="right" readingOrder="0"/>
    </xf>
    <xf borderId="11" fillId="4" fontId="8" numFmtId="165" xfId="0" applyAlignment="1" applyBorder="1" applyFont="1" applyNumberFormat="1">
      <alignment horizontal="right" readingOrder="0"/>
    </xf>
    <xf borderId="11" fillId="4" fontId="8" numFmtId="1" xfId="0" applyAlignment="1" applyBorder="1" applyFont="1" applyNumberFormat="1">
      <alignment horizontal="center" readingOrder="0"/>
    </xf>
    <xf borderId="11" fillId="4" fontId="8" numFmtId="0" xfId="0" applyAlignment="1" applyBorder="1" applyFont="1">
      <alignment readingOrder="0"/>
    </xf>
    <xf borderId="11" fillId="8" fontId="8" numFmtId="3" xfId="0" applyAlignment="1" applyBorder="1" applyFont="1" applyNumberFormat="1">
      <alignment horizontal="right" readingOrder="0"/>
    </xf>
    <xf borderId="11" fillId="10" fontId="8" numFmtId="3" xfId="0" applyBorder="1" applyFont="1" applyNumberFormat="1"/>
    <xf borderId="11" fillId="0" fontId="8" numFmtId="165" xfId="0" applyAlignment="1" applyBorder="1" applyFont="1" applyNumberFormat="1">
      <alignment horizontal="right" readingOrder="0"/>
    </xf>
    <xf borderId="11" fillId="0" fontId="8" numFmtId="165" xfId="0" applyBorder="1" applyFont="1" applyNumberFormat="1"/>
    <xf borderId="11" fillId="0" fontId="8" numFmtId="4" xfId="0" applyBorder="1" applyFont="1" applyNumberFormat="1"/>
    <xf borderId="11" fillId="0" fontId="8" numFmtId="1" xfId="0" applyBorder="1" applyFont="1" applyNumberFormat="1"/>
    <xf borderId="11" fillId="0" fontId="8" numFmtId="0" xfId="0" applyBorder="1" applyFont="1"/>
    <xf borderId="11" fillId="9" fontId="6" numFmtId="49" xfId="0" applyAlignment="1" applyBorder="1" applyFont="1" applyNumberFormat="1">
      <alignment horizontal="center" shrinkToFit="0" vertical="center" wrapText="0"/>
    </xf>
    <xf borderId="11" fillId="9" fontId="8" numFmtId="165" xfId="0" applyAlignment="1" applyBorder="1" applyFont="1" applyNumberFormat="1">
      <alignment horizontal="center" readingOrder="0"/>
    </xf>
    <xf borderId="11" fillId="9" fontId="8" numFmtId="4" xfId="0" applyAlignment="1" applyBorder="1" applyFont="1" applyNumberFormat="1">
      <alignment readingOrder="0"/>
    </xf>
    <xf borderId="11" fillId="9" fontId="8" numFmtId="1" xfId="0" applyAlignment="1" applyBorder="1" applyFont="1" applyNumberFormat="1">
      <alignment horizontal="center" readingOrder="0"/>
    </xf>
    <xf borderId="11" fillId="9" fontId="8" numFmtId="0" xfId="0" applyAlignment="1" applyBorder="1" applyFont="1">
      <alignment readingOrder="0"/>
    </xf>
    <xf borderId="11" fillId="9" fontId="8" numFmtId="3" xfId="0" applyAlignment="1" applyBorder="1" applyFont="1" applyNumberFormat="1">
      <alignment horizontal="center" readingOrder="0"/>
    </xf>
    <xf borderId="11" fillId="9" fontId="10" numFmtId="3" xfId="0" applyBorder="1" applyFont="1" applyNumberFormat="1"/>
    <xf borderId="11" fillId="9" fontId="12" numFmtId="0" xfId="0" applyAlignment="1" applyBorder="1" applyFont="1">
      <alignment horizontal="center" readingOrder="0"/>
    </xf>
    <xf borderId="11" fillId="9" fontId="36" numFmtId="0" xfId="0" applyAlignment="1" applyBorder="1" applyFont="1">
      <alignment horizontal="center" vertical="center"/>
    </xf>
    <xf borderId="11" fillId="9" fontId="12" numFmtId="0" xfId="0" applyAlignment="1" applyBorder="1" applyFont="1">
      <alignment horizontal="center" readingOrder="0" vertical="center"/>
    </xf>
    <xf borderId="11" fillId="9" fontId="15" numFmtId="49" xfId="0" applyAlignment="1" applyBorder="1" applyFont="1" applyNumberFormat="1">
      <alignment horizontal="center" shrinkToFit="0" vertical="center" wrapText="0"/>
    </xf>
    <xf borderId="11" fillId="9" fontId="8" numFmtId="3" xfId="0" applyAlignment="1" applyBorder="1" applyFont="1" applyNumberFormat="1">
      <alignment horizontal="right" readingOrder="0"/>
    </xf>
    <xf borderId="11" fillId="9" fontId="10" numFmtId="3" xfId="0" applyAlignment="1" applyBorder="1" applyFont="1" applyNumberFormat="1">
      <alignment horizontal="center"/>
    </xf>
    <xf borderId="11" fillId="9" fontId="18" numFmtId="0" xfId="0" applyAlignment="1" applyBorder="1" applyFont="1">
      <alignment horizontal="center" readingOrder="0"/>
    </xf>
    <xf borderId="11" fillId="9" fontId="9" numFmtId="0" xfId="0" applyAlignment="1" applyBorder="1" applyFont="1">
      <alignment horizontal="center" readingOrder="0"/>
    </xf>
    <xf borderId="11" fillId="9" fontId="10" numFmtId="3" xfId="0" applyAlignment="1" applyBorder="1" applyFont="1" applyNumberFormat="1">
      <alignment horizontal="center" shrinkToFit="0" vertical="center" wrapText="1"/>
    </xf>
    <xf borderId="2" fillId="9" fontId="38" numFmtId="0" xfId="0" applyAlignment="1" applyBorder="1" applyFont="1">
      <alignment horizontal="center" readingOrder="0" vertical="center"/>
    </xf>
    <xf borderId="11" fillId="9" fontId="22" numFmtId="0" xfId="0" applyAlignment="1" applyBorder="1" applyFont="1">
      <alignment horizontal="center" vertical="center"/>
    </xf>
    <xf borderId="11" fillId="9" fontId="8" numFmtId="1" xfId="0" applyAlignment="1" applyBorder="1" applyFont="1" applyNumberFormat="1">
      <alignment readingOrder="0"/>
    </xf>
    <xf borderId="12" fillId="9" fontId="8" numFmtId="164" xfId="0" applyAlignment="1" applyBorder="1" applyFont="1" applyNumberFormat="1">
      <alignment horizontal="center" readingOrder="0" vertical="bottom"/>
    </xf>
    <xf borderId="12" fillId="9" fontId="16" numFmtId="4" xfId="0" applyAlignment="1" applyBorder="1" applyFont="1" applyNumberFormat="1">
      <alignment readingOrder="0" vertical="bottom"/>
    </xf>
    <xf borderId="12" fillId="9" fontId="16" numFmtId="1" xfId="0" applyAlignment="1" applyBorder="1" applyFont="1" applyNumberFormat="1">
      <alignment horizontal="center" readingOrder="0" vertical="bottom"/>
    </xf>
    <xf borderId="12" fillId="9" fontId="16" numFmtId="0" xfId="0" applyAlignment="1" applyBorder="1" applyFont="1">
      <alignment readingOrder="0" vertical="bottom"/>
    </xf>
    <xf borderId="12" fillId="9" fontId="10" numFmtId="38" xfId="0" applyAlignment="1" applyBorder="1" applyFont="1" applyNumberFormat="1">
      <alignment horizontal="right" vertical="bottom"/>
    </xf>
    <xf borderId="11" fillId="9" fontId="10" numFmtId="38" xfId="0" applyAlignment="1" applyBorder="1" applyFont="1" applyNumberFormat="1">
      <alignment horizontal="center" readingOrder="0" vertical="bottom"/>
    </xf>
    <xf borderId="11" fillId="9" fontId="37" numFmtId="0" xfId="0" applyAlignment="1" applyBorder="1" applyFont="1">
      <alignment horizontal="center" shrinkToFit="0" vertical="center" wrapText="1"/>
    </xf>
    <xf borderId="12" fillId="9" fontId="39" numFmtId="38" xfId="0" applyAlignment="1" applyBorder="1" applyFont="1" applyNumberFormat="1">
      <alignment horizontal="right" vertical="bottom"/>
    </xf>
    <xf borderId="2" fillId="9" fontId="38" numFmtId="0" xfId="0" applyAlignment="1" applyBorder="1" applyFont="1">
      <alignment horizontal="center" vertical="center"/>
    </xf>
    <xf borderId="11" fillId="9" fontId="9" numFmtId="0" xfId="0" applyAlignment="1" applyBorder="1" applyFont="1">
      <alignment horizontal="center"/>
    </xf>
    <xf borderId="11" fillId="0" fontId="9" numFmtId="3" xfId="0" applyAlignment="1" applyBorder="1" applyFont="1" applyNumberFormat="1">
      <alignment horizontal="center" readingOrder="0"/>
    </xf>
    <xf borderId="2" fillId="4" fontId="38" numFmtId="3" xfId="0" applyAlignment="1" applyBorder="1" applyFont="1" applyNumberFormat="1">
      <alignment horizontal="center" readingOrder="0" vertical="center"/>
    </xf>
    <xf borderId="11" fillId="5" fontId="8" numFmtId="165" xfId="0" applyAlignment="1" applyBorder="1" applyFont="1" applyNumberFormat="1">
      <alignment horizontal="center" readingOrder="0"/>
    </xf>
    <xf borderId="11" fillId="5" fontId="8" numFmtId="1" xfId="0" applyAlignment="1" applyBorder="1" applyFont="1" applyNumberFormat="1">
      <alignment horizontal="center" readingOrder="0"/>
    </xf>
    <xf borderId="11" fillId="5" fontId="8" numFmtId="0" xfId="0" applyAlignment="1" applyBorder="1" applyFont="1">
      <alignment readingOrder="0"/>
    </xf>
    <xf borderId="11" fillId="5" fontId="8" numFmtId="3" xfId="0" applyAlignment="1" applyBorder="1" applyFont="1" applyNumberFormat="1">
      <alignment readingOrder="0"/>
    </xf>
    <xf borderId="11" fillId="5" fontId="8" numFmtId="3" xfId="0" applyBorder="1" applyFont="1" applyNumberFormat="1"/>
    <xf borderId="11" fillId="5" fontId="8" numFmtId="3" xfId="0" applyAlignment="1" applyBorder="1" applyFont="1" applyNumberFormat="1">
      <alignment horizontal="center" readingOrder="0"/>
    </xf>
    <xf borderId="11" fillId="5" fontId="10" numFmtId="3" xfId="0" applyBorder="1" applyFont="1" applyNumberFormat="1"/>
    <xf borderId="11" fillId="5" fontId="36" numFmtId="0" xfId="0" applyAlignment="1" applyBorder="1" applyFont="1">
      <alignment horizontal="center" vertical="center"/>
    </xf>
    <xf borderId="11" fillId="5" fontId="12" numFmtId="0" xfId="0" applyAlignment="1" applyBorder="1" applyFont="1">
      <alignment horizontal="center" readingOrder="0" vertical="center"/>
    </xf>
    <xf borderId="11" fillId="5" fontId="8" numFmtId="3" xfId="0" applyAlignment="1" applyBorder="1" applyFont="1" applyNumberFormat="1">
      <alignment horizontal="right" readingOrder="0"/>
    </xf>
    <xf borderId="11" fillId="5" fontId="10" numFmtId="3" xfId="0" applyAlignment="1" applyBorder="1" applyFont="1" applyNumberFormat="1">
      <alignment horizontal="center"/>
    </xf>
    <xf borderId="11" fillId="5" fontId="9" numFmtId="0" xfId="0" applyAlignment="1" applyBorder="1" applyFont="1">
      <alignment horizontal="center" readingOrder="0"/>
    </xf>
    <xf borderId="11" fillId="5" fontId="10" numFmtId="3" xfId="0" applyAlignment="1" applyBorder="1" applyFont="1" applyNumberFormat="1">
      <alignment horizontal="center" readingOrder="0" shrinkToFit="0" vertical="center" wrapText="1"/>
    </xf>
    <xf borderId="2" fillId="5" fontId="38" numFmtId="0" xfId="0" applyAlignment="1" applyBorder="1" applyFont="1">
      <alignment horizontal="center" readingOrder="0" vertical="center"/>
    </xf>
    <xf borderId="11" fillId="5" fontId="10" numFmtId="3" xfId="0" applyAlignment="1" applyBorder="1" applyFont="1" applyNumberFormat="1">
      <alignment horizontal="center" shrinkToFit="0" vertical="center" wrapText="1"/>
    </xf>
    <xf borderId="11" fillId="5" fontId="22" numFmtId="0" xfId="0" applyAlignment="1" applyBorder="1" applyFont="1">
      <alignment horizontal="center" vertical="center"/>
    </xf>
    <xf borderId="11" fillId="5" fontId="8" numFmtId="1" xfId="0" applyAlignment="1" applyBorder="1" applyFont="1" applyNumberFormat="1">
      <alignment readingOrder="0"/>
    </xf>
    <xf borderId="12" fillId="5" fontId="8" numFmtId="164" xfId="0" applyAlignment="1" applyBorder="1" applyFont="1" applyNumberFormat="1">
      <alignment horizontal="center" readingOrder="0" vertical="bottom"/>
    </xf>
    <xf borderId="12" fillId="5" fontId="16" numFmtId="4" xfId="0" applyAlignment="1" applyBorder="1" applyFont="1" applyNumberFormat="1">
      <alignment readingOrder="0" vertical="bottom"/>
    </xf>
    <xf borderId="12" fillId="5" fontId="16" numFmtId="1" xfId="0" applyAlignment="1" applyBorder="1" applyFont="1" applyNumberFormat="1">
      <alignment horizontal="center" readingOrder="0" vertical="bottom"/>
    </xf>
    <xf borderId="12" fillId="5" fontId="16" numFmtId="0" xfId="0" applyAlignment="1" applyBorder="1" applyFont="1">
      <alignment readingOrder="0" vertical="bottom"/>
    </xf>
    <xf borderId="12" fillId="5" fontId="10" numFmtId="38" xfId="0" applyAlignment="1" applyBorder="1" applyFont="1" applyNumberFormat="1">
      <alignment horizontal="right" vertical="bottom"/>
    </xf>
    <xf borderId="11" fillId="5" fontId="10" numFmtId="38" xfId="0" applyAlignment="1" applyBorder="1" applyFont="1" applyNumberFormat="1">
      <alignment horizontal="center" readingOrder="0" vertical="bottom"/>
    </xf>
    <xf borderId="11" fillId="5" fontId="37" numFmtId="0" xfId="0" applyAlignment="1" applyBorder="1" applyFont="1">
      <alignment horizontal="center" shrinkToFit="0" vertical="center" wrapText="1"/>
    </xf>
    <xf borderId="12" fillId="5" fontId="39" numFmtId="38" xfId="0" applyAlignment="1" applyBorder="1" applyFont="1" applyNumberFormat="1">
      <alignment horizontal="right" vertical="bottom"/>
    </xf>
    <xf borderId="11" fillId="4" fontId="10" numFmtId="3" xfId="0" applyAlignment="1" applyBorder="1" applyFont="1" applyNumberFormat="1">
      <alignment horizontal="center" readingOrder="0" shrinkToFit="0" vertical="center" wrapText="1"/>
    </xf>
    <xf borderId="12" fillId="5" fontId="10" numFmtId="38" xfId="0" applyAlignment="1" applyBorder="1" applyFont="1" applyNumberFormat="1">
      <alignment horizontal="right" readingOrder="0" vertical="bottom"/>
    </xf>
    <xf borderId="11" fillId="5" fontId="8" numFmtId="0" xfId="0" applyAlignment="1" applyBorder="1" applyFont="1">
      <alignment horizontal="center" readingOrder="0"/>
    </xf>
    <xf borderId="11" fillId="5" fontId="8" numFmtId="164" xfId="0" applyAlignment="1" applyBorder="1" applyFont="1" applyNumberFormat="1">
      <alignment horizontal="center" readingOrder="0"/>
    </xf>
    <xf borderId="11" fillId="4" fontId="39" numFmtId="38" xfId="0" applyAlignment="1" applyBorder="1" applyFont="1" applyNumberFormat="1">
      <alignment horizontal="center" readingOrder="0" vertical="bottom"/>
    </xf>
    <xf borderId="11" fillId="9" fontId="8" numFmtId="3" xfId="0" applyAlignment="1" applyBorder="1" applyFont="1" applyNumberFormat="1">
      <alignment readingOrder="0"/>
    </xf>
    <xf borderId="11" fillId="9" fontId="8" numFmtId="164" xfId="0" applyAlignment="1" applyBorder="1" applyFont="1" applyNumberFormat="1">
      <alignment horizontal="center" readingOrder="0"/>
    </xf>
    <xf borderId="11" fillId="9" fontId="10" numFmtId="3" xfId="0" applyAlignment="1" applyBorder="1" applyFont="1" applyNumberFormat="1">
      <alignment horizontal="center" readingOrder="0" shrinkToFit="0" vertical="center" wrapText="1"/>
    </xf>
    <xf borderId="11" fillId="4" fontId="8" numFmtId="165" xfId="0" applyAlignment="1" applyBorder="1" applyFont="1" applyNumberFormat="1">
      <alignment horizontal="center" readingOrder="0"/>
    </xf>
    <xf borderId="11" fillId="4" fontId="8" numFmtId="3" xfId="0" applyAlignment="1" applyBorder="1" applyFont="1" applyNumberFormat="1">
      <alignment readingOrder="0"/>
    </xf>
    <xf borderId="11" fillId="4" fontId="8" numFmtId="3" xfId="0" applyBorder="1" applyFont="1" applyNumberFormat="1"/>
    <xf borderId="11" fillId="4" fontId="8" numFmtId="3" xfId="0" applyAlignment="1" applyBorder="1" applyFont="1" applyNumberFormat="1">
      <alignment horizontal="center" readingOrder="0"/>
    </xf>
    <xf borderId="11" fillId="4" fontId="15" numFmtId="49" xfId="0" applyAlignment="1" applyBorder="1" applyFont="1" applyNumberFormat="1">
      <alignment horizontal="center" shrinkToFit="0" vertical="center" wrapText="0"/>
    </xf>
    <xf borderId="11" fillId="4" fontId="8" numFmtId="164" xfId="0" applyAlignment="1" applyBorder="1" applyFont="1" applyNumberFormat="1">
      <alignment horizontal="center" readingOrder="0"/>
    </xf>
    <xf borderId="11" fillId="4" fontId="8" numFmtId="3" xfId="0" applyAlignment="1" applyBorder="1" applyFont="1" applyNumberFormat="1">
      <alignment horizontal="right" readingOrder="0"/>
    </xf>
    <xf borderId="11" fillId="4" fontId="8" numFmtId="165" xfId="0" applyBorder="1" applyFont="1" applyNumberFormat="1"/>
    <xf borderId="11" fillId="4" fontId="8" numFmtId="4" xfId="0" applyBorder="1" applyFont="1" applyNumberFormat="1"/>
    <xf borderId="11" fillId="4" fontId="8" numFmtId="1" xfId="0" applyBorder="1" applyFont="1" applyNumberFormat="1"/>
    <xf borderId="11" fillId="4" fontId="8" numFmtId="0" xfId="0" applyBorder="1" applyFont="1"/>
    <xf borderId="11" fillId="4" fontId="8" numFmtId="165" xfId="0" applyAlignment="1" applyBorder="1" applyFont="1" applyNumberFormat="1">
      <alignment readingOrder="0"/>
    </xf>
    <xf borderId="11" fillId="4" fontId="8" numFmtId="1" xfId="0" applyAlignment="1" applyBorder="1" applyFont="1" applyNumberFormat="1">
      <alignment readingOrder="0"/>
    </xf>
    <xf borderId="11" fillId="4" fontId="40" numFmtId="3" xfId="0" applyAlignment="1" applyBorder="1" applyFont="1" applyNumberFormat="1">
      <alignment horizontal="center" vertical="center"/>
    </xf>
    <xf borderId="11" fillId="4" fontId="40" numFmtId="3" xfId="0" applyAlignment="1" applyBorder="1" applyFont="1" applyNumberFormat="1">
      <alignment horizontal="center" readingOrder="0" vertical="center"/>
    </xf>
    <xf borderId="12" fillId="5" fontId="39" numFmtId="38" xfId="0" applyAlignment="1" applyBorder="1" applyFont="1" applyNumberFormat="1">
      <alignment horizontal="right" readingOrder="0" vertical="bottom"/>
    </xf>
    <xf borderId="12" fillId="4" fontId="39" numFmtId="38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447675</xdr:colOff>
      <xdr:row>0</xdr:row>
      <xdr:rowOff>0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219075</xdr:rowOff>
    </xdr:from>
    <xdr:ext cx="266700" cy="342900"/>
    <xdr:sp>
      <xdr:nvSpPr>
        <xdr:cNvPr id="3" name="Shape 3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 t="s">
        <v>16</v>
      </c>
      <c r="C4" s="18" t="s">
        <v>17</v>
      </c>
      <c r="D4" s="19">
        <v>10006.0</v>
      </c>
      <c r="E4" s="20" t="s">
        <v>18</v>
      </c>
      <c r="F4" s="21">
        <v>2400.0</v>
      </c>
      <c r="G4" s="22"/>
      <c r="H4" s="23"/>
      <c r="I4" s="24"/>
      <c r="J4" s="25"/>
      <c r="K4" s="26" t="s">
        <v>19</v>
      </c>
      <c r="L4" s="27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31" t="s">
        <v>16</v>
      </c>
      <c r="C5" s="32" t="s">
        <v>22</v>
      </c>
      <c r="D5" s="33">
        <v>10006.0</v>
      </c>
      <c r="E5" s="34" t="s">
        <v>18</v>
      </c>
      <c r="F5" s="35">
        <v>1200.0</v>
      </c>
      <c r="G5" s="36"/>
      <c r="H5" s="37"/>
      <c r="I5" s="38"/>
      <c r="J5" s="39"/>
      <c r="K5" s="40" t="s">
        <v>19</v>
      </c>
      <c r="L5" s="41"/>
      <c r="M5" s="42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23</v>
      </c>
      <c r="B6" s="43" t="s">
        <v>24</v>
      </c>
      <c r="C6" s="44" t="s">
        <v>25</v>
      </c>
      <c r="D6" s="45">
        <v>109133.0</v>
      </c>
      <c r="E6" s="46" t="s">
        <v>26</v>
      </c>
      <c r="F6" s="47"/>
      <c r="G6" s="48"/>
      <c r="H6" s="49">
        <v>300.0</v>
      </c>
      <c r="I6" s="50"/>
      <c r="J6" s="51"/>
      <c r="K6" s="40" t="s">
        <v>19</v>
      </c>
      <c r="L6" s="52"/>
      <c r="M6" s="53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43" t="s">
        <v>24</v>
      </c>
      <c r="C7" s="44" t="s">
        <v>28</v>
      </c>
      <c r="D7" s="45">
        <v>48031.0</v>
      </c>
      <c r="E7" s="46" t="s">
        <v>29</v>
      </c>
      <c r="F7" s="47"/>
      <c r="G7" s="48"/>
      <c r="H7" s="49">
        <v>795.0</v>
      </c>
      <c r="I7" s="50"/>
      <c r="J7" s="51"/>
      <c r="K7" s="40" t="s">
        <v>19</v>
      </c>
      <c r="L7" s="52"/>
      <c r="M7" s="53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54">
        <v>46023.0</v>
      </c>
      <c r="C8" s="44" t="s">
        <v>31</v>
      </c>
      <c r="D8" s="45">
        <v>109179.0</v>
      </c>
      <c r="E8" s="46" t="s">
        <v>32</v>
      </c>
      <c r="F8" s="55">
        <v>300.0</v>
      </c>
      <c r="G8" s="48"/>
      <c r="H8" s="49"/>
      <c r="I8" s="50"/>
      <c r="J8" s="51"/>
      <c r="K8" s="40" t="s">
        <v>19</v>
      </c>
      <c r="L8" s="52"/>
      <c r="M8" s="53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54">
        <v>46054.0</v>
      </c>
      <c r="C9" s="44" t="s">
        <v>34</v>
      </c>
      <c r="D9" s="45">
        <v>109194.0</v>
      </c>
      <c r="E9" s="46" t="s">
        <v>35</v>
      </c>
      <c r="F9" s="55">
        <v>300.0</v>
      </c>
      <c r="G9" s="48"/>
      <c r="H9" s="49"/>
      <c r="I9" s="50"/>
      <c r="J9" s="51"/>
      <c r="K9" s="40" t="s">
        <v>19</v>
      </c>
      <c r="L9" s="52"/>
      <c r="M9" s="53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36</v>
      </c>
      <c r="B10" s="54">
        <v>46054.0</v>
      </c>
      <c r="C10" s="44" t="s">
        <v>37</v>
      </c>
      <c r="D10" s="45">
        <v>109195.0</v>
      </c>
      <c r="E10" s="46" t="s">
        <v>38</v>
      </c>
      <c r="F10" s="55">
        <v>300.0</v>
      </c>
      <c r="G10" s="48"/>
      <c r="H10" s="49"/>
      <c r="I10" s="50"/>
      <c r="J10" s="51"/>
      <c r="K10" s="40" t="s">
        <v>19</v>
      </c>
      <c r="L10" s="52"/>
      <c r="M10" s="53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39</v>
      </c>
      <c r="B11" s="54">
        <v>46054.0</v>
      </c>
      <c r="C11" s="44" t="s">
        <v>40</v>
      </c>
      <c r="D11" s="45">
        <v>109196.0</v>
      </c>
      <c r="E11" s="56" t="s">
        <v>41</v>
      </c>
      <c r="F11" s="57">
        <v>300.0</v>
      </c>
      <c r="G11" s="48"/>
      <c r="H11" s="49"/>
      <c r="I11" s="50"/>
      <c r="J11" s="58"/>
      <c r="K11" s="40" t="s">
        <v>19</v>
      </c>
      <c r="L11" s="59"/>
      <c r="M11" s="60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42</v>
      </c>
      <c r="B12" s="54">
        <v>46082.0</v>
      </c>
      <c r="C12" s="44" t="s">
        <v>43</v>
      </c>
      <c r="D12" s="45">
        <v>10250.0</v>
      </c>
      <c r="E12" s="56" t="s">
        <v>44</v>
      </c>
      <c r="F12" s="61"/>
      <c r="G12" s="62">
        <v>5700.0</v>
      </c>
      <c r="H12" s="63"/>
      <c r="I12" s="50"/>
      <c r="J12" s="58"/>
      <c r="K12" s="64" t="s">
        <v>45</v>
      </c>
      <c r="L12" s="59"/>
      <c r="M12" s="60" t="s">
        <v>46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47</v>
      </c>
      <c r="B13" s="54">
        <v>46082.0</v>
      </c>
      <c r="C13" s="44" t="s">
        <v>48</v>
      </c>
      <c r="D13" s="45">
        <v>109231.0</v>
      </c>
      <c r="E13" s="56" t="s">
        <v>49</v>
      </c>
      <c r="F13" s="61"/>
      <c r="G13" s="48"/>
      <c r="H13" s="49">
        <v>300.0</v>
      </c>
      <c r="I13" s="50"/>
      <c r="J13" s="58"/>
      <c r="K13" s="40" t="s">
        <v>19</v>
      </c>
      <c r="L13" s="59"/>
      <c r="M13" s="60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50</v>
      </c>
      <c r="B14" s="54">
        <v>46082.0</v>
      </c>
      <c r="C14" s="44" t="s">
        <v>51</v>
      </c>
      <c r="D14" s="45">
        <v>109233.0</v>
      </c>
      <c r="E14" s="56" t="s">
        <v>52</v>
      </c>
      <c r="F14" s="65"/>
      <c r="G14" s="48"/>
      <c r="H14" s="49">
        <v>300.0</v>
      </c>
      <c r="I14" s="50"/>
      <c r="J14" s="58"/>
      <c r="K14" s="40" t="s">
        <v>19</v>
      </c>
      <c r="L14" s="59"/>
      <c r="M14" s="60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53</v>
      </c>
      <c r="B15" s="54">
        <v>46113.0</v>
      </c>
      <c r="C15" s="44" t="s">
        <v>54</v>
      </c>
      <c r="D15" s="45">
        <v>109263.0</v>
      </c>
      <c r="E15" s="56" t="s">
        <v>55</v>
      </c>
      <c r="F15" s="65"/>
      <c r="G15" s="66"/>
      <c r="H15" s="49">
        <v>300.0</v>
      </c>
      <c r="I15" s="50"/>
      <c r="J15" s="58"/>
      <c r="K15" s="40" t="s">
        <v>19</v>
      </c>
      <c r="L15" s="59"/>
      <c r="M15" s="60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 t="s">
        <v>56</v>
      </c>
      <c r="B16" s="54">
        <v>46113.0</v>
      </c>
      <c r="C16" s="44" t="s">
        <v>57</v>
      </c>
      <c r="D16" s="45">
        <v>10250.0</v>
      </c>
      <c r="E16" s="56" t="s">
        <v>44</v>
      </c>
      <c r="F16" s="67">
        <v>20000.0</v>
      </c>
      <c r="G16" s="66"/>
      <c r="H16" s="49"/>
      <c r="I16" s="50"/>
      <c r="J16" s="58"/>
      <c r="K16" s="64" t="s">
        <v>45</v>
      </c>
      <c r="L16" s="59"/>
      <c r="M16" s="60" t="s">
        <v>46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58</v>
      </c>
      <c r="B17" s="54">
        <v>46143.0</v>
      </c>
      <c r="C17" s="44" t="s">
        <v>59</v>
      </c>
      <c r="D17" s="45">
        <v>47787.0</v>
      </c>
      <c r="E17" s="56" t="s">
        <v>60</v>
      </c>
      <c r="F17" s="67">
        <v>10000.0</v>
      </c>
      <c r="G17" s="66"/>
      <c r="H17" s="49"/>
      <c r="I17" s="50"/>
      <c r="J17" s="58"/>
      <c r="K17" s="64" t="s">
        <v>19</v>
      </c>
      <c r="L17" s="59"/>
      <c r="M17" s="60" t="s">
        <v>46</v>
      </c>
      <c r="N17" s="29"/>
      <c r="O17" s="29"/>
      <c r="P17" s="68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30" t="s">
        <v>61</v>
      </c>
      <c r="B18" s="54">
        <v>46143.0</v>
      </c>
      <c r="C18" s="44" t="s">
        <v>62</v>
      </c>
      <c r="D18" s="45">
        <v>59793.0</v>
      </c>
      <c r="E18" s="56" t="s">
        <v>63</v>
      </c>
      <c r="F18" s="69"/>
      <c r="G18" s="70">
        <v>5000.0</v>
      </c>
      <c r="H18" s="49"/>
      <c r="I18" s="50"/>
      <c r="J18" s="58"/>
      <c r="K18" s="64" t="s">
        <v>19</v>
      </c>
      <c r="L18" s="59"/>
      <c r="M18" s="60" t="s">
        <v>64</v>
      </c>
      <c r="N18" s="29"/>
      <c r="O18" s="29"/>
      <c r="P18" s="68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 t="s">
        <v>65</v>
      </c>
      <c r="B19" s="54">
        <v>46143.0</v>
      </c>
      <c r="C19" s="44" t="s">
        <v>66</v>
      </c>
      <c r="D19" s="45">
        <v>109302.0</v>
      </c>
      <c r="E19" s="56" t="s">
        <v>67</v>
      </c>
      <c r="F19" s="69"/>
      <c r="G19" s="70">
        <v>5000.0</v>
      </c>
      <c r="H19" s="63"/>
      <c r="I19" s="50"/>
      <c r="J19" s="58"/>
      <c r="K19" s="64" t="s">
        <v>19</v>
      </c>
      <c r="L19" s="59"/>
      <c r="M19" s="60" t="s">
        <v>64</v>
      </c>
      <c r="N19" s="29"/>
      <c r="O19" s="29"/>
      <c r="P19" s="68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 t="s">
        <v>68</v>
      </c>
      <c r="B20" s="54">
        <v>46143.0</v>
      </c>
      <c r="C20" s="44" t="s">
        <v>69</v>
      </c>
      <c r="D20" s="45">
        <v>21828.0</v>
      </c>
      <c r="E20" s="56" t="s">
        <v>70</v>
      </c>
      <c r="F20" s="67">
        <v>10000.0</v>
      </c>
      <c r="G20" s="70"/>
      <c r="H20" s="49"/>
      <c r="I20" s="50"/>
      <c r="J20" s="58"/>
      <c r="K20" s="64" t="s">
        <v>19</v>
      </c>
      <c r="L20" s="59"/>
      <c r="M20" s="60" t="s">
        <v>64</v>
      </c>
      <c r="N20" s="29"/>
      <c r="O20" s="29"/>
      <c r="P20" s="71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30" t="s">
        <v>71</v>
      </c>
      <c r="B21" s="54">
        <v>46143.0</v>
      </c>
      <c r="C21" s="44" t="s">
        <v>72</v>
      </c>
      <c r="D21" s="45">
        <v>10006.0</v>
      </c>
      <c r="E21" s="56" t="s">
        <v>18</v>
      </c>
      <c r="F21" s="65"/>
      <c r="G21" s="70">
        <v>1450.0</v>
      </c>
      <c r="H21" s="49"/>
      <c r="I21" s="50"/>
      <c r="J21" s="58"/>
      <c r="K21" s="64" t="s">
        <v>19</v>
      </c>
      <c r="L21" s="59"/>
      <c r="M21" s="60" t="s">
        <v>20</v>
      </c>
      <c r="N21" s="29"/>
      <c r="O21" s="29"/>
      <c r="P21" s="71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30"/>
      <c r="B22" s="54"/>
      <c r="C22" s="44"/>
      <c r="D22" s="45"/>
      <c r="E22" s="56"/>
      <c r="F22" s="65"/>
      <c r="G22" s="70"/>
      <c r="H22" s="63"/>
      <c r="I22" s="50"/>
      <c r="J22" s="58"/>
      <c r="K22" s="72"/>
      <c r="L22" s="59"/>
      <c r="M22" s="73"/>
      <c r="N22" s="29"/>
      <c r="O22" s="29"/>
      <c r="P22" s="71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customHeight="1">
      <c r="A23" s="30"/>
      <c r="B23" s="74"/>
      <c r="C23" s="75"/>
      <c r="D23" s="76"/>
      <c r="E23" s="77"/>
      <c r="F23" s="65"/>
      <c r="G23" s="66"/>
      <c r="H23" s="49"/>
      <c r="I23" s="50"/>
      <c r="J23" s="58"/>
      <c r="K23" s="40"/>
      <c r="L23" s="59"/>
      <c r="M23" s="73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78"/>
      <c r="B24" s="2"/>
      <c r="C24" s="2"/>
      <c r="D24" s="2"/>
      <c r="E24" s="3"/>
      <c r="F24" s="79">
        <f>SUM(F4:F23)</f>
        <v>44800</v>
      </c>
      <c r="G24" s="79">
        <f t="shared" ref="G24:J24" si="1">SUM(G4:G14)</f>
        <v>5700</v>
      </c>
      <c r="H24" s="79">
        <f t="shared" si="1"/>
        <v>1695</v>
      </c>
      <c r="I24" s="79">
        <f t="shared" si="1"/>
        <v>0</v>
      </c>
      <c r="J24" s="79">
        <f t="shared" si="1"/>
        <v>0</v>
      </c>
      <c r="K24" s="80"/>
      <c r="L24" s="80"/>
      <c r="M24" s="81"/>
    </row>
    <row r="25" ht="48.0" customHeight="1">
      <c r="F25" s="82">
        <f>F24+G24+H24+I24+J24</f>
        <v>52195</v>
      </c>
      <c r="G25" s="2"/>
      <c r="H25" s="2"/>
      <c r="I25" s="2"/>
      <c r="J2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2">
    <mergeCell ref="K2:K3"/>
    <mergeCell ref="L2:L3"/>
    <mergeCell ref="A24:E24"/>
    <mergeCell ref="F25:J25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2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84">
        <v>46027.0</v>
      </c>
      <c r="C4" s="32" t="s">
        <v>74</v>
      </c>
      <c r="D4" s="33">
        <v>109349.0</v>
      </c>
      <c r="E4" s="85" t="s">
        <v>75</v>
      </c>
      <c r="F4" s="86"/>
      <c r="G4" s="87"/>
      <c r="H4" s="88">
        <v>300.0</v>
      </c>
      <c r="I4" s="89"/>
      <c r="J4" s="90"/>
      <c r="K4" s="91" t="s">
        <v>76</v>
      </c>
      <c r="L4" s="92"/>
      <c r="M4" s="93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84">
        <v>46027.0</v>
      </c>
      <c r="C5" s="32" t="s">
        <v>77</v>
      </c>
      <c r="D5" s="33">
        <v>87820.0</v>
      </c>
      <c r="E5" s="94" t="s">
        <v>78</v>
      </c>
      <c r="F5" s="95"/>
      <c r="G5" s="36"/>
      <c r="H5" s="37">
        <v>10000.0</v>
      </c>
      <c r="I5" s="38"/>
      <c r="J5" s="39"/>
      <c r="K5" s="91" t="s">
        <v>76</v>
      </c>
      <c r="L5" s="96"/>
      <c r="M5" s="97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98" t="s">
        <v>23</v>
      </c>
      <c r="B6" s="54">
        <v>46027.0</v>
      </c>
      <c r="C6" s="44" t="s">
        <v>79</v>
      </c>
      <c r="D6" s="45">
        <v>107334.0</v>
      </c>
      <c r="E6" s="56" t="s">
        <v>80</v>
      </c>
      <c r="F6" s="61"/>
      <c r="G6" s="48"/>
      <c r="H6" s="49">
        <v>15000.0</v>
      </c>
      <c r="I6" s="50"/>
      <c r="J6" s="51"/>
      <c r="K6" s="91" t="s">
        <v>76</v>
      </c>
      <c r="L6" s="52"/>
      <c r="M6" s="99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83" t="s">
        <v>27</v>
      </c>
      <c r="B7" s="54">
        <v>46027.0</v>
      </c>
      <c r="C7" s="44" t="s">
        <v>81</v>
      </c>
      <c r="D7" s="45">
        <v>109370.0</v>
      </c>
      <c r="E7" s="56" t="s">
        <v>82</v>
      </c>
      <c r="F7" s="65"/>
      <c r="G7" s="48"/>
      <c r="H7" s="49">
        <v>300.0</v>
      </c>
      <c r="I7" s="50"/>
      <c r="J7" s="58"/>
      <c r="K7" s="91" t="s">
        <v>76</v>
      </c>
      <c r="L7" s="59"/>
      <c r="M7" s="99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30</v>
      </c>
      <c r="B8" s="54">
        <v>46027.0</v>
      </c>
      <c r="C8" s="44" t="s">
        <v>83</v>
      </c>
      <c r="D8" s="45">
        <v>109371.0</v>
      </c>
      <c r="E8" s="56" t="s">
        <v>84</v>
      </c>
      <c r="F8" s="65"/>
      <c r="G8" s="66"/>
      <c r="H8" s="49">
        <v>300.0</v>
      </c>
      <c r="I8" s="50"/>
      <c r="J8" s="58"/>
      <c r="K8" s="91" t="s">
        <v>76</v>
      </c>
      <c r="L8" s="59"/>
      <c r="M8" s="99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8" t="s">
        <v>33</v>
      </c>
      <c r="B9" s="54">
        <v>46027.0</v>
      </c>
      <c r="C9" s="44" t="s">
        <v>85</v>
      </c>
      <c r="D9" s="45">
        <v>109375.0</v>
      </c>
      <c r="E9" s="56" t="s">
        <v>86</v>
      </c>
      <c r="F9" s="65"/>
      <c r="G9" s="66"/>
      <c r="H9" s="49">
        <v>300.0</v>
      </c>
      <c r="I9" s="50"/>
      <c r="J9" s="58"/>
      <c r="K9" s="91" t="s">
        <v>76</v>
      </c>
      <c r="L9" s="59"/>
      <c r="M9" s="99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54">
        <v>46027.0</v>
      </c>
      <c r="C10" s="44" t="s">
        <v>87</v>
      </c>
      <c r="D10" s="45">
        <v>109378.0</v>
      </c>
      <c r="E10" s="56" t="s">
        <v>88</v>
      </c>
      <c r="F10" s="65"/>
      <c r="G10" s="66"/>
      <c r="H10" s="49">
        <v>300.0</v>
      </c>
      <c r="I10" s="50"/>
      <c r="J10" s="58"/>
      <c r="K10" s="91" t="s">
        <v>76</v>
      </c>
      <c r="L10" s="59"/>
      <c r="M10" s="99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39</v>
      </c>
      <c r="B11" s="54">
        <v>46028.0</v>
      </c>
      <c r="C11" s="44" t="s">
        <v>89</v>
      </c>
      <c r="D11" s="45">
        <v>87820.0</v>
      </c>
      <c r="E11" s="56" t="s">
        <v>78</v>
      </c>
      <c r="F11" s="65"/>
      <c r="G11" s="66"/>
      <c r="H11" s="49">
        <v>25000.0</v>
      </c>
      <c r="I11" s="50"/>
      <c r="J11" s="58"/>
      <c r="K11" s="91" t="s">
        <v>76</v>
      </c>
      <c r="L11" s="59"/>
      <c r="M11" s="99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98" t="s">
        <v>42</v>
      </c>
      <c r="B12" s="54">
        <v>46028.0</v>
      </c>
      <c r="C12" s="44" t="s">
        <v>90</v>
      </c>
      <c r="D12" s="45">
        <v>30909.0</v>
      </c>
      <c r="E12" s="56" t="s">
        <v>91</v>
      </c>
      <c r="F12" s="100">
        <v>3500.0</v>
      </c>
      <c r="G12" s="66"/>
      <c r="H12" s="63"/>
      <c r="I12" s="50"/>
      <c r="J12" s="58"/>
      <c r="K12" s="91" t="s">
        <v>76</v>
      </c>
      <c r="L12" s="59"/>
      <c r="M12" s="99" t="s">
        <v>64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83" t="s">
        <v>47</v>
      </c>
      <c r="B13" s="54">
        <v>46028.0</v>
      </c>
      <c r="C13" s="44" t="s">
        <v>92</v>
      </c>
      <c r="D13" s="45">
        <v>54763.0</v>
      </c>
      <c r="E13" s="56" t="s">
        <v>93</v>
      </c>
      <c r="F13" s="65"/>
      <c r="G13" s="66"/>
      <c r="H13" s="63"/>
      <c r="I13" s="101">
        <v>35.0</v>
      </c>
      <c r="J13" s="58"/>
      <c r="K13" s="91" t="s">
        <v>76</v>
      </c>
      <c r="L13" s="59"/>
      <c r="M13" s="99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50</v>
      </c>
      <c r="B14" s="54">
        <v>46028.0</v>
      </c>
      <c r="C14" s="44" t="s">
        <v>94</v>
      </c>
      <c r="D14" s="45">
        <v>91751.0</v>
      </c>
      <c r="E14" s="56" t="s">
        <v>95</v>
      </c>
      <c r="F14" s="65"/>
      <c r="G14" s="70">
        <v>15450.0</v>
      </c>
      <c r="H14" s="63"/>
      <c r="I14" s="50"/>
      <c r="J14" s="58"/>
      <c r="K14" s="91" t="s">
        <v>76</v>
      </c>
      <c r="L14" s="59"/>
      <c r="M14" s="99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 t="s">
        <v>53</v>
      </c>
      <c r="B15" s="54">
        <v>46028.0</v>
      </c>
      <c r="C15" s="44" t="s">
        <v>96</v>
      </c>
      <c r="D15" s="45">
        <v>106403.0</v>
      </c>
      <c r="E15" s="56" t="s">
        <v>97</v>
      </c>
      <c r="F15" s="65"/>
      <c r="G15" s="66"/>
      <c r="H15" s="49">
        <v>59100.0</v>
      </c>
      <c r="I15" s="50"/>
      <c r="J15" s="58"/>
      <c r="K15" s="91" t="s">
        <v>76</v>
      </c>
      <c r="L15" s="59"/>
      <c r="M15" s="99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3" t="s">
        <v>56</v>
      </c>
      <c r="B16" s="54">
        <v>46028.0</v>
      </c>
      <c r="C16" s="44" t="s">
        <v>98</v>
      </c>
      <c r="D16" s="45">
        <v>47787.0</v>
      </c>
      <c r="E16" s="56" t="s">
        <v>60</v>
      </c>
      <c r="F16" s="100">
        <v>1000.0</v>
      </c>
      <c r="G16" s="66"/>
      <c r="H16" s="63"/>
      <c r="I16" s="50"/>
      <c r="J16" s="58"/>
      <c r="K16" s="102" t="s">
        <v>45</v>
      </c>
      <c r="L16" s="59"/>
      <c r="M16" s="99" t="s">
        <v>46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83" t="s">
        <v>58</v>
      </c>
      <c r="B17" s="54">
        <v>46028.0</v>
      </c>
      <c r="C17" s="44" t="s">
        <v>99</v>
      </c>
      <c r="D17" s="45">
        <v>95492.0</v>
      </c>
      <c r="E17" s="56" t="s">
        <v>100</v>
      </c>
      <c r="F17" s="65"/>
      <c r="G17" s="66"/>
      <c r="H17" s="49">
        <v>12350.0</v>
      </c>
      <c r="I17" s="50"/>
      <c r="J17" s="58"/>
      <c r="K17" s="91" t="s">
        <v>76</v>
      </c>
      <c r="L17" s="59"/>
      <c r="M17" s="99" t="s">
        <v>64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30" t="s">
        <v>61</v>
      </c>
      <c r="B18" s="54">
        <v>46028.0</v>
      </c>
      <c r="C18" s="44" t="s">
        <v>101</v>
      </c>
      <c r="D18" s="45">
        <v>50342.0</v>
      </c>
      <c r="E18" s="56" t="s">
        <v>102</v>
      </c>
      <c r="F18" s="65"/>
      <c r="G18" s="70">
        <v>165950.0</v>
      </c>
      <c r="H18" s="63"/>
      <c r="I18" s="50"/>
      <c r="J18" s="58"/>
      <c r="K18" s="91" t="s">
        <v>76</v>
      </c>
      <c r="L18" s="59"/>
      <c r="M18" s="99" t="s">
        <v>64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98" t="s">
        <v>65</v>
      </c>
      <c r="B19" s="103"/>
      <c r="C19" s="75"/>
      <c r="D19" s="76"/>
      <c r="E19" s="77"/>
      <c r="F19" s="65"/>
      <c r="G19" s="66"/>
      <c r="H19" s="63"/>
      <c r="I19" s="50"/>
      <c r="J19" s="58"/>
      <c r="K19" s="104"/>
      <c r="L19" s="59"/>
      <c r="M19" s="105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83" t="s">
        <v>68</v>
      </c>
      <c r="B20" s="103"/>
      <c r="C20" s="75"/>
      <c r="D20" s="76"/>
      <c r="E20" s="77"/>
      <c r="F20" s="65"/>
      <c r="G20" s="66"/>
      <c r="H20" s="63"/>
      <c r="I20" s="50"/>
      <c r="J20" s="58"/>
      <c r="K20" s="104"/>
      <c r="L20" s="59"/>
      <c r="M20" s="105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4500</v>
      </c>
      <c r="G21" s="79">
        <f t="shared" si="1"/>
        <v>181400</v>
      </c>
      <c r="H21" s="79">
        <f t="shared" si="1"/>
        <v>122950</v>
      </c>
      <c r="I21" s="79">
        <f t="shared" si="1"/>
        <v>35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308885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06">
        <v>46028.0</v>
      </c>
      <c r="C4" s="18" t="s">
        <v>104</v>
      </c>
      <c r="D4" s="19">
        <v>109466.0</v>
      </c>
      <c r="E4" s="107" t="s">
        <v>105</v>
      </c>
      <c r="F4" s="108"/>
      <c r="G4" s="109"/>
      <c r="H4" s="110">
        <v>300.0</v>
      </c>
      <c r="I4" s="11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06">
        <v>46028.0</v>
      </c>
      <c r="C5" s="18" t="s">
        <v>106</v>
      </c>
      <c r="D5" s="19">
        <v>109468.0</v>
      </c>
      <c r="E5" s="115" t="s">
        <v>107</v>
      </c>
      <c r="F5" s="108"/>
      <c r="G5" s="109"/>
      <c r="H5" s="110">
        <v>300.0</v>
      </c>
      <c r="I5" s="111"/>
      <c r="J5" s="116"/>
      <c r="K5" s="117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54">
        <v>46028.0</v>
      </c>
      <c r="C6" s="44" t="s">
        <v>108</v>
      </c>
      <c r="D6" s="119">
        <v>21818.0</v>
      </c>
      <c r="E6" s="120" t="s">
        <v>109</v>
      </c>
      <c r="F6" s="121"/>
      <c r="G6" s="109"/>
      <c r="H6" s="122">
        <v>1000.0</v>
      </c>
      <c r="I6" s="123"/>
      <c r="J6" s="124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54">
        <v>46029.0</v>
      </c>
      <c r="C7" s="44" t="s">
        <v>110</v>
      </c>
      <c r="D7" s="45">
        <v>83352.0</v>
      </c>
      <c r="E7" s="56" t="s">
        <v>111</v>
      </c>
      <c r="F7" s="126">
        <v>25200.0</v>
      </c>
      <c r="G7" s="121"/>
      <c r="H7" s="127"/>
      <c r="I7" s="123"/>
      <c r="J7" s="124"/>
      <c r="K7" s="125" t="s">
        <v>19</v>
      </c>
      <c r="L7" s="52"/>
      <c r="M7" s="128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54">
        <v>46029.0</v>
      </c>
      <c r="C8" s="44" t="s">
        <v>112</v>
      </c>
      <c r="D8" s="45">
        <v>109520.0</v>
      </c>
      <c r="E8" s="56" t="s">
        <v>113</v>
      </c>
      <c r="F8" s="121"/>
      <c r="G8" s="121"/>
      <c r="H8" s="129">
        <v>300.0</v>
      </c>
      <c r="I8" s="123"/>
      <c r="J8" s="124"/>
      <c r="K8" s="125" t="s">
        <v>19</v>
      </c>
      <c r="L8" s="52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54">
        <v>46029.0</v>
      </c>
      <c r="C9" s="44" t="s">
        <v>114</v>
      </c>
      <c r="D9" s="45">
        <v>108364.0</v>
      </c>
      <c r="E9" s="56" t="s">
        <v>115</v>
      </c>
      <c r="F9" s="121"/>
      <c r="G9" s="121"/>
      <c r="H9" s="129">
        <v>3050.0</v>
      </c>
      <c r="I9" s="123"/>
      <c r="J9" s="124"/>
      <c r="K9" s="125" t="s">
        <v>19</v>
      </c>
      <c r="L9" s="52"/>
      <c r="M9" s="128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 t="s">
        <v>36</v>
      </c>
      <c r="B10" s="103"/>
      <c r="C10" s="75"/>
      <c r="D10" s="76"/>
      <c r="E10" s="77"/>
      <c r="F10" s="130"/>
      <c r="G10" s="130"/>
      <c r="H10" s="131"/>
      <c r="I10" s="123"/>
      <c r="J10" s="124"/>
      <c r="K10" s="132" t="s">
        <v>19</v>
      </c>
      <c r="L10" s="52"/>
      <c r="M10" s="133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39</v>
      </c>
      <c r="B11" s="103"/>
      <c r="C11" s="75"/>
      <c r="D11" s="76"/>
      <c r="E11" s="77"/>
      <c r="F11" s="130"/>
      <c r="G11" s="130"/>
      <c r="H11" s="131"/>
      <c r="I11" s="123"/>
      <c r="J11" s="124"/>
      <c r="K11" s="132" t="s">
        <v>19</v>
      </c>
      <c r="L11" s="52"/>
      <c r="M11" s="133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 t="s">
        <v>42</v>
      </c>
      <c r="B12" s="103"/>
      <c r="C12" s="75"/>
      <c r="D12" s="76"/>
      <c r="E12" s="77"/>
      <c r="F12" s="130"/>
      <c r="G12" s="130"/>
      <c r="H12" s="131"/>
      <c r="I12" s="123"/>
      <c r="J12" s="124"/>
      <c r="K12" s="132" t="s">
        <v>19</v>
      </c>
      <c r="L12" s="52"/>
      <c r="M12" s="133" t="s">
        <v>64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47</v>
      </c>
      <c r="B13" s="103"/>
      <c r="C13" s="75"/>
      <c r="D13" s="76"/>
      <c r="E13" s="77"/>
      <c r="F13" s="130"/>
      <c r="G13" s="130"/>
      <c r="H13" s="131"/>
      <c r="I13" s="123"/>
      <c r="J13" s="124"/>
      <c r="K13" s="132" t="s">
        <v>19</v>
      </c>
      <c r="L13" s="52"/>
      <c r="M13" s="133" t="s">
        <v>64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 t="s">
        <v>50</v>
      </c>
      <c r="B14" s="103"/>
      <c r="C14" s="75"/>
      <c r="D14" s="76"/>
      <c r="E14" s="77"/>
      <c r="F14" s="130"/>
      <c r="G14" s="130"/>
      <c r="H14" s="131"/>
      <c r="I14" s="123"/>
      <c r="J14" s="124"/>
      <c r="K14" s="132" t="s">
        <v>19</v>
      </c>
      <c r="L14" s="52"/>
      <c r="M14" s="133" t="s">
        <v>116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103"/>
      <c r="C15" s="75"/>
      <c r="D15" s="76"/>
      <c r="E15" s="77"/>
      <c r="F15" s="130"/>
      <c r="G15" s="130"/>
      <c r="H15" s="131"/>
      <c r="I15" s="123"/>
      <c r="J15" s="124"/>
      <c r="K15" s="132" t="s">
        <v>19</v>
      </c>
      <c r="L15" s="52"/>
      <c r="M15" s="133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 t="s">
        <v>19</v>
      </c>
      <c r="L16" s="52"/>
      <c r="M16" s="133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 t="s">
        <v>19</v>
      </c>
      <c r="L17" s="52"/>
      <c r="M17" s="133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 t="s">
        <v>19</v>
      </c>
      <c r="L18" s="52"/>
      <c r="M18" s="133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 t="s">
        <v>19</v>
      </c>
      <c r="L19" s="52"/>
      <c r="M19" s="133" t="s">
        <v>64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25200</v>
      </c>
      <c r="G21" s="79">
        <f t="shared" si="1"/>
        <v>0</v>
      </c>
      <c r="H21" s="79">
        <f t="shared" si="1"/>
        <v>4950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30150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38">
        <v>46030.0</v>
      </c>
      <c r="C4" s="139" t="s">
        <v>118</v>
      </c>
      <c r="D4" s="140">
        <v>109634.0</v>
      </c>
      <c r="E4" s="141" t="s">
        <v>119</v>
      </c>
      <c r="F4" s="142"/>
      <c r="G4" s="143"/>
      <c r="H4" s="144">
        <v>300.0</v>
      </c>
      <c r="I4" s="143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45">
        <v>46030.0</v>
      </c>
      <c r="C5" s="18" t="s">
        <v>120</v>
      </c>
      <c r="D5" s="146">
        <v>35245.0</v>
      </c>
      <c r="E5" s="147" t="s">
        <v>121</v>
      </c>
      <c r="F5" s="148">
        <v>2400.0</v>
      </c>
      <c r="G5" s="143"/>
      <c r="H5" s="149"/>
      <c r="I5" s="143"/>
      <c r="J5" s="116"/>
      <c r="K5" s="117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145">
        <v>46030.0</v>
      </c>
      <c r="C6" s="18" t="s">
        <v>122</v>
      </c>
      <c r="D6" s="146">
        <v>109654.0</v>
      </c>
      <c r="E6" s="147" t="s">
        <v>123</v>
      </c>
      <c r="F6" s="142"/>
      <c r="G6" s="143"/>
      <c r="H6" s="144">
        <v>300.0</v>
      </c>
      <c r="I6" s="143"/>
      <c r="J6" s="124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50">
        <v>46030.0</v>
      </c>
      <c r="C7" s="139" t="s">
        <v>124</v>
      </c>
      <c r="D7" s="140">
        <v>10006.0</v>
      </c>
      <c r="E7" s="141" t="s">
        <v>18</v>
      </c>
      <c r="F7" s="142"/>
      <c r="G7" s="143"/>
      <c r="H7" s="144">
        <v>300.0</v>
      </c>
      <c r="I7" s="143"/>
      <c r="J7" s="124"/>
      <c r="K7" s="125" t="s">
        <v>19</v>
      </c>
      <c r="L7" s="52"/>
      <c r="M7" s="128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151"/>
      <c r="C8" s="152"/>
      <c r="D8" s="153"/>
      <c r="E8" s="154"/>
      <c r="F8" s="142"/>
      <c r="G8" s="143"/>
      <c r="H8" s="149"/>
      <c r="I8" s="143"/>
      <c r="J8" s="124"/>
      <c r="K8" s="125" t="s">
        <v>19</v>
      </c>
      <c r="L8" s="52"/>
      <c r="M8" s="128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54"/>
      <c r="C9" s="44"/>
      <c r="D9" s="45"/>
      <c r="E9" s="56"/>
      <c r="F9" s="121"/>
      <c r="G9" s="121"/>
      <c r="H9" s="129"/>
      <c r="I9" s="123"/>
      <c r="J9" s="124"/>
      <c r="K9" s="125" t="s">
        <v>19</v>
      </c>
      <c r="L9" s="52"/>
      <c r="M9" s="128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 t="s">
        <v>36</v>
      </c>
      <c r="B10" s="103"/>
      <c r="C10" s="75"/>
      <c r="D10" s="76"/>
      <c r="E10" s="77"/>
      <c r="F10" s="130"/>
      <c r="G10" s="130"/>
      <c r="H10" s="131"/>
      <c r="I10" s="123"/>
      <c r="J10" s="124"/>
      <c r="K10" s="132" t="s">
        <v>19</v>
      </c>
      <c r="L10" s="52"/>
      <c r="M10" s="133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39</v>
      </c>
      <c r="B11" s="103"/>
      <c r="C11" s="75"/>
      <c r="D11" s="76"/>
      <c r="E11" s="77"/>
      <c r="F11" s="130"/>
      <c r="G11" s="130"/>
      <c r="H11" s="131"/>
      <c r="I11" s="123"/>
      <c r="J11" s="124"/>
      <c r="K11" s="132" t="s">
        <v>19</v>
      </c>
      <c r="L11" s="52"/>
      <c r="M11" s="133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 t="s">
        <v>42</v>
      </c>
      <c r="B12" s="103"/>
      <c r="C12" s="75"/>
      <c r="D12" s="76"/>
      <c r="E12" s="77"/>
      <c r="F12" s="130"/>
      <c r="G12" s="130"/>
      <c r="H12" s="131"/>
      <c r="I12" s="123"/>
      <c r="J12" s="124"/>
      <c r="K12" s="132" t="s">
        <v>19</v>
      </c>
      <c r="L12" s="52"/>
      <c r="M12" s="133" t="s">
        <v>64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47</v>
      </c>
      <c r="B13" s="103"/>
      <c r="C13" s="75"/>
      <c r="D13" s="76"/>
      <c r="E13" s="77"/>
      <c r="F13" s="130"/>
      <c r="G13" s="130"/>
      <c r="H13" s="131"/>
      <c r="I13" s="123"/>
      <c r="J13" s="124"/>
      <c r="K13" s="132" t="s">
        <v>19</v>
      </c>
      <c r="L13" s="52"/>
      <c r="M13" s="133" t="s">
        <v>64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 t="s">
        <v>50</v>
      </c>
      <c r="B14" s="103"/>
      <c r="C14" s="75"/>
      <c r="D14" s="76"/>
      <c r="E14" s="77"/>
      <c r="F14" s="130"/>
      <c r="G14" s="130"/>
      <c r="H14" s="131"/>
      <c r="I14" s="123"/>
      <c r="J14" s="124"/>
      <c r="K14" s="132" t="s">
        <v>19</v>
      </c>
      <c r="L14" s="52"/>
      <c r="M14" s="133" t="s">
        <v>116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53</v>
      </c>
      <c r="B15" s="103"/>
      <c r="C15" s="75"/>
      <c r="D15" s="76"/>
      <c r="E15" s="77"/>
      <c r="F15" s="130"/>
      <c r="G15" s="130"/>
      <c r="H15" s="131"/>
      <c r="I15" s="123"/>
      <c r="J15" s="124"/>
      <c r="K15" s="132" t="s">
        <v>19</v>
      </c>
      <c r="L15" s="52"/>
      <c r="M15" s="133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 t="s">
        <v>19</v>
      </c>
      <c r="L16" s="52"/>
      <c r="M16" s="133" t="s">
        <v>20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 t="s">
        <v>19</v>
      </c>
      <c r="L17" s="52"/>
      <c r="M17" s="133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 t="s">
        <v>19</v>
      </c>
      <c r="L18" s="52"/>
      <c r="M18" s="133" t="s">
        <v>20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 t="s">
        <v>19</v>
      </c>
      <c r="L19" s="52"/>
      <c r="M19" s="133" t="s">
        <v>64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2400</v>
      </c>
      <c r="G21" s="79">
        <f t="shared" si="1"/>
        <v>0</v>
      </c>
      <c r="H21" s="79">
        <f t="shared" si="1"/>
        <v>900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3300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55" t="s">
        <v>15</v>
      </c>
      <c r="B4" s="156">
        <v>46030.0</v>
      </c>
      <c r="C4" s="157" t="s">
        <v>126</v>
      </c>
      <c r="D4" s="158">
        <v>10006.0</v>
      </c>
      <c r="E4" s="159" t="s">
        <v>18</v>
      </c>
      <c r="F4" s="143"/>
      <c r="G4" s="143"/>
      <c r="H4" s="160">
        <v>300.0</v>
      </c>
      <c r="I4" s="143"/>
      <c r="J4" s="161"/>
      <c r="K4" s="162" t="s">
        <v>19</v>
      </c>
      <c r="L4" s="163"/>
      <c r="M4" s="16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5" t="s">
        <v>21</v>
      </c>
      <c r="B5" s="156">
        <v>46030.0</v>
      </c>
      <c r="C5" s="157" t="s">
        <v>127</v>
      </c>
      <c r="D5" s="158">
        <v>109685.0</v>
      </c>
      <c r="E5" s="159" t="s">
        <v>128</v>
      </c>
      <c r="F5" s="166"/>
      <c r="G5" s="143"/>
      <c r="H5" s="160">
        <v>300.0</v>
      </c>
      <c r="I5" s="143"/>
      <c r="J5" s="167"/>
      <c r="K5" s="168" t="s">
        <v>19</v>
      </c>
      <c r="L5" s="163"/>
      <c r="M5" s="169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5" t="s">
        <v>23</v>
      </c>
      <c r="B6" s="156">
        <v>46030.0</v>
      </c>
      <c r="C6" s="157" t="s">
        <v>129</v>
      </c>
      <c r="D6" s="158">
        <v>109686.0</v>
      </c>
      <c r="E6" s="159" t="s">
        <v>130</v>
      </c>
      <c r="F6" s="143"/>
      <c r="G6" s="143"/>
      <c r="H6" s="160">
        <v>300.0</v>
      </c>
      <c r="I6" s="143"/>
      <c r="J6" s="170"/>
      <c r="K6" s="171" t="s">
        <v>19</v>
      </c>
      <c r="L6" s="163"/>
      <c r="M6" s="169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5" t="s">
        <v>27</v>
      </c>
      <c r="B7" s="156">
        <v>46030.0</v>
      </c>
      <c r="C7" s="157" t="s">
        <v>131</v>
      </c>
      <c r="D7" s="158">
        <v>109687.0</v>
      </c>
      <c r="E7" s="159" t="s">
        <v>132</v>
      </c>
      <c r="F7" s="143"/>
      <c r="G7" s="143"/>
      <c r="H7" s="160">
        <v>300.0</v>
      </c>
      <c r="I7" s="143"/>
      <c r="J7" s="170"/>
      <c r="K7" s="171" t="s">
        <v>19</v>
      </c>
      <c r="L7" s="172"/>
      <c r="M7" s="169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55" t="s">
        <v>30</v>
      </c>
      <c r="B8" s="156">
        <v>46030.0</v>
      </c>
      <c r="C8" s="157" t="s">
        <v>133</v>
      </c>
      <c r="D8" s="173">
        <v>109689.0</v>
      </c>
      <c r="E8" s="159" t="s">
        <v>134</v>
      </c>
      <c r="F8" s="143"/>
      <c r="G8" s="143"/>
      <c r="H8" s="160">
        <v>300.0</v>
      </c>
      <c r="I8" s="143"/>
      <c r="J8" s="170"/>
      <c r="K8" s="171" t="s">
        <v>19</v>
      </c>
      <c r="L8" s="172"/>
      <c r="M8" s="169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5" t="s">
        <v>33</v>
      </c>
      <c r="B9" s="174">
        <v>46030.0</v>
      </c>
      <c r="C9" s="175" t="s">
        <v>135</v>
      </c>
      <c r="D9" s="176">
        <v>109690.0</v>
      </c>
      <c r="E9" s="177" t="s">
        <v>136</v>
      </c>
      <c r="F9" s="178"/>
      <c r="G9" s="178"/>
      <c r="H9" s="179">
        <v>300.0</v>
      </c>
      <c r="I9" s="180"/>
      <c r="J9" s="170"/>
      <c r="K9" s="171" t="s">
        <v>19</v>
      </c>
      <c r="L9" s="172"/>
      <c r="M9" s="169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55" t="s">
        <v>36</v>
      </c>
      <c r="B10" s="174">
        <v>46030.0</v>
      </c>
      <c r="C10" s="175" t="s">
        <v>137</v>
      </c>
      <c r="D10" s="176">
        <v>109693.0</v>
      </c>
      <c r="E10" s="177" t="s">
        <v>138</v>
      </c>
      <c r="F10" s="181"/>
      <c r="G10" s="181"/>
      <c r="H10" s="179">
        <v>300.0</v>
      </c>
      <c r="I10" s="180"/>
      <c r="J10" s="170"/>
      <c r="K10" s="182" t="s">
        <v>19</v>
      </c>
      <c r="L10" s="172"/>
      <c r="M10" s="183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39</v>
      </c>
      <c r="B11" s="54">
        <v>46266.0</v>
      </c>
      <c r="C11" s="44" t="s">
        <v>139</v>
      </c>
      <c r="D11" s="45">
        <v>82902.0</v>
      </c>
      <c r="E11" s="56" t="s">
        <v>140</v>
      </c>
      <c r="F11" s="130"/>
      <c r="G11" s="130"/>
      <c r="H11" s="129">
        <v>680.0</v>
      </c>
      <c r="I11" s="123"/>
      <c r="J11" s="124"/>
      <c r="K11" s="125" t="s">
        <v>19</v>
      </c>
      <c r="L11" s="52"/>
      <c r="M11" s="128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 t="s">
        <v>42</v>
      </c>
      <c r="B12" s="54">
        <v>46266.0</v>
      </c>
      <c r="C12" s="44" t="s">
        <v>141</v>
      </c>
      <c r="D12" s="45">
        <v>52215.0</v>
      </c>
      <c r="E12" s="56" t="s">
        <v>142</v>
      </c>
      <c r="F12" s="126">
        <v>4600.0</v>
      </c>
      <c r="G12" s="130"/>
      <c r="H12" s="129"/>
      <c r="I12" s="123"/>
      <c r="J12" s="124"/>
      <c r="K12" s="125" t="s">
        <v>19</v>
      </c>
      <c r="L12" s="52"/>
      <c r="M12" s="128" t="s">
        <v>64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47</v>
      </c>
      <c r="B13" s="54">
        <v>46266.0</v>
      </c>
      <c r="C13" s="44" t="s">
        <v>143</v>
      </c>
      <c r="D13" s="45">
        <v>108776.0</v>
      </c>
      <c r="E13" s="56" t="s">
        <v>144</v>
      </c>
      <c r="F13" s="130"/>
      <c r="G13" s="130"/>
      <c r="H13" s="129">
        <v>2500.0</v>
      </c>
      <c r="I13" s="123"/>
      <c r="J13" s="124"/>
      <c r="K13" s="125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3" t="s">
        <v>50</v>
      </c>
      <c r="B14" s="54">
        <v>46266.0</v>
      </c>
      <c r="C14" s="44" t="s">
        <v>145</v>
      </c>
      <c r="D14" s="45">
        <v>109755.0</v>
      </c>
      <c r="E14" s="56" t="s">
        <v>146</v>
      </c>
      <c r="F14" s="130"/>
      <c r="G14" s="130"/>
      <c r="H14" s="129">
        <v>300.0</v>
      </c>
      <c r="I14" s="123"/>
      <c r="J14" s="124"/>
      <c r="K14" s="125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53</v>
      </c>
      <c r="B15" s="54">
        <v>46266.0</v>
      </c>
      <c r="C15" s="44" t="s">
        <v>147</v>
      </c>
      <c r="D15" s="45">
        <v>50342.0</v>
      </c>
      <c r="E15" s="56" t="s">
        <v>102</v>
      </c>
      <c r="F15" s="130"/>
      <c r="G15" s="126">
        <v>2500.0</v>
      </c>
      <c r="H15" s="131"/>
      <c r="I15" s="123"/>
      <c r="J15" s="124"/>
      <c r="K15" s="185" t="s">
        <v>19</v>
      </c>
      <c r="L15" s="52"/>
      <c r="M15" s="128" t="s">
        <v>64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/>
      <c r="L16" s="52"/>
      <c r="M16" s="13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/>
      <c r="L17" s="52"/>
      <c r="M17" s="13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/>
      <c r="L18" s="52"/>
      <c r="M18" s="13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/>
      <c r="L19" s="52"/>
      <c r="M19" s="13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4600</v>
      </c>
      <c r="G21" s="79">
        <f t="shared" si="1"/>
        <v>2500</v>
      </c>
      <c r="H21" s="79">
        <f t="shared" si="1"/>
        <v>5580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12680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46032.0</v>
      </c>
      <c r="C4" s="32" t="s">
        <v>149</v>
      </c>
      <c r="D4" s="187">
        <v>109179.0</v>
      </c>
      <c r="E4" s="188" t="s">
        <v>32</v>
      </c>
      <c r="F4" s="189">
        <v>4000.0</v>
      </c>
      <c r="G4" s="190"/>
      <c r="H4" s="191"/>
      <c r="I4" s="190"/>
      <c r="J4" s="192"/>
      <c r="K4" s="102" t="s">
        <v>19</v>
      </c>
      <c r="L4" s="193"/>
      <c r="M4" s="194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86">
        <v>46032.0</v>
      </c>
      <c r="C5" s="32" t="s">
        <v>150</v>
      </c>
      <c r="D5" s="187">
        <v>47787.0</v>
      </c>
      <c r="E5" s="188" t="s">
        <v>60</v>
      </c>
      <c r="F5" s="195">
        <v>10000.0</v>
      </c>
      <c r="G5" s="190"/>
      <c r="H5" s="191"/>
      <c r="I5" s="190"/>
      <c r="J5" s="196"/>
      <c r="K5" s="64" t="s">
        <v>45</v>
      </c>
      <c r="L5" s="193"/>
      <c r="M5" s="197" t="s">
        <v>46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186">
        <v>46032.0</v>
      </c>
      <c r="C6" s="32" t="s">
        <v>151</v>
      </c>
      <c r="D6" s="187">
        <v>59812.0</v>
      </c>
      <c r="E6" s="188" t="s">
        <v>152</v>
      </c>
      <c r="F6" s="190"/>
      <c r="G6" s="190"/>
      <c r="H6" s="191"/>
      <c r="I6" s="190"/>
      <c r="J6" s="198">
        <v>93.0</v>
      </c>
      <c r="K6" s="199" t="s">
        <v>19</v>
      </c>
      <c r="L6" s="193"/>
      <c r="M6" s="197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86">
        <v>46032.0</v>
      </c>
      <c r="C7" s="32" t="s">
        <v>153</v>
      </c>
      <c r="D7" s="187">
        <v>109133.0</v>
      </c>
      <c r="E7" s="188" t="s">
        <v>26</v>
      </c>
      <c r="F7" s="190"/>
      <c r="G7" s="190"/>
      <c r="H7" s="191">
        <v>33500.0</v>
      </c>
      <c r="I7" s="190"/>
      <c r="J7" s="200"/>
      <c r="K7" s="199" t="s">
        <v>19</v>
      </c>
      <c r="L7" s="201"/>
      <c r="M7" s="197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186">
        <v>46032.0</v>
      </c>
      <c r="C8" s="32" t="s">
        <v>154</v>
      </c>
      <c r="D8" s="202">
        <v>109862.0</v>
      </c>
      <c r="E8" s="188" t="s">
        <v>155</v>
      </c>
      <c r="F8" s="190"/>
      <c r="G8" s="190"/>
      <c r="H8" s="191">
        <v>300.0</v>
      </c>
      <c r="I8" s="190"/>
      <c r="J8" s="200"/>
      <c r="K8" s="199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46032.0</v>
      </c>
      <c r="C9" s="204" t="s">
        <v>156</v>
      </c>
      <c r="D9" s="205">
        <v>109863.0</v>
      </c>
      <c r="E9" s="206" t="s">
        <v>157</v>
      </c>
      <c r="F9" s="207"/>
      <c r="G9" s="207"/>
      <c r="H9" s="208">
        <v>300.0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>
        <v>46032.0</v>
      </c>
      <c r="C10" s="204" t="s">
        <v>158</v>
      </c>
      <c r="D10" s="205">
        <v>10006.0</v>
      </c>
      <c r="E10" s="206" t="s">
        <v>18</v>
      </c>
      <c r="F10" s="210"/>
      <c r="G10" s="210"/>
      <c r="H10" s="208">
        <v>300.0</v>
      </c>
      <c r="I10" s="209"/>
      <c r="J10" s="200"/>
      <c r="K10" s="199" t="s">
        <v>19</v>
      </c>
      <c r="L10" s="201"/>
      <c r="M10" s="19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 t="s">
        <v>39</v>
      </c>
      <c r="B11" s="203">
        <v>46032.0</v>
      </c>
      <c r="C11" s="204" t="s">
        <v>159</v>
      </c>
      <c r="D11" s="45">
        <v>10001.0</v>
      </c>
      <c r="E11" s="56" t="s">
        <v>160</v>
      </c>
      <c r="F11" s="130"/>
      <c r="G11" s="130"/>
      <c r="H11" s="129"/>
      <c r="I11" s="123"/>
      <c r="J11" s="211">
        <v>1035.0</v>
      </c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25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/>
      <c r="B13" s="54"/>
      <c r="C13" s="44"/>
      <c r="D13" s="45"/>
      <c r="E13" s="56"/>
      <c r="F13" s="130"/>
      <c r="G13" s="130"/>
      <c r="H13" s="129"/>
      <c r="I13" s="123"/>
      <c r="J13" s="124"/>
      <c r="K13" s="125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3"/>
      <c r="B14" s="54"/>
      <c r="C14" s="44"/>
      <c r="D14" s="45"/>
      <c r="E14" s="56"/>
      <c r="F14" s="130"/>
      <c r="G14" s="130"/>
      <c r="H14" s="129"/>
      <c r="I14" s="123"/>
      <c r="J14" s="124"/>
      <c r="K14" s="125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/>
      <c r="B15" s="54"/>
      <c r="C15" s="44"/>
      <c r="D15" s="45"/>
      <c r="E15" s="56"/>
      <c r="F15" s="130"/>
      <c r="G15" s="126"/>
      <c r="H15" s="131"/>
      <c r="I15" s="123"/>
      <c r="J15" s="124"/>
      <c r="K15" s="185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/>
      <c r="L16" s="52"/>
      <c r="M16" s="13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/>
      <c r="L17" s="52"/>
      <c r="M17" s="13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/>
      <c r="L18" s="52"/>
      <c r="M18" s="13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/>
      <c r="L19" s="52"/>
      <c r="M19" s="13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14000</v>
      </c>
      <c r="G21" s="79">
        <f t="shared" si="1"/>
        <v>0</v>
      </c>
      <c r="H21" s="79">
        <f t="shared" si="1"/>
        <v>34400</v>
      </c>
      <c r="I21" s="79">
        <f t="shared" si="1"/>
        <v>0</v>
      </c>
      <c r="J21" s="79">
        <f t="shared" si="1"/>
        <v>1128</v>
      </c>
      <c r="K21" s="80"/>
      <c r="L21" s="80"/>
      <c r="M21" s="81"/>
    </row>
    <row r="22" ht="48.0" customHeight="1">
      <c r="F22" s="82">
        <f>F21+G21+H21+I21+J21</f>
        <v>49528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46032.0</v>
      </c>
      <c r="C4" s="32" t="s">
        <v>162</v>
      </c>
      <c r="D4" s="187">
        <v>10287.0</v>
      </c>
      <c r="E4" s="188" t="s">
        <v>163</v>
      </c>
      <c r="F4" s="189"/>
      <c r="G4" s="190"/>
      <c r="H4" s="191">
        <v>2500.0</v>
      </c>
      <c r="I4" s="190"/>
      <c r="J4" s="192"/>
      <c r="K4" s="102" t="s">
        <v>19</v>
      </c>
      <c r="L4" s="193"/>
      <c r="M4" s="194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86">
        <v>46032.0</v>
      </c>
      <c r="C5" s="32" t="s">
        <v>164</v>
      </c>
      <c r="D5" s="187">
        <v>10006.0</v>
      </c>
      <c r="E5" s="188" t="s">
        <v>18</v>
      </c>
      <c r="F5" s="195">
        <v>1500.0</v>
      </c>
      <c r="G5" s="190"/>
      <c r="H5" s="191"/>
      <c r="I5" s="190"/>
      <c r="J5" s="196"/>
      <c r="K5" s="102" t="s">
        <v>19</v>
      </c>
      <c r="L5" s="193"/>
      <c r="M5" s="19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186">
        <v>46033.0</v>
      </c>
      <c r="C6" s="32" t="s">
        <v>165</v>
      </c>
      <c r="D6" s="187">
        <v>109944.0</v>
      </c>
      <c r="E6" s="188" t="s">
        <v>166</v>
      </c>
      <c r="F6" s="190"/>
      <c r="G6" s="190"/>
      <c r="H6" s="191">
        <v>300.0</v>
      </c>
      <c r="I6" s="190"/>
      <c r="J6" s="198"/>
      <c r="K6" s="199" t="s">
        <v>19</v>
      </c>
      <c r="L6" s="193"/>
      <c r="M6" s="197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86">
        <v>46033.0</v>
      </c>
      <c r="C7" s="32" t="s">
        <v>167</v>
      </c>
      <c r="D7" s="187">
        <v>35227.0</v>
      </c>
      <c r="E7" s="188" t="s">
        <v>168</v>
      </c>
      <c r="F7" s="190"/>
      <c r="G7" s="190"/>
      <c r="H7" s="191">
        <v>35.0</v>
      </c>
      <c r="I7" s="190"/>
      <c r="J7" s="200"/>
      <c r="K7" s="199" t="s">
        <v>19</v>
      </c>
      <c r="L7" s="201"/>
      <c r="M7" s="197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186">
        <v>46033.0</v>
      </c>
      <c r="C8" s="32" t="s">
        <v>169</v>
      </c>
      <c r="D8" s="202">
        <v>97731.0</v>
      </c>
      <c r="E8" s="188" t="s">
        <v>170</v>
      </c>
      <c r="F8" s="189">
        <v>4500.0</v>
      </c>
      <c r="G8" s="190"/>
      <c r="H8" s="191"/>
      <c r="I8" s="190"/>
      <c r="J8" s="200"/>
      <c r="K8" s="199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46033.0</v>
      </c>
      <c r="C9" s="204" t="s">
        <v>171</v>
      </c>
      <c r="D9" s="205">
        <v>109945.0</v>
      </c>
      <c r="E9" s="206" t="s">
        <v>172</v>
      </c>
      <c r="F9" s="212">
        <v>300.0</v>
      </c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>
        <v>46033.0</v>
      </c>
      <c r="C10" s="204" t="s">
        <v>173</v>
      </c>
      <c r="D10" s="205">
        <v>10250.0</v>
      </c>
      <c r="E10" s="206" t="s">
        <v>44</v>
      </c>
      <c r="F10" s="212">
        <v>15000.0</v>
      </c>
      <c r="G10" s="210"/>
      <c r="H10" s="208"/>
      <c r="I10" s="209"/>
      <c r="J10" s="200"/>
      <c r="K10" s="64" t="s">
        <v>45</v>
      </c>
      <c r="L10" s="201"/>
      <c r="M10" s="197" t="s">
        <v>116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 t="s">
        <v>39</v>
      </c>
      <c r="B11" s="203">
        <v>46033.0</v>
      </c>
      <c r="C11" s="204" t="s">
        <v>174</v>
      </c>
      <c r="D11" s="45">
        <v>99223.0</v>
      </c>
      <c r="E11" s="56" t="s">
        <v>175</v>
      </c>
      <c r="F11" s="126">
        <v>4500.0</v>
      </c>
      <c r="G11" s="130"/>
      <c r="H11" s="129"/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 t="s">
        <v>42</v>
      </c>
      <c r="B12" s="54">
        <v>46033.0</v>
      </c>
      <c r="C12" s="44" t="s">
        <v>176</v>
      </c>
      <c r="D12" s="45">
        <v>109945.0</v>
      </c>
      <c r="E12" s="56" t="s">
        <v>172</v>
      </c>
      <c r="F12" s="126">
        <v>4000.0</v>
      </c>
      <c r="G12" s="130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47</v>
      </c>
      <c r="B13" s="54">
        <v>46033.0</v>
      </c>
      <c r="C13" s="44" t="s">
        <v>177</v>
      </c>
      <c r="D13" s="45">
        <v>35245.0</v>
      </c>
      <c r="E13" s="56" t="s">
        <v>121</v>
      </c>
      <c r="F13" s="126">
        <v>3700.0</v>
      </c>
      <c r="G13" s="130"/>
      <c r="H13" s="129"/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3" t="s">
        <v>50</v>
      </c>
      <c r="B14" s="54">
        <v>46033.0</v>
      </c>
      <c r="C14" s="44" t="s">
        <v>178</v>
      </c>
      <c r="D14" s="45">
        <v>13781.0</v>
      </c>
      <c r="E14" s="56" t="s">
        <v>179</v>
      </c>
      <c r="F14" s="121"/>
      <c r="G14" s="130"/>
      <c r="H14" s="129">
        <v>93.0</v>
      </c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 t="s">
        <v>53</v>
      </c>
      <c r="B15" s="54">
        <v>46033.0</v>
      </c>
      <c r="C15" s="44" t="s">
        <v>180</v>
      </c>
      <c r="D15" s="45">
        <v>109233.0</v>
      </c>
      <c r="E15" s="56" t="s">
        <v>52</v>
      </c>
      <c r="F15" s="126">
        <v>2400.0</v>
      </c>
      <c r="G15" s="126"/>
      <c r="H15" s="131"/>
      <c r="I15" s="123"/>
      <c r="J15" s="124"/>
      <c r="K15" s="102" t="s">
        <v>19</v>
      </c>
      <c r="L15" s="52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/>
      <c r="L16" s="52"/>
      <c r="M16" s="13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/>
      <c r="L17" s="52"/>
      <c r="M17" s="13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/>
      <c r="L18" s="52"/>
      <c r="M18" s="13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98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/>
      <c r="L19" s="52"/>
      <c r="M19" s="13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83" t="s">
        <v>68</v>
      </c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35900</v>
      </c>
      <c r="G21" s="79">
        <f t="shared" si="1"/>
        <v>0</v>
      </c>
      <c r="H21" s="79">
        <f t="shared" si="1"/>
        <v>2928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38828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46033.0</v>
      </c>
      <c r="C4" s="32" t="s">
        <v>182</v>
      </c>
      <c r="D4" s="187">
        <v>10006.0</v>
      </c>
      <c r="E4" s="188" t="s">
        <v>18</v>
      </c>
      <c r="F4" s="189">
        <v>1500.0</v>
      </c>
      <c r="G4" s="190"/>
      <c r="H4" s="191"/>
      <c r="I4" s="190"/>
      <c r="J4" s="192"/>
      <c r="K4" s="102" t="s">
        <v>19</v>
      </c>
      <c r="L4" s="193"/>
      <c r="M4" s="194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186">
        <v>46034.0</v>
      </c>
      <c r="C5" s="32" t="s">
        <v>183</v>
      </c>
      <c r="D5" s="187">
        <v>27880.0</v>
      </c>
      <c r="E5" s="188" t="s">
        <v>184</v>
      </c>
      <c r="F5" s="195">
        <v>4500.0</v>
      </c>
      <c r="G5" s="190"/>
      <c r="H5" s="191"/>
      <c r="I5" s="190"/>
      <c r="J5" s="196"/>
      <c r="K5" s="102" t="s">
        <v>19</v>
      </c>
      <c r="L5" s="193"/>
      <c r="M5" s="19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186">
        <v>46034.0</v>
      </c>
      <c r="C6" s="32" t="s">
        <v>185</v>
      </c>
      <c r="D6" s="187">
        <v>27880.0</v>
      </c>
      <c r="E6" s="188" t="s">
        <v>184</v>
      </c>
      <c r="F6" s="189">
        <v>5140.0</v>
      </c>
      <c r="G6" s="190"/>
      <c r="H6" s="191"/>
      <c r="I6" s="190"/>
      <c r="J6" s="198"/>
      <c r="K6" s="199" t="s">
        <v>19</v>
      </c>
      <c r="L6" s="193"/>
      <c r="M6" s="197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186">
        <v>46034.0</v>
      </c>
      <c r="C7" s="32" t="s">
        <v>186</v>
      </c>
      <c r="D7" s="187">
        <v>109984.0</v>
      </c>
      <c r="E7" s="188" t="s">
        <v>187</v>
      </c>
      <c r="F7" s="190"/>
      <c r="G7" s="190"/>
      <c r="H7" s="191">
        <v>300.0</v>
      </c>
      <c r="I7" s="190"/>
      <c r="J7" s="200"/>
      <c r="K7" s="199" t="s">
        <v>19</v>
      </c>
      <c r="L7" s="201"/>
      <c r="M7" s="197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186">
        <v>46034.0</v>
      </c>
      <c r="C8" s="32" t="s">
        <v>188</v>
      </c>
      <c r="D8" s="202">
        <v>109985.0</v>
      </c>
      <c r="E8" s="188" t="s">
        <v>189</v>
      </c>
      <c r="F8" s="189"/>
      <c r="G8" s="190"/>
      <c r="H8" s="191">
        <v>300.0</v>
      </c>
      <c r="I8" s="190"/>
      <c r="J8" s="200"/>
      <c r="K8" s="199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46034.0</v>
      </c>
      <c r="C9" s="204" t="s">
        <v>190</v>
      </c>
      <c r="D9" s="205">
        <v>13781.0</v>
      </c>
      <c r="E9" s="206" t="s">
        <v>179</v>
      </c>
      <c r="F9" s="212"/>
      <c r="G9" s="207"/>
      <c r="H9" s="208">
        <v>58.0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/>
      <c r="C10" s="204"/>
      <c r="D10" s="205"/>
      <c r="E10" s="206"/>
      <c r="F10" s="212"/>
      <c r="G10" s="210"/>
      <c r="H10" s="208"/>
      <c r="I10" s="209"/>
      <c r="J10" s="200"/>
      <c r="K10" s="64" t="s">
        <v>45</v>
      </c>
      <c r="L10" s="201"/>
      <c r="M10" s="197" t="s">
        <v>116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 t="s">
        <v>39</v>
      </c>
      <c r="B11" s="203"/>
      <c r="C11" s="204"/>
      <c r="D11" s="45"/>
      <c r="E11" s="56"/>
      <c r="F11" s="126"/>
      <c r="G11" s="130"/>
      <c r="H11" s="129"/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 t="s">
        <v>42</v>
      </c>
      <c r="B12" s="54"/>
      <c r="C12" s="44"/>
      <c r="D12" s="45"/>
      <c r="E12" s="56"/>
      <c r="F12" s="126"/>
      <c r="G12" s="130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47</v>
      </c>
      <c r="B13" s="54"/>
      <c r="C13" s="44"/>
      <c r="D13" s="45"/>
      <c r="E13" s="56"/>
      <c r="F13" s="126"/>
      <c r="G13" s="130"/>
      <c r="H13" s="129"/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 t="s">
        <v>50</v>
      </c>
      <c r="B14" s="54"/>
      <c r="C14" s="44"/>
      <c r="D14" s="45"/>
      <c r="E14" s="56"/>
      <c r="F14" s="121"/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 t="s">
        <v>53</v>
      </c>
      <c r="B15" s="54"/>
      <c r="C15" s="44"/>
      <c r="D15" s="45"/>
      <c r="E15" s="56"/>
      <c r="F15" s="126"/>
      <c r="G15" s="126"/>
      <c r="H15" s="131"/>
      <c r="I15" s="123"/>
      <c r="J15" s="124"/>
      <c r="K15" s="102" t="s">
        <v>19</v>
      </c>
      <c r="L15" s="52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/>
      <c r="L16" s="52"/>
      <c r="M16" s="13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/>
      <c r="L17" s="52"/>
      <c r="M17" s="13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/>
      <c r="L18" s="52"/>
      <c r="M18" s="13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98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/>
      <c r="L19" s="52"/>
      <c r="M19" s="13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11140</v>
      </c>
      <c r="G21" s="79">
        <f t="shared" si="1"/>
        <v>0</v>
      </c>
      <c r="H21" s="79">
        <f t="shared" si="1"/>
        <v>658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11798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46357.0</v>
      </c>
      <c r="C4" s="32" t="s">
        <v>192</v>
      </c>
      <c r="D4" s="187">
        <v>51017.0</v>
      </c>
      <c r="E4" s="188" t="s">
        <v>193</v>
      </c>
      <c r="F4" s="189">
        <v>5000.0</v>
      </c>
      <c r="G4" s="190"/>
      <c r="H4" s="191"/>
      <c r="I4" s="190"/>
      <c r="J4" s="192"/>
      <c r="K4" s="102" t="s">
        <v>19</v>
      </c>
      <c r="L4" s="193"/>
      <c r="M4" s="19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13" t="s">
        <v>194</v>
      </c>
      <c r="C5" s="32" t="s">
        <v>195</v>
      </c>
      <c r="D5" s="187">
        <v>52669.0</v>
      </c>
      <c r="E5" s="188" t="s">
        <v>196</v>
      </c>
      <c r="F5" s="195">
        <v>25000.0</v>
      </c>
      <c r="G5" s="190"/>
      <c r="H5" s="191"/>
      <c r="I5" s="190"/>
      <c r="J5" s="196"/>
      <c r="K5" s="102" t="s">
        <v>19</v>
      </c>
      <c r="L5" s="193"/>
      <c r="M5" s="19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213" t="s">
        <v>194</v>
      </c>
      <c r="C6" s="32" t="s">
        <v>197</v>
      </c>
      <c r="D6" s="187">
        <v>88316.0</v>
      </c>
      <c r="E6" s="188" t="s">
        <v>198</v>
      </c>
      <c r="F6" s="189">
        <v>45000.0</v>
      </c>
      <c r="G6" s="190"/>
      <c r="H6" s="191"/>
      <c r="I6" s="190"/>
      <c r="J6" s="198"/>
      <c r="K6" s="199" t="s">
        <v>19</v>
      </c>
      <c r="L6" s="193"/>
      <c r="M6" s="197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3" t="s">
        <v>194</v>
      </c>
      <c r="C7" s="32" t="s">
        <v>199</v>
      </c>
      <c r="D7" s="187">
        <v>88316.0</v>
      </c>
      <c r="E7" s="188" t="s">
        <v>198</v>
      </c>
      <c r="F7" s="189">
        <v>20500.0</v>
      </c>
      <c r="G7" s="190"/>
      <c r="H7" s="191"/>
      <c r="I7" s="190"/>
      <c r="J7" s="200"/>
      <c r="K7" s="199" t="s">
        <v>19</v>
      </c>
      <c r="L7" s="201"/>
      <c r="M7" s="197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3" t="s">
        <v>194</v>
      </c>
      <c r="C8" s="32" t="s">
        <v>200</v>
      </c>
      <c r="D8" s="187">
        <v>47787.0</v>
      </c>
      <c r="E8" s="188" t="s">
        <v>60</v>
      </c>
      <c r="F8" s="189">
        <v>10000.0</v>
      </c>
      <c r="G8" s="190"/>
      <c r="H8" s="191"/>
      <c r="I8" s="190"/>
      <c r="J8" s="200"/>
      <c r="K8" s="64" t="s">
        <v>45</v>
      </c>
      <c r="L8" s="201"/>
      <c r="M8" s="197" t="s">
        <v>116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/>
      <c r="C9" s="204"/>
      <c r="D9" s="205"/>
      <c r="E9" s="206"/>
      <c r="F9" s="212"/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/>
      <c r="C10" s="204"/>
      <c r="D10" s="205"/>
      <c r="E10" s="206"/>
      <c r="F10" s="212"/>
      <c r="G10" s="210"/>
      <c r="H10" s="208"/>
      <c r="I10" s="209"/>
      <c r="J10" s="200"/>
      <c r="K10" s="64" t="s">
        <v>45</v>
      </c>
      <c r="L10" s="201"/>
      <c r="M10" s="197" t="s">
        <v>116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 t="s">
        <v>39</v>
      </c>
      <c r="B11" s="203"/>
      <c r="C11" s="204"/>
      <c r="D11" s="45"/>
      <c r="E11" s="56"/>
      <c r="F11" s="126"/>
      <c r="G11" s="130"/>
      <c r="H11" s="129"/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 t="s">
        <v>42</v>
      </c>
      <c r="B12" s="54"/>
      <c r="C12" s="44"/>
      <c r="D12" s="45"/>
      <c r="E12" s="56"/>
      <c r="F12" s="126"/>
      <c r="G12" s="130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47</v>
      </c>
      <c r="B13" s="54"/>
      <c r="C13" s="44"/>
      <c r="D13" s="45"/>
      <c r="E13" s="56"/>
      <c r="F13" s="126"/>
      <c r="G13" s="130"/>
      <c r="H13" s="129"/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 t="s">
        <v>50</v>
      </c>
      <c r="B14" s="54"/>
      <c r="C14" s="44"/>
      <c r="D14" s="45"/>
      <c r="E14" s="56"/>
      <c r="F14" s="121"/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 t="s">
        <v>53</v>
      </c>
      <c r="B15" s="54"/>
      <c r="C15" s="44"/>
      <c r="D15" s="45"/>
      <c r="E15" s="56"/>
      <c r="F15" s="126"/>
      <c r="G15" s="126"/>
      <c r="H15" s="131"/>
      <c r="I15" s="123"/>
      <c r="J15" s="124"/>
      <c r="K15" s="102" t="s">
        <v>19</v>
      </c>
      <c r="L15" s="52"/>
      <c r="M15" s="128" t="s">
        <v>20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 t="s">
        <v>56</v>
      </c>
      <c r="B16" s="103"/>
      <c r="C16" s="75"/>
      <c r="D16" s="76"/>
      <c r="E16" s="77"/>
      <c r="F16" s="130"/>
      <c r="G16" s="130"/>
      <c r="H16" s="131"/>
      <c r="I16" s="123"/>
      <c r="J16" s="124"/>
      <c r="K16" s="132"/>
      <c r="L16" s="52"/>
      <c r="M16" s="133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58</v>
      </c>
      <c r="B17" s="103"/>
      <c r="C17" s="75"/>
      <c r="D17" s="76"/>
      <c r="E17" s="77"/>
      <c r="F17" s="130"/>
      <c r="G17" s="130"/>
      <c r="H17" s="131"/>
      <c r="I17" s="123"/>
      <c r="J17" s="124"/>
      <c r="K17" s="132"/>
      <c r="L17" s="52"/>
      <c r="M17" s="133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103"/>
      <c r="C18" s="75"/>
      <c r="D18" s="76"/>
      <c r="E18" s="77"/>
      <c r="F18" s="130"/>
      <c r="G18" s="130"/>
      <c r="H18" s="131"/>
      <c r="I18" s="123"/>
      <c r="J18" s="124"/>
      <c r="K18" s="132"/>
      <c r="L18" s="52"/>
      <c r="M18" s="13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98" t="s">
        <v>65</v>
      </c>
      <c r="B19" s="103"/>
      <c r="C19" s="75"/>
      <c r="D19" s="76"/>
      <c r="E19" s="77"/>
      <c r="F19" s="130"/>
      <c r="G19" s="130"/>
      <c r="H19" s="131"/>
      <c r="I19" s="123"/>
      <c r="J19" s="124"/>
      <c r="K19" s="132"/>
      <c r="L19" s="52"/>
      <c r="M19" s="13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>SUM(F4:F8)</f>
        <v>105500</v>
      </c>
      <c r="G21" s="79">
        <f t="shared" ref="G21:J21" si="1">SUM(G4:G20)</f>
        <v>0</v>
      </c>
      <c r="H21" s="79">
        <f t="shared" si="1"/>
        <v>0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105500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46035.0</v>
      </c>
      <c r="C4" s="32" t="s">
        <v>202</v>
      </c>
      <c r="D4" s="187">
        <v>110151.0</v>
      </c>
      <c r="E4" s="188" t="s">
        <v>203</v>
      </c>
      <c r="F4" s="189"/>
      <c r="G4" s="190"/>
      <c r="H4" s="191">
        <v>300.0</v>
      </c>
      <c r="I4" s="190"/>
      <c r="J4" s="192"/>
      <c r="K4" s="102" t="s">
        <v>19</v>
      </c>
      <c r="L4" s="193"/>
      <c r="M4" s="19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14">
        <v>46035.0</v>
      </c>
      <c r="C5" s="32" t="s">
        <v>204</v>
      </c>
      <c r="D5" s="187">
        <v>110162.0</v>
      </c>
      <c r="E5" s="188" t="s">
        <v>205</v>
      </c>
      <c r="F5" s="195"/>
      <c r="G5" s="190"/>
      <c r="H5" s="191">
        <v>300.0</v>
      </c>
      <c r="I5" s="190"/>
      <c r="J5" s="196"/>
      <c r="K5" s="102" t="s">
        <v>19</v>
      </c>
      <c r="L5" s="193"/>
      <c r="M5" s="19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214">
        <v>46035.0</v>
      </c>
      <c r="C6" s="32" t="s">
        <v>206</v>
      </c>
      <c r="D6" s="187">
        <v>110163.0</v>
      </c>
      <c r="E6" s="188" t="s">
        <v>207</v>
      </c>
      <c r="F6" s="189"/>
      <c r="G6" s="190"/>
      <c r="H6" s="191">
        <v>300.0</v>
      </c>
      <c r="I6" s="190"/>
      <c r="J6" s="198"/>
      <c r="K6" s="199" t="s">
        <v>19</v>
      </c>
      <c r="L6" s="193"/>
      <c r="M6" s="197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46035.0</v>
      </c>
      <c r="C7" s="32" t="s">
        <v>208</v>
      </c>
      <c r="D7" s="187">
        <v>110164.0</v>
      </c>
      <c r="E7" s="188" t="s">
        <v>209</v>
      </c>
      <c r="F7" s="189"/>
      <c r="G7" s="190"/>
      <c r="H7" s="191">
        <v>300.0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46035.0</v>
      </c>
      <c r="C8" s="32" t="s">
        <v>210</v>
      </c>
      <c r="D8" s="187">
        <v>80402.0</v>
      </c>
      <c r="E8" s="188" t="s">
        <v>211</v>
      </c>
      <c r="F8" s="189"/>
      <c r="G8" s="190"/>
      <c r="H8" s="191">
        <v>345.0</v>
      </c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46035.0</v>
      </c>
      <c r="C9" s="204" t="s">
        <v>212</v>
      </c>
      <c r="D9" s="205">
        <v>110170.0</v>
      </c>
      <c r="E9" s="206" t="s">
        <v>213</v>
      </c>
      <c r="F9" s="212"/>
      <c r="G9" s="207"/>
      <c r="H9" s="208">
        <v>300.0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>
        <v>46036.0</v>
      </c>
      <c r="C10" s="204" t="s">
        <v>214</v>
      </c>
      <c r="D10" s="205">
        <v>110219.0</v>
      </c>
      <c r="E10" s="206" t="s">
        <v>215</v>
      </c>
      <c r="F10" s="212"/>
      <c r="G10" s="210"/>
      <c r="H10" s="208">
        <v>300.0</v>
      </c>
      <c r="I10" s="209"/>
      <c r="J10" s="200"/>
      <c r="K10" s="64" t="s">
        <v>19</v>
      </c>
      <c r="L10" s="201"/>
      <c r="M10" s="19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 t="s">
        <v>39</v>
      </c>
      <c r="B11" s="203">
        <v>46036.0</v>
      </c>
      <c r="C11" s="204" t="s">
        <v>216</v>
      </c>
      <c r="D11" s="45">
        <v>110220.0</v>
      </c>
      <c r="E11" s="56" t="s">
        <v>217</v>
      </c>
      <c r="F11" s="126"/>
      <c r="G11" s="130"/>
      <c r="H11" s="129">
        <v>300.0</v>
      </c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 t="s">
        <v>42</v>
      </c>
      <c r="B12" s="54">
        <v>46036.0</v>
      </c>
      <c r="C12" s="44" t="s">
        <v>218</v>
      </c>
      <c r="D12" s="45">
        <v>110223.0</v>
      </c>
      <c r="E12" s="56" t="s">
        <v>219</v>
      </c>
      <c r="F12" s="126"/>
      <c r="G12" s="130"/>
      <c r="H12" s="129">
        <v>300.0</v>
      </c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47</v>
      </c>
      <c r="B13" s="54">
        <v>46036.0</v>
      </c>
      <c r="C13" s="44" t="s">
        <v>220</v>
      </c>
      <c r="D13" s="45">
        <v>110225.0</v>
      </c>
      <c r="E13" s="56" t="s">
        <v>221</v>
      </c>
      <c r="F13" s="126"/>
      <c r="G13" s="130"/>
      <c r="H13" s="129">
        <v>300.0</v>
      </c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3" t="s">
        <v>50</v>
      </c>
      <c r="B14" s="54">
        <v>46036.0</v>
      </c>
      <c r="C14" s="44" t="s">
        <v>222</v>
      </c>
      <c r="D14" s="45">
        <v>110226.0</v>
      </c>
      <c r="E14" s="56" t="s">
        <v>223</v>
      </c>
      <c r="F14" s="121"/>
      <c r="G14" s="130"/>
      <c r="H14" s="129">
        <v>300.0</v>
      </c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 t="s">
        <v>53</v>
      </c>
      <c r="B15" s="54">
        <v>46036.0</v>
      </c>
      <c r="C15" s="44" t="s">
        <v>224</v>
      </c>
      <c r="D15" s="45">
        <v>36555.0</v>
      </c>
      <c r="E15" s="56" t="s">
        <v>225</v>
      </c>
      <c r="F15" s="126">
        <v>5000.0</v>
      </c>
      <c r="G15" s="126"/>
      <c r="H15" s="131"/>
      <c r="I15" s="123"/>
      <c r="J15" s="124"/>
      <c r="K15" s="102" t="s">
        <v>19</v>
      </c>
      <c r="L15" s="52"/>
      <c r="M15" s="128" t="s">
        <v>64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3" t="s">
        <v>56</v>
      </c>
      <c r="B16" s="54">
        <v>46036.0</v>
      </c>
      <c r="C16" s="44" t="s">
        <v>226</v>
      </c>
      <c r="D16" s="45">
        <v>48649.0</v>
      </c>
      <c r="E16" s="56" t="s">
        <v>227</v>
      </c>
      <c r="F16" s="126">
        <v>5100.0</v>
      </c>
      <c r="G16" s="130"/>
      <c r="H16" s="131"/>
      <c r="I16" s="123"/>
      <c r="J16" s="124"/>
      <c r="K16" s="125" t="s">
        <v>19</v>
      </c>
      <c r="L16" s="52"/>
      <c r="M16" s="128" t="s">
        <v>64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58</v>
      </c>
      <c r="B17" s="54">
        <v>46036.0</v>
      </c>
      <c r="C17" s="44" t="s">
        <v>228</v>
      </c>
      <c r="D17" s="45">
        <v>110230.0</v>
      </c>
      <c r="E17" s="56" t="s">
        <v>229</v>
      </c>
      <c r="F17" s="126">
        <v>3000.0</v>
      </c>
      <c r="G17" s="130"/>
      <c r="H17" s="131"/>
      <c r="I17" s="123"/>
      <c r="J17" s="124"/>
      <c r="K17" s="125" t="s">
        <v>19</v>
      </c>
      <c r="L17" s="52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83"/>
      <c r="B18" s="103"/>
      <c r="C18" s="75"/>
      <c r="D18" s="76"/>
      <c r="E18" s="77"/>
      <c r="F18" s="130"/>
      <c r="G18" s="130"/>
      <c r="H18" s="131"/>
      <c r="I18" s="123"/>
      <c r="J18" s="124"/>
      <c r="K18" s="132"/>
      <c r="L18" s="52"/>
      <c r="M18" s="133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98"/>
      <c r="B19" s="103"/>
      <c r="C19" s="75"/>
      <c r="D19" s="76"/>
      <c r="E19" s="77"/>
      <c r="F19" s="130"/>
      <c r="G19" s="130"/>
      <c r="H19" s="131"/>
      <c r="I19" s="123"/>
      <c r="J19" s="124"/>
      <c r="K19" s="132"/>
      <c r="L19" s="52"/>
      <c r="M19" s="133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83"/>
      <c r="B20" s="103"/>
      <c r="C20" s="75"/>
      <c r="D20" s="76"/>
      <c r="E20" s="77"/>
      <c r="F20" s="134"/>
      <c r="G20" s="130"/>
      <c r="H20" s="135"/>
      <c r="I20" s="123"/>
      <c r="J20" s="136"/>
      <c r="K20" s="137"/>
      <c r="L20" s="59"/>
      <c r="M20" s="133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8"/>
      <c r="B21" s="2"/>
      <c r="C21" s="2"/>
      <c r="D21" s="2"/>
      <c r="E21" s="3"/>
      <c r="F21" s="79">
        <f t="shared" ref="F21:J21" si="1">SUM(F4:F20)</f>
        <v>13100</v>
      </c>
      <c r="G21" s="79">
        <f t="shared" si="1"/>
        <v>0</v>
      </c>
      <c r="H21" s="79">
        <f t="shared" si="1"/>
        <v>3345</v>
      </c>
      <c r="I21" s="79">
        <f t="shared" si="1"/>
        <v>0</v>
      </c>
      <c r="J21" s="79">
        <f t="shared" si="1"/>
        <v>0</v>
      </c>
      <c r="K21" s="80"/>
      <c r="L21" s="80"/>
      <c r="M21" s="81"/>
    </row>
    <row r="22" ht="48.0" customHeight="1">
      <c r="F22" s="82">
        <f>F21+G21+H21+I21+J21</f>
        <v>16445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46036.0</v>
      </c>
      <c r="C4" s="32" t="s">
        <v>231</v>
      </c>
      <c r="D4" s="187">
        <v>110272.0</v>
      </c>
      <c r="E4" s="188" t="s">
        <v>232</v>
      </c>
      <c r="F4" s="189"/>
      <c r="G4" s="190"/>
      <c r="H4" s="191">
        <v>300.0</v>
      </c>
      <c r="I4" s="190"/>
      <c r="J4" s="192"/>
      <c r="K4" s="102" t="s">
        <v>19</v>
      </c>
      <c r="L4" s="193"/>
      <c r="M4" s="19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14">
        <v>46036.0</v>
      </c>
      <c r="C5" s="32" t="s">
        <v>233</v>
      </c>
      <c r="D5" s="187">
        <v>59137.0</v>
      </c>
      <c r="E5" s="188" t="s">
        <v>234</v>
      </c>
      <c r="F5" s="195"/>
      <c r="G5" s="190"/>
      <c r="H5" s="191">
        <v>23.0</v>
      </c>
      <c r="I5" s="190"/>
      <c r="J5" s="196"/>
      <c r="K5" s="102" t="s">
        <v>19</v>
      </c>
      <c r="L5" s="193"/>
      <c r="M5" s="19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214">
        <v>46036.0</v>
      </c>
      <c r="C6" s="32" t="s">
        <v>235</v>
      </c>
      <c r="D6" s="187">
        <v>66961.0</v>
      </c>
      <c r="E6" s="188" t="s">
        <v>236</v>
      </c>
      <c r="F6" s="189"/>
      <c r="G6" s="190"/>
      <c r="H6" s="191">
        <v>550.0</v>
      </c>
      <c r="I6" s="190"/>
      <c r="J6" s="198"/>
      <c r="K6" s="199" t="s">
        <v>19</v>
      </c>
      <c r="L6" s="193"/>
      <c r="M6" s="197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46036.0</v>
      </c>
      <c r="C7" s="32" t="s">
        <v>237</v>
      </c>
      <c r="D7" s="187">
        <v>110294.0</v>
      </c>
      <c r="E7" s="188" t="s">
        <v>238</v>
      </c>
      <c r="F7" s="189"/>
      <c r="G7" s="190"/>
      <c r="H7" s="191">
        <v>300.0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46036.0</v>
      </c>
      <c r="C8" s="32" t="s">
        <v>239</v>
      </c>
      <c r="D8" s="187">
        <v>110295.0</v>
      </c>
      <c r="E8" s="188" t="s">
        <v>240</v>
      </c>
      <c r="F8" s="189"/>
      <c r="G8" s="190"/>
      <c r="H8" s="191">
        <v>300.0</v>
      </c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46036.0</v>
      </c>
      <c r="C9" s="204" t="s">
        <v>241</v>
      </c>
      <c r="D9" s="205">
        <v>110296.0</v>
      </c>
      <c r="E9" s="206" t="s">
        <v>242</v>
      </c>
      <c r="F9" s="212"/>
      <c r="G9" s="207"/>
      <c r="H9" s="208">
        <v>300.0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>
        <v>46036.0</v>
      </c>
      <c r="C10" s="204" t="s">
        <v>243</v>
      </c>
      <c r="D10" s="205">
        <v>110298.0</v>
      </c>
      <c r="E10" s="206" t="s">
        <v>244</v>
      </c>
      <c r="F10" s="212"/>
      <c r="G10" s="210"/>
      <c r="H10" s="208">
        <v>300.0</v>
      </c>
      <c r="I10" s="209"/>
      <c r="J10" s="200"/>
      <c r="K10" s="64" t="s">
        <v>19</v>
      </c>
      <c r="L10" s="201"/>
      <c r="M10" s="19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 t="s">
        <v>39</v>
      </c>
      <c r="B11" s="203">
        <v>46036.0</v>
      </c>
      <c r="C11" s="204" t="s">
        <v>245</v>
      </c>
      <c r="D11" s="45">
        <v>110299.0</v>
      </c>
      <c r="E11" s="56" t="s">
        <v>246</v>
      </c>
      <c r="F11" s="126"/>
      <c r="G11" s="130"/>
      <c r="H11" s="129">
        <v>300.0</v>
      </c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 t="s">
        <v>42</v>
      </c>
      <c r="B12" s="54">
        <v>46036.0</v>
      </c>
      <c r="C12" s="44" t="s">
        <v>247</v>
      </c>
      <c r="D12" s="45">
        <v>110303.0</v>
      </c>
      <c r="E12" s="56" t="s">
        <v>248</v>
      </c>
      <c r="F12" s="126"/>
      <c r="G12" s="130"/>
      <c r="H12" s="129">
        <v>300.0</v>
      </c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47</v>
      </c>
      <c r="B13" s="54">
        <v>46036.0</v>
      </c>
      <c r="C13" s="44" t="s">
        <v>249</v>
      </c>
      <c r="D13" s="45">
        <v>110305.0</v>
      </c>
      <c r="E13" s="56" t="s">
        <v>250</v>
      </c>
      <c r="F13" s="126"/>
      <c r="G13" s="130"/>
      <c r="H13" s="129">
        <v>300.0</v>
      </c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3" t="s">
        <v>50</v>
      </c>
      <c r="B14" s="54">
        <v>46037.0</v>
      </c>
      <c r="C14" s="44" t="s">
        <v>251</v>
      </c>
      <c r="D14" s="45">
        <v>110322.0</v>
      </c>
      <c r="E14" s="56" t="s">
        <v>252</v>
      </c>
      <c r="F14" s="121"/>
      <c r="G14" s="130"/>
      <c r="H14" s="129">
        <v>300.0</v>
      </c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 t="s">
        <v>53</v>
      </c>
      <c r="B15" s="54">
        <v>46037.0</v>
      </c>
      <c r="C15" s="44" t="s">
        <v>253</v>
      </c>
      <c r="D15" s="45">
        <v>42278.0</v>
      </c>
      <c r="E15" s="56" t="s">
        <v>254</v>
      </c>
      <c r="F15" s="126"/>
      <c r="G15" s="126"/>
      <c r="H15" s="215">
        <v>35.0</v>
      </c>
      <c r="I15" s="123"/>
      <c r="J15" s="124"/>
      <c r="K15" s="102" t="s">
        <v>19</v>
      </c>
      <c r="L15" s="52"/>
      <c r="M15" s="128" t="s">
        <v>64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3" t="s">
        <v>56</v>
      </c>
      <c r="B16" s="54">
        <v>46037.0</v>
      </c>
      <c r="C16" s="44" t="s">
        <v>255</v>
      </c>
      <c r="D16" s="45">
        <v>59137.0</v>
      </c>
      <c r="E16" s="56" t="s">
        <v>234</v>
      </c>
      <c r="F16" s="126"/>
      <c r="G16" s="130"/>
      <c r="H16" s="215">
        <v>900.0</v>
      </c>
      <c r="I16" s="123"/>
      <c r="J16" s="124"/>
      <c r="K16" s="125" t="s">
        <v>19</v>
      </c>
      <c r="L16" s="52"/>
      <c r="M16" s="128" t="s">
        <v>64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58</v>
      </c>
      <c r="B17" s="54">
        <v>46037.0</v>
      </c>
      <c r="C17" s="44" t="s">
        <v>256</v>
      </c>
      <c r="D17" s="45">
        <v>110323.0</v>
      </c>
      <c r="E17" s="56" t="s">
        <v>257</v>
      </c>
      <c r="F17" s="126"/>
      <c r="G17" s="130"/>
      <c r="H17" s="215">
        <v>300.0</v>
      </c>
      <c r="I17" s="123"/>
      <c r="J17" s="124"/>
      <c r="K17" s="125" t="s">
        <v>19</v>
      </c>
      <c r="L17" s="52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83" t="s">
        <v>61</v>
      </c>
      <c r="B18" s="54">
        <v>46037.0</v>
      </c>
      <c r="C18" s="44" t="s">
        <v>258</v>
      </c>
      <c r="D18" s="45">
        <v>108469.0</v>
      </c>
      <c r="E18" s="56" t="s">
        <v>259</v>
      </c>
      <c r="F18" s="126"/>
      <c r="G18" s="130"/>
      <c r="H18" s="215">
        <v>2400.0</v>
      </c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 t="s">
        <v>65</v>
      </c>
      <c r="B19" s="54">
        <v>46037.0</v>
      </c>
      <c r="C19" s="44" t="s">
        <v>260</v>
      </c>
      <c r="D19" s="45">
        <v>47787.0</v>
      </c>
      <c r="E19" s="56" t="s">
        <v>60</v>
      </c>
      <c r="F19" s="126">
        <v>250.0</v>
      </c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83" t="s">
        <v>68</v>
      </c>
      <c r="B20" s="54">
        <v>46037.0</v>
      </c>
      <c r="C20" s="44" t="s">
        <v>261</v>
      </c>
      <c r="D20" s="45">
        <v>110325.0</v>
      </c>
      <c r="E20" s="56" t="s">
        <v>262</v>
      </c>
      <c r="F20" s="126"/>
      <c r="G20" s="130"/>
      <c r="H20" s="215">
        <v>300.0</v>
      </c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98" t="s">
        <v>71</v>
      </c>
      <c r="B21" s="54">
        <v>46037.0</v>
      </c>
      <c r="C21" s="44" t="s">
        <v>263</v>
      </c>
      <c r="D21" s="45">
        <v>25376.0</v>
      </c>
      <c r="E21" s="56" t="s">
        <v>264</v>
      </c>
      <c r="F21" s="126"/>
      <c r="G21" s="130"/>
      <c r="H21" s="215">
        <v>37.0</v>
      </c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83" t="s">
        <v>265</v>
      </c>
      <c r="B22" s="54">
        <v>46037.0</v>
      </c>
      <c r="C22" s="44" t="s">
        <v>266</v>
      </c>
      <c r="D22" s="45">
        <v>110328.0</v>
      </c>
      <c r="E22" s="56" t="s">
        <v>267</v>
      </c>
      <c r="F22" s="126"/>
      <c r="G22" s="130"/>
      <c r="H22" s="215">
        <v>300.0</v>
      </c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customHeight="1">
      <c r="A23" s="30" t="s">
        <v>268</v>
      </c>
      <c r="B23" s="54">
        <v>46037.0</v>
      </c>
      <c r="C23" s="44" t="s">
        <v>269</v>
      </c>
      <c r="D23" s="45">
        <v>110329.0</v>
      </c>
      <c r="E23" s="56" t="s">
        <v>270</v>
      </c>
      <c r="F23" s="126"/>
      <c r="G23" s="130"/>
      <c r="H23" s="215">
        <v>300.0</v>
      </c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83" t="s">
        <v>271</v>
      </c>
      <c r="B24" s="54">
        <v>46037.0</v>
      </c>
      <c r="C24" s="44" t="s">
        <v>272</v>
      </c>
      <c r="D24" s="45">
        <v>43380.0</v>
      </c>
      <c r="E24" s="56" t="s">
        <v>273</v>
      </c>
      <c r="F24" s="126">
        <v>30000.0</v>
      </c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30250</v>
      </c>
      <c r="G39" s="79">
        <f t="shared" si="1"/>
        <v>0</v>
      </c>
      <c r="H39" s="79">
        <f t="shared" si="1"/>
        <v>7845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38095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288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46037.0</v>
      </c>
      <c r="C4" s="32" t="s">
        <v>289</v>
      </c>
      <c r="D4" s="187">
        <v>110389.0</v>
      </c>
      <c r="E4" s="188" t="s">
        <v>290</v>
      </c>
      <c r="F4" s="189"/>
      <c r="G4" s="190"/>
      <c r="H4" s="191">
        <v>300.0</v>
      </c>
      <c r="I4" s="190"/>
      <c r="J4" s="192"/>
      <c r="K4" s="102" t="s">
        <v>19</v>
      </c>
      <c r="L4" s="193"/>
      <c r="M4" s="19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14">
        <v>46037.0</v>
      </c>
      <c r="C5" s="32" t="s">
        <v>291</v>
      </c>
      <c r="D5" s="187">
        <v>109862.0</v>
      </c>
      <c r="E5" s="188" t="s">
        <v>292</v>
      </c>
      <c r="F5" s="195"/>
      <c r="G5" s="190"/>
      <c r="H5" s="191">
        <v>2400.0</v>
      </c>
      <c r="I5" s="190"/>
      <c r="J5" s="196"/>
      <c r="K5" s="102" t="s">
        <v>19</v>
      </c>
      <c r="L5" s="193"/>
      <c r="M5" s="197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214">
        <v>46037.0</v>
      </c>
      <c r="C6" s="32" t="s">
        <v>293</v>
      </c>
      <c r="D6" s="187">
        <v>110429.0</v>
      </c>
      <c r="E6" s="188" t="s">
        <v>294</v>
      </c>
      <c r="F6" s="189"/>
      <c r="G6" s="190"/>
      <c r="H6" s="191">
        <v>300.0</v>
      </c>
      <c r="I6" s="190"/>
      <c r="J6" s="198"/>
      <c r="K6" s="199" t="s">
        <v>19</v>
      </c>
      <c r="L6" s="193"/>
      <c r="M6" s="197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46038.0</v>
      </c>
      <c r="C7" s="32" t="s">
        <v>295</v>
      </c>
      <c r="D7" s="187">
        <v>109520.0</v>
      </c>
      <c r="E7" s="188" t="s">
        <v>113</v>
      </c>
      <c r="F7" s="189"/>
      <c r="G7" s="190"/>
      <c r="H7" s="191">
        <v>2400.0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46038.0</v>
      </c>
      <c r="C8" s="32" t="s">
        <v>296</v>
      </c>
      <c r="D8" s="187">
        <v>110305.0</v>
      </c>
      <c r="E8" s="188" t="s">
        <v>250</v>
      </c>
      <c r="F8" s="189"/>
      <c r="G8" s="190"/>
      <c r="H8" s="191">
        <v>3050.0</v>
      </c>
      <c r="I8" s="190"/>
      <c r="J8" s="200"/>
      <c r="K8" s="64" t="s">
        <v>19</v>
      </c>
      <c r="L8" s="201"/>
      <c r="M8" s="197" t="s">
        <v>64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46038.0</v>
      </c>
      <c r="C9" s="204" t="s">
        <v>297</v>
      </c>
      <c r="D9" s="205">
        <v>30895.0</v>
      </c>
      <c r="E9" s="206" t="s">
        <v>298</v>
      </c>
      <c r="F9" s="212">
        <v>5000.0</v>
      </c>
      <c r="G9" s="207"/>
      <c r="H9" s="208"/>
      <c r="I9" s="209"/>
      <c r="J9" s="200"/>
      <c r="K9" s="199" t="s">
        <v>19</v>
      </c>
      <c r="L9" s="201"/>
      <c r="M9" s="197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>
        <v>46038.0</v>
      </c>
      <c r="C10" s="204" t="s">
        <v>299</v>
      </c>
      <c r="D10" s="205">
        <v>30895.0</v>
      </c>
      <c r="E10" s="206" t="s">
        <v>298</v>
      </c>
      <c r="F10" s="212">
        <v>9950.0</v>
      </c>
      <c r="G10" s="210"/>
      <c r="H10" s="208"/>
      <c r="I10" s="209"/>
      <c r="J10" s="200"/>
      <c r="K10" s="64" t="s">
        <v>19</v>
      </c>
      <c r="L10" s="201"/>
      <c r="M10" s="197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 t="s">
        <v>39</v>
      </c>
      <c r="B11" s="203">
        <v>46038.0</v>
      </c>
      <c r="C11" s="204" t="s">
        <v>300</v>
      </c>
      <c r="D11" s="45">
        <v>47787.0</v>
      </c>
      <c r="E11" s="56" t="s">
        <v>60</v>
      </c>
      <c r="F11" s="126">
        <v>10000.0</v>
      </c>
      <c r="G11" s="130"/>
      <c r="H11" s="129"/>
      <c r="I11" s="123"/>
      <c r="J11" s="211"/>
      <c r="K11" s="199" t="s">
        <v>45</v>
      </c>
      <c r="L11" s="52"/>
      <c r="M11" s="128" t="s">
        <v>116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83" t="s">
        <v>42</v>
      </c>
      <c r="B12" s="54">
        <v>46038.0</v>
      </c>
      <c r="C12" s="44" t="s">
        <v>301</v>
      </c>
      <c r="D12" s="45">
        <v>51166.0</v>
      </c>
      <c r="E12" s="56" t="s">
        <v>302</v>
      </c>
      <c r="F12" s="126"/>
      <c r="G12" s="130"/>
      <c r="H12" s="129">
        <v>4600.0</v>
      </c>
      <c r="I12" s="123"/>
      <c r="J12" s="124"/>
      <c r="K12" s="102" t="s">
        <v>19</v>
      </c>
      <c r="L12" s="52"/>
      <c r="M12" s="128" t="s">
        <v>64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47</v>
      </c>
      <c r="B13" s="54">
        <v>46038.0</v>
      </c>
      <c r="C13" s="44" t="s">
        <v>303</v>
      </c>
      <c r="D13" s="45">
        <v>110475.0</v>
      </c>
      <c r="E13" s="56" t="s">
        <v>304</v>
      </c>
      <c r="F13" s="126"/>
      <c r="G13" s="130"/>
      <c r="H13" s="129">
        <v>300.0</v>
      </c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83" t="s">
        <v>50</v>
      </c>
      <c r="B14" s="54">
        <v>46038.0</v>
      </c>
      <c r="C14" s="44" t="s">
        <v>305</v>
      </c>
      <c r="D14" s="45">
        <v>110475.0</v>
      </c>
      <c r="E14" s="56" t="s">
        <v>304</v>
      </c>
      <c r="F14" s="121"/>
      <c r="G14" s="130"/>
      <c r="H14" s="129">
        <v>2950.0</v>
      </c>
      <c r="I14" s="123"/>
      <c r="J14" s="124"/>
      <c r="K14" s="102" t="s">
        <v>19</v>
      </c>
      <c r="L14" s="52"/>
      <c r="M14" s="128" t="s">
        <v>64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 t="s">
        <v>53</v>
      </c>
      <c r="B15" s="54">
        <v>46038.0</v>
      </c>
      <c r="C15" s="44" t="s">
        <v>306</v>
      </c>
      <c r="D15" s="45">
        <v>110490.0</v>
      </c>
      <c r="E15" s="56" t="s">
        <v>307</v>
      </c>
      <c r="F15" s="126"/>
      <c r="G15" s="126"/>
      <c r="H15" s="215">
        <v>300.0</v>
      </c>
      <c r="I15" s="123"/>
      <c r="J15" s="124"/>
      <c r="K15" s="102" t="s">
        <v>19</v>
      </c>
      <c r="L15" s="52"/>
      <c r="M15" s="128" t="s">
        <v>64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3" t="s">
        <v>56</v>
      </c>
      <c r="B16" s="54"/>
      <c r="C16" s="44"/>
      <c r="D16" s="45"/>
      <c r="E16" s="56"/>
      <c r="F16" s="126"/>
      <c r="G16" s="130"/>
      <c r="H16" s="215"/>
      <c r="I16" s="123"/>
      <c r="J16" s="124"/>
      <c r="K16" s="125" t="s">
        <v>19</v>
      </c>
      <c r="L16" s="52"/>
      <c r="M16" s="128" t="s">
        <v>64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58</v>
      </c>
      <c r="B17" s="54"/>
      <c r="C17" s="44"/>
      <c r="D17" s="45"/>
      <c r="E17" s="56"/>
      <c r="F17" s="126"/>
      <c r="G17" s="130"/>
      <c r="H17" s="215"/>
      <c r="I17" s="123"/>
      <c r="J17" s="124"/>
      <c r="K17" s="125" t="s">
        <v>19</v>
      </c>
      <c r="L17" s="52"/>
      <c r="M17" s="128" t="s">
        <v>20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24950</v>
      </c>
      <c r="G39" s="79">
        <f t="shared" si="1"/>
        <v>0</v>
      </c>
      <c r="H39" s="79">
        <f t="shared" si="1"/>
        <v>16600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41550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83" t="s">
        <v>15</v>
      </c>
      <c r="B4" s="186">
        <v>46038.0</v>
      </c>
      <c r="C4" s="32" t="s">
        <v>309</v>
      </c>
      <c r="D4" s="187">
        <v>110519.0</v>
      </c>
      <c r="E4" s="188" t="s">
        <v>310</v>
      </c>
      <c r="F4" s="189"/>
      <c r="G4" s="190"/>
      <c r="H4" s="191">
        <v>300.0</v>
      </c>
      <c r="I4" s="190"/>
      <c r="J4" s="192"/>
      <c r="K4" s="102" t="s">
        <v>19</v>
      </c>
      <c r="L4" s="193"/>
      <c r="M4" s="19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21</v>
      </c>
      <c r="B5" s="214">
        <v>46038.0</v>
      </c>
      <c r="C5" s="32" t="s">
        <v>311</v>
      </c>
      <c r="D5" s="187">
        <v>89807.0</v>
      </c>
      <c r="E5" s="188" t="s">
        <v>312</v>
      </c>
      <c r="F5" s="195"/>
      <c r="G5" s="190"/>
      <c r="H5" s="191">
        <v>9000.0</v>
      </c>
      <c r="I5" s="190"/>
      <c r="J5" s="196"/>
      <c r="K5" s="102" t="s">
        <v>19</v>
      </c>
      <c r="L5" s="193"/>
      <c r="M5" s="197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83" t="s">
        <v>23</v>
      </c>
      <c r="B6" s="214">
        <v>46038.0</v>
      </c>
      <c r="C6" s="32" t="s">
        <v>313</v>
      </c>
      <c r="D6" s="187">
        <v>36555.0</v>
      </c>
      <c r="E6" s="188" t="s">
        <v>225</v>
      </c>
      <c r="F6" s="189">
        <v>2500.0</v>
      </c>
      <c r="G6" s="190"/>
      <c r="H6" s="191"/>
      <c r="I6" s="190"/>
      <c r="J6" s="198"/>
      <c r="K6" s="199" t="s">
        <v>19</v>
      </c>
      <c r="L6" s="193"/>
      <c r="M6" s="197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46038.0</v>
      </c>
      <c r="C7" s="32" t="s">
        <v>314</v>
      </c>
      <c r="D7" s="187">
        <v>51017.0</v>
      </c>
      <c r="E7" s="188" t="s">
        <v>193</v>
      </c>
      <c r="F7" s="189">
        <v>10900.0</v>
      </c>
      <c r="G7" s="190"/>
      <c r="H7" s="191"/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46038.0</v>
      </c>
      <c r="C8" s="32" t="s">
        <v>315</v>
      </c>
      <c r="D8" s="187">
        <v>110545.0</v>
      </c>
      <c r="E8" s="188" t="s">
        <v>316</v>
      </c>
      <c r="F8" s="189"/>
      <c r="G8" s="190"/>
      <c r="H8" s="191">
        <v>300.0</v>
      </c>
      <c r="I8" s="190"/>
      <c r="J8" s="200"/>
      <c r="K8" s="64" t="s">
        <v>19</v>
      </c>
      <c r="L8" s="201"/>
      <c r="M8" s="197" t="s">
        <v>64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46039.0</v>
      </c>
      <c r="C9" s="204" t="s">
        <v>317</v>
      </c>
      <c r="D9" s="205">
        <v>47787.0</v>
      </c>
      <c r="E9" s="206" t="s">
        <v>60</v>
      </c>
      <c r="F9" s="212">
        <v>10000.0</v>
      </c>
      <c r="G9" s="207"/>
      <c r="H9" s="208"/>
      <c r="I9" s="209"/>
      <c r="J9" s="200"/>
      <c r="K9" s="199" t="s">
        <v>45</v>
      </c>
      <c r="L9" s="201"/>
      <c r="M9" s="197" t="s">
        <v>46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 t="s">
        <v>36</v>
      </c>
      <c r="B10" s="203">
        <v>46039.0</v>
      </c>
      <c r="C10" s="204" t="s">
        <v>318</v>
      </c>
      <c r="D10" s="205">
        <v>43380.0</v>
      </c>
      <c r="E10" s="206" t="s">
        <v>273</v>
      </c>
      <c r="F10" s="212">
        <v>9000.0</v>
      </c>
      <c r="G10" s="210"/>
      <c r="H10" s="208"/>
      <c r="I10" s="209"/>
      <c r="J10" s="200"/>
      <c r="K10" s="64" t="s">
        <v>19</v>
      </c>
      <c r="L10" s="201"/>
      <c r="M10" s="197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 t="s">
        <v>39</v>
      </c>
      <c r="B11" s="203">
        <v>46039.0</v>
      </c>
      <c r="C11" s="204" t="s">
        <v>319</v>
      </c>
      <c r="D11" s="45">
        <v>10006.0</v>
      </c>
      <c r="E11" s="56" t="s">
        <v>18</v>
      </c>
      <c r="F11" s="126">
        <v>5090.0</v>
      </c>
      <c r="G11" s="130"/>
      <c r="H11" s="129"/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37490</v>
      </c>
      <c r="G39" s="79">
        <f t="shared" si="1"/>
        <v>0</v>
      </c>
      <c r="H39" s="79">
        <f t="shared" si="1"/>
        <v>9600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47090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55" t="s">
        <v>15</v>
      </c>
      <c r="B4" s="156">
        <v>46039.0</v>
      </c>
      <c r="C4" s="157" t="s">
        <v>321</v>
      </c>
      <c r="D4" s="158">
        <v>110608.0</v>
      </c>
      <c r="E4" s="159" t="s">
        <v>322</v>
      </c>
      <c r="F4" s="216"/>
      <c r="G4" s="143"/>
      <c r="H4" s="160">
        <v>300.0</v>
      </c>
      <c r="I4" s="143"/>
      <c r="J4" s="161"/>
      <c r="K4" s="162" t="s">
        <v>19</v>
      </c>
      <c r="L4" s="163"/>
      <c r="M4" s="164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5" t="s">
        <v>21</v>
      </c>
      <c r="B5" s="217">
        <v>46039.0</v>
      </c>
      <c r="C5" s="157" t="s">
        <v>323</v>
      </c>
      <c r="D5" s="158">
        <v>110644.0</v>
      </c>
      <c r="E5" s="159" t="s">
        <v>324</v>
      </c>
      <c r="F5" s="166"/>
      <c r="G5" s="143"/>
      <c r="H5" s="160">
        <v>300.0</v>
      </c>
      <c r="I5" s="143"/>
      <c r="J5" s="167"/>
      <c r="K5" s="162" t="s">
        <v>19</v>
      </c>
      <c r="L5" s="163"/>
      <c r="M5" s="169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55" t="s">
        <v>23</v>
      </c>
      <c r="B6" s="217">
        <v>46039.0</v>
      </c>
      <c r="C6" s="157" t="s">
        <v>325</v>
      </c>
      <c r="D6" s="158">
        <v>110608.0</v>
      </c>
      <c r="E6" s="159" t="s">
        <v>322</v>
      </c>
      <c r="F6" s="216"/>
      <c r="G6" s="143"/>
      <c r="H6" s="160">
        <v>2950.0</v>
      </c>
      <c r="I6" s="143"/>
      <c r="J6" s="218"/>
      <c r="K6" s="171" t="s">
        <v>19</v>
      </c>
      <c r="L6" s="163"/>
      <c r="M6" s="169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46040.0</v>
      </c>
      <c r="C7" s="32" t="s">
        <v>326</v>
      </c>
      <c r="D7" s="187">
        <v>10250.0</v>
      </c>
      <c r="E7" s="188" t="s">
        <v>44</v>
      </c>
      <c r="F7" s="189">
        <v>16000.0</v>
      </c>
      <c r="G7" s="190"/>
      <c r="H7" s="191"/>
      <c r="I7" s="190"/>
      <c r="J7" s="200"/>
      <c r="K7" s="199" t="s">
        <v>45</v>
      </c>
      <c r="L7" s="201"/>
      <c r="M7" s="197" t="s">
        <v>46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46040.0</v>
      </c>
      <c r="C8" s="32" t="s">
        <v>327</v>
      </c>
      <c r="D8" s="187">
        <v>110673.0</v>
      </c>
      <c r="E8" s="188" t="s">
        <v>328</v>
      </c>
      <c r="F8" s="189"/>
      <c r="G8" s="190"/>
      <c r="H8" s="191">
        <v>300.0</v>
      </c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33</v>
      </c>
      <c r="B9" s="203">
        <v>46040.0</v>
      </c>
      <c r="C9" s="204" t="s">
        <v>329</v>
      </c>
      <c r="D9" s="205">
        <v>110673.0</v>
      </c>
      <c r="E9" s="206" t="s">
        <v>328</v>
      </c>
      <c r="F9" s="212"/>
      <c r="G9" s="207"/>
      <c r="H9" s="208">
        <v>2400.0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8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16000</v>
      </c>
      <c r="G39" s="79">
        <f t="shared" si="1"/>
        <v>0</v>
      </c>
      <c r="H39" s="79">
        <f t="shared" si="1"/>
        <v>6250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22250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19">
        <v>46041.0</v>
      </c>
      <c r="C4" s="18" t="s">
        <v>331</v>
      </c>
      <c r="D4" s="146">
        <v>45227.0</v>
      </c>
      <c r="E4" s="147" t="s">
        <v>332</v>
      </c>
      <c r="F4" s="220">
        <v>8400.0</v>
      </c>
      <c r="G4" s="221"/>
      <c r="H4" s="222"/>
      <c r="I4" s="221"/>
      <c r="J4" s="112"/>
      <c r="K4" s="113" t="s">
        <v>19</v>
      </c>
      <c r="L4" s="114"/>
      <c r="M4" s="28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24">
        <v>46041.0</v>
      </c>
      <c r="C5" s="18" t="s">
        <v>333</v>
      </c>
      <c r="D5" s="146">
        <v>30909.0</v>
      </c>
      <c r="E5" s="147" t="s">
        <v>91</v>
      </c>
      <c r="F5" s="225">
        <v>18000.0</v>
      </c>
      <c r="G5" s="221"/>
      <c r="H5" s="222"/>
      <c r="I5" s="221"/>
      <c r="J5" s="116"/>
      <c r="K5" s="113" t="s">
        <v>19</v>
      </c>
      <c r="L5" s="114"/>
      <c r="M5" s="118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46041.0</v>
      </c>
      <c r="C6" s="18" t="s">
        <v>334</v>
      </c>
      <c r="D6" s="146">
        <v>110328.0</v>
      </c>
      <c r="E6" s="147" t="s">
        <v>267</v>
      </c>
      <c r="F6" s="220"/>
      <c r="G6" s="221"/>
      <c r="H6" s="222">
        <v>2500.0</v>
      </c>
      <c r="I6" s="221"/>
      <c r="J6" s="211"/>
      <c r="K6" s="125" t="s">
        <v>19</v>
      </c>
      <c r="L6" s="114"/>
      <c r="M6" s="118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46041.0</v>
      </c>
      <c r="C7" s="32" t="s">
        <v>335</v>
      </c>
      <c r="D7" s="187">
        <v>69346.0</v>
      </c>
      <c r="E7" s="188" t="s">
        <v>336</v>
      </c>
      <c r="F7" s="189">
        <v>4500.0</v>
      </c>
      <c r="G7" s="190"/>
      <c r="H7" s="191"/>
      <c r="I7" s="190"/>
      <c r="J7" s="200"/>
      <c r="K7" s="199" t="s">
        <v>19</v>
      </c>
      <c r="L7" s="201"/>
      <c r="M7" s="197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46041.0</v>
      </c>
      <c r="C8" s="32" t="s">
        <v>337</v>
      </c>
      <c r="D8" s="187">
        <v>110717.0</v>
      </c>
      <c r="E8" s="188" t="s">
        <v>338</v>
      </c>
      <c r="F8" s="189">
        <v>2400.0</v>
      </c>
      <c r="G8" s="190"/>
      <c r="H8" s="191"/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203"/>
      <c r="C9" s="204"/>
      <c r="D9" s="205"/>
      <c r="E9" s="206"/>
      <c r="F9" s="212"/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33300</v>
      </c>
      <c r="G39" s="79">
        <f t="shared" si="1"/>
        <v>0</v>
      </c>
      <c r="H39" s="79">
        <f t="shared" si="1"/>
        <v>2500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35800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19">
        <v>46041.0</v>
      </c>
      <c r="C4" s="18" t="s">
        <v>340</v>
      </c>
      <c r="D4" s="146">
        <v>36555.0</v>
      </c>
      <c r="E4" s="147" t="s">
        <v>225</v>
      </c>
      <c r="F4" s="220">
        <v>5900.0</v>
      </c>
      <c r="G4" s="221"/>
      <c r="H4" s="222"/>
      <c r="I4" s="221"/>
      <c r="J4" s="112"/>
      <c r="K4" s="113" t="s">
        <v>19</v>
      </c>
      <c r="L4" s="114"/>
      <c r="M4" s="28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24">
        <v>46042.0</v>
      </c>
      <c r="C5" s="18" t="s">
        <v>341</v>
      </c>
      <c r="D5" s="146">
        <v>47787.0</v>
      </c>
      <c r="E5" s="147" t="s">
        <v>60</v>
      </c>
      <c r="F5" s="225">
        <v>250.0</v>
      </c>
      <c r="G5" s="221"/>
      <c r="H5" s="222"/>
      <c r="I5" s="221"/>
      <c r="J5" s="116"/>
      <c r="K5" s="113" t="s">
        <v>45</v>
      </c>
      <c r="L5" s="114"/>
      <c r="M5" s="118" t="s">
        <v>116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46042.0</v>
      </c>
      <c r="C6" s="18" t="s">
        <v>342</v>
      </c>
      <c r="D6" s="146">
        <v>97731.0</v>
      </c>
      <c r="E6" s="147" t="s">
        <v>170</v>
      </c>
      <c r="F6" s="220">
        <v>900.0</v>
      </c>
      <c r="G6" s="221"/>
      <c r="H6" s="222"/>
      <c r="I6" s="221"/>
      <c r="J6" s="211"/>
      <c r="K6" s="125" t="s">
        <v>19</v>
      </c>
      <c r="L6" s="114"/>
      <c r="M6" s="118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27</v>
      </c>
      <c r="B7" s="214">
        <v>46042.0</v>
      </c>
      <c r="C7" s="32" t="s">
        <v>343</v>
      </c>
      <c r="D7" s="187">
        <v>110825.0</v>
      </c>
      <c r="E7" s="188" t="s">
        <v>344</v>
      </c>
      <c r="F7" s="189">
        <v>3130.0</v>
      </c>
      <c r="G7" s="190"/>
      <c r="H7" s="191"/>
      <c r="I7" s="190"/>
      <c r="J7" s="200"/>
      <c r="K7" s="199" t="s">
        <v>19</v>
      </c>
      <c r="L7" s="201"/>
      <c r="M7" s="197" t="s">
        <v>64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 t="s">
        <v>30</v>
      </c>
      <c r="B8" s="214">
        <v>46042.0</v>
      </c>
      <c r="C8" s="32" t="s">
        <v>345</v>
      </c>
      <c r="D8" s="187">
        <v>51017.0</v>
      </c>
      <c r="E8" s="188" t="s">
        <v>193</v>
      </c>
      <c r="F8" s="189">
        <v>10000.0</v>
      </c>
      <c r="G8" s="190"/>
      <c r="H8" s="191"/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203"/>
      <c r="C9" s="204"/>
      <c r="D9" s="205"/>
      <c r="E9" s="206"/>
      <c r="F9" s="212"/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20180</v>
      </c>
      <c r="G39" s="79">
        <f t="shared" si="1"/>
        <v>0</v>
      </c>
      <c r="H39" s="79">
        <f t="shared" si="1"/>
        <v>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20180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19">
        <v>46043.0</v>
      </c>
      <c r="C4" s="18" t="s">
        <v>347</v>
      </c>
      <c r="D4" s="146">
        <v>47787.0</v>
      </c>
      <c r="E4" s="147" t="s">
        <v>60</v>
      </c>
      <c r="F4" s="220">
        <v>10000.0</v>
      </c>
      <c r="G4" s="221"/>
      <c r="H4" s="222"/>
      <c r="I4" s="221"/>
      <c r="J4" s="112"/>
      <c r="K4" s="113" t="s">
        <v>45</v>
      </c>
      <c r="L4" s="114"/>
      <c r="M4" s="28" t="s">
        <v>46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24">
        <v>46043.0</v>
      </c>
      <c r="C5" s="18" t="s">
        <v>348</v>
      </c>
      <c r="D5" s="146">
        <v>43380.0</v>
      </c>
      <c r="E5" s="147" t="s">
        <v>273</v>
      </c>
      <c r="F5" s="225">
        <v>10000.0</v>
      </c>
      <c r="G5" s="221"/>
      <c r="H5" s="222"/>
      <c r="I5" s="221"/>
      <c r="J5" s="116"/>
      <c r="K5" s="113" t="s">
        <v>19</v>
      </c>
      <c r="L5" s="114"/>
      <c r="M5" s="118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46043.0</v>
      </c>
      <c r="C6" s="18" t="s">
        <v>349</v>
      </c>
      <c r="D6" s="146">
        <v>83352.0</v>
      </c>
      <c r="E6" s="147" t="s">
        <v>111</v>
      </c>
      <c r="F6" s="220">
        <v>25000.0</v>
      </c>
      <c r="G6" s="221"/>
      <c r="H6" s="222"/>
      <c r="I6" s="221"/>
      <c r="J6" s="211"/>
      <c r="K6" s="125" t="s">
        <v>19</v>
      </c>
      <c r="L6" s="114"/>
      <c r="M6" s="118" t="s">
        <v>64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214"/>
      <c r="C7" s="32"/>
      <c r="D7" s="187"/>
      <c r="E7" s="188"/>
      <c r="F7" s="189"/>
      <c r="G7" s="190"/>
      <c r="H7" s="191"/>
      <c r="I7" s="190"/>
      <c r="J7" s="200"/>
      <c r="K7" s="199"/>
      <c r="L7" s="201"/>
      <c r="M7" s="19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83"/>
      <c r="B8" s="214"/>
      <c r="C8" s="32"/>
      <c r="D8" s="187"/>
      <c r="E8" s="188"/>
      <c r="F8" s="189"/>
      <c r="G8" s="190"/>
      <c r="H8" s="191"/>
      <c r="I8" s="190"/>
      <c r="J8" s="200"/>
      <c r="K8" s="64"/>
      <c r="L8" s="201"/>
      <c r="M8" s="197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203"/>
      <c r="C9" s="204"/>
      <c r="D9" s="205"/>
      <c r="E9" s="206"/>
      <c r="F9" s="212"/>
      <c r="G9" s="207"/>
      <c r="H9" s="208"/>
      <c r="I9" s="209"/>
      <c r="J9" s="200"/>
      <c r="K9" s="199"/>
      <c r="L9" s="201"/>
      <c r="M9" s="19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45000</v>
      </c>
      <c r="G39" s="79">
        <f t="shared" si="1"/>
        <v>0</v>
      </c>
      <c r="H39" s="79">
        <f t="shared" si="1"/>
        <v>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45000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19">
        <v>46043.0</v>
      </c>
      <c r="C4" s="18" t="s">
        <v>351</v>
      </c>
      <c r="D4" s="146">
        <v>111005.0</v>
      </c>
      <c r="E4" s="147" t="s">
        <v>352</v>
      </c>
      <c r="F4" s="220"/>
      <c r="G4" s="221"/>
      <c r="H4" s="222">
        <v>300.0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24">
        <v>46043.0</v>
      </c>
      <c r="C5" s="18" t="s">
        <v>353</v>
      </c>
      <c r="D5" s="146">
        <v>111014.0</v>
      </c>
      <c r="E5" s="147" t="s">
        <v>354</v>
      </c>
      <c r="F5" s="225"/>
      <c r="G5" s="221"/>
      <c r="H5" s="222">
        <v>300.0</v>
      </c>
      <c r="I5" s="221"/>
      <c r="J5" s="116"/>
      <c r="K5" s="113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46043.0</v>
      </c>
      <c r="C6" s="18" t="s">
        <v>355</v>
      </c>
      <c r="D6" s="146">
        <v>111014.0</v>
      </c>
      <c r="E6" s="147" t="s">
        <v>354</v>
      </c>
      <c r="F6" s="220"/>
      <c r="G6" s="221"/>
      <c r="H6" s="222">
        <v>2400.0</v>
      </c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>
        <v>46043.0</v>
      </c>
      <c r="C7" s="32" t="s">
        <v>356</v>
      </c>
      <c r="D7" s="187">
        <v>111020.0</v>
      </c>
      <c r="E7" s="188" t="s">
        <v>357</v>
      </c>
      <c r="F7" s="189"/>
      <c r="G7" s="190"/>
      <c r="H7" s="191">
        <v>300.0</v>
      </c>
      <c r="I7" s="190"/>
      <c r="J7" s="200"/>
      <c r="K7" s="199"/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>
        <v>46043.0</v>
      </c>
      <c r="C8" s="32" t="s">
        <v>358</v>
      </c>
      <c r="D8" s="187">
        <v>111021.0</v>
      </c>
      <c r="E8" s="188" t="s">
        <v>359</v>
      </c>
      <c r="F8" s="189"/>
      <c r="G8" s="190"/>
      <c r="H8" s="191">
        <v>300.0</v>
      </c>
      <c r="I8" s="190"/>
      <c r="J8" s="200"/>
      <c r="K8" s="64"/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>
        <v>46044.0</v>
      </c>
      <c r="C9" s="204" t="s">
        <v>360</v>
      </c>
      <c r="D9" s="205">
        <v>87115.0</v>
      </c>
      <c r="E9" s="206" t="s">
        <v>361</v>
      </c>
      <c r="F9" s="212"/>
      <c r="G9" s="207"/>
      <c r="H9" s="208">
        <v>4600.0</v>
      </c>
      <c r="I9" s="209"/>
      <c r="J9" s="200"/>
      <c r="K9" s="199"/>
      <c r="L9" s="201"/>
      <c r="M9" s="197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/>
      <c r="B10" s="203">
        <v>46044.0</v>
      </c>
      <c r="C10" s="204" t="s">
        <v>362</v>
      </c>
      <c r="D10" s="205">
        <v>111094.0</v>
      </c>
      <c r="E10" s="206" t="s">
        <v>363</v>
      </c>
      <c r="F10" s="212"/>
      <c r="G10" s="210"/>
      <c r="H10" s="208">
        <v>300.0</v>
      </c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0</v>
      </c>
      <c r="G39" s="79">
        <f t="shared" si="1"/>
        <v>0</v>
      </c>
      <c r="H39" s="79">
        <f t="shared" si="1"/>
        <v>8500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8500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46045.0</v>
      </c>
      <c r="C4" s="139" t="s">
        <v>365</v>
      </c>
      <c r="D4" s="140">
        <v>51660.0</v>
      </c>
      <c r="E4" s="141" t="s">
        <v>366</v>
      </c>
      <c r="F4" s="220">
        <v>4600.0</v>
      </c>
      <c r="G4" s="221"/>
      <c r="H4" s="222"/>
      <c r="I4" s="221"/>
      <c r="J4" s="112"/>
      <c r="K4" s="113" t="s">
        <v>19</v>
      </c>
      <c r="L4" s="114"/>
      <c r="M4" s="28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26"/>
      <c r="C5" s="227"/>
      <c r="D5" s="228"/>
      <c r="E5" s="229"/>
      <c r="F5" s="225"/>
      <c r="G5" s="221"/>
      <c r="H5" s="222"/>
      <c r="I5" s="221"/>
      <c r="J5" s="116"/>
      <c r="K5" s="113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/>
      <c r="C6" s="18"/>
      <c r="D6" s="146"/>
      <c r="E6" s="147"/>
      <c r="F6" s="220"/>
      <c r="G6" s="221"/>
      <c r="H6" s="222"/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/>
      <c r="C7" s="32"/>
      <c r="D7" s="187"/>
      <c r="E7" s="188"/>
      <c r="F7" s="189"/>
      <c r="G7" s="190"/>
      <c r="H7" s="191"/>
      <c r="I7" s="190"/>
      <c r="J7" s="200"/>
      <c r="K7" s="199"/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/>
      <c r="C8" s="32"/>
      <c r="D8" s="187"/>
      <c r="E8" s="188"/>
      <c r="F8" s="189"/>
      <c r="G8" s="190"/>
      <c r="H8" s="191"/>
      <c r="I8" s="190"/>
      <c r="J8" s="200"/>
      <c r="K8" s="64"/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/>
      <c r="C9" s="204"/>
      <c r="D9" s="205"/>
      <c r="E9" s="206"/>
      <c r="F9" s="212"/>
      <c r="G9" s="207"/>
      <c r="H9" s="208"/>
      <c r="I9" s="209"/>
      <c r="J9" s="200"/>
      <c r="K9" s="199"/>
      <c r="L9" s="201"/>
      <c r="M9" s="197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4600</v>
      </c>
      <c r="G39" s="79">
        <f t="shared" si="1"/>
        <v>0</v>
      </c>
      <c r="H39" s="79">
        <f t="shared" si="1"/>
        <v>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4600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46045.0</v>
      </c>
      <c r="C4" s="139" t="s">
        <v>368</v>
      </c>
      <c r="D4" s="140">
        <v>95503.0</v>
      </c>
      <c r="E4" s="141" t="s">
        <v>369</v>
      </c>
      <c r="F4" s="220"/>
      <c r="G4" s="221"/>
      <c r="H4" s="222">
        <v>3950.0</v>
      </c>
      <c r="I4" s="221"/>
      <c r="J4" s="112"/>
      <c r="K4" s="113" t="s">
        <v>19</v>
      </c>
      <c r="L4" s="114"/>
      <c r="M4" s="28" t="s">
        <v>64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46046.0</v>
      </c>
      <c r="C5" s="18" t="s">
        <v>370</v>
      </c>
      <c r="D5" s="231">
        <v>111341.0</v>
      </c>
      <c r="E5" s="147" t="s">
        <v>371</v>
      </c>
      <c r="F5" s="225"/>
      <c r="G5" s="221"/>
      <c r="H5" s="222">
        <v>300.0</v>
      </c>
      <c r="I5" s="221"/>
      <c r="J5" s="116"/>
      <c r="K5" s="113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/>
      <c r="C6" s="18"/>
      <c r="D6" s="146"/>
      <c r="E6" s="147"/>
      <c r="F6" s="220"/>
      <c r="G6" s="221"/>
      <c r="H6" s="222"/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/>
      <c r="C7" s="32"/>
      <c r="D7" s="187"/>
      <c r="E7" s="188"/>
      <c r="F7" s="189"/>
      <c r="G7" s="190"/>
      <c r="H7" s="191"/>
      <c r="I7" s="190"/>
      <c r="J7" s="200"/>
      <c r="K7" s="199"/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/>
      <c r="C8" s="32"/>
      <c r="D8" s="187"/>
      <c r="E8" s="188"/>
      <c r="F8" s="189"/>
      <c r="G8" s="190"/>
      <c r="H8" s="191"/>
      <c r="I8" s="190"/>
      <c r="J8" s="200"/>
      <c r="K8" s="64"/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/>
      <c r="C9" s="204"/>
      <c r="D9" s="205"/>
      <c r="E9" s="206"/>
      <c r="F9" s="212"/>
      <c r="G9" s="207"/>
      <c r="H9" s="208"/>
      <c r="I9" s="209"/>
      <c r="J9" s="200"/>
      <c r="K9" s="199"/>
      <c r="L9" s="201"/>
      <c r="M9" s="197" t="s">
        <v>64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8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98"/>
      <c r="B11" s="203"/>
      <c r="C11" s="204"/>
      <c r="D11" s="45"/>
      <c r="E11" s="56"/>
      <c r="F11" s="126"/>
      <c r="G11" s="130"/>
      <c r="H11" s="129"/>
      <c r="I11" s="123"/>
      <c r="J11" s="211"/>
      <c r="K11" s="199"/>
      <c r="L11" s="52"/>
      <c r="M11" s="128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83"/>
      <c r="B12" s="54"/>
      <c r="C12" s="44"/>
      <c r="D12" s="45"/>
      <c r="E12" s="56"/>
      <c r="F12" s="126"/>
      <c r="G12" s="130"/>
      <c r="H12" s="129"/>
      <c r="I12" s="123"/>
      <c r="J12" s="124"/>
      <c r="K12" s="102"/>
      <c r="L12" s="52"/>
      <c r="M12" s="128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83"/>
      <c r="B14" s="54"/>
      <c r="C14" s="44"/>
      <c r="D14" s="45"/>
      <c r="E14" s="56"/>
      <c r="F14" s="121"/>
      <c r="G14" s="130"/>
      <c r="H14" s="129"/>
      <c r="I14" s="123"/>
      <c r="J14" s="124"/>
      <c r="K14" s="102"/>
      <c r="L14" s="52"/>
      <c r="M14" s="128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0</v>
      </c>
      <c r="G39" s="79">
        <f t="shared" si="1"/>
        <v>0</v>
      </c>
      <c r="H39" s="79">
        <f t="shared" si="1"/>
        <v>4250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4250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46046.0</v>
      </c>
      <c r="C4" s="139" t="s">
        <v>373</v>
      </c>
      <c r="D4" s="140">
        <v>111020.0</v>
      </c>
      <c r="E4" s="141" t="s">
        <v>357</v>
      </c>
      <c r="F4" s="220"/>
      <c r="G4" s="221"/>
      <c r="H4" s="222">
        <v>2400.0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46046.0</v>
      </c>
      <c r="C5" s="18" t="s">
        <v>374</v>
      </c>
      <c r="D5" s="231">
        <v>111021.0</v>
      </c>
      <c r="E5" s="147" t="s">
        <v>359</v>
      </c>
      <c r="F5" s="225"/>
      <c r="G5" s="221"/>
      <c r="H5" s="222">
        <v>2950.0</v>
      </c>
      <c r="I5" s="221"/>
      <c r="J5" s="116"/>
      <c r="K5" s="113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46046.0</v>
      </c>
      <c r="C6" s="18" t="s">
        <v>375</v>
      </c>
      <c r="D6" s="146">
        <v>111362.0</v>
      </c>
      <c r="E6" s="147" t="s">
        <v>376</v>
      </c>
      <c r="F6" s="220"/>
      <c r="G6" s="221"/>
      <c r="H6" s="222">
        <v>300.0</v>
      </c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>
        <v>46046.0</v>
      </c>
      <c r="C7" s="32" t="s">
        <v>377</v>
      </c>
      <c r="D7" s="187">
        <v>111365.0</v>
      </c>
      <c r="E7" s="188" t="s">
        <v>378</v>
      </c>
      <c r="F7" s="189"/>
      <c r="G7" s="190"/>
      <c r="H7" s="191">
        <v>300.0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>
        <v>46046.0</v>
      </c>
      <c r="C8" s="32" t="s">
        <v>379</v>
      </c>
      <c r="D8" s="187">
        <v>111365.0</v>
      </c>
      <c r="E8" s="188" t="s">
        <v>378</v>
      </c>
      <c r="F8" s="189"/>
      <c r="G8" s="190"/>
      <c r="H8" s="191">
        <v>2950.0</v>
      </c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>
        <v>46046.0</v>
      </c>
      <c r="C9" s="204" t="s">
        <v>380</v>
      </c>
      <c r="D9" s="205">
        <v>111370.0</v>
      </c>
      <c r="E9" s="206" t="s">
        <v>381</v>
      </c>
      <c r="F9" s="212"/>
      <c r="G9" s="207"/>
      <c r="H9" s="208">
        <v>300.0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23" t="s">
        <v>36</v>
      </c>
      <c r="B10" s="203">
        <v>46046.0</v>
      </c>
      <c r="C10" s="204" t="s">
        <v>382</v>
      </c>
      <c r="D10" s="205">
        <v>111387.0</v>
      </c>
      <c r="E10" s="206" t="s">
        <v>383</v>
      </c>
      <c r="F10" s="212"/>
      <c r="G10" s="210"/>
      <c r="H10" s="208">
        <v>300.0</v>
      </c>
      <c r="I10" s="209"/>
      <c r="J10" s="200"/>
      <c r="K10" s="64" t="s">
        <v>19</v>
      </c>
      <c r="L10" s="201"/>
      <c r="M10" s="19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39</v>
      </c>
      <c r="B11" s="203">
        <v>46047.0</v>
      </c>
      <c r="C11" s="204" t="s">
        <v>384</v>
      </c>
      <c r="D11" s="45">
        <v>111418.0</v>
      </c>
      <c r="E11" s="56" t="s">
        <v>385</v>
      </c>
      <c r="F11" s="126"/>
      <c r="G11" s="130"/>
      <c r="H11" s="129">
        <v>300.0</v>
      </c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23" t="s">
        <v>42</v>
      </c>
      <c r="B12" s="54">
        <v>46047.0</v>
      </c>
      <c r="C12" s="44" t="s">
        <v>386</v>
      </c>
      <c r="D12" s="45">
        <v>111419.0</v>
      </c>
      <c r="E12" s="56" t="s">
        <v>387</v>
      </c>
      <c r="F12" s="126"/>
      <c r="G12" s="130"/>
      <c r="H12" s="129">
        <v>300.0</v>
      </c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6" t="s">
        <v>47</v>
      </c>
      <c r="B13" s="54">
        <v>46047.0</v>
      </c>
      <c r="C13" s="44" t="s">
        <v>388</v>
      </c>
      <c r="D13" s="45">
        <v>111423.0</v>
      </c>
      <c r="E13" s="56" t="s">
        <v>389</v>
      </c>
      <c r="F13" s="126"/>
      <c r="G13" s="130"/>
      <c r="H13" s="129">
        <v>300.0</v>
      </c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23" t="s">
        <v>50</v>
      </c>
      <c r="B14" s="54">
        <v>46047.0</v>
      </c>
      <c r="C14" s="44" t="s">
        <v>390</v>
      </c>
      <c r="D14" s="45">
        <v>111426.0</v>
      </c>
      <c r="E14" s="56" t="s">
        <v>391</v>
      </c>
      <c r="F14" s="121"/>
      <c r="G14" s="130"/>
      <c r="H14" s="129">
        <v>300.0</v>
      </c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0</v>
      </c>
      <c r="G39" s="79">
        <f t="shared" si="1"/>
        <v>0</v>
      </c>
      <c r="H39" s="79">
        <f t="shared" si="1"/>
        <v>10700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10700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46048.0</v>
      </c>
      <c r="C4" s="139" t="s">
        <v>393</v>
      </c>
      <c r="D4" s="140">
        <v>111456.0</v>
      </c>
      <c r="E4" s="141" t="s">
        <v>394</v>
      </c>
      <c r="F4" s="220"/>
      <c r="G4" s="221"/>
      <c r="H4" s="232">
        <v>300.0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46048.0</v>
      </c>
      <c r="C5" s="18" t="s">
        <v>395</v>
      </c>
      <c r="D5" s="231">
        <v>69346.0</v>
      </c>
      <c r="E5" s="147" t="s">
        <v>336</v>
      </c>
      <c r="F5" s="232">
        <v>32500.0</v>
      </c>
      <c r="G5" s="221"/>
      <c r="H5" s="222"/>
      <c r="I5" s="221"/>
      <c r="J5" s="116"/>
      <c r="K5" s="113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/>
      <c r="C6" s="18"/>
      <c r="D6" s="146"/>
      <c r="E6" s="147"/>
      <c r="F6" s="220"/>
      <c r="G6" s="221"/>
      <c r="H6" s="222"/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/>
      <c r="C7" s="32"/>
      <c r="D7" s="187"/>
      <c r="E7" s="188"/>
      <c r="F7" s="189"/>
      <c r="G7" s="190"/>
      <c r="H7" s="191"/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223" t="s">
        <v>30</v>
      </c>
      <c r="B8" s="214"/>
      <c r="C8" s="32"/>
      <c r="D8" s="187"/>
      <c r="E8" s="188"/>
      <c r="F8" s="189"/>
      <c r="G8" s="190"/>
      <c r="H8" s="191"/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 t="s">
        <v>33</v>
      </c>
      <c r="B9" s="203"/>
      <c r="C9" s="204"/>
      <c r="D9" s="205"/>
      <c r="E9" s="206"/>
      <c r="F9" s="212"/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223" t="s">
        <v>36</v>
      </c>
      <c r="B10" s="203"/>
      <c r="C10" s="204"/>
      <c r="D10" s="205"/>
      <c r="E10" s="206"/>
      <c r="F10" s="212"/>
      <c r="G10" s="210"/>
      <c r="H10" s="208"/>
      <c r="I10" s="209"/>
      <c r="J10" s="200"/>
      <c r="K10" s="64" t="s">
        <v>19</v>
      </c>
      <c r="L10" s="201"/>
      <c r="M10" s="19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39</v>
      </c>
      <c r="B11" s="203"/>
      <c r="C11" s="204"/>
      <c r="D11" s="45"/>
      <c r="E11" s="56"/>
      <c r="F11" s="126"/>
      <c r="G11" s="130"/>
      <c r="H11" s="129"/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223" t="s">
        <v>42</v>
      </c>
      <c r="B12" s="54"/>
      <c r="C12" s="44"/>
      <c r="D12" s="45"/>
      <c r="E12" s="56"/>
      <c r="F12" s="126"/>
      <c r="G12" s="130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47</v>
      </c>
      <c r="B13" s="54"/>
      <c r="C13" s="44"/>
      <c r="D13" s="45"/>
      <c r="E13" s="56"/>
      <c r="F13" s="126"/>
      <c r="G13" s="130"/>
      <c r="H13" s="129"/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23" t="s">
        <v>50</v>
      </c>
      <c r="B14" s="54"/>
      <c r="C14" s="44"/>
      <c r="D14" s="45"/>
      <c r="E14" s="56"/>
      <c r="F14" s="121"/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32500</v>
      </c>
      <c r="G39" s="79">
        <f t="shared" si="1"/>
        <v>0</v>
      </c>
      <c r="H39" s="79">
        <f t="shared" si="1"/>
        <v>300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32800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396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46048.0</v>
      </c>
      <c r="C4" s="139" t="s">
        <v>397</v>
      </c>
      <c r="D4" s="140">
        <v>106403.0</v>
      </c>
      <c r="E4" s="141" t="s">
        <v>97</v>
      </c>
      <c r="F4" s="220"/>
      <c r="G4" s="221"/>
      <c r="H4" s="233">
        <v>1500.0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46048.0</v>
      </c>
      <c r="C5" s="18" t="s">
        <v>398</v>
      </c>
      <c r="D5" s="231">
        <v>50342.0</v>
      </c>
      <c r="E5" s="147" t="s">
        <v>102</v>
      </c>
      <c r="F5" s="232"/>
      <c r="G5" s="220">
        <v>300.0</v>
      </c>
      <c r="H5" s="222"/>
      <c r="I5" s="221"/>
      <c r="J5" s="116"/>
      <c r="K5" s="113" t="s">
        <v>19</v>
      </c>
      <c r="L5" s="114"/>
      <c r="M5" s="118" t="s">
        <v>20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46048.0</v>
      </c>
      <c r="C6" s="18" t="s">
        <v>399</v>
      </c>
      <c r="D6" s="146">
        <v>50342.0</v>
      </c>
      <c r="E6" s="147" t="s">
        <v>102</v>
      </c>
      <c r="F6" s="220"/>
      <c r="G6" s="220">
        <v>300.0</v>
      </c>
      <c r="H6" s="222"/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>
        <v>46048.0</v>
      </c>
      <c r="C7" s="32" t="s">
        <v>400</v>
      </c>
      <c r="D7" s="187">
        <v>111515.0</v>
      </c>
      <c r="E7" s="188" t="s">
        <v>401</v>
      </c>
      <c r="F7" s="189"/>
      <c r="G7" s="190"/>
      <c r="H7" s="191">
        <v>300.0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>
        <v>46049.0</v>
      </c>
      <c r="C8" s="32" t="s">
        <v>402</v>
      </c>
      <c r="D8" s="187">
        <v>10250.0</v>
      </c>
      <c r="E8" s="188" t="s">
        <v>44</v>
      </c>
      <c r="F8" s="189">
        <v>15000.0</v>
      </c>
      <c r="G8" s="190"/>
      <c r="H8" s="191"/>
      <c r="I8" s="190"/>
      <c r="J8" s="200"/>
      <c r="K8" s="64" t="s">
        <v>19</v>
      </c>
      <c r="L8" s="201"/>
      <c r="M8" s="197" t="s">
        <v>20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>
        <v>46049.0</v>
      </c>
      <c r="C9" s="204" t="s">
        <v>403</v>
      </c>
      <c r="D9" s="205">
        <v>95503.0</v>
      </c>
      <c r="E9" s="206" t="s">
        <v>369</v>
      </c>
      <c r="F9" s="212"/>
      <c r="G9" s="207"/>
      <c r="H9" s="208">
        <v>7600.0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23"/>
      <c r="B10" s="203"/>
      <c r="C10" s="204"/>
      <c r="D10" s="205"/>
      <c r="E10" s="206"/>
      <c r="F10" s="212"/>
      <c r="G10" s="210"/>
      <c r="H10" s="208"/>
      <c r="I10" s="209"/>
      <c r="J10" s="200"/>
      <c r="K10" s="64"/>
      <c r="L10" s="201"/>
      <c r="M10" s="197" t="s">
        <v>20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39</v>
      </c>
      <c r="B11" s="203"/>
      <c r="C11" s="204"/>
      <c r="D11" s="45"/>
      <c r="E11" s="56"/>
      <c r="F11" s="126"/>
      <c r="G11" s="130"/>
      <c r="H11" s="129"/>
      <c r="I11" s="123"/>
      <c r="J11" s="211"/>
      <c r="K11" s="199" t="s">
        <v>19</v>
      </c>
      <c r="L11" s="52"/>
      <c r="M11" s="128" t="s">
        <v>20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223" t="s">
        <v>42</v>
      </c>
      <c r="B12" s="54"/>
      <c r="C12" s="44"/>
      <c r="D12" s="45"/>
      <c r="E12" s="56"/>
      <c r="F12" s="126"/>
      <c r="G12" s="130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 t="s">
        <v>47</v>
      </c>
      <c r="B13" s="54"/>
      <c r="C13" s="44"/>
      <c r="D13" s="45"/>
      <c r="E13" s="56"/>
      <c r="F13" s="126"/>
      <c r="G13" s="130"/>
      <c r="H13" s="129"/>
      <c r="I13" s="123"/>
      <c r="J13" s="124"/>
      <c r="K13" s="102" t="s">
        <v>19</v>
      </c>
      <c r="L13" s="52"/>
      <c r="M13" s="184" t="s">
        <v>20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23" t="s">
        <v>50</v>
      </c>
      <c r="B14" s="54"/>
      <c r="C14" s="44"/>
      <c r="D14" s="45"/>
      <c r="E14" s="56"/>
      <c r="F14" s="121"/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 t="s">
        <v>61</v>
      </c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65</v>
      </c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 t="s">
        <v>68</v>
      </c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 t="s">
        <v>71</v>
      </c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 t="s">
        <v>265</v>
      </c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 t="s">
        <v>268</v>
      </c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15000</v>
      </c>
      <c r="G39" s="79">
        <f t="shared" si="1"/>
        <v>600</v>
      </c>
      <c r="H39" s="79">
        <f t="shared" si="1"/>
        <v>9400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25000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404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46049.0</v>
      </c>
      <c r="C4" s="139" t="s">
        <v>405</v>
      </c>
      <c r="D4" s="140">
        <v>106403.0</v>
      </c>
      <c r="E4" s="141" t="s">
        <v>97</v>
      </c>
      <c r="F4" s="220"/>
      <c r="G4" s="221"/>
      <c r="H4" s="233">
        <v>1500.0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46050.0</v>
      </c>
      <c r="C5" s="18" t="s">
        <v>406</v>
      </c>
      <c r="D5" s="146">
        <v>47787.0</v>
      </c>
      <c r="E5" s="147" t="s">
        <v>60</v>
      </c>
      <c r="F5" s="233">
        <v>10000.0</v>
      </c>
      <c r="G5" s="220"/>
      <c r="H5" s="222"/>
      <c r="I5" s="221"/>
      <c r="J5" s="116"/>
      <c r="K5" s="113" t="s">
        <v>45</v>
      </c>
      <c r="L5" s="114"/>
      <c r="M5" s="118" t="s">
        <v>116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46050.0</v>
      </c>
      <c r="C6" s="18" t="s">
        <v>407</v>
      </c>
      <c r="D6" s="146">
        <v>111681.0</v>
      </c>
      <c r="E6" s="147" t="s">
        <v>408</v>
      </c>
      <c r="F6" s="220"/>
      <c r="G6" s="220"/>
      <c r="H6" s="222">
        <v>300.0</v>
      </c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>
        <v>46050.0</v>
      </c>
      <c r="C7" s="32" t="s">
        <v>409</v>
      </c>
      <c r="D7" s="187">
        <v>111682.0</v>
      </c>
      <c r="E7" s="188" t="s">
        <v>410</v>
      </c>
      <c r="F7" s="189"/>
      <c r="G7" s="190"/>
      <c r="H7" s="191">
        <v>300.0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>
        <v>46050.0</v>
      </c>
      <c r="C8" s="32" t="s">
        <v>411</v>
      </c>
      <c r="D8" s="187">
        <v>111387.0</v>
      </c>
      <c r="E8" s="188" t="s">
        <v>383</v>
      </c>
      <c r="F8" s="189"/>
      <c r="G8" s="190"/>
      <c r="H8" s="191">
        <v>2600.0</v>
      </c>
      <c r="I8" s="190"/>
      <c r="J8" s="200"/>
      <c r="K8" s="64" t="s">
        <v>19</v>
      </c>
      <c r="L8" s="201"/>
      <c r="M8" s="197" t="s">
        <v>64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>
        <v>46050.0</v>
      </c>
      <c r="C9" s="204" t="s">
        <v>412</v>
      </c>
      <c r="D9" s="205">
        <v>105021.0</v>
      </c>
      <c r="E9" s="206" t="s">
        <v>413</v>
      </c>
      <c r="F9" s="212"/>
      <c r="G9" s="207"/>
      <c r="H9" s="208">
        <v>300.0</v>
      </c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23" t="s">
        <v>36</v>
      </c>
      <c r="B10" s="203">
        <v>46050.0</v>
      </c>
      <c r="C10" s="204" t="s">
        <v>414</v>
      </c>
      <c r="D10" s="205">
        <v>50148.0</v>
      </c>
      <c r="E10" s="206" t="s">
        <v>415</v>
      </c>
      <c r="F10" s="212"/>
      <c r="G10" s="234">
        <v>5100.0</v>
      </c>
      <c r="H10" s="208"/>
      <c r="I10" s="209"/>
      <c r="J10" s="200"/>
      <c r="K10" s="64" t="s">
        <v>19</v>
      </c>
      <c r="L10" s="201"/>
      <c r="M10" s="197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39</v>
      </c>
      <c r="B11" s="203">
        <v>46050.0</v>
      </c>
      <c r="C11" s="204" t="s">
        <v>416</v>
      </c>
      <c r="D11" s="45">
        <v>89807.0</v>
      </c>
      <c r="E11" s="56" t="s">
        <v>312</v>
      </c>
      <c r="F11" s="126"/>
      <c r="G11" s="130"/>
      <c r="H11" s="129">
        <v>5100.0</v>
      </c>
      <c r="I11" s="123"/>
      <c r="J11" s="211"/>
      <c r="K11" s="199" t="s">
        <v>19</v>
      </c>
      <c r="L11" s="52"/>
      <c r="M11" s="128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23" t="s">
        <v>42</v>
      </c>
      <c r="B12" s="54">
        <v>46050.0</v>
      </c>
      <c r="C12" s="44" t="s">
        <v>417</v>
      </c>
      <c r="D12" s="45">
        <v>89807.0</v>
      </c>
      <c r="E12" s="56" t="s">
        <v>312</v>
      </c>
      <c r="F12" s="126"/>
      <c r="G12" s="235">
        <v>1450.0</v>
      </c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6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23"/>
      <c r="B14" s="54"/>
      <c r="C14" s="44"/>
      <c r="D14" s="45"/>
      <c r="E14" s="56"/>
      <c r="F14" s="121"/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/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/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/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/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customHeight="1">
      <c r="A38" s="83"/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10000</v>
      </c>
      <c r="G39" s="79">
        <f t="shared" si="1"/>
        <v>6550</v>
      </c>
      <c r="H39" s="79">
        <f t="shared" si="1"/>
        <v>10100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26650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46051.0</v>
      </c>
      <c r="C4" s="139" t="s">
        <v>419</v>
      </c>
      <c r="D4" s="140">
        <v>111795.0</v>
      </c>
      <c r="E4" s="141" t="s">
        <v>420</v>
      </c>
      <c r="F4" s="220"/>
      <c r="G4" s="221"/>
      <c r="H4" s="233">
        <v>300.0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46051.0</v>
      </c>
      <c r="C5" s="18" t="s">
        <v>421</v>
      </c>
      <c r="D5" s="146">
        <v>78142.0</v>
      </c>
      <c r="E5" s="147" t="s">
        <v>422</v>
      </c>
      <c r="F5" s="233">
        <v>5100.0</v>
      </c>
      <c r="G5" s="220"/>
      <c r="H5" s="222"/>
      <c r="I5" s="221"/>
      <c r="J5" s="116"/>
      <c r="K5" s="113" t="s">
        <v>19</v>
      </c>
      <c r="L5" s="114"/>
      <c r="M5" s="118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/>
      <c r="C6" s="18"/>
      <c r="D6" s="146"/>
      <c r="E6" s="147"/>
      <c r="F6" s="220"/>
      <c r="G6" s="220"/>
      <c r="H6" s="222"/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/>
      <c r="C7" s="32"/>
      <c r="D7" s="187"/>
      <c r="E7" s="188"/>
      <c r="F7" s="189"/>
      <c r="G7" s="190"/>
      <c r="H7" s="191"/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/>
      <c r="C8" s="32"/>
      <c r="D8" s="187"/>
      <c r="E8" s="188"/>
      <c r="F8" s="189"/>
      <c r="G8" s="190"/>
      <c r="H8" s="191"/>
      <c r="I8" s="190"/>
      <c r="J8" s="200"/>
      <c r="K8" s="64" t="s">
        <v>19</v>
      </c>
      <c r="L8" s="201"/>
      <c r="M8" s="197" t="s">
        <v>64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6" t="s">
        <v>33</v>
      </c>
      <c r="B9" s="203"/>
      <c r="C9" s="204"/>
      <c r="D9" s="205"/>
      <c r="E9" s="206"/>
      <c r="F9" s="212"/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223" t="s">
        <v>36</v>
      </c>
      <c r="B10" s="203"/>
      <c r="C10" s="204"/>
      <c r="D10" s="205"/>
      <c r="E10" s="206"/>
      <c r="F10" s="212"/>
      <c r="G10" s="234"/>
      <c r="H10" s="208"/>
      <c r="I10" s="209"/>
      <c r="J10" s="200"/>
      <c r="K10" s="64" t="s">
        <v>19</v>
      </c>
      <c r="L10" s="201"/>
      <c r="M10" s="197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6" t="s">
        <v>39</v>
      </c>
      <c r="B11" s="203"/>
      <c r="C11" s="204"/>
      <c r="D11" s="45"/>
      <c r="E11" s="56"/>
      <c r="F11" s="126"/>
      <c r="G11" s="130"/>
      <c r="H11" s="129"/>
      <c r="I11" s="123"/>
      <c r="J11" s="211"/>
      <c r="K11" s="199" t="s">
        <v>19</v>
      </c>
      <c r="L11" s="52"/>
      <c r="M11" s="128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223" t="s">
        <v>42</v>
      </c>
      <c r="B12" s="54"/>
      <c r="C12" s="44"/>
      <c r="D12" s="45"/>
      <c r="E12" s="56"/>
      <c r="F12" s="126"/>
      <c r="G12" s="235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6"/>
      <c r="B13" s="54"/>
      <c r="C13" s="44"/>
      <c r="D13" s="45"/>
      <c r="E13" s="56"/>
      <c r="F13" s="126"/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223"/>
      <c r="B14" s="54"/>
      <c r="C14" s="44"/>
      <c r="D14" s="45"/>
      <c r="E14" s="56"/>
      <c r="F14" s="121"/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98"/>
      <c r="B15" s="54"/>
      <c r="C15" s="44"/>
      <c r="D15" s="45"/>
      <c r="E15" s="56"/>
      <c r="F15" s="126"/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/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/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/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/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/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5100</v>
      </c>
      <c r="G39" s="79">
        <f t="shared" si="1"/>
        <v>0</v>
      </c>
      <c r="H39" s="79">
        <f t="shared" si="1"/>
        <v>300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5400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46051.0</v>
      </c>
      <c r="C4" s="139" t="s">
        <v>424</v>
      </c>
      <c r="D4" s="140">
        <v>89807.0</v>
      </c>
      <c r="E4" s="141" t="s">
        <v>312</v>
      </c>
      <c r="F4" s="220"/>
      <c r="G4" s="221"/>
      <c r="H4" s="233">
        <v>9000.0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46051.0</v>
      </c>
      <c r="C5" s="18" t="s">
        <v>425</v>
      </c>
      <c r="D5" s="146">
        <v>111867.0</v>
      </c>
      <c r="E5" s="147" t="s">
        <v>426</v>
      </c>
      <c r="F5" s="233"/>
      <c r="G5" s="220"/>
      <c r="H5" s="222">
        <v>300.0</v>
      </c>
      <c r="I5" s="221"/>
      <c r="J5" s="116"/>
      <c r="K5" s="113" t="s">
        <v>19</v>
      </c>
      <c r="L5" s="114"/>
      <c r="M5" s="118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46051.0</v>
      </c>
      <c r="C6" s="18" t="s">
        <v>427</v>
      </c>
      <c r="D6" s="146">
        <v>111873.0</v>
      </c>
      <c r="E6" s="147" t="s">
        <v>428</v>
      </c>
      <c r="F6" s="220"/>
      <c r="G6" s="220"/>
      <c r="H6" s="222">
        <v>300.0</v>
      </c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>
        <v>46051.0</v>
      </c>
      <c r="C7" s="32" t="s">
        <v>429</v>
      </c>
      <c r="D7" s="187">
        <v>111874.0</v>
      </c>
      <c r="E7" s="188" t="s">
        <v>430</v>
      </c>
      <c r="F7" s="189"/>
      <c r="G7" s="190"/>
      <c r="H7" s="191">
        <v>300.0</v>
      </c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>
        <v>46051.0</v>
      </c>
      <c r="C8" s="32" t="s">
        <v>431</v>
      </c>
      <c r="D8" s="187">
        <v>111005.0</v>
      </c>
      <c r="E8" s="188" t="s">
        <v>352</v>
      </c>
      <c r="F8" s="189"/>
      <c r="G8" s="190"/>
      <c r="H8" s="191">
        <v>2400.0</v>
      </c>
      <c r="I8" s="190"/>
      <c r="J8" s="200"/>
      <c r="K8" s="64" t="s">
        <v>19</v>
      </c>
      <c r="L8" s="201"/>
      <c r="M8" s="197" t="s">
        <v>64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>
        <v>46052.0</v>
      </c>
      <c r="C9" s="204" t="s">
        <v>432</v>
      </c>
      <c r="D9" s="205">
        <v>10357.0</v>
      </c>
      <c r="E9" s="206" t="s">
        <v>433</v>
      </c>
      <c r="F9" s="212">
        <v>4000.0</v>
      </c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23" t="s">
        <v>36</v>
      </c>
      <c r="B10" s="203">
        <v>46052.0</v>
      </c>
      <c r="C10" s="204" t="s">
        <v>434</v>
      </c>
      <c r="D10" s="205">
        <v>47787.0</v>
      </c>
      <c r="E10" s="206" t="s">
        <v>60</v>
      </c>
      <c r="F10" s="212">
        <v>10250.0</v>
      </c>
      <c r="G10" s="234"/>
      <c r="H10" s="208"/>
      <c r="I10" s="209"/>
      <c r="J10" s="200"/>
      <c r="K10" s="64" t="s">
        <v>19</v>
      </c>
      <c r="L10" s="201"/>
      <c r="M10" s="197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39</v>
      </c>
      <c r="B11" s="203">
        <v>46052.0</v>
      </c>
      <c r="C11" s="204" t="s">
        <v>435</v>
      </c>
      <c r="D11" s="45">
        <v>89807.0</v>
      </c>
      <c r="E11" s="56" t="s">
        <v>312</v>
      </c>
      <c r="F11" s="126"/>
      <c r="G11" s="130"/>
      <c r="H11" s="129">
        <v>9000.0</v>
      </c>
      <c r="I11" s="123"/>
      <c r="J11" s="211"/>
      <c r="K11" s="199" t="s">
        <v>19</v>
      </c>
      <c r="L11" s="52"/>
      <c r="M11" s="128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23" t="s">
        <v>42</v>
      </c>
      <c r="B12" s="54">
        <v>46052.0</v>
      </c>
      <c r="C12" s="44" t="s">
        <v>436</v>
      </c>
      <c r="D12" s="45">
        <v>111975.0</v>
      </c>
      <c r="E12" s="56" t="s">
        <v>437</v>
      </c>
      <c r="F12" s="126"/>
      <c r="G12" s="235"/>
      <c r="H12" s="129">
        <v>300.0</v>
      </c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6"/>
      <c r="B13" s="54">
        <v>46052.0</v>
      </c>
      <c r="C13" s="44" t="s">
        <v>438</v>
      </c>
      <c r="D13" s="45">
        <v>35245.0</v>
      </c>
      <c r="E13" s="56" t="s">
        <v>121</v>
      </c>
      <c r="F13" s="126">
        <v>10040.0</v>
      </c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23"/>
      <c r="B14" s="54">
        <v>46052.0</v>
      </c>
      <c r="C14" s="44" t="s">
        <v>439</v>
      </c>
      <c r="D14" s="45">
        <v>72839.0</v>
      </c>
      <c r="E14" s="56" t="s">
        <v>440</v>
      </c>
      <c r="F14" s="121"/>
      <c r="G14" s="130"/>
      <c r="H14" s="129">
        <v>300.0</v>
      </c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98"/>
      <c r="B15" s="54">
        <v>46052.0</v>
      </c>
      <c r="C15" s="44" t="s">
        <v>441</v>
      </c>
      <c r="D15" s="45">
        <v>72839.0</v>
      </c>
      <c r="E15" s="56" t="s">
        <v>440</v>
      </c>
      <c r="F15" s="126">
        <v>10000.0</v>
      </c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83"/>
      <c r="B16" s="54"/>
      <c r="C16" s="44"/>
      <c r="D16" s="45"/>
      <c r="E16" s="56"/>
      <c r="F16" s="126"/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54"/>
      <c r="C17" s="44"/>
      <c r="D17" s="45"/>
      <c r="E17" s="56"/>
      <c r="F17" s="126"/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83"/>
      <c r="B18" s="54"/>
      <c r="C18" s="44"/>
      <c r="D18" s="45"/>
      <c r="E18" s="56"/>
      <c r="F18" s="126"/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54"/>
      <c r="C19" s="44"/>
      <c r="D19" s="45"/>
      <c r="E19" s="56"/>
      <c r="F19" s="126"/>
      <c r="G19" s="130"/>
      <c r="H19" s="131"/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83"/>
      <c r="B20" s="54"/>
      <c r="C20" s="44"/>
      <c r="D20" s="45"/>
      <c r="E20" s="56"/>
      <c r="F20" s="126"/>
      <c r="G20" s="130"/>
      <c r="H20" s="215"/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98"/>
      <c r="B21" s="54"/>
      <c r="C21" s="44"/>
      <c r="D21" s="45"/>
      <c r="E21" s="56"/>
      <c r="F21" s="126"/>
      <c r="G21" s="130"/>
      <c r="H21" s="215"/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83"/>
      <c r="B22" s="54"/>
      <c r="C22" s="44"/>
      <c r="D22" s="45"/>
      <c r="E22" s="56"/>
      <c r="F22" s="126"/>
      <c r="G22" s="130"/>
      <c r="H22" s="215"/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54"/>
      <c r="C23" s="44"/>
      <c r="D23" s="45"/>
      <c r="E23" s="56"/>
      <c r="F23" s="126"/>
      <c r="G23" s="130"/>
      <c r="H23" s="215"/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hidden="1" customHeight="1">
      <c r="A24" s="83" t="s">
        <v>271</v>
      </c>
      <c r="B24" s="54"/>
      <c r="C24" s="44"/>
      <c r="D24" s="45"/>
      <c r="E24" s="56"/>
      <c r="F24" s="126"/>
      <c r="G24" s="130"/>
      <c r="H24" s="131"/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hidden="1" customHeight="1">
      <c r="A25" s="30" t="s">
        <v>274</v>
      </c>
      <c r="B25" s="54"/>
      <c r="C25" s="44"/>
      <c r="D25" s="45"/>
      <c r="E25" s="56"/>
      <c r="F25" s="126"/>
      <c r="G25" s="130"/>
      <c r="H25" s="131"/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hidden="1" customHeight="1">
      <c r="A26" s="8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98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8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30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8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30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8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98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83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30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83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30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83"/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34290</v>
      </c>
      <c r="G39" s="79">
        <f t="shared" si="1"/>
        <v>0</v>
      </c>
      <c r="H39" s="79">
        <f t="shared" si="1"/>
        <v>21900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56190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13.63"/>
    <col customWidth="1" min="13" max="13" width="32.63"/>
    <col customWidth="1" min="14" max="26" width="8.13"/>
  </cols>
  <sheetData>
    <row r="1" ht="67.5" customHeight="1">
      <c r="A1" s="1" t="s">
        <v>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38">
        <v>46052.0</v>
      </c>
      <c r="C4" s="139" t="s">
        <v>443</v>
      </c>
      <c r="D4" s="140">
        <v>98911.0</v>
      </c>
      <c r="E4" s="141" t="s">
        <v>444</v>
      </c>
      <c r="F4" s="220"/>
      <c r="G4" s="221"/>
      <c r="H4" s="233">
        <v>4100.0</v>
      </c>
      <c r="I4" s="221"/>
      <c r="J4" s="112"/>
      <c r="K4" s="113" t="s">
        <v>19</v>
      </c>
      <c r="L4" s="114"/>
      <c r="M4" s="28" t="s">
        <v>20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23" t="s">
        <v>21</v>
      </c>
      <c r="B5" s="230">
        <v>46052.0</v>
      </c>
      <c r="C5" s="18" t="s">
        <v>445</v>
      </c>
      <c r="D5" s="146">
        <v>95492.0</v>
      </c>
      <c r="E5" s="147" t="s">
        <v>100</v>
      </c>
      <c r="F5" s="233"/>
      <c r="G5" s="220"/>
      <c r="H5" s="222">
        <v>26200.0</v>
      </c>
      <c r="I5" s="221"/>
      <c r="J5" s="116"/>
      <c r="K5" s="113" t="s">
        <v>19</v>
      </c>
      <c r="L5" s="114"/>
      <c r="M5" s="118" t="s">
        <v>64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224">
        <v>46052.0</v>
      </c>
      <c r="C6" s="18" t="s">
        <v>446</v>
      </c>
      <c r="D6" s="146">
        <v>52685.0</v>
      </c>
      <c r="E6" s="147" t="s">
        <v>447</v>
      </c>
      <c r="F6" s="220">
        <v>4500.0</v>
      </c>
      <c r="G6" s="220"/>
      <c r="H6" s="222"/>
      <c r="I6" s="221"/>
      <c r="J6" s="211"/>
      <c r="K6" s="125" t="s">
        <v>19</v>
      </c>
      <c r="L6" s="114"/>
      <c r="M6" s="118" t="s">
        <v>20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27</v>
      </c>
      <c r="B7" s="214">
        <v>46052.0</v>
      </c>
      <c r="C7" s="32" t="s">
        <v>448</v>
      </c>
      <c r="D7" s="187">
        <v>38416.0</v>
      </c>
      <c r="E7" s="188" t="s">
        <v>449</v>
      </c>
      <c r="F7" s="189">
        <v>4250.0</v>
      </c>
      <c r="G7" s="190"/>
      <c r="H7" s="191"/>
      <c r="I7" s="190"/>
      <c r="J7" s="200"/>
      <c r="K7" s="199" t="s">
        <v>19</v>
      </c>
      <c r="L7" s="201"/>
      <c r="M7" s="197" t="s">
        <v>20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23" t="s">
        <v>30</v>
      </c>
      <c r="B8" s="214">
        <v>46052.0</v>
      </c>
      <c r="C8" s="32" t="s">
        <v>450</v>
      </c>
      <c r="D8" s="187">
        <v>112054.0</v>
      </c>
      <c r="E8" s="188" t="s">
        <v>451</v>
      </c>
      <c r="F8" s="189"/>
      <c r="G8" s="190"/>
      <c r="H8" s="191">
        <v>300.0</v>
      </c>
      <c r="I8" s="190"/>
      <c r="J8" s="200"/>
      <c r="K8" s="64" t="s">
        <v>19</v>
      </c>
      <c r="L8" s="201"/>
      <c r="M8" s="197" t="s">
        <v>64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6" t="s">
        <v>33</v>
      </c>
      <c r="B9" s="203">
        <v>46053.0</v>
      </c>
      <c r="C9" s="204" t="s">
        <v>452</v>
      </c>
      <c r="D9" s="205">
        <v>10008.0</v>
      </c>
      <c r="E9" s="206" t="s">
        <v>453</v>
      </c>
      <c r="F9" s="212">
        <v>4500.0</v>
      </c>
      <c r="G9" s="207"/>
      <c r="H9" s="208"/>
      <c r="I9" s="209"/>
      <c r="J9" s="200"/>
      <c r="K9" s="199" t="s">
        <v>19</v>
      </c>
      <c r="L9" s="201"/>
      <c r="M9" s="197" t="s">
        <v>20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23" t="s">
        <v>36</v>
      </c>
      <c r="B10" s="203">
        <v>46053.0</v>
      </c>
      <c r="C10" s="204" t="s">
        <v>454</v>
      </c>
      <c r="D10" s="205">
        <v>10281.0</v>
      </c>
      <c r="E10" s="206" t="s">
        <v>455</v>
      </c>
      <c r="F10" s="212">
        <v>4500.0</v>
      </c>
      <c r="G10" s="234"/>
      <c r="H10" s="208"/>
      <c r="I10" s="209"/>
      <c r="J10" s="200"/>
      <c r="K10" s="64" t="s">
        <v>19</v>
      </c>
      <c r="L10" s="201"/>
      <c r="M10" s="197" t="s">
        <v>64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39</v>
      </c>
      <c r="B11" s="203">
        <v>46053.0</v>
      </c>
      <c r="C11" s="204" t="s">
        <v>456</v>
      </c>
      <c r="D11" s="45">
        <v>10006.0</v>
      </c>
      <c r="E11" s="56" t="s">
        <v>18</v>
      </c>
      <c r="F11" s="126"/>
      <c r="G11" s="235">
        <v>6200.0</v>
      </c>
      <c r="H11" s="129"/>
      <c r="I11" s="123"/>
      <c r="J11" s="211"/>
      <c r="K11" s="199" t="s">
        <v>19</v>
      </c>
      <c r="L11" s="52"/>
      <c r="M11" s="128" t="s">
        <v>64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23" t="s">
        <v>42</v>
      </c>
      <c r="B12" s="54">
        <v>46053.0</v>
      </c>
      <c r="C12" s="44" t="s">
        <v>457</v>
      </c>
      <c r="D12" s="45">
        <v>10250.0</v>
      </c>
      <c r="E12" s="56" t="s">
        <v>44</v>
      </c>
      <c r="F12" s="126">
        <v>14500.0</v>
      </c>
      <c r="G12" s="235"/>
      <c r="H12" s="129"/>
      <c r="I12" s="123"/>
      <c r="J12" s="124"/>
      <c r="K12" s="102" t="s">
        <v>19</v>
      </c>
      <c r="L12" s="52"/>
      <c r="M12" s="128" t="s">
        <v>20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6" t="s">
        <v>47</v>
      </c>
      <c r="B13" s="54">
        <v>46053.0</v>
      </c>
      <c r="C13" s="44" t="s">
        <v>458</v>
      </c>
      <c r="D13" s="45">
        <v>10006.0</v>
      </c>
      <c r="E13" s="56" t="s">
        <v>18</v>
      </c>
      <c r="F13" s="126">
        <v>2500.0</v>
      </c>
      <c r="G13" s="130"/>
      <c r="H13" s="129"/>
      <c r="I13" s="123"/>
      <c r="J13" s="124"/>
      <c r="K13" s="102"/>
      <c r="L13" s="52"/>
      <c r="M13" s="18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23" t="s">
        <v>50</v>
      </c>
      <c r="B14" s="54">
        <v>46053.0</v>
      </c>
      <c r="C14" s="44" t="s">
        <v>459</v>
      </c>
      <c r="D14" s="45">
        <v>10006.0</v>
      </c>
      <c r="E14" s="56" t="s">
        <v>18</v>
      </c>
      <c r="F14" s="126">
        <v>2400.0</v>
      </c>
      <c r="G14" s="130"/>
      <c r="H14" s="129"/>
      <c r="I14" s="123"/>
      <c r="J14" s="124"/>
      <c r="K14" s="102" t="s">
        <v>19</v>
      </c>
      <c r="L14" s="52"/>
      <c r="M14" s="128" t="s">
        <v>20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16" t="s">
        <v>53</v>
      </c>
      <c r="B15" s="54">
        <v>46053.0</v>
      </c>
      <c r="C15" s="44" t="s">
        <v>460</v>
      </c>
      <c r="D15" s="45">
        <v>97731.0</v>
      </c>
      <c r="E15" s="56" t="s">
        <v>170</v>
      </c>
      <c r="F15" s="126">
        <v>15750.0</v>
      </c>
      <c r="G15" s="126"/>
      <c r="H15" s="215"/>
      <c r="I15" s="123"/>
      <c r="J15" s="124"/>
      <c r="K15" s="102"/>
      <c r="L15" s="52"/>
      <c r="M15" s="128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16" t="s">
        <v>56</v>
      </c>
      <c r="B16" s="54">
        <v>46053.0</v>
      </c>
      <c r="C16" s="44" t="s">
        <v>461</v>
      </c>
      <c r="D16" s="45">
        <v>59793.0</v>
      </c>
      <c r="E16" s="56" t="s">
        <v>63</v>
      </c>
      <c r="F16" s="126">
        <v>300.0</v>
      </c>
      <c r="G16" s="130"/>
      <c r="H16" s="215"/>
      <c r="I16" s="123"/>
      <c r="J16" s="124"/>
      <c r="K16" s="125"/>
      <c r="L16" s="52"/>
      <c r="M16" s="128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223" t="s">
        <v>58</v>
      </c>
      <c r="B17" s="54">
        <v>46053.0</v>
      </c>
      <c r="C17" s="44" t="s">
        <v>462</v>
      </c>
      <c r="D17" s="45">
        <v>112144.0</v>
      </c>
      <c r="E17" s="56" t="s">
        <v>463</v>
      </c>
      <c r="F17" s="126">
        <v>2950.0</v>
      </c>
      <c r="G17" s="130"/>
      <c r="H17" s="215"/>
      <c r="I17" s="123"/>
      <c r="J17" s="124"/>
      <c r="K17" s="125"/>
      <c r="L17" s="52"/>
      <c r="M17" s="128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16" t="s">
        <v>61</v>
      </c>
      <c r="B18" s="54">
        <v>46053.0</v>
      </c>
      <c r="C18" s="44" t="s">
        <v>464</v>
      </c>
      <c r="D18" s="45">
        <v>59793.0</v>
      </c>
      <c r="E18" s="56" t="s">
        <v>63</v>
      </c>
      <c r="F18" s="126">
        <v>5000.0</v>
      </c>
      <c r="G18" s="130"/>
      <c r="H18" s="215"/>
      <c r="I18" s="123"/>
      <c r="J18" s="124"/>
      <c r="K18" s="125"/>
      <c r="L18" s="52"/>
      <c r="M18" s="128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223" t="s">
        <v>65</v>
      </c>
      <c r="B19" s="54">
        <v>46053.0</v>
      </c>
      <c r="C19" s="44" t="s">
        <v>465</v>
      </c>
      <c r="D19" s="45">
        <v>105021.0</v>
      </c>
      <c r="E19" s="56" t="s">
        <v>413</v>
      </c>
      <c r="F19" s="126"/>
      <c r="G19" s="130"/>
      <c r="H19" s="215">
        <v>29500.0</v>
      </c>
      <c r="I19" s="123"/>
      <c r="J19" s="124"/>
      <c r="K19" s="125"/>
      <c r="L19" s="52"/>
      <c r="M19" s="128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 t="s">
        <v>68</v>
      </c>
      <c r="B20" s="54">
        <v>46053.0</v>
      </c>
      <c r="C20" s="44" t="s">
        <v>466</v>
      </c>
      <c r="D20" s="45">
        <v>105021.0</v>
      </c>
      <c r="E20" s="56" t="s">
        <v>413</v>
      </c>
      <c r="F20" s="126"/>
      <c r="G20" s="130"/>
      <c r="H20" s="215">
        <v>20000.0</v>
      </c>
      <c r="I20" s="123"/>
      <c r="J20" s="124"/>
      <c r="K20" s="125"/>
      <c r="L20" s="52"/>
      <c r="M20" s="128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223" t="s">
        <v>71</v>
      </c>
      <c r="B21" s="54">
        <v>46053.0</v>
      </c>
      <c r="C21" s="44" t="s">
        <v>467</v>
      </c>
      <c r="D21" s="45">
        <v>105021.0</v>
      </c>
      <c r="E21" s="56" t="s">
        <v>413</v>
      </c>
      <c r="F21" s="126"/>
      <c r="G21" s="130"/>
      <c r="H21" s="215">
        <v>5000.0</v>
      </c>
      <c r="I21" s="123"/>
      <c r="J21" s="124"/>
      <c r="K21" s="125"/>
      <c r="L21" s="52"/>
      <c r="M21" s="128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16" t="s">
        <v>265</v>
      </c>
      <c r="B22" s="54">
        <v>46053.0</v>
      </c>
      <c r="C22" s="44" t="s">
        <v>468</v>
      </c>
      <c r="D22" s="45">
        <v>62538.0</v>
      </c>
      <c r="E22" s="56" t="s">
        <v>469</v>
      </c>
      <c r="F22" s="126"/>
      <c r="G22" s="130"/>
      <c r="H22" s="215">
        <v>4600.0</v>
      </c>
      <c r="I22" s="123"/>
      <c r="J22" s="124"/>
      <c r="K22" s="125"/>
      <c r="L22" s="52"/>
      <c r="M22" s="128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customHeight="1">
      <c r="A23" s="223" t="s">
        <v>268</v>
      </c>
      <c r="B23" s="54">
        <v>46053.0</v>
      </c>
      <c r="C23" s="44" t="s">
        <v>470</v>
      </c>
      <c r="D23" s="45">
        <v>105021.0</v>
      </c>
      <c r="E23" s="56" t="s">
        <v>413</v>
      </c>
      <c r="F23" s="126"/>
      <c r="G23" s="130"/>
      <c r="H23" s="215">
        <v>113400.0</v>
      </c>
      <c r="I23" s="123"/>
      <c r="J23" s="124"/>
      <c r="K23" s="125"/>
      <c r="L23" s="52"/>
      <c r="M23" s="128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16" t="s">
        <v>271</v>
      </c>
      <c r="B24" s="54">
        <v>46053.0</v>
      </c>
      <c r="C24" s="44" t="s">
        <v>471</v>
      </c>
      <c r="D24" s="45">
        <v>105021.0</v>
      </c>
      <c r="E24" s="56" t="s">
        <v>413</v>
      </c>
      <c r="F24" s="126"/>
      <c r="G24" s="130"/>
      <c r="H24" s="215">
        <v>10050.0</v>
      </c>
      <c r="I24" s="123"/>
      <c r="J24" s="124"/>
      <c r="K24" s="125"/>
      <c r="L24" s="52"/>
      <c r="M24" s="128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customHeight="1">
      <c r="A25" s="16" t="s">
        <v>274</v>
      </c>
      <c r="B25" s="54">
        <v>46053.0</v>
      </c>
      <c r="C25" s="44" t="s">
        <v>472</v>
      </c>
      <c r="D25" s="45">
        <v>10311.0</v>
      </c>
      <c r="E25" s="56" t="s">
        <v>473</v>
      </c>
      <c r="F25" s="126"/>
      <c r="G25" s="130"/>
      <c r="H25" s="215">
        <v>640.0</v>
      </c>
      <c r="I25" s="123"/>
      <c r="J25" s="124"/>
      <c r="K25" s="125"/>
      <c r="L25" s="52"/>
      <c r="M25" s="128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customHeight="1">
      <c r="A26" s="223" t="s">
        <v>275</v>
      </c>
      <c r="B26" s="54"/>
      <c r="C26" s="44"/>
      <c r="D26" s="45"/>
      <c r="E26" s="56"/>
      <c r="F26" s="126"/>
      <c r="G26" s="130"/>
      <c r="H26" s="131"/>
      <c r="I26" s="123"/>
      <c r="J26" s="124"/>
      <c r="K26" s="125"/>
      <c r="L26" s="52"/>
      <c r="M26" s="128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hidden="1" customHeight="1">
      <c r="A27" s="16" t="s">
        <v>276</v>
      </c>
      <c r="B27" s="54"/>
      <c r="C27" s="44"/>
      <c r="D27" s="45"/>
      <c r="E27" s="56"/>
      <c r="F27" s="126"/>
      <c r="G27" s="130"/>
      <c r="H27" s="131"/>
      <c r="I27" s="123"/>
      <c r="J27" s="124"/>
      <c r="K27" s="125"/>
      <c r="L27" s="52"/>
      <c r="M27" s="128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hidden="1" customHeight="1">
      <c r="A28" s="223" t="s">
        <v>277</v>
      </c>
      <c r="B28" s="54"/>
      <c r="C28" s="44"/>
      <c r="D28" s="45"/>
      <c r="E28" s="56"/>
      <c r="F28" s="126"/>
      <c r="G28" s="130"/>
      <c r="H28" s="131"/>
      <c r="I28" s="123"/>
      <c r="J28" s="124"/>
      <c r="K28" s="125"/>
      <c r="L28" s="52"/>
      <c r="M28" s="128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hidden="1" customHeight="1">
      <c r="A29" s="16" t="s">
        <v>278</v>
      </c>
      <c r="B29" s="54"/>
      <c r="C29" s="44"/>
      <c r="D29" s="45"/>
      <c r="E29" s="56"/>
      <c r="F29" s="126"/>
      <c r="G29" s="130"/>
      <c r="H29" s="131"/>
      <c r="I29" s="123"/>
      <c r="J29" s="124"/>
      <c r="K29" s="125"/>
      <c r="L29" s="52"/>
      <c r="M29" s="128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hidden="1" customHeight="1">
      <c r="A30" s="223" t="s">
        <v>279</v>
      </c>
      <c r="B30" s="54"/>
      <c r="C30" s="44"/>
      <c r="D30" s="45"/>
      <c r="E30" s="56"/>
      <c r="F30" s="126"/>
      <c r="G30" s="130"/>
      <c r="H30" s="131"/>
      <c r="I30" s="123"/>
      <c r="J30" s="124"/>
      <c r="K30" s="125"/>
      <c r="L30" s="52"/>
      <c r="M30" s="128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hidden="1" customHeight="1">
      <c r="A31" s="16" t="s">
        <v>280</v>
      </c>
      <c r="B31" s="54"/>
      <c r="C31" s="44"/>
      <c r="D31" s="45"/>
      <c r="E31" s="56"/>
      <c r="F31" s="126"/>
      <c r="G31" s="130"/>
      <c r="H31" s="131"/>
      <c r="I31" s="123"/>
      <c r="J31" s="124"/>
      <c r="K31" s="125"/>
      <c r="L31" s="52"/>
      <c r="M31" s="128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hidden="1" customHeight="1">
      <c r="A32" s="223" t="s">
        <v>281</v>
      </c>
      <c r="B32" s="54"/>
      <c r="C32" s="44"/>
      <c r="D32" s="45"/>
      <c r="E32" s="56"/>
      <c r="F32" s="126"/>
      <c r="G32" s="130"/>
      <c r="H32" s="131"/>
      <c r="I32" s="123"/>
      <c r="J32" s="124"/>
      <c r="K32" s="125"/>
      <c r="L32" s="52"/>
      <c r="M32" s="128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hidden="1" customHeight="1">
      <c r="A33" s="16" t="s">
        <v>282</v>
      </c>
      <c r="B33" s="54"/>
      <c r="C33" s="44"/>
      <c r="D33" s="45"/>
      <c r="E33" s="56"/>
      <c r="F33" s="126"/>
      <c r="G33" s="130"/>
      <c r="H33" s="131"/>
      <c r="I33" s="123"/>
      <c r="J33" s="124"/>
      <c r="K33" s="125"/>
      <c r="L33" s="52"/>
      <c r="M33" s="128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hidden="1" customHeight="1">
      <c r="A34" s="16" t="s">
        <v>283</v>
      </c>
      <c r="B34" s="54"/>
      <c r="C34" s="44"/>
      <c r="D34" s="45"/>
      <c r="E34" s="56"/>
      <c r="F34" s="126"/>
      <c r="G34" s="130"/>
      <c r="H34" s="131"/>
      <c r="I34" s="123"/>
      <c r="J34" s="124"/>
      <c r="K34" s="125"/>
      <c r="L34" s="52"/>
      <c r="M34" s="128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49.5" hidden="1" customHeight="1">
      <c r="A35" s="223" t="s">
        <v>284</v>
      </c>
      <c r="B35" s="54"/>
      <c r="C35" s="44"/>
      <c r="D35" s="45"/>
      <c r="E35" s="56"/>
      <c r="F35" s="126"/>
      <c r="G35" s="130"/>
      <c r="H35" s="131"/>
      <c r="I35" s="123"/>
      <c r="J35" s="124"/>
      <c r="K35" s="125"/>
      <c r="L35" s="52"/>
      <c r="M35" s="128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49.5" hidden="1" customHeight="1">
      <c r="A36" s="16" t="s">
        <v>285</v>
      </c>
      <c r="B36" s="103"/>
      <c r="C36" s="75"/>
      <c r="D36" s="76"/>
      <c r="E36" s="77"/>
      <c r="F36" s="130"/>
      <c r="G36" s="130"/>
      <c r="H36" s="131"/>
      <c r="I36" s="123"/>
      <c r="J36" s="124"/>
      <c r="K36" s="132"/>
      <c r="L36" s="52"/>
      <c r="M36" s="133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49.5" hidden="1" customHeight="1">
      <c r="A37" s="223" t="s">
        <v>286</v>
      </c>
      <c r="B37" s="103"/>
      <c r="C37" s="75"/>
      <c r="D37" s="76"/>
      <c r="E37" s="77"/>
      <c r="F37" s="130"/>
      <c r="G37" s="130"/>
      <c r="H37" s="131"/>
      <c r="I37" s="123"/>
      <c r="J37" s="124"/>
      <c r="K37" s="132"/>
      <c r="L37" s="52"/>
      <c r="M37" s="133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49.5" hidden="1" customHeight="1">
      <c r="A38" s="16" t="s">
        <v>287</v>
      </c>
      <c r="B38" s="103"/>
      <c r="C38" s="75"/>
      <c r="D38" s="76"/>
      <c r="E38" s="77"/>
      <c r="F38" s="134"/>
      <c r="G38" s="130"/>
      <c r="H38" s="135"/>
      <c r="I38" s="123"/>
      <c r="J38" s="136"/>
      <c r="K38" s="137"/>
      <c r="L38" s="59"/>
      <c r="M38" s="133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49.5" customHeight="1">
      <c r="A39" s="78"/>
      <c r="B39" s="2"/>
      <c r="C39" s="2"/>
      <c r="D39" s="2"/>
      <c r="E39" s="3"/>
      <c r="F39" s="79">
        <f t="shared" ref="F39:J39" si="1">SUM(F4:F38)</f>
        <v>61150</v>
      </c>
      <c r="G39" s="79">
        <f t="shared" si="1"/>
        <v>6200</v>
      </c>
      <c r="H39" s="79">
        <f t="shared" si="1"/>
        <v>213790</v>
      </c>
      <c r="I39" s="79">
        <f t="shared" si="1"/>
        <v>0</v>
      </c>
      <c r="J39" s="79">
        <f t="shared" si="1"/>
        <v>0</v>
      </c>
      <c r="K39" s="80"/>
      <c r="L39" s="80"/>
      <c r="M39" s="81"/>
    </row>
    <row r="40" ht="48.0" customHeight="1">
      <c r="F40" s="82">
        <f>F39+G39+H39+I39+J39</f>
        <v>281140</v>
      </c>
      <c r="G40" s="2"/>
      <c r="H40" s="2"/>
      <c r="I40" s="2"/>
      <c r="J40" s="3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mergeCells count="12">
    <mergeCell ref="K2:K3"/>
    <mergeCell ref="L2:L3"/>
    <mergeCell ref="A39:E39"/>
    <mergeCell ref="F40:J40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38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
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.. 30-12-50169" sheetId="1" r:id="rId4"/>
    <sheet state="visible" name="2-2-69" sheetId="2" r:id="rId5"/>
    <sheet state="visible" name="3-2-69" sheetId="3" r:id="rId6"/>
    <sheet state="visible" name="4-2-69" sheetId="4" r:id="rId7"/>
    <sheet state="visible" name="5-2-69" sheetId="5" r:id="rId8"/>
    <sheet state="visible" name="6-2-69" sheetId="6" r:id="rId9"/>
    <sheet state="visible" name="7-2-69" sheetId="7" r:id="rId10"/>
    <sheet state="visible" name="8-2-69" sheetId="8" r:id="rId11"/>
    <sheet state="visible" name="9-2-69" sheetId="9" r:id="rId12"/>
    <sheet state="visible" name="10-2-69" sheetId="10" r:id="rId13"/>
    <sheet state="visible" name="11-2-69" sheetId="11" r:id="rId14"/>
    <sheet state="visible" name="12-2-69" sheetId="12" r:id="rId15"/>
    <sheet state="visible" name="13-2-69" sheetId="13" r:id="rId16"/>
    <sheet state="visible" name="14-2-69" sheetId="14" r:id="rId17"/>
    <sheet state="visible" name="15-2-69" sheetId="15" r:id="rId18"/>
    <sheet state="visible" name="16-2-69" sheetId="16" r:id="rId19"/>
    <sheet state="visible" name="17-2-69" sheetId="17" r:id="rId20"/>
    <sheet state="visible" name="18.2-69" sheetId="18" r:id="rId21"/>
    <sheet state="visible" name="19.2-69" sheetId="19" r:id="rId22"/>
    <sheet state="visible" name="20.2-69" sheetId="20" r:id="rId23"/>
    <sheet state="visible" name="21.2-69" sheetId="21" r:id="rId24"/>
    <sheet state="visible" name="22.2-69" sheetId="22" r:id="rId25"/>
    <sheet state="visible" name="23.2-69" sheetId="23" r:id="rId26"/>
    <sheet state="visible" name="24.2-69" sheetId="24" r:id="rId27"/>
    <sheet state="visible" name="25.2-69" sheetId="25" r:id="rId28"/>
    <sheet state="visible" name="26.2-69" sheetId="26" r:id="rId29"/>
    <sheet state="visible" name="27.2-69" sheetId="27" r:id="rId30"/>
    <sheet state="visible" name="28.2-69" sheetId="28" r:id="rId31"/>
  </sheets>
  <definedNames/>
  <calcPr/>
  <extLst>
    <ext uri="GoogleSheetsCustomDataVersion2">
      <go:sheetsCustomData xmlns:go="http://customooxmlschemas.google.com/" r:id="rId32" roundtripDataChecksum="IsGx3M/eO3tAOjmzN3eRVhw0/E0V+LRa7vK9UYNjOmM="/>
    </ext>
  </extLst>
</workbook>
</file>

<file path=xl/sharedStrings.xml><?xml version="1.0" encoding="utf-8"?>
<sst xmlns="http://schemas.openxmlformats.org/spreadsheetml/2006/main" count="1578" uniqueCount="325">
  <si>
    <t xml:space="preserve">              สรุปยอด บิลออนไลน์  จัดส่ง / นำเข้า DP ดึงตั้งแต่  31  มกราคม  2568 - 1 กุมภาพันธ์ 2569                                                                                           </t>
  </si>
  <si>
    <t>ลำดับ</t>
  </si>
  <si>
    <t>วันที่ซื้อ</t>
  </si>
  <si>
    <t>เลขที่บิล</t>
  </si>
  <si>
    <t>รหัสผู้ซื้อ</t>
  </si>
  <si>
    <t xml:space="preserve">ชื่อผู้ซื้อ </t>
  </si>
  <si>
    <t>จำนวนเงิน</t>
  </si>
  <si>
    <t>สาขา</t>
  </si>
  <si>
    <t>เวลา</t>
  </si>
  <si>
    <t>หมายเหตุ</t>
  </si>
  <si>
    <t>ONLINE</t>
  </si>
  <si>
    <t>e-wallet</t>
  </si>
  <si>
    <t>QR</t>
  </si>
  <si>
    <t>หักคอม</t>
  </si>
  <si>
    <t>arp (usd)</t>
  </si>
  <si>
    <t>1</t>
  </si>
  <si>
    <t>STHONLIN2601007708</t>
  </si>
  <si>
    <t>นางสาว ภูว์ศรีลักษณ์ โพธิ์ศรีรัตนบุศย์</t>
  </si>
  <si>
    <t>รับเอง กทม.</t>
  </si>
  <si>
    <t>2</t>
  </si>
  <si>
    <t>STHONLIN2601007709</t>
  </si>
  <si>
    <t>นาย สุเมธ จันทร์งาม</t>
  </si>
  <si>
    <t>3</t>
  </si>
  <si>
    <t>STHONLIN2601007792</t>
  </si>
  <si>
    <t>ฉันทิศ บุปผาคำ</t>
  </si>
  <si>
    <t>4</t>
  </si>
  <si>
    <t>STHONLIN2602000051</t>
  </si>
  <si>
    <t>นาง ฐปนจันทร์ ยศตรีสรณ์</t>
  </si>
  <si>
    <t>5</t>
  </si>
  <si>
    <t>STHONLIN2602000052</t>
  </si>
  <si>
    <t>6</t>
  </si>
  <si>
    <t>STHONLIN2602000053</t>
  </si>
  <si>
    <t>7</t>
  </si>
  <si>
    <t>STHONLIN2602000055</t>
  </si>
  <si>
    <t>Mr. FREDERICK BALOKO</t>
  </si>
  <si>
    <t>8</t>
  </si>
  <si>
    <t>STHONLIN2602000057</t>
  </si>
  <si>
    <t>นางสาว อัณณา  อมรเรืองพิศา</t>
  </si>
  <si>
    <t>9</t>
  </si>
  <si>
    <t>STHONLIN2602000060</t>
  </si>
  <si>
    <t>จัดส่ง DP</t>
  </si>
  <si>
    <t>10</t>
  </si>
  <si>
    <t>STHONLIN2602000062</t>
  </si>
  <si>
    <t>นาง วิชญ์ชยา ภูธนโรจน์สิริ</t>
  </si>
  <si>
    <t>11</t>
  </si>
  <si>
    <t>STHONLIN2602000070</t>
  </si>
  <si>
    <t>นาย โชติพงษ์ ณ เชียงรุ้ง</t>
  </si>
  <si>
    <t>12</t>
  </si>
  <si>
    <t>STHONLIN2602000077</t>
  </si>
  <si>
    <t>นาย สุวชัช  อมตวงษ์</t>
  </si>
  <si>
    <t>13</t>
  </si>
  <si>
    <t>STHONLIN2602000080</t>
  </si>
  <si>
    <t>นางสาว เติมสุข ทองเนื้อห้า</t>
  </si>
  <si>
    <t>14</t>
  </si>
  <si>
    <t>15</t>
  </si>
  <si>
    <t>จัดส่ง กทม.</t>
  </si>
  <si>
    <t>16</t>
  </si>
  <si>
    <t>17</t>
  </si>
  <si>
    <t>18</t>
  </si>
  <si>
    <t xml:space="preserve">              สรุปยอด บิลออนไลน์  จัดส่ง / นำเข้า DP ดึงตั้งแต่   2  กุมภาพันธ์  2568                                                                                                </t>
  </si>
  <si>
    <t>STHONLIN2602000141</t>
  </si>
  <si>
    <t>บริษัท โคบาราเอฟโวลูชั่น (ประเทศไทย)จำกัด ( สำนักงานใหญ่ )</t>
  </si>
  <si>
    <t>BKK</t>
  </si>
  <si>
    <t>STHONLIN2602000142</t>
  </si>
  <si>
    <t>STHONLIN2602000143</t>
  </si>
  <si>
    <t>นางสาว พัชรมณฑ์ พรมทา</t>
  </si>
  <si>
    <t>รับเอง DP</t>
  </si>
  <si>
    <t xml:space="preserve">              สรุปยอด บิลออนไลน์  จัดส่ง / นำเข้า DP ดึงตั้งแต่   3  กุมภาพันธ์  2568                                                                                                </t>
  </si>
  <si>
    <t>STHONLIN2602000447</t>
  </si>
  <si>
    <t>วริชศ์ ยืนยงวิวัฒน์</t>
  </si>
  <si>
    <t>STHONLIN2602000448</t>
  </si>
  <si>
    <t>นาย สาธิต คำรังษี</t>
  </si>
  <si>
    <t>STHONLIN2602000452</t>
  </si>
  <si>
    <t>บริษัท ดีเวย์ ริชคอร์ป จำกัด(สำนักงานใหญ่)</t>
  </si>
  <si>
    <t>STHONLIN2602000498</t>
  </si>
  <si>
    <t>นาย ปริญพัชร์ ศรีศุภณัฐธนากุล</t>
  </si>
  <si>
    <t xml:space="preserve">              สรุปยอด บิลออนไลน์  จัดส่ง / นำเข้า DP ดึงตั้งแต่   4  กุมภาพันธ์  2568                                                                                                </t>
  </si>
  <si>
    <t>STHONLIN2602000528</t>
  </si>
  <si>
    <t>นาย อนุสรณ์ ศรีสุวรรณ</t>
  </si>
  <si>
    <t>STHONLIN2602000535</t>
  </si>
  <si>
    <t>ศิริชฎวกร. ศรีสุข</t>
  </si>
  <si>
    <t>STHONLIN2602000567</t>
  </si>
  <si>
    <t>Mr. MR DONALDSON YIKIEOPEH NOTIENJENG</t>
  </si>
  <si>
    <t>STHONLIN2602000576</t>
  </si>
  <si>
    <t>นางสาว สายพิน  สวนจันทร์</t>
  </si>
  <si>
    <t>STHONLIN2602000698</t>
  </si>
  <si>
    <t>บริษัท  ต.ศรีโสภณ จำกัด (สำนักงานใหญ่)</t>
  </si>
  <si>
    <t>STHONLIN2602000699</t>
  </si>
  <si>
    <t>นางสาว ธนพรรษ​ ยี่ภู</t>
  </si>
  <si>
    <t xml:space="preserve">              สรุปยอด บิลออนไลน์  จัดส่ง / นำเข้า DP ดึงตั้งแต่   5  กุมภาพันธ์  2568                                                                                                </t>
  </si>
  <si>
    <t>STHONLIN2602000982</t>
  </si>
  <si>
    <t>บริษัท สยามทวีทิพย์ จำกัด(สำนักงานใหญ่)</t>
  </si>
  <si>
    <t>STHONLIN2602000983</t>
  </si>
  <si>
    <t>STHONLIN2602001003</t>
  </si>
  <si>
    <t>Mr. Mr. NGWA MULUH CHARLES</t>
  </si>
  <si>
    <t>STHONLIN2602001004</t>
  </si>
  <si>
    <t>MR. FONGONG KELVIN</t>
  </si>
  <si>
    <t>STHONLIN2602001030</t>
  </si>
  <si>
    <t>WIRBA CHRISTINA SHIYNYUY</t>
  </si>
  <si>
    <t>STHONLIN2602001062</t>
  </si>
  <si>
    <t>เนตรชนก จิตรเกษมสำราญ</t>
  </si>
  <si>
    <t xml:space="preserve">              สรุปยอด บิลออนไลน์  จัดส่ง / นำเข้า DP ดึงตั้งแต่   6  กุมภาพันธ์  2568                                                                                                </t>
  </si>
  <si>
    <t>STHONLIN2602001255</t>
  </si>
  <si>
    <t>STHONLIN2602001275</t>
  </si>
  <si>
    <t>นาย ณรงค์ชัย บุญจันทร์</t>
  </si>
  <si>
    <t>STHONLIN2602001276</t>
  </si>
  <si>
    <t>นาง ทูนศรี บัวนุช</t>
  </si>
  <si>
    <t>STHONLIN2602001288</t>
  </si>
  <si>
    <t>นาย อนันต์กฤช เต็มศิริพันธุ์</t>
  </si>
  <si>
    <t>STHONLIN2602001367</t>
  </si>
  <si>
    <t>ปุณรดา จิตรเกษมสำราญ</t>
  </si>
  <si>
    <t>STHONLIN2602001383</t>
  </si>
  <si>
    <t>นาง เนตรชนก จิตรเกษมสำราญ</t>
  </si>
  <si>
    <t xml:space="preserve">              สรุปยอด บิลออนไลน์  จัดส่ง / นำเข้า DP ดึงตั้งแต่   7  กุมภาพันธ์  2568                                                                                                </t>
  </si>
  <si>
    <t>STHONLIN2602001413</t>
  </si>
  <si>
    <t>นาง วนิดา รอบคอบ</t>
  </si>
  <si>
    <t>STHONLIN2602001417</t>
  </si>
  <si>
    <t>นาย ธนบูลย์ แสงฐิตาพันธุ์</t>
  </si>
  <si>
    <t>STHONLIN2602001506</t>
  </si>
  <si>
    <t>นาง นันทณา พิมใจใส</t>
  </si>
  <si>
    <t xml:space="preserve">              สรุปยอด บิลออนไลน์  จัดส่ง / นำเข้า DP ดึงตั้งแต่   8  กุมภาพันธ์  2568                                                                                                </t>
  </si>
  <si>
    <t>STHONLIN2602001525</t>
  </si>
  <si>
    <t>STHONLIN2602001559</t>
  </si>
  <si>
    <t>NUMVI WILSON</t>
  </si>
  <si>
    <t>STHONLIN2602001623</t>
  </si>
  <si>
    <t>NB</t>
  </si>
  <si>
    <t>STHONLIN2602001624</t>
  </si>
  <si>
    <t>นาย สาธิต  สุขรี</t>
  </si>
  <si>
    <t>STHONLIN2602001641</t>
  </si>
  <si>
    <t>นาย สมเกียรติ วงษ์ปลั่ง</t>
  </si>
  <si>
    <t xml:space="preserve">              สรุปยอด บิลออนไลน์  จัดส่ง / นำเข้า DP ดึงตั้งแต่   9  กุมภาพันธ์  2568                                                                                                </t>
  </si>
  <si>
    <t>STHONLIN2602001654</t>
  </si>
  <si>
    <t>Mr. Mr. Boya JOSEPH</t>
  </si>
  <si>
    <t>STHONLIN2602001753</t>
  </si>
  <si>
    <t>ห้างหุ้นส่วน โกรท โกลเบิล เน็ตเวิร์ก (สำนักงานใหญ่)</t>
  </si>
  <si>
    <t>STHONLIN2602001757</t>
  </si>
  <si>
    <t>ห้างหุ้นส่วน ไดม่อนอันดามัน เน็ตเวิร์ค  (สำนักงานใหญ่)</t>
  </si>
  <si>
    <t>STHONLIN2602001758</t>
  </si>
  <si>
    <t>นาง สมหมาย จิรรัตน์พิทักษ์</t>
  </si>
  <si>
    <t>STHONLIN2602001759</t>
  </si>
  <si>
    <t>นาย พชร จิรรัตน์พิทักษ์</t>
  </si>
  <si>
    <t xml:space="preserve">              สรุปยอด บิลออนไลน์  จัดส่ง / นำเข้า DP ดึงตั้งแต่   10  กุมภาพันธ์  2568                                                                                                </t>
  </si>
  <si>
    <t>STHONLIN2602001976</t>
  </si>
  <si>
    <t>11.22 น.</t>
  </si>
  <si>
    <t xml:space="preserve">              สรุปยอด บิลออนไลน์  จัดส่ง / นำเข้า DP ดึงตั้งแต่   11  กุมภาพันธ์  2568                                                                                                </t>
  </si>
  <si>
    <t>STHONLIN2602002223</t>
  </si>
  <si>
    <t>STHONLIN2602002234</t>
  </si>
  <si>
    <t>นาย ชาตรี สองศรี</t>
  </si>
  <si>
    <t>STHONLIN2602002235</t>
  </si>
  <si>
    <t>นาย พีรพงศ์ ภรประเสริฐศรี</t>
  </si>
  <si>
    <t xml:space="preserve">              สรุปยอด บิลออนไลน์  จัดส่ง / นำเข้า DP ดึงตั้งแต่   12  กุมภาพันธ์  2568                                                                                                </t>
  </si>
  <si>
    <t>STHONLIN2602002334</t>
  </si>
  <si>
    <t>Mr. Godwin Amanui Ngongang</t>
  </si>
  <si>
    <t>STHONLIN2602002424</t>
  </si>
  <si>
    <t>นางสาว กาญจนา บุญเกษม</t>
  </si>
  <si>
    <t>STHONLIN2602002427</t>
  </si>
  <si>
    <t>STHONLIN2602002430</t>
  </si>
  <si>
    <t>STHONLIN2602002443</t>
  </si>
  <si>
    <t>นางสาว ภัทรนุช กุลทนันท์</t>
  </si>
  <si>
    <t>STHONLIN2602002444</t>
  </si>
  <si>
    <t>นาย เก่งภพ ศุภาภพปภาส</t>
  </si>
  <si>
    <t>STHONLIN2602002446</t>
  </si>
  <si>
    <t>MUFU GODWIN</t>
  </si>
  <si>
    <t>STHONLIN2602002448</t>
  </si>
  <si>
    <t>นาง ธนิตา ชูศรี</t>
  </si>
  <si>
    <t>STHONLIN2602002452</t>
  </si>
  <si>
    <t>Alphonse Yemsilack</t>
  </si>
  <si>
    <t xml:space="preserve">              สรุปยอด บิลออนไลน์  จัดส่ง / นำเข้า DP ดึงตั้งแต่   13  กุมภาพันธ์  2568                                                                                                </t>
  </si>
  <si>
    <t>STHONLIN2602002535</t>
  </si>
  <si>
    <t>Ms. CLARISSE DUSENGE</t>
  </si>
  <si>
    <t>STHONLIN2602002537</t>
  </si>
  <si>
    <t>นาย กิตติ์นิพัทธ์ ไชยเมือง</t>
  </si>
  <si>
    <t>STHONLIN2602002538</t>
  </si>
  <si>
    <t>STHONLIN2602002621</t>
  </si>
  <si>
    <t>STHONLIN2602002622</t>
  </si>
  <si>
    <t xml:space="preserve">              สรุปยอด บิลออนไลน์  จัดส่ง / นำเข้า DP ดึงตั้งแต่   14  กุมภาพันธ์  2568                                                                                                </t>
  </si>
  <si>
    <t>STHONLIN2602002838</t>
  </si>
  <si>
    <t>STHONLIN2602002839</t>
  </si>
  <si>
    <t>Ms. Baloko Victory Emeli</t>
  </si>
  <si>
    <t>STHONLIN2602002878</t>
  </si>
  <si>
    <t>นาย สิปปภาส  โรจนวสุธร</t>
  </si>
  <si>
    <t>STHONLIN2602002880</t>
  </si>
  <si>
    <t>นางสาว ลำใย  เจริญศิริ</t>
  </si>
  <si>
    <t xml:space="preserve">              สรุปยอด บิลออนไลน์  จัดส่ง / นำเข้า DP ดึงตั้งแต่   15  กุมภาพันธ์  2568                                                                                                </t>
  </si>
  <si>
    <t>STHONLIN2602002989</t>
  </si>
  <si>
    <t>STHONLIN2602002990</t>
  </si>
  <si>
    <t>นางสาว ภรณ์ธิดา สมทอง</t>
  </si>
  <si>
    <t>STHONLIN2602002991</t>
  </si>
  <si>
    <t>Njabe Julius Afanyu</t>
  </si>
  <si>
    <t>STHONLIN2602002999</t>
  </si>
  <si>
    <t>นาย ทนงศักดิ์ ศิษย์พุทธธรรม</t>
  </si>
  <si>
    <t>STHONLIN2602003003</t>
  </si>
  <si>
    <t>Mr. DIALLO MAMADOU ABDOULAYE</t>
  </si>
  <si>
    <t xml:space="preserve">              สรุปยอด บิลออนไลน์  จัดส่ง / นำเข้า DP ดึงตั้งแต่   16  กุมภาพันธ์  2568                                                                                                </t>
  </si>
  <si>
    <t>STHONLIN2602003042</t>
  </si>
  <si>
    <t>ธนพล  ปะตะคามินทร์</t>
  </si>
  <si>
    <t>STHONLIN2602003117</t>
  </si>
  <si>
    <t>STHONLIN2602003122</t>
  </si>
  <si>
    <t>STHONLIN2602003126</t>
  </si>
  <si>
    <t>STHONLIN2602003127</t>
  </si>
  <si>
    <t>นาย จักรพรรณ เทียนเจริญ</t>
  </si>
  <si>
    <t>STHONLIN2602003182</t>
  </si>
  <si>
    <t>บริษัท เอ.ซี.พี.เค จำกัด (สำนักงานใหญ่)</t>
  </si>
  <si>
    <t xml:space="preserve">              สรุปยอด บิลออนไลน์  จัดส่ง / นำเข้า DP ดึงตั้งแต่   17  กุมภาพันธ์  2568                                                                                                </t>
  </si>
  <si>
    <t>STHONLIN2602003216</t>
  </si>
  <si>
    <t>STHONLIN2602003225</t>
  </si>
  <si>
    <t>นาย กัมปนาท รุ่งโรจน์</t>
  </si>
  <si>
    <t>STHONLIN2602003323</t>
  </si>
  <si>
    <t>Muzamilu Lukungu</t>
  </si>
  <si>
    <t>STHONLIN2602003494</t>
  </si>
  <si>
    <t>STHONLIN2602003503</t>
  </si>
  <si>
    <t>มาเรียม   พุ่มพวง</t>
  </si>
  <si>
    <t>STHONLIN2602003505</t>
  </si>
  <si>
    <t>นาย จักรพงศ์ สินธุรักษ์</t>
  </si>
  <si>
    <t>STHONLIN2602003507</t>
  </si>
  <si>
    <t>FRACK SENY0</t>
  </si>
  <si>
    <t>STHONLIN2602003573</t>
  </si>
  <si>
    <t xml:space="preserve">              สรุปยอด บิลออนไลน์  จัดส่ง / นำเข้า DP ดึงตั้งแต่   18  กุมภาพันธ์  2568                                                                                                </t>
  </si>
  <si>
    <t>STHONLIN2602003618</t>
  </si>
  <si>
    <t>นางสาว ธัญญ์ฐิตา ฐิติไชยกิติตติ์</t>
  </si>
  <si>
    <t>STHONLIN2602003675</t>
  </si>
  <si>
    <t>TAH NGWA RALPH</t>
  </si>
  <si>
    <t xml:space="preserve">              สรุปยอด บิลออนไลน์  จัดส่ง / นำเข้า DP ดึงตั้งแต่   19  กุมภาพันธ์  2568                                                                                                </t>
  </si>
  <si>
    <t>STHONLIN2602003903</t>
  </si>
  <si>
    <t>นาง ทัศนา เลื่อมสำราญ</t>
  </si>
  <si>
    <t>STHONLIN2602003911</t>
  </si>
  <si>
    <t>นาย พรพจน์ พูนสิน</t>
  </si>
  <si>
    <t>STHONLIN2602004035</t>
  </si>
  <si>
    <t>วรนุช จันทรานุรักษ์</t>
  </si>
  <si>
    <t>STHONLIN2602004036</t>
  </si>
  <si>
    <t>MARTHA TANYI</t>
  </si>
  <si>
    <t xml:space="preserve">              สรุปยอด บิลออนไลน์  จัดส่ง / นำเข้า DP ดึงตั้งแต่   20  กุมภาพันธ์  2568                                                                                                </t>
  </si>
  <si>
    <t>STHONLIN2602004163</t>
  </si>
  <si>
    <t>NWEH HARRIET</t>
  </si>
  <si>
    <t>STHONLIN2602004241</t>
  </si>
  <si>
    <t>นาย พิเชษฐ์ มงคลศศิประภา</t>
  </si>
  <si>
    <t xml:space="preserve">              สรุปยอด บิลออนไลน์  จัดส่ง / นำเข้า DP ดึงตั้งแต่   21  กุมภาพันธ์  2568                                                                                                </t>
  </si>
  <si>
    <t>STHONLIN2602004511</t>
  </si>
  <si>
    <t>STHONLIN2602004519</t>
  </si>
  <si>
    <t>นางสาว วันเพ็ญ หนูเมือง</t>
  </si>
  <si>
    <t>STHONLIN2602004520</t>
  </si>
  <si>
    <t>นาย ธนวรรธน์  ปราชญ์เรืองนนท์</t>
  </si>
  <si>
    <t xml:space="preserve">              สรุปยอด บิลออนไลน์  จัดส่ง / นำเข้า DP ดึงตั้งแต่   22  กุมภาพันธ์  2568                                                                                                </t>
  </si>
  <si>
    <t>STHONLIN2602004612</t>
  </si>
  <si>
    <t>STHONLIN2602004613</t>
  </si>
  <si>
    <t>นาย สุวิน ไพรป่า</t>
  </si>
  <si>
    <t>STHONLIN2602004614</t>
  </si>
  <si>
    <t>นาย ธนเดช ขอดภูเขียว</t>
  </si>
  <si>
    <t>STHONLIN2602004625</t>
  </si>
  <si>
    <t>STHONLIN2602004627</t>
  </si>
  <si>
    <t>แกรนด์ วานิชสุจริต</t>
  </si>
  <si>
    <t>STHONLIN2602004635</t>
  </si>
  <si>
    <t>นาย สุรัตน์ ภูริภัทรานนท์</t>
  </si>
  <si>
    <t xml:space="preserve">              สรุปยอด บิลออนไลน์  จัดส่ง / นำเข้า DP ดึงตั้งแต่   23  กุมภาพันธ์  2568                                                                                                </t>
  </si>
  <si>
    <t>2/22/2026</t>
  </si>
  <si>
    <t>STHONLIN2602004644</t>
  </si>
  <si>
    <t>EYONG VICTOR</t>
  </si>
  <si>
    <t>STHONLIN2602004645</t>
  </si>
  <si>
    <t>TANGBE MYSTIQUE</t>
  </si>
  <si>
    <t>STHONLIN2602004646</t>
  </si>
  <si>
    <t>MARIA OJONG</t>
  </si>
  <si>
    <t>STHONLIN2602004651</t>
  </si>
  <si>
    <t>2/23/2026</t>
  </si>
  <si>
    <t>STHONLIN2602004684</t>
  </si>
  <si>
    <t>STHONLIN2602004685</t>
  </si>
  <si>
    <t>STHONLIN2602004689</t>
  </si>
  <si>
    <t>นาย ดิเรก  กรีฑา</t>
  </si>
  <si>
    <t>STHONLIN2602004694</t>
  </si>
  <si>
    <t>บี ฮัมเบิล แอนด์ เมอร์ซี กรุ๊ป  (สำนักงานใหญ่)</t>
  </si>
  <si>
    <t xml:space="preserve">              สรุปยอด บิลออนไลน์  จัดส่ง / นำเข้า DP ดึงตั้งแต่   24  กุมภาพันธ์  2568                                                                                                </t>
  </si>
  <si>
    <t>2/24/2026</t>
  </si>
  <si>
    <t>STHONLIN2602004993</t>
  </si>
  <si>
    <t>นางสาว นงพงา ตั้งฤทัยเยี่ยม</t>
  </si>
  <si>
    <t>STHONLIN2602004995</t>
  </si>
  <si>
    <t xml:space="preserve">              สรุปยอด บิลออนไลน์  จัดส่ง / นำเข้า DP ดึงตั้งแต่   25  กุมภาพันธ์  2568                                                                                                </t>
  </si>
  <si>
    <t>STHONLIN2602005251</t>
  </si>
  <si>
    <t>STHONLIN2602005252</t>
  </si>
  <si>
    <t>STHONLIN2602005256</t>
  </si>
  <si>
    <t>นางสาว ดารดี ญาณกวี</t>
  </si>
  <si>
    <t>STHONLIN2602005257</t>
  </si>
  <si>
    <t>STHONLIN2602005258</t>
  </si>
  <si>
    <t>นางสาว ธนพรรษ​ ยี่ภู่</t>
  </si>
  <si>
    <t>STHONLIN2602005262</t>
  </si>
  <si>
    <t>นาง พรติญาพร ประทุมสุวรรณ</t>
  </si>
  <si>
    <t>STHONLIN2602005279</t>
  </si>
  <si>
    <t>นาย บัญญพนต์ การะเกษ</t>
  </si>
  <si>
    <t xml:space="preserve">              สรุปยอด บิลออนไลน์  จัดส่ง / นำเข้า DP ดึงตั้งแต่   26  กุมภาพันธ์  2568                                                                                                </t>
  </si>
  <si>
    <t>STHONLIN2602005440</t>
  </si>
  <si>
    <t>STHONLIN2602005442</t>
  </si>
  <si>
    <t>STHONLIN2602005444</t>
  </si>
  <si>
    <t>STHONLIN2602005451</t>
  </si>
  <si>
    <t>STHONLIN2602005461</t>
  </si>
  <si>
    <t>STHONLIN2602005498</t>
  </si>
  <si>
    <t>นาง กัญฐ์ภิญญา จงยันต์ธนกุล</t>
  </si>
  <si>
    <t>STHONLIN2602005501</t>
  </si>
  <si>
    <t>นางสาว รวินท์รัตน์ เหลืองอ่อน</t>
  </si>
  <si>
    <t xml:space="preserve">              สรุปยอด บิลออนไลน์  จัดส่ง / นำเข้า DP ดึงตั้งแต่   27  กุมภาพันธ์  2568                                                                                                </t>
  </si>
  <si>
    <t>STHONLIN2602005565</t>
  </si>
  <si>
    <t>นางสาว สายฝน ศรีสุขใส</t>
  </si>
  <si>
    <t>STHONLIN2602005599</t>
  </si>
  <si>
    <t>STHONLIN2602005729</t>
  </si>
  <si>
    <t>STHONLIN2602005730</t>
  </si>
  <si>
    <t>Mr. Mbutuh Nvenyi Celestine</t>
  </si>
  <si>
    <t>STHONLIN2602005731</t>
  </si>
  <si>
    <t>STHONLIN2602005732</t>
  </si>
  <si>
    <t>STHONLIN2602005733</t>
  </si>
  <si>
    <t>นางสาว วันวิสาข แก้วแกมทอง</t>
  </si>
  <si>
    <t>STHONLIN2602005740</t>
  </si>
  <si>
    <t>นาย ดำรงค์ ปฏิสังข์</t>
  </si>
  <si>
    <t xml:space="preserve">              สรุปยอด บิลออนไลน์  จัดส่ง / นำเข้า DP ดึงตั้งแต่   28  กุมภาพันธ์  2568                                                                                                </t>
  </si>
  <si>
    <t>STHONLIN2602005847</t>
  </si>
  <si>
    <t>STHONLIN2602005848</t>
  </si>
  <si>
    <t>STHONLIN2602005861</t>
  </si>
  <si>
    <t>STHONLIN2602006004</t>
  </si>
  <si>
    <t>STHONLIN2602006012</t>
  </si>
  <si>
    <t>STHONLIN2602006015</t>
  </si>
  <si>
    <t>นางสาว หทัยทิพย์ ราชปะละ</t>
  </si>
  <si>
    <t>STHONLIN2602006016</t>
  </si>
  <si>
    <t>นางสาว อารียา ราชปะละ</t>
  </si>
  <si>
    <t>STHONLIN2602006024</t>
  </si>
  <si>
    <t>Mr. Willy Koech</t>
  </si>
  <si>
    <t>STHONLIN2602006068</t>
  </si>
  <si>
    <t>นางสาว พลอยณิษา สินณัฐสิทธิ์</t>
  </si>
  <si>
    <t>STHONLIN2602006076</t>
  </si>
  <si>
    <t>STHONLIN2602006077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</si>
</sst>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/M/yyyy"/>
  </numFmts>
  <fonts count="45">
    <font>
      <sz val="11.0"/>
      <color theme="1"/>
      <name val="Aptos Narrow"/>
      <scheme val="minor"/>
    </font>
    <font>
      <b/>
      <sz val="36.0"/>
      <color theme="1"/>
      <name val="Arial"/>
    </font>
    <font/>
    <font>
      <b/>
      <sz val="26.0"/>
      <color theme="1"/>
      <name val="Aptos Narrow"/>
    </font>
    <font>
      <b/>
      <sz val="19.0"/>
      <color theme="1"/>
      <name val="Arial"/>
    </font>
    <font>
      <b/>
      <sz val="19.0"/>
      <color theme="1"/>
      <name val="Aptos Narrow"/>
    </font>
    <font>
      <b/>
      <sz val="26.0"/>
      <color rgb="FF000000"/>
      <name val="Angsana New"/>
    </font>
    <font>
      <sz val="22.0"/>
      <color theme="1"/>
      <name val="Arial"/>
    </font>
    <font>
      <sz val="19.0"/>
      <color theme="1"/>
      <name val="Arial"/>
    </font>
    <font>
      <sz val="25.0"/>
      <color theme="1"/>
      <name val="Arial"/>
    </font>
    <font>
      <sz val="24.0"/>
      <color theme="1"/>
      <name val="Arial"/>
    </font>
    <font>
      <b/>
      <sz val="26.0"/>
      <color theme="1"/>
      <name val="Arial"/>
    </font>
    <font>
      <sz val="26.0"/>
      <color theme="1"/>
      <name val="Arial"/>
    </font>
    <font>
      <sz val="26.0"/>
      <color rgb="FFFF0000"/>
      <name val="Arial"/>
    </font>
    <font>
      <sz val="29.0"/>
      <color theme="1"/>
      <name val="Aptos Narrow"/>
    </font>
    <font>
      <b/>
      <sz val="29.0"/>
      <color rgb="FF000000"/>
      <name val="Angsana New"/>
    </font>
    <font>
      <sz val="18.0"/>
      <color theme="1"/>
      <name val="Arial"/>
    </font>
    <font>
      <b/>
      <sz val="18.0"/>
      <color theme="1"/>
      <name val="Arial"/>
    </font>
    <font>
      <sz val="23.0"/>
      <color theme="1"/>
      <name val="Arial"/>
    </font>
    <font>
      <sz val="24.0"/>
      <color rgb="FFFF0000"/>
      <name val="Arial"/>
    </font>
    <font>
      <b/>
      <sz val="25.0"/>
      <color theme="1"/>
      <name val="Arial"/>
    </font>
    <font>
      <b/>
      <sz val="25.0"/>
      <color theme="1"/>
      <name val="Aptos Narrow"/>
    </font>
    <font>
      <b/>
      <sz val="18.0"/>
      <color rgb="FFFF0000"/>
      <name val="Arial"/>
    </font>
    <font>
      <b/>
      <sz val="23.0"/>
      <color theme="1"/>
      <name val="Arial"/>
    </font>
    <font>
      <b/>
      <sz val="29.0"/>
      <color rgb="FFFF0000"/>
      <name val="Arial"/>
    </font>
    <font>
      <sz val="21.0"/>
      <color theme="1"/>
      <name val="Arial"/>
    </font>
    <font>
      <b/>
      <sz val="21.0"/>
      <color theme="1"/>
      <name val="Arial"/>
    </font>
    <font>
      <sz val="28.0"/>
      <color theme="1"/>
      <name val="Angsana New"/>
    </font>
    <font>
      <b/>
      <sz val="44.0"/>
      <color rgb="FFFF0000"/>
      <name val="Angsana New"/>
    </font>
    <font>
      <b/>
      <sz val="36.0"/>
      <color rgb="FFFF0000"/>
      <name val="Angsana New"/>
    </font>
    <font>
      <b/>
      <sz val="28.0"/>
      <color rgb="FFFF0000"/>
      <name val="Angsana New"/>
    </font>
    <font>
      <sz val="27.0"/>
      <color theme="1"/>
      <name val="Arial"/>
    </font>
    <font>
      <b/>
      <sz val="27.0"/>
      <color theme="1"/>
      <name val="Arial"/>
    </font>
    <font>
      <sz val="27.0"/>
      <color rgb="FFFF0000"/>
      <name val="Arial"/>
    </font>
    <font>
      <b/>
      <sz val="24.0"/>
      <color theme="1"/>
      <name val="Aptos Narrow"/>
    </font>
    <font>
      <sz val="26.0"/>
      <color rgb="FF000000"/>
      <name val="Arial"/>
    </font>
    <font>
      <b/>
      <sz val="24.0"/>
      <color theme="1"/>
      <name val="Arial"/>
    </font>
    <font>
      <b/>
      <sz val="26.0"/>
      <color rgb="FF000000"/>
      <name val="Arial"/>
    </font>
    <font>
      <sz val="19.0"/>
      <color rgb="FFFF0000"/>
      <name val="Arial"/>
    </font>
    <font>
      <sz val="14.0"/>
      <color theme="1"/>
      <name val="Arial"/>
    </font>
    <font>
      <color theme="1"/>
      <name val="Arial"/>
    </font>
    <font>
      <sz val="22.0"/>
      <color rgb="FFFF0000"/>
      <name val="Arial"/>
    </font>
    <font>
      <sz val="22.0"/>
      <color rgb="FF000000"/>
      <name val="Arial"/>
    </font>
    <font>
      <sz val="20.0"/>
      <color theme="1"/>
      <name val="Arial"/>
    </font>
    <font>
      <b/>
      <sz val="20.0"/>
      <color theme="1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95DCF7"/>
        <bgColor rgb="FF95DCF7"/>
      </patternFill>
    </fill>
    <fill>
      <patternFill patternType="solid">
        <fgColor rgb="FFD9F2D0"/>
        <bgColor rgb="FFD9F2D0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AE2D5"/>
        <bgColor rgb="FFFAE2D5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EFEFEF"/>
        <bgColor rgb="FFEFEFEF"/>
      </patternFill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1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center"/>
    </xf>
    <xf borderId="5" fillId="3" fontId="3" numFmtId="0" xfId="0" applyAlignment="1" applyBorder="1" applyFont="1">
      <alignment horizontal="center" vertical="center"/>
    </xf>
    <xf borderId="1" fillId="3" fontId="3" numFmtId="0" xfId="0" applyAlignment="1" applyBorder="1" applyFont="1">
      <alignment horizontal="center" vertical="center"/>
    </xf>
    <xf borderId="6" fillId="3" fontId="3" numFmtId="0" xfId="0" applyAlignment="1" applyBorder="1" applyFont="1">
      <alignment horizontal="center" vertical="center"/>
    </xf>
    <xf borderId="7" fillId="0" fontId="2" numFmtId="0" xfId="0" applyBorder="1" applyFont="1"/>
    <xf borderId="8" fillId="0" fontId="2" numFmtId="0" xfId="0" applyBorder="1" applyFont="1"/>
    <xf borderId="9" fillId="3" fontId="4" numFmtId="0" xfId="0" applyAlignment="1" applyBorder="1" applyFont="1">
      <alignment horizontal="center"/>
    </xf>
    <xf borderId="10" fillId="3" fontId="5" numFmtId="0" xfId="0" applyAlignment="1" applyBorder="1" applyFont="1">
      <alignment horizontal="center"/>
    </xf>
    <xf borderId="10" fillId="3" fontId="4" numFmtId="0" xfId="0" applyAlignment="1" applyBorder="1" applyFont="1">
      <alignment horizontal="center"/>
    </xf>
    <xf borderId="11" fillId="3" fontId="5" numFmtId="0" xfId="0" applyAlignment="1" applyBorder="1" applyFont="1">
      <alignment horizontal="center"/>
    </xf>
    <xf borderId="1" fillId="3" fontId="4" numFmtId="0" xfId="0" applyAlignment="1" applyBorder="1" applyFont="1">
      <alignment horizontal="center"/>
    </xf>
    <xf borderId="12" fillId="0" fontId="2" numFmtId="0" xfId="0" applyBorder="1" applyFont="1"/>
    <xf borderId="11" fillId="4" fontId="6" numFmtId="49" xfId="0" applyAlignment="1" applyBorder="1" applyFill="1" applyFont="1" applyNumberFormat="1">
      <alignment horizontal="center" shrinkToFit="0" vertical="center" wrapText="0"/>
    </xf>
    <xf borderId="11" fillId="4" fontId="7" numFmtId="164" xfId="0" applyAlignment="1" applyBorder="1" applyFont="1" applyNumberFormat="1">
      <alignment horizontal="right" readingOrder="0"/>
    </xf>
    <xf borderId="11" fillId="4" fontId="8" numFmtId="4" xfId="0" applyAlignment="1" applyBorder="1" applyFont="1" applyNumberFormat="1">
      <alignment readingOrder="0"/>
    </xf>
    <xf borderId="11" fillId="4" fontId="7" numFmtId="1" xfId="0" applyAlignment="1" applyBorder="1" applyFont="1" applyNumberFormat="1">
      <alignment horizontal="center" readingOrder="0"/>
    </xf>
    <xf borderId="11" fillId="4" fontId="9" numFmtId="0" xfId="0" applyAlignment="1" applyBorder="1" applyFont="1">
      <alignment readingOrder="0"/>
    </xf>
    <xf borderId="11" fillId="4" fontId="10" numFmtId="38" xfId="0" applyAlignment="1" applyBorder="1" applyFont="1" applyNumberFormat="1">
      <alignment horizontal="center" readingOrder="0"/>
    </xf>
    <xf borderId="12" fillId="4" fontId="11" numFmtId="38" xfId="0" applyAlignment="1" applyBorder="1" applyFont="1" applyNumberFormat="1">
      <alignment horizontal="right" vertical="bottom"/>
    </xf>
    <xf borderId="11" fillId="4" fontId="7" numFmtId="38" xfId="0" applyBorder="1" applyFont="1" applyNumberFormat="1"/>
    <xf borderId="11" fillId="4" fontId="12" numFmtId="0" xfId="0" applyBorder="1" applyFont="1"/>
    <xf borderId="11" fillId="4" fontId="12" numFmtId="3" xfId="0" applyBorder="1" applyFont="1" applyNumberFormat="1"/>
    <xf borderId="11" fillId="4" fontId="12" numFmtId="0" xfId="0" applyAlignment="1" applyBorder="1" applyFont="1">
      <alignment horizontal="center"/>
    </xf>
    <xf borderId="11" fillId="4" fontId="13" numFmtId="0" xfId="0" applyAlignment="1" applyBorder="1" applyFont="1">
      <alignment horizontal="center" vertical="center"/>
    </xf>
    <xf borderId="11" fillId="4" fontId="12" numFmtId="0" xfId="0" applyAlignment="1" applyBorder="1" applyFont="1">
      <alignment horizontal="center" vertical="center"/>
    </xf>
    <xf borderId="0" fillId="0" fontId="14" numFmtId="0" xfId="0" applyFont="1"/>
    <xf borderId="11" fillId="5" fontId="15" numFmtId="49" xfId="0" applyAlignment="1" applyBorder="1" applyFill="1" applyFont="1" applyNumberFormat="1">
      <alignment horizontal="center" shrinkToFit="0" vertical="center" wrapText="0"/>
    </xf>
    <xf borderId="11" fillId="5" fontId="7" numFmtId="164" xfId="0" applyAlignment="1" applyBorder="1" applyFont="1" applyNumberFormat="1">
      <alignment horizontal="right" readingOrder="0"/>
    </xf>
    <xf borderId="11" fillId="5" fontId="8" numFmtId="4" xfId="0" applyAlignment="1" applyBorder="1" applyFont="1" applyNumberFormat="1">
      <alignment readingOrder="0"/>
    </xf>
    <xf borderId="11" fillId="5" fontId="7" numFmtId="1" xfId="0" applyAlignment="1" applyBorder="1" applyFont="1" applyNumberFormat="1">
      <alignment horizontal="center" readingOrder="0"/>
    </xf>
    <xf borderId="11" fillId="5" fontId="9" numFmtId="0" xfId="0" applyAlignment="1" applyBorder="1" applyFont="1">
      <alignment readingOrder="0"/>
    </xf>
    <xf borderId="11" fillId="5" fontId="16" numFmtId="38" xfId="0" applyAlignment="1" applyBorder="1" applyFont="1" applyNumberFormat="1">
      <alignment horizontal="center" readingOrder="0"/>
    </xf>
    <xf borderId="12" fillId="5" fontId="17" numFmtId="38" xfId="0" applyAlignment="1" applyBorder="1" applyFont="1" applyNumberFormat="1">
      <alignment horizontal="right" vertical="bottom"/>
    </xf>
    <xf borderId="11" fillId="5" fontId="18" numFmtId="38" xfId="0" applyBorder="1" applyFont="1" applyNumberFormat="1"/>
    <xf borderId="11" fillId="5" fontId="18" numFmtId="0" xfId="0" applyBorder="1" applyFont="1"/>
    <xf borderId="11" fillId="5" fontId="18" numFmtId="3" xfId="0" applyAlignment="1" applyBorder="1" applyFont="1" applyNumberFormat="1">
      <alignment horizontal="center"/>
    </xf>
    <xf borderId="11" fillId="5" fontId="18" numFmtId="0" xfId="0" applyAlignment="1" applyBorder="1" applyFont="1">
      <alignment horizontal="center"/>
    </xf>
    <xf borderId="11" fillId="5" fontId="19" numFmtId="0" xfId="0" applyAlignment="1" applyBorder="1" applyFont="1">
      <alignment horizontal="center" vertical="center"/>
    </xf>
    <xf borderId="11" fillId="5" fontId="10" numFmtId="0" xfId="0" applyAlignment="1" applyBorder="1" applyFont="1">
      <alignment horizontal="center"/>
    </xf>
    <xf borderId="12" fillId="4" fontId="8" numFmtId="164" xfId="0" applyAlignment="1" applyBorder="1" applyFont="1" applyNumberFormat="1">
      <alignment horizontal="center" readingOrder="0" vertical="bottom"/>
    </xf>
    <xf borderId="12" fillId="4" fontId="16" numFmtId="4" xfId="0" applyAlignment="1" applyBorder="1" applyFont="1" applyNumberFormat="1">
      <alignment readingOrder="0" vertical="bottom"/>
    </xf>
    <xf borderId="12" fillId="4" fontId="16" numFmtId="1" xfId="0" applyAlignment="1" applyBorder="1" applyFont="1" applyNumberFormat="1">
      <alignment horizontal="center" readingOrder="0" vertical="bottom"/>
    </xf>
    <xf borderId="12" fillId="4" fontId="9" numFmtId="0" xfId="0" applyAlignment="1" applyBorder="1" applyFont="1">
      <alignment readingOrder="0" vertical="bottom"/>
    </xf>
    <xf borderId="12" fillId="4" fontId="9" numFmtId="38" xfId="0" applyAlignment="1" applyBorder="1" applyFont="1" applyNumberFormat="1">
      <alignment horizontal="right" vertical="bottom"/>
    </xf>
    <xf borderId="12" fillId="4" fontId="17" numFmtId="38" xfId="0" applyAlignment="1" applyBorder="1" applyFont="1" applyNumberFormat="1">
      <alignment horizontal="right" vertical="bottom"/>
    </xf>
    <xf borderId="11" fillId="4" fontId="20" numFmtId="38" xfId="0" applyAlignment="1" applyBorder="1" applyFont="1" applyNumberFormat="1">
      <alignment readingOrder="0" vertical="bottom"/>
    </xf>
    <xf borderId="11" fillId="4" fontId="21" numFmtId="0" xfId="0" applyAlignment="1" applyBorder="1" applyFont="1">
      <alignment horizontal="center" shrinkToFit="0" vertical="center" wrapText="1"/>
    </xf>
    <xf borderId="11" fillId="4" fontId="18" numFmtId="3" xfId="0" applyAlignment="1" applyBorder="1" applyFont="1" applyNumberFormat="1">
      <alignment horizontal="center" shrinkToFit="0" vertical="center" wrapText="1"/>
    </xf>
    <xf borderId="11" fillId="4" fontId="22" numFmtId="0" xfId="0" applyAlignment="1" applyBorder="1" applyFont="1">
      <alignment horizontal="center" vertical="center"/>
    </xf>
    <xf borderId="11" fillId="0" fontId="10" numFmtId="0" xfId="0" applyAlignment="1" applyBorder="1" applyFont="1">
      <alignment horizontal="center"/>
    </xf>
    <xf borderId="12" fillId="4" fontId="9" numFmtId="38" xfId="0" applyAlignment="1" applyBorder="1" applyFont="1" applyNumberFormat="1">
      <alignment horizontal="right" readingOrder="0" vertical="bottom"/>
    </xf>
    <xf borderId="11" fillId="4" fontId="20" numFmtId="38" xfId="0" applyAlignment="1" applyBorder="1" applyFont="1" applyNumberFormat="1">
      <alignment vertical="bottom"/>
    </xf>
    <xf borderId="12" fillId="4" fontId="16" numFmtId="0" xfId="0" applyAlignment="1" applyBorder="1" applyFont="1">
      <alignment readingOrder="0" vertical="bottom"/>
    </xf>
    <xf borderId="12" fillId="4" fontId="20" numFmtId="38" xfId="0" applyAlignment="1" applyBorder="1" applyFont="1" applyNumberFormat="1">
      <alignment horizontal="right" vertical="bottom"/>
    </xf>
    <xf borderId="12" fillId="4" fontId="17" numFmtId="38" xfId="0" applyAlignment="1" applyBorder="1" applyFont="1" applyNumberFormat="1">
      <alignment horizontal="right" readingOrder="0" vertical="bottom"/>
    </xf>
    <xf borderId="11" fillId="4" fontId="23" numFmtId="3" xfId="0" applyAlignment="1" applyBorder="1" applyFont="1" applyNumberFormat="1">
      <alignment horizontal="center" shrinkToFit="0" vertical="center" wrapText="1"/>
    </xf>
    <xf borderId="11" fillId="4" fontId="24" numFmtId="0" xfId="0" applyAlignment="1" applyBorder="1" applyFont="1">
      <alignment horizontal="center" vertical="center"/>
    </xf>
    <xf borderId="11" fillId="0" fontId="25" numFmtId="0" xfId="0" applyAlignment="1" applyBorder="1" applyFont="1">
      <alignment horizontal="center"/>
    </xf>
    <xf borderId="12" fillId="4" fontId="20" numFmtId="38" xfId="0" applyAlignment="1" applyBorder="1" applyFont="1" applyNumberFormat="1">
      <alignment horizontal="right" readingOrder="0" vertical="bottom"/>
    </xf>
    <xf borderId="11" fillId="4" fontId="20" numFmtId="38" xfId="0" applyAlignment="1" applyBorder="1" applyFont="1" applyNumberFormat="1">
      <alignment horizontal="right" vertical="bottom"/>
    </xf>
    <xf borderId="11" fillId="4" fontId="17" numFmtId="38" xfId="0" applyAlignment="1" applyBorder="1" applyFont="1" applyNumberFormat="1">
      <alignment horizontal="right" readingOrder="0" vertical="bottom"/>
    </xf>
    <xf borderId="11" fillId="4" fontId="26" numFmtId="38" xfId="0" applyAlignment="1" applyBorder="1" applyFont="1" applyNumberFormat="1">
      <alignment horizontal="right" vertical="bottom"/>
    </xf>
    <xf borderId="11" fillId="4" fontId="17" numFmtId="38" xfId="0" applyAlignment="1" applyBorder="1" applyFont="1" applyNumberFormat="1">
      <alignment horizontal="right" vertical="bottom"/>
    </xf>
    <xf borderId="12" fillId="4" fontId="8" numFmtId="164" xfId="0" applyAlignment="1" applyBorder="1" applyFont="1" applyNumberFormat="1">
      <alignment horizontal="center" vertical="bottom"/>
    </xf>
    <xf borderId="12" fillId="4" fontId="16" numFmtId="4" xfId="0" applyAlignment="1" applyBorder="1" applyFont="1" applyNumberFormat="1">
      <alignment vertical="bottom"/>
    </xf>
    <xf borderId="12" fillId="4" fontId="16" numFmtId="1" xfId="0" applyAlignment="1" applyBorder="1" applyFont="1" applyNumberFormat="1">
      <alignment horizontal="center" vertical="bottom"/>
    </xf>
    <xf borderId="12" fillId="4" fontId="16" numFmtId="0" xfId="0" applyAlignment="1" applyBorder="1" applyFont="1">
      <alignment vertical="bottom"/>
    </xf>
    <xf borderId="0" fillId="0" fontId="14" numFmtId="3" xfId="0" applyFont="1" applyNumberFormat="1"/>
    <xf borderId="12" fillId="4" fontId="8" numFmtId="0" xfId="0" applyAlignment="1" applyBorder="1" applyFont="1">
      <alignment horizontal="center" vertical="bottom"/>
    </xf>
    <xf borderId="1" fillId="6" fontId="27" numFmtId="0" xfId="0" applyAlignment="1" applyBorder="1" applyFill="1" applyFont="1">
      <alignment horizontal="center"/>
    </xf>
    <xf borderId="13" fillId="6" fontId="28" numFmtId="3" xfId="0" applyAlignment="1" applyBorder="1" applyFont="1" applyNumberFormat="1">
      <alignment horizontal="center"/>
    </xf>
    <xf borderId="11" fillId="6" fontId="29" numFmtId="3" xfId="0" applyAlignment="1" applyBorder="1" applyFont="1" applyNumberFormat="1">
      <alignment horizontal="center"/>
    </xf>
    <xf borderId="11" fillId="6" fontId="30" numFmtId="3" xfId="0" applyAlignment="1" applyBorder="1" applyFont="1" applyNumberFormat="1">
      <alignment horizontal="right"/>
    </xf>
    <xf borderId="1" fillId="7" fontId="28" numFmtId="3" xfId="0" applyAlignment="1" applyBorder="1" applyFill="1" applyFont="1" applyNumberFormat="1">
      <alignment horizontal="center" vertical="top"/>
    </xf>
    <xf borderId="11" fillId="5" fontId="6" numFmtId="49" xfId="0" applyAlignment="1" applyBorder="1" applyFont="1" applyNumberFormat="1">
      <alignment horizontal="center" shrinkToFit="0" vertical="center" wrapText="0"/>
    </xf>
    <xf borderId="11" fillId="4" fontId="7" numFmtId="165" xfId="0" applyAlignment="1" applyBorder="1" applyFont="1" applyNumberFormat="1">
      <alignment horizontal="center" readingOrder="0"/>
    </xf>
    <xf borderId="11" fillId="4" fontId="7" numFmtId="0" xfId="0" applyAlignment="1" applyBorder="1" applyFont="1">
      <alignment readingOrder="0"/>
    </xf>
    <xf borderId="11" fillId="4" fontId="31" numFmtId="38" xfId="0" applyAlignment="1" applyBorder="1" applyFont="1" applyNumberFormat="1">
      <alignment horizontal="center" readingOrder="0"/>
    </xf>
    <xf borderId="12" fillId="4" fontId="32" numFmtId="38" xfId="0" applyAlignment="1" applyBorder="1" applyFont="1" applyNumberFormat="1">
      <alignment horizontal="right" vertical="bottom"/>
    </xf>
    <xf borderId="11" fillId="4" fontId="31" numFmtId="38" xfId="0" applyAlignment="1" applyBorder="1" applyFont="1" applyNumberFormat="1">
      <alignment horizontal="center"/>
    </xf>
    <xf borderId="11" fillId="4" fontId="10" numFmtId="0" xfId="0" applyBorder="1" applyFont="1"/>
    <xf borderId="11" fillId="4" fontId="10" numFmtId="3" xfId="0" applyBorder="1" applyFont="1" applyNumberFormat="1"/>
    <xf borderId="11" fillId="4" fontId="33" numFmtId="0" xfId="0" applyAlignment="1" applyBorder="1" applyFont="1">
      <alignment horizontal="center" vertical="center"/>
    </xf>
    <xf borderId="11" fillId="4" fontId="7" numFmtId="0" xfId="0" applyAlignment="1" applyBorder="1" applyFont="1">
      <alignment horizontal="left" readingOrder="0"/>
    </xf>
    <xf borderId="11" fillId="4" fontId="9" numFmtId="3" xfId="0" applyAlignment="1" applyBorder="1" applyFont="1" applyNumberFormat="1">
      <alignment horizontal="center" vertical="center"/>
    </xf>
    <xf borderId="11" fillId="4" fontId="10" numFmtId="3" xfId="0" applyAlignment="1" applyBorder="1" applyFont="1" applyNumberFormat="1">
      <alignment horizontal="center"/>
    </xf>
    <xf borderId="11" fillId="4" fontId="18" numFmtId="0" xfId="0" applyAlignment="1" applyBorder="1" applyFont="1">
      <alignment horizontal="center"/>
    </xf>
    <xf borderId="11" fillId="4" fontId="9" numFmtId="0" xfId="0" applyAlignment="1" applyBorder="1" applyFont="1">
      <alignment horizontal="center" readingOrder="0"/>
    </xf>
    <xf borderId="12" fillId="4" fontId="8" numFmtId="1" xfId="0" applyAlignment="1" applyBorder="1" applyFont="1" applyNumberFormat="1">
      <alignment horizontal="center" readingOrder="0" vertical="bottom"/>
    </xf>
    <xf borderId="12" fillId="4" fontId="8" numFmtId="0" xfId="0" applyAlignment="1" applyBorder="1" applyFont="1">
      <alignment readingOrder="0" vertical="bottom"/>
    </xf>
    <xf borderId="12" fillId="4" fontId="10" numFmtId="38" xfId="0" applyAlignment="1" applyBorder="1" applyFont="1" applyNumberFormat="1">
      <alignment horizontal="right" readingOrder="0" vertical="bottom"/>
    </xf>
    <xf borderId="11" fillId="4" fontId="31" numFmtId="38" xfId="0" applyAlignment="1" applyBorder="1" applyFont="1" applyNumberFormat="1">
      <alignment horizontal="center" vertical="bottom"/>
    </xf>
    <xf borderId="11" fillId="4" fontId="34" numFmtId="0" xfId="0" applyAlignment="1" applyBorder="1" applyFont="1">
      <alignment horizontal="center" shrinkToFit="0" vertical="center" wrapText="1"/>
    </xf>
    <xf borderId="11" fillId="4" fontId="10" numFmtId="3" xfId="0" applyAlignment="1" applyBorder="1" applyFont="1" applyNumberFormat="1">
      <alignment horizontal="center" shrinkToFit="0" vertical="center" wrapText="1"/>
    </xf>
    <xf borderId="2" fillId="4" fontId="35" numFmtId="0" xfId="0" applyAlignment="1" applyBorder="1" applyFont="1">
      <alignment horizontal="center" vertical="center"/>
    </xf>
    <xf borderId="12" fillId="4" fontId="10" numFmtId="38" xfId="0" applyAlignment="1" applyBorder="1" applyFont="1" applyNumberFormat="1">
      <alignment horizontal="right" vertical="bottom"/>
    </xf>
    <xf borderId="11" fillId="4" fontId="10" numFmtId="38" xfId="0" applyAlignment="1" applyBorder="1" applyFont="1" applyNumberFormat="1">
      <alignment horizontal="center" vertical="bottom"/>
    </xf>
    <xf borderId="11" fillId="0" fontId="9" numFmtId="0" xfId="0" applyAlignment="1" applyBorder="1" applyFont="1">
      <alignment horizontal="center"/>
    </xf>
    <xf borderId="12" fillId="4" fontId="36" numFmtId="38" xfId="0" applyAlignment="1" applyBorder="1" applyFont="1" applyNumberFormat="1">
      <alignment horizontal="right" vertical="bottom"/>
    </xf>
    <xf borderId="11" fillId="4" fontId="36" numFmtId="38" xfId="0" applyAlignment="1" applyBorder="1" applyFont="1" applyNumberFormat="1">
      <alignment horizontal="center" vertical="bottom"/>
    </xf>
    <xf borderId="11" fillId="4" fontId="36" numFmtId="38" xfId="0" applyAlignment="1" applyBorder="1" applyFont="1" applyNumberFormat="1">
      <alignment horizontal="right" vertical="bottom"/>
    </xf>
    <xf borderId="11" fillId="4" fontId="36" numFmtId="38" xfId="0" applyAlignment="1" applyBorder="1" applyFont="1" applyNumberFormat="1">
      <alignment vertical="bottom"/>
    </xf>
    <xf borderId="11" fillId="4" fontId="36" numFmtId="3" xfId="0" applyAlignment="1" applyBorder="1" applyFont="1" applyNumberFormat="1">
      <alignment horizontal="center" shrinkToFit="0" vertical="center" wrapText="1"/>
    </xf>
    <xf borderId="9" fillId="4" fontId="37" numFmtId="0" xfId="0" applyAlignment="1" applyBorder="1" applyFont="1">
      <alignment horizontal="center" vertical="center"/>
    </xf>
    <xf borderId="11" fillId="0" fontId="8" numFmtId="165" xfId="0" applyAlignment="1" applyBorder="1" applyFont="1" applyNumberFormat="1">
      <alignment horizontal="center" readingOrder="0"/>
    </xf>
    <xf borderId="11" fillId="0" fontId="8" numFmtId="4" xfId="0" applyAlignment="1" applyBorder="1" applyFont="1" applyNumberFormat="1">
      <alignment readingOrder="0"/>
    </xf>
    <xf borderId="11" fillId="0" fontId="8" numFmtId="1" xfId="0" applyAlignment="1" applyBorder="1" applyFont="1" applyNumberFormat="1">
      <alignment horizontal="center" readingOrder="0"/>
    </xf>
    <xf borderId="11" fillId="0" fontId="8" numFmtId="0" xfId="0" applyAlignment="1" applyBorder="1" applyFont="1">
      <alignment readingOrder="0"/>
    </xf>
    <xf borderId="11" fillId="8" fontId="8" numFmtId="3" xfId="0" applyBorder="1" applyFill="1" applyFont="1" applyNumberFormat="1"/>
    <xf borderId="11" fillId="9" fontId="8" numFmtId="3" xfId="0" applyBorder="1" applyFill="1" applyFont="1" applyNumberFormat="1"/>
    <xf borderId="11" fillId="10" fontId="8" numFmtId="3" xfId="0" applyAlignment="1" applyBorder="1" applyFill="1" applyFont="1" applyNumberFormat="1">
      <alignment horizontal="right" readingOrder="0"/>
    </xf>
    <xf borderId="11" fillId="4" fontId="8" numFmtId="165" xfId="0" applyAlignment="1" applyBorder="1" applyFont="1" applyNumberFormat="1">
      <alignment horizontal="right" readingOrder="0"/>
    </xf>
    <xf borderId="11" fillId="4" fontId="8" numFmtId="1" xfId="0" applyAlignment="1" applyBorder="1" applyFont="1" applyNumberFormat="1">
      <alignment horizontal="center" readingOrder="0"/>
    </xf>
    <xf borderId="11" fillId="4" fontId="8" numFmtId="0" xfId="0" applyAlignment="1" applyBorder="1" applyFont="1">
      <alignment readingOrder="0"/>
    </xf>
    <xf borderId="11" fillId="8" fontId="8" numFmtId="3" xfId="0" applyAlignment="1" applyBorder="1" applyFont="1" applyNumberFormat="1">
      <alignment horizontal="right" readingOrder="0"/>
    </xf>
    <xf borderId="11" fillId="10" fontId="8" numFmtId="3" xfId="0" applyBorder="1" applyFont="1" applyNumberFormat="1"/>
    <xf borderId="11" fillId="4" fontId="9" numFmtId="0" xfId="0" applyAlignment="1" applyBorder="1" applyFont="1">
      <alignment horizontal="center"/>
    </xf>
    <xf borderId="11" fillId="0" fontId="8" numFmtId="165" xfId="0" applyAlignment="1" applyBorder="1" applyFont="1" applyNumberFormat="1">
      <alignment horizontal="right" readingOrder="0"/>
    </xf>
    <xf borderId="11" fillId="0" fontId="9" numFmtId="0" xfId="0" applyAlignment="1" applyBorder="1" applyFont="1">
      <alignment horizontal="center" readingOrder="0"/>
    </xf>
    <xf borderId="11" fillId="0" fontId="8" numFmtId="165" xfId="0" applyBorder="1" applyFont="1" applyNumberFormat="1"/>
    <xf borderId="11" fillId="0" fontId="8" numFmtId="4" xfId="0" applyBorder="1" applyFont="1" applyNumberFormat="1"/>
    <xf borderId="11" fillId="0" fontId="8" numFmtId="1" xfId="0" applyBorder="1" applyFont="1" applyNumberFormat="1"/>
    <xf borderId="11" fillId="0" fontId="8" numFmtId="0" xfId="0" applyBorder="1" applyFont="1"/>
    <xf borderId="11" fillId="11" fontId="8" numFmtId="165" xfId="0" applyAlignment="1" applyBorder="1" applyFill="1" applyFont="1" applyNumberFormat="1">
      <alignment horizontal="center" readingOrder="0"/>
    </xf>
    <xf borderId="11" fillId="11" fontId="8" numFmtId="4" xfId="0" applyAlignment="1" applyBorder="1" applyFont="1" applyNumberFormat="1">
      <alignment readingOrder="0"/>
    </xf>
    <xf borderId="11" fillId="11" fontId="8" numFmtId="1" xfId="0" applyAlignment="1" applyBorder="1" applyFont="1" applyNumberFormat="1">
      <alignment horizontal="center" readingOrder="0"/>
    </xf>
    <xf borderId="11" fillId="11" fontId="8" numFmtId="0" xfId="0" applyAlignment="1" applyBorder="1" applyFont="1">
      <alignment readingOrder="0"/>
    </xf>
    <xf borderId="11" fillId="11" fontId="8" numFmtId="3" xfId="0" applyBorder="1" applyFont="1" applyNumberFormat="1"/>
    <xf borderId="11" fillId="11" fontId="8" numFmtId="3" xfId="0" applyAlignment="1" applyBorder="1" applyFont="1" applyNumberFormat="1">
      <alignment horizontal="right" readingOrder="0"/>
    </xf>
    <xf borderId="11" fillId="11" fontId="10" numFmtId="3" xfId="0" applyBorder="1" applyFont="1" applyNumberFormat="1"/>
    <xf borderId="11" fillId="11" fontId="12" numFmtId="0" xfId="0" applyAlignment="1" applyBorder="1" applyFont="1">
      <alignment horizontal="center" readingOrder="0"/>
    </xf>
    <xf borderId="11" fillId="11" fontId="33" numFmtId="0" xfId="0" applyAlignment="1" applyBorder="1" applyFont="1">
      <alignment horizontal="center" vertical="center"/>
    </xf>
    <xf borderId="11" fillId="11" fontId="12" numFmtId="0" xfId="0" applyAlignment="1" applyBorder="1" applyFont="1">
      <alignment horizontal="center" readingOrder="0" vertical="center"/>
    </xf>
    <xf borderId="11" fillId="11" fontId="8" numFmtId="3" xfId="0" applyAlignment="1" applyBorder="1" applyFont="1" applyNumberFormat="1">
      <alignment readingOrder="0"/>
    </xf>
    <xf borderId="11" fillId="11" fontId="10" numFmtId="3" xfId="0" applyAlignment="1" applyBorder="1" applyFont="1" applyNumberFormat="1">
      <alignment horizontal="center"/>
    </xf>
    <xf borderId="11" fillId="11" fontId="18" numFmtId="0" xfId="0" applyAlignment="1" applyBorder="1" applyFont="1">
      <alignment horizontal="center" readingOrder="0"/>
    </xf>
    <xf borderId="11" fillId="11" fontId="9" numFmtId="0" xfId="0" applyAlignment="1" applyBorder="1" applyFont="1">
      <alignment horizontal="center" readingOrder="0"/>
    </xf>
    <xf borderId="11" fillId="11" fontId="10" numFmtId="3" xfId="0" applyAlignment="1" applyBorder="1" applyFont="1" applyNumberFormat="1">
      <alignment horizontal="center" shrinkToFit="0" vertical="center" wrapText="1"/>
    </xf>
    <xf borderId="2" fillId="11" fontId="35" numFmtId="0" xfId="0" applyAlignment="1" applyBorder="1" applyFont="1">
      <alignment horizontal="center" readingOrder="0" vertical="center"/>
    </xf>
    <xf borderId="11" fillId="11" fontId="22" numFmtId="0" xfId="0" applyAlignment="1" applyBorder="1" applyFont="1">
      <alignment horizontal="center" vertical="center"/>
    </xf>
    <xf borderId="11" fillId="0" fontId="8" numFmtId="1" xfId="0" applyAlignment="1" applyBorder="1" applyFont="1" applyNumberFormat="1">
      <alignment readingOrder="0"/>
    </xf>
    <xf borderId="11" fillId="5" fontId="8" numFmtId="3" xfId="0" applyAlignment="1" applyBorder="1" applyFont="1" applyNumberFormat="1">
      <alignment readingOrder="0"/>
    </xf>
    <xf borderId="11" fillId="5" fontId="8" numFmtId="3" xfId="0" applyBorder="1" applyFont="1" applyNumberFormat="1"/>
    <xf borderId="2" fillId="4" fontId="35" numFmtId="0" xfId="0" applyAlignment="1" applyBorder="1" applyFont="1">
      <alignment horizontal="center" readingOrder="0" vertical="center"/>
    </xf>
    <xf borderId="11" fillId="4" fontId="8" numFmtId="165" xfId="0" applyAlignment="1" applyBorder="1" applyFont="1" applyNumberFormat="1">
      <alignment horizontal="center" readingOrder="0"/>
    </xf>
    <xf borderId="11" fillId="4" fontId="8" numFmtId="3" xfId="0" applyBorder="1" applyFont="1" applyNumberFormat="1"/>
    <xf borderId="11" fillId="4" fontId="8" numFmtId="3" xfId="0" applyAlignment="1" applyBorder="1" applyFont="1" applyNumberFormat="1">
      <alignment horizontal="right" readingOrder="0"/>
    </xf>
    <xf borderId="11" fillId="4" fontId="12" numFmtId="0" xfId="0" applyAlignment="1" applyBorder="1" applyFont="1">
      <alignment horizontal="center" readingOrder="0"/>
    </xf>
    <xf borderId="11" fillId="4" fontId="12" numFmtId="0" xfId="0" applyAlignment="1" applyBorder="1" applyFont="1">
      <alignment horizontal="center" readingOrder="0" vertical="center"/>
    </xf>
    <xf borderId="11" fillId="4" fontId="8" numFmtId="3" xfId="0" applyAlignment="1" applyBorder="1" applyFont="1" applyNumberFormat="1">
      <alignment readingOrder="0"/>
    </xf>
    <xf borderId="11" fillId="4" fontId="18" numFmtId="0" xfId="0" applyAlignment="1" applyBorder="1" applyFont="1">
      <alignment horizontal="center" readingOrder="0"/>
    </xf>
    <xf borderId="11" fillId="4" fontId="10" numFmtId="38" xfId="0" applyAlignment="1" applyBorder="1" applyFont="1" applyNumberFormat="1">
      <alignment horizontal="center" readingOrder="0" vertical="bottom"/>
    </xf>
    <xf borderId="11" fillId="4" fontId="10" numFmtId="3" xfId="0" applyAlignment="1" applyBorder="1" applyFont="1" applyNumberFormat="1">
      <alignment horizontal="center" readingOrder="0" shrinkToFit="0" vertical="center" wrapText="1"/>
    </xf>
    <xf borderId="11" fillId="9" fontId="6" numFmtId="49" xfId="0" applyAlignment="1" applyBorder="1" applyFont="1" applyNumberFormat="1">
      <alignment horizontal="center" shrinkToFit="0" vertical="center" wrapText="0"/>
    </xf>
    <xf borderId="11" fillId="9" fontId="8" numFmtId="165" xfId="0" applyAlignment="1" applyBorder="1" applyFont="1" applyNumberFormat="1">
      <alignment horizontal="center" readingOrder="0"/>
    </xf>
    <xf borderId="11" fillId="9" fontId="8" numFmtId="4" xfId="0" applyAlignment="1" applyBorder="1" applyFont="1" applyNumberFormat="1">
      <alignment readingOrder="0"/>
    </xf>
    <xf borderId="11" fillId="9" fontId="8" numFmtId="1" xfId="0" applyAlignment="1" applyBorder="1" applyFont="1" applyNumberFormat="1">
      <alignment horizontal="center" readingOrder="0"/>
    </xf>
    <xf borderId="11" fillId="9" fontId="8" numFmtId="0" xfId="0" applyAlignment="1" applyBorder="1" applyFont="1">
      <alignment readingOrder="0"/>
    </xf>
    <xf borderId="11" fillId="9" fontId="8" numFmtId="3" xfId="0" applyAlignment="1" applyBorder="1" applyFont="1" applyNumberFormat="1">
      <alignment readingOrder="0"/>
    </xf>
    <xf borderId="11" fillId="9" fontId="8" numFmtId="3" xfId="0" applyAlignment="1" applyBorder="1" applyFont="1" applyNumberFormat="1">
      <alignment horizontal="right" readingOrder="0"/>
    </xf>
    <xf borderId="11" fillId="9" fontId="10" numFmtId="3" xfId="0" applyBorder="1" applyFont="1" applyNumberFormat="1"/>
    <xf borderId="11" fillId="9" fontId="12" numFmtId="0" xfId="0" applyAlignment="1" applyBorder="1" applyFont="1">
      <alignment horizontal="center" readingOrder="0"/>
    </xf>
    <xf borderId="11" fillId="9" fontId="33" numFmtId="0" xfId="0" applyAlignment="1" applyBorder="1" applyFont="1">
      <alignment horizontal="center" vertical="center"/>
    </xf>
    <xf borderId="11" fillId="9" fontId="12" numFmtId="0" xfId="0" applyAlignment="1" applyBorder="1" applyFont="1">
      <alignment horizontal="center" readingOrder="0" vertical="center"/>
    </xf>
    <xf borderId="11" fillId="9" fontId="15" numFmtId="49" xfId="0" applyAlignment="1" applyBorder="1" applyFont="1" applyNumberFormat="1">
      <alignment horizontal="center" shrinkToFit="0" vertical="center" wrapText="0"/>
    </xf>
    <xf borderId="11" fillId="9" fontId="10" numFmtId="3" xfId="0" applyAlignment="1" applyBorder="1" applyFont="1" applyNumberFormat="1">
      <alignment horizontal="center"/>
    </xf>
    <xf borderId="11" fillId="9" fontId="18" numFmtId="0" xfId="0" applyAlignment="1" applyBorder="1" applyFont="1">
      <alignment horizontal="center" readingOrder="0"/>
    </xf>
    <xf borderId="11" fillId="9" fontId="9" numFmtId="0" xfId="0" applyAlignment="1" applyBorder="1" applyFont="1">
      <alignment horizontal="center" readingOrder="0"/>
    </xf>
    <xf borderId="11" fillId="12" fontId="6" numFmtId="49" xfId="0" applyAlignment="1" applyBorder="1" applyFill="1" applyFont="1" applyNumberFormat="1">
      <alignment horizontal="center" shrinkToFit="0" vertical="center" wrapText="0"/>
    </xf>
    <xf borderId="11" fillId="12" fontId="8" numFmtId="165" xfId="0" applyAlignment="1" applyBorder="1" applyFont="1" applyNumberFormat="1">
      <alignment horizontal="center" readingOrder="0"/>
    </xf>
    <xf borderId="11" fillId="12" fontId="8" numFmtId="4" xfId="0" applyAlignment="1" applyBorder="1" applyFont="1" applyNumberFormat="1">
      <alignment readingOrder="0"/>
    </xf>
    <xf borderId="11" fillId="12" fontId="8" numFmtId="1" xfId="0" applyAlignment="1" applyBorder="1" applyFont="1" applyNumberFormat="1">
      <alignment horizontal="center" readingOrder="0"/>
    </xf>
    <xf borderId="11" fillId="12" fontId="8" numFmtId="0" xfId="0" applyAlignment="1" applyBorder="1" applyFont="1">
      <alignment readingOrder="0"/>
    </xf>
    <xf borderId="11" fillId="12" fontId="8" numFmtId="3" xfId="0" applyAlignment="1" applyBorder="1" applyFont="1" applyNumberFormat="1">
      <alignment readingOrder="0"/>
    </xf>
    <xf borderId="11" fillId="12" fontId="8" numFmtId="3" xfId="0" applyAlignment="1" applyBorder="1" applyFont="1" applyNumberFormat="1">
      <alignment horizontal="right" readingOrder="0"/>
    </xf>
    <xf borderId="11" fillId="12" fontId="8" numFmtId="3" xfId="0" applyBorder="1" applyFont="1" applyNumberFormat="1"/>
    <xf borderId="11" fillId="12" fontId="10" numFmtId="3" xfId="0" applyBorder="1" applyFont="1" applyNumberFormat="1"/>
    <xf borderId="11" fillId="12" fontId="12" numFmtId="0" xfId="0" applyAlignment="1" applyBorder="1" applyFont="1">
      <alignment horizontal="center" readingOrder="0"/>
    </xf>
    <xf borderId="11" fillId="12" fontId="33" numFmtId="0" xfId="0" applyAlignment="1" applyBorder="1" applyFont="1">
      <alignment horizontal="center" vertical="center"/>
    </xf>
    <xf borderId="11" fillId="12" fontId="12" numFmtId="0" xfId="0" applyAlignment="1" applyBorder="1" applyFont="1">
      <alignment horizontal="center" readingOrder="0" vertical="center"/>
    </xf>
    <xf borderId="11" fillId="12" fontId="15" numFmtId="49" xfId="0" applyAlignment="1" applyBorder="1" applyFont="1" applyNumberFormat="1">
      <alignment horizontal="center" shrinkToFit="0" vertical="center" wrapText="0"/>
    </xf>
    <xf borderId="11" fillId="12" fontId="10" numFmtId="3" xfId="0" applyAlignment="1" applyBorder="1" applyFont="1" applyNumberFormat="1">
      <alignment horizontal="center"/>
    </xf>
    <xf borderId="11" fillId="12" fontId="18" numFmtId="0" xfId="0" applyAlignment="1" applyBorder="1" applyFont="1">
      <alignment horizontal="center" readingOrder="0"/>
    </xf>
    <xf borderId="11" fillId="12" fontId="9" numFmtId="0" xfId="0" applyAlignment="1" applyBorder="1" applyFont="1">
      <alignment horizontal="center" readingOrder="0"/>
    </xf>
    <xf borderId="11" fillId="5" fontId="15" numFmtId="49" xfId="0" applyAlignment="1" applyBorder="1" applyFont="1" applyNumberFormat="1">
      <alignment horizontal="center" readingOrder="0" shrinkToFit="0" vertical="center" wrapText="0"/>
    </xf>
    <xf borderId="11" fillId="5" fontId="6" numFmtId="49" xfId="0" applyAlignment="1" applyBorder="1" applyFont="1" applyNumberFormat="1">
      <alignment horizontal="center" readingOrder="0" shrinkToFit="0" vertical="center" wrapText="0"/>
    </xf>
    <xf borderId="11" fillId="4" fontId="15" numFmtId="49" xfId="0" applyAlignment="1" applyBorder="1" applyFont="1" applyNumberFormat="1">
      <alignment horizontal="center" shrinkToFit="0" vertical="center" wrapText="0"/>
    </xf>
    <xf borderId="11" fillId="4" fontId="38" numFmtId="0" xfId="0" applyAlignment="1" applyBorder="1" applyFont="1">
      <alignment horizontal="center" readingOrder="0" vertical="center"/>
    </xf>
    <xf borderId="11" fillId="4" fontId="15" numFmtId="49" xfId="0" applyAlignment="1" applyBorder="1" applyFont="1" applyNumberFormat="1">
      <alignment horizontal="center" readingOrder="0" shrinkToFit="0" vertical="center" wrapText="0"/>
    </xf>
    <xf borderId="11" fillId="4" fontId="4" numFmtId="3" xfId="0" applyAlignment="1" applyBorder="1" applyFont="1" applyNumberFormat="1">
      <alignment readingOrder="0"/>
    </xf>
    <xf borderId="11" fillId="4" fontId="4" numFmtId="3" xfId="0" applyAlignment="1" applyBorder="1" applyFont="1" applyNumberFormat="1">
      <alignment horizontal="right" readingOrder="0"/>
    </xf>
    <xf borderId="11" fillId="5" fontId="4" numFmtId="3" xfId="0" applyAlignment="1" applyBorder="1" applyFont="1" applyNumberFormat="1">
      <alignment readingOrder="0"/>
    </xf>
    <xf borderId="12" fillId="4" fontId="36" numFmtId="38" xfId="0" applyAlignment="1" applyBorder="1" applyFont="1" applyNumberFormat="1">
      <alignment horizontal="right" readingOrder="0" vertical="bottom"/>
    </xf>
    <xf borderId="11" fillId="4" fontId="36" numFmtId="38" xfId="0" applyAlignment="1" applyBorder="1" applyFont="1" applyNumberFormat="1">
      <alignment horizontal="center" readingOrder="0" vertical="bottom"/>
    </xf>
    <xf borderId="11" fillId="4" fontId="39" numFmtId="3" xfId="0" applyAlignment="1" applyBorder="1" applyFont="1" applyNumberFormat="1">
      <alignment horizontal="center" vertical="center"/>
    </xf>
    <xf borderId="11" fillId="4" fontId="40" numFmtId="3" xfId="0" applyBorder="1" applyFont="1" applyNumberFormat="1"/>
    <xf borderId="11" fillId="4" fontId="39" numFmtId="3" xfId="0" applyAlignment="1" applyBorder="1" applyFont="1" applyNumberFormat="1">
      <alignment horizontal="center"/>
    </xf>
    <xf borderId="11" fillId="4" fontId="12" numFmtId="3" xfId="0" applyAlignment="1" applyBorder="1" applyFont="1" applyNumberFormat="1">
      <alignment readingOrder="0"/>
    </xf>
    <xf borderId="11" fillId="4" fontId="12" numFmtId="3" xfId="0" applyAlignment="1" applyBorder="1" applyFont="1" applyNumberFormat="1">
      <alignment horizontal="center"/>
    </xf>
    <xf borderId="11" fillId="4" fontId="12" numFmtId="3" xfId="0" applyAlignment="1" applyBorder="1" applyFont="1" applyNumberFormat="1">
      <alignment horizontal="center" readingOrder="0"/>
    </xf>
    <xf borderId="11" fillId="4" fontId="12" numFmtId="3" xfId="0" applyAlignment="1" applyBorder="1" applyFont="1" applyNumberFormat="1">
      <alignment horizontal="center" readingOrder="0" vertical="center"/>
    </xf>
    <xf borderId="11" fillId="4" fontId="18" numFmtId="3" xfId="0" applyAlignment="1" applyBorder="1" applyFont="1" applyNumberFormat="1">
      <alignment horizontal="center" readingOrder="0" vertical="center"/>
    </xf>
    <xf borderId="11" fillId="4" fontId="6" numFmtId="49" xfId="0" applyAlignment="1" applyBorder="1" applyFont="1" applyNumberFormat="1">
      <alignment horizontal="center" readingOrder="0" shrinkToFit="0" vertical="center" wrapText="0"/>
    </xf>
    <xf borderId="11" fillId="4" fontId="7" numFmtId="3" xfId="0" applyAlignment="1" applyBorder="1" applyFont="1" applyNumberFormat="1">
      <alignment readingOrder="0"/>
    </xf>
    <xf borderId="11" fillId="4" fontId="7" numFmtId="3" xfId="0" applyAlignment="1" applyBorder="1" applyFont="1" applyNumberFormat="1">
      <alignment horizontal="center" readingOrder="0" vertical="center"/>
    </xf>
    <xf borderId="11" fillId="4" fontId="7" numFmtId="3" xfId="0" applyBorder="1" applyFont="1" applyNumberFormat="1"/>
    <xf borderId="11" fillId="4" fontId="7" numFmtId="0" xfId="0" applyAlignment="1" applyBorder="1" applyFont="1">
      <alignment horizontal="center" readingOrder="0"/>
    </xf>
    <xf borderId="11" fillId="4" fontId="41" numFmtId="0" xfId="0" applyAlignment="1" applyBorder="1" applyFont="1">
      <alignment horizontal="center" readingOrder="0" vertical="center"/>
    </xf>
    <xf borderId="11" fillId="4" fontId="7" numFmtId="0" xfId="0" applyAlignment="1" applyBorder="1" applyFont="1">
      <alignment horizontal="center" readingOrder="0" vertical="center"/>
    </xf>
    <xf borderId="11" fillId="4" fontId="7" numFmtId="3" xfId="0" applyAlignment="1" applyBorder="1" applyFont="1" applyNumberFormat="1">
      <alignment horizontal="center" readingOrder="0"/>
    </xf>
    <xf borderId="11" fillId="4" fontId="7" numFmtId="3" xfId="0" applyAlignment="1" applyBorder="1" applyFont="1" applyNumberFormat="1">
      <alignment horizontal="center"/>
    </xf>
    <xf borderId="2" fillId="4" fontId="42" numFmtId="0" xfId="0" applyAlignment="1" applyBorder="1" applyFont="1">
      <alignment horizontal="center" readingOrder="0" vertical="center"/>
    </xf>
    <xf borderId="11" fillId="4" fontId="41" numFmtId="0" xfId="0" applyAlignment="1" applyBorder="1" applyFont="1">
      <alignment horizontal="center" vertical="center"/>
    </xf>
    <xf borderId="11" fillId="4" fontId="10" numFmtId="0" xfId="0" applyAlignment="1" applyBorder="1" applyFont="1">
      <alignment horizontal="center" readingOrder="0"/>
    </xf>
    <xf borderId="11" fillId="4" fontId="43" numFmtId="0" xfId="0" applyAlignment="1" applyBorder="1" applyFont="1">
      <alignment horizontal="center"/>
    </xf>
    <xf borderId="11" fillId="4" fontId="43" numFmtId="0" xfId="0" applyBorder="1" applyFont="1"/>
    <xf borderId="11" fillId="0" fontId="43" numFmtId="0" xfId="0" applyBorder="1" applyFont="1"/>
    <xf borderId="11" fillId="4" fontId="43" numFmtId="0" xfId="0" applyBorder="1" applyFont="1"/>
    <xf borderId="11" fillId="0" fontId="43" numFmtId="0" xfId="0" applyBorder="1" applyFont="1"/>
    <xf borderId="11" fillId="0" fontId="43" numFmtId="0" xfId="0" applyAlignment="1" applyBorder="1" applyFont="1">
      <alignment readingOrder="0"/>
    </xf>
    <xf borderId="11" fillId="4" fontId="8" numFmtId="0" xfId="0" applyAlignment="1" applyBorder="1" applyFont="1">
      <alignment horizontal="center" readingOrder="0"/>
    </xf>
    <xf borderId="11" fillId="0" fontId="8" numFmtId="0" xfId="0" applyAlignment="1" applyBorder="1" applyFont="1">
      <alignment horizontal="center" readingOrder="0"/>
    </xf>
    <xf borderId="12" fillId="4" fontId="8" numFmtId="0" xfId="0" applyAlignment="1" applyBorder="1" applyFont="1">
      <alignment horizontal="center" readingOrder="0" vertical="bottom"/>
    </xf>
    <xf borderId="11" fillId="4" fontId="43" numFmtId="3" xfId="0" applyAlignment="1" applyBorder="1" applyFont="1" applyNumberFormat="1">
      <alignment horizontal="center" readingOrder="0" vertical="bottom"/>
    </xf>
    <xf borderId="11" fillId="4" fontId="44" numFmtId="3" xfId="0" applyAlignment="1" applyBorder="1" applyFont="1" applyNumberFormat="1">
      <alignment horizontal="right" readingOrder="0" vertical="bottom"/>
    </xf>
    <xf borderId="11" fillId="4" fontId="8" numFmtId="164" xfId="0" applyAlignment="1" applyBorder="1" applyFont="1" applyNumberFormat="1">
      <alignment horizontal="center" readingOrder="0"/>
    </xf>
    <xf borderId="11" fillId="4" fontId="43" numFmtId="0" xfId="0" applyAlignment="1" applyBorder="1" applyFont="1">
      <alignment horizontal="center" readingOrder="0"/>
    </xf>
    <xf borderId="11" fillId="0" fontId="8" numFmtId="16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32" Type="http://customschemas.google.com/relationships/workbookmetadata" Target="metadata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438150</xdr:colOff>
      <xdr:row>0</xdr:row>
      <xdr:rowOff>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  <xdr:oneCellAnchor>
    <xdr:from>
      <xdr:col>12</xdr:col>
      <xdr:colOff>0</xdr:colOff>
      <xdr:row>0</xdr:row>
      <xdr:rowOff>209550</xdr:rowOff>
    </xdr:from>
    <xdr:ext cx="276225" cy="352425"/>
    <xdr:sp>
      <xdr:nvSpPr>
        <xdr:cNvPr id="3" name="Shape 3"/>
        <xdr:cNvSpPr txBox="1"/>
      </xdr:nvSpPr>
      <xdr:spPr>
        <a:xfrm>
          <a:off x="5212650" y="3608550"/>
          <a:ext cx="266700" cy="342900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sp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r>
            <a:t/>
          </a: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7">
        <v>46053.0</v>
      </c>
      <c r="C4" s="18" t="s">
        <v>16</v>
      </c>
      <c r="D4" s="19">
        <v>65611.0</v>
      </c>
      <c r="E4" s="20" t="s">
        <v>17</v>
      </c>
      <c r="F4" s="21">
        <v>3200.0</v>
      </c>
      <c r="G4" s="22"/>
      <c r="H4" s="23"/>
      <c r="I4" s="24"/>
      <c r="J4" s="25"/>
      <c r="K4" s="26"/>
      <c r="L4" s="27"/>
      <c r="M4" s="28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19</v>
      </c>
      <c r="B5" s="31">
        <v>46053.0</v>
      </c>
      <c r="C5" s="32" t="s">
        <v>20</v>
      </c>
      <c r="D5" s="33">
        <v>52686.0</v>
      </c>
      <c r="E5" s="34" t="s">
        <v>21</v>
      </c>
      <c r="F5" s="35">
        <v>4500.0</v>
      </c>
      <c r="G5" s="36"/>
      <c r="H5" s="37"/>
      <c r="I5" s="38"/>
      <c r="J5" s="39"/>
      <c r="K5" s="40"/>
      <c r="L5" s="41"/>
      <c r="M5" s="42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30" t="s">
        <v>22</v>
      </c>
      <c r="B6" s="43">
        <v>46053.0</v>
      </c>
      <c r="C6" s="44" t="s">
        <v>23</v>
      </c>
      <c r="D6" s="45">
        <v>112233.0</v>
      </c>
      <c r="E6" s="46" t="s">
        <v>24</v>
      </c>
      <c r="F6" s="47"/>
      <c r="G6" s="48"/>
      <c r="H6" s="49">
        <v>300.0</v>
      </c>
      <c r="I6" s="50"/>
      <c r="J6" s="51"/>
      <c r="K6" s="40"/>
      <c r="L6" s="52"/>
      <c r="M6" s="53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25</v>
      </c>
      <c r="B7" s="43">
        <v>46054.0</v>
      </c>
      <c r="C7" s="44" t="s">
        <v>26</v>
      </c>
      <c r="D7" s="45">
        <v>97726.0</v>
      </c>
      <c r="E7" s="46" t="s">
        <v>27</v>
      </c>
      <c r="F7" s="54">
        <v>300.0</v>
      </c>
      <c r="G7" s="48"/>
      <c r="H7" s="55"/>
      <c r="I7" s="50"/>
      <c r="J7" s="51"/>
      <c r="K7" s="40"/>
      <c r="L7" s="52"/>
      <c r="M7" s="53" t="s">
        <v>18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30" t="s">
        <v>28</v>
      </c>
      <c r="B8" s="43">
        <v>46054.0</v>
      </c>
      <c r="C8" s="44" t="s">
        <v>29</v>
      </c>
      <c r="D8" s="45">
        <v>97726.0</v>
      </c>
      <c r="E8" s="46" t="s">
        <v>27</v>
      </c>
      <c r="F8" s="54">
        <v>300.0</v>
      </c>
      <c r="G8" s="48"/>
      <c r="H8" s="55"/>
      <c r="I8" s="50"/>
      <c r="J8" s="51"/>
      <c r="K8" s="40"/>
      <c r="L8" s="52"/>
      <c r="M8" s="53" t="s">
        <v>18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30</v>
      </c>
      <c r="B9" s="43">
        <v>46054.0</v>
      </c>
      <c r="C9" s="44" t="s">
        <v>31</v>
      </c>
      <c r="D9" s="45">
        <v>97726.0</v>
      </c>
      <c r="E9" s="46" t="s">
        <v>27</v>
      </c>
      <c r="F9" s="54">
        <v>300.0</v>
      </c>
      <c r="G9" s="48"/>
      <c r="H9" s="55"/>
      <c r="I9" s="50"/>
      <c r="J9" s="51"/>
      <c r="K9" s="40"/>
      <c r="L9" s="52"/>
      <c r="M9" s="53" t="s">
        <v>18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30" t="s">
        <v>32</v>
      </c>
      <c r="B10" s="43">
        <v>46054.0</v>
      </c>
      <c r="C10" s="44" t="s">
        <v>33</v>
      </c>
      <c r="D10" s="45">
        <v>87820.0</v>
      </c>
      <c r="E10" s="46" t="s">
        <v>34</v>
      </c>
      <c r="F10" s="47"/>
      <c r="G10" s="48"/>
      <c r="H10" s="49">
        <v>5000.0</v>
      </c>
      <c r="I10" s="50"/>
      <c r="J10" s="51"/>
      <c r="K10" s="40"/>
      <c r="L10" s="52"/>
      <c r="M10" s="53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30" t="s">
        <v>35</v>
      </c>
      <c r="B11" s="43">
        <v>46054.0</v>
      </c>
      <c r="C11" s="44" t="s">
        <v>36</v>
      </c>
      <c r="D11" s="45">
        <v>104269.0</v>
      </c>
      <c r="E11" s="56" t="s">
        <v>37</v>
      </c>
      <c r="F11" s="57"/>
      <c r="G11" s="58">
        <v>4000.0</v>
      </c>
      <c r="H11" s="55"/>
      <c r="I11" s="50"/>
      <c r="J11" s="59"/>
      <c r="K11" s="40"/>
      <c r="L11" s="60"/>
      <c r="M11" s="61" t="s">
        <v>18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30" t="s">
        <v>38</v>
      </c>
      <c r="B12" s="43">
        <v>46054.0</v>
      </c>
      <c r="C12" s="44" t="s">
        <v>39</v>
      </c>
      <c r="D12" s="45">
        <v>97726.0</v>
      </c>
      <c r="E12" s="56" t="s">
        <v>27</v>
      </c>
      <c r="F12" s="62">
        <v>4500.0</v>
      </c>
      <c r="G12" s="48"/>
      <c r="H12" s="55"/>
      <c r="I12" s="50"/>
      <c r="J12" s="59"/>
      <c r="K12" s="40"/>
      <c r="L12" s="60"/>
      <c r="M12" s="61" t="s">
        <v>40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30" t="s">
        <v>41</v>
      </c>
      <c r="B13" s="43">
        <v>46054.0</v>
      </c>
      <c r="C13" s="44" t="s">
        <v>42</v>
      </c>
      <c r="D13" s="45">
        <v>52685.0</v>
      </c>
      <c r="E13" s="56" t="s">
        <v>43</v>
      </c>
      <c r="F13" s="57"/>
      <c r="G13" s="48"/>
      <c r="H13" s="55"/>
      <c r="I13" s="50"/>
      <c r="J13" s="59"/>
      <c r="K13" s="40"/>
      <c r="L13" s="60"/>
      <c r="M13" s="61" t="s">
        <v>18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30" t="s">
        <v>44</v>
      </c>
      <c r="B14" s="43">
        <v>46054.0</v>
      </c>
      <c r="C14" s="44" t="s">
        <v>45</v>
      </c>
      <c r="D14" s="45">
        <v>92637.0</v>
      </c>
      <c r="E14" s="56" t="s">
        <v>46</v>
      </c>
      <c r="F14" s="63"/>
      <c r="G14" s="48"/>
      <c r="H14" s="49">
        <v>4500.0</v>
      </c>
      <c r="I14" s="50"/>
      <c r="J14" s="59"/>
      <c r="K14" s="40"/>
      <c r="L14" s="60"/>
      <c r="M14" s="61" t="s">
        <v>18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customHeight="1">
      <c r="A15" s="30" t="s">
        <v>47</v>
      </c>
      <c r="B15" s="43">
        <v>46054.0</v>
      </c>
      <c r="C15" s="44" t="s">
        <v>48</v>
      </c>
      <c r="D15" s="45">
        <v>25650.0</v>
      </c>
      <c r="E15" s="56" t="s">
        <v>49</v>
      </c>
      <c r="F15" s="63"/>
      <c r="G15" s="64">
        <v>5100.0</v>
      </c>
      <c r="H15" s="55"/>
      <c r="I15" s="50"/>
      <c r="J15" s="59"/>
      <c r="K15" s="40"/>
      <c r="L15" s="60"/>
      <c r="M15" s="6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customHeight="1">
      <c r="A16" s="30" t="s">
        <v>50</v>
      </c>
      <c r="B16" s="43">
        <v>46054.0</v>
      </c>
      <c r="C16" s="44" t="s">
        <v>51</v>
      </c>
      <c r="D16" s="45">
        <v>112354.0</v>
      </c>
      <c r="E16" s="56" t="s">
        <v>52</v>
      </c>
      <c r="F16" s="65"/>
      <c r="G16" s="66"/>
      <c r="H16" s="49">
        <v>300.0</v>
      </c>
      <c r="I16" s="50"/>
      <c r="J16" s="59"/>
      <c r="K16" s="40"/>
      <c r="L16" s="60"/>
      <c r="M16" s="61" t="s">
        <v>40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customHeight="1">
      <c r="A17" s="30" t="s">
        <v>53</v>
      </c>
      <c r="B17" s="67"/>
      <c r="C17" s="68"/>
      <c r="D17" s="69"/>
      <c r="E17" s="70"/>
      <c r="F17" s="65"/>
      <c r="G17" s="66"/>
      <c r="H17" s="55"/>
      <c r="I17" s="50"/>
      <c r="J17" s="59"/>
      <c r="K17" s="40"/>
      <c r="L17" s="60"/>
      <c r="M17" s="61" t="s">
        <v>40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30" t="s">
        <v>54</v>
      </c>
      <c r="B18" s="67"/>
      <c r="C18" s="68"/>
      <c r="D18" s="69"/>
      <c r="E18" s="70"/>
      <c r="F18" s="65"/>
      <c r="G18" s="66"/>
      <c r="H18" s="55"/>
      <c r="I18" s="50"/>
      <c r="J18" s="59"/>
      <c r="K18" s="40"/>
      <c r="L18" s="60"/>
      <c r="M18" s="61" t="s">
        <v>55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65"/>
      <c r="G19" s="66"/>
      <c r="H19" s="55"/>
      <c r="I19" s="50"/>
      <c r="J19" s="59"/>
      <c r="K19" s="40"/>
      <c r="L19" s="60"/>
      <c r="M19" s="6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 t="s">
        <v>57</v>
      </c>
      <c r="B20" s="67"/>
      <c r="C20" s="68"/>
      <c r="D20" s="69"/>
      <c r="E20" s="70"/>
      <c r="F20" s="65"/>
      <c r="G20" s="66"/>
      <c r="H20" s="55"/>
      <c r="I20" s="50"/>
      <c r="J20" s="59"/>
      <c r="K20" s="40"/>
      <c r="L20" s="60"/>
      <c r="M20" s="61" t="s">
        <v>55</v>
      </c>
      <c r="N20" s="29"/>
      <c r="O20" s="29"/>
      <c r="P20" s="71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hidden="1" customHeight="1">
      <c r="A21" s="30" t="s">
        <v>58</v>
      </c>
      <c r="B21" s="67"/>
      <c r="C21" s="68"/>
      <c r="D21" s="69"/>
      <c r="E21" s="70"/>
      <c r="F21" s="63"/>
      <c r="G21" s="66"/>
      <c r="H21" s="55"/>
      <c r="I21" s="50"/>
      <c r="J21" s="59"/>
      <c r="K21" s="40"/>
      <c r="L21" s="60"/>
      <c r="M21" s="61" t="s">
        <v>18</v>
      </c>
      <c r="N21" s="29"/>
      <c r="O21" s="29"/>
      <c r="P21" s="71"/>
      <c r="Q21" s="29"/>
      <c r="R21" s="29"/>
      <c r="S21" s="29"/>
      <c r="T21" s="29"/>
      <c r="U21" s="29"/>
      <c r="V21" s="29"/>
      <c r="W21" s="29"/>
      <c r="X21" s="29"/>
      <c r="Y21" s="29"/>
      <c r="Z21" s="29"/>
    </row>
    <row r="22" ht="49.5" hidden="1" customHeight="1">
      <c r="A22" s="30"/>
      <c r="B22" s="67"/>
      <c r="C22" s="68"/>
      <c r="D22" s="69"/>
      <c r="E22" s="70"/>
      <c r="F22" s="63"/>
      <c r="G22" s="66"/>
      <c r="H22" s="55"/>
      <c r="I22" s="50"/>
      <c r="J22" s="59"/>
      <c r="K22" s="39"/>
      <c r="L22" s="60"/>
      <c r="M22" s="61"/>
      <c r="N22" s="29"/>
      <c r="O22" s="29"/>
      <c r="P22" s="71"/>
      <c r="Q22" s="29"/>
      <c r="R22" s="29"/>
      <c r="S22" s="29"/>
      <c r="T22" s="29"/>
      <c r="U22" s="29"/>
      <c r="V22" s="29"/>
      <c r="W22" s="29"/>
      <c r="X22" s="29"/>
      <c r="Y22" s="29"/>
      <c r="Z22" s="29"/>
    </row>
    <row r="23" ht="49.5" hidden="1" customHeight="1">
      <c r="A23" s="30"/>
      <c r="B23" s="72"/>
      <c r="C23" s="68"/>
      <c r="D23" s="69"/>
      <c r="E23" s="70"/>
      <c r="F23" s="63"/>
      <c r="G23" s="66"/>
      <c r="H23" s="55"/>
      <c r="I23" s="50"/>
      <c r="J23" s="59"/>
      <c r="K23" s="40"/>
      <c r="L23" s="60"/>
      <c r="M23" s="61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</row>
    <row r="24" ht="49.5" customHeight="1">
      <c r="A24" s="73"/>
      <c r="B24" s="2"/>
      <c r="C24" s="2"/>
      <c r="D24" s="2"/>
      <c r="E24" s="3"/>
      <c r="F24" s="74">
        <f>SUM(F4:F23)</f>
        <v>13100</v>
      </c>
      <c r="G24" s="74">
        <f t="shared" ref="G24:J24" si="1">SUM(G4:G14)</f>
        <v>4000</v>
      </c>
      <c r="H24" s="74">
        <f t="shared" si="1"/>
        <v>9800</v>
      </c>
      <c r="I24" s="74">
        <f t="shared" si="1"/>
        <v>0</v>
      </c>
      <c r="J24" s="74">
        <f t="shared" si="1"/>
        <v>0</v>
      </c>
      <c r="K24" s="75"/>
      <c r="L24" s="75"/>
      <c r="M24" s="76"/>
    </row>
    <row r="25" ht="48.0" customHeight="1">
      <c r="F25" s="77">
        <f>F24+G24+H24+I24+J24</f>
        <v>26900</v>
      </c>
      <c r="G25" s="2"/>
      <c r="H25" s="2"/>
      <c r="I25" s="2"/>
      <c r="J25" s="3"/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mergeCells count="12">
    <mergeCell ref="K2:K3"/>
    <mergeCell ref="L2:L3"/>
    <mergeCell ref="A24:E24"/>
    <mergeCell ref="F25:J25"/>
    <mergeCell ref="A1:M1"/>
    <mergeCell ref="A2:A3"/>
    <mergeCell ref="B2:B3"/>
    <mergeCell ref="C2:C3"/>
    <mergeCell ref="D2:D3"/>
    <mergeCell ref="E2:E3"/>
    <mergeCell ref="F2:J2"/>
    <mergeCell ref="M2:M3"/>
  </mergeCells>
  <dataValidations>
    <dataValidation type="list" allowBlank="1" showErrorMessage="1" sqref="M4:M23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59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8" t="s">
        <v>15</v>
      </c>
      <c r="B4" s="79">
        <v>46055.0</v>
      </c>
      <c r="C4" s="18" t="s">
        <v>60</v>
      </c>
      <c r="D4" s="19">
        <v>52669.0</v>
      </c>
      <c r="E4" s="80" t="s">
        <v>61</v>
      </c>
      <c r="F4" s="81">
        <v>27450.0</v>
      </c>
      <c r="G4" s="82"/>
      <c r="H4" s="83"/>
      <c r="I4" s="84"/>
      <c r="J4" s="85"/>
      <c r="K4" s="26" t="s">
        <v>62</v>
      </c>
      <c r="L4" s="86"/>
      <c r="M4" s="28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19</v>
      </c>
      <c r="B5" s="79">
        <v>46055.0</v>
      </c>
      <c r="C5" s="18" t="s">
        <v>63</v>
      </c>
      <c r="D5" s="19">
        <v>112233.0</v>
      </c>
      <c r="E5" s="87" t="s">
        <v>24</v>
      </c>
      <c r="F5" s="83"/>
      <c r="G5" s="82"/>
      <c r="H5" s="88">
        <v>2600.0</v>
      </c>
      <c r="I5" s="84"/>
      <c r="J5" s="89"/>
      <c r="K5" s="90" t="s">
        <v>62</v>
      </c>
      <c r="L5" s="86"/>
      <c r="M5" s="9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8" t="s">
        <v>22</v>
      </c>
      <c r="B6" s="43">
        <v>46055.0</v>
      </c>
      <c r="C6" s="44" t="s">
        <v>64</v>
      </c>
      <c r="D6" s="92">
        <v>43380.0</v>
      </c>
      <c r="E6" s="93" t="s">
        <v>65</v>
      </c>
      <c r="F6" s="94">
        <v>10000.0</v>
      </c>
      <c r="G6" s="82"/>
      <c r="H6" s="95"/>
      <c r="I6" s="96"/>
      <c r="J6" s="97"/>
      <c r="K6" s="98" t="s">
        <v>62</v>
      </c>
      <c r="L6" s="86"/>
      <c r="M6" s="91" t="s">
        <v>55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25</v>
      </c>
      <c r="B7" s="67"/>
      <c r="C7" s="68"/>
      <c r="D7" s="69"/>
      <c r="E7" s="70"/>
      <c r="F7" s="99"/>
      <c r="G7" s="99"/>
      <c r="H7" s="100"/>
      <c r="I7" s="96"/>
      <c r="J7" s="97"/>
      <c r="K7" s="98" t="s">
        <v>62</v>
      </c>
      <c r="L7" s="52"/>
      <c r="M7" s="101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8" t="s">
        <v>28</v>
      </c>
      <c r="B8" s="67"/>
      <c r="C8" s="68"/>
      <c r="D8" s="69"/>
      <c r="E8" s="70"/>
      <c r="F8" s="99"/>
      <c r="G8" s="99"/>
      <c r="H8" s="100"/>
      <c r="I8" s="96"/>
      <c r="J8" s="97"/>
      <c r="K8" s="98" t="s">
        <v>62</v>
      </c>
      <c r="L8" s="52"/>
      <c r="M8" s="101" t="s">
        <v>18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30</v>
      </c>
      <c r="B9" s="67"/>
      <c r="C9" s="68"/>
      <c r="D9" s="69"/>
      <c r="E9" s="70"/>
      <c r="F9" s="99"/>
      <c r="G9" s="99"/>
      <c r="H9" s="100"/>
      <c r="I9" s="96"/>
      <c r="J9" s="97"/>
      <c r="K9" s="98" t="s">
        <v>62</v>
      </c>
      <c r="L9" s="52"/>
      <c r="M9" s="101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37450</v>
      </c>
      <c r="G21" s="74">
        <f t="shared" si="1"/>
        <v>0</v>
      </c>
      <c r="H21" s="74">
        <f t="shared" si="1"/>
        <v>2600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40050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8" t="s">
        <v>15</v>
      </c>
      <c r="B4" s="108">
        <v>46056.0</v>
      </c>
      <c r="C4" s="109" t="s">
        <v>68</v>
      </c>
      <c r="D4" s="110">
        <v>112512.0</v>
      </c>
      <c r="E4" s="111" t="s">
        <v>69</v>
      </c>
      <c r="F4" s="112"/>
      <c r="G4" s="113"/>
      <c r="H4" s="114">
        <v>300.0</v>
      </c>
      <c r="I4" s="113"/>
      <c r="J4" s="85"/>
      <c r="K4" s="26" t="s">
        <v>62</v>
      </c>
      <c r="L4" s="86"/>
      <c r="M4" s="28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19</v>
      </c>
      <c r="B5" s="115">
        <v>46056.0</v>
      </c>
      <c r="C5" s="18" t="s">
        <v>70</v>
      </c>
      <c r="D5" s="116">
        <v>83352.0</v>
      </c>
      <c r="E5" s="117" t="s">
        <v>71</v>
      </c>
      <c r="F5" s="118">
        <v>25000.0</v>
      </c>
      <c r="G5" s="113"/>
      <c r="H5" s="119"/>
      <c r="I5" s="113"/>
      <c r="J5" s="89"/>
      <c r="K5" s="90" t="s">
        <v>62</v>
      </c>
      <c r="L5" s="86"/>
      <c r="M5" s="9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8" t="s">
        <v>22</v>
      </c>
      <c r="B6" s="115">
        <v>46056.0</v>
      </c>
      <c r="C6" s="18" t="s">
        <v>72</v>
      </c>
      <c r="D6" s="116">
        <v>10006.0</v>
      </c>
      <c r="E6" s="117" t="s">
        <v>73</v>
      </c>
      <c r="F6" s="112"/>
      <c r="G6" s="113"/>
      <c r="H6" s="114">
        <v>300.0</v>
      </c>
      <c r="I6" s="113"/>
      <c r="J6" s="97"/>
      <c r="K6" s="98" t="s">
        <v>62</v>
      </c>
      <c r="L6" s="86"/>
      <c r="M6" s="120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25</v>
      </c>
      <c r="B7" s="121">
        <v>46056.0</v>
      </c>
      <c r="C7" s="109" t="s">
        <v>74</v>
      </c>
      <c r="D7" s="110">
        <v>10249.0</v>
      </c>
      <c r="E7" s="111" t="s">
        <v>75</v>
      </c>
      <c r="F7" s="112"/>
      <c r="G7" s="113"/>
      <c r="H7" s="114">
        <v>23.0</v>
      </c>
      <c r="I7" s="113"/>
      <c r="J7" s="97"/>
      <c r="K7" s="98" t="s">
        <v>62</v>
      </c>
      <c r="L7" s="52"/>
      <c r="M7" s="122" t="s">
        <v>18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8" t="s">
        <v>28</v>
      </c>
      <c r="B8" s="123"/>
      <c r="C8" s="124"/>
      <c r="D8" s="125"/>
      <c r="E8" s="126"/>
      <c r="F8" s="112"/>
      <c r="G8" s="113"/>
      <c r="H8" s="119"/>
      <c r="I8" s="113"/>
      <c r="J8" s="97"/>
      <c r="K8" s="98"/>
      <c r="L8" s="52"/>
      <c r="M8" s="101" t="s">
        <v>18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30</v>
      </c>
      <c r="B9" s="67"/>
      <c r="C9" s="68"/>
      <c r="D9" s="69"/>
      <c r="E9" s="70"/>
      <c r="F9" s="99"/>
      <c r="G9" s="99"/>
      <c r="H9" s="100"/>
      <c r="I9" s="96"/>
      <c r="J9" s="97"/>
      <c r="K9" s="98"/>
      <c r="L9" s="52"/>
      <c r="M9" s="101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25000</v>
      </c>
      <c r="G21" s="74">
        <f t="shared" si="1"/>
        <v>0</v>
      </c>
      <c r="H21" s="74">
        <f t="shared" si="1"/>
        <v>623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25623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76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8" t="s">
        <v>15</v>
      </c>
      <c r="B4" s="127">
        <v>46056.0</v>
      </c>
      <c r="C4" s="128" t="s">
        <v>77</v>
      </c>
      <c r="D4" s="129">
        <v>79382.0</v>
      </c>
      <c r="E4" s="130" t="s">
        <v>78</v>
      </c>
      <c r="F4" s="131"/>
      <c r="G4" s="131"/>
      <c r="H4" s="132">
        <v>5100.0</v>
      </c>
      <c r="I4" s="131"/>
      <c r="J4" s="133"/>
      <c r="K4" s="134" t="s">
        <v>62</v>
      </c>
      <c r="L4" s="135"/>
      <c r="M4" s="136" t="s">
        <v>55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19</v>
      </c>
      <c r="B5" s="127">
        <v>46056.0</v>
      </c>
      <c r="C5" s="128" t="s">
        <v>79</v>
      </c>
      <c r="D5" s="129">
        <v>112543.0</v>
      </c>
      <c r="E5" s="130" t="s">
        <v>80</v>
      </c>
      <c r="F5" s="132"/>
      <c r="G5" s="131"/>
      <c r="H5" s="137">
        <v>300.0</v>
      </c>
      <c r="I5" s="131"/>
      <c r="J5" s="138"/>
      <c r="K5" s="139" t="s">
        <v>62</v>
      </c>
      <c r="L5" s="135"/>
      <c r="M5" s="140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8" t="s">
        <v>22</v>
      </c>
      <c r="B6" s="127">
        <v>46056.0</v>
      </c>
      <c r="C6" s="128" t="s">
        <v>81</v>
      </c>
      <c r="D6" s="129">
        <v>112557.0</v>
      </c>
      <c r="E6" s="130" t="s">
        <v>82</v>
      </c>
      <c r="F6" s="131"/>
      <c r="G6" s="131"/>
      <c r="H6" s="132">
        <v>300.0</v>
      </c>
      <c r="I6" s="131"/>
      <c r="J6" s="141"/>
      <c r="K6" s="142" t="s">
        <v>62</v>
      </c>
      <c r="L6" s="135"/>
      <c r="M6" s="140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25</v>
      </c>
      <c r="B7" s="127">
        <v>46056.0</v>
      </c>
      <c r="C7" s="128" t="s">
        <v>83</v>
      </c>
      <c r="D7" s="129">
        <v>112568.0</v>
      </c>
      <c r="E7" s="130" t="s">
        <v>84</v>
      </c>
      <c r="F7" s="131"/>
      <c r="G7" s="131"/>
      <c r="H7" s="132">
        <v>300.0</v>
      </c>
      <c r="I7" s="131"/>
      <c r="J7" s="141"/>
      <c r="K7" s="142" t="s">
        <v>62</v>
      </c>
      <c r="L7" s="143"/>
      <c r="M7" s="140" t="s">
        <v>18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8" t="s">
        <v>28</v>
      </c>
      <c r="B8" s="108">
        <v>46057.0</v>
      </c>
      <c r="C8" s="109" t="s">
        <v>85</v>
      </c>
      <c r="D8" s="144">
        <v>51017.0</v>
      </c>
      <c r="E8" s="111" t="s">
        <v>86</v>
      </c>
      <c r="F8" s="145">
        <v>8250.0</v>
      </c>
      <c r="G8" s="146"/>
      <c r="H8" s="146"/>
      <c r="I8" s="146"/>
      <c r="J8" s="97"/>
      <c r="K8" s="147" t="s">
        <v>62</v>
      </c>
      <c r="L8" s="52"/>
      <c r="M8" s="122" t="s">
        <v>18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30</v>
      </c>
      <c r="B9" s="43">
        <v>46057.0</v>
      </c>
      <c r="C9" s="44" t="s">
        <v>87</v>
      </c>
      <c r="D9" s="45">
        <v>68284.0</v>
      </c>
      <c r="E9" s="56" t="s">
        <v>88</v>
      </c>
      <c r="F9" s="94">
        <v>5950.0</v>
      </c>
      <c r="G9" s="99"/>
      <c r="H9" s="100"/>
      <c r="I9" s="96"/>
      <c r="J9" s="97"/>
      <c r="K9" s="147" t="s">
        <v>62</v>
      </c>
      <c r="L9" s="52"/>
      <c r="M9" s="122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14200</v>
      </c>
      <c r="G21" s="74">
        <f t="shared" si="1"/>
        <v>0</v>
      </c>
      <c r="H21" s="74">
        <f t="shared" si="1"/>
        <v>6000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20200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89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8" t="s">
        <v>15</v>
      </c>
      <c r="B4" s="148">
        <v>46058.0</v>
      </c>
      <c r="C4" s="18" t="s">
        <v>90</v>
      </c>
      <c r="D4" s="116">
        <v>10250.0</v>
      </c>
      <c r="E4" s="117" t="s">
        <v>91</v>
      </c>
      <c r="F4" s="149"/>
      <c r="G4" s="149"/>
      <c r="H4" s="150">
        <v>10000.0</v>
      </c>
      <c r="I4" s="149"/>
      <c r="J4" s="85"/>
      <c r="K4" s="151" t="s">
        <v>62</v>
      </c>
      <c r="L4" s="86"/>
      <c r="M4" s="152" t="s">
        <v>55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19</v>
      </c>
      <c r="B5" s="148">
        <v>46058.0</v>
      </c>
      <c r="C5" s="18" t="s">
        <v>92</v>
      </c>
      <c r="D5" s="116">
        <v>10250.0</v>
      </c>
      <c r="E5" s="117" t="s">
        <v>91</v>
      </c>
      <c r="F5" s="150">
        <v>10000.0</v>
      </c>
      <c r="G5" s="149"/>
      <c r="H5" s="153"/>
      <c r="I5" s="149"/>
      <c r="J5" s="89"/>
      <c r="K5" s="154" t="s">
        <v>62</v>
      </c>
      <c r="L5" s="86"/>
      <c r="M5" s="91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8" t="s">
        <v>22</v>
      </c>
      <c r="B6" s="148">
        <v>46058.0</v>
      </c>
      <c r="C6" s="18" t="s">
        <v>93</v>
      </c>
      <c r="D6" s="116">
        <v>112695.0</v>
      </c>
      <c r="E6" s="117" t="s">
        <v>94</v>
      </c>
      <c r="F6" s="149"/>
      <c r="G6" s="149"/>
      <c r="H6" s="150">
        <v>300.0</v>
      </c>
      <c r="I6" s="149"/>
      <c r="J6" s="97"/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25</v>
      </c>
      <c r="B7" s="148">
        <v>46058.0</v>
      </c>
      <c r="C7" s="18" t="s">
        <v>95</v>
      </c>
      <c r="D7" s="116">
        <v>112696.0</v>
      </c>
      <c r="E7" s="117" t="s">
        <v>96</v>
      </c>
      <c r="F7" s="149"/>
      <c r="G7" s="149"/>
      <c r="H7" s="150">
        <v>300.0</v>
      </c>
      <c r="I7" s="149"/>
      <c r="J7" s="97"/>
      <c r="K7" s="147" t="s">
        <v>62</v>
      </c>
      <c r="L7" s="52"/>
      <c r="M7" s="91" t="s">
        <v>18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8" t="s">
        <v>28</v>
      </c>
      <c r="B8" s="108">
        <v>46058.0</v>
      </c>
      <c r="C8" s="109" t="s">
        <v>97</v>
      </c>
      <c r="D8" s="144">
        <v>112711.0</v>
      </c>
      <c r="E8" s="111" t="s">
        <v>98</v>
      </c>
      <c r="F8" s="145"/>
      <c r="G8" s="146"/>
      <c r="H8" s="145">
        <v>300.0</v>
      </c>
      <c r="I8" s="146"/>
      <c r="J8" s="97"/>
      <c r="K8" s="147" t="s">
        <v>62</v>
      </c>
      <c r="L8" s="52"/>
      <c r="M8" s="122" t="s">
        <v>18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30</v>
      </c>
      <c r="B9" s="43">
        <v>46058.0</v>
      </c>
      <c r="C9" s="44" t="s">
        <v>99</v>
      </c>
      <c r="D9" s="45">
        <v>112725.0</v>
      </c>
      <c r="E9" s="56" t="s">
        <v>100</v>
      </c>
      <c r="F9" s="94"/>
      <c r="G9" s="99"/>
      <c r="H9" s="155">
        <v>350.0</v>
      </c>
      <c r="I9" s="96"/>
      <c r="J9" s="97"/>
      <c r="K9" s="147" t="s">
        <v>62</v>
      </c>
      <c r="L9" s="52"/>
      <c r="M9" s="122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10000</v>
      </c>
      <c r="G21" s="74">
        <f t="shared" si="1"/>
        <v>0</v>
      </c>
      <c r="H21" s="74">
        <f t="shared" si="1"/>
        <v>11250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21250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101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78" t="s">
        <v>15</v>
      </c>
      <c r="B4" s="148">
        <v>46059.0</v>
      </c>
      <c r="C4" s="18" t="s">
        <v>102</v>
      </c>
      <c r="D4" s="116">
        <v>10250.0</v>
      </c>
      <c r="E4" s="117" t="s">
        <v>91</v>
      </c>
      <c r="F4" s="149"/>
      <c r="G4" s="153">
        <v>5000.0</v>
      </c>
      <c r="H4" s="150"/>
      <c r="I4" s="149"/>
      <c r="J4" s="85"/>
      <c r="K4" s="151" t="s">
        <v>62</v>
      </c>
      <c r="L4" s="86"/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30" t="s">
        <v>19</v>
      </c>
      <c r="B5" s="148">
        <v>46059.0</v>
      </c>
      <c r="C5" s="18" t="s">
        <v>103</v>
      </c>
      <c r="D5" s="116">
        <v>43102.0</v>
      </c>
      <c r="E5" s="117" t="s">
        <v>104</v>
      </c>
      <c r="F5" s="150">
        <v>5100.0</v>
      </c>
      <c r="G5" s="149"/>
      <c r="H5" s="153"/>
      <c r="I5" s="149"/>
      <c r="J5" s="89"/>
      <c r="K5" s="154" t="s">
        <v>62</v>
      </c>
      <c r="L5" s="86"/>
      <c r="M5" s="9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8" t="s">
        <v>22</v>
      </c>
      <c r="B6" s="148">
        <v>46059.0</v>
      </c>
      <c r="C6" s="18" t="s">
        <v>105</v>
      </c>
      <c r="D6" s="116">
        <v>54426.0</v>
      </c>
      <c r="E6" s="117" t="s">
        <v>106</v>
      </c>
      <c r="F6" s="149"/>
      <c r="G6" s="149"/>
      <c r="H6" s="150"/>
      <c r="I6" s="149"/>
      <c r="J6" s="156">
        <v>70.0</v>
      </c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 t="s">
        <v>25</v>
      </c>
      <c r="B7" s="148">
        <v>46059.0</v>
      </c>
      <c r="C7" s="18" t="s">
        <v>107</v>
      </c>
      <c r="D7" s="116">
        <v>10288.0</v>
      </c>
      <c r="E7" s="117" t="s">
        <v>108</v>
      </c>
      <c r="F7" s="149"/>
      <c r="G7" s="149"/>
      <c r="H7" s="150"/>
      <c r="I7" s="149"/>
      <c r="J7" s="156">
        <v>35.0</v>
      </c>
      <c r="K7" s="147" t="s">
        <v>62</v>
      </c>
      <c r="L7" s="52"/>
      <c r="M7" s="91" t="s">
        <v>18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8" t="s">
        <v>28</v>
      </c>
      <c r="B8" s="108">
        <v>46059.0</v>
      </c>
      <c r="C8" s="109" t="s">
        <v>109</v>
      </c>
      <c r="D8" s="144">
        <v>112831.0</v>
      </c>
      <c r="E8" s="111" t="s">
        <v>110</v>
      </c>
      <c r="F8" s="145"/>
      <c r="G8" s="146"/>
      <c r="H8" s="145">
        <v>350.0</v>
      </c>
      <c r="I8" s="146"/>
      <c r="J8" s="97"/>
      <c r="K8" s="147" t="s">
        <v>62</v>
      </c>
      <c r="L8" s="52"/>
      <c r="M8" s="122" t="s">
        <v>18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 t="s">
        <v>30</v>
      </c>
      <c r="B9" s="43">
        <v>46059.0</v>
      </c>
      <c r="C9" s="44" t="s">
        <v>111</v>
      </c>
      <c r="D9" s="45">
        <v>112725.0</v>
      </c>
      <c r="E9" s="56" t="s">
        <v>112</v>
      </c>
      <c r="F9" s="94">
        <v>4600.0</v>
      </c>
      <c r="G9" s="99"/>
      <c r="H9" s="155"/>
      <c r="I9" s="96"/>
      <c r="J9" s="97"/>
      <c r="K9" s="147" t="s">
        <v>62</v>
      </c>
      <c r="L9" s="52"/>
      <c r="M9" s="122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9700</v>
      </c>
      <c r="G21" s="74">
        <f t="shared" si="1"/>
        <v>5000</v>
      </c>
      <c r="H21" s="74">
        <f t="shared" si="1"/>
        <v>350</v>
      </c>
      <c r="I21" s="74">
        <f t="shared" si="1"/>
        <v>0</v>
      </c>
      <c r="J21" s="74">
        <f t="shared" si="1"/>
        <v>105</v>
      </c>
      <c r="K21" s="75"/>
      <c r="L21" s="75"/>
      <c r="M21" s="76"/>
    </row>
    <row r="22" ht="48.0" customHeight="1">
      <c r="F22" s="77">
        <f>F21+G21+H21+I21+J21</f>
        <v>15155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57" t="s">
        <v>15</v>
      </c>
      <c r="B4" s="158">
        <v>46059.0</v>
      </c>
      <c r="C4" s="159" t="s">
        <v>114</v>
      </c>
      <c r="D4" s="160">
        <v>110056.0</v>
      </c>
      <c r="E4" s="161" t="s">
        <v>115</v>
      </c>
      <c r="F4" s="162">
        <v>3950.0</v>
      </c>
      <c r="G4" s="162"/>
      <c r="H4" s="163"/>
      <c r="I4" s="113"/>
      <c r="J4" s="164"/>
      <c r="K4" s="165" t="s">
        <v>62</v>
      </c>
      <c r="L4" s="166"/>
      <c r="M4" s="167" t="s">
        <v>55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68" t="s">
        <v>19</v>
      </c>
      <c r="B5" s="158">
        <v>46059.0</v>
      </c>
      <c r="C5" s="159" t="s">
        <v>116</v>
      </c>
      <c r="D5" s="160">
        <v>21828.0</v>
      </c>
      <c r="E5" s="161" t="s">
        <v>117</v>
      </c>
      <c r="F5" s="163"/>
      <c r="G5" s="162">
        <v>12000.0</v>
      </c>
      <c r="H5" s="162"/>
      <c r="I5" s="113"/>
      <c r="J5" s="169"/>
      <c r="K5" s="170" t="s">
        <v>62</v>
      </c>
      <c r="L5" s="166"/>
      <c r="M5" s="17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8" t="s">
        <v>22</v>
      </c>
      <c r="B6" s="148">
        <v>46060.0</v>
      </c>
      <c r="C6" s="18" t="s">
        <v>118</v>
      </c>
      <c r="D6" s="116">
        <v>54623.0</v>
      </c>
      <c r="E6" s="117" t="s">
        <v>119</v>
      </c>
      <c r="F6" s="149"/>
      <c r="G6" s="149"/>
      <c r="H6" s="150">
        <v>58.0</v>
      </c>
      <c r="I6" s="149"/>
      <c r="J6" s="156"/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30"/>
      <c r="B7" s="148"/>
      <c r="C7" s="18"/>
      <c r="D7" s="116"/>
      <c r="E7" s="117"/>
      <c r="F7" s="149"/>
      <c r="G7" s="149"/>
      <c r="H7" s="150"/>
      <c r="I7" s="149"/>
      <c r="J7" s="156"/>
      <c r="K7" s="147"/>
      <c r="L7" s="52"/>
      <c r="M7" s="9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78"/>
      <c r="B8" s="108"/>
      <c r="C8" s="109"/>
      <c r="D8" s="144"/>
      <c r="E8" s="111"/>
      <c r="F8" s="145"/>
      <c r="G8" s="146"/>
      <c r="H8" s="145"/>
      <c r="I8" s="146"/>
      <c r="J8" s="97"/>
      <c r="K8" s="147"/>
      <c r="L8" s="52"/>
      <c r="M8" s="12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43"/>
      <c r="C9" s="44"/>
      <c r="D9" s="45"/>
      <c r="E9" s="56"/>
      <c r="F9" s="94"/>
      <c r="G9" s="99"/>
      <c r="H9" s="155"/>
      <c r="I9" s="96"/>
      <c r="J9" s="97"/>
      <c r="K9" s="147"/>
      <c r="L9" s="52"/>
      <c r="M9" s="12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3950</v>
      </c>
      <c r="G21" s="74">
        <f t="shared" si="1"/>
        <v>12000</v>
      </c>
      <c r="H21" s="74">
        <f t="shared" si="1"/>
        <v>58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16008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120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72" t="s">
        <v>15</v>
      </c>
      <c r="B4" s="173">
        <v>46060.0</v>
      </c>
      <c r="C4" s="174" t="s">
        <v>121</v>
      </c>
      <c r="D4" s="175">
        <v>52686.0</v>
      </c>
      <c r="E4" s="176" t="s">
        <v>21</v>
      </c>
      <c r="F4" s="177"/>
      <c r="G4" s="177"/>
      <c r="H4" s="178">
        <v>74.0</v>
      </c>
      <c r="I4" s="179"/>
      <c r="J4" s="180"/>
      <c r="K4" s="181" t="s">
        <v>62</v>
      </c>
      <c r="L4" s="182"/>
      <c r="M4" s="183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84" t="s">
        <v>19</v>
      </c>
      <c r="B5" s="173">
        <v>46060.0</v>
      </c>
      <c r="C5" s="174" t="s">
        <v>122</v>
      </c>
      <c r="D5" s="175">
        <v>112929.0</v>
      </c>
      <c r="E5" s="176" t="s">
        <v>123</v>
      </c>
      <c r="F5" s="178"/>
      <c r="G5" s="177"/>
      <c r="H5" s="177">
        <v>300.0</v>
      </c>
      <c r="I5" s="179"/>
      <c r="J5" s="185"/>
      <c r="K5" s="186" t="s">
        <v>62</v>
      </c>
      <c r="L5" s="182"/>
      <c r="M5" s="187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8" t="s">
        <v>22</v>
      </c>
      <c r="B6" s="148">
        <v>46061.0</v>
      </c>
      <c r="C6" s="18" t="s">
        <v>124</v>
      </c>
      <c r="D6" s="116">
        <v>10250.0</v>
      </c>
      <c r="E6" s="117" t="s">
        <v>91</v>
      </c>
      <c r="F6" s="149"/>
      <c r="G6" s="149"/>
      <c r="H6" s="150">
        <v>10800.0</v>
      </c>
      <c r="I6" s="149"/>
      <c r="J6" s="156"/>
      <c r="K6" s="147" t="s">
        <v>125</v>
      </c>
      <c r="L6" s="86"/>
      <c r="M6" s="91" t="s">
        <v>66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88" t="s">
        <v>25</v>
      </c>
      <c r="B7" s="148">
        <v>46061.0</v>
      </c>
      <c r="C7" s="18" t="s">
        <v>126</v>
      </c>
      <c r="D7" s="116">
        <v>82096.0</v>
      </c>
      <c r="E7" s="117" t="s">
        <v>127</v>
      </c>
      <c r="F7" s="153">
        <v>9500.0</v>
      </c>
      <c r="G7" s="149"/>
      <c r="H7" s="150"/>
      <c r="I7" s="149"/>
      <c r="J7" s="156"/>
      <c r="K7" s="147" t="s">
        <v>62</v>
      </c>
      <c r="L7" s="52"/>
      <c r="M7" s="91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89" t="s">
        <v>28</v>
      </c>
      <c r="B8" s="108">
        <v>46061.0</v>
      </c>
      <c r="C8" s="109" t="s">
        <v>128</v>
      </c>
      <c r="D8" s="144">
        <v>82400.0</v>
      </c>
      <c r="E8" s="111" t="s">
        <v>129</v>
      </c>
      <c r="F8" s="145">
        <v>2600.0</v>
      </c>
      <c r="G8" s="146"/>
      <c r="H8" s="145"/>
      <c r="I8" s="146"/>
      <c r="J8" s="97"/>
      <c r="K8" s="147" t="s">
        <v>62</v>
      </c>
      <c r="L8" s="52"/>
      <c r="M8" s="122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43"/>
      <c r="C9" s="44"/>
      <c r="D9" s="45"/>
      <c r="E9" s="56"/>
      <c r="F9" s="94"/>
      <c r="G9" s="99"/>
      <c r="H9" s="155"/>
      <c r="I9" s="96"/>
      <c r="J9" s="97"/>
      <c r="K9" s="147"/>
      <c r="L9" s="52"/>
      <c r="M9" s="12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12100</v>
      </c>
      <c r="G21" s="74">
        <f t="shared" si="1"/>
        <v>0</v>
      </c>
      <c r="H21" s="74">
        <f t="shared" si="1"/>
        <v>11174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23274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130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46061.0</v>
      </c>
      <c r="C4" s="18" t="s">
        <v>131</v>
      </c>
      <c r="D4" s="116">
        <v>112984.0</v>
      </c>
      <c r="E4" s="117" t="s">
        <v>132</v>
      </c>
      <c r="F4" s="153"/>
      <c r="G4" s="153"/>
      <c r="H4" s="150">
        <v>300.0</v>
      </c>
      <c r="I4" s="149"/>
      <c r="J4" s="85"/>
      <c r="K4" s="151" t="s">
        <v>62</v>
      </c>
      <c r="L4" s="86"/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0" t="s">
        <v>19</v>
      </c>
      <c r="B5" s="148">
        <v>46062.0</v>
      </c>
      <c r="C5" s="18" t="s">
        <v>133</v>
      </c>
      <c r="D5" s="116">
        <v>47787.0</v>
      </c>
      <c r="E5" s="117" t="s">
        <v>134</v>
      </c>
      <c r="F5" s="150">
        <v>10000.0</v>
      </c>
      <c r="G5" s="153"/>
      <c r="H5" s="153"/>
      <c r="I5" s="149"/>
      <c r="J5" s="89"/>
      <c r="K5" s="147" t="s">
        <v>125</v>
      </c>
      <c r="L5" s="86"/>
      <c r="M5" s="91" t="s">
        <v>66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78" t="s">
        <v>22</v>
      </c>
      <c r="B6" s="148">
        <v>46062.0</v>
      </c>
      <c r="C6" s="18" t="s">
        <v>135</v>
      </c>
      <c r="D6" s="116">
        <v>21818.0</v>
      </c>
      <c r="E6" s="117" t="s">
        <v>136</v>
      </c>
      <c r="F6" s="153"/>
      <c r="G6" s="153">
        <v>4000.0</v>
      </c>
      <c r="H6" s="150"/>
      <c r="I6" s="149"/>
      <c r="J6" s="156"/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88" t="s">
        <v>25</v>
      </c>
      <c r="B7" s="148">
        <v>46062.0</v>
      </c>
      <c r="C7" s="18" t="s">
        <v>137</v>
      </c>
      <c r="D7" s="116">
        <v>38299.0</v>
      </c>
      <c r="E7" s="117" t="s">
        <v>138</v>
      </c>
      <c r="F7" s="153"/>
      <c r="G7" s="153">
        <v>4000.0</v>
      </c>
      <c r="H7" s="150"/>
      <c r="I7" s="149"/>
      <c r="J7" s="156"/>
      <c r="K7" s="147" t="s">
        <v>62</v>
      </c>
      <c r="L7" s="52"/>
      <c r="M7" s="91" t="s">
        <v>18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89" t="s">
        <v>28</v>
      </c>
      <c r="B8" s="108">
        <v>46062.0</v>
      </c>
      <c r="C8" s="109" t="s">
        <v>139</v>
      </c>
      <c r="D8" s="110">
        <v>21928.0</v>
      </c>
      <c r="E8" s="111" t="s">
        <v>140</v>
      </c>
      <c r="F8" s="145"/>
      <c r="G8" s="145">
        <v>4000.0</v>
      </c>
      <c r="H8" s="145"/>
      <c r="I8" s="146"/>
      <c r="J8" s="97"/>
      <c r="K8" s="147" t="s">
        <v>62</v>
      </c>
      <c r="L8" s="52"/>
      <c r="M8" s="122" t="s">
        <v>18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30"/>
      <c r="B9" s="43"/>
      <c r="C9" s="44"/>
      <c r="D9" s="45"/>
      <c r="E9" s="56"/>
      <c r="F9" s="94"/>
      <c r="G9" s="99"/>
      <c r="H9" s="155"/>
      <c r="I9" s="96"/>
      <c r="J9" s="97"/>
      <c r="K9" s="147"/>
      <c r="L9" s="52"/>
      <c r="M9" s="12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10000</v>
      </c>
      <c r="G21" s="74">
        <f t="shared" si="1"/>
        <v>12000</v>
      </c>
      <c r="H21" s="74">
        <f t="shared" si="1"/>
        <v>300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22300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46063.0</v>
      </c>
      <c r="C4" s="18" t="s">
        <v>142</v>
      </c>
      <c r="D4" s="116">
        <v>51017.0</v>
      </c>
      <c r="E4" s="117" t="s">
        <v>86</v>
      </c>
      <c r="F4" s="153">
        <v>10000.0</v>
      </c>
      <c r="G4" s="153"/>
      <c r="H4" s="150"/>
      <c r="I4" s="149"/>
      <c r="J4" s="85"/>
      <c r="K4" s="151" t="s">
        <v>62</v>
      </c>
      <c r="L4" s="191" t="s">
        <v>143</v>
      </c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0"/>
      <c r="B5" s="148"/>
      <c r="C5" s="18"/>
      <c r="D5" s="116"/>
      <c r="E5" s="117"/>
      <c r="F5" s="150"/>
      <c r="G5" s="153"/>
      <c r="H5" s="153"/>
      <c r="I5" s="149"/>
      <c r="J5" s="89"/>
      <c r="K5" s="147"/>
      <c r="L5" s="86"/>
      <c r="M5" s="91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hidden="1" customHeight="1">
      <c r="A6" s="78"/>
      <c r="B6" s="148"/>
      <c r="C6" s="18"/>
      <c r="D6" s="116"/>
      <c r="E6" s="117"/>
      <c r="F6" s="153"/>
      <c r="G6" s="153"/>
      <c r="H6" s="150"/>
      <c r="I6" s="149"/>
      <c r="J6" s="156"/>
      <c r="K6" s="147"/>
      <c r="L6" s="86"/>
      <c r="M6" s="91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188"/>
      <c r="B7" s="148"/>
      <c r="C7" s="18"/>
      <c r="D7" s="116"/>
      <c r="E7" s="117"/>
      <c r="F7" s="153"/>
      <c r="G7" s="153"/>
      <c r="H7" s="150"/>
      <c r="I7" s="149"/>
      <c r="J7" s="156"/>
      <c r="K7" s="147"/>
      <c r="L7" s="52"/>
      <c r="M7" s="9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89"/>
      <c r="B8" s="108"/>
      <c r="C8" s="109"/>
      <c r="D8" s="110"/>
      <c r="E8" s="111"/>
      <c r="F8" s="145"/>
      <c r="G8" s="145"/>
      <c r="H8" s="145"/>
      <c r="I8" s="146"/>
      <c r="J8" s="97"/>
      <c r="K8" s="147"/>
      <c r="L8" s="52"/>
      <c r="M8" s="12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/>
      <c r="B9" s="43"/>
      <c r="C9" s="44"/>
      <c r="D9" s="45"/>
      <c r="E9" s="56"/>
      <c r="F9" s="94"/>
      <c r="G9" s="99"/>
      <c r="H9" s="155"/>
      <c r="I9" s="96"/>
      <c r="J9" s="97"/>
      <c r="K9" s="147"/>
      <c r="L9" s="52"/>
      <c r="M9" s="12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10000</v>
      </c>
      <c r="G21" s="74">
        <f t="shared" si="1"/>
        <v>0</v>
      </c>
      <c r="H21" s="74">
        <f t="shared" si="1"/>
        <v>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10000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46064.0</v>
      </c>
      <c r="C4" s="18" t="s">
        <v>145</v>
      </c>
      <c r="D4" s="116">
        <v>10250.0</v>
      </c>
      <c r="E4" s="117" t="s">
        <v>91</v>
      </c>
      <c r="F4" s="153">
        <v>10000.0</v>
      </c>
      <c r="G4" s="153"/>
      <c r="H4" s="150"/>
      <c r="I4" s="149"/>
      <c r="J4" s="85"/>
      <c r="K4" s="151" t="s">
        <v>125</v>
      </c>
      <c r="L4" s="191"/>
      <c r="M4" s="152" t="s">
        <v>66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46064.0</v>
      </c>
      <c r="C5" s="18" t="s">
        <v>146</v>
      </c>
      <c r="D5" s="116">
        <v>113182.0</v>
      </c>
      <c r="E5" s="117" t="s">
        <v>147</v>
      </c>
      <c r="F5" s="150"/>
      <c r="G5" s="153"/>
      <c r="H5" s="153">
        <v>300.0</v>
      </c>
      <c r="I5" s="149"/>
      <c r="J5" s="89"/>
      <c r="K5" s="147" t="s">
        <v>62</v>
      </c>
      <c r="L5" s="86"/>
      <c r="M5" s="91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89" t="s">
        <v>22</v>
      </c>
      <c r="B6" s="148">
        <v>46064.0</v>
      </c>
      <c r="C6" s="18" t="s">
        <v>148</v>
      </c>
      <c r="D6" s="116">
        <v>35227.0</v>
      </c>
      <c r="E6" s="117" t="s">
        <v>149</v>
      </c>
      <c r="F6" s="153"/>
      <c r="G6" s="153"/>
      <c r="H6" s="150">
        <v>35.0</v>
      </c>
      <c r="I6" s="149"/>
      <c r="J6" s="156"/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88"/>
      <c r="B7" s="148"/>
      <c r="C7" s="18"/>
      <c r="D7" s="116"/>
      <c r="E7" s="117"/>
      <c r="F7" s="153"/>
      <c r="G7" s="153"/>
      <c r="H7" s="150"/>
      <c r="I7" s="149"/>
      <c r="J7" s="156"/>
      <c r="K7" s="147"/>
      <c r="L7" s="52"/>
      <c r="M7" s="9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89"/>
      <c r="B8" s="108"/>
      <c r="C8" s="109"/>
      <c r="D8" s="110"/>
      <c r="E8" s="111"/>
      <c r="F8" s="145"/>
      <c r="G8" s="145"/>
      <c r="H8" s="145"/>
      <c r="I8" s="146"/>
      <c r="J8" s="97"/>
      <c r="K8" s="147"/>
      <c r="L8" s="52"/>
      <c r="M8" s="12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30"/>
      <c r="B9" s="43"/>
      <c r="C9" s="44"/>
      <c r="D9" s="45"/>
      <c r="E9" s="56"/>
      <c r="F9" s="94"/>
      <c r="G9" s="99"/>
      <c r="H9" s="155"/>
      <c r="I9" s="96"/>
      <c r="J9" s="97"/>
      <c r="K9" s="147"/>
      <c r="L9" s="52"/>
      <c r="M9" s="12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78" t="s">
        <v>32</v>
      </c>
      <c r="B10" s="67"/>
      <c r="C10" s="68"/>
      <c r="D10" s="69"/>
      <c r="E10" s="70"/>
      <c r="F10" s="102"/>
      <c r="G10" s="102"/>
      <c r="H10" s="103"/>
      <c r="I10" s="96"/>
      <c r="J10" s="97"/>
      <c r="K10" s="98" t="s">
        <v>62</v>
      </c>
      <c r="L10" s="52"/>
      <c r="M10" s="101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30" t="s">
        <v>35</v>
      </c>
      <c r="B11" s="67"/>
      <c r="C11" s="68"/>
      <c r="D11" s="69"/>
      <c r="E11" s="70"/>
      <c r="F11" s="102"/>
      <c r="G11" s="102"/>
      <c r="H11" s="103"/>
      <c r="I11" s="96"/>
      <c r="J11" s="97"/>
      <c r="K11" s="98" t="s">
        <v>62</v>
      </c>
      <c r="L11" s="52"/>
      <c r="M11" s="101" t="s">
        <v>55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78" t="s">
        <v>38</v>
      </c>
      <c r="B12" s="67"/>
      <c r="C12" s="68"/>
      <c r="D12" s="69"/>
      <c r="E12" s="70"/>
      <c r="F12" s="102"/>
      <c r="G12" s="102"/>
      <c r="H12" s="103"/>
      <c r="I12" s="96"/>
      <c r="J12" s="97"/>
      <c r="K12" s="98" t="s">
        <v>62</v>
      </c>
      <c r="L12" s="52"/>
      <c r="M12" s="101" t="s">
        <v>55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30" t="s">
        <v>41</v>
      </c>
      <c r="B13" s="67"/>
      <c r="C13" s="68"/>
      <c r="D13" s="69"/>
      <c r="E13" s="70"/>
      <c r="F13" s="102"/>
      <c r="G13" s="102"/>
      <c r="H13" s="103"/>
      <c r="I13" s="96"/>
      <c r="J13" s="97"/>
      <c r="K13" s="98" t="s">
        <v>62</v>
      </c>
      <c r="L13" s="52"/>
      <c r="M13" s="101" t="s">
        <v>55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78" t="s">
        <v>44</v>
      </c>
      <c r="B14" s="67"/>
      <c r="C14" s="68"/>
      <c r="D14" s="69"/>
      <c r="E14" s="70"/>
      <c r="F14" s="102"/>
      <c r="G14" s="102"/>
      <c r="H14" s="103"/>
      <c r="I14" s="96"/>
      <c r="J14" s="97"/>
      <c r="K14" s="98" t="s">
        <v>62</v>
      </c>
      <c r="L14" s="52"/>
      <c r="M14" s="101" t="s">
        <v>66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30" t="s">
        <v>47</v>
      </c>
      <c r="B15" s="67"/>
      <c r="C15" s="68"/>
      <c r="D15" s="69"/>
      <c r="E15" s="70"/>
      <c r="F15" s="102"/>
      <c r="G15" s="102"/>
      <c r="H15" s="103"/>
      <c r="I15" s="96"/>
      <c r="J15" s="97"/>
      <c r="K15" s="98" t="s">
        <v>62</v>
      </c>
      <c r="L15" s="52"/>
      <c r="M15" s="101" t="s">
        <v>18</v>
      </c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 t="s">
        <v>50</v>
      </c>
      <c r="B16" s="67"/>
      <c r="C16" s="68"/>
      <c r="D16" s="69"/>
      <c r="E16" s="70"/>
      <c r="F16" s="102"/>
      <c r="G16" s="102"/>
      <c r="H16" s="103"/>
      <c r="I16" s="96"/>
      <c r="J16" s="97"/>
      <c r="K16" s="98" t="s">
        <v>62</v>
      </c>
      <c r="L16" s="52"/>
      <c r="M16" s="101" t="s">
        <v>18</v>
      </c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 t="s">
        <v>53</v>
      </c>
      <c r="B17" s="67"/>
      <c r="C17" s="68"/>
      <c r="D17" s="69"/>
      <c r="E17" s="70"/>
      <c r="F17" s="102"/>
      <c r="G17" s="102"/>
      <c r="H17" s="103"/>
      <c r="I17" s="96"/>
      <c r="J17" s="97"/>
      <c r="K17" s="98" t="s">
        <v>62</v>
      </c>
      <c r="L17" s="52"/>
      <c r="M17" s="101" t="s">
        <v>18</v>
      </c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 t="s">
        <v>54</v>
      </c>
      <c r="B18" s="67"/>
      <c r="C18" s="68"/>
      <c r="D18" s="69"/>
      <c r="E18" s="70"/>
      <c r="F18" s="102"/>
      <c r="G18" s="102"/>
      <c r="H18" s="103"/>
      <c r="I18" s="96"/>
      <c r="J18" s="97"/>
      <c r="K18" s="98" t="s">
        <v>62</v>
      </c>
      <c r="L18" s="52"/>
      <c r="M18" s="101" t="s">
        <v>18</v>
      </c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 t="s">
        <v>56</v>
      </c>
      <c r="B19" s="67"/>
      <c r="C19" s="68"/>
      <c r="D19" s="69"/>
      <c r="E19" s="70"/>
      <c r="F19" s="102"/>
      <c r="G19" s="102"/>
      <c r="H19" s="103"/>
      <c r="I19" s="96"/>
      <c r="J19" s="97"/>
      <c r="K19" s="98" t="s">
        <v>62</v>
      </c>
      <c r="L19" s="52"/>
      <c r="M19" s="101" t="s">
        <v>55</v>
      </c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10000</v>
      </c>
      <c r="G21" s="74">
        <f t="shared" si="1"/>
        <v>0</v>
      </c>
      <c r="H21" s="74">
        <f t="shared" si="1"/>
        <v>335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10335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150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46064.0</v>
      </c>
      <c r="C4" s="18" t="s">
        <v>151</v>
      </c>
      <c r="D4" s="116">
        <v>95492.0</v>
      </c>
      <c r="E4" s="117" t="s">
        <v>152</v>
      </c>
      <c r="F4" s="193"/>
      <c r="G4" s="193"/>
      <c r="H4" s="194">
        <v>21850.0</v>
      </c>
      <c r="I4" s="149"/>
      <c r="J4" s="85"/>
      <c r="K4" s="151" t="s">
        <v>62</v>
      </c>
      <c r="L4" s="191"/>
      <c r="M4" s="152" t="s">
        <v>55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46065.0</v>
      </c>
      <c r="C5" s="18" t="s">
        <v>153</v>
      </c>
      <c r="D5" s="116">
        <v>25541.0</v>
      </c>
      <c r="E5" s="117" t="s">
        <v>154</v>
      </c>
      <c r="F5" s="194">
        <v>4500.0</v>
      </c>
      <c r="G5" s="193"/>
      <c r="H5" s="193"/>
      <c r="I5" s="149"/>
      <c r="J5" s="89"/>
      <c r="K5" s="147" t="s">
        <v>62</v>
      </c>
      <c r="L5" s="86"/>
      <c r="M5" s="9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148">
        <v>46065.0</v>
      </c>
      <c r="C6" s="18" t="s">
        <v>155</v>
      </c>
      <c r="D6" s="116">
        <v>25541.0</v>
      </c>
      <c r="E6" s="117" t="s">
        <v>154</v>
      </c>
      <c r="F6" s="193">
        <v>4500.0</v>
      </c>
      <c r="G6" s="193"/>
      <c r="H6" s="194"/>
      <c r="I6" s="149"/>
      <c r="J6" s="156"/>
      <c r="K6" s="147" t="s">
        <v>62</v>
      </c>
      <c r="L6" s="86"/>
      <c r="M6" s="91" t="s">
        <v>55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148">
        <v>46065.0</v>
      </c>
      <c r="C7" s="18" t="s">
        <v>156</v>
      </c>
      <c r="D7" s="116">
        <v>25541.0</v>
      </c>
      <c r="E7" s="117" t="s">
        <v>154</v>
      </c>
      <c r="F7" s="193">
        <v>4750.0</v>
      </c>
      <c r="G7" s="193"/>
      <c r="H7" s="194"/>
      <c r="I7" s="149"/>
      <c r="J7" s="156"/>
      <c r="K7" s="147" t="s">
        <v>62</v>
      </c>
      <c r="L7" s="52"/>
      <c r="M7" s="91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108">
        <v>46065.0</v>
      </c>
      <c r="C8" s="109" t="s">
        <v>157</v>
      </c>
      <c r="D8" s="110">
        <v>111867.0</v>
      </c>
      <c r="E8" s="111" t="s">
        <v>158</v>
      </c>
      <c r="F8" s="195">
        <v>4100.0</v>
      </c>
      <c r="G8" s="195"/>
      <c r="H8" s="195"/>
      <c r="I8" s="146"/>
      <c r="J8" s="97"/>
      <c r="K8" s="147" t="s">
        <v>62</v>
      </c>
      <c r="L8" s="52"/>
      <c r="M8" s="122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92" t="s">
        <v>30</v>
      </c>
      <c r="B9" s="43">
        <v>46065.0</v>
      </c>
      <c r="C9" s="44" t="s">
        <v>159</v>
      </c>
      <c r="D9" s="45">
        <v>51660.0</v>
      </c>
      <c r="E9" s="56" t="s">
        <v>160</v>
      </c>
      <c r="F9" s="196">
        <v>5100.0</v>
      </c>
      <c r="G9" s="102"/>
      <c r="H9" s="197"/>
      <c r="I9" s="96"/>
      <c r="J9" s="97"/>
      <c r="K9" s="147" t="s">
        <v>62</v>
      </c>
      <c r="L9" s="52"/>
      <c r="M9" s="122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32</v>
      </c>
      <c r="B10" s="43">
        <v>46065.0</v>
      </c>
      <c r="C10" s="44" t="s">
        <v>161</v>
      </c>
      <c r="D10" s="45">
        <v>113253.0</v>
      </c>
      <c r="E10" s="56" t="s">
        <v>162</v>
      </c>
      <c r="F10" s="102"/>
      <c r="G10" s="102"/>
      <c r="H10" s="197">
        <v>300.0</v>
      </c>
      <c r="I10" s="96"/>
      <c r="J10" s="97"/>
      <c r="K10" s="147" t="s">
        <v>62</v>
      </c>
      <c r="L10" s="52"/>
      <c r="M10" s="122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92" t="s">
        <v>35</v>
      </c>
      <c r="B11" s="43">
        <v>46065.0</v>
      </c>
      <c r="C11" s="44" t="s">
        <v>163</v>
      </c>
      <c r="D11" s="45">
        <v>112922.0</v>
      </c>
      <c r="E11" s="56" t="s">
        <v>164</v>
      </c>
      <c r="F11" s="102"/>
      <c r="G11" s="196">
        <v>2500.0</v>
      </c>
      <c r="H11" s="103"/>
      <c r="I11" s="96"/>
      <c r="J11" s="97"/>
      <c r="K11" s="147" t="s">
        <v>62</v>
      </c>
      <c r="L11" s="52"/>
      <c r="M11" s="122" t="s">
        <v>18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 t="s">
        <v>38</v>
      </c>
      <c r="B12" s="43">
        <v>46065.0</v>
      </c>
      <c r="C12" s="44" t="s">
        <v>165</v>
      </c>
      <c r="D12" s="45">
        <v>113258.0</v>
      </c>
      <c r="E12" s="56" t="s">
        <v>166</v>
      </c>
      <c r="F12" s="102"/>
      <c r="G12" s="102"/>
      <c r="H12" s="197">
        <v>350.0</v>
      </c>
      <c r="I12" s="96"/>
      <c r="J12" s="97"/>
      <c r="K12" s="147" t="s">
        <v>62</v>
      </c>
      <c r="L12" s="52"/>
      <c r="M12" s="122" t="s">
        <v>18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22950</v>
      </c>
      <c r="G21" s="74">
        <f t="shared" si="1"/>
        <v>2500</v>
      </c>
      <c r="H21" s="74">
        <f t="shared" si="1"/>
        <v>22500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47950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167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46065.0</v>
      </c>
      <c r="C4" s="18" t="s">
        <v>168</v>
      </c>
      <c r="D4" s="116">
        <v>113289.0</v>
      </c>
      <c r="E4" s="117" t="s">
        <v>169</v>
      </c>
      <c r="F4" s="193"/>
      <c r="G4" s="193"/>
      <c r="H4" s="194">
        <v>300.0</v>
      </c>
      <c r="I4" s="149"/>
      <c r="J4" s="85"/>
      <c r="K4" s="151" t="s">
        <v>62</v>
      </c>
      <c r="L4" s="191"/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46065.0</v>
      </c>
      <c r="C5" s="18" t="s">
        <v>170</v>
      </c>
      <c r="D5" s="116">
        <v>113292.0</v>
      </c>
      <c r="E5" s="117" t="s">
        <v>171</v>
      </c>
      <c r="F5" s="194"/>
      <c r="G5" s="193"/>
      <c r="H5" s="193">
        <v>350.0</v>
      </c>
      <c r="I5" s="149"/>
      <c r="J5" s="89"/>
      <c r="K5" s="147" t="s">
        <v>62</v>
      </c>
      <c r="L5" s="86"/>
      <c r="M5" s="9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148">
        <v>46065.0</v>
      </c>
      <c r="C6" s="18" t="s">
        <v>172</v>
      </c>
      <c r="D6" s="116">
        <v>51660.0</v>
      </c>
      <c r="E6" s="117" t="s">
        <v>160</v>
      </c>
      <c r="F6" s="193"/>
      <c r="G6" s="193"/>
      <c r="H6" s="194">
        <v>35.0</v>
      </c>
      <c r="I6" s="149"/>
      <c r="J6" s="156"/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148">
        <v>46066.0</v>
      </c>
      <c r="C7" s="18" t="s">
        <v>173</v>
      </c>
      <c r="D7" s="116">
        <v>21828.0</v>
      </c>
      <c r="E7" s="117" t="s">
        <v>117</v>
      </c>
      <c r="F7" s="193"/>
      <c r="G7" s="193"/>
      <c r="H7" s="194">
        <v>5100.0</v>
      </c>
      <c r="I7" s="149"/>
      <c r="J7" s="156"/>
      <c r="K7" s="147" t="s">
        <v>62</v>
      </c>
      <c r="L7" s="52"/>
      <c r="M7" s="91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108">
        <v>46066.0</v>
      </c>
      <c r="C8" s="109" t="s">
        <v>174</v>
      </c>
      <c r="D8" s="110">
        <v>83352.0</v>
      </c>
      <c r="E8" s="111" t="s">
        <v>71</v>
      </c>
      <c r="F8" s="195">
        <v>25600.0</v>
      </c>
      <c r="G8" s="195"/>
      <c r="H8" s="195"/>
      <c r="I8" s="146"/>
      <c r="J8" s="97"/>
      <c r="K8" s="147" t="s">
        <v>62</v>
      </c>
      <c r="L8" s="52"/>
      <c r="M8" s="122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92" t="s">
        <v>30</v>
      </c>
      <c r="B9" s="43"/>
      <c r="C9" s="44"/>
      <c r="D9" s="45"/>
      <c r="E9" s="56"/>
      <c r="F9" s="196"/>
      <c r="G9" s="102"/>
      <c r="H9" s="197"/>
      <c r="I9" s="96"/>
      <c r="J9" s="97"/>
      <c r="K9" s="147" t="s">
        <v>62</v>
      </c>
      <c r="L9" s="52"/>
      <c r="M9" s="122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32</v>
      </c>
      <c r="B10" s="43"/>
      <c r="C10" s="44"/>
      <c r="D10" s="45"/>
      <c r="E10" s="56"/>
      <c r="F10" s="102"/>
      <c r="G10" s="102"/>
      <c r="H10" s="197"/>
      <c r="I10" s="96"/>
      <c r="J10" s="97"/>
      <c r="K10" s="147" t="s">
        <v>62</v>
      </c>
      <c r="L10" s="52"/>
      <c r="M10" s="122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92" t="s">
        <v>35</v>
      </c>
      <c r="B11" s="43"/>
      <c r="C11" s="44"/>
      <c r="D11" s="45"/>
      <c r="E11" s="56"/>
      <c r="F11" s="102"/>
      <c r="G11" s="196"/>
      <c r="H11" s="103"/>
      <c r="I11" s="96"/>
      <c r="J11" s="97"/>
      <c r="K11" s="147" t="s">
        <v>62</v>
      </c>
      <c r="L11" s="52"/>
      <c r="M11" s="122" t="s">
        <v>18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 t="s">
        <v>38</v>
      </c>
      <c r="B12" s="43"/>
      <c r="C12" s="44"/>
      <c r="D12" s="45"/>
      <c r="E12" s="56"/>
      <c r="F12" s="102"/>
      <c r="G12" s="102"/>
      <c r="H12" s="197"/>
      <c r="I12" s="96"/>
      <c r="J12" s="97"/>
      <c r="K12" s="147" t="s">
        <v>62</v>
      </c>
      <c r="L12" s="52"/>
      <c r="M12" s="122" t="s">
        <v>18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25600</v>
      </c>
      <c r="G21" s="74">
        <f t="shared" si="1"/>
        <v>0</v>
      </c>
      <c r="H21" s="74">
        <f t="shared" si="1"/>
        <v>5785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31385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175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46067.0</v>
      </c>
      <c r="C4" s="18" t="s">
        <v>176</v>
      </c>
      <c r="D4" s="116">
        <v>87820.0</v>
      </c>
      <c r="E4" s="117" t="s">
        <v>34</v>
      </c>
      <c r="F4" s="193"/>
      <c r="G4" s="193"/>
      <c r="H4" s="194">
        <v>45000.0</v>
      </c>
      <c r="I4" s="149"/>
      <c r="J4" s="85"/>
      <c r="K4" s="151" t="s">
        <v>62</v>
      </c>
      <c r="L4" s="191"/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46067.0</v>
      </c>
      <c r="C5" s="18" t="s">
        <v>177</v>
      </c>
      <c r="D5" s="116">
        <v>89536.0</v>
      </c>
      <c r="E5" s="117" t="s">
        <v>178</v>
      </c>
      <c r="F5" s="194"/>
      <c r="G5" s="193"/>
      <c r="H5" s="193">
        <v>12000.0</v>
      </c>
      <c r="I5" s="149"/>
      <c r="J5" s="89"/>
      <c r="K5" s="147" t="s">
        <v>62</v>
      </c>
      <c r="L5" s="86"/>
      <c r="M5" s="9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148">
        <v>46067.0</v>
      </c>
      <c r="C6" s="18" t="s">
        <v>179</v>
      </c>
      <c r="D6" s="116">
        <v>30895.0</v>
      </c>
      <c r="E6" s="117" t="s">
        <v>180</v>
      </c>
      <c r="F6" s="193"/>
      <c r="G6" s="193">
        <v>900.0</v>
      </c>
      <c r="H6" s="194"/>
      <c r="I6" s="149"/>
      <c r="J6" s="156"/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148">
        <v>46067.0</v>
      </c>
      <c r="C7" s="18" t="s">
        <v>181</v>
      </c>
      <c r="D7" s="116">
        <v>10271.0</v>
      </c>
      <c r="E7" s="117" t="s">
        <v>182</v>
      </c>
      <c r="F7" s="193"/>
      <c r="G7" s="193"/>
      <c r="H7" s="194">
        <v>105.0</v>
      </c>
      <c r="I7" s="149"/>
      <c r="J7" s="156"/>
      <c r="K7" s="147" t="s">
        <v>62</v>
      </c>
      <c r="L7" s="52"/>
      <c r="M7" s="91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108"/>
      <c r="C8" s="109"/>
      <c r="D8" s="110"/>
      <c r="E8" s="111"/>
      <c r="F8" s="195"/>
      <c r="G8" s="195"/>
      <c r="H8" s="195"/>
      <c r="I8" s="146"/>
      <c r="J8" s="97"/>
      <c r="K8" s="147" t="s">
        <v>62</v>
      </c>
      <c r="L8" s="52"/>
      <c r="M8" s="122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92" t="s">
        <v>30</v>
      </c>
      <c r="B9" s="43"/>
      <c r="C9" s="44"/>
      <c r="D9" s="45"/>
      <c r="E9" s="56"/>
      <c r="F9" s="196"/>
      <c r="G9" s="102"/>
      <c r="H9" s="197"/>
      <c r="I9" s="96"/>
      <c r="J9" s="97"/>
      <c r="K9" s="147" t="s">
        <v>62</v>
      </c>
      <c r="L9" s="52"/>
      <c r="M9" s="122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 t="s">
        <v>32</v>
      </c>
      <c r="B10" s="43"/>
      <c r="C10" s="44"/>
      <c r="D10" s="45"/>
      <c r="E10" s="56"/>
      <c r="F10" s="102"/>
      <c r="G10" s="102"/>
      <c r="H10" s="197"/>
      <c r="I10" s="96"/>
      <c r="J10" s="97"/>
      <c r="K10" s="147" t="s">
        <v>62</v>
      </c>
      <c r="L10" s="52"/>
      <c r="M10" s="122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92" t="s">
        <v>35</v>
      </c>
      <c r="B11" s="43"/>
      <c r="C11" s="44"/>
      <c r="D11" s="45"/>
      <c r="E11" s="56"/>
      <c r="F11" s="102"/>
      <c r="G11" s="196"/>
      <c r="H11" s="103"/>
      <c r="I11" s="96"/>
      <c r="J11" s="97"/>
      <c r="K11" s="147" t="s">
        <v>62</v>
      </c>
      <c r="L11" s="52"/>
      <c r="M11" s="122" t="s">
        <v>18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38</v>
      </c>
      <c r="B12" s="43"/>
      <c r="C12" s="44"/>
      <c r="D12" s="45"/>
      <c r="E12" s="56"/>
      <c r="F12" s="102"/>
      <c r="G12" s="102"/>
      <c r="H12" s="197"/>
      <c r="I12" s="96"/>
      <c r="J12" s="97"/>
      <c r="K12" s="147" t="s">
        <v>62</v>
      </c>
      <c r="L12" s="52"/>
      <c r="M12" s="122" t="s">
        <v>18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0</v>
      </c>
      <c r="G21" s="74">
        <f t="shared" si="1"/>
        <v>900</v>
      </c>
      <c r="H21" s="74">
        <f t="shared" si="1"/>
        <v>57105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58005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183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46068.0</v>
      </c>
      <c r="C4" s="18" t="s">
        <v>184</v>
      </c>
      <c r="D4" s="116">
        <v>43102.0</v>
      </c>
      <c r="E4" s="117" t="s">
        <v>104</v>
      </c>
      <c r="F4" s="198">
        <v>5100.0</v>
      </c>
      <c r="G4" s="199"/>
      <c r="H4" s="199"/>
      <c r="I4" s="149"/>
      <c r="J4" s="85"/>
      <c r="K4" s="151" t="s">
        <v>62</v>
      </c>
      <c r="L4" s="191"/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46068.0</v>
      </c>
      <c r="C5" s="18" t="s">
        <v>185</v>
      </c>
      <c r="D5" s="116">
        <v>80402.0</v>
      </c>
      <c r="E5" s="117" t="s">
        <v>186</v>
      </c>
      <c r="F5" s="194"/>
      <c r="G5" s="199"/>
      <c r="H5" s="200">
        <v>230.0</v>
      </c>
      <c r="I5" s="149"/>
      <c r="J5" s="89"/>
      <c r="K5" s="147" t="s">
        <v>62</v>
      </c>
      <c r="L5" s="86"/>
      <c r="M5" s="9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148">
        <v>46068.0</v>
      </c>
      <c r="C6" s="18" t="s">
        <v>187</v>
      </c>
      <c r="D6" s="116">
        <v>113481.0</v>
      </c>
      <c r="E6" s="117" t="s">
        <v>188</v>
      </c>
      <c r="F6" s="193"/>
      <c r="G6" s="199"/>
      <c r="H6" s="200">
        <v>300.0</v>
      </c>
      <c r="I6" s="149"/>
      <c r="J6" s="156"/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148">
        <v>46068.0</v>
      </c>
      <c r="C7" s="18" t="s">
        <v>189</v>
      </c>
      <c r="D7" s="116">
        <v>113488.0</v>
      </c>
      <c r="E7" s="117" t="s">
        <v>190</v>
      </c>
      <c r="F7" s="193"/>
      <c r="G7" s="200">
        <v>2400.0</v>
      </c>
      <c r="H7" s="199"/>
      <c r="I7" s="149"/>
      <c r="J7" s="156"/>
      <c r="K7" s="147" t="s">
        <v>62</v>
      </c>
      <c r="L7" s="52"/>
      <c r="M7" s="91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108">
        <v>46068.0</v>
      </c>
      <c r="C8" s="109" t="s">
        <v>191</v>
      </c>
      <c r="D8" s="110">
        <v>109953.0</v>
      </c>
      <c r="E8" s="111" t="s">
        <v>192</v>
      </c>
      <c r="F8" s="195"/>
      <c r="G8" s="199"/>
      <c r="H8" s="200">
        <v>600.0</v>
      </c>
      <c r="I8" s="146"/>
      <c r="J8" s="97"/>
      <c r="K8" s="147" t="s">
        <v>62</v>
      </c>
      <c r="L8" s="52"/>
      <c r="M8" s="122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92" t="s">
        <v>30</v>
      </c>
      <c r="B9" s="43"/>
      <c r="C9" s="44"/>
      <c r="D9" s="45"/>
      <c r="E9" s="56"/>
      <c r="F9" s="196"/>
      <c r="G9" s="102"/>
      <c r="H9" s="197"/>
      <c r="I9" s="96"/>
      <c r="J9" s="97"/>
      <c r="K9" s="147" t="s">
        <v>62</v>
      </c>
      <c r="L9" s="52"/>
      <c r="M9" s="122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 t="s">
        <v>32</v>
      </c>
      <c r="B10" s="43"/>
      <c r="C10" s="44"/>
      <c r="D10" s="45"/>
      <c r="E10" s="56"/>
      <c r="F10" s="102"/>
      <c r="G10" s="102"/>
      <c r="H10" s="197"/>
      <c r="I10" s="96"/>
      <c r="J10" s="97"/>
      <c r="K10" s="147" t="s">
        <v>62</v>
      </c>
      <c r="L10" s="52"/>
      <c r="M10" s="122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92" t="s">
        <v>35</v>
      </c>
      <c r="B11" s="43"/>
      <c r="C11" s="44"/>
      <c r="D11" s="45"/>
      <c r="E11" s="56"/>
      <c r="F11" s="102"/>
      <c r="G11" s="196"/>
      <c r="H11" s="103"/>
      <c r="I11" s="96"/>
      <c r="J11" s="97"/>
      <c r="K11" s="147" t="s">
        <v>62</v>
      </c>
      <c r="L11" s="52"/>
      <c r="M11" s="122" t="s">
        <v>18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38</v>
      </c>
      <c r="B12" s="43"/>
      <c r="C12" s="44"/>
      <c r="D12" s="45"/>
      <c r="E12" s="56"/>
      <c r="F12" s="102"/>
      <c r="G12" s="102"/>
      <c r="H12" s="197"/>
      <c r="I12" s="96"/>
      <c r="J12" s="97"/>
      <c r="K12" s="147" t="s">
        <v>62</v>
      </c>
      <c r="L12" s="52"/>
      <c r="M12" s="122" t="s">
        <v>18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5100</v>
      </c>
      <c r="G21" s="74">
        <f t="shared" si="1"/>
        <v>2400</v>
      </c>
      <c r="H21" s="74">
        <f t="shared" si="1"/>
        <v>1130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8630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193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46068.0</v>
      </c>
      <c r="C4" s="18" t="s">
        <v>194</v>
      </c>
      <c r="D4" s="116">
        <v>113503.0</v>
      </c>
      <c r="E4" s="117" t="s">
        <v>195</v>
      </c>
      <c r="F4" s="198"/>
      <c r="G4" s="25"/>
      <c r="H4" s="201">
        <v>300.0</v>
      </c>
      <c r="I4" s="149"/>
      <c r="J4" s="85"/>
      <c r="K4" s="151" t="s">
        <v>62</v>
      </c>
      <c r="L4" s="191"/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46069.0</v>
      </c>
      <c r="C5" s="18" t="s">
        <v>196</v>
      </c>
      <c r="D5" s="116">
        <v>52669.0</v>
      </c>
      <c r="E5" s="117" t="s">
        <v>61</v>
      </c>
      <c r="F5" s="194">
        <v>26800.0</v>
      </c>
      <c r="G5" s="25"/>
      <c r="H5" s="202"/>
      <c r="I5" s="149"/>
      <c r="J5" s="89"/>
      <c r="K5" s="147" t="s">
        <v>62</v>
      </c>
      <c r="L5" s="86"/>
      <c r="M5" s="9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148">
        <v>46069.0</v>
      </c>
      <c r="C6" s="18" t="s">
        <v>197</v>
      </c>
      <c r="D6" s="116">
        <v>21828.0</v>
      </c>
      <c r="E6" s="117" t="s">
        <v>117</v>
      </c>
      <c r="F6" s="193"/>
      <c r="G6" s="201">
        <v>2600.0</v>
      </c>
      <c r="H6" s="202"/>
      <c r="I6" s="149"/>
      <c r="J6" s="156"/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148">
        <v>46069.0</v>
      </c>
      <c r="C7" s="18" t="s">
        <v>198</v>
      </c>
      <c r="D7" s="116">
        <v>51017.0</v>
      </c>
      <c r="E7" s="117" t="s">
        <v>86</v>
      </c>
      <c r="F7" s="193">
        <v>7800.0</v>
      </c>
      <c r="G7" s="202"/>
      <c r="H7" s="25"/>
      <c r="I7" s="149"/>
      <c r="J7" s="156"/>
      <c r="K7" s="147" t="s">
        <v>62</v>
      </c>
      <c r="L7" s="52"/>
      <c r="M7" s="91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108">
        <v>46069.0</v>
      </c>
      <c r="C8" s="109" t="s">
        <v>199</v>
      </c>
      <c r="D8" s="110">
        <v>79230.0</v>
      </c>
      <c r="E8" s="111" t="s">
        <v>200</v>
      </c>
      <c r="F8" s="195"/>
      <c r="G8" s="25"/>
      <c r="H8" s="203">
        <v>3500.0</v>
      </c>
      <c r="I8" s="146"/>
      <c r="J8" s="97"/>
      <c r="K8" s="147" t="s">
        <v>62</v>
      </c>
      <c r="L8" s="52"/>
      <c r="M8" s="122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92" t="s">
        <v>30</v>
      </c>
      <c r="B9" s="43">
        <v>46069.0</v>
      </c>
      <c r="C9" s="44" t="s">
        <v>201</v>
      </c>
      <c r="D9" s="45">
        <v>50148.0</v>
      </c>
      <c r="E9" s="56" t="s">
        <v>202</v>
      </c>
      <c r="F9" s="196"/>
      <c r="G9" s="196">
        <v>10000.0</v>
      </c>
      <c r="H9" s="197"/>
      <c r="I9" s="96"/>
      <c r="J9" s="97"/>
      <c r="K9" s="147" t="s">
        <v>62</v>
      </c>
      <c r="L9" s="52"/>
      <c r="M9" s="122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 t="s">
        <v>32</v>
      </c>
      <c r="B10" s="43"/>
      <c r="C10" s="44"/>
      <c r="D10" s="45"/>
      <c r="E10" s="56"/>
      <c r="F10" s="102"/>
      <c r="G10" s="102"/>
      <c r="H10" s="197"/>
      <c r="I10" s="96"/>
      <c r="J10" s="97"/>
      <c r="K10" s="147" t="s">
        <v>62</v>
      </c>
      <c r="L10" s="52"/>
      <c r="M10" s="122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92" t="s">
        <v>35</v>
      </c>
      <c r="B11" s="43"/>
      <c r="C11" s="44"/>
      <c r="D11" s="45"/>
      <c r="E11" s="56"/>
      <c r="F11" s="102"/>
      <c r="G11" s="196"/>
      <c r="H11" s="103"/>
      <c r="I11" s="96"/>
      <c r="J11" s="97"/>
      <c r="K11" s="147" t="s">
        <v>62</v>
      </c>
      <c r="L11" s="52"/>
      <c r="M11" s="122" t="s">
        <v>18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38</v>
      </c>
      <c r="B12" s="43"/>
      <c r="C12" s="44"/>
      <c r="D12" s="45"/>
      <c r="E12" s="56"/>
      <c r="F12" s="102"/>
      <c r="G12" s="102"/>
      <c r="H12" s="197"/>
      <c r="I12" s="96"/>
      <c r="J12" s="97"/>
      <c r="K12" s="147" t="s">
        <v>62</v>
      </c>
      <c r="L12" s="52"/>
      <c r="M12" s="122" t="s">
        <v>18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34600</v>
      </c>
      <c r="G21" s="74">
        <f t="shared" si="1"/>
        <v>12600</v>
      </c>
      <c r="H21" s="74">
        <f t="shared" si="1"/>
        <v>3800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51000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203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46069.0</v>
      </c>
      <c r="C4" s="18" t="s">
        <v>204</v>
      </c>
      <c r="D4" s="116">
        <v>10006.0</v>
      </c>
      <c r="E4" s="117" t="s">
        <v>73</v>
      </c>
      <c r="F4" s="198"/>
      <c r="G4" s="201">
        <v>300.0</v>
      </c>
      <c r="H4" s="201"/>
      <c r="I4" s="149"/>
      <c r="J4" s="85"/>
      <c r="K4" s="151" t="s">
        <v>62</v>
      </c>
      <c r="L4" s="191"/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46069.0</v>
      </c>
      <c r="C5" s="18" t="s">
        <v>205</v>
      </c>
      <c r="D5" s="116">
        <v>105021.0</v>
      </c>
      <c r="E5" s="117" t="s">
        <v>206</v>
      </c>
      <c r="F5" s="194"/>
      <c r="G5" s="25"/>
      <c r="H5" s="203">
        <v>600.0</v>
      </c>
      <c r="I5" s="149"/>
      <c r="J5" s="89"/>
      <c r="K5" s="147" t="s">
        <v>62</v>
      </c>
      <c r="L5" s="86"/>
      <c r="M5" s="91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148">
        <v>46069.0</v>
      </c>
      <c r="C6" s="18" t="s">
        <v>207</v>
      </c>
      <c r="D6" s="116">
        <v>113590.0</v>
      </c>
      <c r="E6" s="117" t="s">
        <v>208</v>
      </c>
      <c r="F6" s="193"/>
      <c r="G6" s="201"/>
      <c r="H6" s="203">
        <v>300.0</v>
      </c>
      <c r="I6" s="149"/>
      <c r="J6" s="156"/>
      <c r="K6" s="147" t="s">
        <v>62</v>
      </c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148">
        <v>46070.0</v>
      </c>
      <c r="C7" s="18" t="s">
        <v>209</v>
      </c>
      <c r="D7" s="116">
        <v>47787.0</v>
      </c>
      <c r="E7" s="117" t="s">
        <v>134</v>
      </c>
      <c r="F7" s="193">
        <v>10000.0</v>
      </c>
      <c r="G7" s="202"/>
      <c r="H7" s="25"/>
      <c r="I7" s="149"/>
      <c r="J7" s="156"/>
      <c r="K7" s="147" t="s">
        <v>62</v>
      </c>
      <c r="L7" s="52"/>
      <c r="M7" s="91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108">
        <v>46070.0</v>
      </c>
      <c r="C8" s="109" t="s">
        <v>210</v>
      </c>
      <c r="D8" s="110">
        <v>111341.0</v>
      </c>
      <c r="E8" s="111" t="s">
        <v>211</v>
      </c>
      <c r="F8" s="195"/>
      <c r="G8" s="25"/>
      <c r="H8" s="203">
        <v>2400.0</v>
      </c>
      <c r="I8" s="146"/>
      <c r="J8" s="97"/>
      <c r="K8" s="147" t="s">
        <v>62</v>
      </c>
      <c r="L8" s="52"/>
      <c r="M8" s="122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92" t="s">
        <v>30</v>
      </c>
      <c r="B9" s="43">
        <v>46070.0</v>
      </c>
      <c r="C9" s="44" t="s">
        <v>212</v>
      </c>
      <c r="D9" s="45">
        <v>50342.0</v>
      </c>
      <c r="E9" s="56" t="s">
        <v>213</v>
      </c>
      <c r="F9" s="196"/>
      <c r="G9" s="196">
        <v>209400.0</v>
      </c>
      <c r="H9" s="197"/>
      <c r="I9" s="96"/>
      <c r="J9" s="97"/>
      <c r="K9" s="147" t="s">
        <v>62</v>
      </c>
      <c r="L9" s="52"/>
      <c r="M9" s="122" t="s">
        <v>55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 t="s">
        <v>32</v>
      </c>
      <c r="B10" s="43">
        <v>46070.0</v>
      </c>
      <c r="C10" s="44" t="s">
        <v>214</v>
      </c>
      <c r="D10" s="45">
        <v>113666.0</v>
      </c>
      <c r="E10" s="56" t="s">
        <v>215</v>
      </c>
      <c r="F10" s="102"/>
      <c r="G10" s="102"/>
      <c r="H10" s="197">
        <v>300.0</v>
      </c>
      <c r="I10" s="96"/>
      <c r="J10" s="97"/>
      <c r="K10" s="147" t="s">
        <v>62</v>
      </c>
      <c r="L10" s="52"/>
      <c r="M10" s="122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92" t="s">
        <v>35</v>
      </c>
      <c r="B11" s="43">
        <v>46070.0</v>
      </c>
      <c r="C11" s="44" t="s">
        <v>216</v>
      </c>
      <c r="D11" s="45">
        <v>10006.0</v>
      </c>
      <c r="E11" s="56" t="s">
        <v>73</v>
      </c>
      <c r="F11" s="196">
        <v>1500.0</v>
      </c>
      <c r="G11" s="196"/>
      <c r="H11" s="103"/>
      <c r="I11" s="96"/>
      <c r="J11" s="97"/>
      <c r="K11" s="147" t="s">
        <v>62</v>
      </c>
      <c r="L11" s="52"/>
      <c r="M11" s="122" t="s">
        <v>18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 t="s">
        <v>38</v>
      </c>
      <c r="B12" s="43"/>
      <c r="C12" s="44"/>
      <c r="D12" s="45"/>
      <c r="E12" s="56"/>
      <c r="F12" s="102"/>
      <c r="G12" s="102"/>
      <c r="H12" s="197"/>
      <c r="I12" s="96"/>
      <c r="J12" s="97"/>
      <c r="K12" s="147" t="s">
        <v>62</v>
      </c>
      <c r="L12" s="52"/>
      <c r="M12" s="122" t="s">
        <v>18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11500</v>
      </c>
      <c r="G21" s="74">
        <f t="shared" si="1"/>
        <v>209700</v>
      </c>
      <c r="H21" s="74">
        <f t="shared" si="1"/>
        <v>3600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224800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217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46070.0</v>
      </c>
      <c r="C4" s="18" t="s">
        <v>218</v>
      </c>
      <c r="D4" s="116">
        <v>113558.0</v>
      </c>
      <c r="E4" s="117" t="s">
        <v>219</v>
      </c>
      <c r="F4" s="198"/>
      <c r="G4" s="201"/>
      <c r="H4" s="204">
        <v>300.0</v>
      </c>
      <c r="I4" s="149"/>
      <c r="J4" s="85"/>
      <c r="K4" s="151" t="s">
        <v>62</v>
      </c>
      <c r="L4" s="191"/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46071.0</v>
      </c>
      <c r="C5" s="18" t="s">
        <v>220</v>
      </c>
      <c r="D5" s="116">
        <v>113731.0</v>
      </c>
      <c r="E5" s="117" t="s">
        <v>221</v>
      </c>
      <c r="F5" s="194"/>
      <c r="G5" s="25"/>
      <c r="H5" s="203">
        <v>300.0</v>
      </c>
      <c r="I5" s="149"/>
      <c r="J5" s="89"/>
      <c r="K5" s="147" t="s">
        <v>62</v>
      </c>
      <c r="L5" s="86"/>
      <c r="M5" s="91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/>
      <c r="B6" s="148"/>
      <c r="C6" s="18"/>
      <c r="D6" s="116"/>
      <c r="E6" s="117"/>
      <c r="F6" s="193"/>
      <c r="G6" s="201"/>
      <c r="H6" s="203"/>
      <c r="I6" s="149"/>
      <c r="J6" s="156"/>
      <c r="K6" s="147"/>
      <c r="L6" s="86"/>
      <c r="M6" s="91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192" t="s">
        <v>25</v>
      </c>
      <c r="B7" s="148"/>
      <c r="C7" s="18"/>
      <c r="D7" s="116"/>
      <c r="E7" s="117"/>
      <c r="F7" s="193"/>
      <c r="G7" s="202"/>
      <c r="H7" s="25"/>
      <c r="I7" s="149"/>
      <c r="J7" s="156"/>
      <c r="K7" s="147"/>
      <c r="L7" s="52"/>
      <c r="M7" s="9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6" t="s">
        <v>28</v>
      </c>
      <c r="B8" s="108"/>
      <c r="C8" s="109"/>
      <c r="D8" s="110"/>
      <c r="E8" s="111"/>
      <c r="F8" s="195"/>
      <c r="G8" s="25"/>
      <c r="H8" s="203"/>
      <c r="I8" s="146"/>
      <c r="J8" s="97"/>
      <c r="K8" s="147"/>
      <c r="L8" s="52"/>
      <c r="M8" s="12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92" t="s">
        <v>30</v>
      </c>
      <c r="B9" s="43"/>
      <c r="C9" s="44"/>
      <c r="D9" s="45"/>
      <c r="E9" s="56"/>
      <c r="F9" s="196"/>
      <c r="G9" s="196"/>
      <c r="H9" s="197"/>
      <c r="I9" s="96"/>
      <c r="J9" s="97"/>
      <c r="K9" s="147"/>
      <c r="L9" s="52"/>
      <c r="M9" s="12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 t="s">
        <v>32</v>
      </c>
      <c r="B10" s="43"/>
      <c r="C10" s="44"/>
      <c r="D10" s="45"/>
      <c r="E10" s="56"/>
      <c r="F10" s="102"/>
      <c r="G10" s="102"/>
      <c r="H10" s="197"/>
      <c r="I10" s="96"/>
      <c r="J10" s="97"/>
      <c r="K10" s="147"/>
      <c r="L10" s="52"/>
      <c r="M10" s="122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92" t="s">
        <v>35</v>
      </c>
      <c r="B11" s="43"/>
      <c r="C11" s="44"/>
      <c r="D11" s="45"/>
      <c r="E11" s="56"/>
      <c r="F11" s="196"/>
      <c r="G11" s="196"/>
      <c r="H11" s="103"/>
      <c r="I11" s="96"/>
      <c r="J11" s="97"/>
      <c r="K11" s="147"/>
      <c r="L11" s="52"/>
      <c r="M11" s="12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38</v>
      </c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0</v>
      </c>
      <c r="G21" s="74">
        <f t="shared" si="1"/>
        <v>0</v>
      </c>
      <c r="H21" s="74">
        <f t="shared" si="1"/>
        <v>600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600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222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46071.0</v>
      </c>
      <c r="C4" s="18" t="s">
        <v>223</v>
      </c>
      <c r="D4" s="116">
        <v>72839.0</v>
      </c>
      <c r="E4" s="117" t="s">
        <v>224</v>
      </c>
      <c r="F4" s="205">
        <v>300.0</v>
      </c>
      <c r="G4" s="201"/>
      <c r="H4" s="204"/>
      <c r="I4" s="149"/>
      <c r="J4" s="85"/>
      <c r="K4" s="151" t="s">
        <v>62</v>
      </c>
      <c r="L4" s="191"/>
      <c r="M4" s="15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46071.0</v>
      </c>
      <c r="C5" s="18" t="s">
        <v>225</v>
      </c>
      <c r="D5" s="116">
        <v>113816.0</v>
      </c>
      <c r="E5" s="117" t="s">
        <v>226</v>
      </c>
      <c r="F5" s="194">
        <v>7000.0</v>
      </c>
      <c r="G5" s="25"/>
      <c r="H5" s="203"/>
      <c r="I5" s="149"/>
      <c r="J5" s="89"/>
      <c r="K5" s="147" t="s">
        <v>62</v>
      </c>
      <c r="L5" s="86"/>
      <c r="M5" s="91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6" t="s">
        <v>22</v>
      </c>
      <c r="B6" s="148">
        <v>46072.0</v>
      </c>
      <c r="C6" s="18" t="s">
        <v>227</v>
      </c>
      <c r="D6" s="116">
        <v>30910.0</v>
      </c>
      <c r="E6" s="117" t="s">
        <v>228</v>
      </c>
      <c r="F6" s="193">
        <v>2500.0</v>
      </c>
      <c r="G6" s="201"/>
      <c r="H6" s="203"/>
      <c r="I6" s="149"/>
      <c r="J6" s="156"/>
      <c r="K6" s="147"/>
      <c r="L6" s="86"/>
      <c r="M6" s="91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148">
        <v>46072.0</v>
      </c>
      <c r="C7" s="18" t="s">
        <v>229</v>
      </c>
      <c r="D7" s="116">
        <v>113857.0</v>
      </c>
      <c r="E7" s="117" t="s">
        <v>230</v>
      </c>
      <c r="F7" s="193"/>
      <c r="G7" s="202"/>
      <c r="H7" s="201">
        <v>300.0</v>
      </c>
      <c r="I7" s="149"/>
      <c r="J7" s="156"/>
      <c r="K7" s="147"/>
      <c r="L7" s="52"/>
      <c r="M7" s="91" t="s">
        <v>18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6" t="s">
        <v>28</v>
      </c>
      <c r="B8" s="108"/>
      <c r="C8" s="109"/>
      <c r="D8" s="110"/>
      <c r="E8" s="111"/>
      <c r="F8" s="195"/>
      <c r="G8" s="25"/>
      <c r="H8" s="203"/>
      <c r="I8" s="146"/>
      <c r="J8" s="97"/>
      <c r="K8" s="147"/>
      <c r="L8" s="52"/>
      <c r="M8" s="12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92" t="s">
        <v>30</v>
      </c>
      <c r="B9" s="43"/>
      <c r="C9" s="44"/>
      <c r="D9" s="45"/>
      <c r="E9" s="56"/>
      <c r="F9" s="196"/>
      <c r="G9" s="196"/>
      <c r="H9" s="197"/>
      <c r="I9" s="96"/>
      <c r="J9" s="97"/>
      <c r="K9" s="147"/>
      <c r="L9" s="52"/>
      <c r="M9" s="12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 t="s">
        <v>32</v>
      </c>
      <c r="B10" s="43"/>
      <c r="C10" s="44"/>
      <c r="D10" s="45"/>
      <c r="E10" s="56"/>
      <c r="F10" s="102"/>
      <c r="G10" s="102"/>
      <c r="H10" s="197"/>
      <c r="I10" s="96"/>
      <c r="J10" s="97"/>
      <c r="K10" s="147"/>
      <c r="L10" s="52"/>
      <c r="M10" s="122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92" t="s">
        <v>35</v>
      </c>
      <c r="B11" s="43"/>
      <c r="C11" s="44"/>
      <c r="D11" s="45"/>
      <c r="E11" s="56"/>
      <c r="F11" s="196"/>
      <c r="G11" s="196"/>
      <c r="H11" s="103"/>
      <c r="I11" s="96"/>
      <c r="J11" s="97"/>
      <c r="K11" s="147"/>
      <c r="L11" s="52"/>
      <c r="M11" s="12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38</v>
      </c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9800</v>
      </c>
      <c r="G21" s="74">
        <f t="shared" si="1"/>
        <v>0</v>
      </c>
      <c r="H21" s="74">
        <f t="shared" si="1"/>
        <v>300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10100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231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46072.0</v>
      </c>
      <c r="C4" s="18" t="s">
        <v>232</v>
      </c>
      <c r="D4" s="116">
        <v>113911.0</v>
      </c>
      <c r="E4" s="117" t="s">
        <v>233</v>
      </c>
      <c r="F4" s="205"/>
      <c r="G4" s="207"/>
      <c r="H4" s="208">
        <v>300.0</v>
      </c>
      <c r="I4" s="209"/>
      <c r="J4" s="209"/>
      <c r="K4" s="210" t="s">
        <v>62</v>
      </c>
      <c r="L4" s="211"/>
      <c r="M4" s="212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46073.0</v>
      </c>
      <c r="C5" s="18" t="s">
        <v>234</v>
      </c>
      <c r="D5" s="116">
        <v>113934.0</v>
      </c>
      <c r="E5" s="117" t="s">
        <v>235</v>
      </c>
      <c r="F5" s="194"/>
      <c r="G5" s="207">
        <v>3050.0</v>
      </c>
      <c r="H5" s="213"/>
      <c r="I5" s="209"/>
      <c r="J5" s="214"/>
      <c r="K5" s="215" t="s">
        <v>62</v>
      </c>
      <c r="L5" s="216"/>
      <c r="M5" s="210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6"/>
      <c r="B6" s="148"/>
      <c r="C6" s="18"/>
      <c r="D6" s="116"/>
      <c r="E6" s="117"/>
      <c r="F6" s="193"/>
      <c r="G6" s="201"/>
      <c r="H6" s="203"/>
      <c r="I6" s="149"/>
      <c r="J6" s="156"/>
      <c r="K6" s="147"/>
      <c r="L6" s="86"/>
      <c r="M6" s="91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/>
      <c r="B7" s="148"/>
      <c r="C7" s="18"/>
      <c r="D7" s="116"/>
      <c r="E7" s="117"/>
      <c r="F7" s="193"/>
      <c r="G7" s="202"/>
      <c r="H7" s="201"/>
      <c r="I7" s="149"/>
      <c r="J7" s="156"/>
      <c r="K7" s="147"/>
      <c r="L7" s="52"/>
      <c r="M7" s="9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6"/>
      <c r="B8" s="108"/>
      <c r="C8" s="109"/>
      <c r="D8" s="110"/>
      <c r="E8" s="111"/>
      <c r="F8" s="195"/>
      <c r="G8" s="25"/>
      <c r="H8" s="203"/>
      <c r="I8" s="146"/>
      <c r="J8" s="97"/>
      <c r="K8" s="147"/>
      <c r="L8" s="52"/>
      <c r="M8" s="12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92" t="s">
        <v>30</v>
      </c>
      <c r="B9" s="43"/>
      <c r="C9" s="44"/>
      <c r="D9" s="45"/>
      <c r="E9" s="56"/>
      <c r="F9" s="196"/>
      <c r="G9" s="196"/>
      <c r="H9" s="197"/>
      <c r="I9" s="96"/>
      <c r="J9" s="97"/>
      <c r="K9" s="147"/>
      <c r="L9" s="52"/>
      <c r="M9" s="12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 t="s">
        <v>32</v>
      </c>
      <c r="B10" s="43"/>
      <c r="C10" s="44"/>
      <c r="D10" s="45"/>
      <c r="E10" s="56"/>
      <c r="F10" s="102"/>
      <c r="G10" s="102"/>
      <c r="H10" s="197"/>
      <c r="I10" s="96"/>
      <c r="J10" s="97"/>
      <c r="K10" s="147"/>
      <c r="L10" s="52"/>
      <c r="M10" s="122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92" t="s">
        <v>35</v>
      </c>
      <c r="B11" s="43"/>
      <c r="C11" s="44"/>
      <c r="D11" s="45"/>
      <c r="E11" s="56"/>
      <c r="F11" s="196"/>
      <c r="G11" s="196"/>
      <c r="H11" s="103"/>
      <c r="I11" s="96"/>
      <c r="J11" s="97"/>
      <c r="K11" s="147"/>
      <c r="L11" s="52"/>
      <c r="M11" s="12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38</v>
      </c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0</v>
      </c>
      <c r="G21" s="74">
        <f t="shared" si="1"/>
        <v>3050</v>
      </c>
      <c r="H21" s="74">
        <f t="shared" si="1"/>
        <v>300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3350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236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46074.0</v>
      </c>
      <c r="C4" s="18" t="s">
        <v>237</v>
      </c>
      <c r="D4" s="116">
        <v>50148.0</v>
      </c>
      <c r="E4" s="117" t="s">
        <v>202</v>
      </c>
      <c r="F4" s="205"/>
      <c r="G4" s="207">
        <v>47500.0</v>
      </c>
      <c r="H4" s="208"/>
      <c r="I4" s="209"/>
      <c r="J4" s="209"/>
      <c r="K4" s="210" t="s">
        <v>62</v>
      </c>
      <c r="L4" s="211"/>
      <c r="M4" s="212" t="s">
        <v>55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46074.0</v>
      </c>
      <c r="C5" s="18" t="s">
        <v>238</v>
      </c>
      <c r="D5" s="116">
        <v>105970.0</v>
      </c>
      <c r="E5" s="117" t="s">
        <v>239</v>
      </c>
      <c r="F5" s="194">
        <v>4500.0</v>
      </c>
      <c r="G5" s="207"/>
      <c r="H5" s="213"/>
      <c r="I5" s="209"/>
      <c r="J5" s="214"/>
      <c r="K5" s="215" t="s">
        <v>62</v>
      </c>
      <c r="L5" s="216"/>
      <c r="M5" s="210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206" t="s">
        <v>22</v>
      </c>
      <c r="B6" s="148">
        <v>46074.0</v>
      </c>
      <c r="C6" s="18" t="s">
        <v>240</v>
      </c>
      <c r="D6" s="116">
        <v>55446.0</v>
      </c>
      <c r="E6" s="117" t="s">
        <v>241</v>
      </c>
      <c r="F6" s="193">
        <v>5400.0</v>
      </c>
      <c r="G6" s="201"/>
      <c r="H6" s="203"/>
      <c r="I6" s="149"/>
      <c r="J6" s="156"/>
      <c r="K6" s="147" t="s">
        <v>62</v>
      </c>
      <c r="L6" s="86"/>
      <c r="M6" s="217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/>
      <c r="B7" s="148"/>
      <c r="C7" s="18"/>
      <c r="D7" s="116"/>
      <c r="E7" s="117"/>
      <c r="F7" s="193"/>
      <c r="G7" s="202"/>
      <c r="H7" s="201"/>
      <c r="I7" s="149"/>
      <c r="J7" s="156"/>
      <c r="K7" s="147"/>
      <c r="L7" s="52"/>
      <c r="M7" s="91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206"/>
      <c r="B8" s="108"/>
      <c r="C8" s="109"/>
      <c r="D8" s="110"/>
      <c r="E8" s="111"/>
      <c r="F8" s="195"/>
      <c r="G8" s="25"/>
      <c r="H8" s="203"/>
      <c r="I8" s="146"/>
      <c r="J8" s="97"/>
      <c r="K8" s="147"/>
      <c r="L8" s="52"/>
      <c r="M8" s="122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92" t="s">
        <v>30</v>
      </c>
      <c r="B9" s="43"/>
      <c r="C9" s="44"/>
      <c r="D9" s="45"/>
      <c r="E9" s="56"/>
      <c r="F9" s="196"/>
      <c r="G9" s="196"/>
      <c r="H9" s="197"/>
      <c r="I9" s="96"/>
      <c r="J9" s="97"/>
      <c r="K9" s="147"/>
      <c r="L9" s="52"/>
      <c r="M9" s="122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 t="s">
        <v>32</v>
      </c>
      <c r="B10" s="43"/>
      <c r="C10" s="44"/>
      <c r="D10" s="45"/>
      <c r="E10" s="56"/>
      <c r="F10" s="102"/>
      <c r="G10" s="102"/>
      <c r="H10" s="197"/>
      <c r="I10" s="96"/>
      <c r="J10" s="97"/>
      <c r="K10" s="147"/>
      <c r="L10" s="52"/>
      <c r="M10" s="122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92" t="s">
        <v>35</v>
      </c>
      <c r="B11" s="43"/>
      <c r="C11" s="44"/>
      <c r="D11" s="45"/>
      <c r="E11" s="56"/>
      <c r="F11" s="196"/>
      <c r="G11" s="196"/>
      <c r="H11" s="103"/>
      <c r="I11" s="96"/>
      <c r="J11" s="97"/>
      <c r="K11" s="147"/>
      <c r="L11" s="52"/>
      <c r="M11" s="12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 t="s">
        <v>38</v>
      </c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9900</v>
      </c>
      <c r="G21" s="74">
        <f t="shared" si="1"/>
        <v>47500</v>
      </c>
      <c r="H21" s="74">
        <f t="shared" si="1"/>
        <v>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57400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4:M2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148">
        <v>46075.0</v>
      </c>
      <c r="C4" s="18" t="s">
        <v>243</v>
      </c>
      <c r="D4" s="116">
        <v>21828.0</v>
      </c>
      <c r="E4" s="117" t="s">
        <v>117</v>
      </c>
      <c r="F4" s="205"/>
      <c r="G4" s="207">
        <v>3550.0</v>
      </c>
      <c r="H4" s="208"/>
      <c r="I4" s="209"/>
      <c r="J4" s="209"/>
      <c r="K4" s="218" t="s">
        <v>62</v>
      </c>
      <c r="L4" s="219"/>
      <c r="M4" s="220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148">
        <v>46075.0</v>
      </c>
      <c r="C5" s="18" t="s">
        <v>244</v>
      </c>
      <c r="D5" s="116">
        <v>77321.0</v>
      </c>
      <c r="E5" s="117" t="s">
        <v>245</v>
      </c>
      <c r="F5" s="194"/>
      <c r="G5" s="207">
        <v>4500.0</v>
      </c>
      <c r="H5" s="213"/>
      <c r="I5" s="209"/>
      <c r="J5" s="214"/>
      <c r="K5" s="218" t="s">
        <v>125</v>
      </c>
      <c r="L5" s="221"/>
      <c r="M5" s="220" t="s">
        <v>66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148">
        <v>46075.0</v>
      </c>
      <c r="C6" s="18" t="s">
        <v>246</v>
      </c>
      <c r="D6" s="116">
        <v>81685.0</v>
      </c>
      <c r="E6" s="117" t="s">
        <v>247</v>
      </c>
      <c r="F6" s="193"/>
      <c r="G6" s="201">
        <v>5000.0</v>
      </c>
      <c r="H6" s="203"/>
      <c r="I6" s="149"/>
      <c r="J6" s="156"/>
      <c r="K6" s="218" t="s">
        <v>125</v>
      </c>
      <c r="L6" s="221"/>
      <c r="M6" s="220" t="s">
        <v>66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148">
        <v>46075.0</v>
      </c>
      <c r="C7" s="18" t="s">
        <v>248</v>
      </c>
      <c r="D7" s="116">
        <v>51017.0</v>
      </c>
      <c r="E7" s="117" t="s">
        <v>86</v>
      </c>
      <c r="F7" s="193">
        <v>10000.0</v>
      </c>
      <c r="G7" s="202"/>
      <c r="H7" s="201"/>
      <c r="I7" s="149"/>
      <c r="J7" s="156"/>
      <c r="K7" s="218" t="s">
        <v>62</v>
      </c>
      <c r="L7" s="222"/>
      <c r="M7" s="220" t="s">
        <v>18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108">
        <v>46075.0</v>
      </c>
      <c r="C8" s="109" t="s">
        <v>249</v>
      </c>
      <c r="D8" s="110">
        <v>10287.0</v>
      </c>
      <c r="E8" s="111" t="s">
        <v>250</v>
      </c>
      <c r="F8" s="195"/>
      <c r="G8" s="25"/>
      <c r="H8" s="203">
        <v>2500.0</v>
      </c>
      <c r="I8" s="146"/>
      <c r="J8" s="97"/>
      <c r="K8" s="218" t="s">
        <v>62</v>
      </c>
      <c r="L8" s="222"/>
      <c r="M8" s="223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92" t="s">
        <v>30</v>
      </c>
      <c r="B9" s="43">
        <v>46075.0</v>
      </c>
      <c r="C9" s="44" t="s">
        <v>251</v>
      </c>
      <c r="D9" s="45">
        <v>114109.0</v>
      </c>
      <c r="E9" s="56" t="s">
        <v>252</v>
      </c>
      <c r="F9" s="196">
        <v>2700.0</v>
      </c>
      <c r="G9" s="196"/>
      <c r="H9" s="197"/>
      <c r="I9" s="96"/>
      <c r="J9" s="97"/>
      <c r="K9" s="218" t="s">
        <v>62</v>
      </c>
      <c r="L9" s="222"/>
      <c r="M9" s="220" t="s">
        <v>18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/>
      <c r="B10" s="43"/>
      <c r="C10" s="44"/>
      <c r="D10" s="45"/>
      <c r="E10" s="56"/>
      <c r="F10" s="102"/>
      <c r="G10" s="102"/>
      <c r="H10" s="197"/>
      <c r="I10" s="96"/>
      <c r="J10" s="97"/>
      <c r="K10" s="147"/>
      <c r="L10" s="52"/>
      <c r="M10" s="122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hidden="1" customHeight="1">
      <c r="A11" s="192"/>
      <c r="B11" s="43"/>
      <c r="C11" s="44"/>
      <c r="D11" s="45"/>
      <c r="E11" s="56"/>
      <c r="F11" s="196"/>
      <c r="G11" s="196"/>
      <c r="H11" s="103"/>
      <c r="I11" s="96"/>
      <c r="J11" s="97"/>
      <c r="K11" s="147"/>
      <c r="L11" s="52"/>
      <c r="M11" s="12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hidden="1" customHeight="1">
      <c r="A12" s="16"/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12700</v>
      </c>
      <c r="G21" s="74">
        <f t="shared" si="1"/>
        <v>13050</v>
      </c>
      <c r="H21" s="74">
        <f t="shared" si="1"/>
        <v>2500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28250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10:M20">
      <formula1>"จัดส่ง กทม.,รับเอง กทม.,จัดส่ง DP,รับเอง DP,เรียกแกร๊ป"</formula1>
    </dataValidation>
    <dataValidation type="list" allowBlank="1" showErrorMessage="1" sqref="M4:M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24" t="s">
        <v>254</v>
      </c>
      <c r="C4" s="18" t="s">
        <v>255</v>
      </c>
      <c r="D4" s="116">
        <v>114116.0</v>
      </c>
      <c r="E4" s="117" t="s">
        <v>256</v>
      </c>
      <c r="F4" s="205"/>
      <c r="G4" s="207"/>
      <c r="H4" s="208">
        <v>300.0</v>
      </c>
      <c r="I4" s="209"/>
      <c r="J4" s="209"/>
      <c r="K4" s="218" t="s">
        <v>62</v>
      </c>
      <c r="L4" s="219"/>
      <c r="M4" s="220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224" t="s">
        <v>254</v>
      </c>
      <c r="C5" s="18" t="s">
        <v>257</v>
      </c>
      <c r="D5" s="116">
        <v>114117.0</v>
      </c>
      <c r="E5" s="117" t="s">
        <v>258</v>
      </c>
      <c r="F5" s="194"/>
      <c r="G5" s="207"/>
      <c r="H5" s="213">
        <v>300.0</v>
      </c>
      <c r="I5" s="209"/>
      <c r="J5" s="214"/>
      <c r="K5" s="218" t="s">
        <v>62</v>
      </c>
      <c r="L5" s="221"/>
      <c r="M5" s="223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224" t="s">
        <v>254</v>
      </c>
      <c r="C6" s="18" t="s">
        <v>259</v>
      </c>
      <c r="D6" s="116">
        <v>114118.0</v>
      </c>
      <c r="E6" s="117" t="s">
        <v>260</v>
      </c>
      <c r="F6" s="193"/>
      <c r="G6" s="201"/>
      <c r="H6" s="203">
        <v>300.0</v>
      </c>
      <c r="I6" s="149"/>
      <c r="J6" s="156"/>
      <c r="K6" s="218" t="s">
        <v>62</v>
      </c>
      <c r="L6" s="221"/>
      <c r="M6" s="223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224" t="s">
        <v>254</v>
      </c>
      <c r="C7" s="18" t="s">
        <v>261</v>
      </c>
      <c r="D7" s="116">
        <v>95492.0</v>
      </c>
      <c r="E7" s="117" t="s">
        <v>152</v>
      </c>
      <c r="F7" s="193"/>
      <c r="G7" s="202"/>
      <c r="H7" s="201">
        <v>5100.0</v>
      </c>
      <c r="I7" s="149"/>
      <c r="J7" s="156"/>
      <c r="K7" s="218" t="s">
        <v>62</v>
      </c>
      <c r="L7" s="222"/>
      <c r="M7" s="223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225" t="s">
        <v>262</v>
      </c>
      <c r="C8" s="109" t="s">
        <v>263</v>
      </c>
      <c r="D8" s="110">
        <v>10250.0</v>
      </c>
      <c r="E8" s="111" t="s">
        <v>91</v>
      </c>
      <c r="F8" s="195"/>
      <c r="G8" s="25"/>
      <c r="H8" s="203">
        <v>10000.0</v>
      </c>
      <c r="I8" s="146"/>
      <c r="J8" s="97"/>
      <c r="K8" s="218" t="s">
        <v>62</v>
      </c>
      <c r="L8" s="222"/>
      <c r="M8" s="223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92" t="s">
        <v>30</v>
      </c>
      <c r="B9" s="226" t="s">
        <v>262</v>
      </c>
      <c r="C9" s="44" t="s">
        <v>264</v>
      </c>
      <c r="D9" s="45">
        <v>21828.0</v>
      </c>
      <c r="E9" s="56" t="s">
        <v>117</v>
      </c>
      <c r="F9" s="196">
        <v>5000.0</v>
      </c>
      <c r="G9" s="196"/>
      <c r="H9" s="197"/>
      <c r="I9" s="96"/>
      <c r="J9" s="97"/>
      <c r="K9" s="218" t="s">
        <v>62</v>
      </c>
      <c r="L9" s="222"/>
      <c r="M9" s="220" t="s">
        <v>18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16"/>
      <c r="B10" s="226" t="s">
        <v>262</v>
      </c>
      <c r="C10" s="44" t="s">
        <v>265</v>
      </c>
      <c r="D10" s="45">
        <v>51166.0</v>
      </c>
      <c r="E10" s="56" t="s">
        <v>266</v>
      </c>
      <c r="F10" s="196">
        <v>5000.0</v>
      </c>
      <c r="G10" s="102"/>
      <c r="H10" s="197"/>
      <c r="I10" s="96"/>
      <c r="J10" s="97"/>
      <c r="K10" s="147"/>
      <c r="L10" s="52"/>
      <c r="M10" s="122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92"/>
      <c r="B11" s="226" t="s">
        <v>262</v>
      </c>
      <c r="C11" s="44" t="s">
        <v>267</v>
      </c>
      <c r="D11" s="45">
        <v>49655.0</v>
      </c>
      <c r="E11" s="56" t="s">
        <v>268</v>
      </c>
      <c r="F11" s="196"/>
      <c r="G11" s="196">
        <v>10000.0</v>
      </c>
      <c r="H11" s="103"/>
      <c r="I11" s="96"/>
      <c r="J11" s="97"/>
      <c r="K11" s="218" t="s">
        <v>125</v>
      </c>
      <c r="L11" s="52"/>
      <c r="M11" s="122" t="s">
        <v>66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10000</v>
      </c>
      <c r="G21" s="74">
        <f t="shared" si="1"/>
        <v>10000</v>
      </c>
      <c r="H21" s="74">
        <f t="shared" si="1"/>
        <v>16000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36000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10:M20">
      <formula1>"จัดส่ง กทม.,รับเอง กทม.,จัดส่ง DP,รับเอง DP,เรียกแกร๊ป"</formula1>
    </dataValidation>
    <dataValidation type="list" allowBlank="1" showErrorMessage="1" sqref="M4:M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269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24" t="s">
        <v>270</v>
      </c>
      <c r="C4" s="18" t="s">
        <v>271</v>
      </c>
      <c r="D4" s="116">
        <v>69346.0</v>
      </c>
      <c r="E4" s="117" t="s">
        <v>272</v>
      </c>
      <c r="F4" s="227">
        <v>4500.0</v>
      </c>
      <c r="G4" s="207"/>
      <c r="H4" s="208"/>
      <c r="I4" s="209"/>
      <c r="J4" s="209"/>
      <c r="K4" s="218" t="s">
        <v>62</v>
      </c>
      <c r="L4" s="219"/>
      <c r="M4" s="223" t="s">
        <v>55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224" t="s">
        <v>270</v>
      </c>
      <c r="C5" s="18" t="s">
        <v>273</v>
      </c>
      <c r="D5" s="116">
        <v>69346.0</v>
      </c>
      <c r="E5" s="117" t="s">
        <v>272</v>
      </c>
      <c r="F5" s="228">
        <v>33750.0</v>
      </c>
      <c r="G5" s="207"/>
      <c r="H5" s="213"/>
      <c r="I5" s="209"/>
      <c r="J5" s="214"/>
      <c r="K5" s="218" t="s">
        <v>62</v>
      </c>
      <c r="L5" s="221"/>
      <c r="M5" s="223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hidden="1" customHeight="1">
      <c r="A6" s="16" t="s">
        <v>22</v>
      </c>
      <c r="B6" s="224"/>
      <c r="C6" s="18"/>
      <c r="D6" s="116"/>
      <c r="E6" s="117"/>
      <c r="F6" s="193"/>
      <c r="G6" s="201"/>
      <c r="H6" s="203"/>
      <c r="I6" s="149"/>
      <c r="J6" s="156"/>
      <c r="K6" s="218" t="s">
        <v>62</v>
      </c>
      <c r="L6" s="221"/>
      <c r="M6" s="223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hidden="1" customHeight="1">
      <c r="A7" s="192" t="s">
        <v>25</v>
      </c>
      <c r="B7" s="224"/>
      <c r="C7" s="18"/>
      <c r="D7" s="116"/>
      <c r="E7" s="117"/>
      <c r="F7" s="193"/>
      <c r="G7" s="202"/>
      <c r="H7" s="201"/>
      <c r="I7" s="149"/>
      <c r="J7" s="156"/>
      <c r="K7" s="218" t="s">
        <v>62</v>
      </c>
      <c r="L7" s="222"/>
      <c r="M7" s="223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hidden="1" customHeight="1">
      <c r="A8" s="16" t="s">
        <v>28</v>
      </c>
      <c r="B8" s="225"/>
      <c r="C8" s="109"/>
      <c r="D8" s="110"/>
      <c r="E8" s="111"/>
      <c r="F8" s="195"/>
      <c r="G8" s="25"/>
      <c r="H8" s="203"/>
      <c r="I8" s="146"/>
      <c r="J8" s="97"/>
      <c r="K8" s="218" t="s">
        <v>62</v>
      </c>
      <c r="L8" s="222"/>
      <c r="M8" s="223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hidden="1" customHeight="1">
      <c r="A9" s="192" t="s">
        <v>30</v>
      </c>
      <c r="B9" s="226"/>
      <c r="C9" s="44"/>
      <c r="D9" s="45"/>
      <c r="E9" s="56"/>
      <c r="F9" s="196"/>
      <c r="G9" s="196"/>
      <c r="H9" s="197"/>
      <c r="I9" s="96"/>
      <c r="J9" s="97"/>
      <c r="K9" s="218" t="s">
        <v>62</v>
      </c>
      <c r="L9" s="222"/>
      <c r="M9" s="220" t="s">
        <v>18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hidden="1" customHeight="1">
      <c r="A10" s="16"/>
      <c r="B10" s="226"/>
      <c r="C10" s="44"/>
      <c r="D10" s="45"/>
      <c r="E10" s="56"/>
      <c r="F10" s="196"/>
      <c r="G10" s="102"/>
      <c r="H10" s="197"/>
      <c r="I10" s="96"/>
      <c r="J10" s="97"/>
      <c r="K10" s="147"/>
      <c r="L10" s="52"/>
      <c r="M10" s="122" t="s">
        <v>55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92"/>
      <c r="B11" s="226"/>
      <c r="C11" s="44"/>
      <c r="D11" s="45"/>
      <c r="E11" s="56"/>
      <c r="F11" s="196"/>
      <c r="G11" s="196"/>
      <c r="H11" s="103"/>
      <c r="I11" s="96"/>
      <c r="J11" s="97"/>
      <c r="K11" s="218"/>
      <c r="L11" s="52"/>
      <c r="M11" s="12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38250</v>
      </c>
      <c r="G21" s="74">
        <f t="shared" si="1"/>
        <v>0</v>
      </c>
      <c r="H21" s="74">
        <f t="shared" si="1"/>
        <v>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38250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10:M20">
      <formula1>"จัดส่ง กทม.,รับเอง กทม.,จัดส่ง DP,รับเอง DP,เรียกแกร๊ป"</formula1>
    </dataValidation>
    <dataValidation type="list" allowBlank="1" showErrorMessage="1" sqref="M4:M9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274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29">
        <v>46078.0</v>
      </c>
      <c r="C4" s="18" t="s">
        <v>275</v>
      </c>
      <c r="D4" s="116">
        <v>10250.0</v>
      </c>
      <c r="E4" s="117" t="s">
        <v>91</v>
      </c>
      <c r="F4" s="227">
        <v>10000.0</v>
      </c>
      <c r="G4" s="207"/>
      <c r="H4" s="208"/>
      <c r="I4" s="209"/>
      <c r="J4" s="209"/>
      <c r="K4" s="230" t="s">
        <v>125</v>
      </c>
      <c r="L4" s="219"/>
      <c r="M4" s="223" t="s">
        <v>66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229">
        <v>46078.0</v>
      </c>
      <c r="C5" s="18" t="s">
        <v>276</v>
      </c>
      <c r="D5" s="116">
        <v>43380.0</v>
      </c>
      <c r="E5" s="117" t="s">
        <v>65</v>
      </c>
      <c r="F5" s="228">
        <v>4600.0</v>
      </c>
      <c r="G5" s="207"/>
      <c r="H5" s="213"/>
      <c r="I5" s="209"/>
      <c r="J5" s="214"/>
      <c r="K5" s="230" t="s">
        <v>62</v>
      </c>
      <c r="L5" s="221"/>
      <c r="M5" s="223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229">
        <v>46078.0</v>
      </c>
      <c r="C6" s="18" t="s">
        <v>277</v>
      </c>
      <c r="D6" s="116">
        <v>42095.0</v>
      </c>
      <c r="E6" s="117" t="s">
        <v>278</v>
      </c>
      <c r="F6" s="193"/>
      <c r="G6" s="201">
        <v>320.0</v>
      </c>
      <c r="H6" s="203"/>
      <c r="I6" s="149"/>
      <c r="J6" s="156"/>
      <c r="K6" s="230" t="s">
        <v>62</v>
      </c>
      <c r="L6" s="221"/>
      <c r="M6" s="223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229">
        <v>46078.0</v>
      </c>
      <c r="C7" s="18" t="s">
        <v>279</v>
      </c>
      <c r="D7" s="116">
        <v>47787.0</v>
      </c>
      <c r="E7" s="117" t="s">
        <v>134</v>
      </c>
      <c r="F7" s="193">
        <v>10000.0</v>
      </c>
      <c r="G7" s="202"/>
      <c r="H7" s="201"/>
      <c r="I7" s="149"/>
      <c r="J7" s="156"/>
      <c r="K7" s="230" t="s">
        <v>125</v>
      </c>
      <c r="L7" s="222"/>
      <c r="M7" s="223" t="s">
        <v>66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231">
        <v>46078.0</v>
      </c>
      <c r="C8" s="109" t="s">
        <v>280</v>
      </c>
      <c r="D8" s="110">
        <v>68284.0</v>
      </c>
      <c r="E8" s="111" t="s">
        <v>281</v>
      </c>
      <c r="F8" s="195">
        <v>2920.0</v>
      </c>
      <c r="G8" s="25"/>
      <c r="H8" s="203"/>
      <c r="I8" s="146"/>
      <c r="J8" s="97"/>
      <c r="K8" s="230" t="s">
        <v>62</v>
      </c>
      <c r="L8" s="222"/>
      <c r="M8" s="223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92" t="s">
        <v>30</v>
      </c>
      <c r="B9" s="43">
        <v>46078.0</v>
      </c>
      <c r="C9" s="44" t="s">
        <v>282</v>
      </c>
      <c r="D9" s="45">
        <v>114302.0</v>
      </c>
      <c r="E9" s="56" t="s">
        <v>283</v>
      </c>
      <c r="F9" s="196"/>
      <c r="G9" s="196"/>
      <c r="H9" s="197">
        <v>300.0</v>
      </c>
      <c r="I9" s="96"/>
      <c r="J9" s="97"/>
      <c r="K9" s="230" t="s">
        <v>62</v>
      </c>
      <c r="L9" s="222"/>
      <c r="M9" s="223" t="s">
        <v>18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6" t="s">
        <v>32</v>
      </c>
      <c r="B10" s="43">
        <v>46078.0</v>
      </c>
      <c r="C10" s="44" t="s">
        <v>284</v>
      </c>
      <c r="D10" s="45">
        <v>114313.0</v>
      </c>
      <c r="E10" s="56" t="s">
        <v>285</v>
      </c>
      <c r="F10" s="196"/>
      <c r="G10" s="102"/>
      <c r="H10" s="197">
        <v>300.0</v>
      </c>
      <c r="I10" s="96"/>
      <c r="J10" s="97"/>
      <c r="K10" s="147" t="s">
        <v>62</v>
      </c>
      <c r="L10" s="52"/>
      <c r="M10" s="223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92"/>
      <c r="B11" s="226"/>
      <c r="C11" s="44"/>
      <c r="D11" s="45"/>
      <c r="E11" s="56"/>
      <c r="F11" s="196"/>
      <c r="G11" s="196"/>
      <c r="H11" s="103"/>
      <c r="I11" s="96"/>
      <c r="J11" s="97"/>
      <c r="K11" s="218"/>
      <c r="L11" s="52"/>
      <c r="M11" s="12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27520</v>
      </c>
      <c r="G21" s="74">
        <f t="shared" si="1"/>
        <v>320</v>
      </c>
      <c r="H21" s="74">
        <f t="shared" si="1"/>
        <v>600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28440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11:M20">
      <formula1>"จัดส่ง กทม.,รับเอง กทม.,จัดส่ง DP,รับเอง DP,เรียกแกร๊ป"</formula1>
    </dataValidation>
    <dataValidation type="list" allowBlank="1" showErrorMessage="1" sqref="M4:M1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29">
        <v>46079.0</v>
      </c>
      <c r="C4" s="18" t="s">
        <v>287</v>
      </c>
      <c r="D4" s="116">
        <v>25541.0</v>
      </c>
      <c r="E4" s="117" t="s">
        <v>154</v>
      </c>
      <c r="F4" s="227">
        <v>4500.0</v>
      </c>
      <c r="G4" s="207"/>
      <c r="H4" s="208"/>
      <c r="I4" s="209"/>
      <c r="J4" s="209"/>
      <c r="K4" s="230" t="s">
        <v>62</v>
      </c>
      <c r="L4" s="219"/>
      <c r="M4" s="223" t="s">
        <v>55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229">
        <v>46079.0</v>
      </c>
      <c r="C5" s="18" t="s">
        <v>288</v>
      </c>
      <c r="D5" s="116">
        <v>25541.0</v>
      </c>
      <c r="E5" s="117" t="s">
        <v>154</v>
      </c>
      <c r="F5" s="228">
        <v>4500.0</v>
      </c>
      <c r="G5" s="207"/>
      <c r="H5" s="213"/>
      <c r="I5" s="209"/>
      <c r="J5" s="214"/>
      <c r="K5" s="230" t="s">
        <v>62</v>
      </c>
      <c r="L5" s="221"/>
      <c r="M5" s="223" t="s">
        <v>55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229">
        <v>46079.0</v>
      </c>
      <c r="C6" s="18" t="s">
        <v>289</v>
      </c>
      <c r="D6" s="116">
        <v>25541.0</v>
      </c>
      <c r="E6" s="117" t="s">
        <v>154</v>
      </c>
      <c r="F6" s="193">
        <v>5140.0</v>
      </c>
      <c r="G6" s="201"/>
      <c r="H6" s="203"/>
      <c r="I6" s="149"/>
      <c r="J6" s="156"/>
      <c r="K6" s="230" t="s">
        <v>62</v>
      </c>
      <c r="L6" s="221"/>
      <c r="M6" s="223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229">
        <v>46079.0</v>
      </c>
      <c r="C7" s="18" t="s">
        <v>290</v>
      </c>
      <c r="D7" s="116">
        <v>21828.0</v>
      </c>
      <c r="E7" s="117" t="s">
        <v>117</v>
      </c>
      <c r="F7" s="193"/>
      <c r="G7" s="203">
        <v>5050.0</v>
      </c>
      <c r="H7" s="201"/>
      <c r="I7" s="149"/>
      <c r="J7" s="156"/>
      <c r="K7" s="230" t="s">
        <v>62</v>
      </c>
      <c r="L7" s="222"/>
      <c r="M7" s="223" t="s">
        <v>18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231">
        <v>46079.0</v>
      </c>
      <c r="C8" s="109" t="s">
        <v>291</v>
      </c>
      <c r="D8" s="110">
        <v>51660.0</v>
      </c>
      <c r="E8" s="111" t="s">
        <v>160</v>
      </c>
      <c r="F8" s="195">
        <v>4500.0</v>
      </c>
      <c r="G8" s="25"/>
      <c r="H8" s="203"/>
      <c r="I8" s="146"/>
      <c r="J8" s="97"/>
      <c r="K8" s="230" t="s">
        <v>62</v>
      </c>
      <c r="L8" s="222"/>
      <c r="M8" s="223" t="s">
        <v>18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92" t="s">
        <v>30</v>
      </c>
      <c r="B9" s="43">
        <v>46079.0</v>
      </c>
      <c r="C9" s="44" t="s">
        <v>292</v>
      </c>
      <c r="D9" s="45">
        <v>97731.0</v>
      </c>
      <c r="E9" s="56" t="s">
        <v>293</v>
      </c>
      <c r="F9" s="196">
        <v>4500.0</v>
      </c>
      <c r="G9" s="196"/>
      <c r="H9" s="197"/>
      <c r="I9" s="96"/>
      <c r="J9" s="97"/>
      <c r="K9" s="230" t="s">
        <v>62</v>
      </c>
      <c r="L9" s="222"/>
      <c r="M9" s="223" t="s">
        <v>18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6" t="s">
        <v>32</v>
      </c>
      <c r="B10" s="43">
        <v>46079.0</v>
      </c>
      <c r="C10" s="44" t="s">
        <v>294</v>
      </c>
      <c r="D10" s="45">
        <v>99223.0</v>
      </c>
      <c r="E10" s="56" t="s">
        <v>295</v>
      </c>
      <c r="F10" s="196">
        <v>4500.0</v>
      </c>
      <c r="G10" s="102"/>
      <c r="H10" s="197"/>
      <c r="I10" s="96"/>
      <c r="J10" s="97"/>
      <c r="K10" s="147" t="s">
        <v>62</v>
      </c>
      <c r="L10" s="52"/>
      <c r="M10" s="223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92"/>
      <c r="B11" s="226"/>
      <c r="C11" s="44"/>
      <c r="D11" s="45"/>
      <c r="E11" s="56"/>
      <c r="F11" s="196"/>
      <c r="G11" s="196"/>
      <c r="H11" s="103"/>
      <c r="I11" s="96"/>
      <c r="J11" s="97"/>
      <c r="K11" s="218"/>
      <c r="L11" s="52"/>
      <c r="M11" s="122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27640</v>
      </c>
      <c r="G21" s="74">
        <f t="shared" si="1"/>
        <v>5050</v>
      </c>
      <c r="H21" s="74">
        <f t="shared" si="1"/>
        <v>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32690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11:M20">
      <formula1>"จัดส่ง กทม.,รับเอง กทม.,จัดส่ง DP,รับเอง DP,เรียกแกร๊ป"</formula1>
    </dataValidation>
    <dataValidation type="list" allowBlank="1" showErrorMessage="1" sqref="M4:M1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296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29">
        <v>46079.0</v>
      </c>
      <c r="C4" s="18" t="s">
        <v>297</v>
      </c>
      <c r="D4" s="116">
        <v>81107.0</v>
      </c>
      <c r="E4" s="117" t="s">
        <v>298</v>
      </c>
      <c r="F4" s="227"/>
      <c r="G4" s="207">
        <v>2400.0</v>
      </c>
      <c r="H4" s="208"/>
      <c r="I4" s="209"/>
      <c r="J4" s="209"/>
      <c r="K4" s="230" t="s">
        <v>62</v>
      </c>
      <c r="L4" s="219"/>
      <c r="M4" s="223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229">
        <v>46079.0</v>
      </c>
      <c r="C5" s="18" t="s">
        <v>299</v>
      </c>
      <c r="D5" s="116">
        <v>10006.0</v>
      </c>
      <c r="E5" s="117" t="s">
        <v>73</v>
      </c>
      <c r="F5" s="228">
        <v>1500.0</v>
      </c>
      <c r="G5" s="207"/>
      <c r="H5" s="213"/>
      <c r="I5" s="209"/>
      <c r="J5" s="214"/>
      <c r="K5" s="230" t="s">
        <v>62</v>
      </c>
      <c r="L5" s="221"/>
      <c r="M5" s="223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229">
        <v>46080.0</v>
      </c>
      <c r="C6" s="18" t="s">
        <v>300</v>
      </c>
      <c r="D6" s="116">
        <v>52669.0</v>
      </c>
      <c r="E6" s="117" t="s">
        <v>61</v>
      </c>
      <c r="F6" s="193">
        <v>10450.0</v>
      </c>
      <c r="G6" s="201"/>
      <c r="H6" s="203"/>
      <c r="I6" s="149"/>
      <c r="J6" s="156"/>
      <c r="K6" s="230" t="s">
        <v>62</v>
      </c>
      <c r="L6" s="221"/>
      <c r="M6" s="223" t="s">
        <v>18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229">
        <v>46080.0</v>
      </c>
      <c r="C7" s="18" t="s">
        <v>301</v>
      </c>
      <c r="D7" s="116">
        <v>89807.0</v>
      </c>
      <c r="E7" s="117" t="s">
        <v>302</v>
      </c>
      <c r="F7" s="193"/>
      <c r="G7" s="203"/>
      <c r="H7" s="201">
        <v>5100.0</v>
      </c>
      <c r="I7" s="149"/>
      <c r="J7" s="156"/>
      <c r="K7" s="230" t="s">
        <v>62</v>
      </c>
      <c r="L7" s="222"/>
      <c r="M7" s="223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231">
        <v>46080.0</v>
      </c>
      <c r="C8" s="109" t="s">
        <v>303</v>
      </c>
      <c r="D8" s="110">
        <v>89807.0</v>
      </c>
      <c r="E8" s="111" t="s">
        <v>302</v>
      </c>
      <c r="F8" s="195"/>
      <c r="G8" s="25"/>
      <c r="H8" s="203">
        <v>1100.0</v>
      </c>
      <c r="I8" s="146"/>
      <c r="J8" s="97"/>
      <c r="K8" s="230" t="s">
        <v>62</v>
      </c>
      <c r="L8" s="222"/>
      <c r="M8" s="223" t="s">
        <v>55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92" t="s">
        <v>30</v>
      </c>
      <c r="B9" s="43">
        <v>46080.0</v>
      </c>
      <c r="C9" s="44" t="s">
        <v>304</v>
      </c>
      <c r="D9" s="45">
        <v>10006.0</v>
      </c>
      <c r="E9" s="56" t="s">
        <v>73</v>
      </c>
      <c r="F9" s="196">
        <v>4500.0</v>
      </c>
      <c r="G9" s="196"/>
      <c r="H9" s="197"/>
      <c r="I9" s="96"/>
      <c r="J9" s="97"/>
      <c r="K9" s="230" t="s">
        <v>62</v>
      </c>
      <c r="L9" s="222"/>
      <c r="M9" s="223" t="s">
        <v>18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6" t="s">
        <v>32</v>
      </c>
      <c r="B10" s="43">
        <v>46080.0</v>
      </c>
      <c r="C10" s="44" t="s">
        <v>305</v>
      </c>
      <c r="D10" s="45">
        <v>50595.0</v>
      </c>
      <c r="E10" s="56" t="s">
        <v>306</v>
      </c>
      <c r="F10" s="196">
        <v>5280.0</v>
      </c>
      <c r="G10" s="196"/>
      <c r="H10" s="197"/>
      <c r="I10" s="96"/>
      <c r="J10" s="97"/>
      <c r="K10" s="147" t="s">
        <v>62</v>
      </c>
      <c r="L10" s="52"/>
      <c r="M10" s="223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35</v>
      </c>
      <c r="B11" s="43">
        <v>46080.0</v>
      </c>
      <c r="C11" s="44" t="s">
        <v>307</v>
      </c>
      <c r="D11" s="45">
        <v>10357.0</v>
      </c>
      <c r="E11" s="56" t="s">
        <v>308</v>
      </c>
      <c r="F11" s="196"/>
      <c r="G11" s="196">
        <v>4500.0</v>
      </c>
      <c r="H11" s="103"/>
      <c r="I11" s="96"/>
      <c r="J11" s="97"/>
      <c r="K11" s="218"/>
      <c r="L11" s="52"/>
      <c r="M11" s="122" t="s">
        <v>18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16"/>
      <c r="B12" s="43"/>
      <c r="C12" s="44"/>
      <c r="D12" s="45"/>
      <c r="E12" s="56"/>
      <c r="F12" s="102"/>
      <c r="G12" s="102"/>
      <c r="H12" s="197"/>
      <c r="I12" s="96"/>
      <c r="J12" s="97"/>
      <c r="K12" s="147"/>
      <c r="L12" s="52"/>
      <c r="M12" s="122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hidden="1" customHeight="1">
      <c r="A13" s="192"/>
      <c r="B13" s="67"/>
      <c r="C13" s="68"/>
      <c r="D13" s="69"/>
      <c r="E13" s="70"/>
      <c r="F13" s="102"/>
      <c r="G13" s="102"/>
      <c r="H13" s="103"/>
      <c r="I13" s="96"/>
      <c r="J13" s="97"/>
      <c r="K13" s="98"/>
      <c r="L13" s="52"/>
      <c r="M13" s="101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hidden="1" customHeight="1">
      <c r="A14" s="16"/>
      <c r="B14" s="67"/>
      <c r="C14" s="68"/>
      <c r="D14" s="69"/>
      <c r="E14" s="70"/>
      <c r="F14" s="102"/>
      <c r="G14" s="102"/>
      <c r="H14" s="103"/>
      <c r="I14" s="96"/>
      <c r="J14" s="97"/>
      <c r="K14" s="98"/>
      <c r="L14" s="52"/>
      <c r="M14" s="101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hidden="1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21730</v>
      </c>
      <c r="G21" s="74">
        <f t="shared" si="1"/>
        <v>6900</v>
      </c>
      <c r="H21" s="74">
        <f t="shared" si="1"/>
        <v>6200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34830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11:M20">
      <formula1>"จัดส่ง กทม.,รับเอง กทม.,จัดส่ง DP,รับเอง DP,เรียกแกร๊ป"</formula1>
    </dataValidation>
    <dataValidation type="list" allowBlank="1" showErrorMessage="1" sqref="M4:M1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pageSetUpPr/>
  </sheetPr>
  <sheetViews>
    <sheetView workbookViewId="0"/>
  </sheetViews>
  <sheetFormatPr customHeight="1" defaultColWidth="12.63" defaultRowHeight="15.0"/>
  <cols>
    <col customWidth="1" min="1" max="1" width="10.88"/>
    <col customWidth="1" min="2" max="2" width="18.88"/>
    <col customWidth="1" min="3" max="3" width="36.13"/>
    <col customWidth="1" min="4" max="4" width="17.75"/>
    <col customWidth="1" min="5" max="5" width="102.13"/>
    <col customWidth="1" min="6" max="6" width="14.13"/>
    <col customWidth="1" min="7" max="7" width="20.25"/>
    <col customWidth="1" min="8" max="8" width="20.88"/>
    <col customWidth="1" min="9" max="9" width="15.38"/>
    <col customWidth="1" min="10" max="10" width="14.63"/>
    <col customWidth="1" min="11" max="11" width="21.5"/>
    <col customWidth="1" min="12" max="12" width="26.13"/>
    <col customWidth="1" min="13" max="13" width="32.63"/>
    <col customWidth="1" min="14" max="26" width="8.13"/>
  </cols>
  <sheetData>
    <row r="1" ht="67.5" customHeight="1">
      <c r="A1" s="1" t="s">
        <v>309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4" t="s">
        <v>5</v>
      </c>
      <c r="F2" s="6" t="s">
        <v>6</v>
      </c>
      <c r="G2" s="2"/>
      <c r="H2" s="2"/>
      <c r="I2" s="2"/>
      <c r="J2" s="3"/>
      <c r="K2" s="5" t="s">
        <v>7</v>
      </c>
      <c r="L2" s="4" t="s">
        <v>8</v>
      </c>
      <c r="M2" s="7" t="s">
        <v>9</v>
      </c>
    </row>
    <row r="3">
      <c r="A3" s="8"/>
      <c r="B3" s="9"/>
      <c r="C3" s="9"/>
      <c r="D3" s="9"/>
      <c r="E3" s="8"/>
      <c r="F3" s="10" t="s">
        <v>10</v>
      </c>
      <c r="G3" s="11" t="s">
        <v>11</v>
      </c>
      <c r="H3" s="12" t="s">
        <v>12</v>
      </c>
      <c r="I3" s="13" t="s">
        <v>13</v>
      </c>
      <c r="J3" s="14" t="s">
        <v>14</v>
      </c>
      <c r="K3" s="9"/>
      <c r="L3" s="8"/>
      <c r="M3" s="15"/>
    </row>
    <row r="4" ht="49.5" customHeight="1">
      <c r="A4" s="16" t="s">
        <v>15</v>
      </c>
      <c r="B4" s="229">
        <v>46080.0</v>
      </c>
      <c r="C4" s="18" t="s">
        <v>310</v>
      </c>
      <c r="D4" s="116">
        <v>105021.0</v>
      </c>
      <c r="E4" s="117" t="s">
        <v>206</v>
      </c>
      <c r="F4" s="227"/>
      <c r="G4" s="207">
        <v>2400.0</v>
      </c>
      <c r="H4" s="208"/>
      <c r="I4" s="209"/>
      <c r="J4" s="209"/>
      <c r="K4" s="230" t="s">
        <v>62</v>
      </c>
      <c r="L4" s="219"/>
      <c r="M4" s="223" t="s">
        <v>18</v>
      </c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</row>
    <row r="5" ht="49.5" customHeight="1">
      <c r="A5" s="192" t="s">
        <v>19</v>
      </c>
      <c r="B5" s="229">
        <v>46080.0</v>
      </c>
      <c r="C5" s="18" t="s">
        <v>311</v>
      </c>
      <c r="D5" s="116">
        <v>109953.0</v>
      </c>
      <c r="E5" s="117" t="s">
        <v>192</v>
      </c>
      <c r="F5" s="228"/>
      <c r="G5" s="207">
        <v>2950.0</v>
      </c>
      <c r="H5" s="213"/>
      <c r="I5" s="209"/>
      <c r="J5" s="214"/>
      <c r="K5" s="230" t="s">
        <v>62</v>
      </c>
      <c r="L5" s="221"/>
      <c r="M5" s="223" t="s">
        <v>18</v>
      </c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</row>
    <row r="6" ht="49.5" customHeight="1">
      <c r="A6" s="16" t="s">
        <v>22</v>
      </c>
      <c r="B6" s="229">
        <v>46080.0</v>
      </c>
      <c r="C6" s="18" t="s">
        <v>312</v>
      </c>
      <c r="D6" s="116">
        <v>47787.0</v>
      </c>
      <c r="E6" s="117" t="s">
        <v>134</v>
      </c>
      <c r="F6" s="193"/>
      <c r="G6" s="201"/>
      <c r="H6" s="203">
        <v>5000.0</v>
      </c>
      <c r="I6" s="149"/>
      <c r="J6" s="156"/>
      <c r="K6" s="230" t="s">
        <v>125</v>
      </c>
      <c r="L6" s="221"/>
      <c r="M6" s="223" t="s">
        <v>66</v>
      </c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</row>
    <row r="7" ht="49.5" customHeight="1">
      <c r="A7" s="192" t="s">
        <v>25</v>
      </c>
      <c r="B7" s="229">
        <v>46081.0</v>
      </c>
      <c r="C7" s="18" t="s">
        <v>313</v>
      </c>
      <c r="D7" s="116">
        <v>43380.0</v>
      </c>
      <c r="E7" s="117" t="s">
        <v>65</v>
      </c>
      <c r="F7" s="193">
        <v>4900.0</v>
      </c>
      <c r="G7" s="203"/>
      <c r="H7" s="201"/>
      <c r="I7" s="149"/>
      <c r="J7" s="156"/>
      <c r="K7" s="230" t="s">
        <v>62</v>
      </c>
      <c r="L7" s="222"/>
      <c r="M7" s="223" t="s">
        <v>55</v>
      </c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</row>
    <row r="8" ht="49.5" customHeight="1">
      <c r="A8" s="16" t="s">
        <v>28</v>
      </c>
      <c r="B8" s="231">
        <v>46081.0</v>
      </c>
      <c r="C8" s="109" t="s">
        <v>314</v>
      </c>
      <c r="D8" s="110">
        <v>72839.0</v>
      </c>
      <c r="E8" s="111" t="s">
        <v>224</v>
      </c>
      <c r="F8" s="195">
        <v>300.0</v>
      </c>
      <c r="G8" s="25"/>
      <c r="H8" s="203"/>
      <c r="I8" s="146"/>
      <c r="J8" s="97"/>
      <c r="K8" s="230" t="s">
        <v>62</v>
      </c>
      <c r="L8" s="222"/>
      <c r="M8" s="223" t="s">
        <v>18</v>
      </c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</row>
    <row r="9" ht="49.5" customHeight="1">
      <c r="A9" s="192" t="s">
        <v>30</v>
      </c>
      <c r="B9" s="43">
        <v>46081.0</v>
      </c>
      <c r="C9" s="44" t="s">
        <v>315</v>
      </c>
      <c r="D9" s="45">
        <v>114564.0</v>
      </c>
      <c r="E9" s="56" t="s">
        <v>316</v>
      </c>
      <c r="F9" s="196">
        <v>7000.0</v>
      </c>
      <c r="G9" s="196"/>
      <c r="H9" s="197"/>
      <c r="I9" s="96"/>
      <c r="J9" s="97"/>
      <c r="K9" s="230" t="s">
        <v>62</v>
      </c>
      <c r="L9" s="222"/>
      <c r="M9" s="223" t="s">
        <v>18</v>
      </c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</row>
    <row r="10" ht="49.5" customHeight="1">
      <c r="A10" s="206" t="s">
        <v>32</v>
      </c>
      <c r="B10" s="43">
        <v>46081.0</v>
      </c>
      <c r="C10" s="44" t="s">
        <v>317</v>
      </c>
      <c r="D10" s="45">
        <v>114566.0</v>
      </c>
      <c r="E10" s="56" t="s">
        <v>318</v>
      </c>
      <c r="F10" s="196">
        <v>7000.0</v>
      </c>
      <c r="G10" s="196"/>
      <c r="H10" s="197"/>
      <c r="I10" s="96"/>
      <c r="J10" s="97"/>
      <c r="K10" s="147" t="s">
        <v>62</v>
      </c>
      <c r="L10" s="52"/>
      <c r="M10" s="223" t="s">
        <v>18</v>
      </c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</row>
    <row r="11" ht="49.5" customHeight="1">
      <c r="A11" s="16" t="s">
        <v>35</v>
      </c>
      <c r="B11" s="43">
        <v>46081.0</v>
      </c>
      <c r="C11" s="44" t="s">
        <v>319</v>
      </c>
      <c r="D11" s="45">
        <v>114570.0</v>
      </c>
      <c r="E11" s="56" t="s">
        <v>320</v>
      </c>
      <c r="F11" s="196"/>
      <c r="G11" s="196"/>
      <c r="H11" s="197">
        <v>300.0</v>
      </c>
      <c r="I11" s="96"/>
      <c r="J11" s="97"/>
      <c r="K11" s="230" t="s">
        <v>62</v>
      </c>
      <c r="L11" s="52"/>
      <c r="M11" s="122" t="s">
        <v>18</v>
      </c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</row>
    <row r="12" ht="49.5" customHeight="1">
      <c r="A12" s="206" t="s">
        <v>38</v>
      </c>
      <c r="B12" s="43">
        <v>46081.0</v>
      </c>
      <c r="C12" s="44" t="s">
        <v>321</v>
      </c>
      <c r="D12" s="45">
        <v>98911.0</v>
      </c>
      <c r="E12" s="56" t="s">
        <v>322</v>
      </c>
      <c r="F12" s="102"/>
      <c r="G12" s="102"/>
      <c r="H12" s="197">
        <v>4100.0</v>
      </c>
      <c r="I12" s="96"/>
      <c r="J12" s="97"/>
      <c r="K12" s="147" t="s">
        <v>62</v>
      </c>
      <c r="L12" s="52"/>
      <c r="M12" s="122" t="s">
        <v>18</v>
      </c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</row>
    <row r="13" ht="49.5" customHeight="1">
      <c r="A13" s="16" t="s">
        <v>41</v>
      </c>
      <c r="B13" s="43">
        <v>46081.0</v>
      </c>
      <c r="C13" s="44" t="s">
        <v>323</v>
      </c>
      <c r="D13" s="45">
        <v>52685.0</v>
      </c>
      <c r="E13" s="56" t="s">
        <v>43</v>
      </c>
      <c r="F13" s="196">
        <v>4500.0</v>
      </c>
      <c r="G13" s="102"/>
      <c r="H13" s="103"/>
      <c r="I13" s="96"/>
      <c r="J13" s="97"/>
      <c r="K13" s="147" t="s">
        <v>62</v>
      </c>
      <c r="L13" s="52"/>
      <c r="M13" s="122" t="s">
        <v>18</v>
      </c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</row>
    <row r="14" ht="49.5" customHeight="1">
      <c r="A14" s="206" t="s">
        <v>44</v>
      </c>
      <c r="B14" s="43">
        <v>46081.0</v>
      </c>
      <c r="C14" s="44" t="s">
        <v>324</v>
      </c>
      <c r="D14" s="45">
        <v>65611.0</v>
      </c>
      <c r="E14" s="56" t="s">
        <v>17</v>
      </c>
      <c r="F14" s="196">
        <v>3200.0</v>
      </c>
      <c r="G14" s="102"/>
      <c r="H14" s="103"/>
      <c r="I14" s="96"/>
      <c r="J14" s="97"/>
      <c r="K14" s="147" t="s">
        <v>62</v>
      </c>
      <c r="L14" s="52"/>
      <c r="M14" s="122" t="s">
        <v>18</v>
      </c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</row>
    <row r="15" ht="49.5" hidden="1" customHeight="1">
      <c r="A15" s="192"/>
      <c r="B15" s="67"/>
      <c r="C15" s="68"/>
      <c r="D15" s="69"/>
      <c r="E15" s="70"/>
      <c r="F15" s="102"/>
      <c r="G15" s="102"/>
      <c r="H15" s="103"/>
      <c r="I15" s="96"/>
      <c r="J15" s="97"/>
      <c r="K15" s="98"/>
      <c r="L15" s="52"/>
      <c r="M15" s="101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</row>
    <row r="16" ht="49.5" hidden="1" customHeight="1">
      <c r="A16" s="78"/>
      <c r="B16" s="67"/>
      <c r="C16" s="68"/>
      <c r="D16" s="69"/>
      <c r="E16" s="70"/>
      <c r="F16" s="102"/>
      <c r="G16" s="102"/>
      <c r="H16" s="103"/>
      <c r="I16" s="96"/>
      <c r="J16" s="97"/>
      <c r="K16" s="98"/>
      <c r="L16" s="52"/>
      <c r="M16" s="101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</row>
    <row r="17" ht="49.5" hidden="1" customHeight="1">
      <c r="A17" s="30"/>
      <c r="B17" s="67"/>
      <c r="C17" s="68"/>
      <c r="D17" s="69"/>
      <c r="E17" s="70"/>
      <c r="F17" s="102"/>
      <c r="G17" s="102"/>
      <c r="H17" s="103"/>
      <c r="I17" s="96"/>
      <c r="J17" s="97"/>
      <c r="K17" s="98"/>
      <c r="L17" s="52"/>
      <c r="M17" s="101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</row>
    <row r="18" ht="49.5" hidden="1" customHeight="1">
      <c r="A18" s="78"/>
      <c r="B18" s="67"/>
      <c r="C18" s="68"/>
      <c r="D18" s="69"/>
      <c r="E18" s="70"/>
      <c r="F18" s="102"/>
      <c r="G18" s="102"/>
      <c r="H18" s="103"/>
      <c r="I18" s="96"/>
      <c r="J18" s="97"/>
      <c r="K18" s="98"/>
      <c r="L18" s="52"/>
      <c r="M18" s="101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</row>
    <row r="19" ht="49.5" hidden="1" customHeight="1">
      <c r="A19" s="30"/>
      <c r="B19" s="67"/>
      <c r="C19" s="68"/>
      <c r="D19" s="69"/>
      <c r="E19" s="70"/>
      <c r="F19" s="102"/>
      <c r="G19" s="102"/>
      <c r="H19" s="103"/>
      <c r="I19" s="96"/>
      <c r="J19" s="97"/>
      <c r="K19" s="98"/>
      <c r="L19" s="52"/>
      <c r="M19" s="101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</row>
    <row r="20" ht="49.5" customHeight="1">
      <c r="A20" s="30"/>
      <c r="B20" s="67"/>
      <c r="C20" s="68"/>
      <c r="D20" s="69"/>
      <c r="E20" s="70"/>
      <c r="F20" s="104"/>
      <c r="G20" s="102"/>
      <c r="H20" s="105"/>
      <c r="I20" s="96"/>
      <c r="J20" s="106"/>
      <c r="K20" s="107"/>
      <c r="L20" s="60"/>
      <c r="M20" s="101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</row>
    <row r="21" ht="49.5" customHeight="1">
      <c r="A21" s="73"/>
      <c r="B21" s="2"/>
      <c r="C21" s="2"/>
      <c r="D21" s="2"/>
      <c r="E21" s="3"/>
      <c r="F21" s="74">
        <f t="shared" ref="F21:J21" si="1">SUM(F4:F20)</f>
        <v>26900</v>
      </c>
      <c r="G21" s="74">
        <f t="shared" si="1"/>
        <v>5350</v>
      </c>
      <c r="H21" s="74">
        <f t="shared" si="1"/>
        <v>9400</v>
      </c>
      <c r="I21" s="74">
        <f t="shared" si="1"/>
        <v>0</v>
      </c>
      <c r="J21" s="74">
        <f t="shared" si="1"/>
        <v>0</v>
      </c>
      <c r="K21" s="75"/>
      <c r="L21" s="75"/>
      <c r="M21" s="76"/>
    </row>
    <row r="22" ht="48.0" customHeight="1">
      <c r="F22" s="77">
        <f>F21+G21+H21+I21+J21</f>
        <v>41650</v>
      </c>
      <c r="G22" s="2"/>
      <c r="H22" s="2"/>
      <c r="I22" s="2"/>
      <c r="J22" s="3"/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</sheetData>
  <mergeCells count="12">
    <mergeCell ref="K2:K3"/>
    <mergeCell ref="L2:L3"/>
    <mergeCell ref="E2:E3"/>
    <mergeCell ref="A21:E21"/>
    <mergeCell ref="F22:J22"/>
    <mergeCell ref="A1:M1"/>
    <mergeCell ref="A2:A3"/>
    <mergeCell ref="B2:B3"/>
    <mergeCell ref="C2:C3"/>
    <mergeCell ref="D2:D3"/>
    <mergeCell ref="F2:J2"/>
    <mergeCell ref="M2:M3"/>
  </mergeCells>
  <dataValidations>
    <dataValidation type="list" allowBlank="1" showErrorMessage="1" sqref="M11:M20">
      <formula1>"จัดส่ง กทม.,รับเอง กทม.,จัดส่ง DP,รับเอง DP,เรียกแกร๊ป"</formula1>
    </dataValidation>
    <dataValidation type="list" allowBlank="1" showErrorMessage="1" sqref="M4:M10">
      <formula1>"จัดส่ง กทม.,รับเอง กทม.,จัดส่ง DP,รับเอง DP,เรียกแกร๊ป"</formula1>
    </dataValidation>
  </dataValidations>
  <printOptions/>
  <pageMargins bottom="0.75" footer="0.0" header="0.0" left="0.7" right="0.7" top="0.75"/>
  <pageSetup paperSize="9" scale="35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2025-05-23T09:15:12Z</dcterms:created>
  <dc:creator>A4S CS</dc:creator>
</cp:coreProperties>
</file>
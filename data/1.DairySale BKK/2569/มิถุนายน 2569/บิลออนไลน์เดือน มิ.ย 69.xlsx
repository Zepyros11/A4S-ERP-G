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4-1.6-69" sheetId="1" r:id="rId4"/>
    <sheet state="visible" name="2-6-69" sheetId="2" r:id="rId5"/>
    <sheet state="visible" name="3-6-69" sheetId="3" r:id="rId6"/>
    <sheet state="visible" name="4-6-69" sheetId="4" r:id="rId7"/>
    <sheet state="visible" name="5-6-69" sheetId="5" r:id="rId8"/>
    <sheet state="visible" name="6-6-69" sheetId="6" r:id="rId9"/>
    <sheet state="visible" name="7-6-69" sheetId="7" r:id="rId10"/>
    <sheet state="visible" name="8-6-69" sheetId="8" r:id="rId11"/>
    <sheet state="visible" name="9-6-69" sheetId="9" r:id="rId12"/>
    <sheet state="visible" name="10-6-69" sheetId="10" r:id="rId13"/>
    <sheet state="visible" name="11-6-69" sheetId="11" r:id="rId14"/>
    <sheet state="visible" name="12-6-69" sheetId="12" r:id="rId15"/>
    <sheet state="visible" name="13-6-69" sheetId="13" r:id="rId16"/>
    <sheet state="visible" name="14-6-69" sheetId="14" r:id="rId17"/>
    <sheet state="visible" name="15-6-69" sheetId="15" r:id="rId18"/>
    <sheet state="visible" name="16-6-69" sheetId="16" r:id="rId19"/>
    <sheet state="visible" name="17-6-69" sheetId="17" r:id="rId20"/>
    <sheet state="visible" name="18-6-69" sheetId="18" r:id="rId21"/>
    <sheet state="visible" name="19-6-69" sheetId="19" r:id="rId22"/>
    <sheet state="visible" name="21-6-69" sheetId="20" r:id="rId23"/>
    <sheet state="visible" name="22-6-69" sheetId="21" r:id="rId24"/>
    <sheet state="visible" name="23-6-69" sheetId="22" r:id="rId25"/>
    <sheet state="visible" name="24-6-69" sheetId="23" r:id="rId26"/>
    <sheet state="visible" name="25-6-69" sheetId="24" r:id="rId27"/>
    <sheet state="visible" name="26-6-69" sheetId="25" r:id="rId28"/>
    <sheet state="visible" name="27-6-69" sheetId="26" r:id="rId29"/>
    <sheet state="visible" name="28-6-69" sheetId="27" r:id="rId30"/>
    <sheet state="visible" name="29-6-69" sheetId="28" r:id="rId31"/>
    <sheet state="visible" name="30-6-69" sheetId="29" r:id="rId32"/>
  </sheets>
  <definedNames/>
  <calcPr/>
  <extLst>
    <ext uri="GoogleSheetsCustomDataVersion2">
      <go:sheetsCustomData xmlns:go="http://customooxmlschemas.google.com/" r:id="rId33" roundtripDataChecksum="A4G0Su5TuEJAAzyQGvFCDoTRvDdHqYrydw8yxlXtFRc="/>
    </ext>
  </extLst>
</workbook>
</file>

<file path=xl/sharedStrings.xml><?xml version="1.0" encoding="utf-8"?>
<sst xmlns="http://schemas.openxmlformats.org/spreadsheetml/2006/main" count="1746" uniqueCount="361">
  <si>
    <t xml:space="preserve">              สรุปยอด บิลออนไลน์  จัดส่ง / นำเข้า DP ดึงตั้งแต่  31 พฤศภาคม - 1 มิถุนายน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</si>
  <si>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</si>
  <si>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</si>
  <si>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</si>
  <si>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</si>
  <si>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</si>
  <si>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</si>
  <si>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</si>
  <si>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</si>
  <si>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</si>
  <si>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</si>
  <si>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</si>
  <si>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</si>
  <si>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</si>
  <si>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</si>
  <si>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</si>
  <si>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STHONLIN2605007791</t>
  </si>
  <si>
    <t>นาย ณนพน ฐนาญนณ์</t>
  </si>
  <si>
    <t>BKK</t>
  </si>
  <si>
    <t>รับเอง กทม.</t>
  </si>
  <si>
    <t>2</t>
  </si>
  <si>
    <t>STHONLIN2605007793</t>
  </si>
  <si>
    <t>Ms. SHILPI JAIN</t>
  </si>
  <si>
    <t>3</t>
  </si>
  <si>
    <t>STHONLIN2606000023</t>
  </si>
  <si>
    <t>Mr. FREDERICK BALOKO</t>
  </si>
  <si>
    <t>4</t>
  </si>
  <si>
    <t>STHONLIN2606000025</t>
  </si>
  <si>
    <t>ห้างหุ้นส่วน โกรท โกลเบิล เน็ตเวิร์ก (สำนักงานใหญ่)</t>
  </si>
  <si>
    <t>DP</t>
  </si>
  <si>
    <t>รับเอง DP</t>
  </si>
  <si>
    <t>5</t>
  </si>
  <si>
    <t>STHONLIN2606000036</t>
  </si>
  <si>
    <t>ASAMOAH RICHARD</t>
  </si>
  <si>
    <t>6</t>
  </si>
  <si>
    <t>NP</t>
  </si>
  <si>
    <t>7</t>
  </si>
  <si>
    <t>8</t>
  </si>
  <si>
    <t>9</t>
  </si>
  <si>
    <t>10</t>
  </si>
  <si>
    <t>11</t>
  </si>
  <si>
    <t>12</t>
  </si>
  <si>
    <t>13</t>
  </si>
  <si>
    <t>15</t>
  </si>
  <si>
    <t>จัดส่ง กทม.</t>
  </si>
  <si>
    <t>16</t>
  </si>
  <si>
    <t>17</t>
  </si>
  <si>
    <t>18</t>
  </si>
  <si>
    <t xml:space="preserve">              สรุปยอด บิลออนไลน์  จัดส่ง / นำเข้า DP ดึงตั้งแต่   2  มิถุนายน  2569                                                                                             </t>
  </si>
  <si>
    <t>STHONLIN2606000308</t>
  </si>
  <si>
    <t>บริษัท โคบาราเอฟโวลูชั่น (ประเทศไทย)จำกัด ( สำนักงานใหญ่ )</t>
  </si>
  <si>
    <t>STHONLIN2606000313</t>
  </si>
  <si>
    <t>บริษัท  ต.ศรีโสภณ จำกัด (สำนักงานใหญ่)</t>
  </si>
  <si>
    <t>STHONLIN2606000319</t>
  </si>
  <si>
    <t>NB</t>
  </si>
  <si>
    <t>STHONLIN2606000322</t>
  </si>
  <si>
    <t>นาง วิชญ์ชยา ภูธนโรจน์สิริ</t>
  </si>
  <si>
    <t>STHONLIN2606000323</t>
  </si>
  <si>
    <t>นาย อับดุลลาย  ยูนีซ่า</t>
  </si>
  <si>
    <t>STHONLIN2606000324</t>
  </si>
  <si>
    <t>Ms. Lufila Doka Christelle</t>
  </si>
  <si>
    <t>STHONLIN2606000337</t>
  </si>
  <si>
    <t>นางสาว จิรภาทิชา โคดมการภัทรารัช</t>
  </si>
  <si>
    <t>STHONLIN2606000341</t>
  </si>
  <si>
    <t>Mr. Diarra Adama</t>
  </si>
  <si>
    <t>STHONLIN2606000348</t>
  </si>
  <si>
    <t>บริษัท ดีเวย์ ริชคอร์ป จำกัด(สำนักงานใหญ่)</t>
  </si>
  <si>
    <t>STHONLIN2606000349</t>
  </si>
  <si>
    <t>นาง ปริษา ปรัชญาโชติการ</t>
  </si>
  <si>
    <t>STHONLIN2606000352</t>
  </si>
  <si>
    <t>นาง ณัฐสิมา. สวัสดีจุ้ย</t>
  </si>
  <si>
    <t>STHONLIN2606000353</t>
  </si>
  <si>
    <t>14</t>
  </si>
  <si>
    <t xml:space="preserve">              สรุปยอด บิลออนไลน์  จัดส่ง / นำเข้า DP ดึงตั้งแต่   3  มิถุนายน  2569                                                                                             </t>
  </si>
  <si>
    <t>STHONLIN2606000499</t>
  </si>
  <si>
    <t>นางสาว ธนัญกานต์ แสงสุวรรณ์พร</t>
  </si>
  <si>
    <t>STHONLIN2606000654</t>
  </si>
  <si>
    <t>นางสาว พิชญ์สินี บุญมีฉิมมา</t>
  </si>
  <si>
    <t>STHONLIN2606000662</t>
  </si>
  <si>
    <t>STHONLIN2606000673</t>
  </si>
  <si>
    <t>นางสาว นันทา ชนะผล</t>
  </si>
  <si>
    <t>STHONLIN2606000675</t>
  </si>
  <si>
    <t>นางสาว ศรุดา ทองสีดี</t>
  </si>
  <si>
    <t>STHONLIN2606000683</t>
  </si>
  <si>
    <t>นาย จักรพงศ์ สินธุรักษ์</t>
  </si>
  <si>
    <t>STHONLIN2606000948</t>
  </si>
  <si>
    <t>บริษัท เค24 โกลบอล จำกัด (สำนักงานใหญ่)</t>
  </si>
  <si>
    <t>STHONLIN2606000977</t>
  </si>
  <si>
    <t>นาย ปริญพัชร์ ศรีศุภณัฐธนากุล</t>
  </si>
  <si>
    <t>STHONLIN2606000980</t>
  </si>
  <si>
    <t>นางสาว ณัฐกฤตตา สุทธิโส</t>
  </si>
  <si>
    <t xml:space="preserve">              สรุปยอด บิลออนไลน์  จัดส่ง / นำเข้า DP ดึงตั้งแต่   5  มิถุนายน  2569                                                                                             </t>
  </si>
  <si>
    <t>STHONLIN2606001510</t>
  </si>
  <si>
    <t>นาย สาธิต คำรังษี</t>
  </si>
  <si>
    <t>STHONLIN2606001512</t>
  </si>
  <si>
    <t>STHONLIN2606001549</t>
  </si>
  <si>
    <t>STHONLIN2606001553</t>
  </si>
  <si>
    <t>นาย ธนบูลย์ แสงฐิตาพันธุ์</t>
  </si>
  <si>
    <t>STHONLIN2606001639</t>
  </si>
  <si>
    <t>Mrs. MUNDELE BAMBINE</t>
  </si>
  <si>
    <t xml:space="preserve">              สรุปยอด บิลออนไลน์  จัดส่ง / นำเข้า DP ดึงตั้งแต่   6  มิถุนายน  2569                                                                                             </t>
  </si>
  <si>
    <t>STHONLIN2606001895</t>
  </si>
  <si>
    <t>นางสาว วันวิสาข แก้วแกมทอง</t>
  </si>
  <si>
    <t>STHONLIN2606001897</t>
  </si>
  <si>
    <t>STHONLIN2606001937</t>
  </si>
  <si>
    <t>STHONLIN2606001952</t>
  </si>
  <si>
    <t>นาย ดำรงค์ ปฏิสังข์</t>
  </si>
  <si>
    <t>STHONLIN2606001956</t>
  </si>
  <si>
    <t xml:space="preserve">              สรุปยอด บิลออนไลน์  จัดส่ง / นำเข้า DP ดึงตั้งแต่   7  มิถุนายน  2569                                                                                             </t>
  </si>
  <si>
    <t>STHONLIN2606002108</t>
  </si>
  <si>
    <t>Felix Ansah</t>
  </si>
  <si>
    <t>STHONLIN2606002111</t>
  </si>
  <si>
    <t>Terkpertey Anthony</t>
  </si>
  <si>
    <t>STHONLIN2606002115</t>
  </si>
  <si>
    <t>Opoku  James</t>
  </si>
  <si>
    <t>STHONLIN2606002214</t>
  </si>
  <si>
    <t>นาย เอกชลิต ธวัชกฤตยา</t>
  </si>
  <si>
    <t>STHONLIN2606002217</t>
  </si>
  <si>
    <t>นางสาว ขวัญชนก เล็กสาคร</t>
  </si>
  <si>
    <t>STHONLIN2606002219</t>
  </si>
  <si>
    <t>STHONLIN2606002230</t>
  </si>
  <si>
    <t>Mr. YOUMBI NJAWE OLIVIER</t>
  </si>
  <si>
    <t xml:space="preserve">              สรุปยอด บิลออนไลน์  จัดส่ง / นำเข้า DP ดึงตั้งแต่   8  มิถุนายน  2569                                                                                             </t>
  </si>
  <si>
    <t>STHONLIN2606002364</t>
  </si>
  <si>
    <t>STHONLIN2606002369</t>
  </si>
  <si>
    <t>STHONLIN2606002372</t>
  </si>
  <si>
    <t>STHONLIN2606002373</t>
  </si>
  <si>
    <t>นางสาว พัชรมณฑ์ พรมทา</t>
  </si>
  <si>
    <t>STHONLIN2606002378</t>
  </si>
  <si>
    <t>STHONLIN2606002419</t>
  </si>
  <si>
    <t>ธีรเศรษฐ์ ตุลยพงศ์รักษ์</t>
  </si>
  <si>
    <t xml:space="preserve">              สรุปยอด บิลออนไลน์  จัดส่ง / นำเข้า DP ดึงตั้งแต่   9  มิถุนายน  2569                                                                                             </t>
  </si>
  <si>
    <t>STHONLIN2606002770</t>
  </si>
  <si>
    <t>STHONLIN2606002771</t>
  </si>
  <si>
    <t>STHONLIN2606002773</t>
  </si>
  <si>
    <t>นางสาว ธนพรรษ​ ยี่ภู่</t>
  </si>
  <si>
    <t>STHONLIN2606002774</t>
  </si>
  <si>
    <t>นาง สิริรักษ์ ผิวอ่อน</t>
  </si>
  <si>
    <t>STHONLIN2606002788</t>
  </si>
  <si>
    <t>นาย ประทักษ์ มหาวงศ์ตระกูล</t>
  </si>
  <si>
    <t>STHONLIN2606002817</t>
  </si>
  <si>
    <t>นาย อนันต์กฤช เต็มศิริพันธุ์</t>
  </si>
  <si>
    <t>STHONLIN2606002834</t>
  </si>
  <si>
    <t>นางสาว อรณิกร บุญเกษม</t>
  </si>
  <si>
    <t>STHONLIN2606002846</t>
  </si>
  <si>
    <t>STHONLIN2606002880</t>
  </si>
  <si>
    <t>Ms. Eghomba Ernestine Alih</t>
  </si>
  <si>
    <t xml:space="preserve">              สรุปยอด บิลออนไลน์  จัดส่ง / นำเข้า DP ดึงตั้งแต่   10  มิถุนายน  2569                                                                                             </t>
  </si>
  <si>
    <t>STHONLIN2606003102</t>
  </si>
  <si>
    <t>Mr. Traore Yaya</t>
  </si>
  <si>
    <t>STHONLIN2606003292</t>
  </si>
  <si>
    <t>STHONLIN2606003293</t>
  </si>
  <si>
    <t>นาย สุรพล จันทรานุรักษ์</t>
  </si>
  <si>
    <t>STHONLIN2606003297</t>
  </si>
  <si>
    <t>STHONLIN2606003301</t>
  </si>
  <si>
    <t>วรนุช จันทรานุรักษ์</t>
  </si>
  <si>
    <t>STHONLIN2606003355</t>
  </si>
  <si>
    <t>นางสาว ปรียาภรณ์ วุฒิอุดมพงศ์</t>
  </si>
  <si>
    <t xml:space="preserve">              สรุปยอด บิลออนไลน์  จัดส่ง / นำเข้า DP ดึงตั้งแต่   11  มิถุนายน  2569                                                                                             </t>
  </si>
  <si>
    <t>STHONLIN2606003438</t>
  </si>
  <si>
    <t>Ms. Noxolo  Badi</t>
  </si>
  <si>
    <t>STHONLIN2606003594</t>
  </si>
  <si>
    <t>น.ส.เอาว์ดาดี้ วาแวนิ</t>
  </si>
  <si>
    <t>STHONLIN2606003716</t>
  </si>
  <si>
    <t>STHONLIN2606003720</t>
  </si>
  <si>
    <t>STHONLIN2606003721</t>
  </si>
  <si>
    <t>นาง ณทิรา บาร์โตลี่</t>
  </si>
  <si>
    <t>STHONLIN2606003722</t>
  </si>
  <si>
    <t>นาง ทูนศรี บัวนุช</t>
  </si>
  <si>
    <t>STHONLIN2606003723</t>
  </si>
  <si>
    <t>STHONLIN2606003727</t>
  </si>
  <si>
    <t>STHONLIN2606003733</t>
  </si>
  <si>
    <t>STHONLIN2606003846</t>
  </si>
  <si>
    <t xml:space="preserve">              สรุปยอด บิลออนไลน์  จัดส่ง / นำเข้า DP ดึงตั้งแต่   12  มิถุนายน  2569                                                                                             </t>
  </si>
  <si>
    <t>STHONLIN2606003937</t>
  </si>
  <si>
    <t>คุณ พัชรี.  นาคพันธุ์</t>
  </si>
  <si>
    <t>STHONLIN2606003942</t>
  </si>
  <si>
    <t>STHONLIN2606003997</t>
  </si>
  <si>
    <t>น.ส. ธนพร. ทองอุไรสิน</t>
  </si>
  <si>
    <t>STHONLIN2606004000</t>
  </si>
  <si>
    <t>STHONLIN2606004087</t>
  </si>
  <si>
    <t>STHONLIN2606004091</t>
  </si>
  <si>
    <t>นาย ธนกร อภัยพงศ์</t>
  </si>
  <si>
    <t>STHONLIN2606004092</t>
  </si>
  <si>
    <t xml:space="preserve">              สรุปยอด บิลออนไลน์  จัดส่ง / นำเข้า DP ดึงตั้งแต่   13  มิถุนายน  2569                                                                                             </t>
  </si>
  <si>
    <t>STHONLIN2606004211</t>
  </si>
  <si>
    <t>มัชฌิมาศ แสนขันธ์</t>
  </si>
  <si>
    <t>STHONLIN2606004289</t>
  </si>
  <si>
    <t>นาย สักวะรุณ  นิจประกิจ</t>
  </si>
  <si>
    <t>STHONLIN2606004336</t>
  </si>
  <si>
    <t>น.ส.ปทุมวดี  เปียงเก๋</t>
  </si>
  <si>
    <t>STHONLIN2606004460</t>
  </si>
  <si>
    <t>STHONLIN2606004469</t>
  </si>
  <si>
    <t>นาง มัชฌิมาศ แสนขันธ์</t>
  </si>
  <si>
    <t>STHONLIN2606004470</t>
  </si>
  <si>
    <t>STHONLIN2606004534</t>
  </si>
  <si>
    <t>นาย ภาวัต นานาภัทรชัย</t>
  </si>
  <si>
    <t xml:space="preserve">              สรุปยอด บิลออนไลน์  จัดส่ง / นำเข้า DP ดึงตั้งแต่   14  มิถุนายน  2569                                                                                             </t>
  </si>
  <si>
    <t>6/14/2026</t>
  </si>
  <si>
    <t>STHONLIN2606004656</t>
  </si>
  <si>
    <t xml:space="preserve">              สรุปยอด บิลออนไลน์  จัดส่ง / นำเข้า DP ดึงตั้งแต่   15  มิถุนายน  2569                                                                                             </t>
  </si>
  <si>
    <t>STHONLIN2606004713</t>
  </si>
  <si>
    <t>นาย ปรเมศวร์ ธรรมโชติ</t>
  </si>
  <si>
    <t>STHONLIN2606004714</t>
  </si>
  <si>
    <t>STHONLIN2606004903</t>
  </si>
  <si>
    <t>บริษัท สยามทวีทิพย์ จำกัด(สำนักงานใหญ่)</t>
  </si>
  <si>
    <t>STHONLIN2606004905</t>
  </si>
  <si>
    <t>STHONLIN2606004908</t>
  </si>
  <si>
    <t>STHONLIN2606004914</t>
  </si>
  <si>
    <t>นาย ชัยนรินทร์  ศิริวรรณางกูล</t>
  </si>
  <si>
    <t>STHONLIN2606005057</t>
  </si>
  <si>
    <t xml:space="preserve">              สรุปยอด บิลออนไลน์  จัดส่ง / นำเข้า DP ดึงตั้งแต่   16  มิถุนายน  2569                                                                                             </t>
  </si>
  <si>
    <t>STHONLIN2606005426</t>
  </si>
  <si>
    <t>นางสาว กวินพรรณ สารบุตร</t>
  </si>
  <si>
    <t xml:space="preserve">              สรุปยอด บิลออนไลน์  จัดส่ง / นำเข้า DP ดึงตั้งแต่   17  มิถุนายน  2569                                                                                             </t>
  </si>
  <si>
    <t>STHONLIN2606005534</t>
  </si>
  <si>
    <t>นางสาว พิมพ์ชญา  สุริยปรีชาพงษ์</t>
  </si>
  <si>
    <t>STHONLIN2606005567</t>
  </si>
  <si>
    <t>นางสาว ดารดี ญาณกวี</t>
  </si>
  <si>
    <t>STHONLIN2606005671</t>
  </si>
  <si>
    <t xml:space="preserve">              สรุปยอด บิลออนไลน์  จัดส่ง / นำเข้า DP ดึงตั้งแต่   18  มิถุนายน  2569                                                                                             </t>
  </si>
  <si>
    <t>STHONLIN2606005980</t>
  </si>
  <si>
    <t>STHONLIN2606005981</t>
  </si>
  <si>
    <t>นางสาว สุภาพร สรนิกร</t>
  </si>
  <si>
    <t>STHONLIN2606005983</t>
  </si>
  <si>
    <t>นางสาว ดัสนีย์ เจะเลาะ</t>
  </si>
  <si>
    <t>STHONLIN2606005984</t>
  </si>
  <si>
    <t>STHONLIN2606005986</t>
  </si>
  <si>
    <t xml:space="preserve">              สรุปยอด บิลออนไลน์  จัดส่ง / นำเข้า DP ดึงตั้งแต่   19  มิถุนายน  2569                                                                                             </t>
  </si>
  <si>
    <t>STHONLIN2606006090</t>
  </si>
  <si>
    <t>Ms. PAULIN NANGSIN FONTEM</t>
  </si>
  <si>
    <t>STHONLIN2606006122</t>
  </si>
  <si>
    <t>นางสาว ชญาดา อุชุปาละนันท์</t>
  </si>
  <si>
    <t>STHONLIN2606006189</t>
  </si>
  <si>
    <t>STHONLIN2606006193</t>
  </si>
  <si>
    <t>STHONLIN2606006195</t>
  </si>
  <si>
    <t>STHONLIN2606006196</t>
  </si>
  <si>
    <t xml:space="preserve">              สรุปยอด บิลออนไลน์  จัดส่ง / นำเข้า DP ดึงตั้งแต่  21  มิถุนายน  2569                                                                                             </t>
  </si>
  <si>
    <t>STHONLIN2606006444</t>
  </si>
  <si>
    <t>นางสาว สุขาตา สุวรรณหลิ่ม</t>
  </si>
  <si>
    <t>STHONLIN2606006664</t>
  </si>
  <si>
    <t>นาย สอด เอียดหมุน</t>
  </si>
  <si>
    <t>STHONLIN2606006671</t>
  </si>
  <si>
    <t>Mr. Aboubacar sidiki toure</t>
  </si>
  <si>
    <t>STHONLIN2606006676</t>
  </si>
  <si>
    <t>นาง พินญาภา ชัยชาญ</t>
  </si>
  <si>
    <t xml:space="preserve">              สรุปยอด บิลออนไลน์  จัดส่ง / นำเข้า DP ดึงตั้งแต่  22  มิถุนายน  2569                                                                                             </t>
  </si>
  <si>
    <t>STHONLIN2606006739</t>
  </si>
  <si>
    <t>นาย สามารถ ทัศนสุวรรณ</t>
  </si>
  <si>
    <t>STHONLIN2606006785</t>
  </si>
  <si>
    <t>บริษัท หลานหยิน จำกัด ( สำนักงานใหญ่ )</t>
  </si>
  <si>
    <t>STHONLIN2606006789</t>
  </si>
  <si>
    <t>นาย บรรพจน์ วิชุมา</t>
  </si>
  <si>
    <t>STHONLIN2606006790</t>
  </si>
  <si>
    <t>STHONLIN2606006791</t>
  </si>
  <si>
    <t>STHONLIN2606006797</t>
  </si>
  <si>
    <t>นางสาว สมใจ มั่นคง</t>
  </si>
  <si>
    <t xml:space="preserve">              สรุปยอด บิลออนไลน์  จัดส่ง / นำเข้า DP ดึงตั้งแต่  23  มิถุนายน  2569                                                                                             </t>
  </si>
  <si>
    <t>STHONLIN2606007084</t>
  </si>
  <si>
    <t>STHONLIN2606007085</t>
  </si>
  <si>
    <t>นาย สุวิทย์  รองชูเพ็ง</t>
  </si>
  <si>
    <t>STHONLIN2606007086</t>
  </si>
  <si>
    <t>นางสาว กาญจนา บุญเกษม</t>
  </si>
  <si>
    <t>STHONLIN2606007088</t>
  </si>
  <si>
    <t xml:space="preserve">              สรุปยอด บิลออนไลน์  จัดส่ง / นำเข้า DP ดึงตั้งแต่  24  มิถุนายน  2569                                                                                             </t>
  </si>
  <si>
    <t>STHONLIN2606007189</t>
  </si>
  <si>
    <t>Ms. Sussy  Wana</t>
  </si>
  <si>
    <t>STHONLIN2606007196</t>
  </si>
  <si>
    <t>STHONLIN2606007369</t>
  </si>
  <si>
    <t>STHONLIN2606007371</t>
  </si>
  <si>
    <t>นางสาว ฐิติมา ทิศอุ่น</t>
  </si>
  <si>
    <t xml:space="preserve">              สรุปยอด บิลออนไลน์  จัดส่ง / นำเข้า DP ดึงตั้งแต่  25  มิถุนายน  2569                                                                                             </t>
  </si>
  <si>
    <t>STHONLIN2606007763</t>
  </si>
  <si>
    <t>STHONLIN2606007764</t>
  </si>
  <si>
    <t>STHONLIN2606007767</t>
  </si>
  <si>
    <t>STHONLIN2606007769</t>
  </si>
  <si>
    <t>บริษัท เศรษฐกวี จำกัด ( สำนักงานใหญ่ )</t>
  </si>
  <si>
    <t>STHONLIN2606007786</t>
  </si>
  <si>
    <t>นางสาว สายฝน ศรีสุขใส</t>
  </si>
  <si>
    <t>STHONLIN2606007816</t>
  </si>
  <si>
    <t>นาง วรางค์ศิริ ภัทรเดชกวีทิพย์</t>
  </si>
  <si>
    <t xml:space="preserve">   สรุปยอด บิลออนไลน์  จัดส่ง / นำเข้า DP ดึงตั้งแต่  26  มิถุนายน  2569     </t>
  </si>
  <si>
    <t>STHONLIN2606008164</t>
  </si>
  <si>
    <t>STHONLIN2606008166</t>
  </si>
  <si>
    <t>นางสาว พลอยณิษา เรืองภูริไพศาล</t>
  </si>
  <si>
    <t>STHONLIN2606008167</t>
  </si>
  <si>
    <t>STHONLIN2606008181</t>
  </si>
  <si>
    <t>นาย สุบิน และลง</t>
  </si>
  <si>
    <t xml:space="preserve">   สรุปยอด บิลออนไลน์  จัดส่ง / นำเข้า DP ดึงตั้งแต่  27  มิถุนายน  2569     </t>
  </si>
  <si>
    <t>STHONLIN2606008316</t>
  </si>
  <si>
    <t>ห้างหุ้นส่วน ไดม่อนอันดามัน เน็ตเวิร์ค  (สำนักงานใหญ่)</t>
  </si>
  <si>
    <t>STHONLIN2606008335</t>
  </si>
  <si>
    <t>STHONLIN2606008462</t>
  </si>
  <si>
    <t>STHONLIN2606008561</t>
  </si>
  <si>
    <t>STHONLIN2606008585</t>
  </si>
  <si>
    <t>น.ส. สิริรัตน์.  ทองอุไรสิน</t>
  </si>
  <si>
    <t>STHONLIN2606008605</t>
  </si>
  <si>
    <t>นาย กัมปนาท รุ่งโรจน์</t>
  </si>
  <si>
    <t xml:space="preserve">   สรุปยอด บิลออนไลน์  จัดส่ง / นำเข้า DP ดึงตั้งแต่  28  มิถุนายน  2569     </t>
  </si>
  <si>
    <t>STHONLIN2606008726</t>
  </si>
  <si>
    <t>ประเทือง. เมืองวงษ์</t>
  </si>
  <si>
    <t>STHONLIN2606008865</t>
  </si>
  <si>
    <t>นาย โชติพงษ์ ณ เชียงรุ้ง</t>
  </si>
  <si>
    <t>STHONLIN2606008873</t>
  </si>
  <si>
    <t>STHONLIN2606008876</t>
  </si>
  <si>
    <t>Collins Odera Onyalo</t>
  </si>
  <si>
    <t>STHONLIN2606008878</t>
  </si>
  <si>
    <t xml:space="preserve">   สรุปยอด บิลออนไลน์  จัดส่ง / นำเข้า DP ดึงตั้งแต่  29  มิถุนายน  2569     </t>
  </si>
  <si>
    <t>STHONLIN2606008964</t>
  </si>
  <si>
    <t>Miss  Katesuda  Jindee</t>
  </si>
  <si>
    <t>STHONLIN2606009089</t>
  </si>
  <si>
    <t>STHONLIN2606009091</t>
  </si>
  <si>
    <t>นาย เก่งภพ ศุภาภพปภาส</t>
  </si>
  <si>
    <t>STHONLIN2606009092</t>
  </si>
  <si>
    <t xml:space="preserve">   สรุปยอด บิลออนไลน์  จัดส่ง / นำเข้า DP ดึงตั้งแต่  30  มิถุนายน  2569     </t>
  </si>
  <si>
    <t>STHONLIN2606009224</t>
  </si>
  <si>
    <t>นาย อุทัย กุลดี</t>
  </si>
  <si>
    <t>STHONLIN2606009551</t>
  </si>
  <si>
    <t>Ntoh Priscilla</t>
  </si>
  <si>
    <t>STHONLIN2606009583</t>
  </si>
  <si>
    <t>นางสาว ณัฐนันท์ เจริญศิริวิชญกุล</t>
  </si>
  <si>
    <t>STHONLIN2606009585</t>
  </si>
  <si>
    <t>นาย ดิเรก  กรีฑา</t>
  </si>
  <si>
    <t>STHONLIN2606009589</t>
  </si>
  <si>
    <t>STHONLIN2606009597</t>
  </si>
  <si>
    <t>นางสาว สุดา ธิทา</t>
  </si>
  <si>
    <t>STHONLIN2606009602</t>
  </si>
  <si>
    <t>STHONLIN2606009614</t>
  </si>
  <si>
    <t>STHONLIN2606009616</t>
  </si>
  <si>
    <t>STHONLIN2606009640</t>
  </si>
  <si>
    <t>STHONLIN2606009647</t>
  </si>
  <si>
    <t>นาย ศักดา  วงศ์กำภู</t>
  </si>
  <si>
    <t>STHONLIN2606009653</t>
  </si>
  <si>
    <t>STHONLIN2606009658</t>
  </si>
  <si>
    <t>STHONLIN2606009669</t>
  </si>
  <si>
    <t>STHONLIN2606009676</t>
  </si>
  <si>
    <t>นาย กรัณย์พล.  นภนาคจันทร์</t>
  </si>
  <si>
    <t>STHONLIN2606009679</t>
  </si>
  <si>
    <t>STHONLIN2606009709</t>
  </si>
  <si>
    <t>STHONLIN2606009721</t>
  </si>
  <si>
    <t>นางสาว ประภัสสร  ดีดวงพันธ์</t>
  </si>
  <si>
    <t>19</t>
  </si>
  <si>
    <t>STHONLIN2606009723</t>
  </si>
  <si>
    <t>20</t>
  </si>
  <si>
    <t>STHONLIN2606009739</t>
  </si>
  <si>
    <t>21</t>
  </si>
  <si>
    <t>STHONLIN2606009744</t>
  </si>
  <si>
    <t>22</t>
  </si>
  <si>
    <t>STHONLIN2606009746</t>
  </si>
  <si>
    <t>23</t>
  </si>
  <si>
    <t>STHONLIN2606009748</t>
  </si>
  <si>
    <t>24</t>
  </si>
  <si>
    <t>STHONLIN2606009778</t>
  </si>
  <si>
    <t>25</t>
  </si>
  <si>
    <t>STHONLIN2606009788</t>
  </si>
  <si>
    <t>26</t>
  </si>
  <si>
    <t>STHONLIN2606009791</t>
  </si>
  <si>
    <t>นาย สุเมธ จันทร์งาม</t>
  </si>
  <si>
    <t>27</t>
  </si>
  <si>
    <t>28</t>
  </si>
  <si>
    <t>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</si>
</sst>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39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b/>
      <sz val="26.0"/>
      <color theme="1"/>
      <name val="Arial"/>
    </font>
    <font>
      <sz val="23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b/>
      <sz val="18.0"/>
      <color theme="1"/>
      <name val="Arial"/>
    </font>
    <font>
      <sz val="24.0"/>
      <color rgb="FFFF0000"/>
      <name val="Arial"/>
    </font>
    <font>
      <sz val="24.0"/>
      <color theme="1"/>
      <name val="Arial"/>
    </font>
    <font>
      <sz val="18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sz val="21.0"/>
      <color theme="1"/>
      <name val="Arial"/>
    </font>
    <font>
      <b/>
      <sz val="22.0"/>
      <color theme="1"/>
      <name val="Arial"/>
    </font>
    <font>
      <b/>
      <sz val="25.0"/>
      <color theme="1"/>
      <name val="Arial"/>
    </font>
    <font>
      <b/>
      <sz val="29.0"/>
      <color rgb="FFFF0000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b/>
      <sz val="26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164" xfId="0" applyAlignment="1" applyBorder="1" applyFont="1" applyNumberForma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7" numFmtId="38" xfId="0" applyAlignment="1" applyBorder="1" applyFont="1" applyNumberFormat="1">
      <alignment horizontal="center"/>
    </xf>
    <xf borderId="12" fillId="4" fontId="10" numFmtId="38" xfId="0" applyAlignment="1" applyBorder="1" applyFont="1" applyNumberFormat="1">
      <alignment horizontal="right" vertical="bottom"/>
    </xf>
    <xf borderId="12" fillId="4" fontId="11" numFmtId="38" xfId="0" applyAlignment="1" applyBorder="1" applyFont="1" applyNumberFormat="1">
      <alignment readingOrder="0" vertical="bottom"/>
    </xf>
    <xf borderId="11" fillId="4" fontId="12" numFmtId="0" xfId="0" applyBorder="1" applyFont="1"/>
    <xf borderId="11" fillId="4" fontId="12" numFmtId="3" xfId="0" applyBorder="1" applyFont="1" applyNumberFormat="1"/>
    <xf borderId="11" fillId="4" fontId="12" numFmtId="0" xfId="0" applyAlignment="1" applyBorder="1" applyFont="1">
      <alignment horizontal="center" readingOrder="0"/>
    </xf>
    <xf borderId="11" fillId="4" fontId="13" numFmtId="0" xfId="0" applyAlignment="1" applyBorder="1" applyFont="1">
      <alignment horizontal="center" vertical="center"/>
    </xf>
    <xf borderId="11" fillId="4" fontId="12" numFmtId="0" xfId="0" applyAlignment="1" applyBorder="1" applyFont="1">
      <alignment horizontal="center" readingOrder="0" vertical="center"/>
    </xf>
    <xf borderId="0" fillId="0" fontId="14" numFmtId="0" xfId="0" applyFont="1"/>
    <xf borderId="11" fillId="5" fontId="15" numFmtId="49" xfId="0" applyAlignment="1" applyBorder="1" applyFill="1" applyFont="1" applyNumberFormat="1">
      <alignment horizontal="center" shrinkToFit="0" vertical="center" wrapText="0"/>
    </xf>
    <xf borderId="11" fillId="5" fontId="7" numFmtId="164" xfId="0" applyAlignment="1" applyBorder="1" applyFont="1" applyNumberForma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7" numFmtId="38" xfId="0" applyAlignment="1" applyBorder="1" applyFont="1" applyNumberFormat="1">
      <alignment horizontal="center"/>
    </xf>
    <xf borderId="12" fillId="5" fontId="16" numFmtId="38" xfId="0" applyAlignment="1" applyBorder="1" applyFont="1" applyNumberFormat="1">
      <alignment horizontal="right" readingOrder="0" vertical="bottom"/>
    </xf>
    <xf borderId="12" fillId="4" fontId="11" numFmtId="38" xfId="0" applyAlignment="1" applyBorder="1" applyFont="1" applyNumberFormat="1">
      <alignment vertical="bottom"/>
    </xf>
    <xf borderId="11" fillId="5" fontId="11" numFmtId="0" xfId="0" applyBorder="1" applyFont="1"/>
    <xf borderId="11" fillId="5" fontId="11" numFmtId="3" xfId="0" applyAlignment="1" applyBorder="1" applyFont="1" applyNumberFormat="1">
      <alignment horizontal="center"/>
    </xf>
    <xf borderId="11" fillId="5" fontId="17" numFmtId="0" xfId="0" applyAlignment="1" applyBorder="1" applyFont="1">
      <alignment horizontal="center" vertical="center"/>
    </xf>
    <xf borderId="11" fillId="5" fontId="18" numFmtId="0" xfId="0" applyAlignment="1" applyBorder="1" applyFont="1">
      <alignment horizontal="center" readingOrder="0"/>
    </xf>
    <xf borderId="12" fillId="4" fontId="8" numFmtId="164" xfId="0" applyAlignment="1" applyBorder="1" applyFont="1" applyNumberFormat="1">
      <alignment horizontal="center" readingOrder="0" vertical="bottom"/>
    </xf>
    <xf borderId="12" fillId="4" fontId="19" numFmtId="4" xfId="0" applyAlignment="1" applyBorder="1" applyFont="1" applyNumberFormat="1">
      <alignment readingOrder="0" vertical="bottom"/>
    </xf>
    <xf borderId="12" fillId="4" fontId="19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7" numFmtId="38" xfId="0" applyAlignment="1" applyBorder="1" applyFont="1" applyNumberFormat="1">
      <alignment horizontal="right" vertical="bottom"/>
    </xf>
    <xf borderId="12" fillId="4" fontId="16" numFmtId="38" xfId="0" applyAlignment="1" applyBorder="1" applyFont="1" applyNumberFormat="1">
      <alignment horizontal="right" vertical="bottom"/>
    </xf>
    <xf borderId="11" fillId="4" fontId="20" numFmtId="0" xfId="0" applyAlignment="1" applyBorder="1" applyFont="1">
      <alignment horizontal="center" shrinkToFit="0" vertical="center" wrapText="1"/>
    </xf>
    <xf borderId="11" fillId="4" fontId="11" numFmtId="3" xfId="0" applyAlignment="1" applyBorder="1" applyFont="1" applyNumberFormat="1">
      <alignment horizontal="center" shrinkToFit="0" vertical="center" wrapText="1"/>
    </xf>
    <xf borderId="11" fillId="4" fontId="21" numFmtId="0" xfId="0" applyAlignment="1" applyBorder="1" applyFont="1">
      <alignment horizontal="center" vertical="center"/>
    </xf>
    <xf borderId="11" fillId="0" fontId="18" numFmtId="0" xfId="0" applyAlignment="1" applyBorder="1" applyFont="1">
      <alignment horizontal="center" readingOrder="0"/>
    </xf>
    <xf borderId="12" fillId="4" fontId="7" numFmtId="38" xfId="0" applyAlignment="1" applyBorder="1" applyFont="1" applyNumberFormat="1">
      <alignment horizontal="right" readingOrder="0" vertical="bottom"/>
    </xf>
    <xf borderId="12" fillId="4" fontId="22" numFmtId="38" xfId="0" applyAlignment="1" applyBorder="1" applyFont="1" applyNumberFormat="1">
      <alignment horizontal="right" readingOrder="0" vertical="bottom"/>
    </xf>
    <xf borderId="12" fillId="4" fontId="8" numFmtId="164" xfId="0" applyAlignment="1" applyBorder="1" applyFont="1" applyNumberFormat="1">
      <alignment horizontal="center" vertical="bottom"/>
    </xf>
    <xf borderId="12" fillId="4" fontId="19" numFmtId="4" xfId="0" applyAlignment="1" applyBorder="1" applyFont="1" applyNumberFormat="1">
      <alignment vertical="bottom"/>
    </xf>
    <xf borderId="12" fillId="4" fontId="19" numFmtId="1" xfId="0" applyAlignment="1" applyBorder="1" applyFont="1" applyNumberFormat="1">
      <alignment horizontal="center" vertical="bottom"/>
    </xf>
    <xf borderId="12" fillId="4" fontId="9" numFmtId="0" xfId="0" applyAlignment="1" applyBorder="1" applyFont="1">
      <alignment vertical="bottom"/>
    </xf>
    <xf borderId="11" fillId="4" fontId="12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12" fillId="4" fontId="12" numFmtId="38" xfId="0" applyAlignment="1" applyBorder="1" applyFont="1" applyNumberFormat="1">
      <alignment vertical="bottom"/>
    </xf>
    <xf borderId="12" fillId="4" fontId="23" numFmtId="0" xfId="0" applyAlignment="1" applyBorder="1" applyFont="1">
      <alignment vertical="bottom"/>
    </xf>
    <xf borderId="12" fillId="4" fontId="24" numFmtId="38" xfId="0" applyAlignment="1" applyBorder="1" applyFont="1" applyNumberFormat="1">
      <alignment horizontal="right" vertical="bottom"/>
    </xf>
    <xf borderId="11" fillId="4" fontId="25" numFmtId="38" xfId="0" applyAlignment="1" applyBorder="1" applyFont="1" applyNumberFormat="1">
      <alignment vertical="bottom"/>
    </xf>
    <xf borderId="11" fillId="4" fontId="22" numFmtId="3" xfId="0" applyAlignment="1" applyBorder="1" applyFont="1" applyNumberFormat="1">
      <alignment horizontal="center" shrinkToFit="0" vertical="center" wrapText="1"/>
    </xf>
    <xf borderId="11" fillId="4" fontId="26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/>
    </xf>
    <xf borderId="12" fillId="4" fontId="19" numFmtId="0" xfId="0" applyAlignment="1" applyBorder="1" applyFont="1">
      <alignment vertical="bottom"/>
    </xf>
    <xf borderId="12" fillId="4" fontId="25" numFmtId="38" xfId="0" applyAlignment="1" applyBorder="1" applyFont="1" applyNumberFormat="1">
      <alignment horizontal="right" vertical="bottom"/>
    </xf>
    <xf borderId="11" fillId="4" fontId="25" numFmtId="38" xfId="0" applyAlignment="1" applyBorder="1" applyFont="1" applyNumberFormat="1">
      <alignment horizontal="right" vertical="bottom"/>
    </xf>
    <xf borderId="11" fillId="4" fontId="16" numFmtId="38" xfId="0" applyAlignment="1" applyBorder="1" applyFont="1" applyNumberFormat="1">
      <alignment horizontal="right" vertical="bottom"/>
    </xf>
    <xf borderId="11" fillId="4" fontId="27" numFmtId="38" xfId="0" applyAlignment="1" applyBorder="1" applyFont="1" applyNumberFormat="1">
      <alignment horizontal="right" vertical="bottom"/>
    </xf>
    <xf borderId="11" fillId="5" fontId="11" numFmtId="0" xfId="0" applyAlignment="1" applyBorder="1" applyFont="1">
      <alignment horizontal="center"/>
    </xf>
    <xf borderId="0" fillId="0" fontId="14" numFmtId="3" xfId="0" applyFont="1" applyNumberFormat="1"/>
    <xf borderId="12" fillId="4" fontId="8" numFmtId="0" xfId="0" applyAlignment="1" applyBorder="1" applyFont="1">
      <alignment horizontal="center" vertical="bottom"/>
    </xf>
    <xf borderId="1" fillId="6" fontId="28" numFmtId="0" xfId="0" applyAlignment="1" applyBorder="1" applyFill="1" applyFont="1">
      <alignment horizontal="center"/>
    </xf>
    <xf borderId="13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center"/>
    </xf>
    <xf borderId="11" fillId="6" fontId="31" numFmtId="3" xfId="0" applyAlignment="1" applyBorder="1" applyFont="1" applyNumberFormat="1">
      <alignment horizontal="right"/>
    </xf>
    <xf borderId="1" fillId="7" fontId="29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2" numFmtId="38" xfId="0" applyAlignment="1" applyBorder="1" applyFont="1" applyNumberFormat="1">
      <alignment horizontal="center" readingOrder="0"/>
    </xf>
    <xf borderId="12" fillId="4" fontId="33" numFmtId="38" xfId="0" applyAlignment="1" applyBorder="1" applyFont="1" applyNumberFormat="1">
      <alignment horizontal="right" vertical="bottom"/>
    </xf>
    <xf borderId="11" fillId="4" fontId="32" numFmtId="38" xfId="0" applyAlignment="1" applyBorder="1" applyFont="1" applyNumberFormat="1">
      <alignment horizontal="center"/>
    </xf>
    <xf borderId="11" fillId="4" fontId="18" numFmtId="0" xfId="0" applyBorder="1" applyFont="1"/>
    <xf borderId="11" fillId="4" fontId="18" numFmtId="3" xfId="0" applyBorder="1" applyFont="1" applyNumberFormat="1"/>
    <xf borderId="11" fillId="4" fontId="34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left" readingOrder="0"/>
    </xf>
    <xf borderId="11" fillId="4" fontId="9" numFmtId="3" xfId="0" applyAlignment="1" applyBorder="1" applyFont="1" applyNumberFormat="1">
      <alignment horizontal="center" vertical="center"/>
    </xf>
    <xf borderId="11" fillId="4" fontId="18" numFmtId="3" xfId="0" applyAlignment="1" applyBorder="1" applyFont="1" applyNumberFormat="1">
      <alignment horizontal="center"/>
    </xf>
    <xf borderId="11" fillId="4" fontId="11" numFmtId="0" xfId="0" applyAlignment="1" applyBorder="1" applyFont="1">
      <alignment horizontal="center" readingOrder="0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8" numFmtId="38" xfId="0" applyAlignment="1" applyBorder="1" applyFont="1" applyNumberFormat="1">
      <alignment horizontal="right" readingOrder="0" vertical="bottom"/>
    </xf>
    <xf borderId="11" fillId="4" fontId="32" numFmtId="38" xfId="0" applyAlignment="1" applyBorder="1" applyFont="1" applyNumberFormat="1">
      <alignment horizontal="center" vertical="bottom"/>
    </xf>
    <xf borderId="11" fillId="4" fontId="35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2" fillId="4" fontId="36" numFmtId="0" xfId="0" applyAlignment="1" applyBorder="1" applyFont="1">
      <alignment horizontal="center" readingOrder="0" vertical="center"/>
    </xf>
    <xf borderId="12" fillId="4" fontId="19" numFmtId="0" xfId="0" applyAlignment="1" applyBorder="1" applyFont="1">
      <alignment readingOrder="0" vertical="bottom"/>
    </xf>
    <xf borderId="12" fillId="4" fontId="18" numFmtId="38" xfId="0" applyAlignment="1" applyBorder="1" applyFont="1" applyNumberFormat="1">
      <alignment horizontal="right" vertical="bottom"/>
    </xf>
    <xf borderId="11" fillId="4" fontId="18" numFmtId="38" xfId="0" applyAlignment="1" applyBorder="1" applyFont="1" applyNumberFormat="1">
      <alignment horizontal="center" vertical="bottom"/>
    </xf>
    <xf borderId="11" fillId="4" fontId="18" numFmtId="3" xfId="0" applyAlignment="1" applyBorder="1" applyFont="1" applyNumberForma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/>
    </xf>
    <xf borderId="12" fillId="4" fontId="37" numFmtId="38" xfId="0" applyAlignment="1" applyBorder="1" applyFont="1" applyNumberFormat="1">
      <alignment horizontal="right" readingOrder="0" vertical="bottom"/>
    </xf>
    <xf borderId="12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horizontal="center" vertical="bottom"/>
    </xf>
    <xf borderId="11" fillId="4" fontId="37" numFmtId="38" xfId="0" applyAlignment="1" applyBorder="1" applyFont="1" applyNumberFormat="1">
      <alignment horizontal="center" readingOrder="0" vertical="bottom"/>
    </xf>
    <xf borderId="2" fillId="4" fontId="36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/>
    </xf>
    <xf borderId="11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vertical="bottom"/>
    </xf>
    <xf borderId="11" fillId="4" fontId="37" numFmtId="3" xfId="0" applyAlignment="1" applyBorder="1" applyFont="1" applyNumberFormat="1">
      <alignment horizontal="center" shrinkToFit="0" vertical="center" wrapText="1"/>
    </xf>
    <xf borderId="9" fillId="4" fontId="38" numFmtId="0" xfId="0" applyAlignment="1" applyBorder="1" applyFont="1">
      <alignment horizontal="center" vertical="center"/>
    </xf>
    <xf borderId="11" fillId="4" fontId="18" numFmtId="3" xfId="0" applyAlignment="1" applyBorder="1" applyFont="1" applyNumberFormat="1">
      <alignment horizontal="center" readingOrder="0"/>
    </xf>
    <xf borderId="12" fillId="4" fontId="33" numFmtId="38" xfId="0" applyAlignment="1" applyBorder="1" applyFont="1" applyNumberFormat="1">
      <alignment horizontal="right" readingOrder="0" vertical="bottom"/>
    </xf>
    <xf borderId="11" fillId="4" fontId="9" numFmtId="3" xfId="0" applyAlignment="1" applyBorder="1" applyFont="1" applyNumberFormat="1">
      <alignment horizontal="center" readingOrder="0" vertical="center"/>
    </xf>
    <xf borderId="11" fillId="4" fontId="32" numFmtId="38" xfId="0" applyAlignment="1" applyBorder="1" applyFont="1" applyNumberFormat="1">
      <alignment horizontal="center" readingOrder="0" vertical="bottom"/>
    </xf>
    <xf borderId="11" fillId="4" fontId="18" numFmtId="38" xfId="0" applyAlignment="1" applyBorder="1" applyFont="1" applyNumberFormat="1">
      <alignment horizontal="center" readingOrder="0" vertical="bottom"/>
    </xf>
    <xf borderId="11" fillId="4" fontId="7" numFmtId="0" xfId="0" applyAlignment="1" applyBorder="1" applyFont="1">
      <alignment horizontal="center" readingOrder="0"/>
    </xf>
    <xf borderId="11" fillId="4" fontId="7" numFmtId="164" xfId="0" applyAlignment="1" applyBorder="1" applyFont="1" applyNumberFormat="1">
      <alignment horizontal="center" readingOrder="0"/>
    </xf>
    <xf borderId="11" fillId="5" fontId="6" numFmtId="49" xfId="0" applyAlignment="1" applyBorder="1" applyFont="1" applyNumberFormat="1">
      <alignment horizontal="center" readingOrder="0" shrinkToFit="0" vertical="center" wrapText="0"/>
    </xf>
    <xf borderId="11" fillId="5" fontId="15" numFmtId="49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171450</xdr:rowOff>
    </xdr:from>
    <xdr:ext cx="314325" cy="390525"/>
    <xdr:sp>
      <xdr:nvSpPr>
        <xdr:cNvPr id="3" name="Shape 3"/>
        <xdr:cNvSpPr txBox="1"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4.63"/>
    <col customWidth="1" min="6" max="6" width="14.13"/>
    <col customWidth="1" min="7" max="7" width="15.88"/>
    <col customWidth="1" min="8" max="8" width="17.63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46173.0</v>
      </c>
      <c r="C4" s="18" t="s">
        <v>16</v>
      </c>
      <c r="D4" s="19">
        <v>113564.0</v>
      </c>
      <c r="E4" s="20" t="s">
        <v>17</v>
      </c>
      <c r="F4" s="21"/>
      <c r="G4" s="22"/>
      <c r="H4" s="23">
        <v>2400.0</v>
      </c>
      <c r="I4" s="24"/>
      <c r="J4" s="25"/>
      <c r="K4" s="26" t="s">
        <v>18</v>
      </c>
      <c r="L4" s="27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31">
        <v>46173.0</v>
      </c>
      <c r="C5" s="32" t="s">
        <v>21</v>
      </c>
      <c r="D5" s="33">
        <v>116048.0</v>
      </c>
      <c r="E5" s="34" t="s">
        <v>22</v>
      </c>
      <c r="F5" s="35"/>
      <c r="G5" s="36">
        <v>460.0</v>
      </c>
      <c r="H5" s="37"/>
      <c r="I5" s="38"/>
      <c r="J5" s="39"/>
      <c r="K5" s="26" t="s">
        <v>18</v>
      </c>
      <c r="L5" s="40"/>
      <c r="M5" s="41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23</v>
      </c>
      <c r="B6" s="42">
        <v>46174.0</v>
      </c>
      <c r="C6" s="43" t="s">
        <v>24</v>
      </c>
      <c r="D6" s="44">
        <v>87820.0</v>
      </c>
      <c r="E6" s="45" t="s">
        <v>25</v>
      </c>
      <c r="F6" s="46"/>
      <c r="G6" s="47"/>
      <c r="H6" s="23">
        <v>5000.0</v>
      </c>
      <c r="I6" s="48"/>
      <c r="J6" s="49"/>
      <c r="K6" s="26" t="s">
        <v>18</v>
      </c>
      <c r="L6" s="50"/>
      <c r="M6" s="51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46174.0</v>
      </c>
      <c r="C7" s="43" t="s">
        <v>27</v>
      </c>
      <c r="D7" s="44">
        <v>47787.0</v>
      </c>
      <c r="E7" s="45" t="s">
        <v>28</v>
      </c>
      <c r="F7" s="52">
        <v>11200.0</v>
      </c>
      <c r="G7" s="47"/>
      <c r="H7" s="37"/>
      <c r="I7" s="48"/>
      <c r="J7" s="49"/>
      <c r="K7" s="26" t="s">
        <v>29</v>
      </c>
      <c r="L7" s="50"/>
      <c r="M7" s="51" t="s">
        <v>30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31</v>
      </c>
      <c r="B8" s="42">
        <v>46174.0</v>
      </c>
      <c r="C8" s="43" t="s">
        <v>32</v>
      </c>
      <c r="D8" s="44">
        <v>121956.0</v>
      </c>
      <c r="E8" s="45" t="s">
        <v>33</v>
      </c>
      <c r="F8" s="46"/>
      <c r="G8" s="47"/>
      <c r="H8" s="53">
        <v>300.0</v>
      </c>
      <c r="I8" s="48"/>
      <c r="J8" s="49"/>
      <c r="K8" s="26" t="s">
        <v>29</v>
      </c>
      <c r="L8" s="50"/>
      <c r="M8" s="51" t="s">
        <v>30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54"/>
      <c r="C9" s="55"/>
      <c r="D9" s="56"/>
      <c r="E9" s="57"/>
      <c r="F9" s="46"/>
      <c r="G9" s="47"/>
      <c r="H9" s="37"/>
      <c r="I9" s="48"/>
      <c r="J9" s="49"/>
      <c r="K9" s="58" t="s">
        <v>35</v>
      </c>
      <c r="L9" s="50"/>
      <c r="M9" s="59" t="s">
        <v>30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54"/>
      <c r="C10" s="55"/>
      <c r="D10" s="56"/>
      <c r="E10" s="57"/>
      <c r="F10" s="46"/>
      <c r="G10" s="47"/>
      <c r="H10" s="60"/>
      <c r="I10" s="48"/>
      <c r="J10" s="49"/>
      <c r="K10" s="58" t="s">
        <v>18</v>
      </c>
      <c r="L10" s="50"/>
      <c r="M10" s="59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37</v>
      </c>
      <c r="B11" s="54"/>
      <c r="C11" s="55"/>
      <c r="D11" s="56"/>
      <c r="E11" s="61"/>
      <c r="F11" s="62"/>
      <c r="G11" s="47"/>
      <c r="H11" s="63"/>
      <c r="I11" s="48"/>
      <c r="J11" s="64"/>
      <c r="K11" s="58" t="s">
        <v>18</v>
      </c>
      <c r="L11" s="65"/>
      <c r="M11" s="66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30" t="s">
        <v>38</v>
      </c>
      <c r="B12" s="54"/>
      <c r="C12" s="55"/>
      <c r="D12" s="56"/>
      <c r="E12" s="67"/>
      <c r="F12" s="62"/>
      <c r="G12" s="47"/>
      <c r="H12" s="63"/>
      <c r="I12" s="48"/>
      <c r="J12" s="64"/>
      <c r="K12" s="58" t="s">
        <v>18</v>
      </c>
      <c r="L12" s="65"/>
      <c r="M12" s="66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68"/>
      <c r="G13" s="47"/>
      <c r="H13" s="63"/>
      <c r="I13" s="48"/>
      <c r="J13" s="64"/>
      <c r="K13" s="58" t="s">
        <v>18</v>
      </c>
      <c r="L13" s="65"/>
      <c r="M13" s="66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40</v>
      </c>
      <c r="B14" s="54"/>
      <c r="C14" s="55"/>
      <c r="D14" s="56"/>
      <c r="E14" s="67"/>
      <c r="F14" s="69"/>
      <c r="G14" s="47"/>
      <c r="H14" s="63"/>
      <c r="I14" s="48"/>
      <c r="J14" s="64"/>
      <c r="K14" s="58" t="s">
        <v>18</v>
      </c>
      <c r="L14" s="65"/>
      <c r="M14" s="66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69"/>
      <c r="G15" s="70"/>
      <c r="H15" s="63"/>
      <c r="I15" s="48"/>
      <c r="J15" s="64"/>
      <c r="K15" s="58" t="s">
        <v>18</v>
      </c>
      <c r="L15" s="65"/>
      <c r="M15" s="66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 t="s">
        <v>42</v>
      </c>
      <c r="B16" s="54"/>
      <c r="C16" s="55"/>
      <c r="D16" s="56"/>
      <c r="E16" s="67"/>
      <c r="F16" s="71"/>
      <c r="G16" s="70"/>
      <c r="H16" s="63"/>
      <c r="I16" s="48"/>
      <c r="J16" s="64"/>
      <c r="K16" s="58" t="s">
        <v>18</v>
      </c>
      <c r="L16" s="65"/>
      <c r="M16" s="66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55"/>
      <c r="D17" s="56"/>
      <c r="E17" s="67"/>
      <c r="F17" s="71"/>
      <c r="G17" s="70"/>
      <c r="H17" s="63"/>
      <c r="I17" s="48"/>
      <c r="J17" s="64"/>
      <c r="K17" s="72"/>
      <c r="L17" s="65"/>
      <c r="M17" s="66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43</v>
      </c>
      <c r="B18" s="54"/>
      <c r="C18" s="55"/>
      <c r="D18" s="56"/>
      <c r="E18" s="67"/>
      <c r="F18" s="71"/>
      <c r="G18" s="70"/>
      <c r="H18" s="63"/>
      <c r="I18" s="48"/>
      <c r="J18" s="64"/>
      <c r="K18" s="72"/>
      <c r="L18" s="65"/>
      <c r="M18" s="66" t="s">
        <v>44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45</v>
      </c>
      <c r="B19" s="54"/>
      <c r="C19" s="55"/>
      <c r="D19" s="56"/>
      <c r="E19" s="67"/>
      <c r="F19" s="71"/>
      <c r="G19" s="70"/>
      <c r="H19" s="63"/>
      <c r="I19" s="48"/>
      <c r="J19" s="64"/>
      <c r="K19" s="72"/>
      <c r="L19" s="65"/>
      <c r="M19" s="66" t="s">
        <v>44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46</v>
      </c>
      <c r="B20" s="54"/>
      <c r="C20" s="55"/>
      <c r="D20" s="56"/>
      <c r="E20" s="67"/>
      <c r="F20" s="71"/>
      <c r="G20" s="70"/>
      <c r="H20" s="63"/>
      <c r="I20" s="48"/>
      <c r="J20" s="64"/>
      <c r="K20" s="72"/>
      <c r="L20" s="65"/>
      <c r="M20" s="66" t="s">
        <v>44</v>
      </c>
      <c r="N20" s="29"/>
      <c r="O20" s="29"/>
      <c r="P20" s="73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 t="s">
        <v>47</v>
      </c>
      <c r="B21" s="54"/>
      <c r="C21" s="55"/>
      <c r="D21" s="56"/>
      <c r="E21" s="67"/>
      <c r="F21" s="69"/>
      <c r="G21" s="70"/>
      <c r="H21" s="63"/>
      <c r="I21" s="48"/>
      <c r="J21" s="64"/>
      <c r="K21" s="72"/>
      <c r="L21" s="65"/>
      <c r="M21" s="66" t="s">
        <v>19</v>
      </c>
      <c r="N21" s="29"/>
      <c r="O21" s="29"/>
      <c r="P21" s="73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/>
      <c r="B22" s="54"/>
      <c r="C22" s="55"/>
      <c r="D22" s="56"/>
      <c r="E22" s="67"/>
      <c r="F22" s="69"/>
      <c r="G22" s="70"/>
      <c r="H22" s="63"/>
      <c r="I22" s="48"/>
      <c r="J22" s="64"/>
      <c r="K22" s="39"/>
      <c r="L22" s="65"/>
      <c r="M22" s="66"/>
      <c r="N22" s="29"/>
      <c r="O22" s="29"/>
      <c r="P22" s="73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74"/>
      <c r="C23" s="55"/>
      <c r="D23" s="56"/>
      <c r="E23" s="67"/>
      <c r="F23" s="69"/>
      <c r="G23" s="70"/>
      <c r="H23" s="63"/>
      <c r="I23" s="48"/>
      <c r="J23" s="64"/>
      <c r="K23" s="72"/>
      <c r="L23" s="65"/>
      <c r="M23" s="6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75"/>
      <c r="B24" s="2"/>
      <c r="C24" s="2"/>
      <c r="D24" s="2"/>
      <c r="E24" s="3"/>
      <c r="F24" s="76">
        <f>SUM(F4:F23)</f>
        <v>11200</v>
      </c>
      <c r="G24" s="76">
        <f t="shared" ref="G24:J24" si="1">SUM(G4:G14)</f>
        <v>460</v>
      </c>
      <c r="H24" s="76">
        <f t="shared" si="1"/>
        <v>7700</v>
      </c>
      <c r="I24" s="76">
        <f t="shared" si="1"/>
        <v>0</v>
      </c>
      <c r="J24" s="76">
        <f t="shared" si="1"/>
        <v>0</v>
      </c>
      <c r="K24" s="77"/>
      <c r="L24" s="77"/>
      <c r="M24" s="78"/>
    </row>
    <row r="25" ht="48.0" customHeight="1">
      <c r="F25" s="79">
        <f>F24+G24+H24+I24+J24</f>
        <v>19360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46175.0</v>
      </c>
      <c r="C4" s="18" t="s">
        <v>49</v>
      </c>
      <c r="D4" s="19">
        <v>52669.0</v>
      </c>
      <c r="E4" s="82" t="s">
        <v>50</v>
      </c>
      <c r="F4" s="83">
        <v>31000.0</v>
      </c>
      <c r="G4" s="84"/>
      <c r="H4" s="85"/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46175.0</v>
      </c>
      <c r="C5" s="18" t="s">
        <v>51</v>
      </c>
      <c r="D5" s="19">
        <v>51017.0</v>
      </c>
      <c r="E5" s="89" t="s">
        <v>52</v>
      </c>
      <c r="F5" s="83">
        <v>15000.0</v>
      </c>
      <c r="G5" s="84"/>
      <c r="H5" s="90"/>
      <c r="I5" s="86"/>
      <c r="J5" s="91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46175.0</v>
      </c>
      <c r="C6" s="43" t="s">
        <v>53</v>
      </c>
      <c r="D6" s="94">
        <v>47787.0</v>
      </c>
      <c r="E6" s="95" t="s">
        <v>28</v>
      </c>
      <c r="F6" s="96">
        <v>250.0</v>
      </c>
      <c r="G6" s="84"/>
      <c r="H6" s="97"/>
      <c r="I6" s="98"/>
      <c r="J6" s="99"/>
      <c r="K6" s="100" t="s">
        <v>54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46175.0</v>
      </c>
      <c r="C7" s="43" t="s">
        <v>55</v>
      </c>
      <c r="D7" s="44">
        <v>52685.0</v>
      </c>
      <c r="E7" s="101" t="s">
        <v>56</v>
      </c>
      <c r="F7" s="102"/>
      <c r="G7" s="102"/>
      <c r="H7" s="103"/>
      <c r="I7" s="98"/>
      <c r="J7" s="104">
        <v>23.0</v>
      </c>
      <c r="K7" s="100" t="s">
        <v>18</v>
      </c>
      <c r="L7" s="50"/>
      <c r="M7" s="105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46175.0</v>
      </c>
      <c r="C8" s="43" t="s">
        <v>57</v>
      </c>
      <c r="D8" s="44">
        <v>114968.0</v>
      </c>
      <c r="E8" s="101" t="s">
        <v>58</v>
      </c>
      <c r="F8" s="102"/>
      <c r="G8" s="96">
        <v>4500.0</v>
      </c>
      <c r="H8" s="103"/>
      <c r="I8" s="98"/>
      <c r="J8" s="99"/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46175.0</v>
      </c>
      <c r="C9" s="43" t="s">
        <v>59</v>
      </c>
      <c r="D9" s="44">
        <v>121905.0</v>
      </c>
      <c r="E9" s="101" t="s">
        <v>60</v>
      </c>
      <c r="F9" s="102"/>
      <c r="G9" s="96">
        <v>2500.0</v>
      </c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 t="s">
        <v>36</v>
      </c>
      <c r="B10" s="42">
        <v>46175.0</v>
      </c>
      <c r="C10" s="43" t="s">
        <v>61</v>
      </c>
      <c r="D10" s="44">
        <v>50596.0</v>
      </c>
      <c r="E10" s="101" t="s">
        <v>62</v>
      </c>
      <c r="F10" s="106">
        <v>2500.0</v>
      </c>
      <c r="G10" s="107"/>
      <c r="H10" s="108"/>
      <c r="I10" s="98"/>
      <c r="J10" s="99"/>
      <c r="K10" s="100" t="s">
        <v>18</v>
      </c>
      <c r="L10" s="50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37</v>
      </c>
      <c r="B11" s="42">
        <v>46175.0</v>
      </c>
      <c r="C11" s="43" t="s">
        <v>63</v>
      </c>
      <c r="D11" s="44">
        <v>115687.0</v>
      </c>
      <c r="E11" s="101" t="s">
        <v>64</v>
      </c>
      <c r="F11" s="107"/>
      <c r="G11" s="106">
        <v>3500.0</v>
      </c>
      <c r="H11" s="108"/>
      <c r="I11" s="98"/>
      <c r="J11" s="99"/>
      <c r="K11" s="100" t="s">
        <v>18</v>
      </c>
      <c r="L11" s="50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0" t="s">
        <v>38</v>
      </c>
      <c r="B12" s="42">
        <v>46175.0</v>
      </c>
      <c r="C12" s="43" t="s">
        <v>65</v>
      </c>
      <c r="D12" s="44">
        <v>10006.0</v>
      </c>
      <c r="E12" s="101" t="s">
        <v>66</v>
      </c>
      <c r="F12" s="107"/>
      <c r="G12" s="107"/>
      <c r="H12" s="108"/>
      <c r="I12" s="98"/>
      <c r="J12" s="104">
        <v>92.0</v>
      </c>
      <c r="K12" s="100" t="s">
        <v>18</v>
      </c>
      <c r="L12" s="50"/>
      <c r="M12" s="105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42">
        <v>46175.0</v>
      </c>
      <c r="C13" s="43" t="s">
        <v>67</v>
      </c>
      <c r="D13" s="44">
        <v>108364.0</v>
      </c>
      <c r="E13" s="101" t="s">
        <v>68</v>
      </c>
      <c r="F13" s="107"/>
      <c r="G13" s="107"/>
      <c r="H13" s="109">
        <v>2500.0</v>
      </c>
      <c r="I13" s="98"/>
      <c r="J13" s="99"/>
      <c r="K13" s="100" t="s">
        <v>18</v>
      </c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0" t="s">
        <v>40</v>
      </c>
      <c r="B14" s="42">
        <v>46175.0</v>
      </c>
      <c r="C14" s="43" t="s">
        <v>69</v>
      </c>
      <c r="D14" s="44">
        <v>122076.0</v>
      </c>
      <c r="E14" s="101" t="s">
        <v>70</v>
      </c>
      <c r="F14" s="107"/>
      <c r="G14" s="107"/>
      <c r="H14" s="109">
        <v>300.0</v>
      </c>
      <c r="I14" s="98"/>
      <c r="J14" s="99"/>
      <c r="K14" s="100" t="s">
        <v>18</v>
      </c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41</v>
      </c>
      <c r="B15" s="42">
        <v>46175.0</v>
      </c>
      <c r="C15" s="43" t="s">
        <v>71</v>
      </c>
      <c r="D15" s="44">
        <v>122076.0</v>
      </c>
      <c r="E15" s="101" t="s">
        <v>70</v>
      </c>
      <c r="F15" s="107"/>
      <c r="G15" s="106">
        <v>2950.0</v>
      </c>
      <c r="H15" s="108"/>
      <c r="I15" s="98"/>
      <c r="J15" s="99"/>
      <c r="K15" s="100" t="s">
        <v>18</v>
      </c>
      <c r="L15" s="50"/>
      <c r="M15" s="105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48750</v>
      </c>
      <c r="G21" s="76">
        <f t="shared" si="1"/>
        <v>13450</v>
      </c>
      <c r="H21" s="76">
        <f t="shared" si="1"/>
        <v>2800</v>
      </c>
      <c r="I21" s="76">
        <f t="shared" si="1"/>
        <v>0</v>
      </c>
      <c r="J21" s="76">
        <f t="shared" si="1"/>
        <v>115</v>
      </c>
      <c r="K21" s="77"/>
      <c r="L21" s="77"/>
      <c r="M21" s="78"/>
    </row>
    <row r="22" ht="48.0" customHeight="1">
      <c r="F22" s="79">
        <f>F21+G21+H21+I21+J21</f>
        <v>65115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46175.0</v>
      </c>
      <c r="C4" s="18" t="s">
        <v>74</v>
      </c>
      <c r="D4" s="19">
        <v>117203.0</v>
      </c>
      <c r="E4" s="82" t="s">
        <v>75</v>
      </c>
      <c r="F4" s="85"/>
      <c r="G4" s="84"/>
      <c r="H4" s="83">
        <v>490.0</v>
      </c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46176.0</v>
      </c>
      <c r="C5" s="18" t="s">
        <v>76</v>
      </c>
      <c r="D5" s="19">
        <v>56330.0</v>
      </c>
      <c r="E5" s="89" t="s">
        <v>77</v>
      </c>
      <c r="F5" s="85"/>
      <c r="G5" s="84"/>
      <c r="H5" s="90"/>
      <c r="I5" s="86"/>
      <c r="J5" s="116">
        <v>35.0</v>
      </c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46176.0</v>
      </c>
      <c r="C6" s="43" t="s">
        <v>78</v>
      </c>
      <c r="D6" s="94">
        <v>47787.0</v>
      </c>
      <c r="E6" s="95" t="s">
        <v>28</v>
      </c>
      <c r="F6" s="96">
        <v>10000.0</v>
      </c>
      <c r="G6" s="84"/>
      <c r="H6" s="97"/>
      <c r="I6" s="98"/>
      <c r="J6" s="99"/>
      <c r="K6" s="100" t="s">
        <v>54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46176.0</v>
      </c>
      <c r="C7" s="43" t="s">
        <v>79</v>
      </c>
      <c r="D7" s="44">
        <v>50261.0</v>
      </c>
      <c r="E7" s="101" t="s">
        <v>80</v>
      </c>
      <c r="F7" s="102"/>
      <c r="G7" s="102"/>
      <c r="H7" s="103"/>
      <c r="I7" s="98"/>
      <c r="J7" s="104">
        <v>23.0</v>
      </c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46176.0</v>
      </c>
      <c r="C8" s="43" t="s">
        <v>81</v>
      </c>
      <c r="D8" s="44">
        <v>51802.0</v>
      </c>
      <c r="E8" s="101" t="s">
        <v>82</v>
      </c>
      <c r="F8" s="102"/>
      <c r="G8" s="102"/>
      <c r="H8" s="103"/>
      <c r="I8" s="98"/>
      <c r="J8" s="104">
        <v>69.0</v>
      </c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46176.0</v>
      </c>
      <c r="C9" s="43" t="s">
        <v>83</v>
      </c>
      <c r="D9" s="44">
        <v>50342.0</v>
      </c>
      <c r="E9" s="101" t="s">
        <v>84</v>
      </c>
      <c r="F9" s="102"/>
      <c r="G9" s="96">
        <v>2500.0</v>
      </c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54"/>
      <c r="C10" s="55"/>
      <c r="D10" s="56"/>
      <c r="E10" s="67"/>
      <c r="F10" s="107"/>
      <c r="G10" s="107"/>
      <c r="H10" s="108"/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10000</v>
      </c>
      <c r="G21" s="76">
        <f t="shared" si="1"/>
        <v>2500</v>
      </c>
      <c r="H21" s="76">
        <f t="shared" si="1"/>
        <v>490</v>
      </c>
      <c r="I21" s="76">
        <f t="shared" si="1"/>
        <v>0</v>
      </c>
      <c r="J21" s="76">
        <f t="shared" si="1"/>
        <v>127</v>
      </c>
      <c r="K21" s="77"/>
      <c r="L21" s="77"/>
      <c r="M21" s="78"/>
    </row>
    <row r="22" ht="48.0" customHeight="1">
      <c r="F22" s="79">
        <f>F21+G21+H21+I21+J21</f>
        <v>13117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46177.0</v>
      </c>
      <c r="C4" s="18" t="s">
        <v>85</v>
      </c>
      <c r="D4" s="19">
        <v>10008.0</v>
      </c>
      <c r="E4" s="82" t="s">
        <v>86</v>
      </c>
      <c r="F4" s="83">
        <v>75000.0</v>
      </c>
      <c r="G4" s="84"/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46177.0</v>
      </c>
      <c r="C5" s="18" t="s">
        <v>87</v>
      </c>
      <c r="D5" s="19">
        <v>10249.0</v>
      </c>
      <c r="E5" s="89" t="s">
        <v>88</v>
      </c>
      <c r="F5" s="85"/>
      <c r="G5" s="117">
        <v>5100.0</v>
      </c>
      <c r="H5" s="90"/>
      <c r="I5" s="86"/>
      <c r="J5" s="116"/>
      <c r="K5" s="92" t="s">
        <v>18</v>
      </c>
      <c r="L5" s="88"/>
      <c r="M5" s="93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46177.0</v>
      </c>
      <c r="C6" s="43" t="s">
        <v>89</v>
      </c>
      <c r="D6" s="94">
        <v>78104.0</v>
      </c>
      <c r="E6" s="95" t="s">
        <v>90</v>
      </c>
      <c r="F6" s="96"/>
      <c r="G6" s="84"/>
      <c r="H6" s="97"/>
      <c r="I6" s="98"/>
      <c r="J6" s="104">
        <v>46.0</v>
      </c>
      <c r="K6" s="92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/>
      <c r="C7" s="43"/>
      <c r="D7" s="44"/>
      <c r="E7" s="101"/>
      <c r="F7" s="102"/>
      <c r="G7" s="102"/>
      <c r="H7" s="103"/>
      <c r="I7" s="98"/>
      <c r="J7" s="104"/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/>
      <c r="C8" s="43"/>
      <c r="D8" s="44"/>
      <c r="E8" s="101"/>
      <c r="F8" s="102"/>
      <c r="G8" s="102"/>
      <c r="H8" s="103"/>
      <c r="I8" s="98"/>
      <c r="J8" s="104"/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/>
      <c r="C9" s="43"/>
      <c r="D9" s="44"/>
      <c r="E9" s="101"/>
      <c r="F9" s="102"/>
      <c r="G9" s="96"/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54"/>
      <c r="C10" s="55"/>
      <c r="D10" s="56"/>
      <c r="E10" s="67"/>
      <c r="F10" s="107"/>
      <c r="G10" s="107"/>
      <c r="H10" s="108"/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75000</v>
      </c>
      <c r="G21" s="76">
        <f t="shared" si="1"/>
        <v>5100</v>
      </c>
      <c r="H21" s="76">
        <f t="shared" si="1"/>
        <v>0</v>
      </c>
      <c r="I21" s="76">
        <f t="shared" si="1"/>
        <v>0</v>
      </c>
      <c r="J21" s="76">
        <f t="shared" si="1"/>
        <v>46</v>
      </c>
      <c r="K21" s="77"/>
      <c r="L21" s="77"/>
      <c r="M21" s="78"/>
    </row>
    <row r="22" ht="48.0" customHeight="1">
      <c r="F22" s="79">
        <f>F21+G21+H21+I21+J21</f>
        <v>80146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46178.0</v>
      </c>
      <c r="C4" s="18" t="s">
        <v>92</v>
      </c>
      <c r="D4" s="19">
        <v>83352.0</v>
      </c>
      <c r="E4" s="82" t="s">
        <v>93</v>
      </c>
      <c r="F4" s="83">
        <v>25000.0</v>
      </c>
      <c r="G4" s="84"/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46178.0</v>
      </c>
      <c r="C5" s="18" t="s">
        <v>94</v>
      </c>
      <c r="D5" s="19">
        <v>10249.0</v>
      </c>
      <c r="E5" s="89" t="s">
        <v>88</v>
      </c>
      <c r="F5" s="85"/>
      <c r="G5" s="117"/>
      <c r="H5" s="90"/>
      <c r="I5" s="86"/>
      <c r="J5" s="116">
        <v>23.0</v>
      </c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46178.0</v>
      </c>
      <c r="C6" s="43" t="s">
        <v>95</v>
      </c>
      <c r="D6" s="94">
        <v>10006.0</v>
      </c>
      <c r="E6" s="95" t="s">
        <v>66</v>
      </c>
      <c r="F6" s="96">
        <v>9500.0</v>
      </c>
      <c r="G6" s="84"/>
      <c r="H6" s="97"/>
      <c r="I6" s="98"/>
      <c r="J6" s="104"/>
      <c r="K6" s="92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46178.0</v>
      </c>
      <c r="C7" s="43" t="s">
        <v>96</v>
      </c>
      <c r="D7" s="44">
        <v>21828.0</v>
      </c>
      <c r="E7" s="101" t="s">
        <v>97</v>
      </c>
      <c r="F7" s="102"/>
      <c r="G7" s="96">
        <v>32500.0</v>
      </c>
      <c r="H7" s="103"/>
      <c r="I7" s="98"/>
      <c r="J7" s="104"/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46178.0</v>
      </c>
      <c r="C8" s="43" t="s">
        <v>98</v>
      </c>
      <c r="D8" s="44">
        <v>122514.0</v>
      </c>
      <c r="E8" s="101" t="s">
        <v>99</v>
      </c>
      <c r="F8" s="102"/>
      <c r="G8" s="96">
        <v>4050.0</v>
      </c>
      <c r="H8" s="103"/>
      <c r="I8" s="98"/>
      <c r="J8" s="104"/>
      <c r="K8" s="100" t="s">
        <v>18</v>
      </c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/>
      <c r="C9" s="43"/>
      <c r="D9" s="44"/>
      <c r="E9" s="101"/>
      <c r="F9" s="102"/>
      <c r="G9" s="96"/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54"/>
      <c r="C10" s="55"/>
      <c r="D10" s="56"/>
      <c r="E10" s="67"/>
      <c r="F10" s="107"/>
      <c r="G10" s="107"/>
      <c r="H10" s="108"/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34500</v>
      </c>
      <c r="G21" s="76">
        <f t="shared" si="1"/>
        <v>36550</v>
      </c>
      <c r="H21" s="76">
        <f t="shared" si="1"/>
        <v>0</v>
      </c>
      <c r="I21" s="76">
        <f t="shared" si="1"/>
        <v>0</v>
      </c>
      <c r="J21" s="76">
        <f t="shared" si="1"/>
        <v>23</v>
      </c>
      <c r="K21" s="77"/>
      <c r="L21" s="77"/>
      <c r="M21" s="78"/>
    </row>
    <row r="22" ht="48.0" customHeight="1">
      <c r="F22" s="79">
        <f>F21+G21+H21+I21+J21</f>
        <v>71073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46179.0</v>
      </c>
      <c r="C4" s="18" t="s">
        <v>101</v>
      </c>
      <c r="D4" s="19">
        <v>50595.0</v>
      </c>
      <c r="E4" s="82" t="s">
        <v>102</v>
      </c>
      <c r="F4" s="83">
        <v>5000.0</v>
      </c>
      <c r="G4" s="84"/>
      <c r="H4" s="83"/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46179.0</v>
      </c>
      <c r="C5" s="18" t="s">
        <v>103</v>
      </c>
      <c r="D5" s="19">
        <v>47787.0</v>
      </c>
      <c r="E5" s="89" t="s">
        <v>28</v>
      </c>
      <c r="F5" s="83">
        <v>10450.0</v>
      </c>
      <c r="G5" s="117"/>
      <c r="H5" s="90"/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46179.0</v>
      </c>
      <c r="C6" s="43" t="s">
        <v>104</v>
      </c>
      <c r="D6" s="94">
        <v>47787.0</v>
      </c>
      <c r="E6" s="95" t="s">
        <v>28</v>
      </c>
      <c r="F6" s="96">
        <v>10000.0</v>
      </c>
      <c r="G6" s="84"/>
      <c r="H6" s="97"/>
      <c r="I6" s="98"/>
      <c r="J6" s="104"/>
      <c r="K6" s="92" t="s">
        <v>18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46179.0</v>
      </c>
      <c r="C7" s="43" t="s">
        <v>105</v>
      </c>
      <c r="D7" s="44">
        <v>10357.0</v>
      </c>
      <c r="E7" s="101" t="s">
        <v>106</v>
      </c>
      <c r="F7" s="102"/>
      <c r="G7" s="96"/>
      <c r="H7" s="103"/>
      <c r="I7" s="98"/>
      <c r="J7" s="104">
        <v>165.0</v>
      </c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46179.0</v>
      </c>
      <c r="C8" s="43" t="s">
        <v>107</v>
      </c>
      <c r="D8" s="44">
        <v>10357.0</v>
      </c>
      <c r="E8" s="101" t="s">
        <v>106</v>
      </c>
      <c r="F8" s="102"/>
      <c r="G8" s="96"/>
      <c r="H8" s="103"/>
      <c r="I8" s="98"/>
      <c r="J8" s="104">
        <v>70.0</v>
      </c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/>
      <c r="C9" s="43"/>
      <c r="D9" s="44"/>
      <c r="E9" s="101"/>
      <c r="F9" s="102"/>
      <c r="G9" s="96"/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54"/>
      <c r="C10" s="55"/>
      <c r="D10" s="56"/>
      <c r="E10" s="67"/>
      <c r="F10" s="107"/>
      <c r="G10" s="107"/>
      <c r="H10" s="108"/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25450</v>
      </c>
      <c r="G21" s="76">
        <f t="shared" si="1"/>
        <v>0</v>
      </c>
      <c r="H21" s="76">
        <f t="shared" si="1"/>
        <v>0</v>
      </c>
      <c r="I21" s="76">
        <f t="shared" si="1"/>
        <v>0</v>
      </c>
      <c r="J21" s="76">
        <f t="shared" si="1"/>
        <v>235</v>
      </c>
      <c r="K21" s="77"/>
      <c r="L21" s="77"/>
      <c r="M21" s="78"/>
    </row>
    <row r="22" ht="48.0" customHeight="1">
      <c r="F22" s="79">
        <f>F21+G21+H21+I21+J21</f>
        <v>25685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46179.0</v>
      </c>
      <c r="C4" s="18" t="s">
        <v>109</v>
      </c>
      <c r="D4" s="19">
        <v>122675.0</v>
      </c>
      <c r="E4" s="82" t="s">
        <v>110</v>
      </c>
      <c r="F4" s="83"/>
      <c r="G4" s="84"/>
      <c r="H4" s="83">
        <v>300.0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46179.0</v>
      </c>
      <c r="C5" s="18" t="s">
        <v>111</v>
      </c>
      <c r="D5" s="19">
        <v>122678.0</v>
      </c>
      <c r="E5" s="89" t="s">
        <v>112</v>
      </c>
      <c r="F5" s="83"/>
      <c r="G5" s="117"/>
      <c r="H5" s="118">
        <v>300.0</v>
      </c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46179.0</v>
      </c>
      <c r="C6" s="43" t="s">
        <v>113</v>
      </c>
      <c r="D6" s="94">
        <v>122680.0</v>
      </c>
      <c r="E6" s="95" t="s">
        <v>114</v>
      </c>
      <c r="F6" s="96"/>
      <c r="G6" s="84"/>
      <c r="H6" s="119">
        <v>300.0</v>
      </c>
      <c r="I6" s="98"/>
      <c r="J6" s="104"/>
      <c r="K6" s="92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46180.0</v>
      </c>
      <c r="C7" s="43" t="s">
        <v>115</v>
      </c>
      <c r="D7" s="44">
        <v>42278.0</v>
      </c>
      <c r="E7" s="101" t="s">
        <v>116</v>
      </c>
      <c r="F7" s="96">
        <v>600.0</v>
      </c>
      <c r="G7" s="96"/>
      <c r="H7" s="103"/>
      <c r="I7" s="98"/>
      <c r="J7" s="104"/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46180.0</v>
      </c>
      <c r="C8" s="43" t="s">
        <v>117</v>
      </c>
      <c r="D8" s="44">
        <v>122731.0</v>
      </c>
      <c r="E8" s="101" t="s">
        <v>118</v>
      </c>
      <c r="F8" s="96">
        <v>7500.0</v>
      </c>
      <c r="G8" s="96"/>
      <c r="H8" s="103"/>
      <c r="I8" s="98"/>
      <c r="J8" s="104"/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46180.0</v>
      </c>
      <c r="C9" s="43" t="s">
        <v>119</v>
      </c>
      <c r="D9" s="44">
        <v>42278.0</v>
      </c>
      <c r="E9" s="101" t="s">
        <v>116</v>
      </c>
      <c r="F9" s="96">
        <v>1450.0</v>
      </c>
      <c r="G9" s="96"/>
      <c r="H9" s="103"/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42">
        <v>46180.0</v>
      </c>
      <c r="C10" s="43" t="s">
        <v>120</v>
      </c>
      <c r="D10" s="44">
        <v>118419.0</v>
      </c>
      <c r="E10" s="101" t="s">
        <v>121</v>
      </c>
      <c r="F10" s="107"/>
      <c r="G10" s="107"/>
      <c r="H10" s="109">
        <v>2600.0</v>
      </c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9550</v>
      </c>
      <c r="G21" s="76">
        <f t="shared" si="1"/>
        <v>0</v>
      </c>
      <c r="H21" s="76">
        <f t="shared" si="1"/>
        <v>3500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13050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46181.0</v>
      </c>
      <c r="C4" s="18" t="s">
        <v>123</v>
      </c>
      <c r="D4" s="19">
        <v>52669.0</v>
      </c>
      <c r="E4" s="82" t="s">
        <v>50</v>
      </c>
      <c r="F4" s="83">
        <v>30200.0</v>
      </c>
      <c r="G4" s="84"/>
      <c r="H4" s="83"/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46181.0</v>
      </c>
      <c r="C5" s="18" t="s">
        <v>124</v>
      </c>
      <c r="D5" s="19">
        <v>50595.0</v>
      </c>
      <c r="E5" s="89" t="s">
        <v>102</v>
      </c>
      <c r="F5" s="83">
        <v>5000.0</v>
      </c>
      <c r="G5" s="117"/>
      <c r="H5" s="118"/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46181.0</v>
      </c>
      <c r="C6" s="43" t="s">
        <v>125</v>
      </c>
      <c r="D6" s="94">
        <v>47787.0</v>
      </c>
      <c r="E6" s="95" t="s">
        <v>28</v>
      </c>
      <c r="F6" s="96">
        <v>250.0</v>
      </c>
      <c r="G6" s="84"/>
      <c r="H6" s="119"/>
      <c r="I6" s="98"/>
      <c r="J6" s="104"/>
      <c r="K6" s="100" t="s">
        <v>29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46181.0</v>
      </c>
      <c r="C7" s="43" t="s">
        <v>126</v>
      </c>
      <c r="D7" s="44">
        <v>43380.0</v>
      </c>
      <c r="E7" s="101" t="s">
        <v>127</v>
      </c>
      <c r="F7" s="96">
        <v>10000.0</v>
      </c>
      <c r="G7" s="96"/>
      <c r="H7" s="103"/>
      <c r="I7" s="98"/>
      <c r="J7" s="104"/>
      <c r="K7" s="100" t="s">
        <v>18</v>
      </c>
      <c r="L7" s="50"/>
      <c r="M7" s="105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46181.0</v>
      </c>
      <c r="C8" s="43" t="s">
        <v>128</v>
      </c>
      <c r="D8" s="44">
        <v>47787.0</v>
      </c>
      <c r="E8" s="101" t="s">
        <v>28</v>
      </c>
      <c r="F8" s="96">
        <v>10000.0</v>
      </c>
      <c r="G8" s="96"/>
      <c r="H8" s="103"/>
      <c r="I8" s="98"/>
      <c r="J8" s="104"/>
      <c r="K8" s="100" t="s">
        <v>29</v>
      </c>
      <c r="L8" s="50"/>
      <c r="M8" s="105" t="s">
        <v>30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46181.0</v>
      </c>
      <c r="C9" s="43" t="s">
        <v>129</v>
      </c>
      <c r="D9" s="44">
        <v>122828.0</v>
      </c>
      <c r="E9" s="101" t="s">
        <v>130</v>
      </c>
      <c r="F9" s="96"/>
      <c r="G9" s="96"/>
      <c r="H9" s="120">
        <v>350.0</v>
      </c>
      <c r="I9" s="98"/>
      <c r="J9" s="99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42"/>
      <c r="C10" s="43"/>
      <c r="D10" s="44"/>
      <c r="E10" s="101"/>
      <c r="F10" s="107"/>
      <c r="G10" s="107"/>
      <c r="H10" s="109"/>
      <c r="I10" s="98"/>
      <c r="J10" s="99"/>
      <c r="K10" s="110"/>
      <c r="L10" s="50"/>
      <c r="M10" s="1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37</v>
      </c>
      <c r="B11" s="54"/>
      <c r="C11" s="55"/>
      <c r="D11" s="56"/>
      <c r="E11" s="67"/>
      <c r="F11" s="107"/>
      <c r="G11" s="107"/>
      <c r="H11" s="108"/>
      <c r="I11" s="98"/>
      <c r="J11" s="99"/>
      <c r="K11" s="110" t="s">
        <v>18</v>
      </c>
      <c r="L11" s="50"/>
      <c r="M11" s="11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 t="s">
        <v>38</v>
      </c>
      <c r="B12" s="54"/>
      <c r="C12" s="55"/>
      <c r="D12" s="56"/>
      <c r="E12" s="67"/>
      <c r="F12" s="107"/>
      <c r="G12" s="107"/>
      <c r="H12" s="108"/>
      <c r="I12" s="98"/>
      <c r="J12" s="99"/>
      <c r="K12" s="110" t="s">
        <v>18</v>
      </c>
      <c r="L12" s="50"/>
      <c r="M12" s="11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55450</v>
      </c>
      <c r="G21" s="76">
        <f t="shared" si="1"/>
        <v>0</v>
      </c>
      <c r="H21" s="76">
        <f t="shared" si="1"/>
        <v>350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55800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46182.0</v>
      </c>
      <c r="C4" s="18" t="s">
        <v>132</v>
      </c>
      <c r="D4" s="19">
        <v>83352.0</v>
      </c>
      <c r="E4" s="82" t="s">
        <v>93</v>
      </c>
      <c r="F4" s="83">
        <v>25300.0</v>
      </c>
      <c r="G4" s="84"/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46182.0</v>
      </c>
      <c r="C5" s="18" t="s">
        <v>133</v>
      </c>
      <c r="D5" s="19">
        <v>47787.0</v>
      </c>
      <c r="E5" s="89" t="s">
        <v>28</v>
      </c>
      <c r="F5" s="83">
        <v>4750.0</v>
      </c>
      <c r="G5" s="117"/>
      <c r="H5" s="118"/>
      <c r="I5" s="86"/>
      <c r="J5" s="116"/>
      <c r="K5" s="92" t="s">
        <v>29</v>
      </c>
      <c r="L5" s="88"/>
      <c r="M5" s="93" t="s">
        <v>30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46182.0</v>
      </c>
      <c r="C6" s="43" t="s">
        <v>134</v>
      </c>
      <c r="D6" s="94">
        <v>68284.0</v>
      </c>
      <c r="E6" s="95" t="s">
        <v>135</v>
      </c>
      <c r="F6" s="96">
        <v>6100.0</v>
      </c>
      <c r="G6" s="84"/>
      <c r="H6" s="119"/>
      <c r="I6" s="98"/>
      <c r="J6" s="104"/>
      <c r="K6" s="100" t="s">
        <v>18</v>
      </c>
      <c r="L6" s="88"/>
      <c r="M6" s="93" t="s">
        <v>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46182.0</v>
      </c>
      <c r="C7" s="43" t="s">
        <v>136</v>
      </c>
      <c r="D7" s="44">
        <v>59812.0</v>
      </c>
      <c r="E7" s="101" t="s">
        <v>137</v>
      </c>
      <c r="F7" s="96"/>
      <c r="G7" s="96"/>
      <c r="H7" s="103"/>
      <c r="I7" s="98"/>
      <c r="J7" s="104">
        <v>35.0</v>
      </c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46182.0</v>
      </c>
      <c r="C8" s="43" t="s">
        <v>138</v>
      </c>
      <c r="D8" s="44">
        <v>119998.0</v>
      </c>
      <c r="E8" s="101" t="s">
        <v>139</v>
      </c>
      <c r="F8" s="96"/>
      <c r="G8" s="96"/>
      <c r="H8" s="120">
        <v>3600.0</v>
      </c>
      <c r="I8" s="98"/>
      <c r="J8" s="104"/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46182.0</v>
      </c>
      <c r="C9" s="43" t="s">
        <v>140</v>
      </c>
      <c r="D9" s="44">
        <v>10288.0</v>
      </c>
      <c r="E9" s="101" t="s">
        <v>141</v>
      </c>
      <c r="F9" s="96"/>
      <c r="G9" s="96"/>
      <c r="H9" s="120"/>
      <c r="I9" s="98"/>
      <c r="J9" s="104">
        <v>35.0</v>
      </c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/>
      <c r="B10" s="42">
        <v>46182.0</v>
      </c>
      <c r="C10" s="43" t="s">
        <v>142</v>
      </c>
      <c r="D10" s="44">
        <v>27880.0</v>
      </c>
      <c r="E10" s="101" t="s">
        <v>143</v>
      </c>
      <c r="F10" s="106">
        <v>4500.0</v>
      </c>
      <c r="G10" s="107"/>
      <c r="H10" s="109"/>
      <c r="I10" s="98"/>
      <c r="J10" s="99"/>
      <c r="K10" s="100" t="s">
        <v>18</v>
      </c>
      <c r="L10" s="50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37</v>
      </c>
      <c r="B11" s="42">
        <v>46182.0</v>
      </c>
      <c r="C11" s="43" t="s">
        <v>144</v>
      </c>
      <c r="D11" s="44">
        <v>27880.0</v>
      </c>
      <c r="E11" s="101" t="s">
        <v>143</v>
      </c>
      <c r="F11" s="106">
        <v>4750.0</v>
      </c>
      <c r="G11" s="107"/>
      <c r="H11" s="108"/>
      <c r="I11" s="98"/>
      <c r="J11" s="99"/>
      <c r="K11" s="100" t="s">
        <v>18</v>
      </c>
      <c r="L11" s="50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0" t="s">
        <v>38</v>
      </c>
      <c r="B12" s="42">
        <v>46182.0</v>
      </c>
      <c r="C12" s="43" t="s">
        <v>145</v>
      </c>
      <c r="D12" s="44">
        <v>106403.0</v>
      </c>
      <c r="E12" s="101" t="s">
        <v>146</v>
      </c>
      <c r="F12" s="107"/>
      <c r="G12" s="107"/>
      <c r="H12" s="109">
        <v>3700.0</v>
      </c>
      <c r="I12" s="98"/>
      <c r="J12" s="99"/>
      <c r="K12" s="100" t="s">
        <v>18</v>
      </c>
      <c r="L12" s="50"/>
      <c r="M12" s="105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 t="s">
        <v>40</v>
      </c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45400</v>
      </c>
      <c r="G21" s="76">
        <f t="shared" si="1"/>
        <v>0</v>
      </c>
      <c r="H21" s="76">
        <f t="shared" si="1"/>
        <v>7300</v>
      </c>
      <c r="I21" s="76">
        <f t="shared" si="1"/>
        <v>0</v>
      </c>
      <c r="J21" s="76">
        <f t="shared" si="1"/>
        <v>70</v>
      </c>
      <c r="K21" s="77"/>
      <c r="L21" s="77"/>
      <c r="M21" s="78"/>
    </row>
    <row r="22" ht="48.0" customHeight="1">
      <c r="F22" s="79">
        <f>F21+G21+H21+I21+J21</f>
        <v>52770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46182.0</v>
      </c>
      <c r="C4" s="18" t="s">
        <v>148</v>
      </c>
      <c r="D4" s="19">
        <v>115134.0</v>
      </c>
      <c r="E4" s="82" t="s">
        <v>149</v>
      </c>
      <c r="F4" s="83"/>
      <c r="G4" s="84"/>
      <c r="H4" s="83">
        <v>400.0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46183.0</v>
      </c>
      <c r="C5" s="18" t="s">
        <v>150</v>
      </c>
      <c r="D5" s="19">
        <v>51017.0</v>
      </c>
      <c r="E5" s="89" t="s">
        <v>52</v>
      </c>
      <c r="F5" s="83">
        <v>10000.0</v>
      </c>
      <c r="G5" s="117"/>
      <c r="H5" s="118"/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46183.0</v>
      </c>
      <c r="C6" s="43" t="s">
        <v>151</v>
      </c>
      <c r="D6" s="94">
        <v>30909.0</v>
      </c>
      <c r="E6" s="95" t="s">
        <v>152</v>
      </c>
      <c r="F6" s="96">
        <v>9000.0</v>
      </c>
      <c r="G6" s="84"/>
      <c r="H6" s="119"/>
      <c r="I6" s="98"/>
      <c r="J6" s="104"/>
      <c r="K6" s="100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46183.0</v>
      </c>
      <c r="C7" s="43" t="s">
        <v>153</v>
      </c>
      <c r="D7" s="44">
        <v>30909.0</v>
      </c>
      <c r="E7" s="101" t="s">
        <v>152</v>
      </c>
      <c r="F7" s="96">
        <v>9000.0</v>
      </c>
      <c r="G7" s="96"/>
      <c r="H7" s="103"/>
      <c r="I7" s="98"/>
      <c r="J7" s="104"/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46183.0</v>
      </c>
      <c r="C8" s="43" t="s">
        <v>154</v>
      </c>
      <c r="D8" s="44">
        <v>30910.0</v>
      </c>
      <c r="E8" s="101" t="s">
        <v>155</v>
      </c>
      <c r="F8" s="96">
        <v>9000.0</v>
      </c>
      <c r="G8" s="96"/>
      <c r="H8" s="120"/>
      <c r="I8" s="98"/>
      <c r="J8" s="104"/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46183.0</v>
      </c>
      <c r="C9" s="43" t="s">
        <v>156</v>
      </c>
      <c r="D9" s="44">
        <v>122069.0</v>
      </c>
      <c r="E9" s="101" t="s">
        <v>157</v>
      </c>
      <c r="F9" s="96"/>
      <c r="G9" s="96"/>
      <c r="H9" s="120">
        <v>300.0</v>
      </c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/>
      <c r="B10" s="42"/>
      <c r="C10" s="43"/>
      <c r="D10" s="44"/>
      <c r="E10" s="101"/>
      <c r="F10" s="106"/>
      <c r="G10" s="107"/>
      <c r="H10" s="109"/>
      <c r="I10" s="98"/>
      <c r="J10" s="99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/>
      <c r="B11" s="42"/>
      <c r="C11" s="43"/>
      <c r="D11" s="44"/>
      <c r="E11" s="101"/>
      <c r="F11" s="106"/>
      <c r="G11" s="107"/>
      <c r="H11" s="108"/>
      <c r="I11" s="98"/>
      <c r="J11" s="99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0"/>
      <c r="B12" s="42"/>
      <c r="C12" s="43"/>
      <c r="D12" s="44"/>
      <c r="E12" s="101"/>
      <c r="F12" s="107"/>
      <c r="G12" s="107"/>
      <c r="H12" s="109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55"/>
      <c r="D13" s="56"/>
      <c r="E13" s="67"/>
      <c r="F13" s="107"/>
      <c r="G13" s="107"/>
      <c r="H13" s="108"/>
      <c r="I13" s="98"/>
      <c r="J13" s="99"/>
      <c r="K13" s="110" t="s">
        <v>18</v>
      </c>
      <c r="L13" s="50"/>
      <c r="M13" s="11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0"/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37000</v>
      </c>
      <c r="G21" s="76">
        <f t="shared" si="1"/>
        <v>0</v>
      </c>
      <c r="H21" s="76">
        <f t="shared" si="1"/>
        <v>700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37700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46183.0</v>
      </c>
      <c r="C4" s="18" t="s">
        <v>159</v>
      </c>
      <c r="D4" s="19">
        <v>115561.0</v>
      </c>
      <c r="E4" s="82" t="s">
        <v>160</v>
      </c>
      <c r="F4" s="83"/>
      <c r="G4" s="84"/>
      <c r="H4" s="83">
        <v>3650.0</v>
      </c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46183.0</v>
      </c>
      <c r="C5" s="18" t="s">
        <v>161</v>
      </c>
      <c r="D5" s="19">
        <v>123157.0</v>
      </c>
      <c r="E5" s="89" t="s">
        <v>162</v>
      </c>
      <c r="F5" s="83"/>
      <c r="G5" s="117"/>
      <c r="H5" s="118">
        <v>300.0</v>
      </c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46184.0</v>
      </c>
      <c r="C6" s="43" t="s">
        <v>163</v>
      </c>
      <c r="D6" s="94">
        <v>52669.0</v>
      </c>
      <c r="E6" s="95" t="s">
        <v>50</v>
      </c>
      <c r="F6" s="96">
        <v>30000.0</v>
      </c>
      <c r="G6" s="84"/>
      <c r="H6" s="119"/>
      <c r="I6" s="98"/>
      <c r="J6" s="104"/>
      <c r="K6" s="100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46184.0</v>
      </c>
      <c r="C7" s="43" t="s">
        <v>164</v>
      </c>
      <c r="D7" s="44">
        <v>10249.0</v>
      </c>
      <c r="E7" s="101" t="s">
        <v>88</v>
      </c>
      <c r="F7" s="96"/>
      <c r="G7" s="96"/>
      <c r="H7" s="120">
        <v>2600.0</v>
      </c>
      <c r="I7" s="98"/>
      <c r="J7" s="104"/>
      <c r="K7" s="100" t="s">
        <v>18</v>
      </c>
      <c r="L7" s="50"/>
      <c r="M7" s="105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46184.0</v>
      </c>
      <c r="C8" s="43" t="s">
        <v>165</v>
      </c>
      <c r="D8" s="44">
        <v>80228.0</v>
      </c>
      <c r="E8" s="101" t="s">
        <v>166</v>
      </c>
      <c r="F8" s="96"/>
      <c r="G8" s="96"/>
      <c r="H8" s="120"/>
      <c r="I8" s="98"/>
      <c r="J8" s="104">
        <v>35.0</v>
      </c>
      <c r="K8" s="100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46184.0</v>
      </c>
      <c r="C9" s="43" t="s">
        <v>167</v>
      </c>
      <c r="D9" s="44">
        <v>54426.0</v>
      </c>
      <c r="E9" s="101" t="s">
        <v>168</v>
      </c>
      <c r="F9" s="96"/>
      <c r="G9" s="96"/>
      <c r="H9" s="120"/>
      <c r="I9" s="98"/>
      <c r="J9" s="104">
        <v>140.0</v>
      </c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42">
        <v>46184.0</v>
      </c>
      <c r="C10" s="43" t="s">
        <v>169</v>
      </c>
      <c r="D10" s="44">
        <v>54426.0</v>
      </c>
      <c r="E10" s="101" t="s">
        <v>168</v>
      </c>
      <c r="F10" s="106"/>
      <c r="G10" s="107"/>
      <c r="H10" s="109"/>
      <c r="I10" s="98"/>
      <c r="J10" s="104">
        <v>148.0</v>
      </c>
      <c r="K10" s="100" t="s">
        <v>18</v>
      </c>
      <c r="L10" s="50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0" t="s">
        <v>37</v>
      </c>
      <c r="B11" s="42">
        <v>46184.0</v>
      </c>
      <c r="C11" s="43" t="s">
        <v>170</v>
      </c>
      <c r="D11" s="44">
        <v>47787.0</v>
      </c>
      <c r="E11" s="101" t="s">
        <v>28</v>
      </c>
      <c r="F11" s="106">
        <v>10450.0</v>
      </c>
      <c r="G11" s="107"/>
      <c r="H11" s="108"/>
      <c r="I11" s="98"/>
      <c r="J11" s="99"/>
      <c r="K11" s="100" t="s">
        <v>29</v>
      </c>
      <c r="L11" s="50"/>
      <c r="M11" s="105" t="s">
        <v>30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38</v>
      </c>
      <c r="B12" s="42">
        <v>46184.0</v>
      </c>
      <c r="C12" s="43" t="s">
        <v>171</v>
      </c>
      <c r="D12" s="44">
        <v>43380.0</v>
      </c>
      <c r="E12" s="101" t="s">
        <v>127</v>
      </c>
      <c r="F12" s="106">
        <v>25000.0</v>
      </c>
      <c r="G12" s="107"/>
      <c r="H12" s="109"/>
      <c r="I12" s="98"/>
      <c r="J12" s="99"/>
      <c r="K12" s="100" t="s">
        <v>18</v>
      </c>
      <c r="L12" s="50"/>
      <c r="M12" s="105" t="s">
        <v>44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42">
        <v>46184.0</v>
      </c>
      <c r="C13" s="43" t="s">
        <v>172</v>
      </c>
      <c r="D13" s="44">
        <v>27880.0</v>
      </c>
      <c r="E13" s="101" t="s">
        <v>143</v>
      </c>
      <c r="F13" s="107"/>
      <c r="G13" s="107"/>
      <c r="H13" s="108"/>
      <c r="I13" s="98"/>
      <c r="J13" s="104">
        <v>70.0</v>
      </c>
      <c r="K13" s="100" t="s">
        <v>18</v>
      </c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0"/>
      <c r="B14" s="54"/>
      <c r="C14" s="55"/>
      <c r="D14" s="56"/>
      <c r="E14" s="67"/>
      <c r="F14" s="107"/>
      <c r="G14" s="107"/>
      <c r="H14" s="108"/>
      <c r="I14" s="98"/>
      <c r="J14" s="99"/>
      <c r="K14" s="110" t="s">
        <v>18</v>
      </c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65450</v>
      </c>
      <c r="G21" s="76">
        <f t="shared" si="1"/>
        <v>0</v>
      </c>
      <c r="H21" s="76">
        <f t="shared" si="1"/>
        <v>6550</v>
      </c>
      <c r="I21" s="76">
        <f t="shared" si="1"/>
        <v>0</v>
      </c>
      <c r="J21" s="76">
        <f t="shared" si="1"/>
        <v>393</v>
      </c>
      <c r="K21" s="77"/>
      <c r="L21" s="77"/>
      <c r="M21" s="78"/>
    </row>
    <row r="22" ht="48.0" customHeight="1">
      <c r="F22" s="79">
        <f>F21+G21+H21+I21+J21</f>
        <v>72393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46184.0</v>
      </c>
      <c r="C4" s="18" t="s">
        <v>174</v>
      </c>
      <c r="D4" s="19">
        <v>123286.0</v>
      </c>
      <c r="E4" s="82" t="s">
        <v>175</v>
      </c>
      <c r="F4" s="83"/>
      <c r="G4" s="84"/>
      <c r="H4" s="83">
        <v>300.0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46184.0</v>
      </c>
      <c r="C5" s="18" t="s">
        <v>176</v>
      </c>
      <c r="D5" s="19">
        <v>123286.0</v>
      </c>
      <c r="E5" s="89" t="s">
        <v>175</v>
      </c>
      <c r="F5" s="83"/>
      <c r="G5" s="117"/>
      <c r="H5" s="118">
        <v>2400.0</v>
      </c>
      <c r="I5" s="86"/>
      <c r="J5" s="116"/>
      <c r="K5" s="92" t="s">
        <v>18</v>
      </c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46185.0</v>
      </c>
      <c r="C6" s="43" t="s">
        <v>177</v>
      </c>
      <c r="D6" s="94">
        <v>123300.0</v>
      </c>
      <c r="E6" s="95" t="s">
        <v>178</v>
      </c>
      <c r="F6" s="96"/>
      <c r="G6" s="84"/>
      <c r="H6" s="119">
        <v>300.0</v>
      </c>
      <c r="I6" s="98"/>
      <c r="J6" s="104"/>
      <c r="K6" s="100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46185.0</v>
      </c>
      <c r="C7" s="43" t="s">
        <v>179</v>
      </c>
      <c r="D7" s="44">
        <v>123300.0</v>
      </c>
      <c r="E7" s="101" t="s">
        <v>178</v>
      </c>
      <c r="F7" s="96"/>
      <c r="G7" s="96"/>
      <c r="H7" s="120">
        <v>2400.0</v>
      </c>
      <c r="I7" s="98"/>
      <c r="J7" s="104"/>
      <c r="K7" s="100" t="s">
        <v>18</v>
      </c>
      <c r="L7" s="50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46185.0</v>
      </c>
      <c r="C8" s="43" t="s">
        <v>180</v>
      </c>
      <c r="D8" s="44">
        <v>47787.0</v>
      </c>
      <c r="E8" s="101" t="s">
        <v>28</v>
      </c>
      <c r="F8" s="96">
        <v>10450.0</v>
      </c>
      <c r="G8" s="96"/>
      <c r="H8" s="120"/>
      <c r="I8" s="98"/>
      <c r="J8" s="104"/>
      <c r="K8" s="100" t="s">
        <v>29</v>
      </c>
      <c r="L8" s="50"/>
      <c r="M8" s="105" t="s">
        <v>30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46185.0</v>
      </c>
      <c r="C9" s="43" t="s">
        <v>181</v>
      </c>
      <c r="D9" s="44">
        <v>42046.0</v>
      </c>
      <c r="E9" s="101" t="s">
        <v>182</v>
      </c>
      <c r="F9" s="96"/>
      <c r="G9" s="96">
        <v>1800.0</v>
      </c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42">
        <v>46185.0</v>
      </c>
      <c r="C10" s="43" t="s">
        <v>183</v>
      </c>
      <c r="D10" s="44">
        <v>116048.0</v>
      </c>
      <c r="E10" s="101" t="s">
        <v>22</v>
      </c>
      <c r="F10" s="106"/>
      <c r="G10" s="107"/>
      <c r="H10" s="109">
        <v>2500.0</v>
      </c>
      <c r="I10" s="98"/>
      <c r="J10" s="104"/>
      <c r="K10" s="100" t="s">
        <v>18</v>
      </c>
      <c r="L10" s="50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0" t="s">
        <v>37</v>
      </c>
      <c r="B11" s="42"/>
      <c r="C11" s="43"/>
      <c r="D11" s="44"/>
      <c r="E11" s="101"/>
      <c r="F11" s="106"/>
      <c r="G11" s="107"/>
      <c r="H11" s="108"/>
      <c r="I11" s="98"/>
      <c r="J11" s="99"/>
      <c r="K11" s="100"/>
      <c r="L11" s="50"/>
      <c r="M11" s="105" t="s">
        <v>30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38</v>
      </c>
      <c r="B12" s="42"/>
      <c r="C12" s="43"/>
      <c r="D12" s="44"/>
      <c r="E12" s="101"/>
      <c r="F12" s="106"/>
      <c r="G12" s="107"/>
      <c r="H12" s="109"/>
      <c r="I12" s="98"/>
      <c r="J12" s="99"/>
      <c r="K12" s="100"/>
      <c r="L12" s="50"/>
      <c r="M12" s="105" t="s">
        <v>44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42"/>
      <c r="C13" s="43"/>
      <c r="D13" s="44"/>
      <c r="E13" s="101"/>
      <c r="F13" s="107"/>
      <c r="G13" s="107"/>
      <c r="H13" s="108"/>
      <c r="I13" s="98"/>
      <c r="J13" s="104"/>
      <c r="K13" s="100"/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0"/>
      <c r="B14" s="54"/>
      <c r="C14" s="55"/>
      <c r="D14" s="56"/>
      <c r="E14" s="67"/>
      <c r="F14" s="107"/>
      <c r="G14" s="107"/>
      <c r="H14" s="108"/>
      <c r="I14" s="98"/>
      <c r="J14" s="99"/>
      <c r="K14" s="110"/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10450</v>
      </c>
      <c r="G21" s="76">
        <f t="shared" si="1"/>
        <v>1800</v>
      </c>
      <c r="H21" s="76">
        <f t="shared" si="1"/>
        <v>7900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20150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81">
        <v>46185.0</v>
      </c>
      <c r="C4" s="18" t="s">
        <v>185</v>
      </c>
      <c r="D4" s="19">
        <v>123388.0</v>
      </c>
      <c r="E4" s="82" t="s">
        <v>186</v>
      </c>
      <c r="F4" s="83"/>
      <c r="G4" s="84"/>
      <c r="H4" s="83">
        <v>300.0</v>
      </c>
      <c r="I4" s="86"/>
      <c r="J4" s="87"/>
      <c r="K4" s="26"/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>
        <v>46185.0</v>
      </c>
      <c r="C5" s="18" t="s">
        <v>187</v>
      </c>
      <c r="D5" s="19">
        <v>123411.0</v>
      </c>
      <c r="E5" s="89" t="s">
        <v>188</v>
      </c>
      <c r="F5" s="83"/>
      <c r="G5" s="117"/>
      <c r="H5" s="118">
        <v>300.0</v>
      </c>
      <c r="I5" s="86"/>
      <c r="J5" s="116"/>
      <c r="K5" s="92"/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>
        <v>46186.0</v>
      </c>
      <c r="C6" s="43" t="s">
        <v>189</v>
      </c>
      <c r="D6" s="94">
        <v>123426.0</v>
      </c>
      <c r="E6" s="95" t="s">
        <v>190</v>
      </c>
      <c r="F6" s="96"/>
      <c r="G6" s="84"/>
      <c r="H6" s="119">
        <v>300.0</v>
      </c>
      <c r="I6" s="98"/>
      <c r="J6" s="104"/>
      <c r="K6" s="100"/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>
        <v>46186.0</v>
      </c>
      <c r="C7" s="43" t="s">
        <v>191</v>
      </c>
      <c r="D7" s="44">
        <v>83352.0</v>
      </c>
      <c r="E7" s="101" t="s">
        <v>93</v>
      </c>
      <c r="F7" s="96">
        <v>19700.0</v>
      </c>
      <c r="G7" s="96"/>
      <c r="H7" s="120"/>
      <c r="I7" s="98"/>
      <c r="J7" s="104"/>
      <c r="K7" s="100"/>
      <c r="L7" s="50"/>
      <c r="M7" s="105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>
        <v>46186.0</v>
      </c>
      <c r="C8" s="43" t="s">
        <v>192</v>
      </c>
      <c r="D8" s="44">
        <v>123388.0</v>
      </c>
      <c r="E8" s="101" t="s">
        <v>193</v>
      </c>
      <c r="F8" s="96"/>
      <c r="G8" s="96">
        <v>2950.0</v>
      </c>
      <c r="H8" s="120"/>
      <c r="I8" s="98"/>
      <c r="J8" s="104"/>
      <c r="K8" s="100"/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>
        <v>46186.0</v>
      </c>
      <c r="C9" s="43" t="s">
        <v>194</v>
      </c>
      <c r="D9" s="44">
        <v>47787.0</v>
      </c>
      <c r="E9" s="101" t="s">
        <v>28</v>
      </c>
      <c r="F9" s="96">
        <v>1490.0</v>
      </c>
      <c r="G9" s="96"/>
      <c r="H9" s="120"/>
      <c r="I9" s="98"/>
      <c r="J9" s="104"/>
      <c r="K9" s="100"/>
      <c r="L9" s="50"/>
      <c r="M9" s="105" t="s">
        <v>44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42">
        <v>46186.0</v>
      </c>
      <c r="C10" s="43" t="s">
        <v>195</v>
      </c>
      <c r="D10" s="44">
        <v>78835.0</v>
      </c>
      <c r="E10" s="101" t="s">
        <v>196</v>
      </c>
      <c r="F10" s="106"/>
      <c r="G10" s="107"/>
      <c r="H10" s="109">
        <v>5100.0</v>
      </c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0" t="s">
        <v>37</v>
      </c>
      <c r="B11" s="42"/>
      <c r="C11" s="43"/>
      <c r="D11" s="44"/>
      <c r="E11" s="101"/>
      <c r="F11" s="106"/>
      <c r="G11" s="107"/>
      <c r="H11" s="108"/>
      <c r="I11" s="98"/>
      <c r="J11" s="99"/>
      <c r="K11" s="100"/>
      <c r="L11" s="50"/>
      <c r="M11" s="105" t="s">
        <v>30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38</v>
      </c>
      <c r="B12" s="42"/>
      <c r="C12" s="43"/>
      <c r="D12" s="44"/>
      <c r="E12" s="101"/>
      <c r="F12" s="106"/>
      <c r="G12" s="107"/>
      <c r="H12" s="109"/>
      <c r="I12" s="98"/>
      <c r="J12" s="99"/>
      <c r="K12" s="100"/>
      <c r="L12" s="50"/>
      <c r="M12" s="105" t="s">
        <v>44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42"/>
      <c r="C13" s="43"/>
      <c r="D13" s="44"/>
      <c r="E13" s="101"/>
      <c r="F13" s="107"/>
      <c r="G13" s="107"/>
      <c r="H13" s="108"/>
      <c r="I13" s="98"/>
      <c r="J13" s="104"/>
      <c r="K13" s="100"/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0"/>
      <c r="B14" s="54"/>
      <c r="C14" s="55"/>
      <c r="D14" s="56"/>
      <c r="E14" s="67"/>
      <c r="F14" s="107"/>
      <c r="G14" s="107"/>
      <c r="H14" s="108"/>
      <c r="I14" s="98"/>
      <c r="J14" s="99"/>
      <c r="K14" s="110"/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21190</v>
      </c>
      <c r="G21" s="76">
        <f t="shared" si="1"/>
        <v>2950</v>
      </c>
      <c r="H21" s="76">
        <f t="shared" si="1"/>
        <v>6000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30140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1" t="s">
        <v>198</v>
      </c>
      <c r="C4" s="18" t="s">
        <v>199</v>
      </c>
      <c r="D4" s="19">
        <v>47787.0</v>
      </c>
      <c r="E4" s="82" t="s">
        <v>28</v>
      </c>
      <c r="F4" s="83">
        <v>10000.0</v>
      </c>
      <c r="G4" s="84"/>
      <c r="H4" s="83"/>
      <c r="I4" s="86"/>
      <c r="J4" s="87"/>
      <c r="K4" s="26" t="s">
        <v>29</v>
      </c>
      <c r="L4" s="88"/>
      <c r="M4" s="28" t="s">
        <v>30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81"/>
      <c r="C5" s="18"/>
      <c r="D5" s="19"/>
      <c r="E5" s="89"/>
      <c r="F5" s="83"/>
      <c r="G5" s="117"/>
      <c r="H5" s="118"/>
      <c r="I5" s="86"/>
      <c r="J5" s="116"/>
      <c r="K5" s="92"/>
      <c r="L5" s="88"/>
      <c r="M5" s="93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0" t="s">
        <v>23</v>
      </c>
      <c r="B6" s="42"/>
      <c r="C6" s="43"/>
      <c r="D6" s="94"/>
      <c r="E6" s="95"/>
      <c r="F6" s="96"/>
      <c r="G6" s="84"/>
      <c r="H6" s="119"/>
      <c r="I6" s="98"/>
      <c r="J6" s="104"/>
      <c r="K6" s="100"/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/>
      <c r="C7" s="43"/>
      <c r="D7" s="44"/>
      <c r="E7" s="101"/>
      <c r="F7" s="96"/>
      <c r="G7" s="96"/>
      <c r="H7" s="120"/>
      <c r="I7" s="98"/>
      <c r="J7" s="104"/>
      <c r="K7" s="100"/>
      <c r="L7" s="50"/>
      <c r="M7" s="105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0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100"/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/>
      <c r="L9" s="50"/>
      <c r="M9" s="105" t="s">
        <v>44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42"/>
      <c r="C10" s="43"/>
      <c r="D10" s="44"/>
      <c r="E10" s="101"/>
      <c r="F10" s="106"/>
      <c r="G10" s="107"/>
      <c r="H10" s="109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0" t="s">
        <v>37</v>
      </c>
      <c r="B11" s="42"/>
      <c r="C11" s="43"/>
      <c r="D11" s="44"/>
      <c r="E11" s="101"/>
      <c r="F11" s="106"/>
      <c r="G11" s="107"/>
      <c r="H11" s="108"/>
      <c r="I11" s="98"/>
      <c r="J11" s="99"/>
      <c r="K11" s="100"/>
      <c r="L11" s="50"/>
      <c r="M11" s="105" t="s">
        <v>30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38</v>
      </c>
      <c r="B12" s="42"/>
      <c r="C12" s="43"/>
      <c r="D12" s="44"/>
      <c r="E12" s="101"/>
      <c r="F12" s="106"/>
      <c r="G12" s="107"/>
      <c r="H12" s="109"/>
      <c r="I12" s="98"/>
      <c r="J12" s="99"/>
      <c r="K12" s="100"/>
      <c r="L12" s="50"/>
      <c r="M12" s="105" t="s">
        <v>44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39</v>
      </c>
      <c r="B13" s="42"/>
      <c r="C13" s="43"/>
      <c r="D13" s="44"/>
      <c r="E13" s="101"/>
      <c r="F13" s="107"/>
      <c r="G13" s="107"/>
      <c r="H13" s="108"/>
      <c r="I13" s="98"/>
      <c r="J13" s="104"/>
      <c r="K13" s="100"/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0"/>
      <c r="B14" s="54"/>
      <c r="C14" s="55"/>
      <c r="D14" s="56"/>
      <c r="E14" s="67"/>
      <c r="F14" s="107"/>
      <c r="G14" s="107"/>
      <c r="H14" s="108"/>
      <c r="I14" s="98"/>
      <c r="J14" s="99"/>
      <c r="K14" s="110"/>
      <c r="L14" s="50"/>
      <c r="M14" s="11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54"/>
      <c r="C15" s="55"/>
      <c r="D15" s="56"/>
      <c r="E15" s="67"/>
      <c r="F15" s="107"/>
      <c r="G15" s="107"/>
      <c r="H15" s="108"/>
      <c r="I15" s="98"/>
      <c r="J15" s="99"/>
      <c r="K15" s="110" t="s">
        <v>18</v>
      </c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55"/>
      <c r="D19" s="56"/>
      <c r="E19" s="67"/>
      <c r="F19" s="107"/>
      <c r="G19" s="107"/>
      <c r="H19" s="108"/>
      <c r="I19" s="98"/>
      <c r="J19" s="99"/>
      <c r="K19" s="110"/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12"/>
      <c r="G20" s="107"/>
      <c r="H20" s="113"/>
      <c r="I20" s="98"/>
      <c r="J20" s="114"/>
      <c r="K20" s="115"/>
      <c r="L20" s="65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5"/>
      <c r="B21" s="2"/>
      <c r="C21" s="2"/>
      <c r="D21" s="2"/>
      <c r="E21" s="3"/>
      <c r="F21" s="76">
        <f t="shared" ref="F21:J21" si="1">SUM(F4:F20)</f>
        <v>10000</v>
      </c>
      <c r="G21" s="76">
        <f t="shared" si="1"/>
        <v>0</v>
      </c>
      <c r="H21" s="76">
        <f t="shared" si="1"/>
        <v>0</v>
      </c>
      <c r="I21" s="76">
        <f t="shared" si="1"/>
        <v>0</v>
      </c>
      <c r="J21" s="76">
        <f t="shared" si="1"/>
        <v>0</v>
      </c>
      <c r="K21" s="77"/>
      <c r="L21" s="77"/>
      <c r="M21" s="78"/>
    </row>
    <row r="22" ht="48.0" customHeight="1">
      <c r="F22" s="79">
        <f>F21+G21+H21+I21+J21</f>
        <v>10000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46187.0</v>
      </c>
      <c r="C4" s="18" t="s">
        <v>201</v>
      </c>
      <c r="D4" s="19">
        <v>48306.0</v>
      </c>
      <c r="E4" s="82" t="s">
        <v>202</v>
      </c>
      <c r="F4" s="83"/>
      <c r="G4" s="117">
        <v>2500.0</v>
      </c>
      <c r="H4" s="83"/>
      <c r="I4" s="86"/>
      <c r="J4" s="87"/>
      <c r="K4" s="26" t="s">
        <v>29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80"/>
      <c r="B5" s="122">
        <v>46187.0</v>
      </c>
      <c r="C5" s="18" t="s">
        <v>203</v>
      </c>
      <c r="D5" s="19">
        <v>48306.0</v>
      </c>
      <c r="E5" s="82" t="s">
        <v>202</v>
      </c>
      <c r="F5" s="83"/>
      <c r="G5" s="117">
        <v>1440.0</v>
      </c>
      <c r="H5" s="83"/>
      <c r="I5" s="86"/>
      <c r="J5" s="87"/>
      <c r="K5" s="26"/>
      <c r="L5" s="88"/>
      <c r="M5" s="2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20</v>
      </c>
      <c r="B6" s="81">
        <v>46188.0</v>
      </c>
      <c r="C6" s="18" t="s">
        <v>204</v>
      </c>
      <c r="D6" s="19">
        <v>10250.0</v>
      </c>
      <c r="E6" s="89" t="s">
        <v>205</v>
      </c>
      <c r="F6" s="83">
        <v>20500.0</v>
      </c>
      <c r="G6" s="117"/>
      <c r="H6" s="118"/>
      <c r="I6" s="86"/>
      <c r="J6" s="116"/>
      <c r="K6" s="92"/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23</v>
      </c>
      <c r="B7" s="42">
        <v>46188.0</v>
      </c>
      <c r="C7" s="43" t="s">
        <v>206</v>
      </c>
      <c r="D7" s="94">
        <v>10006.0</v>
      </c>
      <c r="E7" s="95" t="s">
        <v>66</v>
      </c>
      <c r="F7" s="96">
        <v>5100.0</v>
      </c>
      <c r="G7" s="84"/>
      <c r="H7" s="119"/>
      <c r="I7" s="98"/>
      <c r="J7" s="104"/>
      <c r="K7" s="100"/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26</v>
      </c>
      <c r="B8" s="42">
        <v>46188.0</v>
      </c>
      <c r="C8" s="43" t="s">
        <v>207</v>
      </c>
      <c r="D8" s="44">
        <v>51017.0</v>
      </c>
      <c r="E8" s="101" t="s">
        <v>52</v>
      </c>
      <c r="F8" s="96">
        <v>10000.0</v>
      </c>
      <c r="G8" s="96"/>
      <c r="H8" s="120"/>
      <c r="I8" s="98"/>
      <c r="J8" s="104"/>
      <c r="K8" s="100"/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0" t="s">
        <v>31</v>
      </c>
      <c r="B9" s="42">
        <v>46188.0</v>
      </c>
      <c r="C9" s="43" t="s">
        <v>208</v>
      </c>
      <c r="D9" s="44">
        <v>117981.0</v>
      </c>
      <c r="E9" s="101" t="s">
        <v>209</v>
      </c>
      <c r="F9" s="96">
        <v>2500.0</v>
      </c>
      <c r="G9" s="96"/>
      <c r="H9" s="120"/>
      <c r="I9" s="98"/>
      <c r="J9" s="104"/>
      <c r="K9" s="100"/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34</v>
      </c>
      <c r="B10" s="42">
        <v>46188.0</v>
      </c>
      <c r="C10" s="43" t="s">
        <v>210</v>
      </c>
      <c r="D10" s="44">
        <v>47787.0</v>
      </c>
      <c r="E10" s="101" t="s">
        <v>28</v>
      </c>
      <c r="F10" s="96">
        <v>10000.0</v>
      </c>
      <c r="G10" s="96"/>
      <c r="H10" s="120"/>
      <c r="I10" s="98"/>
      <c r="J10" s="104"/>
      <c r="K10" s="100"/>
      <c r="L10" s="50"/>
      <c r="M10" s="105" t="s">
        <v>30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36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0" t="s">
        <v>37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 t="s">
        <v>30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38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 t="s">
        <v>44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39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48100</v>
      </c>
      <c r="G22" s="76">
        <f t="shared" si="1"/>
        <v>3940</v>
      </c>
      <c r="H22" s="76">
        <f t="shared" si="1"/>
        <v>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52040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46189.0</v>
      </c>
      <c r="C4" s="18" t="s">
        <v>212</v>
      </c>
      <c r="D4" s="19">
        <v>80066.0</v>
      </c>
      <c r="E4" s="82" t="s">
        <v>213</v>
      </c>
      <c r="F4" s="83"/>
      <c r="G4" s="117"/>
      <c r="H4" s="83">
        <v>5100.0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80"/>
      <c r="B5" s="122"/>
      <c r="C5" s="18"/>
      <c r="D5" s="19"/>
      <c r="E5" s="82"/>
      <c r="F5" s="83"/>
      <c r="G5" s="117"/>
      <c r="H5" s="83"/>
      <c r="I5" s="86"/>
      <c r="J5" s="87"/>
      <c r="K5" s="26"/>
      <c r="L5" s="88"/>
      <c r="M5" s="2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20</v>
      </c>
      <c r="B6" s="81"/>
      <c r="C6" s="18"/>
      <c r="D6" s="19"/>
      <c r="E6" s="89"/>
      <c r="F6" s="83"/>
      <c r="G6" s="117"/>
      <c r="H6" s="118"/>
      <c r="I6" s="86"/>
      <c r="J6" s="116"/>
      <c r="K6" s="92"/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23</v>
      </c>
      <c r="B7" s="42"/>
      <c r="C7" s="43"/>
      <c r="D7" s="94"/>
      <c r="E7" s="95"/>
      <c r="F7" s="96"/>
      <c r="G7" s="84"/>
      <c r="H7" s="119"/>
      <c r="I7" s="98"/>
      <c r="J7" s="104"/>
      <c r="K7" s="100"/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26</v>
      </c>
      <c r="B8" s="42"/>
      <c r="C8" s="43"/>
      <c r="D8" s="44"/>
      <c r="E8" s="101"/>
      <c r="F8" s="96"/>
      <c r="G8" s="96"/>
      <c r="H8" s="120"/>
      <c r="I8" s="98"/>
      <c r="J8" s="104"/>
      <c r="K8" s="100"/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0" t="s">
        <v>31</v>
      </c>
      <c r="B9" s="42"/>
      <c r="C9" s="43"/>
      <c r="D9" s="44"/>
      <c r="E9" s="101"/>
      <c r="F9" s="96"/>
      <c r="G9" s="96"/>
      <c r="H9" s="120"/>
      <c r="I9" s="98"/>
      <c r="J9" s="104"/>
      <c r="K9" s="100"/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34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 t="s">
        <v>30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36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0" t="s">
        <v>37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 t="s">
        <v>30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38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 t="s">
        <v>44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39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0</v>
      </c>
      <c r="G22" s="76">
        <f t="shared" si="1"/>
        <v>0</v>
      </c>
      <c r="H22" s="76">
        <f t="shared" si="1"/>
        <v>5100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5100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46189.0</v>
      </c>
      <c r="C4" s="18" t="s">
        <v>215</v>
      </c>
      <c r="D4" s="19">
        <v>36555.0</v>
      </c>
      <c r="E4" s="82" t="s">
        <v>216</v>
      </c>
      <c r="F4" s="83"/>
      <c r="G4" s="117">
        <v>1400.0</v>
      </c>
      <c r="H4" s="83"/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46189.0</v>
      </c>
      <c r="C5" s="18" t="s">
        <v>217</v>
      </c>
      <c r="D5" s="19">
        <v>42095.0</v>
      </c>
      <c r="E5" s="82" t="s">
        <v>218</v>
      </c>
      <c r="F5" s="83"/>
      <c r="G5" s="117"/>
      <c r="H5" s="83">
        <v>300.0</v>
      </c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46190.0</v>
      </c>
      <c r="C6" s="18" t="s">
        <v>219</v>
      </c>
      <c r="D6" s="19">
        <v>47787.0</v>
      </c>
      <c r="E6" s="89" t="s">
        <v>28</v>
      </c>
      <c r="F6" s="83">
        <v>10000.0</v>
      </c>
      <c r="G6" s="117"/>
      <c r="H6" s="118"/>
      <c r="I6" s="86"/>
      <c r="J6" s="116"/>
      <c r="K6" s="92" t="s">
        <v>29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/>
      <c r="C7" s="43"/>
      <c r="D7" s="94"/>
      <c r="E7" s="95"/>
      <c r="F7" s="96"/>
      <c r="G7" s="84"/>
      <c r="H7" s="119"/>
      <c r="I7" s="98"/>
      <c r="J7" s="104"/>
      <c r="K7" s="100"/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100"/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/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 t="s">
        <v>30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 t="s">
        <v>30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 t="s">
        <v>44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10000</v>
      </c>
      <c r="G22" s="76">
        <f t="shared" si="1"/>
        <v>1400</v>
      </c>
      <c r="H22" s="76">
        <f t="shared" si="1"/>
        <v>300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11700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46191.0</v>
      </c>
      <c r="C4" s="18" t="s">
        <v>221</v>
      </c>
      <c r="D4" s="19">
        <v>21828.0</v>
      </c>
      <c r="E4" s="82" t="s">
        <v>97</v>
      </c>
      <c r="F4" s="83">
        <v>1000.0</v>
      </c>
      <c r="G4" s="117"/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46191.0</v>
      </c>
      <c r="C5" s="18" t="s">
        <v>222</v>
      </c>
      <c r="D5" s="19">
        <v>77283.0</v>
      </c>
      <c r="E5" s="82" t="s">
        <v>223</v>
      </c>
      <c r="F5" s="83"/>
      <c r="G5" s="117"/>
      <c r="H5" s="83">
        <v>5100.0</v>
      </c>
      <c r="I5" s="86"/>
      <c r="J5" s="87"/>
      <c r="K5" s="26" t="s">
        <v>18</v>
      </c>
      <c r="L5" s="88"/>
      <c r="M5" s="2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46191.0</v>
      </c>
      <c r="C6" s="18" t="s">
        <v>224</v>
      </c>
      <c r="D6" s="19">
        <v>35220.0</v>
      </c>
      <c r="E6" s="89" t="s">
        <v>225</v>
      </c>
      <c r="F6" s="83"/>
      <c r="G6" s="117">
        <v>5000.0</v>
      </c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46191.0</v>
      </c>
      <c r="C7" s="43" t="s">
        <v>226</v>
      </c>
      <c r="D7" s="94">
        <v>83352.0</v>
      </c>
      <c r="E7" s="95" t="s">
        <v>93</v>
      </c>
      <c r="F7" s="96">
        <v>25000.0</v>
      </c>
      <c r="G7" s="84"/>
      <c r="H7" s="119"/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46191.0</v>
      </c>
      <c r="C8" s="43" t="s">
        <v>227</v>
      </c>
      <c r="D8" s="44">
        <v>43380.0</v>
      </c>
      <c r="E8" s="101" t="s">
        <v>127</v>
      </c>
      <c r="F8" s="96">
        <v>24000.0</v>
      </c>
      <c r="G8" s="96"/>
      <c r="H8" s="120"/>
      <c r="I8" s="98"/>
      <c r="J8" s="104"/>
      <c r="K8" s="26" t="s">
        <v>18</v>
      </c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/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 t="s">
        <v>30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 t="s">
        <v>30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 t="s">
        <v>44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50000</v>
      </c>
      <c r="G22" s="76">
        <f t="shared" si="1"/>
        <v>5000</v>
      </c>
      <c r="H22" s="76">
        <f t="shared" si="1"/>
        <v>5100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60100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46191.0</v>
      </c>
      <c r="C4" s="18" t="s">
        <v>229</v>
      </c>
      <c r="D4" s="19">
        <v>100797.0</v>
      </c>
      <c r="E4" s="82" t="s">
        <v>230</v>
      </c>
      <c r="F4" s="83"/>
      <c r="G4" s="117"/>
      <c r="H4" s="83">
        <v>2600.0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46191.0</v>
      </c>
      <c r="C5" s="18" t="s">
        <v>231</v>
      </c>
      <c r="D5" s="19">
        <v>123478.0</v>
      </c>
      <c r="E5" s="82" t="s">
        <v>232</v>
      </c>
      <c r="F5" s="83"/>
      <c r="G5" s="117"/>
      <c r="H5" s="83">
        <v>2400.0</v>
      </c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46192.0</v>
      </c>
      <c r="C6" s="18" t="s">
        <v>233</v>
      </c>
      <c r="D6" s="19">
        <v>52669.0</v>
      </c>
      <c r="E6" s="89" t="s">
        <v>50</v>
      </c>
      <c r="F6" s="83">
        <v>50200.0</v>
      </c>
      <c r="G6" s="117"/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46192.0</v>
      </c>
      <c r="C7" s="43" t="s">
        <v>234</v>
      </c>
      <c r="D7" s="94">
        <v>47787.0</v>
      </c>
      <c r="E7" s="95" t="s">
        <v>28</v>
      </c>
      <c r="F7" s="96">
        <v>10000.0</v>
      </c>
      <c r="G7" s="84"/>
      <c r="H7" s="119"/>
      <c r="I7" s="98"/>
      <c r="J7" s="104"/>
      <c r="K7" s="26" t="s">
        <v>54</v>
      </c>
      <c r="L7" s="88"/>
      <c r="M7" s="93" t="s">
        <v>30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46192.0</v>
      </c>
      <c r="C8" s="43" t="s">
        <v>235</v>
      </c>
      <c r="D8" s="44">
        <v>47787.0</v>
      </c>
      <c r="E8" s="101" t="s">
        <v>28</v>
      </c>
      <c r="F8" s="96">
        <v>500.0</v>
      </c>
      <c r="G8" s="96"/>
      <c r="H8" s="120"/>
      <c r="I8" s="98"/>
      <c r="J8" s="104"/>
      <c r="K8" s="26" t="s">
        <v>54</v>
      </c>
      <c r="L8" s="50"/>
      <c r="M8" s="105" t="s">
        <v>30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>
        <v>46192.0</v>
      </c>
      <c r="C9" s="43" t="s">
        <v>236</v>
      </c>
      <c r="D9" s="44">
        <v>51017.0</v>
      </c>
      <c r="E9" s="101" t="s">
        <v>52</v>
      </c>
      <c r="F9" s="96">
        <v>9500.0</v>
      </c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70200</v>
      </c>
      <c r="G22" s="76">
        <f t="shared" si="1"/>
        <v>0</v>
      </c>
      <c r="H22" s="76">
        <f t="shared" si="1"/>
        <v>5000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75200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46193.0</v>
      </c>
      <c r="C4" s="18" t="s">
        <v>238</v>
      </c>
      <c r="D4" s="19">
        <v>124234.0</v>
      </c>
      <c r="E4" s="82" t="s">
        <v>239</v>
      </c>
      <c r="F4" s="83"/>
      <c r="G4" s="117"/>
      <c r="H4" s="83">
        <v>300.0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46194.0</v>
      </c>
      <c r="C5" s="18" t="s">
        <v>240</v>
      </c>
      <c r="D5" s="19">
        <v>48480.0</v>
      </c>
      <c r="E5" s="82" t="s">
        <v>241</v>
      </c>
      <c r="F5" s="83"/>
      <c r="G5" s="117">
        <v>100.0</v>
      </c>
      <c r="H5" s="83"/>
      <c r="I5" s="86"/>
      <c r="J5" s="87"/>
      <c r="K5" s="26" t="s">
        <v>29</v>
      </c>
      <c r="L5" s="88"/>
      <c r="M5" s="28" t="s">
        <v>30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46194.0</v>
      </c>
      <c r="C6" s="18" t="s">
        <v>242</v>
      </c>
      <c r="D6" s="19">
        <v>124325.0</v>
      </c>
      <c r="E6" s="89" t="s">
        <v>243</v>
      </c>
      <c r="F6" s="83"/>
      <c r="G6" s="117">
        <v>290.0</v>
      </c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46194.0</v>
      </c>
      <c r="C7" s="43" t="s">
        <v>244</v>
      </c>
      <c r="D7" s="94">
        <v>78679.0</v>
      </c>
      <c r="E7" s="95" t="s">
        <v>245</v>
      </c>
      <c r="F7" s="96">
        <v>5100.0</v>
      </c>
      <c r="G7" s="84"/>
      <c r="H7" s="119"/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26" t="s">
        <v>18</v>
      </c>
      <c r="L8" s="50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 t="s">
        <v>18</v>
      </c>
      <c r="L9" s="50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5100</v>
      </c>
      <c r="G22" s="76">
        <f t="shared" si="1"/>
        <v>390</v>
      </c>
      <c r="H22" s="76">
        <f t="shared" si="1"/>
        <v>300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5790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46194.0</v>
      </c>
      <c r="C4" s="18" t="s">
        <v>247</v>
      </c>
      <c r="D4" s="19">
        <v>87601.0</v>
      </c>
      <c r="E4" s="82" t="s">
        <v>248</v>
      </c>
      <c r="F4" s="83"/>
      <c r="G4" s="117"/>
      <c r="H4" s="83">
        <v>5100.0</v>
      </c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46195.0</v>
      </c>
      <c r="C5" s="18" t="s">
        <v>249</v>
      </c>
      <c r="D5" s="19">
        <v>50222.0</v>
      </c>
      <c r="E5" s="82" t="s">
        <v>250</v>
      </c>
      <c r="F5" s="83">
        <v>15000.0</v>
      </c>
      <c r="G5" s="117"/>
      <c r="H5" s="83"/>
      <c r="I5" s="86"/>
      <c r="J5" s="87"/>
      <c r="K5" s="26" t="s">
        <v>29</v>
      </c>
      <c r="L5" s="88"/>
      <c r="M5" s="2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46195.0</v>
      </c>
      <c r="C6" s="18" t="s">
        <v>251</v>
      </c>
      <c r="D6" s="19">
        <v>68360.0</v>
      </c>
      <c r="E6" s="89" t="s">
        <v>252</v>
      </c>
      <c r="F6" s="83">
        <v>1450.0</v>
      </c>
      <c r="G6" s="117"/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46195.0</v>
      </c>
      <c r="C7" s="43" t="s">
        <v>253</v>
      </c>
      <c r="D7" s="94">
        <v>47787.0</v>
      </c>
      <c r="E7" s="95" t="s">
        <v>28</v>
      </c>
      <c r="F7" s="96">
        <v>10000.0</v>
      </c>
      <c r="G7" s="84"/>
      <c r="H7" s="119"/>
      <c r="I7" s="98"/>
      <c r="J7" s="104"/>
      <c r="K7" s="26" t="s">
        <v>18</v>
      </c>
      <c r="L7" s="88"/>
      <c r="M7" s="93" t="s">
        <v>30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46195.0</v>
      </c>
      <c r="C8" s="43" t="s">
        <v>254</v>
      </c>
      <c r="D8" s="44">
        <v>50342.0</v>
      </c>
      <c r="E8" s="101" t="s">
        <v>84</v>
      </c>
      <c r="F8" s="96">
        <v>5000.0</v>
      </c>
      <c r="G8" s="96"/>
      <c r="H8" s="120"/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>
        <v>46195.0</v>
      </c>
      <c r="C9" s="43" t="s">
        <v>255</v>
      </c>
      <c r="D9" s="44">
        <v>119912.0</v>
      </c>
      <c r="E9" s="101" t="s">
        <v>256</v>
      </c>
      <c r="F9" s="96">
        <v>2500.0</v>
      </c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33950</v>
      </c>
      <c r="G22" s="76">
        <f t="shared" si="1"/>
        <v>0</v>
      </c>
      <c r="H22" s="76">
        <f t="shared" si="1"/>
        <v>5100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39050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46196.0</v>
      </c>
      <c r="C4" s="18" t="s">
        <v>258</v>
      </c>
      <c r="D4" s="19">
        <v>21828.0</v>
      </c>
      <c r="E4" s="82" t="s">
        <v>97</v>
      </c>
      <c r="F4" s="83"/>
      <c r="G4" s="117">
        <v>32500.0</v>
      </c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46196.0</v>
      </c>
      <c r="C5" s="18" t="s">
        <v>259</v>
      </c>
      <c r="D5" s="19">
        <v>51782.0</v>
      </c>
      <c r="E5" s="82" t="s">
        <v>260</v>
      </c>
      <c r="F5" s="83">
        <v>2950.0</v>
      </c>
      <c r="G5" s="117"/>
      <c r="H5" s="83"/>
      <c r="I5" s="86"/>
      <c r="J5" s="87"/>
      <c r="K5" s="26" t="s">
        <v>29</v>
      </c>
      <c r="L5" s="88"/>
      <c r="M5" s="28" t="s">
        <v>30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46196.0</v>
      </c>
      <c r="C6" s="18" t="s">
        <v>261</v>
      </c>
      <c r="D6" s="19">
        <v>25541.0</v>
      </c>
      <c r="E6" s="89" t="s">
        <v>262</v>
      </c>
      <c r="F6" s="83">
        <v>4500.0</v>
      </c>
      <c r="G6" s="117"/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46196.0</v>
      </c>
      <c r="C7" s="43" t="s">
        <v>263</v>
      </c>
      <c r="D7" s="94">
        <v>25541.0</v>
      </c>
      <c r="E7" s="95" t="s">
        <v>262</v>
      </c>
      <c r="F7" s="96">
        <v>5140.0</v>
      </c>
      <c r="G7" s="84"/>
      <c r="H7" s="119"/>
      <c r="I7" s="98"/>
      <c r="J7" s="104"/>
      <c r="K7" s="26" t="s">
        <v>18</v>
      </c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12590</v>
      </c>
      <c r="G22" s="76">
        <f t="shared" si="1"/>
        <v>32500</v>
      </c>
      <c r="H22" s="76">
        <f t="shared" si="1"/>
        <v>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45090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46196.0</v>
      </c>
      <c r="C4" s="18" t="s">
        <v>265</v>
      </c>
      <c r="D4" s="19">
        <v>124531.0</v>
      </c>
      <c r="E4" s="82" t="s">
        <v>266</v>
      </c>
      <c r="F4" s="83"/>
      <c r="G4" s="117"/>
      <c r="H4" s="83">
        <v>300.0</v>
      </c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46196.0</v>
      </c>
      <c r="C5" s="18" t="s">
        <v>267</v>
      </c>
      <c r="D5" s="19">
        <v>124531.0</v>
      </c>
      <c r="E5" s="82" t="s">
        <v>266</v>
      </c>
      <c r="F5" s="83"/>
      <c r="G5" s="117">
        <v>2950.0</v>
      </c>
      <c r="H5" s="83"/>
      <c r="I5" s="86"/>
      <c r="J5" s="87"/>
      <c r="K5" s="26" t="s">
        <v>18</v>
      </c>
      <c r="L5" s="88"/>
      <c r="M5" s="2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46197.0</v>
      </c>
      <c r="C6" s="18" t="s">
        <v>268</v>
      </c>
      <c r="D6" s="19">
        <v>119912.0</v>
      </c>
      <c r="E6" s="89" t="s">
        <v>256</v>
      </c>
      <c r="F6" s="83">
        <v>5800.0</v>
      </c>
      <c r="G6" s="117"/>
      <c r="H6" s="118"/>
      <c r="I6" s="86"/>
      <c r="J6" s="116"/>
      <c r="K6" s="26" t="s">
        <v>18</v>
      </c>
      <c r="L6" s="88"/>
      <c r="M6" s="93" t="s">
        <v>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46197.0</v>
      </c>
      <c r="C7" s="43" t="s">
        <v>269</v>
      </c>
      <c r="D7" s="94">
        <v>77658.0</v>
      </c>
      <c r="E7" s="95" t="s">
        <v>270</v>
      </c>
      <c r="F7" s="96">
        <v>25050.0</v>
      </c>
      <c r="G7" s="84"/>
      <c r="H7" s="119"/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/>
      <c r="B8" s="42"/>
      <c r="C8" s="43"/>
      <c r="D8" s="44"/>
      <c r="E8" s="101"/>
      <c r="F8" s="96"/>
      <c r="G8" s="96"/>
      <c r="H8" s="120"/>
      <c r="I8" s="98"/>
      <c r="J8" s="104"/>
      <c r="K8" s="26"/>
      <c r="L8" s="50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/>
      <c r="B9" s="42"/>
      <c r="C9" s="43"/>
      <c r="D9" s="44"/>
      <c r="E9" s="101"/>
      <c r="F9" s="96"/>
      <c r="G9" s="96"/>
      <c r="H9" s="120"/>
      <c r="I9" s="98"/>
      <c r="J9" s="104"/>
      <c r="K9" s="100"/>
      <c r="L9" s="50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80"/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/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80"/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/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/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30850</v>
      </c>
      <c r="G22" s="76">
        <f t="shared" si="1"/>
        <v>2950</v>
      </c>
      <c r="H22" s="76">
        <f t="shared" si="1"/>
        <v>300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34100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46198.0</v>
      </c>
      <c r="C4" s="18" t="s">
        <v>272</v>
      </c>
      <c r="D4" s="19">
        <v>10250.0</v>
      </c>
      <c r="E4" s="82" t="s">
        <v>205</v>
      </c>
      <c r="F4" s="83">
        <v>19500.0</v>
      </c>
      <c r="G4" s="117"/>
      <c r="H4" s="83"/>
      <c r="I4" s="86"/>
      <c r="J4" s="87"/>
      <c r="K4" s="26" t="s">
        <v>29</v>
      </c>
      <c r="L4" s="88"/>
      <c r="M4" s="28" t="s">
        <v>30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46198.0</v>
      </c>
      <c r="C5" s="18" t="s">
        <v>273</v>
      </c>
      <c r="D5" s="19">
        <v>47787.0</v>
      </c>
      <c r="E5" s="82" t="s">
        <v>28</v>
      </c>
      <c r="F5" s="83">
        <v>10000.0</v>
      </c>
      <c r="G5" s="117"/>
      <c r="H5" s="83"/>
      <c r="I5" s="86"/>
      <c r="J5" s="87"/>
      <c r="K5" s="26" t="s">
        <v>29</v>
      </c>
      <c r="L5" s="88"/>
      <c r="M5" s="28" t="s">
        <v>30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46198.0</v>
      </c>
      <c r="C6" s="18" t="s">
        <v>274</v>
      </c>
      <c r="D6" s="19">
        <v>50596.0</v>
      </c>
      <c r="E6" s="89" t="s">
        <v>62</v>
      </c>
      <c r="F6" s="83">
        <v>2700.0</v>
      </c>
      <c r="G6" s="117"/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46198.0</v>
      </c>
      <c r="C7" s="43" t="s">
        <v>275</v>
      </c>
      <c r="D7" s="94">
        <v>35245.0</v>
      </c>
      <c r="E7" s="95" t="s">
        <v>276</v>
      </c>
      <c r="F7" s="96">
        <v>4600.0</v>
      </c>
      <c r="G7" s="84"/>
      <c r="H7" s="119"/>
      <c r="I7" s="98"/>
      <c r="J7" s="104"/>
      <c r="K7" s="26" t="s">
        <v>18</v>
      </c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46198.0</v>
      </c>
      <c r="C8" s="43" t="s">
        <v>277</v>
      </c>
      <c r="D8" s="44">
        <v>81107.0</v>
      </c>
      <c r="E8" s="101" t="s">
        <v>278</v>
      </c>
      <c r="F8" s="96"/>
      <c r="G8" s="96"/>
      <c r="H8" s="120">
        <v>2400.0</v>
      </c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>
        <v>46198.0</v>
      </c>
      <c r="C9" s="43" t="s">
        <v>279</v>
      </c>
      <c r="D9" s="44">
        <v>34941.0</v>
      </c>
      <c r="E9" s="101" t="s">
        <v>280</v>
      </c>
      <c r="F9" s="96"/>
      <c r="G9" s="96">
        <v>50.0</v>
      </c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24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23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24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 t="s">
        <v>45</v>
      </c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23" t="s">
        <v>46</v>
      </c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4" t="s">
        <v>47</v>
      </c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36800</v>
      </c>
      <c r="G22" s="76">
        <f t="shared" si="1"/>
        <v>50</v>
      </c>
      <c r="H22" s="76">
        <f t="shared" si="1"/>
        <v>2400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39250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46199.0</v>
      </c>
      <c r="C4" s="18" t="s">
        <v>282</v>
      </c>
      <c r="D4" s="19">
        <v>42278.0</v>
      </c>
      <c r="E4" s="82" t="s">
        <v>116</v>
      </c>
      <c r="F4" s="83"/>
      <c r="G4" s="117"/>
      <c r="H4" s="83">
        <v>300.0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46199.0</v>
      </c>
      <c r="C5" s="18" t="s">
        <v>283</v>
      </c>
      <c r="D5" s="19">
        <v>124871.0</v>
      </c>
      <c r="E5" s="82" t="s">
        <v>284</v>
      </c>
      <c r="F5" s="83"/>
      <c r="G5" s="117"/>
      <c r="H5" s="83">
        <v>4500.0</v>
      </c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46199.0</v>
      </c>
      <c r="C6" s="18" t="s">
        <v>285</v>
      </c>
      <c r="D6" s="19">
        <v>42278.0</v>
      </c>
      <c r="E6" s="89" t="s">
        <v>116</v>
      </c>
      <c r="F6" s="83"/>
      <c r="G6" s="117">
        <v>8000.0</v>
      </c>
      <c r="H6" s="118"/>
      <c r="I6" s="86"/>
      <c r="J6" s="116"/>
      <c r="K6" s="26" t="s">
        <v>18</v>
      </c>
      <c r="L6" s="88"/>
      <c r="M6" s="93" t="s">
        <v>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46199.0</v>
      </c>
      <c r="C7" s="43" t="s">
        <v>286</v>
      </c>
      <c r="D7" s="94">
        <v>124875.0</v>
      </c>
      <c r="E7" s="95" t="s">
        <v>287</v>
      </c>
      <c r="F7" s="96"/>
      <c r="G7" s="117">
        <v>8000.0</v>
      </c>
      <c r="H7" s="119"/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24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23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24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 t="s">
        <v>45</v>
      </c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23" t="s">
        <v>46</v>
      </c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4" t="s">
        <v>47</v>
      </c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0</v>
      </c>
      <c r="G22" s="76">
        <f t="shared" si="1"/>
        <v>16000</v>
      </c>
      <c r="H22" s="76">
        <f t="shared" si="1"/>
        <v>4800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20800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46199.0</v>
      </c>
      <c r="C4" s="18" t="s">
        <v>289</v>
      </c>
      <c r="D4" s="19">
        <v>21818.0</v>
      </c>
      <c r="E4" s="82" t="s">
        <v>290</v>
      </c>
      <c r="F4" s="83"/>
      <c r="G4" s="117">
        <v>300.0</v>
      </c>
      <c r="H4" s="83"/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46199.0</v>
      </c>
      <c r="C5" s="18" t="s">
        <v>291</v>
      </c>
      <c r="D5" s="19">
        <v>10006.0</v>
      </c>
      <c r="E5" s="82" t="s">
        <v>66</v>
      </c>
      <c r="F5" s="83">
        <v>900.0</v>
      </c>
      <c r="G5" s="117"/>
      <c r="H5" s="83"/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46199.0</v>
      </c>
      <c r="C6" s="18" t="s">
        <v>292</v>
      </c>
      <c r="D6" s="19">
        <v>123411.0</v>
      </c>
      <c r="E6" s="89" t="s">
        <v>188</v>
      </c>
      <c r="F6" s="83"/>
      <c r="G6" s="117">
        <v>2950.0</v>
      </c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46200.0</v>
      </c>
      <c r="C7" s="43" t="s">
        <v>293</v>
      </c>
      <c r="D7" s="94">
        <v>43380.0</v>
      </c>
      <c r="E7" s="95" t="s">
        <v>127</v>
      </c>
      <c r="F7" s="96">
        <v>25050.0</v>
      </c>
      <c r="G7" s="117"/>
      <c r="H7" s="119"/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46200.0</v>
      </c>
      <c r="C8" s="43" t="s">
        <v>294</v>
      </c>
      <c r="D8" s="44">
        <v>111005.0</v>
      </c>
      <c r="E8" s="101" t="s">
        <v>295</v>
      </c>
      <c r="F8" s="96"/>
      <c r="G8" s="96">
        <v>2400.0</v>
      </c>
      <c r="H8" s="120"/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>
        <v>46200.0</v>
      </c>
      <c r="C9" s="43" t="s">
        <v>296</v>
      </c>
      <c r="D9" s="44">
        <v>105021.0</v>
      </c>
      <c r="E9" s="101" t="s">
        <v>297</v>
      </c>
      <c r="F9" s="96"/>
      <c r="G9" s="96"/>
      <c r="H9" s="120">
        <v>1200.0</v>
      </c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24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23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24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 t="s">
        <v>45</v>
      </c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23" t="s">
        <v>46</v>
      </c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4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25950</v>
      </c>
      <c r="G22" s="76">
        <f t="shared" si="1"/>
        <v>5650</v>
      </c>
      <c r="H22" s="76">
        <f t="shared" si="1"/>
        <v>1200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32800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46201.0</v>
      </c>
      <c r="C4" s="18" t="s">
        <v>299</v>
      </c>
      <c r="D4" s="19">
        <v>125100.0</v>
      </c>
      <c r="E4" s="82" t="s">
        <v>300</v>
      </c>
      <c r="F4" s="83"/>
      <c r="G4" s="117"/>
      <c r="H4" s="83">
        <v>300.0</v>
      </c>
      <c r="I4" s="86"/>
      <c r="J4" s="87"/>
      <c r="K4" s="26" t="s">
        <v>18</v>
      </c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46201.0</v>
      </c>
      <c r="C5" s="18" t="s">
        <v>301</v>
      </c>
      <c r="D5" s="19">
        <v>92637.0</v>
      </c>
      <c r="E5" s="82" t="s">
        <v>302</v>
      </c>
      <c r="F5" s="83"/>
      <c r="G5" s="117"/>
      <c r="H5" s="83">
        <v>4500.0</v>
      </c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46201.0</v>
      </c>
      <c r="C6" s="18" t="s">
        <v>303</v>
      </c>
      <c r="D6" s="19">
        <v>47787.0</v>
      </c>
      <c r="E6" s="89" t="s">
        <v>28</v>
      </c>
      <c r="F6" s="83">
        <v>15450.0</v>
      </c>
      <c r="G6" s="117"/>
      <c r="H6" s="118"/>
      <c r="I6" s="86"/>
      <c r="J6" s="116"/>
      <c r="K6" s="26" t="s">
        <v>29</v>
      </c>
      <c r="L6" s="88"/>
      <c r="M6" s="93" t="s">
        <v>30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46201.0</v>
      </c>
      <c r="C7" s="43" t="s">
        <v>304</v>
      </c>
      <c r="D7" s="94">
        <v>125133.0</v>
      </c>
      <c r="E7" s="95" t="s">
        <v>305</v>
      </c>
      <c r="F7" s="96"/>
      <c r="G7" s="117"/>
      <c r="H7" s="119">
        <v>300.0</v>
      </c>
      <c r="I7" s="98"/>
      <c r="J7" s="104"/>
      <c r="K7" s="26" t="s">
        <v>29</v>
      </c>
      <c r="L7" s="88"/>
      <c r="M7" s="93" t="s">
        <v>30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46201.0</v>
      </c>
      <c r="C8" s="43" t="s">
        <v>306</v>
      </c>
      <c r="D8" s="44">
        <v>77658.0</v>
      </c>
      <c r="E8" s="101" t="s">
        <v>270</v>
      </c>
      <c r="F8" s="96">
        <v>30000.0</v>
      </c>
      <c r="G8" s="96"/>
      <c r="H8" s="120"/>
      <c r="I8" s="98"/>
      <c r="J8" s="104"/>
      <c r="K8" s="26" t="s">
        <v>18</v>
      </c>
      <c r="L8" s="50"/>
      <c r="M8" s="105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24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23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24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 t="s">
        <v>45</v>
      </c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23" t="s">
        <v>46</v>
      </c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4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45450</v>
      </c>
      <c r="G22" s="76">
        <f t="shared" si="1"/>
        <v>0</v>
      </c>
      <c r="H22" s="76">
        <f t="shared" si="1"/>
        <v>5100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50550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46201.0</v>
      </c>
      <c r="C4" s="18" t="s">
        <v>308</v>
      </c>
      <c r="D4" s="19">
        <v>125177.0</v>
      </c>
      <c r="E4" s="82" t="s">
        <v>309</v>
      </c>
      <c r="F4" s="83"/>
      <c r="G4" s="117"/>
      <c r="H4" s="83">
        <v>350.0</v>
      </c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46202.0</v>
      </c>
      <c r="C5" s="18" t="s">
        <v>310</v>
      </c>
      <c r="D5" s="19">
        <v>47787.0</v>
      </c>
      <c r="E5" s="82" t="s">
        <v>28</v>
      </c>
      <c r="F5" s="83">
        <v>10000.0</v>
      </c>
      <c r="G5" s="117"/>
      <c r="H5" s="83"/>
      <c r="I5" s="86"/>
      <c r="J5" s="87"/>
      <c r="K5" s="26" t="s">
        <v>29</v>
      </c>
      <c r="L5" s="88"/>
      <c r="M5" s="28" t="s">
        <v>30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46202.0</v>
      </c>
      <c r="C6" s="18" t="s">
        <v>311</v>
      </c>
      <c r="D6" s="19">
        <v>51660.0</v>
      </c>
      <c r="E6" s="89" t="s">
        <v>312</v>
      </c>
      <c r="F6" s="83"/>
      <c r="G6" s="117">
        <v>4500.0</v>
      </c>
      <c r="H6" s="118"/>
      <c r="I6" s="86"/>
      <c r="J6" s="116"/>
      <c r="K6" s="26" t="s">
        <v>18</v>
      </c>
      <c r="L6" s="88"/>
      <c r="M6" s="93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46202.0</v>
      </c>
      <c r="C7" s="43" t="s">
        <v>313</v>
      </c>
      <c r="D7" s="94">
        <v>21818.0</v>
      </c>
      <c r="E7" s="95" t="s">
        <v>290</v>
      </c>
      <c r="F7" s="96"/>
      <c r="G7" s="117">
        <v>900.0</v>
      </c>
      <c r="H7" s="119"/>
      <c r="I7" s="98"/>
      <c r="J7" s="104"/>
      <c r="K7" s="26" t="s">
        <v>18</v>
      </c>
      <c r="L7" s="88"/>
      <c r="M7" s="93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/>
      <c r="C8" s="43"/>
      <c r="D8" s="44"/>
      <c r="E8" s="101"/>
      <c r="F8" s="96"/>
      <c r="G8" s="96"/>
      <c r="H8" s="120"/>
      <c r="I8" s="98"/>
      <c r="J8" s="104"/>
      <c r="K8" s="26" t="s">
        <v>18</v>
      </c>
      <c r="L8" s="50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/>
      <c r="C9" s="43"/>
      <c r="D9" s="44"/>
      <c r="E9" s="101"/>
      <c r="F9" s="96"/>
      <c r="G9" s="96"/>
      <c r="H9" s="120"/>
      <c r="I9" s="98"/>
      <c r="J9" s="104"/>
      <c r="K9" s="100" t="s">
        <v>18</v>
      </c>
      <c r="L9" s="50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0" t="s">
        <v>36</v>
      </c>
      <c r="B10" s="42"/>
      <c r="C10" s="43"/>
      <c r="D10" s="44"/>
      <c r="E10" s="101"/>
      <c r="F10" s="96"/>
      <c r="G10" s="96"/>
      <c r="H10" s="120"/>
      <c r="I10" s="98"/>
      <c r="J10" s="104"/>
      <c r="K10" s="100"/>
      <c r="L10" s="50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23" t="s">
        <v>37</v>
      </c>
      <c r="B11" s="42"/>
      <c r="C11" s="43"/>
      <c r="D11" s="44"/>
      <c r="E11" s="101"/>
      <c r="F11" s="106"/>
      <c r="G11" s="107"/>
      <c r="H11" s="109"/>
      <c r="I11" s="98"/>
      <c r="J11" s="104"/>
      <c r="K11" s="100"/>
      <c r="L11" s="50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24" t="s">
        <v>38</v>
      </c>
      <c r="B12" s="42"/>
      <c r="C12" s="43"/>
      <c r="D12" s="44"/>
      <c r="E12" s="101"/>
      <c r="F12" s="106"/>
      <c r="G12" s="107"/>
      <c r="H12" s="108"/>
      <c r="I12" s="98"/>
      <c r="J12" s="99"/>
      <c r="K12" s="100"/>
      <c r="L12" s="50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80" t="s">
        <v>39</v>
      </c>
      <c r="B13" s="42"/>
      <c r="C13" s="43"/>
      <c r="D13" s="44"/>
      <c r="E13" s="101"/>
      <c r="F13" s="106"/>
      <c r="G13" s="107"/>
      <c r="H13" s="109"/>
      <c r="I13" s="98"/>
      <c r="J13" s="99"/>
      <c r="K13" s="100"/>
      <c r="L13" s="50"/>
      <c r="M13" s="10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23" t="s">
        <v>40</v>
      </c>
      <c r="B14" s="42"/>
      <c r="C14" s="43"/>
      <c r="D14" s="44"/>
      <c r="E14" s="101"/>
      <c r="F14" s="107"/>
      <c r="G14" s="107"/>
      <c r="H14" s="108"/>
      <c r="I14" s="98"/>
      <c r="J14" s="104"/>
      <c r="K14" s="100"/>
      <c r="L14" s="50"/>
      <c r="M14" s="105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24" t="s">
        <v>41</v>
      </c>
      <c r="B15" s="54"/>
      <c r="C15" s="55"/>
      <c r="D15" s="56"/>
      <c r="E15" s="67"/>
      <c r="F15" s="107"/>
      <c r="G15" s="107"/>
      <c r="H15" s="108"/>
      <c r="I15" s="98"/>
      <c r="J15" s="99"/>
      <c r="K15" s="110"/>
      <c r="L15" s="50"/>
      <c r="M15" s="11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0" t="s">
        <v>42</v>
      </c>
      <c r="B16" s="54"/>
      <c r="C16" s="55"/>
      <c r="D16" s="56"/>
      <c r="E16" s="67"/>
      <c r="F16" s="107"/>
      <c r="G16" s="107"/>
      <c r="H16" s="108"/>
      <c r="I16" s="98"/>
      <c r="J16" s="99"/>
      <c r="K16" s="110" t="s">
        <v>18</v>
      </c>
      <c r="L16" s="50"/>
      <c r="M16" s="11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23" t="s">
        <v>72</v>
      </c>
      <c r="B17" s="54"/>
      <c r="C17" s="55"/>
      <c r="D17" s="56"/>
      <c r="E17" s="67"/>
      <c r="F17" s="107"/>
      <c r="G17" s="107"/>
      <c r="H17" s="108"/>
      <c r="I17" s="98"/>
      <c r="J17" s="99"/>
      <c r="K17" s="110" t="s">
        <v>18</v>
      </c>
      <c r="L17" s="50"/>
      <c r="M17" s="11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24" t="s">
        <v>43</v>
      </c>
      <c r="B18" s="54"/>
      <c r="C18" s="55"/>
      <c r="D18" s="56"/>
      <c r="E18" s="67"/>
      <c r="F18" s="107"/>
      <c r="G18" s="107"/>
      <c r="H18" s="108"/>
      <c r="I18" s="98"/>
      <c r="J18" s="99"/>
      <c r="K18" s="110" t="s">
        <v>18</v>
      </c>
      <c r="L18" s="50"/>
      <c r="M18" s="11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80" t="s">
        <v>45</v>
      </c>
      <c r="B19" s="54"/>
      <c r="C19" s="55"/>
      <c r="D19" s="56"/>
      <c r="E19" s="67"/>
      <c r="F19" s="107"/>
      <c r="G19" s="107"/>
      <c r="H19" s="108"/>
      <c r="I19" s="98"/>
      <c r="J19" s="99"/>
      <c r="K19" s="110" t="s">
        <v>18</v>
      </c>
      <c r="L19" s="50"/>
      <c r="M19" s="11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23" t="s">
        <v>46</v>
      </c>
      <c r="B20" s="54"/>
      <c r="C20" s="55"/>
      <c r="D20" s="56"/>
      <c r="E20" s="67"/>
      <c r="F20" s="107"/>
      <c r="G20" s="107"/>
      <c r="H20" s="108"/>
      <c r="I20" s="98"/>
      <c r="J20" s="99"/>
      <c r="K20" s="110"/>
      <c r="L20" s="50"/>
      <c r="M20" s="11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4"/>
      <c r="B21" s="54"/>
      <c r="C21" s="55"/>
      <c r="D21" s="56"/>
      <c r="E21" s="67"/>
      <c r="F21" s="112"/>
      <c r="G21" s="107"/>
      <c r="H21" s="113"/>
      <c r="I21" s="98"/>
      <c r="J21" s="114"/>
      <c r="K21" s="115"/>
      <c r="L21" s="65"/>
      <c r="M21" s="111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75"/>
      <c r="B22" s="2"/>
      <c r="C22" s="2"/>
      <c r="D22" s="2"/>
      <c r="E22" s="3"/>
      <c r="F22" s="76">
        <f t="shared" ref="F22:J22" si="1">SUM(F4:F21)</f>
        <v>10000</v>
      </c>
      <c r="G22" s="76">
        <f t="shared" si="1"/>
        <v>5400</v>
      </c>
      <c r="H22" s="76">
        <f t="shared" si="1"/>
        <v>350</v>
      </c>
      <c r="I22" s="76">
        <f t="shared" si="1"/>
        <v>0</v>
      </c>
      <c r="J22" s="76">
        <f t="shared" si="1"/>
        <v>0</v>
      </c>
      <c r="K22" s="77"/>
      <c r="L22" s="77"/>
      <c r="M22" s="78"/>
    </row>
    <row r="23" ht="48.0" customHeight="1">
      <c r="F23" s="79">
        <f>F22+G22+H22+I22+J22</f>
        <v>15750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0" t="s">
        <v>15</v>
      </c>
      <c r="B4" s="122">
        <v>46202.0</v>
      </c>
      <c r="C4" s="18" t="s">
        <v>315</v>
      </c>
      <c r="D4" s="19">
        <v>115390.0</v>
      </c>
      <c r="E4" s="82" t="s">
        <v>316</v>
      </c>
      <c r="F4" s="83"/>
      <c r="G4" s="117">
        <v>4600.0</v>
      </c>
      <c r="H4" s="83"/>
      <c r="I4" s="86"/>
      <c r="J4" s="87"/>
      <c r="K4" s="26" t="s">
        <v>18</v>
      </c>
      <c r="L4" s="88"/>
      <c r="M4" s="2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23" t="s">
        <v>20</v>
      </c>
      <c r="B5" s="122">
        <v>46203.0</v>
      </c>
      <c r="C5" s="18" t="s">
        <v>317</v>
      </c>
      <c r="D5" s="19">
        <v>108621.0</v>
      </c>
      <c r="E5" s="82" t="s">
        <v>318</v>
      </c>
      <c r="F5" s="83"/>
      <c r="G5" s="117">
        <v>2950.0</v>
      </c>
      <c r="H5" s="83"/>
      <c r="I5" s="86"/>
      <c r="J5" s="87"/>
      <c r="K5" s="26" t="s">
        <v>18</v>
      </c>
      <c r="L5" s="88"/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24" t="s">
        <v>23</v>
      </c>
      <c r="B6" s="81">
        <v>46203.0</v>
      </c>
      <c r="C6" s="18" t="s">
        <v>319</v>
      </c>
      <c r="D6" s="19">
        <v>10270.0</v>
      </c>
      <c r="E6" s="89" t="s">
        <v>320</v>
      </c>
      <c r="F6" s="83">
        <v>3050.0</v>
      </c>
      <c r="G6" s="117"/>
      <c r="H6" s="118"/>
      <c r="I6" s="86"/>
      <c r="J6" s="116"/>
      <c r="K6" s="26" t="s">
        <v>18</v>
      </c>
      <c r="L6" s="88"/>
      <c r="M6" s="93" t="s">
        <v>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0" t="s">
        <v>26</v>
      </c>
      <c r="B7" s="42">
        <v>46203.0</v>
      </c>
      <c r="C7" s="43" t="s">
        <v>321</v>
      </c>
      <c r="D7" s="94">
        <v>51166.0</v>
      </c>
      <c r="E7" s="95" t="s">
        <v>322</v>
      </c>
      <c r="F7" s="96"/>
      <c r="G7" s="117"/>
      <c r="H7" s="119">
        <v>4700.0</v>
      </c>
      <c r="I7" s="98"/>
      <c r="J7" s="104"/>
      <c r="K7" s="26" t="s">
        <v>18</v>
      </c>
      <c r="L7" s="88"/>
      <c r="M7" s="93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23" t="s">
        <v>31</v>
      </c>
      <c r="B8" s="42">
        <v>46203.0</v>
      </c>
      <c r="C8" s="43" t="s">
        <v>323</v>
      </c>
      <c r="D8" s="44">
        <v>50595.0</v>
      </c>
      <c r="E8" s="101" t="s">
        <v>102</v>
      </c>
      <c r="F8" s="96">
        <v>5000.0</v>
      </c>
      <c r="G8" s="96"/>
      <c r="H8" s="120"/>
      <c r="I8" s="98"/>
      <c r="J8" s="104"/>
      <c r="K8" s="26" t="s">
        <v>18</v>
      </c>
      <c r="L8" s="50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24" t="s">
        <v>34</v>
      </c>
      <c r="B9" s="42">
        <v>46203.0</v>
      </c>
      <c r="C9" s="43" t="s">
        <v>324</v>
      </c>
      <c r="D9" s="44">
        <v>125361.0</v>
      </c>
      <c r="E9" s="101" t="s">
        <v>325</v>
      </c>
      <c r="F9" s="96"/>
      <c r="G9" s="96">
        <v>3050.0</v>
      </c>
      <c r="H9" s="120"/>
      <c r="I9" s="98"/>
      <c r="J9" s="104"/>
      <c r="K9" s="100" t="s">
        <v>18</v>
      </c>
      <c r="L9" s="50"/>
      <c r="M9" s="105" t="s">
        <v>44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0" t="s">
        <v>36</v>
      </c>
      <c r="B10" s="42">
        <v>46203.0</v>
      </c>
      <c r="C10" s="43" t="s">
        <v>326</v>
      </c>
      <c r="D10" s="44">
        <v>83352.0</v>
      </c>
      <c r="E10" s="101" t="s">
        <v>93</v>
      </c>
      <c r="F10" s="96">
        <v>15000.0</v>
      </c>
      <c r="G10" s="96"/>
      <c r="H10" s="120"/>
      <c r="I10" s="98"/>
      <c r="J10" s="104"/>
      <c r="K10" s="100" t="s">
        <v>18</v>
      </c>
      <c r="L10" s="50"/>
      <c r="M10" s="105" t="s">
        <v>44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23" t="s">
        <v>37</v>
      </c>
      <c r="B11" s="42">
        <v>46203.0</v>
      </c>
      <c r="C11" s="43" t="s">
        <v>327</v>
      </c>
      <c r="D11" s="44">
        <v>125361.0</v>
      </c>
      <c r="E11" s="101" t="s">
        <v>325</v>
      </c>
      <c r="F11" s="106"/>
      <c r="G11" s="106">
        <v>450.0</v>
      </c>
      <c r="H11" s="109"/>
      <c r="I11" s="98"/>
      <c r="J11" s="104"/>
      <c r="K11" s="100" t="s">
        <v>18</v>
      </c>
      <c r="L11" s="50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24" t="s">
        <v>38</v>
      </c>
      <c r="B12" s="42">
        <v>46203.0</v>
      </c>
      <c r="C12" s="43" t="s">
        <v>328</v>
      </c>
      <c r="D12" s="44">
        <v>43380.0</v>
      </c>
      <c r="E12" s="101" t="s">
        <v>127</v>
      </c>
      <c r="F12" s="106">
        <v>15000.0</v>
      </c>
      <c r="G12" s="107"/>
      <c r="H12" s="108"/>
      <c r="I12" s="98"/>
      <c r="J12" s="99"/>
      <c r="K12" s="100" t="s">
        <v>18</v>
      </c>
      <c r="L12" s="50"/>
      <c r="M12" s="105" t="s">
        <v>44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0" t="s">
        <v>39</v>
      </c>
      <c r="B13" s="42">
        <v>46203.0</v>
      </c>
      <c r="C13" s="43" t="s">
        <v>329</v>
      </c>
      <c r="D13" s="44">
        <v>10357.0</v>
      </c>
      <c r="E13" s="101" t="s">
        <v>106</v>
      </c>
      <c r="F13" s="106">
        <v>3090.0</v>
      </c>
      <c r="G13" s="107"/>
      <c r="H13" s="109"/>
      <c r="I13" s="98"/>
      <c r="J13" s="99"/>
      <c r="K13" s="100" t="s">
        <v>18</v>
      </c>
      <c r="L13" s="50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23" t="s">
        <v>40</v>
      </c>
      <c r="B14" s="42">
        <v>46203.0</v>
      </c>
      <c r="C14" s="43" t="s">
        <v>330</v>
      </c>
      <c r="D14" s="44">
        <v>123492.0</v>
      </c>
      <c r="E14" s="101" t="s">
        <v>331</v>
      </c>
      <c r="F14" s="107"/>
      <c r="G14" s="106">
        <v>2950.0</v>
      </c>
      <c r="H14" s="108"/>
      <c r="I14" s="98"/>
      <c r="J14" s="104"/>
      <c r="K14" s="100" t="s">
        <v>18</v>
      </c>
      <c r="L14" s="50"/>
      <c r="M14" s="105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24" t="s">
        <v>41</v>
      </c>
      <c r="B15" s="42">
        <v>46203.0</v>
      </c>
      <c r="C15" s="43" t="s">
        <v>332</v>
      </c>
      <c r="D15" s="44">
        <v>125100.0</v>
      </c>
      <c r="E15" s="101" t="s">
        <v>300</v>
      </c>
      <c r="F15" s="107"/>
      <c r="G15" s="106">
        <v>2400.0</v>
      </c>
      <c r="H15" s="108"/>
      <c r="I15" s="98"/>
      <c r="J15" s="99"/>
      <c r="K15" s="100" t="s">
        <v>18</v>
      </c>
      <c r="L15" s="50"/>
      <c r="M15" s="105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0" t="s">
        <v>42</v>
      </c>
      <c r="B16" s="42">
        <v>46203.0</v>
      </c>
      <c r="C16" s="43" t="s">
        <v>333</v>
      </c>
      <c r="D16" s="44">
        <v>50596.0</v>
      </c>
      <c r="E16" s="101" t="s">
        <v>62</v>
      </c>
      <c r="F16" s="106">
        <v>2500.0</v>
      </c>
      <c r="G16" s="107"/>
      <c r="H16" s="108"/>
      <c r="I16" s="98"/>
      <c r="J16" s="99"/>
      <c r="K16" s="100" t="s">
        <v>18</v>
      </c>
      <c r="L16" s="50"/>
      <c r="M16" s="105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123" t="s">
        <v>72</v>
      </c>
      <c r="B17" s="42">
        <v>46203.0</v>
      </c>
      <c r="C17" s="43" t="s">
        <v>334</v>
      </c>
      <c r="D17" s="44">
        <v>119912.0</v>
      </c>
      <c r="E17" s="101" t="s">
        <v>256</v>
      </c>
      <c r="F17" s="106">
        <v>1300.0</v>
      </c>
      <c r="G17" s="107"/>
      <c r="H17" s="108"/>
      <c r="I17" s="98"/>
      <c r="J17" s="99"/>
      <c r="K17" s="100" t="s">
        <v>18</v>
      </c>
      <c r="L17" s="50"/>
      <c r="M17" s="105" t="s">
        <v>44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124" t="s">
        <v>43</v>
      </c>
      <c r="B18" s="42">
        <v>46203.0</v>
      </c>
      <c r="C18" s="43" t="s">
        <v>335</v>
      </c>
      <c r="D18" s="44">
        <v>125395.0</v>
      </c>
      <c r="E18" s="101" t="s">
        <v>336</v>
      </c>
      <c r="F18" s="107"/>
      <c r="G18" s="107"/>
      <c r="H18" s="109">
        <v>300.0</v>
      </c>
      <c r="I18" s="98"/>
      <c r="J18" s="99"/>
      <c r="K18" s="100" t="s">
        <v>18</v>
      </c>
      <c r="L18" s="50"/>
      <c r="M18" s="105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80" t="s">
        <v>45</v>
      </c>
      <c r="B19" s="42">
        <v>46203.0</v>
      </c>
      <c r="C19" s="43" t="s">
        <v>337</v>
      </c>
      <c r="D19" s="44">
        <v>125395.0</v>
      </c>
      <c r="E19" s="101" t="s">
        <v>336</v>
      </c>
      <c r="F19" s="107"/>
      <c r="G19" s="106">
        <v>2400.0</v>
      </c>
      <c r="H19" s="108"/>
      <c r="I19" s="98"/>
      <c r="J19" s="99"/>
      <c r="K19" s="100" t="s">
        <v>18</v>
      </c>
      <c r="L19" s="50"/>
      <c r="M19" s="105" t="s">
        <v>19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23" t="s">
        <v>46</v>
      </c>
      <c r="B20" s="42">
        <v>46203.0</v>
      </c>
      <c r="C20" s="43" t="s">
        <v>338</v>
      </c>
      <c r="D20" s="44">
        <v>21818.0</v>
      </c>
      <c r="E20" s="101" t="s">
        <v>290</v>
      </c>
      <c r="F20" s="107"/>
      <c r="G20" s="106">
        <v>5900.0</v>
      </c>
      <c r="H20" s="108"/>
      <c r="I20" s="98"/>
      <c r="J20" s="99"/>
      <c r="K20" s="100" t="s">
        <v>18</v>
      </c>
      <c r="L20" s="50"/>
      <c r="M20" s="105" t="s">
        <v>19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23" t="s">
        <v>47</v>
      </c>
      <c r="B21" s="42">
        <v>46203.0</v>
      </c>
      <c r="C21" s="43" t="s">
        <v>339</v>
      </c>
      <c r="D21" s="44">
        <v>45227.0</v>
      </c>
      <c r="E21" s="101" t="s">
        <v>340</v>
      </c>
      <c r="F21" s="106">
        <v>300.0</v>
      </c>
      <c r="G21" s="107"/>
      <c r="H21" s="108"/>
      <c r="I21" s="98"/>
      <c r="J21" s="99"/>
      <c r="K21" s="100" t="s">
        <v>18</v>
      </c>
      <c r="L21" s="50"/>
      <c r="M21" s="105" t="s">
        <v>19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124" t="s">
        <v>341</v>
      </c>
      <c r="B22" s="42">
        <v>46203.0</v>
      </c>
      <c r="C22" s="43" t="s">
        <v>342</v>
      </c>
      <c r="D22" s="44">
        <v>21818.0</v>
      </c>
      <c r="E22" s="101" t="s">
        <v>290</v>
      </c>
      <c r="F22" s="107"/>
      <c r="G22" s="106">
        <v>2400.0</v>
      </c>
      <c r="H22" s="108"/>
      <c r="I22" s="98"/>
      <c r="J22" s="99"/>
      <c r="K22" s="100" t="s">
        <v>18</v>
      </c>
      <c r="L22" s="50"/>
      <c r="M22" s="105" t="s">
        <v>19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80" t="s">
        <v>343</v>
      </c>
      <c r="B23" s="42">
        <v>46203.0</v>
      </c>
      <c r="C23" s="43" t="s">
        <v>344</v>
      </c>
      <c r="D23" s="44">
        <v>52685.0</v>
      </c>
      <c r="E23" s="101" t="s">
        <v>56</v>
      </c>
      <c r="F23" s="106">
        <v>2400.0</v>
      </c>
      <c r="G23" s="107"/>
      <c r="H23" s="108"/>
      <c r="I23" s="98"/>
      <c r="J23" s="99"/>
      <c r="K23" s="100" t="s">
        <v>18</v>
      </c>
      <c r="L23" s="50"/>
      <c r="M23" s="105" t="s">
        <v>19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123" t="s">
        <v>345</v>
      </c>
      <c r="B24" s="42">
        <v>46203.0</v>
      </c>
      <c r="C24" s="43" t="s">
        <v>346</v>
      </c>
      <c r="D24" s="44">
        <v>21818.0</v>
      </c>
      <c r="E24" s="101" t="s">
        <v>290</v>
      </c>
      <c r="F24" s="107"/>
      <c r="G24" s="106">
        <v>1520.0</v>
      </c>
      <c r="H24" s="108"/>
      <c r="I24" s="98"/>
      <c r="J24" s="99"/>
      <c r="K24" s="100" t="s">
        <v>18</v>
      </c>
      <c r="L24" s="50"/>
      <c r="M24" s="105" t="s">
        <v>19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customHeight="1">
      <c r="A25" s="123" t="s">
        <v>347</v>
      </c>
      <c r="B25" s="42">
        <v>46203.0</v>
      </c>
      <c r="C25" s="43" t="s">
        <v>348</v>
      </c>
      <c r="D25" s="44">
        <v>21818.0</v>
      </c>
      <c r="E25" s="101" t="s">
        <v>290</v>
      </c>
      <c r="F25" s="107"/>
      <c r="G25" s="106">
        <v>140.0</v>
      </c>
      <c r="H25" s="108"/>
      <c r="I25" s="98"/>
      <c r="J25" s="99"/>
      <c r="K25" s="100" t="s">
        <v>18</v>
      </c>
      <c r="L25" s="50"/>
      <c r="M25" s="105" t="s">
        <v>19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customHeight="1">
      <c r="A26" s="124" t="s">
        <v>349</v>
      </c>
      <c r="B26" s="42">
        <v>46203.0</v>
      </c>
      <c r="C26" s="43" t="s">
        <v>350</v>
      </c>
      <c r="D26" s="44">
        <v>21818.0</v>
      </c>
      <c r="E26" s="101" t="s">
        <v>290</v>
      </c>
      <c r="F26" s="107"/>
      <c r="G26" s="106">
        <v>2950.0</v>
      </c>
      <c r="H26" s="108"/>
      <c r="I26" s="98"/>
      <c r="J26" s="99"/>
      <c r="K26" s="100" t="s">
        <v>18</v>
      </c>
      <c r="L26" s="50"/>
      <c r="M26" s="105" t="s">
        <v>19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customHeight="1">
      <c r="A27" s="80" t="s">
        <v>351</v>
      </c>
      <c r="B27" s="42">
        <v>46203.0</v>
      </c>
      <c r="C27" s="43" t="s">
        <v>352</v>
      </c>
      <c r="D27" s="44">
        <v>10008.0</v>
      </c>
      <c r="E27" s="101" t="s">
        <v>86</v>
      </c>
      <c r="F27" s="107"/>
      <c r="G27" s="106">
        <v>9750.0</v>
      </c>
      <c r="H27" s="108"/>
      <c r="I27" s="98"/>
      <c r="J27" s="99"/>
      <c r="K27" s="100" t="s">
        <v>18</v>
      </c>
      <c r="L27" s="50"/>
      <c r="M27" s="105" t="s">
        <v>19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customHeight="1">
      <c r="A28" s="123" t="s">
        <v>353</v>
      </c>
      <c r="B28" s="42">
        <v>46203.0</v>
      </c>
      <c r="C28" s="43" t="s">
        <v>354</v>
      </c>
      <c r="D28" s="44">
        <v>10006.0</v>
      </c>
      <c r="E28" s="101" t="s">
        <v>66</v>
      </c>
      <c r="F28" s="107"/>
      <c r="G28" s="106">
        <v>4800.0</v>
      </c>
      <c r="H28" s="108"/>
      <c r="I28" s="98"/>
      <c r="J28" s="99"/>
      <c r="K28" s="100" t="s">
        <v>18</v>
      </c>
      <c r="L28" s="50"/>
      <c r="M28" s="105" t="s">
        <v>19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customHeight="1">
      <c r="A29" s="123" t="s">
        <v>355</v>
      </c>
      <c r="B29" s="42">
        <v>46203.0</v>
      </c>
      <c r="C29" s="43" t="s">
        <v>356</v>
      </c>
      <c r="D29" s="44">
        <v>52686.0</v>
      </c>
      <c r="E29" s="101" t="s">
        <v>357</v>
      </c>
      <c r="F29" s="106">
        <v>7500.0</v>
      </c>
      <c r="G29" s="107"/>
      <c r="H29" s="108"/>
      <c r="I29" s="98"/>
      <c r="J29" s="99"/>
      <c r="K29" s="100" t="s">
        <v>18</v>
      </c>
      <c r="L29" s="50"/>
      <c r="M29" s="105" t="s">
        <v>19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customHeight="1">
      <c r="A30" s="124" t="s">
        <v>358</v>
      </c>
      <c r="B30" s="54"/>
      <c r="C30" s="55"/>
      <c r="D30" s="56"/>
      <c r="E30" s="67"/>
      <c r="F30" s="107"/>
      <c r="G30" s="107"/>
      <c r="H30" s="108"/>
      <c r="I30" s="98"/>
      <c r="J30" s="99"/>
      <c r="K30" s="110"/>
      <c r="L30" s="50"/>
      <c r="M30" s="111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customHeight="1">
      <c r="A31" s="80" t="s">
        <v>359</v>
      </c>
      <c r="B31" s="54"/>
      <c r="C31" s="55"/>
      <c r="D31" s="56"/>
      <c r="E31" s="67"/>
      <c r="F31" s="107"/>
      <c r="G31" s="107"/>
      <c r="H31" s="108"/>
      <c r="I31" s="98"/>
      <c r="J31" s="99"/>
      <c r="K31" s="110"/>
      <c r="L31" s="50"/>
      <c r="M31" s="111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123" t="s">
        <v>360</v>
      </c>
      <c r="B32" s="54"/>
      <c r="C32" s="55"/>
      <c r="D32" s="56"/>
      <c r="E32" s="67"/>
      <c r="F32" s="112"/>
      <c r="G32" s="107"/>
      <c r="H32" s="113"/>
      <c r="I32" s="98"/>
      <c r="J32" s="114"/>
      <c r="K32" s="115"/>
      <c r="L32" s="65"/>
      <c r="M32" s="111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75"/>
      <c r="B33" s="2"/>
      <c r="C33" s="2"/>
      <c r="D33" s="2"/>
      <c r="E33" s="3"/>
      <c r="F33" s="76">
        <f t="shared" ref="F33:J33" si="1">SUM(F4:F32)</f>
        <v>55140</v>
      </c>
      <c r="G33" s="76">
        <f t="shared" si="1"/>
        <v>46260</v>
      </c>
      <c r="H33" s="76">
        <f t="shared" si="1"/>
        <v>5000</v>
      </c>
      <c r="I33" s="76">
        <f t="shared" si="1"/>
        <v>0</v>
      </c>
      <c r="J33" s="76">
        <f t="shared" si="1"/>
        <v>0</v>
      </c>
      <c r="K33" s="77"/>
      <c r="L33" s="77"/>
      <c r="M33" s="78"/>
    </row>
    <row r="34" ht="48.0" customHeight="1">
      <c r="F34" s="79">
        <f>F33+G33+H33+I33+J33</f>
        <v>106400</v>
      </c>
      <c r="G34" s="2"/>
      <c r="H34" s="2"/>
      <c r="I34" s="2"/>
      <c r="J3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2">
    <mergeCell ref="K2:K3"/>
    <mergeCell ref="L2:L3"/>
    <mergeCell ref="A33:E33"/>
    <mergeCell ref="F34:J34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
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" sheetId="1" r:id="rId4"/>
    <sheet state="visible" name="16-31" sheetId="2" r:id="rId5"/>
  </sheets>
  <definedNames/>
  <calcPr/>
</workbook>
</file>

<file path=xl/sharedStrings.xml><?xml version="1.0" encoding="utf-8"?>
<sst xmlns="http://schemas.openxmlformats.org/spreadsheetml/2006/main" count="84" uniqueCount="45">
  <si>
    <t>ตรวจบิล พ.ย 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</si>
  <si>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</si>
  <si>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</si>
  <si>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</si>
  <si>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</si>
  <si>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</si>
  <si>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</si>
  <si>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</si>
  <si>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</si>
  <si>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</si>
  <si>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01-02.11.2564</t>
  </si>
  <si>
    <t>นี</t>
  </si>
  <si>
    <t>03.11.64</t>
  </si>
  <si>
    <t>ปูน</t>
  </si>
  <si>
    <t>04.11.2564</t>
  </si>
  <si>
    <t>เอิง</t>
  </si>
  <si>
    <t>05.11.2564</t>
  </si>
  <si>
    <t>06.11.2564</t>
  </si>
  <si>
    <t>07.11.2564</t>
  </si>
  <si>
    <t>08.11.2564</t>
  </si>
  <si>
    <t>09.11.2564</t>
  </si>
  <si>
    <t>10.11.2564</t>
  </si>
  <si>
    <t>11.11.2564</t>
  </si>
  <si>
    <t>12.11.2564</t>
  </si>
  <si>
    <t>13.11.2564</t>
  </si>
  <si>
    <t>14.11.2564</t>
  </si>
  <si>
    <t>15.11.2564</t>
  </si>
  <si>
    <t>รวม</t>
  </si>
  <si>
    <t>16.11.2564</t>
  </si>
  <si>
    <t>17.11.2564</t>
  </si>
  <si>
    <t>18.11.2564</t>
  </si>
  <si>
    <t>19.11.2564</t>
  </si>
  <si>
    <t>20.11.2564</t>
  </si>
  <si>
    <t>21.11.2564</t>
  </si>
  <si>
    <t>22.11.2564</t>
  </si>
  <si>
    <t>23.11.2564</t>
  </si>
  <si>
    <t>24.11.2564</t>
  </si>
  <si>
    <t>เหน่ง</t>
  </si>
  <si>
    <t>25.11.2564</t>
  </si>
  <si>
    <t>26.11.2564</t>
  </si>
  <si>
    <t>27.11.2564</t>
  </si>
  <si>
    <t>28.11.2564</t>
  </si>
  <si>
    <t xml:space="preserve">ปููน </t>
  </si>
  <si>
    <t>29.11.2564</t>
  </si>
  <si>
    <t>30.11.2564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</si>
</sst>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1">
    <font>
      <sz val="10.0"/>
      <color rgb="FF000000"/>
      <name val="Arial"/>
      <scheme val="minor"/>
    </font>
    <font>
      <b/>
      <sz val="20.0"/>
      <color theme="1"/>
      <name val="&quot;Cordia New&quot;"/>
    </font>
    <font/>
    <font>
      <color theme="1"/>
      <name val="Arial"/>
    </font>
    <font>
      <sz val="20.0"/>
      <color theme="1"/>
      <name val="&quot;Cordia New&quot;"/>
    </font>
    <font>
      <sz val="13.0"/>
      <color theme="1"/>
      <name val="Arial"/>
    </font>
    <font>
      <sz val="13.0"/>
      <color rgb="FFFF0000"/>
      <name val="Arial"/>
    </font>
    <font>
      <sz val="14.0"/>
      <color theme="1"/>
      <name val="Arial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14.0"/>
      <color rgb="FFFF0000"/>
      <name val="&quot;Cordia New&quot;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5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5" fontId="5" numFmtId="38" xfId="0" applyAlignment="1" applyBorder="1" applyFont="1" applyNumberFormat="1">
      <alignment horizontal="right" readingOrder="0" vertical="bottom"/>
    </xf>
    <xf borderId="6" fillId="5" fontId="5" numFmtId="38" xfId="0" applyAlignment="1" applyBorder="1" applyFont="1" applyNumberFormat="1">
      <alignment horizontal="right" vertical="bottom"/>
    </xf>
    <xf borderId="6" fillId="5" fontId="5" numFmtId="164" xfId="0" applyAlignment="1" applyBorder="1" applyFont="1" applyNumberFormat="1">
      <alignment horizontal="right" vertical="bottom"/>
    </xf>
    <xf borderId="6" fillId="4" fontId="5" numFmtId="38" xfId="0" applyAlignment="1" applyBorder="1" applyFont="1" applyNumberFormat="1">
      <alignment horizontal="right" readingOrder="0" vertical="bottom"/>
    </xf>
    <xf borderId="6" fillId="4" fontId="5" numFmtId="38" xfId="0" applyAlignment="1" applyBorder="1" applyFont="1" applyNumberFormat="1">
      <alignment horizontal="right" vertical="bottom"/>
    </xf>
    <xf borderId="6" fillId="0" fontId="6" numFmtId="164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5" fontId="7" numFmtId="38" xfId="0" applyAlignment="1" applyBorder="1" applyFont="1" applyNumberFormat="1">
      <alignment horizontal="right" readingOrder="0" vertical="bottom"/>
    </xf>
    <xf borderId="6" fillId="5" fontId="7" numFmtId="38" xfId="0" applyAlignment="1" applyBorder="1" applyFont="1" applyNumberFormat="1">
      <alignment horizontal="right" vertical="bottom"/>
    </xf>
    <xf borderId="6" fillId="4" fontId="7" numFmtId="38" xfId="0" applyAlignment="1" applyBorder="1" applyFont="1" applyNumberFormat="1">
      <alignment horizontal="right" readingOrder="0" vertical="bottom"/>
    </xf>
    <xf borderId="6" fillId="6" fontId="3" numFmtId="0" xfId="0" applyAlignment="1" applyBorder="1" applyFill="1" applyFont="1">
      <alignment vertical="bottom"/>
    </xf>
    <xf borderId="6" fillId="5" fontId="5" numFmtId="164" xfId="0" applyAlignment="1" applyBorder="1" applyFont="1" applyNumberFormat="1">
      <alignment horizontal="right" readingOrder="0" vertical="bottom"/>
    </xf>
    <xf borderId="6" fillId="4" fontId="7" numFmtId="38" xfId="0" applyAlignment="1" applyBorder="1" applyFont="1" applyNumberFormat="1">
      <alignment horizontal="right" vertical="bottom"/>
    </xf>
    <xf borderId="3" fillId="5" fontId="3" numFmtId="38" xfId="0" applyAlignment="1" applyBorder="1" applyFont="1" applyNumberFormat="1">
      <alignment vertical="bottom"/>
    </xf>
    <xf borderId="3" fillId="5" fontId="5" numFmtId="164" xfId="0" applyAlignment="1" applyBorder="1" applyFont="1" applyNumberFormat="1">
      <alignment horizontal="right" vertical="bottom"/>
    </xf>
    <xf borderId="3" fillId="4" fontId="7" numFmtId="38" xfId="0" applyAlignment="1" applyBorder="1" applyFont="1" applyNumberFormat="1">
      <alignment horizontal="right" vertical="bottom"/>
    </xf>
    <xf borderId="3" fillId="0" fontId="6" numFmtId="164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vertical="bottom"/>
    </xf>
    <xf borderId="6" fillId="6" fontId="7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6" fillId="0" fontId="9" numFmtId="38" xfId="0" applyAlignment="1" applyBorder="1" applyFont="1" applyNumberForma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8" max="8" width="16.63"/>
    <col customWidth="1" min="9" max="9" width="3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13" t="s">
        <v>10</v>
      </c>
      <c r="B4" s="14">
        <v>145.0</v>
      </c>
      <c r="C4" s="15"/>
      <c r="D4" s="16">
        <v>1430710.0</v>
      </c>
      <c r="E4" s="17">
        <v>145.0</v>
      </c>
      <c r="F4" s="18">
        <v>1430710.0</v>
      </c>
      <c r="G4" s="19">
        <f t="shared" ref="G4:G10" si="1">SUM(F4-D4)</f>
        <v>0</v>
      </c>
      <c r="H4" s="20" t="s">
        <v>11</v>
      </c>
      <c r="I4" s="2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3" t="s">
        <v>12</v>
      </c>
      <c r="B5" s="22">
        <v>92.0</v>
      </c>
      <c r="C5" s="23"/>
      <c r="D5" s="16">
        <v>471040.0</v>
      </c>
      <c r="E5" s="24">
        <v>92.0</v>
      </c>
      <c r="F5" s="24">
        <v>471040.0</v>
      </c>
      <c r="G5" s="19">
        <f t="shared" si="1"/>
        <v>0</v>
      </c>
      <c r="H5" s="20" t="s">
        <v>13</v>
      </c>
      <c r="I5" s="2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3" t="s">
        <v>14</v>
      </c>
      <c r="B6" s="22">
        <v>92.0</v>
      </c>
      <c r="C6" s="23"/>
      <c r="D6" s="26">
        <v>496990.0</v>
      </c>
      <c r="E6" s="24">
        <v>92.0</v>
      </c>
      <c r="F6" s="24">
        <v>496990.0</v>
      </c>
      <c r="G6" s="19">
        <f t="shared" si="1"/>
        <v>0</v>
      </c>
      <c r="H6" s="20" t="s">
        <v>15</v>
      </c>
      <c r="I6" s="2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3" t="s">
        <v>16</v>
      </c>
      <c r="B7" s="22">
        <v>96.0</v>
      </c>
      <c r="C7" s="23"/>
      <c r="D7" s="26">
        <v>517290.0</v>
      </c>
      <c r="E7" s="24">
        <v>96.0</v>
      </c>
      <c r="F7" s="24">
        <v>517290.0</v>
      </c>
      <c r="G7" s="19">
        <f t="shared" si="1"/>
        <v>0</v>
      </c>
      <c r="H7" s="20" t="s">
        <v>15</v>
      </c>
      <c r="I7" s="2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3" t="s">
        <v>17</v>
      </c>
      <c r="B8" s="22">
        <v>69.0</v>
      </c>
      <c r="C8" s="23"/>
      <c r="D8" s="16">
        <v>808990.0</v>
      </c>
      <c r="E8" s="24">
        <v>69.0</v>
      </c>
      <c r="F8" s="27">
        <v>808990.0</v>
      </c>
      <c r="G8" s="19">
        <f t="shared" si="1"/>
        <v>0</v>
      </c>
      <c r="H8" s="20" t="s">
        <v>11</v>
      </c>
      <c r="I8" s="2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3" t="s">
        <v>18</v>
      </c>
      <c r="B9" s="22">
        <v>52.0</v>
      </c>
      <c r="C9" s="23"/>
      <c r="D9" s="16">
        <v>313690.0</v>
      </c>
      <c r="E9" s="24">
        <v>52.0</v>
      </c>
      <c r="F9" s="27">
        <v>313690.0</v>
      </c>
      <c r="G9" s="19">
        <f t="shared" si="1"/>
        <v>0</v>
      </c>
      <c r="H9" s="20" t="s">
        <v>13</v>
      </c>
      <c r="I9" s="2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3" t="s">
        <v>19</v>
      </c>
      <c r="B10" s="23">
        <v>52.0</v>
      </c>
      <c r="C10" s="28"/>
      <c r="D10" s="29">
        <v>542450.0</v>
      </c>
      <c r="E10" s="30">
        <v>52.0</v>
      </c>
      <c r="F10" s="30">
        <v>542450.0</v>
      </c>
      <c r="G10" s="31">
        <f t="shared" si="1"/>
        <v>0</v>
      </c>
      <c r="H10" s="32" t="s">
        <v>15</v>
      </c>
      <c r="I10" s="2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3" t="s">
        <v>20</v>
      </c>
      <c r="B11" s="22">
        <v>65.0</v>
      </c>
      <c r="C11" s="23"/>
      <c r="D11" s="26">
        <v>477930.0</v>
      </c>
      <c r="E11" s="24">
        <v>65.0</v>
      </c>
      <c r="F11" s="27">
        <v>477930.0</v>
      </c>
      <c r="G11" s="19"/>
      <c r="H11" s="20" t="s">
        <v>11</v>
      </c>
      <c r="I11" s="2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3" t="s">
        <v>21</v>
      </c>
      <c r="B12" s="22">
        <v>96.0</v>
      </c>
      <c r="C12" s="23"/>
      <c r="D12" s="16">
        <v>1058180.0</v>
      </c>
      <c r="E12" s="24">
        <v>96.0</v>
      </c>
      <c r="F12" s="27">
        <v>1058180.0</v>
      </c>
      <c r="G12" s="19">
        <f t="shared" ref="G12:G17" si="2">SUM(F12-D12)</f>
        <v>0</v>
      </c>
      <c r="H12" s="20" t="s">
        <v>11</v>
      </c>
      <c r="I12" s="2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3" t="s">
        <v>22</v>
      </c>
      <c r="B13" s="22">
        <v>63.0</v>
      </c>
      <c r="C13" s="23"/>
      <c r="D13" s="26">
        <v>647100.0</v>
      </c>
      <c r="E13" s="24">
        <v>63.0</v>
      </c>
      <c r="F13" s="24">
        <v>647100.0</v>
      </c>
      <c r="G13" s="19">
        <f t="shared" si="2"/>
        <v>0</v>
      </c>
      <c r="H13" s="20" t="s">
        <v>15</v>
      </c>
      <c r="I13" s="3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3" t="s">
        <v>23</v>
      </c>
      <c r="B14" s="22">
        <v>58.0</v>
      </c>
      <c r="C14" s="23"/>
      <c r="D14" s="16">
        <v>429680.0</v>
      </c>
      <c r="E14" s="24">
        <v>58.0</v>
      </c>
      <c r="F14" s="27">
        <v>429680.0</v>
      </c>
      <c r="G14" s="19">
        <f t="shared" si="2"/>
        <v>0</v>
      </c>
      <c r="H14" s="20" t="s">
        <v>11</v>
      </c>
      <c r="I14" s="3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3" t="s">
        <v>24</v>
      </c>
      <c r="B15" s="22">
        <v>42.0</v>
      </c>
      <c r="C15" s="23"/>
      <c r="D15" s="16">
        <v>369580.0</v>
      </c>
      <c r="E15" s="24">
        <v>42.0</v>
      </c>
      <c r="F15" s="27">
        <v>369580.0</v>
      </c>
      <c r="G15" s="19">
        <f t="shared" si="2"/>
        <v>0</v>
      </c>
      <c r="H15" s="20" t="s">
        <v>13</v>
      </c>
      <c r="I15" s="2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3" t="s">
        <v>25</v>
      </c>
      <c r="B16" s="22">
        <v>29.0</v>
      </c>
      <c r="C16" s="23"/>
      <c r="D16" s="16">
        <v>198490.0</v>
      </c>
      <c r="E16" s="24">
        <v>29.0</v>
      </c>
      <c r="F16" s="27">
        <v>198490.0</v>
      </c>
      <c r="G16" s="19">
        <f t="shared" si="2"/>
        <v>0</v>
      </c>
      <c r="H16" s="20" t="s">
        <v>13</v>
      </c>
      <c r="I16" s="2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3" t="s">
        <v>26</v>
      </c>
      <c r="B17" s="22">
        <v>73.0</v>
      </c>
      <c r="C17" s="23"/>
      <c r="D17" s="16">
        <v>745600.0</v>
      </c>
      <c r="E17" s="24">
        <v>73.0</v>
      </c>
      <c r="F17" s="27">
        <v>745600.0</v>
      </c>
      <c r="G17" s="19">
        <f t="shared" si="2"/>
        <v>0</v>
      </c>
      <c r="H17" s="20" t="s">
        <v>11</v>
      </c>
      <c r="I17" s="3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34" t="s">
        <v>27</v>
      </c>
      <c r="B18" s="2"/>
      <c r="C18" s="3"/>
      <c r="D18" s="35">
        <f>SUM(D4:D17)</f>
        <v>8507720</v>
      </c>
      <c r="E18" s="21"/>
      <c r="F18" s="35">
        <f>SUM(F4:F17)</f>
        <v>8507720</v>
      </c>
      <c r="G18" s="36">
        <f>SUM(G13:G17)</f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8" max="8" width="16.63"/>
    <col customWidth="1" min="9" max="9" width="3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</row>
    <row r="4">
      <c r="A4" s="13" t="s">
        <v>28</v>
      </c>
      <c r="B4" s="14">
        <v>57.0</v>
      </c>
      <c r="C4" s="14"/>
      <c r="D4" s="26">
        <v>355470.0</v>
      </c>
      <c r="E4" s="17">
        <f>B4*1</f>
        <v>57</v>
      </c>
      <c r="F4" s="18">
        <f>D4*1</f>
        <v>355470</v>
      </c>
      <c r="G4" s="19">
        <f t="shared" ref="G4:G18" si="1">SUM(F4-D4)</f>
        <v>0</v>
      </c>
      <c r="H4" s="20" t="s">
        <v>15</v>
      </c>
      <c r="I4" s="21"/>
    </row>
    <row r="5">
      <c r="A5" s="13" t="s">
        <v>29</v>
      </c>
      <c r="B5" s="14">
        <v>60.0</v>
      </c>
      <c r="C5" s="14"/>
      <c r="D5" s="16">
        <v>513690.0</v>
      </c>
      <c r="E5" s="17">
        <v>60.0</v>
      </c>
      <c r="F5" s="18">
        <v>513690.0</v>
      </c>
      <c r="G5" s="19">
        <f t="shared" si="1"/>
        <v>0</v>
      </c>
      <c r="H5" s="20" t="s">
        <v>11</v>
      </c>
      <c r="I5" s="25"/>
    </row>
    <row r="6">
      <c r="A6" s="13" t="s">
        <v>30</v>
      </c>
      <c r="B6" s="14">
        <v>62.0</v>
      </c>
      <c r="C6" s="14"/>
      <c r="D6" s="16">
        <v>517310.0</v>
      </c>
      <c r="E6" s="17">
        <v>62.0</v>
      </c>
      <c r="F6" s="18">
        <v>517310.0</v>
      </c>
      <c r="G6" s="19">
        <f t="shared" si="1"/>
        <v>0</v>
      </c>
      <c r="H6" s="20" t="s">
        <v>13</v>
      </c>
      <c r="I6" s="25"/>
    </row>
    <row r="7">
      <c r="A7" s="13" t="s">
        <v>31</v>
      </c>
      <c r="B7" s="14">
        <v>59.0</v>
      </c>
      <c r="C7" s="14"/>
      <c r="D7" s="16">
        <v>449970.0</v>
      </c>
      <c r="E7" s="17">
        <v>59.0</v>
      </c>
      <c r="F7" s="18">
        <v>449970.0</v>
      </c>
      <c r="G7" s="19">
        <f t="shared" si="1"/>
        <v>0</v>
      </c>
      <c r="H7" s="20" t="s">
        <v>11</v>
      </c>
      <c r="I7" s="25"/>
    </row>
    <row r="8">
      <c r="A8" s="13" t="s">
        <v>32</v>
      </c>
      <c r="B8" s="14">
        <v>61.0</v>
      </c>
      <c r="C8" s="14"/>
      <c r="D8" s="16">
        <v>464960.0</v>
      </c>
      <c r="E8" s="17">
        <v>61.0</v>
      </c>
      <c r="F8" s="18">
        <v>464960.0</v>
      </c>
      <c r="G8" s="19">
        <f t="shared" si="1"/>
        <v>0</v>
      </c>
      <c r="H8" s="20" t="s">
        <v>13</v>
      </c>
      <c r="I8" s="21"/>
    </row>
    <row r="9">
      <c r="A9" s="13" t="s">
        <v>33</v>
      </c>
      <c r="B9" s="14">
        <v>42.0</v>
      </c>
      <c r="C9" s="14"/>
      <c r="D9" s="16">
        <v>375780.0</v>
      </c>
      <c r="E9" s="17">
        <v>42.0</v>
      </c>
      <c r="F9" s="18">
        <v>375780.0</v>
      </c>
      <c r="G9" s="19">
        <f t="shared" si="1"/>
        <v>0</v>
      </c>
      <c r="H9" s="20" t="s">
        <v>15</v>
      </c>
      <c r="I9" s="25"/>
    </row>
    <row r="10">
      <c r="A10" s="13" t="s">
        <v>34</v>
      </c>
      <c r="B10" s="14">
        <v>87.0</v>
      </c>
      <c r="C10" s="14"/>
      <c r="D10" s="16">
        <v>870690.0</v>
      </c>
      <c r="E10" s="17">
        <v>87.0</v>
      </c>
      <c r="F10" s="18">
        <v>870690.0</v>
      </c>
      <c r="G10" s="31">
        <f t="shared" si="1"/>
        <v>0</v>
      </c>
      <c r="H10" s="20" t="s">
        <v>11</v>
      </c>
      <c r="I10" s="25"/>
    </row>
    <row r="11">
      <c r="A11" s="13" t="s">
        <v>35</v>
      </c>
      <c r="B11" s="14">
        <v>68.0</v>
      </c>
      <c r="C11" s="14"/>
      <c r="D11" s="26">
        <v>657920.0</v>
      </c>
      <c r="E11" s="17">
        <v>68.0</v>
      </c>
      <c r="F11" s="17">
        <v>657920.0</v>
      </c>
      <c r="G11" s="31">
        <f t="shared" si="1"/>
        <v>0</v>
      </c>
      <c r="H11" s="20" t="s">
        <v>11</v>
      </c>
      <c r="I11" s="25"/>
    </row>
    <row r="12">
      <c r="A12" s="13" t="s">
        <v>36</v>
      </c>
      <c r="B12" s="14">
        <v>57.0</v>
      </c>
      <c r="C12" s="14"/>
      <c r="D12" s="26">
        <v>402740.0</v>
      </c>
      <c r="E12" s="17">
        <v>57.0</v>
      </c>
      <c r="F12" s="17">
        <v>402740.0</v>
      </c>
      <c r="G12" s="19">
        <f t="shared" si="1"/>
        <v>0</v>
      </c>
      <c r="H12" s="20" t="s">
        <v>37</v>
      </c>
      <c r="I12" s="25"/>
    </row>
    <row r="13">
      <c r="A13" s="13" t="s">
        <v>38</v>
      </c>
      <c r="B13" s="14">
        <v>69.0</v>
      </c>
      <c r="C13" s="14"/>
      <c r="D13" s="26">
        <v>653830.0</v>
      </c>
      <c r="E13" s="17">
        <v>69.0</v>
      </c>
      <c r="F13" s="17">
        <v>653830.0</v>
      </c>
      <c r="G13" s="19">
        <f t="shared" si="1"/>
        <v>0</v>
      </c>
      <c r="H13" s="20" t="s">
        <v>11</v>
      </c>
      <c r="I13" s="33"/>
    </row>
    <row r="14">
      <c r="A14" s="13" t="s">
        <v>39</v>
      </c>
      <c r="B14" s="14">
        <v>71.0</v>
      </c>
      <c r="C14" s="14"/>
      <c r="D14" s="26">
        <v>835890.0</v>
      </c>
      <c r="E14" s="17">
        <v>71.0</v>
      </c>
      <c r="F14" s="17">
        <v>835890.0</v>
      </c>
      <c r="G14" s="19">
        <f t="shared" si="1"/>
        <v>0</v>
      </c>
      <c r="H14" s="20" t="s">
        <v>15</v>
      </c>
      <c r="I14" s="33"/>
    </row>
    <row r="15">
      <c r="A15" s="13" t="s">
        <v>40</v>
      </c>
      <c r="B15" s="14">
        <v>49.0</v>
      </c>
      <c r="C15" s="14"/>
      <c r="D15" s="26">
        <v>422100.0</v>
      </c>
      <c r="E15" s="17">
        <v>49.0</v>
      </c>
      <c r="F15" s="17">
        <v>422100.0</v>
      </c>
      <c r="G15" s="19">
        <f t="shared" si="1"/>
        <v>0</v>
      </c>
      <c r="H15" s="20" t="s">
        <v>15</v>
      </c>
      <c r="I15" s="25"/>
    </row>
    <row r="16">
      <c r="A16" s="13" t="s">
        <v>41</v>
      </c>
      <c r="B16" s="14">
        <v>76.0</v>
      </c>
      <c r="C16" s="14"/>
      <c r="D16" s="16">
        <v>687510.0</v>
      </c>
      <c r="E16" s="17">
        <v>76.0</v>
      </c>
      <c r="F16" s="18">
        <v>687510.0</v>
      </c>
      <c r="G16" s="19">
        <f t="shared" si="1"/>
        <v>0</v>
      </c>
      <c r="H16" s="20" t="s">
        <v>42</v>
      </c>
      <c r="I16" s="25"/>
    </row>
    <row r="17">
      <c r="A17" s="13" t="s">
        <v>43</v>
      </c>
      <c r="B17" s="14">
        <v>107.0</v>
      </c>
      <c r="C17" s="14"/>
      <c r="D17" s="16">
        <v>1115215.0</v>
      </c>
      <c r="E17" s="17">
        <v>107.0</v>
      </c>
      <c r="F17" s="18">
        <v>1115215.0</v>
      </c>
      <c r="G17" s="19">
        <f t="shared" si="1"/>
        <v>0</v>
      </c>
      <c r="H17" s="20" t="s">
        <v>15</v>
      </c>
      <c r="I17" s="33"/>
    </row>
    <row r="18">
      <c r="A18" s="13" t="s">
        <v>44</v>
      </c>
      <c r="B18" s="14">
        <v>167.0</v>
      </c>
      <c r="C18" s="14"/>
      <c r="D18" s="16">
        <v>1475890.0</v>
      </c>
      <c r="E18" s="17">
        <v>167.0</v>
      </c>
      <c r="F18" s="17">
        <v>1485790.0</v>
      </c>
      <c r="G18" s="19">
        <f t="shared" si="1"/>
        <v>9900</v>
      </c>
      <c r="H18" s="20" t="s">
        <v>13</v>
      </c>
      <c r="I18" s="33"/>
    </row>
    <row r="19">
      <c r="A19" s="34" t="s">
        <v>27</v>
      </c>
      <c r="B19" s="2"/>
      <c r="C19" s="3"/>
      <c r="D19" s="35">
        <f>SUM(D4:D17)</f>
        <v>8323075</v>
      </c>
      <c r="E19" s="21"/>
      <c r="F19" s="35">
        <f>SUM(F4:F17)</f>
        <v>8323075</v>
      </c>
      <c r="G19" s="36">
        <f>SUM(G13:G17)</f>
        <v>0</v>
      </c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
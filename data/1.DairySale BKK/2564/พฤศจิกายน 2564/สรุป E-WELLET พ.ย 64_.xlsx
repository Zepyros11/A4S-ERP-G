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11.64" sheetId="1" r:id="rId4"/>
    <sheet state="visible" name="11.11.64" sheetId="2" r:id="rId5"/>
    <sheet state="visible" name="12.11.64" sheetId="3" r:id="rId6"/>
    <sheet state="visible" name="13.11.64" sheetId="4" r:id="rId7"/>
    <sheet state="visible" name="14.11.64" sheetId="5" r:id="rId8"/>
    <sheet state="visible" name="15.11.64" sheetId="6" r:id="rId9"/>
    <sheet state="visible" name="16.11.64" sheetId="7" r:id="rId10"/>
    <sheet state="visible" name="17.11.64" sheetId="8" r:id="rId11"/>
    <sheet state="visible" name="18.11.64" sheetId="9" r:id="rId12"/>
    <sheet state="visible" name="19.11.64" sheetId="10" r:id="rId13"/>
    <sheet state="visible" name="20.11.64" sheetId="11" r:id="rId14"/>
    <sheet state="visible" name="21.11.64" sheetId="12" r:id="rId15"/>
    <sheet state="visible" name="23.11.64" sheetId="13" r:id="rId16"/>
    <sheet state="visible" name="24.11.64" sheetId="14" r:id="rId17"/>
    <sheet state="visible" name="25.11.64" sheetId="15" r:id="rId18"/>
    <sheet state="visible" name="26.11.64" sheetId="16" r:id="rId19"/>
    <sheet state="visible" name="27.11.64" sheetId="17" r:id="rId20"/>
    <sheet state="visible" name="28.11.64" sheetId="18" r:id="rId21"/>
    <sheet state="visible" name="29.11.64" sheetId="19" r:id="rId22"/>
    <sheet state="visible" name="30.11.64" sheetId="20" r:id="rId23"/>
  </sheets>
  <definedNames/>
  <calcPr/>
</workbook>
</file>

<file path=xl/sharedStrings.xml><?xml version="1.0" encoding="utf-8"?>
<sst xmlns="http://schemas.openxmlformats.org/spreadsheetml/2006/main" count="580" uniqueCount="201">
  <si>
    <t xml:space="preserve">E-WALLET 10 NOV 2021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</si>
  <si>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</si>
  <si>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</si>
  <si>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</si>
  <si>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</si>
  <si>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</si>
  <si>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</si>
  <si>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</si>
  <si>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</si>
  <si>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</si>
  <si>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</si>
  <si>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</si>
  <si>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</si>
  <si>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</si>
  <si>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</si>
  <si>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</si>
  <si>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</si>
  <si>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</si>
  <si>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ETHBKK012111000081</t>
  </si>
  <si>
    <t>นาง ชัญญานุช ผ่านพินิจ</t>
  </si>
  <si>
    <t>ETHONLIN2111000145</t>
  </si>
  <si>
    <t>สำเริง ยอดแก้ว</t>
  </si>
  <si>
    <t>ETHBKK012111000080</t>
  </si>
  <si>
    <t>MENGAY SOK</t>
  </si>
  <si>
    <t>ปิดelite คืน e-app 33ชุด</t>
  </si>
  <si>
    <t>ETHBKK012111000079</t>
  </si>
  <si>
    <t>Mr. HOV KIMHUY</t>
  </si>
  <si>
    <t>ETHBKK012111000078</t>
  </si>
  <si>
    <t>นางสาว อรจิรา คำแก้ว</t>
  </si>
  <si>
    <t>ETHBKK012111000077</t>
  </si>
  <si>
    <t>นางสาว นางสาว พิมพ์มาดา เงางาม</t>
  </si>
  <si>
    <t>ค่าสมัคร +ค่าc4 โฟร 64768</t>
  </si>
  <si>
    <t xml:space="preserve">E-WALLET 11 NOV 2021                                                                                                                </t>
  </si>
  <si>
    <t>ETHONLIN2111000148</t>
  </si>
  <si>
    <t>Khy Sokny นางสาว</t>
  </si>
  <si>
    <t>ETHONLIN2111000147</t>
  </si>
  <si>
    <t>ETHONLIN2111000146</t>
  </si>
  <si>
    <t>ETHBKK012111000082</t>
  </si>
  <si>
    <t>นางสาว นัชนรินทร์ แก้ววันทา</t>
  </si>
  <si>
    <t>(คืนค่าสมัคร+สอบ Elite )2 ชุด</t>
  </si>
  <si>
    <t xml:space="preserve">E-WALLET 12 NOV 2021                                                                                                                </t>
  </si>
  <si>
    <t>ETHBKK012111000092</t>
  </si>
  <si>
    <t>นาย สมชาย โพธิ์คำ</t>
  </si>
  <si>
    <t>คืนค่าสมัคร</t>
  </si>
  <si>
    <t>ETHBKK012111000091</t>
  </si>
  <si>
    <t>นาง บุญญานุช&amp;#8203; ยอดดี</t>
  </si>
  <si>
    <t>คืนค่าสมัคร+c4</t>
  </si>
  <si>
    <t>ETHBKK012111000090</t>
  </si>
  <si>
    <t>นางสาว Khy Sokny</t>
  </si>
  <si>
    <t>ETHBKK012111000089</t>
  </si>
  <si>
    <t>Miss. SOK KHIM</t>
  </si>
  <si>
    <t>ETHBKK012111000088</t>
  </si>
  <si>
    <t>นาย DOEM SEIHA</t>
  </si>
  <si>
    <t>ETHBKK012111000087</t>
  </si>
  <si>
    <t>นาย ทวีป แสงสอาด</t>
  </si>
  <si>
    <t>ETHBKK012111000086</t>
  </si>
  <si>
    <t>นาง นางกานดา วงศ์เทพนิวัติ</t>
  </si>
  <si>
    <t>ETHBKK012111000085</t>
  </si>
  <si>
    <t>นาง ภัทฐิชา พุ่มพุก</t>
  </si>
  <si>
    <t>ETHBKK012111000084</t>
  </si>
  <si>
    <t>นาย CHUON KHUN</t>
  </si>
  <si>
    <t>เติมคืนค่าสมัครสมาชิก</t>
  </si>
  <si>
    <t xml:space="preserve">E-WALLET 13 NOV 2021                                                                                                                </t>
  </si>
  <si>
    <t>11/13/2021</t>
  </si>
  <si>
    <t>ETHBKK012111000093</t>
  </si>
  <si>
    <t>นาย กฤษณะ บุรณพันธ์</t>
  </si>
  <si>
    <t>ETHBKK012111000095</t>
  </si>
  <si>
    <t>นาง เกสร น้ำดอกไม้</t>
  </si>
  <si>
    <t>ETHBKK012111000096</t>
  </si>
  <si>
    <t>นางสาว นลินทิพย์ สุทธิประภา</t>
  </si>
  <si>
    <t>ETHBKK012111000097</t>
  </si>
  <si>
    <t>วริศรา ไชยบุตร</t>
  </si>
  <si>
    <t>ETHBKK012111000098</t>
  </si>
  <si>
    <t>Mrs. SOEUNG RY</t>
  </si>
  <si>
    <t>ple bkk</t>
  </si>
  <si>
    <t xml:space="preserve">E-WALLET 14 NOV 2021                                                                                                                </t>
  </si>
  <si>
    <t>11/14/2021</t>
  </si>
  <si>
    <t>ETHBKK012111000099</t>
  </si>
  <si>
    <t>นางสาว พัชรินทร์ ธรรมชาติ</t>
  </si>
  <si>
    <t xml:space="preserve">E-WALLET 15 NOV 2021                                                                                                                </t>
  </si>
  <si>
    <t>ETHBKK012111000100</t>
  </si>
  <si>
    <t>นาย ธำรงค์ศักดิ์ มะลิซ้อน</t>
  </si>
  <si>
    <t>ETHBKK012111000101</t>
  </si>
  <si>
    <t>คืนค่าสมัคร+c4 62758</t>
  </si>
  <si>
    <t>ETHBKK012111000102</t>
  </si>
  <si>
    <t>ห้างหุ้นส่วน ไดม่อนอันดามัน เน็ตเวิร์ค จำกัด (สำนักงานใหญ่)</t>
  </si>
  <si>
    <t>ค่าสมัคร +ค่าc4 โฟร 2 รหัส 64857</t>
  </si>
  <si>
    <t>ETHBKK012111000103</t>
  </si>
  <si>
    <t>บริษัท เอ็น.พี มาร์เก็ตติ้ง แบรนด์ จำกัด</t>
  </si>
  <si>
    <t>คืนค่าสมัคร 64703</t>
  </si>
  <si>
    <t>ETHBKK012111000104</t>
  </si>
  <si>
    <t>นาย ทนงศักดิ์ รัตนบุรี</t>
  </si>
  <si>
    <t>คืนค่าสมัคร64605</t>
  </si>
  <si>
    <t>ETHBKK012111000105</t>
  </si>
  <si>
    <t>นาง พิชาวีร์ บวรธีราเศรษฐ์</t>
  </si>
  <si>
    <t>คืนค่าสมัคร65193</t>
  </si>
  <si>
    <t>ETHBKK012111000106</t>
  </si>
  <si>
    <t>นาง ทิพยาภรณ์ ฆ้องวงษ์</t>
  </si>
  <si>
    <t xml:space="preserve">E-WALLET 16 NOV 2021                                                                                                                </t>
  </si>
  <si>
    <t>11/16/2021</t>
  </si>
  <si>
    <t>ETHBKK012111000110</t>
  </si>
  <si>
    <t>นาย สุภฤกษ์ ทองสุขดี</t>
  </si>
  <si>
    <t>คืนค่าสมัคร + สอบ</t>
  </si>
  <si>
    <t>ETHBKK012111000109</t>
  </si>
  <si>
    <t xml:space="preserve">คืนค่าสมัคร 8 ชุด </t>
  </si>
  <si>
    <t>ETHBKK012111000108</t>
  </si>
  <si>
    <t>อรุณรุ่ง บุญบุษกร</t>
  </si>
  <si>
    <t>ETHBKK012111000107</t>
  </si>
  <si>
    <t>นาง ลำเพลิน พุ่มไสว</t>
  </si>
  <si>
    <t xml:space="preserve">E-WALLET 17 NOV 2021                                                                                                                </t>
  </si>
  <si>
    <t>ETHONLIN2111000193</t>
  </si>
  <si>
    <t>ศศกร อมตวงษ์ นาง</t>
  </si>
  <si>
    <t>ETHBKK012111000111</t>
  </si>
  <si>
    <t>ร้าน first beautiful</t>
  </si>
  <si>
    <t xml:space="preserve">E-WALLET 18 NOV 2021                                                                                                                </t>
  </si>
  <si>
    <t xml:space="preserve">E-WALLET 19 NOV 2021                                                                                                                </t>
  </si>
  <si>
    <t xml:space="preserve">E-WALLET 20 NOV 2021                                                                                                                </t>
  </si>
  <si>
    <t>11/20/2021</t>
  </si>
  <si>
    <t>ETHBKK012111000112</t>
  </si>
  <si>
    <t>ดร. โนรี เต๊ะหละ</t>
  </si>
  <si>
    <t>ETHONLIN2111000223</t>
  </si>
  <si>
    <t>ETHONLIN2111000224</t>
  </si>
  <si>
    <t>AN VANNARY นางสาว</t>
  </si>
  <si>
    <t>ETHONLIN2111000225</t>
  </si>
  <si>
    <t>NUB HOV นาย</t>
  </si>
  <si>
    <t>ETHONLIN2111000226</t>
  </si>
  <si>
    <t>THOEURN SOPHEAREAK นาย</t>
  </si>
  <si>
    <t>ETHONLIN2111000227</t>
  </si>
  <si>
    <t>ETHONLIN2111000228</t>
  </si>
  <si>
    <t>SOEUNG RY Mrs.</t>
  </si>
  <si>
    <t>ETHONLIN2111000229</t>
  </si>
  <si>
    <t>SOK KHIM Miss.</t>
  </si>
  <si>
    <t>ETHONLIN2111000230</t>
  </si>
  <si>
    <t>ภัคจิรา คำแป้น นาง</t>
  </si>
  <si>
    <t>ETHONLIN2111000231</t>
  </si>
  <si>
    <t>ETHONLIN2111000232</t>
  </si>
  <si>
    <t xml:space="preserve">E-WALLET 21 NOV 2021                                                                                                                </t>
  </si>
  <si>
    <t>ETHBKK012111000113</t>
  </si>
  <si>
    <t>นาง ฐานมญ ชลคีรี</t>
  </si>
  <si>
    <t>ETHBKK012111000114</t>
  </si>
  <si>
    <t>นาง นาง เต็มลักษณ์ ยวงลำใย</t>
  </si>
  <si>
    <t xml:space="preserve">E-WALLET 23 NOV 2021                                                                                                                </t>
  </si>
  <si>
    <t>11/23/2021</t>
  </si>
  <si>
    <t>ETHONLIN2111000242</t>
  </si>
  <si>
    <t>ETHONLIN2111000241</t>
  </si>
  <si>
    <t>ETHONLIN2111000240</t>
  </si>
  <si>
    <t>ETHONLIN2111000239</t>
  </si>
  <si>
    <t xml:space="preserve">E-WALLET 24 NOV 2021                                                                                                                </t>
  </si>
  <si>
    <t>11/24/2021</t>
  </si>
  <si>
    <t>ETHBKK012111000117</t>
  </si>
  <si>
    <t>ETHONLIN2111000286</t>
  </si>
  <si>
    <t>ETHBKK012111000116</t>
  </si>
  <si>
    <t>นาย ศราวุฒน์ สินธุวรโรจน์</t>
  </si>
  <si>
    <t xml:space="preserve">E-WALLET 25 NOV 2021                                                                                                                </t>
  </si>
  <si>
    <t>11/25/2021</t>
  </si>
  <si>
    <t>ETHONLIN2111000300</t>
  </si>
  <si>
    <t>ETHONLIN2111000299</t>
  </si>
  <si>
    <t>ETHONLIN2111000298</t>
  </si>
  <si>
    <t>ETHONLIN2111000297</t>
  </si>
  <si>
    <t>ETHONLIN2111000296</t>
  </si>
  <si>
    <t>สิทธิรัตน์ กันทะวงศ์วาร นาง</t>
  </si>
  <si>
    <t>ETHONLIN2111000295</t>
  </si>
  <si>
    <t xml:space="preserve">KHAM THEARITH </t>
  </si>
  <si>
    <t>ETHONLIN2111000294</t>
  </si>
  <si>
    <t>THOEURN SOPHEAREAK</t>
  </si>
  <si>
    <t xml:space="preserve">E-WALLET 26 NOV 2021                                                                                                                </t>
  </si>
  <si>
    <t>11/26/2021</t>
  </si>
  <si>
    <t>ETHBKK012111000118</t>
  </si>
  <si>
    <t>นาง ภัทรพิดา อุ่นโสดา</t>
  </si>
  <si>
    <t xml:space="preserve">E-WALLET 27 NOV 2021                                                                                                                </t>
  </si>
  <si>
    <t>ETHONLIN2111000301</t>
  </si>
  <si>
    <t xml:space="preserve">DOEM SEIHA </t>
  </si>
  <si>
    <t>ETHONLIN2111000302</t>
  </si>
  <si>
    <t xml:space="preserve">E-WALLET 28 NOV 2021                                                                                                                </t>
  </si>
  <si>
    <t>ETHONLIN2111000303</t>
  </si>
  <si>
    <t>ETHBKK012111000119</t>
  </si>
  <si>
    <t>นาย วิเชษฐ สกุลหอม</t>
  </si>
  <si>
    <t>ETHONLIN2111000304</t>
  </si>
  <si>
    <t>มณีนุช นิลกรณ์ นางสาว</t>
  </si>
  <si>
    <t xml:space="preserve">E-WALLET 29 NOV 2021                                                                                                                </t>
  </si>
  <si>
    <t>ETHONLIN2111000331</t>
  </si>
  <si>
    <t>รัชตวรรณ เนาวสินธ์ นางสาว</t>
  </si>
  <si>
    <t>ETHONLIN2111000349</t>
  </si>
  <si>
    <t>ETHONLIN2111000350</t>
  </si>
  <si>
    <t>PROEURM PHEROM Mr.</t>
  </si>
  <si>
    <t>ETHONLIN2111000351</t>
  </si>
  <si>
    <t xml:space="preserve">E-WALLET 30 NOV 2021                                                                                                                </t>
  </si>
  <si>
    <t>ETHONLIN2111000381</t>
  </si>
  <si>
    <t>เครือข่ายปิยธนา ( สำนักงานใหญ่ ) ห้างหุ้นส่วน</t>
  </si>
  <si>
    <t>ETHONLIN2111000382</t>
  </si>
  <si>
    <t>ETHONLIN2111000383</t>
  </si>
  <si>
    <t>THAI SORIN นาย</t>
  </si>
  <si>
    <t>ETHONLIN2111000384</t>
  </si>
  <si>
    <t>THOEURN RITHYLYMENG นาย</t>
  </si>
  <si>
    <t>ETHONLIN2111000385</t>
  </si>
  <si>
    <t>ETHONLIN2111000387</t>
  </si>
  <si>
    <t>KHAM THEARITH นาย</t>
  </si>
  <si>
    <t>ETHONLIN2111000388</t>
  </si>
  <si>
    <t>ETHONLIN2111000389</t>
  </si>
  <si>
    <t>ETHBKK012111000120</t>
  </si>
  <si>
    <t>ETHBKK012111000121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</si>
</sst>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,###_);\(#,###\)"/>
    <numFmt numFmtId="166" formatCode="yyyy-mm-dd"/>
    <numFmt numFmtId="167" formatCode="d/m/yy"/>
  </numFmts>
  <fonts count="34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rgb="FF000000"/>
      <name val="Calibri"/>
    </font>
    <font>
      <sz val="14.0"/>
      <color rgb="FF34A853"/>
      <name val="Calibri"/>
    </font>
    <font>
      <sz val="15.0"/>
      <color rgb="FFFF6D01"/>
      <name val="Calibri"/>
    </font>
    <font>
      <sz val="15.0"/>
      <color rgb="FF000000"/>
      <name val="Calibri"/>
    </font>
    <font>
      <sz val="14.0"/>
      <color rgb="FFFF0000"/>
      <name val="Calibri"/>
    </font>
    <font>
      <sz val="14.0"/>
      <color rgb="FF4285F4"/>
      <name val="Calibri"/>
    </font>
    <font>
      <sz val="14.0"/>
      <color rgb="FFFF00FF"/>
      <name val="Calibri"/>
    </font>
    <font>
      <sz val="14.0"/>
      <color rgb="FFFF6D01"/>
      <name val="Calibri"/>
    </font>
    <font>
      <b/>
      <sz val="18.0"/>
      <color theme="1"/>
      <name val="Calibri"/>
    </font>
    <font>
      <sz val="14.0"/>
      <color theme="1"/>
      <name val="Arial"/>
    </font>
    <font>
      <b/>
      <sz val="14.0"/>
      <color theme="5"/>
      <name val="Calibri"/>
    </font>
    <font>
      <sz val="14.0"/>
      <color rgb="FF34A853"/>
      <name val="Arial"/>
    </font>
    <font>
      <sz val="13.0"/>
      <color rgb="FF3E3E3E"/>
      <name val="Tahoma"/>
    </font>
    <font>
      <sz val="12.0"/>
      <color rgb="FF4A86E8"/>
      <name val="Arial"/>
    </font>
    <font>
      <sz val="15.0"/>
      <color theme="1"/>
      <name val="Arial"/>
    </font>
    <font>
      <sz val="15.0"/>
      <color rgb="FF3E3E3E"/>
      <name val="Tahoma"/>
    </font>
    <font>
      <sz val="15.0"/>
      <color rgb="FFFF0000"/>
      <name val="Calibri"/>
    </font>
    <font>
      <sz val="16.0"/>
      <color rgb="FF000000"/>
      <name val="Calibri"/>
    </font>
    <font>
      <sz val="17.0"/>
      <color rgb="FF000000"/>
      <name val="Calibri"/>
    </font>
    <font>
      <sz val="18.0"/>
      <color rgb="FF000000"/>
      <name val="Calibri"/>
    </font>
    <font>
      <b/>
      <sz val="14.0"/>
      <color rgb="FF34A853"/>
      <name val="Calibri"/>
    </font>
    <font>
      <sz val="15.0"/>
      <color rgb="FFFF9900"/>
      <name val="Calibri"/>
    </font>
    <font>
      <sz val="15.0"/>
      <color rgb="FF34A853"/>
      <name val="Calibri"/>
    </font>
    <font>
      <sz val="12.0"/>
      <color theme="4"/>
      <name val="Arial"/>
    </font>
    <font>
      <b/>
      <sz val="18.0"/>
      <color rgb="FFFF9900"/>
      <name val="Calibri"/>
    </font>
    <font>
      <b/>
      <sz val="18.0"/>
      <color rgb="FF34A853"/>
      <name val="Calibri"/>
    </font>
    <font>
      <b/>
      <sz val="18.0"/>
      <color theme="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5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readingOrder="0" vertical="top"/>
    </xf>
    <xf borderId="6" fillId="0" fontId="2" numFmtId="0" xfId="0" applyBorder="1" applyFont="1"/>
    <xf borderId="7" fillId="3" fontId="4" numFmtId="0" xfId="0" applyAlignment="1" applyBorder="1" applyFont="1">
      <alignment horizontal="center" vertical="bottom"/>
    </xf>
    <xf borderId="7" fillId="4" fontId="6" numFmtId="0" xfId="0" applyAlignment="1" applyBorder="1" applyFill="1" applyFont="1">
      <alignment horizontal="center" vertical="bottom"/>
    </xf>
    <xf borderId="7" fillId="0" fontId="7" numFmtId="164" xfId="0" applyAlignment="1" applyBorder="1" applyFont="1" applyNumberFormat="1">
      <alignment horizontal="right" readingOrder="0" shrinkToFit="0" vertical="bottom" wrapText="0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4" fontId="6" numFmtId="38" xfId="0" applyAlignment="1" applyBorder="1" applyFont="1" applyNumberFormat="1">
      <alignment horizontal="center" vertical="bottom"/>
    </xf>
    <xf borderId="7" fillId="4" fontId="3" numFmtId="38" xfId="0" applyAlignment="1" applyBorder="1" applyFont="1" applyNumberFormat="1">
      <alignment horizontal="center" vertical="bottom"/>
    </xf>
    <xf borderId="7" fillId="4" fontId="8" numFmtId="38" xfId="0" applyAlignment="1" applyBorder="1" applyFont="1" applyNumberFormat="1">
      <alignment horizontal="center" readingOrder="0" vertical="bottom"/>
    </xf>
    <xf borderId="7" fillId="0" fontId="9" numFmtId="38" xfId="0" applyAlignment="1" applyBorder="1" applyFont="1" applyNumberFormat="1">
      <alignment horizontal="center" readingOrder="0" shrinkToFit="0" vertical="bottom" wrapText="0"/>
    </xf>
    <xf borderId="7" fillId="0" fontId="10" numFmtId="38" xfId="0" applyAlignment="1" applyBorder="1" applyFont="1" applyNumberFormat="1">
      <alignment horizontal="center" readingOrder="0" shrinkToFit="0" vertical="bottom" wrapText="0"/>
    </xf>
    <xf borderId="7" fillId="0" fontId="11" numFmtId="38" xfId="0" applyAlignment="1" applyBorder="1" applyFont="1" applyNumberFormat="1">
      <alignment readingOrder="0" shrinkToFit="0" vertical="bottom" wrapText="0"/>
    </xf>
    <xf borderId="7" fillId="0" fontId="7" numFmtId="38" xfId="0" applyAlignment="1" applyBorder="1" applyFont="1" applyNumberFormat="1">
      <alignment shrinkToFit="0" vertical="bottom" wrapText="0"/>
    </xf>
    <xf borderId="0" fillId="4" fontId="3" numFmtId="0" xfId="0" applyAlignment="1" applyFont="1">
      <alignment vertical="bottom"/>
    </xf>
    <xf borderId="7" fillId="4" fontId="6" numFmtId="0" xfId="0" applyAlignment="1" applyBorder="1" applyFont="1">
      <alignment horizontal="center" readingOrder="0" vertical="bottom"/>
    </xf>
    <xf borderId="0" fillId="4" fontId="6" numFmtId="4" xfId="0" applyAlignment="1" applyFont="1" applyNumberFormat="1">
      <alignment readingOrder="0"/>
    </xf>
    <xf borderId="7" fillId="4" fontId="12" numFmtId="38" xfId="0" applyAlignment="1" applyBorder="1" applyFont="1" applyNumberFormat="1">
      <alignment horizontal="center" vertical="bottom"/>
    </xf>
    <xf borderId="7" fillId="0" fontId="7" numFmtId="38" xfId="0" applyAlignment="1" applyBorder="1" applyFont="1" applyNumberFormat="1">
      <alignment horizontal="left" readingOrder="0" shrinkToFit="0" vertical="bottom" wrapText="0"/>
    </xf>
    <xf borderId="7" fillId="4" fontId="6" numFmtId="38" xfId="0" applyAlignment="1" applyBorder="1" applyFont="1" applyNumberFormat="1">
      <alignment horizontal="center" readingOrder="0" vertical="bottom"/>
    </xf>
    <xf borderId="7" fillId="4" fontId="3" numFmtId="38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vertical="bottom"/>
    </xf>
    <xf borderId="7" fillId="0" fontId="11" numFmtId="165" xfId="0" applyAlignment="1" applyBorder="1" applyFont="1" applyNumberFormat="1">
      <alignment horizontal="center" vertical="bottom"/>
    </xf>
    <xf borderId="7" fillId="0" fontId="13" numFmtId="165" xfId="0" applyAlignment="1" applyBorder="1" applyFont="1" applyNumberFormat="1">
      <alignment horizontal="center" vertical="bottom"/>
    </xf>
    <xf borderId="7" fillId="0" fontId="14" numFmtId="165" xfId="0" applyAlignment="1" applyBorder="1" applyFont="1" applyNumberFormat="1">
      <alignment horizontal="center" vertical="bottom"/>
    </xf>
    <xf borderId="7" fillId="0" fontId="8" numFmtId="165" xfId="0" applyAlignment="1" applyBorder="1" applyFont="1" applyNumberFormat="1">
      <alignment horizontal="center" vertical="bottom"/>
    </xf>
    <xf borderId="7" fillId="4" fontId="12" numFmtId="165" xfId="0" applyAlignment="1" applyBorder="1" applyFont="1" applyNumberFormat="1">
      <alignment horizontal="center" vertical="bottom"/>
    </xf>
    <xf borderId="7" fillId="0" fontId="6" numFmtId="165" xfId="0" applyAlignment="1" applyBorder="1" applyFont="1" applyNumberFormat="1">
      <alignment horizontal="center" vertical="bottom"/>
    </xf>
    <xf borderId="7" fillId="0" fontId="11" numFmtId="165" xfId="0" applyAlignment="1" applyBorder="1" applyFont="1" applyNumberFormat="1">
      <alignment horizontal="right" vertical="bottom"/>
    </xf>
    <xf borderId="7" fillId="0" fontId="6" numFmtId="165" xfId="0" applyAlignment="1" applyBorder="1" applyFont="1" applyNumberFormat="1">
      <alignment horizontal="right" vertical="bottom"/>
    </xf>
    <xf borderId="1" fillId="4" fontId="15" numFmtId="165" xfId="0" applyAlignment="1" applyBorder="1" applyFont="1" applyNumberFormat="1">
      <alignment horizontal="center" vertical="bottom"/>
    </xf>
    <xf borderId="7" fillId="0" fontId="7" numFmtId="164" xfId="0" applyAlignment="1" applyBorder="1" applyFont="1" applyNumberFormat="1">
      <alignment horizontal="center" readingOrder="0" shrinkToFit="0" vertical="bottom" wrapText="0"/>
    </xf>
    <xf borderId="7" fillId="0" fontId="7" numFmtId="4" xfId="0" applyAlignment="1" applyBorder="1" applyFont="1" applyNumberForma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4" fontId="16" numFmtId="38" xfId="0" applyAlignment="1" applyBorder="1" applyFont="1" applyNumberFormat="1">
      <alignment horizontal="center" vertical="bottom"/>
    </xf>
    <xf borderId="7" fillId="4" fontId="16" numFmtId="38" xfId="0" applyAlignment="1" applyBorder="1" applyFont="1" applyNumberFormat="1">
      <alignment horizontal="center" readingOrder="0" vertical="bottom"/>
    </xf>
    <xf borderId="7" fillId="0" fontId="14" numFmtId="38" xfId="0" applyAlignment="1" applyBorder="1" applyFont="1" applyNumberFormat="1">
      <alignment horizontal="center" readingOrder="0" shrinkToFit="0" vertical="bottom" wrapText="0"/>
    </xf>
    <xf borderId="0" fillId="4" fontId="6" numFmtId="4" xfId="0" applyAlignment="1" applyFont="1" applyNumberFormat="1">
      <alignment horizontal="center" readingOrder="0"/>
    </xf>
    <xf borderId="7" fillId="0" fontId="17" numFmtId="38" xfId="0" applyAlignment="1" applyBorder="1" applyFont="1" applyNumberFormat="1">
      <alignment readingOrder="0" shrinkToFit="0" vertical="bottom" wrapText="0"/>
    </xf>
    <xf borderId="7" fillId="0" fontId="5" numFmtId="165" xfId="0" applyAlignment="1" applyBorder="1" applyFont="1" applyNumberFormat="1">
      <alignment horizontal="center" vertical="bottom"/>
    </xf>
    <xf borderId="7" fillId="0" fontId="10" numFmtId="38" xfId="0" applyAlignment="1" applyBorder="1" applyFont="1" applyNumberFormat="1">
      <alignment horizontal="right" shrinkToFit="0" vertical="bottom" wrapText="0"/>
    </xf>
    <xf borderId="7" fillId="0" fontId="10" numFmtId="38" xfId="0" applyAlignment="1" applyBorder="1" applyFont="1" applyNumberFormat="1">
      <alignment horizontal="left" readingOrder="0" shrinkToFit="0" vertical="bottom" wrapText="0"/>
    </xf>
    <xf borderId="7" fillId="5" fontId="18" numFmtId="38" xfId="0" applyAlignment="1" applyBorder="1" applyFill="1" applyFont="1" applyNumberFormat="1">
      <alignment horizontal="center" readingOrder="0" vertical="bottom"/>
    </xf>
    <xf borderId="7" fillId="4" fontId="12" numFmtId="38" xfId="0" applyAlignment="1" applyBorder="1" applyFont="1" applyNumberFormat="1">
      <alignment horizontal="center" readingOrder="0" vertical="bottom"/>
    </xf>
    <xf borderId="7" fillId="0" fontId="10" numFmtId="38" xfId="0" applyAlignment="1" applyBorder="1" applyFont="1" applyNumberFormat="1">
      <alignment shrinkToFit="0" vertical="bottom" wrapText="0"/>
    </xf>
    <xf borderId="7" fillId="5" fontId="11" numFmtId="38" xfId="0" applyAlignment="1" applyBorder="1" applyFont="1" applyNumberFormat="1">
      <alignment horizontal="center" vertical="bottom"/>
    </xf>
    <xf borderId="7" fillId="0" fontId="10" numFmtId="38" xfId="0" applyAlignment="1" applyBorder="1" applyFont="1" applyNumberFormat="1">
      <alignment horizontal="right" readingOrder="0" shrinkToFit="0" vertical="bottom" wrapText="0"/>
    </xf>
    <xf borderId="7" fillId="4" fontId="18" numFmtId="38" xfId="0" applyAlignment="1" applyBorder="1" applyFont="1" applyNumberFormat="1">
      <alignment horizontal="center" readingOrder="0" vertical="bottom"/>
    </xf>
    <xf borderId="7" fillId="5" fontId="11" numFmtId="38" xfId="0" applyAlignment="1" applyBorder="1" applyFont="1" applyNumberFormat="1">
      <alignment horizontal="center" readingOrder="0" vertical="bottom"/>
    </xf>
    <xf borderId="7" fillId="4" fontId="18" numFmtId="38" xfId="0" applyAlignment="1" applyBorder="1" applyFont="1" applyNumberFormat="1">
      <alignment horizontal="center" vertical="bottom"/>
    </xf>
    <xf borderId="7" fillId="0" fontId="10" numFmtId="38" xfId="0" applyAlignment="1" applyBorder="1" applyFont="1" applyNumberFormat="1">
      <alignment readingOrder="0" shrinkToFit="0" vertical="bottom" wrapText="0"/>
    </xf>
    <xf borderId="7" fillId="5" fontId="11" numFmtId="165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horizontal="left" readingOrder="0" vertical="bottom"/>
    </xf>
    <xf borderId="7" fillId="0" fontId="8" numFmtId="165" xfId="0" applyAlignment="1" applyBorder="1" applyFont="1" applyNumberFormat="1">
      <alignment horizontal="center" readingOrder="0" vertical="bottom"/>
    </xf>
    <xf borderId="7" fillId="0" fontId="7" numFmtId="0" xfId="0" applyAlignment="1" applyBorder="1" applyFont="1">
      <alignment horizontal="right" readingOrder="0" shrinkToFit="0" vertical="bottom" wrapText="0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0" fontId="3" numFmtId="0" xfId="0" applyAlignment="1" applyBorder="1" applyFont="1">
      <alignment horizontal="center" vertical="bottom"/>
    </xf>
    <xf borderId="7" fillId="4" fontId="15" numFmtId="165" xfId="0" applyAlignment="1" applyBorder="1" applyFont="1" applyNumberFormat="1">
      <alignment horizontal="center" vertical="bottom"/>
    </xf>
    <xf borderId="7" fillId="4" fontId="5" numFmtId="165" xfId="0" applyAlignment="1" applyBorder="1" applyFont="1" applyNumberFormat="1">
      <alignment horizontal="center" vertical="bottom"/>
    </xf>
    <xf borderId="7" fillId="4" fontId="5" numFmtId="165" xfId="0" applyAlignment="1" applyBorder="1" applyFont="1" applyNumberFormat="1">
      <alignment horizontal="right" vertical="bottom"/>
    </xf>
    <xf borderId="1" fillId="3" fontId="15" numFmtId="165" xfId="0" applyAlignment="1" applyBorder="1" applyFont="1" applyNumberFormat="1">
      <alignment horizontal="center" vertical="bottom"/>
    </xf>
    <xf borderId="7" fillId="5" fontId="19" numFmtId="166" xfId="0" applyAlignment="1" applyBorder="1" applyFont="1" applyNumberFormat="1">
      <alignment readingOrder="0"/>
    </xf>
    <xf borderId="6" fillId="0" fontId="10" numFmtId="38" xfId="0" applyAlignment="1" applyBorder="1" applyFont="1" applyNumberFormat="1">
      <alignment horizontal="left" readingOrder="0" shrinkToFit="0" vertical="bottom" wrapText="0"/>
    </xf>
    <xf borderId="7" fillId="0" fontId="11" numFmtId="38" xfId="0" applyAlignment="1" applyBorder="1" applyFont="1" applyNumberFormat="1">
      <alignment shrinkToFit="0" vertical="bottom" wrapText="0"/>
    </xf>
    <xf borderId="7" fillId="4" fontId="20" numFmtId="38" xfId="0" applyAlignment="1" applyBorder="1" applyFont="1" applyNumberFormat="1">
      <alignment horizontal="center" readingOrder="0" vertical="bottom"/>
    </xf>
    <xf borderId="7" fillId="0" fontId="10" numFmtId="0" xfId="0" applyAlignment="1" applyBorder="1" applyFont="1">
      <alignment horizontal="right" readingOrder="0" shrinkToFit="0" vertical="bottom" wrapText="0"/>
    </xf>
    <xf borderId="7" fillId="0" fontId="10" numFmtId="4" xfId="0" applyAlignment="1" applyBorder="1" applyFont="1" applyNumberFormat="1">
      <alignment horizontal="left" readingOrder="0" shrinkToFit="0" vertical="bottom" wrapText="0"/>
    </xf>
    <xf borderId="7" fillId="0" fontId="10" numFmtId="0" xfId="0" applyAlignment="1" applyBorder="1" applyFont="1">
      <alignment horizontal="left" readingOrder="0" shrinkToFit="0" vertical="bottom" wrapText="0"/>
    </xf>
    <xf borderId="7" fillId="4" fontId="21" numFmtId="38" xfId="0" applyAlignment="1" applyBorder="1" applyFont="1" applyNumberFormat="1">
      <alignment horizontal="center" vertical="bottom"/>
    </xf>
    <xf borderId="7" fillId="5" fontId="22" numFmtId="166" xfId="0" applyAlignment="1" applyBorder="1" applyFont="1" applyNumberFormat="1">
      <alignment readingOrder="0"/>
    </xf>
    <xf borderId="7" fillId="0" fontId="10" numFmtId="0" xfId="0" applyAlignment="1" applyBorder="1" applyFont="1">
      <alignment horizontal="center" readingOrder="0" shrinkToFit="0" vertical="bottom" wrapText="0"/>
    </xf>
    <xf borderId="7" fillId="5" fontId="23" numFmtId="38" xfId="0" applyAlignment="1" applyBorder="1" applyFont="1" applyNumberFormat="1">
      <alignment horizontal="center" vertical="bottom"/>
    </xf>
    <xf borderId="7" fillId="4" fontId="21" numFmtId="38" xfId="0" applyAlignment="1" applyBorder="1" applyFont="1" applyNumberFormat="1">
      <alignment horizontal="center" readingOrder="0" vertical="bottom"/>
    </xf>
    <xf borderId="7" fillId="0" fontId="24" numFmtId="0" xfId="0" applyAlignment="1" applyBorder="1" applyFont="1">
      <alignment horizontal="right" readingOrder="0" shrinkToFit="0" vertical="bottom" wrapText="0"/>
    </xf>
    <xf borderId="7" fillId="0" fontId="24" numFmtId="4" xfId="0" applyAlignment="1" applyBorder="1" applyFont="1" applyNumberFormat="1">
      <alignment horizontal="left" readingOrder="0" shrinkToFit="0" vertical="bottom" wrapText="0"/>
    </xf>
    <xf borderId="7" fillId="0" fontId="24" numFmtId="0" xfId="0" applyAlignment="1" applyBorder="1" applyFont="1">
      <alignment horizontal="left" readingOrder="0" shrinkToFit="0" vertical="bottom" wrapText="0"/>
    </xf>
    <xf borderId="7" fillId="0" fontId="25" numFmtId="38" xfId="0" applyAlignment="1" applyBorder="1" applyFont="1" applyNumberFormat="1">
      <alignment horizontal="right" readingOrder="0" shrinkToFit="0" vertical="bottom" wrapText="0"/>
    </xf>
    <xf borderId="7" fillId="0" fontId="26" numFmtId="38" xfId="0" applyAlignment="1" applyBorder="1" applyFont="1" applyNumberFormat="1">
      <alignment horizontal="right" readingOrder="0" shrinkToFit="0" vertical="bottom" wrapText="0"/>
    </xf>
    <xf borderId="7" fillId="0" fontId="24" numFmtId="0" xfId="0" applyAlignment="1" applyBorder="1" applyFont="1">
      <alignment horizontal="center" readingOrder="0" shrinkToFit="0" vertical="bottom" wrapText="0"/>
    </xf>
    <xf borderId="7" fillId="0" fontId="24" numFmtId="167" xfId="0" applyAlignment="1" applyBorder="1" applyFont="1" applyNumberFormat="1">
      <alignment horizontal="right" readingOrder="0" shrinkToFit="0" vertical="bottom" wrapText="0"/>
    </xf>
    <xf borderId="7" fillId="3" fontId="27" numFmtId="0" xfId="0" applyAlignment="1" applyBorder="1" applyFont="1">
      <alignment horizontal="center" vertical="bottom"/>
    </xf>
    <xf borderId="7" fillId="0" fontId="28" numFmtId="38" xfId="0" applyAlignment="1" applyBorder="1" applyFont="1" applyNumberFormat="1">
      <alignment horizontal="right" readingOrder="0" shrinkToFit="0" vertical="bottom" wrapText="0"/>
    </xf>
    <xf borderId="7" fillId="0" fontId="29" numFmtId="38" xfId="0" applyAlignment="1" applyBorder="1" applyFont="1" applyNumberFormat="1">
      <alignment horizontal="right" readingOrder="0" shrinkToFit="0" vertical="bottom" wrapText="0"/>
    </xf>
    <xf borderId="7" fillId="4" fontId="30" numFmtId="38" xfId="0" applyAlignment="1" applyBorder="1" applyFont="1" applyNumberFormat="1">
      <alignment horizontal="center" readingOrder="0" vertical="bottom"/>
    </xf>
    <xf borderId="7" fillId="4" fontId="31" numFmtId="165" xfId="0" applyAlignment="1" applyBorder="1" applyFont="1" applyNumberFormat="1">
      <alignment horizontal="center" vertical="bottom"/>
    </xf>
    <xf borderId="7" fillId="4" fontId="32" numFmtId="165" xfId="0" applyAlignment="1" applyBorder="1" applyFont="1" applyNumberFormat="1">
      <alignment horizontal="center" vertical="bottom"/>
    </xf>
    <xf borderId="7" fillId="4" fontId="3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36.25"/>
    <col customWidth="1" min="11" max="11" width="14.5"/>
    <col customWidth="1" min="12" max="12" width="15.13"/>
    <col customWidth="1" min="13" max="13" width="13.63"/>
    <col customWidth="1" min="14" max="14" width="28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5">
        <v>1.0</v>
      </c>
      <c r="B5" s="16">
        <v>44480.0</v>
      </c>
      <c r="C5" s="17" t="s">
        <v>18</v>
      </c>
      <c r="D5" s="18">
        <v>60481.0</v>
      </c>
      <c r="E5" s="18" t="s">
        <v>19</v>
      </c>
      <c r="F5" s="19"/>
      <c r="G5" s="20"/>
      <c r="H5" s="20"/>
      <c r="I5" s="21">
        <v>200.0</v>
      </c>
      <c r="J5" s="20"/>
      <c r="K5" s="22"/>
      <c r="L5" s="23">
        <v>200.0</v>
      </c>
      <c r="M5" s="24">
        <f t="shared" ref="M5:M10" si="1">SUM(F5+G5+H5+I5+J5+K5-L5)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16">
        <v>44480.0</v>
      </c>
      <c r="C6" s="28" t="s">
        <v>20</v>
      </c>
      <c r="D6" s="18">
        <v>51170.0</v>
      </c>
      <c r="E6" s="18" t="s">
        <v>21</v>
      </c>
      <c r="F6" s="19"/>
      <c r="G6" s="20"/>
      <c r="H6" s="20"/>
      <c r="I6" s="20"/>
      <c r="J6" s="29"/>
      <c r="K6" s="22">
        <v>200.0</v>
      </c>
      <c r="L6" s="23">
        <v>200.0</v>
      </c>
      <c r="M6" s="24">
        <f t="shared" si="1"/>
        <v>0</v>
      </c>
      <c r="N6" s="30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5">
        <v>3.0</v>
      </c>
      <c r="B7" s="16">
        <v>44480.0</v>
      </c>
      <c r="C7" s="17" t="s">
        <v>22</v>
      </c>
      <c r="D7" s="18">
        <v>30933.0</v>
      </c>
      <c r="E7" s="18" t="s">
        <v>23</v>
      </c>
      <c r="F7" s="31">
        <v>0.0</v>
      </c>
      <c r="G7" s="20"/>
      <c r="H7" s="20"/>
      <c r="I7" s="32"/>
      <c r="J7" s="29"/>
      <c r="K7" s="22"/>
      <c r="L7" s="23">
        <v>9900.0</v>
      </c>
      <c r="M7" s="24">
        <f t="shared" si="1"/>
        <v>-9900</v>
      </c>
      <c r="N7" s="30" t="s">
        <v>24</v>
      </c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16">
        <v>44480.0</v>
      </c>
      <c r="C8" s="17" t="s">
        <v>25</v>
      </c>
      <c r="D8" s="18">
        <v>55008.0</v>
      </c>
      <c r="E8" s="18" t="s">
        <v>26</v>
      </c>
      <c r="F8" s="19"/>
      <c r="G8" s="20"/>
      <c r="H8" s="20"/>
      <c r="I8" s="21">
        <v>400.0</v>
      </c>
      <c r="J8" s="20"/>
      <c r="K8" s="22"/>
      <c r="L8" s="23">
        <v>400.0</v>
      </c>
      <c r="M8" s="24">
        <f t="shared" si="1"/>
        <v>0</v>
      </c>
      <c r="N8" s="2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5">
        <v>5.0</v>
      </c>
      <c r="B9" s="16">
        <v>44480.0</v>
      </c>
      <c r="C9" s="17" t="s">
        <v>27</v>
      </c>
      <c r="D9" s="18">
        <v>56151.0</v>
      </c>
      <c r="E9" s="18" t="s">
        <v>28</v>
      </c>
      <c r="F9" s="19"/>
      <c r="G9" s="20"/>
      <c r="H9" s="20"/>
      <c r="I9" s="21">
        <v>150.0</v>
      </c>
      <c r="J9" s="20"/>
      <c r="K9" s="22"/>
      <c r="L9" s="23">
        <v>150.0</v>
      </c>
      <c r="M9" s="24">
        <f t="shared" si="1"/>
        <v>0</v>
      </c>
      <c r="N9" s="25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16">
        <v>44480.0</v>
      </c>
      <c r="C10" s="17" t="s">
        <v>29</v>
      </c>
      <c r="D10" s="18">
        <v>36555.0</v>
      </c>
      <c r="E10" s="18" t="s">
        <v>30</v>
      </c>
      <c r="F10" s="31">
        <v>0.0</v>
      </c>
      <c r="G10" s="20"/>
      <c r="H10" s="20"/>
      <c r="I10" s="32"/>
      <c r="J10" s="29"/>
      <c r="K10" s="22"/>
      <c r="L10" s="23">
        <v>600.0</v>
      </c>
      <c r="M10" s="24">
        <f t="shared" si="1"/>
        <v>-600</v>
      </c>
      <c r="N10" s="30" t="s">
        <v>31</v>
      </c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5"/>
      <c r="B11" s="33"/>
      <c r="C11" s="33"/>
      <c r="D11" s="33"/>
      <c r="E11" s="33"/>
      <c r="F11" s="34">
        <f t="shared" ref="F11:M11" si="2">SUM(F5:F10)</f>
        <v>0</v>
      </c>
      <c r="G11" s="35">
        <f t="shared" si="2"/>
        <v>0</v>
      </c>
      <c r="H11" s="36">
        <f t="shared" si="2"/>
        <v>0</v>
      </c>
      <c r="I11" s="37">
        <f t="shared" si="2"/>
        <v>750</v>
      </c>
      <c r="J11" s="38">
        <f t="shared" si="2"/>
        <v>0</v>
      </c>
      <c r="K11" s="36">
        <f t="shared" si="2"/>
        <v>200</v>
      </c>
      <c r="L11" s="39">
        <f t="shared" si="2"/>
        <v>11450</v>
      </c>
      <c r="M11" s="40">
        <f t="shared" si="2"/>
        <v>-10500</v>
      </c>
      <c r="N11" s="41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33"/>
      <c r="B12" s="33"/>
      <c r="C12" s="33"/>
      <c r="D12" s="33"/>
      <c r="E12" s="33"/>
      <c r="F12" s="42">
        <f>F11+G11+H11+I11+J11+K11</f>
        <v>950</v>
      </c>
      <c r="G12" s="2"/>
      <c r="H12" s="2"/>
      <c r="I12" s="2"/>
      <c r="J12" s="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36.25"/>
    <col customWidth="1" min="11" max="11" width="14.5"/>
    <col customWidth="1" min="12" max="12" width="15.13"/>
    <col customWidth="1" min="13" max="13" width="13.63"/>
    <col customWidth="1" min="14" max="14" width="32.25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5">
        <v>1.0</v>
      </c>
      <c r="B5" s="43">
        <v>44511.0</v>
      </c>
      <c r="C5" s="44" t="s">
        <v>33</v>
      </c>
      <c r="D5" s="45">
        <v>57723.0</v>
      </c>
      <c r="E5" s="18" t="s">
        <v>34</v>
      </c>
      <c r="F5" s="19"/>
      <c r="G5" s="46"/>
      <c r="H5" s="47">
        <v>54000.0</v>
      </c>
      <c r="I5" s="21"/>
      <c r="J5" s="46"/>
      <c r="K5" s="48"/>
      <c r="L5" s="23">
        <v>54000.0</v>
      </c>
      <c r="M5" s="24">
        <f t="shared" ref="M5:M8" si="1">F5+G5+H5+I5+J5+K5-L5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43">
        <v>44511.0</v>
      </c>
      <c r="C6" s="49" t="s">
        <v>35</v>
      </c>
      <c r="D6" s="45">
        <v>57723.0</v>
      </c>
      <c r="E6" s="18" t="s">
        <v>34</v>
      </c>
      <c r="F6" s="19"/>
      <c r="G6" s="46"/>
      <c r="H6" s="47">
        <v>120000.0</v>
      </c>
      <c r="I6" s="46"/>
      <c r="J6" s="29"/>
      <c r="K6" s="48"/>
      <c r="L6" s="23">
        <v>120000.0</v>
      </c>
      <c r="M6" s="24">
        <f t="shared" si="1"/>
        <v>0</v>
      </c>
      <c r="N6" s="30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5">
        <v>3.0</v>
      </c>
      <c r="B7" s="43">
        <v>44511.0</v>
      </c>
      <c r="C7" s="44" t="s">
        <v>36</v>
      </c>
      <c r="D7" s="45">
        <v>57723.0</v>
      </c>
      <c r="E7" s="18" t="s">
        <v>34</v>
      </c>
      <c r="F7" s="31"/>
      <c r="G7" s="46"/>
      <c r="H7" s="47">
        <v>120000.0</v>
      </c>
      <c r="I7" s="47"/>
      <c r="J7" s="29"/>
      <c r="K7" s="48"/>
      <c r="L7" s="23">
        <v>120000.0</v>
      </c>
      <c r="M7" s="24">
        <f t="shared" si="1"/>
        <v>0</v>
      </c>
      <c r="N7" s="30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43">
        <v>44511.0</v>
      </c>
      <c r="C8" s="44" t="s">
        <v>37</v>
      </c>
      <c r="D8" s="45">
        <v>50820.0</v>
      </c>
      <c r="E8" s="18" t="s">
        <v>38</v>
      </c>
      <c r="F8" s="19"/>
      <c r="G8" s="46"/>
      <c r="H8" s="47"/>
      <c r="I8" s="21"/>
      <c r="J8" s="46"/>
      <c r="K8" s="48"/>
      <c r="L8" s="23">
        <v>600.0</v>
      </c>
      <c r="M8" s="24">
        <f t="shared" si="1"/>
        <v>-600</v>
      </c>
      <c r="N8" s="50" t="s">
        <v>39</v>
      </c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5"/>
      <c r="B9" s="33"/>
      <c r="C9" s="33"/>
      <c r="D9" s="33"/>
      <c r="E9" s="33"/>
      <c r="F9" s="34">
        <f t="shared" ref="F9:L9" si="2">SUM(F5:F8)</f>
        <v>0</v>
      </c>
      <c r="G9" s="35">
        <f t="shared" si="2"/>
        <v>0</v>
      </c>
      <c r="H9" s="36">
        <f t="shared" si="2"/>
        <v>294000</v>
      </c>
      <c r="I9" s="37">
        <f t="shared" si="2"/>
        <v>0</v>
      </c>
      <c r="J9" s="38">
        <f t="shared" si="2"/>
        <v>0</v>
      </c>
      <c r="K9" s="36">
        <f t="shared" si="2"/>
        <v>0</v>
      </c>
      <c r="L9" s="51">
        <f t="shared" si="2"/>
        <v>294600</v>
      </c>
      <c r="M9" s="24"/>
      <c r="N9" s="41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33"/>
      <c r="B10" s="33"/>
      <c r="C10" s="33"/>
      <c r="D10" s="33"/>
      <c r="E10" s="33"/>
      <c r="F10" s="42">
        <f>F9+G9+H9+I9+J9+K9</f>
        <v>294000</v>
      </c>
      <c r="G10" s="2"/>
      <c r="H10" s="2"/>
      <c r="I10" s="2"/>
      <c r="J10" s="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36.25"/>
    <col customWidth="1" min="11" max="11" width="14.5"/>
    <col customWidth="1" min="12" max="12" width="15.13"/>
    <col customWidth="1" min="13" max="13" width="9.75"/>
    <col customWidth="1" min="14" max="14" width="32.25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16">
        <v>44541.0</v>
      </c>
      <c r="C5" s="17" t="s">
        <v>41</v>
      </c>
      <c r="D5" s="18">
        <v>52775.0</v>
      </c>
      <c r="E5" s="18" t="s">
        <v>42</v>
      </c>
      <c r="F5" s="19"/>
      <c r="G5" s="46"/>
      <c r="H5" s="47"/>
      <c r="I5" s="21">
        <v>0.0</v>
      </c>
      <c r="J5" s="46"/>
      <c r="K5" s="48"/>
      <c r="L5" s="52">
        <v>300.0</v>
      </c>
      <c r="M5" s="24">
        <f t="shared" ref="M5:M13" si="1">F5+G5+H5+I5+J5+K5-L5</f>
        <v>-300</v>
      </c>
      <c r="N5" s="53" t="s">
        <v>43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16">
        <v>44541.0</v>
      </c>
      <c r="C6" s="17" t="s">
        <v>44</v>
      </c>
      <c r="D6" s="18">
        <v>61496.0</v>
      </c>
      <c r="E6" s="18" t="s">
        <v>45</v>
      </c>
      <c r="F6" s="19"/>
      <c r="G6" s="46"/>
      <c r="H6" s="47"/>
      <c r="I6" s="54">
        <v>0.0</v>
      </c>
      <c r="J6" s="29"/>
      <c r="K6" s="48"/>
      <c r="L6" s="52">
        <v>600.0</v>
      </c>
      <c r="M6" s="24">
        <f t="shared" si="1"/>
        <v>-600</v>
      </c>
      <c r="N6" s="53" t="s">
        <v>46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16">
        <v>44541.0</v>
      </c>
      <c r="C7" s="17" t="s">
        <v>47</v>
      </c>
      <c r="D7" s="18">
        <v>57723.0</v>
      </c>
      <c r="E7" s="18" t="s">
        <v>48</v>
      </c>
      <c r="F7" s="19"/>
      <c r="G7" s="46"/>
      <c r="H7" s="47"/>
      <c r="I7" s="46"/>
      <c r="J7" s="55">
        <v>33500.0</v>
      </c>
      <c r="K7" s="48"/>
      <c r="L7" s="52">
        <v>33500.0</v>
      </c>
      <c r="M7" s="24">
        <f t="shared" si="1"/>
        <v>0</v>
      </c>
      <c r="N7" s="56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16">
        <v>44541.0</v>
      </c>
      <c r="C8" s="17" t="s">
        <v>49</v>
      </c>
      <c r="D8" s="18">
        <v>59833.0</v>
      </c>
      <c r="E8" s="18" t="s">
        <v>50</v>
      </c>
      <c r="F8" s="19"/>
      <c r="G8" s="46"/>
      <c r="H8" s="47"/>
      <c r="I8" s="47"/>
      <c r="J8" s="55">
        <v>101250.0</v>
      </c>
      <c r="K8" s="48"/>
      <c r="L8" s="52">
        <v>101250.0</v>
      </c>
      <c r="M8" s="24">
        <f t="shared" si="1"/>
        <v>0</v>
      </c>
      <c r="N8" s="56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16">
        <v>44541.0</v>
      </c>
      <c r="C9" s="17" t="s">
        <v>51</v>
      </c>
      <c r="D9" s="18">
        <v>60139.0</v>
      </c>
      <c r="E9" s="18" t="s">
        <v>52</v>
      </c>
      <c r="F9" s="19"/>
      <c r="G9" s="46"/>
      <c r="H9" s="47"/>
      <c r="I9" s="46"/>
      <c r="J9" s="55">
        <v>3049.0</v>
      </c>
      <c r="K9" s="48"/>
      <c r="L9" s="52">
        <v>3049.0</v>
      </c>
      <c r="M9" s="24">
        <f t="shared" si="1"/>
        <v>0</v>
      </c>
      <c r="N9" s="56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16">
        <v>44541.0</v>
      </c>
      <c r="C10" s="17" t="s">
        <v>53</v>
      </c>
      <c r="D10" s="18">
        <v>59844.0</v>
      </c>
      <c r="E10" s="18" t="s">
        <v>54</v>
      </c>
      <c r="F10" s="19"/>
      <c r="G10" s="46"/>
      <c r="H10" s="47"/>
      <c r="I10" s="47">
        <v>200.0</v>
      </c>
      <c r="J10" s="29"/>
      <c r="K10" s="48"/>
      <c r="L10" s="52">
        <v>200.0</v>
      </c>
      <c r="M10" s="24">
        <f t="shared" si="1"/>
        <v>0</v>
      </c>
      <c r="N10" s="56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7">
        <v>7.0</v>
      </c>
      <c r="B11" s="16">
        <v>44541.0</v>
      </c>
      <c r="C11" s="17" t="s">
        <v>55</v>
      </c>
      <c r="D11" s="18">
        <v>62815.0</v>
      </c>
      <c r="E11" s="18" t="s">
        <v>56</v>
      </c>
      <c r="F11" s="19"/>
      <c r="G11" s="46"/>
      <c r="H11" s="47"/>
      <c r="I11" s="47">
        <v>350.0</v>
      </c>
      <c r="J11" s="29"/>
      <c r="K11" s="48"/>
      <c r="L11" s="52">
        <v>350.0</v>
      </c>
      <c r="M11" s="24">
        <f t="shared" si="1"/>
        <v>0</v>
      </c>
      <c r="N11" s="56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7">
        <v>8.0</v>
      </c>
      <c r="B12" s="16">
        <v>44541.0</v>
      </c>
      <c r="C12" s="17" t="s">
        <v>57</v>
      </c>
      <c r="D12" s="18">
        <v>49777.0</v>
      </c>
      <c r="E12" s="18" t="s">
        <v>58</v>
      </c>
      <c r="F12" s="19"/>
      <c r="G12" s="46"/>
      <c r="H12" s="47"/>
      <c r="I12" s="46"/>
      <c r="J12" s="55">
        <v>350.0</v>
      </c>
      <c r="K12" s="48"/>
      <c r="L12" s="52">
        <v>350.0</v>
      </c>
      <c r="M12" s="24">
        <f t="shared" si="1"/>
        <v>0</v>
      </c>
      <c r="N12" s="56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7">
        <v>9.0</v>
      </c>
      <c r="B13" s="16">
        <v>44541.0</v>
      </c>
      <c r="C13" s="17" t="s">
        <v>59</v>
      </c>
      <c r="D13" s="18">
        <v>57183.0</v>
      </c>
      <c r="E13" s="18" t="s">
        <v>60</v>
      </c>
      <c r="F13" s="19"/>
      <c r="G13" s="46"/>
      <c r="H13" s="47"/>
      <c r="I13" s="47">
        <v>0.0</v>
      </c>
      <c r="J13" s="29"/>
      <c r="K13" s="48"/>
      <c r="L13" s="52">
        <v>300.0</v>
      </c>
      <c r="M13" s="24">
        <f t="shared" si="1"/>
        <v>-300</v>
      </c>
      <c r="N13" s="53" t="s">
        <v>61</v>
      </c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5"/>
      <c r="B14" s="33"/>
      <c r="C14" s="33"/>
      <c r="D14" s="33"/>
      <c r="E14" s="33"/>
      <c r="F14" s="34">
        <f t="shared" ref="F14:M14" si="2">SUM(F5:F13)</f>
        <v>0</v>
      </c>
      <c r="G14" s="35">
        <f t="shared" si="2"/>
        <v>0</v>
      </c>
      <c r="H14" s="36">
        <f t="shared" si="2"/>
        <v>0</v>
      </c>
      <c r="I14" s="37">
        <f t="shared" si="2"/>
        <v>550</v>
      </c>
      <c r="J14" s="38">
        <f t="shared" si="2"/>
        <v>138149</v>
      </c>
      <c r="K14" s="36">
        <f t="shared" si="2"/>
        <v>0</v>
      </c>
      <c r="L14" s="51">
        <f t="shared" si="2"/>
        <v>139899</v>
      </c>
      <c r="M14" s="24">
        <f t="shared" si="2"/>
        <v>-1200</v>
      </c>
      <c r="N14" s="41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33"/>
      <c r="B15" s="33"/>
      <c r="C15" s="33"/>
      <c r="D15" s="33"/>
      <c r="E15" s="33"/>
      <c r="F15" s="42">
        <f>F14+G14+H14+I14+J14+K14</f>
        <v>138699</v>
      </c>
      <c r="G15" s="2"/>
      <c r="H15" s="2"/>
      <c r="I15" s="2"/>
      <c r="J15" s="3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36.25"/>
    <col customWidth="1" min="11" max="11" width="14.5"/>
    <col customWidth="1" min="12" max="12" width="15.13"/>
    <col customWidth="1" min="13" max="13" width="9.75"/>
    <col customWidth="1" min="14" max="14" width="32.25"/>
  </cols>
  <sheetData>
    <row r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16" t="s">
        <v>63</v>
      </c>
      <c r="C5" s="17" t="s">
        <v>64</v>
      </c>
      <c r="D5" s="18">
        <v>53203.0</v>
      </c>
      <c r="E5" s="18" t="s">
        <v>65</v>
      </c>
      <c r="F5" s="57"/>
      <c r="G5" s="46"/>
      <c r="H5" s="47"/>
      <c r="I5" s="21">
        <v>200.0</v>
      </c>
      <c r="J5" s="46"/>
      <c r="K5" s="48"/>
      <c r="L5" s="58">
        <v>200.0</v>
      </c>
      <c r="M5" s="24">
        <f t="shared" ref="M5:M9" si="1">F5+G5+H5+I5+J5+K5-L5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16" t="s">
        <v>63</v>
      </c>
      <c r="C6" s="17" t="s">
        <v>66</v>
      </c>
      <c r="D6" s="18">
        <v>63896.0</v>
      </c>
      <c r="E6" s="18" t="s">
        <v>67</v>
      </c>
      <c r="F6" s="57"/>
      <c r="G6" s="46"/>
      <c r="H6" s="47"/>
      <c r="I6" s="59">
        <v>200.0</v>
      </c>
      <c r="J6" s="55"/>
      <c r="K6" s="48"/>
      <c r="L6" s="58">
        <v>200.0</v>
      </c>
      <c r="M6" s="24">
        <f t="shared" si="1"/>
        <v>0</v>
      </c>
      <c r="N6" s="56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16" t="s">
        <v>63</v>
      </c>
      <c r="C7" s="17" t="s">
        <v>68</v>
      </c>
      <c r="D7" s="18">
        <v>63741.0</v>
      </c>
      <c r="E7" s="18" t="s">
        <v>69</v>
      </c>
      <c r="F7" s="57"/>
      <c r="G7" s="46"/>
      <c r="H7" s="47"/>
      <c r="I7" s="59">
        <v>200.0</v>
      </c>
      <c r="J7" s="55"/>
      <c r="K7" s="48"/>
      <c r="L7" s="58">
        <v>200.0</v>
      </c>
      <c r="M7" s="24">
        <f t="shared" si="1"/>
        <v>0</v>
      </c>
      <c r="N7" s="56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16" t="s">
        <v>63</v>
      </c>
      <c r="C8" s="17" t="s">
        <v>70</v>
      </c>
      <c r="D8" s="18">
        <v>38496.0</v>
      </c>
      <c r="E8" s="18" t="s">
        <v>71</v>
      </c>
      <c r="F8" s="60">
        <v>200.0</v>
      </c>
      <c r="G8" s="46"/>
      <c r="H8" s="47"/>
      <c r="I8" s="61"/>
      <c r="J8" s="55"/>
      <c r="K8" s="48"/>
      <c r="L8" s="58">
        <v>200.0</v>
      </c>
      <c r="M8" s="24">
        <f t="shared" si="1"/>
        <v>0</v>
      </c>
      <c r="N8" s="56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16" t="s">
        <v>63</v>
      </c>
      <c r="C9" s="17" t="s">
        <v>72</v>
      </c>
      <c r="D9" s="18">
        <v>62733.0</v>
      </c>
      <c r="E9" s="18" t="s">
        <v>73</v>
      </c>
      <c r="F9" s="60">
        <v>0.0</v>
      </c>
      <c r="G9" s="46"/>
      <c r="H9" s="47"/>
      <c r="I9" s="59"/>
      <c r="J9" s="29"/>
      <c r="K9" s="48"/>
      <c r="L9" s="58">
        <v>8741.0</v>
      </c>
      <c r="M9" s="24">
        <f t="shared" si="1"/>
        <v>-8741</v>
      </c>
      <c r="N9" s="62" t="s">
        <v>74</v>
      </c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5"/>
      <c r="B10" s="33"/>
      <c r="C10" s="33"/>
      <c r="D10" s="33"/>
      <c r="E10" s="33"/>
      <c r="F10" s="63">
        <f t="shared" ref="F10:M10" si="2">SUM(F5:F9)</f>
        <v>200</v>
      </c>
      <c r="G10" s="35">
        <f t="shared" si="2"/>
        <v>0</v>
      </c>
      <c r="H10" s="36">
        <f t="shared" si="2"/>
        <v>0</v>
      </c>
      <c r="I10" s="37">
        <f t="shared" si="2"/>
        <v>600</v>
      </c>
      <c r="J10" s="38">
        <f t="shared" si="2"/>
        <v>0</v>
      </c>
      <c r="K10" s="36">
        <f t="shared" si="2"/>
        <v>0</v>
      </c>
      <c r="L10" s="51">
        <f t="shared" si="2"/>
        <v>9541</v>
      </c>
      <c r="M10" s="24">
        <f t="shared" si="2"/>
        <v>-8741</v>
      </c>
      <c r="N10" s="41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33"/>
      <c r="B11" s="33"/>
      <c r="C11" s="33"/>
      <c r="D11" s="33"/>
      <c r="E11" s="33"/>
      <c r="F11" s="42">
        <f>F10+G10+H10+I10+J10+K10</f>
        <v>800</v>
      </c>
      <c r="G11" s="2"/>
      <c r="H11" s="2"/>
      <c r="I11" s="2"/>
      <c r="J11" s="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36.25"/>
    <col customWidth="1" min="11" max="11" width="14.5"/>
    <col customWidth="1" min="12" max="12" width="15.13"/>
    <col customWidth="1" min="13" max="13" width="9.75"/>
    <col customWidth="1" min="14" max="14" width="32.25"/>
  </cols>
  <sheetData>
    <row r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16" t="s">
        <v>76</v>
      </c>
      <c r="C5" s="17" t="s">
        <v>77</v>
      </c>
      <c r="D5" s="18">
        <v>55192.0</v>
      </c>
      <c r="E5" s="18" t="s">
        <v>78</v>
      </c>
      <c r="F5" s="57"/>
      <c r="G5" s="46"/>
      <c r="H5" s="47"/>
      <c r="I5" s="21">
        <v>290.0</v>
      </c>
      <c r="J5" s="46"/>
      <c r="K5" s="48"/>
      <c r="L5" s="58">
        <v>290.0</v>
      </c>
      <c r="M5" s="24">
        <f>F5+G5+H5+I5+J5+K5-L5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5"/>
      <c r="B6" s="33"/>
      <c r="C6" s="33"/>
      <c r="D6" s="33"/>
      <c r="E6" s="33"/>
      <c r="F6" s="63">
        <f t="shared" ref="F6:L6" si="1">SUM(F5)</f>
        <v>0</v>
      </c>
      <c r="G6" s="35">
        <f t="shared" si="1"/>
        <v>0</v>
      </c>
      <c r="H6" s="36">
        <f t="shared" si="1"/>
        <v>0</v>
      </c>
      <c r="I6" s="37">
        <f t="shared" si="1"/>
        <v>290</v>
      </c>
      <c r="J6" s="38">
        <f t="shared" si="1"/>
        <v>0</v>
      </c>
      <c r="K6" s="36">
        <f t="shared" si="1"/>
        <v>0</v>
      </c>
      <c r="L6" s="51">
        <f t="shared" si="1"/>
        <v>290</v>
      </c>
      <c r="M6" s="24"/>
      <c r="N6" s="41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33"/>
      <c r="B7" s="33"/>
      <c r="C7" s="33"/>
      <c r="D7" s="33"/>
      <c r="E7" s="33"/>
      <c r="F7" s="42">
        <f>F6+G6+H6+I6+J6+K6</f>
        <v>290</v>
      </c>
      <c r="G7" s="2"/>
      <c r="H7" s="2"/>
      <c r="I7" s="2"/>
      <c r="J7" s="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3.5"/>
    <col customWidth="1" min="5" max="5" width="60.2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16">
        <v>44515.0</v>
      </c>
      <c r="C5" s="17" t="s">
        <v>80</v>
      </c>
      <c r="D5" s="18">
        <v>56901.0</v>
      </c>
      <c r="E5" s="18" t="s">
        <v>81</v>
      </c>
      <c r="F5" s="57"/>
      <c r="G5" s="46"/>
      <c r="H5" s="47"/>
      <c r="I5" s="21">
        <v>200.0</v>
      </c>
      <c r="J5" s="46"/>
      <c r="K5" s="48"/>
      <c r="L5" s="58">
        <v>200.0</v>
      </c>
      <c r="M5" s="24">
        <f t="shared" ref="M5:M12" si="1">F5+G5+H5+I5+J5+K5-L5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16">
        <v>44515.0</v>
      </c>
      <c r="C6" s="17" t="s">
        <v>82</v>
      </c>
      <c r="D6" s="18">
        <v>36555.0</v>
      </c>
      <c r="E6" s="18" t="s">
        <v>30</v>
      </c>
      <c r="F6" s="57"/>
      <c r="G6" s="46"/>
      <c r="H6" s="47"/>
      <c r="I6" s="21">
        <v>0.0</v>
      </c>
      <c r="J6" s="46"/>
      <c r="K6" s="48"/>
      <c r="L6" s="58">
        <v>600.0</v>
      </c>
      <c r="M6" s="24">
        <f t="shared" si="1"/>
        <v>-600</v>
      </c>
      <c r="N6" s="53" t="s">
        <v>83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16">
        <v>44515.0</v>
      </c>
      <c r="C7" s="17" t="s">
        <v>84</v>
      </c>
      <c r="D7" s="18">
        <v>21818.0</v>
      </c>
      <c r="E7" s="18" t="s">
        <v>85</v>
      </c>
      <c r="F7" s="57"/>
      <c r="G7" s="46"/>
      <c r="H7" s="47"/>
      <c r="I7" s="21">
        <v>0.0</v>
      </c>
      <c r="J7" s="46"/>
      <c r="K7" s="48"/>
      <c r="L7" s="58">
        <v>600.0</v>
      </c>
      <c r="M7" s="24">
        <f t="shared" si="1"/>
        <v>-600</v>
      </c>
      <c r="N7" s="53" t="s">
        <v>86</v>
      </c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16">
        <v>44515.0</v>
      </c>
      <c r="C8" s="17" t="s">
        <v>87</v>
      </c>
      <c r="D8" s="18">
        <v>21384.0</v>
      </c>
      <c r="E8" s="18" t="s">
        <v>88</v>
      </c>
      <c r="F8" s="57"/>
      <c r="G8" s="46"/>
      <c r="H8" s="47"/>
      <c r="I8" s="21">
        <v>0.0</v>
      </c>
      <c r="J8" s="46"/>
      <c r="K8" s="48"/>
      <c r="L8" s="58">
        <v>300.0</v>
      </c>
      <c r="M8" s="24">
        <f t="shared" si="1"/>
        <v>-300</v>
      </c>
      <c r="N8" s="53" t="s">
        <v>89</v>
      </c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16">
        <v>44515.0</v>
      </c>
      <c r="C9" s="17" t="s">
        <v>90</v>
      </c>
      <c r="D9" s="18">
        <v>57499.0</v>
      </c>
      <c r="E9" s="18" t="s">
        <v>91</v>
      </c>
      <c r="F9" s="57"/>
      <c r="G9" s="46"/>
      <c r="H9" s="47"/>
      <c r="I9" s="21">
        <v>0.0</v>
      </c>
      <c r="J9" s="46"/>
      <c r="K9" s="48"/>
      <c r="L9" s="58">
        <v>300.0</v>
      </c>
      <c r="M9" s="24">
        <f t="shared" si="1"/>
        <v>-300</v>
      </c>
      <c r="N9" s="53" t="s">
        <v>92</v>
      </c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16">
        <v>44515.0</v>
      </c>
      <c r="C10" s="17" t="s">
        <v>93</v>
      </c>
      <c r="D10" s="18">
        <v>50436.0</v>
      </c>
      <c r="E10" s="18" t="s">
        <v>94</v>
      </c>
      <c r="F10" s="57"/>
      <c r="G10" s="46"/>
      <c r="H10" s="47"/>
      <c r="I10" s="21">
        <v>0.0</v>
      </c>
      <c r="J10" s="46"/>
      <c r="K10" s="48"/>
      <c r="L10" s="58">
        <v>300.0</v>
      </c>
      <c r="M10" s="24">
        <f t="shared" si="1"/>
        <v>-300</v>
      </c>
      <c r="N10" s="53" t="s">
        <v>95</v>
      </c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7">
        <v>7.0</v>
      </c>
      <c r="B11" s="16">
        <v>44515.0</v>
      </c>
      <c r="C11" s="64" t="s">
        <v>96</v>
      </c>
      <c r="D11" s="65">
        <v>31927.0</v>
      </c>
      <c r="E11" s="64" t="s">
        <v>97</v>
      </c>
      <c r="F11" s="63"/>
      <c r="G11" s="35"/>
      <c r="H11" s="36"/>
      <c r="I11" s="66">
        <v>135.0</v>
      </c>
      <c r="J11" s="38"/>
      <c r="K11" s="36"/>
      <c r="L11" s="58">
        <v>135.0</v>
      </c>
      <c r="M11" s="24">
        <f t="shared" si="1"/>
        <v>0</v>
      </c>
      <c r="N11" s="41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7"/>
      <c r="B12" s="16"/>
      <c r="C12" s="64"/>
      <c r="D12" s="65"/>
      <c r="E12" s="64"/>
      <c r="F12" s="63">
        <f t="shared" ref="F12:K12" si="2">SUM(F5)</f>
        <v>0</v>
      </c>
      <c r="G12" s="35">
        <f t="shared" si="2"/>
        <v>0</v>
      </c>
      <c r="H12" s="36">
        <f t="shared" si="2"/>
        <v>0</v>
      </c>
      <c r="I12" s="37">
        <f t="shared" si="2"/>
        <v>200</v>
      </c>
      <c r="J12" s="38">
        <f t="shared" si="2"/>
        <v>0</v>
      </c>
      <c r="K12" s="36">
        <f t="shared" si="2"/>
        <v>0</v>
      </c>
      <c r="L12" s="51">
        <f>SUM(L5:L11)</f>
        <v>2435</v>
      </c>
      <c r="M12" s="24">
        <f t="shared" si="1"/>
        <v>-2235</v>
      </c>
      <c r="N12" s="41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33"/>
      <c r="B13" s="33"/>
      <c r="C13" s="33"/>
      <c r="D13" s="33"/>
      <c r="E13" s="33"/>
      <c r="F13" s="42">
        <f>F12+G12+H12+I12+J12+K12</f>
        <v>200</v>
      </c>
      <c r="G13" s="2"/>
      <c r="H13" s="2"/>
      <c r="I13" s="2"/>
      <c r="J13" s="3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3.13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67" t="s">
        <v>99</v>
      </c>
      <c r="C5" s="17" t="s">
        <v>100</v>
      </c>
      <c r="D5" s="45">
        <v>64498.0</v>
      </c>
      <c r="E5" s="18" t="s">
        <v>101</v>
      </c>
      <c r="F5" s="57"/>
      <c r="G5" s="46"/>
      <c r="H5" s="47"/>
      <c r="I5" s="21"/>
      <c r="J5" s="46"/>
      <c r="K5" s="48"/>
      <c r="L5" s="68">
        <v>600.0</v>
      </c>
      <c r="M5" s="24">
        <f t="shared" ref="M5:M8" si="1">L5-F5-G5-H5-I5-J5-K5</f>
        <v>600</v>
      </c>
      <c r="N5" s="53" t="s">
        <v>102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67" t="s">
        <v>99</v>
      </c>
      <c r="C6" s="17" t="s">
        <v>103</v>
      </c>
      <c r="D6" s="45">
        <v>57183.0</v>
      </c>
      <c r="E6" s="18" t="s">
        <v>60</v>
      </c>
      <c r="F6" s="57"/>
      <c r="G6" s="46"/>
      <c r="H6" s="47"/>
      <c r="I6" s="21"/>
      <c r="J6" s="46"/>
      <c r="K6" s="48"/>
      <c r="L6" s="68">
        <v>2400.0</v>
      </c>
      <c r="M6" s="24">
        <f t="shared" si="1"/>
        <v>2400</v>
      </c>
      <c r="N6" s="53" t="s">
        <v>104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67" t="s">
        <v>99</v>
      </c>
      <c r="C7" s="17" t="s">
        <v>105</v>
      </c>
      <c r="D7" s="45">
        <v>33507.0</v>
      </c>
      <c r="E7" s="18" t="s">
        <v>106</v>
      </c>
      <c r="F7" s="57"/>
      <c r="G7" s="46"/>
      <c r="H7" s="47"/>
      <c r="I7" s="21">
        <v>250.0</v>
      </c>
      <c r="J7" s="46"/>
      <c r="K7" s="48"/>
      <c r="L7" s="68">
        <v>250.0</v>
      </c>
      <c r="M7" s="24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67" t="s">
        <v>99</v>
      </c>
      <c r="C8" s="17" t="s">
        <v>107</v>
      </c>
      <c r="D8" s="45">
        <v>29620.0</v>
      </c>
      <c r="E8" s="18" t="s">
        <v>108</v>
      </c>
      <c r="F8" s="57"/>
      <c r="G8" s="46"/>
      <c r="H8" s="47"/>
      <c r="I8" s="21">
        <v>290.0</v>
      </c>
      <c r="J8" s="46"/>
      <c r="K8" s="48"/>
      <c r="L8" s="68">
        <v>290.0</v>
      </c>
      <c r="M8" s="24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3"/>
      <c r="B9" s="33"/>
      <c r="C9" s="33"/>
      <c r="D9" s="69"/>
      <c r="E9" s="33"/>
      <c r="F9" s="70">
        <f t="shared" ref="F9:L9" si="2">SUM(F5:F8)</f>
        <v>0</v>
      </c>
      <c r="G9" s="70">
        <f t="shared" si="2"/>
        <v>0</v>
      </c>
      <c r="H9" s="70">
        <f t="shared" si="2"/>
        <v>0</v>
      </c>
      <c r="I9" s="71">
        <f t="shared" si="2"/>
        <v>540</v>
      </c>
      <c r="J9" s="70">
        <f t="shared" si="2"/>
        <v>0</v>
      </c>
      <c r="K9" s="70">
        <f t="shared" si="2"/>
        <v>0</v>
      </c>
      <c r="L9" s="72">
        <f t="shared" si="2"/>
        <v>3540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33"/>
      <c r="B10" s="33"/>
      <c r="C10" s="33"/>
      <c r="D10" s="33"/>
      <c r="E10" s="33"/>
      <c r="F10" s="73">
        <f>F9+G9+H9+I9+J9+K9</f>
        <v>540</v>
      </c>
      <c r="G10" s="2"/>
      <c r="H10" s="2"/>
      <c r="I10" s="2"/>
      <c r="J10" s="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3.13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74">
        <v>44517.0</v>
      </c>
      <c r="C5" s="17" t="s">
        <v>110</v>
      </c>
      <c r="D5" s="45">
        <v>25650.0</v>
      </c>
      <c r="E5" s="18" t="s">
        <v>111</v>
      </c>
      <c r="F5" s="57"/>
      <c r="G5" s="46"/>
      <c r="H5" s="47">
        <v>300.0</v>
      </c>
      <c r="I5" s="21"/>
      <c r="J5" s="46"/>
      <c r="K5" s="48"/>
      <c r="L5" s="68">
        <v>300.0</v>
      </c>
      <c r="M5" s="24">
        <f t="shared" ref="M5:M6" si="1">L5-F5-G5-H5-I5-J5-K5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74">
        <v>44517.0</v>
      </c>
      <c r="C6" s="17" t="s">
        <v>112</v>
      </c>
      <c r="D6" s="45">
        <v>35245.0</v>
      </c>
      <c r="E6" s="18" t="s">
        <v>113</v>
      </c>
      <c r="F6" s="57"/>
      <c r="G6" s="46"/>
      <c r="H6" s="47">
        <v>0.0</v>
      </c>
      <c r="I6" s="21"/>
      <c r="J6" s="46"/>
      <c r="K6" s="48"/>
      <c r="L6" s="68">
        <v>300.0</v>
      </c>
      <c r="M6" s="24">
        <f t="shared" si="1"/>
        <v>300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3"/>
      <c r="B7" s="33"/>
      <c r="C7" s="33"/>
      <c r="D7" s="69"/>
      <c r="E7" s="33"/>
      <c r="F7" s="70">
        <f t="shared" ref="F7:L7" si="2">SUM(F5:F6)</f>
        <v>0</v>
      </c>
      <c r="G7" s="70">
        <f t="shared" si="2"/>
        <v>0</v>
      </c>
      <c r="H7" s="70">
        <f t="shared" si="2"/>
        <v>300</v>
      </c>
      <c r="I7" s="71">
        <f t="shared" si="2"/>
        <v>0</v>
      </c>
      <c r="J7" s="70">
        <f t="shared" si="2"/>
        <v>0</v>
      </c>
      <c r="K7" s="70">
        <f t="shared" si="2"/>
        <v>0</v>
      </c>
      <c r="L7" s="72">
        <f t="shared" si="2"/>
        <v>600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33"/>
      <c r="B8" s="33"/>
      <c r="C8" s="33"/>
      <c r="D8" s="33"/>
      <c r="E8" s="33"/>
      <c r="F8" s="73">
        <f>F7+G7+H7+I7+J7+K7</f>
        <v>300</v>
      </c>
      <c r="G8" s="2"/>
      <c r="H8" s="2"/>
      <c r="I8" s="2"/>
      <c r="J8" s="3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3.13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74"/>
      <c r="C5" s="17"/>
      <c r="D5" s="45"/>
      <c r="E5" s="18"/>
      <c r="F5" s="57"/>
      <c r="G5" s="46"/>
      <c r="H5" s="47"/>
      <c r="I5" s="21"/>
      <c r="J5" s="46"/>
      <c r="K5" s="48"/>
      <c r="L5" s="68"/>
      <c r="M5" s="24">
        <f t="shared" ref="M5:M10" si="1">L5-F5-G5-H5-I5-J5-K5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74"/>
      <c r="C6" s="17"/>
      <c r="D6" s="45"/>
      <c r="E6" s="18"/>
      <c r="F6" s="57"/>
      <c r="G6" s="46"/>
      <c r="H6" s="47"/>
      <c r="I6" s="21"/>
      <c r="J6" s="46"/>
      <c r="K6" s="48"/>
      <c r="L6" s="68"/>
      <c r="M6" s="24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74"/>
      <c r="C7" s="17"/>
      <c r="D7" s="45"/>
      <c r="E7" s="18"/>
      <c r="F7" s="57"/>
      <c r="G7" s="46"/>
      <c r="H7" s="47"/>
      <c r="I7" s="21"/>
      <c r="J7" s="46"/>
      <c r="K7" s="48"/>
      <c r="L7" s="68"/>
      <c r="M7" s="24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74"/>
      <c r="C8" s="17"/>
      <c r="D8" s="45"/>
      <c r="E8" s="18"/>
      <c r="F8" s="57"/>
      <c r="G8" s="46"/>
      <c r="H8" s="47"/>
      <c r="I8" s="21"/>
      <c r="J8" s="46"/>
      <c r="K8" s="48"/>
      <c r="L8" s="68"/>
      <c r="M8" s="24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74"/>
      <c r="C9" s="17"/>
      <c r="D9" s="45"/>
      <c r="E9" s="18"/>
      <c r="F9" s="57"/>
      <c r="G9" s="46"/>
      <c r="H9" s="47"/>
      <c r="I9" s="21"/>
      <c r="J9" s="46"/>
      <c r="K9" s="48"/>
      <c r="L9" s="68"/>
      <c r="M9" s="24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74"/>
      <c r="C10" s="17"/>
      <c r="D10" s="45"/>
      <c r="E10" s="18"/>
      <c r="F10" s="57"/>
      <c r="G10" s="46"/>
      <c r="H10" s="47"/>
      <c r="I10" s="21"/>
      <c r="J10" s="46"/>
      <c r="K10" s="48"/>
      <c r="L10" s="68"/>
      <c r="M10" s="24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3"/>
      <c r="B11" s="33"/>
      <c r="C11" s="33"/>
      <c r="D11" s="69"/>
      <c r="E11" s="33"/>
      <c r="F11" s="70">
        <f t="shared" ref="F11:L11" si="2">SUM(F5:F10)</f>
        <v>0</v>
      </c>
      <c r="G11" s="70">
        <f t="shared" si="2"/>
        <v>0</v>
      </c>
      <c r="H11" s="70">
        <f t="shared" si="2"/>
        <v>0</v>
      </c>
      <c r="I11" s="71">
        <f t="shared" si="2"/>
        <v>0</v>
      </c>
      <c r="J11" s="70">
        <f t="shared" si="2"/>
        <v>0</v>
      </c>
      <c r="K11" s="70">
        <f t="shared" si="2"/>
        <v>0</v>
      </c>
      <c r="L11" s="72">
        <f t="shared" si="2"/>
        <v>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33"/>
      <c r="B12" s="33"/>
      <c r="C12" s="33"/>
      <c r="D12" s="33"/>
      <c r="E12" s="33"/>
      <c r="F12" s="73">
        <f>F11+G11+H11+I11+J11+K11</f>
        <v>0</v>
      </c>
      <c r="G12" s="2"/>
      <c r="H12" s="2"/>
      <c r="I12" s="2"/>
      <c r="J12" s="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3.13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74"/>
      <c r="C5" s="17"/>
      <c r="D5" s="45"/>
      <c r="E5" s="18"/>
      <c r="F5" s="57"/>
      <c r="G5" s="46"/>
      <c r="H5" s="47"/>
      <c r="I5" s="21"/>
      <c r="J5" s="46"/>
      <c r="K5" s="48"/>
      <c r="L5" s="68"/>
      <c r="M5" s="24">
        <f t="shared" ref="M5:M10" si="1">L5-F5-G5-H5-I5-J5-K5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74"/>
      <c r="C6" s="17"/>
      <c r="D6" s="45"/>
      <c r="E6" s="18"/>
      <c r="F6" s="57"/>
      <c r="G6" s="46"/>
      <c r="H6" s="47"/>
      <c r="I6" s="21"/>
      <c r="J6" s="46"/>
      <c r="K6" s="48"/>
      <c r="L6" s="68"/>
      <c r="M6" s="24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74"/>
      <c r="C7" s="17"/>
      <c r="D7" s="45"/>
      <c r="E7" s="18"/>
      <c r="F7" s="57"/>
      <c r="G7" s="46"/>
      <c r="H7" s="47"/>
      <c r="I7" s="21"/>
      <c r="J7" s="46"/>
      <c r="K7" s="48"/>
      <c r="L7" s="68"/>
      <c r="M7" s="24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74"/>
      <c r="C8" s="17"/>
      <c r="D8" s="45"/>
      <c r="E8" s="18"/>
      <c r="F8" s="57"/>
      <c r="G8" s="46"/>
      <c r="H8" s="47"/>
      <c r="I8" s="21"/>
      <c r="J8" s="46"/>
      <c r="K8" s="48"/>
      <c r="L8" s="68"/>
      <c r="M8" s="24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74"/>
      <c r="C9" s="17"/>
      <c r="D9" s="45"/>
      <c r="E9" s="18"/>
      <c r="F9" s="57"/>
      <c r="G9" s="46"/>
      <c r="H9" s="47"/>
      <c r="I9" s="21"/>
      <c r="J9" s="46"/>
      <c r="K9" s="48"/>
      <c r="L9" s="68"/>
      <c r="M9" s="24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74"/>
      <c r="C10" s="17"/>
      <c r="D10" s="45"/>
      <c r="E10" s="18"/>
      <c r="F10" s="57"/>
      <c r="G10" s="46"/>
      <c r="H10" s="47"/>
      <c r="I10" s="21"/>
      <c r="J10" s="46"/>
      <c r="K10" s="48"/>
      <c r="L10" s="68"/>
      <c r="M10" s="24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3"/>
      <c r="B11" s="33"/>
      <c r="C11" s="33"/>
      <c r="D11" s="69"/>
      <c r="E11" s="33"/>
      <c r="F11" s="70">
        <f t="shared" ref="F11:L11" si="2">SUM(F5:F10)</f>
        <v>0</v>
      </c>
      <c r="G11" s="70">
        <f t="shared" si="2"/>
        <v>0</v>
      </c>
      <c r="H11" s="70">
        <f t="shared" si="2"/>
        <v>0</v>
      </c>
      <c r="I11" s="71">
        <f t="shared" si="2"/>
        <v>0</v>
      </c>
      <c r="J11" s="70">
        <f t="shared" si="2"/>
        <v>0</v>
      </c>
      <c r="K11" s="70">
        <f t="shared" si="2"/>
        <v>0</v>
      </c>
      <c r="L11" s="72">
        <f t="shared" si="2"/>
        <v>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33"/>
      <c r="B12" s="33"/>
      <c r="C12" s="33"/>
      <c r="D12" s="33"/>
      <c r="E12" s="33"/>
      <c r="F12" s="73">
        <f>F11+G11+H11+I11+J11+K11</f>
        <v>0</v>
      </c>
      <c r="G12" s="2"/>
      <c r="H12" s="2"/>
      <c r="I12" s="2"/>
      <c r="J12" s="3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3.13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74" t="s">
        <v>117</v>
      </c>
      <c r="C5" s="17" t="s">
        <v>118</v>
      </c>
      <c r="D5" s="45">
        <v>48631.0</v>
      </c>
      <c r="E5" s="18" t="s">
        <v>119</v>
      </c>
      <c r="F5" s="57"/>
      <c r="G5" s="46"/>
      <c r="H5" s="47"/>
      <c r="I5" s="21">
        <v>200.0</v>
      </c>
      <c r="J5" s="46"/>
      <c r="K5" s="48"/>
      <c r="L5" s="68">
        <v>200.0</v>
      </c>
      <c r="M5" s="24">
        <f t="shared" ref="M5:M15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74" t="s">
        <v>117</v>
      </c>
      <c r="C6" s="17" t="s">
        <v>120</v>
      </c>
      <c r="D6" s="45">
        <v>57723.0</v>
      </c>
      <c r="E6" s="18" t="s">
        <v>34</v>
      </c>
      <c r="F6" s="57"/>
      <c r="G6" s="46"/>
      <c r="H6" s="47">
        <v>20.0</v>
      </c>
      <c r="I6" s="21"/>
      <c r="J6" s="46"/>
      <c r="K6" s="48"/>
      <c r="L6" s="68">
        <v>20.0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74" t="s">
        <v>117</v>
      </c>
      <c r="C7" s="17" t="s">
        <v>121</v>
      </c>
      <c r="D7" s="45">
        <v>59508.0</v>
      </c>
      <c r="E7" s="18" t="s">
        <v>122</v>
      </c>
      <c r="F7" s="57"/>
      <c r="G7" s="46"/>
      <c r="H7" s="47">
        <v>20018.0</v>
      </c>
      <c r="I7" s="21"/>
      <c r="J7" s="46"/>
      <c r="K7" s="48"/>
      <c r="L7" s="68">
        <v>20018.0</v>
      </c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74" t="s">
        <v>117</v>
      </c>
      <c r="C8" s="17" t="s">
        <v>123</v>
      </c>
      <c r="D8" s="45">
        <v>60402.0</v>
      </c>
      <c r="E8" s="18" t="s">
        <v>124</v>
      </c>
      <c r="F8" s="57"/>
      <c r="G8" s="46"/>
      <c r="H8" s="47">
        <v>21800.0</v>
      </c>
      <c r="I8" s="21"/>
      <c r="J8" s="46"/>
      <c r="K8" s="48"/>
      <c r="L8" s="68">
        <v>21800.0</v>
      </c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74" t="s">
        <v>117</v>
      </c>
      <c r="C9" s="17" t="s">
        <v>125</v>
      </c>
      <c r="D9" s="45">
        <v>60125.0</v>
      </c>
      <c r="E9" s="18" t="s">
        <v>126</v>
      </c>
      <c r="F9" s="57"/>
      <c r="G9" s="46"/>
      <c r="H9" s="47">
        <v>573.0</v>
      </c>
      <c r="I9" s="21"/>
      <c r="J9" s="46"/>
      <c r="K9" s="48"/>
      <c r="L9" s="68">
        <v>573.0</v>
      </c>
      <c r="M9" s="24">
        <f t="shared" si="1"/>
        <v>0</v>
      </c>
      <c r="N9" s="75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74" t="s">
        <v>117</v>
      </c>
      <c r="C10" s="17" t="s">
        <v>127</v>
      </c>
      <c r="D10" s="45">
        <v>60125.0</v>
      </c>
      <c r="E10" s="18" t="s">
        <v>126</v>
      </c>
      <c r="F10" s="57"/>
      <c r="G10" s="46"/>
      <c r="H10" s="47">
        <v>573.0</v>
      </c>
      <c r="I10" s="21"/>
      <c r="J10" s="46"/>
      <c r="K10" s="48"/>
      <c r="L10" s="68">
        <v>573.0</v>
      </c>
      <c r="M10" s="24">
        <f t="shared" si="1"/>
        <v>0</v>
      </c>
      <c r="N10" s="75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7">
        <v>7.0</v>
      </c>
      <c r="B11" s="74" t="s">
        <v>117</v>
      </c>
      <c r="C11" s="17" t="s">
        <v>128</v>
      </c>
      <c r="D11" s="45">
        <v>62733.0</v>
      </c>
      <c r="E11" s="18" t="s">
        <v>129</v>
      </c>
      <c r="F11" s="57"/>
      <c r="G11" s="46"/>
      <c r="H11" s="47">
        <v>51.0</v>
      </c>
      <c r="I11" s="21"/>
      <c r="J11" s="46"/>
      <c r="K11" s="48"/>
      <c r="L11" s="68">
        <v>51.0</v>
      </c>
      <c r="M11" s="24">
        <f t="shared" si="1"/>
        <v>0</v>
      </c>
      <c r="N11" s="75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7">
        <v>8.0</v>
      </c>
      <c r="B12" s="74" t="s">
        <v>117</v>
      </c>
      <c r="C12" s="17" t="s">
        <v>130</v>
      </c>
      <c r="D12" s="45">
        <v>59833.0</v>
      </c>
      <c r="E12" s="18" t="s">
        <v>131</v>
      </c>
      <c r="F12" s="57"/>
      <c r="G12" s="46"/>
      <c r="H12" s="47">
        <v>21414.0</v>
      </c>
      <c r="I12" s="21"/>
      <c r="J12" s="46"/>
      <c r="K12" s="48"/>
      <c r="L12" s="68">
        <v>21414.0</v>
      </c>
      <c r="M12" s="24">
        <f t="shared" si="1"/>
        <v>0</v>
      </c>
      <c r="N12" s="75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7">
        <v>9.0</v>
      </c>
      <c r="B13" s="74" t="s">
        <v>117</v>
      </c>
      <c r="C13" s="17" t="s">
        <v>132</v>
      </c>
      <c r="D13" s="45">
        <v>48807.0</v>
      </c>
      <c r="E13" s="18" t="s">
        <v>133</v>
      </c>
      <c r="F13" s="57"/>
      <c r="G13" s="46"/>
      <c r="H13" s="47">
        <v>390000.0</v>
      </c>
      <c r="I13" s="21"/>
      <c r="J13" s="46"/>
      <c r="K13" s="48"/>
      <c r="L13" s="68">
        <v>390000.0</v>
      </c>
      <c r="M13" s="24">
        <f t="shared" si="1"/>
        <v>0</v>
      </c>
      <c r="N13" s="75"/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7">
        <v>10.0</v>
      </c>
      <c r="B14" s="74" t="s">
        <v>117</v>
      </c>
      <c r="C14" s="17" t="s">
        <v>134</v>
      </c>
      <c r="D14" s="45">
        <v>48807.0</v>
      </c>
      <c r="E14" s="18" t="s">
        <v>133</v>
      </c>
      <c r="F14" s="57"/>
      <c r="G14" s="46"/>
      <c r="H14" s="47">
        <v>50000.0</v>
      </c>
      <c r="I14" s="21"/>
      <c r="J14" s="46"/>
      <c r="K14" s="48"/>
      <c r="L14" s="68">
        <v>50000.0</v>
      </c>
      <c r="M14" s="24">
        <f t="shared" si="1"/>
        <v>0</v>
      </c>
      <c r="N14" s="75"/>
      <c r="O14" s="26"/>
      <c r="P14" s="2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7">
        <v>11.0</v>
      </c>
      <c r="B15" s="74" t="s">
        <v>117</v>
      </c>
      <c r="C15" s="17" t="s">
        <v>135</v>
      </c>
      <c r="D15" s="45">
        <v>48807.0</v>
      </c>
      <c r="E15" s="18" t="s">
        <v>133</v>
      </c>
      <c r="F15" s="57"/>
      <c r="G15" s="46"/>
      <c r="H15" s="47">
        <v>50000.0</v>
      </c>
      <c r="I15" s="21"/>
      <c r="J15" s="46"/>
      <c r="K15" s="48"/>
      <c r="L15" s="68">
        <v>50000.0</v>
      </c>
      <c r="M15" s="24">
        <f t="shared" si="1"/>
        <v>0</v>
      </c>
      <c r="N15" s="75"/>
      <c r="O15" s="26"/>
      <c r="P15" s="26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7"/>
      <c r="B16" s="74"/>
      <c r="C16" s="17"/>
      <c r="D16" s="45"/>
      <c r="E16" s="18"/>
      <c r="F16" s="57"/>
      <c r="G16" s="46"/>
      <c r="H16" s="47"/>
      <c r="I16" s="21"/>
      <c r="J16" s="46"/>
      <c r="K16" s="48"/>
      <c r="L16" s="68">
        <f>SUM(L5:L15)</f>
        <v>554649</v>
      </c>
      <c r="M16" s="76">
        <f>F17+G17+H17+I17+J17+K17-L16</f>
        <v>0</v>
      </c>
      <c r="N16" s="53"/>
      <c r="O16" s="26"/>
      <c r="P16" s="26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3"/>
      <c r="B17" s="33"/>
      <c r="C17" s="33"/>
      <c r="D17" s="69"/>
      <c r="E17" s="33"/>
      <c r="F17" s="70">
        <f t="shared" ref="F17:K17" si="2">SUM(F5:F16)</f>
        <v>0</v>
      </c>
      <c r="G17" s="70">
        <f t="shared" si="2"/>
        <v>0</v>
      </c>
      <c r="H17" s="70">
        <f t="shared" si="2"/>
        <v>554449</v>
      </c>
      <c r="I17" s="70">
        <f t="shared" si="2"/>
        <v>200</v>
      </c>
      <c r="J17" s="70">
        <f t="shared" si="2"/>
        <v>0</v>
      </c>
      <c r="K17" s="70">
        <f t="shared" si="2"/>
        <v>0</v>
      </c>
      <c r="L17" s="72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33"/>
      <c r="B18" s="33"/>
      <c r="C18" s="33"/>
      <c r="D18" s="33"/>
      <c r="E18" s="33"/>
      <c r="F18" s="73">
        <f>F17+G17+H17+I17+J17+K17</f>
        <v>554649</v>
      </c>
      <c r="G18" s="2"/>
      <c r="H18" s="2"/>
      <c r="I18" s="2"/>
      <c r="J18" s="3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</sheetData>
  <mergeCells count="15">
    <mergeCell ref="M2:M4"/>
    <mergeCell ref="N2:N4"/>
    <mergeCell ref="F3:F4"/>
    <mergeCell ref="G3:H3"/>
    <mergeCell ref="F18:J18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3.13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74">
        <v>44521.0</v>
      </c>
      <c r="C5" s="17" t="s">
        <v>137</v>
      </c>
      <c r="D5" s="45">
        <v>36928.0</v>
      </c>
      <c r="E5" s="18" t="s">
        <v>138</v>
      </c>
      <c r="F5" s="57"/>
      <c r="G5" s="46"/>
      <c r="H5" s="47"/>
      <c r="I5" s="21"/>
      <c r="J5" s="77">
        <v>9600.0</v>
      </c>
      <c r="K5" s="48"/>
      <c r="L5" s="68">
        <v>9600.0</v>
      </c>
      <c r="M5" s="24">
        <f t="shared" ref="M5:M6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74">
        <v>44521.0</v>
      </c>
      <c r="C6" s="17" t="s">
        <v>139</v>
      </c>
      <c r="D6" s="45">
        <v>39317.0</v>
      </c>
      <c r="E6" s="18" t="s">
        <v>140</v>
      </c>
      <c r="F6" s="57"/>
      <c r="G6" s="46"/>
      <c r="H6" s="47"/>
      <c r="I6" s="21">
        <v>0.0</v>
      </c>
      <c r="J6" s="46"/>
      <c r="K6" s="48"/>
      <c r="L6" s="68">
        <v>300.0</v>
      </c>
      <c r="M6" s="24">
        <f t="shared" si="1"/>
        <v>300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/>
      <c r="B7" s="74"/>
      <c r="C7" s="17"/>
      <c r="D7" s="45"/>
      <c r="E7" s="18"/>
      <c r="F7" s="57"/>
      <c r="G7" s="46"/>
      <c r="H7" s="47"/>
      <c r="I7" s="21"/>
      <c r="J7" s="46"/>
      <c r="K7" s="48"/>
      <c r="L7" s="68">
        <f>SUM(L5:L6)</f>
        <v>9900</v>
      </c>
      <c r="M7" s="76">
        <f>F8+G8+H8+I8+J8+K8-L7</f>
        <v>-300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3"/>
      <c r="B8" s="33"/>
      <c r="C8" s="33"/>
      <c r="D8" s="69"/>
      <c r="E8" s="33"/>
      <c r="F8" s="70">
        <f t="shared" ref="F8:K8" si="2">SUM(F5:F7)</f>
        <v>0</v>
      </c>
      <c r="G8" s="70">
        <f t="shared" si="2"/>
        <v>0</v>
      </c>
      <c r="H8" s="70">
        <f t="shared" si="2"/>
        <v>0</v>
      </c>
      <c r="I8" s="70">
        <f t="shared" si="2"/>
        <v>0</v>
      </c>
      <c r="J8" s="70">
        <f t="shared" si="2"/>
        <v>9600</v>
      </c>
      <c r="K8" s="70">
        <f t="shared" si="2"/>
        <v>0</v>
      </c>
      <c r="L8" s="72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33"/>
      <c r="B9" s="33"/>
      <c r="C9" s="33"/>
      <c r="D9" s="33"/>
      <c r="E9" s="33"/>
      <c r="F9" s="73">
        <f>F8+G8+H8+I8+J8+K8</f>
        <v>9600</v>
      </c>
      <c r="G9" s="2"/>
      <c r="H9" s="2"/>
      <c r="I9" s="2"/>
      <c r="J9" s="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4.25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78" t="s">
        <v>142</v>
      </c>
      <c r="C5" s="79" t="s">
        <v>143</v>
      </c>
      <c r="D5" s="80">
        <v>48807.0</v>
      </c>
      <c r="E5" s="80" t="s">
        <v>133</v>
      </c>
      <c r="F5" s="58"/>
      <c r="G5" s="81"/>
      <c r="H5" s="58">
        <v>2000.0</v>
      </c>
      <c r="I5" s="21"/>
      <c r="J5" s="77"/>
      <c r="K5" s="48"/>
      <c r="L5" s="58">
        <v>2000.0</v>
      </c>
      <c r="M5" s="24">
        <f t="shared" ref="M5:M8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78" t="s">
        <v>142</v>
      </c>
      <c r="C6" s="79" t="s">
        <v>144</v>
      </c>
      <c r="D6" s="80">
        <v>48807.0</v>
      </c>
      <c r="E6" s="80" t="s">
        <v>133</v>
      </c>
      <c r="F6" s="58"/>
      <c r="G6" s="81"/>
      <c r="H6" s="58">
        <v>17500.0</v>
      </c>
      <c r="I6" s="21"/>
      <c r="J6" s="77"/>
      <c r="K6" s="48"/>
      <c r="L6" s="58">
        <v>17500.0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78" t="s">
        <v>142</v>
      </c>
      <c r="C7" s="79" t="s">
        <v>145</v>
      </c>
      <c r="D7" s="80">
        <v>48807.0</v>
      </c>
      <c r="E7" s="80" t="s">
        <v>133</v>
      </c>
      <c r="F7" s="58"/>
      <c r="G7" s="81"/>
      <c r="H7" s="58">
        <v>219000.0</v>
      </c>
      <c r="I7" s="21"/>
      <c r="J7" s="77"/>
      <c r="K7" s="48"/>
      <c r="L7" s="58">
        <v>219000.0</v>
      </c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78" t="s">
        <v>142</v>
      </c>
      <c r="C8" s="79" t="s">
        <v>146</v>
      </c>
      <c r="D8" s="80">
        <v>48807.0</v>
      </c>
      <c r="E8" s="80" t="s">
        <v>133</v>
      </c>
      <c r="F8" s="58"/>
      <c r="G8" s="81"/>
      <c r="H8" s="58">
        <v>81000.0</v>
      </c>
      <c r="I8" s="21"/>
      <c r="J8" s="77"/>
      <c r="K8" s="48"/>
      <c r="L8" s="58">
        <v>81000.0</v>
      </c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/>
      <c r="B9" s="82"/>
      <c r="C9" s="79"/>
      <c r="D9" s="83"/>
      <c r="E9" s="80"/>
      <c r="F9" s="84"/>
      <c r="G9" s="81"/>
      <c r="H9" s="85"/>
      <c r="I9" s="21"/>
      <c r="J9" s="46"/>
      <c r="K9" s="48"/>
      <c r="L9" s="68">
        <v>0.0</v>
      </c>
      <c r="M9" s="76">
        <f>F10+G10+H10+I10+J10+K10-L9</f>
        <v>319500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3"/>
      <c r="B10" s="33"/>
      <c r="C10" s="33"/>
      <c r="D10" s="69"/>
      <c r="E10" s="33"/>
      <c r="F10" s="70">
        <f t="shared" ref="F10:L10" si="2">SUM(F5:F9)</f>
        <v>0</v>
      </c>
      <c r="G10" s="70">
        <f t="shared" si="2"/>
        <v>0</v>
      </c>
      <c r="H10" s="70">
        <f t="shared" si="2"/>
        <v>319500</v>
      </c>
      <c r="I10" s="70">
        <f t="shared" si="2"/>
        <v>0</v>
      </c>
      <c r="J10" s="70">
        <f t="shared" si="2"/>
        <v>0</v>
      </c>
      <c r="K10" s="70">
        <f t="shared" si="2"/>
        <v>0</v>
      </c>
      <c r="L10" s="70">
        <f t="shared" si="2"/>
        <v>319500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33"/>
      <c r="B11" s="33"/>
      <c r="C11" s="33"/>
      <c r="D11" s="33"/>
      <c r="E11" s="33"/>
      <c r="F11" s="73">
        <f>F10+G10+H10+I10+J10+K10</f>
        <v>319500</v>
      </c>
      <c r="G11" s="2"/>
      <c r="H11" s="2"/>
      <c r="I11" s="2"/>
      <c r="J11" s="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31.75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86" t="s">
        <v>148</v>
      </c>
      <c r="C5" s="87" t="s">
        <v>149</v>
      </c>
      <c r="D5" s="88">
        <v>35245.0</v>
      </c>
      <c r="E5" s="88" t="s">
        <v>113</v>
      </c>
      <c r="F5" s="57"/>
      <c r="G5" s="46"/>
      <c r="H5" s="47"/>
      <c r="I5" s="21">
        <v>270000.0</v>
      </c>
      <c r="J5" s="77"/>
      <c r="K5" s="48"/>
      <c r="L5" s="89">
        <v>270000.0</v>
      </c>
      <c r="M5" s="24">
        <f t="shared" ref="M5:M8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86" t="s">
        <v>148</v>
      </c>
      <c r="C6" s="87" t="s">
        <v>150</v>
      </c>
      <c r="D6" s="88">
        <v>48807.0</v>
      </c>
      <c r="E6" s="88" t="s">
        <v>133</v>
      </c>
      <c r="F6" s="57"/>
      <c r="G6" s="46"/>
      <c r="H6" s="47">
        <v>121000.0</v>
      </c>
      <c r="I6" s="21"/>
      <c r="J6" s="77"/>
      <c r="K6" s="48"/>
      <c r="L6" s="89">
        <v>121000.0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86" t="s">
        <v>148</v>
      </c>
      <c r="C7" s="87" t="s">
        <v>151</v>
      </c>
      <c r="D7" s="88">
        <v>49194.0</v>
      </c>
      <c r="E7" s="88" t="s">
        <v>152</v>
      </c>
      <c r="F7" s="57"/>
      <c r="G7" s="46"/>
      <c r="H7" s="47"/>
      <c r="I7" s="21">
        <v>9485.0</v>
      </c>
      <c r="J7" s="77"/>
      <c r="K7" s="48"/>
      <c r="L7" s="89">
        <v>9452.0</v>
      </c>
      <c r="M7" s="24">
        <f t="shared" si="1"/>
        <v>-33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/>
      <c r="B8" s="74"/>
      <c r="C8" s="17"/>
      <c r="D8" s="45"/>
      <c r="E8" s="18"/>
      <c r="F8" s="57"/>
      <c r="G8" s="46"/>
      <c r="H8" s="47"/>
      <c r="I8" s="21"/>
      <c r="J8" s="46"/>
      <c r="K8" s="48"/>
      <c r="L8" s="68"/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/>
      <c r="B9" s="74"/>
      <c r="C9" s="17"/>
      <c r="D9" s="45"/>
      <c r="E9" s="18"/>
      <c r="F9" s="68">
        <f t="shared" ref="F9:L9" si="2">SUM(F5:F7)</f>
        <v>0</v>
      </c>
      <c r="G9" s="68">
        <f t="shared" si="2"/>
        <v>0</v>
      </c>
      <c r="H9" s="68">
        <f t="shared" si="2"/>
        <v>121000</v>
      </c>
      <c r="I9" s="68">
        <f t="shared" si="2"/>
        <v>279485</v>
      </c>
      <c r="J9" s="68">
        <f t="shared" si="2"/>
        <v>0</v>
      </c>
      <c r="K9" s="68">
        <f t="shared" si="2"/>
        <v>0</v>
      </c>
      <c r="L9" s="68">
        <f t="shared" si="2"/>
        <v>400452</v>
      </c>
      <c r="M9" s="76">
        <f>F10+G10+H10+I10+J10+K10-L9</f>
        <v>33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3"/>
      <c r="B10" s="33"/>
      <c r="C10" s="33"/>
      <c r="D10" s="69"/>
      <c r="E10" s="33"/>
      <c r="F10" s="70">
        <f t="shared" ref="F10:K10" si="3">SUM(F8:F9)</f>
        <v>0</v>
      </c>
      <c r="G10" s="70">
        <f t="shared" si="3"/>
        <v>0</v>
      </c>
      <c r="H10" s="70">
        <f t="shared" si="3"/>
        <v>121000</v>
      </c>
      <c r="I10" s="70">
        <f t="shared" si="3"/>
        <v>279485</v>
      </c>
      <c r="J10" s="70">
        <f t="shared" si="3"/>
        <v>0</v>
      </c>
      <c r="K10" s="70">
        <f t="shared" si="3"/>
        <v>0</v>
      </c>
      <c r="L10" s="72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33"/>
      <c r="B11" s="33"/>
      <c r="C11" s="33"/>
      <c r="D11" s="33"/>
      <c r="E11" s="33"/>
      <c r="F11" s="73">
        <f>F10+G10+H10+I10+J10+K10</f>
        <v>400485</v>
      </c>
      <c r="G11" s="2"/>
      <c r="H11" s="2"/>
      <c r="I11" s="2"/>
      <c r="J11" s="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32.13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86" t="s">
        <v>154</v>
      </c>
      <c r="C5" s="87" t="s">
        <v>155</v>
      </c>
      <c r="D5" s="88">
        <v>62733.0</v>
      </c>
      <c r="E5" s="88" t="s">
        <v>129</v>
      </c>
      <c r="F5" s="57"/>
      <c r="G5" s="46"/>
      <c r="H5" s="58">
        <v>17615.0</v>
      </c>
      <c r="I5" s="21"/>
      <c r="J5" s="77"/>
      <c r="K5" s="48"/>
      <c r="L5" s="90">
        <v>17615.0</v>
      </c>
      <c r="M5" s="24">
        <f t="shared" ref="M5:M11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86" t="s">
        <v>154</v>
      </c>
      <c r="C6" s="87" t="s">
        <v>156</v>
      </c>
      <c r="D6" s="88">
        <v>48807.0</v>
      </c>
      <c r="E6" s="88" t="s">
        <v>133</v>
      </c>
      <c r="F6" s="57"/>
      <c r="G6" s="46"/>
      <c r="H6" s="58">
        <v>60000.0</v>
      </c>
      <c r="I6" s="21"/>
      <c r="J6" s="77"/>
      <c r="K6" s="48"/>
      <c r="L6" s="90">
        <v>60000.0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86" t="s">
        <v>154</v>
      </c>
      <c r="C7" s="87" t="s">
        <v>157</v>
      </c>
      <c r="D7" s="88">
        <v>48807.0</v>
      </c>
      <c r="E7" s="88" t="s">
        <v>133</v>
      </c>
      <c r="F7" s="57"/>
      <c r="G7" s="46"/>
      <c r="H7" s="58">
        <v>100000.0</v>
      </c>
      <c r="I7" s="21"/>
      <c r="J7" s="77"/>
      <c r="K7" s="48"/>
      <c r="L7" s="90">
        <v>100000.0</v>
      </c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86" t="s">
        <v>154</v>
      </c>
      <c r="C8" s="87" t="s">
        <v>158</v>
      </c>
      <c r="D8" s="88">
        <v>48807.0</v>
      </c>
      <c r="E8" s="88" t="s">
        <v>133</v>
      </c>
      <c r="F8" s="57"/>
      <c r="G8" s="46"/>
      <c r="H8" s="58">
        <v>100000.0</v>
      </c>
      <c r="I8" s="21"/>
      <c r="J8" s="77"/>
      <c r="K8" s="48"/>
      <c r="L8" s="90">
        <v>100000.0</v>
      </c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86" t="s">
        <v>154</v>
      </c>
      <c r="C9" s="87" t="s">
        <v>159</v>
      </c>
      <c r="D9" s="88">
        <v>59287.0</v>
      </c>
      <c r="E9" s="88" t="s">
        <v>160</v>
      </c>
      <c r="F9" s="57"/>
      <c r="G9" s="46"/>
      <c r="H9" s="58">
        <v>20.0</v>
      </c>
      <c r="I9" s="21"/>
      <c r="J9" s="77"/>
      <c r="K9" s="48"/>
      <c r="L9" s="90">
        <v>20.0</v>
      </c>
      <c r="M9" s="24">
        <f t="shared" si="1"/>
        <v>0</v>
      </c>
      <c r="N9" s="75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86" t="s">
        <v>154</v>
      </c>
      <c r="C10" s="87" t="s">
        <v>161</v>
      </c>
      <c r="D10" s="88">
        <v>60831.0</v>
      </c>
      <c r="E10" s="88" t="s">
        <v>162</v>
      </c>
      <c r="F10" s="57"/>
      <c r="G10" s="46"/>
      <c r="H10" s="58">
        <v>15221.0</v>
      </c>
      <c r="I10" s="21"/>
      <c r="J10" s="46"/>
      <c r="K10" s="48"/>
      <c r="L10" s="90">
        <v>15221.0</v>
      </c>
      <c r="M10" s="24">
        <f t="shared" si="1"/>
        <v>0</v>
      </c>
      <c r="N10" s="75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7">
        <v>7.0</v>
      </c>
      <c r="B11" s="86" t="s">
        <v>154</v>
      </c>
      <c r="C11" s="87" t="s">
        <v>163</v>
      </c>
      <c r="D11" s="88">
        <v>60125.0</v>
      </c>
      <c r="E11" s="88" t="s">
        <v>164</v>
      </c>
      <c r="F11" s="57"/>
      <c r="G11" s="46"/>
      <c r="H11" s="58">
        <v>2211.0</v>
      </c>
      <c r="I11" s="21"/>
      <c r="J11" s="46"/>
      <c r="K11" s="48"/>
      <c r="L11" s="90">
        <v>2211.0</v>
      </c>
      <c r="M11" s="24">
        <f t="shared" si="1"/>
        <v>0</v>
      </c>
      <c r="N11" s="75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3"/>
      <c r="B12" s="33"/>
      <c r="C12" s="33"/>
      <c r="D12" s="69"/>
      <c r="E12" s="33"/>
      <c r="F12" s="70">
        <f t="shared" ref="F12:L12" si="2">SUM(F5:F11)</f>
        <v>0</v>
      </c>
      <c r="G12" s="70">
        <f t="shared" si="2"/>
        <v>0</v>
      </c>
      <c r="H12" s="70">
        <f t="shared" si="2"/>
        <v>295067</v>
      </c>
      <c r="I12" s="70">
        <f t="shared" si="2"/>
        <v>0</v>
      </c>
      <c r="J12" s="70">
        <f t="shared" si="2"/>
        <v>0</v>
      </c>
      <c r="K12" s="70">
        <f t="shared" si="2"/>
        <v>0</v>
      </c>
      <c r="L12" s="70">
        <f t="shared" si="2"/>
        <v>295067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33"/>
      <c r="B13" s="33"/>
      <c r="C13" s="33"/>
      <c r="D13" s="33"/>
      <c r="E13" s="33"/>
      <c r="F13" s="73">
        <f>F12+G12+H12+I12+J12+K12</f>
        <v>295067</v>
      </c>
      <c r="G13" s="2"/>
      <c r="H13" s="2"/>
      <c r="I13" s="2"/>
      <c r="J13" s="3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32.13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86" t="s">
        <v>166</v>
      </c>
      <c r="C5" s="87" t="s">
        <v>167</v>
      </c>
      <c r="D5" s="91">
        <v>51697.0</v>
      </c>
      <c r="E5" s="91" t="s">
        <v>168</v>
      </c>
      <c r="F5" s="57"/>
      <c r="G5" s="46"/>
      <c r="H5" s="58"/>
      <c r="I5" s="58">
        <v>22700.0</v>
      </c>
      <c r="J5" s="77"/>
      <c r="K5" s="48"/>
      <c r="L5" s="90">
        <v>22700.0</v>
      </c>
      <c r="M5" s="24">
        <f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3"/>
      <c r="B6" s="33"/>
      <c r="C6" s="33"/>
      <c r="D6" s="69"/>
      <c r="E6" s="33"/>
      <c r="F6" s="70">
        <f t="shared" ref="F6:L6" si="1">SUM(F5)</f>
        <v>0</v>
      </c>
      <c r="G6" s="70">
        <f t="shared" si="1"/>
        <v>0</v>
      </c>
      <c r="H6" s="70">
        <f t="shared" si="1"/>
        <v>0</v>
      </c>
      <c r="I6" s="70">
        <f t="shared" si="1"/>
        <v>22700</v>
      </c>
      <c r="J6" s="70">
        <f t="shared" si="1"/>
        <v>0</v>
      </c>
      <c r="K6" s="70">
        <f t="shared" si="1"/>
        <v>0</v>
      </c>
      <c r="L6" s="70">
        <f t="shared" si="1"/>
        <v>22700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33"/>
      <c r="B7" s="33"/>
      <c r="C7" s="33"/>
      <c r="D7" s="33"/>
      <c r="E7" s="33"/>
      <c r="F7" s="73">
        <f>F6+G6+H6+I6+J6+K6</f>
        <v>22700</v>
      </c>
      <c r="G7" s="2"/>
      <c r="H7" s="2"/>
      <c r="I7" s="2"/>
      <c r="J7" s="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32.13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92">
        <v>23708.0</v>
      </c>
      <c r="C5" s="87" t="s">
        <v>170</v>
      </c>
      <c r="D5" s="91">
        <v>60139.0</v>
      </c>
      <c r="E5" s="91" t="s">
        <v>171</v>
      </c>
      <c r="F5" s="57"/>
      <c r="G5" s="46"/>
      <c r="H5" s="58">
        <v>133832.0</v>
      </c>
      <c r="I5" s="58"/>
      <c r="J5" s="77"/>
      <c r="K5" s="48"/>
      <c r="L5" s="90">
        <v>133832.0</v>
      </c>
      <c r="M5" s="24">
        <f t="shared" ref="M5:M7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92">
        <v>23708.0</v>
      </c>
      <c r="C6" s="87" t="s">
        <v>172</v>
      </c>
      <c r="D6" s="91">
        <v>48807.0</v>
      </c>
      <c r="E6" s="91" t="s">
        <v>133</v>
      </c>
      <c r="F6" s="57"/>
      <c r="G6" s="46"/>
      <c r="H6" s="58">
        <v>59250.0</v>
      </c>
      <c r="I6" s="58"/>
      <c r="J6" s="77"/>
      <c r="K6" s="48"/>
      <c r="L6" s="90">
        <v>59250.0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4.0</v>
      </c>
      <c r="B7" s="86"/>
      <c r="C7" s="87"/>
      <c r="D7" s="91"/>
      <c r="E7" s="91"/>
      <c r="F7" s="57"/>
      <c r="G7" s="46"/>
      <c r="H7" s="58"/>
      <c r="I7" s="58"/>
      <c r="J7" s="77"/>
      <c r="K7" s="48"/>
      <c r="L7" s="90"/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3"/>
      <c r="B8" s="33"/>
      <c r="C8" s="33"/>
      <c r="D8" s="69"/>
      <c r="E8" s="33"/>
      <c r="F8" s="70">
        <f t="shared" ref="F8:L8" si="2">SUM(F5:F7)</f>
        <v>0</v>
      </c>
      <c r="G8" s="70">
        <f t="shared" si="2"/>
        <v>0</v>
      </c>
      <c r="H8" s="70">
        <f t="shared" si="2"/>
        <v>193082</v>
      </c>
      <c r="I8" s="70">
        <f t="shared" si="2"/>
        <v>0</v>
      </c>
      <c r="J8" s="70">
        <f t="shared" si="2"/>
        <v>0</v>
      </c>
      <c r="K8" s="70">
        <f t="shared" si="2"/>
        <v>0</v>
      </c>
      <c r="L8" s="70">
        <f t="shared" si="2"/>
        <v>193082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33"/>
      <c r="B9" s="33"/>
      <c r="C9" s="33"/>
      <c r="D9" s="33"/>
      <c r="E9" s="33"/>
      <c r="F9" s="73">
        <f>F8+G8+H8+I8+J8+K8</f>
        <v>193082</v>
      </c>
      <c r="G9" s="2"/>
      <c r="H9" s="2"/>
      <c r="I9" s="2"/>
      <c r="J9" s="3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32.13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92">
        <v>44528.0</v>
      </c>
      <c r="C5" s="87" t="s">
        <v>174</v>
      </c>
      <c r="D5" s="91">
        <v>48807.0</v>
      </c>
      <c r="E5" s="91" t="s">
        <v>133</v>
      </c>
      <c r="F5" s="57"/>
      <c r="G5" s="46"/>
      <c r="H5" s="58">
        <v>170000.0</v>
      </c>
      <c r="I5" s="58"/>
      <c r="J5" s="77"/>
      <c r="K5" s="48"/>
      <c r="L5" s="68">
        <v>170000.0</v>
      </c>
      <c r="M5" s="24">
        <f t="shared" ref="M5:M8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92">
        <v>44528.0</v>
      </c>
      <c r="C6" s="87" t="s">
        <v>175</v>
      </c>
      <c r="D6" s="91">
        <v>45096.0</v>
      </c>
      <c r="E6" s="91" t="s">
        <v>176</v>
      </c>
      <c r="F6" s="57"/>
      <c r="G6" s="46"/>
      <c r="H6" s="58"/>
      <c r="I6" s="58">
        <v>50.0</v>
      </c>
      <c r="J6" s="77"/>
      <c r="K6" s="48"/>
      <c r="L6" s="68">
        <v>50.0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92">
        <v>44528.0</v>
      </c>
      <c r="C7" s="87" t="s">
        <v>177</v>
      </c>
      <c r="D7" s="91">
        <v>65568.0</v>
      </c>
      <c r="E7" s="91" t="s">
        <v>178</v>
      </c>
      <c r="F7" s="57"/>
      <c r="G7" s="46"/>
      <c r="H7" s="58">
        <v>500.0</v>
      </c>
      <c r="I7" s="58"/>
      <c r="J7" s="77"/>
      <c r="K7" s="48"/>
      <c r="L7" s="68">
        <v>500.0</v>
      </c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/>
      <c r="B8" s="86"/>
      <c r="C8" s="87"/>
      <c r="D8" s="91"/>
      <c r="E8" s="91"/>
      <c r="F8" s="57"/>
      <c r="G8" s="46"/>
      <c r="H8" s="58"/>
      <c r="I8" s="58"/>
      <c r="J8" s="77"/>
      <c r="K8" s="48"/>
      <c r="L8" s="90"/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3"/>
      <c r="B9" s="33"/>
      <c r="C9" s="33"/>
      <c r="D9" s="69"/>
      <c r="E9" s="33"/>
      <c r="F9" s="70">
        <f t="shared" ref="F9:L9" si="2">SUM(F5:F8)</f>
        <v>0</v>
      </c>
      <c r="G9" s="70">
        <f t="shared" si="2"/>
        <v>0</v>
      </c>
      <c r="H9" s="70">
        <f t="shared" si="2"/>
        <v>170500</v>
      </c>
      <c r="I9" s="70">
        <f t="shared" si="2"/>
        <v>50</v>
      </c>
      <c r="J9" s="70">
        <f t="shared" si="2"/>
        <v>0</v>
      </c>
      <c r="K9" s="70">
        <f t="shared" si="2"/>
        <v>0</v>
      </c>
      <c r="L9" s="70">
        <f t="shared" si="2"/>
        <v>170550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33"/>
      <c r="B10" s="33"/>
      <c r="C10" s="33"/>
      <c r="D10" s="33"/>
      <c r="E10" s="33"/>
      <c r="F10" s="73">
        <f>F9+G9+H9+I9+J9+K9</f>
        <v>170550</v>
      </c>
      <c r="G10" s="2"/>
      <c r="H10" s="2"/>
      <c r="I10" s="2"/>
      <c r="J10" s="3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32.13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14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92">
        <v>44529.0</v>
      </c>
      <c r="C5" s="87" t="s">
        <v>180</v>
      </c>
      <c r="D5" s="91">
        <v>23221.0</v>
      </c>
      <c r="E5" s="91" t="s">
        <v>181</v>
      </c>
      <c r="F5" s="57"/>
      <c r="G5" s="46"/>
      <c r="H5" s="58"/>
      <c r="I5" s="58"/>
      <c r="J5" s="77"/>
      <c r="K5" s="48">
        <v>4911.0</v>
      </c>
      <c r="L5" s="68">
        <v>4911.0</v>
      </c>
      <c r="M5" s="24">
        <f t="shared" ref="M5:M9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92">
        <v>44529.0</v>
      </c>
      <c r="C6" s="87" t="s">
        <v>182</v>
      </c>
      <c r="D6" s="91">
        <v>59508.0</v>
      </c>
      <c r="E6" s="91" t="s">
        <v>122</v>
      </c>
      <c r="F6" s="57"/>
      <c r="G6" s="46"/>
      <c r="H6" s="58">
        <v>45908.0</v>
      </c>
      <c r="I6" s="58"/>
      <c r="J6" s="77"/>
      <c r="K6" s="48"/>
      <c r="L6" s="68">
        <v>45908.0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92">
        <v>44529.0</v>
      </c>
      <c r="C7" s="87" t="s">
        <v>183</v>
      </c>
      <c r="D7" s="91">
        <v>62051.0</v>
      </c>
      <c r="E7" s="91" t="s">
        <v>184</v>
      </c>
      <c r="F7" s="57"/>
      <c r="G7" s="46"/>
      <c r="H7" s="58">
        <v>8784.0</v>
      </c>
      <c r="I7" s="58"/>
      <c r="J7" s="77"/>
      <c r="K7" s="48"/>
      <c r="L7" s="68">
        <v>8784.0</v>
      </c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92">
        <v>44529.0</v>
      </c>
      <c r="C8" s="87" t="s">
        <v>185</v>
      </c>
      <c r="D8" s="91">
        <v>48807.0</v>
      </c>
      <c r="E8" s="91" t="s">
        <v>133</v>
      </c>
      <c r="F8" s="57"/>
      <c r="G8" s="46"/>
      <c r="H8" s="58">
        <v>100000.0</v>
      </c>
      <c r="I8" s="58"/>
      <c r="J8" s="77"/>
      <c r="K8" s="48"/>
      <c r="L8" s="68">
        <v>100000.0</v>
      </c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/>
      <c r="B9" s="86"/>
      <c r="C9" s="87"/>
      <c r="D9" s="91"/>
      <c r="E9" s="91"/>
      <c r="F9" s="57"/>
      <c r="G9" s="46"/>
      <c r="H9" s="58"/>
      <c r="I9" s="58"/>
      <c r="J9" s="77"/>
      <c r="K9" s="48"/>
      <c r="L9" s="90"/>
      <c r="M9" s="24">
        <f t="shared" si="1"/>
        <v>0</v>
      </c>
      <c r="N9" s="75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3"/>
      <c r="B10" s="33"/>
      <c r="C10" s="33"/>
      <c r="D10" s="69"/>
      <c r="E10" s="33"/>
      <c r="F10" s="70">
        <f t="shared" ref="F10:L10" si="2">SUM(F5:F9)</f>
        <v>0</v>
      </c>
      <c r="G10" s="70">
        <f t="shared" si="2"/>
        <v>0</v>
      </c>
      <c r="H10" s="70">
        <f t="shared" si="2"/>
        <v>154692</v>
      </c>
      <c r="I10" s="70">
        <f t="shared" si="2"/>
        <v>0</v>
      </c>
      <c r="J10" s="70">
        <f t="shared" si="2"/>
        <v>0</v>
      </c>
      <c r="K10" s="70">
        <f t="shared" si="2"/>
        <v>4911</v>
      </c>
      <c r="L10" s="70">
        <f t="shared" si="2"/>
        <v>159603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33"/>
      <c r="B11" s="33"/>
      <c r="C11" s="33"/>
      <c r="D11" s="33"/>
      <c r="E11" s="33"/>
      <c r="F11" s="73">
        <f>F10+G10+H10+I10+J10+K10</f>
        <v>159603</v>
      </c>
      <c r="G11" s="2"/>
      <c r="H11" s="2"/>
      <c r="I11" s="2"/>
      <c r="J11" s="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88"/>
    <col customWidth="1" min="3" max="3" width="25.75"/>
    <col customWidth="1" min="5" max="5" width="52.38"/>
    <col customWidth="1" min="11" max="11" width="14.5"/>
    <col customWidth="1" min="12" max="12" width="15.13"/>
    <col customWidth="1" min="13" max="13" width="9.75"/>
    <col customWidth="1" min="14" max="14" width="38.13"/>
  </cols>
  <sheetData>
    <row r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8" t="s">
        <v>7</v>
      </c>
      <c r="N2" s="9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0"/>
      <c r="B3" s="10"/>
      <c r="C3" s="10"/>
      <c r="D3" s="10"/>
      <c r="E3" s="10"/>
      <c r="F3" s="11" t="s">
        <v>9</v>
      </c>
      <c r="G3" s="7" t="s">
        <v>10</v>
      </c>
      <c r="H3" s="3"/>
      <c r="I3" s="7" t="s">
        <v>11</v>
      </c>
      <c r="J3" s="3"/>
      <c r="K3" s="12" t="s">
        <v>12</v>
      </c>
      <c r="L3" s="6" t="s">
        <v>13</v>
      </c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1.75" customHeight="1">
      <c r="A4" s="13"/>
      <c r="B4" s="13"/>
      <c r="C4" s="13"/>
      <c r="D4" s="13"/>
      <c r="E4" s="13"/>
      <c r="F4" s="13"/>
      <c r="G4" s="14" t="s">
        <v>14</v>
      </c>
      <c r="H4" s="14" t="s">
        <v>15</v>
      </c>
      <c r="I4" s="93" t="s">
        <v>16</v>
      </c>
      <c r="J4" s="14" t="s">
        <v>17</v>
      </c>
      <c r="K4" s="13"/>
      <c r="L4" s="13"/>
      <c r="M4" s="13"/>
      <c r="N4" s="1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1.0</v>
      </c>
      <c r="B5" s="92">
        <v>44530.0</v>
      </c>
      <c r="C5" s="87" t="s">
        <v>187</v>
      </c>
      <c r="D5" s="91">
        <v>21821.0</v>
      </c>
      <c r="E5" s="91" t="s">
        <v>188</v>
      </c>
      <c r="F5" s="57"/>
      <c r="G5" s="46"/>
      <c r="H5" s="94">
        <v>5500.0</v>
      </c>
      <c r="I5" s="95"/>
      <c r="J5" s="96"/>
      <c r="K5" s="48"/>
      <c r="L5" s="68">
        <v>5500.0</v>
      </c>
      <c r="M5" s="24">
        <f t="shared" ref="M5:M14" si="1">L5-F5-G5-H5-I5-J5-K5</f>
        <v>0</v>
      </c>
      <c r="N5" s="7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2.0</v>
      </c>
      <c r="B6" s="92">
        <v>44530.0</v>
      </c>
      <c r="C6" s="87" t="s">
        <v>189</v>
      </c>
      <c r="D6" s="91">
        <v>62733.0</v>
      </c>
      <c r="E6" s="91" t="s">
        <v>129</v>
      </c>
      <c r="F6" s="57"/>
      <c r="G6" s="46"/>
      <c r="H6" s="94">
        <v>3253.0</v>
      </c>
      <c r="I6" s="95"/>
      <c r="J6" s="96"/>
      <c r="K6" s="48"/>
      <c r="L6" s="68">
        <v>3253.0</v>
      </c>
      <c r="M6" s="24">
        <f t="shared" si="1"/>
        <v>0</v>
      </c>
      <c r="N6" s="75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3.0</v>
      </c>
      <c r="B7" s="92">
        <v>44530.0</v>
      </c>
      <c r="C7" s="87" t="s">
        <v>190</v>
      </c>
      <c r="D7" s="91">
        <v>65500.0</v>
      </c>
      <c r="E7" s="91" t="s">
        <v>191</v>
      </c>
      <c r="F7" s="57"/>
      <c r="G7" s="46"/>
      <c r="H7" s="94">
        <v>9007.0</v>
      </c>
      <c r="I7" s="95"/>
      <c r="J7" s="96"/>
      <c r="K7" s="48"/>
      <c r="L7" s="68">
        <v>9007.0</v>
      </c>
      <c r="M7" s="24">
        <f t="shared" si="1"/>
        <v>0</v>
      </c>
      <c r="N7" s="75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4.0</v>
      </c>
      <c r="B8" s="92">
        <v>44530.0</v>
      </c>
      <c r="C8" s="87" t="s">
        <v>192</v>
      </c>
      <c r="D8" s="91">
        <v>64214.0</v>
      </c>
      <c r="E8" s="91" t="s">
        <v>193</v>
      </c>
      <c r="F8" s="57"/>
      <c r="G8" s="46"/>
      <c r="H8" s="94">
        <v>18004.0</v>
      </c>
      <c r="I8" s="95"/>
      <c r="J8" s="96"/>
      <c r="K8" s="48"/>
      <c r="L8" s="68">
        <v>18004.0</v>
      </c>
      <c r="M8" s="24">
        <f t="shared" si="1"/>
        <v>0</v>
      </c>
      <c r="N8" s="75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5.0</v>
      </c>
      <c r="B9" s="92">
        <v>44530.0</v>
      </c>
      <c r="C9" s="87" t="s">
        <v>194</v>
      </c>
      <c r="D9" s="91">
        <v>59833.0</v>
      </c>
      <c r="E9" s="91" t="s">
        <v>131</v>
      </c>
      <c r="F9" s="57"/>
      <c r="G9" s="46"/>
      <c r="H9" s="94">
        <v>23574.0</v>
      </c>
      <c r="I9" s="95"/>
      <c r="J9" s="96"/>
      <c r="K9" s="48"/>
      <c r="L9" s="68">
        <v>23574.0</v>
      </c>
      <c r="M9" s="24">
        <f t="shared" si="1"/>
        <v>0</v>
      </c>
      <c r="N9" s="75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6.0</v>
      </c>
      <c r="B10" s="92">
        <v>44530.0</v>
      </c>
      <c r="C10" s="87" t="s">
        <v>195</v>
      </c>
      <c r="D10" s="91">
        <v>60831.0</v>
      </c>
      <c r="E10" s="91" t="s">
        <v>196</v>
      </c>
      <c r="F10" s="57"/>
      <c r="G10" s="46"/>
      <c r="H10" s="94">
        <v>24626.0</v>
      </c>
      <c r="I10" s="95"/>
      <c r="J10" s="96"/>
      <c r="K10" s="48"/>
      <c r="L10" s="68">
        <v>24626.0</v>
      </c>
      <c r="M10" s="24">
        <f t="shared" si="1"/>
        <v>0</v>
      </c>
      <c r="N10" s="75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7">
        <v>7.0</v>
      </c>
      <c r="B11" s="92">
        <v>44530.0</v>
      </c>
      <c r="C11" s="87" t="s">
        <v>197</v>
      </c>
      <c r="D11" s="91">
        <v>60125.0</v>
      </c>
      <c r="E11" s="91" t="s">
        <v>126</v>
      </c>
      <c r="F11" s="57"/>
      <c r="G11" s="46"/>
      <c r="H11" s="94">
        <v>26339.0</v>
      </c>
      <c r="I11" s="95"/>
      <c r="J11" s="96"/>
      <c r="K11" s="48"/>
      <c r="L11" s="68">
        <v>26339.0</v>
      </c>
      <c r="M11" s="24">
        <f t="shared" si="1"/>
        <v>0</v>
      </c>
      <c r="N11" s="75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7">
        <v>8.0</v>
      </c>
      <c r="B12" s="92">
        <v>44530.0</v>
      </c>
      <c r="C12" s="87" t="s">
        <v>198</v>
      </c>
      <c r="D12" s="91">
        <v>48807.0</v>
      </c>
      <c r="E12" s="91" t="s">
        <v>133</v>
      </c>
      <c r="F12" s="57"/>
      <c r="G12" s="46"/>
      <c r="H12" s="94">
        <v>300000.0</v>
      </c>
      <c r="I12" s="95"/>
      <c r="J12" s="96"/>
      <c r="K12" s="48"/>
      <c r="L12" s="68">
        <v>300000.0</v>
      </c>
      <c r="M12" s="24">
        <f t="shared" si="1"/>
        <v>0</v>
      </c>
      <c r="N12" s="75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7">
        <v>9.0</v>
      </c>
      <c r="B13" s="92">
        <v>44530.0</v>
      </c>
      <c r="C13" s="87" t="s">
        <v>199</v>
      </c>
      <c r="D13" s="91">
        <v>35245.0</v>
      </c>
      <c r="E13" s="91" t="s">
        <v>113</v>
      </c>
      <c r="F13" s="57"/>
      <c r="G13" s="46"/>
      <c r="H13" s="94"/>
      <c r="I13" s="95">
        <v>15000.0</v>
      </c>
      <c r="J13" s="96"/>
      <c r="K13" s="48"/>
      <c r="L13" s="68">
        <v>15000.0</v>
      </c>
      <c r="M13" s="24">
        <f t="shared" si="1"/>
        <v>0</v>
      </c>
      <c r="N13" s="75"/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7">
        <v>10.0</v>
      </c>
      <c r="B14" s="92">
        <v>44530.0</v>
      </c>
      <c r="C14" s="87" t="s">
        <v>200</v>
      </c>
      <c r="D14" s="91">
        <v>51697.0</v>
      </c>
      <c r="E14" s="91" t="s">
        <v>168</v>
      </c>
      <c r="F14" s="57"/>
      <c r="G14" s="46"/>
      <c r="H14" s="94"/>
      <c r="I14" s="95"/>
      <c r="J14" s="96">
        <v>3287.0</v>
      </c>
      <c r="K14" s="48"/>
      <c r="L14" s="68">
        <v>3287.0</v>
      </c>
      <c r="M14" s="24">
        <f t="shared" si="1"/>
        <v>0</v>
      </c>
      <c r="N14" s="75"/>
      <c r="O14" s="26"/>
      <c r="P14" s="2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3"/>
      <c r="B15" s="33"/>
      <c r="C15" s="33"/>
      <c r="D15" s="69"/>
      <c r="E15" s="33"/>
      <c r="F15" s="70">
        <f t="shared" ref="F15:J15" si="2">SUM(F5:F14)</f>
        <v>0</v>
      </c>
      <c r="G15" s="70">
        <f t="shared" si="2"/>
        <v>0</v>
      </c>
      <c r="H15" s="97">
        <f t="shared" si="2"/>
        <v>410303</v>
      </c>
      <c r="I15" s="98">
        <f t="shared" si="2"/>
        <v>15000</v>
      </c>
      <c r="J15" s="99">
        <f t="shared" si="2"/>
        <v>3287</v>
      </c>
      <c r="K15" s="70">
        <f>SUM(K13:K14)</f>
        <v>0</v>
      </c>
      <c r="L15" s="70">
        <f>SUM(L5:L14)</f>
        <v>428590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33"/>
      <c r="B16" s="33"/>
      <c r="C16" s="33"/>
      <c r="D16" s="33"/>
      <c r="E16" s="33"/>
      <c r="F16" s="73">
        <f>F15+G15+H15+I15+J15+K15</f>
        <v>428590</v>
      </c>
      <c r="G16" s="2"/>
      <c r="H16" s="2"/>
      <c r="I16" s="2"/>
      <c r="J16" s="3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</sheetData>
  <mergeCells count="15">
    <mergeCell ref="M2:M4"/>
    <mergeCell ref="N2:N4"/>
    <mergeCell ref="F3:F4"/>
    <mergeCell ref="G3:H3"/>
    <mergeCell ref="F16:J16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
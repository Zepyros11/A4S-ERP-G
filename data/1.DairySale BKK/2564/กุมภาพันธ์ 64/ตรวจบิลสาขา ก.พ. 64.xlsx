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  <sheet state="visible" name="Copy of Copy of Sheet1" sheetId="3" r:id="rId6"/>
  </sheets>
  <definedNames/>
  <calcPr/>
</workbook>
</file>

<file path=xl/sharedStrings.xml><?xml version="1.0" encoding="utf-8"?>
<sst xmlns="http://schemas.openxmlformats.org/spreadsheetml/2006/main" count="90" uniqueCount="31">
  <si>
    <t>ตรวจสอบบิลขายในระบบ กับ DAILY SALE กรุงเทพฯ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</si>
  <si>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</si>
  <si>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</si>
  <si>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</si>
  <si>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</si>
  <si>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</si>
  <si>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</si>
  <si>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</si>
  <si>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</si>
  <si>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</si>
  <si>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</si>
  <si>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</si>
  <si>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อริสรา</t>
  </si>
  <si>
    <t>ผลต่างเนื่องจากเป็นบิลการลงคะแนนใหม่ ยอดได้ทำการลงเดลี่เรียบร้อยค่ะ</t>
  </si>
  <si>
    <t>ผลต่าง 3000 บาท เนื่องจากเป็นบิลdummy</t>
  </si>
  <si>
    <t>สาริยา</t>
  </si>
  <si>
    <t xml:space="preserve">   </t>
  </si>
  <si>
    <t>รวม</t>
  </si>
  <si>
    <t>ผลต่าง600 บาทเป็นบิล dummy</t>
  </si>
  <si>
    <t>ผลต่าง 300 บาทเป็นบิล dummy</t>
  </si>
  <si>
    <t>มุรณี</t>
  </si>
  <si>
    <t>ผลต่าง 5000 บาท เนื่องจากเป็นบิลยกเลิกทำการลงเดลี่เรียบร้อยค่ะ</t>
  </si>
  <si>
    <t>ผลต่าง 1200บาทเป็นบิล dummy</t>
  </si>
  <si>
    <t>23/2/2021</t>
  </si>
  <si>
    <t>24/2/2022</t>
  </si>
  <si>
    <t>ผลต่าง 22800 บาท เนื่องจากเป็นบิลยกเลิกทำรายการลงเดลี่เรียบร้อยค่ะ</t>
  </si>
  <si>
    <t>25/2/2023</t>
  </si>
  <si>
    <t>26/2/2022</t>
  </si>
  <si>
    <t>27/2/2023</t>
  </si>
  <si>
    <t>ผลต่าง 80 บาท เป็นบิล dummy</t>
  </si>
  <si>
    <t>28/2/2024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</si>
</sst>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_-;\-* #,##0_-;_-* &quot;-&quot;??_-;_-@"/>
    <numFmt numFmtId="166" formatCode="mm/dd/yyyy"/>
  </numFmts>
  <fonts count="15">
    <font>
      <sz val="10.0"/>
      <color rgb="FF000000"/>
      <name val="Arial"/>
      <scheme val="minor"/>
    </font>
    <font>
      <b/>
      <sz val="20.0"/>
      <color theme="1"/>
      <name val="&quot;Cordia New&quot;"/>
    </font>
    <font/>
    <font>
      <color theme="1"/>
      <name val="Arial"/>
    </font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FF0000"/>
      <name val="Arial"/>
    </font>
    <font>
      <sz val="12.0"/>
      <color rgb="FFFF0000"/>
      <name val="Arial"/>
    </font>
    <font>
      <sz val="20.0"/>
      <color rgb="FFFF0000"/>
      <name val="&quot;Cordia New&quot;"/>
    </font>
    <font>
      <sz val="12.0"/>
      <color rgb="FFFF0000"/>
      <name val="Calibri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20.0"/>
      <color rgb="FFFF0000"/>
      <name val="&quot;Cordia New&quot;"/>
    </font>
    <font>
      <sz val="11.0"/>
      <color rgb="FFFF0000"/>
      <name val="Calibri"/>
    </font>
    <font>
      <b/>
      <sz val="14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4" fontId="4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vertical="bottom"/>
    </xf>
    <xf borderId="6" fillId="0" fontId="5" numFmtId="164" xfId="0" applyAlignment="1" applyBorder="1" applyFont="1" applyNumberFormat="1">
      <alignment horizontal="center" readingOrder="0" vertical="bottom"/>
    </xf>
    <xf borderId="6" fillId="4" fontId="5" numFmtId="38" xfId="0" applyAlignment="1" applyBorder="1" applyFont="1" applyNumberFormat="1">
      <alignment horizontal="center" readingOrder="0" vertical="bottom"/>
    </xf>
    <xf borderId="6" fillId="4" fontId="3" numFmtId="38" xfId="0" applyAlignment="1" applyBorder="1" applyFont="1" applyNumberFormat="1">
      <alignment vertical="bottom"/>
    </xf>
    <xf borderId="6" fillId="4" fontId="4" numFmtId="165" xfId="0" applyAlignment="1" applyBorder="1" applyFont="1" applyNumberFormat="1">
      <alignment horizontal="center" readingOrder="0" vertical="bottom"/>
    </xf>
    <xf borderId="6" fillId="5" fontId="5" numFmtId="38" xfId="0" applyAlignment="1" applyBorder="1" applyFont="1" applyNumberFormat="1">
      <alignment horizontal="center" readingOrder="0" vertical="bottom"/>
    </xf>
    <xf borderId="6" fillId="5" fontId="5" numFmtId="165" xfId="0" applyAlignment="1" applyBorder="1" applyFont="1" applyNumberFormat="1">
      <alignment horizontal="center" readingOrder="0" vertical="bottom"/>
    </xf>
    <xf borderId="6" fillId="0" fontId="6" numFmtId="165" xfId="0" applyAlignment="1" applyBorder="1" applyFont="1" applyNumberFormat="1">
      <alignment readingOrder="0" vertical="bottom"/>
    </xf>
    <xf borderId="6" fillId="0" fontId="5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3" numFmtId="165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0" fillId="0" fontId="3" numFmtId="16" xfId="0" applyAlignment="1" applyFont="1" applyNumberFormat="1">
      <alignment vertical="bottom"/>
    </xf>
    <xf borderId="6" fillId="0" fontId="8" numFmtId="165" xfId="0" applyAlignment="1" applyBorder="1" applyFont="1" applyNumberForma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6" fillId="4" fontId="5" numFmtId="165" xfId="0" applyAlignment="1" applyBorder="1" applyFont="1" applyNumberFormat="1">
      <alignment horizontal="center" readingOrder="0" vertical="bottom"/>
    </xf>
    <xf borderId="6" fillId="0" fontId="3" numFmtId="164" xfId="0" applyAlignment="1" applyBorder="1" applyFont="1" applyNumberFormat="1">
      <alignment vertical="bottom"/>
    </xf>
    <xf borderId="6" fillId="4" fontId="3" numFmtId="165" xfId="0" applyAlignment="1" applyBorder="1" applyFont="1" applyNumberFormat="1">
      <alignment vertical="bottom"/>
    </xf>
    <xf borderId="6" fillId="5" fontId="3" numFmtId="38" xfId="0" applyAlignment="1" applyBorder="1" applyFont="1" applyNumberFormat="1">
      <alignment vertical="bottom"/>
    </xf>
    <xf borderId="6" fillId="5" fontId="3" numFmtId="165" xfId="0" applyAlignment="1" applyBorder="1" applyFont="1" applyNumberFormat="1">
      <alignment vertical="bottom"/>
    </xf>
    <xf borderId="1" fillId="0" fontId="10" numFmtId="0" xfId="0" applyAlignment="1" applyBorder="1" applyFont="1">
      <alignment horizontal="center" vertical="bottom"/>
    </xf>
    <xf borderId="6" fillId="0" fontId="11" numFmtId="38" xfId="0" applyAlignment="1" applyBorder="1" applyFont="1" applyNumberFormat="1">
      <alignment horizontal="center" vertical="bottom"/>
    </xf>
    <xf borderId="6" fillId="0" fontId="12" numFmtId="38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readingOrder="0" vertical="bottom"/>
    </xf>
    <xf borderId="6" fillId="0" fontId="13" numFmtId="0" xfId="0" applyAlignment="1" applyBorder="1" applyFont="1">
      <alignment readingOrder="0" vertical="bottom"/>
    </xf>
    <xf borderId="6" fillId="4" fontId="5" numFmtId="38" xfId="0" applyAlignment="1" applyBorder="1" applyFont="1" applyNumberFormat="1">
      <alignment horizontal="right" readingOrder="0" vertical="bottom"/>
    </xf>
    <xf borderId="6" fillId="0" fontId="14" numFmtId="0" xfId="0" applyAlignment="1" applyBorder="1" applyFont="1">
      <alignment readingOrder="0" vertical="bottom"/>
    </xf>
    <xf borderId="6" fillId="0" fontId="5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9.5"/>
    <col customWidth="1" min="5" max="5" width="8.5"/>
    <col customWidth="1" min="9" max="9" width="12.13"/>
    <col customWidth="1" min="11" max="11" width="6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2"/>
      <c r="F2" s="3"/>
      <c r="G2" s="7" t="s">
        <v>3</v>
      </c>
      <c r="H2" s="3"/>
      <c r="I2" s="5" t="s">
        <v>4</v>
      </c>
      <c r="J2" s="5" t="s">
        <v>5</v>
      </c>
      <c r="K2" s="5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44228.0</v>
      </c>
      <c r="B4" s="12">
        <v>89.0</v>
      </c>
      <c r="C4" s="12">
        <v>593859.0</v>
      </c>
      <c r="D4" s="13"/>
      <c r="E4" s="13"/>
      <c r="F4" s="14">
        <v>593859.0</v>
      </c>
      <c r="G4" s="15">
        <v>89.0</v>
      </c>
      <c r="H4" s="16">
        <v>606389.0</v>
      </c>
      <c r="I4" s="17">
        <v>-12530.0</v>
      </c>
      <c r="J4" s="18" t="s">
        <v>12</v>
      </c>
      <c r="K4" s="19" t="s">
        <v>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44229.0</v>
      </c>
      <c r="B5" s="12">
        <v>101.0</v>
      </c>
      <c r="C5" s="12">
        <v>793094.0</v>
      </c>
      <c r="D5" s="13"/>
      <c r="E5" s="13"/>
      <c r="F5" s="14">
        <v>793094.0</v>
      </c>
      <c r="G5" s="15">
        <v>101.0</v>
      </c>
      <c r="H5" s="16">
        <v>793094.0</v>
      </c>
      <c r="I5" s="20"/>
      <c r="J5" s="18" t="s">
        <v>12</v>
      </c>
      <c r="K5" s="21"/>
      <c r="L5" s="4"/>
      <c r="M5" s="4"/>
      <c r="N5" s="4"/>
      <c r="O5" s="4"/>
      <c r="P5" s="22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44230.0</v>
      </c>
      <c r="B6" s="12">
        <v>83.0</v>
      </c>
      <c r="C6" s="12">
        <v>614710.0</v>
      </c>
      <c r="D6" s="13"/>
      <c r="E6" s="13"/>
      <c r="F6" s="14">
        <v>614710.0</v>
      </c>
      <c r="G6" s="15">
        <v>83.0</v>
      </c>
      <c r="H6" s="16">
        <v>614710.0</v>
      </c>
      <c r="I6" s="23"/>
      <c r="J6" s="18" t="s">
        <v>12</v>
      </c>
      <c r="K6" s="2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44231.0</v>
      </c>
      <c r="B7" s="12">
        <v>70.0</v>
      </c>
      <c r="C7" s="12">
        <v>413984.0</v>
      </c>
      <c r="D7" s="13"/>
      <c r="E7" s="13"/>
      <c r="F7" s="14">
        <v>413984.0</v>
      </c>
      <c r="G7" s="15">
        <v>70.0</v>
      </c>
      <c r="H7" s="16">
        <v>416984.0</v>
      </c>
      <c r="I7" s="23">
        <v>-3000.0</v>
      </c>
      <c r="J7" s="18" t="s">
        <v>12</v>
      </c>
      <c r="K7" s="24" t="s">
        <v>14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v>44232.0</v>
      </c>
      <c r="B8" s="12">
        <v>73.0</v>
      </c>
      <c r="C8" s="12">
        <v>623665.0</v>
      </c>
      <c r="D8" s="13"/>
      <c r="E8" s="13"/>
      <c r="F8" s="14">
        <v>623665.0</v>
      </c>
      <c r="G8" s="15">
        <v>73.0</v>
      </c>
      <c r="H8" s="16">
        <v>623665.0</v>
      </c>
      <c r="I8" s="23"/>
      <c r="J8" s="18" t="s">
        <v>15</v>
      </c>
      <c r="K8" s="2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v>44233.0</v>
      </c>
      <c r="B9" s="12">
        <v>62.0</v>
      </c>
      <c r="C9" s="12">
        <v>530515.0</v>
      </c>
      <c r="D9" s="13"/>
      <c r="E9" s="13"/>
      <c r="F9" s="14">
        <v>530515.0</v>
      </c>
      <c r="G9" s="15">
        <v>62.0</v>
      </c>
      <c r="H9" s="16">
        <v>530515.0</v>
      </c>
      <c r="I9" s="23" t="s">
        <v>16</v>
      </c>
      <c r="J9" s="18" t="s">
        <v>12</v>
      </c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v>44234.0</v>
      </c>
      <c r="B10" s="12">
        <v>59.0</v>
      </c>
      <c r="C10" s="12">
        <v>512524.0</v>
      </c>
      <c r="D10" s="13"/>
      <c r="E10" s="13"/>
      <c r="F10" s="14">
        <v>512524.0</v>
      </c>
      <c r="G10" s="15">
        <v>59.0</v>
      </c>
      <c r="H10" s="16">
        <v>512524.0</v>
      </c>
      <c r="I10" s="23"/>
      <c r="J10" s="18" t="s">
        <v>12</v>
      </c>
      <c r="K10" s="2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v>44235.0</v>
      </c>
      <c r="B11" s="12">
        <v>78.0</v>
      </c>
      <c r="C11" s="12">
        <v>703483.0</v>
      </c>
      <c r="D11" s="13"/>
      <c r="E11" s="13"/>
      <c r="F11" s="14">
        <v>703483.0</v>
      </c>
      <c r="G11" s="15">
        <v>78.0</v>
      </c>
      <c r="H11" s="16">
        <v>706383.0</v>
      </c>
      <c r="I11" s="23">
        <v>-2900.0</v>
      </c>
      <c r="J11" s="18" t="s">
        <v>12</v>
      </c>
      <c r="K11" s="19" t="s">
        <v>13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44236.0</v>
      </c>
      <c r="B12" s="12">
        <v>81.0</v>
      </c>
      <c r="C12" s="12">
        <v>554726.0</v>
      </c>
      <c r="D12" s="13"/>
      <c r="E12" s="13"/>
      <c r="F12" s="12">
        <v>554726.0</v>
      </c>
      <c r="G12" s="15">
        <v>81.0</v>
      </c>
      <c r="H12" s="15">
        <v>554726.0</v>
      </c>
      <c r="I12" s="20"/>
      <c r="J12" s="18" t="s">
        <v>15</v>
      </c>
      <c r="K12" s="2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v>44237.0</v>
      </c>
      <c r="B13" s="12">
        <v>65.0</v>
      </c>
      <c r="C13" s="12">
        <v>565584.0</v>
      </c>
      <c r="D13" s="13"/>
      <c r="E13" s="13"/>
      <c r="F13" s="14">
        <v>565584.0</v>
      </c>
      <c r="G13" s="15">
        <v>65.0</v>
      </c>
      <c r="H13" s="16">
        <v>565584.0</v>
      </c>
      <c r="I13" s="23"/>
      <c r="J13" s="18" t="s">
        <v>12</v>
      </c>
      <c r="K13" s="2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v>44238.0</v>
      </c>
      <c r="B14" s="12">
        <v>76.0</v>
      </c>
      <c r="C14" s="12">
        <v>559874.0</v>
      </c>
      <c r="D14" s="13"/>
      <c r="E14" s="13"/>
      <c r="F14" s="26">
        <v>559874.0</v>
      </c>
      <c r="G14" s="15">
        <v>76.0</v>
      </c>
      <c r="H14" s="16">
        <v>559874.0</v>
      </c>
      <c r="I14" s="23"/>
      <c r="J14" s="18" t="s">
        <v>12</v>
      </c>
      <c r="K14" s="2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/>
      <c r="B15" s="13"/>
      <c r="C15" s="13"/>
      <c r="D15" s="13"/>
      <c r="E15" s="13"/>
      <c r="F15" s="28"/>
      <c r="G15" s="29"/>
      <c r="H15" s="30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1" t="s">
        <v>17</v>
      </c>
      <c r="B16" s="2"/>
      <c r="C16" s="2"/>
      <c r="D16" s="2"/>
      <c r="E16" s="3"/>
      <c r="F16" s="32">
        <f>SUM(F4:F14)</f>
        <v>6466018</v>
      </c>
      <c r="G16" s="21"/>
      <c r="H16" s="32">
        <f>SUM(H4:H14)</f>
        <v>6484448</v>
      </c>
      <c r="I16" s="33">
        <f>SUM(I4:I15)</f>
        <v>-18430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6:E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9.5"/>
    <col customWidth="1" min="5" max="5" width="8.5"/>
    <col customWidth="1" min="9" max="9" width="12.13"/>
    <col customWidth="1" min="11" max="11" width="6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2"/>
      <c r="F2" s="3"/>
      <c r="G2" s="7" t="s">
        <v>3</v>
      </c>
      <c r="H2" s="3"/>
      <c r="I2" s="5" t="s">
        <v>4</v>
      </c>
      <c r="J2" s="5" t="s">
        <v>5</v>
      </c>
      <c r="K2" s="5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44239.0</v>
      </c>
      <c r="B4" s="12">
        <v>70.0</v>
      </c>
      <c r="C4" s="12">
        <v>480556.0</v>
      </c>
      <c r="D4" s="13"/>
      <c r="E4" s="13"/>
      <c r="F4" s="14">
        <v>480556.0</v>
      </c>
      <c r="G4" s="15">
        <v>70.0</v>
      </c>
      <c r="H4" s="16">
        <v>480556.0</v>
      </c>
      <c r="I4" s="17"/>
      <c r="J4" s="18" t="s">
        <v>12</v>
      </c>
      <c r="K4" s="2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44240.0</v>
      </c>
      <c r="B5" s="12">
        <v>69.0</v>
      </c>
      <c r="C5" s="12">
        <v>502402.0</v>
      </c>
      <c r="D5" s="13"/>
      <c r="E5" s="13"/>
      <c r="F5" s="14">
        <v>502402.0</v>
      </c>
      <c r="G5" s="15">
        <v>69.0</v>
      </c>
      <c r="H5" s="16">
        <v>503002.0</v>
      </c>
      <c r="I5" s="17">
        <v>-600.0</v>
      </c>
      <c r="J5" s="18" t="s">
        <v>12</v>
      </c>
      <c r="K5" s="34" t="s">
        <v>18</v>
      </c>
      <c r="L5" s="4"/>
      <c r="M5" s="4"/>
      <c r="N5" s="4"/>
      <c r="O5" s="4"/>
      <c r="P5" s="22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44241.0</v>
      </c>
      <c r="B6" s="12">
        <v>55.0</v>
      </c>
      <c r="C6" s="12">
        <v>324751.0</v>
      </c>
      <c r="D6" s="13"/>
      <c r="E6" s="13"/>
      <c r="F6" s="14">
        <v>324751.0</v>
      </c>
      <c r="G6" s="15">
        <v>55.0</v>
      </c>
      <c r="H6" s="16">
        <v>324751.0</v>
      </c>
      <c r="I6" s="17"/>
      <c r="J6" s="18" t="s">
        <v>12</v>
      </c>
      <c r="K6" s="2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44242.0</v>
      </c>
      <c r="B7" s="12">
        <v>119.0</v>
      </c>
      <c r="C7" s="12">
        <v>926397.0</v>
      </c>
      <c r="D7" s="13"/>
      <c r="E7" s="13"/>
      <c r="F7" s="14">
        <v>926397.0</v>
      </c>
      <c r="G7" s="15">
        <v>119.0</v>
      </c>
      <c r="H7" s="16">
        <v>926697.0</v>
      </c>
      <c r="I7" s="17">
        <v>-300.0</v>
      </c>
      <c r="J7" s="18" t="s">
        <v>12</v>
      </c>
      <c r="K7" s="34" t="s">
        <v>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v>44243.0</v>
      </c>
      <c r="B8" s="12">
        <v>91.0</v>
      </c>
      <c r="C8" s="12">
        <v>870348.0</v>
      </c>
      <c r="D8" s="13"/>
      <c r="E8" s="13"/>
      <c r="F8" s="14">
        <v>870348.0</v>
      </c>
      <c r="G8" s="15">
        <v>91.0</v>
      </c>
      <c r="H8" s="16">
        <v>870348.0</v>
      </c>
      <c r="I8" s="17"/>
      <c r="J8" s="18" t="s">
        <v>12</v>
      </c>
      <c r="K8" s="2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v>44244.0</v>
      </c>
      <c r="B9" s="12">
        <v>90.0</v>
      </c>
      <c r="C9" s="12">
        <v>823459.0</v>
      </c>
      <c r="D9" s="13"/>
      <c r="E9" s="13"/>
      <c r="F9" s="14">
        <v>823459.0</v>
      </c>
      <c r="G9" s="15">
        <v>91.0</v>
      </c>
      <c r="H9" s="16">
        <v>823750.0</v>
      </c>
      <c r="I9" s="23">
        <v>-300.0</v>
      </c>
      <c r="J9" s="18" t="s">
        <v>20</v>
      </c>
      <c r="K9" s="34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v>44245.0</v>
      </c>
      <c r="B10" s="12">
        <v>51.0</v>
      </c>
      <c r="C10" s="12">
        <v>297322.0</v>
      </c>
      <c r="D10" s="13"/>
      <c r="E10" s="13"/>
      <c r="F10" s="14">
        <v>297322.0</v>
      </c>
      <c r="G10" s="15">
        <v>51.0</v>
      </c>
      <c r="H10" s="16">
        <v>302322.0</v>
      </c>
      <c r="I10" s="23">
        <v>-5000.0</v>
      </c>
      <c r="J10" s="18" t="s">
        <v>12</v>
      </c>
      <c r="K10" s="34" t="s">
        <v>21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v>44246.0</v>
      </c>
      <c r="B11" s="12">
        <v>66.0</v>
      </c>
      <c r="C11" s="12">
        <v>527722.0</v>
      </c>
      <c r="D11" s="13"/>
      <c r="E11" s="13"/>
      <c r="F11" s="14">
        <v>527722.0</v>
      </c>
      <c r="G11" s="15">
        <v>66.0</v>
      </c>
      <c r="H11" s="16">
        <v>527722.0</v>
      </c>
      <c r="I11" s="23"/>
      <c r="J11" s="18" t="s">
        <v>12</v>
      </c>
      <c r="K11" s="3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>
        <v>44247.0</v>
      </c>
      <c r="B12" s="12">
        <v>60.0</v>
      </c>
      <c r="C12" s="12">
        <v>352247.0</v>
      </c>
      <c r="D12" s="13"/>
      <c r="E12" s="13"/>
      <c r="F12" s="36">
        <v>352247.0</v>
      </c>
      <c r="G12" s="15">
        <v>60.0</v>
      </c>
      <c r="H12" s="15">
        <v>352247.0</v>
      </c>
      <c r="I12" s="20"/>
      <c r="J12" s="18" t="s">
        <v>15</v>
      </c>
      <c r="K12" s="2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>
        <v>44248.0</v>
      </c>
      <c r="B13" s="12">
        <v>57.0</v>
      </c>
      <c r="C13" s="12">
        <v>529421.0</v>
      </c>
      <c r="D13" s="13"/>
      <c r="E13" s="13"/>
      <c r="F13" s="14">
        <v>529421.0</v>
      </c>
      <c r="G13" s="15">
        <v>57.0</v>
      </c>
      <c r="H13" s="16">
        <v>529421.0</v>
      </c>
      <c r="I13" s="23"/>
      <c r="J13" s="18" t="s">
        <v>12</v>
      </c>
      <c r="K13" s="2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>
        <v>44249.0</v>
      </c>
      <c r="B14" s="12">
        <v>68.0</v>
      </c>
      <c r="C14" s="12">
        <v>556323.0</v>
      </c>
      <c r="D14" s="13"/>
      <c r="E14" s="13"/>
      <c r="F14" s="26">
        <v>556323.0</v>
      </c>
      <c r="G14" s="15">
        <v>68.0</v>
      </c>
      <c r="H14" s="16">
        <v>557523.0</v>
      </c>
      <c r="I14" s="23">
        <v>-1200.0</v>
      </c>
      <c r="J14" s="18" t="s">
        <v>12</v>
      </c>
      <c r="K14" s="34" t="s">
        <v>22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"/>
      <c r="B15" s="13"/>
      <c r="C15" s="13"/>
      <c r="D15" s="13"/>
      <c r="E15" s="13"/>
      <c r="F15" s="28"/>
      <c r="G15" s="29"/>
      <c r="H15" s="30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1" t="s">
        <v>17</v>
      </c>
      <c r="B16" s="2"/>
      <c r="C16" s="2"/>
      <c r="D16" s="2"/>
      <c r="E16" s="3"/>
      <c r="F16" s="32">
        <f>SUM(F4:F14)</f>
        <v>6190948</v>
      </c>
      <c r="G16" s="21"/>
      <c r="H16" s="32">
        <f>SUM(H4:H14)</f>
        <v>6198339</v>
      </c>
      <c r="I16" s="33">
        <f>SUM(I4:I15)</f>
        <v>-7400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6:E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9.5"/>
    <col customWidth="1" min="5" max="5" width="8.5"/>
    <col customWidth="1" min="9" max="9" width="12.13"/>
    <col customWidth="1" min="11" max="11" width="7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2"/>
      <c r="F2" s="3"/>
      <c r="G2" s="7" t="s">
        <v>3</v>
      </c>
      <c r="H2" s="3"/>
      <c r="I2" s="5" t="s">
        <v>4</v>
      </c>
      <c r="J2" s="5" t="s">
        <v>5</v>
      </c>
      <c r="K2" s="5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7</v>
      </c>
      <c r="H3" s="10" t="s">
        <v>8</v>
      </c>
      <c r="I3" s="8"/>
      <c r="J3" s="8"/>
      <c r="K3" s="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23</v>
      </c>
      <c r="B4" s="12">
        <v>101.0</v>
      </c>
      <c r="C4" s="12">
        <v>781917.0</v>
      </c>
      <c r="D4" s="13"/>
      <c r="E4" s="13"/>
      <c r="F4" s="14">
        <v>781917.0</v>
      </c>
      <c r="G4" s="15">
        <v>101.0</v>
      </c>
      <c r="H4" s="16">
        <v>781917.0</v>
      </c>
      <c r="I4" s="17">
        <f>SUM(H4-F4)</f>
        <v>0</v>
      </c>
      <c r="J4" s="18" t="s">
        <v>12</v>
      </c>
      <c r="K4" s="3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 t="s">
        <v>24</v>
      </c>
      <c r="B5" s="12">
        <v>81.0</v>
      </c>
      <c r="C5" s="12">
        <v>420689.0</v>
      </c>
      <c r="D5" s="13"/>
      <c r="E5" s="13"/>
      <c r="F5" s="14">
        <v>420689.0</v>
      </c>
      <c r="G5" s="15">
        <v>81.0</v>
      </c>
      <c r="H5" s="16">
        <v>443489.0</v>
      </c>
      <c r="I5" s="17">
        <v>22800.0</v>
      </c>
      <c r="J5" s="18" t="s">
        <v>12</v>
      </c>
      <c r="K5" s="34" t="s">
        <v>25</v>
      </c>
      <c r="L5" s="4"/>
      <c r="M5" s="4"/>
      <c r="N5" s="4"/>
      <c r="O5" s="4"/>
      <c r="P5" s="22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26</v>
      </c>
      <c r="B6" s="12">
        <v>68.0</v>
      </c>
      <c r="C6" s="12">
        <v>445230.0</v>
      </c>
      <c r="D6" s="13"/>
      <c r="E6" s="13"/>
      <c r="F6" s="14">
        <v>445230.0</v>
      </c>
      <c r="G6" s="15">
        <v>68.0</v>
      </c>
      <c r="H6" s="16">
        <v>445230.0</v>
      </c>
      <c r="I6" s="17"/>
      <c r="J6" s="18" t="s">
        <v>15</v>
      </c>
      <c r="K6" s="2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27</v>
      </c>
      <c r="B7" s="12">
        <v>62.0</v>
      </c>
      <c r="C7" s="12">
        <v>806886.0</v>
      </c>
      <c r="D7" s="13"/>
      <c r="E7" s="13"/>
      <c r="F7" s="14">
        <v>806886.0</v>
      </c>
      <c r="G7" s="15">
        <v>62.0</v>
      </c>
      <c r="H7" s="16">
        <v>806886.0</v>
      </c>
      <c r="I7" s="17"/>
      <c r="J7" s="18" t="s">
        <v>12</v>
      </c>
      <c r="K7" s="3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28</v>
      </c>
      <c r="B8" s="12">
        <v>92.0</v>
      </c>
      <c r="C8" s="12">
        <v>1200628.0</v>
      </c>
      <c r="D8" s="13"/>
      <c r="E8" s="13"/>
      <c r="F8" s="14">
        <v>1200628.0</v>
      </c>
      <c r="G8" s="15">
        <v>92.0</v>
      </c>
      <c r="H8" s="16">
        <v>1200708.0</v>
      </c>
      <c r="I8" s="17">
        <v>-80.0</v>
      </c>
      <c r="J8" s="18" t="s">
        <v>12</v>
      </c>
      <c r="K8" s="24" t="s">
        <v>29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30</v>
      </c>
      <c r="B9" s="12">
        <v>105.0</v>
      </c>
      <c r="C9" s="12">
        <v>1211457.0</v>
      </c>
      <c r="D9" s="13"/>
      <c r="E9" s="13"/>
      <c r="F9" s="14">
        <v>1211457.0</v>
      </c>
      <c r="G9" s="15">
        <v>105.0</v>
      </c>
      <c r="H9" s="16">
        <v>1211457.0</v>
      </c>
      <c r="I9" s="23"/>
      <c r="J9" s="18" t="s">
        <v>20</v>
      </c>
      <c r="K9" s="3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>
        <v>44199.0</v>
      </c>
      <c r="B10" s="12"/>
      <c r="C10" s="12"/>
      <c r="D10" s="13"/>
      <c r="E10" s="13"/>
      <c r="F10" s="14"/>
      <c r="G10" s="15"/>
      <c r="H10" s="16"/>
      <c r="I10" s="23"/>
      <c r="J10" s="18"/>
      <c r="K10" s="3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>
        <v>44230.0</v>
      </c>
      <c r="B11" s="12"/>
      <c r="C11" s="12"/>
      <c r="D11" s="13"/>
      <c r="E11" s="13"/>
      <c r="F11" s="14"/>
      <c r="G11" s="15"/>
      <c r="H11" s="16"/>
      <c r="I11" s="23"/>
      <c r="J11" s="18"/>
      <c r="K11" s="3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>
        <v>44258.0</v>
      </c>
      <c r="B12" s="12"/>
      <c r="C12" s="12"/>
      <c r="D12" s="13"/>
      <c r="E12" s="13"/>
      <c r="F12" s="36"/>
      <c r="G12" s="15"/>
      <c r="H12" s="15"/>
      <c r="I12" s="20"/>
      <c r="J12" s="18"/>
      <c r="K12" s="2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>
        <v>44289.0</v>
      </c>
      <c r="B13" s="12"/>
      <c r="C13" s="12"/>
      <c r="D13" s="13"/>
      <c r="E13" s="13"/>
      <c r="F13" s="14"/>
      <c r="G13" s="15"/>
      <c r="H13" s="16"/>
      <c r="I13" s="23"/>
      <c r="J13" s="18"/>
      <c r="K13" s="2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>
        <v>44319.0</v>
      </c>
      <c r="B14" s="12"/>
      <c r="C14" s="12"/>
      <c r="D14" s="13"/>
      <c r="E14" s="13"/>
      <c r="F14" s="26"/>
      <c r="G14" s="15"/>
      <c r="H14" s="16"/>
      <c r="I14" s="23"/>
      <c r="J14" s="18"/>
      <c r="K14" s="3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8">
        <v>44350.0</v>
      </c>
      <c r="B15" s="13"/>
      <c r="C15" s="13"/>
      <c r="D15" s="13"/>
      <c r="E15" s="13"/>
      <c r="F15" s="28"/>
      <c r="G15" s="29"/>
      <c r="H15" s="30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1" t="s">
        <v>17</v>
      </c>
      <c r="B16" s="2"/>
      <c r="C16" s="2"/>
      <c r="D16" s="2"/>
      <c r="E16" s="3"/>
      <c r="F16" s="32">
        <f>SUM(F4:F14)</f>
        <v>4866807</v>
      </c>
      <c r="G16" s="21"/>
      <c r="H16" s="32">
        <f>SUM(H4:H14)</f>
        <v>4889687</v>
      </c>
      <c r="I16" s="33">
        <f>SUM(I4:I15)</f>
        <v>22720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6:E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
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02.64" sheetId="1" r:id="rId4"/>
    <sheet state="visible" name="02.02.21" sheetId="2" r:id="rId5"/>
    <sheet state="visible" name="03.02.21" sheetId="3" r:id="rId6"/>
    <sheet state="visible" name="04.02.21" sheetId="4" r:id="rId7"/>
    <sheet state="visible" name="05.02.64" sheetId="5" r:id="rId8"/>
    <sheet state="visible" name="06.02.64" sheetId="6" r:id="rId9"/>
    <sheet state="visible" name="07.02.64" sheetId="7" r:id="rId10"/>
    <sheet state="visible" name="08.02.64" sheetId="8" r:id="rId11"/>
    <sheet state="visible" name="09.02.64" sheetId="9" r:id="rId12"/>
    <sheet state="visible" name="10.02.64" sheetId="10" r:id="rId13"/>
    <sheet state="visible" name="11.02.64" sheetId="11" r:id="rId14"/>
    <sheet state="visible" name="12.02.64" sheetId="12" r:id="rId15"/>
    <sheet state="visible" name="13.02.64" sheetId="13" r:id="rId16"/>
    <sheet state="visible" name="14.02.64" sheetId="14" r:id="rId17"/>
    <sheet state="visible" name="15.02.64" sheetId="15" r:id="rId18"/>
    <sheet state="visible" name="16.02.64" sheetId="16" r:id="rId19"/>
    <sheet state="visible" name="17.02.64" sheetId="17" r:id="rId20"/>
    <sheet state="visible" name="18.02.64" sheetId="18" r:id="rId21"/>
    <sheet state="visible" name="19.02.64" sheetId="19" r:id="rId22"/>
    <sheet state="visible" name="20.02.64" sheetId="20" r:id="rId23"/>
    <sheet state="visible" name="21.02.64" sheetId="21" r:id="rId24"/>
    <sheet state="visible" name="22.02.64" sheetId="22" r:id="rId25"/>
    <sheet state="visible" name="23.02.64" sheetId="23" r:id="rId26"/>
    <sheet state="visible" name="24.02.64" sheetId="24" r:id="rId27"/>
    <sheet state="visible" name="25.02.64" sheetId="25" r:id="rId28"/>
    <sheet state="visible" name="26.02.64" sheetId="26" r:id="rId29"/>
    <sheet state="visible" name="27.02.64" sheetId="27" r:id="rId30"/>
    <sheet state="visible" name="28.02.64" sheetId="28" r:id="rId31"/>
  </sheets>
  <definedNames/>
  <calcPr/>
</workbook>
</file>

<file path=xl/sharedStrings.xml><?xml version="1.0" encoding="utf-8"?>
<sst xmlns="http://schemas.openxmlformats.org/spreadsheetml/2006/main" count="4807" uniqueCount="2938">
  <si>
    <t>DAILY  SALE  01 FEB 2021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</si>
  <si>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</si>
  <si>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</si>
  <si>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</si>
  <si>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</si>
  <si>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</si>
  <si>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</si>
  <si>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</si>
  <si>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</si>
  <si>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</si>
  <si>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</si>
  <si>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</si>
  <si>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</si>
  <si>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</si>
  <si>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</si>
  <si>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</si>
  <si>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</si>
  <si>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STHBKK012101002446</t>
  </si>
  <si>
    <t>นาง ณัฐรดา สกุลณี</t>
  </si>
  <si>
    <t>STHBKK012101002448</t>
  </si>
  <si>
    <t>อภิฐาพร บัวจันทร์</t>
  </si>
  <si>
    <t>STHBKK012101002449</t>
  </si>
  <si>
    <t>นาง พัชรนันท์ เจริญศิริวิชญกุล</t>
  </si>
  <si>
    <t>STHBKK012101002451</t>
  </si>
  <si>
    <t>นางสาว สิริมนต์ โชคชัย</t>
  </si>
  <si>
    <t>STHBKK012102000001</t>
  </si>
  <si>
    <t>นาง ลัดดา แก้วโต</t>
  </si>
  <si>
    <t>STHBKK012102000002</t>
  </si>
  <si>
    <t>นาย ไพฑูรย์ โคตสมบัติ</t>
  </si>
  <si>
    <t>STHBKK012102000003</t>
  </si>
  <si>
    <t>นาง เบญจวรรณ ต่ายตามบุญ</t>
  </si>
  <si>
    <t>STHBKK012102000004</t>
  </si>
  <si>
    <t>นาง วันเพ็ญ พึ่งเมือง</t>
  </si>
  <si>
    <t>STHBKK012102000005</t>
  </si>
  <si>
    <t>นาง งามตา สินยี่</t>
  </si>
  <si>
    <t>STHBKK012102000006</t>
  </si>
  <si>
    <t>นางสาว ณัฏฐนันท์ ทิพย์โสต</t>
  </si>
  <si>
    <t>STHBKK012102000007</t>
  </si>
  <si>
    <t>นาง นาง มนัสนันท์ หอมรส</t>
  </si>
  <si>
    <t>STHBKK012102000008</t>
  </si>
  <si>
    <t>นาง ปราณี นาดี</t>
  </si>
  <si>
    <t>STHBKK012102000009</t>
  </si>
  <si>
    <t>นาง วรรณารัตน์ กฤษณะบาล</t>
  </si>
  <si>
    <t>STHBKK012102000010</t>
  </si>
  <si>
    <t>นาง วณัฐกมล วิไลลักษณ์</t>
  </si>
  <si>
    <t>STHBKK012102000011</t>
  </si>
  <si>
    <t>บริษัท สว่างทรัพย์ จำกัด</t>
  </si>
  <si>
    <t>STHBKK012102000012</t>
  </si>
  <si>
    <t>นาย กมล ขันหลวง</t>
  </si>
  <si>
    <t>STHBKK012102000013</t>
  </si>
  <si>
    <t>นาย อนุกูล เรืองเที่ยง</t>
  </si>
  <si>
    <t>STHBKK012102000014</t>
  </si>
  <si>
    <t>บริษัท เค24 โกลบอล จำกัด</t>
  </si>
  <si>
    <t>STHBKK012102000015</t>
  </si>
  <si>
    <t>STHBKK012102000016</t>
  </si>
  <si>
    <t>STHBKK012102000017</t>
  </si>
  <si>
    <t>นางสาว อรัญญา ไม้เม้า</t>
  </si>
  <si>
    <t>STHBKK012102000018</t>
  </si>
  <si>
    <t>นาย อดิศักดิ์ หมานหมิด</t>
  </si>
  <si>
    <t>STHBKK012102000019</t>
  </si>
  <si>
    <t>STHBKK012102000020</t>
  </si>
  <si>
    <t>STHBKK012102000021</t>
  </si>
  <si>
    <t>บริษัทจำกัด บริษัท ฟองใหญ่ จำกัด</t>
  </si>
  <si>
    <t>STHBKK012102000023</t>
  </si>
  <si>
    <t>นางสาว อรวรรณ มั่นคง</t>
  </si>
  <si>
    <t>STHBKK012102000025</t>
  </si>
  <si>
    <t>นาง บุญทา จันทร์ตอน</t>
  </si>
  <si>
    <t>STHBKK012102000026</t>
  </si>
  <si>
    <t>นาง นฤมล สายดำติ่ง</t>
  </si>
  <si>
    <t>STHBKK012102000027</t>
  </si>
  <si>
    <t>นาย จีระศักดิ์ นอกไธสง</t>
  </si>
  <si>
    <t>STHBKK012102000028</t>
  </si>
  <si>
    <t>นาย ธรรมบุตร มัททวะสุรเกียรติ์</t>
  </si>
  <si>
    <t>STHBKK012102000029</t>
  </si>
  <si>
    <t>นาง สมาน กมลเสถียร</t>
  </si>
  <si>
    <t>STHBKK012102000030</t>
  </si>
  <si>
    <t>นาย ทวีชัย รัตนะธรรม</t>
  </si>
  <si>
    <t>STHBKK012102000031</t>
  </si>
  <si>
    <t>คณาง ไพรบึง</t>
  </si>
  <si>
    <t>STHBKK012102000032</t>
  </si>
  <si>
    <t>บริษัท ดีเวย์ ริชคอร์ป จำกัด</t>
  </si>
  <si>
    <t>STHBKK012102000033</t>
  </si>
  <si>
    <t>ห้างหุ้นส่วนจำกัด ไดม่อนอันดามัน เน็ตเวิร์ค</t>
  </si>
  <si>
    <t>STHBKK012102000035</t>
  </si>
  <si>
    <t>ภวพล ชัยสุขสังข์+ดร.สุนีย์ ภิรมย์ประเมศ</t>
  </si>
  <si>
    <t>STHBKK012102000036</t>
  </si>
  <si>
    <t>นางสาว ชวันรัตน์ สุคนธชัยโรจน์</t>
  </si>
  <si>
    <t>STHBKK012102000037</t>
  </si>
  <si>
    <t>นางสาว ณิฐชานันท์ นนท์วุฒิวัชร์</t>
  </si>
  <si>
    <t>STHBKK012102000038</t>
  </si>
  <si>
    <t>นาย ต้นสัก สุคนธรัตน์</t>
  </si>
  <si>
    <t>STHBKK012102000039</t>
  </si>
  <si>
    <t>นาย ไชยพงศ์ รุ่งอำพินธ์</t>
  </si>
  <si>
    <t>STHBKK012102000040</t>
  </si>
  <si>
    <t>นาง ดาณี หมัดหมัน</t>
  </si>
  <si>
    <t>STHBKK012102000041</t>
  </si>
  <si>
    <t>STHBKK012102000042</t>
  </si>
  <si>
    <t>นางสาว ธนภร ม่วงกล่ำ</t>
  </si>
  <si>
    <t>STHBKK012102000043</t>
  </si>
  <si>
    <t>นาย สิปปภาส โรจนวสุธร</t>
  </si>
  <si>
    <t>STHBKK012102000044</t>
  </si>
  <si>
    <t>นางสาว ชลดา วาทินชัย</t>
  </si>
  <si>
    <t>STHBKK012102000045</t>
  </si>
  <si>
    <t>นาง ประทุมทอง วงศ์ฉันท์ทัต</t>
  </si>
  <si>
    <t>STHBKK012102000046</t>
  </si>
  <si>
    <t>นางสาว รื่น&amp;#8203; คนขยัน</t>
  </si>
  <si>
    <t>STHBKK012102000047</t>
  </si>
  <si>
    <t>นางสาว อัญชนา จิบจันทร์</t>
  </si>
  <si>
    <t>STHBKK012102000048</t>
  </si>
  <si>
    <t>นิรันดร์ สันอีด</t>
  </si>
  <si>
    <t>STHBKK012102000049</t>
  </si>
  <si>
    <t>วาสนา ดิษปัญญา</t>
  </si>
  <si>
    <t>STHBKK012102000050</t>
  </si>
  <si>
    <t>บริษัทจำกัด เจแอลที คอร์ปอเรชั่น</t>
  </si>
  <si>
    <t>STHBKK012102000051</t>
  </si>
  <si>
    <t>สุรวิทย์ ทิพยโสภากุล</t>
  </si>
  <si>
    <t>STHBKK012102000052</t>
  </si>
  <si>
    <t>นาง ศิราณีย์ ทิพยโสภากุล</t>
  </si>
  <si>
    <t>STHBKK012102000053</t>
  </si>
  <si>
    <t>พนธกร ทิพยโสภากุล</t>
  </si>
  <si>
    <t>STHBKK012102000054</t>
  </si>
  <si>
    <t>นางสาว เสาวลักษณ์ ฝอยทอง</t>
  </si>
  <si>
    <t>STHBKK012102000055</t>
  </si>
  <si>
    <t>นาง โนรี เต๊ะหละ</t>
  </si>
  <si>
    <t>STHBKK012102000056</t>
  </si>
  <si>
    <t>นางสาว นภาพร กิจเจริญ</t>
  </si>
  <si>
    <t>STHBKK012102000057</t>
  </si>
  <si>
    <t>STHBKK012102000058</t>
  </si>
  <si>
    <t>นาย เจษฎาพร กันยามา</t>
  </si>
  <si>
    <t>STHBKK012102000059</t>
  </si>
  <si>
    <t>STHBKK012102000060</t>
  </si>
  <si>
    <t>นางสาว พิชญาภา ศักดิ์สน</t>
  </si>
  <si>
    <t>STHBKK012102000061</t>
  </si>
  <si>
    <t>STHBKK012102000062</t>
  </si>
  <si>
    <t>นางสาว นิศริน สูเด็น</t>
  </si>
  <si>
    <t>STHBKK012102000063</t>
  </si>
  <si>
    <t>นาย กฤษณะ บุรณพันธ์</t>
  </si>
  <si>
    <t>STHBKK012102000065</t>
  </si>
  <si>
    <t>นาย ยศพัทธิ์ - สุปรียา ศรีอุทิศ</t>
  </si>
  <si>
    <t>STHBKK012102000066</t>
  </si>
  <si>
    <t>นาย รุ่งเรือง ทองทราย</t>
  </si>
  <si>
    <t>STHBKK012102000068</t>
  </si>
  <si>
    <t>STHBKK012102000070</t>
  </si>
  <si>
    <t>นาย จิรสิน ตั้งศักดิ์ธนกฤต</t>
  </si>
  <si>
    <t>STHBKK012102000071</t>
  </si>
  <si>
    <t>VYRA CHHEANG</t>
  </si>
  <si>
    <t>STHBKK012102000072</t>
  </si>
  <si>
    <t>นาง ลำดวน เที่ยงอารมณ์</t>
  </si>
  <si>
    <t>STHBKK012102000074</t>
  </si>
  <si>
    <t>นาย วินัย พุกสุข</t>
  </si>
  <si>
    <t>STHBKK012102000075</t>
  </si>
  <si>
    <t>นาย ณัฎฐ์นันธ์ นุกุลภูก้านก่อง</t>
  </si>
  <si>
    <t>STHBKK012102000078</t>
  </si>
  <si>
    <t>สมปอง ดิษปัญญา</t>
  </si>
  <si>
    <t>STHBKK012102000079</t>
  </si>
  <si>
    <t>นาย ภาณุณัฎฐ์ แสงพลอยเจริญ</t>
  </si>
  <si>
    <t>STHBKK012102000081</t>
  </si>
  <si>
    <t>นางสาว ปรียาวดี โคดม</t>
  </si>
  <si>
    <t>STHBKK012102000082</t>
  </si>
  <si>
    <t>นาย ศิวโรฒน์ โกฏหอม</t>
  </si>
  <si>
    <t>STHBKK012102000083</t>
  </si>
  <si>
    <t>ถามพนต์ นวลดี</t>
  </si>
  <si>
    <t>STHBKK012102000084</t>
  </si>
  <si>
    <t>ธนกร+นพัชนันต์ อภัยพงศ์</t>
  </si>
  <si>
    <t>STHBKK012102000085</t>
  </si>
  <si>
    <t>นางสาว รดาภัค คณาสุขธราดล</t>
  </si>
  <si>
    <t>STHBKK012102000086</t>
  </si>
  <si>
    <t>STHONLIN2102000001</t>
  </si>
  <si>
    <t>นาย ดิเรก กรีฑา</t>
  </si>
  <si>
    <t>STHONLIN2102000002</t>
  </si>
  <si>
    <t>นาง ลุลิน ชอบธรรม</t>
  </si>
  <si>
    <t>STHONLIN2102000003</t>
  </si>
  <si>
    <t>STHONLIN2102000005</t>
  </si>
  <si>
    <t>นางสาว นันทา ชนะผล</t>
  </si>
  <si>
    <t>STHONLIN2102000007</t>
  </si>
  <si>
    <t>นาย อุเทน ฉวีวรรณ์</t>
  </si>
  <si>
    <t>STHONLIN2102000008</t>
  </si>
  <si>
    <t>นางสาว นภัทร อินทราพงษ์</t>
  </si>
  <si>
    <t>STHONLIN2102000009</t>
  </si>
  <si>
    <t>นาง ลีนิน เขียวสี</t>
  </si>
  <si>
    <t>STHONLIN2102000012</t>
  </si>
  <si>
    <t>STHONLIN2102000015</t>
  </si>
  <si>
    <t>นาง นารินี กมลสุวรรณ</t>
  </si>
  <si>
    <t>DAILY  SALE  02 FEB 2021</t>
  </si>
  <si>
    <t>STHBKK012102000087</t>
  </si>
  <si>
    <t>นางสาว Sreng Linna</t>
  </si>
  <si>
    <t>STHBKK012102000088</t>
  </si>
  <si>
    <t>STHBKK012102000089</t>
  </si>
  <si>
    <t>นาย ธีราวินทร์ รัชตวรรณวัฒน์</t>
  </si>
  <si>
    <t>STHBKK012102000090</t>
  </si>
  <si>
    <t>STHBKK012102000091</t>
  </si>
  <si>
    <t>นาง เกศร วงษ์วิภาค - รังสรรค์ ดวงสูงเนิน</t>
  </si>
  <si>
    <t>STHBKK012102000093</t>
  </si>
  <si>
    <t>นางสาว ปาลีรัศม์ รัชตวรรณวัฒน์</t>
  </si>
  <si>
    <t>STHBKK012102000094</t>
  </si>
  <si>
    <t>STHBKK012102000095</t>
  </si>
  <si>
    <t>นาย พินิจ ไหมละออง</t>
  </si>
  <si>
    <t>STHBKK012102000096</t>
  </si>
  <si>
    <t>นางสาว กัญญาณัฐ วังคีรี</t>
  </si>
  <si>
    <t>STHBKK012102000097</t>
  </si>
  <si>
    <t>นางสาว สุวนันท์ ก้อนทอง</t>
  </si>
  <si>
    <t>STHBKK012102000100</t>
  </si>
  <si>
    <t>STHBKK012102000102</t>
  </si>
  <si>
    <t>นางสาว รชตวรรณ วรรณศรี</t>
  </si>
  <si>
    <t>STHBKK012102000103</t>
  </si>
  <si>
    <t>นางสาว ลำใย ซาตชิต</t>
  </si>
  <si>
    <t>STHBKK012102000104</t>
  </si>
  <si>
    <t>นาย ไพศาล เพชรดี</t>
  </si>
  <si>
    <t>STHBKK012102000105</t>
  </si>
  <si>
    <t>นาง ศรีจันทร์ สามล</t>
  </si>
  <si>
    <t>STHBKK012102000107</t>
  </si>
  <si>
    <t>นางสาว สุชานันท์ สะตะ</t>
  </si>
  <si>
    <t>STHBKK012102000108</t>
  </si>
  <si>
    <t>นาย สุรวัฒน์ ตั้งพงศ์ศิรประภา</t>
  </si>
  <si>
    <t>STHBKK012102000109</t>
  </si>
  <si>
    <t>นาย ชาญชัย หอมชื่นชม</t>
  </si>
  <si>
    <t>STHBKK012102000110</t>
  </si>
  <si>
    <t>นางสาว กาญจนา จองเกียรติ์</t>
  </si>
  <si>
    <t>STHBKK012102000111</t>
  </si>
  <si>
    <t>นางสาว อัจฉรา พันธ์อุโมงค์</t>
  </si>
  <si>
    <t>STHBKK012102000112</t>
  </si>
  <si>
    <t>นางสาว จุฑามาศ ด้วงฟู</t>
  </si>
  <si>
    <t>STHBKK012102000113</t>
  </si>
  <si>
    <t>STHBKK012102000114</t>
  </si>
  <si>
    <t>STHBKK012102000115</t>
  </si>
  <si>
    <t>นางสาว ธนิดา แสงจันทร์</t>
  </si>
  <si>
    <t>STHBKK012102000116</t>
  </si>
  <si>
    <t>นางสาว Pet Pea</t>
  </si>
  <si>
    <t>STHBKK012102000117</t>
  </si>
  <si>
    <t>นาง ศศกร อมตวงษ์</t>
  </si>
  <si>
    <t>STHBKK012102000118</t>
  </si>
  <si>
    <t>STHBKK012102000119</t>
  </si>
  <si>
    <t>STHBKK012102000120</t>
  </si>
  <si>
    <t>นางสาว ประภัสสร ดีดวงพันธ์</t>
  </si>
  <si>
    <t>STHBKK012102000121</t>
  </si>
  <si>
    <t>STHBKK012102000122</t>
  </si>
  <si>
    <t>นางสาว กัญญาภัค กำเหนิดผล</t>
  </si>
  <si>
    <t>STHBKK012102000123</t>
  </si>
  <si>
    <t>นาง บล ยี่รัมย์</t>
  </si>
  <si>
    <t>STHBKK012102000124</t>
  </si>
  <si>
    <t>STHBKK012102000125</t>
  </si>
  <si>
    <t>STHBKK012102000126</t>
  </si>
  <si>
    <t>นาง สุริยา จันทร์ครบ</t>
  </si>
  <si>
    <t>STHBKK012102000127</t>
  </si>
  <si>
    <t>นางสาว นริศรา อ่อนทา</t>
  </si>
  <si>
    <t>STHBKK012102000128</t>
  </si>
  <si>
    <t>นางสาว พรทิพย์ แสงมาศ</t>
  </si>
  <si>
    <t>STHBKK012102000129</t>
  </si>
  <si>
    <t>นางสาว จินห์ภณิดา วรรณนิคมจิตร์</t>
  </si>
  <si>
    <t>STHBKK012102000130</t>
  </si>
  <si>
    <t>STHBKK012102000131</t>
  </si>
  <si>
    <t>นาง ปราณี นิคมจิตร์</t>
  </si>
  <si>
    <t>STHBKK012102000133</t>
  </si>
  <si>
    <t>นาย ถิรกร ศิริพฤกษ์ - ชลพรรณ ช้างจันทร์</t>
  </si>
  <si>
    <t>STHBKK012102000134</t>
  </si>
  <si>
    <t>STHBKK012102000135</t>
  </si>
  <si>
    <t>นางสาว สุพัตรา กันเฉย</t>
  </si>
  <si>
    <t>STHBKK012102000136</t>
  </si>
  <si>
    <t>นางสาว สุวรรณา หอมเย็น</t>
  </si>
  <si>
    <t>STHBKK012102000137</t>
  </si>
  <si>
    <t>นางสาว ดวงกมล กันอยู่</t>
  </si>
  <si>
    <t>STHBKK012102000138</t>
  </si>
  <si>
    <t>นาย ปรีชา แก้วโกถม</t>
  </si>
  <si>
    <t>STHBKK012102000140</t>
  </si>
  <si>
    <t>นาง จันทร์ศิริ ศรศรี</t>
  </si>
  <si>
    <t>STHBKK012102000141</t>
  </si>
  <si>
    <t>STHBKK012102000142</t>
  </si>
  <si>
    <t>STHBKK012102000143</t>
  </si>
  <si>
    <t>นาย ภคณัฐ ญาณกวี</t>
  </si>
  <si>
    <t>STHBKK012102000144</t>
  </si>
  <si>
    <t>STHBKK012102000146</t>
  </si>
  <si>
    <t>นางสาว ฤดี เลาะหะวนิช</t>
  </si>
  <si>
    <t>STHBKK012102000147</t>
  </si>
  <si>
    <t>STHBKK012102000148</t>
  </si>
  <si>
    <t>STHBKK012102000149</t>
  </si>
  <si>
    <t>นาง ทิพยาภรณ์ ฆ้องวงษ์</t>
  </si>
  <si>
    <t>STHBKK012102000150</t>
  </si>
  <si>
    <t>นาย ณัฐพงษ์ พันธ์ทอง</t>
  </si>
  <si>
    <t>STHBKK012102000151</t>
  </si>
  <si>
    <t>รจนี จันทายืน</t>
  </si>
  <si>
    <t>STHBKK012102000152</t>
  </si>
  <si>
    <t>นาย ยงยุทธ อรธรรมรัตน์</t>
  </si>
  <si>
    <t>STHBKK012102000153</t>
  </si>
  <si>
    <t>นาย LANN BUNTHEY</t>
  </si>
  <si>
    <t>STHBKK012102000154</t>
  </si>
  <si>
    <t>นาง อภิญญา อินทรศักดิ์</t>
  </si>
  <si>
    <t>STHBKK012102000155</t>
  </si>
  <si>
    <t>STHBKK012102000156</t>
  </si>
  <si>
    <t>บริษัทจำกัด วี.เอ็น.ซี.สกินแคร์ จำกัด</t>
  </si>
  <si>
    <t>STHBKK012102000157</t>
  </si>
  <si>
    <t>STHBKK012102000158</t>
  </si>
  <si>
    <t>นาย รัศมี พวงไพโรจน์</t>
  </si>
  <si>
    <t>STHBKK012102000159</t>
  </si>
  <si>
    <t>นางสาว ยูรีนา เกษา</t>
  </si>
  <si>
    <t>STHBKK012102000160</t>
  </si>
  <si>
    <t>นาย ณัฐวัฒน์ วิไลลักษณ์</t>
  </si>
  <si>
    <t>STHBKK012102000161</t>
  </si>
  <si>
    <t>STHBKK012102000162</t>
  </si>
  <si>
    <t>นาย พุฒิพัฒน์ รัตนพิริยสกุล</t>
  </si>
  <si>
    <t>STHBKK012102000163</t>
  </si>
  <si>
    <t>นางสาว อภัสนันท์ เจริญศิริวิชญกุล</t>
  </si>
  <si>
    <t>STHBKK012102000164</t>
  </si>
  <si>
    <t>นาย ยืนยง ชินมิตโต - สุพิน ฝอยกลาง</t>
  </si>
  <si>
    <t>STHBKK012102000165</t>
  </si>
  <si>
    <t>STHBKK012102000166</t>
  </si>
  <si>
    <t>นางสาว วันวิสาข แก้วแกมทอง</t>
  </si>
  <si>
    <t>STHBKK012102000168</t>
  </si>
  <si>
    <t>นางสาว อนัญญา จันดาวรรณ์</t>
  </si>
  <si>
    <t>STHBKK012102000169</t>
  </si>
  <si>
    <t>นาง นภาไพลิน กาละวันต์</t>
  </si>
  <si>
    <t>STHBKK012102000170</t>
  </si>
  <si>
    <t>นางสาว นภัสนันท์ พรประภา</t>
  </si>
  <si>
    <t>STHBKK012102000171</t>
  </si>
  <si>
    <t>STHBKK012102000172</t>
  </si>
  <si>
    <t>นาย วิเชษฐ สกุลหอม - สมพิศ ทองหุ้ม</t>
  </si>
  <si>
    <t>STHBKK012102000173</t>
  </si>
  <si>
    <t>นางสาว อนิสสรา ยวงลำใย</t>
  </si>
  <si>
    <t>STHBKK012102000175</t>
  </si>
  <si>
    <t>นาง เต็มลักษณ์ ยวงลำใย+สมยศ น้ำเพชร</t>
  </si>
  <si>
    <t>STHBKK012102000176</t>
  </si>
  <si>
    <t>นาง กรรณิการ์ คล้ายแก้ว</t>
  </si>
  <si>
    <t>STHBKK012102000177</t>
  </si>
  <si>
    <t>นางสาว ณัฐธาวี เขมะชัยเวช</t>
  </si>
  <si>
    <t>STHBKK012102000178</t>
  </si>
  <si>
    <t>นาย นิติพงษ์ ศรีวรมย์</t>
  </si>
  <si>
    <t>STHBKK012102000181</t>
  </si>
  <si>
    <t>นางสาว รัศมี ทองยา</t>
  </si>
  <si>
    <t>STHBKK012102000182</t>
  </si>
  <si>
    <t>นาย นายรัฐพล ดวงจันทร์</t>
  </si>
  <si>
    <t>STHBKK012102000183</t>
  </si>
  <si>
    <t>นาย อิทธิกร เศรษฐกวี</t>
  </si>
  <si>
    <t>STHBKK012102000184</t>
  </si>
  <si>
    <t>นาง ณัฎฐณันธ์ วงวันดี-ทศพล เต็มราม</t>
  </si>
  <si>
    <t>STHBKK012102000186</t>
  </si>
  <si>
    <t>STHBKK012102000187</t>
  </si>
  <si>
    <t>STHBKK012102000188</t>
  </si>
  <si>
    <t>นาย ธนวรรธน์ ปราชญ์เรืองนนท์</t>
  </si>
  <si>
    <t>STHBKK012102000190</t>
  </si>
  <si>
    <t>นาย ทนง&amp;#8203;ศักดิ์&amp;#8203; รัตนบุรี&amp;#8203;</t>
  </si>
  <si>
    <t>STHBKK012102000191</t>
  </si>
  <si>
    <t>STHBKK012102000192</t>
  </si>
  <si>
    <t>นางสาว ศิริพักตร์ พูลวิชา</t>
  </si>
  <si>
    <t>STHBKK012102000193</t>
  </si>
  <si>
    <t>นาย ศราวุฒน์ สินธุวรโรจน์</t>
  </si>
  <si>
    <t>STHBKK012102000194</t>
  </si>
  <si>
    <t>STHONLIN2102000016</t>
  </si>
  <si>
    <t>นางสาว ภัทรอาภา ทวีธนาพร</t>
  </si>
  <si>
    <t>STHONLIN2102000017</t>
  </si>
  <si>
    <t>นางสาว สุภาพร พรมทา</t>
  </si>
  <si>
    <t>STHONLIN2102000018</t>
  </si>
  <si>
    <t>รวมพล บุญยัง</t>
  </si>
  <si>
    <t>STHONLIN2102000019</t>
  </si>
  <si>
    <t>STHONLIN2102000020</t>
  </si>
  <si>
    <t>STHONLIN2102000021</t>
  </si>
  <si>
    <t>STHONLIN2102000026</t>
  </si>
  <si>
    <t>นาย ชาญภูมิ กาวี</t>
  </si>
  <si>
    <t xml:space="preserve">  </t>
  </si>
  <si>
    <t>DAILY  SALE  03 FEB 2021</t>
  </si>
  <si>
    <t>STHBKK012102000195</t>
  </si>
  <si>
    <t>STHBKK012102000196</t>
  </si>
  <si>
    <t>นาง ฐานมญ ชลคีรี</t>
  </si>
  <si>
    <t>STHBKK012102000198</t>
  </si>
  <si>
    <t>STHBKK012102000199</t>
  </si>
  <si>
    <t>นางสาว กัญญ์ญภัสส์ ผลิวรรธนะ</t>
  </si>
  <si>
    <t>STHBKK012102000200</t>
  </si>
  <si>
    <t>นาย ธนภัทร อยู่คำ</t>
  </si>
  <si>
    <t>STHBKK012102000201</t>
  </si>
  <si>
    <t>ปริญพัชร์ ศรีศุภณัฐธนากุล</t>
  </si>
  <si>
    <t>STHBKK012102000202</t>
  </si>
  <si>
    <t>นาง รัตนกร ไม้แดง</t>
  </si>
  <si>
    <t>STHBKK012102000203</t>
  </si>
  <si>
    <t>นาย จตุรเทพ ไม้แดง</t>
  </si>
  <si>
    <t>STHBKK012102000204</t>
  </si>
  <si>
    <t>นาย ณัฐพล ไม้แดง</t>
  </si>
  <si>
    <t>STHBKK012102000205</t>
  </si>
  <si>
    <t>นาง ปราณี ศรัทธานนท์</t>
  </si>
  <si>
    <t>STHBKK012102000206</t>
  </si>
  <si>
    <t>STHBKK012102000207</t>
  </si>
  <si>
    <t>STHBKK012102000208</t>
  </si>
  <si>
    <t>นางสาว สุมาลี แย้มผล</t>
  </si>
  <si>
    <t>STHBKK012102000209</t>
  </si>
  <si>
    <t>นางสาว สุดาวรรณ์ จันทร์แดง</t>
  </si>
  <si>
    <t>STHBKK012102000210</t>
  </si>
  <si>
    <t>STHBKK012102000211</t>
  </si>
  <si>
    <t>STHBKK012102000212</t>
  </si>
  <si>
    <t>นางสาว จินดา วงษ์ธัญกรรม</t>
  </si>
  <si>
    <t>STHBKK012102000213</t>
  </si>
  <si>
    <t>นาง กัลป์รภัทร การย์โกสีย์</t>
  </si>
  <si>
    <t>STHBKK012102000214</t>
  </si>
  <si>
    <t>นางสาว พิมพ์มาดา เงางาม-อรุษ วรกุลทวีโชติ</t>
  </si>
  <si>
    <t>STHBKK012102000215</t>
  </si>
  <si>
    <t>STHBKK012102000216</t>
  </si>
  <si>
    <t>STHBKK012102000217</t>
  </si>
  <si>
    <t>นาย ยงยุทธ-ปรียานุช ประสาทศิลป์</t>
  </si>
  <si>
    <t>STHBKK012102000218</t>
  </si>
  <si>
    <t>STHBKK012102000219</t>
  </si>
  <si>
    <t>นาย ปรีชา บุญคง</t>
  </si>
  <si>
    <t>STHBKK012102000220</t>
  </si>
  <si>
    <t>STHBKK012102000221</t>
  </si>
  <si>
    <t>STHBKK012102000222</t>
  </si>
  <si>
    <t>นางสาว ภาพิมล ฉัตรเฉลิมวิทย์</t>
  </si>
  <si>
    <t>STHBKK012102000223</t>
  </si>
  <si>
    <t>STHBKK012102000224</t>
  </si>
  <si>
    <t>นาย ธราดล ทองประกอบ</t>
  </si>
  <si>
    <t>STHBKK012102000225</t>
  </si>
  <si>
    <t>STHBKK012102000226</t>
  </si>
  <si>
    <t>STHBKK012102000227</t>
  </si>
  <si>
    <t>นางสาว พรไพลิน คงยวง</t>
  </si>
  <si>
    <t>STHBKK012102000228</t>
  </si>
  <si>
    <t>STHBKK012102000230</t>
  </si>
  <si>
    <t>นาง มงคล นาคเกตุ</t>
  </si>
  <si>
    <t>STHBKK012102000232</t>
  </si>
  <si>
    <t>STHBKK012102000233</t>
  </si>
  <si>
    <t>นาย นิรุทธ ศรศักดา</t>
  </si>
  <si>
    <t>STHBKK012102000234</t>
  </si>
  <si>
    <t>นาง สมพร ถาวงษ์กลาง</t>
  </si>
  <si>
    <t>STHBKK012102000235</t>
  </si>
  <si>
    <t>STHBKK012102000236</t>
  </si>
  <si>
    <t>STHBKK012102000237</t>
  </si>
  <si>
    <t>นาย ไพฑูรย์ กะปุระ</t>
  </si>
  <si>
    <t>STHBKK012102000238</t>
  </si>
  <si>
    <t>STHBKK012102000239</t>
  </si>
  <si>
    <t>STHBKK012102000240</t>
  </si>
  <si>
    <t>STHBKK012102000241</t>
  </si>
  <si>
    <t>นาง นิพาพร อินเถื่อน</t>
  </si>
  <si>
    <t>STHBKK012102000243</t>
  </si>
  <si>
    <t>นางสาว จำเรียง อินทปัตย์</t>
  </si>
  <si>
    <t>STHBKK012102000244</t>
  </si>
  <si>
    <t>STHBKK012102000245</t>
  </si>
  <si>
    <t>STHBKK012102000246</t>
  </si>
  <si>
    <t>STHBKK012102000247</t>
  </si>
  <si>
    <t>STHBKK012102000248</t>
  </si>
  <si>
    <t>STHBKK012102000249</t>
  </si>
  <si>
    <t>STHBKK012102000250</t>
  </si>
  <si>
    <t>STHBKK012102000251</t>
  </si>
  <si>
    <t>นาย ณฐพนธ์+ชบา ศรีศักดา</t>
  </si>
  <si>
    <t>STHBKK012102000252</t>
  </si>
  <si>
    <t>นาย พสิษฐ์ สุริยากุลพันธ์</t>
  </si>
  <si>
    <t>STHBKK012102000253</t>
  </si>
  <si>
    <t>STHBKK012102000254</t>
  </si>
  <si>
    <t>STHBKK012102000255</t>
  </si>
  <si>
    <t>STHBKK012102000256</t>
  </si>
  <si>
    <t>ธวัชชัย เพ็งสว่าง</t>
  </si>
  <si>
    <t>STHBKK012102000257</t>
  </si>
  <si>
    <t>STHBKK012102000259</t>
  </si>
  <si>
    <t>นาย เจริญ&amp;#8203; หอมหวล</t>
  </si>
  <si>
    <t>STHBKK012102000260</t>
  </si>
  <si>
    <t>บริษัทจำกัด ต้องรวย</t>
  </si>
  <si>
    <t>STHBKK012102000261</t>
  </si>
  <si>
    <t>Patradit Supatwanitchakorn</t>
  </si>
  <si>
    <t>STHBKK012102000262</t>
  </si>
  <si>
    <t>นางสาว กนกภรณ์ จำปาเวียง</t>
  </si>
  <si>
    <t>STHBKK012102000263</t>
  </si>
  <si>
    <t>SAVEAT BUN</t>
  </si>
  <si>
    <t>STHBKK012102000264</t>
  </si>
  <si>
    <t>MENGAY SOK</t>
  </si>
  <si>
    <t>STHBKK012102000265</t>
  </si>
  <si>
    <t>LEAKENA BUN</t>
  </si>
  <si>
    <t>STHBKK012102000266</t>
  </si>
  <si>
    <t>RO PONG</t>
  </si>
  <si>
    <t>STHBKK012102000267</t>
  </si>
  <si>
    <t>STHBKK012102000269</t>
  </si>
  <si>
    <t>นางสาว สมคิด ยิ้มสาระ</t>
  </si>
  <si>
    <t>STHBKK012102000270</t>
  </si>
  <si>
    <t>นาย บุญลาภ โพธิ์ศรี</t>
  </si>
  <si>
    <t>STHBKK012102000271</t>
  </si>
  <si>
    <t>นางสาว ดลฤดี ปิยะศิริกุล</t>
  </si>
  <si>
    <t>STHBKK012102000272</t>
  </si>
  <si>
    <t>นางสาว เยาวดี สำเภา+ชนินทร์ ด่านธรรมกุล</t>
  </si>
  <si>
    <t>STHBKK012102000273</t>
  </si>
  <si>
    <t>STHBKK012102000274</t>
  </si>
  <si>
    <t>นาย ์NHOEP HOKSENG</t>
  </si>
  <si>
    <t>STHBKK012102000275</t>
  </si>
  <si>
    <t>STHBKK012102000276</t>
  </si>
  <si>
    <t>STHBKK012102000277</t>
  </si>
  <si>
    <t>นางสาว ทิพรส ติมสันเทียะ</t>
  </si>
  <si>
    <t>STHONLIN2102000035</t>
  </si>
  <si>
    <t>บริษัทจำกัด ต.ศรีโสภณ จำกัด</t>
  </si>
  <si>
    <t>STHONLIN2102000037</t>
  </si>
  <si>
    <t>STHONLIN2102000039</t>
  </si>
  <si>
    <t>STHONLIN2102000040</t>
  </si>
  <si>
    <t>นางสาว ศรุดา ทองสีดี</t>
  </si>
  <si>
    <t>STHONLIN2102000041</t>
  </si>
  <si>
    <t>นาย ทวีสิน ฉัตรเฉลิมวิทย์</t>
  </si>
  <si>
    <t>STHONLIN2102000042</t>
  </si>
  <si>
    <t xml:space="preserve"> </t>
  </si>
  <si>
    <t>DAILY  SALE  04 FEB 2021</t>
  </si>
  <si>
    <t>STHBKK012102000279</t>
  </si>
  <si>
    <t>นาย ทดสอบ สมัคร</t>
  </si>
  <si>
    <t>STHBKK012102000280</t>
  </si>
  <si>
    <t>STHBKK012102000281</t>
  </si>
  <si>
    <t>STHBKK012102000282</t>
  </si>
  <si>
    <t>STHBKK012102000283</t>
  </si>
  <si>
    <t>STHBKK012102000287</t>
  </si>
  <si>
    <t>STHBKK012102000288</t>
  </si>
  <si>
    <t>นาย เทวัญ พรหมบุตร</t>
  </si>
  <si>
    <t>STHBKK012102000289</t>
  </si>
  <si>
    <t>STHBKK012102000290</t>
  </si>
  <si>
    <t>STHBKK012102000291</t>
  </si>
  <si>
    <t>นาง แสงมณี บุญทวี</t>
  </si>
  <si>
    <t>STHBKK012102000292</t>
  </si>
  <si>
    <t>STHBKK012102000293</t>
  </si>
  <si>
    <t>STHBKK012102000294</t>
  </si>
  <si>
    <t>STHBKK012102000295</t>
  </si>
  <si>
    <t>นางสาว รัฏฐพิชญ์ ทานา</t>
  </si>
  <si>
    <t>STHBKK012102000296</t>
  </si>
  <si>
    <t>บริษัทจำกัด บริษัท ซินเนอยี แอล เทรดดิ้ง</t>
  </si>
  <si>
    <t>STHBKK012102000297</t>
  </si>
  <si>
    <t>STHBKK012102000298</t>
  </si>
  <si>
    <t>STHBKK012102000299</t>
  </si>
  <si>
    <t>STHBKK012102000300</t>
  </si>
  <si>
    <t>STHBKK012102000301</t>
  </si>
  <si>
    <t>STHBKK012102000303</t>
  </si>
  <si>
    <t>ภัคภร ทองประสม</t>
  </si>
  <si>
    <t>STHBKK012102000304</t>
  </si>
  <si>
    <t>กาญจนา บุญเกษม</t>
  </si>
  <si>
    <t>STHBKK012102000305</t>
  </si>
  <si>
    <t>STHBKK012102000306</t>
  </si>
  <si>
    <t>นางสาว กนกวรรณ วงษ์สุข</t>
  </si>
  <si>
    <t>STHBKK012102000307</t>
  </si>
  <si>
    <t>นาย เหมวิทย์ โพธิ์ศรี</t>
  </si>
  <si>
    <t>STHBKK012102000308</t>
  </si>
  <si>
    <t>นาย นิคม ยิ้มสาระ</t>
  </si>
  <si>
    <t>STHBKK012102000309</t>
  </si>
  <si>
    <t>STHBKK012102000310</t>
  </si>
  <si>
    <t>STHBKK012102000311</t>
  </si>
  <si>
    <t>นาง ปรีณาห์ หรหมโกฏิ</t>
  </si>
  <si>
    <t>STHBKK012102000312</t>
  </si>
  <si>
    <t>นาง บุญรัตน์ ไสยาน้อย</t>
  </si>
  <si>
    <t>STHBKK012102000313</t>
  </si>
  <si>
    <t>STHBKK012102000314</t>
  </si>
  <si>
    <t>นาง น้ำฝน จีแจ่ม</t>
  </si>
  <si>
    <t>STHBKK012102000315</t>
  </si>
  <si>
    <t>นาง จิราพร โพธิ์ไกร</t>
  </si>
  <si>
    <t>STHBKK012102000316</t>
  </si>
  <si>
    <t>นางสาว รัถยา นวลถิ่น</t>
  </si>
  <si>
    <t>STHBKK012102000317</t>
  </si>
  <si>
    <t>นาย เอกณัฏฐ์ กิตติเดชฟาสี</t>
  </si>
  <si>
    <t>STHBKK012102000318</t>
  </si>
  <si>
    <t>STHBKK012102000319</t>
  </si>
  <si>
    <t>STHBKK012102000320</t>
  </si>
  <si>
    <t>นาย บัณฑิต จันทรมณี</t>
  </si>
  <si>
    <t>STHBKK012102000321</t>
  </si>
  <si>
    <t>STHBKK012102000322</t>
  </si>
  <si>
    <t>STHBKK012102000323</t>
  </si>
  <si>
    <t>นาย วัฒนา อภิเดช</t>
  </si>
  <si>
    <t>STHBKK012102000324</t>
  </si>
  <si>
    <t>นางสาว วาสนา กลิ่นเย็น</t>
  </si>
  <si>
    <t>STHBKK012102000326</t>
  </si>
  <si>
    <t>STHBKK012102000328</t>
  </si>
  <si>
    <t>STHBKK012102000330</t>
  </si>
  <si>
    <t>นางสาว นริศราพร ธงไชย</t>
  </si>
  <si>
    <t>STHBKK012102000331</t>
  </si>
  <si>
    <t>STHBKK012102000332</t>
  </si>
  <si>
    <t>นาย ประยุทธ เปี่ยมงาม</t>
  </si>
  <si>
    <t>STHBKK012102000333</t>
  </si>
  <si>
    <t>STHBKK012102000334</t>
  </si>
  <si>
    <t>นาย นพดล เพ็ชรหลำ</t>
  </si>
  <si>
    <t>STHBKK012102000335</t>
  </si>
  <si>
    <t>STHBKK012102000336</t>
  </si>
  <si>
    <t>STHBKK012102000337</t>
  </si>
  <si>
    <t>นาง พิชาวีร์ บวรธีราเศรษฐ์</t>
  </si>
  <si>
    <t>STHBKK012102000338</t>
  </si>
  <si>
    <t>STHBKK012102000339</t>
  </si>
  <si>
    <t>STHBKK012102000340</t>
  </si>
  <si>
    <t>STHBKK012102000341</t>
  </si>
  <si>
    <t>นาย มลฑล โพธิ์รักษ์</t>
  </si>
  <si>
    <t>STHBKK012102000342</t>
  </si>
  <si>
    <t>นาย กมล อินอ่อน</t>
  </si>
  <si>
    <t>STHBKK012102000343</t>
  </si>
  <si>
    <t>สนั่น ปริมาณ</t>
  </si>
  <si>
    <t>STHBKK012102000344</t>
  </si>
  <si>
    <t>สุนีย์ โปรยลาภ</t>
  </si>
  <si>
    <t>STHBKK012102000345</t>
  </si>
  <si>
    <t>STHBKK012102000346</t>
  </si>
  <si>
    <t>STHBKK012102000348</t>
  </si>
  <si>
    <t>STHBKK012102000349</t>
  </si>
  <si>
    <t>นาง สันทนา กันหาเวียง</t>
  </si>
  <si>
    <t>STHBKK012102000350</t>
  </si>
  <si>
    <t>นางสาว ธันยาพร สีแก้ว</t>
  </si>
  <si>
    <t>STHBKK012102000351</t>
  </si>
  <si>
    <t>นาย สุรศักดิ์ เหลีอรักษ์</t>
  </si>
  <si>
    <t>STHONLIN2102000051</t>
  </si>
  <si>
    <t>นางสาว สุธาสินี ชุณฬหวานิช</t>
  </si>
  <si>
    <t>STHONLIN2102000054</t>
  </si>
  <si>
    <t>STHONLIN2102000055</t>
  </si>
  <si>
    <t>STHONLIN2102000059</t>
  </si>
  <si>
    <t>STHONLIN2102000062</t>
  </si>
  <si>
    <t>.</t>
  </si>
  <si>
    <t>DAILY  SALE  05 FEB 2021</t>
  </si>
  <si>
    <t>STHBKK012102000354</t>
  </si>
  <si>
    <t>STHBKK012102000355</t>
  </si>
  <si>
    <t>STHBKK012102000356</t>
  </si>
  <si>
    <t>STHBKK012102000357</t>
  </si>
  <si>
    <t>STHBKK012102000358</t>
  </si>
  <si>
    <t>นางสาว รัชตวรรณ เนาวสินธ์</t>
  </si>
  <si>
    <t>STHBKK012102000359</t>
  </si>
  <si>
    <t>นาย เอนก กอนาก</t>
  </si>
  <si>
    <t>STHBKK012102000360</t>
  </si>
  <si>
    <t>STHBKK012102000361</t>
  </si>
  <si>
    <t>STHBKK012102000362</t>
  </si>
  <si>
    <t>STHBKK012102000363</t>
  </si>
  <si>
    <t>STHBKK012102000364</t>
  </si>
  <si>
    <t>STHBKK012102000365</t>
  </si>
  <si>
    <t>นาง พัชราวดี จันทมล</t>
  </si>
  <si>
    <t>STHBKK012102000366</t>
  </si>
  <si>
    <t>นาย บุญเลิศ รวมวินิจ</t>
  </si>
  <si>
    <t>STHBKK012102000367</t>
  </si>
  <si>
    <t>STHBKK012102000368</t>
  </si>
  <si>
    <t>STHBKK012102000369</t>
  </si>
  <si>
    <t>นาง กรวิภา สอนเผาะ</t>
  </si>
  <si>
    <t>STHBKK012102000370</t>
  </si>
  <si>
    <t>นาย ปิยวัฒน์</t>
  </si>
  <si>
    <t>STHBKK012102000371</t>
  </si>
  <si>
    <t>STHBKK012102000372</t>
  </si>
  <si>
    <t>นาย ประสิทธิ์ พันธุ์วโรบล</t>
  </si>
  <si>
    <t>STHBKK012102000373</t>
  </si>
  <si>
    <t>STHBKK012102000374</t>
  </si>
  <si>
    <t>STHBKK012102000375</t>
  </si>
  <si>
    <t>นาง ดารินทร์ ศรีจันทร์</t>
  </si>
  <si>
    <t>STHBKK012102000376</t>
  </si>
  <si>
    <t>STHBKK012102000377</t>
  </si>
  <si>
    <t>STHBKK012102000378</t>
  </si>
  <si>
    <t>STHBKK012102000379</t>
  </si>
  <si>
    <t>นาง อัมพร กุลศัตยาภิรมย์</t>
  </si>
  <si>
    <t>STHBKK012102000380</t>
  </si>
  <si>
    <t>นางสาว อาทิตติยา กกกลิ่น</t>
  </si>
  <si>
    <t>STHBKK012102000381</t>
  </si>
  <si>
    <t>STHBKK012102000382</t>
  </si>
  <si>
    <t>นาง ธัญญ์วรัตน์ พร้อมไทยสงค์</t>
  </si>
  <si>
    <t>STHBKK012102000383</t>
  </si>
  <si>
    <t>STHBKK012102000384</t>
  </si>
  <si>
    <t>นาง ชนิดา สามารถ</t>
  </si>
  <si>
    <t>STHBKK012102000385</t>
  </si>
  <si>
    <t>STHBKK012102000386</t>
  </si>
  <si>
    <t>นาง ฑณัฐพรณ์ สวัสดิวงศ์</t>
  </si>
  <si>
    <t>STHBKK012102000387</t>
  </si>
  <si>
    <t>STHBKK012102000388</t>
  </si>
  <si>
    <t>STHBKK012102000389</t>
  </si>
  <si>
    <t>นาย กฤตนัย กงอิ่ม</t>
  </si>
  <si>
    <t>STHBKK012102000390</t>
  </si>
  <si>
    <t>นาง เรณู เสือคล้าย</t>
  </si>
  <si>
    <t>STHBKK012102000391</t>
  </si>
  <si>
    <t>นาย สถาพร อันอินทร์</t>
  </si>
  <si>
    <t>STHBKK012102000392</t>
  </si>
  <si>
    <t>STHBKK012102000393</t>
  </si>
  <si>
    <t>STHBKK012102000394</t>
  </si>
  <si>
    <t>นาย อาคม สร้อยนอก</t>
  </si>
  <si>
    <t>STHBKK012102000395</t>
  </si>
  <si>
    <t>นาย ลือชัย ประทีปทอง</t>
  </si>
  <si>
    <t>STHBKK012102000396</t>
  </si>
  <si>
    <t>STHBKK012102000397</t>
  </si>
  <si>
    <t>นาย เอกชลิต ธวัชกฤตยา-ธณวรรณธ์ รัตนผดุงเกียร</t>
  </si>
  <si>
    <t>STHBKK012102000398</t>
  </si>
  <si>
    <t>นาย สัมฤทธิ์ ทองล้อม</t>
  </si>
  <si>
    <t>STHBKK012102000399</t>
  </si>
  <si>
    <t>STHBKK012102000400</t>
  </si>
  <si>
    <t>STHBKK012102000401</t>
  </si>
  <si>
    <t>STHBKK012102000402</t>
  </si>
  <si>
    <t>STHBKK012102000403</t>
  </si>
  <si>
    <t>นางสาว สุภาวดี บุญเพ็ชร</t>
  </si>
  <si>
    <t>STHBKK012102000404</t>
  </si>
  <si>
    <t>นาย พิชิตชัย สีดาวงค์</t>
  </si>
  <si>
    <t>STHBKK012102000405</t>
  </si>
  <si>
    <t>STHBKK012102000407</t>
  </si>
  <si>
    <t>นาง ณรญา พาหาสิงห์</t>
  </si>
  <si>
    <t>STHBKK012102000408</t>
  </si>
  <si>
    <t>นาง พัชรี ธรรมรักษ์กุล</t>
  </si>
  <si>
    <t>STHBKK012102000409</t>
  </si>
  <si>
    <t>STHBKK012102000410</t>
  </si>
  <si>
    <t>นาย พีรพงศ์ ภรประเสริฐศรี</t>
  </si>
  <si>
    <t>STHBKK012102000411</t>
  </si>
  <si>
    <t>STHBKK012102000412</t>
  </si>
  <si>
    <t>นางสาว ยุพิน กรลำ</t>
  </si>
  <si>
    <t>STHBKK012102000413</t>
  </si>
  <si>
    <t>STHBKK012102000414</t>
  </si>
  <si>
    <t>ลำใย เจริญศิริ</t>
  </si>
  <si>
    <t>STHBKK012102000415</t>
  </si>
  <si>
    <t>STHBKK012102000416</t>
  </si>
  <si>
    <t>STHBKK012102000417</t>
  </si>
  <si>
    <t>นาย สันติภาพ นิมะบุตร์</t>
  </si>
  <si>
    <t>STHBKK012102000418</t>
  </si>
  <si>
    <t>นาง ภัทรพิดา อุ่นโสดา</t>
  </si>
  <si>
    <t>STHBKK012102000419</t>
  </si>
  <si>
    <t>สุรพล จันทรานุรักษ์</t>
  </si>
  <si>
    <t>STHBKK012102000420</t>
  </si>
  <si>
    <t>STHBKK012102000421</t>
  </si>
  <si>
    <t>STHBKK012102000422</t>
  </si>
  <si>
    <t>STHONLIN2102000067</t>
  </si>
  <si>
    <t>STHONLIN2102000068</t>
  </si>
  <si>
    <t>STHONLIN2102000074</t>
  </si>
  <si>
    <t>STHONLIN2102000075</t>
  </si>
  <si>
    <t>STHONLIN2102000081</t>
  </si>
  <si>
    <t>DAILY  SALE  06 FEB 2021</t>
  </si>
  <si>
    <t>6402BKK010000001</t>
  </si>
  <si>
    <t>นาย จักรพงศ์ สินธุรักษ์</t>
  </si>
  <si>
    <t>STHBKK012102000424</t>
  </si>
  <si>
    <t>นาย ชยากร ตระกูลสง่ายิ่ง</t>
  </si>
  <si>
    <t>STHBKK012102000425</t>
  </si>
  <si>
    <t>STHBKK012102000426</t>
  </si>
  <si>
    <t>STHBKK012102000427</t>
  </si>
  <si>
    <t>STHBKK012102000428</t>
  </si>
  <si>
    <t>นาง สุวรรณา ภูมี</t>
  </si>
  <si>
    <t>STHBKK012102000429</t>
  </si>
  <si>
    <t>นางสาว วรารัตน์ นึกแจ้ง</t>
  </si>
  <si>
    <t>STHBKK012102000430</t>
  </si>
  <si>
    <t>STHBKK012102000431</t>
  </si>
  <si>
    <t>STHBKK012102000432</t>
  </si>
  <si>
    <t>นาย ฐณกฤต อาจหาญ-กัญจนจักก์ อินทร์มีสุข</t>
  </si>
  <si>
    <t>STHBKK012102000433</t>
  </si>
  <si>
    <t>STHBKK012102000434</t>
  </si>
  <si>
    <t>STHBKK012102000439</t>
  </si>
  <si>
    <t>นาย ภูวกร บวรฉัตรชาตรี</t>
  </si>
  <si>
    <t>STHBKK012102000440</t>
  </si>
  <si>
    <t>STHBKK012102000443</t>
  </si>
  <si>
    <t>STHBKK012102000444</t>
  </si>
  <si>
    <t>นาย ชานุวัฒน์ เรือนคำ</t>
  </si>
  <si>
    <t>STHBKK012102000446</t>
  </si>
  <si>
    <t>STHBKK012102000447</t>
  </si>
  <si>
    <t>STHBKK012102000449</t>
  </si>
  <si>
    <t>นาง สุพัตรา พรมแพร</t>
  </si>
  <si>
    <t>STHBKK012102000450</t>
  </si>
  <si>
    <t>นาง สมหวัง ภู่เมือง</t>
  </si>
  <si>
    <t>STHBKK012102000451</t>
  </si>
  <si>
    <t>STHBKK012102000452</t>
  </si>
  <si>
    <t>STHBKK012102000453</t>
  </si>
  <si>
    <t>STHBKK012102000454</t>
  </si>
  <si>
    <t>STHBKK012102000455</t>
  </si>
  <si>
    <t>STHBKK012102000456</t>
  </si>
  <si>
    <t>STHBKK012102000457</t>
  </si>
  <si>
    <t>นาย เรวัตร โปธิปัน</t>
  </si>
  <si>
    <t>STHBKK012102000458</t>
  </si>
  <si>
    <t>นาง คำ ลุงคำ</t>
  </si>
  <si>
    <t>STHBKK012102000459</t>
  </si>
  <si>
    <t>นาย จเร ศรีมาก</t>
  </si>
  <si>
    <t>STHBKK012102000460</t>
  </si>
  <si>
    <t>นางสาว มาเรียม ยิ้มสาระ</t>
  </si>
  <si>
    <t>STHBKK012102000461</t>
  </si>
  <si>
    <t>STHBKK012102000462</t>
  </si>
  <si>
    <t>STHBKK012102000463</t>
  </si>
  <si>
    <t>นาย ณัฐพล ศรีทอง</t>
  </si>
  <si>
    <t>STHBKK012102000464</t>
  </si>
  <si>
    <t>นาง พรทิพย์ จันทะคุณ</t>
  </si>
  <si>
    <t>STHBKK012102000465</t>
  </si>
  <si>
    <t>STHBKK012102000466</t>
  </si>
  <si>
    <t>STHBKK012102000467</t>
  </si>
  <si>
    <t>STHBKK012102000468</t>
  </si>
  <si>
    <t>STHBKK012102000470</t>
  </si>
  <si>
    <t>นาย มงคล ปันทวาย</t>
  </si>
  <si>
    <t>STHBKK012102000473</t>
  </si>
  <si>
    <t>นาง บุษกร เชียงสวนจิก</t>
  </si>
  <si>
    <t>STHBKK012102000474</t>
  </si>
  <si>
    <t>นาง นันทิยา สายคำบ่อ</t>
  </si>
  <si>
    <t>STHBKK012102000475</t>
  </si>
  <si>
    <t>STHBKK012102000476</t>
  </si>
  <si>
    <t>นางสาว นิธิสนี หงส์สิรีไกร</t>
  </si>
  <si>
    <t>STHBKK012102000477</t>
  </si>
  <si>
    <t>STHBKK012102000478</t>
  </si>
  <si>
    <t>STHBKK012102000479</t>
  </si>
  <si>
    <t>นางสาว สุพรรณษา มายืนยงค์</t>
  </si>
  <si>
    <t>STHBKK012102000480</t>
  </si>
  <si>
    <t>STHBKK012102000481</t>
  </si>
  <si>
    <t>นางสาว รัตติมา ชื่นสุภัค</t>
  </si>
  <si>
    <t>STHBKK012102000482</t>
  </si>
  <si>
    <t>STHBKK012102000483</t>
  </si>
  <si>
    <t>STHBKK012102000484</t>
  </si>
  <si>
    <t>STHBKK012102000485</t>
  </si>
  <si>
    <t>นาย สุเมธ กลิ่นเย็น</t>
  </si>
  <si>
    <t>STHBKK012102000486</t>
  </si>
  <si>
    <t>STHBKK012102000487</t>
  </si>
  <si>
    <t>นางสาว บุญเรือน อุ่นเจริญ</t>
  </si>
  <si>
    <t>STHBKK012102000488</t>
  </si>
  <si>
    <t>นาย ยงยุทธ แก้วสม</t>
  </si>
  <si>
    <t>STHBKK012102000490</t>
  </si>
  <si>
    <t>นางสาว สุธาลินี ไทยตรง</t>
  </si>
  <si>
    <t>STHBKK012102000491</t>
  </si>
  <si>
    <t>STHBKK012102000492</t>
  </si>
  <si>
    <t>STHONLIN2102000088</t>
  </si>
  <si>
    <t>STHONLIN2102000089</t>
  </si>
  <si>
    <t>STHONLIN2102000090</t>
  </si>
  <si>
    <t>STHONLIN2102000092</t>
  </si>
  <si>
    <t>นาย เกียรติศักดิ์ อาดมะเร๊ะ</t>
  </si>
  <si>
    <t>DAILY  SALE  07 FEB 2021</t>
  </si>
  <si>
    <t>STHBKK012102000493</t>
  </si>
  <si>
    <t>STHBKK012102000494</t>
  </si>
  <si>
    <t>STHBKK012102000495</t>
  </si>
  <si>
    <t>นางสาว วิลาวัณย์ กันหาเวียง</t>
  </si>
  <si>
    <t>STHBKK012102000496</t>
  </si>
  <si>
    <t>STHBKK012102000497</t>
  </si>
  <si>
    <t>นางสาว มาลินี แสงแก้ว</t>
  </si>
  <si>
    <t>STHBKK012102000498</t>
  </si>
  <si>
    <t>STHBKK012102000499</t>
  </si>
  <si>
    <t>นางสาว พัชรินทร์ เพชรน้อย</t>
  </si>
  <si>
    <t>STHBKK012102000500</t>
  </si>
  <si>
    <t>นางสาว นิภาวรรณ ภูพล</t>
  </si>
  <si>
    <t>STHBKK012102000501</t>
  </si>
  <si>
    <t>STHBKK012102000502</t>
  </si>
  <si>
    <t>STHBKK012102000503</t>
  </si>
  <si>
    <t>STHBKK012102000504</t>
  </si>
  <si>
    <t>STHBKK012102000505</t>
  </si>
  <si>
    <t>STHBKK012102000507</t>
  </si>
  <si>
    <t>นาง เบญญาภา เพื่อมกระโทก</t>
  </si>
  <si>
    <t>STHBKK012102000508</t>
  </si>
  <si>
    <t>นางสาว น้ำฝน เผือดสูงเนิน</t>
  </si>
  <si>
    <t>STHBKK012102000509</t>
  </si>
  <si>
    <t>STHBKK012102000510</t>
  </si>
  <si>
    <t>STHBKK012102000511</t>
  </si>
  <si>
    <t>นาง ชญาน์นันท์ ฉิมยี่ทวีโชค</t>
  </si>
  <si>
    <t>STHBKK012102000513</t>
  </si>
  <si>
    <t>STHBKK012102000514</t>
  </si>
  <si>
    <t>นางสาว รักษนีย์ สุขดา</t>
  </si>
  <si>
    <t>STHBKK012102000515</t>
  </si>
  <si>
    <t>STHBKK012102000516</t>
  </si>
  <si>
    <t>STHBKK012102000517</t>
  </si>
  <si>
    <t>STHBKK012102000518</t>
  </si>
  <si>
    <t>STHBKK012102000519</t>
  </si>
  <si>
    <t>ดารดี ญาณกวี</t>
  </si>
  <si>
    <t>STHBKK012102000520</t>
  </si>
  <si>
    <t>STHBKK012102000521</t>
  </si>
  <si>
    <t>STHBKK012102000522</t>
  </si>
  <si>
    <t>STHBKK012102000523</t>
  </si>
  <si>
    <t>บริษัทจำกัด รวยรวย</t>
  </si>
  <si>
    <t>STHBKK012102000524</t>
  </si>
  <si>
    <t>นางสาว สุกัญญา น้อยดี</t>
  </si>
  <si>
    <t>STHBKK012102000525</t>
  </si>
  <si>
    <t>นาย พิภพ เอียดแก้ว</t>
  </si>
  <si>
    <t>STHBKK012102000526</t>
  </si>
  <si>
    <t>นาง หงสา ลักษณะวิลัย</t>
  </si>
  <si>
    <t>STHBKK012102000527</t>
  </si>
  <si>
    <t>นาย สิรภพ สุดใจ</t>
  </si>
  <si>
    <t>STHBKK012102000528</t>
  </si>
  <si>
    <t>STHBKK012102000529</t>
  </si>
  <si>
    <t>STHBKK012102000530</t>
  </si>
  <si>
    <t>STHBKK012102000533</t>
  </si>
  <si>
    <t>STHBKK012102000534</t>
  </si>
  <si>
    <t>STHBKK012102000536</t>
  </si>
  <si>
    <t>นาง ศรี ขันหลวง</t>
  </si>
  <si>
    <t>STHBKK012102000537</t>
  </si>
  <si>
    <t>STHBKK012102000538</t>
  </si>
  <si>
    <t>STHBKK012102000539</t>
  </si>
  <si>
    <t>นาย สุรศักดิ์ ไชยจักร</t>
  </si>
  <si>
    <t>STHBKK012102000540</t>
  </si>
  <si>
    <t>นางสาว พรสวรรค์ อินทร์จันทร์ศร</t>
  </si>
  <si>
    <t>STHBKK012102000541</t>
  </si>
  <si>
    <t>นาย วิโรจน์ กัณพัทธณะ</t>
  </si>
  <si>
    <t>STHBKK012102000542</t>
  </si>
  <si>
    <t>STHBKK012102000543</t>
  </si>
  <si>
    <t>STHBKK012102000544</t>
  </si>
  <si>
    <t>นาง ชลดา งามสุข</t>
  </si>
  <si>
    <t>STHBKK012102000545</t>
  </si>
  <si>
    <t>STHBKK012102000546</t>
  </si>
  <si>
    <t>STHBKK012102000547</t>
  </si>
  <si>
    <t>นาย นพรุจ ม่วงนวน</t>
  </si>
  <si>
    <t>STHBKK012102000548</t>
  </si>
  <si>
    <t>นางสาว ฐิติมา วงศ์สารเสริฐ</t>
  </si>
  <si>
    <t>STHBKK012102000549</t>
  </si>
  <si>
    <t>นางสาว ปวีณา โพธิ์ตาด</t>
  </si>
  <si>
    <t>STHBKK012102000550</t>
  </si>
  <si>
    <t>นาง นิตยา ศรีวรมย์</t>
  </si>
  <si>
    <t>STHBKK012102000551</t>
  </si>
  <si>
    <t>STHBKK012102000552</t>
  </si>
  <si>
    <t>STHBKK012102000553</t>
  </si>
  <si>
    <t>นาง จุฑารัตน์ รัตนบุรี</t>
  </si>
  <si>
    <t>STHONLIN2102000098</t>
  </si>
  <si>
    <t>นางสาว พัทธนันท์ ไชยเดช</t>
  </si>
  <si>
    <t>STHONLIN2102000101</t>
  </si>
  <si>
    <t>STHONLIN2102000105</t>
  </si>
  <si>
    <t>DAILY  SALE  08 FEB 2021</t>
  </si>
  <si>
    <t>STHBKK012102000555</t>
  </si>
  <si>
    <t>STHBKK012102000556</t>
  </si>
  <si>
    <t>STHBKK012102000557</t>
  </si>
  <si>
    <t>STHBKK012102000558</t>
  </si>
  <si>
    <t>นางสาว สุนิตรา สิงห์โต</t>
  </si>
  <si>
    <t>STHBKK012102000559</t>
  </si>
  <si>
    <t>STHBKK012102000560</t>
  </si>
  <si>
    <t>นาย ปิยะเดช ยิ่งวิวัฒนพงษ์</t>
  </si>
  <si>
    <t>STHBKK012102000561</t>
  </si>
  <si>
    <t>นาย พัชระ กอไม้</t>
  </si>
  <si>
    <t>STHBKK012102000562</t>
  </si>
  <si>
    <t>STHBKK012102000563</t>
  </si>
  <si>
    <t>STHBKK012102000564</t>
  </si>
  <si>
    <t>นางสาว สมนึก อัครวงศ์พิพัฒน์</t>
  </si>
  <si>
    <t>STHBKK012102000565</t>
  </si>
  <si>
    <t>STHBKK012102000566</t>
  </si>
  <si>
    <t>STHBKK012102000567</t>
  </si>
  <si>
    <t>นาย วัชรชัย ขุนศรีรักษา</t>
  </si>
  <si>
    <t>STHBKK012102000568</t>
  </si>
  <si>
    <t>STHBKK012102000569</t>
  </si>
  <si>
    <t>STHBKK012102000570</t>
  </si>
  <si>
    <t>STHBKK012102000571</t>
  </si>
  <si>
    <t>STHBKK012102000572</t>
  </si>
  <si>
    <t>STHBKK012102000573</t>
  </si>
  <si>
    <t>STHBKK012102000575</t>
  </si>
  <si>
    <t>นาย ภูมิพัฒน์ คงแถวทอง</t>
  </si>
  <si>
    <t>STHBKK012102000576</t>
  </si>
  <si>
    <t>นาย อาทิตย์ มามะ</t>
  </si>
  <si>
    <t>STHBKK012102000578</t>
  </si>
  <si>
    <t>นางสาว ปรียานุช กรัดเฟื่อง</t>
  </si>
  <si>
    <t>STHBKK012102000579</t>
  </si>
  <si>
    <t>STHBKK012102000580</t>
  </si>
  <si>
    <t>นาย เสมียน พลอยบุศย์</t>
  </si>
  <si>
    <t>STHBKK012102000581</t>
  </si>
  <si>
    <t>STHBKK012102000582</t>
  </si>
  <si>
    <t>STHBKK012102000583</t>
  </si>
  <si>
    <t>STHBKK012102000584</t>
  </si>
  <si>
    <t>เพื่อนเกษตรกร</t>
  </si>
  <si>
    <t>STHBKK012102000585</t>
  </si>
  <si>
    <t>STHBKK012102000587</t>
  </si>
  <si>
    <t>STHBKK012102000589</t>
  </si>
  <si>
    <t>นาย ชวิน มั่นเกษตรกิจ</t>
  </si>
  <si>
    <t>STHBKK012102000590</t>
  </si>
  <si>
    <t>STHBKK012102000591</t>
  </si>
  <si>
    <t>นาย รัชชานนท์ แก่นจรรยา</t>
  </si>
  <si>
    <t>STHBKK012102000599</t>
  </si>
  <si>
    <t>มธุรา ชาติสุทธิ์</t>
  </si>
  <si>
    <t>STHBKK012102000602</t>
  </si>
  <si>
    <t>STHBKK012102000603</t>
  </si>
  <si>
    <t>STHBKK012102000604</t>
  </si>
  <si>
    <t>นางสาว วรรณา ต๊ะแก้ว</t>
  </si>
  <si>
    <t>STHBKK012102000606</t>
  </si>
  <si>
    <t>STHBKK012102000607</t>
  </si>
  <si>
    <t>นาง พรหทัย หมั่นสระเกษ</t>
  </si>
  <si>
    <t>STHBKK012102000611</t>
  </si>
  <si>
    <t>STHBKK012102000612</t>
  </si>
  <si>
    <t>นาง ทองหล่อ ยิ้มสาระ</t>
  </si>
  <si>
    <t>STHBKK012102000613</t>
  </si>
  <si>
    <t>นาง สมจิตร นวนสุ่ม</t>
  </si>
  <si>
    <t>STHBKK012102000614</t>
  </si>
  <si>
    <t>STHBKK012102000615</t>
  </si>
  <si>
    <t>นาย จรัญ กอบธัญกรณ์</t>
  </si>
  <si>
    <t>STHBKK012102000616</t>
  </si>
  <si>
    <t>STHBKK012102000617</t>
  </si>
  <si>
    <t>STHBKK012102000620</t>
  </si>
  <si>
    <t>นาย จักรพงศ์ เพชรเหลี่ยม</t>
  </si>
  <si>
    <t>STHBKK012102000622</t>
  </si>
  <si>
    <t>STHBKK012102000623</t>
  </si>
  <si>
    <t>STHBKK012102000624</t>
  </si>
  <si>
    <t>STHBKK012102000626</t>
  </si>
  <si>
    <t>STHBKK012102000628</t>
  </si>
  <si>
    <t>STHBKK012102000629</t>
  </si>
  <si>
    <t>STHBKK012102000630</t>
  </si>
  <si>
    <t>นางสาว อิสราภรณ์ เกษหอม</t>
  </si>
  <si>
    <t>STHBKK012102000631</t>
  </si>
  <si>
    <t>STHBKK012102000632</t>
  </si>
  <si>
    <t>STHBKK012102000633</t>
  </si>
  <si>
    <t>นาย สำรวย แซ่ลอ</t>
  </si>
  <si>
    <t>STHBKK012102000634</t>
  </si>
  <si>
    <t>STHBKK012102000635</t>
  </si>
  <si>
    <t>STHBKK012102000636</t>
  </si>
  <si>
    <t>STHBKK012102000637</t>
  </si>
  <si>
    <t>STHBKK012102000639</t>
  </si>
  <si>
    <t>นาย วัชรากร เข็มนาค</t>
  </si>
  <si>
    <t>STHBKK012102000640</t>
  </si>
  <si>
    <t>นาย ประพันธ์ ฉิมรี</t>
  </si>
  <si>
    <t>STHBKK012102000641</t>
  </si>
  <si>
    <t>STHBKK012102000642</t>
  </si>
  <si>
    <t>STHBKK012102000643</t>
  </si>
  <si>
    <t>นาง รัชปภา วัฒนกุลภาคิน</t>
  </si>
  <si>
    <t>STHBKK012102000644</t>
  </si>
  <si>
    <t>ห้างหุ้นส่วนจำกัด หจก.เครือข่ายปิยธนา</t>
  </si>
  <si>
    <t>STHBKK012102000645</t>
  </si>
  <si>
    <t>STHBKK012102000646</t>
  </si>
  <si>
    <t>STHBKK012102000647</t>
  </si>
  <si>
    <t>STHBKK012102000648</t>
  </si>
  <si>
    <t>STHONLIN2102000108</t>
  </si>
  <si>
    <t>STHONLIN2102000110</t>
  </si>
  <si>
    <t>STHONLIN2102000111</t>
  </si>
  <si>
    <t>STHONLIN2102000112</t>
  </si>
  <si>
    <t>STHONLIN2102000116</t>
  </si>
  <si>
    <t>STHONLIN2102000117</t>
  </si>
  <si>
    <t>นางสาว ณิชจิรา ชอบธรรม</t>
  </si>
  <si>
    <t>STHONLIN2102000118</t>
  </si>
  <si>
    <t>DAILY  SALE  09 FEB 2021</t>
  </si>
  <si>
    <t>STHBKK012102000649</t>
  </si>
  <si>
    <t>STHBKK012102000650</t>
  </si>
  <si>
    <t>นาง วรัทยา จันทร์ชื่น</t>
  </si>
  <si>
    <t>STHBKK012102000651</t>
  </si>
  <si>
    <t>STHBKK012102000652</t>
  </si>
  <si>
    <t>STHBKK012102000653</t>
  </si>
  <si>
    <t>นาย ปรเมศวร์ ธรรมโชติ</t>
  </si>
  <si>
    <t>STHBKK012102000654</t>
  </si>
  <si>
    <t>STHBKK012102000655</t>
  </si>
  <si>
    <t>STHBKK012102000656</t>
  </si>
  <si>
    <t>STHBKK012102000657</t>
  </si>
  <si>
    <t>นาง ยุพารัตน์ พูลสุวรรณ</t>
  </si>
  <si>
    <t>STHBKK012102000659</t>
  </si>
  <si>
    <t>STHBKK012102000660</t>
  </si>
  <si>
    <t>STHBKK012102000661</t>
  </si>
  <si>
    <t>นาย พงศ์ไท แจ้งสว่าง</t>
  </si>
  <si>
    <t>STHBKK012102000662</t>
  </si>
  <si>
    <t>STHBKK012102000663</t>
  </si>
  <si>
    <t>นาง ธัญญลักษณ์ เลิศไกรทัศ</t>
  </si>
  <si>
    <t>STHBKK012102000664</t>
  </si>
  <si>
    <t>นาย พิบูลย์ คล่องสั่งสอน</t>
  </si>
  <si>
    <t>STHBKK012102000665</t>
  </si>
  <si>
    <t>STHBKK012102000666</t>
  </si>
  <si>
    <t>นางสาว ธนกร บณชัยเจริญ</t>
  </si>
  <si>
    <t>STHBKK012102000667</t>
  </si>
  <si>
    <t>STHBKK012102000668</t>
  </si>
  <si>
    <t>STHBKK012102000669</t>
  </si>
  <si>
    <t>STHBKK012102000671</t>
  </si>
  <si>
    <t>STHBKK012102000672</t>
  </si>
  <si>
    <t>นาย ฉัตรชัย ศีรบุบผา</t>
  </si>
  <si>
    <t>STHBKK012102000673</t>
  </si>
  <si>
    <t>STHBKK012102000674</t>
  </si>
  <si>
    <t>STHBKK012102000675</t>
  </si>
  <si>
    <t>นาย ณพจน์ษยกร ลิ้มวิลัย</t>
  </si>
  <si>
    <t>STHBKK012102000676</t>
  </si>
  <si>
    <t>นาย เริงฤทธิ์ วงษ์ฟองนวล</t>
  </si>
  <si>
    <t>STHBKK012102000677</t>
  </si>
  <si>
    <t>STHBKK012102000678</t>
  </si>
  <si>
    <t>บริษัทจำกัด กุลไลฟ์ 24 จำกัด</t>
  </si>
  <si>
    <t>STHBKK012102000679</t>
  </si>
  <si>
    <t>STHBKK012102000680</t>
  </si>
  <si>
    <t>STHBKK012102000681</t>
  </si>
  <si>
    <t>STHBKK012102000682</t>
  </si>
  <si>
    <t>STHBKK012102000683</t>
  </si>
  <si>
    <t>STHBKK012102000684</t>
  </si>
  <si>
    <t>นางสาว กฤษณา พรธาดาวิทย์</t>
  </si>
  <si>
    <t>STHBKK012102000685</t>
  </si>
  <si>
    <t>นาง บุญมี สุขสำราญ</t>
  </si>
  <si>
    <t>STHBKK012102000686</t>
  </si>
  <si>
    <t>STHBKK012102000687</t>
  </si>
  <si>
    <t>STHBKK012102000688</t>
  </si>
  <si>
    <t>พ.ต.ท. วิรุฬ อินทร์มีสุข</t>
  </si>
  <si>
    <t>STHBKK012102000689</t>
  </si>
  <si>
    <t>STHBKK012102000690</t>
  </si>
  <si>
    <t>STHBKK012102000691</t>
  </si>
  <si>
    <t>STHBKK012102000692</t>
  </si>
  <si>
    <t>นางสาว กัญพัชร์&amp;#8203; ชูธีรยงพันธ์</t>
  </si>
  <si>
    <t>STHBKK012102000693</t>
  </si>
  <si>
    <t>STHBKK012102000694</t>
  </si>
  <si>
    <t>พ.อ. ทวี อ่ำเอี่ยม</t>
  </si>
  <si>
    <t>STHBKK012102000695</t>
  </si>
  <si>
    <t>นาง สมฤทธิ์ เพชรคง</t>
  </si>
  <si>
    <t>STHBKK012102000696</t>
  </si>
  <si>
    <t>นาง พิมพ์พิศา วิเศษสมวงศ์</t>
  </si>
  <si>
    <t>STHBKK012102000697</t>
  </si>
  <si>
    <t>STHBKK012102000698</t>
  </si>
  <si>
    <t>STHBKK012102000699</t>
  </si>
  <si>
    <t>STHBKK012102000700</t>
  </si>
  <si>
    <t>STHBKK012102000701</t>
  </si>
  <si>
    <t>นาย สิริศักดิ์ นมพุก</t>
  </si>
  <si>
    <t>STHBKK012102000702</t>
  </si>
  <si>
    <t>STHBKK012102000703</t>
  </si>
  <si>
    <t>นาง นิตย์อุษา ภูริศจิราภัทร์</t>
  </si>
  <si>
    <t>STHBKK012102000704</t>
  </si>
  <si>
    <t>STHBKK012102000705</t>
  </si>
  <si>
    <t>STHBKK012102000708</t>
  </si>
  <si>
    <t>STHBKK012102000709</t>
  </si>
  <si>
    <t>นางสาว ธนัธศ์สอร + กฤษณพงษ์ เสน่ห์ดุษฎี</t>
  </si>
  <si>
    <t>STHBKK012102000711</t>
  </si>
  <si>
    <t>STHBKK012102000712</t>
  </si>
  <si>
    <t>นาย พันธ์ศักดิ์ เจริญสุข</t>
  </si>
  <si>
    <t>STHBKK012102000713</t>
  </si>
  <si>
    <t>STHBKK012102000714</t>
  </si>
  <si>
    <t>STHBKK012102000715</t>
  </si>
  <si>
    <t>นาง พิรญาณ์ มีใย</t>
  </si>
  <si>
    <t>STHBKK012102000716</t>
  </si>
  <si>
    <t>นาย ชุมพล โชคสุชาติ</t>
  </si>
  <si>
    <t>STHBKK012102000717</t>
  </si>
  <si>
    <t>นางสาว ณัฐกานต์ วันนา</t>
  </si>
  <si>
    <t>STHBKK012102000718</t>
  </si>
  <si>
    <t>STHBKK012102000719</t>
  </si>
  <si>
    <t>นาย สายหยุด เกตุเปี่ยม</t>
  </si>
  <si>
    <t>STHBKK012102000720</t>
  </si>
  <si>
    <t>STHBKK012102000721</t>
  </si>
  <si>
    <t>นางสาว กฤษณี จั่นแก้ว</t>
  </si>
  <si>
    <t>STHONLIN2102000124</t>
  </si>
  <si>
    <t>STHONLIN2102000125</t>
  </si>
  <si>
    <t>STHONLIN2102000127</t>
  </si>
  <si>
    <t>STHONLIN2102000128</t>
  </si>
  <si>
    <t>นาย เมธาพัฒน์ รังษีธนาวรรักษ์</t>
  </si>
  <si>
    <t>STHONLIN2102000130</t>
  </si>
  <si>
    <t>นาง พันธุ์ทิพา แดงดีมาก</t>
  </si>
  <si>
    <t>STHONLIN2102000131</t>
  </si>
  <si>
    <t>STHONLIN2102000133</t>
  </si>
  <si>
    <t>STHONLIN2102000134</t>
  </si>
  <si>
    <t>STHONLIN2102000137</t>
  </si>
  <si>
    <t>STHONLIN2102000138</t>
  </si>
  <si>
    <t>DAILY  SALE  10 FEB 2021</t>
  </si>
  <si>
    <t>STHBKK012102000723</t>
  </si>
  <si>
    <t>นางสาว พศิจาธิกาณ ธนัฐศิณีญา</t>
  </si>
  <si>
    <t>STHBKK012102000724</t>
  </si>
  <si>
    <t>STHBKK012102000725</t>
  </si>
  <si>
    <t>จุฑาทิพ ไกรจันทร์</t>
  </si>
  <si>
    <t>STHBKK012102000726</t>
  </si>
  <si>
    <t>STHBKK012102000727</t>
  </si>
  <si>
    <t>STHBKK012102000728</t>
  </si>
  <si>
    <t>STHBKK012102000729</t>
  </si>
  <si>
    <t>STHBKK012102000730</t>
  </si>
  <si>
    <t>STHBKK012102000731</t>
  </si>
  <si>
    <t>STHBKK012102000732</t>
  </si>
  <si>
    <t>STHBKK012102000733</t>
  </si>
  <si>
    <t>STHBKK012102000734</t>
  </si>
  <si>
    <t>นาง อุไร&amp;#8203; หนูปัทยา</t>
  </si>
  <si>
    <t>STHBKK012102000735</t>
  </si>
  <si>
    <t>นาย กุศล ศรีบุณยะแก้ว</t>
  </si>
  <si>
    <t>STHBKK012102000737</t>
  </si>
  <si>
    <t>STHBKK012102000738</t>
  </si>
  <si>
    <t>STHBKK012102000739</t>
  </si>
  <si>
    <t>นางสาว ปาริฉัตร ตูบสันเทียะ</t>
  </si>
  <si>
    <t>STHBKK012102000740</t>
  </si>
  <si>
    <t>นาย อำนาจ ภูมี</t>
  </si>
  <si>
    <t>STHBKK012102000741</t>
  </si>
  <si>
    <t>STHBKK012102000742</t>
  </si>
  <si>
    <t>STHBKK012102000743</t>
  </si>
  <si>
    <t>STHBKK012102000744</t>
  </si>
  <si>
    <t>ธนวรรธน์ สุุขจิตร</t>
  </si>
  <si>
    <t>STHBKK012102000745</t>
  </si>
  <si>
    <t>STHBKK012102000746</t>
  </si>
  <si>
    <t>STHBKK012102000747</t>
  </si>
  <si>
    <t>STHBKK012102000748</t>
  </si>
  <si>
    <t>STHBKK012102000749</t>
  </si>
  <si>
    <t>STHBKK012102000751</t>
  </si>
  <si>
    <t>STHBKK012102000752</t>
  </si>
  <si>
    <t>STHBKK012102000753</t>
  </si>
  <si>
    <t>STHBKK012102000754</t>
  </si>
  <si>
    <t>นางสาว สุมาลี เรืองรักษา</t>
  </si>
  <si>
    <t>STHBKK012102000755</t>
  </si>
  <si>
    <t>นาย สันติราษฎร์ โพธิ์พุฒ</t>
  </si>
  <si>
    <t>STHBKK012102000756</t>
  </si>
  <si>
    <t>นาง พเยาว์ เซ็งมา</t>
  </si>
  <si>
    <t>STHBKK012102000757</t>
  </si>
  <si>
    <t>นาย บุญมา ไพรวัลย์</t>
  </si>
  <si>
    <t>STHBKK012102000759</t>
  </si>
  <si>
    <t>STHBKK012102000760</t>
  </si>
  <si>
    <t>STHBKK012102000761</t>
  </si>
  <si>
    <t>STHBKK012102000762</t>
  </si>
  <si>
    <t>STHBKK012102000763</t>
  </si>
  <si>
    <t>STHBKK012102000765</t>
  </si>
  <si>
    <t>STHBKK012102000767</t>
  </si>
  <si>
    <t>นาย วรพจน์ เอี่ยมหุ่น</t>
  </si>
  <si>
    <t>STHBKK012102000768</t>
  </si>
  <si>
    <t>STHBKK012102000769</t>
  </si>
  <si>
    <t>นางสาว ภัทราพร ภู่จีน</t>
  </si>
  <si>
    <t>STHBKK012102000770</t>
  </si>
  <si>
    <t>STHBKK012102000772</t>
  </si>
  <si>
    <t>STHBKK012102000774</t>
  </si>
  <si>
    <t>นาย นรชัยสิงห์ จันทรปิติโชติเมธี</t>
  </si>
  <si>
    <t>STHBKK012102000775</t>
  </si>
  <si>
    <t>STHBKK012102000776</t>
  </si>
  <si>
    <t>STHBKK012102000777</t>
  </si>
  <si>
    <t>นาย ไพศาล ยิ้มละมัย</t>
  </si>
  <si>
    <t>STHBKK012102000778</t>
  </si>
  <si>
    <t>STHBKK012102000779</t>
  </si>
  <si>
    <t>STHBKK012102000780</t>
  </si>
  <si>
    <t>นางสาว ไพจิตรี สุทธานันท์</t>
  </si>
  <si>
    <t>STHBKK012102000781</t>
  </si>
  <si>
    <t>STHBKK012102000782</t>
  </si>
  <si>
    <t>STHBKK012102000783</t>
  </si>
  <si>
    <t>STHONLIN2102000144</t>
  </si>
  <si>
    <t>STHONLIN2102000145</t>
  </si>
  <si>
    <t>STHONLIN2102000146</t>
  </si>
  <si>
    <t>STHONLIN2102000147</t>
  </si>
  <si>
    <t>STHONLIN2102000148</t>
  </si>
  <si>
    <t>STHONLIN2102000150</t>
  </si>
  <si>
    <t>STHONLIN2102000154</t>
  </si>
  <si>
    <t>STHONLIN2102000159</t>
  </si>
  <si>
    <t>STHONLIN2102000162</t>
  </si>
  <si>
    <t>นาง ประสิทธิ์ ลับแล</t>
  </si>
  <si>
    <t>STHONLIN2102000163</t>
  </si>
  <si>
    <t>นาย มานะ ศรีพันธ์</t>
  </si>
  <si>
    <t>STHONLIN2102000164</t>
  </si>
  <si>
    <t>นางสาว สมบุญ ดงพลัง</t>
  </si>
  <si>
    <t>DAILY  SALE  11 FEB 2021</t>
  </si>
  <si>
    <t>STHBKK012102000784</t>
  </si>
  <si>
    <t>STHBKK012102000785</t>
  </si>
  <si>
    <t>STHBKK012102000786</t>
  </si>
  <si>
    <t>STHBKK012102000787</t>
  </si>
  <si>
    <t>นาย เจษฎา ทับทิม</t>
  </si>
  <si>
    <t>STHBKK012102000788</t>
  </si>
  <si>
    <t>นาย สมพิศ ลอยบัญดิษฐ</t>
  </si>
  <si>
    <t>STHBKK012102000789</t>
  </si>
  <si>
    <t>STHBKK012102000790</t>
  </si>
  <si>
    <t>STHBKK012102000791</t>
  </si>
  <si>
    <t>STHBKK012102000792</t>
  </si>
  <si>
    <t>STHBKK012102000793</t>
  </si>
  <si>
    <t>นาง สมคิด รอดนิ่ม</t>
  </si>
  <si>
    <t>STHBKK012102000794</t>
  </si>
  <si>
    <t>นางสาว เบญจมาศ ไชยพฤกษ์</t>
  </si>
  <si>
    <t>STHBKK012102000795</t>
  </si>
  <si>
    <t>นาย ธีระศักดิ์ ใหญ่ยงค์</t>
  </si>
  <si>
    <t>STHBKK012102000796</t>
  </si>
  <si>
    <t>STHBKK012102000797</t>
  </si>
  <si>
    <t>STHBKK012102000801</t>
  </si>
  <si>
    <t>STHBKK012102000803</t>
  </si>
  <si>
    <t>นางสาว พีรการย์ มะณีโชติ</t>
  </si>
  <si>
    <t>STHBKK012102000804</t>
  </si>
  <si>
    <t>STHBKK012102000805</t>
  </si>
  <si>
    <t>นาย ปริญญา ถาวรโชติ</t>
  </si>
  <si>
    <t>STHBKK012102000806</t>
  </si>
  <si>
    <t>STHBKK012102000807</t>
  </si>
  <si>
    <t>นาย พงศ์อมร เด่นดวง</t>
  </si>
  <si>
    <t>STHBKK012102000808</t>
  </si>
  <si>
    <t>นางสาว พรเพ็ญ วะราหะ</t>
  </si>
  <si>
    <t>STHBKK012102000809</t>
  </si>
  <si>
    <t>STHBKK012102000810</t>
  </si>
  <si>
    <t>STHBKK012102000811</t>
  </si>
  <si>
    <t>STHBKK012102000812</t>
  </si>
  <si>
    <t>STHBKK012102000813</t>
  </si>
  <si>
    <t>STHBKK012102000814</t>
  </si>
  <si>
    <t>นางสาว อัจจิกา เหมทานนท์</t>
  </si>
  <si>
    <t>STHBKK012102000815</t>
  </si>
  <si>
    <t>STHBKK012102000816</t>
  </si>
  <si>
    <t>STHBKK012102000817</t>
  </si>
  <si>
    <t>นางสาว ลักขณา ฉุ้นทิ้ง</t>
  </si>
  <si>
    <t>STHBKK012102000818</t>
  </si>
  <si>
    <t>STHBKK012102000819</t>
  </si>
  <si>
    <t>STHBKK012102000820</t>
  </si>
  <si>
    <t>นาย สุภิเชษฐ ภู่ทอง</t>
  </si>
  <si>
    <t>STHBKK012102000821</t>
  </si>
  <si>
    <t>STHBKK012102000822</t>
  </si>
  <si>
    <t>STHBKK012102000824</t>
  </si>
  <si>
    <t>นาง นฤมล สุขเงิน</t>
  </si>
  <si>
    <t>STHBKK012102000825</t>
  </si>
  <si>
    <t>STHBKK012102000826</t>
  </si>
  <si>
    <t>นางสาว วรรณวนัช แก้วดี</t>
  </si>
  <si>
    <t>STHBKK012102000827</t>
  </si>
  <si>
    <t>STHBKK012102000828</t>
  </si>
  <si>
    <t>นางสาว ฮันนาน สามะ</t>
  </si>
  <si>
    <t>STHBKK012102000829</t>
  </si>
  <si>
    <t>STHBKK012102000830</t>
  </si>
  <si>
    <t>นาง พรทิพย์ ทิมอ่อน</t>
  </si>
  <si>
    <t>STHBKK012102000831</t>
  </si>
  <si>
    <t>นาง สมทรง แก้วชาวนา</t>
  </si>
  <si>
    <t>STHBKK012102000832</t>
  </si>
  <si>
    <t>นาง ศรีรัตน์ ปัญญา</t>
  </si>
  <si>
    <t>STHBKK012102000833</t>
  </si>
  <si>
    <t>STHBKK012102000834</t>
  </si>
  <si>
    <t>STHBKK012102000835</t>
  </si>
  <si>
    <t>STHBKK012102000836</t>
  </si>
  <si>
    <t>STHBKK012102000837</t>
  </si>
  <si>
    <t>STHBKK012102000838</t>
  </si>
  <si>
    <t>STHBKK012102000839</t>
  </si>
  <si>
    <t>STHBKK012102000840</t>
  </si>
  <si>
    <t>นาย เจริญ ผลถาวร</t>
  </si>
  <si>
    <t>STHBKK012102000841</t>
  </si>
  <si>
    <t>STHBKK012102000842</t>
  </si>
  <si>
    <t>STHBKK012102000843</t>
  </si>
  <si>
    <t>STHBKK012102000844</t>
  </si>
  <si>
    <t>STHBKK012102000845</t>
  </si>
  <si>
    <t>STHBKK012102000847</t>
  </si>
  <si>
    <t>MISS PHOUMMAVONE VIENGSOUK</t>
  </si>
  <si>
    <t>STHBKK012102000848</t>
  </si>
  <si>
    <t>STHBKK012102000849</t>
  </si>
  <si>
    <t>STHBKK012102000850</t>
  </si>
  <si>
    <t>นางสาว เทียนทอง ลำทอง</t>
  </si>
  <si>
    <t>STHBKK012102000851</t>
  </si>
  <si>
    <t>STHBKK012102000852</t>
  </si>
  <si>
    <t>นาง อรพรรณ จรรยา</t>
  </si>
  <si>
    <t>STHBKK012102000853</t>
  </si>
  <si>
    <t>STHBKK012102000854</t>
  </si>
  <si>
    <t>นางสาว มยุรีย์ เอี่ยมศรี</t>
  </si>
  <si>
    <t>STHBKK012102000856</t>
  </si>
  <si>
    <t>STHBKK012102000857</t>
  </si>
  <si>
    <t>นางสาว นิดานุช โพธิพรม</t>
  </si>
  <si>
    <t>STHBKK012102000858</t>
  </si>
  <si>
    <t>STHBKK012102000859</t>
  </si>
  <si>
    <t>STHBKK012102000860</t>
  </si>
  <si>
    <t>STHONLIN2102000176</t>
  </si>
  <si>
    <t>STHONLIN2102000178</t>
  </si>
  <si>
    <t>STHONLIN2102000182</t>
  </si>
  <si>
    <t>STHONLIN2102000184</t>
  </si>
  <si>
    <t>STHONLIN2102000187</t>
  </si>
  <si>
    <t>STHONLIN2102000188</t>
  </si>
  <si>
    <t>DAILY  SALE  12 FEB 2021</t>
  </si>
  <si>
    <t>STHBKK012102000861</t>
  </si>
  <si>
    <t>STHBKK012102000862</t>
  </si>
  <si>
    <t>STHBKK012102000863</t>
  </si>
  <si>
    <t>STHBKK012102000864</t>
  </si>
  <si>
    <t>STHBKK012102000865</t>
  </si>
  <si>
    <t>STHBKK012102000866</t>
  </si>
  <si>
    <t>STHBKK012102000867</t>
  </si>
  <si>
    <t>STHBKK012102000868</t>
  </si>
  <si>
    <t>STHBKK012102000869</t>
  </si>
  <si>
    <t>STHBKK012102000870</t>
  </si>
  <si>
    <t>STHBKK012102000871</t>
  </si>
  <si>
    <t>STHBKK012102000873</t>
  </si>
  <si>
    <t>นาย ณัฐพนธ์ แพร่พิพัฒน์</t>
  </si>
  <si>
    <t>STHBKK012102000874</t>
  </si>
  <si>
    <t>STHBKK012102000875</t>
  </si>
  <si>
    <t>บริษัทจำกัด เอ็น.เค.ทรัพย์โซเชียล จำกัด</t>
  </si>
  <si>
    <t>STHBKK012102000876</t>
  </si>
  <si>
    <t>STHBKK012102000877</t>
  </si>
  <si>
    <t>นางสาว ฐาปนีย์ สุขบุรี</t>
  </si>
  <si>
    <t>STHBKK012102000878</t>
  </si>
  <si>
    <t>STHBKK012102000879</t>
  </si>
  <si>
    <t>STHBKK012102000881</t>
  </si>
  <si>
    <t>STHBKK012102000882</t>
  </si>
  <si>
    <t>STHBKK012102000883</t>
  </si>
  <si>
    <t>STHBKK012102000884</t>
  </si>
  <si>
    <t>นาง พนิดา ศรีชมภู</t>
  </si>
  <si>
    <t>STHBKK012102000885</t>
  </si>
  <si>
    <t>นาง พอง ปันเงิน</t>
  </si>
  <si>
    <t>STHBKK012102000886</t>
  </si>
  <si>
    <t>STHBKK012102000887</t>
  </si>
  <si>
    <t>STHBKK012102000888</t>
  </si>
  <si>
    <t>STHBKK012102000889</t>
  </si>
  <si>
    <t>นาย อานนท์ อ้นชู</t>
  </si>
  <si>
    <t>STHBKK012102000890</t>
  </si>
  <si>
    <t>นางสาว กนกวรรณ อ้นชู</t>
  </si>
  <si>
    <t>STHBKK012102000892</t>
  </si>
  <si>
    <t>STHBKK012102000893</t>
  </si>
  <si>
    <t>STHBKK012102000894</t>
  </si>
  <si>
    <t>STHBKK012102000895</t>
  </si>
  <si>
    <t>STHBKK012102000896</t>
  </si>
  <si>
    <t>นางสาว บัวนภา คดีพิศาล</t>
  </si>
  <si>
    <t>STHBKK012102000897</t>
  </si>
  <si>
    <t>นาย Sot Khom</t>
  </si>
  <si>
    <t>STHBKK012102000898</t>
  </si>
  <si>
    <t>นาย NUON SOK HIM</t>
  </si>
  <si>
    <t>STHBKK012102000899</t>
  </si>
  <si>
    <t>STHBKK012102000900</t>
  </si>
  <si>
    <t>STHBKK012102000901</t>
  </si>
  <si>
    <t>STHBKK012102000902</t>
  </si>
  <si>
    <t>STHBKK012102000903</t>
  </si>
  <si>
    <t>STHBKK012102000904</t>
  </si>
  <si>
    <t>นาย ประมง จันทะสิงห์</t>
  </si>
  <si>
    <t>STHBKK012102000905</t>
  </si>
  <si>
    <t>STHBKK012102000906</t>
  </si>
  <si>
    <t>STHBKK012102000908</t>
  </si>
  <si>
    <t>STHBKK012102000909</t>
  </si>
  <si>
    <t>นาย วินัย จุ้ยกลาง</t>
  </si>
  <si>
    <t>STHBKK012102000910</t>
  </si>
  <si>
    <t>STHBKK012102000911</t>
  </si>
  <si>
    <t>STHBKK012102000913</t>
  </si>
  <si>
    <t>STHBKK012102000914</t>
  </si>
  <si>
    <t>นางสาว จันทนา มั่นมานะเสรี</t>
  </si>
  <si>
    <t>STHBKK012102000915</t>
  </si>
  <si>
    <t>STHBKK012102000916</t>
  </si>
  <si>
    <t>STHBKK012102000918</t>
  </si>
  <si>
    <t>STHBKK012102000919</t>
  </si>
  <si>
    <t>STHBKK012102000920</t>
  </si>
  <si>
    <t>นาง อื๊ด ล้ำเลิศ</t>
  </si>
  <si>
    <t>STHBKK012102000922</t>
  </si>
  <si>
    <t>นาย มงคล โพธิ์ศรี</t>
  </si>
  <si>
    <t>STHBKK012102000923</t>
  </si>
  <si>
    <t>STHBKK012102000924</t>
  </si>
  <si>
    <t>STHBKK012102000925</t>
  </si>
  <si>
    <t>STHBKK012102000933</t>
  </si>
  <si>
    <t>นาง บุญมา คลี่แป้ง</t>
  </si>
  <si>
    <t>STHBKK012102000935</t>
  </si>
  <si>
    <t>STHONLIN2102000191</t>
  </si>
  <si>
    <t>STHONLIN2102000192</t>
  </si>
  <si>
    <t>STHONLIN2102000193</t>
  </si>
  <si>
    <t>STHONLIN2102000194</t>
  </si>
  <si>
    <t>STHONLIN2102000195</t>
  </si>
  <si>
    <t>STHONLIN2102000196</t>
  </si>
  <si>
    <t>STHONLIN2102000197</t>
  </si>
  <si>
    <t>STHONLIN2102000198</t>
  </si>
  <si>
    <t>STHONLIN2102000199</t>
  </si>
  <si>
    <t>STHONLIN2102000200</t>
  </si>
  <si>
    <t>DAILY  SALE  13 FEB 2021</t>
  </si>
  <si>
    <t>STHBKK012102000942</t>
  </si>
  <si>
    <t>STHBKK012102000943</t>
  </si>
  <si>
    <t>STHBKK012102000944</t>
  </si>
  <si>
    <t>STHBKK012102000945</t>
  </si>
  <si>
    <t>STHBKK012102000946</t>
  </si>
  <si>
    <t>STHBKK012102000947</t>
  </si>
  <si>
    <t>STHBKK012102000948</t>
  </si>
  <si>
    <t>นาง สำเนียง ยศวิชัย</t>
  </si>
  <si>
    <t>STHBKK012102000949</t>
  </si>
  <si>
    <t>STHBKK012102000951</t>
  </si>
  <si>
    <t>นาง สุภาพ นวลพลับ</t>
  </si>
  <si>
    <t>STHBKK012102000952</t>
  </si>
  <si>
    <t>STHBKK012102000953</t>
  </si>
  <si>
    <t>นาง ลำดวน กลมเกลี้ยง</t>
  </si>
  <si>
    <t>STHBKK012102000954</t>
  </si>
  <si>
    <t>STHBKK012102000956</t>
  </si>
  <si>
    <t>STHBKK012102000957</t>
  </si>
  <si>
    <t>STHBKK012102000958</t>
  </si>
  <si>
    <t>นาย เพชร ภูมี</t>
  </si>
  <si>
    <t>STHBKK012102000959</t>
  </si>
  <si>
    <t>STHBKK012102000961</t>
  </si>
  <si>
    <t>STHBKK012102000962</t>
  </si>
  <si>
    <t>STHBKK012102000963</t>
  </si>
  <si>
    <t>นาง มุกดา กันหาเวียง</t>
  </si>
  <si>
    <t>STHBKK012102000964</t>
  </si>
  <si>
    <t>STHBKK012102000965</t>
  </si>
  <si>
    <t>STHBKK012102000966</t>
  </si>
  <si>
    <t>STHBKK012102000967</t>
  </si>
  <si>
    <t>นางสาว โสภา นายสุข</t>
  </si>
  <si>
    <t>STHBKK012102000968</t>
  </si>
  <si>
    <t>STHBKK012102000969</t>
  </si>
  <si>
    <t>STHBKK012102000970</t>
  </si>
  <si>
    <t>STHBKK012102000971</t>
  </si>
  <si>
    <t>STHBKK012102000972</t>
  </si>
  <si>
    <t>STHBKK012102000973</t>
  </si>
  <si>
    <t>STHBKK012102000975</t>
  </si>
  <si>
    <t>STHBKK012102000976</t>
  </si>
  <si>
    <t>นาย ศิวกรณ์ ภัคธนพิพัฒน์</t>
  </si>
  <si>
    <t>STHBKK012102000977</t>
  </si>
  <si>
    <t>STHBKK012102000978</t>
  </si>
  <si>
    <t>นาย สุวิทย์ รองชูเพ็ง</t>
  </si>
  <si>
    <t>STHBKK012102000981</t>
  </si>
  <si>
    <t>STHBKK012102000982</t>
  </si>
  <si>
    <t>นาย มาโนช สอาดเซ็น</t>
  </si>
  <si>
    <t>STHBKK012102000983</t>
  </si>
  <si>
    <t>นาย สถิตย์+พูลศรี จิตตสุโภ</t>
  </si>
  <si>
    <t>STHBKK012102000984</t>
  </si>
  <si>
    <t>STHBKK012102000986</t>
  </si>
  <si>
    <t>STHBKK012102000989</t>
  </si>
  <si>
    <t>STHBKK012102000990</t>
  </si>
  <si>
    <t>STHBKK012102000991</t>
  </si>
  <si>
    <t>นาง อรินทร์ ปรางนอก</t>
  </si>
  <si>
    <t>STHBKK012102000992</t>
  </si>
  <si>
    <t>STHBKK012102000993</t>
  </si>
  <si>
    <t>STHBKK012102000994</t>
  </si>
  <si>
    <t>STHBKK012102000995</t>
  </si>
  <si>
    <t>STHBKK012102000996</t>
  </si>
  <si>
    <t>STHBKK012102000997</t>
  </si>
  <si>
    <t>STHBKK012102000998</t>
  </si>
  <si>
    <t>STHBKK012102000999</t>
  </si>
  <si>
    <t>STHBKK012102001000</t>
  </si>
  <si>
    <t>STHBKK012102001001</t>
  </si>
  <si>
    <t>นางสาว กนกวรรณ โต๊ะดี</t>
  </si>
  <si>
    <t>STHBKK012102001002</t>
  </si>
  <si>
    <t>นาย บูชาติ หาดสร้อย</t>
  </si>
  <si>
    <t>STHBKK012102001003</t>
  </si>
  <si>
    <t>STHBKK012102001004</t>
  </si>
  <si>
    <t>STHBKK012102001005</t>
  </si>
  <si>
    <t>STHBKK012102001006</t>
  </si>
  <si>
    <t>STHBKK012102001007</t>
  </si>
  <si>
    <t>นางสาว สายรุ้ง พรหมมา</t>
  </si>
  <si>
    <t>STHBKK012102001008</t>
  </si>
  <si>
    <t>STHBKK012102001009</t>
  </si>
  <si>
    <t>นาง สังเวียน พรหมมา</t>
  </si>
  <si>
    <t>STHBKK012102001011</t>
  </si>
  <si>
    <t>STHBKK012102001012</t>
  </si>
  <si>
    <t>STHBKK012102001017</t>
  </si>
  <si>
    <t>นาง อำพัน ไชยล้อม</t>
  </si>
  <si>
    <t>STHONLIN2102000201</t>
  </si>
  <si>
    <t>STHONLIN2102000202</t>
  </si>
  <si>
    <t>STHONLIN2102000203</t>
  </si>
  <si>
    <t>STHONLIN2102000204</t>
  </si>
  <si>
    <t>STHONLIN2102000209</t>
  </si>
  <si>
    <t>STHONLIN2102000210</t>
  </si>
  <si>
    <t>STHONLIN2102000214</t>
  </si>
  <si>
    <t>DAILY  SALE  14 FEB 2021</t>
  </si>
  <si>
    <t>STHBKK012102001018</t>
  </si>
  <si>
    <t>นาย วันชนะ พัฒนะ</t>
  </si>
  <si>
    <t>STHBKK012102001019</t>
  </si>
  <si>
    <t>STHBKK012102001020</t>
  </si>
  <si>
    <t>STHBKK012102001021</t>
  </si>
  <si>
    <t>STHBKK012102001025</t>
  </si>
  <si>
    <t>STHBKK012102001027</t>
  </si>
  <si>
    <t>STHBKK012102001028</t>
  </si>
  <si>
    <t>นางสาว ขวัญเรือน บุญปก</t>
  </si>
  <si>
    <t>STHBKK012102001030</t>
  </si>
  <si>
    <t>STHBKK012102001031</t>
  </si>
  <si>
    <t>นางสาว หาบีบะ ดาตู</t>
  </si>
  <si>
    <t>STHBKK012102001032</t>
  </si>
  <si>
    <t>STHBKK012102001033</t>
  </si>
  <si>
    <t>STHBKK012102001034</t>
  </si>
  <si>
    <t>STHBKK012102001035</t>
  </si>
  <si>
    <t>นาย พิสิฐ โฉ่พลกรัง</t>
  </si>
  <si>
    <t>STHBKK012102001036</t>
  </si>
  <si>
    <t>STHBKK012102001037</t>
  </si>
  <si>
    <t>STHBKK012102001039</t>
  </si>
  <si>
    <t>นาง อารมย์ สุวรรณนารี</t>
  </si>
  <si>
    <t>STHBKK012102001040</t>
  </si>
  <si>
    <t>STHBKK012102001041</t>
  </si>
  <si>
    <t>STHBKK012102001042</t>
  </si>
  <si>
    <t>STHBKK012102001043</t>
  </si>
  <si>
    <t>STHBKK012102001044</t>
  </si>
  <si>
    <t>STHBKK012102001045</t>
  </si>
  <si>
    <t>STHBKK012102001046</t>
  </si>
  <si>
    <t>STHBKK012102001047</t>
  </si>
  <si>
    <t>STHBKK012102001048</t>
  </si>
  <si>
    <t>STHBKK012102001049</t>
  </si>
  <si>
    <t>STHBKK012102001050</t>
  </si>
  <si>
    <t>นาย พิเชษฐ์พงศ์ สุรภักดี</t>
  </si>
  <si>
    <t>STHBKK012102001051</t>
  </si>
  <si>
    <t>STHBKK012102001052</t>
  </si>
  <si>
    <t>นางสาว กานดา โกษัย</t>
  </si>
  <si>
    <t>STHBKK012102001053</t>
  </si>
  <si>
    <t>STHBKK012102001054</t>
  </si>
  <si>
    <t>นาย พงศกร ศรีเครือแก้ว</t>
  </si>
  <si>
    <t>STHBKK012102001055</t>
  </si>
  <si>
    <t>STHBKK012102001056</t>
  </si>
  <si>
    <t>นางสาว ธัญญาธรณ์ ปะนาเต +ศิริศาสตร์ วีระวีธนชัย</t>
  </si>
  <si>
    <t>STHBKK012102001057</t>
  </si>
  <si>
    <t>นางสาว เรไร ขวัญบุญจันทร์</t>
  </si>
  <si>
    <t>STHBKK012102001059</t>
  </si>
  <si>
    <t>นาง แสงทอง บางเขียว</t>
  </si>
  <si>
    <t>STHBKK012102001060</t>
  </si>
  <si>
    <t>STHBKK012102001061</t>
  </si>
  <si>
    <t>STHBKK012102001062</t>
  </si>
  <si>
    <t>STHBKK012102001063</t>
  </si>
  <si>
    <t>STHBKK012102001064</t>
  </si>
  <si>
    <t>STHBKK012102001065</t>
  </si>
  <si>
    <t>STHBKK012102001066</t>
  </si>
  <si>
    <t>STHBKK012102001069</t>
  </si>
  <si>
    <t>นาย ธนวัต นาน้ำเชี่ยว</t>
  </si>
  <si>
    <t>STHBKK012102001070</t>
  </si>
  <si>
    <t>STHBKK012102001071</t>
  </si>
  <si>
    <t>นางสาว ริญญ์รภัส ศรีศุภณัฐธนากุล</t>
  </si>
  <si>
    <t>STHBKK012102001072</t>
  </si>
  <si>
    <t>STHBKK012102001073</t>
  </si>
  <si>
    <t>นางสาว พัชลี มาจิตร</t>
  </si>
  <si>
    <t>STHBKK012102001074</t>
  </si>
  <si>
    <t>STHBKK012102001075</t>
  </si>
  <si>
    <t>นาย มนัส ดำรงชาติ</t>
  </si>
  <si>
    <t>STHBKK012102001077</t>
  </si>
  <si>
    <t>STHBKK012102001079</t>
  </si>
  <si>
    <t>นางสาว สุนีย์ คำสิบ</t>
  </si>
  <si>
    <t>STHBKK012102001080</t>
  </si>
  <si>
    <t>นาง ลำเพลิน พุ่มไสว</t>
  </si>
  <si>
    <t>STHBKK012102001081</t>
  </si>
  <si>
    <t>พิชชาพร พุ่มไสว</t>
  </si>
  <si>
    <t>STHBKK012102001082</t>
  </si>
  <si>
    <t>STHONLIN2102000220</t>
  </si>
  <si>
    <t>DAILY  SALE  15 FEB 2021</t>
  </si>
  <si>
    <t>STHBKK012102001083</t>
  </si>
  <si>
    <t>STHBKK012102001084</t>
  </si>
  <si>
    <t>STHBKK012102001085</t>
  </si>
  <si>
    <t>STHBKK012102001086</t>
  </si>
  <si>
    <t>STHBKK012102001087</t>
  </si>
  <si>
    <t>นาง สุปราณี ไพโรจน์</t>
  </si>
  <si>
    <t>STHBKK012102001088</t>
  </si>
  <si>
    <t>นาง รำไพ จันทพุฒ</t>
  </si>
  <si>
    <t>STHBKK012102001089</t>
  </si>
  <si>
    <t>STHBKK012102001090</t>
  </si>
  <si>
    <t>STHBKK012102001091</t>
  </si>
  <si>
    <t>STHBKK012102001092</t>
  </si>
  <si>
    <t>STHBKK012102001093</t>
  </si>
  <si>
    <t>นาย ภาณุพงศ์ ห่อมา</t>
  </si>
  <si>
    <t>STHBKK012102001094</t>
  </si>
  <si>
    <t>นาง สุนันทา อุทุมเพ็ญ</t>
  </si>
  <si>
    <t>STHBKK012102001095</t>
  </si>
  <si>
    <t>STHBKK012102001096</t>
  </si>
  <si>
    <t>STHBKK012102001097</t>
  </si>
  <si>
    <t>นาย วินัย ธงชัย</t>
  </si>
  <si>
    <t>STHBKK012102001098</t>
  </si>
  <si>
    <t>STHBKK012102001099</t>
  </si>
  <si>
    <t>STHBKK012102001100</t>
  </si>
  <si>
    <t>นาง รำไพร แสนมีสุข</t>
  </si>
  <si>
    <t>STHBKK012102001101</t>
  </si>
  <si>
    <t>นางสาว ณัชติพร+อัครเดช เร่ในไพร</t>
  </si>
  <si>
    <t>STHBKK012102001102</t>
  </si>
  <si>
    <t>STHBKK012102001103</t>
  </si>
  <si>
    <t>นาย ทวี เกษี</t>
  </si>
  <si>
    <t>STHBKK012102001104</t>
  </si>
  <si>
    <t>STHBKK012102001105</t>
  </si>
  <si>
    <t>STHBKK012102001106</t>
  </si>
  <si>
    <t>นาย ฐานุ ซุ้นสุวรรณ</t>
  </si>
  <si>
    <t>STHBKK012102001107</t>
  </si>
  <si>
    <t>STHBKK012102001108</t>
  </si>
  <si>
    <t>STHBKK012102001110</t>
  </si>
  <si>
    <t>STHBKK012102001111</t>
  </si>
  <si>
    <t>STHBKK012102001112</t>
  </si>
  <si>
    <t>นางสาว ภิรชา แป้นประหยัด</t>
  </si>
  <si>
    <t>STHBKK012102001113</t>
  </si>
  <si>
    <t>STHBKK012102001114</t>
  </si>
  <si>
    <t>STHBKK012102001115</t>
  </si>
  <si>
    <t>STHBKK012102001116</t>
  </si>
  <si>
    <t>นาง ชุตินิษฐ์ จ่าทัน</t>
  </si>
  <si>
    <t>STHBKK012102001117</t>
  </si>
  <si>
    <t>STHBKK012102001118</t>
  </si>
  <si>
    <t>STHBKK012102001119</t>
  </si>
  <si>
    <t>STHBKK012102001120</t>
  </si>
  <si>
    <t>STHBKK012102001121</t>
  </si>
  <si>
    <t>นาย โยธิน คำทุม</t>
  </si>
  <si>
    <t>STHBKK012102001122</t>
  </si>
  <si>
    <t>นาย วิมล เพ็งสว่าง</t>
  </si>
  <si>
    <t>STHBKK012102001123</t>
  </si>
  <si>
    <t>STHBKK012102001124</t>
  </si>
  <si>
    <t>STHBKK012102001125</t>
  </si>
  <si>
    <t>STHBKK012102001126</t>
  </si>
  <si>
    <t>STHBKK012102001127</t>
  </si>
  <si>
    <t>STHBKK012102001128</t>
  </si>
  <si>
    <t>นางสาว ชญาภา จันหนู</t>
  </si>
  <si>
    <t>STHBKK012102001129</t>
  </si>
  <si>
    <t>STHBKK012102001130</t>
  </si>
  <si>
    <t>STHBKK012102001131</t>
  </si>
  <si>
    <t>STHBKK012102001132</t>
  </si>
  <si>
    <t>STHBKK012102001133</t>
  </si>
  <si>
    <t>STHBKK012102001134</t>
  </si>
  <si>
    <t>STHBKK012102001135</t>
  </si>
  <si>
    <t>STHBKK012102001136</t>
  </si>
  <si>
    <t>STHBKK012102001137</t>
  </si>
  <si>
    <t>STHBKK012102001138</t>
  </si>
  <si>
    <t>STHBKK012102001139</t>
  </si>
  <si>
    <t>STHBKK012102001140</t>
  </si>
  <si>
    <t>STHBKK012102001141</t>
  </si>
  <si>
    <t>STHBKK012102001142</t>
  </si>
  <si>
    <t>STHBKK012102001143</t>
  </si>
  <si>
    <t>STHBKK012102001144</t>
  </si>
  <si>
    <t>STHBKK012102001145</t>
  </si>
  <si>
    <t>STHBKK012102001147</t>
  </si>
  <si>
    <t>STHBKK012102001148</t>
  </si>
  <si>
    <t>นางสาว นรินทร สังขวงษ์</t>
  </si>
  <si>
    <t>STHBKK012102001149</t>
  </si>
  <si>
    <t>นาง กาญจนา จันทรมณี</t>
  </si>
  <si>
    <t>STHBKK012102001150</t>
  </si>
  <si>
    <t>STHBKK012102001151</t>
  </si>
  <si>
    <t>STHBKK012102001152</t>
  </si>
  <si>
    <t>STHBKK012102001154</t>
  </si>
  <si>
    <t>STHBKK012102001155</t>
  </si>
  <si>
    <t>นาย เฉลิม สวัสดี</t>
  </si>
  <si>
    <t>STHBKK012102001156</t>
  </si>
  <si>
    <t>STHBKK012102001157</t>
  </si>
  <si>
    <t>STHBKK012102001158</t>
  </si>
  <si>
    <t>STHBKK012102001159</t>
  </si>
  <si>
    <t>STHBKK012102001160</t>
  </si>
  <si>
    <t>นาย สาโรจน์ บุญญานันต์</t>
  </si>
  <si>
    <t>STHBKK012102001161</t>
  </si>
  <si>
    <t>STHBKK012102001162</t>
  </si>
  <si>
    <t>นาย อุทัย ศิริเลิศ</t>
  </si>
  <si>
    <t>STHBKK012102001163</t>
  </si>
  <si>
    <t>STHBKK012102001164</t>
  </si>
  <si>
    <t>STHBKK012102001165</t>
  </si>
  <si>
    <t>STHBKK012102001166</t>
  </si>
  <si>
    <t>STHBKK012102001167</t>
  </si>
  <si>
    <t>นาง ณุตรา จินดารัตนวรกุล</t>
  </si>
  <si>
    <t>STHBKK012102001168</t>
  </si>
  <si>
    <t>STHBKK012102001169</t>
  </si>
  <si>
    <t>นาย สิทธิ์พงษ์ น้อยแสง</t>
  </si>
  <si>
    <t>STHBKK012102001170</t>
  </si>
  <si>
    <t>STHBKK012102001171</t>
  </si>
  <si>
    <t>STHBKK012102001172</t>
  </si>
  <si>
    <t>STHBKK012102001173</t>
  </si>
  <si>
    <t>STHBKK012102001174</t>
  </si>
  <si>
    <t>นาง อสมากร สุขาล</t>
  </si>
  <si>
    <t>STHBKK012102001175</t>
  </si>
  <si>
    <t>STHBKK012102001176</t>
  </si>
  <si>
    <t>STHBKK012102001177</t>
  </si>
  <si>
    <t>STHBKK012102001178</t>
  </si>
  <si>
    <t>นางสาว วชิราภรณ์</t>
  </si>
  <si>
    <t>STHBKK012102001179</t>
  </si>
  <si>
    <t>STHBKK012102001181</t>
  </si>
  <si>
    <t>นาย สาโรจน์ แสงมาศ</t>
  </si>
  <si>
    <t>STHBKK012102001183</t>
  </si>
  <si>
    <t>STHBKK012102001184</t>
  </si>
  <si>
    <t>STHBKK012102001185</t>
  </si>
  <si>
    <t>STHBKK012102001186</t>
  </si>
  <si>
    <t>STHBKK012102001187</t>
  </si>
  <si>
    <t>STHBKK012102001188</t>
  </si>
  <si>
    <t>STHBKK012102001189</t>
  </si>
  <si>
    <t>STHBKK012102001190</t>
  </si>
  <si>
    <t>นาย ณัฐธวัช สาแก้ว</t>
  </si>
  <si>
    <t>STHBKK012102001191</t>
  </si>
  <si>
    <t>STHBKK012102001192</t>
  </si>
  <si>
    <t>STHBKK012102001193</t>
  </si>
  <si>
    <t>STHBKK012102001194</t>
  </si>
  <si>
    <t>STHBKK012102001195</t>
  </si>
  <si>
    <t>STHBKK012102001196</t>
  </si>
  <si>
    <t>นางสาว สุนิศา ปกสันเทียะ</t>
  </si>
  <si>
    <t>STHBKK012102001197</t>
  </si>
  <si>
    <t>นาย บริวัฒน์ ธรรมกิจพงศ์</t>
  </si>
  <si>
    <t>STHBKK012102001198</t>
  </si>
  <si>
    <t>นางสาว ธวัลรัตน์ ธรรมกิจพงศ์</t>
  </si>
  <si>
    <t>STHBKK012102001199</t>
  </si>
  <si>
    <t>STHONLIN2102000238</t>
  </si>
  <si>
    <t>STHONLIN2102000239</t>
  </si>
  <si>
    <t>STHONLIN2102000244</t>
  </si>
  <si>
    <t>STHONLIN2102000248</t>
  </si>
  <si>
    <t>STHONLIN2102000250</t>
  </si>
  <si>
    <t>STHONLIN2102000251</t>
  </si>
  <si>
    <t>STHONLIN2102000252</t>
  </si>
  <si>
    <t>DAILY  SALE  16 FEB 2021</t>
  </si>
  <si>
    <t>STHBKK012102001200</t>
  </si>
  <si>
    <t>นาง สุพัตรา พูลเขตกิจ</t>
  </si>
  <si>
    <t>STHBKK012102001201</t>
  </si>
  <si>
    <t>STHBKK012102001202</t>
  </si>
  <si>
    <t>STHBKK012102001203</t>
  </si>
  <si>
    <t>นาง ปัทมา กลิ่นเย็น</t>
  </si>
  <si>
    <t>STHBKK012102001204</t>
  </si>
  <si>
    <t>STHBKK012102001205</t>
  </si>
  <si>
    <t>STHBKK012102001206</t>
  </si>
  <si>
    <t>STHBKK012102001207</t>
  </si>
  <si>
    <t>STHBKK012102001208</t>
  </si>
  <si>
    <t>STHBKK012102001209</t>
  </si>
  <si>
    <t>STHBKK012102001210</t>
  </si>
  <si>
    <t>STHBKK012102001211</t>
  </si>
  <si>
    <t>นาย กฤติเดช สีหอแก้ว</t>
  </si>
  <si>
    <t>STHBKK012102001212</t>
  </si>
  <si>
    <t>STHBKK012102001213</t>
  </si>
  <si>
    <t>STHBKK012102001214</t>
  </si>
  <si>
    <t>STHBKK012102001215</t>
  </si>
  <si>
    <t>นาง เชื้อน จุ้ยอ่วม</t>
  </si>
  <si>
    <t>STHBKK012102001216</t>
  </si>
  <si>
    <t>นาง บังอร ช่วยประดิษฐ</t>
  </si>
  <si>
    <t>STHBKK012102001218</t>
  </si>
  <si>
    <t>STHBKK012102001219</t>
  </si>
  <si>
    <t>นาย สายันต์ ทรัพย์เอี่ยม</t>
  </si>
  <si>
    <t>STHBKK012102001220</t>
  </si>
  <si>
    <t>STHBKK012102001221</t>
  </si>
  <si>
    <t>นาย ไพฑูรย์ จันทร์รุ่งโรจน์</t>
  </si>
  <si>
    <t>STHBKK012102001222</t>
  </si>
  <si>
    <t>นางสาว รุ่งนภา ศรีไพร-ยุทธนา เหมือนเอี่ยม</t>
  </si>
  <si>
    <t>STHBKK012102001223</t>
  </si>
  <si>
    <t>นาย ณัฐกิตติ์ ธนินเกียรติสิน</t>
  </si>
  <si>
    <t>STHBKK012102001224</t>
  </si>
  <si>
    <t>นางสาว พิณภาพร มะโนน้อม</t>
  </si>
  <si>
    <t>STHBKK012102001225</t>
  </si>
  <si>
    <t>นาย นิรุด พุ่มจันทร์</t>
  </si>
  <si>
    <t>STHBKK012102001226</t>
  </si>
  <si>
    <t>STHBKK012102001227</t>
  </si>
  <si>
    <t>นางสาว วาสนา อาจหาญ</t>
  </si>
  <si>
    <t>STHBKK012102001228</t>
  </si>
  <si>
    <t>ธนินท์ ทองกาญขาย</t>
  </si>
  <si>
    <t>STHBKK012102001229</t>
  </si>
  <si>
    <t>STHBKK012102001231</t>
  </si>
  <si>
    <t>STHBKK012102001232</t>
  </si>
  <si>
    <t>STHBKK012102001233</t>
  </si>
  <si>
    <t>นาง ขวัญจิตร์ กลิ่นเจริญ</t>
  </si>
  <si>
    <t>STHBKK012102001234</t>
  </si>
  <si>
    <t>STHBKK012102001235</t>
  </si>
  <si>
    <t>STHBKK012102001236</t>
  </si>
  <si>
    <t>STHBKK012102001237</t>
  </si>
  <si>
    <t>STHBKK012102001238</t>
  </si>
  <si>
    <t>STHBKK012102001239</t>
  </si>
  <si>
    <t>STHBKK012102001240</t>
  </si>
  <si>
    <t>นาย เอกธวัช คงประวัติ</t>
  </si>
  <si>
    <t>STHBKK012102001241</t>
  </si>
  <si>
    <t>นาย อาทิตย์ ศรีจันทร์</t>
  </si>
  <si>
    <t>STHBKK012102001242</t>
  </si>
  <si>
    <t>นาย เฉลิม อินจำปา</t>
  </si>
  <si>
    <t>STHBKK012102001243</t>
  </si>
  <si>
    <t>STHBKK012102001244</t>
  </si>
  <si>
    <t>STHBKK012102001245</t>
  </si>
  <si>
    <t>STHBKK012102001246</t>
  </si>
  <si>
    <t>STHBKK012102001247</t>
  </si>
  <si>
    <t>นาย พิสิฐพงษ์ ยอดจันทร์</t>
  </si>
  <si>
    <t>STHBKK012102001248</t>
  </si>
  <si>
    <t>STHBKK012102001249</t>
  </si>
  <si>
    <t>STHBKK012102001250</t>
  </si>
  <si>
    <t>นางสาว กฤษณา เพ็ชรคง</t>
  </si>
  <si>
    <t>STHBKK012102001251</t>
  </si>
  <si>
    <t>นาง สำเนียง ทองสุข</t>
  </si>
  <si>
    <t>STHBKK012102001252</t>
  </si>
  <si>
    <t>STHBKK012102001253</t>
  </si>
  <si>
    <t>STHBKK012102001254</t>
  </si>
  <si>
    <t>STHBKK012102001255</t>
  </si>
  <si>
    <t>STHBKK012102001256</t>
  </si>
  <si>
    <t>นาย กิตติวินท์ จงจตุรพิธพร</t>
  </si>
  <si>
    <t>STHBKK012102001257</t>
  </si>
  <si>
    <t>STHBKK012102001258</t>
  </si>
  <si>
    <t>STHBKK012102001259</t>
  </si>
  <si>
    <t>นาย มนต์สิทธิ์ จันทรวิวัฒน์</t>
  </si>
  <si>
    <t>STHBKK012102001260</t>
  </si>
  <si>
    <t>นาย มิตร ดังใหม่</t>
  </si>
  <si>
    <t>STHBKK012102001261</t>
  </si>
  <si>
    <t>นาย ศักดา ฆ้องนอก</t>
  </si>
  <si>
    <t>STHBKK012102001262</t>
  </si>
  <si>
    <t>STHBKK012102001263</t>
  </si>
  <si>
    <t>ธนาภัทรสรณ์ สุขเกิดผลเขษม</t>
  </si>
  <si>
    <t>STHBKK012102001264</t>
  </si>
  <si>
    <t>นาง ทัศนีย์ ทองถาวรวงศ์</t>
  </si>
  <si>
    <t>STHBKK012102001268</t>
  </si>
  <si>
    <t>นางสาว พรพิมล เงินมอง</t>
  </si>
  <si>
    <t>STHBKK012102001269</t>
  </si>
  <si>
    <t>นาย คำรณ นาคราช</t>
  </si>
  <si>
    <t>STHBKK012102001271</t>
  </si>
  <si>
    <t>นาย ดิลก แผ่ทอง</t>
  </si>
  <si>
    <t>STHBKK012102001272</t>
  </si>
  <si>
    <t>STHBKK012102001273</t>
  </si>
  <si>
    <t>STHBKK012102001274</t>
  </si>
  <si>
    <t>STHBKK012102001275</t>
  </si>
  <si>
    <t>STHBKK012102001276</t>
  </si>
  <si>
    <t>STHBKK012102001277</t>
  </si>
  <si>
    <t>STHBKK012102001278</t>
  </si>
  <si>
    <t>STHBKK012102001279</t>
  </si>
  <si>
    <t>STHBKK012102001282</t>
  </si>
  <si>
    <t>นาย เพ็ง ทองหนัก</t>
  </si>
  <si>
    <t>STHBKK012102001283</t>
  </si>
  <si>
    <t>นาย สมชาย พิศมัย</t>
  </si>
  <si>
    <t>STHBKK012102001284</t>
  </si>
  <si>
    <t>STHBKK012102001285</t>
  </si>
  <si>
    <t>STHBKK012102001286</t>
  </si>
  <si>
    <t>นางสาว วรภร ศรุติเตชาภัค</t>
  </si>
  <si>
    <t>STHBKK012102001287</t>
  </si>
  <si>
    <t>STHBKK012102001289</t>
  </si>
  <si>
    <t>STHBKK012102001290</t>
  </si>
  <si>
    <t>STHBKK012102001293</t>
  </si>
  <si>
    <t>STHBKK012102001294</t>
  </si>
  <si>
    <t>STHBKK012102001295</t>
  </si>
  <si>
    <t>STHBKK012102001296</t>
  </si>
  <si>
    <t>นาย วรินทร พิริยะวงศ์ตะวัน</t>
  </si>
  <si>
    <t>STHONLIN2102000278</t>
  </si>
  <si>
    <t>STHONLIN2102000280</t>
  </si>
  <si>
    <t>STHONLIN2102000282</t>
  </si>
  <si>
    <t>STHONLIN2102000286</t>
  </si>
  <si>
    <t>นาย สมเกียรติ ยงหนู</t>
  </si>
  <si>
    <t>STHONLIN2102000288</t>
  </si>
  <si>
    <t>DAILY  SALE  17 FEB 2021</t>
  </si>
  <si>
    <t>6402BKK010000002</t>
  </si>
  <si>
    <t>STHBKK012102001297</t>
  </si>
  <si>
    <t>STHBKK012102001298</t>
  </si>
  <si>
    <t>STHBKK012102001299</t>
  </si>
  <si>
    <t>STHBKK012102001300</t>
  </si>
  <si>
    <t>STHBKK012102001301</t>
  </si>
  <si>
    <t>STHBKK012102001303</t>
  </si>
  <si>
    <t>นาย ธงชัย ศักดิ์สุพรรณ</t>
  </si>
  <si>
    <t>STHBKK012102001304</t>
  </si>
  <si>
    <t>STHBKK012102001305</t>
  </si>
  <si>
    <t>STHBKK012102001306</t>
  </si>
  <si>
    <t>STHBKK012102001307</t>
  </si>
  <si>
    <t>STHBKK012102001308</t>
  </si>
  <si>
    <t>STHBKK012102001309</t>
  </si>
  <si>
    <t>STHBKK012102001310</t>
  </si>
  <si>
    <t>นาย เตชธรรม จำปาเงิน</t>
  </si>
  <si>
    <t>STHBKK012102001311</t>
  </si>
  <si>
    <t>STHBKK012102001312</t>
  </si>
  <si>
    <t>STHBKK012102001313</t>
  </si>
  <si>
    <t>STHBKK012102001314</t>
  </si>
  <si>
    <t>STHBKK012102001315</t>
  </si>
  <si>
    <t>STHBKK012102001316</t>
  </si>
  <si>
    <t>STHBKK012102001317</t>
  </si>
  <si>
    <t>STHBKK012102001318</t>
  </si>
  <si>
    <t>STHBKK012102001319</t>
  </si>
  <si>
    <t>STHBKK012102001320</t>
  </si>
  <si>
    <t>STHBKK012102001321</t>
  </si>
  <si>
    <t>นาย นัธทวัฒน์ชัย ผิวผ่อง</t>
  </si>
  <si>
    <t>STHBKK012102001323</t>
  </si>
  <si>
    <t>นาง ดอกกระถิน รอดกสิกรรม</t>
  </si>
  <si>
    <t>STHBKK012102001324</t>
  </si>
  <si>
    <t>นาย ธนิต พยัคภาพ</t>
  </si>
  <si>
    <t>STHBKK012102001326</t>
  </si>
  <si>
    <t>นางสาว หนึ่งฤทัย คำอินทร์</t>
  </si>
  <si>
    <t>STHBKK012102001327</t>
  </si>
  <si>
    <t>STHBKK012102001328</t>
  </si>
  <si>
    <t>STHBKK012102001329</t>
  </si>
  <si>
    <t>STHBKK012102001332</t>
  </si>
  <si>
    <t>STHBKK012102001333</t>
  </si>
  <si>
    <t>STHBKK012102001334</t>
  </si>
  <si>
    <t>นาย จตุรงค์ เผ่าพันธ์ดี</t>
  </si>
  <si>
    <t>STHBKK012102001335</t>
  </si>
  <si>
    <t>นาย ศักดิ์ดา อุดร</t>
  </si>
  <si>
    <t>STHBKK012102001336</t>
  </si>
  <si>
    <t>นางสาว นัชนรินทร์ แก้ววันทา</t>
  </si>
  <si>
    <t>STHBKK012102001338</t>
  </si>
  <si>
    <t>STHBKK012102001339</t>
  </si>
  <si>
    <t>STHBKK012102001341</t>
  </si>
  <si>
    <t>บริษัทจำกัด ทีเอ็นซี ไทยนิสชา กรุ๊ป จำกัด</t>
  </si>
  <si>
    <t>STHBKK012102001342</t>
  </si>
  <si>
    <t>STHBKK012102001349</t>
  </si>
  <si>
    <t>นาย อภัย รัชตวิบูลย์สิน</t>
  </si>
  <si>
    <t>STHBKK012102001350</t>
  </si>
  <si>
    <t>นางสาว ณัฐธิดา เกิดอินทร์</t>
  </si>
  <si>
    <t>STHBKK012102001352</t>
  </si>
  <si>
    <t>นาย สันติ พรมด่วน</t>
  </si>
  <si>
    <t>STHBKK012102001353</t>
  </si>
  <si>
    <t>STHBKK012102001354</t>
  </si>
  <si>
    <t>นางสาว ดิษญานันท์ โกฏหอม</t>
  </si>
  <si>
    <t>STHBKK012102001355</t>
  </si>
  <si>
    <t>STHBKK012102001356</t>
  </si>
  <si>
    <t>STHBKK012102001357</t>
  </si>
  <si>
    <t>STHBKK012102001358</t>
  </si>
  <si>
    <t>นาง ศรีนวน เลขวัฒนะ</t>
  </si>
  <si>
    <t>STHBKK012102001359</t>
  </si>
  <si>
    <t>นางสาว อารียา มิ่งขวัญ</t>
  </si>
  <si>
    <t>STHBKK012102001363</t>
  </si>
  <si>
    <t>STHBKK012102001364</t>
  </si>
  <si>
    <t>STHBKK012102001365</t>
  </si>
  <si>
    <t>STHBKK012102001368</t>
  </si>
  <si>
    <t>STHBKK012102001369</t>
  </si>
  <si>
    <t>STHBKK012102001370</t>
  </si>
  <si>
    <t>ลิเดีย เมืองแสน</t>
  </si>
  <si>
    <t>STHBKK012102001371</t>
  </si>
  <si>
    <t>นาย พงศ์พัฒน์ โกศัลวิทย์</t>
  </si>
  <si>
    <t>STHBKK012102001372</t>
  </si>
  <si>
    <t>นาง ทัศนาภรณ์ บุณยรัตพันธุ์</t>
  </si>
  <si>
    <t>STHBKK012102001373</t>
  </si>
  <si>
    <t>STHBKK012102001374</t>
  </si>
  <si>
    <t>STHBKK012102001375</t>
  </si>
  <si>
    <t>นาย ศุภชาติ ไทยรัก</t>
  </si>
  <si>
    <t>STHBKK012102001377</t>
  </si>
  <si>
    <t>STHBKK012102001378</t>
  </si>
  <si>
    <t>STHBKK012102001379</t>
  </si>
  <si>
    <t>นาย ต่อเหล็บ&amp;#8203; บิลเก๊าะเด็ม</t>
  </si>
  <si>
    <t>STHBKK012102001380</t>
  </si>
  <si>
    <t>STHBKK012102001381</t>
  </si>
  <si>
    <t>STHBKK012102001382</t>
  </si>
  <si>
    <t>STHBKK012102001383</t>
  </si>
  <si>
    <t>MR OEM REM</t>
  </si>
  <si>
    <t>STHBKK012102001384</t>
  </si>
  <si>
    <t>นาย เก่งภพ ศุภาภพปภาส</t>
  </si>
  <si>
    <t>STHBKK012102001385</t>
  </si>
  <si>
    <t>MR PHEAV CHEA</t>
  </si>
  <si>
    <t>STHBKK012102001386</t>
  </si>
  <si>
    <t>MR OUL TUCH</t>
  </si>
  <si>
    <t>STHBKK012102001387</t>
  </si>
  <si>
    <t>STHBKK012102001388</t>
  </si>
  <si>
    <t>STHBKK012102001389</t>
  </si>
  <si>
    <t>STHBKK012102001391</t>
  </si>
  <si>
    <t>นางสาว อสิดาธรณ์ เอี่ยมศิริแสงทอง</t>
  </si>
  <si>
    <t>STHBKK012102001392</t>
  </si>
  <si>
    <t>นาย ธีระธานินทร์ นิจมานพ</t>
  </si>
  <si>
    <t>STHBKK012102001393</t>
  </si>
  <si>
    <t>นาย ไพโรจน์ สุขสมสุทธิ์</t>
  </si>
  <si>
    <t>STHBKK012102001394</t>
  </si>
  <si>
    <t>นาย สุรศักดิ์์ เหลือรักษ์</t>
  </si>
  <si>
    <t>STHBKK012102001395</t>
  </si>
  <si>
    <t>STHBKK012102001396</t>
  </si>
  <si>
    <t>STHONLIN2102000294</t>
  </si>
  <si>
    <t>STHONLIN2102000295</t>
  </si>
  <si>
    <t>STHONLIN2102000299</t>
  </si>
  <si>
    <t>นางสาว อรษา เขมพฤทธิ์</t>
  </si>
  <si>
    <t>STHONLIN2102000302</t>
  </si>
  <si>
    <t>STHONLIN2102000303</t>
  </si>
  <si>
    <t>STHONLIN2102000308</t>
  </si>
  <si>
    <t>STHONLIN2102000309</t>
  </si>
  <si>
    <t>STHONLIN2102000310</t>
  </si>
  <si>
    <t>STHONLIN2102000314</t>
  </si>
  <si>
    <t>STHONLIN2102000316</t>
  </si>
  <si>
    <t>DAILY  SALE  18 FEB 2021</t>
  </si>
  <si>
    <t>STHBKK012102001397</t>
  </si>
  <si>
    <t>STHBKK012102001398</t>
  </si>
  <si>
    <t>นางสาว วรรณี เล็กสาคร</t>
  </si>
  <si>
    <t>STHBKK012102001399</t>
  </si>
  <si>
    <t>STHBKK012102001400</t>
  </si>
  <si>
    <t>STHBKK012102001401</t>
  </si>
  <si>
    <t>STHBKK012102001402</t>
  </si>
  <si>
    <t>STHBKK012102001403</t>
  </si>
  <si>
    <t>นาย อาลักษณ์ สุขสมสุทธิ์</t>
  </si>
  <si>
    <t>STHBKK012102001404</t>
  </si>
  <si>
    <t>นุสรา คำเหล็ก</t>
  </si>
  <si>
    <t>STHBKK012102001405</t>
  </si>
  <si>
    <t>นาง สุนัน เพชรรัตน์</t>
  </si>
  <si>
    <t>STHBKK012102001406</t>
  </si>
  <si>
    <t>นาง เดือน สมบูรณ์</t>
  </si>
  <si>
    <t>STHBKK012102001407</t>
  </si>
  <si>
    <t>STHBKK012102001408</t>
  </si>
  <si>
    <t>STHBKK012102001409</t>
  </si>
  <si>
    <t>STHBKK012102001410</t>
  </si>
  <si>
    <t>นาง ผ่องสี จำปาเงิน</t>
  </si>
  <si>
    <t>STHBKK012102001412</t>
  </si>
  <si>
    <t>STHBKK012102001413</t>
  </si>
  <si>
    <t>นางสาว อ้อยทิพย์ จำปาเงิน</t>
  </si>
  <si>
    <t>STHBKK012102001414</t>
  </si>
  <si>
    <t>STHBKK012102001415</t>
  </si>
  <si>
    <t>STHBKK012102001416</t>
  </si>
  <si>
    <t>STHBKK012102001418</t>
  </si>
  <si>
    <t>STHBKK012102001419</t>
  </si>
  <si>
    <t>HOV KIMHUY</t>
  </si>
  <si>
    <t>STHBKK012102001420</t>
  </si>
  <si>
    <t>มัลลิกา พลรัตน์</t>
  </si>
  <si>
    <t>STHBKK012102001421</t>
  </si>
  <si>
    <t>นางสาว ยุพาภรณ์ พ้นภัย</t>
  </si>
  <si>
    <t>STHBKK012102001422</t>
  </si>
  <si>
    <t>นาย ปรัชญา รูปขำดี</t>
  </si>
  <si>
    <t>STHBKK012102001423</t>
  </si>
  <si>
    <t>นางสาว พัชชาภรณ์ มาลัมพุช</t>
  </si>
  <si>
    <t>STHBKK012102001424</t>
  </si>
  <si>
    <t>STHBKK012102001425</t>
  </si>
  <si>
    <t>นางสาว ภัททิยา พลเยี่ยม</t>
  </si>
  <si>
    <t>STHBKK012102001426</t>
  </si>
  <si>
    <t>STHBKK012102001427</t>
  </si>
  <si>
    <t>STHBKK012102001428</t>
  </si>
  <si>
    <t>STHBKK012102001429</t>
  </si>
  <si>
    <t>STHBKK012102001431</t>
  </si>
  <si>
    <t>นาย กฤษณธรรม บุญเกตุ</t>
  </si>
  <si>
    <t>STHBKK012102001432</t>
  </si>
  <si>
    <t>STHBKK012102001434</t>
  </si>
  <si>
    <t>STHBKK012102001435</t>
  </si>
  <si>
    <t>STHBKK012102001437</t>
  </si>
  <si>
    <t>STHBKK012102001438</t>
  </si>
  <si>
    <t>STHBKK012102001439</t>
  </si>
  <si>
    <t>STHBKK012102001440</t>
  </si>
  <si>
    <t>STHBKK012102001441</t>
  </si>
  <si>
    <t>STHBKK012102001442</t>
  </si>
  <si>
    <t>STHBKK012102001443</t>
  </si>
  <si>
    <t>STHBKK012102001444</t>
  </si>
  <si>
    <t>STHONLIN2102000319</t>
  </si>
  <si>
    <t>STHONLIN2102000321</t>
  </si>
  <si>
    <t>STHONLIN2102000322</t>
  </si>
  <si>
    <t>STHONLIN2102000324</t>
  </si>
  <si>
    <t>STHONLIN2102000325</t>
  </si>
  <si>
    <t>STHONLIN2102000326</t>
  </si>
  <si>
    <t>STHONLIN2102000327</t>
  </si>
  <si>
    <t>STHONLIN2102000329</t>
  </si>
  <si>
    <t>DAILY  SALE  19 FEB 2021</t>
  </si>
  <si>
    <t>STHBKK012102001445</t>
  </si>
  <si>
    <t>นางสาว นันทภัค ม่วงนวน</t>
  </si>
  <si>
    <t>STHBKK012102001446</t>
  </si>
  <si>
    <t>STHBKK012102001447</t>
  </si>
  <si>
    <t>นาย สิขเรศ ยงเชี่ยวชาญ</t>
  </si>
  <si>
    <t>STHBKK012102001448</t>
  </si>
  <si>
    <t>STHBKK012102001449</t>
  </si>
  <si>
    <t>STHBKK012102001450</t>
  </si>
  <si>
    <t>STHBKK012102001451</t>
  </si>
  <si>
    <t>STHBKK012102001452</t>
  </si>
  <si>
    <t>นางสาว รุ่งทิวา ปัญญา</t>
  </si>
  <si>
    <t>STHBKK012102001453</t>
  </si>
  <si>
    <t>STHBKK012102001454</t>
  </si>
  <si>
    <t>นาย กฤช เศรษฐบุตร</t>
  </si>
  <si>
    <t>STHBKK012102001456</t>
  </si>
  <si>
    <t>STHBKK012102001457</t>
  </si>
  <si>
    <t>STHBKK012102001458</t>
  </si>
  <si>
    <t>STHBKK012102001459</t>
  </si>
  <si>
    <t>STHBKK012102001460</t>
  </si>
  <si>
    <t>STHBKK012102001461</t>
  </si>
  <si>
    <t>STHBKK012102001462</t>
  </si>
  <si>
    <t>ศุทธิ์ธี ลาภูเขียว</t>
  </si>
  <si>
    <t>STHBKK012102001464</t>
  </si>
  <si>
    <t>STHBKK012102001465</t>
  </si>
  <si>
    <t>STHBKK012102001466</t>
  </si>
  <si>
    <t>นาย ธนโชติ แจ่มใส</t>
  </si>
  <si>
    <t>STHBKK012102001467</t>
  </si>
  <si>
    <t>STHBKK012102001468</t>
  </si>
  <si>
    <t>นาย พีระพงศ์ สิงหพล</t>
  </si>
  <si>
    <t>STHBKK012102001469</t>
  </si>
  <si>
    <t>STHBKK012102001470</t>
  </si>
  <si>
    <t>STHBKK012102001471</t>
  </si>
  <si>
    <t>นาง นวรัตน์ แม้นพยัคฆ์</t>
  </si>
  <si>
    <t>STHBKK012102001473</t>
  </si>
  <si>
    <t>นางสาว บังอร กวงขุนทด</t>
  </si>
  <si>
    <t>STHBKK012102001474</t>
  </si>
  <si>
    <t>นางสาว เนตรฤทัย วันอินทร์</t>
  </si>
  <si>
    <t>STHBKK012102001475</t>
  </si>
  <si>
    <t>STHBKK012102001476</t>
  </si>
  <si>
    <t>STHBKK012102001477</t>
  </si>
  <si>
    <t>STHBKK012102001478</t>
  </si>
  <si>
    <t>STHBKK012102001479</t>
  </si>
  <si>
    <t>STHBKK012102001480</t>
  </si>
  <si>
    <t>STHBKK012102001481</t>
  </si>
  <si>
    <t>STHBKK012102001482</t>
  </si>
  <si>
    <t>STHBKK012102001483</t>
  </si>
  <si>
    <t>STHBKK012102001484</t>
  </si>
  <si>
    <t>STHBKK012102001485</t>
  </si>
  <si>
    <t>STHBKK012102001486</t>
  </si>
  <si>
    <t>STHBKK012102001487</t>
  </si>
  <si>
    <t>STHBKK012102001488</t>
  </si>
  <si>
    <t>STHBKK012102001489</t>
  </si>
  <si>
    <t>STHBKK012102001490</t>
  </si>
  <si>
    <t>STHBKK012102001491</t>
  </si>
  <si>
    <t>STHBKK012102001492</t>
  </si>
  <si>
    <t>STHBKK012102001493</t>
  </si>
  <si>
    <t>นางสาว ชยุตา ปรียารักษ์-พ.อ.ธนกฤต สายหยุด</t>
  </si>
  <si>
    <t>STHBKK012102001494</t>
  </si>
  <si>
    <t>STHBKK012102001495</t>
  </si>
  <si>
    <t>STHBKK012102001496</t>
  </si>
  <si>
    <t>STHBKK012102001497</t>
  </si>
  <si>
    <t>STHBKK012102001498</t>
  </si>
  <si>
    <t>นาย มานะ มั่นวงษ์</t>
  </si>
  <si>
    <t>STHBKK012102001499</t>
  </si>
  <si>
    <t>STHBKK012102001500</t>
  </si>
  <si>
    <t>STHBKK012102001501</t>
  </si>
  <si>
    <t>STHBKK012102001502</t>
  </si>
  <si>
    <t>STHBKK012102001503</t>
  </si>
  <si>
    <t>STHBKK012102001504</t>
  </si>
  <si>
    <t>STHBKK012102001505</t>
  </si>
  <si>
    <t>อุดม มะโนน้อม</t>
  </si>
  <si>
    <t>STHONLIN2102000334</t>
  </si>
  <si>
    <t>STHONLIN2102000337</t>
  </si>
  <si>
    <t>STHONLIN2102000339</t>
  </si>
  <si>
    <t>STHONLIN2102000340</t>
  </si>
  <si>
    <t>STHONLIN2102000341</t>
  </si>
  <si>
    <t>STHONLIN2102000342</t>
  </si>
  <si>
    <t>STHONLIN2102000343</t>
  </si>
  <si>
    <t>STHONLIN2102000344</t>
  </si>
  <si>
    <t>DAILY  SALE  20 FEB 2021</t>
  </si>
  <si>
    <t>STHBKK012102001506</t>
  </si>
  <si>
    <t>STHBKK012102001507</t>
  </si>
  <si>
    <t>STHBKK012102001508</t>
  </si>
  <si>
    <t>STHBKK012102001509</t>
  </si>
  <si>
    <t>STHBKK012102001510</t>
  </si>
  <si>
    <t>STHBKK012102001512</t>
  </si>
  <si>
    <t>STHBKK012102001515</t>
  </si>
  <si>
    <t>STHBKK012102001516</t>
  </si>
  <si>
    <t>STHBKK012102001517</t>
  </si>
  <si>
    <t>นาย วิทยา เธียรไทย</t>
  </si>
  <si>
    <t>STHBKK012102001518</t>
  </si>
  <si>
    <t>STHBKK012102001519</t>
  </si>
  <si>
    <t>STHBKK012102001520</t>
  </si>
  <si>
    <t>นาย คงศักดิ์ เรืองศิลป์</t>
  </si>
  <si>
    <t>STHBKK012102001521</t>
  </si>
  <si>
    <t>นาย นพดล เที่ยงสมพงษ์</t>
  </si>
  <si>
    <t>STHBKK012102001522</t>
  </si>
  <si>
    <t>นาย บุญยืน เขตร์วิริยะการ</t>
  </si>
  <si>
    <t>STHBKK012102001523</t>
  </si>
  <si>
    <t>STHBKK012102001524</t>
  </si>
  <si>
    <t>STHBKK012102001525</t>
  </si>
  <si>
    <t>นาย อัครพงศ์ สนามทอง</t>
  </si>
  <si>
    <t>STHBKK012102001526</t>
  </si>
  <si>
    <t>STHBKK012102001527</t>
  </si>
  <si>
    <t>STHBKK012102001528</t>
  </si>
  <si>
    <t>STHBKK012102001529</t>
  </si>
  <si>
    <t>นางสาว สุภาศิลป์ แสนแก้ว</t>
  </si>
  <si>
    <t>STHBKK012102001530</t>
  </si>
  <si>
    <t>STHBKK012102001531</t>
  </si>
  <si>
    <t>STHBKK012102001533</t>
  </si>
  <si>
    <t>STHBKK012102001535</t>
  </si>
  <si>
    <t>STHBKK012102001536</t>
  </si>
  <si>
    <t>นางสาว หทัยภัทร เศรษฐบุตร</t>
  </si>
  <si>
    <t>STHBKK012102001537</t>
  </si>
  <si>
    <t>STHBKK012102001538</t>
  </si>
  <si>
    <t>สุรชาติ นพนิธิพัฒน์</t>
  </si>
  <si>
    <t>STHBKK012102001539</t>
  </si>
  <si>
    <t>STHBKK012102001540</t>
  </si>
  <si>
    <t>STHBKK012102001541</t>
  </si>
  <si>
    <t>นาง น้ำผึ้ง จันทพุฒ</t>
  </si>
  <si>
    <t>STHBKK012102001542</t>
  </si>
  <si>
    <t>STHBKK012102001543</t>
  </si>
  <si>
    <t>นางสาว สุนันท์ แย้มเยื้อน</t>
  </si>
  <si>
    <t>STHBKK012102001544</t>
  </si>
  <si>
    <t>STHBKK012102001545</t>
  </si>
  <si>
    <t>STHBKK012102001546</t>
  </si>
  <si>
    <t>นางสาว ลลนา หงส์ชินกร</t>
  </si>
  <si>
    <t>STHBKK012102001548</t>
  </si>
  <si>
    <t>STHBKK012102001549</t>
  </si>
  <si>
    <t>STHBKK012102001551</t>
  </si>
  <si>
    <t>STHBKK012102001552</t>
  </si>
  <si>
    <t>นาย เสริมวิชญ์ สุขชาญ</t>
  </si>
  <si>
    <t>STHBKK012102001553</t>
  </si>
  <si>
    <t>STHBKK012102001554</t>
  </si>
  <si>
    <t>STHBKK012102001555</t>
  </si>
  <si>
    <t>นาย ธีระชัย จันทร์นวล</t>
  </si>
  <si>
    <t>STHBKK012102001556</t>
  </si>
  <si>
    <t>นาย อาทิตย์ รักษาราษฎร์</t>
  </si>
  <si>
    <t>STHBKK012102001557</t>
  </si>
  <si>
    <t>นาง รักเชื้อ กาญจนสมบัติ</t>
  </si>
  <si>
    <t>STHBKK012102001558</t>
  </si>
  <si>
    <t>STHBKK012102001559</t>
  </si>
  <si>
    <t>STHBKK012102001560</t>
  </si>
  <si>
    <t>STHBKK012102001562</t>
  </si>
  <si>
    <t>STHBKK012102001563</t>
  </si>
  <si>
    <t>STHBKK012102001564</t>
  </si>
  <si>
    <t>STHBKK012102001565</t>
  </si>
  <si>
    <t>STHONLIN2102000351</t>
  </si>
  <si>
    <t>STHONLIN2102000352</t>
  </si>
  <si>
    <t>STHONLIN2102000353</t>
  </si>
  <si>
    <t>STHONLIN2102000354</t>
  </si>
  <si>
    <t>STHONLIN2102000356</t>
  </si>
  <si>
    <t>STHONLIN2102000357</t>
  </si>
  <si>
    <t>STHONLIN2102000360</t>
  </si>
  <si>
    <t>STHONLIN2102000362</t>
  </si>
  <si>
    <t>DAILY  SALE  21 FEB 2021</t>
  </si>
  <si>
    <t>6402BKK010000003</t>
  </si>
  <si>
    <t>STHBKK012102001566</t>
  </si>
  <si>
    <t>STHBKK012102001567</t>
  </si>
  <si>
    <t>STHBKK012102001568</t>
  </si>
  <si>
    <t>STHBKK012102001569</t>
  </si>
  <si>
    <t>STHBKK012102001570</t>
  </si>
  <si>
    <t>นางสาว อมร เรือนเเก้ว</t>
  </si>
  <si>
    <t>STHBKK012102001571</t>
  </si>
  <si>
    <t>นางสาว นภัสรพี องอาจสัมฤทธิ์</t>
  </si>
  <si>
    <t>STHBKK012102001572</t>
  </si>
  <si>
    <t>นาย วัลลภ ไพโรจน์</t>
  </si>
  <si>
    <t>STHBKK012102001573</t>
  </si>
  <si>
    <t>นาย บุญเลิศ พิมพ์ดี</t>
  </si>
  <si>
    <t>STHBKK012102001574</t>
  </si>
  <si>
    <t>STHBKK012102001575</t>
  </si>
  <si>
    <t>เดโชชัย นิ่มนวล</t>
  </si>
  <si>
    <t>STHBKK012102001576</t>
  </si>
  <si>
    <t>STHBKK012102001577</t>
  </si>
  <si>
    <t>STHBKK012102001578</t>
  </si>
  <si>
    <t>STHBKK012102001579</t>
  </si>
  <si>
    <t>STHBKK012102001580</t>
  </si>
  <si>
    <t>นาง กชพร ชานนชนกนันท์</t>
  </si>
  <si>
    <t>STHBKK012102001581</t>
  </si>
  <si>
    <t>นางสาว วรรณา กุหลาบเทียม - ชนะพล คำทัศน์</t>
  </si>
  <si>
    <t>STHBKK012102001582</t>
  </si>
  <si>
    <t>STHBKK012102001583</t>
  </si>
  <si>
    <t>STHBKK012102001584</t>
  </si>
  <si>
    <t>STHBKK012102001585</t>
  </si>
  <si>
    <t>STHBKK012102001586</t>
  </si>
  <si>
    <t>STHBKK012102001588</t>
  </si>
  <si>
    <t>STHBKK012102001589</t>
  </si>
  <si>
    <t>STHBKK012102001590</t>
  </si>
  <si>
    <t>STHBKK012102001594</t>
  </si>
  <si>
    <t>นาย Te Bunngy</t>
  </si>
  <si>
    <t>STHBKK012102001598</t>
  </si>
  <si>
    <t>นาย เอกพจน์ สวนสิน</t>
  </si>
  <si>
    <t>STHBKK012102001599</t>
  </si>
  <si>
    <t>STHBKK012102001600</t>
  </si>
  <si>
    <t>STHBKK012102001601</t>
  </si>
  <si>
    <t>STHBKK012102001602</t>
  </si>
  <si>
    <t>STHBKK012102001603</t>
  </si>
  <si>
    <t>STHBKK012102001604</t>
  </si>
  <si>
    <t>นาง วิลาวรรณ์ คานพุดซา</t>
  </si>
  <si>
    <t>STHBKK012102001605</t>
  </si>
  <si>
    <t>STHBKK012102001607</t>
  </si>
  <si>
    <t>นางสาว มะลิวัลย์ หึกขุนทด</t>
  </si>
  <si>
    <t>STHBKK012102001610</t>
  </si>
  <si>
    <t>นาย สมชาย โพธิ์คำ</t>
  </si>
  <si>
    <t>STHBKK012102001611</t>
  </si>
  <si>
    <t>STHBKK012102001612</t>
  </si>
  <si>
    <t>STHBKK012102001613</t>
  </si>
  <si>
    <t>นาย สังข์วร กันจันทร์วงศ์</t>
  </si>
  <si>
    <t>STHBKK012102001614</t>
  </si>
  <si>
    <t>STHBKK012102001615</t>
  </si>
  <si>
    <t>นาย ฐากร ตันสิรานนท์-ศศิพิมพ์ ปลื้มจิตร์</t>
  </si>
  <si>
    <t>STHBKK012102001617</t>
  </si>
  <si>
    <t>STHBKK012102001618</t>
  </si>
  <si>
    <t>STHBKK012102001619</t>
  </si>
  <si>
    <t>STHBKK012102001620</t>
  </si>
  <si>
    <t>STHBKK012102001621</t>
  </si>
  <si>
    <t>STHBKK012102001623</t>
  </si>
  <si>
    <t>นางสาว ฤทัยทิพย์ นาโพธิ์</t>
  </si>
  <si>
    <t>STHBKK012102001626</t>
  </si>
  <si>
    <t>STHBKK012102001627</t>
  </si>
  <si>
    <t>STHBKK012102001630</t>
  </si>
  <si>
    <t>STHBKK012102001631</t>
  </si>
  <si>
    <t>STHBKK012102001633</t>
  </si>
  <si>
    <t>นาง พัศศิการ์ เสริมสกุลไทย</t>
  </si>
  <si>
    <t>STHBKK012102001634</t>
  </si>
  <si>
    <t>นางสาว ภัทรภร เจริญสุข</t>
  </si>
  <si>
    <t>STHBKK012102001638</t>
  </si>
  <si>
    <t>STHONLIN2102000369</t>
  </si>
  <si>
    <t>STHONLIN2102000379</t>
  </si>
  <si>
    <t>STHONLIN2102000380</t>
  </si>
  <si>
    <t>นางสาว นุชนันท์ นิยมทอง</t>
  </si>
  <si>
    <t>DAILY  SALE  22 FEB 2021</t>
  </si>
  <si>
    <t>STHBKK012102001639</t>
  </si>
  <si>
    <t>STHBKK012102001640</t>
  </si>
  <si>
    <t>STHBKK012102001641</t>
  </si>
  <si>
    <t>STHBKK012102001643</t>
  </si>
  <si>
    <t>STHBKK012102001644</t>
  </si>
  <si>
    <t>STHBKK012102001645</t>
  </si>
  <si>
    <t>STHBKK012102001646</t>
  </si>
  <si>
    <t>STHBKK012102001647</t>
  </si>
  <si>
    <t>STHBKK012102001648</t>
  </si>
  <si>
    <t>นาง สังวร เที่ยงเต็ม</t>
  </si>
  <si>
    <t>STHBKK012102001649</t>
  </si>
  <si>
    <t>STHBKK012102001650</t>
  </si>
  <si>
    <t>STHBKK012102001651</t>
  </si>
  <si>
    <t>นาง นิตยา บัวบุญ</t>
  </si>
  <si>
    <t>STHBKK012102001652</t>
  </si>
  <si>
    <t>STHBKK012102001653</t>
  </si>
  <si>
    <t>STHBKK012102001654</t>
  </si>
  <si>
    <t>STHBKK012102001655</t>
  </si>
  <si>
    <t>STHBKK012102001656</t>
  </si>
  <si>
    <t>นางสาว สุนิสา ดังใหม่</t>
  </si>
  <si>
    <t>STHBKK012102001657</t>
  </si>
  <si>
    <t>STHBKK012102001658</t>
  </si>
  <si>
    <t>STHBKK012102001659</t>
  </si>
  <si>
    <t>STHBKK012102001660</t>
  </si>
  <si>
    <t>นาย พงษ์กริซ เพิ่มพูล</t>
  </si>
  <si>
    <t>STHBKK012102001662</t>
  </si>
  <si>
    <t>STHBKK012102001663</t>
  </si>
  <si>
    <t>STHBKK012102001664</t>
  </si>
  <si>
    <t>STHBKK012102001665</t>
  </si>
  <si>
    <t>STHBKK012102001666</t>
  </si>
  <si>
    <t>STHBKK012102001667</t>
  </si>
  <si>
    <t>STHBKK012102001668</t>
  </si>
  <si>
    <t>STHBKK012102001669</t>
  </si>
  <si>
    <t>STHBKK012102001670</t>
  </si>
  <si>
    <t>นาย อภิวัฒน์ หน่ายมี</t>
  </si>
  <si>
    <t>STHBKK012102001671</t>
  </si>
  <si>
    <t>นางสาว เกศรินทร์ บุญอุบล</t>
  </si>
  <si>
    <t>STHBKK012102001672</t>
  </si>
  <si>
    <t>STHBKK012102001673</t>
  </si>
  <si>
    <t>STHBKK012102001674</t>
  </si>
  <si>
    <t>นาย ชูเกียรติ วีระตุมมา</t>
  </si>
  <si>
    <t>STHBKK012102001675</t>
  </si>
  <si>
    <t>STHBKK012102001676</t>
  </si>
  <si>
    <t>STHBKK012102001677</t>
  </si>
  <si>
    <t>STHBKK012102001678</t>
  </si>
  <si>
    <t>STHBKK012102001680</t>
  </si>
  <si>
    <t>STHBKK012102001681</t>
  </si>
  <si>
    <t>STHBKK012102001682</t>
  </si>
  <si>
    <t>STHBKK012102001683</t>
  </si>
  <si>
    <t>STHBKK012102001684</t>
  </si>
  <si>
    <t>STHBKK012102001686</t>
  </si>
  <si>
    <t>STHBKK012102001687</t>
  </si>
  <si>
    <t>STHBKK012102001689</t>
  </si>
  <si>
    <t>STHBKK012102001690</t>
  </si>
  <si>
    <t>STHBKK012102001691</t>
  </si>
  <si>
    <t>นางสาว นฤมล พุ่มแสง</t>
  </si>
  <si>
    <t>STHBKK012102001693</t>
  </si>
  <si>
    <t>STHBKK012102001694</t>
  </si>
  <si>
    <t>นางสาว วัชรวรรณ นิลสุ</t>
  </si>
  <si>
    <t>STHBKK012102001695</t>
  </si>
  <si>
    <t>นาง จันทมณี สอนฮวบ</t>
  </si>
  <si>
    <t>STHBKK012102001696</t>
  </si>
  <si>
    <t>นางสาว ทิพย์สุดา นาคตระกูล</t>
  </si>
  <si>
    <t>STHBKK012102001697</t>
  </si>
  <si>
    <t>STHBKK012102001699</t>
  </si>
  <si>
    <t>นาง สุนันท์ นิคกี้</t>
  </si>
  <si>
    <t>STHBKK012102001700</t>
  </si>
  <si>
    <t>STHONLIN2102000381</t>
  </si>
  <si>
    <t>นางสาว นงนุช กมลรัตนาชัย</t>
  </si>
  <si>
    <t>STHONLIN2102000382</t>
  </si>
  <si>
    <t>STHONLIN2102000384</t>
  </si>
  <si>
    <t>STHONLIN2102000388</t>
  </si>
  <si>
    <t>STHONLIN2102000389</t>
  </si>
  <si>
    <t>STHONLIN2102000390</t>
  </si>
  <si>
    <t>STHONLIN2102000391</t>
  </si>
  <si>
    <t>STHONLIN2102000392</t>
  </si>
  <si>
    <t>STHONLIN2102000393</t>
  </si>
  <si>
    <t>STHONLIN2102000395</t>
  </si>
  <si>
    <t>STHONLIN2102000397</t>
  </si>
  <si>
    <t>STHONLIN2102000398</t>
  </si>
  <si>
    <t>DAILY  SALE  23 FEB 2021</t>
  </si>
  <si>
    <t>STHBKK012102001701</t>
  </si>
  <si>
    <t>STHBKK012102001702</t>
  </si>
  <si>
    <t>STHBKK012102001703</t>
  </si>
  <si>
    <t>STHBKK012102001704</t>
  </si>
  <si>
    <t>นาง อรพิน นางแสน</t>
  </si>
  <si>
    <t>STHBKK012102001705</t>
  </si>
  <si>
    <t>STHBKK012102001706</t>
  </si>
  <si>
    <t>STHBKK012102001707</t>
  </si>
  <si>
    <t>นางสาว ภิญญาพัชญ์ ไทยดำรงเดช</t>
  </si>
  <si>
    <t>STHBKK012102001708</t>
  </si>
  <si>
    <t>STHBKK012102001709</t>
  </si>
  <si>
    <t>นาง นิกุล เสือนุ่ม</t>
  </si>
  <si>
    <t>STHBKK012102001710</t>
  </si>
  <si>
    <t>STHBKK012102001711</t>
  </si>
  <si>
    <t>STHBKK012102001712</t>
  </si>
  <si>
    <t>STHBKK012102001713</t>
  </si>
  <si>
    <t>STHBKK012102001714</t>
  </si>
  <si>
    <t>STHBKK012102001715</t>
  </si>
  <si>
    <t>STHBKK012102001716</t>
  </si>
  <si>
    <t>STHBKK012102001717</t>
  </si>
  <si>
    <t>STHBKK012102001718</t>
  </si>
  <si>
    <t>STHBKK012102001719</t>
  </si>
  <si>
    <t>STHBKK012102001720</t>
  </si>
  <si>
    <t>STHBKK012102001721</t>
  </si>
  <si>
    <t>นาย สามภพ คงเมือง</t>
  </si>
  <si>
    <t>STHBKK012102001722</t>
  </si>
  <si>
    <t>STHBKK012102001723</t>
  </si>
  <si>
    <t>STHBKK012102001724</t>
  </si>
  <si>
    <t>นาง เรียม บุญเอี่ยม</t>
  </si>
  <si>
    <t>STHBKK012102001725</t>
  </si>
  <si>
    <t>STHBKK012102001726</t>
  </si>
  <si>
    <t>นาย สรรชัย เทียนทอง</t>
  </si>
  <si>
    <t>STHBKK012102001727</t>
  </si>
  <si>
    <t>นาง สุดารัตน์ สงฆ์ทอง</t>
  </si>
  <si>
    <t>STHBKK012102001728</t>
  </si>
  <si>
    <t>STHBKK012102001729</t>
  </si>
  <si>
    <t>นางสาว ปัทมา ชีวานิช</t>
  </si>
  <si>
    <t>STHBKK012102001730</t>
  </si>
  <si>
    <t>STHBKK012102001731</t>
  </si>
  <si>
    <t>STHBKK012102001732</t>
  </si>
  <si>
    <t>STHBKK012102001733</t>
  </si>
  <si>
    <t>STHBKK012102001734</t>
  </si>
  <si>
    <t>STHBKK012102001735</t>
  </si>
  <si>
    <t>STHBKK012102001736</t>
  </si>
  <si>
    <t>STHBKK012102001737</t>
  </si>
  <si>
    <t>STHBKK012102001738</t>
  </si>
  <si>
    <t>นางสาว วรินทร์ลดา สุขเนตร</t>
  </si>
  <si>
    <t>STHBKK012102001739</t>
  </si>
  <si>
    <t>STHBKK012102001741</t>
  </si>
  <si>
    <t>นาย นพธนกรฐ์ คล้ายมาลา</t>
  </si>
  <si>
    <t>STHBKK012102001742</t>
  </si>
  <si>
    <t>STHBKK012102001743</t>
  </si>
  <si>
    <t>STHBKK012102001744</t>
  </si>
  <si>
    <t>STHBKK012102001745</t>
  </si>
  <si>
    <t>STHBKK012102001746</t>
  </si>
  <si>
    <t>STHBKK012102001747</t>
  </si>
  <si>
    <t>นิศาชล ศรีแก้ว</t>
  </si>
  <si>
    <t>STHBKK012102001748</t>
  </si>
  <si>
    <t>STHBKK012102001749</t>
  </si>
  <si>
    <t>นางสาว อมลิณรัศมิ์ ลินพิศาล</t>
  </si>
  <si>
    <t>STHBKK012102001750</t>
  </si>
  <si>
    <t>STHBKK012102001751</t>
  </si>
  <si>
    <t>STHBKK012102001753</t>
  </si>
  <si>
    <t>นาย อรรถพล แจ้วิสอน</t>
  </si>
  <si>
    <t>STHBKK012102001755</t>
  </si>
  <si>
    <t>STHBKK012102001756</t>
  </si>
  <si>
    <t>STHBKK012102001757</t>
  </si>
  <si>
    <t>STHBKK012102001758</t>
  </si>
  <si>
    <t>STHBKK012102001759</t>
  </si>
  <si>
    <t>STHBKK012102001761</t>
  </si>
  <si>
    <t>STHBKK012102001762</t>
  </si>
  <si>
    <t>STHBKK012102001763</t>
  </si>
  <si>
    <t>STHBKK012102001764</t>
  </si>
  <si>
    <t>STHBKK012102001766</t>
  </si>
  <si>
    <t>STHBKK012102001767</t>
  </si>
  <si>
    <t>STHBKK012102001768</t>
  </si>
  <si>
    <t>STHBKK012102001769</t>
  </si>
  <si>
    <t>STHBKK012102001770</t>
  </si>
  <si>
    <t>STHBKK012102001771</t>
  </si>
  <si>
    <t>นาย ธนาธิป-ณัฐฐา ไชยธงรัตน์</t>
  </si>
  <si>
    <t>STHBKK012102001772</t>
  </si>
  <si>
    <t>STHBKK012102001773</t>
  </si>
  <si>
    <t>STHBKK012102001774</t>
  </si>
  <si>
    <t>STHBKK012102001775</t>
  </si>
  <si>
    <t>STHBKK012102001776</t>
  </si>
  <si>
    <t>นาย สรรณ สินธุรัตน์</t>
  </si>
  <si>
    <t>STHBKK012102001777</t>
  </si>
  <si>
    <t>STHBKK012102001778</t>
  </si>
  <si>
    <t>STHBKK012102001779</t>
  </si>
  <si>
    <t>นางสาว ชาลินี แคล้วโยธา</t>
  </si>
  <si>
    <t>STHBKK012102001780</t>
  </si>
  <si>
    <t>STHBKK012102001781</t>
  </si>
  <si>
    <t>STHBKK012102001782</t>
  </si>
  <si>
    <t>STHBKK012102001783</t>
  </si>
  <si>
    <t>STHBKK012102001784</t>
  </si>
  <si>
    <t>STHBKK012102001785</t>
  </si>
  <si>
    <t>นางสาว จิราภรณ์ เขาทอง</t>
  </si>
  <si>
    <t>STHBKK012102001786</t>
  </si>
  <si>
    <t>STHBKK012102001787</t>
  </si>
  <si>
    <t>STHBKK012102001789</t>
  </si>
  <si>
    <t>นาย เจริญชัย นิลทับ</t>
  </si>
  <si>
    <t>STHBKK012102001790</t>
  </si>
  <si>
    <t>STHBKK012102001791</t>
  </si>
  <si>
    <t>นาย คริษฐ์ แน่งน้อย</t>
  </si>
  <si>
    <t>STHBKK012102001792</t>
  </si>
  <si>
    <t>STHBKK012102001794</t>
  </si>
  <si>
    <t>STHBKK012102001797</t>
  </si>
  <si>
    <t>STHBKK012102001798</t>
  </si>
  <si>
    <t>STHBKK012102001799</t>
  </si>
  <si>
    <t>นางสาว ดวงสุดา ขุนวิเชียร</t>
  </si>
  <si>
    <t>STHBKK012102001802</t>
  </si>
  <si>
    <t>นาย ทศพร ทุมผารักษ์</t>
  </si>
  <si>
    <t>STHBKK012102001804</t>
  </si>
  <si>
    <t>STHBKK012102001805</t>
  </si>
  <si>
    <t>พีรพัฒน์ รักษ์บำรุง</t>
  </si>
  <si>
    <t>STHBKK012102001806</t>
  </si>
  <si>
    <t>STHBKK012102001807</t>
  </si>
  <si>
    <t>นางสาว ชวัลนุช กลิ่นเย็น</t>
  </si>
  <si>
    <t>STHBKK012102001808</t>
  </si>
  <si>
    <t>STHONLIN2102000403</t>
  </si>
  <si>
    <t>STHONLIN2102000404</t>
  </si>
  <si>
    <t>STHONLIN2102000407</t>
  </si>
  <si>
    <t>STHONLIN2102000408</t>
  </si>
  <si>
    <t>STHONLIN2102000410</t>
  </si>
  <si>
    <t>/</t>
  </si>
  <si>
    <t>DAILY  SALE  24 FEB 2021</t>
  </si>
  <si>
    <t>STHBKK012102001809</t>
  </si>
  <si>
    <t>STHBKK012102001810</t>
  </si>
  <si>
    <t>STHBKK012102001811</t>
  </si>
  <si>
    <t>นาย ครรชิต หิรัญโรจน์</t>
  </si>
  <si>
    <t>STHBKK012102001812</t>
  </si>
  <si>
    <t>STHBKK012102001813</t>
  </si>
  <si>
    <t>STHBKK012102001814</t>
  </si>
  <si>
    <t>STHBKK012102001815</t>
  </si>
  <si>
    <t>นาย พรชัย คูสกุล</t>
  </si>
  <si>
    <t>STHBKK012102001816</t>
  </si>
  <si>
    <t>STHBKK012102001817</t>
  </si>
  <si>
    <t>STHBKK012102001818</t>
  </si>
  <si>
    <t>นาย อริย์ชาติ เฉลิมโชควัฒนา</t>
  </si>
  <si>
    <t>STHBKK012102001819</t>
  </si>
  <si>
    <t>STHBKK012102001820</t>
  </si>
  <si>
    <t>STHBKK012102001823</t>
  </si>
  <si>
    <t>STHBKK012102001824</t>
  </si>
  <si>
    <t>STHBKK012102001825</t>
  </si>
  <si>
    <t>STHBKK012102001826</t>
  </si>
  <si>
    <t>STHBKK012102001827</t>
  </si>
  <si>
    <t>STHBKK012102001828</t>
  </si>
  <si>
    <t>STHBKK012102001829</t>
  </si>
  <si>
    <t>นางสาว ศศิธร สีปาน</t>
  </si>
  <si>
    <t>STHBKK012102001830</t>
  </si>
  <si>
    <t>STHBKK012102001831</t>
  </si>
  <si>
    <t>STHBKK012102001832</t>
  </si>
  <si>
    <t>STHBKK012102001833</t>
  </si>
  <si>
    <t>นางสาว ณฐมน แล้วสว่าง</t>
  </si>
  <si>
    <t>STHBKK012102001834</t>
  </si>
  <si>
    <t>STHBKK012102001836</t>
  </si>
  <si>
    <t>STHBKK012102001837</t>
  </si>
  <si>
    <t>STHBKK012102001838</t>
  </si>
  <si>
    <t>STHBKK012102001839</t>
  </si>
  <si>
    <t>STHBKK012102001841</t>
  </si>
  <si>
    <t>STHBKK012102001842</t>
  </si>
  <si>
    <t>STHBKK012102001843</t>
  </si>
  <si>
    <t>นางสาว แป้งล่ำ คล้ายนิ่ม</t>
  </si>
  <si>
    <t>STHBKK012102001844</t>
  </si>
  <si>
    <t>STHBKK012102001845</t>
  </si>
  <si>
    <t>STHBKK012102001846</t>
  </si>
  <si>
    <t>นางสาว ตุ๊กตา สุริโย</t>
  </si>
  <si>
    <t>STHBKK012102001847</t>
  </si>
  <si>
    <t>STHBKK012102001848</t>
  </si>
  <si>
    <t>นางสาว กำไร รุ่งกิจกุลภัค</t>
  </si>
  <si>
    <t>STHBKK012102001849</t>
  </si>
  <si>
    <t>STHBKK012102001850</t>
  </si>
  <si>
    <t>กมล ขันตีจิตร</t>
  </si>
  <si>
    <t>STHBKK012102001852</t>
  </si>
  <si>
    <t>นาย คำรณ ศรีนวล</t>
  </si>
  <si>
    <t>STHBKK012102001853</t>
  </si>
  <si>
    <t>STHBKK012102001854</t>
  </si>
  <si>
    <t>STHBKK012102001855</t>
  </si>
  <si>
    <t>นาย สมภาร วันประสาตร์</t>
  </si>
  <si>
    <t>STHBKK012102001856</t>
  </si>
  <si>
    <t>STHBKK012102001857</t>
  </si>
  <si>
    <t>STHBKK012102001858</t>
  </si>
  <si>
    <t>STHBKK012102001859</t>
  </si>
  <si>
    <t>STHBKK012102001861</t>
  </si>
  <si>
    <t>STHBKK012102001863</t>
  </si>
  <si>
    <t>STHBKK012102001864</t>
  </si>
  <si>
    <t>STHBKK012102001865</t>
  </si>
  <si>
    <t>STHBKK012102001866</t>
  </si>
  <si>
    <t>STHBKK012102001867</t>
  </si>
  <si>
    <t>นางสาว ณัฐนันท์ ชินวิชเรืองฤทธิ์</t>
  </si>
  <si>
    <t>STHBKK012102001868</t>
  </si>
  <si>
    <t>STHBKK012102001869</t>
  </si>
  <si>
    <t>STHBKK012102001870</t>
  </si>
  <si>
    <t>STHBKK012102001871</t>
  </si>
  <si>
    <t>นางสาว สิริวิมล แม้นพ่วง</t>
  </si>
  <si>
    <t>STHBKK012102001872</t>
  </si>
  <si>
    <t>STHBKK012102001873</t>
  </si>
  <si>
    <t>STHBKK012102001875</t>
  </si>
  <si>
    <t>นาย สมชาย ทากลาง</t>
  </si>
  <si>
    <t>STHBKK012102001876</t>
  </si>
  <si>
    <t>STHBKK012102001877</t>
  </si>
  <si>
    <t>STHBKK012102001878</t>
  </si>
  <si>
    <t>นาย บัญชา สดสี</t>
  </si>
  <si>
    <t>STHBKK012102001879</t>
  </si>
  <si>
    <t>นาย วศิน ธวัชกฤตยา</t>
  </si>
  <si>
    <t>STHBKK012102001880</t>
  </si>
  <si>
    <t>นาย วราวุฒิ เทศทอง</t>
  </si>
  <si>
    <t>STHBKK012102001881</t>
  </si>
  <si>
    <t>นาง วิชญ์ชยา ภูธนโรจน์สิริ</t>
  </si>
  <si>
    <t>STHBKK012102001882</t>
  </si>
  <si>
    <t>นางสาว พิณทิพย์ ตันแสนทวี</t>
  </si>
  <si>
    <t>STHBKK012102001883</t>
  </si>
  <si>
    <t>นาง กัญญา ตันแสนทวี</t>
  </si>
  <si>
    <t>STHBKK012102001884</t>
  </si>
  <si>
    <t>STHBKK012102001885</t>
  </si>
  <si>
    <t>STHBKK012102001886</t>
  </si>
  <si>
    <t>STHBKK012102001887</t>
  </si>
  <si>
    <t>พัชนีย์ ไชยธรรมมา</t>
  </si>
  <si>
    <t>STHBKK012102001888</t>
  </si>
  <si>
    <t>STHBKK012102001889</t>
  </si>
  <si>
    <t>นางสาว จุฑารัตน์ - ภูผา ตรงดี</t>
  </si>
  <si>
    <t>STHBKK012102001890</t>
  </si>
  <si>
    <t>STHONLIN2102000418</t>
  </si>
  <si>
    <t>STHONLIN2102000425</t>
  </si>
  <si>
    <t>นางสาว ณัฐญาวรรณ ยอดเดชา</t>
  </si>
  <si>
    <t>STHONLIN2102000427</t>
  </si>
  <si>
    <t>STHONLIN2102000429</t>
  </si>
  <si>
    <t>STHONLIN2102000433</t>
  </si>
  <si>
    <t>STHONLIN2102000436</t>
  </si>
  <si>
    <t>STHONLIN2102000439</t>
  </si>
  <si>
    <t>DAILY  SALE  25 FEB 2021</t>
  </si>
  <si>
    <t>STHBKK012102001891</t>
  </si>
  <si>
    <t>STHBKK012102001892</t>
  </si>
  <si>
    <t>STHBKK012102001893</t>
  </si>
  <si>
    <t>นาง ปรางทิพย์ สอนป้อม</t>
  </si>
  <si>
    <t>STHBKK012102001894</t>
  </si>
  <si>
    <t>นาย ชัยยะเดช เดชบุญมี</t>
  </si>
  <si>
    <t>STHBKK012102001895</t>
  </si>
  <si>
    <t>STHBKK012102001896</t>
  </si>
  <si>
    <t>STHBKK012102001897</t>
  </si>
  <si>
    <t>STHBKK012102001898</t>
  </si>
  <si>
    <t>นาย บุญลือ จำปาจันทร์</t>
  </si>
  <si>
    <t>STHBKK012102001899</t>
  </si>
  <si>
    <t>นาง ทองดี สวัสดิ์จีน</t>
  </si>
  <si>
    <t>STHBKK012102001900</t>
  </si>
  <si>
    <t>STHBKK012102001901</t>
  </si>
  <si>
    <t>STHBKK012102001902</t>
  </si>
  <si>
    <t>STHBKK012102001903</t>
  </si>
  <si>
    <t>STHBKK012102001904</t>
  </si>
  <si>
    <t>STHBKK012102001905</t>
  </si>
  <si>
    <t>STHBKK012102001907</t>
  </si>
  <si>
    <t>นางสาว สายสมร เยี่ยมญาติ</t>
  </si>
  <si>
    <t>STHBKK012102001908</t>
  </si>
  <si>
    <t>STHBKK012102001909</t>
  </si>
  <si>
    <t>นางสาว อชิรดานันท์ เกิดปั้น</t>
  </si>
  <si>
    <t>STHBKK012102001911</t>
  </si>
  <si>
    <t>STHBKK012102001912</t>
  </si>
  <si>
    <t>STHBKK012102001913</t>
  </si>
  <si>
    <t>STHBKK012102001914</t>
  </si>
  <si>
    <t>STHBKK012102001915</t>
  </si>
  <si>
    <t>STHBKK012102001916</t>
  </si>
  <si>
    <t>นาย สมชาย โสภา</t>
  </si>
  <si>
    <t>STHBKK012102001917</t>
  </si>
  <si>
    <t>นาย Inpone Phonphalihan</t>
  </si>
  <si>
    <t>STHBKK012102001918</t>
  </si>
  <si>
    <t>STHBKK012102001919</t>
  </si>
  <si>
    <t>นางสาว ศิริวรรณ ววงษ์วิภาค</t>
  </si>
  <si>
    <t>STHBKK012102001920</t>
  </si>
  <si>
    <t>นาย สุนทร แพงพรหม</t>
  </si>
  <si>
    <t>STHBKK012102001921</t>
  </si>
  <si>
    <t>STHBKK012102001922</t>
  </si>
  <si>
    <t>นาง ธนภร ทองสุขสุพัชร</t>
  </si>
  <si>
    <t>STHBKK012102001923</t>
  </si>
  <si>
    <t>STHBKK012102001924</t>
  </si>
  <si>
    <t>STHBKK012102001925</t>
  </si>
  <si>
    <t>นางสาว สังเวียน นิลละออ</t>
  </si>
  <si>
    <t>STHBKK012102001926</t>
  </si>
  <si>
    <t>STHBKK012102001927</t>
  </si>
  <si>
    <t>STHBKK012102001928</t>
  </si>
  <si>
    <t>STHBKK012102001929</t>
  </si>
  <si>
    <t>STHBKK012102001930</t>
  </si>
  <si>
    <t>STHBKK012102001931</t>
  </si>
  <si>
    <t>STHBKK012102001932</t>
  </si>
  <si>
    <t>STHBKK012102001933</t>
  </si>
  <si>
    <t>STHBKK012102001934</t>
  </si>
  <si>
    <t>นางสาว จิราภรณ์ ฤทธิ์บำรุง</t>
  </si>
  <si>
    <t>STHBKK012102001936</t>
  </si>
  <si>
    <t>นางสาว นิภาพร ว่องไว</t>
  </si>
  <si>
    <t>STHBKK012102001937</t>
  </si>
  <si>
    <t>STHBKK012102001938</t>
  </si>
  <si>
    <t>STHBKK012102001939</t>
  </si>
  <si>
    <t>STHBKK012102001940</t>
  </si>
  <si>
    <t>STHBKK012102001941</t>
  </si>
  <si>
    <t>STHBKK012102001942</t>
  </si>
  <si>
    <t>STHBKK012102001944</t>
  </si>
  <si>
    <t>STHBKK012102001945</t>
  </si>
  <si>
    <t>STHBKK012102001946</t>
  </si>
  <si>
    <t>STHBKK012102001949</t>
  </si>
  <si>
    <t>STHBKK012102001950</t>
  </si>
  <si>
    <t>นาง ณัปภัช วรนันท์กิจ</t>
  </si>
  <si>
    <t>STHBKK012102001951</t>
  </si>
  <si>
    <t>STHBKK012102001953</t>
  </si>
  <si>
    <t>นาย อาชาไนย บัวสระ</t>
  </si>
  <si>
    <t>STHBKK012102001955</t>
  </si>
  <si>
    <t>STHBKK012102001956</t>
  </si>
  <si>
    <t>สมชาย ปลื้มจิตร์</t>
  </si>
  <si>
    <t>STHBKK012102001962</t>
  </si>
  <si>
    <t>นาง สิริกาญจน์ อัครพงษ์โภคิน</t>
  </si>
  <si>
    <t>STHBKK012102001963</t>
  </si>
  <si>
    <t>STHBKK012102001964</t>
  </si>
  <si>
    <t>STHBKK012102001965</t>
  </si>
  <si>
    <t>STHONLIN2102000444</t>
  </si>
  <si>
    <t>STHONLIN2102000445</t>
  </si>
  <si>
    <t>STHONLIN2102000450</t>
  </si>
  <si>
    <t>STHONLIN2102000451</t>
  </si>
  <si>
    <t>STHONLIN2102000453</t>
  </si>
  <si>
    <t>STHONLIN2102000456</t>
  </si>
  <si>
    <t>DAILY  SALE  26 FEB 2021</t>
  </si>
  <si>
    <t>STHBKK012102001966</t>
  </si>
  <si>
    <t>STHBKK012102001967</t>
  </si>
  <si>
    <t>STHBKK012102001968</t>
  </si>
  <si>
    <t>STHBKK012102001969</t>
  </si>
  <si>
    <t>STHBKK012102001970</t>
  </si>
  <si>
    <t>STHBKK012102001971</t>
  </si>
  <si>
    <t>นาย วสโรจท์ แสงบุรมย์</t>
  </si>
  <si>
    <t>STHBKK012102001972</t>
  </si>
  <si>
    <t>STHBKK012102001973</t>
  </si>
  <si>
    <t>STHBKK012102001974</t>
  </si>
  <si>
    <t>STHBKK012102001975</t>
  </si>
  <si>
    <t>STHBKK012102001976</t>
  </si>
  <si>
    <t>นาย อรุณชัย วิชัยศรี</t>
  </si>
  <si>
    <t>STHBKK012102001977</t>
  </si>
  <si>
    <t>STHBKK012102001978</t>
  </si>
  <si>
    <t>STHBKK012102001980</t>
  </si>
  <si>
    <t>นางสาว นิตยา รอดเขียว</t>
  </si>
  <si>
    <t>STHBKK012102001981</t>
  </si>
  <si>
    <t>STHBKK012102001982</t>
  </si>
  <si>
    <t>STHBKK012102001983</t>
  </si>
  <si>
    <t>STHBKK012102001984</t>
  </si>
  <si>
    <t>นาง บัวพัน ฉิมมานิตย์</t>
  </si>
  <si>
    <t>STHBKK012102001985</t>
  </si>
  <si>
    <t>STHBKK012102001986</t>
  </si>
  <si>
    <t>STHBKK012102001987</t>
  </si>
  <si>
    <t>นาย มนตรี จันทรวิวัฒน์</t>
  </si>
  <si>
    <t>STHBKK012102001988</t>
  </si>
  <si>
    <t>นาย หวั่น ติมสันเทียะ</t>
  </si>
  <si>
    <t>STHBKK012102001989</t>
  </si>
  <si>
    <t>นาง ยุพิน ชัยศร</t>
  </si>
  <si>
    <t>STHBKK012102001990</t>
  </si>
  <si>
    <t>STHBKK012102001991</t>
  </si>
  <si>
    <t>STHBKK012102001994</t>
  </si>
  <si>
    <t>STHBKK012102001995</t>
  </si>
  <si>
    <t>STHBKK012102001997</t>
  </si>
  <si>
    <t>นางสาว ธนภรณ์ คำปัน</t>
  </si>
  <si>
    <t>STHBKK012102001999</t>
  </si>
  <si>
    <t>STHBKK012102002002</t>
  </si>
  <si>
    <t>STHBKK012102002003</t>
  </si>
  <si>
    <t>STHBKK012102002004</t>
  </si>
  <si>
    <t>STHBKK012102002006</t>
  </si>
  <si>
    <t>STHBKK012102002009</t>
  </si>
  <si>
    <t>นาง ศรินทิพย์ ศิวะยิ่งสุวรรณ์</t>
  </si>
  <si>
    <t>STHBKK012102002010</t>
  </si>
  <si>
    <t>STHBKK012102002012</t>
  </si>
  <si>
    <t>STHBKK012102002013</t>
  </si>
  <si>
    <t>STHBKK012102002016</t>
  </si>
  <si>
    <t>STHBKK012102002017</t>
  </si>
  <si>
    <t>STHBKK012102002019</t>
  </si>
  <si>
    <t>ดนัสพันธุ์ ศรีถัด</t>
  </si>
  <si>
    <t>STHBKK012102002020</t>
  </si>
  <si>
    <t>STHBKK012102002021</t>
  </si>
  <si>
    <t>นาย บุญเพ็ง จำปานวน</t>
  </si>
  <si>
    <t>STHBKK012102002022</t>
  </si>
  <si>
    <t>STHBKK012102002023</t>
  </si>
  <si>
    <t>STHBKK012102002024</t>
  </si>
  <si>
    <t>STHBKK012102002025</t>
  </si>
  <si>
    <t>นาย เลิศวรรธน์ ศรีภิรมย์</t>
  </si>
  <si>
    <t>STHBKK012102002026</t>
  </si>
  <si>
    <t>STHBKK012102002029</t>
  </si>
  <si>
    <t>STHBKK012102002031</t>
  </si>
  <si>
    <t>MR. PHANN CHANTHOU</t>
  </si>
  <si>
    <t>STHBKK012102002032</t>
  </si>
  <si>
    <t>MISS HON PHEAP</t>
  </si>
  <si>
    <t>STHBKK012102002033</t>
  </si>
  <si>
    <t>MR. PRAK CHANNOEUN</t>
  </si>
  <si>
    <t>STHBKK012102002034</t>
  </si>
  <si>
    <t>STHBKK012102002035</t>
  </si>
  <si>
    <t>STHBKK012102002036</t>
  </si>
  <si>
    <t>STHBKK012102002037</t>
  </si>
  <si>
    <t>นางสาว พัสราภรณ์ แก้วอ่อน</t>
  </si>
  <si>
    <t>STHBKK012102002038</t>
  </si>
  <si>
    <t>STHONLIN2102000460</t>
  </si>
  <si>
    <t>นาย วิษณุ สุขก้อน</t>
  </si>
  <si>
    <t>STHONLIN2102000461</t>
  </si>
  <si>
    <t>นาย วิสูตร สุขก้อน</t>
  </si>
  <si>
    <t>STHONLIN2102000463</t>
  </si>
  <si>
    <t>STHONLIN2102000464</t>
  </si>
  <si>
    <t>นางสาว เบญจพร ชุมรักษา</t>
  </si>
  <si>
    <t>STHONLIN2102000465</t>
  </si>
  <si>
    <t>STHONLIN2102000466</t>
  </si>
  <si>
    <t>DAILY  SALE  27 FEB 2021</t>
  </si>
  <si>
    <t>6402BKK010000004</t>
  </si>
  <si>
    <t>STHBKK012102002039</t>
  </si>
  <si>
    <t>นางสาว ชัชชาม์ ตระกูลชัยวัชระ</t>
  </si>
  <si>
    <t>STHBKK012102002040</t>
  </si>
  <si>
    <t>STHBKK012102002041</t>
  </si>
  <si>
    <t>STHBKK012102002042</t>
  </si>
  <si>
    <t>STHBKK012102002043</t>
  </si>
  <si>
    <t>STHBKK012102002044</t>
  </si>
  <si>
    <t>STHBKK012102002045</t>
  </si>
  <si>
    <t>นาย ว่าที่ ร.ต.ประสิทธิ์ - ธนพร รูปขำดี</t>
  </si>
  <si>
    <t>STHBKK012102002046</t>
  </si>
  <si>
    <t>STHBKK012102002047</t>
  </si>
  <si>
    <t>STHBKK012102002048</t>
  </si>
  <si>
    <t>STHBKK012102002049</t>
  </si>
  <si>
    <t>นาง จุฬาอาภากรเกียรติ อ่ำเอี่ยม</t>
  </si>
  <si>
    <t>STHBKK012102002050</t>
  </si>
  <si>
    <t>STHBKK012102002051</t>
  </si>
  <si>
    <t>STHBKK012102002052</t>
  </si>
  <si>
    <t>นาย นายศุภชัย บังไซ</t>
  </si>
  <si>
    <t>STHBKK012102002053</t>
  </si>
  <si>
    <t>STHBKK012102002055</t>
  </si>
  <si>
    <t>STHBKK012102002056</t>
  </si>
  <si>
    <t>STHBKK012102002058</t>
  </si>
  <si>
    <t>STHBKK012102002059</t>
  </si>
  <si>
    <t>STHBKK012102002060</t>
  </si>
  <si>
    <t>STHBKK012102002061</t>
  </si>
  <si>
    <t>PHIROM SAN</t>
  </si>
  <si>
    <t>STHBKK012102002062</t>
  </si>
  <si>
    <t>STHBKK012102002063</t>
  </si>
  <si>
    <t>นาง ประทุม หวังแก้ว</t>
  </si>
  <si>
    <t>STHBKK012102002064</t>
  </si>
  <si>
    <t>STHBKK012102002065</t>
  </si>
  <si>
    <t>STHBKK012102002066</t>
  </si>
  <si>
    <t>วิษณุ สามล</t>
  </si>
  <si>
    <t>STHBKK012102002067</t>
  </si>
  <si>
    <t>STHBKK012102002068</t>
  </si>
  <si>
    <t>STHBKK012102002070</t>
  </si>
  <si>
    <t>STHBKK012102002071</t>
  </si>
  <si>
    <t>STHBKK012102002072</t>
  </si>
  <si>
    <t>STHBKK012102002073</t>
  </si>
  <si>
    <t>นางสาว ซุ้มแก้ว ไชยสงเคราะห์</t>
  </si>
  <si>
    <t>STHBKK012102002074</t>
  </si>
  <si>
    <t>STHBKK012102002075</t>
  </si>
  <si>
    <t>STHBKK012102002076</t>
  </si>
  <si>
    <t>STHBKK012102002077</t>
  </si>
  <si>
    <t>STHBKK012102002078</t>
  </si>
  <si>
    <t>STHBKK012102002079</t>
  </si>
  <si>
    <t>STHBKK012102002081</t>
  </si>
  <si>
    <t>STHBKK012102002082</t>
  </si>
  <si>
    <t>นาง เรณู เนินทอง</t>
  </si>
  <si>
    <t>STHBKK012102002083</t>
  </si>
  <si>
    <t>STHBKK012102002084</t>
  </si>
  <si>
    <t>นาง รัชนี ขันทอง</t>
  </si>
  <si>
    <t>STHBKK012102002085</t>
  </si>
  <si>
    <t>นาย ปุณณภพ เชิดชูศิลป์</t>
  </si>
  <si>
    <t>STHBKK012102002086</t>
  </si>
  <si>
    <t>STHBKK012102002087</t>
  </si>
  <si>
    <t>STHBKK012102002088</t>
  </si>
  <si>
    <t>STHBKK012102002090</t>
  </si>
  <si>
    <t>STHBKK012102002092</t>
  </si>
  <si>
    <t>STHBKK012102002094</t>
  </si>
  <si>
    <t>STHBKK012102002095</t>
  </si>
  <si>
    <t>MR CHEM PRA</t>
  </si>
  <si>
    <t>STHBKK012102002097</t>
  </si>
  <si>
    <t>นางสาว พัชฎาพร ผลอินทร์</t>
  </si>
  <si>
    <t>STHBKK012102002098</t>
  </si>
  <si>
    <t>STHBKK012102002099</t>
  </si>
  <si>
    <t>STHBKK012102002100</t>
  </si>
  <si>
    <t>STHBKK012102002101</t>
  </si>
  <si>
    <t>STHBKK012102002102</t>
  </si>
  <si>
    <t>STHBKK012102002103</t>
  </si>
  <si>
    <t>STHBKK012102002104</t>
  </si>
  <si>
    <t>STHBKK012102002105</t>
  </si>
  <si>
    <t>STHBKK012102002109</t>
  </si>
  <si>
    <t>นาง รุ่งรัตน์ ศรสุรินทร์</t>
  </si>
  <si>
    <t>STHBKK012102002110</t>
  </si>
  <si>
    <t>STHBKK012102002111</t>
  </si>
  <si>
    <t>STHBKK012102002112</t>
  </si>
  <si>
    <t>STHBKK012102002113</t>
  </si>
  <si>
    <t>นาย รุสดี หลังเกต</t>
  </si>
  <si>
    <t>STHBKK012102002114</t>
  </si>
  <si>
    <t>STHBKK012102002115</t>
  </si>
  <si>
    <t>STHBKK012102002116</t>
  </si>
  <si>
    <t>นาย มงคล เพ็งเคียน</t>
  </si>
  <si>
    <t>STHBKK012102002117</t>
  </si>
  <si>
    <t>STHBKK012102002118</t>
  </si>
  <si>
    <t>STHBKK012102002120</t>
  </si>
  <si>
    <t>PHA PHEAKDEY</t>
  </si>
  <si>
    <t>STHBKK012102002121</t>
  </si>
  <si>
    <t>STHBKK012102002122</t>
  </si>
  <si>
    <t>นาย ครองภพ พนากุลชัยวิทย์</t>
  </si>
  <si>
    <t>STHBKK012102002123</t>
  </si>
  <si>
    <t>นางสาว นันทินี ขำน้ำคู้</t>
  </si>
  <si>
    <t>STHBKK012102002124</t>
  </si>
  <si>
    <t>นาง สาริศา นุ้ยไม</t>
  </si>
  <si>
    <t>STHBKK012102002125</t>
  </si>
  <si>
    <t>กัญญรัตน์ ศรีสมทรัพย์</t>
  </si>
  <si>
    <t>STHBKK012102002126</t>
  </si>
  <si>
    <t>STHBKK012102002127</t>
  </si>
  <si>
    <t>STHBKK012102002128</t>
  </si>
  <si>
    <t>วีรกร พงษ์วัน</t>
  </si>
  <si>
    <t>STHBKK012102002129</t>
  </si>
  <si>
    <t>STHBKK012102002130</t>
  </si>
  <si>
    <t>นางสาว ศุภกานต์ สังข์สุวรรณ</t>
  </si>
  <si>
    <t>STHONLIN2102000471</t>
  </si>
  <si>
    <t>STHONLIN2102000472</t>
  </si>
  <si>
    <t>STHONLIN2102000474</t>
  </si>
  <si>
    <t>STHONLIN2102000477</t>
  </si>
  <si>
    <t>STHONLIN2102000478</t>
  </si>
  <si>
    <t>STHONLIN2102000479</t>
  </si>
  <si>
    <t>นางสาว พลอยชล อติพรวณิชย์</t>
  </si>
  <si>
    <t>STHONLIN2102000480</t>
  </si>
  <si>
    <t>STHONLIN2102000481</t>
  </si>
  <si>
    <t>STHONLIN2102000484</t>
  </si>
  <si>
    <t>STHONLIN2102000485</t>
  </si>
  <si>
    <t>STHONLIN2102000487</t>
  </si>
  <si>
    <t>DAILY  SALE  28 FEB 2021</t>
  </si>
  <si>
    <t>STHBKK012102002131</t>
  </si>
  <si>
    <t>STHBKK012102002132</t>
  </si>
  <si>
    <t>นางสาว อัจฉรา ชุนเจริญ</t>
  </si>
  <si>
    <t>STHBKK012102002133</t>
  </si>
  <si>
    <t>นาง สากล สารีนันท์</t>
  </si>
  <si>
    <t>STHBKK012102002134</t>
  </si>
  <si>
    <t>STHBKK012102002135</t>
  </si>
  <si>
    <t>STHBKK012102002136</t>
  </si>
  <si>
    <t>STHBKK012102002137</t>
  </si>
  <si>
    <t>STHBKK012102002138</t>
  </si>
  <si>
    <t>STHBKK012102002139</t>
  </si>
  <si>
    <t>STHBKK012102002140</t>
  </si>
  <si>
    <t>STHBKK012102002141</t>
  </si>
  <si>
    <t>STHBKK012102002142</t>
  </si>
  <si>
    <t>STHBKK012102002143</t>
  </si>
  <si>
    <t>STHBKK012102002144</t>
  </si>
  <si>
    <t>STHBKK012102002145</t>
  </si>
  <si>
    <t>STHBKK012102002146</t>
  </si>
  <si>
    <t>STHBKK012102002147</t>
  </si>
  <si>
    <t>STHBKK012102002148</t>
  </si>
  <si>
    <t>STHBKK012102002149</t>
  </si>
  <si>
    <t>STHBKK012102002150</t>
  </si>
  <si>
    <t>STHBKK012102002151</t>
  </si>
  <si>
    <t>STHBKK012102002152</t>
  </si>
  <si>
    <t>STHBKK012102002153</t>
  </si>
  <si>
    <t>STHBKK012102002155</t>
  </si>
  <si>
    <t>นาย นิรัน มงคลไทย</t>
  </si>
  <si>
    <t>STHBKK012102002156</t>
  </si>
  <si>
    <t>STHBKK012102002159</t>
  </si>
  <si>
    <t>STHBKK012102002160</t>
  </si>
  <si>
    <t>นางสาว สุวรรณ นำประทีป</t>
  </si>
  <si>
    <t>STHBKK012102002161</t>
  </si>
  <si>
    <t>STHBKK012102002162</t>
  </si>
  <si>
    <t>STHBKK012102002163</t>
  </si>
  <si>
    <t>STHBKK012102002164</t>
  </si>
  <si>
    <t>นางสาว สมหวัง ไชยพันธ์</t>
  </si>
  <si>
    <t>STHBKK012102002165</t>
  </si>
  <si>
    <t>สมพรรณ์ ปัดนา</t>
  </si>
  <si>
    <t>STHBKK012102002167</t>
  </si>
  <si>
    <t>STHBKK012102002168</t>
  </si>
  <si>
    <t>นาง เตือนใจ วงศ์ปัดสา</t>
  </si>
  <si>
    <t>STHBKK012102002169</t>
  </si>
  <si>
    <t>นางสาว ชรินรัตน์ น้อยคำ</t>
  </si>
  <si>
    <t>STHBKK012102002170</t>
  </si>
  <si>
    <t>นาง นงลักษณ์ กงวิรัตน์</t>
  </si>
  <si>
    <t>STHBKK012102002171</t>
  </si>
  <si>
    <t>STHBKK012102002172</t>
  </si>
  <si>
    <t>STHBKK012102002173</t>
  </si>
  <si>
    <t>STHBKK012102002174</t>
  </si>
  <si>
    <t>STHBKK012102002175</t>
  </si>
  <si>
    <t>STHBKK012102002178</t>
  </si>
  <si>
    <t>นาง อุ่นเรือน ศุภลักษณ์</t>
  </si>
  <si>
    <t>STHBKK012102002179</t>
  </si>
  <si>
    <t>STHBKK012102002180</t>
  </si>
  <si>
    <t>นาง กิรณา เพ็งโต</t>
  </si>
  <si>
    <t>STHBKK012102002181</t>
  </si>
  <si>
    <t>นาย สมยศ น้ำเพชร</t>
  </si>
  <si>
    <t>STHBKK012102002183</t>
  </si>
  <si>
    <t>นาง สินีนาถ เกษแก้ว</t>
  </si>
  <si>
    <t>STHBKK012102002184</t>
  </si>
  <si>
    <t>นาง ธัญพร คหัฎฐา</t>
  </si>
  <si>
    <t>STHBKK012102002185</t>
  </si>
  <si>
    <t>STHBKK012102002186</t>
  </si>
  <si>
    <t>นางสาว อุษา มาตย์นอก</t>
  </si>
  <si>
    <t>STHBKK012102002187</t>
  </si>
  <si>
    <t>นางสาว มาเรียม ถินขาว</t>
  </si>
  <si>
    <t>STHBKK012102002188</t>
  </si>
  <si>
    <t>STHBKK012102002189</t>
  </si>
  <si>
    <t>STHBKK012102002190</t>
  </si>
  <si>
    <t>นาง เพลิน รายสันเทียะ</t>
  </si>
  <si>
    <t>STHBKK012102002191</t>
  </si>
  <si>
    <t>STHBKK012102002192</t>
  </si>
  <si>
    <t>STHBKK012102002193</t>
  </si>
  <si>
    <t>นาย อภิวัฒน์ สำรองพันธ์</t>
  </si>
  <si>
    <t>STHBKK012102002194</t>
  </si>
  <si>
    <t>STHBKK012102002195</t>
  </si>
  <si>
    <t>STHBKK012102002196</t>
  </si>
  <si>
    <t>STHBKK012102002197</t>
  </si>
  <si>
    <t>นางสาว ณัชชารีย์ ผิวจันทร์</t>
  </si>
  <si>
    <t>STHBKK012102002198</t>
  </si>
  <si>
    <t>STHBKK012102002199</t>
  </si>
  <si>
    <t>นางสาว รตนพร สุนทรารักษ์</t>
  </si>
  <si>
    <t>STHBKK012102002200</t>
  </si>
  <si>
    <t>STHBKK012102002201</t>
  </si>
  <si>
    <t>STHBKK012102002204</t>
  </si>
  <si>
    <t>STHBKK012102002205</t>
  </si>
  <si>
    <t>STHBKK012102002207</t>
  </si>
  <si>
    <t>STHBKK012102002209</t>
  </si>
  <si>
    <t>STHBKK012102002210</t>
  </si>
  <si>
    <t>STHBKK012102002211</t>
  </si>
  <si>
    <t>STHBKK012102002212</t>
  </si>
  <si>
    <t>STHBKK012102002213</t>
  </si>
  <si>
    <t>STHBKK012102002214</t>
  </si>
  <si>
    <t>STHBKK012102002215</t>
  </si>
  <si>
    <t>STHBKK012102002216</t>
  </si>
  <si>
    <t>นางสาว เพ็ญรุ่ง ชินะวนิชกิจ</t>
  </si>
  <si>
    <t>STHBKK012102002217</t>
  </si>
  <si>
    <t>นาย ศิริศาสตร์ วีระวัธนชัย</t>
  </si>
  <si>
    <t>STHBKK012102002218</t>
  </si>
  <si>
    <t>STHBKK012102002219</t>
  </si>
  <si>
    <t>STHBKK012102002220</t>
  </si>
  <si>
    <t>STHBKK012102002221</t>
  </si>
  <si>
    <t>STHBKK012102002222</t>
  </si>
  <si>
    <t>STHBKK012102002223</t>
  </si>
  <si>
    <t>นาย จรัญ โชติจิตราเดช</t>
  </si>
  <si>
    <t>STHBKK012102002224</t>
  </si>
  <si>
    <t>สรรเสริญ จันทร์แดง</t>
  </si>
  <si>
    <t>STHBKK012102002225</t>
  </si>
  <si>
    <t>STHBKK012102002226</t>
  </si>
  <si>
    <t>STHBKK012102002227</t>
  </si>
  <si>
    <t>STHBKK012102002228</t>
  </si>
  <si>
    <t>STHBKK012102002230</t>
  </si>
  <si>
    <t>STHBKK012102002231</t>
  </si>
  <si>
    <t>STHBKK012102002232</t>
  </si>
  <si>
    <t>STHBKK012102002234</t>
  </si>
  <si>
    <t>STHONLIN2102000491</t>
  </si>
  <si>
    <t>STHONLIN2102000493</t>
  </si>
  <si>
    <t>STHONLIN2102000499</t>
  </si>
  <si>
    <t>STHONLIN2102000503</t>
  </si>
  <si>
    <t>STHONLIN2102000504</t>
  </si>
  <si>
    <t>STHONLIN2102000505</t>
  </si>
  <si>
    <t>STHONLIN2102000506</t>
  </si>
  <si>
    <t>STHONLIN2102000507</t>
  </si>
  <si>
    <t>บริษัทจำกัด พีเคพี เทรดเดอร์</t>
  </si>
  <si>
    <t>STHONLIN2102000509</t>
  </si>
  <si>
    <t>นางสาว เมทิกา ทองประสม</t>
  </si>
  <si>
    <t>STHONLIN2102000510</t>
  </si>
  <si>
    <t>นางสาว วรกาญจน์ ตติยรัตนาภรณ์</t>
  </si>
  <si>
    <t>STHONLIN2102000511</t>
  </si>
  <si>
    <t>นางสาว บงนภัฐ สามารถ</t>
  </si>
  <si>
    <t>STHONLIN2102000516</t>
  </si>
  <si>
    <t>STHONLIN2102000517</t>
  </si>
  <si>
    <t>STHONLIN2102000518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</si>
</sst>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_);\(#,###\)"/>
  </numFmts>
  <fonts count="48">
    <font>
      <sz val="10.0"/>
      <color rgb="FF000000"/>
      <name val="Arial"/>
      <scheme val="minor"/>
    </font>
    <font>
      <b/>
      <sz val="21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/>
    <font>
      <sz val="14.0"/>
      <color rgb="FF000000"/>
      <name val="Calibri"/>
    </font>
    <font>
      <color rgb="FFFF0000"/>
      <name val="Arial"/>
    </font>
    <font>
      <sz val="14.0"/>
      <color rgb="FFF1C232"/>
      <name val="Calibri"/>
    </font>
    <font>
      <sz val="14.0"/>
      <color rgb="FF38761D"/>
      <name val="Calibri"/>
    </font>
    <font>
      <sz val="12.0"/>
      <color rgb="FF000000"/>
      <name val="Arial"/>
    </font>
    <font>
      <sz val="14.0"/>
      <color rgb="FF9900FF"/>
      <name val="Calibri"/>
    </font>
    <font>
      <color theme="5"/>
      <name val="Arial"/>
    </font>
    <font>
      <color rgb="FF0000FF"/>
      <name val="Arial"/>
    </font>
    <font>
      <sz val="14.0"/>
      <color rgb="FFFF0000"/>
      <name val="Calibri"/>
    </font>
    <font>
      <color theme="1"/>
      <name val="Arial"/>
    </font>
    <font>
      <b/>
      <sz val="14.0"/>
      <color rgb="FFFF0066"/>
      <name val="Calibri"/>
    </font>
    <font>
      <sz val="13.0"/>
      <color rgb="FF000000"/>
      <name val="Calibri"/>
    </font>
    <font>
      <sz val="13.0"/>
      <color rgb="FFFF0000"/>
      <name val="Arial"/>
    </font>
    <font>
      <sz val="13.0"/>
      <color rgb="FFFF9900"/>
      <name val="Arial"/>
    </font>
    <font>
      <sz val="13.0"/>
      <color rgb="FF6AA84F"/>
      <name val="Arial"/>
    </font>
    <font>
      <sz val="13.0"/>
      <color rgb="FF000000"/>
      <name val="Arial"/>
    </font>
    <font>
      <sz val="13.0"/>
      <color rgb="FF0000FF"/>
      <name val="Arial"/>
    </font>
    <font>
      <sz val="13.0"/>
      <color rgb="FFCC0000"/>
      <name val="Arial"/>
    </font>
    <font>
      <sz val="13.0"/>
      <color rgb="FFEA9999"/>
      <name val="Arial"/>
    </font>
    <font>
      <sz val="13.0"/>
      <color theme="1"/>
      <name val="Arial"/>
    </font>
    <font>
      <color theme="1"/>
      <name val="Arial"/>
      <scheme val="minor"/>
    </font>
    <font>
      <sz val="14.0"/>
      <color rgb="FF000000"/>
      <name val="Arial"/>
    </font>
    <font>
      <sz val="11.0"/>
      <color rgb="FF000000"/>
      <name val="Tahoma"/>
    </font>
    <font>
      <color rgb="FFEA4335"/>
      <name val="Arial"/>
    </font>
    <font>
      <sz val="14.0"/>
      <color rgb="FF0000FF"/>
      <name val="Arial"/>
    </font>
    <font>
      <sz val="12.0"/>
      <color rgb="FFFF0000"/>
      <name val="Arial"/>
    </font>
    <font>
      <sz val="14.0"/>
      <color theme="5"/>
      <name val="Calibri"/>
    </font>
    <font>
      <sz val="14.0"/>
      <color rgb="FFEA4335"/>
      <name val="Calibri"/>
    </font>
    <font>
      <sz val="14.0"/>
      <color rgb="FFFF0000"/>
      <name val="Arial"/>
    </font>
    <font>
      <sz val="14.0"/>
      <color rgb="FF000000"/>
      <name val="Tahoma"/>
    </font>
    <font>
      <sz val="13.0"/>
      <color rgb="FFF1C232"/>
      <name val="Calibri"/>
    </font>
    <font>
      <sz val="13.0"/>
      <color rgb="FF38761D"/>
      <name val="Calibri"/>
    </font>
    <font>
      <sz val="13.0"/>
      <color rgb="FF0000FF"/>
      <name val="Calibri"/>
    </font>
    <font>
      <sz val="13.0"/>
      <color theme="5"/>
      <name val="Calibri"/>
    </font>
    <font>
      <sz val="13.0"/>
      <color rgb="FFEA4335"/>
      <name val="Calibri"/>
    </font>
    <font>
      <sz val="13.0"/>
      <color rgb="FF0000FF"/>
      <name val="Arial"/>
      <scheme val="minor"/>
    </font>
    <font>
      <sz val="14.0"/>
      <color rgb="FF0000FF"/>
      <name val="Calibri"/>
    </font>
    <font>
      <sz val="13.0"/>
      <color rgb="FFFF0000"/>
      <name val="Calibri"/>
    </font>
    <font>
      <b/>
      <sz val="16.0"/>
      <color rgb="FFFF0066"/>
      <name val="Calibri"/>
    </font>
    <font>
      <sz val="16.0"/>
      <color rgb="FFFF0000"/>
      <name val="Calibri"/>
    </font>
    <font>
      <b/>
      <sz val="18.0"/>
      <color rgb="FF000000"/>
      <name val="Calibri"/>
    </font>
    <font>
      <b/>
      <sz val="24.0"/>
      <color rgb="FF000000"/>
      <name val="Calibri"/>
    </font>
    <font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2" fillId="3" fontId="2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3" fontId="3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left" readingOrder="0" shrinkToFit="0" vertical="bottom" wrapText="0"/>
    </xf>
    <xf borderId="7" fillId="0" fontId="6" numFmtId="38" xfId="0" applyAlignment="1" applyBorder="1" applyFont="1" applyNumberFormat="1">
      <alignment vertical="bottom"/>
    </xf>
    <xf borderId="7" fillId="0" fontId="7" numFmtId="38" xfId="0" applyAlignment="1" applyBorder="1" applyFont="1" applyNumberFormat="1">
      <alignment vertical="bottom"/>
    </xf>
    <xf borderId="7" fillId="0" fontId="8" numFmtId="38" xfId="0" applyAlignment="1" applyBorder="1" applyFont="1" applyNumberFormat="1">
      <alignment vertical="bottom"/>
    </xf>
    <xf borderId="7" fillId="0" fontId="9" numFmtId="38" xfId="0" applyAlignment="1" applyBorder="1" applyFont="1" applyNumberFormat="1">
      <alignment horizontal="center" readingOrder="0" vertical="bottom"/>
    </xf>
    <xf borderId="7" fillId="0" fontId="10" numFmtId="38" xfId="0" applyAlignment="1" applyBorder="1" applyFont="1" applyNumberFormat="1">
      <alignment readingOrder="0" vertical="bottom"/>
    </xf>
    <xf borderId="7" fillId="0" fontId="11" numFmtId="38" xfId="0" applyAlignment="1" applyBorder="1" applyFont="1" applyNumberFormat="1">
      <alignment vertical="bottom"/>
    </xf>
    <xf borderId="7" fillId="0" fontId="12" numFmtId="38" xfId="0" applyAlignment="1" applyBorder="1" applyFont="1" applyNumberFormat="1">
      <alignment vertical="bottom"/>
    </xf>
    <xf borderId="7" fillId="0" fontId="5" numFmtId="38" xfId="0" applyAlignment="1" applyBorder="1" applyFont="1" applyNumberFormat="1">
      <alignment horizontal="right" readingOrder="0" shrinkToFit="0" vertical="bottom" wrapText="0"/>
    </xf>
    <xf borderId="7" fillId="4" fontId="13" numFmtId="38" xfId="0" applyAlignment="1" applyBorder="1" applyFill="1" applyFont="1" applyNumberFormat="1">
      <alignment horizontal="center" vertical="bottom"/>
    </xf>
    <xf borderId="7" fillId="0" fontId="9" numFmtId="38" xfId="0" applyAlignment="1" applyBorder="1" applyFont="1" applyNumberFormat="1">
      <alignment horizontal="center" vertical="bottom"/>
    </xf>
    <xf borderId="7" fillId="0" fontId="10" numFmtId="38" xfId="0" applyAlignment="1" applyBorder="1" applyFont="1" applyNumberFormat="1">
      <alignment vertical="bottom"/>
    </xf>
    <xf borderId="7" fillId="0" fontId="7" numFmtId="38" xfId="0" applyAlignment="1" applyBorder="1" applyFont="1" applyNumberFormat="1">
      <alignment readingOrder="0" vertical="bottom"/>
    </xf>
    <xf borderId="7" fillId="0" fontId="6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readingOrder="0" vertical="bottom"/>
    </xf>
    <xf borderId="7" fillId="0" fontId="8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vertical="bottom"/>
    </xf>
    <xf borderId="7" fillId="0" fontId="14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15" numFmtId="164" xfId="0" applyAlignment="1" applyBorder="1" applyFont="1" applyNumberFormat="1">
      <alignment horizontal="center" vertical="bottom"/>
    </xf>
    <xf borderId="0" fillId="0" fontId="14" numFmtId="0" xfId="0" applyAlignment="1" applyFont="1">
      <alignment vertical="bottom"/>
    </xf>
    <xf borderId="2" fillId="0" fontId="3" numFmtId="164" xfId="0" applyAlignment="1" applyBorder="1" applyFont="1" applyNumberFormat="1">
      <alignment horizontal="center" readingOrder="0" vertical="bottom"/>
    </xf>
    <xf borderId="0" fillId="0" fontId="14" numFmtId="4" xfId="0" applyAlignment="1" applyFont="1" applyNumberFormat="1">
      <alignment vertical="bottom"/>
    </xf>
    <xf borderId="7" fillId="0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horizontal="left" readingOrder="0" shrinkToFit="0" vertical="bottom" wrapText="0"/>
    </xf>
    <xf borderId="7" fillId="0" fontId="17" numFmtId="38" xfId="0" applyAlignment="1" applyBorder="1" applyFont="1" applyNumberFormat="1">
      <alignment readingOrder="0" vertical="bottom"/>
    </xf>
    <xf borderId="7" fillId="0" fontId="18" numFmtId="38" xfId="0" applyAlignment="1" applyBorder="1" applyFont="1" applyNumberFormat="1">
      <alignment vertical="bottom"/>
    </xf>
    <xf borderId="7" fillId="0" fontId="19" numFmtId="38" xfId="0" applyAlignment="1" applyBorder="1" applyFont="1" applyNumberFormat="1">
      <alignment vertical="bottom"/>
    </xf>
    <xf borderId="7" fillId="0" fontId="20" numFmtId="38" xfId="0" applyAlignment="1" applyBorder="1" applyFont="1" applyNumberFormat="1">
      <alignment horizontal="center" readingOrder="0" vertical="bottom"/>
    </xf>
    <xf borderId="7" fillId="0" fontId="21" numFmtId="38" xfId="0" applyAlignment="1" applyBorder="1" applyFont="1" applyNumberFormat="1">
      <alignment readingOrder="0" vertical="bottom"/>
    </xf>
    <xf borderId="7" fillId="0" fontId="22" numFmtId="38" xfId="0" applyAlignment="1" applyBorder="1" applyFont="1" applyNumberFormat="1">
      <alignment vertical="bottom"/>
    </xf>
    <xf borderId="7" fillId="0" fontId="23" numFmtId="38" xfId="0" applyAlignment="1" applyBorder="1" applyFont="1" applyNumberFormat="1">
      <alignment readingOrder="0" vertical="bottom"/>
    </xf>
    <xf borderId="7" fillId="0" fontId="16" numFmtId="38" xfId="0" applyAlignment="1" applyBorder="1" applyFont="1" applyNumberFormat="1">
      <alignment horizontal="right" readingOrder="0" shrinkToFit="0" vertical="bottom" wrapText="0"/>
    </xf>
    <xf borderId="7" fillId="0" fontId="17" numFmtId="38" xfId="0" applyAlignment="1" applyBorder="1" applyFont="1" applyNumberFormat="1">
      <alignment vertical="bottom"/>
    </xf>
    <xf borderId="7" fillId="0" fontId="22" numFmtId="38" xfId="0" applyAlignment="1" applyBorder="1" applyFont="1" applyNumberFormat="1">
      <alignment readingOrder="0" vertical="bottom"/>
    </xf>
    <xf borderId="7" fillId="0" fontId="23" numFmtId="38" xfId="0" applyAlignment="1" applyBorder="1" applyFont="1" applyNumberFormat="1">
      <alignment vertical="bottom"/>
    </xf>
    <xf borderId="7" fillId="0" fontId="18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horizontal="center" readingOrder="0" vertical="bottom"/>
    </xf>
    <xf borderId="7" fillId="0" fontId="21" numFmtId="38" xfId="0" applyAlignment="1" applyBorder="1" applyFont="1" applyNumberFormat="1">
      <alignment vertical="bottom"/>
    </xf>
    <xf borderId="7" fillId="0" fontId="19" numFmtId="38" xfId="0" applyAlignment="1" applyBorder="1" applyFont="1" applyNumberFormat="1">
      <alignment readingOrder="0" vertical="bottom"/>
    </xf>
    <xf borderId="7" fillId="0" fontId="16" numFmtId="0" xfId="0" applyAlignment="1" applyBorder="1" applyFont="1">
      <alignment vertical="bottom"/>
    </xf>
    <xf borderId="7" fillId="0" fontId="24" numFmtId="0" xfId="0" applyAlignment="1" applyBorder="1" applyFont="1">
      <alignment vertical="bottom"/>
    </xf>
    <xf borderId="0" fillId="0" fontId="25" numFmtId="0" xfId="0" applyAlignment="1" applyFont="1">
      <alignment readingOrder="0"/>
    </xf>
    <xf borderId="7" fillId="0" fontId="16" numFmtId="0" xfId="0" applyAlignment="1" applyBorder="1" applyFont="1">
      <alignment readingOrder="0" shrinkToFit="0" vertical="bottom" wrapText="0"/>
    </xf>
    <xf borderId="7" fillId="0" fontId="26" numFmtId="38" xfId="0" applyAlignment="1" applyBorder="1" applyFont="1" applyNumberFormat="1">
      <alignment horizontal="right" readingOrder="0" shrinkToFit="0" vertical="bottom" wrapText="0"/>
    </xf>
    <xf borderId="7" fillId="0" fontId="27" numFmtId="0" xfId="0" applyAlignment="1" applyBorder="1" applyFont="1">
      <alignment horizontal="left" readingOrder="0" shrinkToFit="0" vertical="bottom" wrapText="0"/>
    </xf>
    <xf borderId="7" fillId="0" fontId="27" numFmtId="0" xfId="0" applyAlignment="1" applyBorder="1" applyFont="1">
      <alignment horizontal="center" readingOrder="0" shrinkToFit="0" vertical="bottom" wrapText="0"/>
    </xf>
    <xf borderId="7" fillId="0" fontId="27" numFmtId="38" xfId="0" applyAlignment="1" applyBorder="1" applyFont="1" applyNumberFormat="1">
      <alignment horizontal="right" readingOrder="0" shrinkToFit="0" vertical="bottom" wrapText="0"/>
    </xf>
    <xf borderId="7" fillId="0" fontId="28" numFmtId="38" xfId="0" applyAlignment="1" applyBorder="1" applyFont="1" applyNumberFormat="1">
      <alignment readingOrder="0" vertical="bottom"/>
    </xf>
    <xf borderId="7" fillId="0" fontId="5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vertical="bottom"/>
    </xf>
    <xf borderId="0" fillId="0" fontId="25" numFmtId="0" xfId="0" applyAlignment="1" applyFont="1">
      <alignment horizontal="center"/>
    </xf>
    <xf borderId="7" fillId="0" fontId="26" numFmtId="0" xfId="0" applyAlignment="1" applyBorder="1" applyFont="1">
      <alignment horizontal="left" readingOrder="0" shrinkToFit="0" vertical="bottom" wrapText="0"/>
    </xf>
    <xf borderId="7" fillId="0" fontId="29" numFmtId="38" xfId="0" applyAlignment="1" applyBorder="1" applyFont="1" applyNumberFormat="1">
      <alignment readingOrder="0" vertical="bottom"/>
    </xf>
    <xf borderId="7" fillId="0" fontId="30" numFmtId="38" xfId="0" applyAlignment="1" applyBorder="1" applyFont="1" applyNumberFormat="1">
      <alignment vertical="bottom"/>
    </xf>
    <xf borderId="7" fillId="0" fontId="31" numFmtId="38" xfId="0" applyAlignment="1" applyBorder="1" applyFont="1" applyNumberFormat="1">
      <alignment vertical="bottom"/>
    </xf>
    <xf borderId="7" fillId="0" fontId="30" numFmtId="38" xfId="0" applyAlignment="1" applyBorder="1" applyFont="1" applyNumberFormat="1">
      <alignment readingOrder="0" vertical="bottom"/>
    </xf>
    <xf borderId="7" fillId="0" fontId="32" numFmtId="38" xfId="0" applyAlignment="1" applyBorder="1" applyFont="1" applyNumberFormat="1">
      <alignment readingOrder="0" vertical="bottom"/>
    </xf>
    <xf borderId="1" fillId="3" fontId="3" numFmtId="0" xfId="0" applyAlignment="1" applyBorder="1" applyFont="1">
      <alignment horizontal="left" vertical="bottom"/>
    </xf>
    <xf borderId="7" fillId="0" fontId="27" numFmtId="164" xfId="0" applyAlignment="1" applyBorder="1" applyFont="1" applyNumberFormat="1">
      <alignment horizontal="right" readingOrder="0" shrinkToFit="0" vertical="bottom" wrapText="0"/>
    </xf>
    <xf borderId="7" fillId="0" fontId="14" numFmtId="0" xfId="0" applyAlignment="1" applyBorder="1" applyFont="1">
      <alignment horizontal="left" vertical="bottom"/>
    </xf>
    <xf borderId="0" fillId="0" fontId="14" numFmtId="0" xfId="0" applyAlignment="1" applyFont="1">
      <alignment horizontal="left" vertical="bottom"/>
    </xf>
    <xf borderId="0" fillId="0" fontId="25" numFmtId="0" xfId="0" applyAlignment="1" applyFont="1">
      <alignment horizontal="left"/>
    </xf>
    <xf borderId="7" fillId="0" fontId="5" numFmtId="0" xfId="0" applyAlignment="1" applyBorder="1" applyFont="1">
      <alignment horizontal="center" readingOrder="0" vertical="bottom"/>
    </xf>
    <xf borderId="7" fillId="0" fontId="33" numFmtId="38" xfId="0" applyAlignment="1" applyBorder="1" applyFont="1" applyNumberFormat="1">
      <alignment vertical="bottom"/>
    </xf>
    <xf borderId="7" fillId="0" fontId="26" numFmtId="38" xfId="0" applyAlignment="1" applyBorder="1" applyFont="1" applyNumberFormat="1">
      <alignment horizontal="center" readingOrder="0" vertical="bottom"/>
    </xf>
    <xf borderId="7" fillId="0" fontId="33" numFmtId="38" xfId="0" applyAlignment="1" applyBorder="1" applyFont="1" applyNumberFormat="1">
      <alignment readingOrder="0" vertical="bottom"/>
    </xf>
    <xf borderId="7" fillId="0" fontId="34" numFmtId="38" xfId="0" applyAlignment="1" applyBorder="1" applyFont="1" applyNumberFormat="1">
      <alignment horizontal="right" readingOrder="0" shrinkToFit="0" vertical="bottom" wrapText="0"/>
    </xf>
    <xf borderId="7" fillId="0" fontId="35" numFmtId="38" xfId="0" applyAlignment="1" applyBorder="1" applyFont="1" applyNumberFormat="1">
      <alignment readingOrder="0" vertical="bottom"/>
    </xf>
    <xf borderId="7" fillId="0" fontId="36" numFmtId="38" xfId="0" applyAlignment="1" applyBorder="1" applyFont="1" applyNumberFormat="1">
      <alignment vertical="bottom"/>
    </xf>
    <xf borderId="7" fillId="0" fontId="37" numFmtId="38" xfId="0" applyAlignment="1" applyBorder="1" applyFont="1" applyNumberFormat="1">
      <alignment readingOrder="0" vertical="bottom"/>
    </xf>
    <xf borderId="7" fillId="0" fontId="38" numFmtId="38" xfId="0" applyAlignment="1" applyBorder="1" applyFont="1" applyNumberFormat="1">
      <alignment vertical="bottom"/>
    </xf>
    <xf borderId="7" fillId="0" fontId="39" numFmtId="38" xfId="0" applyAlignment="1" applyBorder="1" applyFont="1" applyNumberFormat="1">
      <alignment readingOrder="0" vertical="bottom"/>
    </xf>
    <xf borderId="7" fillId="0" fontId="40" numFmtId="0" xfId="0" applyAlignment="1" applyBorder="1" applyFont="1">
      <alignment readingOrder="0"/>
    </xf>
    <xf borderId="7" fillId="0" fontId="36" numFmtId="38" xfId="0" applyAlignment="1" applyBorder="1" applyFont="1" applyNumberFormat="1">
      <alignment readingOrder="0" vertical="bottom"/>
    </xf>
    <xf borderId="7" fillId="0" fontId="41" numFmtId="38" xfId="0" applyAlignment="1" applyBorder="1" applyFont="1" applyNumberFormat="1">
      <alignment readingOrder="0" vertical="bottom"/>
    </xf>
    <xf borderId="7" fillId="0" fontId="42" numFmtId="38" xfId="0" applyAlignment="1" applyBorder="1" applyFont="1" applyNumberFormat="1">
      <alignment readingOrder="0" vertical="bottom"/>
    </xf>
    <xf borderId="7" fillId="0" fontId="16" numFmtId="38" xfId="0" applyAlignment="1" applyBorder="1" applyFont="1" applyNumberFormat="1">
      <alignment horizontal="center" readingOrder="0" vertical="bottom"/>
    </xf>
    <xf borderId="7" fillId="0" fontId="37" numFmtId="38" xfId="0" applyAlignment="1" applyBorder="1" applyFont="1" applyNumberFormat="1">
      <alignment vertical="bottom"/>
    </xf>
    <xf borderId="7" fillId="0" fontId="42" numFmtId="38" xfId="0" applyAlignment="1" applyBorder="1" applyFont="1" applyNumberFormat="1">
      <alignment vertical="bottom"/>
    </xf>
    <xf borderId="7" fillId="0" fontId="37" numFmtId="0" xfId="0" applyAlignment="1" applyBorder="1" applyFont="1">
      <alignment readingOrder="0"/>
    </xf>
    <xf borderId="7" fillId="0" fontId="34" numFmtId="0" xfId="0" applyAlignment="1" applyBorder="1" applyFont="1">
      <alignment horizontal="left" readingOrder="0" shrinkToFit="0" vertical="bottom" wrapText="0"/>
    </xf>
    <xf borderId="7" fillId="0" fontId="5" numFmtId="38" xfId="0" applyAlignment="1" applyBorder="1" applyFont="1" applyNumberFormat="1">
      <alignment horizontal="center" readingOrder="0" vertical="bottom"/>
    </xf>
    <xf borderId="7" fillId="0" fontId="41" numFmtId="38" xfId="0" applyAlignment="1" applyBorder="1" applyFont="1" applyNumberFormat="1">
      <alignment vertical="bottom"/>
    </xf>
    <xf borderId="7" fillId="0" fontId="41" numFmtId="0" xfId="0" applyAlignment="1" applyBorder="1" applyFont="1">
      <alignment readingOrder="0"/>
    </xf>
    <xf borderId="7" fillId="0" fontId="43" numFmtId="164" xfId="0" applyAlignment="1" applyBorder="1" applyFont="1" applyNumberFormat="1">
      <alignment horizontal="center" vertical="bottom"/>
    </xf>
    <xf borderId="7" fillId="4" fontId="44" numFmtId="38" xfId="0" applyAlignment="1" applyBorder="1" applyFont="1" applyNumberFormat="1">
      <alignment horizontal="center" vertical="bottom"/>
    </xf>
    <xf borderId="2" fillId="0" fontId="45" numFmtId="164" xfId="0" applyAlignment="1" applyBorder="1" applyFont="1" applyNumberFormat="1">
      <alignment horizontal="center" readingOrder="0" vertical="bottom"/>
    </xf>
    <xf borderId="0" fillId="2" fontId="46" numFmtId="0" xfId="0" applyAlignment="1" applyFont="1">
      <alignment horizontal="center" readingOrder="0" vertical="bottom"/>
    </xf>
    <xf borderId="7" fillId="0" fontId="34" numFmtId="0" xfId="0" applyAlignment="1" applyBorder="1" applyFont="1">
      <alignment horizontal="center" readingOrder="0" shrinkToFit="0" vertical="bottom" wrapText="0"/>
    </xf>
    <xf borderId="7" fillId="0" fontId="47" numFmtId="0" xfId="0" applyAlignment="1" applyBorder="1" applyFont="1">
      <alignment vertical="bottom"/>
    </xf>
    <xf borderId="7" fillId="0" fontId="47" numFmtId="0" xfId="0" applyAlignment="1" applyBorder="1" applyFont="1">
      <alignment horizontal="left" vertical="bottom"/>
    </xf>
    <xf borderId="0" fillId="0" fontId="47" numFmtId="0" xfId="0" applyAlignment="1" applyFont="1">
      <alignment vertical="bottom"/>
    </xf>
    <xf borderId="0" fillId="0" fontId="47" numFmtId="0" xfId="0" applyAlignment="1" applyFont="1">
      <alignment horizontal="center" vertical="bottom"/>
    </xf>
    <xf borderId="0" fillId="0" fontId="47" numFmtId="0" xfId="0" applyAlignment="1" applyFont="1">
      <alignment horizontal="left" vertical="bottom"/>
    </xf>
    <xf borderId="0" fillId="0" fontId="47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2.63"/>
    <col customWidth="1" min="4" max="4" width="40.88"/>
    <col customWidth="1" min="5" max="5" width="9.5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13" t="s">
        <v>17</v>
      </c>
      <c r="C5" s="13">
        <v>49270.0</v>
      </c>
      <c r="D5" s="13" t="s">
        <v>18</v>
      </c>
      <c r="E5" s="14"/>
      <c r="F5" s="15"/>
      <c r="G5" s="16"/>
      <c r="H5" s="17">
        <v>7650.0</v>
      </c>
      <c r="I5" s="18"/>
      <c r="J5" s="19"/>
      <c r="K5" s="20"/>
      <c r="L5" s="21">
        <v>7650.0</v>
      </c>
      <c r="M5" s="22">
        <f t="shared" ref="M5:M93" si="1">SUM(E5+F5+G5+H5+I5+J5+K5-L5)</f>
        <v>0</v>
      </c>
    </row>
    <row r="6">
      <c r="A6" s="12">
        <v>2.0</v>
      </c>
      <c r="B6" s="13" t="s">
        <v>19</v>
      </c>
      <c r="C6" s="13">
        <v>34956.0</v>
      </c>
      <c r="D6" s="13" t="s">
        <v>20</v>
      </c>
      <c r="E6" s="14"/>
      <c r="F6" s="15"/>
      <c r="G6" s="16"/>
      <c r="H6" s="23"/>
      <c r="I6" s="18">
        <v>2650.0</v>
      </c>
      <c r="J6" s="19"/>
      <c r="K6" s="20"/>
      <c r="L6" s="21">
        <v>2650.0</v>
      </c>
      <c r="M6" s="22">
        <f t="shared" si="1"/>
        <v>0</v>
      </c>
    </row>
    <row r="7">
      <c r="A7" s="12">
        <v>3.0</v>
      </c>
      <c r="B7" s="13" t="s">
        <v>21</v>
      </c>
      <c r="C7" s="13">
        <v>10269.0</v>
      </c>
      <c r="D7" s="13" t="s">
        <v>22</v>
      </c>
      <c r="E7" s="14"/>
      <c r="F7" s="15"/>
      <c r="G7" s="16"/>
      <c r="H7" s="17">
        <v>3600.0</v>
      </c>
      <c r="I7" s="24"/>
      <c r="J7" s="19"/>
      <c r="K7" s="20"/>
      <c r="L7" s="21">
        <v>3600.0</v>
      </c>
      <c r="M7" s="22">
        <f t="shared" si="1"/>
        <v>0</v>
      </c>
    </row>
    <row r="8">
      <c r="A8" s="12">
        <v>4.0</v>
      </c>
      <c r="B8" s="13" t="s">
        <v>23</v>
      </c>
      <c r="C8" s="13">
        <v>54581.0</v>
      </c>
      <c r="D8" s="13" t="s">
        <v>24</v>
      </c>
      <c r="E8" s="14"/>
      <c r="F8" s="25"/>
      <c r="G8" s="16"/>
      <c r="H8" s="17">
        <v>5150.0</v>
      </c>
      <c r="I8" s="24"/>
      <c r="J8" s="19"/>
      <c r="K8" s="20"/>
      <c r="L8" s="21">
        <v>5150.0</v>
      </c>
      <c r="M8" s="22">
        <f t="shared" si="1"/>
        <v>0</v>
      </c>
    </row>
    <row r="9">
      <c r="A9" s="12">
        <v>5.0</v>
      </c>
      <c r="B9" s="13" t="s">
        <v>25</v>
      </c>
      <c r="C9" s="13">
        <v>57883.0</v>
      </c>
      <c r="D9" s="13" t="s">
        <v>26</v>
      </c>
      <c r="E9" s="14"/>
      <c r="F9" s="25"/>
      <c r="G9" s="16"/>
      <c r="H9" s="17">
        <v>3600.0</v>
      </c>
      <c r="I9" s="24"/>
      <c r="J9" s="19"/>
      <c r="K9" s="20"/>
      <c r="L9" s="21">
        <v>3600.0</v>
      </c>
      <c r="M9" s="22">
        <f t="shared" si="1"/>
        <v>0</v>
      </c>
    </row>
    <row r="10">
      <c r="A10" s="12">
        <v>6.0</v>
      </c>
      <c r="B10" s="13" t="s">
        <v>27</v>
      </c>
      <c r="C10" s="13">
        <v>57884.0</v>
      </c>
      <c r="D10" s="13" t="s">
        <v>28</v>
      </c>
      <c r="E10" s="14"/>
      <c r="F10" s="25"/>
      <c r="G10" s="16"/>
      <c r="H10" s="17">
        <v>3600.0</v>
      </c>
      <c r="I10" s="24"/>
      <c r="J10" s="19"/>
      <c r="K10" s="20"/>
      <c r="L10" s="21">
        <v>3600.0</v>
      </c>
      <c r="M10" s="22">
        <f t="shared" si="1"/>
        <v>0</v>
      </c>
    </row>
    <row r="11">
      <c r="A11" s="12">
        <v>7.0</v>
      </c>
      <c r="B11" s="13" t="s">
        <v>29</v>
      </c>
      <c r="C11" s="13">
        <v>57891.0</v>
      </c>
      <c r="D11" s="13" t="s">
        <v>30</v>
      </c>
      <c r="E11" s="14"/>
      <c r="F11" s="25"/>
      <c r="G11" s="16"/>
      <c r="H11" s="17">
        <v>3600.0</v>
      </c>
      <c r="I11" s="24"/>
      <c r="J11" s="19"/>
      <c r="K11" s="20"/>
      <c r="L11" s="21">
        <v>3600.0</v>
      </c>
      <c r="M11" s="22">
        <f t="shared" si="1"/>
        <v>0</v>
      </c>
    </row>
    <row r="12">
      <c r="A12" s="12">
        <v>8.0</v>
      </c>
      <c r="B12" s="13" t="s">
        <v>31</v>
      </c>
      <c r="C12" s="13">
        <v>55780.0</v>
      </c>
      <c r="D12" s="13" t="s">
        <v>32</v>
      </c>
      <c r="E12" s="14"/>
      <c r="F12" s="25"/>
      <c r="G12" s="16"/>
      <c r="H12" s="23"/>
      <c r="I12" s="18">
        <v>8750.0</v>
      </c>
      <c r="J12" s="19"/>
      <c r="K12" s="20"/>
      <c r="L12" s="21">
        <v>8750.0</v>
      </c>
      <c r="M12" s="22">
        <f t="shared" si="1"/>
        <v>0</v>
      </c>
    </row>
    <row r="13">
      <c r="A13" s="12">
        <v>9.0</v>
      </c>
      <c r="B13" s="13" t="s">
        <v>33</v>
      </c>
      <c r="C13" s="13">
        <v>57885.0</v>
      </c>
      <c r="D13" s="13" t="s">
        <v>34</v>
      </c>
      <c r="E13" s="14"/>
      <c r="F13" s="25"/>
      <c r="G13" s="16"/>
      <c r="H13" s="17">
        <v>3600.0</v>
      </c>
      <c r="I13" s="24"/>
      <c r="J13" s="19"/>
      <c r="K13" s="20"/>
      <c r="L13" s="21">
        <v>3600.0</v>
      </c>
      <c r="M13" s="22">
        <f t="shared" si="1"/>
        <v>0</v>
      </c>
    </row>
    <row r="14">
      <c r="A14" s="12">
        <v>10.0</v>
      </c>
      <c r="B14" s="13" t="s">
        <v>35</v>
      </c>
      <c r="C14" s="13">
        <v>57887.0</v>
      </c>
      <c r="D14" s="13" t="s">
        <v>36</v>
      </c>
      <c r="E14" s="14"/>
      <c r="F14" s="25"/>
      <c r="G14" s="16"/>
      <c r="H14" s="17">
        <v>3600.0</v>
      </c>
      <c r="I14" s="24"/>
      <c r="J14" s="19"/>
      <c r="K14" s="20"/>
      <c r="L14" s="21">
        <v>3600.0</v>
      </c>
      <c r="M14" s="22">
        <f t="shared" si="1"/>
        <v>0</v>
      </c>
    </row>
    <row r="15">
      <c r="A15" s="12">
        <v>11.0</v>
      </c>
      <c r="B15" s="13" t="s">
        <v>37</v>
      </c>
      <c r="C15" s="13">
        <v>57937.0</v>
      </c>
      <c r="D15" s="13" t="s">
        <v>38</v>
      </c>
      <c r="E15" s="14"/>
      <c r="F15" s="25"/>
      <c r="G15" s="16"/>
      <c r="H15" s="17">
        <v>6350.0</v>
      </c>
      <c r="I15" s="24"/>
      <c r="J15" s="19"/>
      <c r="K15" s="20"/>
      <c r="L15" s="21">
        <v>6350.0</v>
      </c>
      <c r="M15" s="22">
        <f t="shared" si="1"/>
        <v>0</v>
      </c>
    </row>
    <row r="16">
      <c r="A16" s="12">
        <v>12.0</v>
      </c>
      <c r="B16" s="13" t="s">
        <v>39</v>
      </c>
      <c r="C16" s="13">
        <v>57944.0</v>
      </c>
      <c r="D16" s="13" t="s">
        <v>40</v>
      </c>
      <c r="E16" s="14"/>
      <c r="F16" s="25"/>
      <c r="G16" s="16"/>
      <c r="H16" s="17">
        <v>3600.0</v>
      </c>
      <c r="I16" s="24"/>
      <c r="J16" s="19"/>
      <c r="K16" s="20"/>
      <c r="L16" s="21">
        <v>3600.0</v>
      </c>
      <c r="M16" s="22">
        <f t="shared" si="1"/>
        <v>0</v>
      </c>
    </row>
    <row r="17">
      <c r="A17" s="12">
        <v>13.0</v>
      </c>
      <c r="B17" s="13" t="s">
        <v>41</v>
      </c>
      <c r="C17" s="13">
        <v>52669.0</v>
      </c>
      <c r="D17" s="13" t="s">
        <v>42</v>
      </c>
      <c r="E17" s="14"/>
      <c r="F17" s="25"/>
      <c r="G17" s="16"/>
      <c r="H17" s="17">
        <v>448.0</v>
      </c>
      <c r="I17" s="24"/>
      <c r="J17" s="19"/>
      <c r="K17" s="20"/>
      <c r="L17" s="21">
        <v>448.0</v>
      </c>
      <c r="M17" s="22">
        <f t="shared" si="1"/>
        <v>0</v>
      </c>
    </row>
    <row r="18">
      <c r="A18" s="12">
        <v>14.0</v>
      </c>
      <c r="B18" s="13" t="s">
        <v>43</v>
      </c>
      <c r="C18" s="13">
        <v>44149.0</v>
      </c>
      <c r="D18" s="13" t="s">
        <v>44</v>
      </c>
      <c r="E18" s="14"/>
      <c r="F18" s="25"/>
      <c r="G18" s="16"/>
      <c r="H18" s="17">
        <v>34500.0</v>
      </c>
      <c r="I18" s="24"/>
      <c r="J18" s="19"/>
      <c r="K18" s="20"/>
      <c r="L18" s="21">
        <v>34500.0</v>
      </c>
      <c r="M18" s="22">
        <f t="shared" si="1"/>
        <v>0</v>
      </c>
    </row>
    <row r="19">
      <c r="A19" s="12">
        <v>15.0</v>
      </c>
      <c r="B19" s="13" t="s">
        <v>45</v>
      </c>
      <c r="C19" s="13">
        <v>10001.0</v>
      </c>
      <c r="D19" s="13" t="s">
        <v>46</v>
      </c>
      <c r="E19" s="14"/>
      <c r="F19" s="25"/>
      <c r="G19" s="16"/>
      <c r="H19" s="17">
        <v>2650.0</v>
      </c>
      <c r="I19" s="24"/>
      <c r="J19" s="19"/>
      <c r="K19" s="20"/>
      <c r="L19" s="21">
        <v>2650.0</v>
      </c>
      <c r="M19" s="22">
        <f t="shared" si="1"/>
        <v>0</v>
      </c>
    </row>
    <row r="20">
      <c r="A20" s="12">
        <v>16.0</v>
      </c>
      <c r="B20" s="13" t="s">
        <v>47</v>
      </c>
      <c r="C20" s="13">
        <v>50871.0</v>
      </c>
      <c r="D20" s="13" t="s">
        <v>48</v>
      </c>
      <c r="E20" s="14"/>
      <c r="F20" s="25"/>
      <c r="G20" s="16"/>
      <c r="H20" s="17">
        <v>41750.0</v>
      </c>
      <c r="I20" s="24"/>
      <c r="J20" s="19"/>
      <c r="K20" s="20"/>
      <c r="L20" s="21">
        <v>41750.0</v>
      </c>
      <c r="M20" s="22">
        <f t="shared" si="1"/>
        <v>0</v>
      </c>
    </row>
    <row r="21">
      <c r="A21" s="12">
        <v>17.0</v>
      </c>
      <c r="B21" s="13" t="s">
        <v>49</v>
      </c>
      <c r="C21" s="13">
        <v>55554.0</v>
      </c>
      <c r="D21" s="13" t="s">
        <v>50</v>
      </c>
      <c r="E21" s="14"/>
      <c r="F21" s="25"/>
      <c r="G21" s="16"/>
      <c r="H21" s="17">
        <v>34500.0</v>
      </c>
      <c r="I21" s="24"/>
      <c r="J21" s="19"/>
      <c r="K21" s="20"/>
      <c r="L21" s="21">
        <v>34500.0</v>
      </c>
      <c r="M21" s="22">
        <f t="shared" si="1"/>
        <v>0</v>
      </c>
    </row>
    <row r="22">
      <c r="A22" s="12">
        <v>18.0</v>
      </c>
      <c r="B22" s="13" t="s">
        <v>51</v>
      </c>
      <c r="C22" s="13">
        <v>10008.0</v>
      </c>
      <c r="D22" s="13" t="s">
        <v>52</v>
      </c>
      <c r="E22" s="14"/>
      <c r="F22" s="25"/>
      <c r="G22" s="16"/>
      <c r="H22" s="17">
        <v>34500.0</v>
      </c>
      <c r="I22" s="24"/>
      <c r="J22" s="19"/>
      <c r="K22" s="20"/>
      <c r="L22" s="21">
        <v>34500.0</v>
      </c>
      <c r="M22" s="22">
        <f t="shared" si="1"/>
        <v>0</v>
      </c>
    </row>
    <row r="23">
      <c r="A23" s="12">
        <v>19.0</v>
      </c>
      <c r="B23" s="13" t="s">
        <v>53</v>
      </c>
      <c r="C23" s="13">
        <v>10008.0</v>
      </c>
      <c r="D23" s="13" t="s">
        <v>52</v>
      </c>
      <c r="E23" s="14"/>
      <c r="F23" s="25"/>
      <c r="G23" s="16"/>
      <c r="H23" s="17">
        <v>45000.0</v>
      </c>
      <c r="I23" s="24"/>
      <c r="J23" s="19"/>
      <c r="K23" s="20"/>
      <c r="L23" s="21">
        <v>45000.0</v>
      </c>
      <c r="M23" s="22">
        <f t="shared" si="1"/>
        <v>0</v>
      </c>
    </row>
    <row r="24">
      <c r="A24" s="12">
        <v>20.0</v>
      </c>
      <c r="B24" s="13" t="s">
        <v>54</v>
      </c>
      <c r="C24" s="13">
        <v>10008.0</v>
      </c>
      <c r="D24" s="13" t="s">
        <v>52</v>
      </c>
      <c r="E24" s="14"/>
      <c r="F24" s="25"/>
      <c r="G24" s="16"/>
      <c r="H24" s="17">
        <v>34350.0</v>
      </c>
      <c r="I24" s="24"/>
      <c r="J24" s="19"/>
      <c r="K24" s="20"/>
      <c r="L24" s="21">
        <v>34350.0</v>
      </c>
      <c r="M24" s="22">
        <f t="shared" si="1"/>
        <v>0</v>
      </c>
    </row>
    <row r="25">
      <c r="A25" s="12">
        <v>21.0</v>
      </c>
      <c r="B25" s="13" t="s">
        <v>55</v>
      </c>
      <c r="C25" s="13">
        <v>17871.0</v>
      </c>
      <c r="D25" s="13" t="s">
        <v>56</v>
      </c>
      <c r="E25" s="14"/>
      <c r="F25" s="25"/>
      <c r="G25" s="16"/>
      <c r="H25" s="17">
        <v>3600.0</v>
      </c>
      <c r="I25" s="24"/>
      <c r="J25" s="19"/>
      <c r="K25" s="20"/>
      <c r="L25" s="21">
        <v>3600.0</v>
      </c>
      <c r="M25" s="22">
        <f t="shared" si="1"/>
        <v>0</v>
      </c>
    </row>
    <row r="26">
      <c r="A26" s="12">
        <v>22.0</v>
      </c>
      <c r="B26" s="13" t="s">
        <v>57</v>
      </c>
      <c r="C26" s="13">
        <v>50412.0</v>
      </c>
      <c r="D26" s="13" t="s">
        <v>58</v>
      </c>
      <c r="E26" s="14"/>
      <c r="F26" s="25"/>
      <c r="G26" s="16"/>
      <c r="H26" s="17">
        <v>0.0</v>
      </c>
      <c r="I26" s="24"/>
      <c r="J26" s="19"/>
      <c r="K26" s="20"/>
      <c r="L26" s="21">
        <v>30.0</v>
      </c>
      <c r="M26" s="22">
        <f t="shared" si="1"/>
        <v>-30</v>
      </c>
    </row>
    <row r="27">
      <c r="A27" s="12">
        <v>23.0</v>
      </c>
      <c r="B27" s="13" t="s">
        <v>59</v>
      </c>
      <c r="C27" s="13">
        <v>17871.0</v>
      </c>
      <c r="D27" s="13" t="s">
        <v>56</v>
      </c>
      <c r="E27" s="14"/>
      <c r="F27" s="25"/>
      <c r="G27" s="16"/>
      <c r="H27" s="17">
        <v>3600.0</v>
      </c>
      <c r="I27" s="24"/>
      <c r="J27" s="19"/>
      <c r="K27" s="20"/>
      <c r="L27" s="21">
        <v>3600.0</v>
      </c>
      <c r="M27" s="22">
        <f t="shared" si="1"/>
        <v>0</v>
      </c>
    </row>
    <row r="28">
      <c r="A28" s="12">
        <v>24.0</v>
      </c>
      <c r="B28" s="13" t="s">
        <v>60</v>
      </c>
      <c r="C28" s="13">
        <v>17871.0</v>
      </c>
      <c r="D28" s="13" t="s">
        <v>56</v>
      </c>
      <c r="E28" s="14"/>
      <c r="F28" s="25"/>
      <c r="G28" s="16"/>
      <c r="H28" s="17">
        <v>3600.0</v>
      </c>
      <c r="I28" s="24"/>
      <c r="J28" s="19"/>
      <c r="K28" s="20"/>
      <c r="L28" s="21">
        <v>3600.0</v>
      </c>
      <c r="M28" s="22">
        <f t="shared" si="1"/>
        <v>0</v>
      </c>
    </row>
    <row r="29">
      <c r="A29" s="12">
        <v>25.0</v>
      </c>
      <c r="B29" s="13" t="s">
        <v>61</v>
      </c>
      <c r="C29" s="13">
        <v>49953.0</v>
      </c>
      <c r="D29" s="13" t="s">
        <v>62</v>
      </c>
      <c r="E29" s="14"/>
      <c r="F29" s="25"/>
      <c r="G29" s="16"/>
      <c r="H29" s="17">
        <v>57.0</v>
      </c>
      <c r="I29" s="24"/>
      <c r="J29" s="19"/>
      <c r="K29" s="20"/>
      <c r="L29" s="21">
        <v>57.0</v>
      </c>
      <c r="M29" s="22">
        <f t="shared" si="1"/>
        <v>0</v>
      </c>
    </row>
    <row r="30">
      <c r="A30" s="12">
        <v>26.0</v>
      </c>
      <c r="B30" s="13" t="s">
        <v>63</v>
      </c>
      <c r="C30" s="13">
        <v>54501.0</v>
      </c>
      <c r="D30" s="13" t="s">
        <v>64</v>
      </c>
      <c r="E30" s="14"/>
      <c r="F30" s="25"/>
      <c r="G30" s="16"/>
      <c r="H30" s="17">
        <v>5150.0</v>
      </c>
      <c r="I30" s="24"/>
      <c r="J30" s="19"/>
      <c r="K30" s="20"/>
      <c r="L30" s="21">
        <v>5150.0</v>
      </c>
      <c r="M30" s="22">
        <f t="shared" si="1"/>
        <v>0</v>
      </c>
    </row>
    <row r="31">
      <c r="A31" s="12">
        <v>27.0</v>
      </c>
      <c r="B31" s="13" t="s">
        <v>65</v>
      </c>
      <c r="C31" s="13">
        <v>57951.0</v>
      </c>
      <c r="D31" s="13" t="s">
        <v>66</v>
      </c>
      <c r="E31" s="14"/>
      <c r="F31" s="25"/>
      <c r="G31" s="16"/>
      <c r="H31" s="17">
        <v>3600.0</v>
      </c>
      <c r="I31" s="24"/>
      <c r="J31" s="19"/>
      <c r="K31" s="20"/>
      <c r="L31" s="21">
        <v>3600.0</v>
      </c>
      <c r="M31" s="22">
        <f t="shared" si="1"/>
        <v>0</v>
      </c>
    </row>
    <row r="32">
      <c r="A32" s="12">
        <v>28.0</v>
      </c>
      <c r="B32" s="13" t="s">
        <v>67</v>
      </c>
      <c r="C32" s="13">
        <v>57943.0</v>
      </c>
      <c r="D32" s="13" t="s">
        <v>68</v>
      </c>
      <c r="E32" s="14"/>
      <c r="F32" s="25"/>
      <c r="G32" s="16"/>
      <c r="H32" s="17">
        <v>3600.0</v>
      </c>
      <c r="I32" s="24"/>
      <c r="J32" s="19"/>
      <c r="K32" s="20"/>
      <c r="L32" s="21">
        <v>3600.0</v>
      </c>
      <c r="M32" s="22">
        <f t="shared" si="1"/>
        <v>0</v>
      </c>
    </row>
    <row r="33">
      <c r="A33" s="12">
        <v>29.0</v>
      </c>
      <c r="B33" s="13" t="s">
        <v>69</v>
      </c>
      <c r="C33" s="13">
        <v>57966.0</v>
      </c>
      <c r="D33" s="13" t="s">
        <v>70</v>
      </c>
      <c r="E33" s="14"/>
      <c r="F33" s="25"/>
      <c r="G33" s="16"/>
      <c r="H33" s="17">
        <v>3600.0</v>
      </c>
      <c r="I33" s="24"/>
      <c r="J33" s="19"/>
      <c r="K33" s="20"/>
      <c r="L33" s="21">
        <v>3600.0</v>
      </c>
      <c r="M33" s="22">
        <f t="shared" si="1"/>
        <v>0</v>
      </c>
    </row>
    <row r="34">
      <c r="A34" s="12">
        <v>30.0</v>
      </c>
      <c r="B34" s="13" t="s">
        <v>71</v>
      </c>
      <c r="C34" s="13">
        <v>57965.0</v>
      </c>
      <c r="D34" s="13" t="s">
        <v>72</v>
      </c>
      <c r="E34" s="14"/>
      <c r="F34" s="25"/>
      <c r="G34" s="16"/>
      <c r="H34" s="17">
        <v>4200.0</v>
      </c>
      <c r="I34" s="24"/>
      <c r="J34" s="19"/>
      <c r="K34" s="20"/>
      <c r="L34" s="21">
        <v>4200.0</v>
      </c>
      <c r="M34" s="22">
        <f t="shared" si="1"/>
        <v>0</v>
      </c>
    </row>
    <row r="35">
      <c r="A35" s="12">
        <v>31.0</v>
      </c>
      <c r="B35" s="13" t="s">
        <v>73</v>
      </c>
      <c r="C35" s="13">
        <v>57947.0</v>
      </c>
      <c r="D35" s="13" t="s">
        <v>74</v>
      </c>
      <c r="E35" s="14"/>
      <c r="F35" s="25"/>
      <c r="G35" s="16"/>
      <c r="H35" s="17">
        <v>3600.0</v>
      </c>
      <c r="I35" s="24"/>
      <c r="J35" s="19"/>
      <c r="K35" s="20"/>
      <c r="L35" s="21">
        <v>3600.0</v>
      </c>
      <c r="M35" s="22">
        <f t="shared" si="1"/>
        <v>0</v>
      </c>
    </row>
    <row r="36">
      <c r="A36" s="12">
        <v>32.0</v>
      </c>
      <c r="B36" s="13" t="s">
        <v>75</v>
      </c>
      <c r="C36" s="13">
        <v>43009.0</v>
      </c>
      <c r="D36" s="13" t="s">
        <v>76</v>
      </c>
      <c r="E36" s="14"/>
      <c r="F36" s="25"/>
      <c r="G36" s="16"/>
      <c r="H36" s="17">
        <v>6400.0</v>
      </c>
      <c r="I36" s="24"/>
      <c r="J36" s="19"/>
      <c r="K36" s="20"/>
      <c r="L36" s="21">
        <v>6400.0</v>
      </c>
      <c r="M36" s="22">
        <f t="shared" si="1"/>
        <v>0</v>
      </c>
    </row>
    <row r="37">
      <c r="A37" s="12">
        <v>33.0</v>
      </c>
      <c r="B37" s="13" t="s">
        <v>77</v>
      </c>
      <c r="C37" s="13">
        <v>22332.0</v>
      </c>
      <c r="D37" s="13" t="s">
        <v>78</v>
      </c>
      <c r="E37" s="14"/>
      <c r="F37" s="25"/>
      <c r="G37" s="16"/>
      <c r="H37" s="17">
        <v>4150.0</v>
      </c>
      <c r="I37" s="24"/>
      <c r="J37" s="19"/>
      <c r="K37" s="20"/>
      <c r="L37" s="21">
        <v>4150.0</v>
      </c>
      <c r="M37" s="22">
        <f t="shared" si="1"/>
        <v>0</v>
      </c>
    </row>
    <row r="38">
      <c r="A38" s="12">
        <v>34.0</v>
      </c>
      <c r="B38" s="13" t="s">
        <v>79</v>
      </c>
      <c r="C38" s="13">
        <v>10006.0</v>
      </c>
      <c r="D38" s="13" t="s">
        <v>80</v>
      </c>
      <c r="E38" s="14"/>
      <c r="F38" s="25"/>
      <c r="G38" s="16"/>
      <c r="H38" s="17">
        <v>15000.0</v>
      </c>
      <c r="I38" s="24"/>
      <c r="J38" s="19"/>
      <c r="K38" s="20"/>
      <c r="L38" s="21">
        <v>15000.0</v>
      </c>
      <c r="M38" s="22">
        <f t="shared" si="1"/>
        <v>0</v>
      </c>
    </row>
    <row r="39">
      <c r="A39" s="12">
        <v>35.0</v>
      </c>
      <c r="B39" s="13" t="s">
        <v>81</v>
      </c>
      <c r="C39" s="13">
        <v>21818.0</v>
      </c>
      <c r="D39" s="13" t="s">
        <v>82</v>
      </c>
      <c r="E39" s="14"/>
      <c r="F39" s="25"/>
      <c r="G39" s="16"/>
      <c r="H39" s="17">
        <v>3750.0</v>
      </c>
      <c r="I39" s="24"/>
      <c r="J39" s="19"/>
      <c r="K39" s="20"/>
      <c r="L39" s="21">
        <v>3750.0</v>
      </c>
      <c r="M39" s="22">
        <f t="shared" si="1"/>
        <v>0</v>
      </c>
    </row>
    <row r="40">
      <c r="A40" s="12">
        <v>36.0</v>
      </c>
      <c r="B40" s="13" t="s">
        <v>83</v>
      </c>
      <c r="C40" s="13">
        <v>10320.0</v>
      </c>
      <c r="D40" s="13" t="s">
        <v>84</v>
      </c>
      <c r="E40" s="14"/>
      <c r="F40" s="25"/>
      <c r="G40" s="16"/>
      <c r="H40" s="17">
        <v>4000.0</v>
      </c>
      <c r="I40" s="24"/>
      <c r="J40" s="19"/>
      <c r="K40" s="20"/>
      <c r="L40" s="21">
        <v>4000.0</v>
      </c>
      <c r="M40" s="22">
        <f t="shared" si="1"/>
        <v>0</v>
      </c>
    </row>
    <row r="41">
      <c r="A41" s="12">
        <v>37.0</v>
      </c>
      <c r="B41" s="13" t="s">
        <v>85</v>
      </c>
      <c r="C41" s="13">
        <v>57001.0</v>
      </c>
      <c r="D41" s="13" t="s">
        <v>86</v>
      </c>
      <c r="E41" s="14"/>
      <c r="F41" s="25"/>
      <c r="G41" s="16"/>
      <c r="H41" s="17">
        <v>15000.0</v>
      </c>
      <c r="I41" s="24"/>
      <c r="J41" s="19"/>
      <c r="K41" s="20"/>
      <c r="L41" s="21">
        <v>15000.0</v>
      </c>
      <c r="M41" s="22">
        <f t="shared" si="1"/>
        <v>0</v>
      </c>
    </row>
    <row r="42">
      <c r="A42" s="12">
        <v>38.0</v>
      </c>
      <c r="B42" s="13" t="s">
        <v>87</v>
      </c>
      <c r="C42" s="13">
        <v>36879.0</v>
      </c>
      <c r="D42" s="13" t="s">
        <v>88</v>
      </c>
      <c r="E42" s="14"/>
      <c r="F42" s="25"/>
      <c r="G42" s="16"/>
      <c r="H42" s="17">
        <v>2650.0</v>
      </c>
      <c r="I42" s="24"/>
      <c r="J42" s="19"/>
      <c r="K42" s="20"/>
      <c r="L42" s="21">
        <v>2650.0</v>
      </c>
      <c r="M42" s="22">
        <f t="shared" si="1"/>
        <v>0</v>
      </c>
    </row>
    <row r="43">
      <c r="A43" s="12">
        <v>39.0</v>
      </c>
      <c r="B43" s="13" t="s">
        <v>89</v>
      </c>
      <c r="C43" s="13">
        <v>48053.0</v>
      </c>
      <c r="D43" s="13" t="s">
        <v>90</v>
      </c>
      <c r="E43" s="14"/>
      <c r="F43" s="25"/>
      <c r="G43" s="16"/>
      <c r="H43" s="17">
        <v>700.0</v>
      </c>
      <c r="I43" s="24"/>
      <c r="J43" s="19"/>
      <c r="K43" s="20"/>
      <c r="L43" s="21">
        <v>700.0</v>
      </c>
      <c r="M43" s="22">
        <f t="shared" si="1"/>
        <v>0</v>
      </c>
    </row>
    <row r="44">
      <c r="A44" s="12">
        <v>40.0</v>
      </c>
      <c r="B44" s="13" t="s">
        <v>91</v>
      </c>
      <c r="C44" s="13">
        <v>52214.0</v>
      </c>
      <c r="D44" s="13" t="s">
        <v>92</v>
      </c>
      <c r="E44" s="14"/>
      <c r="F44" s="25"/>
      <c r="G44" s="16"/>
      <c r="H44" s="17">
        <v>2500.0</v>
      </c>
      <c r="I44" s="24"/>
      <c r="J44" s="19"/>
      <c r="K44" s="20"/>
      <c r="L44" s="21">
        <v>2500.0</v>
      </c>
      <c r="M44" s="22">
        <f t="shared" si="1"/>
        <v>0</v>
      </c>
    </row>
    <row r="45">
      <c r="A45" s="12">
        <v>41.0</v>
      </c>
      <c r="B45" s="13" t="s">
        <v>93</v>
      </c>
      <c r="C45" s="13">
        <v>50557.0</v>
      </c>
      <c r="D45" s="13" t="s">
        <v>94</v>
      </c>
      <c r="E45" s="14"/>
      <c r="F45" s="25"/>
      <c r="G45" s="16"/>
      <c r="H45" s="17">
        <v>1250.0</v>
      </c>
      <c r="I45" s="24"/>
      <c r="J45" s="19"/>
      <c r="K45" s="20"/>
      <c r="L45" s="21">
        <v>1250.0</v>
      </c>
      <c r="M45" s="22">
        <f t="shared" si="1"/>
        <v>0</v>
      </c>
    </row>
    <row r="46">
      <c r="A46" s="12">
        <v>42.0</v>
      </c>
      <c r="B46" s="13" t="s">
        <v>95</v>
      </c>
      <c r="C46" s="13">
        <v>10001.0</v>
      </c>
      <c r="D46" s="13" t="s">
        <v>46</v>
      </c>
      <c r="E46" s="14"/>
      <c r="F46" s="25"/>
      <c r="G46" s="16"/>
      <c r="H46" s="17">
        <v>2650.0</v>
      </c>
      <c r="I46" s="24"/>
      <c r="J46" s="19"/>
      <c r="K46" s="20"/>
      <c r="L46" s="21">
        <v>2650.0</v>
      </c>
      <c r="M46" s="22">
        <f t="shared" si="1"/>
        <v>0</v>
      </c>
    </row>
    <row r="47">
      <c r="A47" s="12">
        <v>43.0</v>
      </c>
      <c r="B47" s="13" t="s">
        <v>96</v>
      </c>
      <c r="C47" s="13">
        <v>43381.0</v>
      </c>
      <c r="D47" s="13" t="s">
        <v>97</v>
      </c>
      <c r="E47" s="14"/>
      <c r="F47" s="25"/>
      <c r="G47" s="16"/>
      <c r="H47" s="17">
        <v>5150.0</v>
      </c>
      <c r="I47" s="24"/>
      <c r="J47" s="19"/>
      <c r="K47" s="20"/>
      <c r="L47" s="21">
        <v>5150.0</v>
      </c>
      <c r="M47" s="22">
        <f t="shared" si="1"/>
        <v>0</v>
      </c>
    </row>
    <row r="48">
      <c r="A48" s="12">
        <v>44.0</v>
      </c>
      <c r="B48" s="13" t="s">
        <v>98</v>
      </c>
      <c r="C48" s="13">
        <v>30895.0</v>
      </c>
      <c r="D48" s="13" t="s">
        <v>99</v>
      </c>
      <c r="E48" s="14"/>
      <c r="F48" s="25"/>
      <c r="G48" s="16"/>
      <c r="H48" s="23"/>
      <c r="I48" s="18">
        <v>5000.0</v>
      </c>
      <c r="J48" s="19"/>
      <c r="K48" s="20"/>
      <c r="L48" s="21">
        <v>5000.0</v>
      </c>
      <c r="M48" s="22">
        <f t="shared" si="1"/>
        <v>0</v>
      </c>
    </row>
    <row r="49">
      <c r="A49" s="12">
        <v>45.0</v>
      </c>
      <c r="B49" s="13" t="s">
        <v>100</v>
      </c>
      <c r="C49" s="13">
        <v>52709.0</v>
      </c>
      <c r="D49" s="13" t="s">
        <v>101</v>
      </c>
      <c r="E49" s="14"/>
      <c r="F49" s="25"/>
      <c r="G49" s="16"/>
      <c r="H49" s="23"/>
      <c r="I49" s="18">
        <v>3600.0</v>
      </c>
      <c r="J49" s="19"/>
      <c r="K49" s="20"/>
      <c r="L49" s="21">
        <v>3600.0</v>
      </c>
      <c r="M49" s="22">
        <f t="shared" si="1"/>
        <v>0</v>
      </c>
    </row>
    <row r="50">
      <c r="A50" s="12">
        <v>46.0</v>
      </c>
      <c r="B50" s="13" t="s">
        <v>102</v>
      </c>
      <c r="C50" s="13">
        <v>32944.0</v>
      </c>
      <c r="D50" s="13" t="s">
        <v>103</v>
      </c>
      <c r="E50" s="26">
        <v>1400.0</v>
      </c>
      <c r="F50" s="25"/>
      <c r="G50" s="16"/>
      <c r="H50" s="17">
        <v>2200.0</v>
      </c>
      <c r="I50" s="24"/>
      <c r="J50" s="19"/>
      <c r="K50" s="20"/>
      <c r="L50" s="21">
        <v>3600.0</v>
      </c>
      <c r="M50" s="22">
        <f t="shared" si="1"/>
        <v>0</v>
      </c>
    </row>
    <row r="51">
      <c r="A51" s="12">
        <v>47.0</v>
      </c>
      <c r="B51" s="13" t="s">
        <v>104</v>
      </c>
      <c r="C51" s="13">
        <v>33283.0</v>
      </c>
      <c r="D51" s="13" t="s">
        <v>105</v>
      </c>
      <c r="E51" s="14"/>
      <c r="F51" s="25"/>
      <c r="G51" s="16"/>
      <c r="H51" s="17">
        <v>3600.0</v>
      </c>
      <c r="I51" s="24"/>
      <c r="J51" s="19"/>
      <c r="K51" s="20"/>
      <c r="L51" s="21">
        <v>3600.0</v>
      </c>
      <c r="M51" s="22">
        <f t="shared" si="1"/>
        <v>0</v>
      </c>
    </row>
    <row r="52">
      <c r="A52" s="12">
        <v>48.0</v>
      </c>
      <c r="B52" s="13" t="s">
        <v>106</v>
      </c>
      <c r="C52" s="13">
        <v>42939.0</v>
      </c>
      <c r="D52" s="13" t="s">
        <v>107</v>
      </c>
      <c r="E52" s="14"/>
      <c r="F52" s="25"/>
      <c r="G52" s="16"/>
      <c r="H52" s="17">
        <v>3600.0</v>
      </c>
      <c r="I52" s="24"/>
      <c r="J52" s="19"/>
      <c r="K52" s="20"/>
      <c r="L52" s="21">
        <v>3600.0</v>
      </c>
      <c r="M52" s="22">
        <f t="shared" si="1"/>
        <v>0</v>
      </c>
    </row>
    <row r="53">
      <c r="A53" s="12">
        <v>49.0</v>
      </c>
      <c r="B53" s="13" t="s">
        <v>108</v>
      </c>
      <c r="C53" s="13">
        <v>22727.0</v>
      </c>
      <c r="D53" s="13" t="s">
        <v>109</v>
      </c>
      <c r="E53" s="14"/>
      <c r="F53" s="25"/>
      <c r="G53" s="16"/>
      <c r="H53" s="23"/>
      <c r="I53" s="18">
        <v>9053.0</v>
      </c>
      <c r="J53" s="19"/>
      <c r="K53" s="20"/>
      <c r="L53" s="21">
        <v>9053.0</v>
      </c>
      <c r="M53" s="22">
        <f t="shared" si="1"/>
        <v>0</v>
      </c>
    </row>
    <row r="54">
      <c r="A54" s="12">
        <v>50.0</v>
      </c>
      <c r="B54" s="13" t="s">
        <v>110</v>
      </c>
      <c r="C54" s="13">
        <v>48910.0</v>
      </c>
      <c r="D54" s="13" t="s">
        <v>111</v>
      </c>
      <c r="E54" s="14"/>
      <c r="F54" s="25"/>
      <c r="G54" s="16"/>
      <c r="H54" s="23"/>
      <c r="I54" s="18">
        <v>6150.0</v>
      </c>
      <c r="J54" s="19"/>
      <c r="K54" s="20"/>
      <c r="L54" s="21">
        <v>6150.0</v>
      </c>
      <c r="M54" s="22">
        <f t="shared" si="1"/>
        <v>0</v>
      </c>
    </row>
    <row r="55">
      <c r="A55" s="12">
        <v>51.0</v>
      </c>
      <c r="B55" s="13" t="s">
        <v>112</v>
      </c>
      <c r="C55" s="13">
        <v>12102.0</v>
      </c>
      <c r="D55" s="13" t="s">
        <v>113</v>
      </c>
      <c r="E55" s="14"/>
      <c r="F55" s="25"/>
      <c r="G55" s="16"/>
      <c r="H55" s="23"/>
      <c r="I55" s="18">
        <v>3263.0</v>
      </c>
      <c r="J55" s="19"/>
      <c r="K55" s="20"/>
      <c r="L55" s="21">
        <v>3263.0</v>
      </c>
      <c r="M55" s="22">
        <f t="shared" si="1"/>
        <v>0</v>
      </c>
    </row>
    <row r="56">
      <c r="A56" s="12">
        <v>52.0</v>
      </c>
      <c r="B56" s="13" t="s">
        <v>114</v>
      </c>
      <c r="C56" s="13">
        <v>10250.0</v>
      </c>
      <c r="D56" s="13" t="s">
        <v>115</v>
      </c>
      <c r="E56" s="14"/>
      <c r="F56" s="25"/>
      <c r="G56" s="16"/>
      <c r="H56" s="17">
        <v>100.0</v>
      </c>
      <c r="I56" s="24"/>
      <c r="J56" s="19"/>
      <c r="K56" s="20"/>
      <c r="L56" s="21">
        <v>100.0</v>
      </c>
      <c r="M56" s="22">
        <f t="shared" si="1"/>
        <v>0</v>
      </c>
    </row>
    <row r="57">
      <c r="A57" s="12">
        <v>53.0</v>
      </c>
      <c r="B57" s="13" t="s">
        <v>116</v>
      </c>
      <c r="C57" s="13">
        <v>26350.0</v>
      </c>
      <c r="D57" s="13" t="s">
        <v>117</v>
      </c>
      <c r="E57" s="14"/>
      <c r="F57" s="25"/>
      <c r="G57" s="16"/>
      <c r="H57" s="17">
        <v>100.0</v>
      </c>
      <c r="I57" s="24"/>
      <c r="J57" s="19"/>
      <c r="K57" s="20"/>
      <c r="L57" s="21">
        <v>100.0</v>
      </c>
      <c r="M57" s="22">
        <f t="shared" si="1"/>
        <v>0</v>
      </c>
    </row>
    <row r="58">
      <c r="A58" s="12">
        <v>54.0</v>
      </c>
      <c r="B58" s="13" t="s">
        <v>118</v>
      </c>
      <c r="C58" s="13">
        <v>10837.0</v>
      </c>
      <c r="D58" s="13" t="s">
        <v>119</v>
      </c>
      <c r="E58" s="14"/>
      <c r="F58" s="25"/>
      <c r="G58" s="16"/>
      <c r="H58" s="17">
        <v>100.0</v>
      </c>
      <c r="I58" s="24"/>
      <c r="J58" s="19"/>
      <c r="K58" s="20"/>
      <c r="L58" s="21">
        <v>100.0</v>
      </c>
      <c r="M58" s="22">
        <f t="shared" si="1"/>
        <v>0</v>
      </c>
    </row>
    <row r="59">
      <c r="A59" s="12">
        <v>55.0</v>
      </c>
      <c r="B59" s="13" t="s">
        <v>120</v>
      </c>
      <c r="C59" s="13">
        <v>57593.0</v>
      </c>
      <c r="D59" s="13" t="s">
        <v>121</v>
      </c>
      <c r="E59" s="14"/>
      <c r="F59" s="25"/>
      <c r="G59" s="16"/>
      <c r="H59" s="17">
        <v>1000.0</v>
      </c>
      <c r="I59" s="24"/>
      <c r="J59" s="19"/>
      <c r="K59" s="20"/>
      <c r="L59" s="21">
        <v>1000.0</v>
      </c>
      <c r="M59" s="22">
        <f t="shared" si="1"/>
        <v>0</v>
      </c>
    </row>
    <row r="60">
      <c r="A60" s="12">
        <v>56.0</v>
      </c>
      <c r="B60" s="13" t="s">
        <v>122</v>
      </c>
      <c r="C60" s="13">
        <v>48631.0</v>
      </c>
      <c r="D60" s="13" t="s">
        <v>123</v>
      </c>
      <c r="E60" s="14"/>
      <c r="F60" s="25"/>
      <c r="G60" s="16"/>
      <c r="H60" s="17">
        <v>9800.0</v>
      </c>
      <c r="I60" s="24"/>
      <c r="J60" s="19"/>
      <c r="K60" s="20"/>
      <c r="L60" s="21">
        <v>9800.0</v>
      </c>
      <c r="M60" s="22">
        <f t="shared" si="1"/>
        <v>0</v>
      </c>
    </row>
    <row r="61">
      <c r="A61" s="12">
        <v>57.0</v>
      </c>
      <c r="B61" s="13" t="s">
        <v>124</v>
      </c>
      <c r="C61" s="13">
        <v>50821.0</v>
      </c>
      <c r="D61" s="13" t="s">
        <v>125</v>
      </c>
      <c r="E61" s="14"/>
      <c r="F61" s="25">
        <v>3890.0</v>
      </c>
      <c r="G61" s="16"/>
      <c r="H61" s="23"/>
      <c r="I61" s="24"/>
      <c r="J61" s="19"/>
      <c r="K61" s="20"/>
      <c r="L61" s="21">
        <v>3890.0</v>
      </c>
      <c r="M61" s="22">
        <f t="shared" si="1"/>
        <v>0</v>
      </c>
    </row>
    <row r="62">
      <c r="A62" s="12">
        <v>58.0</v>
      </c>
      <c r="B62" s="13" t="s">
        <v>126</v>
      </c>
      <c r="C62" s="13">
        <v>10008.0</v>
      </c>
      <c r="D62" s="13" t="s">
        <v>52</v>
      </c>
      <c r="E62" s="14"/>
      <c r="F62" s="25"/>
      <c r="G62" s="16"/>
      <c r="H62" s="17">
        <v>5000.0</v>
      </c>
      <c r="I62" s="24"/>
      <c r="J62" s="19"/>
      <c r="K62" s="20"/>
      <c r="L62" s="21">
        <v>5000.0</v>
      </c>
      <c r="M62" s="22">
        <f t="shared" si="1"/>
        <v>0</v>
      </c>
    </row>
    <row r="63">
      <c r="A63" s="12">
        <v>59.0</v>
      </c>
      <c r="B63" s="13" t="s">
        <v>127</v>
      </c>
      <c r="C63" s="13">
        <v>51406.0</v>
      </c>
      <c r="D63" s="13" t="s">
        <v>128</v>
      </c>
      <c r="E63" s="14"/>
      <c r="F63" s="25"/>
      <c r="G63" s="16"/>
      <c r="H63" s="23"/>
      <c r="I63" s="18">
        <v>5000.0</v>
      </c>
      <c r="J63" s="19"/>
      <c r="K63" s="20"/>
      <c r="L63" s="21">
        <v>5000.0</v>
      </c>
      <c r="M63" s="22">
        <f t="shared" si="1"/>
        <v>0</v>
      </c>
    </row>
    <row r="64">
      <c r="A64" s="12">
        <v>60.0</v>
      </c>
      <c r="B64" s="13" t="s">
        <v>129</v>
      </c>
      <c r="C64" s="13">
        <v>10008.0</v>
      </c>
      <c r="D64" s="13" t="s">
        <v>52</v>
      </c>
      <c r="E64" s="14"/>
      <c r="F64" s="15"/>
      <c r="G64" s="16"/>
      <c r="H64" s="17">
        <v>0.0</v>
      </c>
      <c r="I64" s="18"/>
      <c r="J64" s="19"/>
      <c r="K64" s="20"/>
      <c r="L64" s="21">
        <v>2500.0</v>
      </c>
      <c r="M64" s="22">
        <f t="shared" si="1"/>
        <v>-2500</v>
      </c>
    </row>
    <row r="65">
      <c r="A65" s="12">
        <v>61.0</v>
      </c>
      <c r="B65" s="13" t="s">
        <v>130</v>
      </c>
      <c r="C65" s="13">
        <v>53864.0</v>
      </c>
      <c r="D65" s="13" t="s">
        <v>131</v>
      </c>
      <c r="E65" s="14"/>
      <c r="F65" s="15"/>
      <c r="G65" s="16"/>
      <c r="H65" s="17">
        <v>5000.0</v>
      </c>
      <c r="I65" s="18"/>
      <c r="J65" s="19"/>
      <c r="K65" s="20"/>
      <c r="L65" s="21">
        <v>5000.0</v>
      </c>
      <c r="M65" s="22">
        <f t="shared" si="1"/>
        <v>0</v>
      </c>
    </row>
    <row r="66">
      <c r="A66" s="12">
        <v>62.0</v>
      </c>
      <c r="B66" s="13" t="s">
        <v>132</v>
      </c>
      <c r="C66" s="13">
        <v>53864.0</v>
      </c>
      <c r="D66" s="13" t="s">
        <v>131</v>
      </c>
      <c r="E66" s="14"/>
      <c r="F66" s="15"/>
      <c r="G66" s="16"/>
      <c r="H66" s="17">
        <v>5000.0</v>
      </c>
      <c r="I66" s="18"/>
      <c r="J66" s="19"/>
      <c r="K66" s="20"/>
      <c r="L66" s="21">
        <v>5000.0</v>
      </c>
      <c r="M66" s="22">
        <f t="shared" si="1"/>
        <v>0</v>
      </c>
    </row>
    <row r="67">
      <c r="A67" s="12">
        <v>63.0</v>
      </c>
      <c r="B67" s="13" t="s">
        <v>133</v>
      </c>
      <c r="C67" s="13">
        <v>49655.0</v>
      </c>
      <c r="D67" s="13" t="s">
        <v>134</v>
      </c>
      <c r="E67" s="14"/>
      <c r="F67" s="15"/>
      <c r="G67" s="16"/>
      <c r="H67" s="17">
        <v>1250.0</v>
      </c>
      <c r="I67" s="18"/>
      <c r="J67" s="19"/>
      <c r="K67" s="20"/>
      <c r="L67" s="21">
        <v>1250.0</v>
      </c>
      <c r="M67" s="22">
        <f t="shared" si="1"/>
        <v>0</v>
      </c>
    </row>
    <row r="68">
      <c r="A68" s="12">
        <v>64.0</v>
      </c>
      <c r="B68" s="13" t="s">
        <v>135</v>
      </c>
      <c r="C68" s="13">
        <v>53203.0</v>
      </c>
      <c r="D68" s="13" t="s">
        <v>136</v>
      </c>
      <c r="E68" s="14"/>
      <c r="F68" s="15"/>
      <c r="G68" s="16"/>
      <c r="H68" s="17">
        <v>1200.0</v>
      </c>
      <c r="I68" s="24"/>
      <c r="J68" s="19"/>
      <c r="K68" s="20"/>
      <c r="L68" s="21">
        <v>1200.0</v>
      </c>
      <c r="M68" s="22">
        <f t="shared" si="1"/>
        <v>0</v>
      </c>
    </row>
    <row r="69">
      <c r="A69" s="12">
        <v>65.0</v>
      </c>
      <c r="B69" s="13" t="s">
        <v>137</v>
      </c>
      <c r="C69" s="13">
        <v>36769.0</v>
      </c>
      <c r="D69" s="13" t="s">
        <v>138</v>
      </c>
      <c r="E69" s="14"/>
      <c r="F69" s="15"/>
      <c r="G69" s="16"/>
      <c r="H69" s="17">
        <v>5000.0</v>
      </c>
      <c r="I69" s="24"/>
      <c r="J69" s="19"/>
      <c r="K69" s="20"/>
      <c r="L69" s="21">
        <v>5000.0</v>
      </c>
      <c r="M69" s="22">
        <f t="shared" si="1"/>
        <v>0</v>
      </c>
    </row>
    <row r="70">
      <c r="A70" s="12">
        <v>66.0</v>
      </c>
      <c r="B70" s="13" t="s">
        <v>139</v>
      </c>
      <c r="C70" s="13">
        <v>43322.0</v>
      </c>
      <c r="D70" s="13" t="s">
        <v>140</v>
      </c>
      <c r="E70" s="14"/>
      <c r="F70" s="15"/>
      <c r="G70" s="16"/>
      <c r="H70" s="17">
        <v>5000.0</v>
      </c>
      <c r="I70" s="18"/>
      <c r="J70" s="19"/>
      <c r="K70" s="20"/>
      <c r="L70" s="21">
        <v>5000.0</v>
      </c>
      <c r="M70" s="22">
        <f t="shared" si="1"/>
        <v>0</v>
      </c>
    </row>
    <row r="71">
      <c r="A71" s="12">
        <v>67.0</v>
      </c>
      <c r="B71" s="13" t="s">
        <v>141</v>
      </c>
      <c r="C71" s="13">
        <v>10320.0</v>
      </c>
      <c r="D71" s="13" t="s">
        <v>84</v>
      </c>
      <c r="E71" s="14"/>
      <c r="F71" s="15"/>
      <c r="G71" s="16"/>
      <c r="H71" s="17">
        <v>100.0</v>
      </c>
      <c r="I71" s="18"/>
      <c r="J71" s="19"/>
      <c r="K71" s="20"/>
      <c r="L71" s="21">
        <v>100.0</v>
      </c>
      <c r="M71" s="22">
        <f t="shared" si="1"/>
        <v>0</v>
      </c>
    </row>
    <row r="72">
      <c r="A72" s="12">
        <v>68.0</v>
      </c>
      <c r="B72" s="13" t="s">
        <v>142</v>
      </c>
      <c r="C72" s="13">
        <v>53814.0</v>
      </c>
      <c r="D72" s="13" t="s">
        <v>143</v>
      </c>
      <c r="E72" s="14"/>
      <c r="F72" s="15"/>
      <c r="G72" s="16"/>
      <c r="H72" s="23"/>
      <c r="I72" s="18">
        <v>1900.0</v>
      </c>
      <c r="J72" s="19"/>
      <c r="K72" s="20"/>
      <c r="L72" s="21">
        <v>1900.0</v>
      </c>
      <c r="M72" s="22">
        <f t="shared" si="1"/>
        <v>0</v>
      </c>
    </row>
    <row r="73">
      <c r="A73" s="12">
        <v>69.0</v>
      </c>
      <c r="B73" s="13" t="s">
        <v>144</v>
      </c>
      <c r="C73" s="13">
        <v>47136.0</v>
      </c>
      <c r="D73" s="13" t="s">
        <v>145</v>
      </c>
      <c r="E73" s="14"/>
      <c r="F73" s="15"/>
      <c r="G73" s="16"/>
      <c r="H73" s="23"/>
      <c r="I73" s="18">
        <v>0.0</v>
      </c>
      <c r="J73" s="19"/>
      <c r="K73" s="20"/>
      <c r="L73" s="21">
        <v>5000.0</v>
      </c>
      <c r="M73" s="22">
        <f t="shared" si="1"/>
        <v>-5000</v>
      </c>
    </row>
    <row r="74">
      <c r="A74" s="12">
        <v>70.0</v>
      </c>
      <c r="B74" s="13" t="s">
        <v>146</v>
      </c>
      <c r="C74" s="13">
        <v>53849.0</v>
      </c>
      <c r="D74" s="13" t="s">
        <v>147</v>
      </c>
      <c r="E74" s="14"/>
      <c r="F74" s="15"/>
      <c r="G74" s="16"/>
      <c r="H74" s="23"/>
      <c r="I74" s="18">
        <v>0.0</v>
      </c>
      <c r="J74" s="19"/>
      <c r="K74" s="20"/>
      <c r="L74" s="21">
        <v>5000.0</v>
      </c>
      <c r="M74" s="22">
        <f t="shared" si="1"/>
        <v>-5000</v>
      </c>
    </row>
    <row r="75">
      <c r="A75" s="12">
        <v>71.0</v>
      </c>
      <c r="B75" s="13" t="s">
        <v>148</v>
      </c>
      <c r="C75" s="13">
        <v>52576.0</v>
      </c>
      <c r="D75" s="13" t="s">
        <v>149</v>
      </c>
      <c r="E75" s="14"/>
      <c r="F75" s="15"/>
      <c r="G75" s="16"/>
      <c r="H75" s="17">
        <v>20000.0</v>
      </c>
      <c r="I75" s="18"/>
      <c r="J75" s="19"/>
      <c r="K75" s="20"/>
      <c r="L75" s="21">
        <v>20000.0</v>
      </c>
      <c r="M75" s="22">
        <f t="shared" si="1"/>
        <v>0</v>
      </c>
    </row>
    <row r="76">
      <c r="A76" s="12">
        <v>72.0</v>
      </c>
      <c r="B76" s="13" t="s">
        <v>150</v>
      </c>
      <c r="C76" s="13">
        <v>21384.0</v>
      </c>
      <c r="D76" s="13" t="s">
        <v>151</v>
      </c>
      <c r="E76" s="14"/>
      <c r="F76" s="15"/>
      <c r="G76" s="16"/>
      <c r="H76" s="17">
        <v>550.0</v>
      </c>
      <c r="I76" s="18"/>
      <c r="J76" s="19"/>
      <c r="K76" s="20"/>
      <c r="L76" s="21">
        <v>550.0</v>
      </c>
      <c r="M76" s="22">
        <f t="shared" si="1"/>
        <v>0</v>
      </c>
    </row>
    <row r="77">
      <c r="A77" s="12">
        <v>73.0</v>
      </c>
      <c r="B77" s="13" t="s">
        <v>152</v>
      </c>
      <c r="C77" s="13">
        <v>50632.0</v>
      </c>
      <c r="D77" s="13" t="s">
        <v>153</v>
      </c>
      <c r="E77" s="14"/>
      <c r="F77" s="15"/>
      <c r="G77" s="16"/>
      <c r="H77" s="23"/>
      <c r="I77" s="18">
        <v>600.0</v>
      </c>
      <c r="J77" s="19"/>
      <c r="K77" s="20"/>
      <c r="L77" s="21">
        <v>600.0</v>
      </c>
      <c r="M77" s="22">
        <f t="shared" si="1"/>
        <v>0</v>
      </c>
    </row>
    <row r="78">
      <c r="A78" s="12">
        <v>74.0</v>
      </c>
      <c r="B78" s="13" t="s">
        <v>154</v>
      </c>
      <c r="C78" s="13">
        <v>55359.0</v>
      </c>
      <c r="D78" s="13" t="s">
        <v>155</v>
      </c>
      <c r="E78" s="14"/>
      <c r="F78" s="15"/>
      <c r="G78" s="16"/>
      <c r="H78" s="17">
        <v>200.0</v>
      </c>
      <c r="I78" s="18"/>
      <c r="J78" s="19"/>
      <c r="K78" s="20"/>
      <c r="L78" s="21">
        <v>200.0</v>
      </c>
      <c r="M78" s="22">
        <f t="shared" si="1"/>
        <v>0</v>
      </c>
    </row>
    <row r="79">
      <c r="A79" s="12">
        <v>75.0</v>
      </c>
      <c r="B79" s="13" t="s">
        <v>156</v>
      </c>
      <c r="C79" s="13">
        <v>50596.0</v>
      </c>
      <c r="D79" s="13" t="s">
        <v>157</v>
      </c>
      <c r="E79" s="14"/>
      <c r="F79" s="15"/>
      <c r="G79" s="16"/>
      <c r="H79" s="17">
        <v>2800.0</v>
      </c>
      <c r="I79" s="18"/>
      <c r="J79" s="19"/>
      <c r="K79" s="20"/>
      <c r="L79" s="21">
        <v>2800.0</v>
      </c>
      <c r="M79" s="22">
        <f t="shared" si="1"/>
        <v>0</v>
      </c>
    </row>
    <row r="80">
      <c r="A80" s="12">
        <v>76.0</v>
      </c>
      <c r="B80" s="13" t="s">
        <v>158</v>
      </c>
      <c r="C80" s="13">
        <v>52083.0</v>
      </c>
      <c r="D80" s="13" t="s">
        <v>159</v>
      </c>
      <c r="E80" s="14"/>
      <c r="F80" s="15"/>
      <c r="G80" s="16"/>
      <c r="H80" s="17">
        <v>40300.0</v>
      </c>
      <c r="I80" s="18"/>
      <c r="J80" s="19"/>
      <c r="K80" s="20"/>
      <c r="L80" s="21">
        <v>40300.0</v>
      </c>
      <c r="M80" s="22">
        <f t="shared" si="1"/>
        <v>0</v>
      </c>
    </row>
    <row r="81">
      <c r="A81" s="12">
        <v>77.0</v>
      </c>
      <c r="B81" s="13" t="s">
        <v>160</v>
      </c>
      <c r="C81" s="13">
        <v>47787.0</v>
      </c>
      <c r="D81" s="13" t="s">
        <v>161</v>
      </c>
      <c r="E81" s="14"/>
      <c r="F81" s="15"/>
      <c r="G81" s="16"/>
      <c r="H81" s="17">
        <v>10000.0</v>
      </c>
      <c r="I81" s="18"/>
      <c r="J81" s="19"/>
      <c r="K81" s="20"/>
      <c r="L81" s="21">
        <v>10000.0</v>
      </c>
      <c r="M81" s="22">
        <f t="shared" si="1"/>
        <v>0</v>
      </c>
    </row>
    <row r="82">
      <c r="A82" s="12">
        <v>78.0</v>
      </c>
      <c r="B82" s="13" t="s">
        <v>162</v>
      </c>
      <c r="C82" s="13">
        <v>42046.0</v>
      </c>
      <c r="D82" s="13" t="s">
        <v>163</v>
      </c>
      <c r="E82" s="14"/>
      <c r="F82" s="15"/>
      <c r="G82" s="16"/>
      <c r="H82" s="17">
        <v>2998.0</v>
      </c>
      <c r="I82" s="18"/>
      <c r="J82" s="19"/>
      <c r="K82" s="20"/>
      <c r="L82" s="21">
        <v>2998.0</v>
      </c>
      <c r="M82" s="22">
        <f t="shared" si="1"/>
        <v>0</v>
      </c>
    </row>
    <row r="83">
      <c r="A83" s="12">
        <v>79.0</v>
      </c>
      <c r="B83" s="13" t="s">
        <v>164</v>
      </c>
      <c r="C83" s="13">
        <v>50846.0</v>
      </c>
      <c r="D83" s="13" t="s">
        <v>165</v>
      </c>
      <c r="E83" s="14"/>
      <c r="F83" s="15"/>
      <c r="G83" s="16"/>
      <c r="H83" s="17">
        <v>1000.0</v>
      </c>
      <c r="I83" s="18"/>
      <c r="J83" s="19"/>
      <c r="K83" s="20"/>
      <c r="L83" s="21">
        <v>1000.0</v>
      </c>
      <c r="M83" s="22">
        <f t="shared" si="1"/>
        <v>0</v>
      </c>
    </row>
    <row r="84">
      <c r="A84" s="12">
        <v>80.0</v>
      </c>
      <c r="B84" s="13" t="s">
        <v>166</v>
      </c>
      <c r="C84" s="13">
        <v>50821.0</v>
      </c>
      <c r="D84" s="13" t="s">
        <v>125</v>
      </c>
      <c r="E84" s="27">
        <v>300.0</v>
      </c>
      <c r="F84" s="15"/>
      <c r="G84" s="28"/>
      <c r="H84" s="23"/>
      <c r="I84" s="18"/>
      <c r="J84" s="19"/>
      <c r="K84" s="20"/>
      <c r="L84" s="21">
        <v>300.0</v>
      </c>
      <c r="M84" s="22">
        <f t="shared" si="1"/>
        <v>0</v>
      </c>
    </row>
    <row r="85">
      <c r="A85" s="12">
        <v>81.0</v>
      </c>
      <c r="B85" s="13" t="s">
        <v>167</v>
      </c>
      <c r="C85" s="13">
        <v>51166.0</v>
      </c>
      <c r="D85" s="13" t="s">
        <v>168</v>
      </c>
      <c r="E85" s="29"/>
      <c r="F85" s="15"/>
      <c r="G85" s="28">
        <v>350.0</v>
      </c>
      <c r="H85" s="23"/>
      <c r="I85" s="18"/>
      <c r="J85" s="19"/>
      <c r="K85" s="20"/>
      <c r="L85" s="21">
        <v>350.0</v>
      </c>
      <c r="M85" s="22">
        <f t="shared" si="1"/>
        <v>0</v>
      </c>
    </row>
    <row r="86">
      <c r="A86" s="12">
        <v>82.0</v>
      </c>
      <c r="B86" s="13" t="s">
        <v>169</v>
      </c>
      <c r="C86" s="13">
        <v>51305.0</v>
      </c>
      <c r="D86" s="13" t="s">
        <v>170</v>
      </c>
      <c r="E86" s="29"/>
      <c r="F86" s="15"/>
      <c r="G86" s="28">
        <v>350.0</v>
      </c>
      <c r="H86" s="23"/>
      <c r="I86" s="18"/>
      <c r="J86" s="19"/>
      <c r="K86" s="20"/>
      <c r="L86" s="21">
        <v>350.0</v>
      </c>
      <c r="M86" s="22">
        <f t="shared" si="1"/>
        <v>0</v>
      </c>
    </row>
    <row r="87">
      <c r="A87" s="12">
        <v>83.0</v>
      </c>
      <c r="B87" s="13" t="s">
        <v>171</v>
      </c>
      <c r="C87" s="13">
        <v>49953.0</v>
      </c>
      <c r="D87" s="13" t="s">
        <v>62</v>
      </c>
      <c r="E87" s="29"/>
      <c r="F87" s="15"/>
      <c r="G87" s="28">
        <v>1250.0</v>
      </c>
      <c r="H87" s="23"/>
      <c r="I87" s="18"/>
      <c r="J87" s="19"/>
      <c r="K87" s="20"/>
      <c r="L87" s="21">
        <v>1250.0</v>
      </c>
      <c r="M87" s="22">
        <f t="shared" si="1"/>
        <v>0</v>
      </c>
    </row>
    <row r="88">
      <c r="A88" s="12">
        <v>84.0</v>
      </c>
      <c r="B88" s="13" t="s">
        <v>172</v>
      </c>
      <c r="C88" s="13">
        <v>50261.0</v>
      </c>
      <c r="D88" s="13" t="s">
        <v>173</v>
      </c>
      <c r="E88" s="29"/>
      <c r="F88" s="15"/>
      <c r="G88" s="28">
        <v>2650.0</v>
      </c>
      <c r="H88" s="23"/>
      <c r="I88" s="18"/>
      <c r="J88" s="19"/>
      <c r="K88" s="20"/>
      <c r="L88" s="21">
        <v>2650.0</v>
      </c>
      <c r="M88" s="22">
        <f t="shared" si="1"/>
        <v>0</v>
      </c>
    </row>
    <row r="89">
      <c r="A89" s="12">
        <v>85.0</v>
      </c>
      <c r="B89" s="13" t="s">
        <v>174</v>
      </c>
      <c r="C89" s="13">
        <v>53943.0</v>
      </c>
      <c r="D89" s="13" t="s">
        <v>175</v>
      </c>
      <c r="E89" s="29"/>
      <c r="F89" s="15"/>
      <c r="G89" s="28">
        <v>5000.0</v>
      </c>
      <c r="H89" s="23"/>
      <c r="I89" s="18"/>
      <c r="J89" s="19"/>
      <c r="K89" s="20"/>
      <c r="L89" s="21">
        <v>5000.0</v>
      </c>
      <c r="M89" s="22">
        <f t="shared" si="1"/>
        <v>0</v>
      </c>
    </row>
    <row r="90">
      <c r="A90" s="12">
        <v>86.0</v>
      </c>
      <c r="B90" s="13" t="s">
        <v>176</v>
      </c>
      <c r="C90" s="13">
        <v>48192.0</v>
      </c>
      <c r="D90" s="13" t="s">
        <v>177</v>
      </c>
      <c r="E90" s="29"/>
      <c r="F90" s="15"/>
      <c r="G90" s="28">
        <v>5000.0</v>
      </c>
      <c r="H90" s="23"/>
      <c r="I90" s="18"/>
      <c r="J90" s="19"/>
      <c r="K90" s="20"/>
      <c r="L90" s="21">
        <v>5000.0</v>
      </c>
      <c r="M90" s="22">
        <f t="shared" si="1"/>
        <v>0</v>
      </c>
    </row>
    <row r="91">
      <c r="A91" s="12">
        <v>87.0</v>
      </c>
      <c r="B91" s="13" t="s">
        <v>178</v>
      </c>
      <c r="C91" s="13">
        <v>46980.0</v>
      </c>
      <c r="D91" s="13" t="s">
        <v>179</v>
      </c>
      <c r="E91" s="29"/>
      <c r="F91" s="15"/>
      <c r="G91" s="28">
        <v>5000.0</v>
      </c>
      <c r="H91" s="23"/>
      <c r="I91" s="18"/>
      <c r="J91" s="19"/>
      <c r="K91" s="20"/>
      <c r="L91" s="21">
        <v>5000.0</v>
      </c>
      <c r="M91" s="22">
        <f t="shared" si="1"/>
        <v>0</v>
      </c>
    </row>
    <row r="92">
      <c r="A92" s="12">
        <v>88.0</v>
      </c>
      <c r="B92" s="13" t="s">
        <v>180</v>
      </c>
      <c r="C92" s="13">
        <v>30895.0</v>
      </c>
      <c r="D92" s="13" t="s">
        <v>99</v>
      </c>
      <c r="E92" s="29"/>
      <c r="F92" s="15"/>
      <c r="G92" s="28">
        <v>10300.0</v>
      </c>
      <c r="H92" s="23"/>
      <c r="I92" s="18"/>
      <c r="J92" s="19"/>
      <c r="K92" s="20"/>
      <c r="L92" s="21">
        <v>10300.0</v>
      </c>
      <c r="M92" s="22">
        <f t="shared" si="1"/>
        <v>0</v>
      </c>
    </row>
    <row r="93">
      <c r="A93" s="12">
        <v>89.0</v>
      </c>
      <c r="B93" s="13" t="s">
        <v>181</v>
      </c>
      <c r="C93" s="13">
        <v>30894.0</v>
      </c>
      <c r="D93" s="13" t="s">
        <v>182</v>
      </c>
      <c r="E93" s="29"/>
      <c r="F93" s="15"/>
      <c r="G93" s="28">
        <v>16650.0</v>
      </c>
      <c r="H93" s="23"/>
      <c r="I93" s="18"/>
      <c r="J93" s="19"/>
      <c r="K93" s="20"/>
      <c r="L93" s="21">
        <v>16650.0</v>
      </c>
      <c r="M93" s="22">
        <f t="shared" si="1"/>
        <v>0</v>
      </c>
    </row>
    <row r="94">
      <c r="A94" s="30"/>
      <c r="B94" s="31"/>
      <c r="C94" s="31"/>
      <c r="D94" s="30"/>
      <c r="E94" s="32">
        <f t="shared" ref="E94:J94" si="2">SUM(E5:E93)</f>
        <v>1700</v>
      </c>
      <c r="F94" s="32">
        <f t="shared" si="2"/>
        <v>3890</v>
      </c>
      <c r="G94" s="32">
        <f t="shared" si="2"/>
        <v>46550</v>
      </c>
      <c r="H94" s="32">
        <f t="shared" si="2"/>
        <v>495753</v>
      </c>
      <c r="I94" s="32">
        <f t="shared" si="2"/>
        <v>45966</v>
      </c>
      <c r="J94" s="32">
        <f t="shared" si="2"/>
        <v>0</v>
      </c>
      <c r="K94" s="32"/>
      <c r="L94" s="32">
        <f t="shared" ref="L94:M94" si="3">SUM(L5:L93)</f>
        <v>606389</v>
      </c>
      <c r="M94" s="22">
        <f t="shared" si="3"/>
        <v>-12530</v>
      </c>
    </row>
    <row r="95">
      <c r="A95" s="33"/>
      <c r="B95" s="33"/>
      <c r="C95" s="33"/>
      <c r="D95" s="33"/>
      <c r="E95" s="34">
        <v>593859.0</v>
      </c>
      <c r="F95" s="6"/>
      <c r="G95" s="6"/>
      <c r="H95" s="6"/>
      <c r="I95" s="6"/>
      <c r="J95" s="6"/>
      <c r="K95" s="7"/>
      <c r="L95" s="35"/>
      <c r="M95" s="33"/>
    </row>
  </sheetData>
  <mergeCells count="14">
    <mergeCell ref="F3:G3"/>
    <mergeCell ref="H3:I3"/>
    <mergeCell ref="J3:J4"/>
    <mergeCell ref="K3:K4"/>
    <mergeCell ref="E95:K9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183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36">
        <v>1.0</v>
      </c>
      <c r="B5" s="37" t="s">
        <v>184</v>
      </c>
      <c r="C5" s="37">
        <v>56387.0</v>
      </c>
      <c r="D5" s="37" t="s">
        <v>185</v>
      </c>
      <c r="E5" s="38"/>
      <c r="F5" s="39"/>
      <c r="G5" s="40"/>
      <c r="H5" s="41"/>
      <c r="I5" s="42">
        <v>4350.0</v>
      </c>
      <c r="J5" s="43"/>
      <c r="K5" s="44"/>
      <c r="L5" s="45">
        <v>4350.0</v>
      </c>
      <c r="M5" s="22">
        <f t="shared" ref="M5:M23" si="1">SUM(E5+F5+G5+H5+I5+J5+K5-L5)</f>
        <v>0</v>
      </c>
    </row>
    <row r="6">
      <c r="A6" s="36">
        <v>2.0</v>
      </c>
      <c r="B6" s="37" t="s">
        <v>186</v>
      </c>
      <c r="C6" s="37">
        <v>10320.0</v>
      </c>
      <c r="D6" s="37" t="s">
        <v>84</v>
      </c>
      <c r="E6" s="46"/>
      <c r="F6" s="39"/>
      <c r="G6" s="40"/>
      <c r="H6" s="41">
        <v>350.0</v>
      </c>
      <c r="I6" s="42"/>
      <c r="J6" s="47"/>
      <c r="K6" s="48"/>
      <c r="L6" s="45">
        <v>350.0</v>
      </c>
      <c r="M6" s="22">
        <f t="shared" si="1"/>
        <v>0</v>
      </c>
    </row>
    <row r="7">
      <c r="A7" s="36">
        <v>3.0</v>
      </c>
      <c r="B7" s="37" t="s">
        <v>187</v>
      </c>
      <c r="C7" s="37">
        <v>39588.0</v>
      </c>
      <c r="D7" s="37" t="s">
        <v>188</v>
      </c>
      <c r="E7" s="46"/>
      <c r="F7" s="39"/>
      <c r="G7" s="40"/>
      <c r="H7" s="41">
        <v>9000.0</v>
      </c>
      <c r="I7" s="42"/>
      <c r="J7" s="43"/>
      <c r="K7" s="48"/>
      <c r="L7" s="45">
        <v>9000.0</v>
      </c>
      <c r="M7" s="22">
        <f t="shared" si="1"/>
        <v>0</v>
      </c>
    </row>
    <row r="8">
      <c r="A8" s="36">
        <v>4.0</v>
      </c>
      <c r="B8" s="37" t="s">
        <v>189</v>
      </c>
      <c r="C8" s="37">
        <v>50871.0</v>
      </c>
      <c r="D8" s="37" t="s">
        <v>48</v>
      </c>
      <c r="E8" s="46"/>
      <c r="F8" s="39"/>
      <c r="G8" s="40"/>
      <c r="H8" s="41">
        <v>60150.0</v>
      </c>
      <c r="I8" s="42"/>
      <c r="J8" s="43"/>
      <c r="K8" s="48"/>
      <c r="L8" s="45">
        <v>60150.0</v>
      </c>
      <c r="M8" s="22">
        <f t="shared" si="1"/>
        <v>0</v>
      </c>
    </row>
    <row r="9">
      <c r="A9" s="36">
        <v>5.0</v>
      </c>
      <c r="B9" s="37" t="s">
        <v>190</v>
      </c>
      <c r="C9" s="37">
        <v>26831.0</v>
      </c>
      <c r="D9" s="37" t="s">
        <v>191</v>
      </c>
      <c r="E9" s="46"/>
      <c r="F9" s="39"/>
      <c r="G9" s="40"/>
      <c r="H9" s="41">
        <v>17500.0</v>
      </c>
      <c r="I9" s="42"/>
      <c r="J9" s="43"/>
      <c r="K9" s="48"/>
      <c r="L9" s="45">
        <v>17500.0</v>
      </c>
      <c r="M9" s="22">
        <f t="shared" si="1"/>
        <v>0</v>
      </c>
    </row>
    <row r="10">
      <c r="A10" s="36">
        <v>6.0</v>
      </c>
      <c r="B10" s="37" t="s">
        <v>192</v>
      </c>
      <c r="C10" s="37">
        <v>39501.0</v>
      </c>
      <c r="D10" s="37" t="s">
        <v>193</v>
      </c>
      <c r="E10" s="46"/>
      <c r="F10" s="39"/>
      <c r="G10" s="40"/>
      <c r="H10" s="41">
        <v>3600.0</v>
      </c>
      <c r="I10" s="42"/>
      <c r="J10" s="43"/>
      <c r="K10" s="48"/>
      <c r="L10" s="45">
        <v>3600.0</v>
      </c>
      <c r="M10" s="22">
        <f t="shared" si="1"/>
        <v>0</v>
      </c>
    </row>
    <row r="11">
      <c r="A11" s="36">
        <v>7.0</v>
      </c>
      <c r="B11" s="37" t="s">
        <v>194</v>
      </c>
      <c r="C11" s="37">
        <v>21818.0</v>
      </c>
      <c r="D11" s="37" t="s">
        <v>82</v>
      </c>
      <c r="E11" s="46"/>
      <c r="F11" s="39"/>
      <c r="G11" s="40"/>
      <c r="H11" s="41"/>
      <c r="I11" s="42"/>
      <c r="J11" s="47">
        <v>50000.0</v>
      </c>
      <c r="K11" s="48"/>
      <c r="L11" s="45">
        <v>50000.0</v>
      </c>
      <c r="M11" s="22">
        <f t="shared" si="1"/>
        <v>0</v>
      </c>
    </row>
    <row r="12">
      <c r="A12" s="36">
        <v>8.0</v>
      </c>
      <c r="B12" s="37" t="s">
        <v>195</v>
      </c>
      <c r="C12" s="37">
        <v>52960.0</v>
      </c>
      <c r="D12" s="37" t="s">
        <v>196</v>
      </c>
      <c r="E12" s="46"/>
      <c r="F12" s="39"/>
      <c r="G12" s="40"/>
      <c r="H12" s="41">
        <v>7650.0</v>
      </c>
      <c r="I12" s="42"/>
      <c r="J12" s="47"/>
      <c r="K12" s="48"/>
      <c r="L12" s="45">
        <v>7650.0</v>
      </c>
      <c r="M12" s="22">
        <f t="shared" si="1"/>
        <v>0</v>
      </c>
    </row>
    <row r="13">
      <c r="A13" s="36">
        <v>9.0</v>
      </c>
      <c r="B13" s="37" t="s">
        <v>197</v>
      </c>
      <c r="C13" s="37">
        <v>54820.0</v>
      </c>
      <c r="D13" s="37" t="s">
        <v>198</v>
      </c>
      <c r="E13" s="46"/>
      <c r="F13" s="39"/>
      <c r="G13" s="40"/>
      <c r="H13" s="41"/>
      <c r="I13" s="42">
        <v>300.0</v>
      </c>
      <c r="J13" s="43"/>
      <c r="K13" s="48"/>
      <c r="L13" s="45">
        <v>300.0</v>
      </c>
      <c r="M13" s="22">
        <f t="shared" si="1"/>
        <v>0</v>
      </c>
    </row>
    <row r="14">
      <c r="A14" s="36">
        <v>10.0</v>
      </c>
      <c r="B14" s="37" t="s">
        <v>199</v>
      </c>
      <c r="C14" s="37">
        <v>50543.0</v>
      </c>
      <c r="D14" s="37" t="s">
        <v>200</v>
      </c>
      <c r="E14" s="46"/>
      <c r="F14" s="39"/>
      <c r="G14" s="40"/>
      <c r="H14" s="41">
        <v>448.0</v>
      </c>
      <c r="I14" s="42"/>
      <c r="J14" s="43"/>
      <c r="K14" s="48"/>
      <c r="L14" s="45">
        <v>448.0</v>
      </c>
      <c r="M14" s="22">
        <f t="shared" si="1"/>
        <v>0</v>
      </c>
    </row>
    <row r="15">
      <c r="A15" s="36">
        <v>11.0</v>
      </c>
      <c r="B15" s="37" t="s">
        <v>201</v>
      </c>
      <c r="C15" s="37">
        <v>21818.0</v>
      </c>
      <c r="D15" s="37" t="s">
        <v>82</v>
      </c>
      <c r="E15" s="46"/>
      <c r="F15" s="39"/>
      <c r="G15" s="40"/>
      <c r="H15" s="41">
        <v>2500.0</v>
      </c>
      <c r="I15" s="42"/>
      <c r="J15" s="43"/>
      <c r="K15" s="48"/>
      <c r="L15" s="45">
        <v>2500.0</v>
      </c>
      <c r="M15" s="22">
        <f t="shared" si="1"/>
        <v>0</v>
      </c>
    </row>
    <row r="16">
      <c r="A16" s="36">
        <v>12.0</v>
      </c>
      <c r="B16" s="37" t="s">
        <v>202</v>
      </c>
      <c r="C16" s="37">
        <v>55179.0</v>
      </c>
      <c r="D16" s="37" t="s">
        <v>203</v>
      </c>
      <c r="E16" s="38"/>
      <c r="F16" s="39"/>
      <c r="G16" s="40"/>
      <c r="H16" s="41">
        <v>900.0</v>
      </c>
      <c r="I16" s="42"/>
      <c r="J16" s="43"/>
      <c r="K16" s="48"/>
      <c r="L16" s="45">
        <v>900.0</v>
      </c>
      <c r="M16" s="22">
        <f t="shared" si="1"/>
        <v>0</v>
      </c>
    </row>
    <row r="17">
      <c r="A17" s="36">
        <v>13.0</v>
      </c>
      <c r="B17" s="37" t="s">
        <v>204</v>
      </c>
      <c r="C17" s="37">
        <v>33342.0</v>
      </c>
      <c r="D17" s="37" t="s">
        <v>205</v>
      </c>
      <c r="E17" s="46"/>
      <c r="F17" s="39"/>
      <c r="G17" s="40"/>
      <c r="H17" s="41">
        <v>5000.0</v>
      </c>
      <c r="I17" s="42"/>
      <c r="J17" s="47"/>
      <c r="K17" s="48"/>
      <c r="L17" s="45">
        <v>5000.0</v>
      </c>
      <c r="M17" s="22">
        <f t="shared" si="1"/>
        <v>0</v>
      </c>
    </row>
    <row r="18">
      <c r="A18" s="36">
        <v>14.0</v>
      </c>
      <c r="B18" s="37" t="s">
        <v>206</v>
      </c>
      <c r="C18" s="37">
        <v>40235.0</v>
      </c>
      <c r="D18" s="37" t="s">
        <v>207</v>
      </c>
      <c r="E18" s="46"/>
      <c r="F18" s="39"/>
      <c r="G18" s="40"/>
      <c r="H18" s="41">
        <v>5000.0</v>
      </c>
      <c r="I18" s="42"/>
      <c r="J18" s="47"/>
      <c r="K18" s="48"/>
      <c r="L18" s="45">
        <v>5000.0</v>
      </c>
      <c r="M18" s="22">
        <f t="shared" si="1"/>
        <v>0</v>
      </c>
    </row>
    <row r="19">
      <c r="A19" s="36">
        <v>15.0</v>
      </c>
      <c r="B19" s="37" t="s">
        <v>208</v>
      </c>
      <c r="C19" s="37">
        <v>54196.0</v>
      </c>
      <c r="D19" s="37" t="s">
        <v>209</v>
      </c>
      <c r="E19" s="46"/>
      <c r="F19" s="49"/>
      <c r="G19" s="40"/>
      <c r="H19" s="41">
        <v>5000.0</v>
      </c>
      <c r="I19" s="42"/>
      <c r="J19" s="43"/>
      <c r="K19" s="48"/>
      <c r="L19" s="45">
        <v>5000.0</v>
      </c>
      <c r="M19" s="22">
        <f t="shared" si="1"/>
        <v>0</v>
      </c>
    </row>
    <row r="20">
      <c r="A20" s="36">
        <v>16.0</v>
      </c>
      <c r="B20" s="37" t="s">
        <v>210</v>
      </c>
      <c r="C20" s="37">
        <v>13762.0</v>
      </c>
      <c r="D20" s="37" t="s">
        <v>211</v>
      </c>
      <c r="E20" s="38"/>
      <c r="F20" s="39"/>
      <c r="G20" s="40"/>
      <c r="H20" s="41">
        <v>100.0</v>
      </c>
      <c r="I20" s="42"/>
      <c r="J20" s="43"/>
      <c r="K20" s="48"/>
      <c r="L20" s="45">
        <v>100.0</v>
      </c>
      <c r="M20" s="22">
        <f t="shared" si="1"/>
        <v>0</v>
      </c>
    </row>
    <row r="21">
      <c r="A21" s="36">
        <v>17.0</v>
      </c>
      <c r="B21" s="37" t="s">
        <v>212</v>
      </c>
      <c r="C21" s="37">
        <v>13781.0</v>
      </c>
      <c r="D21" s="37" t="s">
        <v>213</v>
      </c>
      <c r="E21" s="46"/>
      <c r="F21" s="39"/>
      <c r="G21" s="40"/>
      <c r="H21" s="41">
        <v>100.0</v>
      </c>
      <c r="I21" s="42"/>
      <c r="J21" s="43"/>
      <c r="K21" s="48"/>
      <c r="L21" s="45">
        <v>100.0</v>
      </c>
      <c r="M21" s="22">
        <f t="shared" si="1"/>
        <v>0</v>
      </c>
    </row>
    <row r="22">
      <c r="A22" s="36">
        <v>18.0</v>
      </c>
      <c r="B22" s="37" t="s">
        <v>214</v>
      </c>
      <c r="C22" s="37">
        <v>40984.0</v>
      </c>
      <c r="D22" s="37" t="s">
        <v>215</v>
      </c>
      <c r="E22" s="46"/>
      <c r="F22" s="39"/>
      <c r="G22" s="40"/>
      <c r="H22" s="41">
        <v>100.0</v>
      </c>
      <c r="I22" s="42"/>
      <c r="J22" s="43"/>
      <c r="K22" s="48"/>
      <c r="L22" s="45">
        <v>100.0</v>
      </c>
      <c r="M22" s="22">
        <f t="shared" si="1"/>
        <v>0</v>
      </c>
    </row>
    <row r="23">
      <c r="A23" s="36">
        <v>19.0</v>
      </c>
      <c r="B23" s="37" t="s">
        <v>216</v>
      </c>
      <c r="C23" s="37">
        <v>52032.0</v>
      </c>
      <c r="D23" s="37" t="s">
        <v>217</v>
      </c>
      <c r="E23" s="46"/>
      <c r="F23" s="49"/>
      <c r="G23" s="40"/>
      <c r="H23" s="41">
        <v>15750.0</v>
      </c>
      <c r="I23" s="42"/>
      <c r="J23" s="43"/>
      <c r="K23" s="48"/>
      <c r="L23" s="45">
        <v>15750.0</v>
      </c>
      <c r="M23" s="22">
        <f t="shared" si="1"/>
        <v>0</v>
      </c>
    </row>
    <row r="24">
      <c r="A24" s="36">
        <v>20.0</v>
      </c>
      <c r="B24" s="37" t="s">
        <v>218</v>
      </c>
      <c r="C24" s="37">
        <v>57271.0</v>
      </c>
      <c r="D24" s="37" t="s">
        <v>219</v>
      </c>
      <c r="E24" s="46"/>
      <c r="F24" s="49"/>
      <c r="G24" s="40"/>
      <c r="H24" s="41">
        <v>100.0</v>
      </c>
      <c r="I24" s="42"/>
      <c r="J24" s="43"/>
      <c r="K24" s="48"/>
      <c r="L24" s="45">
        <v>100.0</v>
      </c>
      <c r="M24" s="50">
        <v>0.0</v>
      </c>
    </row>
    <row r="25">
      <c r="A25" s="36">
        <v>21.0</v>
      </c>
      <c r="B25" s="37" t="s">
        <v>220</v>
      </c>
      <c r="C25" s="37">
        <v>53717.0</v>
      </c>
      <c r="D25" s="37" t="s">
        <v>221</v>
      </c>
      <c r="E25" s="46"/>
      <c r="F25" s="49"/>
      <c r="G25" s="40"/>
      <c r="H25" s="41">
        <v>5000.0</v>
      </c>
      <c r="I25" s="42"/>
      <c r="J25" s="43"/>
      <c r="K25" s="48"/>
      <c r="L25" s="45">
        <v>5000.0</v>
      </c>
      <c r="M25" s="22">
        <f t="shared" ref="M25:M106" si="2">SUM(E25+F25+G25+H25+I25+J25+K25-L25)</f>
        <v>0</v>
      </c>
    </row>
    <row r="26">
      <c r="A26" s="36">
        <v>22.0</v>
      </c>
      <c r="B26" s="37" t="s">
        <v>222</v>
      </c>
      <c r="C26" s="37">
        <v>53717.0</v>
      </c>
      <c r="D26" s="37" t="s">
        <v>221</v>
      </c>
      <c r="E26" s="46"/>
      <c r="F26" s="49"/>
      <c r="G26" s="40"/>
      <c r="H26" s="41"/>
      <c r="I26" s="42">
        <v>8750.0</v>
      </c>
      <c r="J26" s="43"/>
      <c r="K26" s="48"/>
      <c r="L26" s="45">
        <v>8750.0</v>
      </c>
      <c r="M26" s="22">
        <f t="shared" si="2"/>
        <v>0</v>
      </c>
    </row>
    <row r="27">
      <c r="A27" s="36">
        <v>23.0</v>
      </c>
      <c r="B27" s="37" t="s">
        <v>223</v>
      </c>
      <c r="C27" s="37">
        <v>26831.0</v>
      </c>
      <c r="D27" s="37" t="s">
        <v>191</v>
      </c>
      <c r="E27" s="38"/>
      <c r="F27" s="39"/>
      <c r="G27" s="40"/>
      <c r="H27" s="41"/>
      <c r="I27" s="42">
        <v>600.0</v>
      </c>
      <c r="J27" s="43"/>
      <c r="K27" s="48"/>
      <c r="L27" s="45">
        <v>600.0</v>
      </c>
      <c r="M27" s="22">
        <f t="shared" si="2"/>
        <v>0</v>
      </c>
    </row>
    <row r="28">
      <c r="A28" s="36">
        <v>24.0</v>
      </c>
      <c r="B28" s="37" t="s">
        <v>224</v>
      </c>
      <c r="C28" s="37">
        <v>49864.0</v>
      </c>
      <c r="D28" s="37" t="s">
        <v>225</v>
      </c>
      <c r="E28" s="46"/>
      <c r="F28" s="49"/>
      <c r="G28" s="40"/>
      <c r="H28" s="41">
        <v>488.0</v>
      </c>
      <c r="I28" s="42"/>
      <c r="J28" s="47"/>
      <c r="K28" s="48"/>
      <c r="L28" s="45">
        <v>488.0</v>
      </c>
      <c r="M28" s="22">
        <f t="shared" si="2"/>
        <v>0</v>
      </c>
    </row>
    <row r="29">
      <c r="A29" s="36">
        <v>25.0</v>
      </c>
      <c r="B29" s="37" t="s">
        <v>226</v>
      </c>
      <c r="C29" s="37">
        <v>56451.0</v>
      </c>
      <c r="D29" s="37" t="s">
        <v>227</v>
      </c>
      <c r="E29" s="46"/>
      <c r="F29" s="39"/>
      <c r="G29" s="40"/>
      <c r="H29" s="41">
        <v>5000.0</v>
      </c>
      <c r="I29" s="42"/>
      <c r="J29" s="43"/>
      <c r="K29" s="48"/>
      <c r="L29" s="45">
        <v>5000.0</v>
      </c>
      <c r="M29" s="22">
        <f t="shared" si="2"/>
        <v>0</v>
      </c>
    </row>
    <row r="30">
      <c r="A30" s="36">
        <v>26.0</v>
      </c>
      <c r="B30" s="37" t="s">
        <v>228</v>
      </c>
      <c r="C30" s="37">
        <v>25650.0</v>
      </c>
      <c r="D30" s="37" t="s">
        <v>229</v>
      </c>
      <c r="E30" s="46"/>
      <c r="F30" s="49"/>
      <c r="G30" s="40"/>
      <c r="H30" s="41"/>
      <c r="I30" s="42"/>
      <c r="J30" s="47">
        <v>2500.0</v>
      </c>
      <c r="K30" s="48"/>
      <c r="L30" s="45">
        <v>2500.0</v>
      </c>
      <c r="M30" s="22">
        <f t="shared" si="2"/>
        <v>0</v>
      </c>
    </row>
    <row r="31">
      <c r="A31" s="36">
        <v>27.0</v>
      </c>
      <c r="B31" s="37" t="s">
        <v>230</v>
      </c>
      <c r="C31" s="37">
        <v>47787.0</v>
      </c>
      <c r="D31" s="37" t="s">
        <v>161</v>
      </c>
      <c r="E31" s="46"/>
      <c r="F31" s="49"/>
      <c r="G31" s="40"/>
      <c r="H31" s="41"/>
      <c r="I31" s="42">
        <v>11200.0</v>
      </c>
      <c r="J31" s="43"/>
      <c r="K31" s="48"/>
      <c r="L31" s="45">
        <v>11200.0</v>
      </c>
      <c r="M31" s="22">
        <f t="shared" si="2"/>
        <v>0</v>
      </c>
    </row>
    <row r="32">
      <c r="A32" s="36">
        <v>28.0</v>
      </c>
      <c r="B32" s="37" t="s">
        <v>231</v>
      </c>
      <c r="C32" s="37">
        <v>47787.0</v>
      </c>
      <c r="D32" s="37" t="s">
        <v>161</v>
      </c>
      <c r="E32" s="46"/>
      <c r="F32" s="49"/>
      <c r="G32" s="40"/>
      <c r="H32" s="41"/>
      <c r="I32" s="42">
        <v>1250.0</v>
      </c>
      <c r="J32" s="43"/>
      <c r="K32" s="48"/>
      <c r="L32" s="45">
        <v>1250.0</v>
      </c>
      <c r="M32" s="22">
        <f t="shared" si="2"/>
        <v>0</v>
      </c>
    </row>
    <row r="33">
      <c r="A33" s="36">
        <v>29.0</v>
      </c>
      <c r="B33" s="37" t="s">
        <v>232</v>
      </c>
      <c r="C33" s="37">
        <v>45227.0</v>
      </c>
      <c r="D33" s="37" t="s">
        <v>233</v>
      </c>
      <c r="E33" s="46"/>
      <c r="F33" s="49"/>
      <c r="G33" s="40"/>
      <c r="H33" s="41">
        <v>10200.0</v>
      </c>
      <c r="I33" s="42"/>
      <c r="J33" s="43"/>
      <c r="K33" s="48"/>
      <c r="L33" s="45">
        <v>10200.0</v>
      </c>
      <c r="M33" s="22">
        <f t="shared" si="2"/>
        <v>0</v>
      </c>
    </row>
    <row r="34">
      <c r="A34" s="36">
        <v>30.0</v>
      </c>
      <c r="B34" s="37" t="s">
        <v>234</v>
      </c>
      <c r="C34" s="37">
        <v>47787.0</v>
      </c>
      <c r="D34" s="37" t="s">
        <v>161</v>
      </c>
      <c r="E34" s="38"/>
      <c r="F34" s="39"/>
      <c r="G34" s="40"/>
      <c r="H34" s="41"/>
      <c r="I34" s="42">
        <v>350.0</v>
      </c>
      <c r="J34" s="47"/>
      <c r="K34" s="48"/>
      <c r="L34" s="45">
        <v>350.0</v>
      </c>
      <c r="M34" s="22">
        <f t="shared" si="2"/>
        <v>0</v>
      </c>
    </row>
    <row r="35">
      <c r="A35" s="36">
        <v>31.0</v>
      </c>
      <c r="B35" s="37" t="s">
        <v>235</v>
      </c>
      <c r="C35" s="37">
        <v>48657.0</v>
      </c>
      <c r="D35" s="37" t="s">
        <v>236</v>
      </c>
      <c r="E35" s="46"/>
      <c r="F35" s="39"/>
      <c r="G35" s="40"/>
      <c r="H35" s="41">
        <v>5000.0</v>
      </c>
      <c r="I35" s="42"/>
      <c r="J35" s="43"/>
      <c r="K35" s="48"/>
      <c r="L35" s="45">
        <v>5000.0</v>
      </c>
      <c r="M35" s="22">
        <f t="shared" si="2"/>
        <v>0</v>
      </c>
    </row>
    <row r="36">
      <c r="A36" s="36">
        <v>32.0</v>
      </c>
      <c r="B36" s="37" t="s">
        <v>237</v>
      </c>
      <c r="C36" s="37">
        <v>55215.0</v>
      </c>
      <c r="D36" s="37" t="s">
        <v>238</v>
      </c>
      <c r="E36" s="46"/>
      <c r="F36" s="39"/>
      <c r="G36" s="40"/>
      <c r="H36" s="41"/>
      <c r="I36" s="42">
        <v>1750.0</v>
      </c>
      <c r="J36" s="43"/>
      <c r="K36" s="48"/>
      <c r="L36" s="45">
        <v>1750.0</v>
      </c>
      <c r="M36" s="22">
        <f t="shared" si="2"/>
        <v>0</v>
      </c>
    </row>
    <row r="37">
      <c r="A37" s="36">
        <v>33.0</v>
      </c>
      <c r="B37" s="37" t="s">
        <v>239</v>
      </c>
      <c r="C37" s="37">
        <v>48631.0</v>
      </c>
      <c r="D37" s="37" t="s">
        <v>123</v>
      </c>
      <c r="E37" s="46"/>
      <c r="F37" s="39"/>
      <c r="G37" s="40"/>
      <c r="H37" s="41">
        <v>2100.0</v>
      </c>
      <c r="I37" s="42"/>
      <c r="J37" s="43"/>
      <c r="K37" s="48"/>
      <c r="L37" s="45">
        <v>2100.0</v>
      </c>
      <c r="M37" s="22">
        <f t="shared" si="2"/>
        <v>0</v>
      </c>
    </row>
    <row r="38">
      <c r="A38" s="36">
        <v>34.0</v>
      </c>
      <c r="B38" s="37" t="s">
        <v>240</v>
      </c>
      <c r="C38" s="37">
        <v>21384.0</v>
      </c>
      <c r="D38" s="37" t="s">
        <v>151</v>
      </c>
      <c r="E38" s="46"/>
      <c r="F38" s="39"/>
      <c r="G38" s="40"/>
      <c r="H38" s="41">
        <v>5000.0</v>
      </c>
      <c r="I38" s="42"/>
      <c r="J38" s="43"/>
      <c r="K38" s="48"/>
      <c r="L38" s="45">
        <v>5000.0</v>
      </c>
      <c r="M38" s="22">
        <f t="shared" si="2"/>
        <v>0</v>
      </c>
    </row>
    <row r="39">
      <c r="A39" s="36">
        <v>35.0</v>
      </c>
      <c r="B39" s="37" t="s">
        <v>241</v>
      </c>
      <c r="C39" s="37">
        <v>57588.0</v>
      </c>
      <c r="D39" s="37" t="s">
        <v>242</v>
      </c>
      <c r="E39" s="38"/>
      <c r="F39" s="39"/>
      <c r="G39" s="40"/>
      <c r="H39" s="41"/>
      <c r="I39" s="42">
        <v>1450.0</v>
      </c>
      <c r="J39" s="47"/>
      <c r="K39" s="48"/>
      <c r="L39" s="45">
        <v>1450.0</v>
      </c>
      <c r="M39" s="22">
        <f t="shared" si="2"/>
        <v>0</v>
      </c>
    </row>
    <row r="40">
      <c r="A40" s="36">
        <v>36.0</v>
      </c>
      <c r="B40" s="37" t="s">
        <v>243</v>
      </c>
      <c r="C40" s="37">
        <v>53364.0</v>
      </c>
      <c r="D40" s="37" t="s">
        <v>244</v>
      </c>
      <c r="E40" s="46"/>
      <c r="F40" s="49"/>
      <c r="G40" s="40"/>
      <c r="H40" s="41">
        <v>10550.0</v>
      </c>
      <c r="I40" s="51"/>
      <c r="J40" s="43"/>
      <c r="K40" s="48"/>
      <c r="L40" s="45">
        <v>10550.0</v>
      </c>
      <c r="M40" s="22">
        <f t="shared" si="2"/>
        <v>0</v>
      </c>
    </row>
    <row r="41">
      <c r="A41" s="36">
        <v>37.0</v>
      </c>
      <c r="B41" s="37" t="s">
        <v>245</v>
      </c>
      <c r="C41" s="37">
        <v>57125.0</v>
      </c>
      <c r="D41" s="37" t="s">
        <v>246</v>
      </c>
      <c r="E41" s="46"/>
      <c r="F41" s="39"/>
      <c r="G41" s="40"/>
      <c r="H41" s="41"/>
      <c r="I41" s="42">
        <v>350.0</v>
      </c>
      <c r="J41" s="47"/>
      <c r="K41" s="48"/>
      <c r="L41" s="45">
        <v>350.0</v>
      </c>
      <c r="M41" s="22">
        <f t="shared" si="2"/>
        <v>0</v>
      </c>
    </row>
    <row r="42">
      <c r="A42" s="36">
        <v>38.0</v>
      </c>
      <c r="B42" s="37" t="s">
        <v>247</v>
      </c>
      <c r="C42" s="37">
        <v>56676.0</v>
      </c>
      <c r="D42" s="37" t="s">
        <v>248</v>
      </c>
      <c r="E42" s="46"/>
      <c r="F42" s="39"/>
      <c r="G42" s="40"/>
      <c r="H42" s="41">
        <v>5000.0</v>
      </c>
      <c r="I42" s="51"/>
      <c r="J42" s="47"/>
      <c r="K42" s="48"/>
      <c r="L42" s="45">
        <v>5000.0</v>
      </c>
      <c r="M42" s="22">
        <f t="shared" si="2"/>
        <v>0</v>
      </c>
    </row>
    <row r="43">
      <c r="A43" s="36">
        <v>39.0</v>
      </c>
      <c r="B43" s="37" t="s">
        <v>249</v>
      </c>
      <c r="C43" s="37">
        <v>22332.0</v>
      </c>
      <c r="D43" s="37" t="s">
        <v>78</v>
      </c>
      <c r="E43" s="46"/>
      <c r="F43" s="39"/>
      <c r="G43" s="40"/>
      <c r="H43" s="41">
        <v>17500.0</v>
      </c>
      <c r="I43" s="42"/>
      <c r="J43" s="43"/>
      <c r="K43" s="48"/>
      <c r="L43" s="45">
        <v>17500.0</v>
      </c>
      <c r="M43" s="22">
        <f t="shared" si="2"/>
        <v>0</v>
      </c>
    </row>
    <row r="44">
      <c r="A44" s="36">
        <v>40.0</v>
      </c>
      <c r="B44" s="37" t="s">
        <v>250</v>
      </c>
      <c r="C44" s="37">
        <v>57946.0</v>
      </c>
      <c r="D44" s="37" t="s">
        <v>251</v>
      </c>
      <c r="E44" s="46"/>
      <c r="F44" s="49"/>
      <c r="G44" s="40"/>
      <c r="H44" s="41">
        <v>700.0</v>
      </c>
      <c r="I44" s="42"/>
      <c r="J44" s="43"/>
      <c r="K44" s="48"/>
      <c r="L44" s="45">
        <v>700.0</v>
      </c>
      <c r="M44" s="22">
        <f t="shared" si="2"/>
        <v>0</v>
      </c>
    </row>
    <row r="45">
      <c r="A45" s="36">
        <v>41.0</v>
      </c>
      <c r="B45" s="37" t="s">
        <v>252</v>
      </c>
      <c r="C45" s="37">
        <v>42833.0</v>
      </c>
      <c r="D45" s="37" t="s">
        <v>253</v>
      </c>
      <c r="E45" s="46"/>
      <c r="F45" s="39"/>
      <c r="G45" s="40"/>
      <c r="H45" s="41">
        <v>10000.0</v>
      </c>
      <c r="I45" s="42"/>
      <c r="J45" s="43"/>
      <c r="K45" s="48"/>
      <c r="L45" s="45">
        <v>10000.0</v>
      </c>
      <c r="M45" s="22">
        <f t="shared" si="2"/>
        <v>0</v>
      </c>
    </row>
    <row r="46">
      <c r="A46" s="36">
        <v>42.0</v>
      </c>
      <c r="B46" s="37" t="s">
        <v>254</v>
      </c>
      <c r="C46" s="37">
        <v>55179.0</v>
      </c>
      <c r="D46" s="37" t="s">
        <v>203</v>
      </c>
      <c r="E46" s="46"/>
      <c r="F46" s="49"/>
      <c r="G46" s="40"/>
      <c r="H46" s="41"/>
      <c r="I46" s="42">
        <v>200.0</v>
      </c>
      <c r="J46" s="47"/>
      <c r="K46" s="48"/>
      <c r="L46" s="45">
        <v>200.0</v>
      </c>
      <c r="M46" s="22">
        <f t="shared" si="2"/>
        <v>0</v>
      </c>
    </row>
    <row r="47">
      <c r="A47" s="36">
        <v>43.0</v>
      </c>
      <c r="B47" s="37" t="s">
        <v>255</v>
      </c>
      <c r="C47" s="37">
        <v>55162.0</v>
      </c>
      <c r="D47" s="37" t="s">
        <v>256</v>
      </c>
      <c r="E47" s="46"/>
      <c r="F47" s="49"/>
      <c r="G47" s="40"/>
      <c r="H47" s="41"/>
      <c r="I47" s="42">
        <v>26500.0</v>
      </c>
      <c r="J47" s="43"/>
      <c r="K47" s="48"/>
      <c r="L47" s="45">
        <v>26500.0</v>
      </c>
      <c r="M47" s="22">
        <f t="shared" si="2"/>
        <v>0</v>
      </c>
    </row>
    <row r="48">
      <c r="A48" s="36">
        <v>44.0</v>
      </c>
      <c r="B48" s="37" t="s">
        <v>257</v>
      </c>
      <c r="C48" s="37">
        <v>51264.0</v>
      </c>
      <c r="D48" s="37" t="s">
        <v>258</v>
      </c>
      <c r="E48" s="46"/>
      <c r="F48" s="39"/>
      <c r="G48" s="40"/>
      <c r="H48" s="41">
        <v>10350.0</v>
      </c>
      <c r="I48" s="42"/>
      <c r="J48" s="43"/>
      <c r="K48" s="48"/>
      <c r="L48" s="45">
        <v>10350.0</v>
      </c>
      <c r="M48" s="22">
        <f t="shared" si="2"/>
        <v>0</v>
      </c>
    </row>
    <row r="49">
      <c r="A49" s="36">
        <v>45.0</v>
      </c>
      <c r="B49" s="37" t="s">
        <v>259</v>
      </c>
      <c r="C49" s="37">
        <v>53401.0</v>
      </c>
      <c r="D49" s="37" t="s">
        <v>260</v>
      </c>
      <c r="E49" s="46"/>
      <c r="F49" s="39"/>
      <c r="G49" s="40"/>
      <c r="H49" s="41"/>
      <c r="I49" s="42">
        <v>2650.0</v>
      </c>
      <c r="J49" s="43"/>
      <c r="K49" s="48"/>
      <c r="L49" s="45">
        <v>2650.0</v>
      </c>
      <c r="M49" s="22">
        <f t="shared" si="2"/>
        <v>0</v>
      </c>
    </row>
    <row r="50">
      <c r="A50" s="36">
        <v>46.0</v>
      </c>
      <c r="B50" s="37" t="s">
        <v>261</v>
      </c>
      <c r="C50" s="37">
        <v>46778.0</v>
      </c>
      <c r="D50" s="37" t="s">
        <v>262</v>
      </c>
      <c r="E50" s="46"/>
      <c r="F50" s="39"/>
      <c r="G50" s="40"/>
      <c r="H50" s="41"/>
      <c r="I50" s="42">
        <v>4200.0</v>
      </c>
      <c r="J50" s="43"/>
      <c r="K50" s="48"/>
      <c r="L50" s="45">
        <v>4200.0</v>
      </c>
      <c r="M50" s="22">
        <f t="shared" si="2"/>
        <v>0</v>
      </c>
    </row>
    <row r="51">
      <c r="A51" s="36">
        <v>47.0</v>
      </c>
      <c r="B51" s="37" t="s">
        <v>263</v>
      </c>
      <c r="C51" s="37">
        <v>54280.0</v>
      </c>
      <c r="D51" s="37" t="s">
        <v>264</v>
      </c>
      <c r="E51" s="46"/>
      <c r="F51" s="39"/>
      <c r="G51" s="40"/>
      <c r="H51" s="41">
        <v>5000.0</v>
      </c>
      <c r="I51" s="42"/>
      <c r="J51" s="43"/>
      <c r="K51" s="48"/>
      <c r="L51" s="45">
        <v>5000.0</v>
      </c>
      <c r="M51" s="22">
        <f t="shared" si="2"/>
        <v>0</v>
      </c>
    </row>
    <row r="52">
      <c r="A52" s="36">
        <v>48.0</v>
      </c>
      <c r="B52" s="37" t="s">
        <v>265</v>
      </c>
      <c r="C52" s="37">
        <v>54280.0</v>
      </c>
      <c r="D52" s="37" t="s">
        <v>264</v>
      </c>
      <c r="E52" s="46"/>
      <c r="F52" s="39"/>
      <c r="G52" s="40"/>
      <c r="H52" s="41">
        <v>5000.0</v>
      </c>
      <c r="I52" s="42"/>
      <c r="J52" s="43"/>
      <c r="K52" s="48"/>
      <c r="L52" s="45">
        <v>5000.0</v>
      </c>
      <c r="M52" s="22">
        <f t="shared" si="2"/>
        <v>0</v>
      </c>
    </row>
    <row r="53">
      <c r="A53" s="36">
        <v>49.0</v>
      </c>
      <c r="B53" s="37" t="s">
        <v>266</v>
      </c>
      <c r="C53" s="37">
        <v>21818.0</v>
      </c>
      <c r="D53" s="37" t="s">
        <v>82</v>
      </c>
      <c r="E53" s="46"/>
      <c r="F53" s="39"/>
      <c r="G53" s="40"/>
      <c r="H53" s="41"/>
      <c r="I53" s="42"/>
      <c r="J53" s="47">
        <v>430.0</v>
      </c>
      <c r="K53" s="48"/>
      <c r="L53" s="45">
        <v>430.0</v>
      </c>
      <c r="M53" s="22">
        <f t="shared" si="2"/>
        <v>0</v>
      </c>
    </row>
    <row r="54">
      <c r="A54" s="36">
        <v>50.0</v>
      </c>
      <c r="B54" s="37" t="s">
        <v>267</v>
      </c>
      <c r="C54" s="37">
        <v>57498.0</v>
      </c>
      <c r="D54" s="37" t="s">
        <v>268</v>
      </c>
      <c r="E54" s="46"/>
      <c r="F54" s="39"/>
      <c r="G54" s="40"/>
      <c r="H54" s="41">
        <v>450.0</v>
      </c>
      <c r="I54" s="42"/>
      <c r="J54" s="43"/>
      <c r="K54" s="48"/>
      <c r="L54" s="45">
        <v>450.0</v>
      </c>
      <c r="M54" s="22">
        <f t="shared" si="2"/>
        <v>0</v>
      </c>
    </row>
    <row r="55">
      <c r="A55" s="36">
        <v>51.0</v>
      </c>
      <c r="B55" s="37" t="s">
        <v>269</v>
      </c>
      <c r="C55" s="37">
        <v>22332.0</v>
      </c>
      <c r="D55" s="37" t="s">
        <v>78</v>
      </c>
      <c r="E55" s="46"/>
      <c r="F55" s="39"/>
      <c r="G55" s="40"/>
      <c r="H55" s="41">
        <v>600.0</v>
      </c>
      <c r="I55" s="42"/>
      <c r="J55" s="43"/>
      <c r="K55" s="48"/>
      <c r="L55" s="45">
        <v>600.0</v>
      </c>
      <c r="M55" s="22">
        <f t="shared" si="2"/>
        <v>0</v>
      </c>
    </row>
    <row r="56">
      <c r="A56" s="36">
        <v>52.0</v>
      </c>
      <c r="B56" s="37" t="s">
        <v>270</v>
      </c>
      <c r="C56" s="37">
        <v>57010.0</v>
      </c>
      <c r="D56" s="37" t="s">
        <v>271</v>
      </c>
      <c r="E56" s="46"/>
      <c r="F56" s="39"/>
      <c r="G56" s="40"/>
      <c r="H56" s="41">
        <v>3050.0</v>
      </c>
      <c r="I56" s="42"/>
      <c r="J56" s="43"/>
      <c r="K56" s="48"/>
      <c r="L56" s="45">
        <v>3050.0</v>
      </c>
      <c r="M56" s="22">
        <f t="shared" si="2"/>
        <v>0</v>
      </c>
    </row>
    <row r="57">
      <c r="A57" s="36">
        <v>53.0</v>
      </c>
      <c r="B57" s="37" t="s">
        <v>272</v>
      </c>
      <c r="C57" s="37">
        <v>43381.0</v>
      </c>
      <c r="D57" s="37" t="s">
        <v>97</v>
      </c>
      <c r="E57" s="46"/>
      <c r="F57" s="39"/>
      <c r="G57" s="40"/>
      <c r="H57" s="41">
        <v>2650.0</v>
      </c>
      <c r="I57" s="42"/>
      <c r="J57" s="43"/>
      <c r="K57" s="48"/>
      <c r="L57" s="45">
        <v>2650.0</v>
      </c>
      <c r="M57" s="22">
        <f t="shared" si="2"/>
        <v>0</v>
      </c>
    </row>
    <row r="58">
      <c r="A58" s="36">
        <v>54.0</v>
      </c>
      <c r="B58" s="37" t="s">
        <v>273</v>
      </c>
      <c r="C58" s="37">
        <v>21818.0</v>
      </c>
      <c r="D58" s="37" t="s">
        <v>82</v>
      </c>
      <c r="E58" s="46"/>
      <c r="F58" s="39"/>
      <c r="G58" s="40"/>
      <c r="H58" s="41">
        <v>1250.0</v>
      </c>
      <c r="I58" s="42"/>
      <c r="J58" s="43"/>
      <c r="K58" s="48"/>
      <c r="L58" s="45">
        <v>1250.0</v>
      </c>
      <c r="M58" s="22">
        <f t="shared" si="2"/>
        <v>0</v>
      </c>
    </row>
    <row r="59">
      <c r="A59" s="36">
        <v>55.0</v>
      </c>
      <c r="B59" s="37" t="s">
        <v>274</v>
      </c>
      <c r="C59" s="37">
        <v>31927.0</v>
      </c>
      <c r="D59" s="37" t="s">
        <v>275</v>
      </c>
      <c r="E59" s="46"/>
      <c r="F59" s="39"/>
      <c r="G59" s="40"/>
      <c r="H59" s="41">
        <v>2500.0</v>
      </c>
      <c r="I59" s="42"/>
      <c r="J59" s="43"/>
      <c r="K59" s="48"/>
      <c r="L59" s="45">
        <v>2500.0</v>
      </c>
      <c r="M59" s="22">
        <f t="shared" si="2"/>
        <v>0</v>
      </c>
    </row>
    <row r="60">
      <c r="A60" s="36">
        <v>56.0</v>
      </c>
      <c r="B60" s="37" t="s">
        <v>276</v>
      </c>
      <c r="C60" s="37">
        <v>31738.0</v>
      </c>
      <c r="D60" s="37" t="s">
        <v>277</v>
      </c>
      <c r="E60" s="46"/>
      <c r="F60" s="39"/>
      <c r="G60" s="40"/>
      <c r="H60" s="41"/>
      <c r="I60" s="42"/>
      <c r="J60" s="47">
        <v>7880.0</v>
      </c>
      <c r="K60" s="48"/>
      <c r="L60" s="45">
        <v>7880.0</v>
      </c>
      <c r="M60" s="22">
        <f t="shared" si="2"/>
        <v>0</v>
      </c>
    </row>
    <row r="61">
      <c r="A61" s="36">
        <v>57.0</v>
      </c>
      <c r="B61" s="37" t="s">
        <v>278</v>
      </c>
      <c r="C61" s="37">
        <v>35362.0</v>
      </c>
      <c r="D61" s="37" t="s">
        <v>279</v>
      </c>
      <c r="E61" s="46"/>
      <c r="F61" s="39"/>
      <c r="G61" s="40"/>
      <c r="H61" s="41">
        <v>5750.0</v>
      </c>
      <c r="I61" s="42"/>
      <c r="J61" s="43"/>
      <c r="K61" s="48"/>
      <c r="L61" s="45">
        <v>5750.0</v>
      </c>
      <c r="M61" s="22">
        <f t="shared" si="2"/>
        <v>0</v>
      </c>
    </row>
    <row r="62">
      <c r="A62" s="36">
        <v>58.0</v>
      </c>
      <c r="B62" s="37" t="s">
        <v>280</v>
      </c>
      <c r="C62" s="37">
        <v>55555.0</v>
      </c>
      <c r="D62" s="37" t="s">
        <v>281</v>
      </c>
      <c r="E62" s="38">
        <v>700.0</v>
      </c>
      <c r="F62" s="39"/>
      <c r="G62" s="40"/>
      <c r="H62" s="41"/>
      <c r="I62" s="42"/>
      <c r="J62" s="43"/>
      <c r="K62" s="48"/>
      <c r="L62" s="45">
        <v>700.0</v>
      </c>
      <c r="M62" s="22">
        <f t="shared" si="2"/>
        <v>0</v>
      </c>
    </row>
    <row r="63">
      <c r="A63" s="36">
        <v>59.0</v>
      </c>
      <c r="B63" s="37" t="s">
        <v>282</v>
      </c>
      <c r="C63" s="37">
        <v>39889.0</v>
      </c>
      <c r="D63" s="37" t="s">
        <v>283</v>
      </c>
      <c r="E63" s="46"/>
      <c r="F63" s="39"/>
      <c r="G63" s="40"/>
      <c r="H63" s="41">
        <v>5000.0</v>
      </c>
      <c r="I63" s="42"/>
      <c r="J63" s="43"/>
      <c r="K63" s="48"/>
      <c r="L63" s="45">
        <v>5000.0</v>
      </c>
      <c r="M63" s="22">
        <f t="shared" si="2"/>
        <v>0</v>
      </c>
    </row>
    <row r="64">
      <c r="A64" s="36">
        <v>60.0</v>
      </c>
      <c r="B64" s="37" t="s">
        <v>284</v>
      </c>
      <c r="C64" s="37">
        <v>55964.0</v>
      </c>
      <c r="D64" s="37" t="s">
        <v>285</v>
      </c>
      <c r="E64" s="46"/>
      <c r="F64" s="39"/>
      <c r="G64" s="40"/>
      <c r="H64" s="41"/>
      <c r="I64" s="42">
        <v>11050.0</v>
      </c>
      <c r="J64" s="43"/>
      <c r="K64" s="48"/>
      <c r="L64" s="45">
        <v>11050.0</v>
      </c>
      <c r="M64" s="22">
        <f t="shared" si="2"/>
        <v>0</v>
      </c>
    </row>
    <row r="65">
      <c r="A65" s="36">
        <v>61.0</v>
      </c>
      <c r="B65" s="37" t="s">
        <v>286</v>
      </c>
      <c r="C65" s="37">
        <v>55555.0</v>
      </c>
      <c r="D65" s="37" t="s">
        <v>281</v>
      </c>
      <c r="E65" s="46"/>
      <c r="F65" s="49">
        <v>7900.0</v>
      </c>
      <c r="G65" s="40"/>
      <c r="H65" s="41"/>
      <c r="I65" s="42"/>
      <c r="J65" s="43"/>
      <c r="K65" s="48"/>
      <c r="L65" s="45">
        <v>7900.0</v>
      </c>
      <c r="M65" s="22">
        <f t="shared" si="2"/>
        <v>0</v>
      </c>
    </row>
    <row r="66">
      <c r="A66" s="36">
        <v>62.0</v>
      </c>
      <c r="B66" s="37" t="s">
        <v>287</v>
      </c>
      <c r="C66" s="37">
        <v>50593.0</v>
      </c>
      <c r="D66" s="37" t="s">
        <v>288</v>
      </c>
      <c r="E66" s="46"/>
      <c r="F66" s="49">
        <v>50000.0</v>
      </c>
      <c r="G66" s="40"/>
      <c r="H66" s="41"/>
      <c r="I66" s="42"/>
      <c r="J66" s="43"/>
      <c r="K66" s="48"/>
      <c r="L66" s="45">
        <v>50000.0</v>
      </c>
      <c r="M66" s="22">
        <f t="shared" si="2"/>
        <v>0</v>
      </c>
    </row>
    <row r="67">
      <c r="A67" s="36">
        <v>63.0</v>
      </c>
      <c r="B67" s="37" t="s">
        <v>289</v>
      </c>
      <c r="C67" s="37">
        <v>50593.0</v>
      </c>
      <c r="D67" s="37" t="s">
        <v>288</v>
      </c>
      <c r="E67" s="46"/>
      <c r="F67" s="49">
        <v>1980.0</v>
      </c>
      <c r="G67" s="40"/>
      <c r="H67" s="41"/>
      <c r="I67" s="42"/>
      <c r="J67" s="43"/>
      <c r="K67" s="48"/>
      <c r="L67" s="45">
        <v>1980.0</v>
      </c>
      <c r="M67" s="22">
        <f t="shared" si="2"/>
        <v>0</v>
      </c>
    </row>
    <row r="68">
      <c r="A68" s="36">
        <v>64.0</v>
      </c>
      <c r="B68" s="37" t="s">
        <v>290</v>
      </c>
      <c r="C68" s="37">
        <v>57977.0</v>
      </c>
      <c r="D68" s="37" t="s">
        <v>291</v>
      </c>
      <c r="E68" s="46"/>
      <c r="F68" s="49"/>
      <c r="G68" s="40"/>
      <c r="H68" s="41"/>
      <c r="I68" s="42">
        <v>27000.0</v>
      </c>
      <c r="J68" s="43"/>
      <c r="K68" s="48"/>
      <c r="L68" s="45">
        <v>27000.0</v>
      </c>
      <c r="M68" s="22">
        <f t="shared" si="2"/>
        <v>0</v>
      </c>
    </row>
    <row r="69">
      <c r="A69" s="36">
        <v>65.0</v>
      </c>
      <c r="B69" s="37" t="s">
        <v>292</v>
      </c>
      <c r="C69" s="37">
        <v>49825.0</v>
      </c>
      <c r="D69" s="37" t="s">
        <v>293</v>
      </c>
      <c r="E69" s="46"/>
      <c r="F69" s="39"/>
      <c r="G69" s="40"/>
      <c r="H69" s="41"/>
      <c r="I69" s="42"/>
      <c r="J69" s="47">
        <v>1250.0</v>
      </c>
      <c r="K69" s="48"/>
      <c r="L69" s="45">
        <v>1250.0</v>
      </c>
      <c r="M69" s="22">
        <f t="shared" si="2"/>
        <v>0</v>
      </c>
    </row>
    <row r="70">
      <c r="A70" s="36">
        <v>66.0</v>
      </c>
      <c r="B70" s="37" t="s">
        <v>294</v>
      </c>
      <c r="C70" s="37">
        <v>44168.0</v>
      </c>
      <c r="D70" s="37" t="s">
        <v>295</v>
      </c>
      <c r="E70" s="46"/>
      <c r="F70" s="39"/>
      <c r="G70" s="40"/>
      <c r="H70" s="41">
        <v>448.0</v>
      </c>
      <c r="I70" s="42"/>
      <c r="J70" s="43"/>
      <c r="K70" s="48"/>
      <c r="L70" s="45">
        <v>448.0</v>
      </c>
      <c r="M70" s="22">
        <f t="shared" si="2"/>
        <v>0</v>
      </c>
    </row>
    <row r="71">
      <c r="A71" s="36">
        <v>67.0</v>
      </c>
      <c r="B71" s="37" t="s">
        <v>296</v>
      </c>
      <c r="C71" s="37">
        <v>44149.0</v>
      </c>
      <c r="D71" s="37" t="s">
        <v>44</v>
      </c>
      <c r="E71" s="46"/>
      <c r="F71" s="39"/>
      <c r="G71" s="40"/>
      <c r="H71" s="41">
        <v>448.0</v>
      </c>
      <c r="I71" s="42"/>
      <c r="J71" s="43"/>
      <c r="K71" s="48"/>
      <c r="L71" s="45">
        <v>448.0</v>
      </c>
      <c r="M71" s="22">
        <f t="shared" si="2"/>
        <v>0</v>
      </c>
    </row>
    <row r="72">
      <c r="A72" s="36">
        <v>68.0</v>
      </c>
      <c r="B72" s="37" t="s">
        <v>297</v>
      </c>
      <c r="C72" s="37">
        <v>20541.0</v>
      </c>
      <c r="D72" s="37" t="s">
        <v>298</v>
      </c>
      <c r="E72" s="46"/>
      <c r="F72" s="39"/>
      <c r="G72" s="40"/>
      <c r="H72" s="41">
        <v>150.0</v>
      </c>
      <c r="I72" s="42"/>
      <c r="J72" s="43"/>
      <c r="K72" s="48"/>
      <c r="L72" s="45">
        <v>150.0</v>
      </c>
      <c r="M72" s="22">
        <f t="shared" si="2"/>
        <v>0</v>
      </c>
    </row>
    <row r="73">
      <c r="A73" s="36">
        <v>69.0</v>
      </c>
      <c r="B73" s="37" t="s">
        <v>299</v>
      </c>
      <c r="C73" s="37">
        <v>10255.0</v>
      </c>
      <c r="D73" s="37" t="s">
        <v>300</v>
      </c>
      <c r="E73" s="46"/>
      <c r="F73" s="39"/>
      <c r="G73" s="40"/>
      <c r="H73" s="41">
        <v>300.0</v>
      </c>
      <c r="I73" s="42"/>
      <c r="J73" s="43"/>
      <c r="K73" s="48"/>
      <c r="L73" s="45">
        <v>300.0</v>
      </c>
      <c r="M73" s="22">
        <f t="shared" si="2"/>
        <v>0</v>
      </c>
    </row>
    <row r="74">
      <c r="A74" s="36">
        <v>70.0</v>
      </c>
      <c r="B74" s="37" t="s">
        <v>301</v>
      </c>
      <c r="C74" s="37">
        <v>42339.0</v>
      </c>
      <c r="D74" s="37" t="s">
        <v>302</v>
      </c>
      <c r="E74" s="46"/>
      <c r="F74" s="39"/>
      <c r="G74" s="40"/>
      <c r="H74" s="41"/>
      <c r="I74" s="42">
        <v>2640.0</v>
      </c>
      <c r="J74" s="43"/>
      <c r="K74" s="48"/>
      <c r="L74" s="45">
        <v>2640.0</v>
      </c>
      <c r="M74" s="22">
        <f t="shared" si="2"/>
        <v>0</v>
      </c>
    </row>
    <row r="75">
      <c r="A75" s="36">
        <v>71.0</v>
      </c>
      <c r="B75" s="37" t="s">
        <v>303</v>
      </c>
      <c r="C75" s="37">
        <v>49270.0</v>
      </c>
      <c r="D75" s="37" t="s">
        <v>18</v>
      </c>
      <c r="E75" s="38">
        <v>1750.0</v>
      </c>
      <c r="F75" s="39"/>
      <c r="G75" s="40"/>
      <c r="H75" s="41">
        <v>2000.0</v>
      </c>
      <c r="I75" s="42"/>
      <c r="J75" s="43"/>
      <c r="K75" s="48"/>
      <c r="L75" s="45">
        <v>3750.0</v>
      </c>
      <c r="M75" s="22">
        <f t="shared" si="2"/>
        <v>0</v>
      </c>
    </row>
    <row r="76">
      <c r="A76" s="36">
        <v>72.0</v>
      </c>
      <c r="B76" s="37" t="s">
        <v>304</v>
      </c>
      <c r="C76" s="37">
        <v>50595.0</v>
      </c>
      <c r="D76" s="37" t="s">
        <v>305</v>
      </c>
      <c r="E76" s="46"/>
      <c r="F76" s="49">
        <v>87650.0</v>
      </c>
      <c r="G76" s="40"/>
      <c r="H76" s="41">
        <v>250.0</v>
      </c>
      <c r="I76" s="42"/>
      <c r="J76" s="43"/>
      <c r="K76" s="48"/>
      <c r="L76" s="45">
        <v>87900.0</v>
      </c>
      <c r="M76" s="22">
        <f t="shared" si="2"/>
        <v>0</v>
      </c>
    </row>
    <row r="77">
      <c r="A77" s="36">
        <v>73.0</v>
      </c>
      <c r="B77" s="37" t="s">
        <v>306</v>
      </c>
      <c r="C77" s="37">
        <v>52197.0</v>
      </c>
      <c r="D77" s="37" t="s">
        <v>307</v>
      </c>
      <c r="E77" s="46"/>
      <c r="F77" s="39"/>
      <c r="G77" s="40"/>
      <c r="H77" s="41">
        <v>1300.0</v>
      </c>
      <c r="I77" s="42"/>
      <c r="J77" s="43"/>
      <c r="K77" s="48"/>
      <c r="L77" s="45">
        <v>1300.0</v>
      </c>
      <c r="M77" s="22">
        <f t="shared" si="2"/>
        <v>0</v>
      </c>
    </row>
    <row r="78">
      <c r="A78" s="36">
        <v>74.0</v>
      </c>
      <c r="B78" s="37" t="s">
        <v>308</v>
      </c>
      <c r="C78" s="37">
        <v>48052.0</v>
      </c>
      <c r="D78" s="37" t="s">
        <v>309</v>
      </c>
      <c r="E78" s="46"/>
      <c r="F78" s="39"/>
      <c r="G78" s="40"/>
      <c r="H78" s="41">
        <v>700.0</v>
      </c>
      <c r="I78" s="42"/>
      <c r="J78" s="43"/>
      <c r="K78" s="48"/>
      <c r="L78" s="45">
        <v>700.0</v>
      </c>
      <c r="M78" s="22">
        <f t="shared" si="2"/>
        <v>0</v>
      </c>
    </row>
    <row r="79">
      <c r="A79" s="36">
        <v>75.0</v>
      </c>
      <c r="B79" s="37" t="s">
        <v>310</v>
      </c>
      <c r="C79" s="37">
        <v>56774.0</v>
      </c>
      <c r="D79" s="37" t="s">
        <v>311</v>
      </c>
      <c r="E79" s="46"/>
      <c r="F79" s="39"/>
      <c r="G79" s="40"/>
      <c r="H79" s="41">
        <v>350.0</v>
      </c>
      <c r="I79" s="42"/>
      <c r="J79" s="43"/>
      <c r="K79" s="48"/>
      <c r="L79" s="45">
        <v>350.0</v>
      </c>
      <c r="M79" s="22">
        <f t="shared" si="2"/>
        <v>0</v>
      </c>
    </row>
    <row r="80">
      <c r="A80" s="36">
        <v>76.0</v>
      </c>
      <c r="B80" s="37" t="s">
        <v>312</v>
      </c>
      <c r="C80" s="37">
        <v>56774.0</v>
      </c>
      <c r="D80" s="37" t="s">
        <v>311</v>
      </c>
      <c r="E80" s="38">
        <v>100.0</v>
      </c>
      <c r="F80" s="39"/>
      <c r="G80" s="40"/>
      <c r="H80" s="41"/>
      <c r="I80" s="42"/>
      <c r="J80" s="43"/>
      <c r="K80" s="48"/>
      <c r="L80" s="45">
        <v>100.0</v>
      </c>
      <c r="M80" s="22">
        <f t="shared" si="2"/>
        <v>0</v>
      </c>
    </row>
    <row r="81">
      <c r="A81" s="36">
        <v>77.0</v>
      </c>
      <c r="B81" s="37" t="s">
        <v>313</v>
      </c>
      <c r="C81" s="37">
        <v>45096.0</v>
      </c>
      <c r="D81" s="37" t="s">
        <v>314</v>
      </c>
      <c r="E81" s="46"/>
      <c r="F81" s="39"/>
      <c r="G81" s="40"/>
      <c r="H81" s="41">
        <v>2752.0</v>
      </c>
      <c r="I81" s="42"/>
      <c r="J81" s="43"/>
      <c r="K81" s="48"/>
      <c r="L81" s="45">
        <v>2752.0</v>
      </c>
      <c r="M81" s="22">
        <f t="shared" si="2"/>
        <v>0</v>
      </c>
    </row>
    <row r="82">
      <c r="A82" s="36">
        <v>78.0</v>
      </c>
      <c r="B82" s="37" t="s">
        <v>315</v>
      </c>
      <c r="C82" s="37">
        <v>40433.0</v>
      </c>
      <c r="D82" s="37" t="s">
        <v>316</v>
      </c>
      <c r="E82" s="38">
        <v>7500.0</v>
      </c>
      <c r="F82" s="39"/>
      <c r="G82" s="40"/>
      <c r="H82" s="41"/>
      <c r="I82" s="42"/>
      <c r="J82" s="43"/>
      <c r="K82" s="48"/>
      <c r="L82" s="45">
        <v>7500.0</v>
      </c>
      <c r="M82" s="22">
        <f t="shared" si="2"/>
        <v>0</v>
      </c>
    </row>
    <row r="83">
      <c r="A83" s="36">
        <v>79.0</v>
      </c>
      <c r="B83" s="37" t="s">
        <v>317</v>
      </c>
      <c r="C83" s="37">
        <v>39317.0</v>
      </c>
      <c r="D83" s="37" t="s">
        <v>318</v>
      </c>
      <c r="E83" s="38">
        <v>3600.0</v>
      </c>
      <c r="F83" s="39"/>
      <c r="G83" s="40"/>
      <c r="H83" s="41"/>
      <c r="I83" s="42"/>
      <c r="J83" s="43"/>
      <c r="K83" s="48"/>
      <c r="L83" s="45">
        <v>3600.0</v>
      </c>
      <c r="M83" s="22">
        <f t="shared" si="2"/>
        <v>0</v>
      </c>
    </row>
    <row r="84">
      <c r="A84" s="36">
        <v>80.0</v>
      </c>
      <c r="B84" s="37" t="s">
        <v>319</v>
      </c>
      <c r="C84" s="37">
        <v>55409.0</v>
      </c>
      <c r="D84" s="37" t="s">
        <v>320</v>
      </c>
      <c r="E84" s="38">
        <v>15300.0</v>
      </c>
      <c r="F84" s="39"/>
      <c r="G84" s="40"/>
      <c r="H84" s="41"/>
      <c r="I84" s="42"/>
      <c r="J84" s="43"/>
      <c r="K84" s="48"/>
      <c r="L84" s="45">
        <v>15300.0</v>
      </c>
      <c r="M84" s="22">
        <f t="shared" si="2"/>
        <v>0</v>
      </c>
    </row>
    <row r="85">
      <c r="A85" s="36">
        <v>81.0</v>
      </c>
      <c r="B85" s="37" t="s">
        <v>321</v>
      </c>
      <c r="C85" s="37">
        <v>49682.0</v>
      </c>
      <c r="D85" s="37" t="s">
        <v>322</v>
      </c>
      <c r="E85" s="46"/>
      <c r="F85" s="39"/>
      <c r="G85" s="40"/>
      <c r="H85" s="41">
        <v>350.0</v>
      </c>
      <c r="I85" s="42"/>
      <c r="J85" s="43"/>
      <c r="K85" s="48"/>
      <c r="L85" s="45">
        <v>350.0</v>
      </c>
      <c r="M85" s="22">
        <f t="shared" si="2"/>
        <v>0</v>
      </c>
    </row>
    <row r="86">
      <c r="A86" s="36">
        <v>82.0</v>
      </c>
      <c r="B86" s="37" t="s">
        <v>323</v>
      </c>
      <c r="C86" s="37">
        <v>56600.0</v>
      </c>
      <c r="D86" s="37" t="s">
        <v>324</v>
      </c>
      <c r="E86" s="46"/>
      <c r="F86" s="39"/>
      <c r="G86" s="40"/>
      <c r="H86" s="41">
        <v>500.0</v>
      </c>
      <c r="I86" s="42"/>
      <c r="J86" s="43"/>
      <c r="K86" s="48"/>
      <c r="L86" s="45">
        <v>500.0</v>
      </c>
      <c r="M86" s="22">
        <f t="shared" si="2"/>
        <v>0</v>
      </c>
    </row>
    <row r="87">
      <c r="A87" s="36">
        <v>83.0</v>
      </c>
      <c r="B87" s="37" t="s">
        <v>325</v>
      </c>
      <c r="C87" s="37">
        <v>57989.0</v>
      </c>
      <c r="D87" s="37" t="s">
        <v>326</v>
      </c>
      <c r="E87" s="46"/>
      <c r="F87" s="49">
        <v>27000.0</v>
      </c>
      <c r="G87" s="40"/>
      <c r="H87" s="41"/>
      <c r="I87" s="42"/>
      <c r="J87" s="43"/>
      <c r="K87" s="48"/>
      <c r="L87" s="45">
        <v>27000.0</v>
      </c>
      <c r="M87" s="22">
        <f t="shared" si="2"/>
        <v>0</v>
      </c>
    </row>
    <row r="88">
      <c r="A88" s="36">
        <v>84.0</v>
      </c>
      <c r="B88" s="37" t="s">
        <v>327</v>
      </c>
      <c r="C88" s="37">
        <v>57819.0</v>
      </c>
      <c r="D88" s="37" t="s">
        <v>328</v>
      </c>
      <c r="E88" s="46"/>
      <c r="F88" s="39"/>
      <c r="G88" s="40"/>
      <c r="H88" s="41"/>
      <c r="I88" s="42">
        <v>2450.0</v>
      </c>
      <c r="J88" s="43"/>
      <c r="K88" s="48"/>
      <c r="L88" s="45">
        <v>2450.0</v>
      </c>
      <c r="M88" s="22">
        <f t="shared" si="2"/>
        <v>0</v>
      </c>
    </row>
    <row r="89">
      <c r="A89" s="36">
        <v>85.0</v>
      </c>
      <c r="B89" s="37" t="s">
        <v>329</v>
      </c>
      <c r="C89" s="37">
        <v>35245.0</v>
      </c>
      <c r="D89" s="37" t="s">
        <v>330</v>
      </c>
      <c r="E89" s="46"/>
      <c r="F89" s="49">
        <v>50000.0</v>
      </c>
      <c r="G89" s="40"/>
      <c r="H89" s="41"/>
      <c r="I89" s="42"/>
      <c r="J89" s="43"/>
      <c r="K89" s="48"/>
      <c r="L89" s="45">
        <v>50000.0</v>
      </c>
      <c r="M89" s="22">
        <f t="shared" si="2"/>
        <v>0</v>
      </c>
    </row>
    <row r="90">
      <c r="A90" s="36">
        <v>86.0</v>
      </c>
      <c r="B90" s="37" t="s">
        <v>331</v>
      </c>
      <c r="C90" s="37">
        <v>28414.0</v>
      </c>
      <c r="D90" s="37" t="s">
        <v>332</v>
      </c>
      <c r="E90" s="46"/>
      <c r="F90" s="39"/>
      <c r="G90" s="40"/>
      <c r="H90" s="41">
        <v>2500.0</v>
      </c>
      <c r="I90" s="42"/>
      <c r="J90" s="43"/>
      <c r="K90" s="48"/>
      <c r="L90" s="45">
        <v>2500.0</v>
      </c>
      <c r="M90" s="22">
        <f t="shared" si="2"/>
        <v>0</v>
      </c>
    </row>
    <row r="91">
      <c r="A91" s="36">
        <v>87.0</v>
      </c>
      <c r="B91" s="37" t="s">
        <v>333</v>
      </c>
      <c r="C91" s="37">
        <v>50595.0</v>
      </c>
      <c r="D91" s="37" t="s">
        <v>305</v>
      </c>
      <c r="E91" s="46"/>
      <c r="F91" s="49">
        <v>280.0</v>
      </c>
      <c r="G91" s="40"/>
      <c r="H91" s="41"/>
      <c r="I91" s="42"/>
      <c r="J91" s="43"/>
      <c r="K91" s="48"/>
      <c r="L91" s="45">
        <v>280.0</v>
      </c>
      <c r="M91" s="22">
        <f t="shared" si="2"/>
        <v>0</v>
      </c>
    </row>
    <row r="92">
      <c r="A92" s="36">
        <v>88.0</v>
      </c>
      <c r="B92" s="37" t="s">
        <v>334</v>
      </c>
      <c r="C92" s="37">
        <v>10001.0</v>
      </c>
      <c r="D92" s="37" t="s">
        <v>46</v>
      </c>
      <c r="E92" s="38"/>
      <c r="F92" s="39"/>
      <c r="G92" s="40"/>
      <c r="H92" s="41"/>
      <c r="I92" s="42">
        <v>10000.0</v>
      </c>
      <c r="J92" s="43"/>
      <c r="K92" s="48"/>
      <c r="L92" s="45">
        <v>10000.0</v>
      </c>
      <c r="M92" s="22">
        <f t="shared" si="2"/>
        <v>0</v>
      </c>
    </row>
    <row r="93">
      <c r="A93" s="36">
        <v>89.0</v>
      </c>
      <c r="B93" s="37" t="s">
        <v>335</v>
      </c>
      <c r="C93" s="37">
        <v>55446.0</v>
      </c>
      <c r="D93" s="37" t="s">
        <v>336</v>
      </c>
      <c r="E93" s="38"/>
      <c r="F93" s="39"/>
      <c r="G93" s="52"/>
      <c r="H93" s="41">
        <v>3600.0</v>
      </c>
      <c r="I93" s="51"/>
      <c r="J93" s="43"/>
      <c r="K93" s="48"/>
      <c r="L93" s="45">
        <v>3600.0</v>
      </c>
      <c r="M93" s="22">
        <f t="shared" si="2"/>
        <v>0</v>
      </c>
    </row>
    <row r="94">
      <c r="A94" s="36">
        <v>90.0</v>
      </c>
      <c r="B94" s="37" t="s">
        <v>337</v>
      </c>
      <c r="C94" s="37">
        <v>57499.0</v>
      </c>
      <c r="D94" s="37" t="s">
        <v>338</v>
      </c>
      <c r="E94" s="46"/>
      <c r="F94" s="49"/>
      <c r="G94" s="40"/>
      <c r="H94" s="41"/>
      <c r="I94" s="42">
        <v>100.0</v>
      </c>
      <c r="J94" s="43"/>
      <c r="K94" s="48"/>
      <c r="L94" s="45">
        <v>100.0</v>
      </c>
      <c r="M94" s="22">
        <f t="shared" si="2"/>
        <v>0</v>
      </c>
    </row>
    <row r="95">
      <c r="A95" s="36">
        <v>91.0</v>
      </c>
      <c r="B95" s="37" t="s">
        <v>339</v>
      </c>
      <c r="C95" s="37">
        <v>48910.0</v>
      </c>
      <c r="D95" s="37" t="s">
        <v>111</v>
      </c>
      <c r="E95" s="46"/>
      <c r="F95" s="49"/>
      <c r="G95" s="40"/>
      <c r="H95" s="41"/>
      <c r="I95" s="42">
        <v>16250.0</v>
      </c>
      <c r="J95" s="43"/>
      <c r="K95" s="48"/>
      <c r="L95" s="45">
        <v>16250.0</v>
      </c>
      <c r="M95" s="22">
        <f t="shared" si="2"/>
        <v>0</v>
      </c>
    </row>
    <row r="96">
      <c r="A96" s="36">
        <v>92.0</v>
      </c>
      <c r="B96" s="37" t="s">
        <v>340</v>
      </c>
      <c r="C96" s="37">
        <v>54212.0</v>
      </c>
      <c r="D96" s="37" t="s">
        <v>341</v>
      </c>
      <c r="E96" s="38">
        <v>3600.0</v>
      </c>
      <c r="F96" s="39"/>
      <c r="G96" s="40"/>
      <c r="H96" s="41"/>
      <c r="I96" s="42"/>
      <c r="J96" s="43"/>
      <c r="K96" s="48"/>
      <c r="L96" s="45">
        <v>3600.0</v>
      </c>
      <c r="M96" s="22">
        <f t="shared" si="2"/>
        <v>0</v>
      </c>
    </row>
    <row r="97">
      <c r="A97" s="36">
        <v>93.0</v>
      </c>
      <c r="B97" s="37" t="s">
        <v>342</v>
      </c>
      <c r="C97" s="37">
        <v>49194.0</v>
      </c>
      <c r="D97" s="37" t="s">
        <v>343</v>
      </c>
      <c r="E97" s="46"/>
      <c r="F97" s="49"/>
      <c r="G97" s="40"/>
      <c r="H97" s="41"/>
      <c r="I97" s="42"/>
      <c r="J97" s="47">
        <v>100.0</v>
      </c>
      <c r="K97" s="48"/>
      <c r="L97" s="45">
        <v>100.0</v>
      </c>
      <c r="M97" s="22">
        <f t="shared" si="2"/>
        <v>0</v>
      </c>
    </row>
    <row r="98">
      <c r="A98" s="36">
        <v>94.0</v>
      </c>
      <c r="B98" s="37" t="s">
        <v>344</v>
      </c>
      <c r="C98" s="37">
        <v>49194.0</v>
      </c>
      <c r="D98" s="37" t="s">
        <v>343</v>
      </c>
      <c r="E98" s="46"/>
      <c r="F98" s="39"/>
      <c r="G98" s="40"/>
      <c r="H98" s="41">
        <v>5150.0</v>
      </c>
      <c r="I98" s="42"/>
      <c r="J98" s="43"/>
      <c r="K98" s="48"/>
      <c r="L98" s="45">
        <v>5150.0</v>
      </c>
      <c r="M98" s="22">
        <f t="shared" si="2"/>
        <v>0</v>
      </c>
    </row>
    <row r="99">
      <c r="A99" s="36">
        <v>95.0</v>
      </c>
      <c r="B99" s="37" t="s">
        <v>345</v>
      </c>
      <c r="C99" s="37">
        <v>49540.0</v>
      </c>
      <c r="D99" s="37" t="s">
        <v>346</v>
      </c>
      <c r="E99" s="46"/>
      <c r="F99" s="39"/>
      <c r="G99" s="52">
        <v>350.0</v>
      </c>
      <c r="H99" s="41"/>
      <c r="I99" s="42"/>
      <c r="J99" s="47"/>
      <c r="K99" s="48"/>
      <c r="L99" s="45">
        <v>350.0</v>
      </c>
      <c r="M99" s="22">
        <f t="shared" si="2"/>
        <v>0</v>
      </c>
    </row>
    <row r="100">
      <c r="A100" s="36">
        <v>96.0</v>
      </c>
      <c r="B100" s="37" t="s">
        <v>347</v>
      </c>
      <c r="C100" s="37">
        <v>43380.0</v>
      </c>
      <c r="D100" s="37" t="s">
        <v>348</v>
      </c>
      <c r="E100" s="46"/>
      <c r="F100" s="39"/>
      <c r="G100" s="52">
        <v>8950.0</v>
      </c>
      <c r="H100" s="41"/>
      <c r="I100" s="42"/>
      <c r="J100" s="47"/>
      <c r="K100" s="48"/>
      <c r="L100" s="45">
        <v>8950.0</v>
      </c>
      <c r="M100" s="22">
        <f t="shared" si="2"/>
        <v>0</v>
      </c>
    </row>
    <row r="101">
      <c r="A101" s="36">
        <v>97.0</v>
      </c>
      <c r="B101" s="37" t="s">
        <v>349</v>
      </c>
      <c r="C101" s="37">
        <v>21937.0</v>
      </c>
      <c r="D101" s="37" t="s">
        <v>350</v>
      </c>
      <c r="E101" s="46"/>
      <c r="F101" s="39"/>
      <c r="G101" s="52">
        <v>350.0</v>
      </c>
      <c r="H101" s="41"/>
      <c r="I101" s="42"/>
      <c r="J101" s="47"/>
      <c r="K101" s="48"/>
      <c r="L101" s="45">
        <v>350.0</v>
      </c>
      <c r="M101" s="22">
        <f t="shared" si="2"/>
        <v>0</v>
      </c>
    </row>
    <row r="102">
      <c r="A102" s="36">
        <v>98.0</v>
      </c>
      <c r="B102" s="37" t="s">
        <v>351</v>
      </c>
      <c r="C102" s="37">
        <v>55179.0</v>
      </c>
      <c r="D102" s="37" t="s">
        <v>203</v>
      </c>
      <c r="E102" s="46"/>
      <c r="F102" s="39"/>
      <c r="G102" s="52">
        <v>30700.0</v>
      </c>
      <c r="H102" s="41"/>
      <c r="I102" s="42"/>
      <c r="J102" s="47"/>
      <c r="K102" s="48"/>
      <c r="L102" s="45">
        <v>30700.0</v>
      </c>
      <c r="M102" s="22">
        <f t="shared" si="2"/>
        <v>0</v>
      </c>
    </row>
    <row r="103">
      <c r="A103" s="36">
        <v>99.0</v>
      </c>
      <c r="B103" s="37" t="s">
        <v>352</v>
      </c>
      <c r="C103" s="37">
        <v>20541.0</v>
      </c>
      <c r="D103" s="37" t="s">
        <v>298</v>
      </c>
      <c r="E103" s="46"/>
      <c r="F103" s="39"/>
      <c r="G103" s="52">
        <v>15000.0</v>
      </c>
      <c r="H103" s="41"/>
      <c r="I103" s="42"/>
      <c r="J103" s="47"/>
      <c r="K103" s="48"/>
      <c r="L103" s="45">
        <v>15000.0</v>
      </c>
      <c r="M103" s="22">
        <f t="shared" si="2"/>
        <v>0</v>
      </c>
    </row>
    <row r="104">
      <c r="A104" s="36">
        <v>100.0</v>
      </c>
      <c r="B104" s="37" t="s">
        <v>353</v>
      </c>
      <c r="C104" s="37">
        <v>50261.0</v>
      </c>
      <c r="D104" s="37" t="s">
        <v>173</v>
      </c>
      <c r="E104" s="46"/>
      <c r="F104" s="39"/>
      <c r="G104" s="52">
        <v>2650.0</v>
      </c>
      <c r="H104" s="41"/>
      <c r="I104" s="42"/>
      <c r="J104" s="43"/>
      <c r="K104" s="48"/>
      <c r="L104" s="45">
        <v>2650.0</v>
      </c>
      <c r="M104" s="22">
        <f t="shared" si="2"/>
        <v>0</v>
      </c>
    </row>
    <row r="105">
      <c r="A105" s="36">
        <v>101.0</v>
      </c>
      <c r="B105" s="37" t="s">
        <v>354</v>
      </c>
      <c r="C105" s="37">
        <v>50148.0</v>
      </c>
      <c r="D105" s="37" t="s">
        <v>355</v>
      </c>
      <c r="E105" s="46"/>
      <c r="F105" s="39"/>
      <c r="G105" s="52">
        <v>10000.0</v>
      </c>
      <c r="H105" s="41"/>
      <c r="I105" s="42"/>
      <c r="J105" s="43"/>
      <c r="K105" s="48"/>
      <c r="L105" s="45">
        <v>10000.0</v>
      </c>
      <c r="M105" s="22">
        <f t="shared" si="2"/>
        <v>0</v>
      </c>
    </row>
    <row r="106">
      <c r="A106" s="36">
        <v>102.0</v>
      </c>
      <c r="B106" s="13"/>
      <c r="C106" s="13"/>
      <c r="D106" s="13"/>
      <c r="E106" s="38"/>
      <c r="F106" s="49"/>
      <c r="G106" s="52"/>
      <c r="H106" s="41"/>
      <c r="I106" s="42"/>
      <c r="J106" s="43"/>
      <c r="K106" s="48"/>
      <c r="L106" s="21"/>
      <c r="M106" s="22">
        <f t="shared" si="2"/>
        <v>0</v>
      </c>
    </row>
    <row r="107">
      <c r="A107" s="36"/>
      <c r="B107" s="53"/>
      <c r="C107" s="53"/>
      <c r="D107" s="54"/>
      <c r="E107" s="32">
        <f t="shared" ref="E107:M107" si="3">SUM(E5:E106)</f>
        <v>32550</v>
      </c>
      <c r="F107" s="32">
        <f t="shared" si="3"/>
        <v>224810</v>
      </c>
      <c r="G107" s="32">
        <f t="shared" si="3"/>
        <v>68000</v>
      </c>
      <c r="H107" s="32">
        <f t="shared" si="3"/>
        <v>272184</v>
      </c>
      <c r="I107" s="32">
        <f t="shared" si="3"/>
        <v>133390</v>
      </c>
      <c r="J107" s="32">
        <f t="shared" si="3"/>
        <v>62160</v>
      </c>
      <c r="K107" s="32">
        <f t="shared" si="3"/>
        <v>0</v>
      </c>
      <c r="L107" s="32">
        <f t="shared" si="3"/>
        <v>793094</v>
      </c>
      <c r="M107" s="22">
        <f t="shared" si="3"/>
        <v>0</v>
      </c>
    </row>
    <row r="108">
      <c r="A108" s="33"/>
      <c r="B108" s="33"/>
      <c r="C108" s="33"/>
      <c r="D108" s="33"/>
      <c r="E108" s="34">
        <v>793094.0</v>
      </c>
      <c r="F108" s="6"/>
      <c r="G108" s="6"/>
      <c r="H108" s="6"/>
      <c r="I108" s="6"/>
      <c r="J108" s="6"/>
      <c r="K108" s="7"/>
      <c r="L108" s="35"/>
      <c r="M108" s="33"/>
    </row>
    <row r="109">
      <c r="L109" s="55" t="s">
        <v>356</v>
      </c>
    </row>
  </sheetData>
  <mergeCells count="14">
    <mergeCell ref="F3:G3"/>
    <mergeCell ref="H3:I3"/>
    <mergeCell ref="J3:J4"/>
    <mergeCell ref="K3:K4"/>
    <mergeCell ref="E108:K10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357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36">
        <v>1.0</v>
      </c>
      <c r="B5" s="56" t="s">
        <v>358</v>
      </c>
      <c r="C5" s="56">
        <v>55446.0</v>
      </c>
      <c r="D5" s="56" t="s">
        <v>336</v>
      </c>
      <c r="E5" s="38">
        <v>300.0</v>
      </c>
      <c r="F5" s="39"/>
      <c r="G5" s="40"/>
      <c r="H5" s="41"/>
      <c r="I5" s="42"/>
      <c r="J5" s="43"/>
      <c r="K5" s="44"/>
      <c r="L5" s="45">
        <v>300.0</v>
      </c>
      <c r="M5" s="22">
        <f t="shared" ref="M5:M23" si="1">SUM(E5+F5+G5+H5+I5+J5+K5-L5)</f>
        <v>0</v>
      </c>
    </row>
    <row r="6">
      <c r="A6" s="36">
        <v>2.0</v>
      </c>
      <c r="B6" s="56" t="s">
        <v>359</v>
      </c>
      <c r="C6" s="56">
        <v>36928.0</v>
      </c>
      <c r="D6" s="56" t="s">
        <v>360</v>
      </c>
      <c r="E6" s="38">
        <v>100.0</v>
      </c>
      <c r="F6" s="39"/>
      <c r="G6" s="40"/>
      <c r="H6" s="41"/>
      <c r="I6" s="42"/>
      <c r="J6" s="47"/>
      <c r="K6" s="48"/>
      <c r="L6" s="45">
        <v>100.0</v>
      </c>
      <c r="M6" s="22">
        <f t="shared" si="1"/>
        <v>0</v>
      </c>
    </row>
    <row r="7">
      <c r="A7" s="36">
        <v>3.0</v>
      </c>
      <c r="B7" s="56" t="s">
        <v>361</v>
      </c>
      <c r="C7" s="56">
        <v>50871.0</v>
      </c>
      <c r="D7" s="56" t="s">
        <v>48</v>
      </c>
      <c r="E7" s="46"/>
      <c r="F7" s="39"/>
      <c r="G7" s="40"/>
      <c r="H7" s="41">
        <v>61400.0</v>
      </c>
      <c r="I7" s="42"/>
      <c r="J7" s="43"/>
      <c r="K7" s="48"/>
      <c r="L7" s="45">
        <v>61400.0</v>
      </c>
      <c r="M7" s="22">
        <f t="shared" si="1"/>
        <v>0</v>
      </c>
    </row>
    <row r="8">
      <c r="A8" s="36">
        <v>4.0</v>
      </c>
      <c r="B8" s="56" t="s">
        <v>362</v>
      </c>
      <c r="C8" s="56">
        <v>34920.0</v>
      </c>
      <c r="D8" s="56" t="s">
        <v>363</v>
      </c>
      <c r="E8" s="46"/>
      <c r="F8" s="39"/>
      <c r="G8" s="40"/>
      <c r="H8" s="41">
        <v>4000.0</v>
      </c>
      <c r="I8" s="42"/>
      <c r="J8" s="43"/>
      <c r="K8" s="48"/>
      <c r="L8" s="45">
        <v>4000.0</v>
      </c>
      <c r="M8" s="22">
        <f t="shared" si="1"/>
        <v>0</v>
      </c>
    </row>
    <row r="9">
      <c r="A9" s="36">
        <v>5.0</v>
      </c>
      <c r="B9" s="56" t="s">
        <v>364</v>
      </c>
      <c r="C9" s="56">
        <v>50173.0</v>
      </c>
      <c r="D9" s="56" t="s">
        <v>365</v>
      </c>
      <c r="E9" s="46"/>
      <c r="F9" s="39"/>
      <c r="G9" s="40"/>
      <c r="H9" s="41"/>
      <c r="I9" s="42">
        <v>5150.0</v>
      </c>
      <c r="J9" s="43"/>
      <c r="K9" s="48"/>
      <c r="L9" s="45">
        <v>5150.0</v>
      </c>
      <c r="M9" s="22">
        <f t="shared" si="1"/>
        <v>0</v>
      </c>
    </row>
    <row r="10">
      <c r="A10" s="36">
        <v>6.0</v>
      </c>
      <c r="B10" s="56" t="s">
        <v>366</v>
      </c>
      <c r="C10" s="56">
        <v>10249.0</v>
      </c>
      <c r="D10" s="56" t="s">
        <v>367</v>
      </c>
      <c r="E10" s="46"/>
      <c r="F10" s="39"/>
      <c r="G10" s="40"/>
      <c r="H10" s="41"/>
      <c r="I10" s="42">
        <v>1250.0</v>
      </c>
      <c r="J10" s="43"/>
      <c r="K10" s="48"/>
      <c r="L10" s="45">
        <v>1250.0</v>
      </c>
      <c r="M10" s="22">
        <f t="shared" si="1"/>
        <v>0</v>
      </c>
    </row>
    <row r="11">
      <c r="A11" s="36">
        <v>7.0</v>
      </c>
      <c r="B11" s="56" t="s">
        <v>368</v>
      </c>
      <c r="C11" s="56">
        <v>52396.0</v>
      </c>
      <c r="D11" s="56" t="s">
        <v>369</v>
      </c>
      <c r="E11" s="46"/>
      <c r="F11" s="39"/>
      <c r="G11" s="40"/>
      <c r="H11" s="41"/>
      <c r="I11" s="42">
        <v>5000.0</v>
      </c>
      <c r="J11" s="47"/>
      <c r="K11" s="48"/>
      <c r="L11" s="45">
        <v>5000.0</v>
      </c>
      <c r="M11" s="22">
        <f t="shared" si="1"/>
        <v>0</v>
      </c>
    </row>
    <row r="12">
      <c r="A12" s="36">
        <v>8.0</v>
      </c>
      <c r="B12" s="56" t="s">
        <v>370</v>
      </c>
      <c r="C12" s="56">
        <v>52808.0</v>
      </c>
      <c r="D12" s="56" t="s">
        <v>371</v>
      </c>
      <c r="E12" s="46"/>
      <c r="F12" s="39"/>
      <c r="G12" s="40"/>
      <c r="H12" s="41"/>
      <c r="I12" s="42">
        <v>5000.0</v>
      </c>
      <c r="J12" s="47"/>
      <c r="K12" s="48"/>
      <c r="L12" s="45">
        <v>5000.0</v>
      </c>
      <c r="M12" s="22">
        <f t="shared" si="1"/>
        <v>0</v>
      </c>
    </row>
    <row r="13">
      <c r="A13" s="36">
        <v>9.0</v>
      </c>
      <c r="B13" s="56" t="s">
        <v>372</v>
      </c>
      <c r="C13" s="56">
        <v>54242.0</v>
      </c>
      <c r="D13" s="56" t="s">
        <v>373</v>
      </c>
      <c r="E13" s="46"/>
      <c r="F13" s="39"/>
      <c r="G13" s="40"/>
      <c r="H13" s="41"/>
      <c r="I13" s="42">
        <v>5000.0</v>
      </c>
      <c r="J13" s="43"/>
      <c r="K13" s="48"/>
      <c r="L13" s="45">
        <v>5000.0</v>
      </c>
      <c r="M13" s="22">
        <f t="shared" si="1"/>
        <v>0</v>
      </c>
    </row>
    <row r="14">
      <c r="A14" s="36">
        <v>10.0</v>
      </c>
      <c r="B14" s="56" t="s">
        <v>374</v>
      </c>
      <c r="C14" s="56">
        <v>54482.0</v>
      </c>
      <c r="D14" s="56" t="s">
        <v>375</v>
      </c>
      <c r="E14" s="46"/>
      <c r="F14" s="39"/>
      <c r="G14" s="40"/>
      <c r="H14" s="41"/>
      <c r="I14" s="42">
        <v>5000.0</v>
      </c>
      <c r="J14" s="43"/>
      <c r="K14" s="48"/>
      <c r="L14" s="45">
        <v>5000.0</v>
      </c>
      <c r="M14" s="22">
        <f t="shared" si="1"/>
        <v>0</v>
      </c>
    </row>
    <row r="15">
      <c r="A15" s="36">
        <v>11.0</v>
      </c>
      <c r="B15" s="56" t="s">
        <v>376</v>
      </c>
      <c r="C15" s="56">
        <v>35245.0</v>
      </c>
      <c r="D15" s="56" t="s">
        <v>330</v>
      </c>
      <c r="E15" s="46"/>
      <c r="F15" s="39"/>
      <c r="G15" s="40"/>
      <c r="H15" s="41"/>
      <c r="I15" s="42">
        <v>5050.0</v>
      </c>
      <c r="J15" s="43"/>
      <c r="K15" s="48"/>
      <c r="L15" s="45">
        <v>5050.0</v>
      </c>
      <c r="M15" s="22">
        <f t="shared" si="1"/>
        <v>0</v>
      </c>
    </row>
    <row r="16">
      <c r="A16" s="36">
        <v>12.0</v>
      </c>
      <c r="B16" s="56" t="s">
        <v>377</v>
      </c>
      <c r="C16" s="56">
        <v>10320.0</v>
      </c>
      <c r="D16" s="56" t="s">
        <v>84</v>
      </c>
      <c r="E16" s="38"/>
      <c r="F16" s="39"/>
      <c r="G16" s="40"/>
      <c r="H16" s="41">
        <v>6250.0</v>
      </c>
      <c r="I16" s="42"/>
      <c r="J16" s="43"/>
      <c r="K16" s="48"/>
      <c r="L16" s="45">
        <v>6250.0</v>
      </c>
      <c r="M16" s="22">
        <f t="shared" si="1"/>
        <v>0</v>
      </c>
    </row>
    <row r="17">
      <c r="A17" s="36">
        <v>13.0</v>
      </c>
      <c r="B17" s="56" t="s">
        <v>378</v>
      </c>
      <c r="C17" s="56">
        <v>54405.0</v>
      </c>
      <c r="D17" s="56" t="s">
        <v>379</v>
      </c>
      <c r="E17" s="46"/>
      <c r="F17" s="39"/>
      <c r="G17" s="40"/>
      <c r="H17" s="41"/>
      <c r="I17" s="42">
        <v>12500.0</v>
      </c>
      <c r="J17" s="47"/>
      <c r="K17" s="48"/>
      <c r="L17" s="45">
        <v>12500.0</v>
      </c>
      <c r="M17" s="22">
        <f t="shared" si="1"/>
        <v>0</v>
      </c>
    </row>
    <row r="18">
      <c r="A18" s="36">
        <v>14.0</v>
      </c>
      <c r="B18" s="56" t="s">
        <v>380</v>
      </c>
      <c r="C18" s="56">
        <v>29621.0</v>
      </c>
      <c r="D18" s="56" t="s">
        <v>381</v>
      </c>
      <c r="E18" s="46"/>
      <c r="F18" s="39"/>
      <c r="G18" s="40"/>
      <c r="H18" s="41"/>
      <c r="I18" s="42">
        <v>34500.0</v>
      </c>
      <c r="J18" s="47"/>
      <c r="K18" s="48"/>
      <c r="L18" s="45">
        <v>34500.0</v>
      </c>
      <c r="M18" s="22">
        <f t="shared" si="1"/>
        <v>0</v>
      </c>
    </row>
    <row r="19">
      <c r="A19" s="36">
        <v>15.0</v>
      </c>
      <c r="B19" s="56" t="s">
        <v>382</v>
      </c>
      <c r="C19" s="56">
        <v>22332.0</v>
      </c>
      <c r="D19" s="56" t="s">
        <v>78</v>
      </c>
      <c r="E19" s="46"/>
      <c r="F19" s="49"/>
      <c r="G19" s="40"/>
      <c r="H19" s="41">
        <v>17500.0</v>
      </c>
      <c r="I19" s="42"/>
      <c r="J19" s="43"/>
      <c r="K19" s="48"/>
      <c r="L19" s="45">
        <v>17500.0</v>
      </c>
      <c r="M19" s="22">
        <f t="shared" si="1"/>
        <v>0</v>
      </c>
    </row>
    <row r="20">
      <c r="A20" s="36">
        <v>16.0</v>
      </c>
      <c r="B20" s="56" t="s">
        <v>383</v>
      </c>
      <c r="C20" s="56">
        <v>22332.0</v>
      </c>
      <c r="D20" s="56" t="s">
        <v>78</v>
      </c>
      <c r="E20" s="38"/>
      <c r="F20" s="39"/>
      <c r="G20" s="40"/>
      <c r="H20" s="41">
        <v>1800.0</v>
      </c>
      <c r="I20" s="42"/>
      <c r="J20" s="43"/>
      <c r="K20" s="48"/>
      <c r="L20" s="45">
        <v>1800.0</v>
      </c>
      <c r="M20" s="22">
        <f t="shared" si="1"/>
        <v>0</v>
      </c>
    </row>
    <row r="21">
      <c r="A21" s="36">
        <v>17.0</v>
      </c>
      <c r="B21" s="56" t="s">
        <v>384</v>
      </c>
      <c r="C21" s="56">
        <v>56826.0</v>
      </c>
      <c r="D21" s="56" t="s">
        <v>385</v>
      </c>
      <c r="E21" s="46"/>
      <c r="F21" s="39"/>
      <c r="G21" s="40"/>
      <c r="H21" s="41"/>
      <c r="I21" s="42">
        <v>6400.0</v>
      </c>
      <c r="J21" s="43"/>
      <c r="K21" s="48"/>
      <c r="L21" s="45">
        <v>6400.0</v>
      </c>
      <c r="M21" s="22">
        <f t="shared" si="1"/>
        <v>0</v>
      </c>
    </row>
    <row r="22">
      <c r="A22" s="36">
        <v>18.0</v>
      </c>
      <c r="B22" s="56" t="s">
        <v>386</v>
      </c>
      <c r="C22" s="56">
        <v>37049.0</v>
      </c>
      <c r="D22" s="56" t="s">
        <v>387</v>
      </c>
      <c r="E22" s="46"/>
      <c r="F22" s="39"/>
      <c r="G22" s="40"/>
      <c r="H22" s="41">
        <v>1450.0</v>
      </c>
      <c r="I22" s="42"/>
      <c r="J22" s="43"/>
      <c r="K22" s="48"/>
      <c r="L22" s="45">
        <v>1450.0</v>
      </c>
      <c r="M22" s="22">
        <f t="shared" si="1"/>
        <v>0</v>
      </c>
    </row>
    <row r="23">
      <c r="A23" s="36">
        <v>19.0</v>
      </c>
      <c r="B23" s="56" t="s">
        <v>388</v>
      </c>
      <c r="C23" s="56">
        <v>36555.0</v>
      </c>
      <c r="D23" s="56" t="s">
        <v>389</v>
      </c>
      <c r="E23" s="46"/>
      <c r="F23" s="49"/>
      <c r="G23" s="40"/>
      <c r="H23" s="41">
        <v>1400.0</v>
      </c>
      <c r="I23" s="42"/>
      <c r="J23" s="43"/>
      <c r="K23" s="48"/>
      <c r="L23" s="45">
        <v>1400.0</v>
      </c>
      <c r="M23" s="22">
        <f t="shared" si="1"/>
        <v>0</v>
      </c>
    </row>
    <row r="24">
      <c r="A24" s="36">
        <v>20.0</v>
      </c>
      <c r="B24" s="56" t="s">
        <v>390</v>
      </c>
      <c r="C24" s="56">
        <v>22332.0</v>
      </c>
      <c r="D24" s="56" t="s">
        <v>78</v>
      </c>
      <c r="E24" s="46"/>
      <c r="F24" s="49"/>
      <c r="G24" s="40"/>
      <c r="H24" s="41">
        <v>8450.0</v>
      </c>
      <c r="I24" s="42"/>
      <c r="J24" s="43"/>
      <c r="K24" s="48"/>
      <c r="L24" s="45">
        <v>8450.0</v>
      </c>
      <c r="M24" s="50">
        <v>0.0</v>
      </c>
    </row>
    <row r="25">
      <c r="A25" s="36">
        <v>21.0</v>
      </c>
      <c r="B25" s="56" t="s">
        <v>391</v>
      </c>
      <c r="C25" s="56">
        <v>44168.0</v>
      </c>
      <c r="D25" s="56" t="s">
        <v>295</v>
      </c>
      <c r="E25" s="46"/>
      <c r="F25" s="49"/>
      <c r="G25" s="40"/>
      <c r="H25" s="41">
        <v>448.0</v>
      </c>
      <c r="I25" s="42"/>
      <c r="J25" s="43"/>
      <c r="K25" s="48"/>
      <c r="L25" s="45">
        <v>448.0</v>
      </c>
      <c r="M25" s="22">
        <f t="shared" ref="M25:M88" si="2">SUM(E25+F25+G25+H25+I25+J25+K25-L25)</f>
        <v>0</v>
      </c>
    </row>
    <row r="26">
      <c r="A26" s="36">
        <v>22.0</v>
      </c>
      <c r="B26" s="56" t="s">
        <v>392</v>
      </c>
      <c r="C26" s="56">
        <v>48772.0</v>
      </c>
      <c r="D26" s="56" t="s">
        <v>393</v>
      </c>
      <c r="E26" s="46"/>
      <c r="F26" s="49"/>
      <c r="G26" s="40"/>
      <c r="H26" s="41">
        <v>430.0</v>
      </c>
      <c r="I26" s="42"/>
      <c r="J26" s="43"/>
      <c r="K26" s="48"/>
      <c r="L26" s="45">
        <v>430.0</v>
      </c>
      <c r="M26" s="22">
        <f t="shared" si="2"/>
        <v>0</v>
      </c>
    </row>
    <row r="27">
      <c r="A27" s="36">
        <v>23.0</v>
      </c>
      <c r="B27" s="56" t="s">
        <v>394</v>
      </c>
      <c r="C27" s="56">
        <v>43380.0</v>
      </c>
      <c r="D27" s="56" t="s">
        <v>348</v>
      </c>
      <c r="E27" s="38"/>
      <c r="F27" s="39"/>
      <c r="G27" s="40"/>
      <c r="H27" s="41"/>
      <c r="I27" s="42">
        <v>5150.0</v>
      </c>
      <c r="J27" s="43"/>
      <c r="K27" s="48"/>
      <c r="L27" s="45">
        <v>5150.0</v>
      </c>
      <c r="M27" s="22">
        <f t="shared" si="2"/>
        <v>0</v>
      </c>
    </row>
    <row r="28">
      <c r="A28" s="36">
        <v>24.0</v>
      </c>
      <c r="B28" s="56" t="s">
        <v>395</v>
      </c>
      <c r="C28" s="56">
        <v>48878.0</v>
      </c>
      <c r="D28" s="56" t="s">
        <v>396</v>
      </c>
      <c r="E28" s="46"/>
      <c r="F28" s="49"/>
      <c r="G28" s="40"/>
      <c r="H28" s="41"/>
      <c r="I28" s="42">
        <v>300.0</v>
      </c>
      <c r="J28" s="47"/>
      <c r="K28" s="48"/>
      <c r="L28" s="45">
        <v>300.0</v>
      </c>
      <c r="M28" s="22">
        <f t="shared" si="2"/>
        <v>0</v>
      </c>
    </row>
    <row r="29">
      <c r="A29" s="36">
        <v>25.0</v>
      </c>
      <c r="B29" s="56" t="s">
        <v>397</v>
      </c>
      <c r="C29" s="56">
        <v>49825.0</v>
      </c>
      <c r="D29" s="56" t="s">
        <v>293</v>
      </c>
      <c r="E29" s="46"/>
      <c r="F29" s="39"/>
      <c r="G29" s="40"/>
      <c r="H29" s="41"/>
      <c r="I29" s="42">
        <v>1400.0</v>
      </c>
      <c r="J29" s="43"/>
      <c r="K29" s="48"/>
      <c r="L29" s="45">
        <v>1400.0</v>
      </c>
      <c r="M29" s="22">
        <f t="shared" si="2"/>
        <v>0</v>
      </c>
    </row>
    <row r="30">
      <c r="A30" s="36">
        <v>26.0</v>
      </c>
      <c r="B30" s="56" t="s">
        <v>398</v>
      </c>
      <c r="C30" s="56">
        <v>10320.0</v>
      </c>
      <c r="D30" s="56" t="s">
        <v>84</v>
      </c>
      <c r="E30" s="46"/>
      <c r="F30" s="49"/>
      <c r="G30" s="40"/>
      <c r="H30" s="41">
        <v>1750.0</v>
      </c>
      <c r="I30" s="42"/>
      <c r="J30" s="47"/>
      <c r="K30" s="48"/>
      <c r="L30" s="45">
        <v>1750.0</v>
      </c>
      <c r="M30" s="22">
        <f t="shared" si="2"/>
        <v>0</v>
      </c>
    </row>
    <row r="31">
      <c r="A31" s="36">
        <v>27.0</v>
      </c>
      <c r="B31" s="56" t="s">
        <v>399</v>
      </c>
      <c r="C31" s="56">
        <v>57201.0</v>
      </c>
      <c r="D31" s="56" t="s">
        <v>400</v>
      </c>
      <c r="E31" s="46"/>
      <c r="F31" s="49"/>
      <c r="G31" s="52">
        <v>27850.0</v>
      </c>
      <c r="H31" s="41"/>
      <c r="I31" s="42"/>
      <c r="J31" s="43"/>
      <c r="K31" s="48"/>
      <c r="L31" s="45">
        <v>27850.0</v>
      </c>
      <c r="M31" s="22">
        <f t="shared" si="2"/>
        <v>0</v>
      </c>
    </row>
    <row r="32">
      <c r="A32" s="36">
        <v>28.0</v>
      </c>
      <c r="B32" s="56" t="s">
        <v>401</v>
      </c>
      <c r="C32" s="56">
        <v>13781.0</v>
      </c>
      <c r="D32" s="56" t="s">
        <v>213</v>
      </c>
      <c r="E32" s="46"/>
      <c r="F32" s="49"/>
      <c r="G32" s="40"/>
      <c r="H32" s="41">
        <v>2700.0</v>
      </c>
      <c r="I32" s="42"/>
      <c r="J32" s="43"/>
      <c r="K32" s="48"/>
      <c r="L32" s="45">
        <v>2700.0</v>
      </c>
      <c r="M32" s="22">
        <f t="shared" si="2"/>
        <v>0</v>
      </c>
    </row>
    <row r="33">
      <c r="A33" s="36">
        <v>29.0</v>
      </c>
      <c r="B33" s="56" t="s">
        <v>402</v>
      </c>
      <c r="C33" s="56">
        <v>51970.0</v>
      </c>
      <c r="D33" s="56" t="s">
        <v>403</v>
      </c>
      <c r="E33" s="46"/>
      <c r="F33" s="49"/>
      <c r="G33" s="40"/>
      <c r="H33" s="41">
        <v>10000.0</v>
      </c>
      <c r="I33" s="42"/>
      <c r="J33" s="43"/>
      <c r="K33" s="48"/>
      <c r="L33" s="45">
        <v>10000.0</v>
      </c>
      <c r="M33" s="22">
        <f t="shared" si="2"/>
        <v>0</v>
      </c>
    </row>
    <row r="34">
      <c r="A34" s="36">
        <v>30.0</v>
      </c>
      <c r="B34" s="56" t="s">
        <v>404</v>
      </c>
      <c r="C34" s="56">
        <v>12102.0</v>
      </c>
      <c r="D34" s="56" t="s">
        <v>113</v>
      </c>
      <c r="E34" s="38"/>
      <c r="F34" s="39"/>
      <c r="G34" s="40"/>
      <c r="H34" s="41">
        <v>1455.0</v>
      </c>
      <c r="I34" s="42"/>
      <c r="J34" s="47"/>
      <c r="K34" s="48"/>
      <c r="L34" s="45">
        <v>1455.0</v>
      </c>
      <c r="M34" s="22">
        <f t="shared" si="2"/>
        <v>0</v>
      </c>
    </row>
    <row r="35">
      <c r="A35" s="36">
        <v>31.0</v>
      </c>
      <c r="B35" s="56" t="s">
        <v>405</v>
      </c>
      <c r="C35" s="56">
        <v>49864.0</v>
      </c>
      <c r="D35" s="56" t="s">
        <v>225</v>
      </c>
      <c r="E35" s="46"/>
      <c r="F35" s="39"/>
      <c r="G35" s="40"/>
      <c r="H35" s="41">
        <v>2752.0</v>
      </c>
      <c r="I35" s="42"/>
      <c r="J35" s="43"/>
      <c r="K35" s="48"/>
      <c r="L35" s="45">
        <v>2752.0</v>
      </c>
      <c r="M35" s="22">
        <f t="shared" si="2"/>
        <v>0</v>
      </c>
    </row>
    <row r="36">
      <c r="A36" s="36">
        <v>32.0</v>
      </c>
      <c r="B36" s="56" t="s">
        <v>406</v>
      </c>
      <c r="C36" s="56">
        <v>54398.0</v>
      </c>
      <c r="D36" s="56" t="s">
        <v>407</v>
      </c>
      <c r="E36" s="46"/>
      <c r="F36" s="39"/>
      <c r="G36" s="40"/>
      <c r="H36" s="41"/>
      <c r="I36" s="42">
        <v>15000.0</v>
      </c>
      <c r="J36" s="43"/>
      <c r="K36" s="48"/>
      <c r="L36" s="45">
        <v>15000.0</v>
      </c>
      <c r="M36" s="22">
        <f t="shared" si="2"/>
        <v>0</v>
      </c>
    </row>
    <row r="37">
      <c r="A37" s="36">
        <v>33.0</v>
      </c>
      <c r="B37" s="56" t="s">
        <v>408</v>
      </c>
      <c r="C37" s="56">
        <v>52032.0</v>
      </c>
      <c r="D37" s="56" t="s">
        <v>217</v>
      </c>
      <c r="E37" s="46"/>
      <c r="F37" s="39"/>
      <c r="G37" s="40"/>
      <c r="H37" s="41">
        <v>15000.0</v>
      </c>
      <c r="I37" s="42"/>
      <c r="J37" s="43"/>
      <c r="K37" s="48"/>
      <c r="L37" s="45">
        <v>15000.0</v>
      </c>
      <c r="M37" s="22">
        <f t="shared" si="2"/>
        <v>0</v>
      </c>
    </row>
    <row r="38">
      <c r="A38" s="36">
        <v>34.0</v>
      </c>
      <c r="B38" s="56" t="s">
        <v>409</v>
      </c>
      <c r="C38" s="56">
        <v>53595.0</v>
      </c>
      <c r="D38" s="56" t="s">
        <v>410</v>
      </c>
      <c r="E38" s="46"/>
      <c r="F38" s="39"/>
      <c r="G38" s="40"/>
      <c r="H38" s="41">
        <v>5000.0</v>
      </c>
      <c r="I38" s="42"/>
      <c r="J38" s="43"/>
      <c r="K38" s="48"/>
      <c r="L38" s="45">
        <v>5000.0</v>
      </c>
      <c r="M38" s="22">
        <f t="shared" si="2"/>
        <v>0</v>
      </c>
    </row>
    <row r="39">
      <c r="A39" s="36">
        <v>35.0</v>
      </c>
      <c r="B39" s="56" t="s">
        <v>411</v>
      </c>
      <c r="C39" s="56">
        <v>53595.0</v>
      </c>
      <c r="D39" s="56" t="s">
        <v>410</v>
      </c>
      <c r="E39" s="38"/>
      <c r="F39" s="39"/>
      <c r="G39" s="40"/>
      <c r="H39" s="41">
        <v>5000.0</v>
      </c>
      <c r="I39" s="42"/>
      <c r="J39" s="47"/>
      <c r="K39" s="48"/>
      <c r="L39" s="45">
        <v>5000.0</v>
      </c>
      <c r="M39" s="22">
        <f t="shared" si="2"/>
        <v>0</v>
      </c>
    </row>
    <row r="40">
      <c r="A40" s="36">
        <v>36.0</v>
      </c>
      <c r="B40" s="56" t="s">
        <v>412</v>
      </c>
      <c r="C40" s="56">
        <v>57992.0</v>
      </c>
      <c r="D40" s="56" t="s">
        <v>413</v>
      </c>
      <c r="E40" s="46"/>
      <c r="F40" s="49"/>
      <c r="G40" s="40"/>
      <c r="H40" s="41">
        <v>4720.0</v>
      </c>
      <c r="I40" s="51"/>
      <c r="J40" s="43"/>
      <c r="K40" s="48"/>
      <c r="L40" s="45">
        <v>4720.0</v>
      </c>
      <c r="M40" s="22">
        <f t="shared" si="2"/>
        <v>0</v>
      </c>
    </row>
    <row r="41">
      <c r="A41" s="36">
        <v>37.0</v>
      </c>
      <c r="B41" s="56" t="s">
        <v>414</v>
      </c>
      <c r="C41" s="56">
        <v>57990.0</v>
      </c>
      <c r="D41" s="56" t="s">
        <v>415</v>
      </c>
      <c r="E41" s="46"/>
      <c r="F41" s="39"/>
      <c r="G41" s="40"/>
      <c r="H41" s="41">
        <v>3600.0</v>
      </c>
      <c r="I41" s="42"/>
      <c r="J41" s="47"/>
      <c r="K41" s="48"/>
      <c r="L41" s="45">
        <v>3600.0</v>
      </c>
      <c r="M41" s="22">
        <f t="shared" si="2"/>
        <v>0</v>
      </c>
    </row>
    <row r="42">
      <c r="A42" s="36">
        <v>38.0</v>
      </c>
      <c r="B42" s="56" t="s">
        <v>416</v>
      </c>
      <c r="C42" s="56">
        <v>48631.0</v>
      </c>
      <c r="D42" s="56" t="s">
        <v>123</v>
      </c>
      <c r="E42" s="46"/>
      <c r="F42" s="39"/>
      <c r="G42" s="40"/>
      <c r="H42" s="41">
        <v>1250.0</v>
      </c>
      <c r="I42" s="51"/>
      <c r="J42" s="47"/>
      <c r="K42" s="48"/>
      <c r="L42" s="45">
        <v>1250.0</v>
      </c>
      <c r="M42" s="22">
        <f t="shared" si="2"/>
        <v>0</v>
      </c>
    </row>
    <row r="43">
      <c r="A43" s="36">
        <v>39.0</v>
      </c>
      <c r="B43" s="56" t="s">
        <v>417</v>
      </c>
      <c r="C43" s="56">
        <v>21384.0</v>
      </c>
      <c r="D43" s="56" t="s">
        <v>151</v>
      </c>
      <c r="E43" s="46"/>
      <c r="F43" s="39"/>
      <c r="G43" s="40"/>
      <c r="H43" s="41"/>
      <c r="I43" s="42">
        <v>5000.0</v>
      </c>
      <c r="J43" s="43"/>
      <c r="K43" s="48"/>
      <c r="L43" s="45">
        <v>5000.0</v>
      </c>
      <c r="M43" s="22">
        <f t="shared" si="2"/>
        <v>0</v>
      </c>
    </row>
    <row r="44">
      <c r="A44" s="36">
        <v>40.0</v>
      </c>
      <c r="B44" s="56" t="s">
        <v>418</v>
      </c>
      <c r="C44" s="56">
        <v>53457.0</v>
      </c>
      <c r="D44" s="56" t="s">
        <v>419</v>
      </c>
      <c r="E44" s="46"/>
      <c r="F44" s="49"/>
      <c r="G44" s="40"/>
      <c r="H44" s="41"/>
      <c r="I44" s="42">
        <v>5000.0</v>
      </c>
      <c r="J44" s="43"/>
      <c r="K44" s="48"/>
      <c r="L44" s="45">
        <v>5000.0</v>
      </c>
      <c r="M44" s="22">
        <f t="shared" si="2"/>
        <v>0</v>
      </c>
    </row>
    <row r="45">
      <c r="A45" s="36">
        <v>41.0</v>
      </c>
      <c r="B45" s="56" t="s">
        <v>420</v>
      </c>
      <c r="C45" s="56">
        <v>21384.0</v>
      </c>
      <c r="D45" s="56" t="s">
        <v>151</v>
      </c>
      <c r="E45" s="46"/>
      <c r="F45" s="39"/>
      <c r="G45" s="40"/>
      <c r="H45" s="41">
        <v>5350.0</v>
      </c>
      <c r="I45" s="42"/>
      <c r="J45" s="43"/>
      <c r="K45" s="48"/>
      <c r="L45" s="45">
        <v>5350.0</v>
      </c>
      <c r="M45" s="22">
        <f t="shared" si="2"/>
        <v>0</v>
      </c>
    </row>
    <row r="46">
      <c r="A46" s="36">
        <v>42.0</v>
      </c>
      <c r="B46" s="56" t="s">
        <v>421</v>
      </c>
      <c r="C46" s="56">
        <v>36769.0</v>
      </c>
      <c r="D46" s="56" t="s">
        <v>138</v>
      </c>
      <c r="E46" s="46"/>
      <c r="F46" s="49"/>
      <c r="G46" s="40"/>
      <c r="H46" s="41">
        <v>6450.0</v>
      </c>
      <c r="I46" s="42"/>
      <c r="J46" s="47"/>
      <c r="K46" s="48"/>
      <c r="L46" s="45">
        <v>6450.0</v>
      </c>
      <c r="M46" s="22">
        <f t="shared" si="2"/>
        <v>0</v>
      </c>
    </row>
    <row r="47">
      <c r="A47" s="36">
        <v>43.0</v>
      </c>
      <c r="B47" s="56" t="s">
        <v>422</v>
      </c>
      <c r="C47" s="56">
        <v>10320.0</v>
      </c>
      <c r="D47" s="56" t="s">
        <v>84</v>
      </c>
      <c r="E47" s="46"/>
      <c r="F47" s="49"/>
      <c r="G47" s="40"/>
      <c r="H47" s="41">
        <v>2500.0</v>
      </c>
      <c r="I47" s="42"/>
      <c r="J47" s="43"/>
      <c r="K47" s="48"/>
      <c r="L47" s="45">
        <v>2500.0</v>
      </c>
      <c r="M47" s="22">
        <f t="shared" si="2"/>
        <v>0</v>
      </c>
    </row>
    <row r="48">
      <c r="A48" s="36">
        <v>44.0</v>
      </c>
      <c r="B48" s="56" t="s">
        <v>423</v>
      </c>
      <c r="C48" s="56">
        <v>48716.0</v>
      </c>
      <c r="D48" s="56" t="s">
        <v>424</v>
      </c>
      <c r="E48" s="46"/>
      <c r="F48" s="39"/>
      <c r="G48" s="40"/>
      <c r="H48" s="41">
        <v>5000.0</v>
      </c>
      <c r="I48" s="42"/>
      <c r="J48" s="43"/>
      <c r="K48" s="48"/>
      <c r="L48" s="45">
        <v>5000.0</v>
      </c>
      <c r="M48" s="22">
        <f t="shared" si="2"/>
        <v>0</v>
      </c>
    </row>
    <row r="49">
      <c r="A49" s="36">
        <v>45.0</v>
      </c>
      <c r="B49" s="56" t="s">
        <v>425</v>
      </c>
      <c r="C49" s="56">
        <v>54211.0</v>
      </c>
      <c r="D49" s="56" t="s">
        <v>426</v>
      </c>
      <c r="E49" s="46"/>
      <c r="F49" s="39"/>
      <c r="G49" s="40"/>
      <c r="H49" s="41">
        <v>15000.0</v>
      </c>
      <c r="I49" s="42"/>
      <c r="J49" s="43"/>
      <c r="K49" s="48"/>
      <c r="L49" s="45">
        <v>15000.0</v>
      </c>
      <c r="M49" s="22">
        <f t="shared" si="2"/>
        <v>0</v>
      </c>
    </row>
    <row r="50">
      <c r="A50" s="36">
        <v>46.0</v>
      </c>
      <c r="B50" s="56" t="s">
        <v>427</v>
      </c>
      <c r="C50" s="56">
        <v>31738.0</v>
      </c>
      <c r="D50" s="56" t="s">
        <v>277</v>
      </c>
      <c r="E50" s="46"/>
      <c r="F50" s="39"/>
      <c r="G50" s="40"/>
      <c r="H50" s="41"/>
      <c r="I50" s="42"/>
      <c r="J50" s="47">
        <v>7650.0</v>
      </c>
      <c r="K50" s="48"/>
      <c r="L50" s="45">
        <v>7650.0</v>
      </c>
      <c r="M50" s="22">
        <f t="shared" si="2"/>
        <v>0</v>
      </c>
    </row>
    <row r="51">
      <c r="A51" s="36">
        <v>47.0</v>
      </c>
      <c r="B51" s="56" t="s">
        <v>428</v>
      </c>
      <c r="C51" s="56">
        <v>46778.0</v>
      </c>
      <c r="D51" s="56" t="s">
        <v>262</v>
      </c>
      <c r="E51" s="46"/>
      <c r="F51" s="39"/>
      <c r="G51" s="40"/>
      <c r="H51" s="41"/>
      <c r="I51" s="42">
        <v>15200.0</v>
      </c>
      <c r="J51" s="43"/>
      <c r="K51" s="48"/>
      <c r="L51" s="45">
        <v>15200.0</v>
      </c>
      <c r="M51" s="22">
        <f t="shared" si="2"/>
        <v>0</v>
      </c>
    </row>
    <row r="52">
      <c r="A52" s="36">
        <v>48.0</v>
      </c>
      <c r="B52" s="56" t="s">
        <v>429</v>
      </c>
      <c r="C52" s="56">
        <v>35245.0</v>
      </c>
      <c r="D52" s="56" t="s">
        <v>330</v>
      </c>
      <c r="E52" s="46"/>
      <c r="F52" s="39"/>
      <c r="G52" s="40"/>
      <c r="H52" s="41"/>
      <c r="I52" s="42"/>
      <c r="J52" s="47">
        <v>448.0</v>
      </c>
      <c r="K52" s="48"/>
      <c r="L52" s="45">
        <v>448.0</v>
      </c>
      <c r="M52" s="22">
        <f t="shared" si="2"/>
        <v>0</v>
      </c>
    </row>
    <row r="53">
      <c r="A53" s="36">
        <v>49.0</v>
      </c>
      <c r="B53" s="56" t="s">
        <v>430</v>
      </c>
      <c r="C53" s="56">
        <v>56774.0</v>
      </c>
      <c r="D53" s="56" t="s">
        <v>311</v>
      </c>
      <c r="E53" s="46"/>
      <c r="F53" s="39"/>
      <c r="G53" s="40"/>
      <c r="H53" s="41">
        <v>5000.0</v>
      </c>
      <c r="I53" s="42"/>
      <c r="J53" s="47"/>
      <c r="K53" s="48"/>
      <c r="L53" s="45">
        <v>5000.0</v>
      </c>
      <c r="M53" s="22">
        <f t="shared" si="2"/>
        <v>0</v>
      </c>
    </row>
    <row r="54">
      <c r="A54" s="36">
        <v>50.0</v>
      </c>
      <c r="B54" s="56" t="s">
        <v>431</v>
      </c>
      <c r="C54" s="56">
        <v>56774.0</v>
      </c>
      <c r="D54" s="56" t="s">
        <v>311</v>
      </c>
      <c r="E54" s="46"/>
      <c r="F54" s="39"/>
      <c r="G54" s="40"/>
      <c r="H54" s="41">
        <v>2500.0</v>
      </c>
      <c r="I54" s="42"/>
      <c r="J54" s="43"/>
      <c r="K54" s="48"/>
      <c r="L54" s="45">
        <v>2500.0</v>
      </c>
      <c r="M54" s="22">
        <f t="shared" si="2"/>
        <v>0</v>
      </c>
    </row>
    <row r="55">
      <c r="A55" s="36">
        <v>51.0</v>
      </c>
      <c r="B55" s="56" t="s">
        <v>432</v>
      </c>
      <c r="C55" s="56">
        <v>50595.0</v>
      </c>
      <c r="D55" s="56" t="s">
        <v>305</v>
      </c>
      <c r="E55" s="46"/>
      <c r="F55" s="39"/>
      <c r="G55" s="40"/>
      <c r="H55" s="41">
        <v>1427.0</v>
      </c>
      <c r="I55" s="42"/>
      <c r="J55" s="43"/>
      <c r="K55" s="48"/>
      <c r="L55" s="45">
        <v>1427.0</v>
      </c>
      <c r="M55" s="22">
        <f t="shared" si="2"/>
        <v>0</v>
      </c>
    </row>
    <row r="56">
      <c r="A56" s="36">
        <v>52.0</v>
      </c>
      <c r="B56" s="56" t="s">
        <v>433</v>
      </c>
      <c r="C56" s="56">
        <v>22332.0</v>
      </c>
      <c r="D56" s="56" t="s">
        <v>78</v>
      </c>
      <c r="E56" s="46"/>
      <c r="F56" s="39"/>
      <c r="G56" s="40"/>
      <c r="H56" s="41">
        <v>400.0</v>
      </c>
      <c r="I56" s="42"/>
      <c r="J56" s="43"/>
      <c r="K56" s="48"/>
      <c r="L56" s="45">
        <v>400.0</v>
      </c>
      <c r="M56" s="22">
        <f t="shared" si="2"/>
        <v>0</v>
      </c>
    </row>
    <row r="57">
      <c r="A57" s="36">
        <v>53.0</v>
      </c>
      <c r="B57" s="56" t="s">
        <v>434</v>
      </c>
      <c r="C57" s="56">
        <v>36918.0</v>
      </c>
      <c r="D57" s="56" t="s">
        <v>435</v>
      </c>
      <c r="E57" s="46"/>
      <c r="F57" s="39"/>
      <c r="G57" s="40"/>
      <c r="H57" s="41">
        <v>200.0</v>
      </c>
      <c r="I57" s="42"/>
      <c r="J57" s="43"/>
      <c r="K57" s="48"/>
      <c r="L57" s="45">
        <v>200.0</v>
      </c>
      <c r="M57" s="22">
        <f t="shared" si="2"/>
        <v>0</v>
      </c>
    </row>
    <row r="58">
      <c r="A58" s="36">
        <v>54.0</v>
      </c>
      <c r="B58" s="56" t="s">
        <v>436</v>
      </c>
      <c r="C58" s="56">
        <v>48292.0</v>
      </c>
      <c r="D58" s="56" t="s">
        <v>437</v>
      </c>
      <c r="E58" s="46"/>
      <c r="F58" s="39"/>
      <c r="G58" s="40"/>
      <c r="H58" s="41">
        <v>500.0</v>
      </c>
      <c r="I58" s="42"/>
      <c r="J58" s="43"/>
      <c r="K58" s="48"/>
      <c r="L58" s="45">
        <v>500.0</v>
      </c>
      <c r="M58" s="22">
        <f t="shared" si="2"/>
        <v>0</v>
      </c>
    </row>
    <row r="59">
      <c r="A59" s="36">
        <v>55.0</v>
      </c>
      <c r="B59" s="56" t="s">
        <v>438</v>
      </c>
      <c r="C59" s="56">
        <v>50596.0</v>
      </c>
      <c r="D59" s="56" t="s">
        <v>157</v>
      </c>
      <c r="E59" s="46"/>
      <c r="F59" s="39"/>
      <c r="G59" s="40"/>
      <c r="H59" s="41">
        <v>7600.0</v>
      </c>
      <c r="I59" s="42"/>
      <c r="J59" s="43"/>
      <c r="K59" s="48"/>
      <c r="L59" s="45">
        <v>7600.0</v>
      </c>
      <c r="M59" s="22">
        <f t="shared" si="2"/>
        <v>0</v>
      </c>
    </row>
    <row r="60">
      <c r="A60" s="36">
        <v>56.0</v>
      </c>
      <c r="B60" s="56" t="s">
        <v>439</v>
      </c>
      <c r="C60" s="56">
        <v>42339.0</v>
      </c>
      <c r="D60" s="56" t="s">
        <v>302</v>
      </c>
      <c r="E60" s="46"/>
      <c r="F60" s="39"/>
      <c r="G60" s="40"/>
      <c r="H60" s="41"/>
      <c r="I60" s="42">
        <v>4500.0</v>
      </c>
      <c r="J60" s="47"/>
      <c r="K60" s="48"/>
      <c r="L60" s="45">
        <v>4500.0</v>
      </c>
      <c r="M60" s="22">
        <f t="shared" si="2"/>
        <v>0</v>
      </c>
    </row>
    <row r="61">
      <c r="A61" s="36">
        <v>57.0</v>
      </c>
      <c r="B61" s="56" t="s">
        <v>440</v>
      </c>
      <c r="C61" s="56">
        <v>35245.0</v>
      </c>
      <c r="D61" s="56" t="s">
        <v>330</v>
      </c>
      <c r="E61" s="38">
        <v>2500.0</v>
      </c>
      <c r="F61" s="39"/>
      <c r="G61" s="40"/>
      <c r="H61" s="41"/>
      <c r="I61" s="42"/>
      <c r="J61" s="43"/>
      <c r="K61" s="48"/>
      <c r="L61" s="45">
        <v>2500.0</v>
      </c>
      <c r="M61" s="22">
        <f t="shared" si="2"/>
        <v>0</v>
      </c>
    </row>
    <row r="62">
      <c r="A62" s="36">
        <v>58.0</v>
      </c>
      <c r="B62" s="56" t="s">
        <v>441</v>
      </c>
      <c r="C62" s="56">
        <v>49545.0</v>
      </c>
      <c r="D62" s="56" t="s">
        <v>442</v>
      </c>
      <c r="E62" s="38"/>
      <c r="F62" s="39"/>
      <c r="G62" s="40"/>
      <c r="H62" s="41"/>
      <c r="I62" s="42">
        <v>2650.0</v>
      </c>
      <c r="J62" s="43"/>
      <c r="K62" s="48"/>
      <c r="L62" s="45">
        <v>2650.0</v>
      </c>
      <c r="M62" s="22">
        <f t="shared" si="2"/>
        <v>0</v>
      </c>
    </row>
    <row r="63">
      <c r="A63" s="36">
        <v>59.0</v>
      </c>
      <c r="B63" s="56" t="s">
        <v>443</v>
      </c>
      <c r="C63" s="56">
        <v>10250.0</v>
      </c>
      <c r="D63" s="56" t="s">
        <v>115</v>
      </c>
      <c r="E63" s="46"/>
      <c r="F63" s="39"/>
      <c r="G63" s="40"/>
      <c r="H63" s="41"/>
      <c r="I63" s="42">
        <v>350.0</v>
      </c>
      <c r="J63" s="43"/>
      <c r="K63" s="48"/>
      <c r="L63" s="45">
        <v>350.0</v>
      </c>
      <c r="M63" s="22">
        <f t="shared" si="2"/>
        <v>0</v>
      </c>
    </row>
    <row r="64">
      <c r="A64" s="36">
        <v>60.0</v>
      </c>
      <c r="B64" s="56" t="s">
        <v>444</v>
      </c>
      <c r="C64" s="56">
        <v>57914.0</v>
      </c>
      <c r="D64" s="56" t="s">
        <v>445</v>
      </c>
      <c r="E64" s="46"/>
      <c r="F64" s="39"/>
      <c r="G64" s="40"/>
      <c r="H64" s="41"/>
      <c r="I64" s="42">
        <v>4980.0</v>
      </c>
      <c r="J64" s="43"/>
      <c r="K64" s="48"/>
      <c r="L64" s="45">
        <v>4980.0</v>
      </c>
      <c r="M64" s="22">
        <f t="shared" si="2"/>
        <v>0</v>
      </c>
    </row>
    <row r="65">
      <c r="A65" s="36">
        <v>61.0</v>
      </c>
      <c r="B65" s="56" t="s">
        <v>446</v>
      </c>
      <c r="C65" s="56">
        <v>47179.0</v>
      </c>
      <c r="D65" s="56" t="s">
        <v>447</v>
      </c>
      <c r="E65" s="46"/>
      <c r="F65" s="49"/>
      <c r="G65" s="40"/>
      <c r="H65" s="41">
        <v>10000.0</v>
      </c>
      <c r="I65" s="42"/>
      <c r="J65" s="43"/>
      <c r="K65" s="48"/>
      <c r="L65" s="45">
        <v>10000.0</v>
      </c>
      <c r="M65" s="22">
        <f t="shared" si="2"/>
        <v>0</v>
      </c>
    </row>
    <row r="66">
      <c r="A66" s="36">
        <v>62.0</v>
      </c>
      <c r="B66" s="56" t="s">
        <v>448</v>
      </c>
      <c r="C66" s="56">
        <v>10002.0</v>
      </c>
      <c r="D66" s="56" t="s">
        <v>449</v>
      </c>
      <c r="E66" s="46"/>
      <c r="F66" s="49"/>
      <c r="G66" s="40"/>
      <c r="H66" s="41"/>
      <c r="I66" s="42"/>
      <c r="J66" s="47">
        <v>3600.0</v>
      </c>
      <c r="K66" s="48"/>
      <c r="L66" s="45">
        <v>3600.0</v>
      </c>
      <c r="M66" s="22">
        <f t="shared" si="2"/>
        <v>0</v>
      </c>
    </row>
    <row r="67">
      <c r="A67" s="36">
        <v>63.0</v>
      </c>
      <c r="B67" s="56" t="s">
        <v>450</v>
      </c>
      <c r="C67" s="56">
        <v>49943.0</v>
      </c>
      <c r="D67" s="56" t="s">
        <v>451</v>
      </c>
      <c r="E67" s="46"/>
      <c r="F67" s="49"/>
      <c r="G67" s="40"/>
      <c r="H67" s="41">
        <v>100.0</v>
      </c>
      <c r="I67" s="42"/>
      <c r="J67" s="43"/>
      <c r="K67" s="48"/>
      <c r="L67" s="45">
        <v>100.0</v>
      </c>
      <c r="M67" s="22">
        <f t="shared" si="2"/>
        <v>0</v>
      </c>
    </row>
    <row r="68">
      <c r="A68" s="36">
        <v>64.0</v>
      </c>
      <c r="B68" s="56" t="s">
        <v>452</v>
      </c>
      <c r="C68" s="56">
        <v>38591.0</v>
      </c>
      <c r="D68" s="56" t="s">
        <v>453</v>
      </c>
      <c r="E68" s="46"/>
      <c r="F68" s="49"/>
      <c r="G68" s="40"/>
      <c r="H68" s="41">
        <v>7500.0</v>
      </c>
      <c r="I68" s="42"/>
      <c r="J68" s="43"/>
      <c r="K68" s="48"/>
      <c r="L68" s="45">
        <v>7500.0</v>
      </c>
      <c r="M68" s="22">
        <f t="shared" si="2"/>
        <v>0</v>
      </c>
    </row>
    <row r="69">
      <c r="A69" s="36">
        <v>65.0</v>
      </c>
      <c r="B69" s="56" t="s">
        <v>454</v>
      </c>
      <c r="C69" s="56">
        <v>30933.0</v>
      </c>
      <c r="D69" s="56" t="s">
        <v>455</v>
      </c>
      <c r="E69" s="46"/>
      <c r="F69" s="39"/>
      <c r="G69" s="40"/>
      <c r="H69" s="41">
        <v>7500.0</v>
      </c>
      <c r="I69" s="42"/>
      <c r="J69" s="47"/>
      <c r="K69" s="48"/>
      <c r="L69" s="45">
        <v>7500.0</v>
      </c>
      <c r="M69" s="22">
        <f t="shared" si="2"/>
        <v>0</v>
      </c>
    </row>
    <row r="70">
      <c r="A70" s="36">
        <v>66.0</v>
      </c>
      <c r="B70" s="56" t="s">
        <v>456</v>
      </c>
      <c r="C70" s="56">
        <v>48438.0</v>
      </c>
      <c r="D70" s="56" t="s">
        <v>457</v>
      </c>
      <c r="E70" s="46"/>
      <c r="F70" s="39"/>
      <c r="G70" s="40"/>
      <c r="H70" s="41">
        <v>7500.0</v>
      </c>
      <c r="I70" s="42"/>
      <c r="J70" s="43"/>
      <c r="K70" s="48"/>
      <c r="L70" s="45">
        <v>7500.0</v>
      </c>
      <c r="M70" s="22">
        <f t="shared" si="2"/>
        <v>0</v>
      </c>
    </row>
    <row r="71">
      <c r="A71" s="36">
        <v>67.0</v>
      </c>
      <c r="B71" s="56" t="s">
        <v>458</v>
      </c>
      <c r="C71" s="56">
        <v>48436.0</v>
      </c>
      <c r="D71" s="56" t="s">
        <v>459</v>
      </c>
      <c r="E71" s="46"/>
      <c r="F71" s="39"/>
      <c r="G71" s="40"/>
      <c r="H71" s="41">
        <v>7500.0</v>
      </c>
      <c r="I71" s="42"/>
      <c r="J71" s="43"/>
      <c r="K71" s="48"/>
      <c r="L71" s="45">
        <v>7500.0</v>
      </c>
      <c r="M71" s="22">
        <f t="shared" si="2"/>
        <v>0</v>
      </c>
    </row>
    <row r="72">
      <c r="A72" s="36">
        <v>68.0</v>
      </c>
      <c r="B72" s="56" t="s">
        <v>460</v>
      </c>
      <c r="C72" s="56">
        <v>30933.0</v>
      </c>
      <c r="D72" s="56" t="s">
        <v>455</v>
      </c>
      <c r="E72" s="46"/>
      <c r="F72" s="39"/>
      <c r="G72" s="40"/>
      <c r="H72" s="41">
        <v>75000.0</v>
      </c>
      <c r="I72" s="42"/>
      <c r="J72" s="43"/>
      <c r="K72" s="48"/>
      <c r="L72" s="45">
        <v>75000.0</v>
      </c>
      <c r="M72" s="22">
        <f t="shared" si="2"/>
        <v>0</v>
      </c>
    </row>
    <row r="73">
      <c r="A73" s="36">
        <v>69.0</v>
      </c>
      <c r="B73" s="56" t="s">
        <v>461</v>
      </c>
      <c r="C73" s="56">
        <v>19688.0</v>
      </c>
      <c r="D73" s="56" t="s">
        <v>462</v>
      </c>
      <c r="E73" s="46"/>
      <c r="F73" s="39"/>
      <c r="G73" s="40"/>
      <c r="H73" s="41">
        <v>5000.0</v>
      </c>
      <c r="I73" s="42"/>
      <c r="J73" s="43"/>
      <c r="K73" s="48"/>
      <c r="L73" s="45">
        <v>5000.0</v>
      </c>
      <c r="M73" s="22">
        <f t="shared" si="2"/>
        <v>0</v>
      </c>
    </row>
    <row r="74">
      <c r="A74" s="36">
        <v>70.0</v>
      </c>
      <c r="B74" s="56" t="s">
        <v>463</v>
      </c>
      <c r="C74" s="56">
        <v>46522.0</v>
      </c>
      <c r="D74" s="56" t="s">
        <v>464</v>
      </c>
      <c r="E74" s="46"/>
      <c r="F74" s="39"/>
      <c r="G74" s="40"/>
      <c r="H74" s="41"/>
      <c r="I74" s="42">
        <v>5000.0</v>
      </c>
      <c r="J74" s="43"/>
      <c r="K74" s="48"/>
      <c r="L74" s="45">
        <v>5000.0</v>
      </c>
      <c r="M74" s="22">
        <f t="shared" si="2"/>
        <v>0</v>
      </c>
    </row>
    <row r="75">
      <c r="A75" s="36">
        <v>71.0</v>
      </c>
      <c r="B75" s="56" t="s">
        <v>465</v>
      </c>
      <c r="C75" s="56">
        <v>49754.0</v>
      </c>
      <c r="D75" s="56" t="s">
        <v>466</v>
      </c>
      <c r="E75" s="38"/>
      <c r="F75" s="39"/>
      <c r="G75" s="40"/>
      <c r="H75" s="41"/>
      <c r="I75" s="42">
        <v>1400.0</v>
      </c>
      <c r="J75" s="43"/>
      <c r="K75" s="48"/>
      <c r="L75" s="45">
        <v>1400.0</v>
      </c>
      <c r="M75" s="22">
        <f t="shared" si="2"/>
        <v>0</v>
      </c>
    </row>
    <row r="76">
      <c r="A76" s="36">
        <v>72.0</v>
      </c>
      <c r="B76" s="56" t="s">
        <v>467</v>
      </c>
      <c r="C76" s="56">
        <v>52647.0</v>
      </c>
      <c r="D76" s="56" t="s">
        <v>468</v>
      </c>
      <c r="E76" s="46"/>
      <c r="F76" s="49"/>
      <c r="G76" s="40"/>
      <c r="H76" s="41">
        <v>10000.0</v>
      </c>
      <c r="I76" s="42"/>
      <c r="J76" s="43"/>
      <c r="K76" s="48"/>
      <c r="L76" s="45">
        <v>10000.0</v>
      </c>
      <c r="M76" s="22">
        <f t="shared" si="2"/>
        <v>0</v>
      </c>
    </row>
    <row r="77">
      <c r="A77" s="36">
        <v>73.0</v>
      </c>
      <c r="B77" s="56" t="s">
        <v>469</v>
      </c>
      <c r="C77" s="56">
        <v>35245.0</v>
      </c>
      <c r="D77" s="56" t="s">
        <v>330</v>
      </c>
      <c r="E77" s="46"/>
      <c r="F77" s="39"/>
      <c r="G77" s="40"/>
      <c r="H77" s="41">
        <v>400.0</v>
      </c>
      <c r="I77" s="42"/>
      <c r="J77" s="43"/>
      <c r="K77" s="48"/>
      <c r="L77" s="45">
        <v>400.0</v>
      </c>
      <c r="M77" s="22">
        <f t="shared" si="2"/>
        <v>0</v>
      </c>
    </row>
    <row r="78">
      <c r="A78" s="36">
        <v>74.0</v>
      </c>
      <c r="B78" s="56" t="s">
        <v>470</v>
      </c>
      <c r="C78" s="56">
        <v>57999.0</v>
      </c>
      <c r="D78" s="56" t="s">
        <v>471</v>
      </c>
      <c r="E78" s="46"/>
      <c r="F78" s="39"/>
      <c r="G78" s="40"/>
      <c r="H78" s="41">
        <v>27000.0</v>
      </c>
      <c r="I78" s="42"/>
      <c r="J78" s="43"/>
      <c r="K78" s="48"/>
      <c r="L78" s="45">
        <v>27000.0</v>
      </c>
      <c r="M78" s="22">
        <f t="shared" si="2"/>
        <v>0</v>
      </c>
    </row>
    <row r="79">
      <c r="A79" s="36">
        <v>75.0</v>
      </c>
      <c r="B79" s="56" t="s">
        <v>472</v>
      </c>
      <c r="C79" s="56">
        <v>10001.0</v>
      </c>
      <c r="D79" s="56" t="s">
        <v>46</v>
      </c>
      <c r="E79" s="38">
        <v>100.0</v>
      </c>
      <c r="F79" s="39"/>
      <c r="G79" s="40"/>
      <c r="H79" s="41"/>
      <c r="I79" s="42"/>
      <c r="J79" s="43"/>
      <c r="K79" s="48"/>
      <c r="L79" s="45">
        <v>100.0</v>
      </c>
      <c r="M79" s="22">
        <f t="shared" si="2"/>
        <v>0</v>
      </c>
    </row>
    <row r="80">
      <c r="A80" s="36">
        <v>76.0</v>
      </c>
      <c r="B80" s="56" t="s">
        <v>473</v>
      </c>
      <c r="C80" s="56">
        <v>56774.0</v>
      </c>
      <c r="D80" s="56" t="s">
        <v>311</v>
      </c>
      <c r="E80" s="38"/>
      <c r="F80" s="39"/>
      <c r="G80" s="40"/>
      <c r="H80" s="41">
        <v>3750.0</v>
      </c>
      <c r="I80" s="42"/>
      <c r="J80" s="43"/>
      <c r="K80" s="48"/>
      <c r="L80" s="45">
        <v>3750.0</v>
      </c>
      <c r="M80" s="22">
        <f t="shared" si="2"/>
        <v>0</v>
      </c>
    </row>
    <row r="81">
      <c r="A81" s="36">
        <v>77.0</v>
      </c>
      <c r="B81" s="56" t="s">
        <v>474</v>
      </c>
      <c r="C81" s="56">
        <v>57873.0</v>
      </c>
      <c r="D81" s="56" t="s">
        <v>475</v>
      </c>
      <c r="E81" s="46"/>
      <c r="F81" s="39"/>
      <c r="G81" s="40"/>
      <c r="H81" s="41"/>
      <c r="I81" s="42">
        <v>3700.0</v>
      </c>
      <c r="J81" s="43"/>
      <c r="K81" s="48"/>
      <c r="L81" s="45">
        <v>3700.0</v>
      </c>
      <c r="M81" s="22">
        <f t="shared" si="2"/>
        <v>0</v>
      </c>
    </row>
    <row r="82">
      <c r="A82" s="36">
        <v>78.0</v>
      </c>
      <c r="B82" s="56" t="s">
        <v>476</v>
      </c>
      <c r="C82" s="56">
        <v>51017.0</v>
      </c>
      <c r="D82" s="56" t="s">
        <v>477</v>
      </c>
      <c r="E82" s="38"/>
      <c r="F82" s="39"/>
      <c r="G82" s="52">
        <v>6750.0</v>
      </c>
      <c r="H82" s="41"/>
      <c r="I82" s="42"/>
      <c r="J82" s="43"/>
      <c r="K82" s="48"/>
      <c r="L82" s="45">
        <v>6750.0</v>
      </c>
      <c r="M82" s="22">
        <f t="shared" si="2"/>
        <v>0</v>
      </c>
    </row>
    <row r="83">
      <c r="A83" s="36">
        <v>79.0</v>
      </c>
      <c r="B83" s="56" t="s">
        <v>478</v>
      </c>
      <c r="C83" s="56">
        <v>57201.0</v>
      </c>
      <c r="D83" s="56" t="s">
        <v>400</v>
      </c>
      <c r="E83" s="38"/>
      <c r="F83" s="39"/>
      <c r="G83" s="52">
        <v>8000.0</v>
      </c>
      <c r="H83" s="41"/>
      <c r="I83" s="42"/>
      <c r="J83" s="43"/>
      <c r="K83" s="48"/>
      <c r="L83" s="45">
        <v>8000.0</v>
      </c>
      <c r="M83" s="22">
        <f t="shared" si="2"/>
        <v>0</v>
      </c>
    </row>
    <row r="84">
      <c r="A84" s="36">
        <v>80.0</v>
      </c>
      <c r="B84" s="56" t="s">
        <v>479</v>
      </c>
      <c r="C84" s="56">
        <v>49953.0</v>
      </c>
      <c r="D84" s="56" t="s">
        <v>62</v>
      </c>
      <c r="E84" s="38"/>
      <c r="F84" s="39"/>
      <c r="G84" s="52">
        <v>17000.0</v>
      </c>
      <c r="H84" s="41"/>
      <c r="I84" s="42"/>
      <c r="J84" s="43"/>
      <c r="K84" s="48"/>
      <c r="L84" s="45">
        <v>17000.0</v>
      </c>
      <c r="M84" s="22">
        <f t="shared" si="2"/>
        <v>0</v>
      </c>
    </row>
    <row r="85">
      <c r="A85" s="36">
        <v>81.0</v>
      </c>
      <c r="B85" s="56" t="s">
        <v>480</v>
      </c>
      <c r="C85" s="56">
        <v>51802.0</v>
      </c>
      <c r="D85" s="56" t="s">
        <v>481</v>
      </c>
      <c r="E85" s="46"/>
      <c r="F85" s="39"/>
      <c r="G85" s="52">
        <v>2650.0</v>
      </c>
      <c r="H85" s="41"/>
      <c r="I85" s="42"/>
      <c r="J85" s="43"/>
      <c r="K85" s="48"/>
      <c r="L85" s="45">
        <v>2650.0</v>
      </c>
      <c r="M85" s="22">
        <f t="shared" si="2"/>
        <v>0</v>
      </c>
    </row>
    <row r="86">
      <c r="A86" s="36">
        <v>82.0</v>
      </c>
      <c r="B86" s="56" t="s">
        <v>482</v>
      </c>
      <c r="C86" s="56">
        <v>57531.0</v>
      </c>
      <c r="D86" s="56" t="s">
        <v>483</v>
      </c>
      <c r="E86" s="46"/>
      <c r="F86" s="39"/>
      <c r="G86" s="52">
        <v>3750.0</v>
      </c>
      <c r="H86" s="41"/>
      <c r="I86" s="42"/>
      <c r="J86" s="43"/>
      <c r="K86" s="48"/>
      <c r="L86" s="45">
        <v>3750.0</v>
      </c>
      <c r="M86" s="22">
        <f t="shared" si="2"/>
        <v>0</v>
      </c>
    </row>
    <row r="87">
      <c r="A87" s="36">
        <v>83.0</v>
      </c>
      <c r="B87" s="56" t="s">
        <v>484</v>
      </c>
      <c r="C87" s="56">
        <v>30895.0</v>
      </c>
      <c r="D87" s="56" t="s">
        <v>99</v>
      </c>
      <c r="E87" s="46"/>
      <c r="F87" s="49"/>
      <c r="G87" s="52">
        <v>10000.0</v>
      </c>
      <c r="H87" s="41"/>
      <c r="I87" s="42"/>
      <c r="J87" s="43"/>
      <c r="K87" s="48"/>
      <c r="L87" s="45">
        <v>10000.0</v>
      </c>
      <c r="M87" s="22">
        <f t="shared" si="2"/>
        <v>0</v>
      </c>
    </row>
    <row r="88">
      <c r="A88" s="36">
        <v>84.0</v>
      </c>
      <c r="B88" s="37"/>
      <c r="C88" s="37"/>
      <c r="D88" s="37"/>
      <c r="E88" s="46"/>
      <c r="F88" s="39"/>
      <c r="G88" s="40"/>
      <c r="H88" s="41"/>
      <c r="I88" s="42"/>
      <c r="J88" s="43"/>
      <c r="K88" s="48"/>
      <c r="L88" s="45"/>
      <c r="M88" s="22">
        <f t="shared" si="2"/>
        <v>0</v>
      </c>
    </row>
    <row r="89">
      <c r="A89" s="36"/>
      <c r="B89" s="53"/>
      <c r="C89" s="53"/>
      <c r="D89" s="54"/>
      <c r="E89" s="32">
        <f t="shared" ref="E89:M89" si="3">SUM(E5:E88)</f>
        <v>3000</v>
      </c>
      <c r="F89" s="32">
        <f t="shared" si="3"/>
        <v>0</v>
      </c>
      <c r="G89" s="32">
        <f t="shared" si="3"/>
        <v>76000</v>
      </c>
      <c r="H89" s="32">
        <f t="shared" si="3"/>
        <v>369532</v>
      </c>
      <c r="I89" s="32">
        <f t="shared" si="3"/>
        <v>154480</v>
      </c>
      <c r="J89" s="32">
        <f t="shared" si="3"/>
        <v>11698</v>
      </c>
      <c r="K89" s="32">
        <f t="shared" si="3"/>
        <v>0</v>
      </c>
      <c r="L89" s="32">
        <f t="shared" si="3"/>
        <v>614710</v>
      </c>
      <c r="M89" s="22">
        <f t="shared" si="3"/>
        <v>0</v>
      </c>
    </row>
    <row r="90">
      <c r="A90" s="33"/>
      <c r="B90" s="33"/>
      <c r="C90" s="33"/>
      <c r="D90" s="33"/>
      <c r="E90" s="34">
        <v>614710.0</v>
      </c>
      <c r="F90" s="6"/>
      <c r="G90" s="6"/>
      <c r="H90" s="6"/>
      <c r="I90" s="6"/>
      <c r="J90" s="6"/>
      <c r="K90" s="7"/>
      <c r="L90" s="35"/>
      <c r="M90" s="33"/>
    </row>
    <row r="91">
      <c r="E91" s="55" t="s">
        <v>485</v>
      </c>
      <c r="L91" s="55" t="s">
        <v>356</v>
      </c>
    </row>
  </sheetData>
  <mergeCells count="14">
    <mergeCell ref="F3:G3"/>
    <mergeCell ref="H3:I3"/>
    <mergeCell ref="J3:J4"/>
    <mergeCell ref="K3:K4"/>
    <mergeCell ref="E90:K9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4.75"/>
    <col customWidth="1" min="4" max="4" width="43.25"/>
    <col customWidth="1" min="5" max="5" width="9.5"/>
  </cols>
  <sheetData>
    <row r="1">
      <c r="A1" s="1" t="s">
        <v>486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36">
        <v>1.0</v>
      </c>
      <c r="B5" s="13" t="s">
        <v>487</v>
      </c>
      <c r="C5" s="13">
        <v>58004.0</v>
      </c>
      <c r="D5" s="13" t="s">
        <v>488</v>
      </c>
      <c r="E5" s="38"/>
      <c r="F5" s="39"/>
      <c r="G5" s="40"/>
      <c r="H5" s="41">
        <v>0.0</v>
      </c>
      <c r="I5" s="42"/>
      <c r="J5" s="43"/>
      <c r="K5" s="44"/>
      <c r="L5" s="57">
        <v>3000.0</v>
      </c>
      <c r="M5" s="22">
        <f t="shared" ref="M5:M23" si="1">SUM(E5+F5+G5+H5+I5+J5+K5-L5)</f>
        <v>-3000</v>
      </c>
    </row>
    <row r="6">
      <c r="A6" s="36">
        <v>2.0</v>
      </c>
      <c r="B6" s="13" t="s">
        <v>489</v>
      </c>
      <c r="C6" s="13">
        <v>50871.0</v>
      </c>
      <c r="D6" s="13" t="s">
        <v>48</v>
      </c>
      <c r="E6" s="46"/>
      <c r="F6" s="39"/>
      <c r="G6" s="40"/>
      <c r="H6" s="41">
        <v>32500.0</v>
      </c>
      <c r="I6" s="42"/>
      <c r="J6" s="47"/>
      <c r="K6" s="48"/>
      <c r="L6" s="57">
        <v>32500.0</v>
      </c>
      <c r="M6" s="22">
        <f t="shared" si="1"/>
        <v>0</v>
      </c>
    </row>
    <row r="7">
      <c r="A7" s="36">
        <v>3.0</v>
      </c>
      <c r="B7" s="13" t="s">
        <v>490</v>
      </c>
      <c r="C7" s="13">
        <v>28414.0</v>
      </c>
      <c r="D7" s="13" t="s">
        <v>332</v>
      </c>
      <c r="E7" s="46"/>
      <c r="F7" s="39"/>
      <c r="G7" s="40"/>
      <c r="H7" s="41">
        <v>2650.0</v>
      </c>
      <c r="I7" s="42"/>
      <c r="J7" s="43"/>
      <c r="K7" s="48"/>
      <c r="L7" s="57">
        <v>2650.0</v>
      </c>
      <c r="M7" s="22">
        <f t="shared" si="1"/>
        <v>0</v>
      </c>
    </row>
    <row r="8">
      <c r="A8" s="36">
        <v>4.0</v>
      </c>
      <c r="B8" s="13" t="s">
        <v>491</v>
      </c>
      <c r="C8" s="13">
        <v>52669.0</v>
      </c>
      <c r="D8" s="13" t="s">
        <v>42</v>
      </c>
      <c r="E8" s="46"/>
      <c r="F8" s="39"/>
      <c r="G8" s="40"/>
      <c r="H8" s="41">
        <v>1427.0</v>
      </c>
      <c r="I8" s="42"/>
      <c r="J8" s="43"/>
      <c r="K8" s="48"/>
      <c r="L8" s="57">
        <v>1427.0</v>
      </c>
      <c r="M8" s="22">
        <f t="shared" si="1"/>
        <v>0</v>
      </c>
    </row>
    <row r="9">
      <c r="A9" s="36">
        <v>5.0</v>
      </c>
      <c r="B9" s="13" t="s">
        <v>492</v>
      </c>
      <c r="C9" s="13">
        <v>53717.0</v>
      </c>
      <c r="D9" s="13" t="s">
        <v>221</v>
      </c>
      <c r="E9" s="46"/>
      <c r="F9" s="39"/>
      <c r="G9" s="40"/>
      <c r="H9" s="41">
        <v>15000.0</v>
      </c>
      <c r="I9" s="42"/>
      <c r="J9" s="43"/>
      <c r="K9" s="48"/>
      <c r="L9" s="57">
        <v>15000.0</v>
      </c>
      <c r="M9" s="22">
        <f t="shared" si="1"/>
        <v>0</v>
      </c>
    </row>
    <row r="10">
      <c r="A10" s="36">
        <v>6.0</v>
      </c>
      <c r="B10" s="13" t="s">
        <v>493</v>
      </c>
      <c r="C10" s="13">
        <v>48631.0</v>
      </c>
      <c r="D10" s="13" t="s">
        <v>123</v>
      </c>
      <c r="E10" s="46"/>
      <c r="F10" s="39"/>
      <c r="G10" s="40"/>
      <c r="H10" s="41">
        <v>5700.0</v>
      </c>
      <c r="I10" s="42"/>
      <c r="J10" s="43"/>
      <c r="K10" s="48"/>
      <c r="L10" s="57">
        <v>5700.0</v>
      </c>
      <c r="M10" s="22">
        <f t="shared" si="1"/>
        <v>0</v>
      </c>
    </row>
    <row r="11">
      <c r="A11" s="36">
        <v>7.0</v>
      </c>
      <c r="B11" s="13" t="s">
        <v>494</v>
      </c>
      <c r="C11" s="13">
        <v>56839.0</v>
      </c>
      <c r="D11" s="13" t="s">
        <v>495</v>
      </c>
      <c r="E11" s="46"/>
      <c r="F11" s="39"/>
      <c r="G11" s="40"/>
      <c r="H11" s="41">
        <v>600.0</v>
      </c>
      <c r="I11" s="42"/>
      <c r="J11" s="47"/>
      <c r="K11" s="48"/>
      <c r="L11" s="57">
        <v>600.0</v>
      </c>
      <c r="M11" s="22">
        <f t="shared" si="1"/>
        <v>0</v>
      </c>
    </row>
    <row r="12">
      <c r="A12" s="36">
        <v>8.0</v>
      </c>
      <c r="B12" s="13" t="s">
        <v>496</v>
      </c>
      <c r="C12" s="13">
        <v>44168.0</v>
      </c>
      <c r="D12" s="13" t="s">
        <v>295</v>
      </c>
      <c r="E12" s="46"/>
      <c r="F12" s="39"/>
      <c r="G12" s="40"/>
      <c r="H12" s="41">
        <v>1547.0</v>
      </c>
      <c r="I12" s="42"/>
      <c r="J12" s="47"/>
      <c r="K12" s="48"/>
      <c r="L12" s="57">
        <v>1547.0</v>
      </c>
      <c r="M12" s="22">
        <f t="shared" si="1"/>
        <v>0</v>
      </c>
    </row>
    <row r="13">
      <c r="A13" s="36">
        <v>9.0</v>
      </c>
      <c r="B13" s="13" t="s">
        <v>497</v>
      </c>
      <c r="C13" s="13">
        <v>52214.0</v>
      </c>
      <c r="D13" s="13" t="s">
        <v>92</v>
      </c>
      <c r="E13" s="46"/>
      <c r="F13" s="39"/>
      <c r="G13" s="40"/>
      <c r="H13" s="41">
        <v>2000.0</v>
      </c>
      <c r="I13" s="42"/>
      <c r="J13" s="43"/>
      <c r="K13" s="48"/>
      <c r="L13" s="57">
        <v>2000.0</v>
      </c>
      <c r="M13" s="22">
        <f t="shared" si="1"/>
        <v>0</v>
      </c>
    </row>
    <row r="14">
      <c r="A14" s="36">
        <v>10.0</v>
      </c>
      <c r="B14" s="13" t="s">
        <v>498</v>
      </c>
      <c r="C14" s="13">
        <v>54325.0</v>
      </c>
      <c r="D14" s="13" t="s">
        <v>499</v>
      </c>
      <c r="E14" s="46"/>
      <c r="F14" s="39"/>
      <c r="G14" s="40"/>
      <c r="H14" s="41"/>
      <c r="I14" s="42">
        <v>15000.0</v>
      </c>
      <c r="J14" s="43"/>
      <c r="K14" s="48"/>
      <c r="L14" s="57">
        <v>15000.0</v>
      </c>
      <c r="M14" s="22">
        <f t="shared" si="1"/>
        <v>0</v>
      </c>
    </row>
    <row r="15">
      <c r="A15" s="36">
        <v>11.0</v>
      </c>
      <c r="B15" s="13" t="s">
        <v>500</v>
      </c>
      <c r="C15" s="13">
        <v>55409.0</v>
      </c>
      <c r="D15" s="13" t="s">
        <v>320</v>
      </c>
      <c r="E15" s="46"/>
      <c r="F15" s="39"/>
      <c r="G15" s="40"/>
      <c r="H15" s="41">
        <v>5000.0</v>
      </c>
      <c r="I15" s="42"/>
      <c r="J15" s="43"/>
      <c r="K15" s="48"/>
      <c r="L15" s="57">
        <v>5000.0</v>
      </c>
      <c r="M15" s="22">
        <f t="shared" si="1"/>
        <v>0</v>
      </c>
    </row>
    <row r="16">
      <c r="A16" s="36">
        <v>12.0</v>
      </c>
      <c r="B16" s="13" t="s">
        <v>501</v>
      </c>
      <c r="C16" s="13">
        <v>55409.0</v>
      </c>
      <c r="D16" s="13" t="s">
        <v>320</v>
      </c>
      <c r="E16" s="38"/>
      <c r="F16" s="39"/>
      <c r="G16" s="40"/>
      <c r="H16" s="41">
        <v>10000.0</v>
      </c>
      <c r="I16" s="42"/>
      <c r="J16" s="43"/>
      <c r="K16" s="48"/>
      <c r="L16" s="57">
        <v>10000.0</v>
      </c>
      <c r="M16" s="22">
        <f t="shared" si="1"/>
        <v>0</v>
      </c>
    </row>
    <row r="17">
      <c r="A17" s="36">
        <v>13.0</v>
      </c>
      <c r="B17" s="13" t="s">
        <v>502</v>
      </c>
      <c r="C17" s="13">
        <v>36555.0</v>
      </c>
      <c r="D17" s="13" t="s">
        <v>389</v>
      </c>
      <c r="E17" s="46"/>
      <c r="F17" s="39"/>
      <c r="G17" s="40"/>
      <c r="H17" s="41">
        <v>14050.0</v>
      </c>
      <c r="I17" s="42"/>
      <c r="J17" s="47"/>
      <c r="K17" s="48"/>
      <c r="L17" s="57">
        <v>14050.0</v>
      </c>
      <c r="M17" s="22">
        <f t="shared" si="1"/>
        <v>0</v>
      </c>
    </row>
    <row r="18">
      <c r="A18" s="36">
        <v>14.0</v>
      </c>
      <c r="B18" s="13" t="s">
        <v>503</v>
      </c>
      <c r="C18" s="13">
        <v>50222.0</v>
      </c>
      <c r="D18" s="13" t="s">
        <v>504</v>
      </c>
      <c r="E18" s="46"/>
      <c r="F18" s="39"/>
      <c r="G18" s="40"/>
      <c r="H18" s="41">
        <v>453.0</v>
      </c>
      <c r="I18" s="42"/>
      <c r="J18" s="47"/>
      <c r="K18" s="48"/>
      <c r="L18" s="57">
        <v>453.0</v>
      </c>
      <c r="M18" s="22">
        <f t="shared" si="1"/>
        <v>0</v>
      </c>
    </row>
    <row r="19">
      <c r="A19" s="36">
        <v>15.0</v>
      </c>
      <c r="B19" s="13" t="s">
        <v>505</v>
      </c>
      <c r="C19" s="13">
        <v>50184.0</v>
      </c>
      <c r="D19" s="13" t="s">
        <v>506</v>
      </c>
      <c r="E19" s="46"/>
      <c r="F19" s="49"/>
      <c r="G19" s="40"/>
      <c r="H19" s="41">
        <v>10000.0</v>
      </c>
      <c r="I19" s="42"/>
      <c r="J19" s="43"/>
      <c r="K19" s="48"/>
      <c r="L19" s="57">
        <v>10000.0</v>
      </c>
      <c r="M19" s="22">
        <f t="shared" si="1"/>
        <v>0</v>
      </c>
    </row>
    <row r="20">
      <c r="A20" s="36">
        <v>16.0</v>
      </c>
      <c r="B20" s="13" t="s">
        <v>507</v>
      </c>
      <c r="C20" s="13">
        <v>54820.0</v>
      </c>
      <c r="D20" s="13" t="s">
        <v>198</v>
      </c>
      <c r="E20" s="38"/>
      <c r="F20" s="39"/>
      <c r="G20" s="40"/>
      <c r="H20" s="41">
        <v>300.0</v>
      </c>
      <c r="I20" s="42"/>
      <c r="J20" s="43"/>
      <c r="K20" s="48"/>
      <c r="L20" s="57">
        <v>300.0</v>
      </c>
      <c r="M20" s="22">
        <f t="shared" si="1"/>
        <v>0</v>
      </c>
    </row>
    <row r="21">
      <c r="A21" s="36">
        <v>17.0</v>
      </c>
      <c r="B21" s="13" t="s">
        <v>508</v>
      </c>
      <c r="C21" s="13">
        <v>13781.0</v>
      </c>
      <c r="D21" s="13" t="s">
        <v>213</v>
      </c>
      <c r="E21" s="46"/>
      <c r="F21" s="39"/>
      <c r="G21" s="40"/>
      <c r="H21" s="41">
        <v>8750.0</v>
      </c>
      <c r="I21" s="42"/>
      <c r="J21" s="43"/>
      <c r="K21" s="48"/>
      <c r="L21" s="57">
        <v>8750.0</v>
      </c>
      <c r="M21" s="22">
        <f t="shared" si="1"/>
        <v>0</v>
      </c>
    </row>
    <row r="22">
      <c r="A22" s="36">
        <v>18.0</v>
      </c>
      <c r="B22" s="13" t="s">
        <v>509</v>
      </c>
      <c r="C22" s="13">
        <v>13762.0</v>
      </c>
      <c r="D22" s="13" t="s">
        <v>211</v>
      </c>
      <c r="E22" s="46"/>
      <c r="F22" s="49">
        <v>17500.0</v>
      </c>
      <c r="G22" s="40"/>
      <c r="H22" s="41"/>
      <c r="I22" s="42"/>
      <c r="J22" s="43"/>
      <c r="K22" s="48"/>
      <c r="L22" s="57">
        <v>17500.0</v>
      </c>
      <c r="M22" s="22">
        <f t="shared" si="1"/>
        <v>0</v>
      </c>
    </row>
    <row r="23">
      <c r="A23" s="36">
        <v>19.0</v>
      </c>
      <c r="B23" s="13" t="s">
        <v>510</v>
      </c>
      <c r="C23" s="13">
        <v>42046.0</v>
      </c>
      <c r="D23" s="13" t="s">
        <v>163</v>
      </c>
      <c r="E23" s="46"/>
      <c r="F23" s="49">
        <v>5000.0</v>
      </c>
      <c r="G23" s="40"/>
      <c r="H23" s="41"/>
      <c r="I23" s="42"/>
      <c r="J23" s="43"/>
      <c r="K23" s="48"/>
      <c r="L23" s="57">
        <v>5000.0</v>
      </c>
      <c r="M23" s="22">
        <f t="shared" si="1"/>
        <v>0</v>
      </c>
    </row>
    <row r="24">
      <c r="A24" s="36">
        <v>20.0</v>
      </c>
      <c r="B24" s="13" t="s">
        <v>511</v>
      </c>
      <c r="C24" s="13">
        <v>47787.0</v>
      </c>
      <c r="D24" s="13" t="s">
        <v>161</v>
      </c>
      <c r="E24" s="46"/>
      <c r="F24" s="49"/>
      <c r="G24" s="40"/>
      <c r="H24" s="41">
        <v>5000.0</v>
      </c>
      <c r="I24" s="42"/>
      <c r="J24" s="43"/>
      <c r="K24" s="48"/>
      <c r="L24" s="57">
        <v>5000.0</v>
      </c>
      <c r="M24" s="50">
        <v>0.0</v>
      </c>
    </row>
    <row r="25">
      <c r="A25" s="36">
        <v>21.0</v>
      </c>
      <c r="B25" s="13" t="s">
        <v>512</v>
      </c>
      <c r="C25" s="13">
        <v>25376.0</v>
      </c>
      <c r="D25" s="13" t="s">
        <v>513</v>
      </c>
      <c r="E25" s="38">
        <v>100.0</v>
      </c>
      <c r="F25" s="49"/>
      <c r="G25" s="40"/>
      <c r="H25" s="41"/>
      <c r="I25" s="42"/>
      <c r="J25" s="43"/>
      <c r="K25" s="48"/>
      <c r="L25" s="57">
        <v>100.0</v>
      </c>
      <c r="M25" s="22">
        <f t="shared" ref="M25:M74" si="2">SUM(E25+F25+G25+H25+I25+J25+K25-L25)</f>
        <v>0</v>
      </c>
    </row>
    <row r="26">
      <c r="A26" s="36">
        <v>22.0</v>
      </c>
      <c r="B26" s="13" t="s">
        <v>514</v>
      </c>
      <c r="C26" s="13">
        <v>25541.0</v>
      </c>
      <c r="D26" s="13" t="s">
        <v>515</v>
      </c>
      <c r="E26" s="46"/>
      <c r="F26" s="49">
        <v>600.0</v>
      </c>
      <c r="G26" s="40"/>
      <c r="H26" s="41"/>
      <c r="I26" s="42"/>
      <c r="J26" s="43"/>
      <c r="K26" s="48"/>
      <c r="L26" s="57">
        <v>600.0</v>
      </c>
      <c r="M26" s="22">
        <f t="shared" si="2"/>
        <v>0</v>
      </c>
    </row>
    <row r="27">
      <c r="A27" s="36">
        <v>23.0</v>
      </c>
      <c r="B27" s="13" t="s">
        <v>516</v>
      </c>
      <c r="C27" s="13">
        <v>10001.0</v>
      </c>
      <c r="D27" s="13" t="s">
        <v>46</v>
      </c>
      <c r="E27" s="38"/>
      <c r="F27" s="39"/>
      <c r="G27" s="40"/>
      <c r="H27" s="41">
        <v>2650.0</v>
      </c>
      <c r="I27" s="42"/>
      <c r="J27" s="43"/>
      <c r="K27" s="48"/>
      <c r="L27" s="57">
        <v>2650.0</v>
      </c>
      <c r="M27" s="22">
        <f t="shared" si="2"/>
        <v>0</v>
      </c>
    </row>
    <row r="28">
      <c r="A28" s="36">
        <v>24.0</v>
      </c>
      <c r="B28" s="13" t="s">
        <v>517</v>
      </c>
      <c r="C28" s="13">
        <v>57981.0</v>
      </c>
      <c r="D28" s="13" t="s">
        <v>518</v>
      </c>
      <c r="E28" s="46"/>
      <c r="F28" s="49"/>
      <c r="G28" s="40"/>
      <c r="H28" s="41">
        <v>3600.0</v>
      </c>
      <c r="I28" s="42"/>
      <c r="J28" s="47"/>
      <c r="K28" s="48"/>
      <c r="L28" s="57">
        <v>3600.0</v>
      </c>
      <c r="M28" s="22">
        <f t="shared" si="2"/>
        <v>0</v>
      </c>
    </row>
    <row r="29">
      <c r="A29" s="36">
        <v>25.0</v>
      </c>
      <c r="B29" s="13" t="s">
        <v>519</v>
      </c>
      <c r="C29" s="13">
        <v>48651.0</v>
      </c>
      <c r="D29" s="13" t="s">
        <v>520</v>
      </c>
      <c r="E29" s="46"/>
      <c r="F29" s="39"/>
      <c r="G29" s="40"/>
      <c r="H29" s="41"/>
      <c r="I29" s="42">
        <v>5000.0</v>
      </c>
      <c r="J29" s="43"/>
      <c r="K29" s="48"/>
      <c r="L29" s="57">
        <v>5000.0</v>
      </c>
      <c r="M29" s="22">
        <f t="shared" si="2"/>
        <v>0</v>
      </c>
    </row>
    <row r="30">
      <c r="A30" s="36">
        <v>26.0</v>
      </c>
      <c r="B30" s="13" t="s">
        <v>521</v>
      </c>
      <c r="C30" s="13">
        <v>55158.0</v>
      </c>
      <c r="D30" s="13" t="s">
        <v>522</v>
      </c>
      <c r="E30" s="46"/>
      <c r="F30" s="49"/>
      <c r="G30" s="40"/>
      <c r="H30" s="41"/>
      <c r="I30" s="42">
        <v>5000.0</v>
      </c>
      <c r="J30" s="47"/>
      <c r="K30" s="48"/>
      <c r="L30" s="57">
        <v>5000.0</v>
      </c>
      <c r="M30" s="22">
        <f t="shared" si="2"/>
        <v>0</v>
      </c>
    </row>
    <row r="31">
      <c r="A31" s="36">
        <v>27.0</v>
      </c>
      <c r="B31" s="13" t="s">
        <v>523</v>
      </c>
      <c r="C31" s="13">
        <v>22332.0</v>
      </c>
      <c r="D31" s="13" t="s">
        <v>78</v>
      </c>
      <c r="E31" s="46"/>
      <c r="F31" s="49"/>
      <c r="G31" s="40"/>
      <c r="H31" s="41">
        <v>18800.0</v>
      </c>
      <c r="I31" s="42"/>
      <c r="J31" s="43"/>
      <c r="K31" s="48"/>
      <c r="L31" s="57">
        <v>18800.0</v>
      </c>
      <c r="M31" s="22">
        <f t="shared" si="2"/>
        <v>0</v>
      </c>
    </row>
    <row r="32">
      <c r="A32" s="36">
        <v>28.0</v>
      </c>
      <c r="B32" s="13" t="s">
        <v>524</v>
      </c>
      <c r="C32" s="13">
        <v>21384.0</v>
      </c>
      <c r="D32" s="13" t="s">
        <v>151</v>
      </c>
      <c r="E32" s="46"/>
      <c r="F32" s="49"/>
      <c r="G32" s="40"/>
      <c r="H32" s="41">
        <v>350.0</v>
      </c>
      <c r="I32" s="42"/>
      <c r="J32" s="43"/>
      <c r="K32" s="48"/>
      <c r="L32" s="57">
        <v>350.0</v>
      </c>
      <c r="M32" s="22">
        <f t="shared" si="2"/>
        <v>0</v>
      </c>
    </row>
    <row r="33">
      <c r="A33" s="36">
        <v>29.0</v>
      </c>
      <c r="B33" s="13" t="s">
        <v>525</v>
      </c>
      <c r="C33" s="13">
        <v>57962.0</v>
      </c>
      <c r="D33" s="13" t="s">
        <v>526</v>
      </c>
      <c r="E33" s="46"/>
      <c r="F33" s="49"/>
      <c r="G33" s="40"/>
      <c r="H33" s="41">
        <v>3600.0</v>
      </c>
      <c r="I33" s="42"/>
      <c r="J33" s="43"/>
      <c r="K33" s="48"/>
      <c r="L33" s="57">
        <v>3600.0</v>
      </c>
      <c r="M33" s="22">
        <f t="shared" si="2"/>
        <v>0</v>
      </c>
    </row>
    <row r="34">
      <c r="A34" s="36">
        <v>30.0</v>
      </c>
      <c r="B34" s="13" t="s">
        <v>527</v>
      </c>
      <c r="C34" s="13">
        <v>57982.0</v>
      </c>
      <c r="D34" s="13" t="s">
        <v>528</v>
      </c>
      <c r="E34" s="38"/>
      <c r="F34" s="39"/>
      <c r="G34" s="40"/>
      <c r="H34" s="41">
        <v>3600.0</v>
      </c>
      <c r="I34" s="42"/>
      <c r="J34" s="47"/>
      <c r="K34" s="48"/>
      <c r="L34" s="57">
        <v>3600.0</v>
      </c>
      <c r="M34" s="22">
        <f t="shared" si="2"/>
        <v>0</v>
      </c>
    </row>
    <row r="35">
      <c r="A35" s="36">
        <v>31.0</v>
      </c>
      <c r="B35" s="13" t="s">
        <v>529</v>
      </c>
      <c r="C35" s="13">
        <v>50148.0</v>
      </c>
      <c r="D35" s="13" t="s">
        <v>355</v>
      </c>
      <c r="E35" s="46"/>
      <c r="F35" s="39"/>
      <c r="G35" s="40"/>
      <c r="H35" s="41">
        <v>6567.0</v>
      </c>
      <c r="I35" s="42"/>
      <c r="J35" s="43"/>
      <c r="K35" s="48"/>
      <c r="L35" s="57">
        <v>6567.0</v>
      </c>
      <c r="M35" s="22">
        <f t="shared" si="2"/>
        <v>0</v>
      </c>
    </row>
    <row r="36">
      <c r="A36" s="36">
        <v>32.0</v>
      </c>
      <c r="B36" s="13" t="s">
        <v>530</v>
      </c>
      <c r="C36" s="13">
        <v>57983.0</v>
      </c>
      <c r="D36" s="13" t="s">
        <v>531</v>
      </c>
      <c r="E36" s="46"/>
      <c r="F36" s="39"/>
      <c r="G36" s="40"/>
      <c r="H36" s="41"/>
      <c r="I36" s="42">
        <v>3600.0</v>
      </c>
      <c r="J36" s="43"/>
      <c r="K36" s="48"/>
      <c r="L36" s="57">
        <v>3600.0</v>
      </c>
      <c r="M36" s="22">
        <f t="shared" si="2"/>
        <v>0</v>
      </c>
    </row>
    <row r="37">
      <c r="A37" s="36">
        <v>33.0</v>
      </c>
      <c r="B37" s="13" t="s">
        <v>532</v>
      </c>
      <c r="C37" s="13">
        <v>52373.0</v>
      </c>
      <c r="D37" s="13" t="s">
        <v>533</v>
      </c>
      <c r="E37" s="46"/>
      <c r="F37" s="39"/>
      <c r="G37" s="40"/>
      <c r="H37" s="41"/>
      <c r="I37" s="42">
        <v>5000.0</v>
      </c>
      <c r="J37" s="43"/>
      <c r="K37" s="48"/>
      <c r="L37" s="57">
        <v>5000.0</v>
      </c>
      <c r="M37" s="22">
        <f t="shared" si="2"/>
        <v>0</v>
      </c>
    </row>
    <row r="38">
      <c r="A38" s="36">
        <v>34.0</v>
      </c>
      <c r="B38" s="13" t="s">
        <v>534</v>
      </c>
      <c r="C38" s="13">
        <v>57968.0</v>
      </c>
      <c r="D38" s="13" t="s">
        <v>535</v>
      </c>
      <c r="E38" s="46"/>
      <c r="F38" s="39"/>
      <c r="G38" s="40"/>
      <c r="H38" s="41">
        <v>3890.0</v>
      </c>
      <c r="I38" s="42"/>
      <c r="J38" s="43"/>
      <c r="K38" s="48"/>
      <c r="L38" s="57">
        <v>3890.0</v>
      </c>
      <c r="M38" s="22">
        <f t="shared" si="2"/>
        <v>0</v>
      </c>
    </row>
    <row r="39">
      <c r="A39" s="36">
        <v>35.0</v>
      </c>
      <c r="B39" s="13" t="s">
        <v>536</v>
      </c>
      <c r="C39" s="13">
        <v>53026.0</v>
      </c>
      <c r="D39" s="13" t="s">
        <v>537</v>
      </c>
      <c r="E39" s="38"/>
      <c r="F39" s="39"/>
      <c r="G39" s="40"/>
      <c r="H39" s="41"/>
      <c r="I39" s="42">
        <v>5000.0</v>
      </c>
      <c r="J39" s="47"/>
      <c r="K39" s="48"/>
      <c r="L39" s="57">
        <v>5000.0</v>
      </c>
      <c r="M39" s="22">
        <f t="shared" si="2"/>
        <v>0</v>
      </c>
    </row>
    <row r="40">
      <c r="A40" s="36">
        <v>36.0</v>
      </c>
      <c r="B40" s="13" t="s">
        <v>538</v>
      </c>
      <c r="C40" s="13">
        <v>52373.0</v>
      </c>
      <c r="D40" s="13" t="s">
        <v>533</v>
      </c>
      <c r="E40" s="46"/>
      <c r="F40" s="49"/>
      <c r="G40" s="40"/>
      <c r="H40" s="41"/>
      <c r="I40" s="42">
        <v>5000.0</v>
      </c>
      <c r="J40" s="43"/>
      <c r="K40" s="48"/>
      <c r="L40" s="57">
        <v>5000.0</v>
      </c>
      <c r="M40" s="22">
        <f t="shared" si="2"/>
        <v>0</v>
      </c>
    </row>
    <row r="41">
      <c r="A41" s="36">
        <v>37.0</v>
      </c>
      <c r="B41" s="13" t="s">
        <v>539</v>
      </c>
      <c r="C41" s="13">
        <v>39588.0</v>
      </c>
      <c r="D41" s="13" t="s">
        <v>188</v>
      </c>
      <c r="E41" s="46"/>
      <c r="F41" s="39"/>
      <c r="G41" s="40"/>
      <c r="H41" s="41">
        <v>6750.0</v>
      </c>
      <c r="I41" s="42"/>
      <c r="J41" s="47"/>
      <c r="K41" s="48"/>
      <c r="L41" s="57">
        <v>6750.0</v>
      </c>
      <c r="M41" s="22">
        <f t="shared" si="2"/>
        <v>0</v>
      </c>
    </row>
    <row r="42">
      <c r="A42" s="36">
        <v>38.0</v>
      </c>
      <c r="B42" s="13" t="s">
        <v>540</v>
      </c>
      <c r="C42" s="13">
        <v>55855.0</v>
      </c>
      <c r="D42" s="13" t="s">
        <v>541</v>
      </c>
      <c r="E42" s="46"/>
      <c r="F42" s="39"/>
      <c r="G42" s="40"/>
      <c r="H42" s="41">
        <v>300.0</v>
      </c>
      <c r="I42" s="51"/>
      <c r="J42" s="47"/>
      <c r="K42" s="48"/>
      <c r="L42" s="57">
        <v>300.0</v>
      </c>
      <c r="M42" s="22">
        <f t="shared" si="2"/>
        <v>0</v>
      </c>
    </row>
    <row r="43">
      <c r="A43" s="36">
        <v>39.0</v>
      </c>
      <c r="B43" s="13" t="s">
        <v>542</v>
      </c>
      <c r="C43" s="13">
        <v>12102.0</v>
      </c>
      <c r="D43" s="13" t="s">
        <v>113</v>
      </c>
      <c r="E43" s="46"/>
      <c r="F43" s="39"/>
      <c r="G43" s="40"/>
      <c r="H43" s="41">
        <v>1955.0</v>
      </c>
      <c r="I43" s="42"/>
      <c r="J43" s="43"/>
      <c r="K43" s="48"/>
      <c r="L43" s="57">
        <v>1955.0</v>
      </c>
      <c r="M43" s="22">
        <f t="shared" si="2"/>
        <v>0</v>
      </c>
    </row>
    <row r="44">
      <c r="A44" s="36">
        <v>40.0</v>
      </c>
      <c r="B44" s="13" t="s">
        <v>543</v>
      </c>
      <c r="C44" s="13">
        <v>54820.0</v>
      </c>
      <c r="D44" s="13" t="s">
        <v>198</v>
      </c>
      <c r="E44" s="46"/>
      <c r="F44" s="49"/>
      <c r="G44" s="40"/>
      <c r="H44" s="41">
        <v>300.0</v>
      </c>
      <c r="I44" s="42"/>
      <c r="J44" s="43"/>
      <c r="K44" s="48"/>
      <c r="L44" s="57">
        <v>300.0</v>
      </c>
      <c r="M44" s="22">
        <f t="shared" si="2"/>
        <v>0</v>
      </c>
    </row>
    <row r="45">
      <c r="A45" s="36">
        <v>41.0</v>
      </c>
      <c r="B45" s="13" t="s">
        <v>544</v>
      </c>
      <c r="C45" s="13">
        <v>51440.0</v>
      </c>
      <c r="D45" s="13" t="s">
        <v>545</v>
      </c>
      <c r="E45" s="46"/>
      <c r="F45" s="39"/>
      <c r="G45" s="40"/>
      <c r="H45" s="41"/>
      <c r="I45" s="42">
        <v>300.0</v>
      </c>
      <c r="J45" s="43"/>
      <c r="K45" s="48"/>
      <c r="L45" s="57">
        <v>300.0</v>
      </c>
      <c r="M45" s="22">
        <f t="shared" si="2"/>
        <v>0</v>
      </c>
    </row>
    <row r="46">
      <c r="A46" s="36">
        <v>42.0</v>
      </c>
      <c r="B46" s="13" t="s">
        <v>546</v>
      </c>
      <c r="C46" s="13">
        <v>57917.0</v>
      </c>
      <c r="D46" s="13" t="s">
        <v>547</v>
      </c>
      <c r="E46" s="46"/>
      <c r="F46" s="49"/>
      <c r="G46" s="40"/>
      <c r="H46" s="41">
        <v>600.0</v>
      </c>
      <c r="I46" s="42"/>
      <c r="J46" s="47"/>
      <c r="K46" s="48"/>
      <c r="L46" s="57">
        <v>600.0</v>
      </c>
      <c r="M46" s="22">
        <f t="shared" si="2"/>
        <v>0</v>
      </c>
    </row>
    <row r="47">
      <c r="A47" s="36">
        <v>43.0</v>
      </c>
      <c r="B47" s="13" t="s">
        <v>548</v>
      </c>
      <c r="C47" s="13">
        <v>10001.0</v>
      </c>
      <c r="D47" s="13" t="s">
        <v>46</v>
      </c>
      <c r="E47" s="46"/>
      <c r="F47" s="49"/>
      <c r="G47" s="40"/>
      <c r="H47" s="41"/>
      <c r="I47" s="42">
        <v>3700.0</v>
      </c>
      <c r="J47" s="43"/>
      <c r="K47" s="48"/>
      <c r="L47" s="57">
        <v>3700.0</v>
      </c>
      <c r="M47" s="22">
        <f t="shared" si="2"/>
        <v>0</v>
      </c>
    </row>
    <row r="48">
      <c r="A48" s="36">
        <v>44.0</v>
      </c>
      <c r="B48" s="13" t="s">
        <v>549</v>
      </c>
      <c r="C48" s="13">
        <v>43381.0</v>
      </c>
      <c r="D48" s="13" t="s">
        <v>97</v>
      </c>
      <c r="E48" s="46"/>
      <c r="F48" s="39"/>
      <c r="G48" s="40"/>
      <c r="H48" s="41">
        <v>15000.0</v>
      </c>
      <c r="I48" s="42"/>
      <c r="J48" s="43"/>
      <c r="K48" s="48"/>
      <c r="L48" s="57">
        <v>15000.0</v>
      </c>
      <c r="M48" s="22">
        <f t="shared" si="2"/>
        <v>0</v>
      </c>
    </row>
    <row r="49">
      <c r="A49" s="36">
        <v>45.0</v>
      </c>
      <c r="B49" s="13" t="s">
        <v>550</v>
      </c>
      <c r="C49" s="13">
        <v>55403.0</v>
      </c>
      <c r="D49" s="13" t="s">
        <v>551</v>
      </c>
      <c r="E49" s="46"/>
      <c r="F49" s="39"/>
      <c r="G49" s="40"/>
      <c r="H49" s="41">
        <v>300.0</v>
      </c>
      <c r="I49" s="42"/>
      <c r="J49" s="43"/>
      <c r="K49" s="48"/>
      <c r="L49" s="57">
        <v>300.0</v>
      </c>
      <c r="M49" s="22">
        <f t="shared" si="2"/>
        <v>0</v>
      </c>
    </row>
    <row r="50">
      <c r="A50" s="36">
        <v>46.0</v>
      </c>
      <c r="B50" s="13" t="s">
        <v>552</v>
      </c>
      <c r="C50" s="13">
        <v>53364.0</v>
      </c>
      <c r="D50" s="13" t="s">
        <v>244</v>
      </c>
      <c r="E50" s="46"/>
      <c r="F50" s="39"/>
      <c r="G50" s="40"/>
      <c r="H50" s="41">
        <v>10000.0</v>
      </c>
      <c r="I50" s="42"/>
      <c r="J50" s="43"/>
      <c r="K50" s="48"/>
      <c r="L50" s="57">
        <v>10000.0</v>
      </c>
      <c r="M50" s="22">
        <f t="shared" si="2"/>
        <v>0</v>
      </c>
    </row>
    <row r="51">
      <c r="A51" s="36">
        <v>47.0</v>
      </c>
      <c r="B51" s="13" t="s">
        <v>553</v>
      </c>
      <c r="C51" s="13">
        <v>55483.0</v>
      </c>
      <c r="D51" s="13" t="s">
        <v>554</v>
      </c>
      <c r="E51" s="46"/>
      <c r="F51" s="39"/>
      <c r="G51" s="40"/>
      <c r="H51" s="41">
        <v>5000.0</v>
      </c>
      <c r="I51" s="42"/>
      <c r="J51" s="43"/>
      <c r="K51" s="48"/>
      <c r="L51" s="57">
        <v>5000.0</v>
      </c>
      <c r="M51" s="22">
        <f t="shared" si="2"/>
        <v>0</v>
      </c>
    </row>
    <row r="52">
      <c r="A52" s="36">
        <v>48.0</v>
      </c>
      <c r="B52" s="13" t="s">
        <v>555</v>
      </c>
      <c r="C52" s="13">
        <v>52083.0</v>
      </c>
      <c r="D52" s="13" t="s">
        <v>159</v>
      </c>
      <c r="E52" s="46"/>
      <c r="F52" s="39"/>
      <c r="G52" s="40"/>
      <c r="H52" s="41">
        <v>2800.0</v>
      </c>
      <c r="I52" s="42"/>
      <c r="J52" s="43"/>
      <c r="K52" s="48"/>
      <c r="L52" s="57">
        <v>2800.0</v>
      </c>
      <c r="M52" s="22">
        <f t="shared" si="2"/>
        <v>0</v>
      </c>
    </row>
    <row r="53">
      <c r="A53" s="36">
        <v>49.0</v>
      </c>
      <c r="B53" s="13" t="s">
        <v>556</v>
      </c>
      <c r="C53" s="13">
        <v>51475.0</v>
      </c>
      <c r="D53" s="13" t="s">
        <v>557</v>
      </c>
      <c r="E53" s="46"/>
      <c r="F53" s="39"/>
      <c r="G53" s="40"/>
      <c r="H53" s="41">
        <v>350.0</v>
      </c>
      <c r="I53" s="42"/>
      <c r="J53" s="47"/>
      <c r="K53" s="48"/>
      <c r="L53" s="57">
        <v>350.0</v>
      </c>
      <c r="M53" s="22">
        <f t="shared" si="2"/>
        <v>0</v>
      </c>
    </row>
    <row r="54">
      <c r="A54" s="36">
        <v>50.0</v>
      </c>
      <c r="B54" s="13" t="s">
        <v>558</v>
      </c>
      <c r="C54" s="13">
        <v>44168.0</v>
      </c>
      <c r="D54" s="13" t="s">
        <v>295</v>
      </c>
      <c r="E54" s="46"/>
      <c r="F54" s="39"/>
      <c r="G54" s="40"/>
      <c r="H54" s="41">
        <v>1250.0</v>
      </c>
      <c r="I54" s="42"/>
      <c r="J54" s="43"/>
      <c r="K54" s="48"/>
      <c r="L54" s="57">
        <v>1250.0</v>
      </c>
      <c r="M54" s="22">
        <f t="shared" si="2"/>
        <v>0</v>
      </c>
    </row>
    <row r="55">
      <c r="A55" s="36">
        <v>51.0</v>
      </c>
      <c r="B55" s="13" t="s">
        <v>559</v>
      </c>
      <c r="C55" s="13">
        <v>35245.0</v>
      </c>
      <c r="D55" s="13" t="s">
        <v>330</v>
      </c>
      <c r="E55" s="46"/>
      <c r="F55" s="39"/>
      <c r="G55" s="40"/>
      <c r="H55" s="41">
        <v>5395.0</v>
      </c>
      <c r="I55" s="42"/>
      <c r="J55" s="43"/>
      <c r="K55" s="48"/>
      <c r="L55" s="57">
        <v>5395.0</v>
      </c>
      <c r="M55" s="22">
        <f t="shared" si="2"/>
        <v>0</v>
      </c>
    </row>
    <row r="56">
      <c r="A56" s="36">
        <v>52.0</v>
      </c>
      <c r="B56" s="13" t="s">
        <v>560</v>
      </c>
      <c r="C56" s="13">
        <v>50436.0</v>
      </c>
      <c r="D56" s="13" t="s">
        <v>561</v>
      </c>
      <c r="E56" s="46"/>
      <c r="F56" s="39"/>
      <c r="G56" s="40"/>
      <c r="H56" s="41"/>
      <c r="I56" s="42">
        <v>1250.0</v>
      </c>
      <c r="J56" s="43"/>
      <c r="K56" s="48"/>
      <c r="L56" s="57">
        <v>1250.0</v>
      </c>
      <c r="M56" s="22">
        <f t="shared" si="2"/>
        <v>0</v>
      </c>
    </row>
    <row r="57">
      <c r="A57" s="36">
        <v>53.0</v>
      </c>
      <c r="B57" s="13" t="s">
        <v>562</v>
      </c>
      <c r="C57" s="13">
        <v>10001.0</v>
      </c>
      <c r="D57" s="13" t="s">
        <v>46</v>
      </c>
      <c r="E57" s="38">
        <v>2500.0</v>
      </c>
      <c r="F57" s="39"/>
      <c r="G57" s="40"/>
      <c r="H57" s="41"/>
      <c r="I57" s="42"/>
      <c r="J57" s="43"/>
      <c r="K57" s="48"/>
      <c r="L57" s="57">
        <v>2500.0</v>
      </c>
      <c r="M57" s="22">
        <f t="shared" si="2"/>
        <v>0</v>
      </c>
    </row>
    <row r="58">
      <c r="A58" s="36">
        <v>54.0</v>
      </c>
      <c r="B58" s="13" t="s">
        <v>563</v>
      </c>
      <c r="C58" s="13">
        <v>56839.0</v>
      </c>
      <c r="D58" s="13" t="s">
        <v>495</v>
      </c>
      <c r="E58" s="46"/>
      <c r="F58" s="39"/>
      <c r="G58" s="40"/>
      <c r="H58" s="41">
        <v>16000.0</v>
      </c>
      <c r="I58" s="42"/>
      <c r="J58" s="43"/>
      <c r="K58" s="48"/>
      <c r="L58" s="57">
        <v>16000.0</v>
      </c>
      <c r="M58" s="22">
        <f t="shared" si="2"/>
        <v>0</v>
      </c>
    </row>
    <row r="59">
      <c r="A59" s="36">
        <v>55.0</v>
      </c>
      <c r="B59" s="13" t="s">
        <v>564</v>
      </c>
      <c r="C59" s="13">
        <v>51406.0</v>
      </c>
      <c r="D59" s="13" t="s">
        <v>128</v>
      </c>
      <c r="E59" s="46"/>
      <c r="F59" s="39"/>
      <c r="G59" s="40"/>
      <c r="H59" s="41"/>
      <c r="I59" s="42">
        <v>10000.0</v>
      </c>
      <c r="J59" s="43"/>
      <c r="K59" s="48"/>
      <c r="L59" s="57">
        <v>10000.0</v>
      </c>
      <c r="M59" s="22">
        <f t="shared" si="2"/>
        <v>0</v>
      </c>
    </row>
    <row r="60">
      <c r="A60" s="36">
        <v>56.0</v>
      </c>
      <c r="B60" s="13" t="s">
        <v>565</v>
      </c>
      <c r="C60" s="13">
        <v>44986.0</v>
      </c>
      <c r="D60" s="13" t="s">
        <v>566</v>
      </c>
      <c r="E60" s="46"/>
      <c r="F60" s="39"/>
      <c r="G60" s="40"/>
      <c r="H60" s="41"/>
      <c r="I60" s="42">
        <v>10000.0</v>
      </c>
      <c r="J60" s="47"/>
      <c r="K60" s="48"/>
      <c r="L60" s="57">
        <v>10000.0</v>
      </c>
      <c r="M60" s="22">
        <f t="shared" si="2"/>
        <v>0</v>
      </c>
    </row>
    <row r="61">
      <c r="A61" s="36">
        <v>57.0</v>
      </c>
      <c r="B61" s="13" t="s">
        <v>567</v>
      </c>
      <c r="C61" s="13">
        <v>48234.0</v>
      </c>
      <c r="D61" s="13" t="s">
        <v>568</v>
      </c>
      <c r="E61" s="46"/>
      <c r="F61" s="39"/>
      <c r="G61" s="40"/>
      <c r="H61" s="41">
        <v>5150.0</v>
      </c>
      <c r="I61" s="42"/>
      <c r="J61" s="43"/>
      <c r="K61" s="48"/>
      <c r="L61" s="57">
        <v>5150.0</v>
      </c>
      <c r="M61" s="22">
        <f t="shared" si="2"/>
        <v>0</v>
      </c>
    </row>
    <row r="62">
      <c r="A62" s="36">
        <v>58.0</v>
      </c>
      <c r="B62" s="13" t="s">
        <v>569</v>
      </c>
      <c r="C62" s="13">
        <v>37642.0</v>
      </c>
      <c r="D62" s="13" t="s">
        <v>570</v>
      </c>
      <c r="E62" s="38"/>
      <c r="F62" s="49">
        <v>15000.0</v>
      </c>
      <c r="G62" s="40"/>
      <c r="H62" s="41"/>
      <c r="I62" s="42"/>
      <c r="J62" s="43"/>
      <c r="K62" s="48"/>
      <c r="L62" s="57">
        <v>15000.0</v>
      </c>
      <c r="M62" s="22">
        <f t="shared" si="2"/>
        <v>0</v>
      </c>
    </row>
    <row r="63">
      <c r="A63" s="36">
        <v>59.0</v>
      </c>
      <c r="B63" s="13" t="s">
        <v>571</v>
      </c>
      <c r="C63" s="13">
        <v>30908.0</v>
      </c>
      <c r="D63" s="13" t="s">
        <v>572</v>
      </c>
      <c r="E63" s="38">
        <v>350.0</v>
      </c>
      <c r="F63" s="39"/>
      <c r="G63" s="40"/>
      <c r="H63" s="41"/>
      <c r="I63" s="42"/>
      <c r="J63" s="43"/>
      <c r="K63" s="48"/>
      <c r="L63" s="57">
        <v>350.0</v>
      </c>
      <c r="M63" s="22">
        <f t="shared" si="2"/>
        <v>0</v>
      </c>
    </row>
    <row r="64">
      <c r="A64" s="36">
        <v>60.0</v>
      </c>
      <c r="B64" s="13" t="s">
        <v>573</v>
      </c>
      <c r="C64" s="13">
        <v>21384.0</v>
      </c>
      <c r="D64" s="13" t="s">
        <v>151</v>
      </c>
      <c r="E64" s="46"/>
      <c r="F64" s="39"/>
      <c r="G64" s="40"/>
      <c r="H64" s="41">
        <v>600.0</v>
      </c>
      <c r="I64" s="42"/>
      <c r="J64" s="43"/>
      <c r="K64" s="48"/>
      <c r="L64" s="57">
        <v>600.0</v>
      </c>
      <c r="M64" s="22">
        <f t="shared" si="2"/>
        <v>0</v>
      </c>
    </row>
    <row r="65">
      <c r="A65" s="36">
        <v>61.0</v>
      </c>
      <c r="B65" s="13" t="s">
        <v>574</v>
      </c>
      <c r="C65" s="13">
        <v>36928.0</v>
      </c>
      <c r="D65" s="13" t="s">
        <v>360</v>
      </c>
      <c r="E65" s="46"/>
      <c r="F65" s="49"/>
      <c r="G65" s="40"/>
      <c r="H65" s="41"/>
      <c r="I65" s="42"/>
      <c r="J65" s="47">
        <v>5000.0</v>
      </c>
      <c r="K65" s="48"/>
      <c r="L65" s="57">
        <v>5000.0</v>
      </c>
      <c r="M65" s="22">
        <f t="shared" si="2"/>
        <v>0</v>
      </c>
    </row>
    <row r="66">
      <c r="A66" s="36">
        <v>62.0</v>
      </c>
      <c r="B66" s="13" t="s">
        <v>575</v>
      </c>
      <c r="C66" s="13">
        <v>21384.0</v>
      </c>
      <c r="D66" s="13" t="s">
        <v>151</v>
      </c>
      <c r="E66" s="46"/>
      <c r="F66" s="49"/>
      <c r="G66" s="40"/>
      <c r="H66" s="41">
        <v>5300.0</v>
      </c>
      <c r="I66" s="42"/>
      <c r="J66" s="43"/>
      <c r="K66" s="48"/>
      <c r="L66" s="57">
        <v>5300.0</v>
      </c>
      <c r="M66" s="22">
        <f t="shared" si="2"/>
        <v>0</v>
      </c>
    </row>
    <row r="67">
      <c r="A67" s="36">
        <v>63.0</v>
      </c>
      <c r="B67" s="13" t="s">
        <v>576</v>
      </c>
      <c r="C67" s="13">
        <v>57821.0</v>
      </c>
      <c r="D67" s="13" t="s">
        <v>577</v>
      </c>
      <c r="E67" s="46"/>
      <c r="F67" s="49"/>
      <c r="G67" s="40"/>
      <c r="H67" s="41">
        <v>100.0</v>
      </c>
      <c r="I67" s="42"/>
      <c r="J67" s="43"/>
      <c r="K67" s="48"/>
      <c r="L67" s="57">
        <v>100.0</v>
      </c>
      <c r="M67" s="22">
        <f t="shared" si="2"/>
        <v>0</v>
      </c>
    </row>
    <row r="68">
      <c r="A68" s="36">
        <v>64.0</v>
      </c>
      <c r="B68" s="13" t="s">
        <v>578</v>
      </c>
      <c r="C68" s="13">
        <v>55969.0</v>
      </c>
      <c r="D68" s="13" t="s">
        <v>579</v>
      </c>
      <c r="E68" s="38">
        <v>5000.0</v>
      </c>
      <c r="F68" s="49"/>
      <c r="G68" s="40"/>
      <c r="H68" s="41"/>
      <c r="I68" s="42"/>
      <c r="J68" s="43"/>
      <c r="K68" s="48"/>
      <c r="L68" s="57">
        <v>5000.0</v>
      </c>
      <c r="M68" s="22">
        <f t="shared" si="2"/>
        <v>0</v>
      </c>
    </row>
    <row r="69">
      <c r="A69" s="36">
        <v>65.0</v>
      </c>
      <c r="B69" s="13" t="s">
        <v>580</v>
      </c>
      <c r="C69" s="13">
        <v>53249.0</v>
      </c>
      <c r="D69" s="13" t="s">
        <v>581</v>
      </c>
      <c r="E69" s="38">
        <v>5000.0</v>
      </c>
      <c r="F69" s="39"/>
      <c r="G69" s="40"/>
      <c r="H69" s="41"/>
      <c r="I69" s="42"/>
      <c r="J69" s="47"/>
      <c r="K69" s="48"/>
      <c r="L69" s="57">
        <v>5000.0</v>
      </c>
      <c r="M69" s="22">
        <f t="shared" si="2"/>
        <v>0</v>
      </c>
    </row>
    <row r="70">
      <c r="A70" s="36">
        <v>66.0</v>
      </c>
      <c r="B70" s="13" t="s">
        <v>582</v>
      </c>
      <c r="C70" s="13">
        <v>56995.0</v>
      </c>
      <c r="D70" s="13" t="s">
        <v>583</v>
      </c>
      <c r="E70" s="46"/>
      <c r="F70" s="39"/>
      <c r="G70" s="40"/>
      <c r="H70" s="41"/>
      <c r="I70" s="42"/>
      <c r="J70" s="47">
        <v>3600.0</v>
      </c>
      <c r="K70" s="48"/>
      <c r="L70" s="57">
        <v>3600.0</v>
      </c>
      <c r="M70" s="22">
        <f t="shared" si="2"/>
        <v>0</v>
      </c>
    </row>
    <row r="71">
      <c r="A71" s="36">
        <v>67.0</v>
      </c>
      <c r="B71" s="13" t="s">
        <v>584</v>
      </c>
      <c r="C71" s="13">
        <v>43380.0</v>
      </c>
      <c r="D71" s="13" t="s">
        <v>348</v>
      </c>
      <c r="E71" s="46"/>
      <c r="F71" s="39"/>
      <c r="G71" s="52">
        <v>10000.0</v>
      </c>
      <c r="H71" s="41"/>
      <c r="I71" s="42"/>
      <c r="J71" s="43"/>
      <c r="K71" s="48"/>
      <c r="L71" s="57">
        <v>10000.0</v>
      </c>
      <c r="M71" s="22">
        <f t="shared" si="2"/>
        <v>0</v>
      </c>
    </row>
    <row r="72">
      <c r="A72" s="36">
        <v>68.0</v>
      </c>
      <c r="B72" s="13" t="s">
        <v>585</v>
      </c>
      <c r="C72" s="13">
        <v>50436.0</v>
      </c>
      <c r="D72" s="13" t="s">
        <v>561</v>
      </c>
      <c r="E72" s="46"/>
      <c r="F72" s="39"/>
      <c r="G72" s="52">
        <v>300.0</v>
      </c>
      <c r="H72" s="41"/>
      <c r="I72" s="42"/>
      <c r="J72" s="43"/>
      <c r="K72" s="48"/>
      <c r="L72" s="57">
        <v>300.0</v>
      </c>
      <c r="M72" s="22">
        <f t="shared" si="2"/>
        <v>0</v>
      </c>
    </row>
    <row r="73">
      <c r="A73" s="36">
        <v>69.0</v>
      </c>
      <c r="B73" s="13" t="s">
        <v>586</v>
      </c>
      <c r="C73" s="13">
        <v>35245.0</v>
      </c>
      <c r="D73" s="13" t="s">
        <v>330</v>
      </c>
      <c r="E73" s="46"/>
      <c r="F73" s="39"/>
      <c r="G73" s="52">
        <v>15000.0</v>
      </c>
      <c r="H73" s="41"/>
      <c r="I73" s="42"/>
      <c r="J73" s="43"/>
      <c r="K73" s="48"/>
      <c r="L73" s="57">
        <v>15000.0</v>
      </c>
      <c r="M73" s="22">
        <f t="shared" si="2"/>
        <v>0</v>
      </c>
    </row>
    <row r="74">
      <c r="A74" s="36">
        <v>70.0</v>
      </c>
      <c r="B74" s="13" t="s">
        <v>587</v>
      </c>
      <c r="C74" s="13">
        <v>35245.0</v>
      </c>
      <c r="D74" s="13" t="s">
        <v>330</v>
      </c>
      <c r="E74" s="46"/>
      <c r="F74" s="39"/>
      <c r="G74" s="52">
        <v>25000.0</v>
      </c>
      <c r="H74" s="41"/>
      <c r="I74" s="42"/>
      <c r="J74" s="43"/>
      <c r="K74" s="48"/>
      <c r="L74" s="57">
        <v>25000.0</v>
      </c>
      <c r="M74" s="22">
        <f t="shared" si="2"/>
        <v>0</v>
      </c>
    </row>
    <row r="75">
      <c r="A75" s="36"/>
      <c r="B75" s="37"/>
      <c r="C75" s="37"/>
      <c r="D75" s="37"/>
      <c r="E75" s="38"/>
      <c r="F75" s="39"/>
      <c r="G75" s="52" t="s">
        <v>588</v>
      </c>
      <c r="H75" s="41"/>
      <c r="I75" s="42"/>
      <c r="J75" s="43"/>
      <c r="K75" s="48"/>
      <c r="L75" s="45"/>
      <c r="M75" s="50">
        <v>0.0</v>
      </c>
    </row>
    <row r="76">
      <c r="A76" s="36"/>
      <c r="B76" s="53"/>
      <c r="C76" s="53"/>
      <c r="D76" s="54"/>
      <c r="E76" s="32">
        <f t="shared" ref="E76:L76" si="3">SUM(E5:E75)</f>
        <v>12950</v>
      </c>
      <c r="F76" s="32">
        <f t="shared" si="3"/>
        <v>38100</v>
      </c>
      <c r="G76" s="32">
        <f t="shared" si="3"/>
        <v>50300</v>
      </c>
      <c r="H76" s="32">
        <f t="shared" si="3"/>
        <v>235184</v>
      </c>
      <c r="I76" s="32">
        <f t="shared" si="3"/>
        <v>68850</v>
      </c>
      <c r="J76" s="32">
        <f t="shared" si="3"/>
        <v>8600</v>
      </c>
      <c r="K76" s="32">
        <f t="shared" si="3"/>
        <v>0</v>
      </c>
      <c r="L76" s="32">
        <f t="shared" si="3"/>
        <v>416984</v>
      </c>
      <c r="M76" s="22">
        <f>SUM(E76+F76+G76+H76+I76+J76+K76-L76)</f>
        <v>-3000</v>
      </c>
    </row>
    <row r="77">
      <c r="A77" s="33"/>
      <c r="B77" s="33"/>
      <c r="C77" s="33"/>
      <c r="D77" s="33"/>
      <c r="E77" s="34">
        <f>E76+F76+G76+H76+I76+J76</f>
        <v>413984</v>
      </c>
      <c r="F77" s="6"/>
      <c r="G77" s="6"/>
      <c r="H77" s="6"/>
      <c r="I77" s="6"/>
      <c r="J77" s="6"/>
      <c r="K77" s="7"/>
      <c r="L77" s="35"/>
      <c r="M77" s="33"/>
    </row>
    <row r="78">
      <c r="L78" s="55" t="s">
        <v>356</v>
      </c>
    </row>
  </sheetData>
  <mergeCells count="14">
    <mergeCell ref="F3:G3"/>
    <mergeCell ref="H3:I3"/>
    <mergeCell ref="J3:J4"/>
    <mergeCell ref="K3:K4"/>
    <mergeCell ref="E77:K7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2.63"/>
    <col customWidth="1" min="4" max="4" width="40.88"/>
    <col customWidth="1" min="5" max="5" width="9.5"/>
  </cols>
  <sheetData>
    <row r="1">
      <c r="A1" s="1" t="s">
        <v>589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58" t="s">
        <v>590</v>
      </c>
      <c r="C5" s="59">
        <v>36555.0</v>
      </c>
      <c r="D5" s="58" t="s">
        <v>389</v>
      </c>
      <c r="E5" s="14"/>
      <c r="F5" s="15"/>
      <c r="G5" s="16"/>
      <c r="H5" s="17">
        <v>8000.0</v>
      </c>
      <c r="I5" s="18"/>
      <c r="J5" s="19"/>
      <c r="K5" s="20"/>
      <c r="L5" s="60">
        <v>8000.0</v>
      </c>
      <c r="M5" s="22">
        <f t="shared" ref="M5:M78" si="1">SUM(E5+F5+G5+H5+I5+J5+K5-L5)</f>
        <v>0</v>
      </c>
    </row>
    <row r="6">
      <c r="A6" s="12">
        <v>2.0</v>
      </c>
      <c r="B6" s="58" t="s">
        <v>591</v>
      </c>
      <c r="C6" s="59">
        <v>50596.0</v>
      </c>
      <c r="D6" s="58" t="s">
        <v>157</v>
      </c>
      <c r="E6" s="14"/>
      <c r="F6" s="15"/>
      <c r="G6" s="16"/>
      <c r="H6" s="17">
        <v>500.0</v>
      </c>
      <c r="I6" s="18"/>
      <c r="J6" s="19"/>
      <c r="K6" s="20"/>
      <c r="L6" s="60">
        <v>500.0</v>
      </c>
      <c r="M6" s="22">
        <f t="shared" si="1"/>
        <v>0</v>
      </c>
    </row>
    <row r="7">
      <c r="A7" s="12">
        <v>3.0</v>
      </c>
      <c r="B7" s="58" t="s">
        <v>592</v>
      </c>
      <c r="C7" s="59">
        <v>10320.0</v>
      </c>
      <c r="D7" s="58" t="s">
        <v>84</v>
      </c>
      <c r="E7" s="14"/>
      <c r="F7" s="15"/>
      <c r="G7" s="16"/>
      <c r="H7" s="17">
        <v>5000.0</v>
      </c>
      <c r="I7" s="24"/>
      <c r="J7" s="19"/>
      <c r="K7" s="20"/>
      <c r="L7" s="60">
        <v>5000.0</v>
      </c>
      <c r="M7" s="22">
        <f t="shared" si="1"/>
        <v>0</v>
      </c>
    </row>
    <row r="8">
      <c r="A8" s="12">
        <v>4.0</v>
      </c>
      <c r="B8" s="58" t="s">
        <v>593</v>
      </c>
      <c r="C8" s="59">
        <v>10320.0</v>
      </c>
      <c r="D8" s="58" t="s">
        <v>84</v>
      </c>
      <c r="E8" s="14"/>
      <c r="F8" s="25"/>
      <c r="G8" s="16"/>
      <c r="H8" s="17">
        <v>5000.0</v>
      </c>
      <c r="I8" s="24"/>
      <c r="J8" s="19"/>
      <c r="K8" s="20"/>
      <c r="L8" s="60">
        <v>5000.0</v>
      </c>
      <c r="M8" s="22">
        <f t="shared" si="1"/>
        <v>0</v>
      </c>
    </row>
    <row r="9">
      <c r="A9" s="12">
        <v>5.0</v>
      </c>
      <c r="B9" s="58" t="s">
        <v>594</v>
      </c>
      <c r="C9" s="59">
        <v>23221.0</v>
      </c>
      <c r="D9" s="58" t="s">
        <v>595</v>
      </c>
      <c r="E9" s="14"/>
      <c r="F9" s="25"/>
      <c r="G9" s="16"/>
      <c r="H9" s="17"/>
      <c r="I9" s="24"/>
      <c r="J9" s="61">
        <v>2650.0</v>
      </c>
      <c r="K9" s="20"/>
      <c r="L9" s="60">
        <v>2650.0</v>
      </c>
      <c r="M9" s="22">
        <f t="shared" si="1"/>
        <v>0</v>
      </c>
    </row>
    <row r="10">
      <c r="A10" s="12">
        <v>6.0</v>
      </c>
      <c r="B10" s="58" t="s">
        <v>596</v>
      </c>
      <c r="C10" s="59">
        <v>25026.0</v>
      </c>
      <c r="D10" s="58" t="s">
        <v>597</v>
      </c>
      <c r="E10" s="14"/>
      <c r="F10" s="25"/>
      <c r="G10" s="16"/>
      <c r="H10" s="17">
        <v>3700.0</v>
      </c>
      <c r="I10" s="24"/>
      <c r="J10" s="19"/>
      <c r="K10" s="20"/>
      <c r="L10" s="60">
        <v>3700.0</v>
      </c>
      <c r="M10" s="22">
        <f t="shared" si="1"/>
        <v>0</v>
      </c>
    </row>
    <row r="11">
      <c r="A11" s="12">
        <v>7.0</v>
      </c>
      <c r="B11" s="58" t="s">
        <v>598</v>
      </c>
      <c r="C11" s="59">
        <v>50871.0</v>
      </c>
      <c r="D11" s="58" t="s">
        <v>48</v>
      </c>
      <c r="E11" s="14"/>
      <c r="F11" s="25"/>
      <c r="G11" s="16"/>
      <c r="H11" s="17">
        <v>55400.0</v>
      </c>
      <c r="I11" s="24"/>
      <c r="J11" s="19"/>
      <c r="K11" s="20"/>
      <c r="L11" s="60">
        <v>55400.0</v>
      </c>
      <c r="M11" s="22">
        <f t="shared" si="1"/>
        <v>0</v>
      </c>
    </row>
    <row r="12">
      <c r="A12" s="12">
        <v>8.0</v>
      </c>
      <c r="B12" s="58" t="s">
        <v>599</v>
      </c>
      <c r="C12" s="59">
        <v>23221.0</v>
      </c>
      <c r="D12" s="58" t="s">
        <v>595</v>
      </c>
      <c r="E12" s="14"/>
      <c r="F12" s="25"/>
      <c r="G12" s="16"/>
      <c r="H12" s="17">
        <v>276.0</v>
      </c>
      <c r="I12" s="18"/>
      <c r="J12" s="61">
        <v>974.0</v>
      </c>
      <c r="K12" s="20"/>
      <c r="L12" s="60">
        <v>1250.0</v>
      </c>
      <c r="M12" s="22">
        <f t="shared" si="1"/>
        <v>0</v>
      </c>
    </row>
    <row r="13">
      <c r="A13" s="12">
        <v>9.0</v>
      </c>
      <c r="B13" s="58" t="s">
        <v>600</v>
      </c>
      <c r="C13" s="59">
        <v>39317.0</v>
      </c>
      <c r="D13" s="58" t="s">
        <v>318</v>
      </c>
      <c r="E13" s="14"/>
      <c r="F13" s="25"/>
      <c r="G13" s="16"/>
      <c r="H13" s="17">
        <v>8750.0</v>
      </c>
      <c r="I13" s="24"/>
      <c r="J13" s="19"/>
      <c r="K13" s="20"/>
      <c r="L13" s="60">
        <v>8750.0</v>
      </c>
      <c r="M13" s="22">
        <f t="shared" si="1"/>
        <v>0</v>
      </c>
    </row>
    <row r="14">
      <c r="A14" s="12">
        <v>10.0</v>
      </c>
      <c r="B14" s="58" t="s">
        <v>601</v>
      </c>
      <c r="C14" s="59">
        <v>36555.0</v>
      </c>
      <c r="D14" s="58" t="s">
        <v>389</v>
      </c>
      <c r="E14" s="14"/>
      <c r="F14" s="25"/>
      <c r="G14" s="16"/>
      <c r="H14" s="17">
        <v>4500.0</v>
      </c>
      <c r="I14" s="24"/>
      <c r="J14" s="19"/>
      <c r="K14" s="20"/>
      <c r="L14" s="60">
        <v>4500.0</v>
      </c>
      <c r="M14" s="22">
        <f t="shared" si="1"/>
        <v>0</v>
      </c>
    </row>
    <row r="15">
      <c r="A15" s="12">
        <v>11.0</v>
      </c>
      <c r="B15" s="58" t="s">
        <v>602</v>
      </c>
      <c r="C15" s="59">
        <v>50871.0</v>
      </c>
      <c r="D15" s="58" t="s">
        <v>48</v>
      </c>
      <c r="E15" s="14"/>
      <c r="F15" s="25"/>
      <c r="G15" s="16"/>
      <c r="H15" s="17"/>
      <c r="I15" s="18">
        <v>5000.0</v>
      </c>
      <c r="J15" s="19"/>
      <c r="K15" s="20"/>
      <c r="L15" s="60">
        <v>5000.0</v>
      </c>
      <c r="M15" s="22">
        <f t="shared" si="1"/>
        <v>0</v>
      </c>
    </row>
    <row r="16">
      <c r="A16" s="12">
        <v>12.0</v>
      </c>
      <c r="B16" s="58" t="s">
        <v>603</v>
      </c>
      <c r="C16" s="59">
        <v>55380.0</v>
      </c>
      <c r="D16" s="58" t="s">
        <v>604</v>
      </c>
      <c r="E16" s="14"/>
      <c r="F16" s="25"/>
      <c r="G16" s="16"/>
      <c r="H16" s="17"/>
      <c r="I16" s="18">
        <v>5850.0</v>
      </c>
      <c r="J16" s="19"/>
      <c r="K16" s="20"/>
      <c r="L16" s="60">
        <v>5850.0</v>
      </c>
      <c r="M16" s="22">
        <f t="shared" si="1"/>
        <v>0</v>
      </c>
    </row>
    <row r="17">
      <c r="A17" s="12">
        <v>13.0</v>
      </c>
      <c r="B17" s="58" t="s">
        <v>605</v>
      </c>
      <c r="C17" s="59">
        <v>49831.0</v>
      </c>
      <c r="D17" s="58" t="s">
        <v>606</v>
      </c>
      <c r="E17" s="14"/>
      <c r="F17" s="25"/>
      <c r="G17" s="16"/>
      <c r="H17" s="17"/>
      <c r="I17" s="18">
        <v>10400.0</v>
      </c>
      <c r="J17" s="19"/>
      <c r="K17" s="20"/>
      <c r="L17" s="60">
        <v>10400.0</v>
      </c>
      <c r="M17" s="22">
        <f t="shared" si="1"/>
        <v>0</v>
      </c>
    </row>
    <row r="18">
      <c r="A18" s="12">
        <v>14.0</v>
      </c>
      <c r="B18" s="58" t="s">
        <v>607</v>
      </c>
      <c r="C18" s="59">
        <v>36555.0</v>
      </c>
      <c r="D18" s="58" t="s">
        <v>389</v>
      </c>
      <c r="E18" s="14"/>
      <c r="F18" s="25"/>
      <c r="G18" s="16"/>
      <c r="H18" s="17">
        <v>10000.0</v>
      </c>
      <c r="I18" s="24"/>
      <c r="J18" s="19"/>
      <c r="K18" s="20"/>
      <c r="L18" s="60">
        <v>10000.0</v>
      </c>
      <c r="M18" s="22">
        <f t="shared" si="1"/>
        <v>0</v>
      </c>
    </row>
    <row r="19">
      <c r="A19" s="12">
        <v>15.0</v>
      </c>
      <c r="B19" s="58" t="s">
        <v>608</v>
      </c>
      <c r="C19" s="59">
        <v>52669.0</v>
      </c>
      <c r="D19" s="58" t="s">
        <v>42</v>
      </c>
      <c r="E19" s="14"/>
      <c r="F19" s="25"/>
      <c r="G19" s="16"/>
      <c r="H19" s="17"/>
      <c r="I19" s="18">
        <v>896.0</v>
      </c>
      <c r="J19" s="19"/>
      <c r="K19" s="20"/>
      <c r="L19" s="60">
        <v>896.0</v>
      </c>
      <c r="M19" s="22">
        <f t="shared" si="1"/>
        <v>0</v>
      </c>
    </row>
    <row r="20">
      <c r="A20" s="12">
        <v>16.0</v>
      </c>
      <c r="B20" s="58" t="s">
        <v>609</v>
      </c>
      <c r="C20" s="59">
        <v>58021.0</v>
      </c>
      <c r="D20" s="58" t="s">
        <v>610</v>
      </c>
      <c r="E20" s="14"/>
      <c r="F20" s="25"/>
      <c r="G20" s="16"/>
      <c r="H20" s="17">
        <v>3600.0</v>
      </c>
      <c r="I20" s="24"/>
      <c r="J20" s="19"/>
      <c r="K20" s="20"/>
      <c r="L20" s="60">
        <v>3600.0</v>
      </c>
      <c r="M20" s="22">
        <f t="shared" si="1"/>
        <v>0</v>
      </c>
    </row>
    <row r="21">
      <c r="A21" s="12">
        <v>17.0</v>
      </c>
      <c r="B21" s="58" t="s">
        <v>611</v>
      </c>
      <c r="C21" s="59">
        <v>50361.0</v>
      </c>
      <c r="D21" s="58" t="s">
        <v>612</v>
      </c>
      <c r="E21" s="14"/>
      <c r="F21" s="25"/>
      <c r="G21" s="16"/>
      <c r="H21" s="17">
        <v>1457.0</v>
      </c>
      <c r="I21" s="24"/>
      <c r="J21" s="19"/>
      <c r="K21" s="20"/>
      <c r="L21" s="60">
        <v>1457.0</v>
      </c>
      <c r="M21" s="22">
        <f t="shared" si="1"/>
        <v>0</v>
      </c>
    </row>
    <row r="22">
      <c r="A22" s="12">
        <v>18.0</v>
      </c>
      <c r="B22" s="58" t="s">
        <v>613</v>
      </c>
      <c r="C22" s="59">
        <v>50436.0</v>
      </c>
      <c r="D22" s="58" t="s">
        <v>561</v>
      </c>
      <c r="E22" s="14"/>
      <c r="F22" s="25"/>
      <c r="G22" s="16"/>
      <c r="H22" s="17">
        <v>1250.0</v>
      </c>
      <c r="I22" s="24"/>
      <c r="J22" s="19"/>
      <c r="K22" s="20"/>
      <c r="L22" s="60">
        <v>1250.0</v>
      </c>
      <c r="M22" s="22">
        <f t="shared" si="1"/>
        <v>0</v>
      </c>
    </row>
    <row r="23">
      <c r="A23" s="12">
        <v>19.0</v>
      </c>
      <c r="B23" s="58" t="s">
        <v>614</v>
      </c>
      <c r="C23" s="59">
        <v>51797.0</v>
      </c>
      <c r="D23" s="58" t="s">
        <v>615</v>
      </c>
      <c r="E23" s="14"/>
      <c r="F23" s="25"/>
      <c r="G23" s="16"/>
      <c r="H23" s="17"/>
      <c r="I23" s="18">
        <v>5000.0</v>
      </c>
      <c r="J23" s="19"/>
      <c r="K23" s="20"/>
      <c r="L23" s="60">
        <v>5000.0</v>
      </c>
      <c r="M23" s="22">
        <f t="shared" si="1"/>
        <v>0</v>
      </c>
    </row>
    <row r="24">
      <c r="A24" s="12">
        <v>20.0</v>
      </c>
      <c r="B24" s="58" t="s">
        <v>616</v>
      </c>
      <c r="C24" s="59">
        <v>51797.0</v>
      </c>
      <c r="D24" s="58" t="s">
        <v>615</v>
      </c>
      <c r="E24" s="14"/>
      <c r="F24" s="25"/>
      <c r="G24" s="16"/>
      <c r="H24" s="17"/>
      <c r="I24" s="18">
        <v>5000.0</v>
      </c>
      <c r="J24" s="19"/>
      <c r="K24" s="20"/>
      <c r="L24" s="60">
        <v>5000.0</v>
      </c>
      <c r="M24" s="22">
        <f t="shared" si="1"/>
        <v>0</v>
      </c>
    </row>
    <row r="25">
      <c r="A25" s="12">
        <v>21.0</v>
      </c>
      <c r="B25" s="58" t="s">
        <v>617</v>
      </c>
      <c r="C25" s="59">
        <v>39588.0</v>
      </c>
      <c r="D25" s="58" t="s">
        <v>188</v>
      </c>
      <c r="E25" s="14"/>
      <c r="F25" s="25"/>
      <c r="G25" s="16"/>
      <c r="H25" s="17">
        <v>4500.0</v>
      </c>
      <c r="I25" s="24"/>
      <c r="J25" s="19"/>
      <c r="K25" s="20"/>
      <c r="L25" s="60">
        <v>4500.0</v>
      </c>
      <c r="M25" s="22">
        <f t="shared" si="1"/>
        <v>0</v>
      </c>
    </row>
    <row r="26">
      <c r="A26" s="12">
        <v>22.0</v>
      </c>
      <c r="B26" s="58" t="s">
        <v>618</v>
      </c>
      <c r="C26" s="59">
        <v>58022.0</v>
      </c>
      <c r="D26" s="58" t="s">
        <v>619</v>
      </c>
      <c r="E26" s="14"/>
      <c r="F26" s="25"/>
      <c r="G26" s="16"/>
      <c r="H26" s="17">
        <v>3600.0</v>
      </c>
      <c r="I26" s="24"/>
      <c r="J26" s="19"/>
      <c r="K26" s="20"/>
      <c r="L26" s="60">
        <v>3600.0</v>
      </c>
      <c r="M26" s="22">
        <f t="shared" si="1"/>
        <v>0</v>
      </c>
    </row>
    <row r="27">
      <c r="A27" s="12">
        <v>23.0</v>
      </c>
      <c r="B27" s="58" t="s">
        <v>620</v>
      </c>
      <c r="C27" s="59">
        <v>50593.0</v>
      </c>
      <c r="D27" s="58" t="s">
        <v>288</v>
      </c>
      <c r="E27" s="14"/>
      <c r="F27" s="25"/>
      <c r="G27" s="16"/>
      <c r="H27" s="17">
        <v>1427.0</v>
      </c>
      <c r="I27" s="24"/>
      <c r="J27" s="19"/>
      <c r="K27" s="20"/>
      <c r="L27" s="60">
        <v>1427.0</v>
      </c>
      <c r="M27" s="22">
        <f t="shared" si="1"/>
        <v>0</v>
      </c>
    </row>
    <row r="28">
      <c r="A28" s="12">
        <v>24.0</v>
      </c>
      <c r="B28" s="58" t="s">
        <v>621</v>
      </c>
      <c r="C28" s="59">
        <v>21384.0</v>
      </c>
      <c r="D28" s="58" t="s">
        <v>151</v>
      </c>
      <c r="E28" s="14"/>
      <c r="F28" s="25"/>
      <c r="G28" s="16"/>
      <c r="H28" s="17">
        <v>3750.0</v>
      </c>
      <c r="I28" s="24"/>
      <c r="J28" s="19"/>
      <c r="K28" s="20"/>
      <c r="L28" s="60">
        <v>3750.0</v>
      </c>
      <c r="M28" s="22">
        <f t="shared" si="1"/>
        <v>0</v>
      </c>
    </row>
    <row r="29">
      <c r="A29" s="12">
        <v>25.0</v>
      </c>
      <c r="B29" s="58" t="s">
        <v>622</v>
      </c>
      <c r="C29" s="59">
        <v>52032.0</v>
      </c>
      <c r="D29" s="58" t="s">
        <v>217</v>
      </c>
      <c r="E29" s="14"/>
      <c r="F29" s="25"/>
      <c r="G29" s="16"/>
      <c r="H29" s="17">
        <v>350.0</v>
      </c>
      <c r="I29" s="24"/>
      <c r="J29" s="19"/>
      <c r="K29" s="20"/>
      <c r="L29" s="60">
        <v>350.0</v>
      </c>
      <c r="M29" s="22">
        <f t="shared" si="1"/>
        <v>0</v>
      </c>
    </row>
    <row r="30">
      <c r="A30" s="12">
        <v>26.0</v>
      </c>
      <c r="B30" s="58" t="s">
        <v>623</v>
      </c>
      <c r="C30" s="59">
        <v>33054.0</v>
      </c>
      <c r="D30" s="58" t="s">
        <v>624</v>
      </c>
      <c r="E30" s="14"/>
      <c r="F30" s="25"/>
      <c r="G30" s="16"/>
      <c r="H30" s="17"/>
      <c r="I30" s="18">
        <v>5000.0</v>
      </c>
      <c r="J30" s="19"/>
      <c r="K30" s="20"/>
      <c r="L30" s="60">
        <v>5000.0</v>
      </c>
      <c r="M30" s="22">
        <f t="shared" si="1"/>
        <v>0</v>
      </c>
    </row>
    <row r="31">
      <c r="A31" s="12">
        <v>27.0</v>
      </c>
      <c r="B31" s="58" t="s">
        <v>625</v>
      </c>
      <c r="C31" s="59">
        <v>55146.0</v>
      </c>
      <c r="D31" s="58" t="s">
        <v>626</v>
      </c>
      <c r="E31" s="14"/>
      <c r="F31" s="25"/>
      <c r="G31" s="16"/>
      <c r="H31" s="17"/>
      <c r="I31" s="18">
        <v>5000.0</v>
      </c>
      <c r="J31" s="19"/>
      <c r="K31" s="20"/>
      <c r="L31" s="60">
        <v>5000.0</v>
      </c>
      <c r="M31" s="22">
        <f t="shared" si="1"/>
        <v>0</v>
      </c>
    </row>
    <row r="32">
      <c r="A32" s="12">
        <v>28.0</v>
      </c>
      <c r="B32" s="58" t="s">
        <v>627</v>
      </c>
      <c r="C32" s="59">
        <v>22332.0</v>
      </c>
      <c r="D32" s="58" t="s">
        <v>78</v>
      </c>
      <c r="E32" s="14"/>
      <c r="F32" s="25"/>
      <c r="G32" s="16"/>
      <c r="H32" s="17">
        <v>2650.0</v>
      </c>
      <c r="I32" s="24"/>
      <c r="J32" s="19"/>
      <c r="K32" s="20"/>
      <c r="L32" s="60">
        <v>2650.0</v>
      </c>
      <c r="M32" s="22">
        <f t="shared" si="1"/>
        <v>0</v>
      </c>
    </row>
    <row r="33">
      <c r="A33" s="12">
        <v>29.0</v>
      </c>
      <c r="B33" s="58" t="s">
        <v>628</v>
      </c>
      <c r="C33" s="59">
        <v>53808.0</v>
      </c>
      <c r="D33" s="58" t="s">
        <v>629</v>
      </c>
      <c r="E33" s="14"/>
      <c r="F33" s="25"/>
      <c r="G33" s="16"/>
      <c r="H33" s="17"/>
      <c r="I33" s="18">
        <v>10000.0</v>
      </c>
      <c r="J33" s="19"/>
      <c r="K33" s="20"/>
      <c r="L33" s="60">
        <v>10000.0</v>
      </c>
      <c r="M33" s="22">
        <f t="shared" si="1"/>
        <v>0</v>
      </c>
    </row>
    <row r="34">
      <c r="A34" s="12">
        <v>30.0</v>
      </c>
      <c r="B34" s="58" t="s">
        <v>630</v>
      </c>
      <c r="C34" s="59">
        <v>48631.0</v>
      </c>
      <c r="D34" s="58" t="s">
        <v>123</v>
      </c>
      <c r="E34" s="14"/>
      <c r="F34" s="25"/>
      <c r="G34" s="16"/>
      <c r="H34" s="17">
        <v>2800.0</v>
      </c>
      <c r="I34" s="24"/>
      <c r="J34" s="19"/>
      <c r="K34" s="20"/>
      <c r="L34" s="60">
        <v>2800.0</v>
      </c>
      <c r="M34" s="22">
        <f t="shared" si="1"/>
        <v>0</v>
      </c>
    </row>
    <row r="35">
      <c r="A35" s="12">
        <v>31.0</v>
      </c>
      <c r="B35" s="58" t="s">
        <v>631</v>
      </c>
      <c r="C35" s="59">
        <v>32700.0</v>
      </c>
      <c r="D35" s="58" t="s">
        <v>632</v>
      </c>
      <c r="E35" s="14"/>
      <c r="F35" s="25"/>
      <c r="G35" s="16"/>
      <c r="H35" s="17"/>
      <c r="I35" s="18">
        <v>5150.0</v>
      </c>
      <c r="J35" s="19"/>
      <c r="K35" s="20"/>
      <c r="L35" s="60">
        <v>5150.0</v>
      </c>
      <c r="M35" s="22">
        <f t="shared" si="1"/>
        <v>0</v>
      </c>
    </row>
    <row r="36">
      <c r="A36" s="12">
        <v>32.0</v>
      </c>
      <c r="B36" s="58" t="s">
        <v>633</v>
      </c>
      <c r="C36" s="59">
        <v>10008.0</v>
      </c>
      <c r="D36" s="58" t="s">
        <v>52</v>
      </c>
      <c r="E36" s="14"/>
      <c r="F36" s="25"/>
      <c r="G36" s="16"/>
      <c r="H36" s="17">
        <v>26250.0</v>
      </c>
      <c r="I36" s="24"/>
      <c r="J36" s="19"/>
      <c r="K36" s="20"/>
      <c r="L36" s="60">
        <v>26250.0</v>
      </c>
      <c r="M36" s="22">
        <f t="shared" si="1"/>
        <v>0</v>
      </c>
    </row>
    <row r="37">
      <c r="A37" s="12">
        <v>33.0</v>
      </c>
      <c r="B37" s="58" t="s">
        <v>634</v>
      </c>
      <c r="C37" s="59">
        <v>53455.0</v>
      </c>
      <c r="D37" s="58" t="s">
        <v>635</v>
      </c>
      <c r="E37" s="14"/>
      <c r="F37" s="25"/>
      <c r="G37" s="16"/>
      <c r="H37" s="17"/>
      <c r="I37" s="18">
        <v>18000.0</v>
      </c>
      <c r="J37" s="19"/>
      <c r="K37" s="20"/>
      <c r="L37" s="60">
        <v>18000.0</v>
      </c>
      <c r="M37" s="22">
        <f t="shared" si="1"/>
        <v>0</v>
      </c>
    </row>
    <row r="38">
      <c r="A38" s="12">
        <v>34.0</v>
      </c>
      <c r="B38" s="58" t="s">
        <v>636</v>
      </c>
      <c r="C38" s="59">
        <v>47787.0</v>
      </c>
      <c r="D38" s="58" t="s">
        <v>161</v>
      </c>
      <c r="E38" s="14"/>
      <c r="F38" s="25"/>
      <c r="G38" s="16"/>
      <c r="H38" s="17">
        <v>350.0</v>
      </c>
      <c r="I38" s="24"/>
      <c r="J38" s="19"/>
      <c r="K38" s="20"/>
      <c r="L38" s="60">
        <v>350.0</v>
      </c>
      <c r="M38" s="22">
        <f t="shared" si="1"/>
        <v>0</v>
      </c>
    </row>
    <row r="39">
      <c r="A39" s="12">
        <v>35.0</v>
      </c>
      <c r="B39" s="58" t="s">
        <v>637</v>
      </c>
      <c r="C39" s="59">
        <v>36555.0</v>
      </c>
      <c r="D39" s="58" t="s">
        <v>389</v>
      </c>
      <c r="E39" s="14"/>
      <c r="F39" s="25"/>
      <c r="G39" s="16"/>
      <c r="H39" s="17">
        <v>8750.0</v>
      </c>
      <c r="I39" s="24"/>
      <c r="J39" s="19"/>
      <c r="K39" s="20"/>
      <c r="L39" s="60">
        <v>8750.0</v>
      </c>
      <c r="M39" s="22">
        <f t="shared" si="1"/>
        <v>0</v>
      </c>
    </row>
    <row r="40">
      <c r="A40" s="12">
        <v>36.0</v>
      </c>
      <c r="B40" s="58" t="s">
        <v>638</v>
      </c>
      <c r="C40" s="59">
        <v>53665.0</v>
      </c>
      <c r="D40" s="58" t="s">
        <v>639</v>
      </c>
      <c r="E40" s="14"/>
      <c r="F40" s="25"/>
      <c r="G40" s="16"/>
      <c r="H40" s="17">
        <v>5000.0</v>
      </c>
      <c r="I40" s="24"/>
      <c r="J40" s="19"/>
      <c r="K40" s="20"/>
      <c r="L40" s="60">
        <v>5000.0</v>
      </c>
      <c r="M40" s="22">
        <f t="shared" si="1"/>
        <v>0</v>
      </c>
    </row>
    <row r="41">
      <c r="A41" s="12">
        <v>37.0</v>
      </c>
      <c r="B41" s="58" t="s">
        <v>640</v>
      </c>
      <c r="C41" s="59">
        <v>56006.0</v>
      </c>
      <c r="D41" s="58" t="s">
        <v>641</v>
      </c>
      <c r="E41" s="14"/>
      <c r="F41" s="25"/>
      <c r="G41" s="16"/>
      <c r="H41" s="17">
        <v>5000.0</v>
      </c>
      <c r="I41" s="24"/>
      <c r="J41" s="19"/>
      <c r="K41" s="20"/>
      <c r="L41" s="60">
        <v>5000.0</v>
      </c>
      <c r="M41" s="22">
        <f t="shared" si="1"/>
        <v>0</v>
      </c>
    </row>
    <row r="42">
      <c r="A42" s="12">
        <v>38.0</v>
      </c>
      <c r="B42" s="58" t="s">
        <v>642</v>
      </c>
      <c r="C42" s="59">
        <v>54276.0</v>
      </c>
      <c r="D42" s="58" t="s">
        <v>643</v>
      </c>
      <c r="E42" s="14"/>
      <c r="F42" s="25"/>
      <c r="G42" s="16"/>
      <c r="H42" s="17">
        <v>5150.0</v>
      </c>
      <c r="I42" s="24"/>
      <c r="J42" s="19"/>
      <c r="K42" s="20"/>
      <c r="L42" s="60">
        <v>5150.0</v>
      </c>
      <c r="M42" s="22">
        <f t="shared" si="1"/>
        <v>0</v>
      </c>
    </row>
    <row r="43">
      <c r="A43" s="12">
        <v>39.0</v>
      </c>
      <c r="B43" s="58" t="s">
        <v>644</v>
      </c>
      <c r="C43" s="59">
        <v>43381.0</v>
      </c>
      <c r="D43" s="58" t="s">
        <v>97</v>
      </c>
      <c r="E43" s="14"/>
      <c r="F43" s="25"/>
      <c r="G43" s="16"/>
      <c r="H43" s="17">
        <v>30000.0</v>
      </c>
      <c r="I43" s="24"/>
      <c r="J43" s="19"/>
      <c r="K43" s="20"/>
      <c r="L43" s="60">
        <v>30000.0</v>
      </c>
      <c r="M43" s="22">
        <f t="shared" si="1"/>
        <v>0</v>
      </c>
    </row>
    <row r="44">
      <c r="A44" s="12">
        <v>40.0</v>
      </c>
      <c r="B44" s="58" t="s">
        <v>645</v>
      </c>
      <c r="C44" s="59">
        <v>43381.0</v>
      </c>
      <c r="D44" s="58" t="s">
        <v>97</v>
      </c>
      <c r="E44" s="14"/>
      <c r="F44" s="25"/>
      <c r="G44" s="16"/>
      <c r="H44" s="17">
        <v>13750.0</v>
      </c>
      <c r="I44" s="24"/>
      <c r="J44" s="19"/>
      <c r="K44" s="20"/>
      <c r="L44" s="60">
        <v>13750.0</v>
      </c>
      <c r="M44" s="22">
        <f t="shared" si="1"/>
        <v>0</v>
      </c>
    </row>
    <row r="45">
      <c r="A45" s="12">
        <v>41.0</v>
      </c>
      <c r="B45" s="58" t="s">
        <v>646</v>
      </c>
      <c r="C45" s="59">
        <v>55054.0</v>
      </c>
      <c r="D45" s="58" t="s">
        <v>647</v>
      </c>
      <c r="E45" s="14"/>
      <c r="F45" s="25"/>
      <c r="G45" s="16"/>
      <c r="H45" s="17">
        <v>300.0</v>
      </c>
      <c r="I45" s="24"/>
      <c r="J45" s="19"/>
      <c r="K45" s="20"/>
      <c r="L45" s="60">
        <v>300.0</v>
      </c>
      <c r="M45" s="22">
        <f t="shared" si="1"/>
        <v>0</v>
      </c>
    </row>
    <row r="46">
      <c r="A46" s="12">
        <v>42.0</v>
      </c>
      <c r="B46" s="58" t="s">
        <v>648</v>
      </c>
      <c r="C46" s="59">
        <v>55459.0</v>
      </c>
      <c r="D46" s="58" t="s">
        <v>649</v>
      </c>
      <c r="E46" s="14"/>
      <c r="F46" s="25"/>
      <c r="G46" s="16"/>
      <c r="H46" s="17">
        <v>5000.0</v>
      </c>
      <c r="I46" s="24"/>
      <c r="J46" s="19"/>
      <c r="K46" s="20"/>
      <c r="L46" s="60">
        <v>5000.0</v>
      </c>
      <c r="M46" s="22">
        <f t="shared" si="1"/>
        <v>0</v>
      </c>
    </row>
    <row r="47">
      <c r="A47" s="12">
        <v>43.0</v>
      </c>
      <c r="B47" s="58" t="s">
        <v>650</v>
      </c>
      <c r="C47" s="59">
        <v>54820.0</v>
      </c>
      <c r="D47" s="58" t="s">
        <v>198</v>
      </c>
      <c r="E47" s="14"/>
      <c r="F47" s="25"/>
      <c r="G47" s="16"/>
      <c r="H47" s="17"/>
      <c r="I47" s="18">
        <v>300.0</v>
      </c>
      <c r="J47" s="19"/>
      <c r="K47" s="20"/>
      <c r="L47" s="60">
        <v>300.0</v>
      </c>
      <c r="M47" s="22">
        <f t="shared" si="1"/>
        <v>0</v>
      </c>
    </row>
    <row r="48">
      <c r="A48" s="12">
        <v>44.0</v>
      </c>
      <c r="B48" s="58" t="s">
        <v>651</v>
      </c>
      <c r="C48" s="59">
        <v>42278.0</v>
      </c>
      <c r="D48" s="58" t="s">
        <v>652</v>
      </c>
      <c r="E48" s="14"/>
      <c r="F48" s="25"/>
      <c r="G48" s="16"/>
      <c r="H48" s="17">
        <v>15300.0</v>
      </c>
      <c r="I48" s="18"/>
      <c r="J48" s="19"/>
      <c r="K48" s="20"/>
      <c r="L48" s="60">
        <v>15300.0</v>
      </c>
      <c r="M48" s="22">
        <f t="shared" si="1"/>
        <v>0</v>
      </c>
    </row>
    <row r="49">
      <c r="A49" s="12">
        <v>45.0</v>
      </c>
      <c r="B49" s="58" t="s">
        <v>653</v>
      </c>
      <c r="C49" s="59">
        <v>54096.0</v>
      </c>
      <c r="D49" s="58" t="s">
        <v>654</v>
      </c>
      <c r="E49" s="14"/>
      <c r="F49" s="25"/>
      <c r="G49" s="16"/>
      <c r="H49" s="17">
        <v>25000.0</v>
      </c>
      <c r="I49" s="18"/>
      <c r="J49" s="19"/>
      <c r="K49" s="20"/>
      <c r="L49" s="60">
        <v>25000.0</v>
      </c>
      <c r="M49" s="22">
        <f t="shared" si="1"/>
        <v>0</v>
      </c>
    </row>
    <row r="50">
      <c r="A50" s="12">
        <v>46.0</v>
      </c>
      <c r="B50" s="58" t="s">
        <v>655</v>
      </c>
      <c r="C50" s="59">
        <v>12102.0</v>
      </c>
      <c r="D50" s="58" t="s">
        <v>113</v>
      </c>
      <c r="E50" s="26"/>
      <c r="F50" s="25"/>
      <c r="G50" s="16"/>
      <c r="H50" s="17">
        <v>242.0</v>
      </c>
      <c r="I50" s="24"/>
      <c r="J50" s="19"/>
      <c r="K50" s="20"/>
      <c r="L50" s="60">
        <v>242.0</v>
      </c>
      <c r="M50" s="22">
        <f t="shared" si="1"/>
        <v>0</v>
      </c>
    </row>
    <row r="51">
      <c r="A51" s="12">
        <v>47.0</v>
      </c>
      <c r="B51" s="58" t="s">
        <v>656</v>
      </c>
      <c r="C51" s="59">
        <v>49953.0</v>
      </c>
      <c r="D51" s="58" t="s">
        <v>62</v>
      </c>
      <c r="E51" s="14"/>
      <c r="F51" s="25"/>
      <c r="G51" s="16"/>
      <c r="H51" s="17">
        <v>466.0</v>
      </c>
      <c r="I51" s="24"/>
      <c r="J51" s="19"/>
      <c r="K51" s="20"/>
      <c r="L51" s="60">
        <v>466.0</v>
      </c>
      <c r="M51" s="22">
        <f t="shared" si="1"/>
        <v>0</v>
      </c>
    </row>
    <row r="52">
      <c r="A52" s="12">
        <v>48.0</v>
      </c>
      <c r="B52" s="58" t="s">
        <v>657</v>
      </c>
      <c r="C52" s="59">
        <v>53455.0</v>
      </c>
      <c r="D52" s="58" t="s">
        <v>635</v>
      </c>
      <c r="E52" s="14"/>
      <c r="F52" s="25"/>
      <c r="G52" s="16"/>
      <c r="H52" s="17"/>
      <c r="I52" s="18">
        <v>4000.0</v>
      </c>
      <c r="J52" s="19"/>
      <c r="K52" s="20"/>
      <c r="L52" s="60">
        <v>4000.0</v>
      </c>
      <c r="M52" s="22">
        <f t="shared" si="1"/>
        <v>0</v>
      </c>
    </row>
    <row r="53">
      <c r="A53" s="12">
        <v>49.0</v>
      </c>
      <c r="B53" s="58" t="s">
        <v>658</v>
      </c>
      <c r="C53" s="59">
        <v>53455.0</v>
      </c>
      <c r="D53" s="58" t="s">
        <v>635</v>
      </c>
      <c r="E53" s="14"/>
      <c r="F53" s="25"/>
      <c r="G53" s="16"/>
      <c r="H53" s="23"/>
      <c r="I53" s="18">
        <v>200.0</v>
      </c>
      <c r="J53" s="19"/>
      <c r="K53" s="20"/>
      <c r="L53" s="60">
        <v>200.0</v>
      </c>
      <c r="M53" s="22">
        <f t="shared" si="1"/>
        <v>0</v>
      </c>
    </row>
    <row r="54">
      <c r="A54" s="12">
        <v>50.0</v>
      </c>
      <c r="B54" s="58" t="s">
        <v>659</v>
      </c>
      <c r="C54" s="59">
        <v>33065.0</v>
      </c>
      <c r="D54" s="58" t="s">
        <v>660</v>
      </c>
      <c r="E54" s="14"/>
      <c r="F54" s="25"/>
      <c r="G54" s="16"/>
      <c r="H54" s="17">
        <v>5150.0</v>
      </c>
      <c r="I54" s="18"/>
      <c r="J54" s="19"/>
      <c r="K54" s="20"/>
      <c r="L54" s="60">
        <v>5150.0</v>
      </c>
      <c r="M54" s="22">
        <f t="shared" si="1"/>
        <v>0</v>
      </c>
    </row>
    <row r="55">
      <c r="A55" s="12">
        <v>51.0</v>
      </c>
      <c r="B55" s="58" t="s">
        <v>661</v>
      </c>
      <c r="C55" s="59">
        <v>49684.0</v>
      </c>
      <c r="D55" s="58" t="s">
        <v>662</v>
      </c>
      <c r="E55" s="14"/>
      <c r="F55" s="25"/>
      <c r="G55" s="16"/>
      <c r="H55" s="17">
        <v>435.0</v>
      </c>
      <c r="I55" s="18"/>
      <c r="J55" s="19"/>
      <c r="K55" s="20"/>
      <c r="L55" s="60">
        <v>435.0</v>
      </c>
      <c r="M55" s="22">
        <f t="shared" si="1"/>
        <v>0</v>
      </c>
    </row>
    <row r="56">
      <c r="A56" s="12">
        <v>52.0</v>
      </c>
      <c r="B56" s="58" t="s">
        <v>663</v>
      </c>
      <c r="C56" s="59">
        <v>30895.0</v>
      </c>
      <c r="D56" s="58" t="s">
        <v>99</v>
      </c>
      <c r="E56" s="14"/>
      <c r="F56" s="25"/>
      <c r="G56" s="16"/>
      <c r="H56" s="17">
        <v>1250.0</v>
      </c>
      <c r="I56" s="24"/>
      <c r="J56" s="19"/>
      <c r="K56" s="20"/>
      <c r="L56" s="60">
        <v>1250.0</v>
      </c>
      <c r="M56" s="22">
        <f t="shared" si="1"/>
        <v>0</v>
      </c>
    </row>
    <row r="57">
      <c r="A57" s="12">
        <v>53.0</v>
      </c>
      <c r="B57" s="58" t="s">
        <v>664</v>
      </c>
      <c r="C57" s="59">
        <v>32857.0</v>
      </c>
      <c r="D57" s="58" t="s">
        <v>665</v>
      </c>
      <c r="E57" s="26">
        <v>330.0</v>
      </c>
      <c r="F57" s="25">
        <v>3000.0</v>
      </c>
      <c r="G57" s="16"/>
      <c r="H57" s="17">
        <v>2250.0</v>
      </c>
      <c r="I57" s="24"/>
      <c r="J57" s="19"/>
      <c r="K57" s="20"/>
      <c r="L57" s="60">
        <v>5580.0</v>
      </c>
      <c r="M57" s="22">
        <f t="shared" si="1"/>
        <v>0</v>
      </c>
    </row>
    <row r="58">
      <c r="A58" s="12">
        <v>54.0</v>
      </c>
      <c r="B58" s="58" t="s">
        <v>666</v>
      </c>
      <c r="C58" s="59">
        <v>52776.0</v>
      </c>
      <c r="D58" s="58" t="s">
        <v>667</v>
      </c>
      <c r="E58" s="14"/>
      <c r="F58" s="25"/>
      <c r="G58" s="16"/>
      <c r="H58" s="17">
        <v>19850.0</v>
      </c>
      <c r="I58" s="24"/>
      <c r="J58" s="19"/>
      <c r="K58" s="20"/>
      <c r="L58" s="60">
        <v>19850.0</v>
      </c>
      <c r="M58" s="22">
        <f t="shared" si="1"/>
        <v>0</v>
      </c>
    </row>
    <row r="59">
      <c r="A59" s="12">
        <v>55.0</v>
      </c>
      <c r="B59" s="58" t="s">
        <v>668</v>
      </c>
      <c r="C59" s="59">
        <v>22332.0</v>
      </c>
      <c r="D59" s="58" t="s">
        <v>78</v>
      </c>
      <c r="E59" s="14"/>
      <c r="F59" s="25"/>
      <c r="G59" s="16"/>
      <c r="H59" s="17">
        <v>8750.0</v>
      </c>
      <c r="I59" s="24"/>
      <c r="J59" s="19"/>
      <c r="K59" s="20"/>
      <c r="L59" s="60">
        <v>8750.0</v>
      </c>
      <c r="M59" s="22">
        <f t="shared" si="1"/>
        <v>0</v>
      </c>
    </row>
    <row r="60">
      <c r="A60" s="12">
        <v>56.0</v>
      </c>
      <c r="B60" s="58" t="s">
        <v>669</v>
      </c>
      <c r="C60" s="59">
        <v>35227.0</v>
      </c>
      <c r="D60" s="58" t="s">
        <v>670</v>
      </c>
      <c r="E60" s="14"/>
      <c r="F60" s="25">
        <v>4100.0</v>
      </c>
      <c r="G60" s="16"/>
      <c r="H60" s="17"/>
      <c r="I60" s="24"/>
      <c r="J60" s="19"/>
      <c r="K60" s="20"/>
      <c r="L60" s="60">
        <v>4100.0</v>
      </c>
      <c r="M60" s="22">
        <f t="shared" si="1"/>
        <v>0</v>
      </c>
    </row>
    <row r="61">
      <c r="A61" s="12">
        <v>57.0</v>
      </c>
      <c r="B61" s="58" t="s">
        <v>671</v>
      </c>
      <c r="C61" s="59">
        <v>36555.0</v>
      </c>
      <c r="D61" s="58" t="s">
        <v>389</v>
      </c>
      <c r="E61" s="14"/>
      <c r="F61" s="25"/>
      <c r="G61" s="16"/>
      <c r="H61" s="17">
        <v>10000.0</v>
      </c>
      <c r="I61" s="24"/>
      <c r="J61" s="19"/>
      <c r="K61" s="20"/>
      <c r="L61" s="60">
        <v>10000.0</v>
      </c>
      <c r="M61" s="22">
        <f t="shared" si="1"/>
        <v>0</v>
      </c>
    </row>
    <row r="62">
      <c r="A62" s="12">
        <v>58.0</v>
      </c>
      <c r="B62" s="58" t="s">
        <v>672</v>
      </c>
      <c r="C62" s="59">
        <v>30248.0</v>
      </c>
      <c r="D62" s="58" t="s">
        <v>673</v>
      </c>
      <c r="E62" s="14"/>
      <c r="F62" s="25"/>
      <c r="G62" s="16"/>
      <c r="H62" s="17">
        <v>5010.0</v>
      </c>
      <c r="I62" s="24"/>
      <c r="J62" s="19"/>
      <c r="K62" s="20"/>
      <c r="L62" s="60">
        <v>5010.0</v>
      </c>
      <c r="M62" s="22">
        <f t="shared" si="1"/>
        <v>0</v>
      </c>
    </row>
    <row r="63">
      <c r="A63" s="12">
        <v>59.0</v>
      </c>
      <c r="B63" s="58" t="s">
        <v>674</v>
      </c>
      <c r="C63" s="59">
        <v>42046.0</v>
      </c>
      <c r="D63" s="58" t="s">
        <v>163</v>
      </c>
      <c r="E63" s="14"/>
      <c r="F63" s="25"/>
      <c r="G63" s="28">
        <v>10000.0</v>
      </c>
      <c r="H63" s="23"/>
      <c r="I63" s="18"/>
      <c r="J63" s="19"/>
      <c r="K63" s="20"/>
      <c r="L63" s="60">
        <v>10000.0</v>
      </c>
      <c r="M63" s="22">
        <f t="shared" si="1"/>
        <v>0</v>
      </c>
    </row>
    <row r="64">
      <c r="A64" s="12">
        <v>60.0</v>
      </c>
      <c r="B64" s="58" t="s">
        <v>675</v>
      </c>
      <c r="C64" s="59">
        <v>10271.0</v>
      </c>
      <c r="D64" s="58" t="s">
        <v>676</v>
      </c>
      <c r="E64" s="14"/>
      <c r="F64" s="15"/>
      <c r="G64" s="16"/>
      <c r="H64" s="17"/>
      <c r="I64" s="18">
        <v>1200.0</v>
      </c>
      <c r="J64" s="19"/>
      <c r="K64" s="20"/>
      <c r="L64" s="60">
        <v>1200.0</v>
      </c>
      <c r="M64" s="22">
        <f t="shared" si="1"/>
        <v>0</v>
      </c>
    </row>
    <row r="65">
      <c r="A65" s="12">
        <v>61.0</v>
      </c>
      <c r="B65" s="58" t="s">
        <v>677</v>
      </c>
      <c r="C65" s="59">
        <v>31738.0</v>
      </c>
      <c r="D65" s="58" t="s">
        <v>277</v>
      </c>
      <c r="E65" s="14"/>
      <c r="F65" s="15"/>
      <c r="G65" s="16"/>
      <c r="H65" s="17">
        <v>3030.0</v>
      </c>
      <c r="I65" s="18"/>
      <c r="J65" s="61">
        <v>4470.0</v>
      </c>
      <c r="K65" s="20"/>
      <c r="L65" s="60">
        <v>7500.0</v>
      </c>
      <c r="M65" s="22">
        <f t="shared" si="1"/>
        <v>0</v>
      </c>
    </row>
    <row r="66">
      <c r="A66" s="12">
        <v>62.0</v>
      </c>
      <c r="B66" s="58" t="s">
        <v>678</v>
      </c>
      <c r="C66" s="59">
        <v>31738.0</v>
      </c>
      <c r="D66" s="58" t="s">
        <v>277</v>
      </c>
      <c r="E66" s="14"/>
      <c r="F66" s="15"/>
      <c r="G66" s="16"/>
      <c r="H66" s="17">
        <v>150.0</v>
      </c>
      <c r="I66" s="18"/>
      <c r="J66" s="19"/>
      <c r="K66" s="20"/>
      <c r="L66" s="60">
        <v>150.0</v>
      </c>
      <c r="M66" s="22">
        <f t="shared" si="1"/>
        <v>0</v>
      </c>
    </row>
    <row r="67">
      <c r="A67" s="12">
        <v>63.0</v>
      </c>
      <c r="B67" s="58" t="s">
        <v>679</v>
      </c>
      <c r="C67" s="59">
        <v>50538.0</v>
      </c>
      <c r="D67" s="58" t="s">
        <v>680</v>
      </c>
      <c r="E67" s="14"/>
      <c r="F67" s="15"/>
      <c r="G67" s="16"/>
      <c r="H67" s="17">
        <v>435.0</v>
      </c>
      <c r="I67" s="18"/>
      <c r="J67" s="19"/>
      <c r="K67" s="20"/>
      <c r="L67" s="60">
        <v>435.0</v>
      </c>
      <c r="M67" s="22">
        <f t="shared" si="1"/>
        <v>0</v>
      </c>
    </row>
    <row r="68">
      <c r="A68" s="12">
        <v>64.0</v>
      </c>
      <c r="B68" s="58" t="s">
        <v>681</v>
      </c>
      <c r="C68" s="59">
        <v>51697.0</v>
      </c>
      <c r="D68" s="58" t="s">
        <v>682</v>
      </c>
      <c r="E68" s="14"/>
      <c r="F68" s="15"/>
      <c r="G68" s="16"/>
      <c r="H68" s="17">
        <v>3600.0</v>
      </c>
      <c r="I68" s="24"/>
      <c r="J68" s="19"/>
      <c r="K68" s="20"/>
      <c r="L68" s="60">
        <v>3600.0</v>
      </c>
      <c r="M68" s="22">
        <f t="shared" si="1"/>
        <v>0</v>
      </c>
    </row>
    <row r="69">
      <c r="A69" s="12">
        <v>65.0</v>
      </c>
      <c r="B69" s="58" t="s">
        <v>683</v>
      </c>
      <c r="C69" s="59">
        <v>30909.0</v>
      </c>
      <c r="D69" s="58" t="s">
        <v>684</v>
      </c>
      <c r="E69" s="14"/>
      <c r="F69" s="25">
        <v>14600.0</v>
      </c>
      <c r="G69" s="16"/>
      <c r="H69" s="17"/>
      <c r="I69" s="24"/>
      <c r="J69" s="19"/>
      <c r="K69" s="20"/>
      <c r="L69" s="60">
        <v>14600.0</v>
      </c>
      <c r="M69" s="22">
        <f t="shared" si="1"/>
        <v>0</v>
      </c>
    </row>
    <row r="70">
      <c r="A70" s="12">
        <v>66.0</v>
      </c>
      <c r="B70" s="58" t="s">
        <v>685</v>
      </c>
      <c r="C70" s="59">
        <v>50821.0</v>
      </c>
      <c r="D70" s="58" t="s">
        <v>125</v>
      </c>
      <c r="E70" s="14"/>
      <c r="F70" s="25">
        <v>65500.0</v>
      </c>
      <c r="G70" s="16"/>
      <c r="H70" s="17"/>
      <c r="I70" s="18"/>
      <c r="J70" s="19"/>
      <c r="K70" s="20"/>
      <c r="L70" s="60">
        <v>65500.0</v>
      </c>
      <c r="M70" s="22">
        <f t="shared" si="1"/>
        <v>0</v>
      </c>
    </row>
    <row r="71">
      <c r="A71" s="12">
        <v>67.0</v>
      </c>
      <c r="B71" s="58" t="s">
        <v>686</v>
      </c>
      <c r="C71" s="59">
        <v>50593.0</v>
      </c>
      <c r="D71" s="58" t="s">
        <v>288</v>
      </c>
      <c r="E71" s="14"/>
      <c r="F71" s="15"/>
      <c r="G71" s="16"/>
      <c r="H71" s="17">
        <v>1427.0</v>
      </c>
      <c r="I71" s="18"/>
      <c r="J71" s="19"/>
      <c r="K71" s="20"/>
      <c r="L71" s="60">
        <v>1427.0</v>
      </c>
      <c r="M71" s="22">
        <f t="shared" si="1"/>
        <v>0</v>
      </c>
    </row>
    <row r="72">
      <c r="A72" s="12">
        <v>68.0</v>
      </c>
      <c r="B72" s="58" t="s">
        <v>687</v>
      </c>
      <c r="C72" s="59">
        <v>50436.0</v>
      </c>
      <c r="D72" s="58" t="s">
        <v>561</v>
      </c>
      <c r="E72" s="14"/>
      <c r="F72" s="15"/>
      <c r="G72" s="16"/>
      <c r="H72" s="17">
        <v>5150.0</v>
      </c>
      <c r="I72" s="18"/>
      <c r="J72" s="19"/>
      <c r="K72" s="20"/>
      <c r="L72" s="60">
        <v>5150.0</v>
      </c>
      <c r="M72" s="22">
        <f t="shared" si="1"/>
        <v>0</v>
      </c>
    </row>
    <row r="73">
      <c r="A73" s="12">
        <v>69.0</v>
      </c>
      <c r="B73" s="58" t="s">
        <v>688</v>
      </c>
      <c r="C73" s="59">
        <v>50593.0</v>
      </c>
      <c r="D73" s="58" t="s">
        <v>288</v>
      </c>
      <c r="E73" s="14"/>
      <c r="F73" s="15"/>
      <c r="G73" s="28">
        <v>15000.0</v>
      </c>
      <c r="H73" s="23"/>
      <c r="I73" s="18"/>
      <c r="J73" s="19"/>
      <c r="K73" s="20"/>
      <c r="L73" s="60">
        <v>15000.0</v>
      </c>
      <c r="M73" s="22">
        <f t="shared" si="1"/>
        <v>0</v>
      </c>
    </row>
    <row r="74">
      <c r="A74" s="12">
        <v>70.0</v>
      </c>
      <c r="B74" s="58" t="s">
        <v>689</v>
      </c>
      <c r="C74" s="59">
        <v>10001.0</v>
      </c>
      <c r="D74" s="58" t="s">
        <v>46</v>
      </c>
      <c r="E74" s="14"/>
      <c r="F74" s="15"/>
      <c r="G74" s="28">
        <v>440.0</v>
      </c>
      <c r="H74" s="23"/>
      <c r="I74" s="18"/>
      <c r="J74" s="19"/>
      <c r="K74" s="20"/>
      <c r="L74" s="60">
        <v>440.0</v>
      </c>
      <c r="M74" s="22">
        <f t="shared" si="1"/>
        <v>0</v>
      </c>
    </row>
    <row r="75">
      <c r="A75" s="12">
        <v>71.0</v>
      </c>
      <c r="B75" s="58" t="s">
        <v>690</v>
      </c>
      <c r="C75" s="59">
        <v>50593.0</v>
      </c>
      <c r="D75" s="58" t="s">
        <v>288</v>
      </c>
      <c r="E75" s="14"/>
      <c r="F75" s="15"/>
      <c r="G75" s="28">
        <v>15000.0</v>
      </c>
      <c r="H75" s="17"/>
      <c r="I75" s="18"/>
      <c r="J75" s="19"/>
      <c r="K75" s="20"/>
      <c r="L75" s="60">
        <v>15000.0</v>
      </c>
      <c r="M75" s="22">
        <f t="shared" si="1"/>
        <v>0</v>
      </c>
    </row>
    <row r="76">
      <c r="A76" s="12">
        <v>72.0</v>
      </c>
      <c r="B76" s="58" t="s">
        <v>691</v>
      </c>
      <c r="C76" s="59">
        <v>55179.0</v>
      </c>
      <c r="D76" s="58" t="s">
        <v>203</v>
      </c>
      <c r="E76" s="14"/>
      <c r="F76" s="15"/>
      <c r="G76" s="28">
        <v>22000.0</v>
      </c>
      <c r="H76" s="17"/>
      <c r="I76" s="18"/>
      <c r="J76" s="19"/>
      <c r="K76" s="20"/>
      <c r="L76" s="60">
        <v>22000.0</v>
      </c>
      <c r="M76" s="22">
        <f t="shared" si="1"/>
        <v>0</v>
      </c>
    </row>
    <row r="77">
      <c r="A77" s="12">
        <v>73.0</v>
      </c>
      <c r="B77" s="58" t="s">
        <v>692</v>
      </c>
      <c r="C77" s="59">
        <v>12102.0</v>
      </c>
      <c r="D77" s="58" t="s">
        <v>113</v>
      </c>
      <c r="E77" s="14"/>
      <c r="F77" s="15"/>
      <c r="G77" s="28">
        <v>51050.0</v>
      </c>
      <c r="H77" s="23"/>
      <c r="I77" s="18"/>
      <c r="J77" s="19"/>
      <c r="K77" s="20"/>
      <c r="L77" s="60">
        <v>51050.0</v>
      </c>
      <c r="M77" s="22">
        <f t="shared" si="1"/>
        <v>0</v>
      </c>
    </row>
    <row r="78">
      <c r="A78" s="12"/>
      <c r="B78" s="13"/>
      <c r="C78" s="62"/>
      <c r="D78" s="13"/>
      <c r="E78" s="14"/>
      <c r="F78" s="15"/>
      <c r="G78" s="16"/>
      <c r="H78" s="17"/>
      <c r="I78" s="18"/>
      <c r="J78" s="19"/>
      <c r="K78" s="20"/>
      <c r="L78" s="21"/>
      <c r="M78" s="22">
        <f t="shared" si="1"/>
        <v>0</v>
      </c>
    </row>
    <row r="79">
      <c r="A79" s="30"/>
      <c r="B79" s="31"/>
      <c r="C79" s="12"/>
      <c r="D79" s="30"/>
      <c r="E79" s="32">
        <f t="shared" ref="E79:J79" si="2">SUM(E5:E78)</f>
        <v>330</v>
      </c>
      <c r="F79" s="32">
        <f t="shared" si="2"/>
        <v>87200</v>
      </c>
      <c r="G79" s="32">
        <f t="shared" si="2"/>
        <v>113490</v>
      </c>
      <c r="H79" s="32">
        <f t="shared" si="2"/>
        <v>333555</v>
      </c>
      <c r="I79" s="32">
        <f t="shared" si="2"/>
        <v>80996</v>
      </c>
      <c r="J79" s="32">
        <f t="shared" si="2"/>
        <v>8094</v>
      </c>
      <c r="K79" s="32"/>
      <c r="L79" s="32">
        <f t="shared" ref="L79:M79" si="3">SUM(L5:L78)</f>
        <v>623665</v>
      </c>
      <c r="M79" s="22">
        <f t="shared" si="3"/>
        <v>0</v>
      </c>
    </row>
    <row r="80">
      <c r="A80" s="33"/>
      <c r="B80" s="33"/>
      <c r="C80" s="63"/>
      <c r="D80" s="33"/>
      <c r="E80" s="34">
        <f>E79+F79+G79+H79+I79+J79+K79</f>
        <v>623665</v>
      </c>
      <c r="F80" s="6"/>
      <c r="G80" s="6"/>
      <c r="H80" s="6"/>
      <c r="I80" s="6"/>
      <c r="J80" s="6"/>
      <c r="K80" s="7"/>
      <c r="L80" s="35"/>
      <c r="M80" s="33"/>
    </row>
    <row r="81">
      <c r="C81" s="64"/>
    </row>
    <row r="82">
      <c r="C82" s="64"/>
    </row>
    <row r="83">
      <c r="C83" s="64"/>
    </row>
    <row r="84">
      <c r="C84" s="64"/>
    </row>
    <row r="85">
      <c r="C85" s="64"/>
    </row>
    <row r="86">
      <c r="C86" s="64"/>
    </row>
    <row r="87">
      <c r="C87" s="64"/>
    </row>
    <row r="88">
      <c r="C88" s="64"/>
    </row>
    <row r="89">
      <c r="C89" s="64"/>
    </row>
    <row r="90">
      <c r="C90" s="64"/>
    </row>
    <row r="91">
      <c r="C91" s="64"/>
    </row>
    <row r="92">
      <c r="C92" s="64"/>
    </row>
    <row r="93">
      <c r="C93" s="64"/>
    </row>
    <row r="94">
      <c r="C94" s="64"/>
    </row>
    <row r="95">
      <c r="C95" s="64"/>
    </row>
    <row r="96">
      <c r="C96" s="64"/>
    </row>
    <row r="97">
      <c r="C97" s="64"/>
    </row>
    <row r="98">
      <c r="C98" s="64"/>
    </row>
    <row r="99">
      <c r="C99" s="64"/>
    </row>
    <row r="100">
      <c r="C100" s="64"/>
    </row>
    <row r="101">
      <c r="C101" s="64"/>
    </row>
    <row r="102">
      <c r="C102" s="64"/>
    </row>
    <row r="103">
      <c r="C103" s="64"/>
    </row>
    <row r="104">
      <c r="C104" s="64"/>
    </row>
    <row r="105">
      <c r="C105" s="64"/>
    </row>
    <row r="106">
      <c r="C106" s="64"/>
    </row>
    <row r="107">
      <c r="C107" s="64"/>
    </row>
    <row r="108">
      <c r="C108" s="64"/>
    </row>
    <row r="109">
      <c r="C109" s="64"/>
    </row>
    <row r="110">
      <c r="C110" s="64"/>
    </row>
    <row r="111">
      <c r="C111" s="64"/>
    </row>
    <row r="112">
      <c r="C112" s="64"/>
    </row>
    <row r="113">
      <c r="C113" s="64"/>
    </row>
    <row r="114">
      <c r="C114" s="64"/>
    </row>
    <row r="115">
      <c r="C115" s="64"/>
    </row>
    <row r="116">
      <c r="C116" s="64"/>
    </row>
    <row r="117">
      <c r="C117" s="64"/>
    </row>
    <row r="118">
      <c r="C118" s="64"/>
    </row>
    <row r="119">
      <c r="C119" s="64"/>
    </row>
    <row r="120">
      <c r="C120" s="64"/>
    </row>
    <row r="121">
      <c r="C121" s="64"/>
    </row>
    <row r="122">
      <c r="C122" s="64"/>
    </row>
    <row r="123">
      <c r="C123" s="64"/>
    </row>
    <row r="124">
      <c r="C124" s="64"/>
    </row>
    <row r="125">
      <c r="C125" s="64"/>
    </row>
    <row r="126">
      <c r="C126" s="64"/>
    </row>
    <row r="127">
      <c r="C127" s="64"/>
    </row>
    <row r="128">
      <c r="C128" s="64"/>
    </row>
    <row r="129">
      <c r="C129" s="64"/>
    </row>
    <row r="130">
      <c r="C130" s="64"/>
    </row>
    <row r="131">
      <c r="C131" s="64"/>
    </row>
    <row r="132">
      <c r="C132" s="64"/>
    </row>
    <row r="133">
      <c r="C133" s="64"/>
    </row>
    <row r="134">
      <c r="C134" s="64"/>
    </row>
    <row r="135">
      <c r="C135" s="64"/>
    </row>
    <row r="136">
      <c r="C136" s="64"/>
    </row>
    <row r="137">
      <c r="C137" s="64"/>
    </row>
    <row r="138">
      <c r="C138" s="64"/>
    </row>
    <row r="139">
      <c r="C139" s="64"/>
    </row>
    <row r="140">
      <c r="C140" s="64"/>
    </row>
    <row r="141">
      <c r="C141" s="64"/>
    </row>
    <row r="142">
      <c r="C142" s="64"/>
    </row>
    <row r="143">
      <c r="C143" s="64"/>
    </row>
    <row r="144">
      <c r="C144" s="64"/>
    </row>
    <row r="145">
      <c r="C145" s="64"/>
    </row>
    <row r="146">
      <c r="C146" s="64"/>
    </row>
    <row r="147">
      <c r="C147" s="64"/>
    </row>
    <row r="148">
      <c r="C148" s="64"/>
    </row>
    <row r="149">
      <c r="C149" s="64"/>
    </row>
    <row r="150">
      <c r="C150" s="64"/>
    </row>
    <row r="151">
      <c r="C151" s="64"/>
    </row>
    <row r="152">
      <c r="C152" s="64"/>
    </row>
    <row r="153">
      <c r="C153" s="64"/>
    </row>
    <row r="154">
      <c r="C154" s="64"/>
    </row>
    <row r="155">
      <c r="C155" s="64"/>
    </row>
    <row r="156">
      <c r="C156" s="64"/>
    </row>
    <row r="157">
      <c r="C157" s="64"/>
    </row>
    <row r="158">
      <c r="C158" s="64"/>
    </row>
    <row r="159">
      <c r="C159" s="64"/>
    </row>
    <row r="160">
      <c r="C160" s="64"/>
    </row>
    <row r="161">
      <c r="C161" s="64"/>
    </row>
    <row r="162">
      <c r="C162" s="64"/>
    </row>
    <row r="163">
      <c r="C163" s="64"/>
    </row>
    <row r="164">
      <c r="C164" s="64"/>
    </row>
    <row r="165">
      <c r="C165" s="64"/>
    </row>
    <row r="166">
      <c r="C166" s="64"/>
    </row>
    <row r="167">
      <c r="C167" s="64"/>
    </row>
    <row r="168">
      <c r="C168" s="64"/>
    </row>
    <row r="169">
      <c r="C169" s="64"/>
    </row>
    <row r="170">
      <c r="C170" s="64"/>
    </row>
    <row r="171">
      <c r="C171" s="64"/>
    </row>
    <row r="172">
      <c r="C172" s="64"/>
    </row>
    <row r="173">
      <c r="C173" s="64"/>
    </row>
    <row r="174">
      <c r="C174" s="64"/>
    </row>
    <row r="175">
      <c r="C175" s="64"/>
    </row>
    <row r="176">
      <c r="C176" s="64"/>
    </row>
    <row r="177">
      <c r="C177" s="64"/>
    </row>
    <row r="178">
      <c r="C178" s="64"/>
    </row>
    <row r="179">
      <c r="C179" s="64"/>
    </row>
    <row r="180">
      <c r="C180" s="64"/>
    </row>
    <row r="181">
      <c r="C181" s="64"/>
    </row>
    <row r="182">
      <c r="C182" s="64"/>
    </row>
    <row r="183">
      <c r="C183" s="64"/>
    </row>
    <row r="184">
      <c r="C184" s="64"/>
    </row>
    <row r="185">
      <c r="C185" s="64"/>
    </row>
    <row r="186">
      <c r="C186" s="64"/>
    </row>
    <row r="187">
      <c r="C187" s="64"/>
    </row>
    <row r="188">
      <c r="C188" s="64"/>
    </row>
    <row r="189">
      <c r="C189" s="64"/>
    </row>
    <row r="190">
      <c r="C190" s="64"/>
    </row>
    <row r="191">
      <c r="C191" s="64"/>
    </row>
    <row r="192">
      <c r="C192" s="64"/>
    </row>
    <row r="193">
      <c r="C193" s="64"/>
    </row>
    <row r="194">
      <c r="C194" s="64"/>
    </row>
    <row r="195">
      <c r="C195" s="64"/>
    </row>
    <row r="196">
      <c r="C196" s="64"/>
    </row>
    <row r="197">
      <c r="C197" s="64"/>
    </row>
    <row r="198">
      <c r="C198" s="64"/>
    </row>
    <row r="199">
      <c r="C199" s="64"/>
    </row>
    <row r="200">
      <c r="C200" s="64"/>
    </row>
    <row r="201">
      <c r="C201" s="64"/>
    </row>
    <row r="202">
      <c r="C202" s="64"/>
    </row>
    <row r="203">
      <c r="C203" s="64"/>
    </row>
    <row r="204">
      <c r="C204" s="64"/>
    </row>
    <row r="205">
      <c r="C205" s="64"/>
    </row>
    <row r="206">
      <c r="C206" s="64"/>
    </row>
    <row r="207">
      <c r="C207" s="64"/>
    </row>
    <row r="208">
      <c r="C208" s="64"/>
    </row>
    <row r="209">
      <c r="C209" s="64"/>
    </row>
    <row r="210">
      <c r="C210" s="64"/>
    </row>
    <row r="211">
      <c r="C211" s="64"/>
    </row>
    <row r="212">
      <c r="C212" s="64"/>
    </row>
    <row r="213">
      <c r="C213" s="64"/>
    </row>
    <row r="214">
      <c r="C214" s="64"/>
    </row>
    <row r="215">
      <c r="C215" s="64"/>
    </row>
    <row r="216">
      <c r="C216" s="64"/>
    </row>
    <row r="217">
      <c r="C217" s="64"/>
    </row>
    <row r="218">
      <c r="C218" s="64"/>
    </row>
    <row r="219">
      <c r="C219" s="64"/>
    </row>
    <row r="220">
      <c r="C220" s="64"/>
    </row>
    <row r="221">
      <c r="C221" s="64"/>
    </row>
    <row r="222">
      <c r="C222" s="64"/>
    </row>
    <row r="223">
      <c r="C223" s="64"/>
    </row>
    <row r="224">
      <c r="C224" s="64"/>
    </row>
    <row r="225">
      <c r="C225" s="64"/>
    </row>
    <row r="226">
      <c r="C226" s="64"/>
    </row>
    <row r="227">
      <c r="C227" s="64"/>
    </row>
    <row r="228">
      <c r="C228" s="64"/>
    </row>
    <row r="229">
      <c r="C229" s="64"/>
    </row>
    <row r="230">
      <c r="C230" s="64"/>
    </row>
    <row r="231">
      <c r="C231" s="64"/>
    </row>
    <row r="232">
      <c r="C232" s="64"/>
    </row>
    <row r="233">
      <c r="C233" s="64"/>
    </row>
    <row r="234">
      <c r="C234" s="64"/>
    </row>
    <row r="235">
      <c r="C235" s="64"/>
    </row>
    <row r="236">
      <c r="C236" s="64"/>
    </row>
    <row r="237">
      <c r="C237" s="64"/>
    </row>
    <row r="238">
      <c r="C238" s="64"/>
    </row>
    <row r="239">
      <c r="C239" s="64"/>
    </row>
    <row r="240">
      <c r="C240" s="64"/>
    </row>
    <row r="241">
      <c r="C241" s="64"/>
    </row>
    <row r="242">
      <c r="C242" s="64"/>
    </row>
    <row r="243">
      <c r="C243" s="64"/>
    </row>
    <row r="244">
      <c r="C244" s="64"/>
    </row>
    <row r="245">
      <c r="C245" s="64"/>
    </row>
    <row r="246">
      <c r="C246" s="64"/>
    </row>
    <row r="247">
      <c r="C247" s="64"/>
    </row>
    <row r="248">
      <c r="C248" s="64"/>
    </row>
    <row r="249">
      <c r="C249" s="64"/>
    </row>
    <row r="250">
      <c r="C250" s="64"/>
    </row>
    <row r="251">
      <c r="C251" s="64"/>
    </row>
    <row r="252">
      <c r="C252" s="64"/>
    </row>
    <row r="253">
      <c r="C253" s="64"/>
    </row>
    <row r="254">
      <c r="C254" s="64"/>
    </row>
    <row r="255">
      <c r="C255" s="64"/>
    </row>
    <row r="256">
      <c r="C256" s="64"/>
    </row>
    <row r="257">
      <c r="C257" s="64"/>
    </row>
    <row r="258">
      <c r="C258" s="64"/>
    </row>
    <row r="259">
      <c r="C259" s="64"/>
    </row>
    <row r="260">
      <c r="C260" s="64"/>
    </row>
    <row r="261">
      <c r="C261" s="64"/>
    </row>
    <row r="262">
      <c r="C262" s="64"/>
    </row>
    <row r="263">
      <c r="C263" s="64"/>
    </row>
    <row r="264">
      <c r="C264" s="64"/>
    </row>
    <row r="265">
      <c r="C265" s="64"/>
    </row>
    <row r="266">
      <c r="C266" s="64"/>
    </row>
    <row r="267">
      <c r="C267" s="64"/>
    </row>
    <row r="268">
      <c r="C268" s="64"/>
    </row>
    <row r="269">
      <c r="C269" s="64"/>
    </row>
    <row r="270">
      <c r="C270" s="64"/>
    </row>
    <row r="271">
      <c r="C271" s="64"/>
    </row>
    <row r="272">
      <c r="C272" s="64"/>
    </row>
    <row r="273">
      <c r="C273" s="64"/>
    </row>
    <row r="274">
      <c r="C274" s="64"/>
    </row>
    <row r="275">
      <c r="C275" s="64"/>
    </row>
    <row r="276">
      <c r="C276" s="64"/>
    </row>
    <row r="277">
      <c r="C277" s="64"/>
    </row>
    <row r="278">
      <c r="C278" s="64"/>
    </row>
    <row r="279">
      <c r="C279" s="64"/>
    </row>
    <row r="280">
      <c r="C280" s="64"/>
    </row>
    <row r="281">
      <c r="C281" s="64"/>
    </row>
    <row r="282">
      <c r="C282" s="64"/>
    </row>
    <row r="283">
      <c r="C283" s="64"/>
    </row>
    <row r="284">
      <c r="C284" s="64"/>
    </row>
    <row r="285">
      <c r="C285" s="64"/>
    </row>
    <row r="286">
      <c r="C286" s="64"/>
    </row>
    <row r="287">
      <c r="C287" s="64"/>
    </row>
    <row r="288">
      <c r="C288" s="64"/>
    </row>
    <row r="289">
      <c r="C289" s="64"/>
    </row>
    <row r="290">
      <c r="C290" s="64"/>
    </row>
    <row r="291">
      <c r="C291" s="64"/>
    </row>
    <row r="292">
      <c r="C292" s="64"/>
    </row>
    <row r="293">
      <c r="C293" s="64"/>
    </row>
    <row r="294">
      <c r="C294" s="64"/>
    </row>
    <row r="295">
      <c r="C295" s="64"/>
    </row>
    <row r="296">
      <c r="C296" s="64"/>
    </row>
    <row r="297">
      <c r="C297" s="64"/>
    </row>
    <row r="298">
      <c r="C298" s="64"/>
    </row>
    <row r="299">
      <c r="C299" s="64"/>
    </row>
    <row r="300">
      <c r="C300" s="64"/>
    </row>
    <row r="301">
      <c r="C301" s="64"/>
    </row>
    <row r="302">
      <c r="C302" s="64"/>
    </row>
    <row r="303">
      <c r="C303" s="64"/>
    </row>
    <row r="304">
      <c r="C304" s="64"/>
    </row>
    <row r="305">
      <c r="C305" s="64"/>
    </row>
    <row r="306">
      <c r="C306" s="64"/>
    </row>
    <row r="307">
      <c r="C307" s="64"/>
    </row>
    <row r="308">
      <c r="C308" s="64"/>
    </row>
    <row r="309">
      <c r="C309" s="64"/>
    </row>
    <row r="310">
      <c r="C310" s="64"/>
    </row>
    <row r="311">
      <c r="C311" s="64"/>
    </row>
    <row r="312">
      <c r="C312" s="64"/>
    </row>
    <row r="313">
      <c r="C313" s="64"/>
    </row>
    <row r="314">
      <c r="C314" s="64"/>
    </row>
    <row r="315">
      <c r="C315" s="64"/>
    </row>
    <row r="316">
      <c r="C316" s="64"/>
    </row>
    <row r="317">
      <c r="C317" s="64"/>
    </row>
    <row r="318">
      <c r="C318" s="64"/>
    </row>
    <row r="319">
      <c r="C319" s="64"/>
    </row>
    <row r="320">
      <c r="C320" s="64"/>
    </row>
    <row r="321">
      <c r="C321" s="64"/>
    </row>
    <row r="322">
      <c r="C322" s="64"/>
    </row>
    <row r="323">
      <c r="C323" s="64"/>
    </row>
    <row r="324">
      <c r="C324" s="64"/>
    </row>
    <row r="325">
      <c r="C325" s="64"/>
    </row>
    <row r="326">
      <c r="C326" s="64"/>
    </row>
    <row r="327">
      <c r="C327" s="64"/>
    </row>
    <row r="328">
      <c r="C328" s="64"/>
    </row>
    <row r="329">
      <c r="C329" s="64"/>
    </row>
    <row r="330">
      <c r="C330" s="64"/>
    </row>
    <row r="331">
      <c r="C331" s="64"/>
    </row>
    <row r="332">
      <c r="C332" s="64"/>
    </row>
    <row r="333">
      <c r="C333" s="64"/>
    </row>
    <row r="334">
      <c r="C334" s="64"/>
    </row>
    <row r="335">
      <c r="C335" s="64"/>
    </row>
    <row r="336">
      <c r="C336" s="64"/>
    </row>
    <row r="337">
      <c r="C337" s="64"/>
    </row>
    <row r="338">
      <c r="C338" s="64"/>
    </row>
    <row r="339">
      <c r="C339" s="64"/>
    </row>
    <row r="340">
      <c r="C340" s="64"/>
    </row>
    <row r="341">
      <c r="C341" s="64"/>
    </row>
    <row r="342">
      <c r="C342" s="64"/>
    </row>
    <row r="343">
      <c r="C343" s="64"/>
    </row>
    <row r="344">
      <c r="C344" s="64"/>
    </row>
    <row r="345">
      <c r="C345" s="64"/>
    </row>
    <row r="346">
      <c r="C346" s="64"/>
    </row>
    <row r="347">
      <c r="C347" s="64"/>
    </row>
    <row r="348">
      <c r="C348" s="64"/>
    </row>
    <row r="349">
      <c r="C349" s="64"/>
    </row>
    <row r="350">
      <c r="C350" s="64"/>
    </row>
    <row r="351">
      <c r="C351" s="64"/>
    </row>
    <row r="352">
      <c r="C352" s="64"/>
    </row>
    <row r="353">
      <c r="C353" s="64"/>
    </row>
    <row r="354">
      <c r="C354" s="64"/>
    </row>
    <row r="355">
      <c r="C355" s="64"/>
    </row>
    <row r="356">
      <c r="C356" s="64"/>
    </row>
    <row r="357">
      <c r="C357" s="64"/>
    </row>
    <row r="358">
      <c r="C358" s="64"/>
    </row>
    <row r="359">
      <c r="C359" s="64"/>
    </row>
    <row r="360">
      <c r="C360" s="64"/>
    </row>
    <row r="361">
      <c r="C361" s="64"/>
    </row>
    <row r="362">
      <c r="C362" s="64"/>
    </row>
    <row r="363">
      <c r="C363" s="64"/>
    </row>
    <row r="364">
      <c r="C364" s="64"/>
    </row>
    <row r="365">
      <c r="C365" s="64"/>
    </row>
    <row r="366">
      <c r="C366" s="64"/>
    </row>
    <row r="367">
      <c r="C367" s="64"/>
    </row>
    <row r="368">
      <c r="C368" s="64"/>
    </row>
    <row r="369">
      <c r="C369" s="64"/>
    </row>
    <row r="370">
      <c r="C370" s="64"/>
    </row>
    <row r="371">
      <c r="C371" s="64"/>
    </row>
    <row r="372">
      <c r="C372" s="64"/>
    </row>
    <row r="373">
      <c r="C373" s="64"/>
    </row>
    <row r="374">
      <c r="C374" s="64"/>
    </row>
    <row r="375">
      <c r="C375" s="64"/>
    </row>
    <row r="376">
      <c r="C376" s="64"/>
    </row>
    <row r="377">
      <c r="C377" s="64"/>
    </row>
    <row r="378">
      <c r="C378" s="64"/>
    </row>
    <row r="379">
      <c r="C379" s="64"/>
    </row>
    <row r="380">
      <c r="C380" s="64"/>
    </row>
    <row r="381">
      <c r="C381" s="64"/>
    </row>
    <row r="382">
      <c r="C382" s="64"/>
    </row>
    <row r="383">
      <c r="C383" s="64"/>
    </row>
    <row r="384">
      <c r="C384" s="64"/>
    </row>
    <row r="385">
      <c r="C385" s="64"/>
    </row>
    <row r="386">
      <c r="C386" s="64"/>
    </row>
    <row r="387">
      <c r="C387" s="64"/>
    </row>
    <row r="388">
      <c r="C388" s="64"/>
    </row>
    <row r="389">
      <c r="C389" s="64"/>
    </row>
    <row r="390">
      <c r="C390" s="64"/>
    </row>
    <row r="391">
      <c r="C391" s="64"/>
    </row>
    <row r="392">
      <c r="C392" s="64"/>
    </row>
    <row r="393">
      <c r="C393" s="64"/>
    </row>
    <row r="394">
      <c r="C394" s="64"/>
    </row>
    <row r="395">
      <c r="C395" s="64"/>
    </row>
    <row r="396">
      <c r="C396" s="64"/>
    </row>
    <row r="397">
      <c r="C397" s="64"/>
    </row>
    <row r="398">
      <c r="C398" s="64"/>
    </row>
    <row r="399">
      <c r="C399" s="64"/>
    </row>
    <row r="400">
      <c r="C400" s="64"/>
    </row>
    <row r="401">
      <c r="C401" s="64"/>
    </row>
    <row r="402">
      <c r="C402" s="64"/>
    </row>
    <row r="403">
      <c r="C403" s="64"/>
    </row>
    <row r="404">
      <c r="C404" s="64"/>
    </row>
    <row r="405">
      <c r="C405" s="64"/>
    </row>
    <row r="406">
      <c r="C406" s="64"/>
    </row>
    <row r="407">
      <c r="C407" s="64"/>
    </row>
    <row r="408">
      <c r="C408" s="64"/>
    </row>
    <row r="409">
      <c r="C409" s="64"/>
    </row>
    <row r="410">
      <c r="C410" s="64"/>
    </row>
    <row r="411">
      <c r="C411" s="64"/>
    </row>
    <row r="412">
      <c r="C412" s="64"/>
    </row>
    <row r="413">
      <c r="C413" s="64"/>
    </row>
    <row r="414">
      <c r="C414" s="64"/>
    </row>
    <row r="415">
      <c r="C415" s="64"/>
    </row>
    <row r="416">
      <c r="C416" s="64"/>
    </row>
    <row r="417">
      <c r="C417" s="64"/>
    </row>
    <row r="418">
      <c r="C418" s="64"/>
    </row>
    <row r="419">
      <c r="C419" s="64"/>
    </row>
    <row r="420">
      <c r="C420" s="64"/>
    </row>
    <row r="421">
      <c r="C421" s="64"/>
    </row>
    <row r="422">
      <c r="C422" s="64"/>
    </row>
    <row r="423">
      <c r="C423" s="64"/>
    </row>
    <row r="424">
      <c r="C424" s="64"/>
    </row>
    <row r="425">
      <c r="C425" s="64"/>
    </row>
    <row r="426">
      <c r="C426" s="64"/>
    </row>
    <row r="427">
      <c r="C427" s="64"/>
    </row>
    <row r="428">
      <c r="C428" s="64"/>
    </row>
    <row r="429">
      <c r="C429" s="64"/>
    </row>
    <row r="430">
      <c r="C430" s="64"/>
    </row>
    <row r="431">
      <c r="C431" s="64"/>
    </row>
    <row r="432">
      <c r="C432" s="64"/>
    </row>
    <row r="433">
      <c r="C433" s="64"/>
    </row>
    <row r="434">
      <c r="C434" s="64"/>
    </row>
    <row r="435">
      <c r="C435" s="64"/>
    </row>
    <row r="436">
      <c r="C436" s="64"/>
    </row>
    <row r="437">
      <c r="C437" s="64"/>
    </row>
    <row r="438">
      <c r="C438" s="64"/>
    </row>
    <row r="439">
      <c r="C439" s="64"/>
    </row>
    <row r="440">
      <c r="C440" s="64"/>
    </row>
    <row r="441">
      <c r="C441" s="64"/>
    </row>
    <row r="442">
      <c r="C442" s="64"/>
    </row>
    <row r="443">
      <c r="C443" s="64"/>
    </row>
    <row r="444">
      <c r="C444" s="64"/>
    </row>
    <row r="445">
      <c r="C445" s="64"/>
    </row>
    <row r="446">
      <c r="C446" s="64"/>
    </row>
    <row r="447">
      <c r="C447" s="64"/>
    </row>
    <row r="448">
      <c r="C448" s="64"/>
    </row>
    <row r="449">
      <c r="C449" s="64"/>
    </row>
    <row r="450">
      <c r="C450" s="64"/>
    </row>
    <row r="451">
      <c r="C451" s="64"/>
    </row>
    <row r="452">
      <c r="C452" s="64"/>
    </row>
    <row r="453">
      <c r="C453" s="64"/>
    </row>
    <row r="454">
      <c r="C454" s="64"/>
    </row>
    <row r="455">
      <c r="C455" s="64"/>
    </row>
    <row r="456">
      <c r="C456" s="64"/>
    </row>
    <row r="457">
      <c r="C457" s="64"/>
    </row>
    <row r="458">
      <c r="C458" s="64"/>
    </row>
    <row r="459">
      <c r="C459" s="64"/>
    </row>
    <row r="460">
      <c r="C460" s="64"/>
    </row>
    <row r="461">
      <c r="C461" s="64"/>
    </row>
    <row r="462">
      <c r="C462" s="64"/>
    </row>
    <row r="463">
      <c r="C463" s="64"/>
    </row>
    <row r="464">
      <c r="C464" s="64"/>
    </row>
    <row r="465">
      <c r="C465" s="64"/>
    </row>
    <row r="466">
      <c r="C466" s="64"/>
    </row>
    <row r="467">
      <c r="C467" s="64"/>
    </row>
    <row r="468">
      <c r="C468" s="64"/>
    </row>
    <row r="469">
      <c r="C469" s="64"/>
    </row>
    <row r="470">
      <c r="C470" s="64"/>
    </row>
    <row r="471">
      <c r="C471" s="64"/>
    </row>
    <row r="472">
      <c r="C472" s="64"/>
    </row>
    <row r="473">
      <c r="C473" s="64"/>
    </row>
    <row r="474">
      <c r="C474" s="64"/>
    </row>
    <row r="475">
      <c r="C475" s="64"/>
    </row>
    <row r="476">
      <c r="C476" s="64"/>
    </row>
    <row r="477">
      <c r="C477" s="64"/>
    </row>
    <row r="478">
      <c r="C478" s="64"/>
    </row>
    <row r="479">
      <c r="C479" s="64"/>
    </row>
    <row r="480">
      <c r="C480" s="64"/>
    </row>
    <row r="481">
      <c r="C481" s="64"/>
    </row>
    <row r="482">
      <c r="C482" s="64"/>
    </row>
    <row r="483">
      <c r="C483" s="64"/>
    </row>
    <row r="484">
      <c r="C484" s="64"/>
    </row>
    <row r="485">
      <c r="C485" s="64"/>
    </row>
    <row r="486">
      <c r="C486" s="64"/>
    </row>
    <row r="487">
      <c r="C487" s="64"/>
    </row>
    <row r="488">
      <c r="C488" s="64"/>
    </row>
    <row r="489">
      <c r="C489" s="64"/>
    </row>
    <row r="490">
      <c r="C490" s="64"/>
    </row>
    <row r="491">
      <c r="C491" s="64"/>
    </row>
    <row r="492">
      <c r="C492" s="64"/>
    </row>
    <row r="493">
      <c r="C493" s="64"/>
    </row>
    <row r="494">
      <c r="C494" s="64"/>
    </row>
    <row r="495">
      <c r="C495" s="64"/>
    </row>
    <row r="496">
      <c r="C496" s="64"/>
    </row>
    <row r="497">
      <c r="C497" s="64"/>
    </row>
    <row r="498">
      <c r="C498" s="64"/>
    </row>
    <row r="499">
      <c r="C499" s="64"/>
    </row>
    <row r="500">
      <c r="C500" s="64"/>
    </row>
    <row r="501">
      <c r="C501" s="64"/>
    </row>
    <row r="502">
      <c r="C502" s="64"/>
    </row>
    <row r="503">
      <c r="C503" s="64"/>
    </row>
    <row r="504">
      <c r="C504" s="64"/>
    </row>
    <row r="505">
      <c r="C505" s="64"/>
    </row>
    <row r="506">
      <c r="C506" s="64"/>
    </row>
    <row r="507">
      <c r="C507" s="64"/>
    </row>
    <row r="508">
      <c r="C508" s="64"/>
    </row>
    <row r="509">
      <c r="C509" s="64"/>
    </row>
    <row r="510">
      <c r="C510" s="64"/>
    </row>
    <row r="511">
      <c r="C511" s="64"/>
    </row>
    <row r="512">
      <c r="C512" s="64"/>
    </row>
    <row r="513">
      <c r="C513" s="64"/>
    </row>
    <row r="514">
      <c r="C514" s="64"/>
    </row>
    <row r="515">
      <c r="C515" s="64"/>
    </row>
    <row r="516">
      <c r="C516" s="64"/>
    </row>
    <row r="517">
      <c r="C517" s="64"/>
    </row>
    <row r="518">
      <c r="C518" s="64"/>
    </row>
    <row r="519">
      <c r="C519" s="64"/>
    </row>
    <row r="520">
      <c r="C520" s="64"/>
    </row>
    <row r="521">
      <c r="C521" s="64"/>
    </row>
    <row r="522">
      <c r="C522" s="64"/>
    </row>
    <row r="523">
      <c r="C523" s="64"/>
    </row>
    <row r="524">
      <c r="C524" s="64"/>
    </row>
    <row r="525">
      <c r="C525" s="64"/>
    </row>
    <row r="526">
      <c r="C526" s="64"/>
    </row>
    <row r="527">
      <c r="C527" s="64"/>
    </row>
    <row r="528">
      <c r="C528" s="64"/>
    </row>
    <row r="529">
      <c r="C529" s="64"/>
    </row>
    <row r="530">
      <c r="C530" s="64"/>
    </row>
    <row r="531">
      <c r="C531" s="64"/>
    </row>
    <row r="532">
      <c r="C532" s="64"/>
    </row>
    <row r="533">
      <c r="C533" s="64"/>
    </row>
    <row r="534">
      <c r="C534" s="64"/>
    </row>
    <row r="535">
      <c r="C535" s="64"/>
    </row>
    <row r="536">
      <c r="C536" s="64"/>
    </row>
    <row r="537">
      <c r="C537" s="64"/>
    </row>
    <row r="538">
      <c r="C538" s="64"/>
    </row>
    <row r="539">
      <c r="C539" s="64"/>
    </row>
    <row r="540">
      <c r="C540" s="64"/>
    </row>
    <row r="541">
      <c r="C541" s="64"/>
    </row>
    <row r="542">
      <c r="C542" s="64"/>
    </row>
    <row r="543">
      <c r="C543" s="64"/>
    </row>
    <row r="544">
      <c r="C544" s="64"/>
    </row>
    <row r="545">
      <c r="C545" s="64"/>
    </row>
    <row r="546">
      <c r="C546" s="64"/>
    </row>
    <row r="547">
      <c r="C547" s="64"/>
    </row>
    <row r="548">
      <c r="C548" s="64"/>
    </row>
    <row r="549">
      <c r="C549" s="64"/>
    </row>
    <row r="550">
      <c r="C550" s="64"/>
    </row>
    <row r="551">
      <c r="C551" s="64"/>
    </row>
    <row r="552">
      <c r="C552" s="64"/>
    </row>
    <row r="553">
      <c r="C553" s="64"/>
    </row>
    <row r="554">
      <c r="C554" s="64"/>
    </row>
    <row r="555">
      <c r="C555" s="64"/>
    </row>
    <row r="556">
      <c r="C556" s="64"/>
    </row>
    <row r="557">
      <c r="C557" s="64"/>
    </row>
    <row r="558">
      <c r="C558" s="64"/>
    </row>
    <row r="559">
      <c r="C559" s="64"/>
    </row>
    <row r="560">
      <c r="C560" s="64"/>
    </row>
    <row r="561">
      <c r="C561" s="64"/>
    </row>
    <row r="562">
      <c r="C562" s="64"/>
    </row>
    <row r="563">
      <c r="C563" s="64"/>
    </row>
    <row r="564">
      <c r="C564" s="64"/>
    </row>
    <row r="565">
      <c r="C565" s="64"/>
    </row>
    <row r="566">
      <c r="C566" s="64"/>
    </row>
    <row r="567">
      <c r="C567" s="64"/>
    </row>
    <row r="568">
      <c r="C568" s="64"/>
    </row>
    <row r="569">
      <c r="C569" s="64"/>
    </row>
    <row r="570">
      <c r="C570" s="64"/>
    </row>
    <row r="571">
      <c r="C571" s="64"/>
    </row>
    <row r="572">
      <c r="C572" s="64"/>
    </row>
    <row r="573">
      <c r="C573" s="64"/>
    </row>
    <row r="574">
      <c r="C574" s="64"/>
    </row>
    <row r="575">
      <c r="C575" s="64"/>
    </row>
    <row r="576">
      <c r="C576" s="64"/>
    </row>
    <row r="577">
      <c r="C577" s="64"/>
    </row>
    <row r="578">
      <c r="C578" s="64"/>
    </row>
    <row r="579">
      <c r="C579" s="64"/>
    </row>
    <row r="580">
      <c r="C580" s="64"/>
    </row>
    <row r="581">
      <c r="C581" s="64"/>
    </row>
    <row r="582">
      <c r="C582" s="64"/>
    </row>
    <row r="583">
      <c r="C583" s="64"/>
    </row>
    <row r="584">
      <c r="C584" s="64"/>
    </row>
    <row r="585">
      <c r="C585" s="64"/>
    </row>
    <row r="586">
      <c r="C586" s="64"/>
    </row>
    <row r="587">
      <c r="C587" s="64"/>
    </row>
    <row r="588">
      <c r="C588" s="64"/>
    </row>
    <row r="589">
      <c r="C589" s="64"/>
    </row>
    <row r="590">
      <c r="C590" s="64"/>
    </row>
    <row r="591">
      <c r="C591" s="64"/>
    </row>
    <row r="592">
      <c r="C592" s="64"/>
    </row>
    <row r="593">
      <c r="C593" s="64"/>
    </row>
    <row r="594">
      <c r="C594" s="64"/>
    </row>
    <row r="595">
      <c r="C595" s="64"/>
    </row>
    <row r="596">
      <c r="C596" s="64"/>
    </row>
    <row r="597">
      <c r="C597" s="64"/>
    </row>
    <row r="598">
      <c r="C598" s="64"/>
    </row>
    <row r="599">
      <c r="C599" s="64"/>
    </row>
    <row r="600">
      <c r="C600" s="64"/>
    </row>
    <row r="601">
      <c r="C601" s="64"/>
    </row>
    <row r="602">
      <c r="C602" s="64"/>
    </row>
    <row r="603">
      <c r="C603" s="64"/>
    </row>
    <row r="604">
      <c r="C604" s="64"/>
    </row>
    <row r="605">
      <c r="C605" s="64"/>
    </row>
    <row r="606">
      <c r="C606" s="64"/>
    </row>
    <row r="607">
      <c r="C607" s="64"/>
    </row>
    <row r="608">
      <c r="C608" s="64"/>
    </row>
    <row r="609">
      <c r="C609" s="64"/>
    </row>
    <row r="610">
      <c r="C610" s="64"/>
    </row>
    <row r="611">
      <c r="C611" s="64"/>
    </row>
    <row r="612">
      <c r="C612" s="64"/>
    </row>
    <row r="613">
      <c r="C613" s="64"/>
    </row>
    <row r="614">
      <c r="C614" s="64"/>
    </row>
    <row r="615">
      <c r="C615" s="64"/>
    </row>
    <row r="616">
      <c r="C616" s="64"/>
    </row>
    <row r="617">
      <c r="C617" s="64"/>
    </row>
    <row r="618">
      <c r="C618" s="64"/>
    </row>
    <row r="619">
      <c r="C619" s="64"/>
    </row>
    <row r="620">
      <c r="C620" s="64"/>
    </row>
    <row r="621">
      <c r="C621" s="64"/>
    </row>
    <row r="622">
      <c r="C622" s="64"/>
    </row>
    <row r="623">
      <c r="C623" s="64"/>
    </row>
    <row r="624">
      <c r="C624" s="64"/>
    </row>
    <row r="625">
      <c r="C625" s="64"/>
    </row>
    <row r="626">
      <c r="C626" s="64"/>
    </row>
    <row r="627">
      <c r="C627" s="64"/>
    </row>
    <row r="628">
      <c r="C628" s="64"/>
    </row>
    <row r="629">
      <c r="C629" s="64"/>
    </row>
    <row r="630">
      <c r="C630" s="64"/>
    </row>
    <row r="631">
      <c r="C631" s="64"/>
    </row>
    <row r="632">
      <c r="C632" s="64"/>
    </row>
    <row r="633">
      <c r="C633" s="64"/>
    </row>
    <row r="634">
      <c r="C634" s="64"/>
    </row>
    <row r="635">
      <c r="C635" s="64"/>
    </row>
    <row r="636">
      <c r="C636" s="64"/>
    </row>
    <row r="637">
      <c r="C637" s="64"/>
    </row>
    <row r="638">
      <c r="C638" s="64"/>
    </row>
    <row r="639">
      <c r="C639" s="64"/>
    </row>
    <row r="640">
      <c r="C640" s="64"/>
    </row>
    <row r="641">
      <c r="C641" s="64"/>
    </row>
    <row r="642">
      <c r="C642" s="64"/>
    </row>
    <row r="643">
      <c r="C643" s="64"/>
    </row>
    <row r="644">
      <c r="C644" s="64"/>
    </row>
    <row r="645">
      <c r="C645" s="64"/>
    </row>
    <row r="646">
      <c r="C646" s="64"/>
    </row>
    <row r="647">
      <c r="C647" s="64"/>
    </row>
    <row r="648">
      <c r="C648" s="64"/>
    </row>
    <row r="649">
      <c r="C649" s="64"/>
    </row>
    <row r="650">
      <c r="C650" s="64"/>
    </row>
    <row r="651">
      <c r="C651" s="64"/>
    </row>
    <row r="652">
      <c r="C652" s="64"/>
    </row>
    <row r="653">
      <c r="C653" s="64"/>
    </row>
    <row r="654">
      <c r="C654" s="64"/>
    </row>
    <row r="655">
      <c r="C655" s="64"/>
    </row>
    <row r="656">
      <c r="C656" s="64"/>
    </row>
    <row r="657">
      <c r="C657" s="64"/>
    </row>
    <row r="658">
      <c r="C658" s="64"/>
    </row>
    <row r="659">
      <c r="C659" s="64"/>
    </row>
    <row r="660">
      <c r="C660" s="64"/>
    </row>
    <row r="661">
      <c r="C661" s="64"/>
    </row>
    <row r="662">
      <c r="C662" s="64"/>
    </row>
    <row r="663">
      <c r="C663" s="64"/>
    </row>
    <row r="664">
      <c r="C664" s="64"/>
    </row>
    <row r="665">
      <c r="C665" s="64"/>
    </row>
    <row r="666">
      <c r="C666" s="64"/>
    </row>
    <row r="667">
      <c r="C667" s="64"/>
    </row>
    <row r="668">
      <c r="C668" s="64"/>
    </row>
    <row r="669">
      <c r="C669" s="64"/>
    </row>
    <row r="670">
      <c r="C670" s="64"/>
    </row>
    <row r="671">
      <c r="C671" s="64"/>
    </row>
    <row r="672">
      <c r="C672" s="64"/>
    </row>
    <row r="673">
      <c r="C673" s="64"/>
    </row>
    <row r="674">
      <c r="C674" s="64"/>
    </row>
    <row r="675">
      <c r="C675" s="64"/>
    </row>
    <row r="676">
      <c r="C676" s="64"/>
    </row>
    <row r="677">
      <c r="C677" s="64"/>
    </row>
    <row r="678">
      <c r="C678" s="64"/>
    </row>
    <row r="679">
      <c r="C679" s="64"/>
    </row>
    <row r="680">
      <c r="C680" s="64"/>
    </row>
    <row r="681">
      <c r="C681" s="64"/>
    </row>
    <row r="682">
      <c r="C682" s="64"/>
    </row>
    <row r="683">
      <c r="C683" s="64"/>
    </row>
    <row r="684">
      <c r="C684" s="64"/>
    </row>
    <row r="685">
      <c r="C685" s="64"/>
    </row>
    <row r="686">
      <c r="C686" s="64"/>
    </row>
    <row r="687">
      <c r="C687" s="64"/>
    </row>
    <row r="688">
      <c r="C688" s="64"/>
    </row>
    <row r="689">
      <c r="C689" s="64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  <row r="942">
      <c r="C942" s="64"/>
    </row>
    <row r="943">
      <c r="C943" s="64"/>
    </row>
    <row r="944">
      <c r="C944" s="64"/>
    </row>
    <row r="945">
      <c r="C945" s="64"/>
    </row>
    <row r="946">
      <c r="C946" s="64"/>
    </row>
    <row r="947">
      <c r="C947" s="64"/>
    </row>
    <row r="948">
      <c r="C948" s="64"/>
    </row>
    <row r="949">
      <c r="C949" s="64"/>
    </row>
    <row r="950">
      <c r="C950" s="64"/>
    </row>
    <row r="951">
      <c r="C951" s="64"/>
    </row>
    <row r="952">
      <c r="C952" s="64"/>
    </row>
    <row r="953">
      <c r="C953" s="64"/>
    </row>
    <row r="954">
      <c r="C954" s="64"/>
    </row>
    <row r="955">
      <c r="C955" s="64"/>
    </row>
    <row r="956">
      <c r="C956" s="64"/>
    </row>
  </sheetData>
  <mergeCells count="14">
    <mergeCell ref="F3:G3"/>
    <mergeCell ref="H3:I3"/>
    <mergeCell ref="J3:J4"/>
    <mergeCell ref="K3:K4"/>
    <mergeCell ref="E80:K8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693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65" t="s">
        <v>694</v>
      </c>
      <c r="C5" s="65">
        <v>50342.0</v>
      </c>
      <c r="D5" s="65" t="s">
        <v>695</v>
      </c>
      <c r="E5" s="14"/>
      <c r="F5" s="15"/>
      <c r="G5" s="16"/>
      <c r="H5" s="17"/>
      <c r="I5" s="18"/>
      <c r="J5" s="19"/>
      <c r="K5" s="66">
        <v>15000.0</v>
      </c>
      <c r="L5" s="57">
        <v>15000.0</v>
      </c>
      <c r="M5" s="22">
        <f t="shared" ref="M5:M66" si="1">SUM(E5+F5+G5+H5+I5+J5+K5-L5)</f>
        <v>0</v>
      </c>
    </row>
    <row r="6">
      <c r="A6" s="12">
        <v>2.0</v>
      </c>
      <c r="B6" s="65" t="s">
        <v>696</v>
      </c>
      <c r="C6" s="65">
        <v>53308.0</v>
      </c>
      <c r="D6" s="65" t="s">
        <v>697</v>
      </c>
      <c r="E6" s="14"/>
      <c r="F6" s="15"/>
      <c r="G6" s="16"/>
      <c r="H6" s="17">
        <v>12500.0</v>
      </c>
      <c r="I6" s="18"/>
      <c r="J6" s="19"/>
      <c r="K6" s="20"/>
      <c r="L6" s="57">
        <v>12500.0</v>
      </c>
      <c r="M6" s="22">
        <f t="shared" si="1"/>
        <v>0</v>
      </c>
    </row>
    <row r="7">
      <c r="A7" s="12">
        <v>3.0</v>
      </c>
      <c r="B7" s="65" t="s">
        <v>698</v>
      </c>
      <c r="C7" s="65">
        <v>10250.0</v>
      </c>
      <c r="D7" s="65" t="s">
        <v>115</v>
      </c>
      <c r="E7" s="14"/>
      <c r="F7" s="15"/>
      <c r="G7" s="16"/>
      <c r="H7" s="17">
        <v>50000.0</v>
      </c>
      <c r="I7" s="24"/>
      <c r="J7" s="19"/>
      <c r="K7" s="20"/>
      <c r="L7" s="57">
        <v>50000.0</v>
      </c>
      <c r="M7" s="22">
        <f t="shared" si="1"/>
        <v>0</v>
      </c>
    </row>
    <row r="8">
      <c r="A8" s="12">
        <v>4.0</v>
      </c>
      <c r="B8" s="65" t="s">
        <v>699</v>
      </c>
      <c r="C8" s="65">
        <v>22332.0</v>
      </c>
      <c r="D8" s="65" t="s">
        <v>78</v>
      </c>
      <c r="E8" s="14"/>
      <c r="F8" s="25"/>
      <c r="G8" s="16"/>
      <c r="H8" s="17">
        <v>2650.0</v>
      </c>
      <c r="I8" s="24"/>
      <c r="J8" s="19"/>
      <c r="K8" s="20"/>
      <c r="L8" s="57">
        <v>2650.0</v>
      </c>
      <c r="M8" s="22">
        <f t="shared" si="1"/>
        <v>0</v>
      </c>
    </row>
    <row r="9">
      <c r="A9" s="12">
        <v>5.0</v>
      </c>
      <c r="B9" s="65" t="s">
        <v>700</v>
      </c>
      <c r="C9" s="65">
        <v>50871.0</v>
      </c>
      <c r="D9" s="65" t="s">
        <v>48</v>
      </c>
      <c r="E9" s="14"/>
      <c r="F9" s="25"/>
      <c r="G9" s="16"/>
      <c r="H9" s="17">
        <v>64400.0</v>
      </c>
      <c r="I9" s="24"/>
      <c r="J9" s="61"/>
      <c r="K9" s="20"/>
      <c r="L9" s="57">
        <v>64400.0</v>
      </c>
      <c r="M9" s="22">
        <f t="shared" si="1"/>
        <v>0</v>
      </c>
    </row>
    <row r="10">
      <c r="A10" s="12">
        <v>6.0</v>
      </c>
      <c r="B10" s="65" t="s">
        <v>701</v>
      </c>
      <c r="C10" s="65">
        <v>50979.0</v>
      </c>
      <c r="D10" s="65" t="s">
        <v>702</v>
      </c>
      <c r="E10" s="14"/>
      <c r="F10" s="25"/>
      <c r="G10" s="16"/>
      <c r="H10" s="17">
        <v>1427.0</v>
      </c>
      <c r="I10" s="24"/>
      <c r="J10" s="19"/>
      <c r="K10" s="20"/>
      <c r="L10" s="57">
        <v>1427.0</v>
      </c>
      <c r="M10" s="22">
        <f t="shared" si="1"/>
        <v>0</v>
      </c>
    </row>
    <row r="11">
      <c r="A11" s="12">
        <v>7.0</v>
      </c>
      <c r="B11" s="65" t="s">
        <v>703</v>
      </c>
      <c r="C11" s="65">
        <v>15709.0</v>
      </c>
      <c r="D11" s="65" t="s">
        <v>704</v>
      </c>
      <c r="E11" s="14"/>
      <c r="F11" s="25"/>
      <c r="G11" s="16"/>
      <c r="H11" s="17">
        <v>1250.0</v>
      </c>
      <c r="I11" s="24"/>
      <c r="J11" s="19"/>
      <c r="K11" s="20"/>
      <c r="L11" s="57">
        <v>1250.0</v>
      </c>
      <c r="M11" s="22">
        <f t="shared" si="1"/>
        <v>0</v>
      </c>
    </row>
    <row r="12">
      <c r="A12" s="12">
        <v>8.0</v>
      </c>
      <c r="B12" s="65" t="s">
        <v>705</v>
      </c>
      <c r="C12" s="65">
        <v>48052.0</v>
      </c>
      <c r="D12" s="65" t="s">
        <v>309</v>
      </c>
      <c r="E12" s="14"/>
      <c r="F12" s="25"/>
      <c r="G12" s="16"/>
      <c r="H12" s="17">
        <v>16250.0</v>
      </c>
      <c r="I12" s="18"/>
      <c r="J12" s="61"/>
      <c r="K12" s="20"/>
      <c r="L12" s="57">
        <v>16250.0</v>
      </c>
      <c r="M12" s="22">
        <f t="shared" si="1"/>
        <v>0</v>
      </c>
    </row>
    <row r="13">
      <c r="A13" s="12">
        <v>9.0</v>
      </c>
      <c r="B13" s="65" t="s">
        <v>706</v>
      </c>
      <c r="C13" s="65">
        <v>33065.0</v>
      </c>
      <c r="D13" s="65" t="s">
        <v>660</v>
      </c>
      <c r="E13" s="14"/>
      <c r="F13" s="25"/>
      <c r="G13" s="16"/>
      <c r="H13" s="17">
        <v>5150.0</v>
      </c>
      <c r="I13" s="24"/>
      <c r="J13" s="19"/>
      <c r="K13" s="20"/>
      <c r="L13" s="57">
        <v>5150.0</v>
      </c>
      <c r="M13" s="22">
        <f t="shared" si="1"/>
        <v>0</v>
      </c>
    </row>
    <row r="14">
      <c r="A14" s="12">
        <v>10.0</v>
      </c>
      <c r="B14" s="65" t="s">
        <v>707</v>
      </c>
      <c r="C14" s="65">
        <v>46562.0</v>
      </c>
      <c r="D14" s="65" t="s">
        <v>708</v>
      </c>
      <c r="E14" s="14"/>
      <c r="F14" s="25"/>
      <c r="G14" s="16"/>
      <c r="H14" s="17">
        <v>2809.0</v>
      </c>
      <c r="I14" s="24"/>
      <c r="J14" s="19"/>
      <c r="K14" s="20"/>
      <c r="L14" s="57">
        <v>2809.0</v>
      </c>
      <c r="M14" s="22">
        <f t="shared" si="1"/>
        <v>0</v>
      </c>
    </row>
    <row r="15">
      <c r="A15" s="12">
        <v>11.0</v>
      </c>
      <c r="B15" s="65" t="s">
        <v>709</v>
      </c>
      <c r="C15" s="65">
        <v>52032.0</v>
      </c>
      <c r="D15" s="65" t="s">
        <v>217</v>
      </c>
      <c r="E15" s="14"/>
      <c r="F15" s="25"/>
      <c r="G15" s="16"/>
      <c r="H15" s="17">
        <v>10350.0</v>
      </c>
      <c r="I15" s="18"/>
      <c r="J15" s="19"/>
      <c r="K15" s="20"/>
      <c r="L15" s="57">
        <v>10350.0</v>
      </c>
      <c r="M15" s="22">
        <f t="shared" si="1"/>
        <v>0</v>
      </c>
    </row>
    <row r="16">
      <c r="A16" s="12">
        <v>12.0</v>
      </c>
      <c r="B16" s="65" t="s">
        <v>710</v>
      </c>
      <c r="C16" s="65">
        <v>48053.0</v>
      </c>
      <c r="D16" s="65" t="s">
        <v>90</v>
      </c>
      <c r="E16" s="14"/>
      <c r="F16" s="25"/>
      <c r="G16" s="16"/>
      <c r="H16" s="17">
        <v>700.0</v>
      </c>
      <c r="I16" s="18"/>
      <c r="J16" s="19"/>
      <c r="K16" s="20"/>
      <c r="L16" s="57">
        <v>700.0</v>
      </c>
      <c r="M16" s="22">
        <f t="shared" si="1"/>
        <v>0</v>
      </c>
    </row>
    <row r="17">
      <c r="A17" s="12">
        <v>13.0</v>
      </c>
      <c r="B17" s="65" t="s">
        <v>711</v>
      </c>
      <c r="C17" s="65">
        <v>52206.0</v>
      </c>
      <c r="D17" s="65" t="s">
        <v>712</v>
      </c>
      <c r="E17" s="14"/>
      <c r="F17" s="25"/>
      <c r="G17" s="16"/>
      <c r="H17" s="17">
        <v>350.0</v>
      </c>
      <c r="I17" s="18"/>
      <c r="J17" s="19"/>
      <c r="K17" s="20"/>
      <c r="L17" s="57">
        <v>350.0</v>
      </c>
      <c r="M17" s="22">
        <f t="shared" si="1"/>
        <v>0</v>
      </c>
    </row>
    <row r="18">
      <c r="A18" s="12">
        <v>14.0</v>
      </c>
      <c r="B18" s="65" t="s">
        <v>713</v>
      </c>
      <c r="C18" s="65">
        <v>31738.0</v>
      </c>
      <c r="D18" s="65" t="s">
        <v>277</v>
      </c>
      <c r="E18" s="14"/>
      <c r="F18" s="25"/>
      <c r="G18" s="16"/>
      <c r="H18" s="17">
        <v>10000.0</v>
      </c>
      <c r="I18" s="24"/>
      <c r="J18" s="19"/>
      <c r="K18" s="20"/>
      <c r="L18" s="57">
        <v>10000.0</v>
      </c>
      <c r="M18" s="22">
        <f t="shared" si="1"/>
        <v>0</v>
      </c>
    </row>
    <row r="19">
      <c r="A19" s="12">
        <v>15.0</v>
      </c>
      <c r="B19" s="65" t="s">
        <v>714</v>
      </c>
      <c r="C19" s="65">
        <v>22727.0</v>
      </c>
      <c r="D19" s="65" t="s">
        <v>109</v>
      </c>
      <c r="E19" s="14"/>
      <c r="F19" s="25"/>
      <c r="G19" s="16"/>
      <c r="H19" s="17">
        <v>5300.0</v>
      </c>
      <c r="I19" s="18"/>
      <c r="J19" s="19"/>
      <c r="K19" s="20"/>
      <c r="L19" s="57">
        <v>5300.0</v>
      </c>
      <c r="M19" s="22">
        <f t="shared" si="1"/>
        <v>0</v>
      </c>
    </row>
    <row r="20">
      <c r="A20" s="12">
        <v>16.0</v>
      </c>
      <c r="B20" s="65" t="s">
        <v>715</v>
      </c>
      <c r="C20" s="65">
        <v>51698.0</v>
      </c>
      <c r="D20" s="65" t="s">
        <v>716</v>
      </c>
      <c r="E20" s="14"/>
      <c r="F20" s="25"/>
      <c r="G20" s="16"/>
      <c r="H20" s="17">
        <v>25000.0</v>
      </c>
      <c r="I20" s="24"/>
      <c r="J20" s="19"/>
      <c r="K20" s="20"/>
      <c r="L20" s="57">
        <v>25000.0</v>
      </c>
      <c r="M20" s="22">
        <f t="shared" si="1"/>
        <v>0</v>
      </c>
    </row>
    <row r="21">
      <c r="A21" s="12">
        <v>17.0</v>
      </c>
      <c r="B21" s="65" t="s">
        <v>717</v>
      </c>
      <c r="C21" s="65">
        <v>55446.0</v>
      </c>
      <c r="D21" s="65" t="s">
        <v>336</v>
      </c>
      <c r="E21" s="26">
        <v>5000.0</v>
      </c>
      <c r="F21" s="25"/>
      <c r="G21" s="16"/>
      <c r="H21" s="17"/>
      <c r="I21" s="24"/>
      <c r="J21" s="19"/>
      <c r="K21" s="20"/>
      <c r="L21" s="57">
        <v>5000.0</v>
      </c>
      <c r="M21" s="22">
        <f t="shared" si="1"/>
        <v>0</v>
      </c>
    </row>
    <row r="22">
      <c r="A22" s="12">
        <v>18.0</v>
      </c>
      <c r="B22" s="65" t="s">
        <v>718</v>
      </c>
      <c r="C22" s="65">
        <v>30248.0</v>
      </c>
      <c r="D22" s="65" t="s">
        <v>673</v>
      </c>
      <c r="E22" s="14"/>
      <c r="F22" s="25">
        <v>6100.0</v>
      </c>
      <c r="G22" s="16"/>
      <c r="H22" s="17"/>
      <c r="I22" s="24"/>
      <c r="J22" s="19"/>
      <c r="K22" s="20"/>
      <c r="L22" s="57">
        <v>6100.0</v>
      </c>
      <c r="M22" s="22">
        <f t="shared" si="1"/>
        <v>0</v>
      </c>
    </row>
    <row r="23">
      <c r="A23" s="12">
        <v>19.0</v>
      </c>
      <c r="B23" s="65" t="s">
        <v>719</v>
      </c>
      <c r="C23" s="65">
        <v>52487.0</v>
      </c>
      <c r="D23" s="65" t="s">
        <v>720</v>
      </c>
      <c r="E23" s="14"/>
      <c r="F23" s="25"/>
      <c r="G23" s="16"/>
      <c r="H23" s="17">
        <v>5000.0</v>
      </c>
      <c r="I23" s="18"/>
      <c r="J23" s="19"/>
      <c r="K23" s="20"/>
      <c r="L23" s="57">
        <v>5000.0</v>
      </c>
      <c r="M23" s="22">
        <f t="shared" si="1"/>
        <v>0</v>
      </c>
    </row>
    <row r="24">
      <c r="A24" s="12">
        <v>20.0</v>
      </c>
      <c r="B24" s="65" t="s">
        <v>721</v>
      </c>
      <c r="C24" s="65">
        <v>52195.0</v>
      </c>
      <c r="D24" s="65" t="s">
        <v>722</v>
      </c>
      <c r="E24" s="14"/>
      <c r="F24" s="25"/>
      <c r="G24" s="16"/>
      <c r="H24" s="17">
        <v>850.0</v>
      </c>
      <c r="I24" s="18"/>
      <c r="J24" s="19"/>
      <c r="K24" s="20"/>
      <c r="L24" s="57">
        <v>850.0</v>
      </c>
      <c r="M24" s="22">
        <f t="shared" si="1"/>
        <v>0</v>
      </c>
    </row>
    <row r="25">
      <c r="A25" s="12">
        <v>21.0</v>
      </c>
      <c r="B25" s="65" t="s">
        <v>723</v>
      </c>
      <c r="C25" s="65">
        <v>30248.0</v>
      </c>
      <c r="D25" s="65" t="s">
        <v>673</v>
      </c>
      <c r="E25" s="14"/>
      <c r="F25" s="25">
        <v>840.0</v>
      </c>
      <c r="G25" s="16"/>
      <c r="H25" s="17"/>
      <c r="I25" s="24"/>
      <c r="J25" s="19"/>
      <c r="K25" s="20"/>
      <c r="L25" s="57">
        <v>840.0</v>
      </c>
      <c r="M25" s="22">
        <f t="shared" si="1"/>
        <v>0</v>
      </c>
    </row>
    <row r="26">
      <c r="A26" s="12">
        <v>22.0</v>
      </c>
      <c r="B26" s="65" t="s">
        <v>724</v>
      </c>
      <c r="C26" s="65">
        <v>43381.0</v>
      </c>
      <c r="D26" s="65" t="s">
        <v>97</v>
      </c>
      <c r="E26" s="14"/>
      <c r="F26" s="25"/>
      <c r="G26" s="16"/>
      <c r="H26" s="17">
        <v>16250.0</v>
      </c>
      <c r="I26" s="24"/>
      <c r="J26" s="19"/>
      <c r="K26" s="20"/>
      <c r="L26" s="57">
        <v>16250.0</v>
      </c>
      <c r="M26" s="22">
        <f t="shared" si="1"/>
        <v>0</v>
      </c>
    </row>
    <row r="27">
      <c r="A27" s="12">
        <v>23.0</v>
      </c>
      <c r="B27" s="65" t="s">
        <v>725</v>
      </c>
      <c r="C27" s="65">
        <v>47787.0</v>
      </c>
      <c r="D27" s="65" t="s">
        <v>161</v>
      </c>
      <c r="E27" s="14"/>
      <c r="F27" s="25"/>
      <c r="G27" s="16"/>
      <c r="H27" s="17">
        <v>10000.0</v>
      </c>
      <c r="I27" s="24"/>
      <c r="J27" s="19"/>
      <c r="K27" s="20"/>
      <c r="L27" s="57">
        <v>10000.0</v>
      </c>
      <c r="M27" s="22">
        <f t="shared" si="1"/>
        <v>0</v>
      </c>
    </row>
    <row r="28">
      <c r="A28" s="12">
        <v>24.0</v>
      </c>
      <c r="B28" s="65" t="s">
        <v>726</v>
      </c>
      <c r="C28" s="65">
        <v>47787.0</v>
      </c>
      <c r="D28" s="65" t="s">
        <v>161</v>
      </c>
      <c r="E28" s="14"/>
      <c r="F28" s="25"/>
      <c r="G28" s="16"/>
      <c r="H28" s="17">
        <v>350.0</v>
      </c>
      <c r="I28" s="24"/>
      <c r="J28" s="19"/>
      <c r="K28" s="20"/>
      <c r="L28" s="57">
        <v>350.0</v>
      </c>
      <c r="M28" s="22">
        <f t="shared" si="1"/>
        <v>0</v>
      </c>
    </row>
    <row r="29">
      <c r="A29" s="12">
        <v>25.0</v>
      </c>
      <c r="B29" s="65" t="s">
        <v>727</v>
      </c>
      <c r="C29" s="65">
        <v>21937.0</v>
      </c>
      <c r="D29" s="65" t="s">
        <v>350</v>
      </c>
      <c r="E29" s="14"/>
      <c r="F29" s="25"/>
      <c r="G29" s="16"/>
      <c r="H29" s="17">
        <v>11700.0</v>
      </c>
      <c r="I29" s="24"/>
      <c r="J29" s="19"/>
      <c r="K29" s="20"/>
      <c r="L29" s="57">
        <v>11700.0</v>
      </c>
      <c r="M29" s="22">
        <f t="shared" si="1"/>
        <v>0</v>
      </c>
    </row>
    <row r="30">
      <c r="A30" s="12">
        <v>26.0</v>
      </c>
      <c r="B30" s="65" t="s">
        <v>728</v>
      </c>
      <c r="C30" s="65">
        <v>22332.0</v>
      </c>
      <c r="D30" s="65" t="s">
        <v>78</v>
      </c>
      <c r="E30" s="14"/>
      <c r="F30" s="25"/>
      <c r="G30" s="16"/>
      <c r="H30" s="17">
        <v>80.0</v>
      </c>
      <c r="I30" s="18"/>
      <c r="J30" s="19"/>
      <c r="K30" s="20"/>
      <c r="L30" s="57">
        <v>80.0</v>
      </c>
      <c r="M30" s="22">
        <f t="shared" si="1"/>
        <v>0</v>
      </c>
    </row>
    <row r="31">
      <c r="A31" s="12">
        <v>27.0</v>
      </c>
      <c r="B31" s="65" t="s">
        <v>729</v>
      </c>
      <c r="C31" s="65">
        <v>47181.0</v>
      </c>
      <c r="D31" s="65" t="s">
        <v>730</v>
      </c>
      <c r="E31" s="14"/>
      <c r="F31" s="25"/>
      <c r="G31" s="16"/>
      <c r="H31" s="17">
        <v>5000.0</v>
      </c>
      <c r="I31" s="18"/>
      <c r="J31" s="19"/>
      <c r="K31" s="20"/>
      <c r="L31" s="57">
        <v>5000.0</v>
      </c>
      <c r="M31" s="22">
        <f t="shared" si="1"/>
        <v>0</v>
      </c>
    </row>
    <row r="32">
      <c r="A32" s="12">
        <v>28.0</v>
      </c>
      <c r="B32" s="65" t="s">
        <v>731</v>
      </c>
      <c r="C32" s="65">
        <v>47182.0</v>
      </c>
      <c r="D32" s="65" t="s">
        <v>732</v>
      </c>
      <c r="E32" s="14"/>
      <c r="F32" s="25"/>
      <c r="G32" s="16"/>
      <c r="H32" s="17">
        <v>5400.0</v>
      </c>
      <c r="I32" s="24"/>
      <c r="J32" s="19"/>
      <c r="K32" s="20"/>
      <c r="L32" s="57">
        <v>5400.0</v>
      </c>
      <c r="M32" s="22">
        <f t="shared" si="1"/>
        <v>0</v>
      </c>
    </row>
    <row r="33">
      <c r="A33" s="12">
        <v>29.0</v>
      </c>
      <c r="B33" s="65" t="s">
        <v>733</v>
      </c>
      <c r="C33" s="65">
        <v>49203.0</v>
      </c>
      <c r="D33" s="65" t="s">
        <v>734</v>
      </c>
      <c r="E33" s="14"/>
      <c r="F33" s="25"/>
      <c r="G33" s="16"/>
      <c r="H33" s="17"/>
      <c r="I33" s="18">
        <v>850.0</v>
      </c>
      <c r="J33" s="19"/>
      <c r="K33" s="20"/>
      <c r="L33" s="57">
        <v>850.0</v>
      </c>
      <c r="M33" s="22">
        <f t="shared" si="1"/>
        <v>0</v>
      </c>
    </row>
    <row r="34">
      <c r="A34" s="12">
        <v>30.0</v>
      </c>
      <c r="B34" s="65" t="s">
        <v>735</v>
      </c>
      <c r="C34" s="65">
        <v>13133.0</v>
      </c>
      <c r="D34" s="65" t="s">
        <v>736</v>
      </c>
      <c r="E34" s="14"/>
      <c r="F34" s="25"/>
      <c r="G34" s="16"/>
      <c r="H34" s="17"/>
      <c r="I34" s="18">
        <v>5000.0</v>
      </c>
      <c r="J34" s="19"/>
      <c r="K34" s="20"/>
      <c r="L34" s="57">
        <v>5000.0</v>
      </c>
      <c r="M34" s="22">
        <f t="shared" si="1"/>
        <v>0</v>
      </c>
    </row>
    <row r="35">
      <c r="A35" s="12">
        <v>31.0</v>
      </c>
      <c r="B35" s="65" t="s">
        <v>737</v>
      </c>
      <c r="C35" s="65">
        <v>13133.0</v>
      </c>
      <c r="D35" s="65" t="s">
        <v>736</v>
      </c>
      <c r="E35" s="14"/>
      <c r="F35" s="25"/>
      <c r="G35" s="16"/>
      <c r="H35" s="17"/>
      <c r="I35" s="18">
        <v>5000.0</v>
      </c>
      <c r="J35" s="19"/>
      <c r="K35" s="20"/>
      <c r="L35" s="57">
        <v>5000.0</v>
      </c>
      <c r="M35" s="22">
        <f t="shared" si="1"/>
        <v>0</v>
      </c>
    </row>
    <row r="36">
      <c r="A36" s="12">
        <v>32.0</v>
      </c>
      <c r="B36" s="65" t="s">
        <v>738</v>
      </c>
      <c r="C36" s="65">
        <v>21384.0</v>
      </c>
      <c r="D36" s="65" t="s">
        <v>151</v>
      </c>
      <c r="E36" s="14"/>
      <c r="F36" s="25"/>
      <c r="G36" s="16"/>
      <c r="H36" s="17">
        <v>350.0</v>
      </c>
      <c r="I36" s="24"/>
      <c r="J36" s="19"/>
      <c r="K36" s="20"/>
      <c r="L36" s="57">
        <v>350.0</v>
      </c>
      <c r="M36" s="22">
        <f t="shared" si="1"/>
        <v>0</v>
      </c>
    </row>
    <row r="37">
      <c r="A37" s="12">
        <v>33.0</v>
      </c>
      <c r="B37" s="65" t="s">
        <v>739</v>
      </c>
      <c r="C37" s="65">
        <v>50474.0</v>
      </c>
      <c r="D37" s="65" t="s">
        <v>740</v>
      </c>
      <c r="E37" s="14"/>
      <c r="F37" s="25"/>
      <c r="G37" s="16"/>
      <c r="H37" s="17"/>
      <c r="I37" s="18">
        <v>30000.0</v>
      </c>
      <c r="J37" s="19"/>
      <c r="K37" s="20"/>
      <c r="L37" s="57">
        <v>30000.0</v>
      </c>
      <c r="M37" s="22">
        <f t="shared" si="1"/>
        <v>0</v>
      </c>
    </row>
    <row r="38">
      <c r="A38" s="12">
        <v>34.0</v>
      </c>
      <c r="B38" s="65" t="s">
        <v>741</v>
      </c>
      <c r="C38" s="65">
        <v>57521.0</v>
      </c>
      <c r="D38" s="65" t="s">
        <v>742</v>
      </c>
      <c r="E38" s="14"/>
      <c r="F38" s="25"/>
      <c r="G38" s="16"/>
      <c r="H38" s="17">
        <v>27000.0</v>
      </c>
      <c r="I38" s="24"/>
      <c r="J38" s="19"/>
      <c r="K38" s="20"/>
      <c r="L38" s="57">
        <v>27000.0</v>
      </c>
      <c r="M38" s="22">
        <f t="shared" si="1"/>
        <v>0</v>
      </c>
    </row>
    <row r="39">
      <c r="A39" s="12">
        <v>35.0</v>
      </c>
      <c r="B39" s="65" t="s">
        <v>743</v>
      </c>
      <c r="C39" s="65">
        <v>35245.0</v>
      </c>
      <c r="D39" s="65" t="s">
        <v>330</v>
      </c>
      <c r="E39" s="14"/>
      <c r="F39" s="25"/>
      <c r="G39" s="16"/>
      <c r="H39" s="17">
        <v>453.0</v>
      </c>
      <c r="I39" s="24"/>
      <c r="J39" s="19"/>
      <c r="K39" s="20"/>
      <c r="L39" s="57">
        <v>453.0</v>
      </c>
      <c r="M39" s="22">
        <f t="shared" si="1"/>
        <v>0</v>
      </c>
    </row>
    <row r="40">
      <c r="A40" s="12">
        <v>36.0</v>
      </c>
      <c r="B40" s="65" t="s">
        <v>744</v>
      </c>
      <c r="C40" s="65">
        <v>49203.0</v>
      </c>
      <c r="D40" s="65" t="s">
        <v>734</v>
      </c>
      <c r="E40" s="14"/>
      <c r="F40" s="25"/>
      <c r="G40" s="16"/>
      <c r="H40" s="17"/>
      <c r="I40" s="18">
        <v>350.0</v>
      </c>
      <c r="J40" s="19"/>
      <c r="K40" s="20"/>
      <c r="L40" s="57">
        <v>350.0</v>
      </c>
      <c r="M40" s="22">
        <f t="shared" si="1"/>
        <v>0</v>
      </c>
    </row>
    <row r="41">
      <c r="A41" s="12">
        <v>37.0</v>
      </c>
      <c r="B41" s="65" t="s">
        <v>745</v>
      </c>
      <c r="C41" s="65">
        <v>47787.0</v>
      </c>
      <c r="D41" s="65" t="s">
        <v>161</v>
      </c>
      <c r="E41" s="14"/>
      <c r="F41" s="25"/>
      <c r="G41" s="16"/>
      <c r="H41" s="17">
        <v>1250.0</v>
      </c>
      <c r="I41" s="24"/>
      <c r="J41" s="19"/>
      <c r="K41" s="20"/>
      <c r="L41" s="57">
        <v>1250.0</v>
      </c>
      <c r="M41" s="22">
        <f t="shared" si="1"/>
        <v>0</v>
      </c>
    </row>
    <row r="42">
      <c r="A42" s="12">
        <v>38.0</v>
      </c>
      <c r="B42" s="65" t="s">
        <v>746</v>
      </c>
      <c r="C42" s="65">
        <v>48631.0</v>
      </c>
      <c r="D42" s="65" t="s">
        <v>123</v>
      </c>
      <c r="E42" s="14"/>
      <c r="F42" s="25"/>
      <c r="G42" s="16"/>
      <c r="H42" s="17">
        <v>1250.0</v>
      </c>
      <c r="I42" s="24"/>
      <c r="J42" s="19"/>
      <c r="K42" s="20"/>
      <c r="L42" s="57">
        <v>1250.0</v>
      </c>
      <c r="M42" s="22">
        <f t="shared" si="1"/>
        <v>0</v>
      </c>
    </row>
    <row r="43">
      <c r="A43" s="12">
        <v>39.0</v>
      </c>
      <c r="B43" s="65" t="s">
        <v>747</v>
      </c>
      <c r="C43" s="65">
        <v>54980.0</v>
      </c>
      <c r="D43" s="65" t="s">
        <v>748</v>
      </c>
      <c r="E43" s="14"/>
      <c r="F43" s="25"/>
      <c r="G43" s="16"/>
      <c r="H43" s="17"/>
      <c r="I43" s="18">
        <v>300.0</v>
      </c>
      <c r="J43" s="19"/>
      <c r="K43" s="20"/>
      <c r="L43" s="57">
        <v>300.0</v>
      </c>
      <c r="M43" s="22">
        <f t="shared" si="1"/>
        <v>0</v>
      </c>
    </row>
    <row r="44">
      <c r="A44" s="12">
        <v>40.0</v>
      </c>
      <c r="B44" s="65" t="s">
        <v>749</v>
      </c>
      <c r="C44" s="65">
        <v>58054.0</v>
      </c>
      <c r="D44" s="65" t="s">
        <v>750</v>
      </c>
      <c r="E44" s="14"/>
      <c r="F44" s="25"/>
      <c r="G44" s="16"/>
      <c r="H44" s="17">
        <v>3600.0</v>
      </c>
      <c r="I44" s="24"/>
      <c r="J44" s="19"/>
      <c r="K44" s="20"/>
      <c r="L44" s="57">
        <v>3600.0</v>
      </c>
      <c r="M44" s="22">
        <f t="shared" si="1"/>
        <v>0</v>
      </c>
    </row>
    <row r="45">
      <c r="A45" s="12">
        <v>41.0</v>
      </c>
      <c r="B45" s="65" t="s">
        <v>751</v>
      </c>
      <c r="C45" s="65">
        <v>58055.0</v>
      </c>
      <c r="D45" s="65" t="s">
        <v>752</v>
      </c>
      <c r="E45" s="14"/>
      <c r="F45" s="25"/>
      <c r="G45" s="16"/>
      <c r="H45" s="17">
        <v>3600.0</v>
      </c>
      <c r="I45" s="24"/>
      <c r="J45" s="19"/>
      <c r="K45" s="20"/>
      <c r="L45" s="57">
        <v>3600.0</v>
      </c>
      <c r="M45" s="22">
        <f t="shared" si="1"/>
        <v>0</v>
      </c>
    </row>
    <row r="46">
      <c r="A46" s="12">
        <v>42.0</v>
      </c>
      <c r="B46" s="65" t="s">
        <v>753</v>
      </c>
      <c r="C46" s="65">
        <v>45227.0</v>
      </c>
      <c r="D46" s="65" t="s">
        <v>233</v>
      </c>
      <c r="E46" s="14"/>
      <c r="F46" s="25"/>
      <c r="G46" s="16"/>
      <c r="H46" s="17">
        <v>2800.0</v>
      </c>
      <c r="I46" s="24"/>
      <c r="J46" s="19"/>
      <c r="K46" s="20"/>
      <c r="L46" s="57">
        <v>2800.0</v>
      </c>
      <c r="M46" s="22">
        <f t="shared" si="1"/>
        <v>0</v>
      </c>
    </row>
    <row r="47">
      <c r="A47" s="12">
        <v>43.0</v>
      </c>
      <c r="B47" s="65" t="s">
        <v>754</v>
      </c>
      <c r="C47" s="65">
        <v>55040.0</v>
      </c>
      <c r="D47" s="65" t="s">
        <v>755</v>
      </c>
      <c r="E47" s="14"/>
      <c r="F47" s="25"/>
      <c r="G47" s="16"/>
      <c r="H47" s="17">
        <v>4950.0</v>
      </c>
      <c r="I47" s="18"/>
      <c r="J47" s="19"/>
      <c r="K47" s="20"/>
      <c r="L47" s="57">
        <v>4950.0</v>
      </c>
      <c r="M47" s="22">
        <f t="shared" si="1"/>
        <v>0</v>
      </c>
    </row>
    <row r="48">
      <c r="A48" s="12">
        <v>44.0</v>
      </c>
      <c r="B48" s="65" t="s">
        <v>756</v>
      </c>
      <c r="C48" s="65">
        <v>13781.0</v>
      </c>
      <c r="D48" s="65" t="s">
        <v>213</v>
      </c>
      <c r="E48" s="14"/>
      <c r="F48" s="25"/>
      <c r="G48" s="16"/>
      <c r="H48" s="17">
        <v>30000.0</v>
      </c>
      <c r="I48" s="18"/>
      <c r="J48" s="19"/>
      <c r="K48" s="20"/>
      <c r="L48" s="57">
        <v>30000.0</v>
      </c>
      <c r="M48" s="22">
        <f t="shared" si="1"/>
        <v>0</v>
      </c>
    </row>
    <row r="49">
      <c r="A49" s="12">
        <v>45.0</v>
      </c>
      <c r="B49" s="65" t="s">
        <v>757</v>
      </c>
      <c r="C49" s="65">
        <v>48631.0</v>
      </c>
      <c r="D49" s="65" t="s">
        <v>123</v>
      </c>
      <c r="E49" s="14"/>
      <c r="F49" s="25"/>
      <c r="G49" s="16"/>
      <c r="H49" s="17">
        <v>5000.0</v>
      </c>
      <c r="I49" s="18"/>
      <c r="J49" s="19"/>
      <c r="K49" s="20"/>
      <c r="L49" s="57">
        <v>5000.0</v>
      </c>
      <c r="M49" s="22">
        <f t="shared" si="1"/>
        <v>0</v>
      </c>
    </row>
    <row r="50">
      <c r="A50" s="12">
        <v>46.0</v>
      </c>
      <c r="B50" s="65" t="s">
        <v>758</v>
      </c>
      <c r="C50" s="65">
        <v>51686.0</v>
      </c>
      <c r="D50" s="65" t="s">
        <v>759</v>
      </c>
      <c r="E50" s="26"/>
      <c r="F50" s="25">
        <v>7500.0</v>
      </c>
      <c r="G50" s="16"/>
      <c r="H50" s="17"/>
      <c r="I50" s="24"/>
      <c r="J50" s="19"/>
      <c r="K50" s="20"/>
      <c r="L50" s="57">
        <v>7500.0</v>
      </c>
      <c r="M50" s="22">
        <f t="shared" si="1"/>
        <v>0</v>
      </c>
    </row>
    <row r="51">
      <c r="A51" s="12">
        <v>47.0</v>
      </c>
      <c r="B51" s="65" t="s">
        <v>760</v>
      </c>
      <c r="C51" s="65">
        <v>28414.0</v>
      </c>
      <c r="D51" s="65" t="s">
        <v>332</v>
      </c>
      <c r="E51" s="14"/>
      <c r="F51" s="25"/>
      <c r="G51" s="16"/>
      <c r="H51" s="17">
        <v>300.0</v>
      </c>
      <c r="I51" s="24"/>
      <c r="J51" s="19"/>
      <c r="K51" s="20"/>
      <c r="L51" s="57">
        <v>300.0</v>
      </c>
      <c r="M51" s="22">
        <f t="shared" si="1"/>
        <v>0</v>
      </c>
    </row>
    <row r="52">
      <c r="A52" s="12">
        <v>48.0</v>
      </c>
      <c r="B52" s="65" t="s">
        <v>761</v>
      </c>
      <c r="C52" s="65">
        <v>50439.0</v>
      </c>
      <c r="D52" s="65" t="s">
        <v>762</v>
      </c>
      <c r="E52" s="14"/>
      <c r="F52" s="25"/>
      <c r="G52" s="16"/>
      <c r="H52" s="17">
        <v>5000.0</v>
      </c>
      <c r="I52" s="18"/>
      <c r="J52" s="19"/>
      <c r="K52" s="20"/>
      <c r="L52" s="57">
        <v>5000.0</v>
      </c>
      <c r="M52" s="22">
        <f t="shared" si="1"/>
        <v>0</v>
      </c>
    </row>
    <row r="53">
      <c r="A53" s="12">
        <v>49.0</v>
      </c>
      <c r="B53" s="65" t="s">
        <v>763</v>
      </c>
      <c r="C53" s="65">
        <v>50439.0</v>
      </c>
      <c r="D53" s="65" t="s">
        <v>762</v>
      </c>
      <c r="E53" s="14"/>
      <c r="F53" s="25"/>
      <c r="G53" s="16"/>
      <c r="H53" s="17">
        <v>5000.0</v>
      </c>
      <c r="I53" s="18"/>
      <c r="J53" s="19"/>
      <c r="K53" s="20"/>
      <c r="L53" s="57">
        <v>5000.0</v>
      </c>
      <c r="M53" s="22">
        <f t="shared" si="1"/>
        <v>0</v>
      </c>
    </row>
    <row r="54">
      <c r="A54" s="12">
        <v>50.0</v>
      </c>
      <c r="B54" s="65" t="s">
        <v>764</v>
      </c>
      <c r="C54" s="65">
        <v>56600.0</v>
      </c>
      <c r="D54" s="65" t="s">
        <v>324</v>
      </c>
      <c r="E54" s="14"/>
      <c r="F54" s="25"/>
      <c r="G54" s="16"/>
      <c r="H54" s="17"/>
      <c r="I54" s="18">
        <v>200.0</v>
      </c>
      <c r="J54" s="19"/>
      <c r="K54" s="20"/>
      <c r="L54" s="57">
        <v>200.0</v>
      </c>
      <c r="M54" s="22">
        <f t="shared" si="1"/>
        <v>0</v>
      </c>
    </row>
    <row r="55">
      <c r="A55" s="12">
        <v>51.0</v>
      </c>
      <c r="B55" s="65" t="s">
        <v>765</v>
      </c>
      <c r="C55" s="65">
        <v>50439.0</v>
      </c>
      <c r="D55" s="65" t="s">
        <v>762</v>
      </c>
      <c r="E55" s="14"/>
      <c r="F55" s="25"/>
      <c r="G55" s="16"/>
      <c r="H55" s="17">
        <v>2650.0</v>
      </c>
      <c r="I55" s="18"/>
      <c r="J55" s="19"/>
      <c r="K55" s="20"/>
      <c r="L55" s="57">
        <v>2650.0</v>
      </c>
      <c r="M55" s="22">
        <f t="shared" si="1"/>
        <v>0</v>
      </c>
    </row>
    <row r="56">
      <c r="A56" s="12">
        <v>52.0</v>
      </c>
      <c r="B56" s="65" t="s">
        <v>766</v>
      </c>
      <c r="C56" s="65">
        <v>56980.0</v>
      </c>
      <c r="D56" s="65" t="s">
        <v>767</v>
      </c>
      <c r="E56" s="14"/>
      <c r="F56" s="25"/>
      <c r="G56" s="16"/>
      <c r="H56" s="17">
        <v>600.0</v>
      </c>
      <c r="I56" s="24"/>
      <c r="J56" s="19"/>
      <c r="K56" s="20"/>
      <c r="L56" s="57">
        <v>600.0</v>
      </c>
      <c r="M56" s="22">
        <f t="shared" si="1"/>
        <v>0</v>
      </c>
    </row>
    <row r="57">
      <c r="A57" s="12">
        <v>53.0</v>
      </c>
      <c r="B57" s="65" t="s">
        <v>768</v>
      </c>
      <c r="C57" s="65">
        <v>50436.0</v>
      </c>
      <c r="D57" s="65" t="s">
        <v>561</v>
      </c>
      <c r="E57" s="26"/>
      <c r="F57" s="25"/>
      <c r="G57" s="16"/>
      <c r="H57" s="17">
        <v>600.0</v>
      </c>
      <c r="I57" s="24"/>
      <c r="J57" s="19"/>
      <c r="K57" s="20"/>
      <c r="L57" s="57">
        <v>600.0</v>
      </c>
      <c r="M57" s="22">
        <f t="shared" si="1"/>
        <v>0</v>
      </c>
    </row>
    <row r="58">
      <c r="A58" s="12">
        <v>54.0</v>
      </c>
      <c r="B58" s="65" t="s">
        <v>769</v>
      </c>
      <c r="C58" s="65">
        <v>55903.0</v>
      </c>
      <c r="D58" s="65" t="s">
        <v>770</v>
      </c>
      <c r="E58" s="14"/>
      <c r="F58" s="25"/>
      <c r="G58" s="16"/>
      <c r="H58" s="17"/>
      <c r="I58" s="18">
        <v>10000.0</v>
      </c>
      <c r="J58" s="19"/>
      <c r="K58" s="20"/>
      <c r="L58" s="57">
        <v>10000.0</v>
      </c>
      <c r="M58" s="22">
        <f t="shared" si="1"/>
        <v>0</v>
      </c>
    </row>
    <row r="59">
      <c r="A59" s="12">
        <v>55.0</v>
      </c>
      <c r="B59" s="65" t="s">
        <v>771</v>
      </c>
      <c r="C59" s="65">
        <v>52611.0</v>
      </c>
      <c r="D59" s="65" t="s">
        <v>772</v>
      </c>
      <c r="E59" s="14"/>
      <c r="F59" s="25"/>
      <c r="G59" s="16"/>
      <c r="H59" s="17"/>
      <c r="I59" s="18">
        <v>2500.0</v>
      </c>
      <c r="J59" s="19"/>
      <c r="K59" s="20"/>
      <c r="L59" s="57">
        <v>2500.0</v>
      </c>
      <c r="M59" s="22">
        <f t="shared" si="1"/>
        <v>0</v>
      </c>
    </row>
    <row r="60">
      <c r="A60" s="12">
        <v>56.0</v>
      </c>
      <c r="B60" s="65" t="s">
        <v>773</v>
      </c>
      <c r="C60" s="65">
        <v>58056.0</v>
      </c>
      <c r="D60" s="65" t="s">
        <v>774</v>
      </c>
      <c r="E60" s="14"/>
      <c r="F60" s="25"/>
      <c r="G60" s="16"/>
      <c r="H60" s="17"/>
      <c r="I60" s="18">
        <v>27000.0</v>
      </c>
      <c r="J60" s="19"/>
      <c r="K60" s="20"/>
      <c r="L60" s="57">
        <v>27000.0</v>
      </c>
      <c r="M60" s="22">
        <f t="shared" si="1"/>
        <v>0</v>
      </c>
    </row>
    <row r="61">
      <c r="A61" s="12">
        <v>57.0</v>
      </c>
      <c r="B61" s="65" t="s">
        <v>775</v>
      </c>
      <c r="C61" s="65">
        <v>56980.0</v>
      </c>
      <c r="D61" s="65" t="s">
        <v>767</v>
      </c>
      <c r="E61" s="14"/>
      <c r="F61" s="25">
        <v>7500.0</v>
      </c>
      <c r="G61" s="16"/>
      <c r="H61" s="17"/>
      <c r="I61" s="24"/>
      <c r="J61" s="19"/>
      <c r="K61" s="20"/>
      <c r="L61" s="57">
        <v>7500.0</v>
      </c>
      <c r="M61" s="22">
        <f t="shared" si="1"/>
        <v>0</v>
      </c>
    </row>
    <row r="62">
      <c r="A62" s="12">
        <v>58.0</v>
      </c>
      <c r="B62" s="65" t="s">
        <v>776</v>
      </c>
      <c r="C62" s="65">
        <v>56980.0</v>
      </c>
      <c r="D62" s="65" t="s">
        <v>767</v>
      </c>
      <c r="E62" s="14"/>
      <c r="F62" s="25">
        <v>8200.0</v>
      </c>
      <c r="G62" s="16"/>
      <c r="H62" s="17"/>
      <c r="I62" s="24"/>
      <c r="J62" s="19"/>
      <c r="K62" s="20"/>
      <c r="L62" s="57">
        <v>8200.0</v>
      </c>
      <c r="M62" s="22">
        <f t="shared" si="1"/>
        <v>0</v>
      </c>
    </row>
    <row r="63">
      <c r="A63" s="12">
        <v>59.0</v>
      </c>
      <c r="B63" s="65" t="s">
        <v>777</v>
      </c>
      <c r="C63" s="65">
        <v>49953.0</v>
      </c>
      <c r="D63" s="65" t="s">
        <v>62</v>
      </c>
      <c r="E63" s="14"/>
      <c r="F63" s="25"/>
      <c r="G63" s="28">
        <v>12000.0</v>
      </c>
      <c r="H63" s="17"/>
      <c r="I63" s="24"/>
      <c r="J63" s="19"/>
      <c r="K63" s="20"/>
      <c r="L63" s="57">
        <v>12000.0</v>
      </c>
      <c r="M63" s="22">
        <f t="shared" si="1"/>
        <v>0</v>
      </c>
    </row>
    <row r="64">
      <c r="A64" s="12">
        <v>60.0</v>
      </c>
      <c r="B64" s="65" t="s">
        <v>778</v>
      </c>
      <c r="C64" s="65">
        <v>51017.0</v>
      </c>
      <c r="D64" s="65" t="s">
        <v>477</v>
      </c>
      <c r="E64" s="14"/>
      <c r="F64" s="25"/>
      <c r="G64" s="28">
        <v>17450.0</v>
      </c>
      <c r="H64" s="17"/>
      <c r="I64" s="24"/>
      <c r="J64" s="19"/>
      <c r="K64" s="20"/>
      <c r="L64" s="57">
        <v>17450.0</v>
      </c>
      <c r="M64" s="22">
        <f t="shared" si="1"/>
        <v>0</v>
      </c>
    </row>
    <row r="65">
      <c r="A65" s="12">
        <v>61.0</v>
      </c>
      <c r="B65" s="65" t="s">
        <v>779</v>
      </c>
      <c r="C65" s="65">
        <v>12102.0</v>
      </c>
      <c r="D65" s="65" t="s">
        <v>113</v>
      </c>
      <c r="E65" s="14"/>
      <c r="F65" s="25"/>
      <c r="G65" s="28">
        <v>11506.0</v>
      </c>
      <c r="H65" s="17"/>
      <c r="I65" s="24"/>
      <c r="J65" s="19"/>
      <c r="K65" s="20"/>
      <c r="L65" s="57">
        <v>11506.0</v>
      </c>
      <c r="M65" s="22">
        <f t="shared" si="1"/>
        <v>0</v>
      </c>
    </row>
    <row r="66">
      <c r="A66" s="12">
        <v>62.0</v>
      </c>
      <c r="B66" s="65" t="s">
        <v>780</v>
      </c>
      <c r="C66" s="65">
        <v>49918.0</v>
      </c>
      <c r="D66" s="65" t="s">
        <v>781</v>
      </c>
      <c r="E66" s="14"/>
      <c r="F66" s="25"/>
      <c r="G66" s="28">
        <v>1050.0</v>
      </c>
      <c r="H66" s="23"/>
      <c r="I66" s="18"/>
      <c r="J66" s="19"/>
      <c r="K66" s="20"/>
      <c r="L66" s="57">
        <v>1050.0</v>
      </c>
      <c r="M66" s="22">
        <f t="shared" si="1"/>
        <v>0</v>
      </c>
    </row>
    <row r="67">
      <c r="A67" s="30"/>
      <c r="B67" s="31"/>
      <c r="C67" s="12"/>
      <c r="D67" s="30"/>
      <c r="E67" s="32">
        <f t="shared" ref="E67:L67" si="2">SUM(E5:E66)</f>
        <v>5000</v>
      </c>
      <c r="F67" s="32">
        <f t="shared" si="2"/>
        <v>30140</v>
      </c>
      <c r="G67" s="32">
        <f t="shared" si="2"/>
        <v>42006</v>
      </c>
      <c r="H67" s="32">
        <f t="shared" si="2"/>
        <v>357169</v>
      </c>
      <c r="I67" s="32">
        <f t="shared" si="2"/>
        <v>81200</v>
      </c>
      <c r="J67" s="32">
        <f t="shared" si="2"/>
        <v>0</v>
      </c>
      <c r="K67" s="32">
        <f t="shared" si="2"/>
        <v>15000</v>
      </c>
      <c r="L67" s="32">
        <f t="shared" si="2"/>
        <v>530515</v>
      </c>
      <c r="M67" s="22"/>
    </row>
    <row r="68">
      <c r="A68" s="33"/>
      <c r="B68" s="33"/>
      <c r="C68" s="63"/>
      <c r="D68" s="33"/>
      <c r="E68" s="34">
        <f>E67+F67+G67+H67+I67+J67+K67</f>
        <v>530515</v>
      </c>
      <c r="F68" s="6"/>
      <c r="G68" s="6"/>
      <c r="H68" s="6"/>
      <c r="I68" s="6"/>
      <c r="J68" s="6"/>
      <c r="K68" s="7"/>
      <c r="L68" s="35"/>
      <c r="M68" s="33"/>
    </row>
    <row r="69">
      <c r="C69" s="64"/>
    </row>
    <row r="70">
      <c r="C70" s="64"/>
    </row>
    <row r="71">
      <c r="C71" s="64"/>
    </row>
    <row r="72">
      <c r="C72" s="64"/>
    </row>
    <row r="73">
      <c r="C73" s="64"/>
    </row>
    <row r="74">
      <c r="C74" s="64"/>
    </row>
    <row r="75">
      <c r="C75" s="64"/>
    </row>
    <row r="76">
      <c r="C76" s="64"/>
    </row>
    <row r="77">
      <c r="C77" s="64"/>
    </row>
    <row r="78">
      <c r="C78" s="64"/>
    </row>
    <row r="79">
      <c r="C79" s="64"/>
    </row>
    <row r="80">
      <c r="C80" s="64"/>
    </row>
    <row r="81">
      <c r="C81" s="64"/>
    </row>
    <row r="82">
      <c r="C82" s="64"/>
    </row>
    <row r="83">
      <c r="C83" s="64"/>
    </row>
    <row r="84">
      <c r="C84" s="64"/>
    </row>
    <row r="85">
      <c r="C85" s="64"/>
    </row>
    <row r="86">
      <c r="C86" s="64"/>
    </row>
    <row r="87">
      <c r="C87" s="64"/>
    </row>
    <row r="88">
      <c r="C88" s="64"/>
    </row>
    <row r="89">
      <c r="C89" s="64"/>
    </row>
    <row r="90">
      <c r="C90" s="64"/>
    </row>
    <row r="91">
      <c r="C91" s="64"/>
    </row>
    <row r="92">
      <c r="C92" s="64"/>
    </row>
    <row r="93">
      <c r="C93" s="64"/>
    </row>
    <row r="94">
      <c r="C94" s="64"/>
    </row>
    <row r="95">
      <c r="C95" s="64"/>
    </row>
    <row r="96">
      <c r="C96" s="64"/>
    </row>
    <row r="97">
      <c r="C97" s="64"/>
    </row>
    <row r="98">
      <c r="C98" s="64"/>
    </row>
    <row r="99">
      <c r="C99" s="64"/>
    </row>
    <row r="100">
      <c r="C100" s="64"/>
    </row>
    <row r="101">
      <c r="C101" s="64"/>
    </row>
    <row r="102">
      <c r="C102" s="64"/>
    </row>
    <row r="103">
      <c r="C103" s="64"/>
    </row>
    <row r="104">
      <c r="C104" s="64"/>
    </row>
    <row r="105">
      <c r="C105" s="64"/>
    </row>
    <row r="106">
      <c r="C106" s="64"/>
    </row>
    <row r="107">
      <c r="C107" s="64"/>
    </row>
    <row r="108">
      <c r="C108" s="64"/>
    </row>
    <row r="109">
      <c r="C109" s="64"/>
    </row>
    <row r="110">
      <c r="C110" s="64"/>
    </row>
    <row r="111">
      <c r="C111" s="64"/>
    </row>
    <row r="112">
      <c r="C112" s="64"/>
    </row>
    <row r="113">
      <c r="C113" s="64"/>
    </row>
    <row r="114">
      <c r="C114" s="64"/>
    </row>
    <row r="115">
      <c r="C115" s="64"/>
    </row>
    <row r="116">
      <c r="C116" s="64"/>
    </row>
    <row r="117">
      <c r="C117" s="64"/>
    </row>
    <row r="118">
      <c r="C118" s="64"/>
    </row>
    <row r="119">
      <c r="C119" s="64"/>
    </row>
    <row r="120">
      <c r="C120" s="64"/>
    </row>
    <row r="121">
      <c r="C121" s="64"/>
    </row>
    <row r="122">
      <c r="C122" s="64"/>
    </row>
    <row r="123">
      <c r="C123" s="64"/>
    </row>
    <row r="124">
      <c r="C124" s="64"/>
    </row>
    <row r="125">
      <c r="C125" s="64"/>
    </row>
    <row r="126">
      <c r="C126" s="64"/>
    </row>
    <row r="127">
      <c r="C127" s="64"/>
    </row>
    <row r="128">
      <c r="C128" s="64"/>
    </row>
    <row r="129">
      <c r="C129" s="64"/>
    </row>
    <row r="130">
      <c r="C130" s="64"/>
    </row>
    <row r="131">
      <c r="C131" s="64"/>
    </row>
    <row r="132">
      <c r="C132" s="64"/>
    </row>
    <row r="133">
      <c r="C133" s="64"/>
    </row>
    <row r="134">
      <c r="C134" s="64"/>
    </row>
    <row r="135">
      <c r="C135" s="64"/>
    </row>
    <row r="136">
      <c r="C136" s="64"/>
    </row>
    <row r="137">
      <c r="C137" s="64"/>
    </row>
    <row r="138">
      <c r="C138" s="64"/>
    </row>
    <row r="139">
      <c r="C139" s="64"/>
    </row>
    <row r="140">
      <c r="C140" s="64"/>
    </row>
    <row r="141">
      <c r="C141" s="64"/>
    </row>
    <row r="142">
      <c r="C142" s="64"/>
    </row>
    <row r="143">
      <c r="C143" s="64"/>
    </row>
    <row r="144">
      <c r="C144" s="64"/>
    </row>
    <row r="145">
      <c r="C145" s="64"/>
    </row>
    <row r="146">
      <c r="C146" s="64"/>
    </row>
    <row r="147">
      <c r="C147" s="64"/>
    </row>
    <row r="148">
      <c r="C148" s="64"/>
    </row>
    <row r="149">
      <c r="C149" s="64"/>
    </row>
    <row r="150">
      <c r="C150" s="64"/>
    </row>
    <row r="151">
      <c r="C151" s="64"/>
    </row>
    <row r="152">
      <c r="C152" s="64"/>
    </row>
    <row r="153">
      <c r="C153" s="64"/>
    </row>
    <row r="154">
      <c r="C154" s="64"/>
    </row>
    <row r="155">
      <c r="C155" s="64"/>
    </row>
    <row r="156">
      <c r="C156" s="64"/>
    </row>
    <row r="157">
      <c r="C157" s="64"/>
    </row>
    <row r="158">
      <c r="C158" s="64"/>
    </row>
    <row r="159">
      <c r="C159" s="64"/>
    </row>
    <row r="160">
      <c r="C160" s="64"/>
    </row>
    <row r="161">
      <c r="C161" s="64"/>
    </row>
    <row r="162">
      <c r="C162" s="64"/>
    </row>
    <row r="163">
      <c r="C163" s="64"/>
    </row>
    <row r="164">
      <c r="C164" s="64"/>
    </row>
    <row r="165">
      <c r="C165" s="64"/>
    </row>
    <row r="166">
      <c r="C166" s="64"/>
    </row>
    <row r="167">
      <c r="C167" s="64"/>
    </row>
    <row r="168">
      <c r="C168" s="64"/>
    </row>
    <row r="169">
      <c r="C169" s="64"/>
    </row>
    <row r="170">
      <c r="C170" s="64"/>
    </row>
    <row r="171">
      <c r="C171" s="64"/>
    </row>
    <row r="172">
      <c r="C172" s="64"/>
    </row>
    <row r="173">
      <c r="C173" s="64"/>
    </row>
    <row r="174">
      <c r="C174" s="64"/>
    </row>
    <row r="175">
      <c r="C175" s="64"/>
    </row>
    <row r="176">
      <c r="C176" s="64"/>
    </row>
    <row r="177">
      <c r="C177" s="64"/>
    </row>
    <row r="178">
      <c r="C178" s="64"/>
    </row>
    <row r="179">
      <c r="C179" s="64"/>
    </row>
    <row r="180">
      <c r="C180" s="64"/>
    </row>
    <row r="181">
      <c r="C181" s="64"/>
    </row>
    <row r="182">
      <c r="C182" s="64"/>
    </row>
    <row r="183">
      <c r="C183" s="64"/>
    </row>
    <row r="184">
      <c r="C184" s="64"/>
    </row>
    <row r="185">
      <c r="C185" s="64"/>
    </row>
    <row r="186">
      <c r="C186" s="64"/>
    </row>
    <row r="187">
      <c r="C187" s="64"/>
    </row>
    <row r="188">
      <c r="C188" s="64"/>
    </row>
    <row r="189">
      <c r="C189" s="64"/>
    </row>
    <row r="190">
      <c r="C190" s="64"/>
    </row>
    <row r="191">
      <c r="C191" s="64"/>
    </row>
    <row r="192">
      <c r="C192" s="64"/>
    </row>
    <row r="193">
      <c r="C193" s="64"/>
    </row>
    <row r="194">
      <c r="C194" s="64"/>
    </row>
    <row r="195">
      <c r="C195" s="64"/>
    </row>
    <row r="196">
      <c r="C196" s="64"/>
    </row>
    <row r="197">
      <c r="C197" s="64"/>
    </row>
    <row r="198">
      <c r="C198" s="64"/>
    </row>
    <row r="199">
      <c r="C199" s="64"/>
    </row>
    <row r="200">
      <c r="C200" s="64"/>
    </row>
    <row r="201">
      <c r="C201" s="64"/>
    </row>
    <row r="202">
      <c r="C202" s="64"/>
    </row>
    <row r="203">
      <c r="C203" s="64"/>
    </row>
    <row r="204">
      <c r="C204" s="64"/>
    </row>
    <row r="205">
      <c r="C205" s="64"/>
    </row>
    <row r="206">
      <c r="C206" s="64"/>
    </row>
    <row r="207">
      <c r="C207" s="64"/>
    </row>
    <row r="208">
      <c r="C208" s="64"/>
    </row>
    <row r="209">
      <c r="C209" s="64"/>
    </row>
    <row r="210">
      <c r="C210" s="64"/>
    </row>
    <row r="211">
      <c r="C211" s="64"/>
    </row>
    <row r="212">
      <c r="C212" s="64"/>
    </row>
    <row r="213">
      <c r="C213" s="64"/>
    </row>
    <row r="214">
      <c r="C214" s="64"/>
    </row>
    <row r="215">
      <c r="C215" s="64"/>
    </row>
    <row r="216">
      <c r="C216" s="64"/>
    </row>
    <row r="217">
      <c r="C217" s="64"/>
    </row>
    <row r="218">
      <c r="C218" s="64"/>
    </row>
    <row r="219">
      <c r="C219" s="64"/>
    </row>
    <row r="220">
      <c r="C220" s="64"/>
    </row>
    <row r="221">
      <c r="C221" s="64"/>
    </row>
    <row r="222">
      <c r="C222" s="64"/>
    </row>
    <row r="223">
      <c r="C223" s="64"/>
    </row>
    <row r="224">
      <c r="C224" s="64"/>
    </row>
    <row r="225">
      <c r="C225" s="64"/>
    </row>
    <row r="226">
      <c r="C226" s="64"/>
    </row>
    <row r="227">
      <c r="C227" s="64"/>
    </row>
    <row r="228">
      <c r="C228" s="64"/>
    </row>
    <row r="229">
      <c r="C229" s="64"/>
    </row>
    <row r="230">
      <c r="C230" s="64"/>
    </row>
    <row r="231">
      <c r="C231" s="64"/>
    </row>
    <row r="232">
      <c r="C232" s="64"/>
    </row>
    <row r="233">
      <c r="C233" s="64"/>
    </row>
    <row r="234">
      <c r="C234" s="64"/>
    </row>
    <row r="235">
      <c r="C235" s="64"/>
    </row>
    <row r="236">
      <c r="C236" s="64"/>
    </row>
    <row r="237">
      <c r="C237" s="64"/>
    </row>
    <row r="238">
      <c r="C238" s="64"/>
    </row>
    <row r="239">
      <c r="C239" s="64"/>
    </row>
    <row r="240">
      <c r="C240" s="64"/>
    </row>
    <row r="241">
      <c r="C241" s="64"/>
    </row>
    <row r="242">
      <c r="C242" s="64"/>
    </row>
    <row r="243">
      <c r="C243" s="64"/>
    </row>
    <row r="244">
      <c r="C244" s="64"/>
    </row>
    <row r="245">
      <c r="C245" s="64"/>
    </row>
    <row r="246">
      <c r="C246" s="64"/>
    </row>
    <row r="247">
      <c r="C247" s="64"/>
    </row>
    <row r="248">
      <c r="C248" s="64"/>
    </row>
    <row r="249">
      <c r="C249" s="64"/>
    </row>
    <row r="250">
      <c r="C250" s="64"/>
    </row>
    <row r="251">
      <c r="C251" s="64"/>
    </row>
    <row r="252">
      <c r="C252" s="64"/>
    </row>
    <row r="253">
      <c r="C253" s="64"/>
    </row>
    <row r="254">
      <c r="C254" s="64"/>
    </row>
    <row r="255">
      <c r="C255" s="64"/>
    </row>
    <row r="256">
      <c r="C256" s="64"/>
    </row>
    <row r="257">
      <c r="C257" s="64"/>
    </row>
    <row r="258">
      <c r="C258" s="64"/>
    </row>
    <row r="259">
      <c r="C259" s="64"/>
    </row>
    <row r="260">
      <c r="C260" s="64"/>
    </row>
    <row r="261">
      <c r="C261" s="64"/>
    </row>
    <row r="262">
      <c r="C262" s="64"/>
    </row>
    <row r="263">
      <c r="C263" s="64"/>
    </row>
    <row r="264">
      <c r="C264" s="64"/>
    </row>
    <row r="265">
      <c r="C265" s="64"/>
    </row>
    <row r="266">
      <c r="C266" s="64"/>
    </row>
    <row r="267">
      <c r="C267" s="64"/>
    </row>
    <row r="268">
      <c r="C268" s="64"/>
    </row>
    <row r="269">
      <c r="C269" s="64"/>
    </row>
    <row r="270">
      <c r="C270" s="64"/>
    </row>
    <row r="271">
      <c r="C271" s="64"/>
    </row>
    <row r="272">
      <c r="C272" s="64"/>
    </row>
    <row r="273">
      <c r="C273" s="64"/>
    </row>
    <row r="274">
      <c r="C274" s="64"/>
    </row>
    <row r="275">
      <c r="C275" s="64"/>
    </row>
    <row r="276">
      <c r="C276" s="64"/>
    </row>
    <row r="277">
      <c r="C277" s="64"/>
    </row>
    <row r="278">
      <c r="C278" s="64"/>
    </row>
    <row r="279">
      <c r="C279" s="64"/>
    </row>
    <row r="280">
      <c r="C280" s="64"/>
    </row>
    <row r="281">
      <c r="C281" s="64"/>
    </row>
    <row r="282">
      <c r="C282" s="64"/>
    </row>
    <row r="283">
      <c r="C283" s="64"/>
    </row>
    <row r="284">
      <c r="C284" s="64"/>
    </row>
    <row r="285">
      <c r="C285" s="64"/>
    </row>
    <row r="286">
      <c r="C286" s="64"/>
    </row>
    <row r="287">
      <c r="C287" s="64"/>
    </row>
    <row r="288">
      <c r="C288" s="64"/>
    </row>
    <row r="289">
      <c r="C289" s="64"/>
    </row>
    <row r="290">
      <c r="C290" s="64"/>
    </row>
    <row r="291">
      <c r="C291" s="64"/>
    </row>
    <row r="292">
      <c r="C292" s="64"/>
    </row>
    <row r="293">
      <c r="C293" s="64"/>
    </row>
    <row r="294">
      <c r="C294" s="64"/>
    </row>
    <row r="295">
      <c r="C295" s="64"/>
    </row>
    <row r="296">
      <c r="C296" s="64"/>
    </row>
    <row r="297">
      <c r="C297" s="64"/>
    </row>
    <row r="298">
      <c r="C298" s="64"/>
    </row>
    <row r="299">
      <c r="C299" s="64"/>
    </row>
    <row r="300">
      <c r="C300" s="64"/>
    </row>
    <row r="301">
      <c r="C301" s="64"/>
    </row>
    <row r="302">
      <c r="C302" s="64"/>
    </row>
    <row r="303">
      <c r="C303" s="64"/>
    </row>
    <row r="304">
      <c r="C304" s="64"/>
    </row>
    <row r="305">
      <c r="C305" s="64"/>
    </row>
    <row r="306">
      <c r="C306" s="64"/>
    </row>
    <row r="307">
      <c r="C307" s="64"/>
    </row>
    <row r="308">
      <c r="C308" s="64"/>
    </row>
    <row r="309">
      <c r="C309" s="64"/>
    </row>
    <row r="310">
      <c r="C310" s="64"/>
    </row>
    <row r="311">
      <c r="C311" s="64"/>
    </row>
    <row r="312">
      <c r="C312" s="64"/>
    </row>
    <row r="313">
      <c r="C313" s="64"/>
    </row>
    <row r="314">
      <c r="C314" s="64"/>
    </row>
    <row r="315">
      <c r="C315" s="64"/>
    </row>
    <row r="316">
      <c r="C316" s="64"/>
    </row>
    <row r="317">
      <c r="C317" s="64"/>
    </row>
    <row r="318">
      <c r="C318" s="64"/>
    </row>
    <row r="319">
      <c r="C319" s="64"/>
    </row>
    <row r="320">
      <c r="C320" s="64"/>
    </row>
    <row r="321">
      <c r="C321" s="64"/>
    </row>
    <row r="322">
      <c r="C322" s="64"/>
    </row>
    <row r="323">
      <c r="C323" s="64"/>
    </row>
    <row r="324">
      <c r="C324" s="64"/>
    </row>
    <row r="325">
      <c r="C325" s="64"/>
    </row>
    <row r="326">
      <c r="C326" s="64"/>
    </row>
    <row r="327">
      <c r="C327" s="64"/>
    </row>
    <row r="328">
      <c r="C328" s="64"/>
    </row>
    <row r="329">
      <c r="C329" s="64"/>
    </row>
    <row r="330">
      <c r="C330" s="64"/>
    </row>
    <row r="331">
      <c r="C331" s="64"/>
    </row>
    <row r="332">
      <c r="C332" s="64"/>
    </row>
    <row r="333">
      <c r="C333" s="64"/>
    </row>
    <row r="334">
      <c r="C334" s="64"/>
    </row>
    <row r="335">
      <c r="C335" s="64"/>
    </row>
    <row r="336">
      <c r="C336" s="64"/>
    </row>
    <row r="337">
      <c r="C337" s="64"/>
    </row>
    <row r="338">
      <c r="C338" s="64"/>
    </row>
    <row r="339">
      <c r="C339" s="64"/>
    </row>
    <row r="340">
      <c r="C340" s="64"/>
    </row>
    <row r="341">
      <c r="C341" s="64"/>
    </row>
    <row r="342">
      <c r="C342" s="64"/>
    </row>
    <row r="343">
      <c r="C343" s="64"/>
    </row>
    <row r="344">
      <c r="C344" s="64"/>
    </row>
    <row r="345">
      <c r="C345" s="64"/>
    </row>
    <row r="346">
      <c r="C346" s="64"/>
    </row>
    <row r="347">
      <c r="C347" s="64"/>
    </row>
    <row r="348">
      <c r="C348" s="64"/>
    </row>
    <row r="349">
      <c r="C349" s="64"/>
    </row>
    <row r="350">
      <c r="C350" s="64"/>
    </row>
    <row r="351">
      <c r="C351" s="64"/>
    </row>
    <row r="352">
      <c r="C352" s="64"/>
    </row>
    <row r="353">
      <c r="C353" s="64"/>
    </row>
    <row r="354">
      <c r="C354" s="64"/>
    </row>
    <row r="355">
      <c r="C355" s="64"/>
    </row>
    <row r="356">
      <c r="C356" s="64"/>
    </row>
    <row r="357">
      <c r="C357" s="64"/>
    </row>
    <row r="358">
      <c r="C358" s="64"/>
    </row>
    <row r="359">
      <c r="C359" s="64"/>
    </row>
    <row r="360">
      <c r="C360" s="64"/>
    </row>
    <row r="361">
      <c r="C361" s="64"/>
    </row>
    <row r="362">
      <c r="C362" s="64"/>
    </row>
    <row r="363">
      <c r="C363" s="64"/>
    </row>
    <row r="364">
      <c r="C364" s="64"/>
    </row>
    <row r="365">
      <c r="C365" s="64"/>
    </row>
    <row r="366">
      <c r="C366" s="64"/>
    </row>
    <row r="367">
      <c r="C367" s="64"/>
    </row>
    <row r="368">
      <c r="C368" s="64"/>
    </row>
    <row r="369">
      <c r="C369" s="64"/>
    </row>
    <row r="370">
      <c r="C370" s="64"/>
    </row>
    <row r="371">
      <c r="C371" s="64"/>
    </row>
    <row r="372">
      <c r="C372" s="64"/>
    </row>
    <row r="373">
      <c r="C373" s="64"/>
    </row>
    <row r="374">
      <c r="C374" s="64"/>
    </row>
    <row r="375">
      <c r="C375" s="64"/>
    </row>
    <row r="376">
      <c r="C376" s="64"/>
    </row>
    <row r="377">
      <c r="C377" s="64"/>
    </row>
    <row r="378">
      <c r="C378" s="64"/>
    </row>
    <row r="379">
      <c r="C379" s="64"/>
    </row>
    <row r="380">
      <c r="C380" s="64"/>
    </row>
    <row r="381">
      <c r="C381" s="64"/>
    </row>
    <row r="382">
      <c r="C382" s="64"/>
    </row>
    <row r="383">
      <c r="C383" s="64"/>
    </row>
    <row r="384">
      <c r="C384" s="64"/>
    </row>
    <row r="385">
      <c r="C385" s="64"/>
    </row>
    <row r="386">
      <c r="C386" s="64"/>
    </row>
    <row r="387">
      <c r="C387" s="64"/>
    </row>
    <row r="388">
      <c r="C388" s="64"/>
    </row>
    <row r="389">
      <c r="C389" s="64"/>
    </row>
    <row r="390">
      <c r="C390" s="64"/>
    </row>
    <row r="391">
      <c r="C391" s="64"/>
    </row>
    <row r="392">
      <c r="C392" s="64"/>
    </row>
    <row r="393">
      <c r="C393" s="64"/>
    </row>
    <row r="394">
      <c r="C394" s="64"/>
    </row>
    <row r="395">
      <c r="C395" s="64"/>
    </row>
    <row r="396">
      <c r="C396" s="64"/>
    </row>
    <row r="397">
      <c r="C397" s="64"/>
    </row>
    <row r="398">
      <c r="C398" s="64"/>
    </row>
    <row r="399">
      <c r="C399" s="64"/>
    </row>
    <row r="400">
      <c r="C400" s="64"/>
    </row>
    <row r="401">
      <c r="C401" s="64"/>
    </row>
    <row r="402">
      <c r="C402" s="64"/>
    </row>
    <row r="403">
      <c r="C403" s="64"/>
    </row>
    <row r="404">
      <c r="C404" s="64"/>
    </row>
    <row r="405">
      <c r="C405" s="64"/>
    </row>
    <row r="406">
      <c r="C406" s="64"/>
    </row>
    <row r="407">
      <c r="C407" s="64"/>
    </row>
    <row r="408">
      <c r="C408" s="64"/>
    </row>
    <row r="409">
      <c r="C409" s="64"/>
    </row>
    <row r="410">
      <c r="C410" s="64"/>
    </row>
    <row r="411">
      <c r="C411" s="64"/>
    </row>
    <row r="412">
      <c r="C412" s="64"/>
    </row>
    <row r="413">
      <c r="C413" s="64"/>
    </row>
    <row r="414">
      <c r="C414" s="64"/>
    </row>
    <row r="415">
      <c r="C415" s="64"/>
    </row>
    <row r="416">
      <c r="C416" s="64"/>
    </row>
    <row r="417">
      <c r="C417" s="64"/>
    </row>
    <row r="418">
      <c r="C418" s="64"/>
    </row>
    <row r="419">
      <c r="C419" s="64"/>
    </row>
    <row r="420">
      <c r="C420" s="64"/>
    </row>
    <row r="421">
      <c r="C421" s="64"/>
    </row>
    <row r="422">
      <c r="C422" s="64"/>
    </row>
    <row r="423">
      <c r="C423" s="64"/>
    </row>
    <row r="424">
      <c r="C424" s="64"/>
    </row>
    <row r="425">
      <c r="C425" s="64"/>
    </row>
    <row r="426">
      <c r="C426" s="64"/>
    </row>
    <row r="427">
      <c r="C427" s="64"/>
    </row>
    <row r="428">
      <c r="C428" s="64"/>
    </row>
    <row r="429">
      <c r="C429" s="64"/>
    </row>
    <row r="430">
      <c r="C430" s="64"/>
    </row>
    <row r="431">
      <c r="C431" s="64"/>
    </row>
    <row r="432">
      <c r="C432" s="64"/>
    </row>
    <row r="433">
      <c r="C433" s="64"/>
    </row>
    <row r="434">
      <c r="C434" s="64"/>
    </row>
    <row r="435">
      <c r="C435" s="64"/>
    </row>
    <row r="436">
      <c r="C436" s="64"/>
    </row>
    <row r="437">
      <c r="C437" s="64"/>
    </row>
    <row r="438">
      <c r="C438" s="64"/>
    </row>
    <row r="439">
      <c r="C439" s="64"/>
    </row>
    <row r="440">
      <c r="C440" s="64"/>
    </row>
    <row r="441">
      <c r="C441" s="64"/>
    </row>
    <row r="442">
      <c r="C442" s="64"/>
    </row>
    <row r="443">
      <c r="C443" s="64"/>
    </row>
    <row r="444">
      <c r="C444" s="64"/>
    </row>
    <row r="445">
      <c r="C445" s="64"/>
    </row>
    <row r="446">
      <c r="C446" s="64"/>
    </row>
    <row r="447">
      <c r="C447" s="64"/>
    </row>
    <row r="448">
      <c r="C448" s="64"/>
    </row>
    <row r="449">
      <c r="C449" s="64"/>
    </row>
    <row r="450">
      <c r="C450" s="64"/>
    </row>
    <row r="451">
      <c r="C451" s="64"/>
    </row>
    <row r="452">
      <c r="C452" s="64"/>
    </row>
    <row r="453">
      <c r="C453" s="64"/>
    </row>
    <row r="454">
      <c r="C454" s="64"/>
    </row>
    <row r="455">
      <c r="C455" s="64"/>
    </row>
    <row r="456">
      <c r="C456" s="64"/>
    </row>
    <row r="457">
      <c r="C457" s="64"/>
    </row>
    <row r="458">
      <c r="C458" s="64"/>
    </row>
    <row r="459">
      <c r="C459" s="64"/>
    </row>
    <row r="460">
      <c r="C460" s="64"/>
    </row>
    <row r="461">
      <c r="C461" s="64"/>
    </row>
    <row r="462">
      <c r="C462" s="64"/>
    </row>
    <row r="463">
      <c r="C463" s="64"/>
    </row>
    <row r="464">
      <c r="C464" s="64"/>
    </row>
    <row r="465">
      <c r="C465" s="64"/>
    </row>
    <row r="466">
      <c r="C466" s="64"/>
    </row>
    <row r="467">
      <c r="C467" s="64"/>
    </row>
    <row r="468">
      <c r="C468" s="64"/>
    </row>
    <row r="469">
      <c r="C469" s="64"/>
    </row>
    <row r="470">
      <c r="C470" s="64"/>
    </row>
    <row r="471">
      <c r="C471" s="64"/>
    </row>
    <row r="472">
      <c r="C472" s="64"/>
    </row>
    <row r="473">
      <c r="C473" s="64"/>
    </row>
    <row r="474">
      <c r="C474" s="64"/>
    </row>
    <row r="475">
      <c r="C475" s="64"/>
    </row>
    <row r="476">
      <c r="C476" s="64"/>
    </row>
    <row r="477">
      <c r="C477" s="64"/>
    </row>
    <row r="478">
      <c r="C478" s="64"/>
    </row>
    <row r="479">
      <c r="C479" s="64"/>
    </row>
    <row r="480">
      <c r="C480" s="64"/>
    </row>
    <row r="481">
      <c r="C481" s="64"/>
    </row>
    <row r="482">
      <c r="C482" s="64"/>
    </row>
    <row r="483">
      <c r="C483" s="64"/>
    </row>
    <row r="484">
      <c r="C484" s="64"/>
    </row>
    <row r="485">
      <c r="C485" s="64"/>
    </row>
    <row r="486">
      <c r="C486" s="64"/>
    </row>
    <row r="487">
      <c r="C487" s="64"/>
    </row>
    <row r="488">
      <c r="C488" s="64"/>
    </row>
    <row r="489">
      <c r="C489" s="64"/>
    </row>
    <row r="490">
      <c r="C490" s="64"/>
    </row>
    <row r="491">
      <c r="C491" s="64"/>
    </row>
    <row r="492">
      <c r="C492" s="64"/>
    </row>
    <row r="493">
      <c r="C493" s="64"/>
    </row>
    <row r="494">
      <c r="C494" s="64"/>
    </row>
    <row r="495">
      <c r="C495" s="64"/>
    </row>
    <row r="496">
      <c r="C496" s="64"/>
    </row>
    <row r="497">
      <c r="C497" s="64"/>
    </row>
    <row r="498">
      <c r="C498" s="64"/>
    </row>
    <row r="499">
      <c r="C499" s="64"/>
    </row>
    <row r="500">
      <c r="C500" s="64"/>
    </row>
    <row r="501">
      <c r="C501" s="64"/>
    </row>
    <row r="502">
      <c r="C502" s="64"/>
    </row>
    <row r="503">
      <c r="C503" s="64"/>
    </row>
    <row r="504">
      <c r="C504" s="64"/>
    </row>
    <row r="505">
      <c r="C505" s="64"/>
    </row>
    <row r="506">
      <c r="C506" s="64"/>
    </row>
    <row r="507">
      <c r="C507" s="64"/>
    </row>
    <row r="508">
      <c r="C508" s="64"/>
    </row>
    <row r="509">
      <c r="C509" s="64"/>
    </row>
    <row r="510">
      <c r="C510" s="64"/>
    </row>
    <row r="511">
      <c r="C511" s="64"/>
    </row>
    <row r="512">
      <c r="C512" s="64"/>
    </row>
    <row r="513">
      <c r="C513" s="64"/>
    </row>
    <row r="514">
      <c r="C514" s="64"/>
    </row>
    <row r="515">
      <c r="C515" s="64"/>
    </row>
    <row r="516">
      <c r="C516" s="64"/>
    </row>
    <row r="517">
      <c r="C517" s="64"/>
    </row>
    <row r="518">
      <c r="C518" s="64"/>
    </row>
    <row r="519">
      <c r="C519" s="64"/>
    </row>
    <row r="520">
      <c r="C520" s="64"/>
    </row>
    <row r="521">
      <c r="C521" s="64"/>
    </row>
    <row r="522">
      <c r="C522" s="64"/>
    </row>
    <row r="523">
      <c r="C523" s="64"/>
    </row>
    <row r="524">
      <c r="C524" s="64"/>
    </row>
    <row r="525">
      <c r="C525" s="64"/>
    </row>
    <row r="526">
      <c r="C526" s="64"/>
    </row>
    <row r="527">
      <c r="C527" s="64"/>
    </row>
    <row r="528">
      <c r="C528" s="64"/>
    </row>
    <row r="529">
      <c r="C529" s="64"/>
    </row>
    <row r="530">
      <c r="C530" s="64"/>
    </row>
    <row r="531">
      <c r="C531" s="64"/>
    </row>
    <row r="532">
      <c r="C532" s="64"/>
    </row>
    <row r="533">
      <c r="C533" s="64"/>
    </row>
    <row r="534">
      <c r="C534" s="64"/>
    </row>
    <row r="535">
      <c r="C535" s="64"/>
    </row>
    <row r="536">
      <c r="C536" s="64"/>
    </row>
    <row r="537">
      <c r="C537" s="64"/>
    </row>
    <row r="538">
      <c r="C538" s="64"/>
    </row>
    <row r="539">
      <c r="C539" s="64"/>
    </row>
    <row r="540">
      <c r="C540" s="64"/>
    </row>
    <row r="541">
      <c r="C541" s="64"/>
    </row>
    <row r="542">
      <c r="C542" s="64"/>
    </row>
    <row r="543">
      <c r="C543" s="64"/>
    </row>
    <row r="544">
      <c r="C544" s="64"/>
    </row>
    <row r="545">
      <c r="C545" s="64"/>
    </row>
    <row r="546">
      <c r="C546" s="64"/>
    </row>
    <row r="547">
      <c r="C547" s="64"/>
    </row>
    <row r="548">
      <c r="C548" s="64"/>
    </row>
    <row r="549">
      <c r="C549" s="64"/>
    </row>
    <row r="550">
      <c r="C550" s="64"/>
    </row>
    <row r="551">
      <c r="C551" s="64"/>
    </row>
    <row r="552">
      <c r="C552" s="64"/>
    </row>
    <row r="553">
      <c r="C553" s="64"/>
    </row>
    <row r="554">
      <c r="C554" s="64"/>
    </row>
    <row r="555">
      <c r="C555" s="64"/>
    </row>
    <row r="556">
      <c r="C556" s="64"/>
    </row>
    <row r="557">
      <c r="C557" s="64"/>
    </row>
    <row r="558">
      <c r="C558" s="64"/>
    </row>
    <row r="559">
      <c r="C559" s="64"/>
    </row>
    <row r="560">
      <c r="C560" s="64"/>
    </row>
    <row r="561">
      <c r="C561" s="64"/>
    </row>
    <row r="562">
      <c r="C562" s="64"/>
    </row>
    <row r="563">
      <c r="C563" s="64"/>
    </row>
    <row r="564">
      <c r="C564" s="64"/>
    </row>
    <row r="565">
      <c r="C565" s="64"/>
    </row>
    <row r="566">
      <c r="C566" s="64"/>
    </row>
    <row r="567">
      <c r="C567" s="64"/>
    </row>
    <row r="568">
      <c r="C568" s="64"/>
    </row>
    <row r="569">
      <c r="C569" s="64"/>
    </row>
    <row r="570">
      <c r="C570" s="64"/>
    </row>
    <row r="571">
      <c r="C571" s="64"/>
    </row>
    <row r="572">
      <c r="C572" s="64"/>
    </row>
    <row r="573">
      <c r="C573" s="64"/>
    </row>
    <row r="574">
      <c r="C574" s="64"/>
    </row>
    <row r="575">
      <c r="C575" s="64"/>
    </row>
    <row r="576">
      <c r="C576" s="64"/>
    </row>
    <row r="577">
      <c r="C577" s="64"/>
    </row>
    <row r="578">
      <c r="C578" s="64"/>
    </row>
    <row r="579">
      <c r="C579" s="64"/>
    </row>
    <row r="580">
      <c r="C580" s="64"/>
    </row>
    <row r="581">
      <c r="C581" s="64"/>
    </row>
    <row r="582">
      <c r="C582" s="64"/>
    </row>
    <row r="583">
      <c r="C583" s="64"/>
    </row>
    <row r="584">
      <c r="C584" s="64"/>
    </row>
    <row r="585">
      <c r="C585" s="64"/>
    </row>
    <row r="586">
      <c r="C586" s="64"/>
    </row>
    <row r="587">
      <c r="C587" s="64"/>
    </row>
    <row r="588">
      <c r="C588" s="64"/>
    </row>
    <row r="589">
      <c r="C589" s="64"/>
    </row>
    <row r="590">
      <c r="C590" s="64"/>
    </row>
    <row r="591">
      <c r="C591" s="64"/>
    </row>
    <row r="592">
      <c r="C592" s="64"/>
    </row>
    <row r="593">
      <c r="C593" s="64"/>
    </row>
    <row r="594">
      <c r="C594" s="64"/>
    </row>
    <row r="595">
      <c r="C595" s="64"/>
    </row>
    <row r="596">
      <c r="C596" s="64"/>
    </row>
    <row r="597">
      <c r="C597" s="64"/>
    </row>
    <row r="598">
      <c r="C598" s="64"/>
    </row>
    <row r="599">
      <c r="C599" s="64"/>
    </row>
    <row r="600">
      <c r="C600" s="64"/>
    </row>
    <row r="601">
      <c r="C601" s="64"/>
    </row>
    <row r="602">
      <c r="C602" s="64"/>
    </row>
    <row r="603">
      <c r="C603" s="64"/>
    </row>
    <row r="604">
      <c r="C604" s="64"/>
    </row>
    <row r="605">
      <c r="C605" s="64"/>
    </row>
    <row r="606">
      <c r="C606" s="64"/>
    </row>
    <row r="607">
      <c r="C607" s="64"/>
    </row>
    <row r="608">
      <c r="C608" s="64"/>
    </row>
    <row r="609">
      <c r="C609" s="64"/>
    </row>
    <row r="610">
      <c r="C610" s="64"/>
    </row>
    <row r="611">
      <c r="C611" s="64"/>
    </row>
    <row r="612">
      <c r="C612" s="64"/>
    </row>
    <row r="613">
      <c r="C613" s="64"/>
    </row>
    <row r="614">
      <c r="C614" s="64"/>
    </row>
    <row r="615">
      <c r="C615" s="64"/>
    </row>
    <row r="616">
      <c r="C616" s="64"/>
    </row>
    <row r="617">
      <c r="C617" s="64"/>
    </row>
    <row r="618">
      <c r="C618" s="64"/>
    </row>
    <row r="619">
      <c r="C619" s="64"/>
    </row>
    <row r="620">
      <c r="C620" s="64"/>
    </row>
    <row r="621">
      <c r="C621" s="64"/>
    </row>
    <row r="622">
      <c r="C622" s="64"/>
    </row>
    <row r="623">
      <c r="C623" s="64"/>
    </row>
    <row r="624">
      <c r="C624" s="64"/>
    </row>
    <row r="625">
      <c r="C625" s="64"/>
    </row>
    <row r="626">
      <c r="C626" s="64"/>
    </row>
    <row r="627">
      <c r="C627" s="64"/>
    </row>
    <row r="628">
      <c r="C628" s="64"/>
    </row>
    <row r="629">
      <c r="C629" s="64"/>
    </row>
    <row r="630">
      <c r="C630" s="64"/>
    </row>
    <row r="631">
      <c r="C631" s="64"/>
    </row>
    <row r="632">
      <c r="C632" s="64"/>
    </row>
    <row r="633">
      <c r="C633" s="64"/>
    </row>
    <row r="634">
      <c r="C634" s="64"/>
    </row>
    <row r="635">
      <c r="C635" s="64"/>
    </row>
    <row r="636">
      <c r="C636" s="64"/>
    </row>
    <row r="637">
      <c r="C637" s="64"/>
    </row>
    <row r="638">
      <c r="C638" s="64"/>
    </row>
    <row r="639">
      <c r="C639" s="64"/>
    </row>
    <row r="640">
      <c r="C640" s="64"/>
    </row>
    <row r="641">
      <c r="C641" s="64"/>
    </row>
    <row r="642">
      <c r="C642" s="64"/>
    </row>
    <row r="643">
      <c r="C643" s="64"/>
    </row>
    <row r="644">
      <c r="C644" s="64"/>
    </row>
    <row r="645">
      <c r="C645" s="64"/>
    </row>
    <row r="646">
      <c r="C646" s="64"/>
    </row>
    <row r="647">
      <c r="C647" s="64"/>
    </row>
    <row r="648">
      <c r="C648" s="64"/>
    </row>
    <row r="649">
      <c r="C649" s="64"/>
    </row>
    <row r="650">
      <c r="C650" s="64"/>
    </row>
    <row r="651">
      <c r="C651" s="64"/>
    </row>
    <row r="652">
      <c r="C652" s="64"/>
    </row>
    <row r="653">
      <c r="C653" s="64"/>
    </row>
    <row r="654">
      <c r="C654" s="64"/>
    </row>
    <row r="655">
      <c r="C655" s="64"/>
    </row>
    <row r="656">
      <c r="C656" s="64"/>
    </row>
    <row r="657">
      <c r="C657" s="64"/>
    </row>
    <row r="658">
      <c r="C658" s="64"/>
    </row>
    <row r="659">
      <c r="C659" s="64"/>
    </row>
    <row r="660">
      <c r="C660" s="64"/>
    </row>
    <row r="661">
      <c r="C661" s="64"/>
    </row>
    <row r="662">
      <c r="C662" s="64"/>
    </row>
    <row r="663">
      <c r="C663" s="64"/>
    </row>
    <row r="664">
      <c r="C664" s="64"/>
    </row>
    <row r="665">
      <c r="C665" s="64"/>
    </row>
    <row r="666">
      <c r="C666" s="64"/>
    </row>
    <row r="667">
      <c r="C667" s="64"/>
    </row>
    <row r="668">
      <c r="C668" s="64"/>
    </row>
    <row r="669">
      <c r="C669" s="64"/>
    </row>
    <row r="670">
      <c r="C670" s="64"/>
    </row>
    <row r="671">
      <c r="C671" s="64"/>
    </row>
    <row r="672">
      <c r="C672" s="64"/>
    </row>
    <row r="673">
      <c r="C673" s="64"/>
    </row>
    <row r="674">
      <c r="C674" s="64"/>
    </row>
    <row r="675">
      <c r="C675" s="64"/>
    </row>
    <row r="676">
      <c r="C676" s="64"/>
    </row>
    <row r="677">
      <c r="C677" s="64"/>
    </row>
    <row r="678">
      <c r="C678" s="64"/>
    </row>
    <row r="679">
      <c r="C679" s="64"/>
    </row>
    <row r="680">
      <c r="C680" s="64"/>
    </row>
    <row r="681">
      <c r="C681" s="64"/>
    </row>
    <row r="682">
      <c r="C682" s="64"/>
    </row>
    <row r="683">
      <c r="C683" s="64"/>
    </row>
    <row r="684">
      <c r="C684" s="64"/>
    </row>
    <row r="685">
      <c r="C685" s="64"/>
    </row>
    <row r="686">
      <c r="C686" s="64"/>
    </row>
    <row r="687">
      <c r="C687" s="64"/>
    </row>
    <row r="688">
      <c r="C688" s="64"/>
    </row>
    <row r="689">
      <c r="C689" s="64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  <row r="942">
      <c r="C942" s="64"/>
    </row>
    <row r="943">
      <c r="C943" s="64"/>
    </row>
    <row r="944">
      <c r="C944" s="64"/>
    </row>
  </sheetData>
  <mergeCells count="14">
    <mergeCell ref="F3:G3"/>
    <mergeCell ref="H3:I3"/>
    <mergeCell ref="J3:J4"/>
    <mergeCell ref="K3:K4"/>
    <mergeCell ref="E68:K6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782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37" t="s">
        <v>783</v>
      </c>
      <c r="C5" s="37">
        <v>57821.0</v>
      </c>
      <c r="D5" s="37" t="s">
        <v>577</v>
      </c>
      <c r="E5" s="67"/>
      <c r="F5" s="15"/>
      <c r="G5" s="16"/>
      <c r="H5" s="17">
        <v>5700.0</v>
      </c>
      <c r="I5" s="18"/>
      <c r="J5" s="68"/>
      <c r="K5" s="66"/>
      <c r="L5" s="45">
        <v>5700.0</v>
      </c>
      <c r="M5" s="22">
        <f t="shared" ref="M5:M63" si="1">SUM(E5+F5+G5+H5+I5+J5+K5-L5)</f>
        <v>0</v>
      </c>
    </row>
    <row r="6">
      <c r="A6" s="12">
        <v>2.0</v>
      </c>
      <c r="B6" s="37" t="s">
        <v>784</v>
      </c>
      <c r="C6" s="37">
        <v>57821.0</v>
      </c>
      <c r="D6" s="37" t="s">
        <v>577</v>
      </c>
      <c r="E6" s="69">
        <v>300.0</v>
      </c>
      <c r="F6" s="15"/>
      <c r="G6" s="16"/>
      <c r="H6" s="17"/>
      <c r="I6" s="18"/>
      <c r="J6" s="68"/>
      <c r="K6" s="20"/>
      <c r="L6" s="45">
        <v>300.0</v>
      </c>
      <c r="M6" s="22">
        <f t="shared" si="1"/>
        <v>0</v>
      </c>
    </row>
    <row r="7">
      <c r="A7" s="12">
        <v>3.0</v>
      </c>
      <c r="B7" s="37" t="s">
        <v>785</v>
      </c>
      <c r="C7" s="37">
        <v>57870.0</v>
      </c>
      <c r="D7" s="37" t="s">
        <v>786</v>
      </c>
      <c r="E7" s="69">
        <v>500.0</v>
      </c>
      <c r="F7" s="15"/>
      <c r="G7" s="16"/>
      <c r="H7" s="17"/>
      <c r="I7" s="24"/>
      <c r="J7" s="68"/>
      <c r="K7" s="20"/>
      <c r="L7" s="45">
        <v>500.0</v>
      </c>
      <c r="M7" s="22">
        <f t="shared" si="1"/>
        <v>0</v>
      </c>
    </row>
    <row r="8">
      <c r="A8" s="12">
        <v>4.0</v>
      </c>
      <c r="B8" s="37" t="s">
        <v>787</v>
      </c>
      <c r="C8" s="37">
        <v>29621.0</v>
      </c>
      <c r="D8" s="37" t="s">
        <v>381</v>
      </c>
      <c r="E8" s="67"/>
      <c r="F8" s="25"/>
      <c r="G8" s="16"/>
      <c r="H8" s="17"/>
      <c r="I8" s="18">
        <v>15000.0</v>
      </c>
      <c r="J8" s="68"/>
      <c r="K8" s="20"/>
      <c r="L8" s="45">
        <v>15000.0</v>
      </c>
      <c r="M8" s="22">
        <f t="shared" si="1"/>
        <v>0</v>
      </c>
    </row>
    <row r="9">
      <c r="A9" s="12">
        <v>5.0</v>
      </c>
      <c r="B9" s="37" t="s">
        <v>788</v>
      </c>
      <c r="C9" s="37">
        <v>57462.0</v>
      </c>
      <c r="D9" s="37" t="s">
        <v>789</v>
      </c>
      <c r="E9" s="67"/>
      <c r="F9" s="25"/>
      <c r="G9" s="16"/>
      <c r="H9" s="17"/>
      <c r="I9" s="18">
        <v>300.0</v>
      </c>
      <c r="J9" s="70"/>
      <c r="K9" s="20"/>
      <c r="L9" s="45">
        <v>300.0</v>
      </c>
      <c r="M9" s="22">
        <f t="shared" si="1"/>
        <v>0</v>
      </c>
    </row>
    <row r="10">
      <c r="A10" s="12">
        <v>6.0</v>
      </c>
      <c r="B10" s="37" t="s">
        <v>790</v>
      </c>
      <c r="C10" s="37">
        <v>50871.0</v>
      </c>
      <c r="D10" s="37" t="s">
        <v>48</v>
      </c>
      <c r="E10" s="67"/>
      <c r="F10" s="25"/>
      <c r="G10" s="16"/>
      <c r="H10" s="17">
        <v>40700.0</v>
      </c>
      <c r="I10" s="18"/>
      <c r="J10" s="68"/>
      <c r="K10" s="20"/>
      <c r="L10" s="45">
        <v>40700.0</v>
      </c>
      <c r="M10" s="22">
        <f t="shared" si="1"/>
        <v>0</v>
      </c>
    </row>
    <row r="11">
      <c r="A11" s="12">
        <v>7.0</v>
      </c>
      <c r="B11" s="37" t="s">
        <v>791</v>
      </c>
      <c r="C11" s="37">
        <v>46315.0</v>
      </c>
      <c r="D11" s="37" t="s">
        <v>792</v>
      </c>
      <c r="E11" s="67"/>
      <c r="F11" s="25"/>
      <c r="G11" s="16"/>
      <c r="H11" s="17">
        <v>5150.0</v>
      </c>
      <c r="I11" s="24"/>
      <c r="J11" s="68"/>
      <c r="K11" s="20"/>
      <c r="L11" s="45">
        <v>5150.0</v>
      </c>
      <c r="M11" s="22">
        <f t="shared" si="1"/>
        <v>0</v>
      </c>
    </row>
    <row r="12">
      <c r="A12" s="12">
        <v>8.0</v>
      </c>
      <c r="B12" s="37" t="s">
        <v>793</v>
      </c>
      <c r="C12" s="37">
        <v>47175.0</v>
      </c>
      <c r="D12" s="37" t="s">
        <v>794</v>
      </c>
      <c r="E12" s="67"/>
      <c r="F12" s="25"/>
      <c r="G12" s="16"/>
      <c r="H12" s="17"/>
      <c r="I12" s="18"/>
      <c r="J12" s="70">
        <v>600.0</v>
      </c>
      <c r="K12" s="20"/>
      <c r="L12" s="45">
        <v>600.0</v>
      </c>
      <c r="M12" s="22">
        <f t="shared" si="1"/>
        <v>0</v>
      </c>
    </row>
    <row r="13">
      <c r="A13" s="12">
        <v>9.0</v>
      </c>
      <c r="B13" s="37" t="s">
        <v>795</v>
      </c>
      <c r="C13" s="37">
        <v>43380.0</v>
      </c>
      <c r="D13" s="37" t="s">
        <v>348</v>
      </c>
      <c r="E13" s="67"/>
      <c r="F13" s="25"/>
      <c r="G13" s="16"/>
      <c r="H13" s="17">
        <v>15000.0</v>
      </c>
      <c r="I13" s="24"/>
      <c r="J13" s="68"/>
      <c r="K13" s="20"/>
      <c r="L13" s="45">
        <v>15000.0</v>
      </c>
      <c r="M13" s="22">
        <f t="shared" si="1"/>
        <v>0</v>
      </c>
    </row>
    <row r="14">
      <c r="A14" s="12">
        <v>10.0</v>
      </c>
      <c r="B14" s="37" t="s">
        <v>796</v>
      </c>
      <c r="C14" s="37">
        <v>51406.0</v>
      </c>
      <c r="D14" s="37" t="s">
        <v>128</v>
      </c>
      <c r="E14" s="67"/>
      <c r="F14" s="25"/>
      <c r="G14" s="16"/>
      <c r="H14" s="17"/>
      <c r="I14" s="18">
        <v>13500.0</v>
      </c>
      <c r="J14" s="68"/>
      <c r="K14" s="20"/>
      <c r="L14" s="45">
        <v>13500.0</v>
      </c>
      <c r="M14" s="22">
        <f t="shared" si="1"/>
        <v>0</v>
      </c>
    </row>
    <row r="15">
      <c r="A15" s="12">
        <v>11.0</v>
      </c>
      <c r="B15" s="37" t="s">
        <v>797</v>
      </c>
      <c r="C15" s="37">
        <v>31738.0</v>
      </c>
      <c r="D15" s="37" t="s">
        <v>277</v>
      </c>
      <c r="E15" s="67"/>
      <c r="F15" s="25"/>
      <c r="G15" s="16"/>
      <c r="H15" s="17">
        <v>2650.0</v>
      </c>
      <c r="I15" s="18"/>
      <c r="J15" s="68"/>
      <c r="K15" s="20"/>
      <c r="L15" s="45">
        <v>2650.0</v>
      </c>
      <c r="M15" s="22">
        <f t="shared" si="1"/>
        <v>0</v>
      </c>
    </row>
    <row r="16">
      <c r="A16" s="12">
        <v>12.0</v>
      </c>
      <c r="B16" s="37" t="s">
        <v>798</v>
      </c>
      <c r="C16" s="37">
        <v>52669.0</v>
      </c>
      <c r="D16" s="37" t="s">
        <v>42</v>
      </c>
      <c r="E16" s="67"/>
      <c r="F16" s="25">
        <v>3400.0</v>
      </c>
      <c r="G16" s="16"/>
      <c r="H16" s="17">
        <v>350.0</v>
      </c>
      <c r="I16" s="18"/>
      <c r="J16" s="68"/>
      <c r="K16" s="20"/>
      <c r="L16" s="45">
        <v>3750.0</v>
      </c>
      <c r="M16" s="22">
        <f t="shared" si="1"/>
        <v>0</v>
      </c>
    </row>
    <row r="17">
      <c r="A17" s="12">
        <v>13.0</v>
      </c>
      <c r="B17" s="37" t="s">
        <v>799</v>
      </c>
      <c r="C17" s="37">
        <v>10001.0</v>
      </c>
      <c r="D17" s="37" t="s">
        <v>46</v>
      </c>
      <c r="E17" s="67"/>
      <c r="F17" s="25"/>
      <c r="G17" s="16"/>
      <c r="H17" s="17">
        <v>10000.0</v>
      </c>
      <c r="I17" s="18"/>
      <c r="J17" s="68"/>
      <c r="K17" s="20"/>
      <c r="L17" s="45">
        <v>10000.0</v>
      </c>
      <c r="M17" s="22">
        <f t="shared" si="1"/>
        <v>0</v>
      </c>
    </row>
    <row r="18">
      <c r="A18" s="12">
        <v>14.0</v>
      </c>
      <c r="B18" s="37" t="s">
        <v>800</v>
      </c>
      <c r="C18" s="37">
        <v>58061.0</v>
      </c>
      <c r="D18" s="37" t="s">
        <v>801</v>
      </c>
      <c r="E18" s="67"/>
      <c r="F18" s="25">
        <v>27000.0</v>
      </c>
      <c r="G18" s="16"/>
      <c r="H18" s="17"/>
      <c r="I18" s="24"/>
      <c r="J18" s="68"/>
      <c r="K18" s="20"/>
      <c r="L18" s="45">
        <v>27000.0</v>
      </c>
      <c r="M18" s="22">
        <f t="shared" si="1"/>
        <v>0</v>
      </c>
    </row>
    <row r="19">
      <c r="A19" s="12">
        <v>15.0</v>
      </c>
      <c r="B19" s="37" t="s">
        <v>802</v>
      </c>
      <c r="C19" s="37">
        <v>53433.0</v>
      </c>
      <c r="D19" s="37" t="s">
        <v>803</v>
      </c>
      <c r="E19" s="67"/>
      <c r="F19" s="25"/>
      <c r="G19" s="16"/>
      <c r="H19" s="17"/>
      <c r="I19" s="18">
        <v>300.0</v>
      </c>
      <c r="J19" s="70"/>
      <c r="K19" s="20"/>
      <c r="L19" s="45">
        <v>300.0</v>
      </c>
      <c r="M19" s="22">
        <f t="shared" si="1"/>
        <v>0</v>
      </c>
    </row>
    <row r="20">
      <c r="A20" s="12">
        <v>16.0</v>
      </c>
      <c r="B20" s="37" t="s">
        <v>804</v>
      </c>
      <c r="C20" s="37">
        <v>43380.0</v>
      </c>
      <c r="D20" s="37" t="s">
        <v>348</v>
      </c>
      <c r="E20" s="67"/>
      <c r="F20" s="25">
        <v>25350.0</v>
      </c>
      <c r="G20" s="16"/>
      <c r="H20" s="17"/>
      <c r="I20" s="24"/>
      <c r="J20" s="68"/>
      <c r="K20" s="20"/>
      <c r="L20" s="45">
        <v>25350.0</v>
      </c>
      <c r="M20" s="22">
        <f t="shared" si="1"/>
        <v>0</v>
      </c>
    </row>
    <row r="21">
      <c r="A21" s="12">
        <v>17.0</v>
      </c>
      <c r="B21" s="37" t="s">
        <v>805</v>
      </c>
      <c r="C21" s="37">
        <v>39317.0</v>
      </c>
      <c r="D21" s="37" t="s">
        <v>318</v>
      </c>
      <c r="E21" s="69"/>
      <c r="F21" s="25"/>
      <c r="G21" s="16"/>
      <c r="H21" s="17"/>
      <c r="I21" s="18">
        <v>15000.0</v>
      </c>
      <c r="J21" s="68"/>
      <c r="K21" s="20"/>
      <c r="L21" s="45">
        <v>15000.0</v>
      </c>
      <c r="M21" s="22">
        <f t="shared" si="1"/>
        <v>0</v>
      </c>
    </row>
    <row r="22">
      <c r="A22" s="12">
        <v>18.0</v>
      </c>
      <c r="B22" s="37" t="s">
        <v>806</v>
      </c>
      <c r="C22" s="37">
        <v>57568.0</v>
      </c>
      <c r="D22" s="37" t="s">
        <v>807</v>
      </c>
      <c r="E22" s="69">
        <v>430.0</v>
      </c>
      <c r="F22" s="25"/>
      <c r="G22" s="16"/>
      <c r="H22" s="17"/>
      <c r="I22" s="24"/>
      <c r="J22" s="68"/>
      <c r="K22" s="20"/>
      <c r="L22" s="45">
        <v>430.0</v>
      </c>
      <c r="M22" s="22">
        <f t="shared" si="1"/>
        <v>0</v>
      </c>
    </row>
    <row r="23">
      <c r="A23" s="12">
        <v>19.0</v>
      </c>
      <c r="B23" s="37" t="s">
        <v>808</v>
      </c>
      <c r="C23" s="37">
        <v>52032.0</v>
      </c>
      <c r="D23" s="37" t="s">
        <v>217</v>
      </c>
      <c r="E23" s="67"/>
      <c r="F23" s="25"/>
      <c r="G23" s="16"/>
      <c r="H23" s="17">
        <v>700.0</v>
      </c>
      <c r="I23" s="18"/>
      <c r="J23" s="68"/>
      <c r="K23" s="20"/>
      <c r="L23" s="45">
        <v>700.0</v>
      </c>
      <c r="M23" s="22">
        <f t="shared" si="1"/>
        <v>0</v>
      </c>
    </row>
    <row r="24">
      <c r="A24" s="12">
        <v>20.0</v>
      </c>
      <c r="B24" s="37" t="s">
        <v>809</v>
      </c>
      <c r="C24" s="37">
        <v>53095.0</v>
      </c>
      <c r="D24" s="37" t="s">
        <v>810</v>
      </c>
      <c r="E24" s="67"/>
      <c r="F24" s="25"/>
      <c r="G24" s="16"/>
      <c r="H24" s="17"/>
      <c r="I24" s="18">
        <v>10000.0</v>
      </c>
      <c r="J24" s="68"/>
      <c r="K24" s="20"/>
      <c r="L24" s="45">
        <v>10000.0</v>
      </c>
      <c r="M24" s="22">
        <f t="shared" si="1"/>
        <v>0</v>
      </c>
    </row>
    <row r="25">
      <c r="A25" s="12">
        <v>21.0</v>
      </c>
      <c r="B25" s="37" t="s">
        <v>811</v>
      </c>
      <c r="C25" s="37">
        <v>25376.0</v>
      </c>
      <c r="D25" s="37" t="s">
        <v>513</v>
      </c>
      <c r="E25" s="67"/>
      <c r="F25" s="25">
        <v>29000.0</v>
      </c>
      <c r="G25" s="16"/>
      <c r="H25" s="17"/>
      <c r="I25" s="18"/>
      <c r="J25" s="68"/>
      <c r="K25" s="20"/>
      <c r="L25" s="45">
        <v>29000.0</v>
      </c>
      <c r="M25" s="22">
        <f t="shared" si="1"/>
        <v>0</v>
      </c>
    </row>
    <row r="26">
      <c r="A26" s="12">
        <v>22.0</v>
      </c>
      <c r="B26" s="37" t="s">
        <v>812</v>
      </c>
      <c r="C26" s="37">
        <v>53095.0</v>
      </c>
      <c r="D26" s="37" t="s">
        <v>810</v>
      </c>
      <c r="E26" s="67"/>
      <c r="F26" s="25"/>
      <c r="G26" s="16"/>
      <c r="H26" s="17"/>
      <c r="I26" s="18">
        <v>135.0</v>
      </c>
      <c r="J26" s="68"/>
      <c r="K26" s="20"/>
      <c r="L26" s="45">
        <v>135.0</v>
      </c>
      <c r="M26" s="22">
        <f t="shared" si="1"/>
        <v>0</v>
      </c>
    </row>
    <row r="27">
      <c r="A27" s="12">
        <v>23.0</v>
      </c>
      <c r="B27" s="37" t="s">
        <v>813</v>
      </c>
      <c r="C27" s="37">
        <v>25376.0</v>
      </c>
      <c r="D27" s="37" t="s">
        <v>513</v>
      </c>
      <c r="E27" s="67"/>
      <c r="F27" s="25">
        <v>9400.0</v>
      </c>
      <c r="G27" s="16"/>
      <c r="H27" s="17"/>
      <c r="I27" s="24"/>
      <c r="J27" s="68"/>
      <c r="K27" s="20"/>
      <c r="L27" s="45">
        <v>9400.0</v>
      </c>
      <c r="M27" s="22">
        <f t="shared" si="1"/>
        <v>0</v>
      </c>
    </row>
    <row r="28">
      <c r="A28" s="12">
        <v>24.0</v>
      </c>
      <c r="B28" s="37" t="s">
        <v>814</v>
      </c>
      <c r="C28" s="37">
        <v>29621.0</v>
      </c>
      <c r="D28" s="37" t="s">
        <v>381</v>
      </c>
      <c r="E28" s="67"/>
      <c r="F28" s="25"/>
      <c r="G28" s="16"/>
      <c r="H28" s="17">
        <v>100.0</v>
      </c>
      <c r="I28" s="24"/>
      <c r="J28" s="68"/>
      <c r="K28" s="20"/>
      <c r="L28" s="45">
        <v>100.0</v>
      </c>
      <c r="M28" s="22">
        <f t="shared" si="1"/>
        <v>0</v>
      </c>
    </row>
    <row r="29">
      <c r="A29" s="12">
        <v>25.0</v>
      </c>
      <c r="B29" s="37" t="s">
        <v>815</v>
      </c>
      <c r="C29" s="37">
        <v>42095.0</v>
      </c>
      <c r="D29" s="37" t="s">
        <v>816</v>
      </c>
      <c r="E29" s="67"/>
      <c r="F29" s="25"/>
      <c r="G29" s="16"/>
      <c r="H29" s="17"/>
      <c r="I29" s="24"/>
      <c r="J29" s="70">
        <v>300.0</v>
      </c>
      <c r="K29" s="20"/>
      <c r="L29" s="45">
        <v>300.0</v>
      </c>
      <c r="M29" s="22">
        <f t="shared" si="1"/>
        <v>0</v>
      </c>
    </row>
    <row r="30">
      <c r="A30" s="12">
        <v>26.0</v>
      </c>
      <c r="B30" s="37" t="s">
        <v>817</v>
      </c>
      <c r="C30" s="37">
        <v>43381.0</v>
      </c>
      <c r="D30" s="37" t="s">
        <v>97</v>
      </c>
      <c r="E30" s="67"/>
      <c r="F30" s="25"/>
      <c r="G30" s="16"/>
      <c r="H30" s="17">
        <v>15000.0</v>
      </c>
      <c r="I30" s="18"/>
      <c r="J30" s="68"/>
      <c r="K30" s="20"/>
      <c r="L30" s="45">
        <v>15000.0</v>
      </c>
      <c r="M30" s="22">
        <f t="shared" si="1"/>
        <v>0</v>
      </c>
    </row>
    <row r="31">
      <c r="A31" s="12">
        <v>27.0</v>
      </c>
      <c r="B31" s="37" t="s">
        <v>818</v>
      </c>
      <c r="C31" s="37">
        <v>44168.0</v>
      </c>
      <c r="D31" s="37" t="s">
        <v>295</v>
      </c>
      <c r="E31" s="67"/>
      <c r="F31" s="25"/>
      <c r="G31" s="16"/>
      <c r="H31" s="17">
        <v>448.0</v>
      </c>
      <c r="I31" s="18"/>
      <c r="J31" s="68"/>
      <c r="K31" s="20"/>
      <c r="L31" s="45">
        <v>448.0</v>
      </c>
      <c r="M31" s="22">
        <f t="shared" si="1"/>
        <v>0</v>
      </c>
    </row>
    <row r="32">
      <c r="A32" s="12">
        <v>28.0</v>
      </c>
      <c r="B32" s="37" t="s">
        <v>819</v>
      </c>
      <c r="C32" s="37">
        <v>54196.0</v>
      </c>
      <c r="D32" s="37" t="s">
        <v>209</v>
      </c>
      <c r="E32" s="67"/>
      <c r="F32" s="25"/>
      <c r="G32" s="16"/>
      <c r="H32" s="17">
        <v>5150.0</v>
      </c>
      <c r="I32" s="24"/>
      <c r="J32" s="68"/>
      <c r="K32" s="20"/>
      <c r="L32" s="45">
        <v>5150.0</v>
      </c>
      <c r="M32" s="22">
        <f t="shared" si="1"/>
        <v>0</v>
      </c>
    </row>
    <row r="33">
      <c r="A33" s="12">
        <v>29.0</v>
      </c>
      <c r="B33" s="37" t="s">
        <v>820</v>
      </c>
      <c r="C33" s="37">
        <v>10744.0</v>
      </c>
      <c r="D33" s="37" t="s">
        <v>821</v>
      </c>
      <c r="E33" s="67"/>
      <c r="F33" s="25"/>
      <c r="G33" s="16"/>
      <c r="H33" s="17">
        <v>3600.0</v>
      </c>
      <c r="I33" s="18"/>
      <c r="J33" s="68"/>
      <c r="K33" s="20"/>
      <c r="L33" s="45">
        <v>3600.0</v>
      </c>
      <c r="M33" s="22">
        <f t="shared" si="1"/>
        <v>0</v>
      </c>
    </row>
    <row r="34">
      <c r="A34" s="12">
        <v>30.0</v>
      </c>
      <c r="B34" s="37" t="s">
        <v>822</v>
      </c>
      <c r="C34" s="37">
        <v>57797.0</v>
      </c>
      <c r="D34" s="37" t="s">
        <v>823</v>
      </c>
      <c r="E34" s="67"/>
      <c r="F34" s="25"/>
      <c r="G34" s="16"/>
      <c r="H34" s="17">
        <v>29000.0</v>
      </c>
      <c r="I34" s="18"/>
      <c r="J34" s="68"/>
      <c r="K34" s="20"/>
      <c r="L34" s="45">
        <v>29000.0</v>
      </c>
      <c r="M34" s="22">
        <f t="shared" si="1"/>
        <v>0</v>
      </c>
    </row>
    <row r="35">
      <c r="A35" s="12">
        <v>31.0</v>
      </c>
      <c r="B35" s="37" t="s">
        <v>824</v>
      </c>
      <c r="C35" s="37">
        <v>52755.0</v>
      </c>
      <c r="D35" s="37" t="s">
        <v>825</v>
      </c>
      <c r="E35" s="67"/>
      <c r="F35" s="25"/>
      <c r="G35" s="16"/>
      <c r="H35" s="17">
        <v>1500.0</v>
      </c>
      <c r="I35" s="18"/>
      <c r="J35" s="68"/>
      <c r="K35" s="20"/>
      <c r="L35" s="45">
        <v>1500.0</v>
      </c>
      <c r="M35" s="22">
        <f t="shared" si="1"/>
        <v>0</v>
      </c>
    </row>
    <row r="36">
      <c r="A36" s="12">
        <v>32.0</v>
      </c>
      <c r="B36" s="37" t="s">
        <v>826</v>
      </c>
      <c r="C36" s="37">
        <v>48842.0</v>
      </c>
      <c r="D36" s="37" t="s">
        <v>827</v>
      </c>
      <c r="E36" s="67"/>
      <c r="F36" s="25">
        <v>7500.0</v>
      </c>
      <c r="G36" s="16"/>
      <c r="H36" s="17"/>
      <c r="I36" s="24"/>
      <c r="J36" s="68"/>
      <c r="K36" s="20"/>
      <c r="L36" s="45">
        <v>7500.0</v>
      </c>
      <c r="M36" s="22">
        <f t="shared" si="1"/>
        <v>0</v>
      </c>
    </row>
    <row r="37">
      <c r="A37" s="12">
        <v>33.0</v>
      </c>
      <c r="B37" s="37" t="s">
        <v>828</v>
      </c>
      <c r="C37" s="37">
        <v>48577.0</v>
      </c>
      <c r="D37" s="37" t="s">
        <v>829</v>
      </c>
      <c r="E37" s="67"/>
      <c r="F37" s="25"/>
      <c r="G37" s="16"/>
      <c r="H37" s="17">
        <v>800.0</v>
      </c>
      <c r="I37" s="18"/>
      <c r="J37" s="68"/>
      <c r="K37" s="20"/>
      <c r="L37" s="45">
        <v>800.0</v>
      </c>
      <c r="M37" s="22">
        <f t="shared" si="1"/>
        <v>0</v>
      </c>
    </row>
    <row r="38">
      <c r="A38" s="12">
        <v>34.0</v>
      </c>
      <c r="B38" s="37" t="s">
        <v>830</v>
      </c>
      <c r="C38" s="37">
        <v>13762.0</v>
      </c>
      <c r="D38" s="37" t="s">
        <v>211</v>
      </c>
      <c r="E38" s="67"/>
      <c r="F38" s="25">
        <v>10000.0</v>
      </c>
      <c r="G38" s="16"/>
      <c r="H38" s="17"/>
      <c r="I38" s="24"/>
      <c r="J38" s="68"/>
      <c r="K38" s="20"/>
      <c r="L38" s="45">
        <v>10000.0</v>
      </c>
      <c r="M38" s="22">
        <f t="shared" si="1"/>
        <v>0</v>
      </c>
    </row>
    <row r="39">
      <c r="A39" s="12">
        <v>35.0</v>
      </c>
      <c r="B39" s="37" t="s">
        <v>831</v>
      </c>
      <c r="C39" s="37">
        <v>10002.0</v>
      </c>
      <c r="D39" s="37" t="s">
        <v>449</v>
      </c>
      <c r="E39" s="67"/>
      <c r="F39" s="25"/>
      <c r="G39" s="16"/>
      <c r="H39" s="17"/>
      <c r="I39" s="24"/>
      <c r="J39" s="70">
        <v>1250.0</v>
      </c>
      <c r="K39" s="20"/>
      <c r="L39" s="45">
        <v>1250.0</v>
      </c>
      <c r="M39" s="22">
        <f t="shared" si="1"/>
        <v>0</v>
      </c>
    </row>
    <row r="40">
      <c r="A40" s="12">
        <v>36.0</v>
      </c>
      <c r="B40" s="37" t="s">
        <v>832</v>
      </c>
      <c r="C40" s="37">
        <v>42046.0</v>
      </c>
      <c r="D40" s="37" t="s">
        <v>163</v>
      </c>
      <c r="E40" s="67"/>
      <c r="F40" s="25">
        <v>2500.0</v>
      </c>
      <c r="G40" s="16"/>
      <c r="H40" s="17"/>
      <c r="I40" s="18"/>
      <c r="J40" s="68"/>
      <c r="K40" s="20"/>
      <c r="L40" s="45">
        <v>2500.0</v>
      </c>
      <c r="M40" s="22">
        <f t="shared" si="1"/>
        <v>0</v>
      </c>
    </row>
    <row r="41">
      <c r="A41" s="12">
        <v>37.0</v>
      </c>
      <c r="B41" s="37" t="s">
        <v>833</v>
      </c>
      <c r="C41" s="37">
        <v>44168.0</v>
      </c>
      <c r="D41" s="37" t="s">
        <v>295</v>
      </c>
      <c r="E41" s="67"/>
      <c r="F41" s="25"/>
      <c r="G41" s="16"/>
      <c r="H41" s="17">
        <v>813.0</v>
      </c>
      <c r="I41" s="24"/>
      <c r="J41" s="68"/>
      <c r="K41" s="20"/>
      <c r="L41" s="45">
        <v>813.0</v>
      </c>
      <c r="M41" s="22">
        <f t="shared" si="1"/>
        <v>0</v>
      </c>
    </row>
    <row r="42">
      <c r="A42" s="12">
        <v>38.0</v>
      </c>
      <c r="B42" s="37" t="s">
        <v>834</v>
      </c>
      <c r="C42" s="37">
        <v>50222.0</v>
      </c>
      <c r="D42" s="37" t="s">
        <v>504</v>
      </c>
      <c r="E42" s="67"/>
      <c r="F42" s="25"/>
      <c r="G42" s="16"/>
      <c r="H42" s="17">
        <v>5077.0</v>
      </c>
      <c r="I42" s="24"/>
      <c r="J42" s="68"/>
      <c r="K42" s="20"/>
      <c r="L42" s="45">
        <v>5077.0</v>
      </c>
      <c r="M42" s="22">
        <f t="shared" si="1"/>
        <v>0</v>
      </c>
    </row>
    <row r="43">
      <c r="A43" s="12">
        <v>39.0</v>
      </c>
      <c r="B43" s="37" t="s">
        <v>835</v>
      </c>
      <c r="C43" s="37">
        <v>52481.0</v>
      </c>
      <c r="D43" s="37" t="s">
        <v>836</v>
      </c>
      <c r="E43" s="67"/>
      <c r="F43" s="25"/>
      <c r="G43" s="16"/>
      <c r="H43" s="17">
        <v>300.0</v>
      </c>
      <c r="I43" s="18"/>
      <c r="J43" s="68"/>
      <c r="K43" s="20"/>
      <c r="L43" s="45">
        <v>300.0</v>
      </c>
      <c r="M43" s="22">
        <f t="shared" si="1"/>
        <v>0</v>
      </c>
    </row>
    <row r="44">
      <c r="A44" s="12">
        <v>40.0</v>
      </c>
      <c r="B44" s="37" t="s">
        <v>837</v>
      </c>
      <c r="C44" s="37">
        <v>50222.0</v>
      </c>
      <c r="D44" s="37" t="s">
        <v>504</v>
      </c>
      <c r="E44" s="67"/>
      <c r="F44" s="25"/>
      <c r="G44" s="16"/>
      <c r="H44" s="17">
        <v>471.0</v>
      </c>
      <c r="I44" s="24"/>
      <c r="J44" s="68"/>
      <c r="K44" s="20"/>
      <c r="L44" s="45">
        <v>471.0</v>
      </c>
      <c r="M44" s="22">
        <f t="shared" si="1"/>
        <v>0</v>
      </c>
    </row>
    <row r="45">
      <c r="A45" s="12">
        <v>41.0</v>
      </c>
      <c r="B45" s="37" t="s">
        <v>838</v>
      </c>
      <c r="C45" s="37">
        <v>35245.0</v>
      </c>
      <c r="D45" s="37" t="s">
        <v>330</v>
      </c>
      <c r="E45" s="67"/>
      <c r="F45" s="25"/>
      <c r="G45" s="16"/>
      <c r="H45" s="17">
        <v>2500.0</v>
      </c>
      <c r="I45" s="24"/>
      <c r="J45" s="68"/>
      <c r="K45" s="20"/>
      <c r="L45" s="45">
        <v>2500.0</v>
      </c>
      <c r="M45" s="22">
        <f t="shared" si="1"/>
        <v>0</v>
      </c>
    </row>
    <row r="46">
      <c r="A46" s="12">
        <v>42.0</v>
      </c>
      <c r="B46" s="37" t="s">
        <v>839</v>
      </c>
      <c r="C46" s="37">
        <v>50243.0</v>
      </c>
      <c r="D46" s="37" t="s">
        <v>840</v>
      </c>
      <c r="E46" s="67"/>
      <c r="F46" s="25"/>
      <c r="G46" s="16"/>
      <c r="H46" s="17">
        <v>9000.0</v>
      </c>
      <c r="I46" s="24"/>
      <c r="J46" s="68"/>
      <c r="K46" s="20"/>
      <c r="L46" s="45">
        <v>9000.0</v>
      </c>
      <c r="M46" s="22">
        <f t="shared" si="1"/>
        <v>0</v>
      </c>
    </row>
    <row r="47">
      <c r="A47" s="12">
        <v>43.0</v>
      </c>
      <c r="B47" s="37" t="s">
        <v>841</v>
      </c>
      <c r="C47" s="37">
        <v>46911.0</v>
      </c>
      <c r="D47" s="37" t="s">
        <v>842</v>
      </c>
      <c r="E47" s="67"/>
      <c r="F47" s="25"/>
      <c r="G47" s="16"/>
      <c r="H47" s="17"/>
      <c r="I47" s="18">
        <v>5000.0</v>
      </c>
      <c r="J47" s="68"/>
      <c r="K47" s="20"/>
      <c r="L47" s="45">
        <v>5000.0</v>
      </c>
      <c r="M47" s="22">
        <f t="shared" si="1"/>
        <v>0</v>
      </c>
    </row>
    <row r="48">
      <c r="A48" s="12">
        <v>44.0</v>
      </c>
      <c r="B48" s="37" t="s">
        <v>843</v>
      </c>
      <c r="C48" s="37">
        <v>53588.0</v>
      </c>
      <c r="D48" s="37" t="s">
        <v>844</v>
      </c>
      <c r="E48" s="67"/>
      <c r="F48" s="25"/>
      <c r="G48" s="16"/>
      <c r="H48" s="17"/>
      <c r="I48" s="18">
        <v>8700.0</v>
      </c>
      <c r="J48" s="68"/>
      <c r="K48" s="20"/>
      <c r="L48" s="45">
        <v>8700.0</v>
      </c>
      <c r="M48" s="22">
        <f t="shared" si="1"/>
        <v>0</v>
      </c>
    </row>
    <row r="49">
      <c r="A49" s="12">
        <v>45.0</v>
      </c>
      <c r="B49" s="37" t="s">
        <v>845</v>
      </c>
      <c r="C49" s="37">
        <v>56387.0</v>
      </c>
      <c r="D49" s="37" t="s">
        <v>185</v>
      </c>
      <c r="E49" s="67"/>
      <c r="F49" s="25"/>
      <c r="G49" s="16"/>
      <c r="H49" s="17"/>
      <c r="I49" s="18">
        <v>98000.0</v>
      </c>
      <c r="J49" s="68"/>
      <c r="K49" s="20"/>
      <c r="L49" s="45">
        <v>98000.0</v>
      </c>
      <c r="M49" s="22">
        <f t="shared" si="1"/>
        <v>0</v>
      </c>
    </row>
    <row r="50">
      <c r="A50" s="12">
        <v>46.0</v>
      </c>
      <c r="B50" s="37" t="s">
        <v>846</v>
      </c>
      <c r="C50" s="37">
        <v>46778.0</v>
      </c>
      <c r="D50" s="37" t="s">
        <v>262</v>
      </c>
      <c r="E50" s="69"/>
      <c r="F50" s="25"/>
      <c r="G50" s="16"/>
      <c r="H50" s="17"/>
      <c r="I50" s="18">
        <v>10700.0</v>
      </c>
      <c r="J50" s="68"/>
      <c r="K50" s="20"/>
      <c r="L50" s="45">
        <v>10700.0</v>
      </c>
      <c r="M50" s="22">
        <f t="shared" si="1"/>
        <v>0</v>
      </c>
    </row>
    <row r="51">
      <c r="A51" s="12">
        <v>47.0</v>
      </c>
      <c r="B51" s="37" t="s">
        <v>847</v>
      </c>
      <c r="C51" s="37">
        <v>57559.0</v>
      </c>
      <c r="D51" s="37" t="s">
        <v>848</v>
      </c>
      <c r="E51" s="67"/>
      <c r="F51" s="25"/>
      <c r="G51" s="16"/>
      <c r="H51" s="17">
        <v>2450.0</v>
      </c>
      <c r="I51" s="24"/>
      <c r="J51" s="68"/>
      <c r="K51" s="20"/>
      <c r="L51" s="45">
        <v>2450.0</v>
      </c>
      <c r="M51" s="22">
        <f t="shared" si="1"/>
        <v>0</v>
      </c>
    </row>
    <row r="52">
      <c r="A52" s="12">
        <v>48.0</v>
      </c>
      <c r="B52" s="37" t="s">
        <v>849</v>
      </c>
      <c r="C52" s="37">
        <v>48910.0</v>
      </c>
      <c r="D52" s="37" t="s">
        <v>111</v>
      </c>
      <c r="E52" s="67"/>
      <c r="F52" s="25"/>
      <c r="G52" s="16"/>
      <c r="H52" s="17"/>
      <c r="I52" s="18">
        <v>3900.0</v>
      </c>
      <c r="J52" s="68"/>
      <c r="K52" s="20"/>
      <c r="L52" s="45">
        <v>3900.0</v>
      </c>
      <c r="M52" s="22">
        <f t="shared" si="1"/>
        <v>0</v>
      </c>
    </row>
    <row r="53">
      <c r="A53" s="12">
        <v>49.0</v>
      </c>
      <c r="B53" s="37" t="s">
        <v>850</v>
      </c>
      <c r="C53" s="37">
        <v>10320.0</v>
      </c>
      <c r="D53" s="37" t="s">
        <v>84</v>
      </c>
      <c r="E53" s="67"/>
      <c r="F53" s="25"/>
      <c r="G53" s="16"/>
      <c r="H53" s="17">
        <v>1750.0</v>
      </c>
      <c r="I53" s="18"/>
      <c r="J53" s="68"/>
      <c r="K53" s="20"/>
      <c r="L53" s="45">
        <v>1750.0</v>
      </c>
      <c r="M53" s="22">
        <f t="shared" si="1"/>
        <v>0</v>
      </c>
    </row>
    <row r="54">
      <c r="A54" s="12">
        <v>50.0</v>
      </c>
      <c r="B54" s="37" t="s">
        <v>851</v>
      </c>
      <c r="C54" s="37">
        <v>42340.0</v>
      </c>
      <c r="D54" s="37" t="s">
        <v>852</v>
      </c>
      <c r="E54" s="67"/>
      <c r="F54" s="25"/>
      <c r="G54" s="16"/>
      <c r="H54" s="17"/>
      <c r="I54" s="18">
        <v>5350.0</v>
      </c>
      <c r="J54" s="68"/>
      <c r="K54" s="20"/>
      <c r="L54" s="45">
        <v>5350.0</v>
      </c>
      <c r="M54" s="22">
        <f t="shared" si="1"/>
        <v>0</v>
      </c>
    </row>
    <row r="55">
      <c r="A55" s="12">
        <v>51.0</v>
      </c>
      <c r="B55" s="37" t="s">
        <v>853</v>
      </c>
      <c r="C55" s="37">
        <v>56249.0</v>
      </c>
      <c r="D55" s="37" t="s">
        <v>854</v>
      </c>
      <c r="E55" s="67"/>
      <c r="F55" s="25"/>
      <c r="G55" s="16"/>
      <c r="H55" s="17"/>
      <c r="I55" s="18">
        <v>300.0</v>
      </c>
      <c r="J55" s="68"/>
      <c r="K55" s="20"/>
      <c r="L55" s="45">
        <v>300.0</v>
      </c>
      <c r="M55" s="22">
        <f t="shared" si="1"/>
        <v>0</v>
      </c>
    </row>
    <row r="56">
      <c r="A56" s="12">
        <v>52.0</v>
      </c>
      <c r="B56" s="37" t="s">
        <v>855</v>
      </c>
      <c r="C56" s="37">
        <v>57780.0</v>
      </c>
      <c r="D56" s="37" t="s">
        <v>856</v>
      </c>
      <c r="E56" s="69">
        <v>450.0</v>
      </c>
      <c r="F56" s="25"/>
      <c r="G56" s="16"/>
      <c r="H56" s="17">
        <v>1000.0</v>
      </c>
      <c r="I56" s="24"/>
      <c r="J56" s="70"/>
      <c r="K56" s="20"/>
      <c r="L56" s="45">
        <v>1450.0</v>
      </c>
      <c r="M56" s="22">
        <f t="shared" si="1"/>
        <v>0</v>
      </c>
    </row>
    <row r="57">
      <c r="A57" s="12">
        <v>53.0</v>
      </c>
      <c r="B57" s="37" t="s">
        <v>857</v>
      </c>
      <c r="C57" s="37">
        <v>56221.0</v>
      </c>
      <c r="D57" s="37" t="s">
        <v>858</v>
      </c>
      <c r="E57" s="69">
        <v>2000.0</v>
      </c>
      <c r="F57" s="25"/>
      <c r="G57" s="16"/>
      <c r="H57" s="17"/>
      <c r="I57" s="24"/>
      <c r="J57" s="68"/>
      <c r="K57" s="20"/>
      <c r="L57" s="45">
        <v>2000.0</v>
      </c>
      <c r="M57" s="22">
        <f t="shared" si="1"/>
        <v>0</v>
      </c>
    </row>
    <row r="58">
      <c r="A58" s="12">
        <v>54.0</v>
      </c>
      <c r="B58" s="37" t="s">
        <v>859</v>
      </c>
      <c r="C58" s="37">
        <v>21818.0</v>
      </c>
      <c r="D58" s="37" t="s">
        <v>82</v>
      </c>
      <c r="E58" s="67"/>
      <c r="F58" s="25"/>
      <c r="G58" s="16"/>
      <c r="H58" s="17"/>
      <c r="I58" s="18"/>
      <c r="J58" s="70">
        <v>13000.0</v>
      </c>
      <c r="K58" s="20"/>
      <c r="L58" s="45">
        <v>13000.0</v>
      </c>
      <c r="M58" s="22">
        <f t="shared" si="1"/>
        <v>0</v>
      </c>
    </row>
    <row r="59">
      <c r="A59" s="12">
        <v>55.0</v>
      </c>
      <c r="B59" s="37" t="s">
        <v>860</v>
      </c>
      <c r="C59" s="37">
        <v>57201.0</v>
      </c>
      <c r="D59" s="37" t="s">
        <v>400</v>
      </c>
      <c r="E59" s="67"/>
      <c r="F59" s="25"/>
      <c r="G59" s="16"/>
      <c r="H59" s="17">
        <v>500.0</v>
      </c>
      <c r="I59" s="18"/>
      <c r="J59" s="68"/>
      <c r="K59" s="20"/>
      <c r="L59" s="45">
        <v>500.0</v>
      </c>
      <c r="M59" s="22">
        <f t="shared" si="1"/>
        <v>0</v>
      </c>
    </row>
    <row r="60">
      <c r="A60" s="12">
        <v>56.0</v>
      </c>
      <c r="B60" s="37" t="s">
        <v>861</v>
      </c>
      <c r="C60" s="37">
        <v>57777.0</v>
      </c>
      <c r="D60" s="37" t="s">
        <v>862</v>
      </c>
      <c r="E60" s="67"/>
      <c r="F60" s="25">
        <v>2900.0</v>
      </c>
      <c r="G60" s="16"/>
      <c r="H60" s="17"/>
      <c r="I60" s="18"/>
      <c r="J60" s="68"/>
      <c r="K60" s="20"/>
      <c r="L60" s="45">
        <v>2900.0</v>
      </c>
      <c r="M60" s="22">
        <f t="shared" si="1"/>
        <v>0</v>
      </c>
    </row>
    <row r="61">
      <c r="A61" s="12">
        <v>57.0</v>
      </c>
      <c r="B61" s="37" t="s">
        <v>863</v>
      </c>
      <c r="C61" s="37">
        <v>50221.0</v>
      </c>
      <c r="D61" s="37" t="s">
        <v>864</v>
      </c>
      <c r="E61" s="67"/>
      <c r="F61" s="25"/>
      <c r="G61" s="28">
        <v>2500.0</v>
      </c>
      <c r="H61" s="17"/>
      <c r="I61" s="24"/>
      <c r="J61" s="68"/>
      <c r="K61" s="20"/>
      <c r="L61" s="45">
        <v>2500.0</v>
      </c>
      <c r="M61" s="22">
        <f t="shared" si="1"/>
        <v>0</v>
      </c>
    </row>
    <row r="62">
      <c r="A62" s="12">
        <v>58.0</v>
      </c>
      <c r="B62" s="37" t="s">
        <v>865</v>
      </c>
      <c r="C62" s="37">
        <v>52755.0</v>
      </c>
      <c r="D62" s="37" t="s">
        <v>825</v>
      </c>
      <c r="E62" s="67"/>
      <c r="F62" s="25"/>
      <c r="G62" s="28">
        <v>1250.0</v>
      </c>
      <c r="H62" s="17"/>
      <c r="I62" s="24"/>
      <c r="J62" s="68"/>
      <c r="K62" s="20"/>
      <c r="L62" s="45">
        <v>1250.0</v>
      </c>
      <c r="M62" s="22">
        <f t="shared" si="1"/>
        <v>0</v>
      </c>
    </row>
    <row r="63">
      <c r="A63" s="12">
        <v>59.0</v>
      </c>
      <c r="B63" s="37" t="s">
        <v>866</v>
      </c>
      <c r="C63" s="37">
        <v>36555.0</v>
      </c>
      <c r="D63" s="37" t="s">
        <v>389</v>
      </c>
      <c r="E63" s="67"/>
      <c r="F63" s="25"/>
      <c r="G63" s="28">
        <v>27000.0</v>
      </c>
      <c r="H63" s="17"/>
      <c r="I63" s="24"/>
      <c r="J63" s="68"/>
      <c r="K63" s="20"/>
      <c r="L63" s="45">
        <v>27000.0</v>
      </c>
      <c r="M63" s="22">
        <f t="shared" si="1"/>
        <v>0</v>
      </c>
    </row>
    <row r="64">
      <c r="A64" s="30"/>
      <c r="B64" s="31"/>
      <c r="C64" s="12"/>
      <c r="D64" s="30"/>
      <c r="E64" s="32">
        <f t="shared" ref="E64:M64" si="2">SUM(E5:E63)</f>
        <v>3680</v>
      </c>
      <c r="F64" s="32">
        <f t="shared" si="2"/>
        <v>117050</v>
      </c>
      <c r="G64" s="32">
        <f t="shared" si="2"/>
        <v>30750</v>
      </c>
      <c r="H64" s="32">
        <f t="shared" si="2"/>
        <v>159709</v>
      </c>
      <c r="I64" s="32">
        <f t="shared" si="2"/>
        <v>186185</v>
      </c>
      <c r="J64" s="32">
        <f t="shared" si="2"/>
        <v>15150</v>
      </c>
      <c r="K64" s="32">
        <f t="shared" si="2"/>
        <v>0</v>
      </c>
      <c r="L64" s="32">
        <f t="shared" si="2"/>
        <v>512524</v>
      </c>
      <c r="M64" s="22">
        <f t="shared" si="2"/>
        <v>0</v>
      </c>
    </row>
    <row r="65">
      <c r="A65" s="33"/>
      <c r="B65" s="33"/>
      <c r="C65" s="63"/>
      <c r="D65" s="33"/>
      <c r="E65" s="34">
        <f>E64+F64+G64+H64+I64+J64+K64</f>
        <v>512524</v>
      </c>
      <c r="F65" s="6"/>
      <c r="G65" s="6"/>
      <c r="H65" s="6"/>
      <c r="I65" s="6"/>
      <c r="J65" s="6"/>
      <c r="K65" s="7"/>
      <c r="L65" s="35"/>
      <c r="M65" s="33"/>
    </row>
    <row r="66">
      <c r="C66" s="64"/>
    </row>
    <row r="67">
      <c r="C67" s="64"/>
    </row>
    <row r="68">
      <c r="C68" s="64"/>
    </row>
    <row r="69">
      <c r="C69" s="64"/>
    </row>
    <row r="70">
      <c r="C70" s="64"/>
    </row>
    <row r="71">
      <c r="C71" s="64"/>
    </row>
    <row r="72">
      <c r="C72" s="64"/>
    </row>
    <row r="73">
      <c r="C73" s="64"/>
    </row>
    <row r="74">
      <c r="C74" s="64"/>
    </row>
    <row r="75">
      <c r="C75" s="64"/>
    </row>
    <row r="76">
      <c r="C76" s="64"/>
    </row>
    <row r="77">
      <c r="C77" s="64"/>
    </row>
    <row r="78">
      <c r="C78" s="64"/>
    </row>
    <row r="79">
      <c r="C79" s="64"/>
    </row>
    <row r="80">
      <c r="C80" s="64"/>
    </row>
    <row r="81">
      <c r="C81" s="64"/>
    </row>
    <row r="82">
      <c r="C82" s="64"/>
    </row>
    <row r="83">
      <c r="C83" s="64"/>
    </row>
    <row r="84">
      <c r="C84" s="64"/>
    </row>
    <row r="85">
      <c r="C85" s="64"/>
    </row>
    <row r="86">
      <c r="C86" s="64"/>
    </row>
    <row r="87">
      <c r="C87" s="64"/>
    </row>
    <row r="88">
      <c r="C88" s="64"/>
    </row>
    <row r="89">
      <c r="C89" s="64"/>
    </row>
    <row r="90">
      <c r="C90" s="64"/>
    </row>
    <row r="91">
      <c r="C91" s="64"/>
    </row>
    <row r="92">
      <c r="C92" s="64"/>
    </row>
    <row r="93">
      <c r="C93" s="64"/>
    </row>
    <row r="94">
      <c r="C94" s="64"/>
    </row>
    <row r="95">
      <c r="C95" s="64"/>
    </row>
    <row r="96">
      <c r="C96" s="64"/>
    </row>
    <row r="97">
      <c r="C97" s="64"/>
    </row>
    <row r="98">
      <c r="C98" s="64"/>
    </row>
    <row r="99">
      <c r="C99" s="64"/>
    </row>
    <row r="100">
      <c r="C100" s="64"/>
    </row>
    <row r="101">
      <c r="C101" s="64"/>
    </row>
    <row r="102">
      <c r="C102" s="64"/>
    </row>
    <row r="103">
      <c r="C103" s="64"/>
    </row>
    <row r="104">
      <c r="C104" s="64"/>
    </row>
    <row r="105">
      <c r="C105" s="64"/>
    </row>
    <row r="106">
      <c r="C106" s="64"/>
    </row>
    <row r="107">
      <c r="C107" s="64"/>
    </row>
    <row r="108">
      <c r="C108" s="64"/>
    </row>
    <row r="109">
      <c r="C109" s="64"/>
    </row>
    <row r="110">
      <c r="C110" s="64"/>
    </row>
    <row r="111">
      <c r="C111" s="64"/>
    </row>
    <row r="112">
      <c r="C112" s="64"/>
    </row>
    <row r="113">
      <c r="C113" s="64"/>
    </row>
    <row r="114">
      <c r="C114" s="64"/>
    </row>
    <row r="115">
      <c r="C115" s="64"/>
    </row>
    <row r="116">
      <c r="C116" s="64"/>
    </row>
    <row r="117">
      <c r="C117" s="64"/>
    </row>
    <row r="118">
      <c r="C118" s="64"/>
    </row>
    <row r="119">
      <c r="C119" s="64"/>
    </row>
    <row r="120">
      <c r="C120" s="64"/>
    </row>
    <row r="121">
      <c r="C121" s="64"/>
    </row>
    <row r="122">
      <c r="C122" s="64"/>
    </row>
    <row r="123">
      <c r="C123" s="64"/>
    </row>
    <row r="124">
      <c r="C124" s="64"/>
    </row>
    <row r="125">
      <c r="C125" s="64"/>
    </row>
    <row r="126">
      <c r="C126" s="64"/>
    </row>
    <row r="127">
      <c r="C127" s="64"/>
    </row>
    <row r="128">
      <c r="C128" s="64"/>
    </row>
    <row r="129">
      <c r="C129" s="64"/>
    </row>
    <row r="130">
      <c r="C130" s="64"/>
    </row>
    <row r="131">
      <c r="C131" s="64"/>
    </row>
    <row r="132">
      <c r="C132" s="64"/>
    </row>
    <row r="133">
      <c r="C133" s="64"/>
    </row>
    <row r="134">
      <c r="C134" s="64"/>
    </row>
    <row r="135">
      <c r="C135" s="64"/>
    </row>
    <row r="136">
      <c r="C136" s="64"/>
    </row>
    <row r="137">
      <c r="C137" s="64"/>
    </row>
    <row r="138">
      <c r="C138" s="64"/>
    </row>
    <row r="139">
      <c r="C139" s="64"/>
    </row>
    <row r="140">
      <c r="C140" s="64"/>
    </row>
    <row r="141">
      <c r="C141" s="64"/>
    </row>
    <row r="142">
      <c r="C142" s="64"/>
    </row>
    <row r="143">
      <c r="C143" s="64"/>
    </row>
    <row r="144">
      <c r="C144" s="64"/>
    </row>
    <row r="145">
      <c r="C145" s="64"/>
    </row>
    <row r="146">
      <c r="C146" s="64"/>
    </row>
    <row r="147">
      <c r="C147" s="64"/>
    </row>
    <row r="148">
      <c r="C148" s="64"/>
    </row>
    <row r="149">
      <c r="C149" s="64"/>
    </row>
    <row r="150">
      <c r="C150" s="64"/>
    </row>
    <row r="151">
      <c r="C151" s="64"/>
    </row>
    <row r="152">
      <c r="C152" s="64"/>
    </row>
    <row r="153">
      <c r="C153" s="64"/>
    </row>
    <row r="154">
      <c r="C154" s="64"/>
    </row>
    <row r="155">
      <c r="C155" s="64"/>
    </row>
    <row r="156">
      <c r="C156" s="64"/>
    </row>
    <row r="157">
      <c r="C157" s="64"/>
    </row>
    <row r="158">
      <c r="C158" s="64"/>
    </row>
    <row r="159">
      <c r="C159" s="64"/>
    </row>
    <row r="160">
      <c r="C160" s="64"/>
    </row>
    <row r="161">
      <c r="C161" s="64"/>
    </row>
    <row r="162">
      <c r="C162" s="64"/>
    </row>
    <row r="163">
      <c r="C163" s="64"/>
    </row>
    <row r="164">
      <c r="C164" s="64"/>
    </row>
    <row r="165">
      <c r="C165" s="64"/>
    </row>
    <row r="166">
      <c r="C166" s="64"/>
    </row>
    <row r="167">
      <c r="C167" s="64"/>
    </row>
    <row r="168">
      <c r="C168" s="64"/>
    </row>
    <row r="169">
      <c r="C169" s="64"/>
    </row>
    <row r="170">
      <c r="C170" s="64"/>
    </row>
    <row r="171">
      <c r="C171" s="64"/>
    </row>
    <row r="172">
      <c r="C172" s="64"/>
    </row>
    <row r="173">
      <c r="C173" s="64"/>
    </row>
    <row r="174">
      <c r="C174" s="64"/>
    </row>
    <row r="175">
      <c r="C175" s="64"/>
    </row>
    <row r="176">
      <c r="C176" s="64"/>
    </row>
    <row r="177">
      <c r="C177" s="64"/>
    </row>
    <row r="178">
      <c r="C178" s="64"/>
    </row>
    <row r="179">
      <c r="C179" s="64"/>
    </row>
    <row r="180">
      <c r="C180" s="64"/>
    </row>
    <row r="181">
      <c r="C181" s="64"/>
    </row>
    <row r="182">
      <c r="C182" s="64"/>
    </row>
    <row r="183">
      <c r="C183" s="64"/>
    </row>
    <row r="184">
      <c r="C184" s="64"/>
    </row>
    <row r="185">
      <c r="C185" s="64"/>
    </row>
    <row r="186">
      <c r="C186" s="64"/>
    </row>
    <row r="187">
      <c r="C187" s="64"/>
    </row>
    <row r="188">
      <c r="C188" s="64"/>
    </row>
    <row r="189">
      <c r="C189" s="64"/>
    </row>
    <row r="190">
      <c r="C190" s="64"/>
    </row>
    <row r="191">
      <c r="C191" s="64"/>
    </row>
    <row r="192">
      <c r="C192" s="64"/>
    </row>
    <row r="193">
      <c r="C193" s="64"/>
    </row>
    <row r="194">
      <c r="C194" s="64"/>
    </row>
    <row r="195">
      <c r="C195" s="64"/>
    </row>
    <row r="196">
      <c r="C196" s="64"/>
    </row>
    <row r="197">
      <c r="C197" s="64"/>
    </row>
    <row r="198">
      <c r="C198" s="64"/>
    </row>
    <row r="199">
      <c r="C199" s="64"/>
    </row>
    <row r="200">
      <c r="C200" s="64"/>
    </row>
    <row r="201">
      <c r="C201" s="64"/>
    </row>
    <row r="202">
      <c r="C202" s="64"/>
    </row>
    <row r="203">
      <c r="C203" s="64"/>
    </row>
    <row r="204">
      <c r="C204" s="64"/>
    </row>
    <row r="205">
      <c r="C205" s="64"/>
    </row>
    <row r="206">
      <c r="C206" s="64"/>
    </row>
    <row r="207">
      <c r="C207" s="64"/>
    </row>
    <row r="208">
      <c r="C208" s="64"/>
    </row>
    <row r="209">
      <c r="C209" s="64"/>
    </row>
    <row r="210">
      <c r="C210" s="64"/>
    </row>
    <row r="211">
      <c r="C211" s="64"/>
    </row>
    <row r="212">
      <c r="C212" s="64"/>
    </row>
    <row r="213">
      <c r="C213" s="64"/>
    </row>
    <row r="214">
      <c r="C214" s="64"/>
    </row>
    <row r="215">
      <c r="C215" s="64"/>
    </row>
    <row r="216">
      <c r="C216" s="64"/>
    </row>
    <row r="217">
      <c r="C217" s="64"/>
    </row>
    <row r="218">
      <c r="C218" s="64"/>
    </row>
    <row r="219">
      <c r="C219" s="64"/>
    </row>
    <row r="220">
      <c r="C220" s="64"/>
    </row>
    <row r="221">
      <c r="C221" s="64"/>
    </row>
    <row r="222">
      <c r="C222" s="64"/>
    </row>
    <row r="223">
      <c r="C223" s="64"/>
    </row>
    <row r="224">
      <c r="C224" s="64"/>
    </row>
    <row r="225">
      <c r="C225" s="64"/>
    </row>
    <row r="226">
      <c r="C226" s="64"/>
    </row>
    <row r="227">
      <c r="C227" s="64"/>
    </row>
    <row r="228">
      <c r="C228" s="64"/>
    </row>
    <row r="229">
      <c r="C229" s="64"/>
    </row>
    <row r="230">
      <c r="C230" s="64"/>
    </row>
    <row r="231">
      <c r="C231" s="64"/>
    </row>
    <row r="232">
      <c r="C232" s="64"/>
    </row>
    <row r="233">
      <c r="C233" s="64"/>
    </row>
    <row r="234">
      <c r="C234" s="64"/>
    </row>
    <row r="235">
      <c r="C235" s="64"/>
    </row>
    <row r="236">
      <c r="C236" s="64"/>
    </row>
    <row r="237">
      <c r="C237" s="64"/>
    </row>
    <row r="238">
      <c r="C238" s="64"/>
    </row>
    <row r="239">
      <c r="C239" s="64"/>
    </row>
    <row r="240">
      <c r="C240" s="64"/>
    </row>
    <row r="241">
      <c r="C241" s="64"/>
    </row>
    <row r="242">
      <c r="C242" s="64"/>
    </row>
    <row r="243">
      <c r="C243" s="64"/>
    </row>
    <row r="244">
      <c r="C244" s="64"/>
    </row>
    <row r="245">
      <c r="C245" s="64"/>
    </row>
    <row r="246">
      <c r="C246" s="64"/>
    </row>
    <row r="247">
      <c r="C247" s="64"/>
    </row>
    <row r="248">
      <c r="C248" s="64"/>
    </row>
    <row r="249">
      <c r="C249" s="64"/>
    </row>
    <row r="250">
      <c r="C250" s="64"/>
    </row>
    <row r="251">
      <c r="C251" s="64"/>
    </row>
    <row r="252">
      <c r="C252" s="64"/>
    </row>
    <row r="253">
      <c r="C253" s="64"/>
    </row>
    <row r="254">
      <c r="C254" s="64"/>
    </row>
    <row r="255">
      <c r="C255" s="64"/>
    </row>
    <row r="256">
      <c r="C256" s="64"/>
    </row>
    <row r="257">
      <c r="C257" s="64"/>
    </row>
    <row r="258">
      <c r="C258" s="64"/>
    </row>
    <row r="259">
      <c r="C259" s="64"/>
    </row>
    <row r="260">
      <c r="C260" s="64"/>
    </row>
    <row r="261">
      <c r="C261" s="64"/>
    </row>
    <row r="262">
      <c r="C262" s="64"/>
    </row>
    <row r="263">
      <c r="C263" s="64"/>
    </row>
    <row r="264">
      <c r="C264" s="64"/>
    </row>
    <row r="265">
      <c r="C265" s="64"/>
    </row>
    <row r="266">
      <c r="C266" s="64"/>
    </row>
    <row r="267">
      <c r="C267" s="64"/>
    </row>
    <row r="268">
      <c r="C268" s="64"/>
    </row>
    <row r="269">
      <c r="C269" s="64"/>
    </row>
    <row r="270">
      <c r="C270" s="64"/>
    </row>
    <row r="271">
      <c r="C271" s="64"/>
    </row>
    <row r="272">
      <c r="C272" s="64"/>
    </row>
    <row r="273">
      <c r="C273" s="64"/>
    </row>
    <row r="274">
      <c r="C274" s="64"/>
    </row>
    <row r="275">
      <c r="C275" s="64"/>
    </row>
    <row r="276">
      <c r="C276" s="64"/>
    </row>
    <row r="277">
      <c r="C277" s="64"/>
    </row>
    <row r="278">
      <c r="C278" s="64"/>
    </row>
    <row r="279">
      <c r="C279" s="64"/>
    </row>
    <row r="280">
      <c r="C280" s="64"/>
    </row>
    <row r="281">
      <c r="C281" s="64"/>
    </row>
    <row r="282">
      <c r="C282" s="64"/>
    </row>
    <row r="283">
      <c r="C283" s="64"/>
    </row>
    <row r="284">
      <c r="C284" s="64"/>
    </row>
    <row r="285">
      <c r="C285" s="64"/>
    </row>
    <row r="286">
      <c r="C286" s="64"/>
    </row>
    <row r="287">
      <c r="C287" s="64"/>
    </row>
    <row r="288">
      <c r="C288" s="64"/>
    </row>
    <row r="289">
      <c r="C289" s="64"/>
    </row>
    <row r="290">
      <c r="C290" s="64"/>
    </row>
    <row r="291">
      <c r="C291" s="64"/>
    </row>
    <row r="292">
      <c r="C292" s="64"/>
    </row>
    <row r="293">
      <c r="C293" s="64"/>
    </row>
    <row r="294">
      <c r="C294" s="64"/>
    </row>
    <row r="295">
      <c r="C295" s="64"/>
    </row>
    <row r="296">
      <c r="C296" s="64"/>
    </row>
    <row r="297">
      <c r="C297" s="64"/>
    </row>
    <row r="298">
      <c r="C298" s="64"/>
    </row>
    <row r="299">
      <c r="C299" s="64"/>
    </row>
    <row r="300">
      <c r="C300" s="64"/>
    </row>
    <row r="301">
      <c r="C301" s="64"/>
    </row>
    <row r="302">
      <c r="C302" s="64"/>
    </row>
    <row r="303">
      <c r="C303" s="64"/>
    </row>
    <row r="304">
      <c r="C304" s="64"/>
    </row>
    <row r="305">
      <c r="C305" s="64"/>
    </row>
    <row r="306">
      <c r="C306" s="64"/>
    </row>
    <row r="307">
      <c r="C307" s="64"/>
    </row>
    <row r="308">
      <c r="C308" s="64"/>
    </row>
    <row r="309">
      <c r="C309" s="64"/>
    </row>
    <row r="310">
      <c r="C310" s="64"/>
    </row>
    <row r="311">
      <c r="C311" s="64"/>
    </row>
    <row r="312">
      <c r="C312" s="64"/>
    </row>
    <row r="313">
      <c r="C313" s="64"/>
    </row>
    <row r="314">
      <c r="C314" s="64"/>
    </row>
    <row r="315">
      <c r="C315" s="64"/>
    </row>
    <row r="316">
      <c r="C316" s="64"/>
    </row>
    <row r="317">
      <c r="C317" s="64"/>
    </row>
    <row r="318">
      <c r="C318" s="64"/>
    </row>
    <row r="319">
      <c r="C319" s="64"/>
    </row>
    <row r="320">
      <c r="C320" s="64"/>
    </row>
    <row r="321">
      <c r="C321" s="64"/>
    </row>
    <row r="322">
      <c r="C322" s="64"/>
    </row>
    <row r="323">
      <c r="C323" s="64"/>
    </row>
    <row r="324">
      <c r="C324" s="64"/>
    </row>
    <row r="325">
      <c r="C325" s="64"/>
    </row>
    <row r="326">
      <c r="C326" s="64"/>
    </row>
    <row r="327">
      <c r="C327" s="64"/>
    </row>
    <row r="328">
      <c r="C328" s="64"/>
    </row>
    <row r="329">
      <c r="C329" s="64"/>
    </row>
    <row r="330">
      <c r="C330" s="64"/>
    </row>
    <row r="331">
      <c r="C331" s="64"/>
    </row>
    <row r="332">
      <c r="C332" s="64"/>
    </row>
    <row r="333">
      <c r="C333" s="64"/>
    </row>
    <row r="334">
      <c r="C334" s="64"/>
    </row>
    <row r="335">
      <c r="C335" s="64"/>
    </row>
    <row r="336">
      <c r="C336" s="64"/>
    </row>
    <row r="337">
      <c r="C337" s="64"/>
    </row>
    <row r="338">
      <c r="C338" s="64"/>
    </row>
    <row r="339">
      <c r="C339" s="64"/>
    </row>
    <row r="340">
      <c r="C340" s="64"/>
    </row>
    <row r="341">
      <c r="C341" s="64"/>
    </row>
    <row r="342">
      <c r="C342" s="64"/>
    </row>
    <row r="343">
      <c r="C343" s="64"/>
    </row>
    <row r="344">
      <c r="C344" s="64"/>
    </row>
    <row r="345">
      <c r="C345" s="64"/>
    </row>
    <row r="346">
      <c r="C346" s="64"/>
    </row>
    <row r="347">
      <c r="C347" s="64"/>
    </row>
    <row r="348">
      <c r="C348" s="64"/>
    </row>
    <row r="349">
      <c r="C349" s="64"/>
    </row>
    <row r="350">
      <c r="C350" s="64"/>
    </row>
    <row r="351">
      <c r="C351" s="64"/>
    </row>
    <row r="352">
      <c r="C352" s="64"/>
    </row>
    <row r="353">
      <c r="C353" s="64"/>
    </row>
    <row r="354">
      <c r="C354" s="64"/>
    </row>
    <row r="355">
      <c r="C355" s="64"/>
    </row>
    <row r="356">
      <c r="C356" s="64"/>
    </row>
    <row r="357">
      <c r="C357" s="64"/>
    </row>
    <row r="358">
      <c r="C358" s="64"/>
    </row>
    <row r="359">
      <c r="C359" s="64"/>
    </row>
    <row r="360">
      <c r="C360" s="64"/>
    </row>
    <row r="361">
      <c r="C361" s="64"/>
    </row>
    <row r="362">
      <c r="C362" s="64"/>
    </row>
    <row r="363">
      <c r="C363" s="64"/>
    </row>
    <row r="364">
      <c r="C364" s="64"/>
    </row>
    <row r="365">
      <c r="C365" s="64"/>
    </row>
    <row r="366">
      <c r="C366" s="64"/>
    </row>
    <row r="367">
      <c r="C367" s="64"/>
    </row>
    <row r="368">
      <c r="C368" s="64"/>
    </row>
    <row r="369">
      <c r="C369" s="64"/>
    </row>
    <row r="370">
      <c r="C370" s="64"/>
    </row>
    <row r="371">
      <c r="C371" s="64"/>
    </row>
    <row r="372">
      <c r="C372" s="64"/>
    </row>
    <row r="373">
      <c r="C373" s="64"/>
    </row>
    <row r="374">
      <c r="C374" s="64"/>
    </row>
    <row r="375">
      <c r="C375" s="64"/>
    </row>
    <row r="376">
      <c r="C376" s="64"/>
    </row>
    <row r="377">
      <c r="C377" s="64"/>
    </row>
    <row r="378">
      <c r="C378" s="64"/>
    </row>
    <row r="379">
      <c r="C379" s="64"/>
    </row>
    <row r="380">
      <c r="C380" s="64"/>
    </row>
    <row r="381">
      <c r="C381" s="64"/>
    </row>
    <row r="382">
      <c r="C382" s="64"/>
    </row>
    <row r="383">
      <c r="C383" s="64"/>
    </row>
    <row r="384">
      <c r="C384" s="64"/>
    </row>
    <row r="385">
      <c r="C385" s="64"/>
    </row>
    <row r="386">
      <c r="C386" s="64"/>
    </row>
    <row r="387">
      <c r="C387" s="64"/>
    </row>
    <row r="388">
      <c r="C388" s="64"/>
    </row>
    <row r="389">
      <c r="C389" s="64"/>
    </row>
    <row r="390">
      <c r="C390" s="64"/>
    </row>
    <row r="391">
      <c r="C391" s="64"/>
    </row>
    <row r="392">
      <c r="C392" s="64"/>
    </row>
    <row r="393">
      <c r="C393" s="64"/>
    </row>
    <row r="394">
      <c r="C394" s="64"/>
    </row>
    <row r="395">
      <c r="C395" s="64"/>
    </row>
    <row r="396">
      <c r="C396" s="64"/>
    </row>
    <row r="397">
      <c r="C397" s="64"/>
    </row>
    <row r="398">
      <c r="C398" s="64"/>
    </row>
    <row r="399">
      <c r="C399" s="64"/>
    </row>
    <row r="400">
      <c r="C400" s="64"/>
    </row>
    <row r="401">
      <c r="C401" s="64"/>
    </row>
    <row r="402">
      <c r="C402" s="64"/>
    </row>
    <row r="403">
      <c r="C403" s="64"/>
    </row>
    <row r="404">
      <c r="C404" s="64"/>
    </row>
    <row r="405">
      <c r="C405" s="64"/>
    </row>
    <row r="406">
      <c r="C406" s="64"/>
    </row>
    <row r="407">
      <c r="C407" s="64"/>
    </row>
    <row r="408">
      <c r="C408" s="64"/>
    </row>
    <row r="409">
      <c r="C409" s="64"/>
    </row>
    <row r="410">
      <c r="C410" s="64"/>
    </row>
    <row r="411">
      <c r="C411" s="64"/>
    </row>
    <row r="412">
      <c r="C412" s="64"/>
    </row>
    <row r="413">
      <c r="C413" s="64"/>
    </row>
    <row r="414">
      <c r="C414" s="64"/>
    </row>
    <row r="415">
      <c r="C415" s="64"/>
    </row>
    <row r="416">
      <c r="C416" s="64"/>
    </row>
    <row r="417">
      <c r="C417" s="64"/>
    </row>
    <row r="418">
      <c r="C418" s="64"/>
    </row>
    <row r="419">
      <c r="C419" s="64"/>
    </row>
    <row r="420">
      <c r="C420" s="64"/>
    </row>
    <row r="421">
      <c r="C421" s="64"/>
    </row>
    <row r="422">
      <c r="C422" s="64"/>
    </row>
    <row r="423">
      <c r="C423" s="64"/>
    </row>
    <row r="424">
      <c r="C424" s="64"/>
    </row>
    <row r="425">
      <c r="C425" s="64"/>
    </row>
    <row r="426">
      <c r="C426" s="64"/>
    </row>
    <row r="427">
      <c r="C427" s="64"/>
    </row>
    <row r="428">
      <c r="C428" s="64"/>
    </row>
    <row r="429">
      <c r="C429" s="64"/>
    </row>
    <row r="430">
      <c r="C430" s="64"/>
    </row>
    <row r="431">
      <c r="C431" s="64"/>
    </row>
    <row r="432">
      <c r="C432" s="64"/>
    </row>
    <row r="433">
      <c r="C433" s="64"/>
    </row>
    <row r="434">
      <c r="C434" s="64"/>
    </row>
    <row r="435">
      <c r="C435" s="64"/>
    </row>
    <row r="436">
      <c r="C436" s="64"/>
    </row>
    <row r="437">
      <c r="C437" s="64"/>
    </row>
    <row r="438">
      <c r="C438" s="64"/>
    </row>
    <row r="439">
      <c r="C439" s="64"/>
    </row>
    <row r="440">
      <c r="C440" s="64"/>
    </row>
    <row r="441">
      <c r="C441" s="64"/>
    </row>
    <row r="442">
      <c r="C442" s="64"/>
    </row>
    <row r="443">
      <c r="C443" s="64"/>
    </row>
    <row r="444">
      <c r="C444" s="64"/>
    </row>
    <row r="445">
      <c r="C445" s="64"/>
    </row>
    <row r="446">
      <c r="C446" s="64"/>
    </row>
    <row r="447">
      <c r="C447" s="64"/>
    </row>
    <row r="448">
      <c r="C448" s="64"/>
    </row>
    <row r="449">
      <c r="C449" s="64"/>
    </row>
    <row r="450">
      <c r="C450" s="64"/>
    </row>
    <row r="451">
      <c r="C451" s="64"/>
    </row>
    <row r="452">
      <c r="C452" s="64"/>
    </row>
    <row r="453">
      <c r="C453" s="64"/>
    </row>
    <row r="454">
      <c r="C454" s="64"/>
    </row>
    <row r="455">
      <c r="C455" s="64"/>
    </row>
    <row r="456">
      <c r="C456" s="64"/>
    </row>
    <row r="457">
      <c r="C457" s="64"/>
    </row>
    <row r="458">
      <c r="C458" s="64"/>
    </row>
    <row r="459">
      <c r="C459" s="64"/>
    </row>
    <row r="460">
      <c r="C460" s="64"/>
    </row>
    <row r="461">
      <c r="C461" s="64"/>
    </row>
    <row r="462">
      <c r="C462" s="64"/>
    </row>
    <row r="463">
      <c r="C463" s="64"/>
    </row>
    <row r="464">
      <c r="C464" s="64"/>
    </row>
    <row r="465">
      <c r="C465" s="64"/>
    </row>
    <row r="466">
      <c r="C466" s="64"/>
    </row>
    <row r="467">
      <c r="C467" s="64"/>
    </row>
    <row r="468">
      <c r="C468" s="64"/>
    </row>
    <row r="469">
      <c r="C469" s="64"/>
    </row>
    <row r="470">
      <c r="C470" s="64"/>
    </row>
    <row r="471">
      <c r="C471" s="64"/>
    </row>
    <row r="472">
      <c r="C472" s="64"/>
    </row>
    <row r="473">
      <c r="C473" s="64"/>
    </row>
    <row r="474">
      <c r="C474" s="64"/>
    </row>
    <row r="475">
      <c r="C475" s="64"/>
    </row>
    <row r="476">
      <c r="C476" s="64"/>
    </row>
    <row r="477">
      <c r="C477" s="64"/>
    </row>
    <row r="478">
      <c r="C478" s="64"/>
    </row>
    <row r="479">
      <c r="C479" s="64"/>
    </row>
    <row r="480">
      <c r="C480" s="64"/>
    </row>
    <row r="481">
      <c r="C481" s="64"/>
    </row>
    <row r="482">
      <c r="C482" s="64"/>
    </row>
    <row r="483">
      <c r="C483" s="64"/>
    </row>
    <row r="484">
      <c r="C484" s="64"/>
    </row>
    <row r="485">
      <c r="C485" s="64"/>
    </row>
    <row r="486">
      <c r="C486" s="64"/>
    </row>
    <row r="487">
      <c r="C487" s="64"/>
    </row>
    <row r="488">
      <c r="C488" s="64"/>
    </row>
    <row r="489">
      <c r="C489" s="64"/>
    </row>
    <row r="490">
      <c r="C490" s="64"/>
    </row>
    <row r="491">
      <c r="C491" s="64"/>
    </row>
    <row r="492">
      <c r="C492" s="64"/>
    </row>
    <row r="493">
      <c r="C493" s="64"/>
    </row>
    <row r="494">
      <c r="C494" s="64"/>
    </row>
    <row r="495">
      <c r="C495" s="64"/>
    </row>
    <row r="496">
      <c r="C496" s="64"/>
    </row>
    <row r="497">
      <c r="C497" s="64"/>
    </row>
    <row r="498">
      <c r="C498" s="64"/>
    </row>
    <row r="499">
      <c r="C499" s="64"/>
    </row>
    <row r="500">
      <c r="C500" s="64"/>
    </row>
    <row r="501">
      <c r="C501" s="64"/>
    </row>
    <row r="502">
      <c r="C502" s="64"/>
    </row>
    <row r="503">
      <c r="C503" s="64"/>
    </row>
    <row r="504">
      <c r="C504" s="64"/>
    </row>
    <row r="505">
      <c r="C505" s="64"/>
    </row>
    <row r="506">
      <c r="C506" s="64"/>
    </row>
    <row r="507">
      <c r="C507" s="64"/>
    </row>
    <row r="508">
      <c r="C508" s="64"/>
    </row>
    <row r="509">
      <c r="C509" s="64"/>
    </row>
    <row r="510">
      <c r="C510" s="64"/>
    </row>
    <row r="511">
      <c r="C511" s="64"/>
    </row>
    <row r="512">
      <c r="C512" s="64"/>
    </row>
    <row r="513">
      <c r="C513" s="64"/>
    </row>
    <row r="514">
      <c r="C514" s="64"/>
    </row>
    <row r="515">
      <c r="C515" s="64"/>
    </row>
    <row r="516">
      <c r="C516" s="64"/>
    </row>
    <row r="517">
      <c r="C517" s="64"/>
    </row>
    <row r="518">
      <c r="C518" s="64"/>
    </row>
    <row r="519">
      <c r="C519" s="64"/>
    </row>
    <row r="520">
      <c r="C520" s="64"/>
    </row>
    <row r="521">
      <c r="C521" s="64"/>
    </row>
    <row r="522">
      <c r="C522" s="64"/>
    </row>
    <row r="523">
      <c r="C523" s="64"/>
    </row>
    <row r="524">
      <c r="C524" s="64"/>
    </row>
    <row r="525">
      <c r="C525" s="64"/>
    </row>
    <row r="526">
      <c r="C526" s="64"/>
    </row>
    <row r="527">
      <c r="C527" s="64"/>
    </row>
    <row r="528">
      <c r="C528" s="64"/>
    </row>
    <row r="529">
      <c r="C529" s="64"/>
    </row>
    <row r="530">
      <c r="C530" s="64"/>
    </row>
    <row r="531">
      <c r="C531" s="64"/>
    </row>
    <row r="532">
      <c r="C532" s="64"/>
    </row>
    <row r="533">
      <c r="C533" s="64"/>
    </row>
    <row r="534">
      <c r="C534" s="64"/>
    </row>
    <row r="535">
      <c r="C535" s="64"/>
    </row>
    <row r="536">
      <c r="C536" s="64"/>
    </row>
    <row r="537">
      <c r="C537" s="64"/>
    </row>
    <row r="538">
      <c r="C538" s="64"/>
    </row>
    <row r="539">
      <c r="C539" s="64"/>
    </row>
    <row r="540">
      <c r="C540" s="64"/>
    </row>
    <row r="541">
      <c r="C541" s="64"/>
    </row>
    <row r="542">
      <c r="C542" s="64"/>
    </row>
    <row r="543">
      <c r="C543" s="64"/>
    </row>
    <row r="544">
      <c r="C544" s="64"/>
    </row>
    <row r="545">
      <c r="C545" s="64"/>
    </row>
    <row r="546">
      <c r="C546" s="64"/>
    </row>
    <row r="547">
      <c r="C547" s="64"/>
    </row>
    <row r="548">
      <c r="C548" s="64"/>
    </row>
    <row r="549">
      <c r="C549" s="64"/>
    </row>
    <row r="550">
      <c r="C550" s="64"/>
    </row>
    <row r="551">
      <c r="C551" s="64"/>
    </row>
    <row r="552">
      <c r="C552" s="64"/>
    </row>
    <row r="553">
      <c r="C553" s="64"/>
    </row>
    <row r="554">
      <c r="C554" s="64"/>
    </row>
    <row r="555">
      <c r="C555" s="64"/>
    </row>
    <row r="556">
      <c r="C556" s="64"/>
    </row>
    <row r="557">
      <c r="C557" s="64"/>
    </row>
    <row r="558">
      <c r="C558" s="64"/>
    </row>
    <row r="559">
      <c r="C559" s="64"/>
    </row>
    <row r="560">
      <c r="C560" s="64"/>
    </row>
    <row r="561">
      <c r="C561" s="64"/>
    </row>
    <row r="562">
      <c r="C562" s="64"/>
    </row>
    <row r="563">
      <c r="C563" s="64"/>
    </row>
    <row r="564">
      <c r="C564" s="64"/>
    </row>
    <row r="565">
      <c r="C565" s="64"/>
    </row>
    <row r="566">
      <c r="C566" s="64"/>
    </row>
    <row r="567">
      <c r="C567" s="64"/>
    </row>
    <row r="568">
      <c r="C568" s="64"/>
    </row>
    <row r="569">
      <c r="C569" s="64"/>
    </row>
    <row r="570">
      <c r="C570" s="64"/>
    </row>
    <row r="571">
      <c r="C571" s="64"/>
    </row>
    <row r="572">
      <c r="C572" s="64"/>
    </row>
    <row r="573">
      <c r="C573" s="64"/>
    </row>
    <row r="574">
      <c r="C574" s="64"/>
    </row>
    <row r="575">
      <c r="C575" s="64"/>
    </row>
    <row r="576">
      <c r="C576" s="64"/>
    </row>
    <row r="577">
      <c r="C577" s="64"/>
    </row>
    <row r="578">
      <c r="C578" s="64"/>
    </row>
    <row r="579">
      <c r="C579" s="64"/>
    </row>
    <row r="580">
      <c r="C580" s="64"/>
    </row>
    <row r="581">
      <c r="C581" s="64"/>
    </row>
    <row r="582">
      <c r="C582" s="64"/>
    </row>
    <row r="583">
      <c r="C583" s="64"/>
    </row>
    <row r="584">
      <c r="C584" s="64"/>
    </row>
    <row r="585">
      <c r="C585" s="64"/>
    </row>
    <row r="586">
      <c r="C586" s="64"/>
    </row>
    <row r="587">
      <c r="C587" s="64"/>
    </row>
    <row r="588">
      <c r="C588" s="64"/>
    </row>
    <row r="589">
      <c r="C589" s="64"/>
    </row>
    <row r="590">
      <c r="C590" s="64"/>
    </row>
    <row r="591">
      <c r="C591" s="64"/>
    </row>
    <row r="592">
      <c r="C592" s="64"/>
    </row>
    <row r="593">
      <c r="C593" s="64"/>
    </row>
    <row r="594">
      <c r="C594" s="64"/>
    </row>
    <row r="595">
      <c r="C595" s="64"/>
    </row>
    <row r="596">
      <c r="C596" s="64"/>
    </row>
    <row r="597">
      <c r="C597" s="64"/>
    </row>
    <row r="598">
      <c r="C598" s="64"/>
    </row>
    <row r="599">
      <c r="C599" s="64"/>
    </row>
    <row r="600">
      <c r="C600" s="64"/>
    </row>
    <row r="601">
      <c r="C601" s="64"/>
    </row>
    <row r="602">
      <c r="C602" s="64"/>
    </row>
    <row r="603">
      <c r="C603" s="64"/>
    </row>
    <row r="604">
      <c r="C604" s="64"/>
    </row>
    <row r="605">
      <c r="C605" s="64"/>
    </row>
    <row r="606">
      <c r="C606" s="64"/>
    </row>
    <row r="607">
      <c r="C607" s="64"/>
    </row>
    <row r="608">
      <c r="C608" s="64"/>
    </row>
    <row r="609">
      <c r="C609" s="64"/>
    </row>
    <row r="610">
      <c r="C610" s="64"/>
    </row>
    <row r="611">
      <c r="C611" s="64"/>
    </row>
    <row r="612">
      <c r="C612" s="64"/>
    </row>
    <row r="613">
      <c r="C613" s="64"/>
    </row>
    <row r="614">
      <c r="C614" s="64"/>
    </row>
    <row r="615">
      <c r="C615" s="64"/>
    </row>
    <row r="616">
      <c r="C616" s="64"/>
    </row>
    <row r="617">
      <c r="C617" s="64"/>
    </row>
    <row r="618">
      <c r="C618" s="64"/>
    </row>
    <row r="619">
      <c r="C619" s="64"/>
    </row>
    <row r="620">
      <c r="C620" s="64"/>
    </row>
    <row r="621">
      <c r="C621" s="64"/>
    </row>
    <row r="622">
      <c r="C622" s="64"/>
    </row>
    <row r="623">
      <c r="C623" s="64"/>
    </row>
    <row r="624">
      <c r="C624" s="64"/>
    </row>
    <row r="625">
      <c r="C625" s="64"/>
    </row>
    <row r="626">
      <c r="C626" s="64"/>
    </row>
    <row r="627">
      <c r="C627" s="64"/>
    </row>
    <row r="628">
      <c r="C628" s="64"/>
    </row>
    <row r="629">
      <c r="C629" s="64"/>
    </row>
    <row r="630">
      <c r="C630" s="64"/>
    </row>
    <row r="631">
      <c r="C631" s="64"/>
    </row>
    <row r="632">
      <c r="C632" s="64"/>
    </row>
    <row r="633">
      <c r="C633" s="64"/>
    </row>
    <row r="634">
      <c r="C634" s="64"/>
    </row>
    <row r="635">
      <c r="C635" s="64"/>
    </row>
    <row r="636">
      <c r="C636" s="64"/>
    </row>
    <row r="637">
      <c r="C637" s="64"/>
    </row>
    <row r="638">
      <c r="C638" s="64"/>
    </row>
    <row r="639">
      <c r="C639" s="64"/>
    </row>
    <row r="640">
      <c r="C640" s="64"/>
    </row>
    <row r="641">
      <c r="C641" s="64"/>
    </row>
    <row r="642">
      <c r="C642" s="64"/>
    </row>
    <row r="643">
      <c r="C643" s="64"/>
    </row>
    <row r="644">
      <c r="C644" s="64"/>
    </row>
    <row r="645">
      <c r="C645" s="64"/>
    </row>
    <row r="646">
      <c r="C646" s="64"/>
    </row>
    <row r="647">
      <c r="C647" s="64"/>
    </row>
    <row r="648">
      <c r="C648" s="64"/>
    </row>
    <row r="649">
      <c r="C649" s="64"/>
    </row>
    <row r="650">
      <c r="C650" s="64"/>
    </row>
    <row r="651">
      <c r="C651" s="64"/>
    </row>
    <row r="652">
      <c r="C652" s="64"/>
    </row>
    <row r="653">
      <c r="C653" s="64"/>
    </row>
    <row r="654">
      <c r="C654" s="64"/>
    </row>
    <row r="655">
      <c r="C655" s="64"/>
    </row>
    <row r="656">
      <c r="C656" s="64"/>
    </row>
    <row r="657">
      <c r="C657" s="64"/>
    </row>
    <row r="658">
      <c r="C658" s="64"/>
    </row>
    <row r="659">
      <c r="C659" s="64"/>
    </row>
    <row r="660">
      <c r="C660" s="64"/>
    </row>
    <row r="661">
      <c r="C661" s="64"/>
    </row>
    <row r="662">
      <c r="C662" s="64"/>
    </row>
    <row r="663">
      <c r="C663" s="64"/>
    </row>
    <row r="664">
      <c r="C664" s="64"/>
    </row>
    <row r="665">
      <c r="C665" s="64"/>
    </row>
    <row r="666">
      <c r="C666" s="64"/>
    </row>
    <row r="667">
      <c r="C667" s="64"/>
    </row>
    <row r="668">
      <c r="C668" s="64"/>
    </row>
    <row r="669">
      <c r="C669" s="64"/>
    </row>
    <row r="670">
      <c r="C670" s="64"/>
    </row>
    <row r="671">
      <c r="C671" s="64"/>
    </row>
    <row r="672">
      <c r="C672" s="64"/>
    </row>
    <row r="673">
      <c r="C673" s="64"/>
    </row>
    <row r="674">
      <c r="C674" s="64"/>
    </row>
    <row r="675">
      <c r="C675" s="64"/>
    </row>
    <row r="676">
      <c r="C676" s="64"/>
    </row>
    <row r="677">
      <c r="C677" s="64"/>
    </row>
    <row r="678">
      <c r="C678" s="64"/>
    </row>
    <row r="679">
      <c r="C679" s="64"/>
    </row>
    <row r="680">
      <c r="C680" s="64"/>
    </row>
    <row r="681">
      <c r="C681" s="64"/>
    </row>
    <row r="682">
      <c r="C682" s="64"/>
    </row>
    <row r="683">
      <c r="C683" s="64"/>
    </row>
    <row r="684">
      <c r="C684" s="64"/>
    </row>
    <row r="685">
      <c r="C685" s="64"/>
    </row>
    <row r="686">
      <c r="C686" s="64"/>
    </row>
    <row r="687">
      <c r="C687" s="64"/>
    </row>
    <row r="688">
      <c r="C688" s="64"/>
    </row>
    <row r="689">
      <c r="C689" s="64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</sheetData>
  <mergeCells count="14">
    <mergeCell ref="F3:G3"/>
    <mergeCell ref="H3:I3"/>
    <mergeCell ref="J3:J4"/>
    <mergeCell ref="K3:K4"/>
    <mergeCell ref="E65:K6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867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1.0</v>
      </c>
      <c r="B5" s="13" t="s">
        <v>868</v>
      </c>
      <c r="C5" s="13">
        <v>53249.0</v>
      </c>
      <c r="D5" s="13" t="s">
        <v>581</v>
      </c>
      <c r="E5" s="67"/>
      <c r="F5" s="15"/>
      <c r="G5" s="16"/>
      <c r="H5" s="17">
        <v>15000.0</v>
      </c>
      <c r="I5" s="18"/>
      <c r="J5" s="68"/>
      <c r="K5" s="66"/>
      <c r="L5" s="21">
        <v>15000.0</v>
      </c>
      <c r="M5" s="22">
        <f t="shared" ref="M5:M82" si="1">SUM(E5+F5+G5+H5+I5+J5+K5-L5)</f>
        <v>0</v>
      </c>
    </row>
    <row r="6">
      <c r="A6" s="12">
        <v>2.0</v>
      </c>
      <c r="B6" s="13" t="s">
        <v>869</v>
      </c>
      <c r="C6" s="13">
        <v>50871.0</v>
      </c>
      <c r="D6" s="13" t="s">
        <v>48</v>
      </c>
      <c r="E6" s="69"/>
      <c r="F6" s="15"/>
      <c r="G6" s="16"/>
      <c r="H6" s="17">
        <v>49300.0</v>
      </c>
      <c r="I6" s="18"/>
      <c r="J6" s="68"/>
      <c r="K6" s="20"/>
      <c r="L6" s="21">
        <v>49300.0</v>
      </c>
      <c r="M6" s="22">
        <f t="shared" si="1"/>
        <v>0</v>
      </c>
    </row>
    <row r="7">
      <c r="A7" s="12">
        <v>3.0</v>
      </c>
      <c r="B7" s="13" t="s">
        <v>870</v>
      </c>
      <c r="C7" s="13">
        <v>47787.0</v>
      </c>
      <c r="D7" s="13" t="s">
        <v>161</v>
      </c>
      <c r="E7" s="69"/>
      <c r="F7" s="15"/>
      <c r="G7" s="16"/>
      <c r="H7" s="17">
        <v>3200.0</v>
      </c>
      <c r="I7" s="24"/>
      <c r="J7" s="68"/>
      <c r="K7" s="20"/>
      <c r="L7" s="21">
        <v>3200.0</v>
      </c>
      <c r="M7" s="22">
        <f t="shared" si="1"/>
        <v>0</v>
      </c>
    </row>
    <row r="8">
      <c r="A8" s="12">
        <v>4.0</v>
      </c>
      <c r="B8" s="13" t="s">
        <v>871</v>
      </c>
      <c r="C8" s="13">
        <v>53842.0</v>
      </c>
      <c r="D8" s="13" t="s">
        <v>872</v>
      </c>
      <c r="E8" s="67"/>
      <c r="F8" s="25"/>
      <c r="G8" s="16"/>
      <c r="H8" s="17"/>
      <c r="I8" s="18">
        <v>2650.0</v>
      </c>
      <c r="J8" s="68"/>
      <c r="K8" s="20"/>
      <c r="L8" s="21">
        <v>2650.0</v>
      </c>
      <c r="M8" s="22">
        <f t="shared" si="1"/>
        <v>0</v>
      </c>
    </row>
    <row r="9">
      <c r="A9" s="12">
        <v>5.0</v>
      </c>
      <c r="B9" s="13" t="s">
        <v>873</v>
      </c>
      <c r="C9" s="13">
        <v>44986.0</v>
      </c>
      <c r="D9" s="13" t="s">
        <v>566</v>
      </c>
      <c r="E9" s="67"/>
      <c r="F9" s="25"/>
      <c r="G9" s="16"/>
      <c r="H9" s="17">
        <v>10000.0</v>
      </c>
      <c r="I9" s="18"/>
      <c r="J9" s="70"/>
      <c r="K9" s="20"/>
      <c r="L9" s="21">
        <v>10000.0</v>
      </c>
      <c r="M9" s="22">
        <f t="shared" si="1"/>
        <v>0</v>
      </c>
    </row>
    <row r="10">
      <c r="A10" s="12">
        <v>6.0</v>
      </c>
      <c r="B10" s="13" t="s">
        <v>874</v>
      </c>
      <c r="C10" s="13">
        <v>48967.0</v>
      </c>
      <c r="D10" s="13" t="s">
        <v>875</v>
      </c>
      <c r="E10" s="67"/>
      <c r="F10" s="25"/>
      <c r="G10" s="16"/>
      <c r="H10" s="17"/>
      <c r="I10" s="18">
        <v>1250.0</v>
      </c>
      <c r="J10" s="68"/>
      <c r="K10" s="20"/>
      <c r="L10" s="21">
        <v>1250.0</v>
      </c>
      <c r="M10" s="22">
        <f t="shared" si="1"/>
        <v>0</v>
      </c>
    </row>
    <row r="11">
      <c r="A11" s="12">
        <v>7.0</v>
      </c>
      <c r="B11" s="13" t="s">
        <v>876</v>
      </c>
      <c r="C11" s="13">
        <v>53925.0</v>
      </c>
      <c r="D11" s="13" t="s">
        <v>877</v>
      </c>
      <c r="E11" s="67"/>
      <c r="F11" s="25"/>
      <c r="G11" s="16"/>
      <c r="H11" s="17"/>
      <c r="I11" s="18">
        <v>5150.0</v>
      </c>
      <c r="J11" s="68"/>
      <c r="K11" s="20"/>
      <c r="L11" s="21">
        <v>5150.0</v>
      </c>
      <c r="M11" s="22">
        <f t="shared" si="1"/>
        <v>0</v>
      </c>
    </row>
    <row r="12">
      <c r="A12" s="12">
        <v>8.0</v>
      </c>
      <c r="B12" s="13" t="s">
        <v>878</v>
      </c>
      <c r="C12" s="13">
        <v>48631.0</v>
      </c>
      <c r="D12" s="13" t="s">
        <v>123</v>
      </c>
      <c r="E12" s="67"/>
      <c r="F12" s="25"/>
      <c r="G12" s="16"/>
      <c r="H12" s="17">
        <v>16450.0</v>
      </c>
      <c r="I12" s="18"/>
      <c r="J12" s="70"/>
      <c r="K12" s="20"/>
      <c r="L12" s="21">
        <v>16450.0</v>
      </c>
      <c r="M12" s="22">
        <f t="shared" si="1"/>
        <v>0</v>
      </c>
    </row>
    <row r="13">
      <c r="A13" s="12">
        <v>9.0</v>
      </c>
      <c r="B13" s="13" t="s">
        <v>879</v>
      </c>
      <c r="C13" s="13">
        <v>31738.0</v>
      </c>
      <c r="D13" s="13" t="s">
        <v>277</v>
      </c>
      <c r="E13" s="67"/>
      <c r="F13" s="25"/>
      <c r="G13" s="16"/>
      <c r="H13" s="17">
        <v>2650.0</v>
      </c>
      <c r="I13" s="24"/>
      <c r="J13" s="68"/>
      <c r="K13" s="20"/>
      <c r="L13" s="21">
        <v>2650.0</v>
      </c>
      <c r="M13" s="22">
        <f t="shared" si="1"/>
        <v>0</v>
      </c>
    </row>
    <row r="14">
      <c r="A14" s="12">
        <v>10.0</v>
      </c>
      <c r="B14" s="13" t="s">
        <v>880</v>
      </c>
      <c r="C14" s="13">
        <v>48649.0</v>
      </c>
      <c r="D14" s="13" t="s">
        <v>881</v>
      </c>
      <c r="E14" s="67"/>
      <c r="F14" s="25"/>
      <c r="G14" s="16"/>
      <c r="H14" s="17">
        <v>200.0</v>
      </c>
      <c r="I14" s="18"/>
      <c r="J14" s="68"/>
      <c r="K14" s="20"/>
      <c r="L14" s="21">
        <v>200.0</v>
      </c>
      <c r="M14" s="22">
        <f t="shared" si="1"/>
        <v>0</v>
      </c>
    </row>
    <row r="15">
      <c r="A15" s="12">
        <v>11.0</v>
      </c>
      <c r="B15" s="13" t="s">
        <v>882</v>
      </c>
      <c r="C15" s="13">
        <v>50148.0</v>
      </c>
      <c r="D15" s="13" t="s">
        <v>355</v>
      </c>
      <c r="E15" s="67"/>
      <c r="F15" s="25"/>
      <c r="G15" s="16"/>
      <c r="H15" s="17">
        <v>1427.0</v>
      </c>
      <c r="I15" s="18"/>
      <c r="J15" s="68"/>
      <c r="K15" s="20"/>
      <c r="L15" s="21">
        <v>1427.0</v>
      </c>
      <c r="M15" s="22">
        <f t="shared" si="1"/>
        <v>0</v>
      </c>
    </row>
    <row r="16">
      <c r="A16" s="12">
        <v>12.0</v>
      </c>
      <c r="B16" s="13" t="s">
        <v>883</v>
      </c>
      <c r="C16" s="13">
        <v>49655.0</v>
      </c>
      <c r="D16" s="13" t="s">
        <v>134</v>
      </c>
      <c r="E16" s="67"/>
      <c r="F16" s="25"/>
      <c r="G16" s="16"/>
      <c r="H16" s="17"/>
      <c r="I16" s="18">
        <v>1250.0</v>
      </c>
      <c r="J16" s="68"/>
      <c r="K16" s="20"/>
      <c r="L16" s="21">
        <v>1250.0</v>
      </c>
      <c r="M16" s="22">
        <f t="shared" si="1"/>
        <v>0</v>
      </c>
    </row>
    <row r="17">
      <c r="A17" s="12">
        <v>13.0</v>
      </c>
      <c r="B17" s="13" t="s">
        <v>884</v>
      </c>
      <c r="C17" s="13">
        <v>45937.0</v>
      </c>
      <c r="D17" s="13" t="s">
        <v>885</v>
      </c>
      <c r="E17" s="67"/>
      <c r="F17" s="25"/>
      <c r="G17" s="16"/>
      <c r="H17" s="17">
        <v>400.0</v>
      </c>
      <c r="I17" s="18"/>
      <c r="J17" s="68"/>
      <c r="K17" s="20"/>
      <c r="L17" s="21">
        <v>400.0</v>
      </c>
      <c r="M17" s="22">
        <f t="shared" si="1"/>
        <v>0</v>
      </c>
    </row>
    <row r="18">
      <c r="A18" s="12">
        <v>14.0</v>
      </c>
      <c r="B18" s="13" t="s">
        <v>886</v>
      </c>
      <c r="C18" s="13">
        <v>10001.0</v>
      </c>
      <c r="D18" s="13" t="s">
        <v>46</v>
      </c>
      <c r="E18" s="67"/>
      <c r="F18" s="25"/>
      <c r="G18" s="16"/>
      <c r="H18" s="17">
        <v>5350.0</v>
      </c>
      <c r="I18" s="24"/>
      <c r="J18" s="68"/>
      <c r="K18" s="20"/>
      <c r="L18" s="21">
        <v>5350.0</v>
      </c>
      <c r="M18" s="22">
        <f t="shared" si="1"/>
        <v>0</v>
      </c>
    </row>
    <row r="19">
      <c r="A19" s="12">
        <v>15.0</v>
      </c>
      <c r="B19" s="13" t="s">
        <v>887</v>
      </c>
      <c r="C19" s="13">
        <v>21384.0</v>
      </c>
      <c r="D19" s="13" t="s">
        <v>151</v>
      </c>
      <c r="E19" s="67"/>
      <c r="F19" s="25"/>
      <c r="G19" s="16"/>
      <c r="H19" s="17"/>
      <c r="I19" s="18"/>
      <c r="J19" s="70">
        <v>2500.0</v>
      </c>
      <c r="K19" s="20"/>
      <c r="L19" s="21">
        <v>2500.0</v>
      </c>
      <c r="M19" s="22">
        <f t="shared" si="1"/>
        <v>0</v>
      </c>
    </row>
    <row r="20">
      <c r="A20" s="12">
        <v>16.0</v>
      </c>
      <c r="B20" s="13" t="s">
        <v>888</v>
      </c>
      <c r="C20" s="13">
        <v>50222.0</v>
      </c>
      <c r="D20" s="13" t="s">
        <v>504</v>
      </c>
      <c r="E20" s="67"/>
      <c r="F20" s="25"/>
      <c r="G20" s="16"/>
      <c r="H20" s="17">
        <v>18.0</v>
      </c>
      <c r="I20" s="24"/>
      <c r="J20" s="68"/>
      <c r="K20" s="20"/>
      <c r="L20" s="21">
        <v>18.0</v>
      </c>
      <c r="M20" s="22">
        <f t="shared" si="1"/>
        <v>0</v>
      </c>
    </row>
    <row r="21">
      <c r="A21" s="12">
        <v>17.0</v>
      </c>
      <c r="B21" s="13" t="s">
        <v>889</v>
      </c>
      <c r="C21" s="13">
        <v>49270.0</v>
      </c>
      <c r="D21" s="13" t="s">
        <v>18</v>
      </c>
      <c r="E21" s="69"/>
      <c r="F21" s="25"/>
      <c r="G21" s="16"/>
      <c r="H21" s="17"/>
      <c r="I21" s="18">
        <v>300.0</v>
      </c>
      <c r="J21" s="68"/>
      <c r="K21" s="20"/>
      <c r="L21" s="21">
        <v>300.0</v>
      </c>
      <c r="M21" s="22">
        <f t="shared" si="1"/>
        <v>0</v>
      </c>
    </row>
    <row r="22">
      <c r="A22" s="12">
        <v>18.0</v>
      </c>
      <c r="B22" s="13" t="s">
        <v>890</v>
      </c>
      <c r="C22" s="13">
        <v>33065.0</v>
      </c>
      <c r="D22" s="13" t="s">
        <v>660</v>
      </c>
      <c r="E22" s="69"/>
      <c r="F22" s="25"/>
      <c r="G22" s="16"/>
      <c r="H22" s="17">
        <v>5150.0</v>
      </c>
      <c r="I22" s="24"/>
      <c r="J22" s="68"/>
      <c r="K22" s="20"/>
      <c r="L22" s="21">
        <v>5150.0</v>
      </c>
      <c r="M22" s="22">
        <f t="shared" si="1"/>
        <v>0</v>
      </c>
    </row>
    <row r="23">
      <c r="A23" s="12">
        <v>19.0</v>
      </c>
      <c r="B23" s="13" t="s">
        <v>891</v>
      </c>
      <c r="C23" s="13">
        <v>55446.0</v>
      </c>
      <c r="D23" s="13" t="s">
        <v>336</v>
      </c>
      <c r="E23" s="67"/>
      <c r="F23" s="25"/>
      <c r="G23" s="16"/>
      <c r="H23" s="17">
        <v>1600.0</v>
      </c>
      <c r="I23" s="18"/>
      <c r="J23" s="68"/>
      <c r="K23" s="20"/>
      <c r="L23" s="21">
        <v>1600.0</v>
      </c>
      <c r="M23" s="22">
        <f t="shared" si="1"/>
        <v>0</v>
      </c>
    </row>
    <row r="24">
      <c r="A24" s="12">
        <v>20.0</v>
      </c>
      <c r="B24" s="13" t="s">
        <v>892</v>
      </c>
      <c r="C24" s="13">
        <v>44390.0</v>
      </c>
      <c r="D24" s="13" t="s">
        <v>893</v>
      </c>
      <c r="E24" s="67"/>
      <c r="F24" s="25"/>
      <c r="G24" s="16"/>
      <c r="H24" s="17">
        <v>1285.0</v>
      </c>
      <c r="I24" s="18"/>
      <c r="J24" s="68"/>
      <c r="K24" s="20"/>
      <c r="L24" s="21">
        <v>1285.0</v>
      </c>
      <c r="M24" s="22">
        <f t="shared" si="1"/>
        <v>0</v>
      </c>
    </row>
    <row r="25">
      <c r="A25" s="12">
        <v>21.0</v>
      </c>
      <c r="B25" s="13" t="s">
        <v>894</v>
      </c>
      <c r="C25" s="13">
        <v>58076.0</v>
      </c>
      <c r="D25" s="13" t="s">
        <v>895</v>
      </c>
      <c r="E25" s="67"/>
      <c r="F25" s="25"/>
      <c r="G25" s="16"/>
      <c r="H25" s="17">
        <v>27000.0</v>
      </c>
      <c r="I25" s="18"/>
      <c r="J25" s="68"/>
      <c r="K25" s="20"/>
      <c r="L25" s="21">
        <v>27000.0</v>
      </c>
      <c r="M25" s="22">
        <f t="shared" si="1"/>
        <v>0</v>
      </c>
    </row>
    <row r="26">
      <c r="A26" s="12">
        <v>22.0</v>
      </c>
      <c r="B26" s="13" t="s">
        <v>896</v>
      </c>
      <c r="C26" s="13">
        <v>55562.0</v>
      </c>
      <c r="D26" s="13" t="s">
        <v>897</v>
      </c>
      <c r="E26" s="67"/>
      <c r="F26" s="25"/>
      <c r="G26" s="16"/>
      <c r="H26" s="17">
        <v>5000.0</v>
      </c>
      <c r="I26" s="18"/>
      <c r="J26" s="68"/>
      <c r="K26" s="20"/>
      <c r="L26" s="21">
        <v>5000.0</v>
      </c>
      <c r="M26" s="22">
        <f t="shared" si="1"/>
        <v>0</v>
      </c>
    </row>
    <row r="27">
      <c r="A27" s="12">
        <v>23.0</v>
      </c>
      <c r="B27" s="13" t="s">
        <v>898</v>
      </c>
      <c r="C27" s="13">
        <v>55562.0</v>
      </c>
      <c r="D27" s="13" t="s">
        <v>897</v>
      </c>
      <c r="E27" s="67"/>
      <c r="F27" s="25"/>
      <c r="G27" s="16"/>
      <c r="H27" s="17">
        <v>5000.0</v>
      </c>
      <c r="I27" s="24"/>
      <c r="J27" s="68"/>
      <c r="K27" s="20"/>
      <c r="L27" s="21">
        <v>5000.0</v>
      </c>
      <c r="M27" s="22">
        <f t="shared" si="1"/>
        <v>0</v>
      </c>
    </row>
    <row r="28">
      <c r="A28" s="12">
        <v>24.0</v>
      </c>
      <c r="B28" s="13" t="s">
        <v>899</v>
      </c>
      <c r="C28" s="13">
        <v>58077.0</v>
      </c>
      <c r="D28" s="13" t="s">
        <v>900</v>
      </c>
      <c r="E28" s="67"/>
      <c r="F28" s="25"/>
      <c r="G28" s="16"/>
      <c r="H28" s="17">
        <v>590.0</v>
      </c>
      <c r="I28" s="24"/>
      <c r="J28" s="68"/>
      <c r="K28" s="20"/>
      <c r="L28" s="21">
        <v>590.0</v>
      </c>
      <c r="M28" s="22">
        <f t="shared" si="1"/>
        <v>0</v>
      </c>
    </row>
    <row r="29">
      <c r="A29" s="12">
        <v>25.0</v>
      </c>
      <c r="B29" s="13" t="s">
        <v>901</v>
      </c>
      <c r="C29" s="13">
        <v>49655.0</v>
      </c>
      <c r="D29" s="13" t="s">
        <v>134</v>
      </c>
      <c r="E29" s="67"/>
      <c r="F29" s="25"/>
      <c r="G29" s="16"/>
      <c r="H29" s="17"/>
      <c r="I29" s="18">
        <v>1250.0</v>
      </c>
      <c r="J29" s="70"/>
      <c r="K29" s="20"/>
      <c r="L29" s="21">
        <v>1250.0</v>
      </c>
      <c r="M29" s="22">
        <f t="shared" si="1"/>
        <v>0</v>
      </c>
    </row>
    <row r="30">
      <c r="A30" s="12">
        <v>26.0</v>
      </c>
      <c r="B30" s="13" t="s">
        <v>902</v>
      </c>
      <c r="C30" s="13">
        <v>45096.0</v>
      </c>
      <c r="D30" s="13" t="s">
        <v>314</v>
      </c>
      <c r="E30" s="67"/>
      <c r="F30" s="25"/>
      <c r="G30" s="16"/>
      <c r="H30" s="17">
        <v>5000.0</v>
      </c>
      <c r="I30" s="18"/>
      <c r="J30" s="68"/>
      <c r="K30" s="20"/>
      <c r="L30" s="21">
        <v>5000.0</v>
      </c>
      <c r="M30" s="22">
        <f t="shared" si="1"/>
        <v>0</v>
      </c>
    </row>
    <row r="31">
      <c r="A31" s="12">
        <v>27.0</v>
      </c>
      <c r="B31" s="13" t="s">
        <v>903</v>
      </c>
      <c r="C31" s="13">
        <v>45096.0</v>
      </c>
      <c r="D31" s="13" t="s">
        <v>314</v>
      </c>
      <c r="E31" s="67"/>
      <c r="F31" s="25"/>
      <c r="G31" s="16"/>
      <c r="H31" s="17"/>
      <c r="I31" s="18">
        <v>3600.0</v>
      </c>
      <c r="J31" s="68"/>
      <c r="K31" s="20"/>
      <c r="L31" s="21">
        <v>3600.0</v>
      </c>
      <c r="M31" s="22">
        <f t="shared" si="1"/>
        <v>0</v>
      </c>
    </row>
    <row r="32">
      <c r="A32" s="12">
        <v>28.0</v>
      </c>
      <c r="B32" s="13" t="s">
        <v>904</v>
      </c>
      <c r="C32" s="13">
        <v>42071.0</v>
      </c>
      <c r="D32" s="13" t="s">
        <v>905</v>
      </c>
      <c r="E32" s="67"/>
      <c r="F32" s="25"/>
      <c r="G32" s="16"/>
      <c r="H32" s="17"/>
      <c r="I32" s="18">
        <v>135.0</v>
      </c>
      <c r="J32" s="68"/>
      <c r="K32" s="20"/>
      <c r="L32" s="21">
        <v>135.0</v>
      </c>
      <c r="M32" s="22">
        <f t="shared" si="1"/>
        <v>0</v>
      </c>
    </row>
    <row r="33">
      <c r="A33" s="12">
        <v>29.0</v>
      </c>
      <c r="B33" s="13" t="s">
        <v>906</v>
      </c>
      <c r="C33" s="13">
        <v>52032.0</v>
      </c>
      <c r="D33" s="13" t="s">
        <v>217</v>
      </c>
      <c r="E33" s="67"/>
      <c r="F33" s="25"/>
      <c r="G33" s="16"/>
      <c r="H33" s="17">
        <v>15000.0</v>
      </c>
      <c r="I33" s="18"/>
      <c r="J33" s="68"/>
      <c r="K33" s="20"/>
      <c r="L33" s="21">
        <v>15000.0</v>
      </c>
      <c r="M33" s="22">
        <f t="shared" si="1"/>
        <v>0</v>
      </c>
    </row>
    <row r="34">
      <c r="A34" s="12">
        <v>30.0</v>
      </c>
      <c r="B34" s="13" t="s">
        <v>907</v>
      </c>
      <c r="C34" s="13">
        <v>50474.0</v>
      </c>
      <c r="D34" s="13" t="s">
        <v>740</v>
      </c>
      <c r="E34" s="67"/>
      <c r="F34" s="25"/>
      <c r="G34" s="16"/>
      <c r="H34" s="17"/>
      <c r="I34" s="18">
        <v>12500.0</v>
      </c>
      <c r="J34" s="68"/>
      <c r="K34" s="20"/>
      <c r="L34" s="21">
        <v>12500.0</v>
      </c>
      <c r="M34" s="22">
        <f t="shared" si="1"/>
        <v>0</v>
      </c>
    </row>
    <row r="35">
      <c r="A35" s="12">
        <v>31.0</v>
      </c>
      <c r="B35" s="13" t="s">
        <v>908</v>
      </c>
      <c r="C35" s="13">
        <v>54309.0</v>
      </c>
      <c r="D35" s="13" t="s">
        <v>909</v>
      </c>
      <c r="E35" s="67"/>
      <c r="F35" s="25"/>
      <c r="G35" s="16"/>
      <c r="H35" s="17">
        <v>5000.0</v>
      </c>
      <c r="I35" s="18"/>
      <c r="J35" s="68"/>
      <c r="K35" s="20"/>
      <c r="L35" s="21">
        <v>5000.0</v>
      </c>
      <c r="M35" s="22">
        <f t="shared" si="1"/>
        <v>0</v>
      </c>
    </row>
    <row r="36">
      <c r="A36" s="12">
        <v>32.0</v>
      </c>
      <c r="B36" s="13" t="s">
        <v>910</v>
      </c>
      <c r="C36" s="13">
        <v>30933.0</v>
      </c>
      <c r="D36" s="13" t="s">
        <v>455</v>
      </c>
      <c r="E36" s="67"/>
      <c r="F36" s="25"/>
      <c r="G36" s="16"/>
      <c r="H36" s="17">
        <v>210000.0</v>
      </c>
      <c r="I36" s="24"/>
      <c r="J36" s="68"/>
      <c r="K36" s="20"/>
      <c r="L36" s="21">
        <v>210000.0</v>
      </c>
      <c r="M36" s="22">
        <f t="shared" si="1"/>
        <v>0</v>
      </c>
    </row>
    <row r="37">
      <c r="A37" s="12">
        <v>33.0</v>
      </c>
      <c r="B37" s="13" t="s">
        <v>911</v>
      </c>
      <c r="C37" s="13">
        <v>55615.0</v>
      </c>
      <c r="D37" s="13" t="s">
        <v>912</v>
      </c>
      <c r="E37" s="67"/>
      <c r="F37" s="25"/>
      <c r="G37" s="16"/>
      <c r="H37" s="17"/>
      <c r="I37" s="18">
        <v>15000.0</v>
      </c>
      <c r="J37" s="68"/>
      <c r="K37" s="20"/>
      <c r="L37" s="21">
        <v>15000.0</v>
      </c>
      <c r="M37" s="22">
        <f t="shared" si="1"/>
        <v>0</v>
      </c>
    </row>
    <row r="38">
      <c r="A38" s="12">
        <v>34.0</v>
      </c>
      <c r="B38" s="13" t="s">
        <v>913</v>
      </c>
      <c r="C38" s="13">
        <v>38098.0</v>
      </c>
      <c r="D38" s="13" t="s">
        <v>914</v>
      </c>
      <c r="E38" s="67"/>
      <c r="F38" s="25"/>
      <c r="G38" s="16"/>
      <c r="H38" s="17"/>
      <c r="I38" s="18">
        <v>3600.0</v>
      </c>
      <c r="J38" s="68"/>
      <c r="K38" s="20"/>
      <c r="L38" s="21">
        <v>3600.0</v>
      </c>
      <c r="M38" s="22">
        <f t="shared" si="1"/>
        <v>0</v>
      </c>
    </row>
    <row r="39">
      <c r="A39" s="12">
        <v>35.0</v>
      </c>
      <c r="B39" s="13" t="s">
        <v>915</v>
      </c>
      <c r="C39" s="13">
        <v>10006.0</v>
      </c>
      <c r="D39" s="13" t="s">
        <v>80</v>
      </c>
      <c r="E39" s="67"/>
      <c r="F39" s="25"/>
      <c r="G39" s="16"/>
      <c r="H39" s="17">
        <v>15000.0</v>
      </c>
      <c r="I39" s="24"/>
      <c r="J39" s="70"/>
      <c r="K39" s="20"/>
      <c r="L39" s="21">
        <v>15000.0</v>
      </c>
      <c r="M39" s="22">
        <f t="shared" si="1"/>
        <v>0</v>
      </c>
    </row>
    <row r="40">
      <c r="A40" s="12">
        <v>36.0</v>
      </c>
      <c r="B40" s="13" t="s">
        <v>916</v>
      </c>
      <c r="C40" s="13">
        <v>48649.0</v>
      </c>
      <c r="D40" s="13" t="s">
        <v>881</v>
      </c>
      <c r="E40" s="67"/>
      <c r="F40" s="25"/>
      <c r="G40" s="16"/>
      <c r="H40" s="17">
        <v>100.0</v>
      </c>
      <c r="I40" s="18"/>
      <c r="J40" s="68"/>
      <c r="K40" s="20"/>
      <c r="L40" s="21">
        <v>100.0</v>
      </c>
      <c r="M40" s="22">
        <f t="shared" si="1"/>
        <v>0</v>
      </c>
    </row>
    <row r="41">
      <c r="A41" s="12">
        <v>37.0</v>
      </c>
      <c r="B41" s="13" t="s">
        <v>917</v>
      </c>
      <c r="C41" s="13">
        <v>57230.0</v>
      </c>
      <c r="D41" s="13" t="s">
        <v>918</v>
      </c>
      <c r="E41" s="67"/>
      <c r="F41" s="25"/>
      <c r="G41" s="16"/>
      <c r="H41" s="17"/>
      <c r="I41" s="18">
        <v>10000.0</v>
      </c>
      <c r="J41" s="68"/>
      <c r="K41" s="20"/>
      <c r="L41" s="21">
        <v>10000.0</v>
      </c>
      <c r="M41" s="22">
        <f t="shared" si="1"/>
        <v>0</v>
      </c>
    </row>
    <row r="42">
      <c r="A42" s="12">
        <v>38.0</v>
      </c>
      <c r="B42" s="13" t="s">
        <v>919</v>
      </c>
      <c r="C42" s="13">
        <v>49831.0</v>
      </c>
      <c r="D42" s="13" t="s">
        <v>606</v>
      </c>
      <c r="E42" s="67"/>
      <c r="F42" s="25"/>
      <c r="G42" s="16"/>
      <c r="H42" s="17"/>
      <c r="I42" s="18">
        <v>5400.0</v>
      </c>
      <c r="J42" s="68"/>
      <c r="K42" s="20"/>
      <c r="L42" s="21">
        <v>5400.0</v>
      </c>
      <c r="M42" s="22">
        <f t="shared" si="1"/>
        <v>0</v>
      </c>
    </row>
    <row r="43">
      <c r="A43" s="12">
        <v>39.0</v>
      </c>
      <c r="B43" s="13" t="s">
        <v>920</v>
      </c>
      <c r="C43" s="13">
        <v>54283.0</v>
      </c>
      <c r="D43" s="13" t="s">
        <v>921</v>
      </c>
      <c r="E43" s="67"/>
      <c r="F43" s="25"/>
      <c r="G43" s="16"/>
      <c r="H43" s="17"/>
      <c r="I43" s="18">
        <v>5000.0</v>
      </c>
      <c r="J43" s="68"/>
      <c r="K43" s="20"/>
      <c r="L43" s="21">
        <v>5000.0</v>
      </c>
      <c r="M43" s="22">
        <f t="shared" si="1"/>
        <v>0</v>
      </c>
    </row>
    <row r="44">
      <c r="A44" s="12">
        <v>40.0</v>
      </c>
      <c r="B44" s="13" t="s">
        <v>922</v>
      </c>
      <c r="C44" s="13">
        <v>22727.0</v>
      </c>
      <c r="D44" s="13" t="s">
        <v>109</v>
      </c>
      <c r="E44" s="67"/>
      <c r="F44" s="25"/>
      <c r="G44" s="16"/>
      <c r="H44" s="17">
        <v>10000.0</v>
      </c>
      <c r="I44" s="24"/>
      <c r="J44" s="68"/>
      <c r="K44" s="20"/>
      <c r="L44" s="21">
        <v>10000.0</v>
      </c>
      <c r="M44" s="22">
        <f t="shared" si="1"/>
        <v>0</v>
      </c>
    </row>
    <row r="45">
      <c r="A45" s="12">
        <v>41.0</v>
      </c>
      <c r="B45" s="13" t="s">
        <v>923</v>
      </c>
      <c r="C45" s="13">
        <v>21670.0</v>
      </c>
      <c r="D45" s="13" t="s">
        <v>924</v>
      </c>
      <c r="E45" s="67"/>
      <c r="F45" s="25"/>
      <c r="G45" s="16"/>
      <c r="H45" s="17"/>
      <c r="I45" s="18">
        <v>3600.0</v>
      </c>
      <c r="J45" s="68"/>
      <c r="K45" s="20"/>
      <c r="L45" s="21">
        <v>3600.0</v>
      </c>
      <c r="M45" s="22">
        <f t="shared" si="1"/>
        <v>0</v>
      </c>
    </row>
    <row r="46">
      <c r="A46" s="12">
        <v>42.0</v>
      </c>
      <c r="B46" s="13" t="s">
        <v>925</v>
      </c>
      <c r="C46" s="13">
        <v>27895.0</v>
      </c>
      <c r="D46" s="13" t="s">
        <v>926</v>
      </c>
      <c r="E46" s="67"/>
      <c r="F46" s="25"/>
      <c r="G46" s="16"/>
      <c r="H46" s="17"/>
      <c r="I46" s="18">
        <v>5000.0</v>
      </c>
      <c r="J46" s="68"/>
      <c r="K46" s="20"/>
      <c r="L46" s="21">
        <v>5000.0</v>
      </c>
      <c r="M46" s="22">
        <f t="shared" si="1"/>
        <v>0</v>
      </c>
    </row>
    <row r="47">
      <c r="A47" s="12">
        <v>43.0</v>
      </c>
      <c r="B47" s="13" t="s">
        <v>927</v>
      </c>
      <c r="C47" s="13">
        <v>27895.0</v>
      </c>
      <c r="D47" s="13" t="s">
        <v>926</v>
      </c>
      <c r="E47" s="67"/>
      <c r="F47" s="25"/>
      <c r="G47" s="16"/>
      <c r="H47" s="17"/>
      <c r="I47" s="18">
        <v>400.0</v>
      </c>
      <c r="J47" s="68"/>
      <c r="K47" s="20"/>
      <c r="L47" s="21">
        <v>400.0</v>
      </c>
      <c r="M47" s="22">
        <f t="shared" si="1"/>
        <v>0</v>
      </c>
    </row>
    <row r="48">
      <c r="A48" s="12">
        <v>44.0</v>
      </c>
      <c r="B48" s="13" t="s">
        <v>928</v>
      </c>
      <c r="C48" s="13">
        <v>55388.0</v>
      </c>
      <c r="D48" s="13" t="s">
        <v>929</v>
      </c>
      <c r="E48" s="67"/>
      <c r="F48" s="25"/>
      <c r="G48" s="16"/>
      <c r="H48" s="17">
        <v>5000.0</v>
      </c>
      <c r="I48" s="18"/>
      <c r="J48" s="68"/>
      <c r="K48" s="20"/>
      <c r="L48" s="21">
        <v>5000.0</v>
      </c>
      <c r="M48" s="22">
        <f t="shared" si="1"/>
        <v>0</v>
      </c>
    </row>
    <row r="49">
      <c r="A49" s="12">
        <v>45.0</v>
      </c>
      <c r="B49" s="13" t="s">
        <v>930</v>
      </c>
      <c r="C49" s="13">
        <v>55388.0</v>
      </c>
      <c r="D49" s="13" t="s">
        <v>929</v>
      </c>
      <c r="E49" s="67"/>
      <c r="F49" s="25"/>
      <c r="G49" s="16"/>
      <c r="H49" s="17">
        <v>150.0</v>
      </c>
      <c r="I49" s="18"/>
      <c r="J49" s="68"/>
      <c r="K49" s="20"/>
      <c r="L49" s="21">
        <v>150.0</v>
      </c>
      <c r="M49" s="22">
        <f t="shared" si="1"/>
        <v>0</v>
      </c>
    </row>
    <row r="50">
      <c r="A50" s="12">
        <v>46.0</v>
      </c>
      <c r="B50" s="13" t="s">
        <v>931</v>
      </c>
      <c r="C50" s="13">
        <v>10001.0</v>
      </c>
      <c r="D50" s="13" t="s">
        <v>46</v>
      </c>
      <c r="E50" s="69"/>
      <c r="F50" s="25"/>
      <c r="G50" s="16"/>
      <c r="H50" s="17">
        <v>2650.0</v>
      </c>
      <c r="I50" s="18"/>
      <c r="J50" s="68"/>
      <c r="K50" s="20"/>
      <c r="L50" s="21">
        <v>2650.0</v>
      </c>
      <c r="M50" s="22">
        <f t="shared" si="1"/>
        <v>0</v>
      </c>
    </row>
    <row r="51">
      <c r="A51" s="12">
        <v>47.0</v>
      </c>
      <c r="B51" s="13" t="s">
        <v>932</v>
      </c>
      <c r="C51" s="13">
        <v>55992.0</v>
      </c>
      <c r="D51" s="13" t="s">
        <v>933</v>
      </c>
      <c r="E51" s="67"/>
      <c r="F51" s="25">
        <v>5000.0</v>
      </c>
      <c r="G51" s="16"/>
      <c r="H51" s="17"/>
      <c r="I51" s="24"/>
      <c r="J51" s="68"/>
      <c r="K51" s="20"/>
      <c r="L51" s="21">
        <v>5000.0</v>
      </c>
      <c r="M51" s="22">
        <f t="shared" si="1"/>
        <v>0</v>
      </c>
    </row>
    <row r="52">
      <c r="A52" s="12">
        <v>48.0</v>
      </c>
      <c r="B52" s="13" t="s">
        <v>934</v>
      </c>
      <c r="C52" s="13">
        <v>57125.0</v>
      </c>
      <c r="D52" s="13" t="s">
        <v>246</v>
      </c>
      <c r="E52" s="67"/>
      <c r="F52" s="25"/>
      <c r="G52" s="16"/>
      <c r="H52" s="17">
        <v>350.0</v>
      </c>
      <c r="I52" s="18"/>
      <c r="J52" s="68"/>
      <c r="K52" s="20"/>
      <c r="L52" s="21">
        <v>350.0</v>
      </c>
      <c r="M52" s="22">
        <f t="shared" si="1"/>
        <v>0</v>
      </c>
    </row>
    <row r="53">
      <c r="A53" s="12">
        <v>49.0</v>
      </c>
      <c r="B53" s="13" t="s">
        <v>935</v>
      </c>
      <c r="C53" s="13">
        <v>36555.0</v>
      </c>
      <c r="D53" s="13" t="s">
        <v>389</v>
      </c>
      <c r="E53" s="67"/>
      <c r="F53" s="25"/>
      <c r="G53" s="16"/>
      <c r="H53" s="17">
        <v>11250.0</v>
      </c>
      <c r="I53" s="18"/>
      <c r="J53" s="68"/>
      <c r="K53" s="20"/>
      <c r="L53" s="21">
        <v>11250.0</v>
      </c>
      <c r="M53" s="22">
        <f t="shared" si="1"/>
        <v>0</v>
      </c>
    </row>
    <row r="54">
      <c r="A54" s="12">
        <v>50.0</v>
      </c>
      <c r="B54" s="13" t="s">
        <v>936</v>
      </c>
      <c r="C54" s="13">
        <v>48631.0</v>
      </c>
      <c r="D54" s="13" t="s">
        <v>123</v>
      </c>
      <c r="E54" s="67"/>
      <c r="F54" s="25"/>
      <c r="G54" s="16"/>
      <c r="H54" s="17">
        <v>400.0</v>
      </c>
      <c r="I54" s="18"/>
      <c r="J54" s="68"/>
      <c r="K54" s="20"/>
      <c r="L54" s="21">
        <v>400.0</v>
      </c>
      <c r="M54" s="22">
        <f t="shared" si="1"/>
        <v>0</v>
      </c>
    </row>
    <row r="55">
      <c r="A55" s="12">
        <v>51.0</v>
      </c>
      <c r="B55" s="13" t="s">
        <v>937</v>
      </c>
      <c r="C55" s="13">
        <v>21384.0</v>
      </c>
      <c r="D55" s="13" t="s">
        <v>151</v>
      </c>
      <c r="E55" s="67"/>
      <c r="F55" s="25">
        <v>1400.0</v>
      </c>
      <c r="G55" s="16"/>
      <c r="H55" s="17"/>
      <c r="I55" s="18"/>
      <c r="J55" s="70">
        <v>3600.0</v>
      </c>
      <c r="K55" s="20"/>
      <c r="L55" s="21">
        <v>5000.0</v>
      </c>
      <c r="M55" s="22">
        <f t="shared" si="1"/>
        <v>0</v>
      </c>
    </row>
    <row r="56">
      <c r="A56" s="12">
        <v>52.0</v>
      </c>
      <c r="B56" s="13" t="s">
        <v>938</v>
      </c>
      <c r="C56" s="13">
        <v>56774.0</v>
      </c>
      <c r="D56" s="13" t="s">
        <v>311</v>
      </c>
      <c r="E56" s="69">
        <v>1250.0</v>
      </c>
      <c r="F56" s="25"/>
      <c r="G56" s="16"/>
      <c r="H56" s="17"/>
      <c r="I56" s="18"/>
      <c r="J56" s="68"/>
      <c r="K56" s="20"/>
      <c r="L56" s="21">
        <v>1250.0</v>
      </c>
      <c r="M56" s="22">
        <f t="shared" si="1"/>
        <v>0</v>
      </c>
    </row>
    <row r="57">
      <c r="A57" s="12">
        <v>53.0</v>
      </c>
      <c r="B57" s="13" t="s">
        <v>939</v>
      </c>
      <c r="C57" s="13">
        <v>48657.0</v>
      </c>
      <c r="D57" s="13" t="s">
        <v>236</v>
      </c>
      <c r="E57" s="67"/>
      <c r="F57" s="25"/>
      <c r="G57" s="16"/>
      <c r="H57" s="17">
        <v>5000.0</v>
      </c>
      <c r="I57" s="18"/>
      <c r="J57" s="68"/>
      <c r="K57" s="20"/>
      <c r="L57" s="21">
        <v>5000.0</v>
      </c>
      <c r="M57" s="22">
        <f t="shared" si="1"/>
        <v>0</v>
      </c>
    </row>
    <row r="58">
      <c r="A58" s="12">
        <v>54.0</v>
      </c>
      <c r="B58" s="13" t="s">
        <v>940</v>
      </c>
      <c r="C58" s="13">
        <v>42257.0</v>
      </c>
      <c r="D58" s="13" t="s">
        <v>941</v>
      </c>
      <c r="E58" s="67"/>
      <c r="F58" s="25"/>
      <c r="G58" s="16"/>
      <c r="H58" s="17"/>
      <c r="I58" s="18">
        <v>5150.0</v>
      </c>
      <c r="J58" s="68"/>
      <c r="K58" s="20"/>
      <c r="L58" s="21">
        <v>5150.0</v>
      </c>
      <c r="M58" s="22">
        <f t="shared" si="1"/>
        <v>0</v>
      </c>
    </row>
    <row r="59">
      <c r="A59" s="12">
        <v>55.0</v>
      </c>
      <c r="B59" s="13" t="s">
        <v>942</v>
      </c>
      <c r="C59" s="13">
        <v>10320.0</v>
      </c>
      <c r="D59" s="13" t="s">
        <v>84</v>
      </c>
      <c r="E59" s="67"/>
      <c r="F59" s="25"/>
      <c r="G59" s="16"/>
      <c r="H59" s="17">
        <v>700.0</v>
      </c>
      <c r="I59" s="18"/>
      <c r="J59" s="68"/>
      <c r="K59" s="20"/>
      <c r="L59" s="21">
        <v>700.0</v>
      </c>
      <c r="M59" s="22">
        <f t="shared" si="1"/>
        <v>0</v>
      </c>
    </row>
    <row r="60">
      <c r="A60" s="12">
        <v>56.0</v>
      </c>
      <c r="B60" s="13" t="s">
        <v>943</v>
      </c>
      <c r="C60" s="13">
        <v>21384.0</v>
      </c>
      <c r="D60" s="13" t="s">
        <v>151</v>
      </c>
      <c r="E60" s="67"/>
      <c r="F60" s="25"/>
      <c r="G60" s="16"/>
      <c r="H60" s="17">
        <v>1050.0</v>
      </c>
      <c r="I60" s="18"/>
      <c r="J60" s="68"/>
      <c r="K60" s="20"/>
      <c r="L60" s="21">
        <v>1050.0</v>
      </c>
      <c r="M60" s="22">
        <f t="shared" si="1"/>
        <v>0</v>
      </c>
    </row>
    <row r="61">
      <c r="A61" s="12">
        <v>57.0</v>
      </c>
      <c r="B61" s="13" t="s">
        <v>944</v>
      </c>
      <c r="C61" s="13">
        <v>54376.0</v>
      </c>
      <c r="D61" s="13" t="s">
        <v>945</v>
      </c>
      <c r="E61" s="67"/>
      <c r="F61" s="25"/>
      <c r="G61" s="16"/>
      <c r="H61" s="17"/>
      <c r="I61" s="18">
        <v>5000.0</v>
      </c>
      <c r="J61" s="68"/>
      <c r="K61" s="20"/>
      <c r="L61" s="21">
        <v>5000.0</v>
      </c>
      <c r="M61" s="22">
        <f t="shared" si="1"/>
        <v>0</v>
      </c>
    </row>
    <row r="62">
      <c r="A62" s="12">
        <v>58.0</v>
      </c>
      <c r="B62" s="13" t="s">
        <v>946</v>
      </c>
      <c r="C62" s="13">
        <v>54376.0</v>
      </c>
      <c r="D62" s="13" t="s">
        <v>945</v>
      </c>
      <c r="E62" s="67"/>
      <c r="F62" s="25"/>
      <c r="G62" s="16"/>
      <c r="H62" s="17"/>
      <c r="I62" s="18">
        <v>5000.0</v>
      </c>
      <c r="J62" s="68"/>
      <c r="K62" s="20"/>
      <c r="L62" s="21">
        <v>5000.0</v>
      </c>
      <c r="M62" s="22">
        <f t="shared" si="1"/>
        <v>0</v>
      </c>
    </row>
    <row r="63">
      <c r="A63" s="12">
        <v>59.0</v>
      </c>
      <c r="B63" s="13" t="s">
        <v>947</v>
      </c>
      <c r="C63" s="13">
        <v>36555.0</v>
      </c>
      <c r="D63" s="13" t="s">
        <v>389</v>
      </c>
      <c r="E63" s="67"/>
      <c r="F63" s="25"/>
      <c r="G63" s="16"/>
      <c r="H63" s="17">
        <v>700.0</v>
      </c>
      <c r="I63" s="18"/>
      <c r="J63" s="68"/>
      <c r="K63" s="20"/>
      <c r="L63" s="21">
        <v>700.0</v>
      </c>
      <c r="M63" s="22">
        <f t="shared" si="1"/>
        <v>0</v>
      </c>
    </row>
    <row r="64">
      <c r="A64" s="12">
        <v>60.0</v>
      </c>
      <c r="B64" s="13" t="s">
        <v>948</v>
      </c>
      <c r="C64" s="13">
        <v>21384.0</v>
      </c>
      <c r="D64" s="13" t="s">
        <v>151</v>
      </c>
      <c r="E64" s="67"/>
      <c r="F64" s="25"/>
      <c r="G64" s="16"/>
      <c r="H64" s="17">
        <v>6830.0</v>
      </c>
      <c r="I64" s="18"/>
      <c r="J64" s="68"/>
      <c r="K64" s="20"/>
      <c r="L64" s="21">
        <v>6830.0</v>
      </c>
      <c r="M64" s="22">
        <f t="shared" si="1"/>
        <v>0</v>
      </c>
    </row>
    <row r="65">
      <c r="A65" s="12">
        <v>61.0</v>
      </c>
      <c r="B65" s="13" t="s">
        <v>949</v>
      </c>
      <c r="C65" s="13">
        <v>42071.0</v>
      </c>
      <c r="D65" s="13" t="s">
        <v>905</v>
      </c>
      <c r="E65" s="67"/>
      <c r="F65" s="25"/>
      <c r="G65" s="28">
        <v>10100.0</v>
      </c>
      <c r="H65" s="17"/>
      <c r="I65" s="18"/>
      <c r="J65" s="68"/>
      <c r="K65" s="20"/>
      <c r="L65" s="21">
        <v>10100.0</v>
      </c>
      <c r="M65" s="22">
        <f t="shared" si="1"/>
        <v>0</v>
      </c>
    </row>
    <row r="66">
      <c r="A66" s="12">
        <v>62.0</v>
      </c>
      <c r="B66" s="13" t="s">
        <v>950</v>
      </c>
      <c r="C66" s="13">
        <v>34912.0</v>
      </c>
      <c r="D66" s="13" t="s">
        <v>951</v>
      </c>
      <c r="E66" s="67"/>
      <c r="F66" s="25"/>
      <c r="G66" s="16"/>
      <c r="H66" s="17"/>
      <c r="I66" s="18">
        <v>5150.0</v>
      </c>
      <c r="J66" s="68"/>
      <c r="K66" s="20"/>
      <c r="L66" s="21">
        <v>5150.0</v>
      </c>
      <c r="M66" s="22">
        <f t="shared" si="1"/>
        <v>0</v>
      </c>
    </row>
    <row r="67">
      <c r="A67" s="12">
        <v>63.0</v>
      </c>
      <c r="B67" s="13" t="s">
        <v>952</v>
      </c>
      <c r="C67" s="13">
        <v>58088.0</v>
      </c>
      <c r="D67" s="13" t="s">
        <v>953</v>
      </c>
      <c r="E67" s="67"/>
      <c r="F67" s="25"/>
      <c r="G67" s="16"/>
      <c r="H67" s="17">
        <v>4550.0</v>
      </c>
      <c r="I67" s="18"/>
      <c r="J67" s="68"/>
      <c r="K67" s="20"/>
      <c r="L67" s="21">
        <v>4550.0</v>
      </c>
      <c r="M67" s="22">
        <f t="shared" si="1"/>
        <v>0</v>
      </c>
    </row>
    <row r="68">
      <c r="A68" s="12">
        <v>64.0</v>
      </c>
      <c r="B68" s="13" t="s">
        <v>954</v>
      </c>
      <c r="C68" s="13">
        <v>49655.0</v>
      </c>
      <c r="D68" s="13" t="s">
        <v>134</v>
      </c>
      <c r="E68" s="67"/>
      <c r="F68" s="25"/>
      <c r="G68" s="16"/>
      <c r="H68" s="17"/>
      <c r="I68" s="18">
        <v>1750.0</v>
      </c>
      <c r="J68" s="68"/>
      <c r="K68" s="20"/>
      <c r="L68" s="21">
        <v>1750.0</v>
      </c>
      <c r="M68" s="22">
        <f t="shared" si="1"/>
        <v>0</v>
      </c>
    </row>
    <row r="69">
      <c r="A69" s="12">
        <v>65.0</v>
      </c>
      <c r="B69" s="13" t="s">
        <v>955</v>
      </c>
      <c r="C69" s="13">
        <v>57777.0</v>
      </c>
      <c r="D69" s="13" t="s">
        <v>862</v>
      </c>
      <c r="E69" s="67"/>
      <c r="F69" s="25"/>
      <c r="G69" s="28">
        <v>0.0</v>
      </c>
      <c r="H69" s="17"/>
      <c r="I69" s="18"/>
      <c r="J69" s="68"/>
      <c r="K69" s="20"/>
      <c r="L69" s="21">
        <v>2900.0</v>
      </c>
      <c r="M69" s="22">
        <f t="shared" si="1"/>
        <v>-2900</v>
      </c>
    </row>
    <row r="70">
      <c r="A70" s="12">
        <v>66.0</v>
      </c>
      <c r="B70" s="13" t="s">
        <v>956</v>
      </c>
      <c r="C70" s="13">
        <v>57975.0</v>
      </c>
      <c r="D70" s="13" t="s">
        <v>957</v>
      </c>
      <c r="E70" s="67"/>
      <c r="F70" s="25"/>
      <c r="G70" s="16"/>
      <c r="H70" s="17">
        <v>1150.0</v>
      </c>
      <c r="I70" s="18">
        <v>27300.0</v>
      </c>
      <c r="J70" s="68"/>
      <c r="K70" s="20"/>
      <c r="L70" s="21">
        <v>28450.0</v>
      </c>
      <c r="M70" s="22">
        <f t="shared" si="1"/>
        <v>0</v>
      </c>
    </row>
    <row r="71">
      <c r="A71" s="12">
        <v>67.0</v>
      </c>
      <c r="B71" s="13" t="s">
        <v>958</v>
      </c>
      <c r="C71" s="13">
        <v>21821.0</v>
      </c>
      <c r="D71" s="13" t="s">
        <v>959</v>
      </c>
      <c r="E71" s="67"/>
      <c r="F71" s="25"/>
      <c r="G71" s="16"/>
      <c r="H71" s="17"/>
      <c r="I71" s="18"/>
      <c r="J71" s="70">
        <v>350.0</v>
      </c>
      <c r="K71" s="20"/>
      <c r="L71" s="21">
        <v>350.0</v>
      </c>
      <c r="M71" s="22">
        <f t="shared" si="1"/>
        <v>0</v>
      </c>
    </row>
    <row r="72">
      <c r="A72" s="12">
        <v>68.0</v>
      </c>
      <c r="B72" s="13" t="s">
        <v>960</v>
      </c>
      <c r="C72" s="13">
        <v>57870.0</v>
      </c>
      <c r="D72" s="13" t="s">
        <v>786</v>
      </c>
      <c r="E72" s="67"/>
      <c r="F72" s="25"/>
      <c r="G72" s="16"/>
      <c r="H72" s="17"/>
      <c r="I72" s="18">
        <v>3750.0</v>
      </c>
      <c r="J72" s="68"/>
      <c r="K72" s="20"/>
      <c r="L72" s="21">
        <v>3750.0</v>
      </c>
      <c r="M72" s="22">
        <f t="shared" si="1"/>
        <v>0</v>
      </c>
    </row>
    <row r="73">
      <c r="A73" s="12">
        <v>69.0</v>
      </c>
      <c r="B73" s="13" t="s">
        <v>961</v>
      </c>
      <c r="C73" s="13">
        <v>13781.0</v>
      </c>
      <c r="D73" s="13" t="s">
        <v>213</v>
      </c>
      <c r="E73" s="67"/>
      <c r="F73" s="25"/>
      <c r="G73" s="16"/>
      <c r="H73" s="17">
        <v>350.0</v>
      </c>
      <c r="I73" s="18"/>
      <c r="J73" s="68"/>
      <c r="K73" s="20"/>
      <c r="L73" s="21">
        <v>350.0</v>
      </c>
      <c r="M73" s="22">
        <f t="shared" si="1"/>
        <v>0</v>
      </c>
    </row>
    <row r="74">
      <c r="A74" s="12">
        <v>70.0</v>
      </c>
      <c r="B74" s="13" t="s">
        <v>962</v>
      </c>
      <c r="C74" s="13">
        <v>50596.0</v>
      </c>
      <c r="D74" s="13" t="s">
        <v>157</v>
      </c>
      <c r="E74" s="67"/>
      <c r="F74" s="25"/>
      <c r="G74" s="28">
        <v>25000.0</v>
      </c>
      <c r="H74" s="17"/>
      <c r="I74" s="18"/>
      <c r="J74" s="68"/>
      <c r="K74" s="20"/>
      <c r="L74" s="21">
        <v>25000.0</v>
      </c>
      <c r="M74" s="22">
        <f t="shared" si="1"/>
        <v>0</v>
      </c>
    </row>
    <row r="75">
      <c r="A75" s="12">
        <v>71.0</v>
      </c>
      <c r="B75" s="13" t="s">
        <v>963</v>
      </c>
      <c r="C75" s="13">
        <v>50596.0</v>
      </c>
      <c r="D75" s="13" t="s">
        <v>157</v>
      </c>
      <c r="E75" s="67"/>
      <c r="F75" s="25"/>
      <c r="G75" s="28">
        <v>3000.0</v>
      </c>
      <c r="H75" s="17"/>
      <c r="I75" s="18"/>
      <c r="J75" s="68"/>
      <c r="K75" s="20"/>
      <c r="L75" s="21">
        <v>3000.0</v>
      </c>
      <c r="M75" s="22">
        <f t="shared" si="1"/>
        <v>0</v>
      </c>
    </row>
    <row r="76">
      <c r="A76" s="12">
        <v>72.0</v>
      </c>
      <c r="B76" s="13" t="s">
        <v>964</v>
      </c>
      <c r="C76" s="13">
        <v>49953.0</v>
      </c>
      <c r="D76" s="13" t="s">
        <v>62</v>
      </c>
      <c r="E76" s="67"/>
      <c r="F76" s="25"/>
      <c r="G76" s="28">
        <v>21250.0</v>
      </c>
      <c r="H76" s="17"/>
      <c r="I76" s="18"/>
      <c r="J76" s="68"/>
      <c r="K76" s="20"/>
      <c r="L76" s="21">
        <v>21250.0</v>
      </c>
      <c r="M76" s="22">
        <f t="shared" si="1"/>
        <v>0</v>
      </c>
    </row>
    <row r="77">
      <c r="A77" s="12">
        <v>73.0</v>
      </c>
      <c r="B77" s="13" t="s">
        <v>965</v>
      </c>
      <c r="C77" s="13">
        <v>49953.0</v>
      </c>
      <c r="D77" s="13" t="s">
        <v>62</v>
      </c>
      <c r="E77" s="67"/>
      <c r="F77" s="25"/>
      <c r="G77" s="28">
        <v>1250.0</v>
      </c>
      <c r="H77" s="17"/>
      <c r="I77" s="18"/>
      <c r="J77" s="68"/>
      <c r="K77" s="20"/>
      <c r="L77" s="21">
        <v>1250.0</v>
      </c>
      <c r="M77" s="22">
        <f t="shared" si="1"/>
        <v>0</v>
      </c>
    </row>
    <row r="78">
      <c r="A78" s="12">
        <v>74.0</v>
      </c>
      <c r="B78" s="13" t="s">
        <v>966</v>
      </c>
      <c r="C78" s="13">
        <v>21937.0</v>
      </c>
      <c r="D78" s="13" t="s">
        <v>350</v>
      </c>
      <c r="E78" s="67"/>
      <c r="F78" s="25"/>
      <c r="G78" s="28">
        <v>1250.0</v>
      </c>
      <c r="H78" s="17"/>
      <c r="I78" s="18"/>
      <c r="J78" s="68"/>
      <c r="K78" s="20"/>
      <c r="L78" s="21">
        <v>1250.0</v>
      </c>
      <c r="M78" s="22">
        <f t="shared" si="1"/>
        <v>0</v>
      </c>
    </row>
    <row r="79">
      <c r="A79" s="12">
        <v>75.0</v>
      </c>
      <c r="B79" s="13" t="s">
        <v>967</v>
      </c>
      <c r="C79" s="13">
        <v>55179.0</v>
      </c>
      <c r="D79" s="13" t="s">
        <v>203</v>
      </c>
      <c r="E79" s="67"/>
      <c r="F79" s="25"/>
      <c r="G79" s="28">
        <v>16600.0</v>
      </c>
      <c r="H79" s="17"/>
      <c r="I79" s="18"/>
      <c r="J79" s="68"/>
      <c r="K79" s="20"/>
      <c r="L79" s="21">
        <v>16600.0</v>
      </c>
      <c r="M79" s="22">
        <f t="shared" si="1"/>
        <v>0</v>
      </c>
    </row>
    <row r="80">
      <c r="A80" s="12">
        <v>76.0</v>
      </c>
      <c r="B80" s="13" t="s">
        <v>968</v>
      </c>
      <c r="C80" s="13">
        <v>50222.0</v>
      </c>
      <c r="D80" s="13" t="s">
        <v>504</v>
      </c>
      <c r="E80" s="69"/>
      <c r="F80" s="25"/>
      <c r="G80" s="28">
        <v>25000.0</v>
      </c>
      <c r="H80" s="17"/>
      <c r="I80" s="24"/>
      <c r="J80" s="70"/>
      <c r="K80" s="20"/>
      <c r="L80" s="21">
        <v>25000.0</v>
      </c>
      <c r="M80" s="22">
        <f t="shared" si="1"/>
        <v>0</v>
      </c>
    </row>
    <row r="81">
      <c r="A81" s="12">
        <v>77.0</v>
      </c>
      <c r="B81" s="13" t="s">
        <v>969</v>
      </c>
      <c r="C81" s="13">
        <v>50146.0</v>
      </c>
      <c r="D81" s="13" t="s">
        <v>970</v>
      </c>
      <c r="E81" s="69"/>
      <c r="F81" s="25"/>
      <c r="G81" s="28">
        <v>5000.0</v>
      </c>
      <c r="H81" s="17"/>
      <c r="I81" s="24"/>
      <c r="J81" s="68"/>
      <c r="K81" s="20"/>
      <c r="L81" s="21">
        <v>5000.0</v>
      </c>
      <c r="M81" s="22">
        <f t="shared" si="1"/>
        <v>0</v>
      </c>
    </row>
    <row r="82">
      <c r="A82" s="12">
        <v>78.0</v>
      </c>
      <c r="B82" s="13" t="s">
        <v>971</v>
      </c>
      <c r="C82" s="13">
        <v>12102.0</v>
      </c>
      <c r="D82" s="13" t="s">
        <v>113</v>
      </c>
      <c r="E82" s="67"/>
      <c r="F82" s="25"/>
      <c r="G82" s="28">
        <v>1898.0</v>
      </c>
      <c r="H82" s="17"/>
      <c r="I82" s="18"/>
      <c r="J82" s="70"/>
      <c r="K82" s="20"/>
      <c r="L82" s="21">
        <v>1898.0</v>
      </c>
      <c r="M82" s="22">
        <f t="shared" si="1"/>
        <v>0</v>
      </c>
    </row>
    <row r="83">
      <c r="A83" s="30"/>
      <c r="B83" s="31"/>
      <c r="C83" s="12"/>
      <c r="D83" s="30"/>
      <c r="E83" s="32">
        <f t="shared" ref="E83:M83" si="2">SUM(E5:E82)</f>
        <v>1250</v>
      </c>
      <c r="F83" s="32">
        <f t="shared" si="2"/>
        <v>6400</v>
      </c>
      <c r="G83" s="32">
        <f t="shared" si="2"/>
        <v>110348</v>
      </c>
      <c r="H83" s="32">
        <f t="shared" si="2"/>
        <v>449850</v>
      </c>
      <c r="I83" s="32">
        <f t="shared" si="2"/>
        <v>129185</v>
      </c>
      <c r="J83" s="32">
        <f t="shared" si="2"/>
        <v>6450</v>
      </c>
      <c r="K83" s="32">
        <f t="shared" si="2"/>
        <v>0</v>
      </c>
      <c r="L83" s="32">
        <f t="shared" si="2"/>
        <v>706383</v>
      </c>
      <c r="M83" s="22">
        <f t="shared" si="2"/>
        <v>-2900</v>
      </c>
    </row>
    <row r="84">
      <c r="A84" s="33"/>
      <c r="B84" s="33"/>
      <c r="C84" s="63"/>
      <c r="D84" s="33"/>
      <c r="E84" s="34">
        <f>E83+F83+G83+H83+I83+J83+K83</f>
        <v>703483</v>
      </c>
      <c r="F84" s="6"/>
      <c r="G84" s="6"/>
      <c r="H84" s="6"/>
      <c r="I84" s="6"/>
      <c r="J84" s="6"/>
      <c r="K84" s="7"/>
      <c r="L84" s="35"/>
      <c r="M84" s="33"/>
    </row>
    <row r="85">
      <c r="C85" s="64"/>
    </row>
    <row r="86">
      <c r="C86" s="64"/>
    </row>
    <row r="87">
      <c r="C87" s="64"/>
    </row>
    <row r="88">
      <c r="C88" s="64"/>
    </row>
    <row r="89">
      <c r="C89" s="64"/>
    </row>
    <row r="90">
      <c r="C90" s="64"/>
    </row>
    <row r="91">
      <c r="C91" s="64"/>
    </row>
    <row r="92">
      <c r="C92" s="64"/>
    </row>
    <row r="93">
      <c r="C93" s="64"/>
    </row>
    <row r="94">
      <c r="C94" s="64"/>
    </row>
    <row r="95">
      <c r="C95" s="64"/>
    </row>
    <row r="96">
      <c r="C96" s="64"/>
    </row>
    <row r="97">
      <c r="C97" s="64"/>
    </row>
    <row r="98">
      <c r="C98" s="64"/>
    </row>
    <row r="99">
      <c r="C99" s="64"/>
    </row>
    <row r="100">
      <c r="C100" s="64"/>
    </row>
    <row r="101">
      <c r="C101" s="64"/>
    </row>
    <row r="102">
      <c r="C102" s="64"/>
    </row>
    <row r="103">
      <c r="C103" s="64"/>
    </row>
    <row r="104">
      <c r="C104" s="64"/>
    </row>
    <row r="105">
      <c r="C105" s="64"/>
    </row>
    <row r="106">
      <c r="C106" s="64"/>
    </row>
    <row r="107">
      <c r="C107" s="64"/>
    </row>
    <row r="108">
      <c r="C108" s="64"/>
    </row>
    <row r="109">
      <c r="C109" s="64"/>
    </row>
    <row r="110">
      <c r="C110" s="64"/>
    </row>
    <row r="111">
      <c r="C111" s="64"/>
    </row>
    <row r="112">
      <c r="C112" s="64"/>
    </row>
    <row r="113">
      <c r="C113" s="64"/>
    </row>
    <row r="114">
      <c r="C114" s="64"/>
    </row>
    <row r="115">
      <c r="C115" s="64"/>
    </row>
    <row r="116">
      <c r="C116" s="64"/>
    </row>
    <row r="117">
      <c r="C117" s="64"/>
    </row>
    <row r="118">
      <c r="C118" s="64"/>
    </row>
    <row r="119">
      <c r="C119" s="64"/>
    </row>
    <row r="120">
      <c r="C120" s="64"/>
    </row>
    <row r="121">
      <c r="C121" s="64"/>
    </row>
    <row r="122">
      <c r="C122" s="64"/>
    </row>
    <row r="123">
      <c r="C123" s="64"/>
    </row>
    <row r="124">
      <c r="C124" s="64"/>
    </row>
    <row r="125">
      <c r="C125" s="64"/>
    </row>
    <row r="126">
      <c r="C126" s="64"/>
    </row>
    <row r="127">
      <c r="C127" s="64"/>
    </row>
    <row r="128">
      <c r="C128" s="64"/>
    </row>
    <row r="129">
      <c r="C129" s="64"/>
    </row>
    <row r="130">
      <c r="C130" s="64"/>
    </row>
    <row r="131">
      <c r="C131" s="64"/>
    </row>
    <row r="132">
      <c r="C132" s="64"/>
    </row>
    <row r="133">
      <c r="C133" s="64"/>
    </row>
    <row r="134">
      <c r="C134" s="64"/>
    </row>
    <row r="135">
      <c r="C135" s="64"/>
    </row>
    <row r="136">
      <c r="C136" s="64"/>
    </row>
    <row r="137">
      <c r="C137" s="64"/>
    </row>
    <row r="138">
      <c r="C138" s="64"/>
    </row>
    <row r="139">
      <c r="C139" s="64"/>
    </row>
    <row r="140">
      <c r="C140" s="64"/>
    </row>
    <row r="141">
      <c r="C141" s="64"/>
    </row>
    <row r="142">
      <c r="C142" s="64"/>
    </row>
    <row r="143">
      <c r="C143" s="64"/>
    </row>
    <row r="144">
      <c r="C144" s="64"/>
    </row>
    <row r="145">
      <c r="C145" s="64"/>
    </row>
    <row r="146">
      <c r="C146" s="64"/>
    </row>
    <row r="147">
      <c r="C147" s="64"/>
    </row>
    <row r="148">
      <c r="C148" s="64"/>
    </row>
    <row r="149">
      <c r="C149" s="64"/>
    </row>
    <row r="150">
      <c r="C150" s="64"/>
    </row>
    <row r="151">
      <c r="C151" s="64"/>
    </row>
    <row r="152">
      <c r="C152" s="64"/>
    </row>
    <row r="153">
      <c r="C153" s="64"/>
    </row>
    <row r="154">
      <c r="C154" s="64"/>
    </row>
    <row r="155">
      <c r="C155" s="64"/>
    </row>
    <row r="156">
      <c r="C156" s="64"/>
    </row>
    <row r="157">
      <c r="C157" s="64"/>
    </row>
    <row r="158">
      <c r="C158" s="64"/>
    </row>
    <row r="159">
      <c r="C159" s="64"/>
    </row>
    <row r="160">
      <c r="C160" s="64"/>
    </row>
    <row r="161">
      <c r="C161" s="64"/>
    </row>
    <row r="162">
      <c r="C162" s="64"/>
    </row>
    <row r="163">
      <c r="C163" s="64"/>
    </row>
    <row r="164">
      <c r="C164" s="64"/>
    </row>
    <row r="165">
      <c r="C165" s="64"/>
    </row>
    <row r="166">
      <c r="C166" s="64"/>
    </row>
    <row r="167">
      <c r="C167" s="64"/>
    </row>
    <row r="168">
      <c r="C168" s="64"/>
    </row>
    <row r="169">
      <c r="C169" s="64"/>
    </row>
    <row r="170">
      <c r="C170" s="64"/>
    </row>
    <row r="171">
      <c r="C171" s="64"/>
    </row>
    <row r="172">
      <c r="C172" s="64"/>
    </row>
    <row r="173">
      <c r="C173" s="64"/>
    </row>
    <row r="174">
      <c r="C174" s="64"/>
    </row>
    <row r="175">
      <c r="C175" s="64"/>
    </row>
    <row r="176">
      <c r="C176" s="64"/>
    </row>
    <row r="177">
      <c r="C177" s="64"/>
    </row>
    <row r="178">
      <c r="C178" s="64"/>
    </row>
    <row r="179">
      <c r="C179" s="64"/>
    </row>
    <row r="180">
      <c r="C180" s="64"/>
    </row>
    <row r="181">
      <c r="C181" s="64"/>
    </row>
    <row r="182">
      <c r="C182" s="64"/>
    </row>
    <row r="183">
      <c r="C183" s="64"/>
    </row>
    <row r="184">
      <c r="C184" s="64"/>
    </row>
    <row r="185">
      <c r="C185" s="64"/>
    </row>
    <row r="186">
      <c r="C186" s="64"/>
    </row>
    <row r="187">
      <c r="C187" s="64"/>
    </row>
    <row r="188">
      <c r="C188" s="64"/>
    </row>
    <row r="189">
      <c r="C189" s="64"/>
    </row>
    <row r="190">
      <c r="C190" s="64"/>
    </row>
    <row r="191">
      <c r="C191" s="64"/>
    </row>
    <row r="192">
      <c r="C192" s="64"/>
    </row>
    <row r="193">
      <c r="C193" s="64"/>
    </row>
    <row r="194">
      <c r="C194" s="64"/>
    </row>
    <row r="195">
      <c r="C195" s="64"/>
    </row>
    <row r="196">
      <c r="C196" s="64"/>
    </row>
    <row r="197">
      <c r="C197" s="64"/>
    </row>
    <row r="198">
      <c r="C198" s="64"/>
    </row>
    <row r="199">
      <c r="C199" s="64"/>
    </row>
    <row r="200">
      <c r="C200" s="64"/>
    </row>
    <row r="201">
      <c r="C201" s="64"/>
    </row>
    <row r="202">
      <c r="C202" s="64"/>
    </row>
    <row r="203">
      <c r="C203" s="64"/>
    </row>
    <row r="204">
      <c r="C204" s="64"/>
    </row>
    <row r="205">
      <c r="C205" s="64"/>
    </row>
    <row r="206">
      <c r="C206" s="64"/>
    </row>
    <row r="207">
      <c r="C207" s="64"/>
    </row>
    <row r="208">
      <c r="C208" s="64"/>
    </row>
    <row r="209">
      <c r="C209" s="64"/>
    </row>
    <row r="210">
      <c r="C210" s="64"/>
    </row>
    <row r="211">
      <c r="C211" s="64"/>
    </row>
    <row r="212">
      <c r="C212" s="64"/>
    </row>
    <row r="213">
      <c r="C213" s="64"/>
    </row>
    <row r="214">
      <c r="C214" s="64"/>
    </row>
    <row r="215">
      <c r="C215" s="64"/>
    </row>
    <row r="216">
      <c r="C216" s="64"/>
    </row>
    <row r="217">
      <c r="C217" s="64"/>
    </row>
    <row r="218">
      <c r="C218" s="64"/>
    </row>
    <row r="219">
      <c r="C219" s="64"/>
    </row>
    <row r="220">
      <c r="C220" s="64"/>
    </row>
    <row r="221">
      <c r="C221" s="64"/>
    </row>
    <row r="222">
      <c r="C222" s="64"/>
    </row>
    <row r="223">
      <c r="C223" s="64"/>
    </row>
    <row r="224">
      <c r="C224" s="64"/>
    </row>
    <row r="225">
      <c r="C225" s="64"/>
    </row>
    <row r="226">
      <c r="C226" s="64"/>
    </row>
    <row r="227">
      <c r="C227" s="64"/>
    </row>
    <row r="228">
      <c r="C228" s="64"/>
    </row>
    <row r="229">
      <c r="C229" s="64"/>
    </row>
    <row r="230">
      <c r="C230" s="64"/>
    </row>
    <row r="231">
      <c r="C231" s="64"/>
    </row>
    <row r="232">
      <c r="C232" s="64"/>
    </row>
    <row r="233">
      <c r="C233" s="64"/>
    </row>
    <row r="234">
      <c r="C234" s="64"/>
    </row>
    <row r="235">
      <c r="C235" s="64"/>
    </row>
    <row r="236">
      <c r="C236" s="64"/>
    </row>
    <row r="237">
      <c r="C237" s="64"/>
    </row>
    <row r="238">
      <c r="C238" s="64"/>
    </row>
    <row r="239">
      <c r="C239" s="64"/>
    </row>
    <row r="240">
      <c r="C240" s="64"/>
    </row>
    <row r="241">
      <c r="C241" s="64"/>
    </row>
    <row r="242">
      <c r="C242" s="64"/>
    </row>
    <row r="243">
      <c r="C243" s="64"/>
    </row>
    <row r="244">
      <c r="C244" s="64"/>
    </row>
    <row r="245">
      <c r="C245" s="64"/>
    </row>
    <row r="246">
      <c r="C246" s="64"/>
    </row>
    <row r="247">
      <c r="C247" s="64"/>
    </row>
    <row r="248">
      <c r="C248" s="64"/>
    </row>
    <row r="249">
      <c r="C249" s="64"/>
    </row>
    <row r="250">
      <c r="C250" s="64"/>
    </row>
    <row r="251">
      <c r="C251" s="64"/>
    </row>
    <row r="252">
      <c r="C252" s="64"/>
    </row>
    <row r="253">
      <c r="C253" s="64"/>
    </row>
    <row r="254">
      <c r="C254" s="64"/>
    </row>
    <row r="255">
      <c r="C255" s="64"/>
    </row>
    <row r="256">
      <c r="C256" s="64"/>
    </row>
    <row r="257">
      <c r="C257" s="64"/>
    </row>
    <row r="258">
      <c r="C258" s="64"/>
    </row>
    <row r="259">
      <c r="C259" s="64"/>
    </row>
    <row r="260">
      <c r="C260" s="64"/>
    </row>
    <row r="261">
      <c r="C261" s="64"/>
    </row>
    <row r="262">
      <c r="C262" s="64"/>
    </row>
    <row r="263">
      <c r="C263" s="64"/>
    </row>
    <row r="264">
      <c r="C264" s="64"/>
    </row>
    <row r="265">
      <c r="C265" s="64"/>
    </row>
    <row r="266">
      <c r="C266" s="64"/>
    </row>
    <row r="267">
      <c r="C267" s="64"/>
    </row>
    <row r="268">
      <c r="C268" s="64"/>
    </row>
    <row r="269">
      <c r="C269" s="64"/>
    </row>
    <row r="270">
      <c r="C270" s="64"/>
    </row>
    <row r="271">
      <c r="C271" s="64"/>
    </row>
    <row r="272">
      <c r="C272" s="64"/>
    </row>
    <row r="273">
      <c r="C273" s="64"/>
    </row>
    <row r="274">
      <c r="C274" s="64"/>
    </row>
    <row r="275">
      <c r="C275" s="64"/>
    </row>
    <row r="276">
      <c r="C276" s="64"/>
    </row>
    <row r="277">
      <c r="C277" s="64"/>
    </row>
    <row r="278">
      <c r="C278" s="64"/>
    </row>
    <row r="279">
      <c r="C279" s="64"/>
    </row>
    <row r="280">
      <c r="C280" s="64"/>
    </row>
    <row r="281">
      <c r="C281" s="64"/>
    </row>
    <row r="282">
      <c r="C282" s="64"/>
    </row>
    <row r="283">
      <c r="C283" s="64"/>
    </row>
    <row r="284">
      <c r="C284" s="64"/>
    </row>
    <row r="285">
      <c r="C285" s="64"/>
    </row>
    <row r="286">
      <c r="C286" s="64"/>
    </row>
    <row r="287">
      <c r="C287" s="64"/>
    </row>
    <row r="288">
      <c r="C288" s="64"/>
    </row>
    <row r="289">
      <c r="C289" s="64"/>
    </row>
    <row r="290">
      <c r="C290" s="64"/>
    </row>
    <row r="291">
      <c r="C291" s="64"/>
    </row>
    <row r="292">
      <c r="C292" s="64"/>
    </row>
    <row r="293">
      <c r="C293" s="64"/>
    </row>
    <row r="294">
      <c r="C294" s="64"/>
    </row>
    <row r="295">
      <c r="C295" s="64"/>
    </row>
    <row r="296">
      <c r="C296" s="64"/>
    </row>
    <row r="297">
      <c r="C297" s="64"/>
    </row>
    <row r="298">
      <c r="C298" s="64"/>
    </row>
    <row r="299">
      <c r="C299" s="64"/>
    </row>
    <row r="300">
      <c r="C300" s="64"/>
    </row>
    <row r="301">
      <c r="C301" s="64"/>
    </row>
    <row r="302">
      <c r="C302" s="64"/>
    </row>
    <row r="303">
      <c r="C303" s="64"/>
    </row>
    <row r="304">
      <c r="C304" s="64"/>
    </row>
    <row r="305">
      <c r="C305" s="64"/>
    </row>
    <row r="306">
      <c r="C306" s="64"/>
    </row>
    <row r="307">
      <c r="C307" s="64"/>
    </row>
    <row r="308">
      <c r="C308" s="64"/>
    </row>
    <row r="309">
      <c r="C309" s="64"/>
    </row>
    <row r="310">
      <c r="C310" s="64"/>
    </row>
    <row r="311">
      <c r="C311" s="64"/>
    </row>
    <row r="312">
      <c r="C312" s="64"/>
    </row>
    <row r="313">
      <c r="C313" s="64"/>
    </row>
    <row r="314">
      <c r="C314" s="64"/>
    </row>
    <row r="315">
      <c r="C315" s="64"/>
    </row>
    <row r="316">
      <c r="C316" s="64"/>
    </row>
    <row r="317">
      <c r="C317" s="64"/>
    </row>
    <row r="318">
      <c r="C318" s="64"/>
    </row>
    <row r="319">
      <c r="C319" s="64"/>
    </row>
    <row r="320">
      <c r="C320" s="64"/>
    </row>
    <row r="321">
      <c r="C321" s="64"/>
    </row>
    <row r="322">
      <c r="C322" s="64"/>
    </row>
    <row r="323">
      <c r="C323" s="64"/>
    </row>
    <row r="324">
      <c r="C324" s="64"/>
    </row>
    <row r="325">
      <c r="C325" s="64"/>
    </row>
    <row r="326">
      <c r="C326" s="64"/>
    </row>
    <row r="327">
      <c r="C327" s="64"/>
    </row>
    <row r="328">
      <c r="C328" s="64"/>
    </row>
    <row r="329">
      <c r="C329" s="64"/>
    </row>
    <row r="330">
      <c r="C330" s="64"/>
    </row>
    <row r="331">
      <c r="C331" s="64"/>
    </row>
    <row r="332">
      <c r="C332" s="64"/>
    </row>
    <row r="333">
      <c r="C333" s="64"/>
    </row>
    <row r="334">
      <c r="C334" s="64"/>
    </row>
    <row r="335">
      <c r="C335" s="64"/>
    </row>
    <row r="336">
      <c r="C336" s="64"/>
    </row>
    <row r="337">
      <c r="C337" s="64"/>
    </row>
    <row r="338">
      <c r="C338" s="64"/>
    </row>
    <row r="339">
      <c r="C339" s="64"/>
    </row>
    <row r="340">
      <c r="C340" s="64"/>
    </row>
    <row r="341">
      <c r="C341" s="64"/>
    </row>
    <row r="342">
      <c r="C342" s="64"/>
    </row>
    <row r="343">
      <c r="C343" s="64"/>
    </row>
    <row r="344">
      <c r="C344" s="64"/>
    </row>
    <row r="345">
      <c r="C345" s="64"/>
    </row>
    <row r="346">
      <c r="C346" s="64"/>
    </row>
    <row r="347">
      <c r="C347" s="64"/>
    </row>
    <row r="348">
      <c r="C348" s="64"/>
    </row>
    <row r="349">
      <c r="C349" s="64"/>
    </row>
    <row r="350">
      <c r="C350" s="64"/>
    </row>
    <row r="351">
      <c r="C351" s="64"/>
    </row>
    <row r="352">
      <c r="C352" s="64"/>
    </row>
    <row r="353">
      <c r="C353" s="64"/>
    </row>
    <row r="354">
      <c r="C354" s="64"/>
    </row>
    <row r="355">
      <c r="C355" s="64"/>
    </row>
    <row r="356">
      <c r="C356" s="64"/>
    </row>
    <row r="357">
      <c r="C357" s="64"/>
    </row>
    <row r="358">
      <c r="C358" s="64"/>
    </row>
    <row r="359">
      <c r="C359" s="64"/>
    </row>
    <row r="360">
      <c r="C360" s="64"/>
    </row>
    <row r="361">
      <c r="C361" s="64"/>
    </row>
    <row r="362">
      <c r="C362" s="64"/>
    </row>
    <row r="363">
      <c r="C363" s="64"/>
    </row>
    <row r="364">
      <c r="C364" s="64"/>
    </row>
    <row r="365">
      <c r="C365" s="64"/>
    </row>
    <row r="366">
      <c r="C366" s="64"/>
    </row>
    <row r="367">
      <c r="C367" s="64"/>
    </row>
    <row r="368">
      <c r="C368" s="64"/>
    </row>
    <row r="369">
      <c r="C369" s="64"/>
    </row>
    <row r="370">
      <c r="C370" s="64"/>
    </row>
    <row r="371">
      <c r="C371" s="64"/>
    </row>
    <row r="372">
      <c r="C372" s="64"/>
    </row>
    <row r="373">
      <c r="C373" s="64"/>
    </row>
    <row r="374">
      <c r="C374" s="64"/>
    </row>
    <row r="375">
      <c r="C375" s="64"/>
    </row>
    <row r="376">
      <c r="C376" s="64"/>
    </row>
    <row r="377">
      <c r="C377" s="64"/>
    </row>
    <row r="378">
      <c r="C378" s="64"/>
    </row>
    <row r="379">
      <c r="C379" s="64"/>
    </row>
    <row r="380">
      <c r="C380" s="64"/>
    </row>
    <row r="381">
      <c r="C381" s="64"/>
    </row>
    <row r="382">
      <c r="C382" s="64"/>
    </row>
    <row r="383">
      <c r="C383" s="64"/>
    </row>
    <row r="384">
      <c r="C384" s="64"/>
    </row>
    <row r="385">
      <c r="C385" s="64"/>
    </row>
    <row r="386">
      <c r="C386" s="64"/>
    </row>
    <row r="387">
      <c r="C387" s="64"/>
    </row>
    <row r="388">
      <c r="C388" s="64"/>
    </row>
    <row r="389">
      <c r="C389" s="64"/>
    </row>
    <row r="390">
      <c r="C390" s="64"/>
    </row>
    <row r="391">
      <c r="C391" s="64"/>
    </row>
    <row r="392">
      <c r="C392" s="64"/>
    </row>
    <row r="393">
      <c r="C393" s="64"/>
    </row>
    <row r="394">
      <c r="C394" s="64"/>
    </row>
    <row r="395">
      <c r="C395" s="64"/>
    </row>
    <row r="396">
      <c r="C396" s="64"/>
    </row>
    <row r="397">
      <c r="C397" s="64"/>
    </row>
    <row r="398">
      <c r="C398" s="64"/>
    </row>
    <row r="399">
      <c r="C399" s="64"/>
    </row>
    <row r="400">
      <c r="C400" s="64"/>
    </row>
    <row r="401">
      <c r="C401" s="64"/>
    </row>
    <row r="402">
      <c r="C402" s="64"/>
    </row>
    <row r="403">
      <c r="C403" s="64"/>
    </row>
    <row r="404">
      <c r="C404" s="64"/>
    </row>
    <row r="405">
      <c r="C405" s="64"/>
    </row>
    <row r="406">
      <c r="C406" s="64"/>
    </row>
    <row r="407">
      <c r="C407" s="64"/>
    </row>
    <row r="408">
      <c r="C408" s="64"/>
    </row>
    <row r="409">
      <c r="C409" s="64"/>
    </row>
    <row r="410">
      <c r="C410" s="64"/>
    </row>
    <row r="411">
      <c r="C411" s="64"/>
    </row>
    <row r="412">
      <c r="C412" s="64"/>
    </row>
    <row r="413">
      <c r="C413" s="64"/>
    </row>
    <row r="414">
      <c r="C414" s="64"/>
    </row>
    <row r="415">
      <c r="C415" s="64"/>
    </row>
    <row r="416">
      <c r="C416" s="64"/>
    </row>
    <row r="417">
      <c r="C417" s="64"/>
    </row>
    <row r="418">
      <c r="C418" s="64"/>
    </row>
    <row r="419">
      <c r="C419" s="64"/>
    </row>
    <row r="420">
      <c r="C420" s="64"/>
    </row>
    <row r="421">
      <c r="C421" s="64"/>
    </row>
    <row r="422">
      <c r="C422" s="64"/>
    </row>
    <row r="423">
      <c r="C423" s="64"/>
    </row>
    <row r="424">
      <c r="C424" s="64"/>
    </row>
    <row r="425">
      <c r="C425" s="64"/>
    </row>
    <row r="426">
      <c r="C426" s="64"/>
    </row>
    <row r="427">
      <c r="C427" s="64"/>
    </row>
    <row r="428">
      <c r="C428" s="64"/>
    </row>
    <row r="429">
      <c r="C429" s="64"/>
    </row>
    <row r="430">
      <c r="C430" s="64"/>
    </row>
    <row r="431">
      <c r="C431" s="64"/>
    </row>
    <row r="432">
      <c r="C432" s="64"/>
    </row>
    <row r="433">
      <c r="C433" s="64"/>
    </row>
    <row r="434">
      <c r="C434" s="64"/>
    </row>
    <row r="435">
      <c r="C435" s="64"/>
    </row>
    <row r="436">
      <c r="C436" s="64"/>
    </row>
    <row r="437">
      <c r="C437" s="64"/>
    </row>
    <row r="438">
      <c r="C438" s="64"/>
    </row>
    <row r="439">
      <c r="C439" s="64"/>
    </row>
    <row r="440">
      <c r="C440" s="64"/>
    </row>
    <row r="441">
      <c r="C441" s="64"/>
    </row>
    <row r="442">
      <c r="C442" s="64"/>
    </row>
    <row r="443">
      <c r="C443" s="64"/>
    </row>
    <row r="444">
      <c r="C444" s="64"/>
    </row>
    <row r="445">
      <c r="C445" s="64"/>
    </row>
    <row r="446">
      <c r="C446" s="64"/>
    </row>
    <row r="447">
      <c r="C447" s="64"/>
    </row>
    <row r="448">
      <c r="C448" s="64"/>
    </row>
    <row r="449">
      <c r="C449" s="64"/>
    </row>
    <row r="450">
      <c r="C450" s="64"/>
    </row>
    <row r="451">
      <c r="C451" s="64"/>
    </row>
    <row r="452">
      <c r="C452" s="64"/>
    </row>
    <row r="453">
      <c r="C453" s="64"/>
    </row>
    <row r="454">
      <c r="C454" s="64"/>
    </row>
    <row r="455">
      <c r="C455" s="64"/>
    </row>
    <row r="456">
      <c r="C456" s="64"/>
    </row>
    <row r="457">
      <c r="C457" s="64"/>
    </row>
    <row r="458">
      <c r="C458" s="64"/>
    </row>
    <row r="459">
      <c r="C459" s="64"/>
    </row>
    <row r="460">
      <c r="C460" s="64"/>
    </row>
    <row r="461">
      <c r="C461" s="64"/>
    </row>
    <row r="462">
      <c r="C462" s="64"/>
    </row>
    <row r="463">
      <c r="C463" s="64"/>
    </row>
    <row r="464">
      <c r="C464" s="64"/>
    </row>
    <row r="465">
      <c r="C465" s="64"/>
    </row>
    <row r="466">
      <c r="C466" s="64"/>
    </row>
    <row r="467">
      <c r="C467" s="64"/>
    </row>
    <row r="468">
      <c r="C468" s="64"/>
    </row>
    <row r="469">
      <c r="C469" s="64"/>
    </row>
    <row r="470">
      <c r="C470" s="64"/>
    </row>
    <row r="471">
      <c r="C471" s="64"/>
    </row>
    <row r="472">
      <c r="C472" s="64"/>
    </row>
    <row r="473">
      <c r="C473" s="64"/>
    </row>
    <row r="474">
      <c r="C474" s="64"/>
    </row>
    <row r="475">
      <c r="C475" s="64"/>
    </row>
    <row r="476">
      <c r="C476" s="64"/>
    </row>
    <row r="477">
      <c r="C477" s="64"/>
    </row>
    <row r="478">
      <c r="C478" s="64"/>
    </row>
    <row r="479">
      <c r="C479" s="64"/>
    </row>
    <row r="480">
      <c r="C480" s="64"/>
    </row>
    <row r="481">
      <c r="C481" s="64"/>
    </row>
    <row r="482">
      <c r="C482" s="64"/>
    </row>
    <row r="483">
      <c r="C483" s="64"/>
    </row>
    <row r="484">
      <c r="C484" s="64"/>
    </row>
    <row r="485">
      <c r="C485" s="64"/>
    </row>
    <row r="486">
      <c r="C486" s="64"/>
    </row>
    <row r="487">
      <c r="C487" s="64"/>
    </row>
    <row r="488">
      <c r="C488" s="64"/>
    </row>
    <row r="489">
      <c r="C489" s="64"/>
    </row>
    <row r="490">
      <c r="C490" s="64"/>
    </row>
    <row r="491">
      <c r="C491" s="64"/>
    </row>
    <row r="492">
      <c r="C492" s="64"/>
    </row>
    <row r="493">
      <c r="C493" s="64"/>
    </row>
    <row r="494">
      <c r="C494" s="64"/>
    </row>
    <row r="495">
      <c r="C495" s="64"/>
    </row>
    <row r="496">
      <c r="C496" s="64"/>
    </row>
    <row r="497">
      <c r="C497" s="64"/>
    </row>
    <row r="498">
      <c r="C498" s="64"/>
    </row>
    <row r="499">
      <c r="C499" s="64"/>
    </row>
    <row r="500">
      <c r="C500" s="64"/>
    </row>
    <row r="501">
      <c r="C501" s="64"/>
    </row>
    <row r="502">
      <c r="C502" s="64"/>
    </row>
    <row r="503">
      <c r="C503" s="64"/>
    </row>
    <row r="504">
      <c r="C504" s="64"/>
    </row>
    <row r="505">
      <c r="C505" s="64"/>
    </row>
    <row r="506">
      <c r="C506" s="64"/>
    </row>
    <row r="507">
      <c r="C507" s="64"/>
    </row>
    <row r="508">
      <c r="C508" s="64"/>
    </row>
    <row r="509">
      <c r="C509" s="64"/>
    </row>
    <row r="510">
      <c r="C510" s="64"/>
    </row>
    <row r="511">
      <c r="C511" s="64"/>
    </row>
    <row r="512">
      <c r="C512" s="64"/>
    </row>
    <row r="513">
      <c r="C513" s="64"/>
    </row>
    <row r="514">
      <c r="C514" s="64"/>
    </row>
    <row r="515">
      <c r="C515" s="64"/>
    </row>
    <row r="516">
      <c r="C516" s="64"/>
    </row>
    <row r="517">
      <c r="C517" s="64"/>
    </row>
    <row r="518">
      <c r="C518" s="64"/>
    </row>
    <row r="519">
      <c r="C519" s="64"/>
    </row>
    <row r="520">
      <c r="C520" s="64"/>
    </row>
    <row r="521">
      <c r="C521" s="64"/>
    </row>
    <row r="522">
      <c r="C522" s="64"/>
    </row>
    <row r="523">
      <c r="C523" s="64"/>
    </row>
    <row r="524">
      <c r="C524" s="64"/>
    </row>
    <row r="525">
      <c r="C525" s="64"/>
    </row>
    <row r="526">
      <c r="C526" s="64"/>
    </row>
    <row r="527">
      <c r="C527" s="64"/>
    </row>
    <row r="528">
      <c r="C528" s="64"/>
    </row>
    <row r="529">
      <c r="C529" s="64"/>
    </row>
    <row r="530">
      <c r="C530" s="64"/>
    </row>
    <row r="531">
      <c r="C531" s="64"/>
    </row>
    <row r="532">
      <c r="C532" s="64"/>
    </row>
    <row r="533">
      <c r="C533" s="64"/>
    </row>
    <row r="534">
      <c r="C534" s="64"/>
    </row>
    <row r="535">
      <c r="C535" s="64"/>
    </row>
    <row r="536">
      <c r="C536" s="64"/>
    </row>
    <row r="537">
      <c r="C537" s="64"/>
    </row>
    <row r="538">
      <c r="C538" s="64"/>
    </row>
    <row r="539">
      <c r="C539" s="64"/>
    </row>
    <row r="540">
      <c r="C540" s="64"/>
    </row>
    <row r="541">
      <c r="C541" s="64"/>
    </row>
    <row r="542">
      <c r="C542" s="64"/>
    </row>
    <row r="543">
      <c r="C543" s="64"/>
    </row>
    <row r="544">
      <c r="C544" s="64"/>
    </row>
    <row r="545">
      <c r="C545" s="64"/>
    </row>
    <row r="546">
      <c r="C546" s="64"/>
    </row>
    <row r="547">
      <c r="C547" s="64"/>
    </row>
    <row r="548">
      <c r="C548" s="64"/>
    </row>
    <row r="549">
      <c r="C549" s="64"/>
    </row>
    <row r="550">
      <c r="C550" s="64"/>
    </row>
    <row r="551">
      <c r="C551" s="64"/>
    </row>
    <row r="552">
      <c r="C552" s="64"/>
    </row>
    <row r="553">
      <c r="C553" s="64"/>
    </row>
    <row r="554">
      <c r="C554" s="64"/>
    </row>
    <row r="555">
      <c r="C555" s="64"/>
    </row>
    <row r="556">
      <c r="C556" s="64"/>
    </row>
    <row r="557">
      <c r="C557" s="64"/>
    </row>
    <row r="558">
      <c r="C558" s="64"/>
    </row>
    <row r="559">
      <c r="C559" s="64"/>
    </row>
    <row r="560">
      <c r="C560" s="64"/>
    </row>
    <row r="561">
      <c r="C561" s="64"/>
    </row>
    <row r="562">
      <c r="C562" s="64"/>
    </row>
    <row r="563">
      <c r="C563" s="64"/>
    </row>
    <row r="564">
      <c r="C564" s="64"/>
    </row>
    <row r="565">
      <c r="C565" s="64"/>
    </row>
    <row r="566">
      <c r="C566" s="64"/>
    </row>
    <row r="567">
      <c r="C567" s="64"/>
    </row>
    <row r="568">
      <c r="C568" s="64"/>
    </row>
    <row r="569">
      <c r="C569" s="64"/>
    </row>
    <row r="570">
      <c r="C570" s="64"/>
    </row>
    <row r="571">
      <c r="C571" s="64"/>
    </row>
    <row r="572">
      <c r="C572" s="64"/>
    </row>
    <row r="573">
      <c r="C573" s="64"/>
    </row>
    <row r="574">
      <c r="C574" s="64"/>
    </row>
    <row r="575">
      <c r="C575" s="64"/>
    </row>
    <row r="576">
      <c r="C576" s="64"/>
    </row>
    <row r="577">
      <c r="C577" s="64"/>
    </row>
    <row r="578">
      <c r="C578" s="64"/>
    </row>
    <row r="579">
      <c r="C579" s="64"/>
    </row>
    <row r="580">
      <c r="C580" s="64"/>
    </row>
    <row r="581">
      <c r="C581" s="64"/>
    </row>
    <row r="582">
      <c r="C582" s="64"/>
    </row>
    <row r="583">
      <c r="C583" s="64"/>
    </row>
    <row r="584">
      <c r="C584" s="64"/>
    </row>
    <row r="585">
      <c r="C585" s="64"/>
    </row>
    <row r="586">
      <c r="C586" s="64"/>
    </row>
    <row r="587">
      <c r="C587" s="64"/>
    </row>
    <row r="588">
      <c r="C588" s="64"/>
    </row>
    <row r="589">
      <c r="C589" s="64"/>
    </row>
    <row r="590">
      <c r="C590" s="64"/>
    </row>
    <row r="591">
      <c r="C591" s="64"/>
    </row>
    <row r="592">
      <c r="C592" s="64"/>
    </row>
    <row r="593">
      <c r="C593" s="64"/>
    </row>
    <row r="594">
      <c r="C594" s="64"/>
    </row>
    <row r="595">
      <c r="C595" s="64"/>
    </row>
    <row r="596">
      <c r="C596" s="64"/>
    </row>
    <row r="597">
      <c r="C597" s="64"/>
    </row>
    <row r="598">
      <c r="C598" s="64"/>
    </row>
    <row r="599">
      <c r="C599" s="64"/>
    </row>
    <row r="600">
      <c r="C600" s="64"/>
    </row>
    <row r="601">
      <c r="C601" s="64"/>
    </row>
    <row r="602">
      <c r="C602" s="64"/>
    </row>
    <row r="603">
      <c r="C603" s="64"/>
    </row>
    <row r="604">
      <c r="C604" s="64"/>
    </row>
    <row r="605">
      <c r="C605" s="64"/>
    </row>
    <row r="606">
      <c r="C606" s="64"/>
    </row>
    <row r="607">
      <c r="C607" s="64"/>
    </row>
    <row r="608">
      <c r="C608" s="64"/>
    </row>
    <row r="609">
      <c r="C609" s="64"/>
    </row>
    <row r="610">
      <c r="C610" s="64"/>
    </row>
    <row r="611">
      <c r="C611" s="64"/>
    </row>
    <row r="612">
      <c r="C612" s="64"/>
    </row>
    <row r="613">
      <c r="C613" s="64"/>
    </row>
    <row r="614">
      <c r="C614" s="64"/>
    </row>
    <row r="615">
      <c r="C615" s="64"/>
    </row>
    <row r="616">
      <c r="C616" s="64"/>
    </row>
    <row r="617">
      <c r="C617" s="64"/>
    </row>
    <row r="618">
      <c r="C618" s="64"/>
    </row>
    <row r="619">
      <c r="C619" s="64"/>
    </row>
    <row r="620">
      <c r="C620" s="64"/>
    </row>
    <row r="621">
      <c r="C621" s="64"/>
    </row>
    <row r="622">
      <c r="C622" s="64"/>
    </row>
    <row r="623">
      <c r="C623" s="64"/>
    </row>
    <row r="624">
      <c r="C624" s="64"/>
    </row>
    <row r="625">
      <c r="C625" s="64"/>
    </row>
    <row r="626">
      <c r="C626" s="64"/>
    </row>
    <row r="627">
      <c r="C627" s="64"/>
    </row>
    <row r="628">
      <c r="C628" s="64"/>
    </row>
    <row r="629">
      <c r="C629" s="64"/>
    </row>
    <row r="630">
      <c r="C630" s="64"/>
    </row>
    <row r="631">
      <c r="C631" s="64"/>
    </row>
    <row r="632">
      <c r="C632" s="64"/>
    </row>
    <row r="633">
      <c r="C633" s="64"/>
    </row>
    <row r="634">
      <c r="C634" s="64"/>
    </row>
    <row r="635">
      <c r="C635" s="64"/>
    </row>
    <row r="636">
      <c r="C636" s="64"/>
    </row>
    <row r="637">
      <c r="C637" s="64"/>
    </row>
    <row r="638">
      <c r="C638" s="64"/>
    </row>
    <row r="639">
      <c r="C639" s="64"/>
    </row>
    <row r="640">
      <c r="C640" s="64"/>
    </row>
    <row r="641">
      <c r="C641" s="64"/>
    </row>
    <row r="642">
      <c r="C642" s="64"/>
    </row>
    <row r="643">
      <c r="C643" s="64"/>
    </row>
    <row r="644">
      <c r="C644" s="64"/>
    </row>
    <row r="645">
      <c r="C645" s="64"/>
    </row>
    <row r="646">
      <c r="C646" s="64"/>
    </row>
    <row r="647">
      <c r="C647" s="64"/>
    </row>
    <row r="648">
      <c r="C648" s="64"/>
    </row>
    <row r="649">
      <c r="C649" s="64"/>
    </row>
    <row r="650">
      <c r="C650" s="64"/>
    </row>
    <row r="651">
      <c r="C651" s="64"/>
    </row>
    <row r="652">
      <c r="C652" s="64"/>
    </row>
    <row r="653">
      <c r="C653" s="64"/>
    </row>
    <row r="654">
      <c r="C654" s="64"/>
    </row>
    <row r="655">
      <c r="C655" s="64"/>
    </row>
    <row r="656">
      <c r="C656" s="64"/>
    </row>
    <row r="657">
      <c r="C657" s="64"/>
    </row>
    <row r="658">
      <c r="C658" s="64"/>
    </row>
    <row r="659">
      <c r="C659" s="64"/>
    </row>
    <row r="660">
      <c r="C660" s="64"/>
    </row>
    <row r="661">
      <c r="C661" s="64"/>
    </row>
    <row r="662">
      <c r="C662" s="64"/>
    </row>
    <row r="663">
      <c r="C663" s="64"/>
    </row>
    <row r="664">
      <c r="C664" s="64"/>
    </row>
    <row r="665">
      <c r="C665" s="64"/>
    </row>
    <row r="666">
      <c r="C666" s="64"/>
    </row>
    <row r="667">
      <c r="C667" s="64"/>
    </row>
    <row r="668">
      <c r="C668" s="64"/>
    </row>
    <row r="669">
      <c r="C669" s="64"/>
    </row>
    <row r="670">
      <c r="C670" s="64"/>
    </row>
    <row r="671">
      <c r="C671" s="64"/>
    </row>
    <row r="672">
      <c r="C672" s="64"/>
    </row>
    <row r="673">
      <c r="C673" s="64"/>
    </row>
    <row r="674">
      <c r="C674" s="64"/>
    </row>
    <row r="675">
      <c r="C675" s="64"/>
    </row>
    <row r="676">
      <c r="C676" s="64"/>
    </row>
    <row r="677">
      <c r="C677" s="64"/>
    </row>
    <row r="678">
      <c r="C678" s="64"/>
    </row>
    <row r="679">
      <c r="C679" s="64"/>
    </row>
    <row r="680">
      <c r="C680" s="64"/>
    </row>
    <row r="681">
      <c r="C681" s="64"/>
    </row>
    <row r="682">
      <c r="C682" s="64"/>
    </row>
    <row r="683">
      <c r="C683" s="64"/>
    </row>
    <row r="684">
      <c r="C684" s="64"/>
    </row>
    <row r="685">
      <c r="C685" s="64"/>
    </row>
    <row r="686">
      <c r="C686" s="64"/>
    </row>
    <row r="687">
      <c r="C687" s="64"/>
    </row>
    <row r="688">
      <c r="C688" s="64"/>
    </row>
    <row r="689">
      <c r="C689" s="64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  <row r="942">
      <c r="C942" s="64"/>
    </row>
    <row r="943">
      <c r="C943" s="64"/>
    </row>
    <row r="944">
      <c r="C944" s="64"/>
    </row>
    <row r="945">
      <c r="C945" s="64"/>
    </row>
    <row r="946">
      <c r="C946" s="64"/>
    </row>
    <row r="947">
      <c r="C947" s="64"/>
    </row>
    <row r="948">
      <c r="C948" s="64"/>
    </row>
    <row r="949">
      <c r="C949" s="64"/>
    </row>
    <row r="950">
      <c r="C950" s="64"/>
    </row>
    <row r="951">
      <c r="C951" s="64"/>
    </row>
    <row r="952">
      <c r="C952" s="64"/>
    </row>
    <row r="953">
      <c r="C953" s="64"/>
    </row>
    <row r="954">
      <c r="C954" s="64"/>
    </row>
    <row r="955">
      <c r="C955" s="64"/>
    </row>
    <row r="956">
      <c r="C956" s="64"/>
    </row>
    <row r="957">
      <c r="C957" s="64"/>
    </row>
    <row r="958">
      <c r="C958" s="64"/>
    </row>
    <row r="959">
      <c r="C959" s="64"/>
    </row>
    <row r="960">
      <c r="C960" s="64"/>
    </row>
  </sheetData>
  <mergeCells count="14">
    <mergeCell ref="F3:G3"/>
    <mergeCell ref="H3:I3"/>
    <mergeCell ref="J3:J4"/>
    <mergeCell ref="K3:K4"/>
    <mergeCell ref="E84:K8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972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12">
        <v>4.0</v>
      </c>
      <c r="B5" s="59" t="s">
        <v>973</v>
      </c>
      <c r="C5" s="59">
        <v>35245.0</v>
      </c>
      <c r="D5" s="58" t="s">
        <v>330</v>
      </c>
      <c r="E5" s="67"/>
      <c r="F5" s="25"/>
      <c r="G5" s="16"/>
      <c r="H5" s="17">
        <v>25000.0</v>
      </c>
      <c r="I5" s="18"/>
      <c r="J5" s="68"/>
      <c r="K5" s="20"/>
      <c r="L5" s="60">
        <v>25000.0</v>
      </c>
      <c r="M5" s="22">
        <f t="shared" ref="M5:M83" si="1">SUM(E5+F5+G5+H5+I5+J5+K5-L5)</f>
        <v>0</v>
      </c>
    </row>
    <row r="6">
      <c r="A6" s="12">
        <v>5.0</v>
      </c>
      <c r="B6" s="59" t="s">
        <v>974</v>
      </c>
      <c r="C6" s="59">
        <v>51976.0</v>
      </c>
      <c r="D6" s="58" t="s">
        <v>975</v>
      </c>
      <c r="E6" s="67"/>
      <c r="F6" s="25"/>
      <c r="G6" s="16"/>
      <c r="H6" s="17"/>
      <c r="I6" s="18">
        <v>15000.0</v>
      </c>
      <c r="J6" s="70"/>
      <c r="K6" s="20"/>
      <c r="L6" s="60">
        <v>15000.0</v>
      </c>
      <c r="M6" s="22">
        <f t="shared" si="1"/>
        <v>0</v>
      </c>
    </row>
    <row r="7">
      <c r="A7" s="12">
        <v>6.0</v>
      </c>
      <c r="B7" s="59" t="s">
        <v>976</v>
      </c>
      <c r="C7" s="59">
        <v>48772.0</v>
      </c>
      <c r="D7" s="58" t="s">
        <v>393</v>
      </c>
      <c r="E7" s="67"/>
      <c r="F7" s="25"/>
      <c r="G7" s="16"/>
      <c r="H7" s="17"/>
      <c r="I7" s="18">
        <v>1250.0</v>
      </c>
      <c r="J7" s="68"/>
      <c r="K7" s="20"/>
      <c r="L7" s="60">
        <v>1250.0</v>
      </c>
      <c r="M7" s="22">
        <f t="shared" si="1"/>
        <v>0</v>
      </c>
    </row>
    <row r="8">
      <c r="A8" s="12">
        <v>7.0</v>
      </c>
      <c r="B8" s="59" t="s">
        <v>977</v>
      </c>
      <c r="C8" s="59">
        <v>52669.0</v>
      </c>
      <c r="D8" s="58" t="s">
        <v>42</v>
      </c>
      <c r="E8" s="67"/>
      <c r="F8" s="25"/>
      <c r="G8" s="16"/>
      <c r="H8" s="17">
        <v>448.0</v>
      </c>
      <c r="I8" s="18"/>
      <c r="J8" s="68"/>
      <c r="K8" s="20"/>
      <c r="L8" s="60">
        <v>448.0</v>
      </c>
      <c r="M8" s="22">
        <f t="shared" si="1"/>
        <v>0</v>
      </c>
    </row>
    <row r="9">
      <c r="A9" s="12">
        <v>8.0</v>
      </c>
      <c r="B9" s="59" t="s">
        <v>978</v>
      </c>
      <c r="C9" s="59">
        <v>48306.0</v>
      </c>
      <c r="D9" s="58" t="s">
        <v>979</v>
      </c>
      <c r="E9" s="67"/>
      <c r="F9" s="25"/>
      <c r="G9" s="16"/>
      <c r="H9" s="17">
        <v>5000.0</v>
      </c>
      <c r="I9" s="18"/>
      <c r="J9" s="70"/>
      <c r="K9" s="20"/>
      <c r="L9" s="60">
        <v>5000.0</v>
      </c>
      <c r="M9" s="22">
        <f t="shared" si="1"/>
        <v>0</v>
      </c>
    </row>
    <row r="10">
      <c r="A10" s="12">
        <v>9.0</v>
      </c>
      <c r="B10" s="59" t="s">
        <v>980</v>
      </c>
      <c r="C10" s="59">
        <v>10001.0</v>
      </c>
      <c r="D10" s="58" t="s">
        <v>46</v>
      </c>
      <c r="E10" s="67"/>
      <c r="F10" s="25"/>
      <c r="G10" s="16"/>
      <c r="H10" s="17">
        <v>5150.0</v>
      </c>
      <c r="I10" s="24"/>
      <c r="J10" s="68"/>
      <c r="K10" s="20"/>
      <c r="L10" s="60">
        <v>5150.0</v>
      </c>
      <c r="M10" s="22">
        <f t="shared" si="1"/>
        <v>0</v>
      </c>
    </row>
    <row r="11">
      <c r="A11" s="12">
        <v>10.0</v>
      </c>
      <c r="B11" s="59" t="s">
        <v>981</v>
      </c>
      <c r="C11" s="59">
        <v>34956.0</v>
      </c>
      <c r="D11" s="58" t="s">
        <v>20</v>
      </c>
      <c r="E11" s="67"/>
      <c r="F11" s="25"/>
      <c r="G11" s="16"/>
      <c r="H11" s="17">
        <v>2650.0</v>
      </c>
      <c r="I11" s="18"/>
      <c r="J11" s="68"/>
      <c r="K11" s="20"/>
      <c r="L11" s="60">
        <v>2650.0</v>
      </c>
      <c r="M11" s="22">
        <f t="shared" si="1"/>
        <v>0</v>
      </c>
    </row>
    <row r="12">
      <c r="A12" s="12">
        <v>11.0</v>
      </c>
      <c r="B12" s="59" t="s">
        <v>982</v>
      </c>
      <c r="C12" s="59">
        <v>49655.0</v>
      </c>
      <c r="D12" s="58" t="s">
        <v>134</v>
      </c>
      <c r="E12" s="67"/>
      <c r="F12" s="25"/>
      <c r="G12" s="16"/>
      <c r="H12" s="17"/>
      <c r="I12" s="18">
        <v>1250.0</v>
      </c>
      <c r="J12" s="68"/>
      <c r="K12" s="20"/>
      <c r="L12" s="60">
        <v>1250.0</v>
      </c>
      <c r="M12" s="22">
        <f t="shared" si="1"/>
        <v>0</v>
      </c>
    </row>
    <row r="13">
      <c r="A13" s="12">
        <v>12.0</v>
      </c>
      <c r="B13" s="59" t="s">
        <v>983</v>
      </c>
      <c r="C13" s="59">
        <v>48853.0</v>
      </c>
      <c r="D13" s="58" t="s">
        <v>984</v>
      </c>
      <c r="E13" s="67"/>
      <c r="F13" s="25"/>
      <c r="G13" s="16"/>
      <c r="H13" s="17">
        <v>6400.0</v>
      </c>
      <c r="I13" s="18"/>
      <c r="J13" s="68"/>
      <c r="K13" s="20"/>
      <c r="L13" s="60">
        <v>6400.0</v>
      </c>
      <c r="M13" s="22">
        <f t="shared" si="1"/>
        <v>0</v>
      </c>
    </row>
    <row r="14">
      <c r="A14" s="12">
        <v>13.0</v>
      </c>
      <c r="B14" s="59" t="s">
        <v>985</v>
      </c>
      <c r="C14" s="59">
        <v>31738.0</v>
      </c>
      <c r="D14" s="58" t="s">
        <v>277</v>
      </c>
      <c r="E14" s="67"/>
      <c r="F14" s="25"/>
      <c r="G14" s="16"/>
      <c r="H14" s="17">
        <v>10000.0</v>
      </c>
      <c r="I14" s="18"/>
      <c r="J14" s="68"/>
      <c r="K14" s="20"/>
      <c r="L14" s="60">
        <v>10000.0</v>
      </c>
      <c r="M14" s="22">
        <f t="shared" si="1"/>
        <v>0</v>
      </c>
    </row>
    <row r="15">
      <c r="A15" s="12">
        <v>14.0</v>
      </c>
      <c r="B15" s="59" t="s">
        <v>986</v>
      </c>
      <c r="C15" s="59">
        <v>22332.0</v>
      </c>
      <c r="D15" s="58" t="s">
        <v>78</v>
      </c>
      <c r="E15" s="67"/>
      <c r="F15" s="25"/>
      <c r="G15" s="16"/>
      <c r="H15" s="17">
        <v>26500.0</v>
      </c>
      <c r="I15" s="24"/>
      <c r="J15" s="68"/>
      <c r="K15" s="20"/>
      <c r="L15" s="60">
        <v>26500.0</v>
      </c>
      <c r="M15" s="22">
        <f t="shared" si="1"/>
        <v>0</v>
      </c>
    </row>
    <row r="16">
      <c r="A16" s="12">
        <v>15.0</v>
      </c>
      <c r="B16" s="59" t="s">
        <v>987</v>
      </c>
      <c r="C16" s="59">
        <v>32141.0</v>
      </c>
      <c r="D16" s="58" t="s">
        <v>988</v>
      </c>
      <c r="E16" s="67"/>
      <c r="F16" s="25"/>
      <c r="G16" s="16"/>
      <c r="H16" s="17">
        <v>3600.0</v>
      </c>
      <c r="I16" s="18"/>
      <c r="J16" s="70"/>
      <c r="K16" s="20"/>
      <c r="L16" s="60">
        <v>3600.0</v>
      </c>
      <c r="M16" s="22">
        <f t="shared" si="1"/>
        <v>0</v>
      </c>
    </row>
    <row r="17">
      <c r="A17" s="12">
        <v>16.0</v>
      </c>
      <c r="B17" s="59" t="s">
        <v>989</v>
      </c>
      <c r="C17" s="59">
        <v>44168.0</v>
      </c>
      <c r="D17" s="58" t="s">
        <v>295</v>
      </c>
      <c r="E17" s="67"/>
      <c r="F17" s="25"/>
      <c r="G17" s="16"/>
      <c r="H17" s="17">
        <v>1427.0</v>
      </c>
      <c r="I17" s="24"/>
      <c r="J17" s="68"/>
      <c r="K17" s="20"/>
      <c r="L17" s="60">
        <v>1427.0</v>
      </c>
      <c r="M17" s="22">
        <f t="shared" si="1"/>
        <v>0</v>
      </c>
    </row>
    <row r="18">
      <c r="A18" s="12">
        <v>17.0</v>
      </c>
      <c r="B18" s="59" t="s">
        <v>990</v>
      </c>
      <c r="C18" s="59">
        <v>33094.0</v>
      </c>
      <c r="D18" s="58" t="s">
        <v>991</v>
      </c>
      <c r="E18" s="69"/>
      <c r="F18" s="25"/>
      <c r="G18" s="16"/>
      <c r="H18" s="17">
        <v>3600.0</v>
      </c>
      <c r="I18" s="18"/>
      <c r="J18" s="68"/>
      <c r="K18" s="20"/>
      <c r="L18" s="60">
        <v>3600.0</v>
      </c>
      <c r="M18" s="22">
        <f t="shared" si="1"/>
        <v>0</v>
      </c>
    </row>
    <row r="19">
      <c r="A19" s="12">
        <v>18.0</v>
      </c>
      <c r="B19" s="59" t="s">
        <v>992</v>
      </c>
      <c r="C19" s="59">
        <v>57087.0</v>
      </c>
      <c r="D19" s="58" t="s">
        <v>993</v>
      </c>
      <c r="E19" s="69">
        <v>3600.0</v>
      </c>
      <c r="F19" s="25"/>
      <c r="G19" s="16"/>
      <c r="H19" s="17"/>
      <c r="I19" s="24"/>
      <c r="J19" s="68"/>
      <c r="K19" s="20"/>
      <c r="L19" s="60">
        <v>3600.0</v>
      </c>
      <c r="M19" s="22">
        <f t="shared" si="1"/>
        <v>0</v>
      </c>
    </row>
    <row r="20">
      <c r="A20" s="12">
        <v>19.0</v>
      </c>
      <c r="B20" s="59" t="s">
        <v>994</v>
      </c>
      <c r="C20" s="59">
        <v>50538.0</v>
      </c>
      <c r="D20" s="58" t="s">
        <v>680</v>
      </c>
      <c r="E20" s="67"/>
      <c r="F20" s="25"/>
      <c r="G20" s="16"/>
      <c r="H20" s="17">
        <v>430.0</v>
      </c>
      <c r="I20" s="18"/>
      <c r="J20" s="68"/>
      <c r="K20" s="20"/>
      <c r="L20" s="60">
        <v>430.0</v>
      </c>
      <c r="M20" s="22">
        <f t="shared" si="1"/>
        <v>0</v>
      </c>
    </row>
    <row r="21">
      <c r="A21" s="12">
        <v>20.0</v>
      </c>
      <c r="B21" s="59" t="s">
        <v>995</v>
      </c>
      <c r="C21" s="59">
        <v>55250.0</v>
      </c>
      <c r="D21" s="58" t="s">
        <v>996</v>
      </c>
      <c r="E21" s="67"/>
      <c r="F21" s="25"/>
      <c r="G21" s="16"/>
      <c r="H21" s="17">
        <v>10000.0</v>
      </c>
      <c r="I21" s="18"/>
      <c r="J21" s="68"/>
      <c r="K21" s="20"/>
      <c r="L21" s="60">
        <v>10000.0</v>
      </c>
      <c r="M21" s="22">
        <f t="shared" si="1"/>
        <v>0</v>
      </c>
    </row>
    <row r="22">
      <c r="A22" s="12">
        <v>21.0</v>
      </c>
      <c r="B22" s="59" t="s">
        <v>997</v>
      </c>
      <c r="C22" s="59">
        <v>51406.0</v>
      </c>
      <c r="D22" s="58" t="s">
        <v>128</v>
      </c>
      <c r="E22" s="67"/>
      <c r="F22" s="25"/>
      <c r="G22" s="16"/>
      <c r="H22" s="17"/>
      <c r="I22" s="18">
        <v>15000.0</v>
      </c>
      <c r="J22" s="68"/>
      <c r="K22" s="20"/>
      <c r="L22" s="60">
        <v>15000.0</v>
      </c>
      <c r="M22" s="22">
        <f t="shared" si="1"/>
        <v>0</v>
      </c>
    </row>
    <row r="23">
      <c r="A23" s="12">
        <v>22.0</v>
      </c>
      <c r="B23" s="59" t="s">
        <v>998</v>
      </c>
      <c r="C23" s="59">
        <v>50871.0</v>
      </c>
      <c r="D23" s="58" t="s">
        <v>48</v>
      </c>
      <c r="E23" s="67"/>
      <c r="F23" s="25"/>
      <c r="G23" s="16"/>
      <c r="H23" s="17">
        <v>40000.0</v>
      </c>
      <c r="I23" s="18"/>
      <c r="J23" s="68"/>
      <c r="K23" s="20"/>
      <c r="L23" s="60">
        <v>40000.0</v>
      </c>
      <c r="M23" s="22">
        <f t="shared" si="1"/>
        <v>0</v>
      </c>
    </row>
    <row r="24">
      <c r="A24" s="12">
        <v>23.0</v>
      </c>
      <c r="B24" s="59" t="s">
        <v>999</v>
      </c>
      <c r="C24" s="59">
        <v>52032.0</v>
      </c>
      <c r="D24" s="58" t="s">
        <v>217</v>
      </c>
      <c r="E24" s="67"/>
      <c r="F24" s="25"/>
      <c r="G24" s="16"/>
      <c r="H24" s="17">
        <v>1950.0</v>
      </c>
      <c r="I24" s="24"/>
      <c r="J24" s="68"/>
      <c r="K24" s="20"/>
      <c r="L24" s="60">
        <v>1950.0</v>
      </c>
      <c r="M24" s="22">
        <f t="shared" si="1"/>
        <v>0</v>
      </c>
    </row>
    <row r="25">
      <c r="A25" s="12">
        <v>24.0</v>
      </c>
      <c r="B25" s="59" t="s">
        <v>1000</v>
      </c>
      <c r="C25" s="59">
        <v>50222.0</v>
      </c>
      <c r="D25" s="58" t="s">
        <v>504</v>
      </c>
      <c r="E25" s="67"/>
      <c r="F25" s="25"/>
      <c r="G25" s="16"/>
      <c r="H25" s="17">
        <v>453.0</v>
      </c>
      <c r="I25" s="24"/>
      <c r="J25" s="68"/>
      <c r="K25" s="20"/>
      <c r="L25" s="60">
        <v>453.0</v>
      </c>
      <c r="M25" s="22">
        <f t="shared" si="1"/>
        <v>0</v>
      </c>
    </row>
    <row r="26">
      <c r="A26" s="12">
        <v>25.0</v>
      </c>
      <c r="B26" s="59" t="s">
        <v>1001</v>
      </c>
      <c r="C26" s="59">
        <v>57529.0</v>
      </c>
      <c r="D26" s="58" t="s">
        <v>1002</v>
      </c>
      <c r="E26" s="67"/>
      <c r="F26" s="25"/>
      <c r="G26" s="16"/>
      <c r="H26" s="17">
        <v>1400.0</v>
      </c>
      <c r="I26" s="18"/>
      <c r="J26" s="70"/>
      <c r="K26" s="20"/>
      <c r="L26" s="60">
        <v>1400.0</v>
      </c>
      <c r="M26" s="22">
        <f t="shared" si="1"/>
        <v>0</v>
      </c>
    </row>
    <row r="27">
      <c r="A27" s="12">
        <v>26.0</v>
      </c>
      <c r="B27" s="59" t="s">
        <v>1003</v>
      </c>
      <c r="C27" s="59">
        <v>22332.0</v>
      </c>
      <c r="D27" s="58" t="s">
        <v>78</v>
      </c>
      <c r="E27" s="67"/>
      <c r="F27" s="25"/>
      <c r="G27" s="16"/>
      <c r="H27" s="17">
        <v>15500.0</v>
      </c>
      <c r="I27" s="18"/>
      <c r="J27" s="68"/>
      <c r="K27" s="20"/>
      <c r="L27" s="60">
        <v>15500.0</v>
      </c>
      <c r="M27" s="22">
        <f t="shared" si="1"/>
        <v>0</v>
      </c>
    </row>
    <row r="28">
      <c r="A28" s="12">
        <v>27.0</v>
      </c>
      <c r="B28" s="59" t="s">
        <v>1004</v>
      </c>
      <c r="C28" s="59">
        <v>53095.0</v>
      </c>
      <c r="D28" s="58" t="s">
        <v>810</v>
      </c>
      <c r="E28" s="67"/>
      <c r="F28" s="25"/>
      <c r="G28" s="16"/>
      <c r="H28" s="17"/>
      <c r="I28" s="18">
        <v>400.0</v>
      </c>
      <c r="J28" s="68"/>
      <c r="K28" s="20"/>
      <c r="L28" s="60">
        <v>400.0</v>
      </c>
      <c r="M28" s="22">
        <f t="shared" si="1"/>
        <v>0</v>
      </c>
    </row>
    <row r="29">
      <c r="A29" s="12">
        <v>28.0</v>
      </c>
      <c r="B29" s="59" t="s">
        <v>1005</v>
      </c>
      <c r="C29" s="59">
        <v>57237.0</v>
      </c>
      <c r="D29" s="58" t="s">
        <v>1006</v>
      </c>
      <c r="E29" s="67"/>
      <c r="F29" s="25"/>
      <c r="G29" s="16"/>
      <c r="H29" s="17">
        <v>12500.0</v>
      </c>
      <c r="I29" s="18"/>
      <c r="J29" s="68"/>
      <c r="K29" s="20"/>
      <c r="L29" s="60">
        <v>12500.0</v>
      </c>
      <c r="M29" s="22">
        <f t="shared" si="1"/>
        <v>0</v>
      </c>
    </row>
    <row r="30">
      <c r="A30" s="12">
        <v>29.0</v>
      </c>
      <c r="B30" s="59" t="s">
        <v>1007</v>
      </c>
      <c r="C30" s="59">
        <v>53526.0</v>
      </c>
      <c r="D30" s="58" t="s">
        <v>1008</v>
      </c>
      <c r="E30" s="67"/>
      <c r="F30" s="25"/>
      <c r="G30" s="16"/>
      <c r="H30" s="17">
        <v>3750.0</v>
      </c>
      <c r="I30" s="18"/>
      <c r="J30" s="68"/>
      <c r="K30" s="20"/>
      <c r="L30" s="60">
        <v>3750.0</v>
      </c>
      <c r="M30" s="22">
        <f t="shared" si="1"/>
        <v>0</v>
      </c>
    </row>
    <row r="31">
      <c r="A31" s="12">
        <v>30.0</v>
      </c>
      <c r="B31" s="59" t="s">
        <v>1009</v>
      </c>
      <c r="C31" s="59">
        <v>50979.0</v>
      </c>
      <c r="D31" s="58" t="s">
        <v>702</v>
      </c>
      <c r="E31" s="67"/>
      <c r="F31" s="25"/>
      <c r="G31" s="16"/>
      <c r="H31" s="17">
        <v>818.0</v>
      </c>
      <c r="I31" s="18"/>
      <c r="J31" s="68"/>
      <c r="K31" s="20"/>
      <c r="L31" s="60">
        <v>818.0</v>
      </c>
      <c r="M31" s="22">
        <f t="shared" si="1"/>
        <v>0</v>
      </c>
    </row>
    <row r="32">
      <c r="A32" s="12">
        <v>31.0</v>
      </c>
      <c r="B32" s="59" t="s">
        <v>1010</v>
      </c>
      <c r="C32" s="59">
        <v>10701.0</v>
      </c>
      <c r="D32" s="58" t="s">
        <v>1011</v>
      </c>
      <c r="E32" s="67"/>
      <c r="F32" s="25"/>
      <c r="G32" s="16"/>
      <c r="H32" s="17"/>
      <c r="I32" s="18"/>
      <c r="J32" s="70">
        <v>3600.0</v>
      </c>
      <c r="K32" s="20"/>
      <c r="L32" s="60">
        <v>3600.0</v>
      </c>
      <c r="M32" s="22">
        <f t="shared" si="1"/>
        <v>0</v>
      </c>
    </row>
    <row r="33">
      <c r="A33" s="12">
        <v>32.0</v>
      </c>
      <c r="B33" s="59" t="s">
        <v>1012</v>
      </c>
      <c r="C33" s="59">
        <v>49655.0</v>
      </c>
      <c r="D33" s="58" t="s">
        <v>134</v>
      </c>
      <c r="E33" s="67"/>
      <c r="F33" s="25"/>
      <c r="G33" s="16"/>
      <c r="H33" s="17"/>
      <c r="I33" s="18">
        <v>1950.0</v>
      </c>
      <c r="J33" s="68"/>
      <c r="K33" s="20"/>
      <c r="L33" s="60">
        <v>1950.0</v>
      </c>
      <c r="M33" s="22">
        <f t="shared" si="1"/>
        <v>0</v>
      </c>
    </row>
    <row r="34">
      <c r="A34" s="12">
        <v>33.0</v>
      </c>
      <c r="B34" s="59" t="s">
        <v>1013</v>
      </c>
      <c r="C34" s="59">
        <v>48052.0</v>
      </c>
      <c r="D34" s="58" t="s">
        <v>309</v>
      </c>
      <c r="E34" s="67"/>
      <c r="F34" s="25"/>
      <c r="G34" s="16"/>
      <c r="H34" s="17">
        <v>1250.0</v>
      </c>
      <c r="I34" s="18"/>
      <c r="J34" s="68"/>
      <c r="K34" s="20"/>
      <c r="L34" s="60">
        <v>1250.0</v>
      </c>
      <c r="M34" s="22">
        <f t="shared" si="1"/>
        <v>0</v>
      </c>
    </row>
    <row r="35">
      <c r="A35" s="12">
        <v>34.0</v>
      </c>
      <c r="B35" s="59" t="s">
        <v>1014</v>
      </c>
      <c r="C35" s="59">
        <v>48657.0</v>
      </c>
      <c r="D35" s="58" t="s">
        <v>236</v>
      </c>
      <c r="E35" s="67"/>
      <c r="F35" s="25"/>
      <c r="G35" s="16"/>
      <c r="H35" s="17">
        <v>2500.0</v>
      </c>
      <c r="I35" s="18"/>
      <c r="J35" s="68"/>
      <c r="K35" s="20"/>
      <c r="L35" s="60">
        <v>2500.0</v>
      </c>
      <c r="M35" s="22">
        <f t="shared" si="1"/>
        <v>0</v>
      </c>
    </row>
    <row r="36">
      <c r="A36" s="12">
        <v>35.0</v>
      </c>
      <c r="B36" s="59" t="s">
        <v>1015</v>
      </c>
      <c r="C36" s="59">
        <v>47787.0</v>
      </c>
      <c r="D36" s="58" t="s">
        <v>161</v>
      </c>
      <c r="E36" s="67"/>
      <c r="F36" s="25"/>
      <c r="G36" s="16"/>
      <c r="H36" s="17">
        <v>2500.0</v>
      </c>
      <c r="I36" s="24"/>
      <c r="J36" s="70"/>
      <c r="K36" s="20"/>
      <c r="L36" s="60">
        <v>2500.0</v>
      </c>
      <c r="M36" s="22">
        <f t="shared" si="1"/>
        <v>0</v>
      </c>
    </row>
    <row r="37">
      <c r="A37" s="12">
        <v>36.0</v>
      </c>
      <c r="B37" s="59" t="s">
        <v>1016</v>
      </c>
      <c r="C37" s="59">
        <v>50595.0</v>
      </c>
      <c r="D37" s="58" t="s">
        <v>305</v>
      </c>
      <c r="E37" s="67"/>
      <c r="F37" s="25"/>
      <c r="G37" s="16"/>
      <c r="H37" s="17">
        <v>15627.0</v>
      </c>
      <c r="I37" s="18"/>
      <c r="J37" s="68"/>
      <c r="K37" s="20"/>
      <c r="L37" s="60">
        <v>15627.0</v>
      </c>
      <c r="M37" s="22">
        <f t="shared" si="1"/>
        <v>0</v>
      </c>
    </row>
    <row r="38">
      <c r="A38" s="12">
        <v>37.0</v>
      </c>
      <c r="B38" s="59" t="s">
        <v>1017</v>
      </c>
      <c r="C38" s="59">
        <v>56993.0</v>
      </c>
      <c r="D38" s="58" t="s">
        <v>1018</v>
      </c>
      <c r="E38" s="67"/>
      <c r="F38" s="25"/>
      <c r="G38" s="16"/>
      <c r="H38" s="17"/>
      <c r="I38" s="18">
        <v>300.0</v>
      </c>
      <c r="J38" s="68"/>
      <c r="K38" s="20"/>
      <c r="L38" s="60">
        <v>300.0</v>
      </c>
      <c r="M38" s="22">
        <f t="shared" si="1"/>
        <v>0</v>
      </c>
    </row>
    <row r="39">
      <c r="A39" s="12">
        <v>38.0</v>
      </c>
      <c r="B39" s="59" t="s">
        <v>1019</v>
      </c>
      <c r="C39" s="59">
        <v>55971.0</v>
      </c>
      <c r="D39" s="58" t="s">
        <v>1020</v>
      </c>
      <c r="E39" s="67"/>
      <c r="F39" s="25"/>
      <c r="G39" s="16"/>
      <c r="H39" s="17">
        <v>10000.0</v>
      </c>
      <c r="I39" s="18"/>
      <c r="J39" s="68"/>
      <c r="K39" s="20"/>
      <c r="L39" s="60">
        <v>10000.0</v>
      </c>
      <c r="M39" s="22">
        <f t="shared" si="1"/>
        <v>0</v>
      </c>
    </row>
    <row r="40">
      <c r="A40" s="12">
        <v>39.0</v>
      </c>
      <c r="B40" s="59" t="s">
        <v>1021</v>
      </c>
      <c r="C40" s="59">
        <v>22727.0</v>
      </c>
      <c r="D40" s="58" t="s">
        <v>109</v>
      </c>
      <c r="E40" s="67"/>
      <c r="F40" s="25"/>
      <c r="G40" s="16"/>
      <c r="H40" s="17">
        <v>20000.0</v>
      </c>
      <c r="I40" s="18"/>
      <c r="J40" s="68"/>
      <c r="K40" s="20"/>
      <c r="L40" s="60">
        <v>20000.0</v>
      </c>
      <c r="M40" s="22">
        <f t="shared" si="1"/>
        <v>0</v>
      </c>
    </row>
    <row r="41">
      <c r="A41" s="12">
        <v>40.0</v>
      </c>
      <c r="B41" s="59" t="s">
        <v>1022</v>
      </c>
      <c r="C41" s="59">
        <v>46562.0</v>
      </c>
      <c r="D41" s="58" t="s">
        <v>708</v>
      </c>
      <c r="E41" s="67"/>
      <c r="F41" s="25"/>
      <c r="G41" s="16"/>
      <c r="H41" s="17">
        <v>5000.0</v>
      </c>
      <c r="I41" s="24"/>
      <c r="J41" s="68"/>
      <c r="K41" s="20"/>
      <c r="L41" s="60">
        <v>5000.0</v>
      </c>
      <c r="M41" s="22">
        <f t="shared" si="1"/>
        <v>0</v>
      </c>
    </row>
    <row r="42">
      <c r="A42" s="12">
        <v>41.0</v>
      </c>
      <c r="B42" s="59" t="s">
        <v>1023</v>
      </c>
      <c r="C42" s="59">
        <v>48136.0</v>
      </c>
      <c r="D42" s="58" t="s">
        <v>1024</v>
      </c>
      <c r="E42" s="67"/>
      <c r="F42" s="25"/>
      <c r="G42" s="16"/>
      <c r="H42" s="17">
        <v>5000.0</v>
      </c>
      <c r="J42" s="68"/>
      <c r="K42" s="20"/>
      <c r="L42" s="60">
        <v>5000.0</v>
      </c>
      <c r="M42" s="22">
        <f t="shared" si="1"/>
        <v>0</v>
      </c>
    </row>
    <row r="43">
      <c r="A43" s="12">
        <v>42.0</v>
      </c>
      <c r="B43" s="59" t="s">
        <v>1025</v>
      </c>
      <c r="C43" s="59">
        <v>56387.0</v>
      </c>
      <c r="D43" s="58" t="s">
        <v>185</v>
      </c>
      <c r="E43" s="67"/>
      <c r="F43" s="25"/>
      <c r="G43" s="16"/>
      <c r="H43" s="17"/>
      <c r="I43" s="18">
        <v>50000.0</v>
      </c>
      <c r="J43" s="68"/>
      <c r="K43" s="20"/>
      <c r="L43" s="60">
        <v>50000.0</v>
      </c>
      <c r="M43" s="22">
        <f t="shared" si="1"/>
        <v>0</v>
      </c>
    </row>
    <row r="44">
      <c r="A44" s="12">
        <v>43.0</v>
      </c>
      <c r="B44" s="59" t="s">
        <v>1026</v>
      </c>
      <c r="C44" s="59">
        <v>57462.0</v>
      </c>
      <c r="D44" s="58" t="s">
        <v>789</v>
      </c>
      <c r="E44" s="67"/>
      <c r="F44" s="25"/>
      <c r="G44" s="16"/>
      <c r="H44" s="17">
        <v>27000.0</v>
      </c>
      <c r="I44" s="18"/>
      <c r="J44" s="68"/>
      <c r="K44" s="20"/>
      <c r="L44" s="60">
        <v>27000.0</v>
      </c>
      <c r="M44" s="22">
        <f t="shared" si="1"/>
        <v>0</v>
      </c>
    </row>
    <row r="45">
      <c r="A45" s="12">
        <v>44.0</v>
      </c>
      <c r="B45" s="59" t="s">
        <v>1027</v>
      </c>
      <c r="C45" s="59">
        <v>36769.0</v>
      </c>
      <c r="D45" s="58" t="s">
        <v>138</v>
      </c>
      <c r="E45" s="67"/>
      <c r="F45" s="25"/>
      <c r="G45" s="16"/>
      <c r="H45" s="17">
        <v>2850.0</v>
      </c>
      <c r="I45" s="18"/>
      <c r="J45" s="68"/>
      <c r="K45" s="20"/>
      <c r="L45" s="60">
        <v>2850.0</v>
      </c>
      <c r="M45" s="22">
        <f t="shared" si="1"/>
        <v>0</v>
      </c>
    </row>
    <row r="46">
      <c r="A46" s="12">
        <v>45.0</v>
      </c>
      <c r="B46" s="59" t="s">
        <v>1028</v>
      </c>
      <c r="C46" s="59">
        <v>57991.0</v>
      </c>
      <c r="D46" s="58" t="s">
        <v>1029</v>
      </c>
      <c r="E46" s="69">
        <v>3600.0</v>
      </c>
      <c r="F46" s="25"/>
      <c r="G46" s="16"/>
      <c r="H46" s="17"/>
      <c r="I46" s="18"/>
      <c r="J46" s="68"/>
      <c r="K46" s="20"/>
      <c r="L46" s="60">
        <v>3600.0</v>
      </c>
      <c r="M46" s="22">
        <f t="shared" si="1"/>
        <v>0</v>
      </c>
    </row>
    <row r="47">
      <c r="A47" s="12">
        <v>46.0</v>
      </c>
      <c r="B47" s="59" t="s">
        <v>1030</v>
      </c>
      <c r="C47" s="59">
        <v>26831.0</v>
      </c>
      <c r="D47" s="58" t="s">
        <v>191</v>
      </c>
      <c r="E47" s="69"/>
      <c r="F47" s="25"/>
      <c r="G47" s="16"/>
      <c r="H47" s="17">
        <v>10000.0</v>
      </c>
      <c r="I47" s="18"/>
      <c r="J47" s="68"/>
      <c r="K47" s="20"/>
      <c r="L47" s="60">
        <v>10000.0</v>
      </c>
      <c r="M47" s="22">
        <f t="shared" si="1"/>
        <v>0</v>
      </c>
    </row>
    <row r="48">
      <c r="A48" s="12">
        <v>47.0</v>
      </c>
      <c r="B48" s="59" t="s">
        <v>1031</v>
      </c>
      <c r="C48" s="59">
        <v>29041.0</v>
      </c>
      <c r="D48" s="58" t="s">
        <v>1032</v>
      </c>
      <c r="E48" s="67"/>
      <c r="F48" s="25"/>
      <c r="G48" s="16"/>
      <c r="H48" s="17">
        <v>3600.0</v>
      </c>
      <c r="I48" s="24"/>
      <c r="J48" s="68"/>
      <c r="K48" s="20"/>
      <c r="L48" s="60">
        <v>3600.0</v>
      </c>
      <c r="M48" s="22">
        <f t="shared" si="1"/>
        <v>0</v>
      </c>
    </row>
    <row r="49">
      <c r="A49" s="12">
        <v>48.0</v>
      </c>
      <c r="B49" s="59" t="s">
        <v>1033</v>
      </c>
      <c r="C49" s="59">
        <v>57964.0</v>
      </c>
      <c r="D49" s="58" t="s">
        <v>1034</v>
      </c>
      <c r="E49" s="67"/>
      <c r="F49" s="25"/>
      <c r="G49" s="16"/>
      <c r="H49" s="17">
        <v>3600.0</v>
      </c>
      <c r="I49" s="18"/>
      <c r="J49" s="68"/>
      <c r="K49" s="20"/>
      <c r="L49" s="60">
        <v>3600.0</v>
      </c>
      <c r="M49" s="22">
        <f t="shared" si="1"/>
        <v>0</v>
      </c>
    </row>
    <row r="50">
      <c r="A50" s="12">
        <v>49.0</v>
      </c>
      <c r="B50" s="59" t="s">
        <v>1035</v>
      </c>
      <c r="C50" s="59">
        <v>45174.0</v>
      </c>
      <c r="D50" s="58" t="s">
        <v>1036</v>
      </c>
      <c r="E50" s="69">
        <v>5050.0</v>
      </c>
      <c r="F50" s="25"/>
      <c r="G50" s="16"/>
      <c r="H50" s="17"/>
      <c r="I50" s="18"/>
      <c r="J50" s="68"/>
      <c r="K50" s="20"/>
      <c r="L50" s="60">
        <v>5050.0</v>
      </c>
      <c r="M50" s="22">
        <f t="shared" si="1"/>
        <v>0</v>
      </c>
    </row>
    <row r="51">
      <c r="A51" s="12">
        <v>50.0</v>
      </c>
      <c r="B51" s="59" t="s">
        <v>1037</v>
      </c>
      <c r="C51" s="59">
        <v>52647.0</v>
      </c>
      <c r="D51" s="58" t="s">
        <v>468</v>
      </c>
      <c r="E51" s="67"/>
      <c r="F51" s="25"/>
      <c r="G51" s="16"/>
      <c r="H51" s="17">
        <v>2500.0</v>
      </c>
      <c r="I51" s="18"/>
      <c r="J51" s="68"/>
      <c r="K51" s="20"/>
      <c r="L51" s="60">
        <v>2500.0</v>
      </c>
      <c r="M51" s="22">
        <f t="shared" si="1"/>
        <v>0</v>
      </c>
    </row>
    <row r="52">
      <c r="A52" s="12">
        <v>51.0</v>
      </c>
      <c r="B52" s="59" t="s">
        <v>1038</v>
      </c>
      <c r="C52" s="59">
        <v>33065.0</v>
      </c>
      <c r="D52" s="58" t="s">
        <v>660</v>
      </c>
      <c r="E52" s="67"/>
      <c r="F52" s="25"/>
      <c r="G52" s="16"/>
      <c r="H52" s="17">
        <v>2850.0</v>
      </c>
      <c r="I52" s="18"/>
      <c r="J52" s="70"/>
      <c r="K52" s="20"/>
      <c r="L52" s="60">
        <v>2850.0</v>
      </c>
      <c r="M52" s="22">
        <f t="shared" si="1"/>
        <v>0</v>
      </c>
    </row>
    <row r="53">
      <c r="A53" s="12">
        <v>52.0</v>
      </c>
      <c r="B53" s="59" t="s">
        <v>1039</v>
      </c>
      <c r="C53" s="59">
        <v>10250.0</v>
      </c>
      <c r="D53" s="58" t="s">
        <v>115</v>
      </c>
      <c r="E53" s="69"/>
      <c r="F53" s="25"/>
      <c r="G53" s="16"/>
      <c r="H53" s="17"/>
      <c r="I53" s="18">
        <v>2500.0</v>
      </c>
      <c r="J53" s="68"/>
      <c r="K53" s="20"/>
      <c r="L53" s="60">
        <v>2500.0</v>
      </c>
      <c r="M53" s="22">
        <f t="shared" si="1"/>
        <v>0</v>
      </c>
    </row>
    <row r="54">
      <c r="A54" s="12">
        <v>53.0</v>
      </c>
      <c r="B54" s="59" t="s">
        <v>1040</v>
      </c>
      <c r="C54" s="59">
        <v>55215.0</v>
      </c>
      <c r="D54" s="58" t="s">
        <v>238</v>
      </c>
      <c r="E54" s="67"/>
      <c r="F54" s="25"/>
      <c r="G54" s="16"/>
      <c r="H54" s="17">
        <v>730.0</v>
      </c>
      <c r="I54" s="18"/>
      <c r="J54" s="68"/>
      <c r="K54" s="20"/>
      <c r="L54" s="60">
        <v>730.0</v>
      </c>
      <c r="M54" s="22">
        <f t="shared" si="1"/>
        <v>0</v>
      </c>
    </row>
    <row r="55">
      <c r="A55" s="12">
        <v>54.0</v>
      </c>
      <c r="B55" s="59" t="s">
        <v>1041</v>
      </c>
      <c r="C55" s="59">
        <v>48973.0</v>
      </c>
      <c r="D55" s="58" t="s">
        <v>1042</v>
      </c>
      <c r="E55" s="67"/>
      <c r="F55" s="25"/>
      <c r="G55" s="16"/>
      <c r="H55" s="17">
        <v>500.0</v>
      </c>
      <c r="I55" s="18"/>
      <c r="J55" s="68"/>
      <c r="K55" s="20"/>
      <c r="L55" s="60">
        <v>500.0</v>
      </c>
      <c r="M55" s="22">
        <f t="shared" si="1"/>
        <v>0</v>
      </c>
    </row>
    <row r="56">
      <c r="A56" s="12">
        <v>55.0</v>
      </c>
      <c r="B56" s="59" t="s">
        <v>1043</v>
      </c>
      <c r="C56" s="59">
        <v>39317.0</v>
      </c>
      <c r="D56" s="58" t="s">
        <v>318</v>
      </c>
      <c r="E56" s="67"/>
      <c r="F56" s="25"/>
      <c r="G56" s="16"/>
      <c r="H56" s="17">
        <v>5000.0</v>
      </c>
      <c r="I56" s="18"/>
      <c r="J56" s="68"/>
      <c r="K56" s="20"/>
      <c r="L56" s="60">
        <v>5000.0</v>
      </c>
      <c r="M56" s="22">
        <f t="shared" si="1"/>
        <v>0</v>
      </c>
    </row>
    <row r="57">
      <c r="A57" s="12">
        <v>56.0</v>
      </c>
      <c r="B57" s="59" t="s">
        <v>1044</v>
      </c>
      <c r="C57" s="59">
        <v>40494.0</v>
      </c>
      <c r="D57" s="58" t="s">
        <v>1045</v>
      </c>
      <c r="E57" s="69">
        <v>2700.0</v>
      </c>
      <c r="F57" s="25"/>
      <c r="G57" s="16"/>
      <c r="H57" s="17"/>
      <c r="I57" s="18"/>
      <c r="J57" s="68"/>
      <c r="K57" s="20"/>
      <c r="L57" s="60">
        <v>2700.0</v>
      </c>
      <c r="M57" s="22">
        <f t="shared" si="1"/>
        <v>0</v>
      </c>
    </row>
    <row r="58">
      <c r="A58" s="12">
        <v>57.0</v>
      </c>
      <c r="B58" s="59" t="s">
        <v>1046</v>
      </c>
      <c r="C58" s="59">
        <v>40433.0</v>
      </c>
      <c r="D58" s="58" t="s">
        <v>316</v>
      </c>
      <c r="E58" s="69">
        <v>300.0</v>
      </c>
      <c r="F58" s="25"/>
      <c r="G58" s="16"/>
      <c r="H58" s="17"/>
      <c r="I58" s="18"/>
      <c r="J58" s="68"/>
      <c r="K58" s="20"/>
      <c r="L58" s="60">
        <v>300.0</v>
      </c>
      <c r="M58" s="22">
        <f t="shared" si="1"/>
        <v>0</v>
      </c>
    </row>
    <row r="59">
      <c r="A59" s="12">
        <v>58.0</v>
      </c>
      <c r="B59" s="59" t="s">
        <v>1047</v>
      </c>
      <c r="C59" s="59">
        <v>50593.0</v>
      </c>
      <c r="D59" s="58" t="s">
        <v>288</v>
      </c>
      <c r="E59" s="67"/>
      <c r="F59" s="25"/>
      <c r="G59" s="16"/>
      <c r="H59" s="17">
        <v>4350.0</v>
      </c>
      <c r="I59" s="18"/>
      <c r="J59" s="68"/>
      <c r="K59" s="20"/>
      <c r="L59" s="60">
        <v>4350.0</v>
      </c>
      <c r="M59" s="22">
        <f t="shared" si="1"/>
        <v>0</v>
      </c>
    </row>
    <row r="60">
      <c r="A60" s="12">
        <v>59.0</v>
      </c>
      <c r="B60" s="59" t="s">
        <v>1048</v>
      </c>
      <c r="C60" s="59">
        <v>50593.0</v>
      </c>
      <c r="D60" s="58" t="s">
        <v>288</v>
      </c>
      <c r="E60" s="67"/>
      <c r="F60" s="25"/>
      <c r="G60" s="16"/>
      <c r="H60" s="17">
        <v>453.0</v>
      </c>
      <c r="I60" s="18"/>
      <c r="J60" s="68"/>
      <c r="K60" s="20"/>
      <c r="L60" s="60">
        <v>453.0</v>
      </c>
      <c r="M60" s="22">
        <f t="shared" si="1"/>
        <v>0</v>
      </c>
    </row>
    <row r="61">
      <c r="A61" s="12">
        <v>60.0</v>
      </c>
      <c r="B61" s="59" t="s">
        <v>1049</v>
      </c>
      <c r="C61" s="59">
        <v>56143.0</v>
      </c>
      <c r="D61" s="58" t="s">
        <v>1050</v>
      </c>
      <c r="E61" s="67"/>
      <c r="F61" s="25"/>
      <c r="G61" s="16"/>
      <c r="H61" s="17">
        <v>1650.0</v>
      </c>
      <c r="I61" s="18"/>
      <c r="J61" s="68"/>
      <c r="K61" s="20"/>
      <c r="L61" s="60">
        <v>1650.0</v>
      </c>
      <c r="M61" s="22">
        <f t="shared" si="1"/>
        <v>0</v>
      </c>
    </row>
    <row r="62">
      <c r="A62" s="12">
        <v>61.0</v>
      </c>
      <c r="B62" s="59" t="s">
        <v>1051</v>
      </c>
      <c r="C62" s="59">
        <v>30895.0</v>
      </c>
      <c r="D62" s="58" t="s">
        <v>99</v>
      </c>
      <c r="E62" s="67"/>
      <c r="F62" s="25"/>
      <c r="G62" s="28"/>
      <c r="H62" s="17">
        <v>3700.0</v>
      </c>
      <c r="I62" s="18"/>
      <c r="J62" s="68"/>
      <c r="K62" s="20"/>
      <c r="L62" s="60">
        <v>3700.0</v>
      </c>
      <c r="M62" s="22">
        <f t="shared" si="1"/>
        <v>0</v>
      </c>
    </row>
    <row r="63">
      <c r="A63" s="12">
        <v>62.0</v>
      </c>
      <c r="B63" s="59" t="s">
        <v>1052</v>
      </c>
      <c r="C63" s="59">
        <v>58098.0</v>
      </c>
      <c r="D63" s="58" t="s">
        <v>1053</v>
      </c>
      <c r="E63" s="67"/>
      <c r="F63" s="25"/>
      <c r="G63" s="16"/>
      <c r="H63" s="17">
        <v>27000.0</v>
      </c>
      <c r="I63" s="18"/>
      <c r="J63" s="68"/>
      <c r="K63" s="20"/>
      <c r="L63" s="60">
        <v>27000.0</v>
      </c>
      <c r="M63" s="22">
        <f t="shared" si="1"/>
        <v>0</v>
      </c>
    </row>
    <row r="64">
      <c r="A64" s="12">
        <v>63.0</v>
      </c>
      <c r="B64" s="59" t="s">
        <v>1054</v>
      </c>
      <c r="C64" s="59">
        <v>53455.0</v>
      </c>
      <c r="D64" s="58" t="s">
        <v>635</v>
      </c>
      <c r="E64" s="67"/>
      <c r="F64" s="25"/>
      <c r="G64" s="16"/>
      <c r="H64" s="17">
        <v>3750.0</v>
      </c>
      <c r="I64" s="18"/>
      <c r="J64" s="68"/>
      <c r="K64" s="20"/>
      <c r="L64" s="60">
        <v>3750.0</v>
      </c>
      <c r="M64" s="22">
        <f t="shared" si="1"/>
        <v>0</v>
      </c>
    </row>
    <row r="65">
      <c r="A65" s="12">
        <v>64.0</v>
      </c>
      <c r="B65" s="59" t="s">
        <v>1055</v>
      </c>
      <c r="C65" s="59">
        <v>10001.0</v>
      </c>
      <c r="D65" s="58" t="s">
        <v>46</v>
      </c>
      <c r="E65" s="67"/>
      <c r="F65" s="25"/>
      <c r="G65" s="16"/>
      <c r="H65" s="17">
        <v>5150.0</v>
      </c>
      <c r="I65" s="18"/>
      <c r="J65" s="68"/>
      <c r="K65" s="20"/>
      <c r="L65" s="60">
        <v>5150.0</v>
      </c>
      <c r="M65" s="22">
        <f t="shared" si="1"/>
        <v>0</v>
      </c>
    </row>
    <row r="66">
      <c r="A66" s="12">
        <v>65.0</v>
      </c>
      <c r="B66" s="59" t="s">
        <v>1056</v>
      </c>
      <c r="C66" s="59">
        <v>52727.0</v>
      </c>
      <c r="D66" s="58" t="s">
        <v>1057</v>
      </c>
      <c r="E66" s="67"/>
      <c r="F66" s="25"/>
      <c r="G66" s="28"/>
      <c r="H66" s="17">
        <v>5150.0</v>
      </c>
      <c r="I66" s="18"/>
      <c r="J66" s="68"/>
      <c r="K66" s="20"/>
      <c r="L66" s="60">
        <v>5150.0</v>
      </c>
      <c r="M66" s="22">
        <f t="shared" si="1"/>
        <v>0</v>
      </c>
    </row>
    <row r="67">
      <c r="A67" s="12">
        <v>66.0</v>
      </c>
      <c r="B67" s="59" t="s">
        <v>1058</v>
      </c>
      <c r="C67" s="59">
        <v>58093.0</v>
      </c>
      <c r="D67" s="58" t="s">
        <v>1059</v>
      </c>
      <c r="E67" s="67"/>
      <c r="F67" s="25"/>
      <c r="G67" s="16"/>
      <c r="H67" s="17">
        <v>3600.0</v>
      </c>
      <c r="I67" s="18"/>
      <c r="J67" s="68"/>
      <c r="K67" s="20"/>
      <c r="L67" s="60">
        <v>3600.0</v>
      </c>
      <c r="M67" s="22">
        <f t="shared" si="1"/>
        <v>0</v>
      </c>
    </row>
    <row r="68">
      <c r="A68" s="12">
        <v>67.0</v>
      </c>
      <c r="B68" s="59" t="s">
        <v>1060</v>
      </c>
      <c r="C68" s="59">
        <v>58101.0</v>
      </c>
      <c r="D68" s="58" t="s">
        <v>1061</v>
      </c>
      <c r="E68" s="67"/>
      <c r="F68" s="25"/>
      <c r="G68" s="16"/>
      <c r="H68" s="17">
        <v>3600.0</v>
      </c>
      <c r="I68" s="18"/>
      <c r="J68" s="70"/>
      <c r="K68" s="20"/>
      <c r="L68" s="60">
        <v>3600.0</v>
      </c>
      <c r="M68" s="22">
        <f t="shared" si="1"/>
        <v>0</v>
      </c>
    </row>
    <row r="69">
      <c r="A69" s="12">
        <v>68.0</v>
      </c>
      <c r="B69" s="59" t="s">
        <v>1062</v>
      </c>
      <c r="C69" s="59">
        <v>45227.0</v>
      </c>
      <c r="D69" s="58" t="s">
        <v>233</v>
      </c>
      <c r="E69" s="67"/>
      <c r="F69" s="25"/>
      <c r="G69" s="16"/>
      <c r="H69" s="17">
        <v>350.0</v>
      </c>
      <c r="I69" s="18"/>
      <c r="J69" s="68"/>
      <c r="K69" s="20"/>
      <c r="L69" s="60">
        <v>350.0</v>
      </c>
      <c r="M69" s="22">
        <f t="shared" si="1"/>
        <v>0</v>
      </c>
    </row>
    <row r="70">
      <c r="A70" s="12">
        <v>69.0</v>
      </c>
      <c r="B70" s="59" t="s">
        <v>1063</v>
      </c>
      <c r="C70" s="59">
        <v>57320.0</v>
      </c>
      <c r="D70" s="58" t="s">
        <v>1064</v>
      </c>
      <c r="E70" s="69">
        <v>3600.0</v>
      </c>
      <c r="F70" s="25"/>
      <c r="G70" s="16"/>
      <c r="H70" s="17"/>
      <c r="I70" s="18"/>
      <c r="J70" s="68"/>
      <c r="K70" s="20"/>
      <c r="L70" s="60">
        <v>3600.0</v>
      </c>
      <c r="M70" s="22">
        <f t="shared" si="1"/>
        <v>0</v>
      </c>
    </row>
    <row r="71">
      <c r="A71" s="12">
        <v>70.0</v>
      </c>
      <c r="B71" s="59" t="s">
        <v>1065</v>
      </c>
      <c r="C71" s="59">
        <v>55409.0</v>
      </c>
      <c r="D71" s="58" t="s">
        <v>320</v>
      </c>
      <c r="E71" s="69">
        <v>2500.0</v>
      </c>
      <c r="F71" s="25"/>
      <c r="G71" s="28"/>
      <c r="H71" s="17"/>
      <c r="I71" s="18"/>
      <c r="J71" s="68"/>
      <c r="K71" s="20"/>
      <c r="L71" s="60">
        <v>2500.0</v>
      </c>
      <c r="M71" s="22">
        <f t="shared" si="1"/>
        <v>0</v>
      </c>
    </row>
    <row r="72">
      <c r="A72" s="12">
        <v>71.0</v>
      </c>
      <c r="B72" s="59" t="s">
        <v>1066</v>
      </c>
      <c r="C72" s="59">
        <v>57536.0</v>
      </c>
      <c r="D72" s="58" t="s">
        <v>1067</v>
      </c>
      <c r="E72" s="67"/>
      <c r="F72" s="25"/>
      <c r="G72" s="28"/>
      <c r="H72" s="17"/>
      <c r="I72" s="18">
        <v>350.0</v>
      </c>
      <c r="J72" s="68"/>
      <c r="K72" s="20"/>
      <c r="L72" s="60">
        <v>350.0</v>
      </c>
      <c r="M72" s="22">
        <f t="shared" si="1"/>
        <v>0</v>
      </c>
    </row>
    <row r="73">
      <c r="A73" s="12">
        <v>72.0</v>
      </c>
      <c r="B73" s="59" t="s">
        <v>1068</v>
      </c>
      <c r="C73" s="59">
        <v>51166.0</v>
      </c>
      <c r="D73" s="58" t="s">
        <v>168</v>
      </c>
      <c r="E73" s="67"/>
      <c r="F73" s="25"/>
      <c r="G73" s="28">
        <v>5000.0</v>
      </c>
      <c r="H73" s="17"/>
      <c r="I73" s="18"/>
      <c r="J73" s="68"/>
      <c r="K73" s="20"/>
      <c r="L73" s="60">
        <v>5000.0</v>
      </c>
      <c r="M73" s="22">
        <f t="shared" si="1"/>
        <v>0</v>
      </c>
    </row>
    <row r="74">
      <c r="A74" s="12">
        <v>73.0</v>
      </c>
      <c r="B74" s="59" t="s">
        <v>1069</v>
      </c>
      <c r="C74" s="59">
        <v>49953.0</v>
      </c>
      <c r="D74" s="58" t="s">
        <v>62</v>
      </c>
      <c r="E74" s="67"/>
      <c r="F74" s="25"/>
      <c r="G74" s="28">
        <v>16000.0</v>
      </c>
      <c r="H74" s="17"/>
      <c r="I74" s="18"/>
      <c r="J74" s="68"/>
      <c r="K74" s="20"/>
      <c r="L74" s="60">
        <v>16000.0</v>
      </c>
      <c r="M74" s="22">
        <f t="shared" si="1"/>
        <v>0</v>
      </c>
    </row>
    <row r="75">
      <c r="A75" s="12">
        <v>74.0</v>
      </c>
      <c r="B75" s="59" t="s">
        <v>1070</v>
      </c>
      <c r="C75" s="59">
        <v>50222.0</v>
      </c>
      <c r="D75" s="58" t="s">
        <v>504</v>
      </c>
      <c r="E75" s="67"/>
      <c r="F75" s="25"/>
      <c r="G75" s="28">
        <v>9500.0</v>
      </c>
      <c r="H75" s="17"/>
      <c r="I75" s="18"/>
      <c r="J75" s="68"/>
      <c r="K75" s="20"/>
      <c r="L75" s="60">
        <v>9500.0</v>
      </c>
      <c r="M75" s="22">
        <f t="shared" si="1"/>
        <v>0</v>
      </c>
    </row>
    <row r="76">
      <c r="A76" s="12">
        <v>75.0</v>
      </c>
      <c r="B76" s="59" t="s">
        <v>1071</v>
      </c>
      <c r="C76" s="59">
        <v>10037.0</v>
      </c>
      <c r="D76" s="58" t="s">
        <v>1072</v>
      </c>
      <c r="E76" s="67"/>
      <c r="F76" s="25"/>
      <c r="G76" s="28">
        <v>8000.0</v>
      </c>
      <c r="H76" s="17"/>
      <c r="I76" s="18"/>
      <c r="J76" s="68"/>
      <c r="K76" s="20"/>
      <c r="L76" s="60">
        <v>8000.0</v>
      </c>
      <c r="M76" s="22">
        <f t="shared" si="1"/>
        <v>0</v>
      </c>
    </row>
    <row r="77">
      <c r="A77" s="12">
        <v>76.0</v>
      </c>
      <c r="B77" s="59" t="s">
        <v>1073</v>
      </c>
      <c r="C77" s="59">
        <v>32886.0</v>
      </c>
      <c r="D77" s="58" t="s">
        <v>1074</v>
      </c>
      <c r="E77" s="69"/>
      <c r="F77" s="25"/>
      <c r="G77" s="28">
        <v>4990.0</v>
      </c>
      <c r="H77" s="17"/>
      <c r="I77" s="24"/>
      <c r="J77" s="70"/>
      <c r="K77" s="20"/>
      <c r="L77" s="60">
        <v>4990.0</v>
      </c>
      <c r="M77" s="22">
        <f t="shared" si="1"/>
        <v>0</v>
      </c>
    </row>
    <row r="78">
      <c r="A78" s="12">
        <v>77.0</v>
      </c>
      <c r="B78" s="59" t="s">
        <v>1075</v>
      </c>
      <c r="C78" s="59">
        <v>37642.0</v>
      </c>
      <c r="D78" s="58" t="s">
        <v>570</v>
      </c>
      <c r="E78" s="69"/>
      <c r="F78" s="25"/>
      <c r="G78" s="28">
        <v>15000.0</v>
      </c>
      <c r="H78" s="17"/>
      <c r="I78" s="24"/>
      <c r="J78" s="68"/>
      <c r="K78" s="20"/>
      <c r="L78" s="60">
        <v>15000.0</v>
      </c>
      <c r="M78" s="22">
        <f t="shared" si="1"/>
        <v>0</v>
      </c>
    </row>
    <row r="79">
      <c r="A79" s="12">
        <v>78.0</v>
      </c>
      <c r="B79" s="59" t="s">
        <v>1076</v>
      </c>
      <c r="C79" s="59">
        <v>49918.0</v>
      </c>
      <c r="D79" s="58" t="s">
        <v>781</v>
      </c>
      <c r="E79" s="67"/>
      <c r="F79" s="25"/>
      <c r="G79" s="28">
        <v>5700.0</v>
      </c>
      <c r="H79" s="17"/>
      <c r="I79" s="18"/>
      <c r="J79" s="70"/>
      <c r="K79" s="20"/>
      <c r="L79" s="60">
        <v>5700.0</v>
      </c>
      <c r="M79" s="22">
        <f t="shared" si="1"/>
        <v>0</v>
      </c>
    </row>
    <row r="80">
      <c r="A80" s="12">
        <v>79.0</v>
      </c>
      <c r="B80" s="59" t="s">
        <v>1077</v>
      </c>
      <c r="C80" s="59">
        <v>55409.0</v>
      </c>
      <c r="D80" s="58" t="s">
        <v>320</v>
      </c>
      <c r="E80" s="32"/>
      <c r="F80" s="32"/>
      <c r="G80" s="28">
        <v>3750.0</v>
      </c>
      <c r="H80" s="32"/>
      <c r="I80" s="32"/>
      <c r="J80" s="32"/>
      <c r="K80" s="32">
        <f>SUM(K5:K79)</f>
        <v>0</v>
      </c>
      <c r="L80" s="72">
        <v>3750.0</v>
      </c>
      <c r="M80" s="22">
        <f t="shared" si="1"/>
        <v>0</v>
      </c>
    </row>
    <row r="81">
      <c r="A81" s="12">
        <v>80.0</v>
      </c>
      <c r="B81" s="59" t="s">
        <v>1078</v>
      </c>
      <c r="C81" s="59">
        <v>50148.0</v>
      </c>
      <c r="D81" s="58" t="s">
        <v>355</v>
      </c>
      <c r="E81" s="32"/>
      <c r="F81" s="32"/>
      <c r="G81" s="28">
        <v>8000.0</v>
      </c>
      <c r="H81" s="32"/>
      <c r="I81" s="32"/>
      <c r="J81" s="32"/>
      <c r="K81" s="32">
        <f>SUM(K5:K80)</f>
        <v>0</v>
      </c>
      <c r="L81" s="72">
        <v>8000.0</v>
      </c>
      <c r="M81" s="22">
        <f t="shared" si="1"/>
        <v>0</v>
      </c>
    </row>
    <row r="82">
      <c r="A82" s="12">
        <v>81.0</v>
      </c>
      <c r="B82" s="59" t="s">
        <v>1079</v>
      </c>
      <c r="C82" s="59">
        <v>50342.0</v>
      </c>
      <c r="D82" s="58" t="s">
        <v>695</v>
      </c>
      <c r="E82" s="32"/>
      <c r="F82" s="32"/>
      <c r="G82" s="28">
        <v>10000.0</v>
      </c>
      <c r="H82" s="32"/>
      <c r="I82" s="32"/>
      <c r="J82" s="32"/>
      <c r="K82" s="32">
        <f>SUM(K5:K81)</f>
        <v>0</v>
      </c>
      <c r="L82" s="72">
        <v>10000.0</v>
      </c>
      <c r="M82" s="22">
        <f t="shared" si="1"/>
        <v>0</v>
      </c>
    </row>
    <row r="83">
      <c r="A83" s="30"/>
      <c r="B83" s="12"/>
      <c r="C83" s="12"/>
      <c r="D83" s="73"/>
      <c r="E83" s="32">
        <f t="shared" ref="E83:L83" si="2">SUM(E5:E82)</f>
        <v>21350</v>
      </c>
      <c r="F83" s="32">
        <f t="shared" si="2"/>
        <v>0</v>
      </c>
      <c r="G83" s="32">
        <f t="shared" si="2"/>
        <v>85940</v>
      </c>
      <c r="H83" s="32">
        <f t="shared" si="2"/>
        <v>355836</v>
      </c>
      <c r="I83" s="32">
        <f t="shared" si="2"/>
        <v>88000</v>
      </c>
      <c r="J83" s="32">
        <f t="shared" si="2"/>
        <v>3600</v>
      </c>
      <c r="K83" s="32">
        <f t="shared" si="2"/>
        <v>0</v>
      </c>
      <c r="L83" s="32">
        <f t="shared" si="2"/>
        <v>554726</v>
      </c>
      <c r="M83" s="22">
        <f t="shared" si="1"/>
        <v>0</v>
      </c>
    </row>
    <row r="84">
      <c r="A84" s="33"/>
      <c r="B84" s="63"/>
      <c r="C84" s="63"/>
      <c r="D84" s="74"/>
      <c r="E84" s="34">
        <f>E83+F83+G83+H83+I83+J83+K83</f>
        <v>554726</v>
      </c>
      <c r="F84" s="6"/>
      <c r="G84" s="6"/>
      <c r="H84" s="6"/>
      <c r="I84" s="6"/>
      <c r="J84" s="6"/>
      <c r="K84" s="7"/>
      <c r="L84" s="35"/>
      <c r="M84" s="33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</sheetData>
  <mergeCells count="14">
    <mergeCell ref="F3:G3"/>
    <mergeCell ref="H3:I3"/>
    <mergeCell ref="J3:J4"/>
    <mergeCell ref="K3:K4"/>
    <mergeCell ref="E84:K8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1080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37" t="s">
        <v>1081</v>
      </c>
      <c r="C5" s="37">
        <v>21971.0</v>
      </c>
      <c r="D5" s="37" t="s">
        <v>1082</v>
      </c>
      <c r="E5" s="67"/>
      <c r="F5" s="25">
        <v>4000.0</v>
      </c>
      <c r="G5" s="16"/>
      <c r="H5" s="17"/>
      <c r="I5" s="18"/>
      <c r="J5" s="68"/>
      <c r="K5" s="20"/>
      <c r="L5" s="45">
        <v>4000.0</v>
      </c>
      <c r="M5" s="22">
        <f t="shared" ref="M5:M70" si="1">SUM(E5+F5+G5+H5+I5+J5+K5-L5)</f>
        <v>0</v>
      </c>
    </row>
    <row r="6">
      <c r="A6" s="76">
        <v>2.0</v>
      </c>
      <c r="B6" s="37" t="s">
        <v>1083</v>
      </c>
      <c r="C6" s="37">
        <v>50436.0</v>
      </c>
      <c r="D6" s="37" t="s">
        <v>561</v>
      </c>
      <c r="E6" s="67"/>
      <c r="F6" s="25"/>
      <c r="G6" s="16"/>
      <c r="H6" s="17">
        <v>350.0</v>
      </c>
      <c r="I6" s="18"/>
      <c r="J6" s="70"/>
      <c r="K6" s="20"/>
      <c r="L6" s="45">
        <v>350.0</v>
      </c>
      <c r="M6" s="22">
        <f t="shared" si="1"/>
        <v>0</v>
      </c>
    </row>
    <row r="7">
      <c r="A7" s="76">
        <v>3.0</v>
      </c>
      <c r="B7" s="37" t="s">
        <v>1084</v>
      </c>
      <c r="C7" s="37">
        <v>18459.0</v>
      </c>
      <c r="D7" s="37" t="s">
        <v>1085</v>
      </c>
      <c r="E7" s="69">
        <v>1200.0</v>
      </c>
      <c r="F7" s="25"/>
      <c r="G7" s="16"/>
      <c r="H7" s="17"/>
      <c r="I7" s="18"/>
      <c r="J7" s="68"/>
      <c r="K7" s="20"/>
      <c r="L7" s="45">
        <v>1200.0</v>
      </c>
      <c r="M7" s="22">
        <f t="shared" si="1"/>
        <v>0</v>
      </c>
    </row>
    <row r="8">
      <c r="A8" s="76">
        <v>4.0</v>
      </c>
      <c r="B8" s="37" t="s">
        <v>1086</v>
      </c>
      <c r="C8" s="37">
        <v>21971.0</v>
      </c>
      <c r="D8" s="37" t="s">
        <v>1082</v>
      </c>
      <c r="E8" s="67"/>
      <c r="F8" s="25"/>
      <c r="G8" s="16"/>
      <c r="H8" s="17">
        <v>400.0</v>
      </c>
      <c r="I8" s="18"/>
      <c r="J8" s="68"/>
      <c r="K8" s="20"/>
      <c r="L8" s="45">
        <v>400.0</v>
      </c>
      <c r="M8" s="22">
        <f t="shared" si="1"/>
        <v>0</v>
      </c>
    </row>
    <row r="9">
      <c r="A9" s="76">
        <v>5.0</v>
      </c>
      <c r="B9" s="37" t="s">
        <v>1087</v>
      </c>
      <c r="C9" s="37">
        <v>42046.0</v>
      </c>
      <c r="D9" s="37" t="s">
        <v>163</v>
      </c>
      <c r="E9" s="67"/>
      <c r="F9" s="25"/>
      <c r="G9" s="16"/>
      <c r="H9" s="17">
        <v>1700.0</v>
      </c>
      <c r="I9" s="18"/>
      <c r="J9" s="70"/>
      <c r="K9" s="20"/>
      <c r="L9" s="45">
        <v>1700.0</v>
      </c>
      <c r="M9" s="22">
        <f t="shared" si="1"/>
        <v>0</v>
      </c>
    </row>
    <row r="10">
      <c r="A10" s="76">
        <v>6.0</v>
      </c>
      <c r="B10" s="37" t="s">
        <v>1088</v>
      </c>
      <c r="C10" s="37">
        <v>50871.0</v>
      </c>
      <c r="D10" s="37" t="s">
        <v>48</v>
      </c>
      <c r="E10" s="67"/>
      <c r="F10" s="25"/>
      <c r="G10" s="16"/>
      <c r="H10" s="17">
        <v>41750.0</v>
      </c>
      <c r="I10" s="24"/>
      <c r="J10" s="68"/>
      <c r="K10" s="20"/>
      <c r="L10" s="45">
        <v>41750.0</v>
      </c>
      <c r="M10" s="22">
        <f t="shared" si="1"/>
        <v>0</v>
      </c>
    </row>
    <row r="11">
      <c r="A11" s="76">
        <v>7.0</v>
      </c>
      <c r="B11" s="37" t="s">
        <v>1089</v>
      </c>
      <c r="C11" s="37">
        <v>51797.0</v>
      </c>
      <c r="D11" s="37" t="s">
        <v>615</v>
      </c>
      <c r="E11" s="67"/>
      <c r="F11" s="25"/>
      <c r="G11" s="16"/>
      <c r="H11" s="17"/>
      <c r="I11" s="18">
        <v>5000.0</v>
      </c>
      <c r="J11" s="68"/>
      <c r="K11" s="20"/>
      <c r="L11" s="45">
        <v>5000.0</v>
      </c>
      <c r="M11" s="22">
        <f t="shared" si="1"/>
        <v>0</v>
      </c>
    </row>
    <row r="12">
      <c r="A12" s="76">
        <v>8.0</v>
      </c>
      <c r="B12" s="37" t="s">
        <v>1090</v>
      </c>
      <c r="C12" s="37">
        <v>51797.0</v>
      </c>
      <c r="D12" s="37" t="s">
        <v>615</v>
      </c>
      <c r="E12" s="67"/>
      <c r="F12" s="25"/>
      <c r="G12" s="16"/>
      <c r="H12" s="17"/>
      <c r="I12" s="18">
        <v>5000.0</v>
      </c>
      <c r="J12" s="68"/>
      <c r="K12" s="20"/>
      <c r="L12" s="45">
        <v>5000.0</v>
      </c>
      <c r="M12" s="22">
        <f t="shared" si="1"/>
        <v>0</v>
      </c>
    </row>
    <row r="13">
      <c r="A13" s="76">
        <v>9.0</v>
      </c>
      <c r="B13" s="37" t="s">
        <v>1091</v>
      </c>
      <c r="C13" s="37">
        <v>36555.0</v>
      </c>
      <c r="D13" s="37" t="s">
        <v>389</v>
      </c>
      <c r="E13" s="67"/>
      <c r="F13" s="25"/>
      <c r="G13" s="16"/>
      <c r="H13" s="17">
        <v>10000.0</v>
      </c>
      <c r="I13" s="18"/>
      <c r="J13" s="68"/>
      <c r="K13" s="20"/>
      <c r="L13" s="45">
        <v>10000.0</v>
      </c>
      <c r="M13" s="22">
        <f t="shared" si="1"/>
        <v>0</v>
      </c>
    </row>
    <row r="14">
      <c r="A14" s="76">
        <v>10.0</v>
      </c>
      <c r="B14" s="37" t="s">
        <v>1092</v>
      </c>
      <c r="C14" s="37">
        <v>10001.0</v>
      </c>
      <c r="D14" s="37" t="s">
        <v>46</v>
      </c>
      <c r="E14" s="67"/>
      <c r="F14" s="25"/>
      <c r="G14" s="16"/>
      <c r="H14" s="17"/>
      <c r="I14" s="18">
        <v>2650.0</v>
      </c>
      <c r="J14" s="68"/>
      <c r="K14" s="20"/>
      <c r="L14" s="45">
        <v>2650.0</v>
      </c>
      <c r="M14" s="22">
        <f t="shared" si="1"/>
        <v>0</v>
      </c>
    </row>
    <row r="15">
      <c r="A15" s="76">
        <v>11.0</v>
      </c>
      <c r="B15" s="37" t="s">
        <v>1093</v>
      </c>
      <c r="C15" s="37">
        <v>39588.0</v>
      </c>
      <c r="D15" s="37" t="s">
        <v>188</v>
      </c>
      <c r="E15" s="67"/>
      <c r="F15" s="25"/>
      <c r="G15" s="16"/>
      <c r="H15" s="17">
        <v>6750.0</v>
      </c>
      <c r="I15" s="24"/>
      <c r="J15" s="68"/>
      <c r="K15" s="20"/>
      <c r="L15" s="45">
        <v>6750.0</v>
      </c>
      <c r="M15" s="22">
        <f t="shared" si="1"/>
        <v>0</v>
      </c>
    </row>
    <row r="16">
      <c r="A16" s="76">
        <v>12.0</v>
      </c>
      <c r="B16" s="37" t="s">
        <v>1094</v>
      </c>
      <c r="C16" s="37">
        <v>57209.0</v>
      </c>
      <c r="D16" s="37" t="s">
        <v>1095</v>
      </c>
      <c r="E16" s="67"/>
      <c r="F16" s="25"/>
      <c r="G16" s="16"/>
      <c r="H16" s="17">
        <v>3600.0</v>
      </c>
      <c r="I16" s="18"/>
      <c r="J16" s="70"/>
      <c r="K16" s="20"/>
      <c r="L16" s="45">
        <v>3600.0</v>
      </c>
      <c r="M16" s="22">
        <f t="shared" si="1"/>
        <v>0</v>
      </c>
    </row>
    <row r="17">
      <c r="A17" s="76">
        <v>13.0</v>
      </c>
      <c r="B17" s="37" t="s">
        <v>1096</v>
      </c>
      <c r="C17" s="37">
        <v>57487.0</v>
      </c>
      <c r="D17" s="37" t="s">
        <v>1097</v>
      </c>
      <c r="E17" s="67"/>
      <c r="F17" s="25">
        <v>5150.0</v>
      </c>
      <c r="G17" s="16"/>
      <c r="H17" s="17"/>
      <c r="I17" s="24"/>
      <c r="J17" s="68"/>
      <c r="K17" s="20"/>
      <c r="L17" s="45">
        <v>5150.0</v>
      </c>
      <c r="M17" s="22">
        <f t="shared" si="1"/>
        <v>0</v>
      </c>
    </row>
    <row r="18">
      <c r="A18" s="76">
        <v>14.0</v>
      </c>
      <c r="B18" s="37" t="s">
        <v>1098</v>
      </c>
      <c r="C18" s="37">
        <v>52032.0</v>
      </c>
      <c r="D18" s="37" t="s">
        <v>217</v>
      </c>
      <c r="E18" s="69"/>
      <c r="F18" s="25"/>
      <c r="G18" s="16"/>
      <c r="H18" s="17">
        <v>20350.0</v>
      </c>
      <c r="I18" s="18"/>
      <c r="J18" s="68"/>
      <c r="K18" s="20"/>
      <c r="L18" s="45">
        <v>20350.0</v>
      </c>
      <c r="M18" s="22">
        <f t="shared" si="1"/>
        <v>0</v>
      </c>
    </row>
    <row r="19">
      <c r="A19" s="76">
        <v>15.0</v>
      </c>
      <c r="B19" s="37" t="s">
        <v>1099</v>
      </c>
      <c r="C19" s="37">
        <v>50979.0</v>
      </c>
      <c r="D19" s="37" t="s">
        <v>702</v>
      </c>
      <c r="E19" s="69"/>
      <c r="F19" s="25"/>
      <c r="G19" s="16"/>
      <c r="H19" s="17"/>
      <c r="I19" s="18">
        <v>5000.0</v>
      </c>
      <c r="J19" s="68"/>
      <c r="K19" s="20"/>
      <c r="L19" s="45">
        <v>5000.0</v>
      </c>
      <c r="M19" s="22">
        <f t="shared" si="1"/>
        <v>0</v>
      </c>
    </row>
    <row r="20">
      <c r="A20" s="76">
        <v>16.0</v>
      </c>
      <c r="B20" s="37" t="s">
        <v>1100</v>
      </c>
      <c r="C20" s="37">
        <v>29863.0</v>
      </c>
      <c r="D20" s="37" t="s">
        <v>1101</v>
      </c>
      <c r="E20" s="67"/>
      <c r="F20" s="25"/>
      <c r="G20" s="16"/>
      <c r="H20" s="17">
        <v>3600.0</v>
      </c>
      <c r="I20" s="18"/>
      <c r="J20" s="68"/>
      <c r="K20" s="20"/>
      <c r="L20" s="45">
        <v>3600.0</v>
      </c>
      <c r="M20" s="22">
        <f t="shared" si="1"/>
        <v>0</v>
      </c>
    </row>
    <row r="21">
      <c r="A21" s="76">
        <v>17.0</v>
      </c>
      <c r="B21" s="37" t="s">
        <v>1102</v>
      </c>
      <c r="C21" s="37">
        <v>52263.0</v>
      </c>
      <c r="D21" s="37" t="s">
        <v>1103</v>
      </c>
      <c r="E21" s="67"/>
      <c r="F21" s="25"/>
      <c r="G21" s="16"/>
      <c r="H21" s="17"/>
      <c r="I21" s="18">
        <v>5000.0</v>
      </c>
      <c r="J21" s="68"/>
      <c r="K21" s="20"/>
      <c r="L21" s="45">
        <v>5000.0</v>
      </c>
      <c r="M21" s="22">
        <f t="shared" si="1"/>
        <v>0</v>
      </c>
    </row>
    <row r="22">
      <c r="A22" s="76">
        <v>18.0</v>
      </c>
      <c r="B22" s="37" t="s">
        <v>1104</v>
      </c>
      <c r="C22" s="37">
        <v>29621.0</v>
      </c>
      <c r="D22" s="37" t="s">
        <v>381</v>
      </c>
      <c r="E22" s="67"/>
      <c r="F22" s="25"/>
      <c r="G22" s="16"/>
      <c r="H22" s="17">
        <v>15000.0</v>
      </c>
      <c r="I22" s="18"/>
      <c r="J22" s="68"/>
      <c r="K22" s="20"/>
      <c r="L22" s="45">
        <v>15000.0</v>
      </c>
      <c r="M22" s="22">
        <f t="shared" si="1"/>
        <v>0</v>
      </c>
    </row>
    <row r="23">
      <c r="A23" s="76">
        <v>19.0</v>
      </c>
      <c r="B23" s="37" t="s">
        <v>1105</v>
      </c>
      <c r="C23" s="37">
        <v>50221.0</v>
      </c>
      <c r="D23" s="37" t="s">
        <v>864</v>
      </c>
      <c r="E23" s="67"/>
      <c r="F23" s="25"/>
      <c r="G23" s="16"/>
      <c r="H23" s="17">
        <v>280.0</v>
      </c>
      <c r="I23" s="18"/>
      <c r="J23" s="68"/>
      <c r="K23" s="20"/>
      <c r="L23" s="45">
        <v>280.0</v>
      </c>
      <c r="M23" s="22">
        <f t="shared" si="1"/>
        <v>0</v>
      </c>
    </row>
    <row r="24">
      <c r="A24" s="76">
        <v>20.0</v>
      </c>
      <c r="B24" s="37" t="s">
        <v>1106</v>
      </c>
      <c r="C24" s="37">
        <v>50979.0</v>
      </c>
      <c r="D24" s="37" t="s">
        <v>702</v>
      </c>
      <c r="E24" s="67"/>
      <c r="F24" s="25"/>
      <c r="G24" s="16"/>
      <c r="H24" s="17"/>
      <c r="I24" s="18">
        <v>15000.0</v>
      </c>
      <c r="J24" s="68"/>
      <c r="K24" s="20"/>
      <c r="L24" s="45">
        <v>15000.0</v>
      </c>
      <c r="M24" s="22">
        <f t="shared" si="1"/>
        <v>0</v>
      </c>
    </row>
    <row r="25">
      <c r="A25" s="76">
        <v>21.0</v>
      </c>
      <c r="B25" s="37" t="s">
        <v>1107</v>
      </c>
      <c r="C25" s="37">
        <v>48854.0</v>
      </c>
      <c r="D25" s="37" t="s">
        <v>1108</v>
      </c>
      <c r="E25" s="67"/>
      <c r="F25" s="25"/>
      <c r="G25" s="16"/>
      <c r="H25" s="17"/>
      <c r="I25" s="18">
        <v>5000.0</v>
      </c>
      <c r="J25" s="68"/>
      <c r="K25" s="20"/>
      <c r="L25" s="45">
        <v>5000.0</v>
      </c>
      <c r="M25" s="22">
        <f t="shared" si="1"/>
        <v>0</v>
      </c>
    </row>
    <row r="26">
      <c r="A26" s="76">
        <v>22.0</v>
      </c>
      <c r="B26" s="37" t="s">
        <v>1109</v>
      </c>
      <c r="C26" s="37">
        <v>48854.0</v>
      </c>
      <c r="D26" s="37" t="s">
        <v>1108</v>
      </c>
      <c r="E26" s="67"/>
      <c r="F26" s="25"/>
      <c r="G26" s="16"/>
      <c r="H26" s="17"/>
      <c r="I26" s="18">
        <v>6750.0</v>
      </c>
      <c r="J26" s="70"/>
      <c r="K26" s="20"/>
      <c r="L26" s="45">
        <v>6750.0</v>
      </c>
      <c r="M26" s="22">
        <f t="shared" si="1"/>
        <v>0</v>
      </c>
    </row>
    <row r="27">
      <c r="A27" s="76">
        <v>23.0</v>
      </c>
      <c r="B27" s="37" t="s">
        <v>1110</v>
      </c>
      <c r="C27" s="37">
        <v>51698.0</v>
      </c>
      <c r="D27" s="37" t="s">
        <v>716</v>
      </c>
      <c r="E27" s="67"/>
      <c r="F27" s="25"/>
      <c r="G27" s="16"/>
      <c r="H27" s="17">
        <v>25000.0</v>
      </c>
      <c r="I27" s="18"/>
      <c r="J27" s="68"/>
      <c r="K27" s="20"/>
      <c r="L27" s="45">
        <v>25000.0</v>
      </c>
      <c r="M27" s="22">
        <f t="shared" si="1"/>
        <v>0</v>
      </c>
    </row>
    <row r="28">
      <c r="A28" s="76">
        <v>24.0</v>
      </c>
      <c r="B28" s="37" t="s">
        <v>1111</v>
      </c>
      <c r="C28" s="37">
        <v>51698.0</v>
      </c>
      <c r="D28" s="37" t="s">
        <v>716</v>
      </c>
      <c r="E28" s="67"/>
      <c r="F28" s="25"/>
      <c r="G28" s="16"/>
      <c r="H28" s="17">
        <v>25000.0</v>
      </c>
      <c r="I28" s="18"/>
      <c r="J28" s="68"/>
      <c r="K28" s="20"/>
      <c r="L28" s="45">
        <v>25000.0</v>
      </c>
      <c r="M28" s="22">
        <f t="shared" si="1"/>
        <v>0</v>
      </c>
    </row>
    <row r="29">
      <c r="A29" s="76">
        <v>25.0</v>
      </c>
      <c r="B29" s="37" t="s">
        <v>1112</v>
      </c>
      <c r="C29" s="37">
        <v>52032.0</v>
      </c>
      <c r="D29" s="37" t="s">
        <v>217</v>
      </c>
      <c r="E29" s="67"/>
      <c r="F29" s="25"/>
      <c r="G29" s="16"/>
      <c r="H29" s="17">
        <v>10000.0</v>
      </c>
      <c r="I29" s="18"/>
      <c r="J29" s="68"/>
      <c r="K29" s="20"/>
      <c r="L29" s="45">
        <v>10000.0</v>
      </c>
      <c r="M29" s="22">
        <f t="shared" si="1"/>
        <v>0</v>
      </c>
    </row>
    <row r="30">
      <c r="A30" s="76">
        <v>26.0</v>
      </c>
      <c r="B30" s="37" t="s">
        <v>1113</v>
      </c>
      <c r="C30" s="37">
        <v>48052.0</v>
      </c>
      <c r="D30" s="37" t="s">
        <v>309</v>
      </c>
      <c r="E30" s="67"/>
      <c r="F30" s="25"/>
      <c r="G30" s="16"/>
      <c r="H30" s="17">
        <v>2500.0</v>
      </c>
      <c r="I30" s="18"/>
      <c r="J30" s="68"/>
      <c r="K30" s="20"/>
      <c r="L30" s="45">
        <v>2500.0</v>
      </c>
      <c r="M30" s="22">
        <f t="shared" si="1"/>
        <v>0</v>
      </c>
    </row>
    <row r="31">
      <c r="A31" s="76">
        <v>27.0</v>
      </c>
      <c r="B31" s="37" t="s">
        <v>1114</v>
      </c>
      <c r="C31" s="37">
        <v>44168.0</v>
      </c>
      <c r="D31" s="37" t="s">
        <v>295</v>
      </c>
      <c r="E31" s="67"/>
      <c r="F31" s="25"/>
      <c r="G31" s="16"/>
      <c r="H31" s="17">
        <v>448.0</v>
      </c>
      <c r="I31" s="18"/>
      <c r="J31" s="68"/>
      <c r="K31" s="20"/>
      <c r="L31" s="45">
        <v>448.0</v>
      </c>
      <c r="M31" s="22">
        <f t="shared" si="1"/>
        <v>0</v>
      </c>
    </row>
    <row r="32">
      <c r="A32" s="76">
        <v>28.0</v>
      </c>
      <c r="B32" s="37" t="s">
        <v>1115</v>
      </c>
      <c r="C32" s="37">
        <v>49953.0</v>
      </c>
      <c r="D32" s="37" t="s">
        <v>62</v>
      </c>
      <c r="E32" s="67"/>
      <c r="F32" s="25"/>
      <c r="G32" s="16"/>
      <c r="H32" s="17">
        <v>413.0</v>
      </c>
      <c r="I32" s="18"/>
      <c r="J32" s="70"/>
      <c r="K32" s="20"/>
      <c r="L32" s="45">
        <v>413.0</v>
      </c>
      <c r="M32" s="22">
        <f t="shared" si="1"/>
        <v>0</v>
      </c>
    </row>
    <row r="33">
      <c r="A33" s="76">
        <v>29.0</v>
      </c>
      <c r="B33" s="37" t="s">
        <v>1116</v>
      </c>
      <c r="C33" s="37">
        <v>10006.0</v>
      </c>
      <c r="D33" s="37" t="s">
        <v>80</v>
      </c>
      <c r="E33" s="67"/>
      <c r="F33" s="25"/>
      <c r="G33" s="16"/>
      <c r="H33" s="17">
        <v>1400.0</v>
      </c>
      <c r="I33" s="18"/>
      <c r="J33" s="68"/>
      <c r="K33" s="20"/>
      <c r="L33" s="45">
        <v>1400.0</v>
      </c>
      <c r="M33" s="22">
        <f t="shared" si="1"/>
        <v>0</v>
      </c>
    </row>
    <row r="34">
      <c r="A34" s="76">
        <v>30.0</v>
      </c>
      <c r="B34" s="37" t="s">
        <v>1117</v>
      </c>
      <c r="C34" s="37">
        <v>52462.0</v>
      </c>
      <c r="D34" s="37" t="s">
        <v>1118</v>
      </c>
      <c r="E34" s="67"/>
      <c r="F34" s="25"/>
      <c r="G34" s="16"/>
      <c r="H34" s="17"/>
      <c r="I34" s="18">
        <v>5000.0</v>
      </c>
      <c r="J34" s="68"/>
      <c r="K34" s="20"/>
      <c r="L34" s="45">
        <v>5000.0</v>
      </c>
      <c r="M34" s="22">
        <f t="shared" si="1"/>
        <v>0</v>
      </c>
    </row>
    <row r="35">
      <c r="A35" s="76">
        <v>31.0</v>
      </c>
      <c r="B35" s="37" t="s">
        <v>1119</v>
      </c>
      <c r="C35" s="37">
        <v>53629.0</v>
      </c>
      <c r="D35" s="37" t="s">
        <v>1120</v>
      </c>
      <c r="E35" s="67"/>
      <c r="F35" s="25"/>
      <c r="G35" s="16"/>
      <c r="H35" s="17"/>
      <c r="I35" s="18">
        <v>5000.0</v>
      </c>
      <c r="J35" s="68"/>
      <c r="K35" s="20"/>
      <c r="L35" s="45">
        <v>5000.0</v>
      </c>
      <c r="M35" s="22">
        <f t="shared" si="1"/>
        <v>0</v>
      </c>
    </row>
    <row r="36">
      <c r="A36" s="76">
        <v>32.0</v>
      </c>
      <c r="B36" s="37" t="s">
        <v>1121</v>
      </c>
      <c r="C36" s="37">
        <v>54582.0</v>
      </c>
      <c r="D36" s="37" t="s">
        <v>1122</v>
      </c>
      <c r="E36" s="67"/>
      <c r="F36" s="25"/>
      <c r="G36" s="16"/>
      <c r="H36" s="17"/>
      <c r="I36" s="18">
        <v>5000.0</v>
      </c>
      <c r="J36" s="70"/>
      <c r="K36" s="20"/>
      <c r="L36" s="45">
        <v>5000.0</v>
      </c>
      <c r="M36" s="22">
        <f t="shared" si="1"/>
        <v>0</v>
      </c>
    </row>
    <row r="37">
      <c r="A37" s="76">
        <v>33.0</v>
      </c>
      <c r="B37" s="37" t="s">
        <v>1123</v>
      </c>
      <c r="C37" s="37">
        <v>55949.0</v>
      </c>
      <c r="D37" s="37" t="s">
        <v>1124</v>
      </c>
      <c r="E37" s="67"/>
      <c r="F37" s="25"/>
      <c r="G37" s="16"/>
      <c r="H37" s="17"/>
      <c r="I37" s="18">
        <v>5000.0</v>
      </c>
      <c r="J37" s="68"/>
      <c r="K37" s="20"/>
      <c r="L37" s="45">
        <v>5000.0</v>
      </c>
      <c r="M37" s="22">
        <f t="shared" si="1"/>
        <v>0</v>
      </c>
    </row>
    <row r="38">
      <c r="A38" s="76">
        <v>34.0</v>
      </c>
      <c r="B38" s="37" t="s">
        <v>1125</v>
      </c>
      <c r="C38" s="37">
        <v>22332.0</v>
      </c>
      <c r="D38" s="37" t="s">
        <v>78</v>
      </c>
      <c r="E38" s="67"/>
      <c r="F38" s="25"/>
      <c r="G38" s="16"/>
      <c r="H38" s="17">
        <v>5150.0</v>
      </c>
      <c r="I38" s="18"/>
      <c r="J38" s="68"/>
      <c r="K38" s="20"/>
      <c r="L38" s="45">
        <v>5150.0</v>
      </c>
      <c r="M38" s="22">
        <f t="shared" si="1"/>
        <v>0</v>
      </c>
    </row>
    <row r="39">
      <c r="A39" s="76">
        <v>35.0</v>
      </c>
      <c r="B39" s="37" t="s">
        <v>1126</v>
      </c>
      <c r="C39" s="37">
        <v>50557.0</v>
      </c>
      <c r="D39" s="37" t="s">
        <v>94</v>
      </c>
      <c r="E39" s="67"/>
      <c r="F39" s="25"/>
      <c r="G39" s="16"/>
      <c r="H39" s="17">
        <v>850.0</v>
      </c>
      <c r="I39" s="18"/>
      <c r="J39" s="68"/>
      <c r="K39" s="20"/>
      <c r="L39" s="45">
        <v>850.0</v>
      </c>
      <c r="M39" s="22">
        <f t="shared" si="1"/>
        <v>0</v>
      </c>
    </row>
    <row r="40">
      <c r="A40" s="76">
        <v>36.0</v>
      </c>
      <c r="B40" s="37" t="s">
        <v>1127</v>
      </c>
      <c r="C40" s="37">
        <v>50596.0</v>
      </c>
      <c r="D40" s="37" t="s">
        <v>157</v>
      </c>
      <c r="E40" s="67"/>
      <c r="F40" s="25"/>
      <c r="G40" s="16"/>
      <c r="H40" s="17">
        <v>3850.0</v>
      </c>
      <c r="I40" s="18"/>
      <c r="J40" s="68"/>
      <c r="K40" s="20"/>
      <c r="L40" s="45">
        <v>3850.0</v>
      </c>
      <c r="M40" s="22">
        <f t="shared" si="1"/>
        <v>0</v>
      </c>
    </row>
    <row r="41">
      <c r="A41" s="76">
        <v>37.0</v>
      </c>
      <c r="B41" s="37" t="s">
        <v>1128</v>
      </c>
      <c r="C41" s="37">
        <v>43381.0</v>
      </c>
      <c r="D41" s="37" t="s">
        <v>97</v>
      </c>
      <c r="E41" s="67"/>
      <c r="F41" s="25"/>
      <c r="G41" s="16"/>
      <c r="H41" s="17">
        <v>2500.0</v>
      </c>
      <c r="I41" s="24"/>
      <c r="J41" s="68"/>
      <c r="K41" s="20"/>
      <c r="L41" s="45">
        <v>2500.0</v>
      </c>
      <c r="M41" s="22">
        <f t="shared" si="1"/>
        <v>0</v>
      </c>
    </row>
    <row r="42">
      <c r="A42" s="76">
        <v>38.0</v>
      </c>
      <c r="B42" s="37" t="s">
        <v>1129</v>
      </c>
      <c r="C42" s="37">
        <v>57237.0</v>
      </c>
      <c r="D42" s="37" t="s">
        <v>1006</v>
      </c>
      <c r="E42" s="67"/>
      <c r="F42" s="25"/>
      <c r="G42" s="16"/>
      <c r="H42" s="17">
        <v>2650.0</v>
      </c>
      <c r="J42" s="68"/>
      <c r="K42" s="20"/>
      <c r="L42" s="45">
        <v>2650.0</v>
      </c>
      <c r="M42" s="22">
        <f t="shared" si="1"/>
        <v>0</v>
      </c>
    </row>
    <row r="43">
      <c r="A43" s="76">
        <v>39.0</v>
      </c>
      <c r="B43" s="37" t="s">
        <v>1130</v>
      </c>
      <c r="C43" s="37">
        <v>21384.0</v>
      </c>
      <c r="D43" s="37" t="s">
        <v>151</v>
      </c>
      <c r="E43" s="67"/>
      <c r="F43" s="25"/>
      <c r="G43" s="16"/>
      <c r="H43" s="17">
        <v>1250.0</v>
      </c>
      <c r="I43" s="18"/>
      <c r="J43" s="68"/>
      <c r="K43" s="20"/>
      <c r="L43" s="45">
        <v>1250.0</v>
      </c>
      <c r="M43" s="22">
        <f t="shared" si="1"/>
        <v>0</v>
      </c>
    </row>
    <row r="44">
      <c r="A44" s="76">
        <v>40.0</v>
      </c>
      <c r="B44" s="37" t="s">
        <v>1131</v>
      </c>
      <c r="C44" s="37">
        <v>57956.0</v>
      </c>
      <c r="D44" s="37" t="s">
        <v>1132</v>
      </c>
      <c r="E44" s="67"/>
      <c r="F44" s="25"/>
      <c r="G44" s="16"/>
      <c r="H44" s="17"/>
      <c r="I44" s="18">
        <v>300.0</v>
      </c>
      <c r="J44" s="68"/>
      <c r="K44" s="20"/>
      <c r="L44" s="45">
        <v>300.0</v>
      </c>
      <c r="M44" s="22">
        <f t="shared" si="1"/>
        <v>0</v>
      </c>
    </row>
    <row r="45">
      <c r="A45" s="76">
        <v>41.0</v>
      </c>
      <c r="B45" s="37" t="s">
        <v>1133</v>
      </c>
      <c r="C45" s="37">
        <v>45937.0</v>
      </c>
      <c r="D45" s="37" t="s">
        <v>885</v>
      </c>
      <c r="E45" s="67"/>
      <c r="F45" s="25"/>
      <c r="G45" s="16"/>
      <c r="H45" s="17">
        <v>5000.0</v>
      </c>
      <c r="I45" s="18"/>
      <c r="J45" s="68"/>
      <c r="K45" s="20"/>
      <c r="L45" s="45">
        <v>5000.0</v>
      </c>
      <c r="M45" s="22">
        <f t="shared" si="1"/>
        <v>0</v>
      </c>
    </row>
    <row r="46">
      <c r="A46" s="76">
        <v>42.0</v>
      </c>
      <c r="B46" s="37" t="s">
        <v>1134</v>
      </c>
      <c r="C46" s="37">
        <v>54162.0</v>
      </c>
      <c r="D46" s="37" t="s">
        <v>1135</v>
      </c>
      <c r="E46" s="69"/>
      <c r="F46" s="25"/>
      <c r="G46" s="16"/>
      <c r="H46" s="17">
        <v>5000.0</v>
      </c>
      <c r="I46" s="18"/>
      <c r="J46" s="68"/>
      <c r="K46" s="20"/>
      <c r="L46" s="45">
        <v>5000.0</v>
      </c>
      <c r="M46" s="22">
        <f t="shared" si="1"/>
        <v>0</v>
      </c>
    </row>
    <row r="47">
      <c r="A47" s="76">
        <v>43.0</v>
      </c>
      <c r="B47" s="37" t="s">
        <v>1136</v>
      </c>
      <c r="C47" s="37">
        <v>52373.0</v>
      </c>
      <c r="D47" s="37" t="s">
        <v>533</v>
      </c>
      <c r="E47" s="69"/>
      <c r="F47" s="25"/>
      <c r="G47" s="16"/>
      <c r="H47" s="17"/>
      <c r="I47" s="18">
        <v>10000.0</v>
      </c>
      <c r="J47" s="68"/>
      <c r="K47" s="20"/>
      <c r="L47" s="45">
        <v>10000.0</v>
      </c>
      <c r="M47" s="22">
        <f t="shared" si="1"/>
        <v>0</v>
      </c>
    </row>
    <row r="48">
      <c r="A48" s="76">
        <v>44.0</v>
      </c>
      <c r="B48" s="37" t="s">
        <v>1137</v>
      </c>
      <c r="C48" s="37">
        <v>55992.0</v>
      </c>
      <c r="D48" s="37" t="s">
        <v>933</v>
      </c>
      <c r="E48" s="67"/>
      <c r="F48" s="25"/>
      <c r="G48" s="16"/>
      <c r="H48" s="17">
        <v>453.0</v>
      </c>
      <c r="I48" s="24"/>
      <c r="J48" s="68"/>
      <c r="K48" s="20"/>
      <c r="L48" s="45">
        <v>453.0</v>
      </c>
      <c r="M48" s="22">
        <f t="shared" si="1"/>
        <v>0</v>
      </c>
    </row>
    <row r="49">
      <c r="A49" s="76">
        <v>45.0</v>
      </c>
      <c r="B49" s="37" t="s">
        <v>1138</v>
      </c>
      <c r="C49" s="37">
        <v>53306.0</v>
      </c>
      <c r="D49" s="37" t="s">
        <v>1139</v>
      </c>
      <c r="E49" s="67"/>
      <c r="F49" s="25"/>
      <c r="G49" s="16"/>
      <c r="H49" s="17">
        <v>3750.0</v>
      </c>
      <c r="I49" s="18"/>
      <c r="J49" s="68"/>
      <c r="K49" s="20"/>
      <c r="L49" s="45">
        <v>3750.0</v>
      </c>
      <c r="M49" s="22">
        <f t="shared" si="1"/>
        <v>0</v>
      </c>
    </row>
    <row r="50">
      <c r="A50" s="76">
        <v>46.0</v>
      </c>
      <c r="B50" s="37" t="s">
        <v>1140</v>
      </c>
      <c r="C50" s="37">
        <v>48631.0</v>
      </c>
      <c r="D50" s="37" t="s">
        <v>123</v>
      </c>
      <c r="E50" s="69"/>
      <c r="F50" s="25"/>
      <c r="G50" s="16"/>
      <c r="H50" s="17">
        <v>5000.0</v>
      </c>
      <c r="I50" s="18"/>
      <c r="J50" s="68"/>
      <c r="K50" s="20"/>
      <c r="L50" s="45">
        <v>5000.0</v>
      </c>
      <c r="M50" s="22">
        <f t="shared" si="1"/>
        <v>0</v>
      </c>
    </row>
    <row r="51">
      <c r="A51" s="76">
        <v>47.0</v>
      </c>
      <c r="B51" s="37" t="s">
        <v>1141</v>
      </c>
      <c r="C51" s="37">
        <v>21821.0</v>
      </c>
      <c r="D51" s="37" t="s">
        <v>959</v>
      </c>
      <c r="E51" s="67"/>
      <c r="F51" s="25"/>
      <c r="G51" s="16"/>
      <c r="H51" s="17"/>
      <c r="I51" s="18"/>
      <c r="J51" s="70">
        <v>350.0</v>
      </c>
      <c r="K51" s="20"/>
      <c r="L51" s="45">
        <v>350.0</v>
      </c>
      <c r="M51" s="22">
        <f t="shared" si="1"/>
        <v>0</v>
      </c>
    </row>
    <row r="52">
      <c r="A52" s="76">
        <v>48.0</v>
      </c>
      <c r="B52" s="37" t="s">
        <v>1142</v>
      </c>
      <c r="C52" s="37">
        <v>53041.0</v>
      </c>
      <c r="D52" s="37" t="s">
        <v>1143</v>
      </c>
      <c r="E52" s="67"/>
      <c r="F52" s="25"/>
      <c r="G52" s="16"/>
      <c r="H52" s="17">
        <v>10000.0</v>
      </c>
      <c r="I52" s="18"/>
      <c r="J52" s="70"/>
      <c r="K52" s="20"/>
      <c r="L52" s="45">
        <v>10000.0</v>
      </c>
      <c r="M52" s="22">
        <f t="shared" si="1"/>
        <v>0</v>
      </c>
    </row>
    <row r="53">
      <c r="A53" s="76">
        <v>49.0</v>
      </c>
      <c r="B53" s="37" t="s">
        <v>1144</v>
      </c>
      <c r="C53" s="37">
        <v>52396.0</v>
      </c>
      <c r="D53" s="37" t="s">
        <v>369</v>
      </c>
      <c r="E53" s="69"/>
      <c r="F53" s="25"/>
      <c r="G53" s="16"/>
      <c r="H53" s="17"/>
      <c r="I53" s="18">
        <v>10000.0</v>
      </c>
      <c r="J53" s="68"/>
      <c r="K53" s="20"/>
      <c r="L53" s="45">
        <v>10000.0</v>
      </c>
      <c r="M53" s="22">
        <f t="shared" si="1"/>
        <v>0</v>
      </c>
    </row>
    <row r="54">
      <c r="A54" s="76">
        <v>50.0</v>
      </c>
      <c r="B54" s="37" t="s">
        <v>1145</v>
      </c>
      <c r="C54" s="37">
        <v>50184.0</v>
      </c>
      <c r="D54" s="37" t="s">
        <v>506</v>
      </c>
      <c r="E54" s="67"/>
      <c r="F54" s="25"/>
      <c r="G54" s="16"/>
      <c r="H54" s="17">
        <v>10350.0</v>
      </c>
      <c r="I54" s="18"/>
      <c r="J54" s="68"/>
      <c r="K54" s="20"/>
      <c r="L54" s="45">
        <v>10350.0</v>
      </c>
      <c r="M54" s="22">
        <f t="shared" si="1"/>
        <v>0</v>
      </c>
    </row>
    <row r="55">
      <c r="A55" s="76">
        <v>51.0</v>
      </c>
      <c r="B55" s="37" t="s">
        <v>1146</v>
      </c>
      <c r="C55" s="37">
        <v>46510.0</v>
      </c>
      <c r="D55" s="37" t="s">
        <v>1147</v>
      </c>
      <c r="E55" s="67"/>
      <c r="F55" s="25"/>
      <c r="G55" s="16"/>
      <c r="H55" s="17">
        <v>3700.0</v>
      </c>
      <c r="I55" s="18"/>
      <c r="J55" s="68"/>
      <c r="K55" s="20"/>
      <c r="L55" s="45">
        <v>3700.0</v>
      </c>
      <c r="M55" s="22">
        <f t="shared" si="1"/>
        <v>0</v>
      </c>
    </row>
    <row r="56">
      <c r="A56" s="76">
        <v>52.0</v>
      </c>
      <c r="B56" s="37" t="s">
        <v>1148</v>
      </c>
      <c r="C56" s="37">
        <v>46510.0</v>
      </c>
      <c r="D56" s="37" t="s">
        <v>1147</v>
      </c>
      <c r="E56" s="67"/>
      <c r="F56" s="25"/>
      <c r="G56" s="16"/>
      <c r="H56" s="17">
        <v>5580.0</v>
      </c>
      <c r="I56" s="18"/>
      <c r="J56" s="68"/>
      <c r="K56" s="20"/>
      <c r="L56" s="45">
        <v>5580.0</v>
      </c>
      <c r="M56" s="22">
        <f t="shared" si="1"/>
        <v>0</v>
      </c>
    </row>
    <row r="57">
      <c r="A57" s="76">
        <v>53.0</v>
      </c>
      <c r="B57" s="37" t="s">
        <v>1149</v>
      </c>
      <c r="C57" s="37">
        <v>42257.0</v>
      </c>
      <c r="D57" s="37" t="s">
        <v>941</v>
      </c>
      <c r="E57" s="69"/>
      <c r="F57" s="25"/>
      <c r="G57" s="16"/>
      <c r="H57" s="17"/>
      <c r="I57" s="18">
        <v>5000.0</v>
      </c>
      <c r="J57" s="68"/>
      <c r="K57" s="20"/>
      <c r="L57" s="45">
        <v>5000.0</v>
      </c>
      <c r="M57" s="22">
        <f t="shared" si="1"/>
        <v>0</v>
      </c>
    </row>
    <row r="58">
      <c r="A58" s="76">
        <v>54.0</v>
      </c>
      <c r="B58" s="37" t="s">
        <v>1150</v>
      </c>
      <c r="C58" s="37">
        <v>42257.0</v>
      </c>
      <c r="D58" s="37" t="s">
        <v>941</v>
      </c>
      <c r="E58" s="69"/>
      <c r="F58" s="25"/>
      <c r="G58" s="16"/>
      <c r="H58" s="17"/>
      <c r="I58" s="18">
        <v>8400.0</v>
      </c>
      <c r="J58" s="68"/>
      <c r="K58" s="20"/>
      <c r="L58" s="45">
        <v>8400.0</v>
      </c>
      <c r="M58" s="22">
        <f t="shared" si="1"/>
        <v>0</v>
      </c>
    </row>
    <row r="59">
      <c r="A59" s="76">
        <v>55.0</v>
      </c>
      <c r="B59" s="37" t="s">
        <v>1151</v>
      </c>
      <c r="C59" s="37">
        <v>49655.0</v>
      </c>
      <c r="D59" s="37" t="s">
        <v>134</v>
      </c>
      <c r="E59" s="67"/>
      <c r="F59" s="25"/>
      <c r="G59" s="28">
        <v>8000.0</v>
      </c>
      <c r="H59" s="17"/>
      <c r="I59" s="18"/>
      <c r="J59" s="68"/>
      <c r="K59" s="20"/>
      <c r="L59" s="45">
        <v>8000.0</v>
      </c>
      <c r="M59" s="22">
        <f t="shared" si="1"/>
        <v>0</v>
      </c>
    </row>
    <row r="60">
      <c r="A60" s="76">
        <v>56.0</v>
      </c>
      <c r="B60" s="37" t="s">
        <v>1152</v>
      </c>
      <c r="C60" s="37">
        <v>50221.0</v>
      </c>
      <c r="D60" s="37" t="s">
        <v>864</v>
      </c>
      <c r="E60" s="67"/>
      <c r="F60" s="25"/>
      <c r="G60" s="28">
        <v>2650.0</v>
      </c>
      <c r="H60" s="17"/>
      <c r="I60" s="18"/>
      <c r="J60" s="68"/>
      <c r="K60" s="20"/>
      <c r="L60" s="45">
        <v>2650.0</v>
      </c>
      <c r="M60" s="22">
        <f t="shared" si="1"/>
        <v>0</v>
      </c>
    </row>
    <row r="61">
      <c r="A61" s="76">
        <v>57.0</v>
      </c>
      <c r="B61" s="37" t="s">
        <v>1153</v>
      </c>
      <c r="C61" s="37">
        <v>51017.0</v>
      </c>
      <c r="D61" s="37" t="s">
        <v>477</v>
      </c>
      <c r="E61" s="67"/>
      <c r="F61" s="25"/>
      <c r="G61" s="28">
        <v>97100.0</v>
      </c>
      <c r="H61" s="17"/>
      <c r="I61" s="18"/>
      <c r="J61" s="68"/>
      <c r="K61" s="20"/>
      <c r="L61" s="45">
        <v>97100.0</v>
      </c>
      <c r="M61" s="22">
        <f t="shared" si="1"/>
        <v>0</v>
      </c>
    </row>
    <row r="62">
      <c r="A62" s="76">
        <v>58.0</v>
      </c>
      <c r="B62" s="37" t="s">
        <v>1154</v>
      </c>
      <c r="C62" s="37">
        <v>21937.0</v>
      </c>
      <c r="D62" s="37" t="s">
        <v>350</v>
      </c>
      <c r="E62" s="67"/>
      <c r="F62" s="25"/>
      <c r="G62" s="28">
        <v>350.0</v>
      </c>
      <c r="H62" s="17"/>
      <c r="I62" s="18"/>
      <c r="J62" s="68"/>
      <c r="K62" s="20"/>
      <c r="L62" s="45">
        <v>350.0</v>
      </c>
      <c r="M62" s="22">
        <f t="shared" si="1"/>
        <v>0</v>
      </c>
    </row>
    <row r="63">
      <c r="A63" s="76">
        <v>59.0</v>
      </c>
      <c r="B63" s="37" t="s">
        <v>1155</v>
      </c>
      <c r="C63" s="37">
        <v>43380.0</v>
      </c>
      <c r="D63" s="37" t="s">
        <v>348</v>
      </c>
      <c r="E63" s="67"/>
      <c r="F63" s="25"/>
      <c r="G63" s="28">
        <v>1250.0</v>
      </c>
      <c r="H63" s="17"/>
      <c r="I63" s="18"/>
      <c r="J63" s="68"/>
      <c r="K63" s="20"/>
      <c r="L63" s="45">
        <v>1250.0</v>
      </c>
      <c r="M63" s="22">
        <f t="shared" si="1"/>
        <v>0</v>
      </c>
    </row>
    <row r="64">
      <c r="A64" s="76">
        <v>60.0</v>
      </c>
      <c r="B64" s="37" t="s">
        <v>1156</v>
      </c>
      <c r="C64" s="37">
        <v>49953.0</v>
      </c>
      <c r="D64" s="37" t="s">
        <v>62</v>
      </c>
      <c r="E64" s="67"/>
      <c r="F64" s="25"/>
      <c r="G64" s="28">
        <v>5350.0</v>
      </c>
      <c r="H64" s="17"/>
      <c r="I64" s="18"/>
      <c r="J64" s="68"/>
      <c r="K64" s="20"/>
      <c r="L64" s="45">
        <v>5350.0</v>
      </c>
      <c r="M64" s="22">
        <f t="shared" si="1"/>
        <v>0</v>
      </c>
    </row>
    <row r="65">
      <c r="A65" s="76">
        <v>61.0</v>
      </c>
      <c r="B65" s="37" t="s">
        <v>1157</v>
      </c>
      <c r="C65" s="37">
        <v>55179.0</v>
      </c>
      <c r="D65" s="37" t="s">
        <v>203</v>
      </c>
      <c r="E65" s="67"/>
      <c r="F65" s="25"/>
      <c r="G65" s="28">
        <v>18500.0</v>
      </c>
      <c r="H65" s="17"/>
      <c r="I65" s="18"/>
      <c r="J65" s="68"/>
      <c r="K65" s="20"/>
      <c r="L65" s="45">
        <v>18500.0</v>
      </c>
      <c r="M65" s="22">
        <f t="shared" si="1"/>
        <v>0</v>
      </c>
    </row>
    <row r="66">
      <c r="A66" s="76">
        <v>62.0</v>
      </c>
      <c r="B66" s="37" t="s">
        <v>1158</v>
      </c>
      <c r="C66" s="37">
        <v>12102.0</v>
      </c>
      <c r="D66" s="37" t="s">
        <v>113</v>
      </c>
      <c r="E66" s="67"/>
      <c r="F66" s="25"/>
      <c r="G66" s="28">
        <v>960.0</v>
      </c>
      <c r="H66" s="17"/>
      <c r="I66" s="18"/>
      <c r="J66" s="68"/>
      <c r="K66" s="20"/>
      <c r="L66" s="45">
        <v>960.0</v>
      </c>
      <c r="M66" s="22">
        <f t="shared" si="1"/>
        <v>0</v>
      </c>
    </row>
    <row r="67">
      <c r="A67" s="76">
        <v>63.0</v>
      </c>
      <c r="B67" s="37" t="s">
        <v>1159</v>
      </c>
      <c r="C67" s="37">
        <v>57825.0</v>
      </c>
      <c r="D67" s="37" t="s">
        <v>1160</v>
      </c>
      <c r="E67" s="67"/>
      <c r="F67" s="25"/>
      <c r="G67" s="16"/>
      <c r="H67" s="17"/>
      <c r="I67" s="18"/>
      <c r="J67" s="70">
        <v>27000.0</v>
      </c>
      <c r="K67" s="20"/>
      <c r="L67" s="45">
        <v>27000.0</v>
      </c>
      <c r="M67" s="22">
        <f t="shared" si="1"/>
        <v>0</v>
      </c>
    </row>
    <row r="68">
      <c r="A68" s="76">
        <v>64.0</v>
      </c>
      <c r="B68" s="37" t="s">
        <v>1161</v>
      </c>
      <c r="C68" s="37">
        <v>58111.0</v>
      </c>
      <c r="D68" s="37" t="s">
        <v>1162</v>
      </c>
      <c r="E68" s="67"/>
      <c r="F68" s="25"/>
      <c r="G68" s="16"/>
      <c r="H68" s="17"/>
      <c r="I68" s="18"/>
      <c r="J68" s="70">
        <v>27000.0</v>
      </c>
      <c r="K68" s="20"/>
      <c r="L68" s="45">
        <v>27000.0</v>
      </c>
      <c r="M68" s="22">
        <f t="shared" si="1"/>
        <v>0</v>
      </c>
    </row>
    <row r="69">
      <c r="A69" s="76">
        <v>65.0</v>
      </c>
      <c r="B69" s="37" t="s">
        <v>1163</v>
      </c>
      <c r="C69" s="37">
        <v>58112.0</v>
      </c>
      <c r="D69" s="37" t="s">
        <v>1164</v>
      </c>
      <c r="E69" s="67"/>
      <c r="F69" s="25"/>
      <c r="G69" s="16"/>
      <c r="H69" s="17"/>
      <c r="I69" s="18"/>
      <c r="J69" s="70">
        <v>30000.0</v>
      </c>
      <c r="K69" s="20"/>
      <c r="L69" s="45">
        <v>30000.0</v>
      </c>
      <c r="M69" s="22">
        <f t="shared" si="1"/>
        <v>0</v>
      </c>
    </row>
    <row r="70">
      <c r="A70" s="30"/>
      <c r="B70" s="12"/>
      <c r="C70" s="12"/>
      <c r="D70" s="73"/>
      <c r="E70" s="32">
        <f t="shared" ref="E70:L70" si="2">SUM(E5:E69)</f>
        <v>1200</v>
      </c>
      <c r="F70" s="32">
        <f t="shared" si="2"/>
        <v>9150</v>
      </c>
      <c r="G70" s="32">
        <f t="shared" si="2"/>
        <v>134160</v>
      </c>
      <c r="H70" s="32">
        <f t="shared" si="2"/>
        <v>233624</v>
      </c>
      <c r="I70" s="32">
        <f t="shared" si="2"/>
        <v>103100</v>
      </c>
      <c r="J70" s="32">
        <f t="shared" si="2"/>
        <v>84350</v>
      </c>
      <c r="K70" s="32">
        <f t="shared" si="2"/>
        <v>0</v>
      </c>
      <c r="L70" s="32">
        <f t="shared" si="2"/>
        <v>565584</v>
      </c>
      <c r="M70" s="22">
        <f t="shared" si="1"/>
        <v>0</v>
      </c>
    </row>
    <row r="71">
      <c r="A71" s="33"/>
      <c r="B71" s="63"/>
      <c r="C71" s="63"/>
      <c r="D71" s="74"/>
      <c r="E71" s="34">
        <f>E70+F70+G70+H70+I70+J70+K70</f>
        <v>565584</v>
      </c>
      <c r="F71" s="6"/>
      <c r="G71" s="6"/>
      <c r="H71" s="6"/>
      <c r="I71" s="6"/>
      <c r="J71" s="6"/>
      <c r="K71" s="7"/>
      <c r="L71" s="35"/>
      <c r="M71" s="33"/>
    </row>
    <row r="72">
      <c r="B72" s="64"/>
      <c r="C72" s="64"/>
      <c r="D72" s="75"/>
    </row>
    <row r="73">
      <c r="B73" s="64"/>
      <c r="C73" s="64"/>
      <c r="D73" s="75"/>
    </row>
    <row r="74">
      <c r="B74" s="64"/>
      <c r="C74" s="64"/>
      <c r="D74" s="75"/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</sheetData>
  <mergeCells count="14">
    <mergeCell ref="F3:G3"/>
    <mergeCell ref="H3:I3"/>
    <mergeCell ref="J3:J4"/>
    <mergeCell ref="K3:K4"/>
    <mergeCell ref="E71:K7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1165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65" t="s">
        <v>1166</v>
      </c>
      <c r="C5" s="65">
        <v>53455.0</v>
      </c>
      <c r="D5" s="65" t="s">
        <v>635</v>
      </c>
      <c r="E5" s="77"/>
      <c r="F5" s="25"/>
      <c r="G5" s="16"/>
      <c r="H5" s="78"/>
      <c r="I5" s="18">
        <v>2500.0</v>
      </c>
      <c r="J5" s="68"/>
      <c r="K5" s="20"/>
      <c r="L5" s="57">
        <v>2500.0</v>
      </c>
      <c r="M5" s="22">
        <f t="shared" ref="M5:M81" si="1">SUM(E5+F5+G5+H5+I5+J5+K5-L5)</f>
        <v>0</v>
      </c>
    </row>
    <row r="6">
      <c r="A6" s="76">
        <v>2.0</v>
      </c>
      <c r="B6" s="65" t="s">
        <v>1167</v>
      </c>
      <c r="C6" s="65">
        <v>10001.0</v>
      </c>
      <c r="D6" s="65" t="s">
        <v>46</v>
      </c>
      <c r="E6" s="77"/>
      <c r="F6" s="25"/>
      <c r="G6" s="16"/>
      <c r="H6" s="78">
        <v>2700.0</v>
      </c>
      <c r="I6" s="18"/>
      <c r="J6" s="70"/>
      <c r="K6" s="20"/>
      <c r="L6" s="57">
        <v>2700.0</v>
      </c>
      <c r="M6" s="22">
        <f t="shared" si="1"/>
        <v>0</v>
      </c>
    </row>
    <row r="7">
      <c r="A7" s="76">
        <v>3.0</v>
      </c>
      <c r="B7" s="65" t="s">
        <v>1168</v>
      </c>
      <c r="C7" s="65">
        <v>50871.0</v>
      </c>
      <c r="D7" s="65" t="s">
        <v>48</v>
      </c>
      <c r="E7" s="79"/>
      <c r="F7" s="25"/>
      <c r="G7" s="16"/>
      <c r="H7" s="78">
        <v>69250.0</v>
      </c>
      <c r="I7" s="18"/>
      <c r="J7" s="68"/>
      <c r="K7" s="20"/>
      <c r="L7" s="57">
        <v>69250.0</v>
      </c>
      <c r="M7" s="22">
        <f t="shared" si="1"/>
        <v>0</v>
      </c>
    </row>
    <row r="8">
      <c r="A8" s="76">
        <v>4.0</v>
      </c>
      <c r="B8" s="65" t="s">
        <v>1169</v>
      </c>
      <c r="C8" s="65">
        <v>30855.0</v>
      </c>
      <c r="D8" s="65" t="s">
        <v>1170</v>
      </c>
      <c r="E8" s="77"/>
      <c r="F8" s="25"/>
      <c r="G8" s="16"/>
      <c r="H8" s="78"/>
      <c r="I8" s="18">
        <v>15000.0</v>
      </c>
      <c r="J8" s="68"/>
      <c r="K8" s="20"/>
      <c r="L8" s="57">
        <v>15000.0</v>
      </c>
      <c r="M8" s="22">
        <f t="shared" si="1"/>
        <v>0</v>
      </c>
    </row>
    <row r="9">
      <c r="A9" s="76">
        <v>5.0</v>
      </c>
      <c r="B9" s="65" t="s">
        <v>1171</v>
      </c>
      <c r="C9" s="65">
        <v>45256.0</v>
      </c>
      <c r="D9" s="65" t="s">
        <v>1172</v>
      </c>
      <c r="E9" s="77"/>
      <c r="F9" s="25"/>
      <c r="G9" s="16"/>
      <c r="H9" s="78">
        <v>100.0</v>
      </c>
      <c r="I9" s="18"/>
      <c r="J9" s="70"/>
      <c r="K9" s="20"/>
      <c r="L9" s="57">
        <v>100.0</v>
      </c>
      <c r="M9" s="22">
        <f t="shared" si="1"/>
        <v>0</v>
      </c>
    </row>
    <row r="10">
      <c r="A10" s="76">
        <v>6.0</v>
      </c>
      <c r="B10" s="65" t="s">
        <v>1173</v>
      </c>
      <c r="C10" s="65">
        <v>52576.0</v>
      </c>
      <c r="D10" s="65" t="s">
        <v>149</v>
      </c>
      <c r="E10" s="77"/>
      <c r="F10" s="25"/>
      <c r="G10" s="16"/>
      <c r="H10" s="78">
        <v>10000.0</v>
      </c>
      <c r="I10" s="24"/>
      <c r="J10" s="68"/>
      <c r="K10" s="20"/>
      <c r="L10" s="57">
        <v>10000.0</v>
      </c>
      <c r="M10" s="22">
        <f t="shared" si="1"/>
        <v>0</v>
      </c>
    </row>
    <row r="11">
      <c r="A11" s="76">
        <v>7.0</v>
      </c>
      <c r="B11" s="65" t="s">
        <v>1174</v>
      </c>
      <c r="C11" s="65">
        <v>21821.0</v>
      </c>
      <c r="D11" s="65" t="s">
        <v>959</v>
      </c>
      <c r="E11" s="77"/>
      <c r="F11" s="25"/>
      <c r="G11" s="16"/>
      <c r="H11" s="78"/>
      <c r="I11" s="18"/>
      <c r="J11" s="70">
        <v>5150.0</v>
      </c>
      <c r="K11" s="20"/>
      <c r="L11" s="57">
        <v>5150.0</v>
      </c>
      <c r="M11" s="22">
        <f t="shared" si="1"/>
        <v>0</v>
      </c>
    </row>
    <row r="12">
      <c r="A12" s="76">
        <v>8.0</v>
      </c>
      <c r="B12" s="65" t="s">
        <v>1175</v>
      </c>
      <c r="C12" s="65">
        <v>47787.0</v>
      </c>
      <c r="D12" s="65" t="s">
        <v>161</v>
      </c>
      <c r="E12" s="77"/>
      <c r="F12" s="25"/>
      <c r="G12" s="16"/>
      <c r="H12" s="78"/>
      <c r="I12" s="18">
        <v>10000.0</v>
      </c>
      <c r="J12" s="68"/>
      <c r="K12" s="20"/>
      <c r="L12" s="57">
        <v>10000.0</v>
      </c>
      <c r="M12" s="22">
        <f t="shared" si="1"/>
        <v>0</v>
      </c>
    </row>
    <row r="13">
      <c r="A13" s="76">
        <v>9.0</v>
      </c>
      <c r="B13" s="65" t="s">
        <v>1176</v>
      </c>
      <c r="C13" s="65">
        <v>51017.0</v>
      </c>
      <c r="D13" s="65" t="s">
        <v>477</v>
      </c>
      <c r="E13" s="77"/>
      <c r="F13" s="25"/>
      <c r="G13" s="16"/>
      <c r="H13" s="78">
        <v>2000.0</v>
      </c>
      <c r="I13" s="18"/>
      <c r="J13" s="68"/>
      <c r="K13" s="20"/>
      <c r="L13" s="57">
        <v>2000.0</v>
      </c>
      <c r="M13" s="22">
        <f t="shared" si="1"/>
        <v>0</v>
      </c>
    </row>
    <row r="14">
      <c r="A14" s="76">
        <v>10.0</v>
      </c>
      <c r="B14" s="65" t="s">
        <v>1177</v>
      </c>
      <c r="C14" s="65">
        <v>42112.0</v>
      </c>
      <c r="D14" s="65" t="s">
        <v>1178</v>
      </c>
      <c r="E14" s="77"/>
      <c r="F14" s="25"/>
      <c r="G14" s="16"/>
      <c r="H14" s="78"/>
      <c r="I14" s="18">
        <v>5000.0</v>
      </c>
      <c r="J14" s="68"/>
      <c r="K14" s="20"/>
      <c r="L14" s="57">
        <v>5000.0</v>
      </c>
      <c r="M14" s="22">
        <f t="shared" si="1"/>
        <v>0</v>
      </c>
    </row>
    <row r="15">
      <c r="A15" s="76">
        <v>11.0</v>
      </c>
      <c r="B15" s="65" t="s">
        <v>1179</v>
      </c>
      <c r="C15" s="65">
        <v>56365.0</v>
      </c>
      <c r="D15" s="65" t="s">
        <v>1180</v>
      </c>
      <c r="E15" s="77"/>
      <c r="F15" s="25"/>
      <c r="G15" s="16"/>
      <c r="H15" s="78"/>
      <c r="I15" s="18">
        <v>5000.0</v>
      </c>
      <c r="J15" s="68"/>
      <c r="K15" s="20"/>
      <c r="L15" s="57">
        <v>5000.0</v>
      </c>
      <c r="M15" s="22">
        <f t="shared" si="1"/>
        <v>0</v>
      </c>
    </row>
    <row r="16">
      <c r="A16" s="76">
        <v>12.0</v>
      </c>
      <c r="B16" s="65" t="s">
        <v>1181</v>
      </c>
      <c r="C16" s="65">
        <v>50007.0</v>
      </c>
      <c r="D16" s="65" t="s">
        <v>1182</v>
      </c>
      <c r="E16" s="77"/>
      <c r="F16" s="25"/>
      <c r="G16" s="16"/>
      <c r="H16" s="78"/>
      <c r="I16" s="18">
        <v>5000.0</v>
      </c>
      <c r="J16" s="70"/>
      <c r="K16" s="20"/>
      <c r="L16" s="57">
        <v>5000.0</v>
      </c>
      <c r="M16" s="22">
        <f t="shared" si="1"/>
        <v>0</v>
      </c>
    </row>
    <row r="17">
      <c r="A17" s="76">
        <v>13.0</v>
      </c>
      <c r="B17" s="65" t="s">
        <v>1183</v>
      </c>
      <c r="C17" s="65">
        <v>10320.0</v>
      </c>
      <c r="D17" s="65" t="s">
        <v>84</v>
      </c>
      <c r="E17" s="77"/>
      <c r="F17" s="25"/>
      <c r="G17" s="16"/>
      <c r="H17" s="78">
        <v>5000.0</v>
      </c>
      <c r="I17" s="24"/>
      <c r="J17" s="68"/>
      <c r="K17" s="20"/>
      <c r="L17" s="57">
        <v>5000.0</v>
      </c>
      <c r="M17" s="22">
        <f t="shared" si="1"/>
        <v>0</v>
      </c>
    </row>
    <row r="18">
      <c r="A18" s="76">
        <v>14.0</v>
      </c>
      <c r="B18" s="65" t="s">
        <v>1184</v>
      </c>
      <c r="C18" s="65">
        <v>53717.0</v>
      </c>
      <c r="D18" s="65" t="s">
        <v>221</v>
      </c>
      <c r="E18" s="79"/>
      <c r="F18" s="25"/>
      <c r="G18" s="16"/>
      <c r="H18" s="78"/>
      <c r="I18" s="18">
        <v>15000.0</v>
      </c>
      <c r="J18" s="68"/>
      <c r="K18" s="20"/>
      <c r="L18" s="57">
        <v>15000.0</v>
      </c>
      <c r="M18" s="22">
        <f t="shared" si="1"/>
        <v>0</v>
      </c>
    </row>
    <row r="19">
      <c r="A19" s="76">
        <v>15.0</v>
      </c>
      <c r="B19" s="65" t="s">
        <v>1185</v>
      </c>
      <c r="C19" s="65">
        <v>10001.0</v>
      </c>
      <c r="D19" s="65" t="s">
        <v>46</v>
      </c>
      <c r="E19" s="79"/>
      <c r="F19" s="25"/>
      <c r="G19" s="16"/>
      <c r="H19" s="78">
        <v>950.0</v>
      </c>
      <c r="I19" s="18"/>
      <c r="J19" s="68"/>
      <c r="K19" s="20"/>
      <c r="L19" s="57">
        <v>950.0</v>
      </c>
      <c r="M19" s="22">
        <f t="shared" si="1"/>
        <v>0</v>
      </c>
    </row>
    <row r="20">
      <c r="A20" s="76">
        <v>16.0</v>
      </c>
      <c r="B20" s="65" t="s">
        <v>1186</v>
      </c>
      <c r="C20" s="65">
        <v>52419.0</v>
      </c>
      <c r="D20" s="65" t="s">
        <v>1187</v>
      </c>
      <c r="E20" s="77"/>
      <c r="F20" s="25"/>
      <c r="G20" s="16"/>
      <c r="H20" s="78">
        <v>5000.0</v>
      </c>
      <c r="I20" s="18"/>
      <c r="J20" s="68"/>
      <c r="K20" s="20"/>
      <c r="L20" s="57">
        <v>5000.0</v>
      </c>
      <c r="M20" s="22">
        <f t="shared" si="1"/>
        <v>0</v>
      </c>
    </row>
    <row r="21">
      <c r="A21" s="76">
        <v>17.0</v>
      </c>
      <c r="B21" s="65" t="s">
        <v>1188</v>
      </c>
      <c r="C21" s="65">
        <v>42095.0</v>
      </c>
      <c r="D21" s="65" t="s">
        <v>816</v>
      </c>
      <c r="E21" s="77"/>
      <c r="F21" s="25"/>
      <c r="G21" s="16"/>
      <c r="H21" s="78">
        <v>3600.0</v>
      </c>
      <c r="I21" s="18"/>
      <c r="J21" s="68"/>
      <c r="K21" s="20"/>
      <c r="L21" s="57">
        <v>3600.0</v>
      </c>
      <c r="M21" s="22">
        <f t="shared" si="1"/>
        <v>0</v>
      </c>
    </row>
    <row r="22">
      <c r="A22" s="76">
        <v>18.0</v>
      </c>
      <c r="B22" s="65" t="s">
        <v>1189</v>
      </c>
      <c r="C22" s="65">
        <v>52947.0</v>
      </c>
      <c r="D22" s="65" t="s">
        <v>1190</v>
      </c>
      <c r="E22" s="77"/>
      <c r="F22" s="25"/>
      <c r="G22" s="16"/>
      <c r="H22" s="78">
        <v>5000.0</v>
      </c>
      <c r="I22" s="18"/>
      <c r="J22" s="68"/>
      <c r="K22" s="20"/>
      <c r="L22" s="57">
        <v>5000.0</v>
      </c>
      <c r="M22" s="22">
        <f t="shared" si="1"/>
        <v>0</v>
      </c>
    </row>
    <row r="23">
      <c r="A23" s="76">
        <v>19.0</v>
      </c>
      <c r="B23" s="65" t="s">
        <v>1191</v>
      </c>
      <c r="C23" s="65">
        <v>21818.0</v>
      </c>
      <c r="D23" s="65" t="s">
        <v>82</v>
      </c>
      <c r="E23" s="77"/>
      <c r="F23" s="25"/>
      <c r="G23" s="16"/>
      <c r="H23" s="78">
        <v>200.0</v>
      </c>
      <c r="I23" s="18"/>
      <c r="J23" s="68"/>
      <c r="K23" s="20"/>
      <c r="L23" s="57">
        <v>200.0</v>
      </c>
      <c r="M23" s="22">
        <f t="shared" si="1"/>
        <v>0</v>
      </c>
    </row>
    <row r="24">
      <c r="A24" s="76">
        <v>20.0</v>
      </c>
      <c r="B24" s="65" t="s">
        <v>1192</v>
      </c>
      <c r="C24" s="65">
        <v>53663.0</v>
      </c>
      <c r="D24" s="65" t="s">
        <v>1193</v>
      </c>
      <c r="E24" s="77"/>
      <c r="F24" s="25"/>
      <c r="G24" s="16"/>
      <c r="H24" s="78"/>
      <c r="I24" s="18">
        <v>100.0</v>
      </c>
      <c r="J24" s="68"/>
      <c r="K24" s="20"/>
      <c r="L24" s="57">
        <v>100.0</v>
      </c>
      <c r="M24" s="22">
        <f t="shared" si="1"/>
        <v>0</v>
      </c>
    </row>
    <row r="25">
      <c r="A25" s="76">
        <v>21.0</v>
      </c>
      <c r="B25" s="65" t="s">
        <v>1194</v>
      </c>
      <c r="C25" s="65">
        <v>50967.0</v>
      </c>
      <c r="D25" s="65" t="s">
        <v>1195</v>
      </c>
      <c r="E25" s="77"/>
      <c r="F25" s="25"/>
      <c r="G25" s="16"/>
      <c r="H25" s="78">
        <v>2650.0</v>
      </c>
      <c r="I25" s="18"/>
      <c r="J25" s="68"/>
      <c r="K25" s="20"/>
      <c r="L25" s="57">
        <v>2650.0</v>
      </c>
      <c r="M25" s="22">
        <f t="shared" si="1"/>
        <v>0</v>
      </c>
    </row>
    <row r="26">
      <c r="A26" s="76">
        <v>22.0</v>
      </c>
      <c r="B26" s="65" t="s">
        <v>1196</v>
      </c>
      <c r="C26" s="65">
        <v>10249.0</v>
      </c>
      <c r="D26" s="65" t="s">
        <v>367</v>
      </c>
      <c r="E26" s="77"/>
      <c r="F26" s="25"/>
      <c r="G26" s="16"/>
      <c r="H26" s="78"/>
      <c r="I26" s="18">
        <v>700.0</v>
      </c>
      <c r="J26" s="70"/>
      <c r="K26" s="20"/>
      <c r="L26" s="57">
        <v>700.0</v>
      </c>
      <c r="M26" s="22">
        <f t="shared" si="1"/>
        <v>0</v>
      </c>
    </row>
    <row r="27">
      <c r="A27" s="76">
        <v>23.0</v>
      </c>
      <c r="B27" s="65" t="s">
        <v>1197</v>
      </c>
      <c r="C27" s="65">
        <v>50593.0</v>
      </c>
      <c r="D27" s="65" t="s">
        <v>288</v>
      </c>
      <c r="E27" s="77"/>
      <c r="F27" s="25"/>
      <c r="G27" s="16"/>
      <c r="H27" s="78">
        <v>35000.0</v>
      </c>
      <c r="I27" s="18"/>
      <c r="J27" s="68"/>
      <c r="K27" s="20"/>
      <c r="L27" s="57">
        <v>35000.0</v>
      </c>
      <c r="M27" s="22">
        <f t="shared" si="1"/>
        <v>0</v>
      </c>
    </row>
    <row r="28">
      <c r="A28" s="76">
        <v>24.0</v>
      </c>
      <c r="B28" s="65" t="s">
        <v>1198</v>
      </c>
      <c r="C28" s="65">
        <v>22332.0</v>
      </c>
      <c r="D28" s="65" t="s">
        <v>78</v>
      </c>
      <c r="E28" s="77"/>
      <c r="F28" s="25"/>
      <c r="G28" s="16"/>
      <c r="H28" s="78">
        <v>2900.0</v>
      </c>
      <c r="I28" s="18"/>
      <c r="J28" s="68"/>
      <c r="K28" s="20"/>
      <c r="L28" s="57">
        <v>2900.0</v>
      </c>
      <c r="M28" s="22">
        <f t="shared" si="1"/>
        <v>0</v>
      </c>
    </row>
    <row r="29">
      <c r="A29" s="76">
        <v>25.0</v>
      </c>
      <c r="B29" s="65" t="s">
        <v>1199</v>
      </c>
      <c r="C29" s="65">
        <v>49682.0</v>
      </c>
      <c r="D29" s="65" t="s">
        <v>322</v>
      </c>
      <c r="E29" s="77"/>
      <c r="F29" s="25"/>
      <c r="G29" s="16"/>
      <c r="H29" s="78">
        <v>300.0</v>
      </c>
      <c r="I29" s="18"/>
      <c r="J29" s="68"/>
      <c r="K29" s="20"/>
      <c r="L29" s="57">
        <v>300.0</v>
      </c>
      <c r="M29" s="22">
        <f t="shared" si="1"/>
        <v>0</v>
      </c>
    </row>
    <row r="30">
      <c r="A30" s="76">
        <v>26.0</v>
      </c>
      <c r="B30" s="65" t="s">
        <v>1200</v>
      </c>
      <c r="C30" s="65">
        <v>21384.0</v>
      </c>
      <c r="D30" s="65" t="s">
        <v>151</v>
      </c>
      <c r="E30" s="77"/>
      <c r="F30" s="25"/>
      <c r="G30" s="16"/>
      <c r="H30" s="78">
        <v>1250.0</v>
      </c>
      <c r="I30" s="18"/>
      <c r="J30" s="68"/>
      <c r="K30" s="20"/>
      <c r="L30" s="57">
        <v>1250.0</v>
      </c>
      <c r="M30" s="22">
        <f t="shared" si="1"/>
        <v>0</v>
      </c>
    </row>
    <row r="31">
      <c r="A31" s="76">
        <v>27.0</v>
      </c>
      <c r="B31" s="65" t="s">
        <v>1201</v>
      </c>
      <c r="C31" s="65">
        <v>50265.0</v>
      </c>
      <c r="D31" s="65" t="s">
        <v>1202</v>
      </c>
      <c r="E31" s="77"/>
      <c r="F31" s="25"/>
      <c r="G31" s="16"/>
      <c r="H31" s="78"/>
      <c r="I31" s="18">
        <v>300.0</v>
      </c>
      <c r="J31" s="68"/>
      <c r="K31" s="20"/>
      <c r="L31" s="57">
        <v>300.0</v>
      </c>
      <c r="M31" s="22">
        <f t="shared" si="1"/>
        <v>0</v>
      </c>
    </row>
    <row r="32">
      <c r="A32" s="76">
        <v>28.0</v>
      </c>
      <c r="B32" s="65" t="s">
        <v>1203</v>
      </c>
      <c r="C32" s="65">
        <v>48631.0</v>
      </c>
      <c r="D32" s="65" t="s">
        <v>123</v>
      </c>
      <c r="E32" s="77"/>
      <c r="F32" s="25"/>
      <c r="G32" s="16"/>
      <c r="H32" s="78">
        <v>12100.0</v>
      </c>
      <c r="I32" s="18"/>
      <c r="J32" s="70"/>
      <c r="K32" s="20"/>
      <c r="L32" s="57">
        <v>12100.0</v>
      </c>
      <c r="M32" s="22">
        <f t="shared" si="1"/>
        <v>0</v>
      </c>
    </row>
    <row r="33">
      <c r="A33" s="76">
        <v>29.0</v>
      </c>
      <c r="B33" s="65" t="s">
        <v>1204</v>
      </c>
      <c r="C33" s="65">
        <v>52669.0</v>
      </c>
      <c r="D33" s="65" t="s">
        <v>42</v>
      </c>
      <c r="E33" s="77"/>
      <c r="F33" s="25"/>
      <c r="G33" s="16"/>
      <c r="H33" s="78">
        <v>448.0</v>
      </c>
      <c r="I33" s="18"/>
      <c r="J33" s="68"/>
      <c r="K33" s="20"/>
      <c r="L33" s="57">
        <v>448.0</v>
      </c>
      <c r="M33" s="22">
        <f t="shared" si="1"/>
        <v>0</v>
      </c>
    </row>
    <row r="34">
      <c r="A34" s="76">
        <v>30.0</v>
      </c>
      <c r="B34" s="65" t="s">
        <v>1205</v>
      </c>
      <c r="C34" s="65">
        <v>50074.0</v>
      </c>
      <c r="D34" s="65" t="s">
        <v>1206</v>
      </c>
      <c r="E34" s="77"/>
      <c r="F34" s="25"/>
      <c r="G34" s="16"/>
      <c r="H34" s="78">
        <v>453.0</v>
      </c>
      <c r="I34" s="18"/>
      <c r="J34" s="68"/>
      <c r="K34" s="20"/>
      <c r="L34" s="57">
        <v>453.0</v>
      </c>
      <c r="M34" s="22">
        <f t="shared" si="1"/>
        <v>0</v>
      </c>
    </row>
    <row r="35">
      <c r="A35" s="76">
        <v>31.0</v>
      </c>
      <c r="B35" s="65" t="s">
        <v>1207</v>
      </c>
      <c r="C35" s="65">
        <v>46778.0</v>
      </c>
      <c r="D35" s="65" t="s">
        <v>262</v>
      </c>
      <c r="E35" s="77"/>
      <c r="F35" s="25"/>
      <c r="G35" s="16"/>
      <c r="H35" s="78">
        <v>11750.0</v>
      </c>
      <c r="I35" s="18"/>
      <c r="J35" s="68"/>
      <c r="K35" s="20"/>
      <c r="L35" s="57">
        <v>11750.0</v>
      </c>
      <c r="M35" s="22">
        <f t="shared" si="1"/>
        <v>0</v>
      </c>
    </row>
    <row r="36">
      <c r="A36" s="76">
        <v>32.0</v>
      </c>
      <c r="B36" s="65" t="s">
        <v>1208</v>
      </c>
      <c r="C36" s="65">
        <v>21384.0</v>
      </c>
      <c r="D36" s="65" t="s">
        <v>151</v>
      </c>
      <c r="E36" s="79">
        <v>200.0</v>
      </c>
      <c r="F36" s="25"/>
      <c r="G36" s="16"/>
      <c r="H36" s="78"/>
      <c r="I36" s="18"/>
      <c r="J36" s="70"/>
      <c r="K36" s="20"/>
      <c r="L36" s="57">
        <v>200.0</v>
      </c>
      <c r="M36" s="22">
        <f t="shared" si="1"/>
        <v>0</v>
      </c>
    </row>
    <row r="37">
      <c r="A37" s="76">
        <v>33.0</v>
      </c>
      <c r="B37" s="65" t="s">
        <v>1209</v>
      </c>
      <c r="C37" s="65">
        <v>51106.0</v>
      </c>
      <c r="D37" s="65" t="s">
        <v>1210</v>
      </c>
      <c r="E37" s="77"/>
      <c r="F37" s="25"/>
      <c r="G37" s="16"/>
      <c r="H37" s="78">
        <v>5150.0</v>
      </c>
      <c r="I37" s="18"/>
      <c r="J37" s="68"/>
      <c r="K37" s="20"/>
      <c r="L37" s="57">
        <v>5150.0</v>
      </c>
      <c r="M37" s="22">
        <f t="shared" si="1"/>
        <v>0</v>
      </c>
    </row>
    <row r="38">
      <c r="A38" s="76">
        <v>34.0</v>
      </c>
      <c r="B38" s="65" t="s">
        <v>1211</v>
      </c>
      <c r="C38" s="65">
        <v>55446.0</v>
      </c>
      <c r="D38" s="65" t="s">
        <v>336</v>
      </c>
      <c r="E38" s="77"/>
      <c r="F38" s="25"/>
      <c r="G38" s="16"/>
      <c r="H38" s="78">
        <v>1600.0</v>
      </c>
      <c r="I38" s="18"/>
      <c r="J38" s="68"/>
      <c r="K38" s="20"/>
      <c r="L38" s="57">
        <v>1600.0</v>
      </c>
      <c r="M38" s="22">
        <f t="shared" si="1"/>
        <v>0</v>
      </c>
    </row>
    <row r="39">
      <c r="A39" s="76">
        <v>35.0</v>
      </c>
      <c r="B39" s="65" t="s">
        <v>1212</v>
      </c>
      <c r="C39" s="65">
        <v>21384.0</v>
      </c>
      <c r="D39" s="65" t="s">
        <v>151</v>
      </c>
      <c r="E39" s="79">
        <v>100.0</v>
      </c>
      <c r="F39" s="25"/>
      <c r="G39" s="16"/>
      <c r="H39" s="78"/>
      <c r="I39" s="18"/>
      <c r="J39" s="68"/>
      <c r="K39" s="20"/>
      <c r="L39" s="57">
        <v>100.0</v>
      </c>
      <c r="M39" s="22">
        <f t="shared" si="1"/>
        <v>0</v>
      </c>
    </row>
    <row r="40">
      <c r="A40" s="76">
        <v>36.0</v>
      </c>
      <c r="B40" s="65" t="s">
        <v>1213</v>
      </c>
      <c r="C40" s="65">
        <v>52698.0</v>
      </c>
      <c r="D40" s="65" t="s">
        <v>1214</v>
      </c>
      <c r="E40" s="77"/>
      <c r="F40" s="25"/>
      <c r="G40" s="16"/>
      <c r="H40" s="78">
        <v>5150.0</v>
      </c>
      <c r="I40" s="18"/>
      <c r="J40" s="68"/>
      <c r="K40" s="20"/>
      <c r="L40" s="57">
        <v>5150.0</v>
      </c>
      <c r="M40" s="22">
        <f t="shared" si="1"/>
        <v>0</v>
      </c>
    </row>
    <row r="41">
      <c r="A41" s="76">
        <v>37.0</v>
      </c>
      <c r="B41" s="65" t="s">
        <v>1215</v>
      </c>
      <c r="C41" s="65">
        <v>42071.0</v>
      </c>
      <c r="D41" s="65" t="s">
        <v>905</v>
      </c>
      <c r="E41" s="77"/>
      <c r="F41" s="25"/>
      <c r="G41" s="16"/>
      <c r="H41" s="78"/>
      <c r="I41" s="18">
        <v>15000.0</v>
      </c>
      <c r="J41" s="68"/>
      <c r="K41" s="20"/>
      <c r="L41" s="57">
        <v>15000.0</v>
      </c>
      <c r="M41" s="22">
        <f t="shared" si="1"/>
        <v>0</v>
      </c>
    </row>
    <row r="42">
      <c r="A42" s="76">
        <v>38.0</v>
      </c>
      <c r="B42" s="65" t="s">
        <v>1216</v>
      </c>
      <c r="C42" s="65">
        <v>56408.0</v>
      </c>
      <c r="D42" s="65" t="s">
        <v>1217</v>
      </c>
      <c r="E42" s="79">
        <v>300.0</v>
      </c>
      <c r="F42" s="25"/>
      <c r="G42" s="16"/>
      <c r="H42" s="78"/>
      <c r="J42" s="68"/>
      <c r="K42" s="20"/>
      <c r="L42" s="57">
        <v>300.0</v>
      </c>
      <c r="M42" s="22">
        <f t="shared" si="1"/>
        <v>0</v>
      </c>
    </row>
    <row r="43">
      <c r="A43" s="76">
        <v>39.0</v>
      </c>
      <c r="B43" s="65" t="s">
        <v>1218</v>
      </c>
      <c r="C43" s="65">
        <v>38098.0</v>
      </c>
      <c r="D43" s="65" t="s">
        <v>914</v>
      </c>
      <c r="E43" s="77"/>
      <c r="F43" s="25"/>
      <c r="G43" s="16"/>
      <c r="H43" s="78">
        <v>100.0</v>
      </c>
      <c r="I43" s="18"/>
      <c r="J43" s="68"/>
      <c r="K43" s="20"/>
      <c r="L43" s="57">
        <v>100.0</v>
      </c>
      <c r="M43" s="22">
        <f t="shared" si="1"/>
        <v>0</v>
      </c>
    </row>
    <row r="44">
      <c r="A44" s="76">
        <v>40.0</v>
      </c>
      <c r="B44" s="65" t="s">
        <v>1219</v>
      </c>
      <c r="C44" s="65">
        <v>40630.0</v>
      </c>
      <c r="D44" s="65" t="s">
        <v>1220</v>
      </c>
      <c r="E44" s="77"/>
      <c r="F44" s="25"/>
      <c r="G44" s="16"/>
      <c r="H44" s="78"/>
      <c r="I44" s="18">
        <v>4450.0</v>
      </c>
      <c r="J44" s="68"/>
      <c r="K44" s="20"/>
      <c r="L44" s="57">
        <v>4450.0</v>
      </c>
      <c r="M44" s="22">
        <f t="shared" si="1"/>
        <v>0</v>
      </c>
    </row>
    <row r="45">
      <c r="A45" s="76">
        <v>41.0</v>
      </c>
      <c r="B45" s="65" t="s">
        <v>1221</v>
      </c>
      <c r="C45" s="65">
        <v>31927.0</v>
      </c>
      <c r="D45" s="65" t="s">
        <v>275</v>
      </c>
      <c r="E45" s="77"/>
      <c r="F45" s="25"/>
      <c r="G45" s="16"/>
      <c r="H45" s="78">
        <v>6400.0</v>
      </c>
      <c r="I45" s="18"/>
      <c r="J45" s="68"/>
      <c r="K45" s="20"/>
      <c r="L45" s="57">
        <v>6400.0</v>
      </c>
      <c r="M45" s="22">
        <f t="shared" si="1"/>
        <v>0</v>
      </c>
    </row>
    <row r="46">
      <c r="A46" s="76">
        <v>42.0</v>
      </c>
      <c r="B46" s="65" t="s">
        <v>1222</v>
      </c>
      <c r="C46" s="65">
        <v>51192.0</v>
      </c>
      <c r="D46" s="65" t="s">
        <v>1223</v>
      </c>
      <c r="E46" s="79"/>
      <c r="F46" s="25"/>
      <c r="G46" s="16"/>
      <c r="H46" s="78">
        <v>1400.0</v>
      </c>
      <c r="I46" s="18"/>
      <c r="J46" s="68"/>
      <c r="K46" s="20"/>
      <c r="L46" s="57">
        <v>1400.0</v>
      </c>
      <c r="M46" s="22">
        <f t="shared" si="1"/>
        <v>0</v>
      </c>
    </row>
    <row r="47">
      <c r="A47" s="76">
        <v>43.0</v>
      </c>
      <c r="B47" s="65" t="s">
        <v>1224</v>
      </c>
      <c r="C47" s="65">
        <v>55160.0</v>
      </c>
      <c r="D47" s="65" t="s">
        <v>1225</v>
      </c>
      <c r="E47" s="79"/>
      <c r="F47" s="25"/>
      <c r="G47" s="16"/>
      <c r="H47" s="78">
        <v>27000.0</v>
      </c>
      <c r="I47" s="18"/>
      <c r="J47" s="68"/>
      <c r="K47" s="20"/>
      <c r="L47" s="57">
        <v>27000.0</v>
      </c>
      <c r="M47" s="22">
        <f t="shared" si="1"/>
        <v>0</v>
      </c>
    </row>
    <row r="48">
      <c r="A48" s="76">
        <v>44.0</v>
      </c>
      <c r="B48" s="65" t="s">
        <v>1226</v>
      </c>
      <c r="C48" s="65">
        <v>53093.0</v>
      </c>
      <c r="D48" s="65" t="s">
        <v>1227</v>
      </c>
      <c r="E48" s="77"/>
      <c r="F48" s="25"/>
      <c r="G48" s="16"/>
      <c r="H48" s="78"/>
      <c r="I48" s="18">
        <v>10000.0</v>
      </c>
      <c r="J48" s="68"/>
      <c r="K48" s="20"/>
      <c r="L48" s="57">
        <v>10000.0</v>
      </c>
      <c r="M48" s="22">
        <f t="shared" si="1"/>
        <v>0</v>
      </c>
    </row>
    <row r="49">
      <c r="A49" s="76">
        <v>45.0</v>
      </c>
      <c r="B49" s="65" t="s">
        <v>1228</v>
      </c>
      <c r="C49" s="65">
        <v>39317.0</v>
      </c>
      <c r="D49" s="65" t="s">
        <v>318</v>
      </c>
      <c r="E49" s="77"/>
      <c r="F49" s="25"/>
      <c r="G49" s="16"/>
      <c r="H49" s="78"/>
      <c r="I49" s="18">
        <v>2650.0</v>
      </c>
      <c r="J49" s="68"/>
      <c r="K49" s="20"/>
      <c r="L49" s="57">
        <v>2650.0</v>
      </c>
      <c r="M49" s="22">
        <f t="shared" si="1"/>
        <v>0</v>
      </c>
    </row>
    <row r="50">
      <c r="A50" s="76">
        <v>46.0</v>
      </c>
      <c r="B50" s="65" t="s">
        <v>1229</v>
      </c>
      <c r="C50" s="65">
        <v>47787.0</v>
      </c>
      <c r="D50" s="65" t="s">
        <v>161</v>
      </c>
      <c r="E50" s="79"/>
      <c r="F50" s="25"/>
      <c r="G50" s="16"/>
      <c r="H50" s="78">
        <v>1250.0</v>
      </c>
      <c r="I50" s="18"/>
      <c r="J50" s="68"/>
      <c r="K50" s="20"/>
      <c r="L50" s="57">
        <v>1250.0</v>
      </c>
      <c r="M50" s="22">
        <f t="shared" si="1"/>
        <v>0</v>
      </c>
    </row>
    <row r="51">
      <c r="A51" s="76">
        <v>47.0</v>
      </c>
      <c r="B51" s="65" t="s">
        <v>1230</v>
      </c>
      <c r="C51" s="65">
        <v>50222.0</v>
      </c>
      <c r="D51" s="65" t="s">
        <v>504</v>
      </c>
      <c r="E51" s="77"/>
      <c r="F51" s="25"/>
      <c r="G51" s="16"/>
      <c r="H51" s="78">
        <v>1445.0</v>
      </c>
      <c r="I51" s="18"/>
      <c r="J51" s="70"/>
      <c r="K51" s="20"/>
      <c r="L51" s="57">
        <v>1445.0</v>
      </c>
      <c r="M51" s="22">
        <f t="shared" si="1"/>
        <v>0</v>
      </c>
    </row>
    <row r="52">
      <c r="A52" s="76">
        <v>48.0</v>
      </c>
      <c r="B52" s="65" t="s">
        <v>1231</v>
      </c>
      <c r="C52" s="65">
        <v>34920.0</v>
      </c>
      <c r="D52" s="65" t="s">
        <v>363</v>
      </c>
      <c r="E52" s="77"/>
      <c r="F52" s="25"/>
      <c r="G52" s="16"/>
      <c r="H52" s="78">
        <v>1400.0</v>
      </c>
      <c r="I52" s="18"/>
      <c r="J52" s="70"/>
      <c r="K52" s="20"/>
      <c r="L52" s="57">
        <v>1400.0</v>
      </c>
      <c r="M52" s="22">
        <f t="shared" si="1"/>
        <v>0</v>
      </c>
    </row>
    <row r="53">
      <c r="A53" s="76">
        <v>49.0</v>
      </c>
      <c r="B53" s="65" t="s">
        <v>1232</v>
      </c>
      <c r="C53" s="65">
        <v>50243.0</v>
      </c>
      <c r="D53" s="65" t="s">
        <v>840</v>
      </c>
      <c r="E53" s="79"/>
      <c r="F53" s="25"/>
      <c r="G53" s="16"/>
      <c r="H53" s="78">
        <v>8750.0</v>
      </c>
      <c r="I53" s="18"/>
      <c r="J53" s="68"/>
      <c r="K53" s="20"/>
      <c r="L53" s="57">
        <v>8750.0</v>
      </c>
      <c r="M53" s="22">
        <f t="shared" si="1"/>
        <v>0</v>
      </c>
    </row>
    <row r="54">
      <c r="A54" s="76">
        <v>50.0</v>
      </c>
      <c r="B54" s="65" t="s">
        <v>1233</v>
      </c>
      <c r="C54" s="65">
        <v>10250.0</v>
      </c>
      <c r="D54" s="65" t="s">
        <v>115</v>
      </c>
      <c r="E54" s="77"/>
      <c r="F54" s="25"/>
      <c r="G54" s="16"/>
      <c r="H54" s="78"/>
      <c r="I54" s="18">
        <v>2650.0</v>
      </c>
      <c r="J54" s="68"/>
      <c r="K54" s="20"/>
      <c r="L54" s="57">
        <v>2650.0</v>
      </c>
      <c r="M54" s="22">
        <f t="shared" si="1"/>
        <v>0</v>
      </c>
    </row>
    <row r="55">
      <c r="A55" s="76">
        <v>51.0</v>
      </c>
      <c r="B55" s="65" t="s">
        <v>1234</v>
      </c>
      <c r="C55" s="65">
        <v>31738.0</v>
      </c>
      <c r="D55" s="65" t="s">
        <v>277</v>
      </c>
      <c r="E55" s="77"/>
      <c r="F55" s="25"/>
      <c r="G55" s="16"/>
      <c r="H55" s="78">
        <v>5150.0</v>
      </c>
      <c r="I55" s="18"/>
      <c r="J55" s="68"/>
      <c r="K55" s="20"/>
      <c r="L55" s="57">
        <v>5150.0</v>
      </c>
      <c r="M55" s="22">
        <f t="shared" si="1"/>
        <v>0</v>
      </c>
    </row>
    <row r="56">
      <c r="A56" s="76">
        <v>52.0</v>
      </c>
      <c r="B56" s="65" t="s">
        <v>1235</v>
      </c>
      <c r="C56" s="65">
        <v>50537.0</v>
      </c>
      <c r="D56" s="65" t="s">
        <v>1236</v>
      </c>
      <c r="E56" s="79">
        <v>5000.0</v>
      </c>
      <c r="F56" s="25"/>
      <c r="G56" s="16"/>
      <c r="H56" s="78"/>
      <c r="I56" s="18"/>
      <c r="J56" s="68"/>
      <c r="K56" s="20"/>
      <c r="L56" s="57">
        <v>5000.0</v>
      </c>
      <c r="M56" s="22">
        <f t="shared" si="1"/>
        <v>0</v>
      </c>
    </row>
    <row r="57">
      <c r="A57" s="76">
        <v>53.0</v>
      </c>
      <c r="B57" s="65" t="s">
        <v>1237</v>
      </c>
      <c r="C57" s="65">
        <v>21384.0</v>
      </c>
      <c r="D57" s="65" t="s">
        <v>151</v>
      </c>
      <c r="E57" s="79"/>
      <c r="F57" s="25">
        <v>5000.0</v>
      </c>
      <c r="G57" s="16"/>
      <c r="H57" s="78"/>
      <c r="I57" s="18"/>
      <c r="J57" s="68"/>
      <c r="K57" s="20"/>
      <c r="L57" s="57">
        <v>5000.0</v>
      </c>
      <c r="M57" s="22">
        <f t="shared" si="1"/>
        <v>0</v>
      </c>
    </row>
    <row r="58">
      <c r="A58" s="76">
        <v>54.0</v>
      </c>
      <c r="B58" s="65" t="s">
        <v>1238</v>
      </c>
      <c r="C58" s="65">
        <v>21384.0</v>
      </c>
      <c r="D58" s="65" t="s">
        <v>151</v>
      </c>
      <c r="E58" s="79">
        <v>3500.0</v>
      </c>
      <c r="F58" s="25"/>
      <c r="G58" s="16"/>
      <c r="H58" s="78">
        <v>400.0</v>
      </c>
      <c r="I58" s="18"/>
      <c r="J58" s="68"/>
      <c r="K58" s="20"/>
      <c r="L58" s="57">
        <v>3900.0</v>
      </c>
      <c r="M58" s="22">
        <f t="shared" si="1"/>
        <v>0</v>
      </c>
    </row>
    <row r="59">
      <c r="A59" s="76">
        <v>55.0</v>
      </c>
      <c r="B59" s="65" t="s">
        <v>1239</v>
      </c>
      <c r="C59" s="65">
        <v>35245.0</v>
      </c>
      <c r="D59" s="65" t="s">
        <v>330</v>
      </c>
      <c r="E59" s="77"/>
      <c r="F59" s="25"/>
      <c r="G59" s="28"/>
      <c r="H59" s="78">
        <v>17500.0</v>
      </c>
      <c r="I59" s="18"/>
      <c r="J59" s="68"/>
      <c r="K59" s="20"/>
      <c r="L59" s="57">
        <v>17500.0</v>
      </c>
      <c r="M59" s="22">
        <f t="shared" si="1"/>
        <v>0</v>
      </c>
    </row>
    <row r="60">
      <c r="A60" s="76">
        <v>56.0</v>
      </c>
      <c r="B60" s="65" t="s">
        <v>1240</v>
      </c>
      <c r="C60" s="65">
        <v>30895.0</v>
      </c>
      <c r="D60" s="65" t="s">
        <v>99</v>
      </c>
      <c r="E60" s="77"/>
      <c r="F60" s="25">
        <v>5000.0</v>
      </c>
      <c r="G60" s="28"/>
      <c r="H60" s="78"/>
      <c r="I60" s="18"/>
      <c r="J60" s="68"/>
      <c r="K60" s="20"/>
      <c r="L60" s="57">
        <v>5000.0</v>
      </c>
      <c r="M60" s="22">
        <f t="shared" si="1"/>
        <v>0</v>
      </c>
    </row>
    <row r="61">
      <c r="A61" s="76">
        <v>57.0</v>
      </c>
      <c r="B61" s="65" t="s">
        <v>1241</v>
      </c>
      <c r="C61" s="65">
        <v>30895.0</v>
      </c>
      <c r="D61" s="65" t="s">
        <v>99</v>
      </c>
      <c r="E61" s="77"/>
      <c r="F61" s="25">
        <v>1400.0</v>
      </c>
      <c r="G61" s="28"/>
      <c r="H61" s="78"/>
      <c r="I61" s="18"/>
      <c r="J61" s="68"/>
      <c r="K61" s="20"/>
      <c r="L61" s="57">
        <v>1400.0</v>
      </c>
      <c r="M61" s="22">
        <f t="shared" si="1"/>
        <v>0</v>
      </c>
    </row>
    <row r="62">
      <c r="A62" s="76">
        <v>58.0</v>
      </c>
      <c r="B62" s="65" t="s">
        <v>1242</v>
      </c>
      <c r="C62" s="65">
        <v>58146.0</v>
      </c>
      <c r="D62" s="65" t="s">
        <v>1243</v>
      </c>
      <c r="E62" s="77"/>
      <c r="F62" s="25"/>
      <c r="G62" s="28"/>
      <c r="H62" s="78">
        <v>27000.0</v>
      </c>
      <c r="I62" s="18"/>
      <c r="J62" s="68"/>
      <c r="K62" s="20"/>
      <c r="L62" s="57">
        <v>27000.0</v>
      </c>
      <c r="M62" s="22">
        <f t="shared" si="1"/>
        <v>0</v>
      </c>
    </row>
    <row r="63">
      <c r="A63" s="76">
        <v>59.0</v>
      </c>
      <c r="B63" s="65" t="s">
        <v>1244</v>
      </c>
      <c r="C63" s="65">
        <v>21384.0</v>
      </c>
      <c r="D63" s="65" t="s">
        <v>151</v>
      </c>
      <c r="E63" s="79">
        <v>1450.0</v>
      </c>
      <c r="F63" s="25"/>
      <c r="G63" s="28"/>
      <c r="H63" s="78"/>
      <c r="I63" s="18"/>
      <c r="J63" s="68"/>
      <c r="K63" s="20"/>
      <c r="L63" s="57">
        <v>1450.0</v>
      </c>
      <c r="M63" s="22">
        <f t="shared" si="1"/>
        <v>0</v>
      </c>
    </row>
    <row r="64">
      <c r="A64" s="76">
        <v>60.0</v>
      </c>
      <c r="B64" s="65" t="s">
        <v>1245</v>
      </c>
      <c r="C64" s="65">
        <v>21384.0</v>
      </c>
      <c r="D64" s="65" t="s">
        <v>151</v>
      </c>
      <c r="E64" s="77"/>
      <c r="F64" s="25">
        <v>1450.0</v>
      </c>
      <c r="G64" s="28"/>
      <c r="H64" s="78"/>
      <c r="I64" s="18"/>
      <c r="J64" s="68"/>
      <c r="K64" s="20"/>
      <c r="L64" s="57">
        <v>1450.0</v>
      </c>
      <c r="M64" s="22">
        <f t="shared" si="1"/>
        <v>0</v>
      </c>
    </row>
    <row r="65">
      <c r="A65" s="76">
        <v>61.0</v>
      </c>
      <c r="B65" s="65" t="s">
        <v>1246</v>
      </c>
      <c r="C65" s="65">
        <v>55762.0</v>
      </c>
      <c r="D65" s="65" t="s">
        <v>1247</v>
      </c>
      <c r="E65" s="77"/>
      <c r="F65" s="25"/>
      <c r="G65" s="28"/>
      <c r="H65" s="78"/>
      <c r="I65" s="18">
        <v>500.0</v>
      </c>
      <c r="J65" s="68"/>
      <c r="K65" s="20"/>
      <c r="L65" s="57">
        <v>500.0</v>
      </c>
      <c r="M65" s="22">
        <f t="shared" si="1"/>
        <v>0</v>
      </c>
    </row>
    <row r="66">
      <c r="A66" s="76">
        <v>62.0</v>
      </c>
      <c r="B66" s="65" t="s">
        <v>1248</v>
      </c>
      <c r="C66" s="65">
        <v>10250.0</v>
      </c>
      <c r="D66" s="65" t="s">
        <v>115</v>
      </c>
      <c r="E66" s="77"/>
      <c r="F66" s="25"/>
      <c r="G66" s="28"/>
      <c r="H66" s="78"/>
      <c r="I66" s="18">
        <v>5150.0</v>
      </c>
      <c r="J66" s="68"/>
      <c r="K66" s="20"/>
      <c r="L66" s="57">
        <v>5150.0</v>
      </c>
      <c r="M66" s="22">
        <f t="shared" si="1"/>
        <v>0</v>
      </c>
    </row>
    <row r="67">
      <c r="A67" s="76">
        <v>63.0</v>
      </c>
      <c r="B67" s="65" t="s">
        <v>1249</v>
      </c>
      <c r="C67" s="65">
        <v>54750.0</v>
      </c>
      <c r="D67" s="65" t="s">
        <v>1250</v>
      </c>
      <c r="E67" s="77"/>
      <c r="F67" s="25"/>
      <c r="G67" s="28"/>
      <c r="H67" s="78"/>
      <c r="I67" s="18">
        <v>5150.0</v>
      </c>
      <c r="J67" s="68"/>
      <c r="K67" s="20"/>
      <c r="L67" s="57">
        <v>5150.0</v>
      </c>
      <c r="M67" s="22">
        <f t="shared" si="1"/>
        <v>0</v>
      </c>
    </row>
    <row r="68">
      <c r="A68" s="76">
        <v>64.0</v>
      </c>
      <c r="B68" s="65" t="s">
        <v>1251</v>
      </c>
      <c r="C68" s="65">
        <v>21384.0</v>
      </c>
      <c r="D68" s="65" t="s">
        <v>151</v>
      </c>
      <c r="E68" s="77"/>
      <c r="F68" s="25"/>
      <c r="G68" s="28"/>
      <c r="H68" s="78">
        <v>6250.0</v>
      </c>
      <c r="I68" s="18"/>
      <c r="J68" s="68"/>
      <c r="K68" s="20"/>
      <c r="L68" s="57">
        <v>6250.0</v>
      </c>
      <c r="M68" s="22">
        <f t="shared" si="1"/>
        <v>0</v>
      </c>
    </row>
    <row r="69">
      <c r="A69" s="76">
        <v>65.0</v>
      </c>
      <c r="B69" s="65" t="s">
        <v>1252</v>
      </c>
      <c r="C69" s="65">
        <v>53874.0</v>
      </c>
      <c r="D69" s="65" t="s">
        <v>1253</v>
      </c>
      <c r="E69" s="77"/>
      <c r="F69" s="25"/>
      <c r="G69" s="28"/>
      <c r="H69" s="78"/>
      <c r="I69" s="18">
        <v>300.0</v>
      </c>
      <c r="J69" s="68"/>
      <c r="K69" s="20"/>
      <c r="L69" s="57">
        <v>300.0</v>
      </c>
      <c r="M69" s="22">
        <f t="shared" si="1"/>
        <v>0</v>
      </c>
    </row>
    <row r="70">
      <c r="A70" s="76">
        <v>66.0</v>
      </c>
      <c r="B70" s="65" t="s">
        <v>1254</v>
      </c>
      <c r="C70" s="65">
        <v>52755.0</v>
      </c>
      <c r="D70" s="65" t="s">
        <v>825</v>
      </c>
      <c r="E70" s="77"/>
      <c r="F70" s="25">
        <v>1250.0</v>
      </c>
      <c r="G70" s="28"/>
      <c r="H70" s="78"/>
      <c r="I70" s="18"/>
      <c r="J70" s="68"/>
      <c r="K70" s="20"/>
      <c r="L70" s="57">
        <v>1250.0</v>
      </c>
      <c r="M70" s="22">
        <f t="shared" si="1"/>
        <v>0</v>
      </c>
    </row>
    <row r="71">
      <c r="A71" s="76">
        <v>67.0</v>
      </c>
      <c r="B71" s="65" t="s">
        <v>1255</v>
      </c>
      <c r="C71" s="65">
        <v>58148.0</v>
      </c>
      <c r="D71" s="65" t="s">
        <v>1256</v>
      </c>
      <c r="E71" s="77"/>
      <c r="F71" s="25"/>
      <c r="G71" s="28"/>
      <c r="H71" s="78"/>
      <c r="I71" s="18">
        <v>27000.0</v>
      </c>
      <c r="J71" s="68"/>
      <c r="K71" s="20"/>
      <c r="L71" s="57">
        <v>27000.0</v>
      </c>
      <c r="M71" s="22">
        <f t="shared" si="1"/>
        <v>0</v>
      </c>
    </row>
    <row r="72">
      <c r="A72" s="76">
        <v>68.0</v>
      </c>
      <c r="B72" s="65" t="s">
        <v>1257</v>
      </c>
      <c r="C72" s="65">
        <v>35245.0</v>
      </c>
      <c r="D72" s="65" t="s">
        <v>330</v>
      </c>
      <c r="E72" s="77"/>
      <c r="F72" s="25">
        <v>13498.0</v>
      </c>
      <c r="G72" s="28"/>
      <c r="H72" s="78"/>
      <c r="I72" s="18"/>
      <c r="J72" s="70">
        <v>1502.0</v>
      </c>
      <c r="K72" s="20"/>
      <c r="L72" s="57">
        <v>15000.0</v>
      </c>
      <c r="M72" s="22">
        <f t="shared" si="1"/>
        <v>0</v>
      </c>
    </row>
    <row r="73">
      <c r="A73" s="76">
        <v>69.0</v>
      </c>
      <c r="B73" s="65" t="s">
        <v>1258</v>
      </c>
      <c r="C73" s="65">
        <v>21384.0</v>
      </c>
      <c r="D73" s="65" t="s">
        <v>151</v>
      </c>
      <c r="E73" s="79">
        <v>400.0</v>
      </c>
      <c r="F73" s="25"/>
      <c r="G73" s="28"/>
      <c r="H73" s="78"/>
      <c r="I73" s="18"/>
      <c r="J73" s="68"/>
      <c r="K73" s="20"/>
      <c r="L73" s="57">
        <v>400.0</v>
      </c>
      <c r="M73" s="22">
        <f t="shared" si="1"/>
        <v>0</v>
      </c>
    </row>
    <row r="74">
      <c r="A74" s="76">
        <v>70.0</v>
      </c>
      <c r="B74" s="65" t="s">
        <v>1259</v>
      </c>
      <c r="C74" s="65">
        <v>55446.0</v>
      </c>
      <c r="D74" s="65" t="s">
        <v>336</v>
      </c>
      <c r="E74" s="79"/>
      <c r="F74" s="25"/>
      <c r="G74" s="28"/>
      <c r="H74" s="78"/>
      <c r="I74" s="18">
        <v>5000.0</v>
      </c>
      <c r="J74" s="68"/>
      <c r="K74" s="20"/>
      <c r="L74" s="57">
        <v>5000.0</v>
      </c>
      <c r="M74" s="22">
        <f t="shared" si="1"/>
        <v>0</v>
      </c>
    </row>
    <row r="75">
      <c r="A75" s="76">
        <v>71.0</v>
      </c>
      <c r="B75" s="65" t="s">
        <v>1260</v>
      </c>
      <c r="C75" s="65">
        <v>55179.0</v>
      </c>
      <c r="D75" s="65" t="s">
        <v>203</v>
      </c>
      <c r="E75" s="77"/>
      <c r="F75" s="25"/>
      <c r="G75" s="28">
        <v>15350.0</v>
      </c>
      <c r="H75" s="78"/>
      <c r="I75" s="18"/>
      <c r="J75" s="68"/>
      <c r="K75" s="20"/>
      <c r="L75" s="57">
        <v>15350.0</v>
      </c>
      <c r="M75" s="22">
        <f t="shared" si="1"/>
        <v>0</v>
      </c>
    </row>
    <row r="76">
      <c r="A76" s="76">
        <v>72.0</v>
      </c>
      <c r="B76" s="65" t="s">
        <v>1261</v>
      </c>
      <c r="C76" s="65">
        <v>37642.0</v>
      </c>
      <c r="D76" s="65" t="s">
        <v>570</v>
      </c>
      <c r="E76" s="77"/>
      <c r="F76" s="25"/>
      <c r="G76" s="28">
        <v>20000.0</v>
      </c>
      <c r="H76" s="78"/>
      <c r="I76" s="18"/>
      <c r="J76" s="68"/>
      <c r="K76" s="20"/>
      <c r="L76" s="57">
        <v>20000.0</v>
      </c>
      <c r="M76" s="22">
        <f t="shared" si="1"/>
        <v>0</v>
      </c>
    </row>
    <row r="77">
      <c r="A77" s="76">
        <v>73.0</v>
      </c>
      <c r="B77" s="65" t="s">
        <v>1262</v>
      </c>
      <c r="C77" s="65">
        <v>50221.0</v>
      </c>
      <c r="D77" s="65" t="s">
        <v>864</v>
      </c>
      <c r="E77" s="77"/>
      <c r="F77" s="25"/>
      <c r="G77" s="28">
        <v>2650.0</v>
      </c>
      <c r="H77" s="78"/>
      <c r="I77" s="18"/>
      <c r="J77" s="68"/>
      <c r="K77" s="20"/>
      <c r="L77" s="57">
        <v>2650.0</v>
      </c>
      <c r="M77" s="22">
        <f t="shared" si="1"/>
        <v>0</v>
      </c>
    </row>
    <row r="78">
      <c r="A78" s="76">
        <v>74.0</v>
      </c>
      <c r="B78" s="65" t="s">
        <v>1263</v>
      </c>
      <c r="C78" s="65">
        <v>49918.0</v>
      </c>
      <c r="D78" s="65" t="s">
        <v>781</v>
      </c>
      <c r="E78" s="77"/>
      <c r="F78" s="25"/>
      <c r="G78" s="28">
        <v>1250.0</v>
      </c>
      <c r="H78" s="78"/>
      <c r="I78" s="18"/>
      <c r="J78" s="68"/>
      <c r="K78" s="20"/>
      <c r="L78" s="57">
        <v>1250.0</v>
      </c>
      <c r="M78" s="22">
        <f t="shared" si="1"/>
        <v>0</v>
      </c>
    </row>
    <row r="79">
      <c r="A79" s="76">
        <v>75.0</v>
      </c>
      <c r="B79" s="65" t="s">
        <v>1264</v>
      </c>
      <c r="C79" s="65">
        <v>12102.0</v>
      </c>
      <c r="D79" s="65" t="s">
        <v>113</v>
      </c>
      <c r="E79" s="77"/>
      <c r="F79" s="25"/>
      <c r="G79" s="28">
        <v>26050.0</v>
      </c>
      <c r="H79" s="78"/>
      <c r="I79" s="18"/>
      <c r="J79" s="68"/>
      <c r="K79" s="20"/>
      <c r="L79" s="57">
        <v>26050.0</v>
      </c>
      <c r="M79" s="22">
        <f t="shared" si="1"/>
        <v>0</v>
      </c>
    </row>
    <row r="80">
      <c r="A80" s="76">
        <v>76.0</v>
      </c>
      <c r="B80" s="65" t="s">
        <v>1265</v>
      </c>
      <c r="C80" s="65">
        <v>12102.0</v>
      </c>
      <c r="D80" s="65" t="s">
        <v>113</v>
      </c>
      <c r="E80" s="77"/>
      <c r="F80" s="25"/>
      <c r="G80" s="28">
        <v>26328.0</v>
      </c>
      <c r="H80" s="78"/>
      <c r="I80" s="18"/>
      <c r="J80" s="68"/>
      <c r="K80" s="20"/>
      <c r="L80" s="57">
        <v>26328.0</v>
      </c>
      <c r="M80" s="22">
        <f t="shared" si="1"/>
        <v>0</v>
      </c>
    </row>
    <row r="81">
      <c r="A81" s="30"/>
      <c r="B81" s="12"/>
      <c r="C81" s="12"/>
      <c r="D81" s="73"/>
      <c r="E81" s="32">
        <f t="shared" ref="E81:L81" si="2">SUM(E5:E80)</f>
        <v>10950</v>
      </c>
      <c r="F81" s="32">
        <f t="shared" si="2"/>
        <v>27598</v>
      </c>
      <c r="G81" s="32">
        <f t="shared" si="2"/>
        <v>91628</v>
      </c>
      <c r="H81" s="32">
        <f t="shared" si="2"/>
        <v>286596</v>
      </c>
      <c r="I81" s="32">
        <f t="shared" si="2"/>
        <v>136450</v>
      </c>
      <c r="J81" s="32">
        <f t="shared" si="2"/>
        <v>6652</v>
      </c>
      <c r="K81" s="32">
        <f t="shared" si="2"/>
        <v>0</v>
      </c>
      <c r="L81" s="32">
        <f t="shared" si="2"/>
        <v>559874</v>
      </c>
      <c r="M81" s="22">
        <f t="shared" si="1"/>
        <v>0</v>
      </c>
    </row>
    <row r="82">
      <c r="A82" s="33"/>
      <c r="B82" s="63"/>
      <c r="C82" s="63"/>
      <c r="D82" s="74"/>
      <c r="E82" s="34">
        <f>E81+F81+G81+H81+I81+J81+K81</f>
        <v>559874</v>
      </c>
      <c r="F82" s="6"/>
      <c r="G82" s="6"/>
      <c r="H82" s="6"/>
      <c r="I82" s="6"/>
      <c r="J82" s="6"/>
      <c r="K82" s="7"/>
      <c r="L82" s="35"/>
      <c r="M82" s="33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</sheetData>
  <mergeCells count="14">
    <mergeCell ref="F3:G3"/>
    <mergeCell ref="H3:I3"/>
    <mergeCell ref="J3:J4"/>
    <mergeCell ref="K3:K4"/>
    <mergeCell ref="E82:K8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1266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65" t="s">
        <v>1267</v>
      </c>
      <c r="C5" s="65">
        <v>45227.0</v>
      </c>
      <c r="D5" s="65" t="s">
        <v>233</v>
      </c>
      <c r="E5" s="77"/>
      <c r="F5" s="25"/>
      <c r="G5" s="16"/>
      <c r="H5" s="78">
        <v>3550.0</v>
      </c>
      <c r="I5" s="18"/>
      <c r="J5" s="68"/>
      <c r="K5" s="20"/>
      <c r="L5" s="57">
        <v>3550.0</v>
      </c>
      <c r="M5" s="22">
        <f t="shared" ref="M5:M75" si="1">SUM(E5+F5+G5+H5+I5+J5+K5-L5)</f>
        <v>0</v>
      </c>
    </row>
    <row r="6">
      <c r="A6" s="76">
        <v>2.0</v>
      </c>
      <c r="B6" s="65" t="s">
        <v>1268</v>
      </c>
      <c r="C6" s="65">
        <v>52611.0</v>
      </c>
      <c r="D6" s="65" t="s">
        <v>772</v>
      </c>
      <c r="E6" s="77"/>
      <c r="F6" s="25"/>
      <c r="G6" s="16"/>
      <c r="H6" s="78"/>
      <c r="I6" s="18">
        <v>3800.0</v>
      </c>
      <c r="J6" s="70"/>
      <c r="K6" s="20"/>
      <c r="L6" s="57">
        <v>3800.0</v>
      </c>
      <c r="M6" s="22">
        <f t="shared" si="1"/>
        <v>0</v>
      </c>
      <c r="O6" s="55" t="s">
        <v>485</v>
      </c>
    </row>
    <row r="7">
      <c r="A7" s="76">
        <v>3.0</v>
      </c>
      <c r="B7" s="65" t="s">
        <v>1269</v>
      </c>
      <c r="C7" s="65">
        <v>50871.0</v>
      </c>
      <c r="D7" s="65" t="s">
        <v>48</v>
      </c>
      <c r="E7" s="79"/>
      <c r="F7" s="25"/>
      <c r="G7" s="16"/>
      <c r="H7" s="78">
        <v>55400.0</v>
      </c>
      <c r="I7" s="18"/>
      <c r="J7" s="68"/>
      <c r="K7" s="20"/>
      <c r="L7" s="57">
        <v>55400.0</v>
      </c>
      <c r="M7" s="22">
        <f t="shared" si="1"/>
        <v>0</v>
      </c>
    </row>
    <row r="8">
      <c r="A8" s="76">
        <v>4.0</v>
      </c>
      <c r="B8" s="65" t="s">
        <v>1270</v>
      </c>
      <c r="C8" s="65">
        <v>52611.0</v>
      </c>
      <c r="D8" s="65" t="s">
        <v>772</v>
      </c>
      <c r="E8" s="77"/>
      <c r="F8" s="25"/>
      <c r="G8" s="16"/>
      <c r="H8" s="78"/>
      <c r="I8" s="18">
        <v>5000.0</v>
      </c>
      <c r="J8" s="68"/>
      <c r="K8" s="20"/>
      <c r="L8" s="57">
        <v>5000.0</v>
      </c>
      <c r="M8" s="22">
        <f t="shared" si="1"/>
        <v>0</v>
      </c>
    </row>
    <row r="9">
      <c r="A9" s="76">
        <v>5.0</v>
      </c>
      <c r="B9" s="65" t="s">
        <v>1271</v>
      </c>
      <c r="C9" s="65">
        <v>10320.0</v>
      </c>
      <c r="D9" s="65" t="s">
        <v>84</v>
      </c>
      <c r="E9" s="77"/>
      <c r="F9" s="25"/>
      <c r="G9" s="16"/>
      <c r="H9" s="78">
        <v>5000.0</v>
      </c>
      <c r="I9" s="18"/>
      <c r="J9" s="70"/>
      <c r="K9" s="20"/>
      <c r="L9" s="57">
        <v>5000.0</v>
      </c>
      <c r="M9" s="22">
        <f t="shared" si="1"/>
        <v>0</v>
      </c>
    </row>
    <row r="10">
      <c r="A10" s="76">
        <v>6.0</v>
      </c>
      <c r="B10" s="65" t="s">
        <v>1272</v>
      </c>
      <c r="C10" s="65">
        <v>47787.0</v>
      </c>
      <c r="D10" s="65" t="s">
        <v>161</v>
      </c>
      <c r="E10" s="77"/>
      <c r="F10" s="25"/>
      <c r="G10" s="16"/>
      <c r="H10" s="78">
        <v>1050.0</v>
      </c>
      <c r="I10" s="24"/>
      <c r="J10" s="68"/>
      <c r="K10" s="20"/>
      <c r="L10" s="57">
        <v>1050.0</v>
      </c>
      <c r="M10" s="22">
        <f t="shared" si="1"/>
        <v>0</v>
      </c>
    </row>
    <row r="11">
      <c r="A11" s="76">
        <v>7.0</v>
      </c>
      <c r="B11" s="65" t="s">
        <v>1273</v>
      </c>
      <c r="C11" s="65">
        <v>49655.0</v>
      </c>
      <c r="D11" s="65" t="s">
        <v>134</v>
      </c>
      <c r="E11" s="77"/>
      <c r="F11" s="25"/>
      <c r="G11" s="16"/>
      <c r="H11" s="78"/>
      <c r="I11" s="18">
        <v>1750.0</v>
      </c>
      <c r="J11" s="70"/>
      <c r="K11" s="20"/>
      <c r="L11" s="57">
        <v>1750.0</v>
      </c>
      <c r="M11" s="22">
        <f t="shared" si="1"/>
        <v>0</v>
      </c>
    </row>
    <row r="12">
      <c r="A12" s="76">
        <v>8.0</v>
      </c>
      <c r="B12" s="65" t="s">
        <v>1274</v>
      </c>
      <c r="C12" s="65">
        <v>20541.0</v>
      </c>
      <c r="D12" s="65" t="s">
        <v>298</v>
      </c>
      <c r="E12" s="77"/>
      <c r="F12" s="25"/>
      <c r="G12" s="16"/>
      <c r="H12" s="78">
        <v>8000.0</v>
      </c>
      <c r="I12" s="18"/>
      <c r="J12" s="68"/>
      <c r="K12" s="20"/>
      <c r="L12" s="57">
        <v>8000.0</v>
      </c>
      <c r="M12" s="22">
        <f t="shared" si="1"/>
        <v>0</v>
      </c>
    </row>
    <row r="13">
      <c r="A13" s="76">
        <v>9.0</v>
      </c>
      <c r="B13" s="65" t="s">
        <v>1275</v>
      </c>
      <c r="C13" s="65">
        <v>10249.0</v>
      </c>
      <c r="D13" s="65" t="s">
        <v>367</v>
      </c>
      <c r="E13" s="77"/>
      <c r="F13" s="25"/>
      <c r="G13" s="16"/>
      <c r="H13" s="78"/>
      <c r="I13" s="18">
        <v>700.0</v>
      </c>
      <c r="J13" s="68"/>
      <c r="K13" s="20"/>
      <c r="L13" s="57">
        <v>700.0</v>
      </c>
      <c r="M13" s="22">
        <f t="shared" si="1"/>
        <v>0</v>
      </c>
    </row>
    <row r="14">
      <c r="A14" s="76">
        <v>10.0</v>
      </c>
      <c r="B14" s="65" t="s">
        <v>1276</v>
      </c>
      <c r="C14" s="65">
        <v>22332.0</v>
      </c>
      <c r="D14" s="65" t="s">
        <v>78</v>
      </c>
      <c r="E14" s="77"/>
      <c r="F14" s="25"/>
      <c r="G14" s="16"/>
      <c r="H14" s="78">
        <v>5250.0</v>
      </c>
      <c r="I14" s="18"/>
      <c r="J14" s="68"/>
      <c r="K14" s="20"/>
      <c r="L14" s="57">
        <v>5250.0</v>
      </c>
      <c r="M14" s="22">
        <f t="shared" si="1"/>
        <v>0</v>
      </c>
    </row>
    <row r="15">
      <c r="A15" s="76">
        <v>11.0</v>
      </c>
      <c r="B15" s="65" t="s">
        <v>1277</v>
      </c>
      <c r="C15" s="65">
        <v>10320.0</v>
      </c>
      <c r="D15" s="65" t="s">
        <v>84</v>
      </c>
      <c r="E15" s="77"/>
      <c r="F15" s="25"/>
      <c r="G15" s="16"/>
      <c r="H15" s="78">
        <v>5000.0</v>
      </c>
      <c r="I15" s="18"/>
      <c r="J15" s="68"/>
      <c r="K15" s="20"/>
      <c r="L15" s="57">
        <v>5000.0</v>
      </c>
      <c r="M15" s="22">
        <f t="shared" si="1"/>
        <v>0</v>
      </c>
    </row>
    <row r="16">
      <c r="A16" s="76">
        <v>12.0</v>
      </c>
      <c r="B16" s="65" t="s">
        <v>1278</v>
      </c>
      <c r="C16" s="65">
        <v>24751.0</v>
      </c>
      <c r="D16" s="65" t="s">
        <v>1279</v>
      </c>
      <c r="E16" s="77"/>
      <c r="F16" s="25"/>
      <c r="G16" s="16"/>
      <c r="H16" s="78">
        <v>1250.0</v>
      </c>
      <c r="I16" s="18"/>
      <c r="J16" s="70"/>
      <c r="K16" s="20"/>
      <c r="L16" s="57">
        <v>1250.0</v>
      </c>
      <c r="M16" s="22">
        <f t="shared" si="1"/>
        <v>0</v>
      </c>
    </row>
    <row r="17">
      <c r="A17" s="76">
        <v>13.0</v>
      </c>
      <c r="B17" s="65" t="s">
        <v>1280</v>
      </c>
      <c r="C17" s="65">
        <v>33065.0</v>
      </c>
      <c r="D17" s="65" t="s">
        <v>660</v>
      </c>
      <c r="E17" s="77"/>
      <c r="F17" s="25"/>
      <c r="G17" s="16"/>
      <c r="H17" s="78">
        <v>1750.0</v>
      </c>
      <c r="I17" s="24"/>
      <c r="J17" s="68"/>
      <c r="K17" s="20"/>
      <c r="L17" s="57">
        <v>1750.0</v>
      </c>
      <c r="M17" s="22">
        <f t="shared" si="1"/>
        <v>0</v>
      </c>
    </row>
    <row r="18">
      <c r="A18" s="76">
        <v>14.0</v>
      </c>
      <c r="B18" s="65" t="s">
        <v>1281</v>
      </c>
      <c r="C18" s="65">
        <v>54899.0</v>
      </c>
      <c r="D18" s="65" t="s">
        <v>1282</v>
      </c>
      <c r="E18" s="79"/>
      <c r="F18" s="25"/>
      <c r="G18" s="16"/>
      <c r="H18" s="78"/>
      <c r="I18" s="18">
        <v>1250.0</v>
      </c>
      <c r="J18" s="68"/>
      <c r="K18" s="20"/>
      <c r="L18" s="57">
        <v>1250.0</v>
      </c>
      <c r="M18" s="22">
        <f t="shared" si="1"/>
        <v>0</v>
      </c>
    </row>
    <row r="19">
      <c r="A19" s="76">
        <v>15.0</v>
      </c>
      <c r="B19" s="65" t="s">
        <v>1283</v>
      </c>
      <c r="C19" s="65">
        <v>48052.0</v>
      </c>
      <c r="D19" s="65" t="s">
        <v>309</v>
      </c>
      <c r="E19" s="79"/>
      <c r="F19" s="25"/>
      <c r="G19" s="16"/>
      <c r="H19" s="78">
        <v>2500.0</v>
      </c>
      <c r="I19" s="18"/>
      <c r="J19" s="68"/>
      <c r="K19" s="20"/>
      <c r="L19" s="57">
        <v>2500.0</v>
      </c>
      <c r="M19" s="22">
        <f t="shared" si="1"/>
        <v>0</v>
      </c>
    </row>
    <row r="20">
      <c r="A20" s="76">
        <v>16.0</v>
      </c>
      <c r="B20" s="65" t="s">
        <v>1284</v>
      </c>
      <c r="C20" s="65">
        <v>53634.0</v>
      </c>
      <c r="D20" s="65" t="s">
        <v>1285</v>
      </c>
      <c r="E20" s="77"/>
      <c r="F20" s="25"/>
      <c r="G20" s="16"/>
      <c r="H20" s="78"/>
      <c r="I20" s="18">
        <v>300.0</v>
      </c>
      <c r="J20" s="68"/>
      <c r="K20" s="20"/>
      <c r="L20" s="57">
        <v>300.0</v>
      </c>
      <c r="M20" s="22">
        <f t="shared" si="1"/>
        <v>0</v>
      </c>
    </row>
    <row r="21">
      <c r="A21" s="76">
        <v>17.0</v>
      </c>
      <c r="B21" s="65" t="s">
        <v>1286</v>
      </c>
      <c r="C21" s="65">
        <v>57498.0</v>
      </c>
      <c r="D21" s="65" t="s">
        <v>268</v>
      </c>
      <c r="E21" s="77"/>
      <c r="F21" s="25"/>
      <c r="G21" s="16"/>
      <c r="H21" s="78">
        <v>1450.0</v>
      </c>
      <c r="I21" s="18"/>
      <c r="J21" s="68"/>
      <c r="K21" s="20"/>
      <c r="L21" s="57">
        <v>1450.0</v>
      </c>
      <c r="M21" s="22">
        <f t="shared" si="1"/>
        <v>0</v>
      </c>
    </row>
    <row r="22">
      <c r="A22" s="76">
        <v>18.0</v>
      </c>
      <c r="B22" s="65" t="s">
        <v>1287</v>
      </c>
      <c r="C22" s="65">
        <v>48631.0</v>
      </c>
      <c r="D22" s="65" t="s">
        <v>123</v>
      </c>
      <c r="E22" s="77"/>
      <c r="F22" s="25"/>
      <c r="G22" s="16"/>
      <c r="H22" s="78">
        <v>9950.0</v>
      </c>
      <c r="I22" s="18"/>
      <c r="J22" s="68"/>
      <c r="K22" s="20"/>
      <c r="L22" s="57">
        <v>9950.0</v>
      </c>
      <c r="M22" s="22">
        <f t="shared" si="1"/>
        <v>0</v>
      </c>
    </row>
    <row r="23">
      <c r="A23" s="76">
        <v>19.0</v>
      </c>
      <c r="B23" s="65" t="s">
        <v>1288</v>
      </c>
      <c r="C23" s="65">
        <v>30248.0</v>
      </c>
      <c r="D23" s="65" t="s">
        <v>673</v>
      </c>
      <c r="E23" s="77"/>
      <c r="F23" s="25"/>
      <c r="G23" s="16"/>
      <c r="H23" s="78">
        <v>2650.0</v>
      </c>
      <c r="I23" s="18"/>
      <c r="J23" s="68"/>
      <c r="K23" s="20"/>
      <c r="L23" s="57">
        <v>2650.0</v>
      </c>
      <c r="M23" s="22">
        <f t="shared" si="1"/>
        <v>0</v>
      </c>
    </row>
    <row r="24">
      <c r="A24" s="76">
        <v>20.0</v>
      </c>
      <c r="B24" s="65" t="s">
        <v>1289</v>
      </c>
      <c r="C24" s="65">
        <v>50596.0</v>
      </c>
      <c r="D24" s="65" t="s">
        <v>157</v>
      </c>
      <c r="E24" s="77"/>
      <c r="F24" s="25"/>
      <c r="G24" s="16"/>
      <c r="H24" s="78">
        <v>40350.0</v>
      </c>
      <c r="I24" s="18"/>
      <c r="J24" s="68"/>
      <c r="K24" s="20"/>
      <c r="L24" s="57">
        <v>40350.0</v>
      </c>
      <c r="M24" s="22">
        <f t="shared" si="1"/>
        <v>0</v>
      </c>
    </row>
    <row r="25">
      <c r="A25" s="76">
        <v>21.0</v>
      </c>
      <c r="B25" s="65" t="s">
        <v>1290</v>
      </c>
      <c r="C25" s="65">
        <v>15709.0</v>
      </c>
      <c r="D25" s="65" t="s">
        <v>704</v>
      </c>
      <c r="E25" s="77"/>
      <c r="F25" s="25"/>
      <c r="G25" s="16"/>
      <c r="H25" s="78">
        <v>2500.0</v>
      </c>
      <c r="I25" s="18"/>
      <c r="J25" s="68"/>
      <c r="K25" s="20"/>
      <c r="L25" s="57">
        <v>2500.0</v>
      </c>
      <c r="M25" s="22">
        <f t="shared" si="1"/>
        <v>0</v>
      </c>
    </row>
    <row r="26">
      <c r="A26" s="76">
        <v>22.0</v>
      </c>
      <c r="B26" s="65" t="s">
        <v>1291</v>
      </c>
      <c r="C26" s="65">
        <v>55561.0</v>
      </c>
      <c r="D26" s="65" t="s">
        <v>1292</v>
      </c>
      <c r="E26" s="77"/>
      <c r="F26" s="25"/>
      <c r="G26" s="16"/>
      <c r="H26" s="78"/>
      <c r="I26" s="18">
        <v>10000.0</v>
      </c>
      <c r="J26" s="70"/>
      <c r="K26" s="20"/>
      <c r="L26" s="57">
        <v>10000.0</v>
      </c>
      <c r="M26" s="22">
        <f t="shared" si="1"/>
        <v>0</v>
      </c>
    </row>
    <row r="27">
      <c r="A27" s="76">
        <v>23.0</v>
      </c>
      <c r="B27" s="65" t="s">
        <v>1293</v>
      </c>
      <c r="C27" s="65">
        <v>57108.0</v>
      </c>
      <c r="D27" s="65" t="s">
        <v>1294</v>
      </c>
      <c r="E27" s="77"/>
      <c r="F27" s="25"/>
      <c r="G27" s="16"/>
      <c r="H27" s="78"/>
      <c r="I27" s="18">
        <v>5000.0</v>
      </c>
      <c r="J27" s="68"/>
      <c r="K27" s="20"/>
      <c r="L27" s="57">
        <v>5000.0</v>
      </c>
      <c r="M27" s="22">
        <f t="shared" si="1"/>
        <v>0</v>
      </c>
    </row>
    <row r="28">
      <c r="A28" s="76">
        <v>24.0</v>
      </c>
      <c r="B28" s="65" t="s">
        <v>1295</v>
      </c>
      <c r="C28" s="65">
        <v>52032.0</v>
      </c>
      <c r="D28" s="65" t="s">
        <v>217</v>
      </c>
      <c r="E28" s="77"/>
      <c r="F28" s="25"/>
      <c r="G28" s="16"/>
      <c r="H28" s="78">
        <v>350.0</v>
      </c>
      <c r="I28" s="18"/>
      <c r="J28" s="68"/>
      <c r="K28" s="20"/>
      <c r="L28" s="57">
        <v>350.0</v>
      </c>
      <c r="M28" s="22">
        <f t="shared" si="1"/>
        <v>0</v>
      </c>
    </row>
    <row r="29">
      <c r="A29" s="76">
        <v>25.0</v>
      </c>
      <c r="B29" s="65" t="s">
        <v>1296</v>
      </c>
      <c r="C29" s="65">
        <v>49194.0</v>
      </c>
      <c r="D29" s="65" t="s">
        <v>343</v>
      </c>
      <c r="E29" s="77"/>
      <c r="F29" s="25"/>
      <c r="G29" s="16"/>
      <c r="H29" s="78">
        <v>2834.0</v>
      </c>
      <c r="I29" s="18"/>
      <c r="J29" s="70">
        <v>866.0</v>
      </c>
      <c r="K29" s="20"/>
      <c r="L29" s="57">
        <v>3700.0</v>
      </c>
      <c r="M29" s="22">
        <f t="shared" si="1"/>
        <v>0</v>
      </c>
    </row>
    <row r="30">
      <c r="A30" s="76">
        <v>26.0</v>
      </c>
      <c r="B30" s="65" t="s">
        <v>1297</v>
      </c>
      <c r="C30" s="65">
        <v>36879.0</v>
      </c>
      <c r="D30" s="65" t="s">
        <v>88</v>
      </c>
      <c r="E30" s="77"/>
      <c r="F30" s="25"/>
      <c r="G30" s="16"/>
      <c r="H30" s="78"/>
      <c r="I30" s="18">
        <v>2650.0</v>
      </c>
      <c r="J30" s="68"/>
      <c r="K30" s="20"/>
      <c r="L30" s="57">
        <v>2650.0</v>
      </c>
      <c r="M30" s="22">
        <f t="shared" si="1"/>
        <v>0</v>
      </c>
    </row>
    <row r="31">
      <c r="A31" s="76">
        <v>27.0</v>
      </c>
      <c r="B31" s="65" t="s">
        <v>1298</v>
      </c>
      <c r="C31" s="65">
        <v>46626.0</v>
      </c>
      <c r="D31" s="65" t="s">
        <v>1299</v>
      </c>
      <c r="E31" s="77"/>
      <c r="F31" s="25"/>
      <c r="G31" s="16"/>
      <c r="H31" s="78"/>
      <c r="I31" s="18">
        <v>5000.0</v>
      </c>
      <c r="J31" s="68"/>
      <c r="K31" s="20"/>
      <c r="L31" s="57">
        <v>5000.0</v>
      </c>
      <c r="M31" s="22">
        <f t="shared" si="1"/>
        <v>0</v>
      </c>
    </row>
    <row r="32">
      <c r="A32" s="76">
        <v>28.0</v>
      </c>
      <c r="B32" s="65" t="s">
        <v>1300</v>
      </c>
      <c r="C32" s="65">
        <v>51185.0</v>
      </c>
      <c r="D32" s="65" t="s">
        <v>1301</v>
      </c>
      <c r="E32" s="77"/>
      <c r="F32" s="25"/>
      <c r="G32" s="16"/>
      <c r="H32" s="78"/>
      <c r="I32" s="18">
        <v>5000.0</v>
      </c>
      <c r="J32" s="70"/>
      <c r="K32" s="20"/>
      <c r="L32" s="57">
        <v>5000.0</v>
      </c>
      <c r="M32" s="22">
        <f t="shared" si="1"/>
        <v>0</v>
      </c>
    </row>
    <row r="33">
      <c r="A33" s="76">
        <v>29.0</v>
      </c>
      <c r="B33" s="65" t="s">
        <v>1302</v>
      </c>
      <c r="C33" s="65">
        <v>21384.0</v>
      </c>
      <c r="D33" s="65" t="s">
        <v>151</v>
      </c>
      <c r="E33" s="77"/>
      <c r="F33" s="25"/>
      <c r="G33" s="16"/>
      <c r="H33" s="78">
        <v>5350.0</v>
      </c>
      <c r="I33" s="18"/>
      <c r="J33" s="68"/>
      <c r="K33" s="20"/>
      <c r="L33" s="57">
        <v>5350.0</v>
      </c>
      <c r="M33" s="22">
        <f t="shared" si="1"/>
        <v>0</v>
      </c>
    </row>
    <row r="34">
      <c r="A34" s="76">
        <v>30.0</v>
      </c>
      <c r="B34" s="65" t="s">
        <v>1303</v>
      </c>
      <c r="C34" s="65">
        <v>51185.0</v>
      </c>
      <c r="D34" s="65" t="s">
        <v>1301</v>
      </c>
      <c r="E34" s="77"/>
      <c r="F34" s="25"/>
      <c r="G34" s="16"/>
      <c r="H34" s="78"/>
      <c r="I34" s="18">
        <v>5000.0</v>
      </c>
      <c r="J34" s="68"/>
      <c r="K34" s="20"/>
      <c r="L34" s="57">
        <v>5000.0</v>
      </c>
      <c r="M34" s="22">
        <f t="shared" si="1"/>
        <v>0</v>
      </c>
    </row>
    <row r="35">
      <c r="A35" s="76">
        <v>31.0</v>
      </c>
      <c r="B35" s="65" t="s">
        <v>1304</v>
      </c>
      <c r="C35" s="65">
        <v>22727.0</v>
      </c>
      <c r="D35" s="65" t="s">
        <v>109</v>
      </c>
      <c r="E35" s="77"/>
      <c r="F35" s="25"/>
      <c r="G35" s="16"/>
      <c r="H35" s="78"/>
      <c r="I35" s="18">
        <v>1400.0</v>
      </c>
      <c r="J35" s="68"/>
      <c r="K35" s="20"/>
      <c r="L35" s="57">
        <v>1400.0</v>
      </c>
      <c r="M35" s="22">
        <f t="shared" si="1"/>
        <v>0</v>
      </c>
    </row>
    <row r="36">
      <c r="A36" s="76">
        <v>32.0</v>
      </c>
      <c r="B36" s="65" t="s">
        <v>1305</v>
      </c>
      <c r="C36" s="65">
        <v>48053.0</v>
      </c>
      <c r="D36" s="65" t="s">
        <v>90</v>
      </c>
      <c r="E36" s="79"/>
      <c r="F36" s="25"/>
      <c r="G36" s="16"/>
      <c r="H36" s="78">
        <v>2850.0</v>
      </c>
      <c r="I36" s="18"/>
      <c r="J36" s="70"/>
      <c r="K36" s="20"/>
      <c r="L36" s="57">
        <v>2850.0</v>
      </c>
      <c r="M36" s="22">
        <f t="shared" si="1"/>
        <v>0</v>
      </c>
    </row>
    <row r="37">
      <c r="A37" s="76">
        <v>33.0</v>
      </c>
      <c r="B37" s="65" t="s">
        <v>1306</v>
      </c>
      <c r="C37" s="65">
        <v>47574.0</v>
      </c>
      <c r="D37" s="65" t="s">
        <v>1307</v>
      </c>
      <c r="E37" s="77"/>
      <c r="F37" s="25"/>
      <c r="G37" s="16"/>
      <c r="H37" s="78">
        <v>350.0</v>
      </c>
      <c r="I37" s="18"/>
      <c r="J37" s="68"/>
      <c r="K37" s="20"/>
      <c r="L37" s="57">
        <v>350.0</v>
      </c>
      <c r="M37" s="22">
        <f t="shared" si="1"/>
        <v>0</v>
      </c>
    </row>
    <row r="38">
      <c r="A38" s="76">
        <v>34.0</v>
      </c>
      <c r="B38" s="65" t="s">
        <v>1308</v>
      </c>
      <c r="C38" s="65">
        <v>56449.0</v>
      </c>
      <c r="D38" s="65" t="s">
        <v>1309</v>
      </c>
      <c r="E38" s="77"/>
      <c r="F38" s="25"/>
      <c r="G38" s="16"/>
      <c r="H38" s="78"/>
      <c r="I38" s="18">
        <v>5000.0</v>
      </c>
      <c r="J38" s="68"/>
      <c r="K38" s="20"/>
      <c r="L38" s="57">
        <v>5000.0</v>
      </c>
      <c r="M38" s="22">
        <f t="shared" si="1"/>
        <v>0</v>
      </c>
    </row>
    <row r="39">
      <c r="A39" s="76">
        <v>35.0</v>
      </c>
      <c r="B39" s="65" t="s">
        <v>1310</v>
      </c>
      <c r="C39" s="65">
        <v>57138.0</v>
      </c>
      <c r="D39" s="65" t="s">
        <v>1311</v>
      </c>
      <c r="E39" s="79"/>
      <c r="F39" s="25"/>
      <c r="G39" s="16"/>
      <c r="H39" s="78"/>
      <c r="I39" s="18">
        <v>5000.0</v>
      </c>
      <c r="J39" s="68"/>
      <c r="K39" s="20"/>
      <c r="L39" s="57">
        <v>5000.0</v>
      </c>
      <c r="M39" s="22">
        <f t="shared" si="1"/>
        <v>0</v>
      </c>
    </row>
    <row r="40">
      <c r="A40" s="76">
        <v>36.0</v>
      </c>
      <c r="B40" s="65" t="s">
        <v>1312</v>
      </c>
      <c r="C40" s="65">
        <v>47787.0</v>
      </c>
      <c r="D40" s="65" t="s">
        <v>161</v>
      </c>
      <c r="E40" s="77"/>
      <c r="F40" s="25"/>
      <c r="G40" s="16"/>
      <c r="H40" s="78"/>
      <c r="I40" s="18">
        <v>40000.0</v>
      </c>
      <c r="J40" s="68"/>
      <c r="K40" s="20"/>
      <c r="L40" s="57">
        <v>40000.0</v>
      </c>
      <c r="M40" s="22">
        <f t="shared" si="1"/>
        <v>0</v>
      </c>
    </row>
    <row r="41">
      <c r="A41" s="76">
        <v>37.0</v>
      </c>
      <c r="B41" s="65" t="s">
        <v>1313</v>
      </c>
      <c r="C41" s="65">
        <v>50436.0</v>
      </c>
      <c r="D41" s="65" t="s">
        <v>561</v>
      </c>
      <c r="E41" s="77"/>
      <c r="F41" s="25"/>
      <c r="G41" s="16"/>
      <c r="H41" s="78">
        <v>400.0</v>
      </c>
      <c r="I41" s="18">
        <v>10000.0</v>
      </c>
      <c r="J41" s="68"/>
      <c r="K41" s="20"/>
      <c r="L41" s="57">
        <v>10400.0</v>
      </c>
      <c r="M41" s="22">
        <f t="shared" si="1"/>
        <v>0</v>
      </c>
    </row>
    <row r="42">
      <c r="A42" s="76">
        <v>38.0</v>
      </c>
      <c r="B42" s="65" t="s">
        <v>1314</v>
      </c>
      <c r="C42" s="65">
        <v>47787.0</v>
      </c>
      <c r="D42" s="65" t="s">
        <v>161</v>
      </c>
      <c r="E42" s="79"/>
      <c r="F42" s="25"/>
      <c r="G42" s="16"/>
      <c r="H42" s="78">
        <v>100.0</v>
      </c>
      <c r="J42" s="68"/>
      <c r="K42" s="20"/>
      <c r="L42" s="57">
        <v>100.0</v>
      </c>
      <c r="M42" s="22">
        <f t="shared" si="1"/>
        <v>0</v>
      </c>
    </row>
    <row r="43">
      <c r="A43" s="76">
        <v>39.0</v>
      </c>
      <c r="B43" s="65" t="s">
        <v>1315</v>
      </c>
      <c r="C43" s="65">
        <v>33065.0</v>
      </c>
      <c r="D43" s="65" t="s">
        <v>660</v>
      </c>
      <c r="E43" s="77"/>
      <c r="F43" s="25"/>
      <c r="G43" s="16"/>
      <c r="H43" s="78">
        <v>5150.0</v>
      </c>
      <c r="I43" s="18"/>
      <c r="J43" s="68"/>
      <c r="K43" s="20"/>
      <c r="L43" s="57">
        <v>5150.0</v>
      </c>
      <c r="M43" s="22">
        <f t="shared" si="1"/>
        <v>0</v>
      </c>
    </row>
    <row r="44">
      <c r="A44" s="76">
        <v>40.0</v>
      </c>
      <c r="B44" s="65" t="s">
        <v>1316</v>
      </c>
      <c r="C44" s="65">
        <v>28414.0</v>
      </c>
      <c r="D44" s="65" t="s">
        <v>332</v>
      </c>
      <c r="E44" s="77"/>
      <c r="F44" s="25"/>
      <c r="G44" s="16"/>
      <c r="H44" s="78">
        <v>2650.0</v>
      </c>
      <c r="I44" s="18"/>
      <c r="J44" s="68"/>
      <c r="K44" s="20"/>
      <c r="L44" s="57">
        <v>2650.0</v>
      </c>
      <c r="M44" s="22">
        <f t="shared" si="1"/>
        <v>0</v>
      </c>
    </row>
    <row r="45">
      <c r="A45" s="76">
        <v>41.0</v>
      </c>
      <c r="B45" s="65" t="s">
        <v>1317</v>
      </c>
      <c r="C45" s="65">
        <v>50072.0</v>
      </c>
      <c r="D45" s="65" t="s">
        <v>1318</v>
      </c>
      <c r="E45" s="77"/>
      <c r="F45" s="25"/>
      <c r="G45" s="16"/>
      <c r="H45" s="78">
        <v>7650.0</v>
      </c>
      <c r="I45" s="18"/>
      <c r="J45" s="68"/>
      <c r="K45" s="20"/>
      <c r="L45" s="57">
        <v>7650.0</v>
      </c>
      <c r="M45" s="22">
        <f t="shared" si="1"/>
        <v>0</v>
      </c>
    </row>
    <row r="46">
      <c r="A46" s="76">
        <v>42.0</v>
      </c>
      <c r="B46" s="65" t="s">
        <v>1319</v>
      </c>
      <c r="C46" s="65">
        <v>51406.0</v>
      </c>
      <c r="D46" s="65" t="s">
        <v>128</v>
      </c>
      <c r="E46" s="79"/>
      <c r="F46" s="25"/>
      <c r="G46" s="16"/>
      <c r="H46" s="78"/>
      <c r="I46" s="18">
        <v>29200.0</v>
      </c>
      <c r="J46" s="68"/>
      <c r="K46" s="20"/>
      <c r="L46" s="57">
        <v>29200.0</v>
      </c>
      <c r="M46" s="22">
        <f t="shared" si="1"/>
        <v>0</v>
      </c>
    </row>
    <row r="47">
      <c r="A47" s="76">
        <v>43.0</v>
      </c>
      <c r="B47" s="65" t="s">
        <v>1320</v>
      </c>
      <c r="C47" s="65">
        <v>48631.0</v>
      </c>
      <c r="D47" s="65" t="s">
        <v>123</v>
      </c>
      <c r="E47" s="79"/>
      <c r="F47" s="25"/>
      <c r="G47" s="16"/>
      <c r="H47" s="78">
        <v>400.0</v>
      </c>
      <c r="I47" s="18"/>
      <c r="J47" s="68"/>
      <c r="K47" s="20"/>
      <c r="L47" s="57">
        <v>400.0</v>
      </c>
      <c r="M47" s="22">
        <f t="shared" si="1"/>
        <v>0</v>
      </c>
    </row>
    <row r="48">
      <c r="A48" s="76">
        <v>44.0</v>
      </c>
      <c r="B48" s="65" t="s">
        <v>1321</v>
      </c>
      <c r="C48" s="65">
        <v>36769.0</v>
      </c>
      <c r="D48" s="65" t="s">
        <v>138</v>
      </c>
      <c r="E48" s="77"/>
      <c r="F48" s="25"/>
      <c r="G48" s="16"/>
      <c r="H48" s="78">
        <v>600.0</v>
      </c>
      <c r="I48" s="18"/>
      <c r="J48" s="68"/>
      <c r="K48" s="20"/>
      <c r="L48" s="57">
        <v>600.0</v>
      </c>
      <c r="M48" s="22">
        <f t="shared" si="1"/>
        <v>0</v>
      </c>
    </row>
    <row r="49">
      <c r="A49" s="76">
        <v>45.0</v>
      </c>
      <c r="B49" s="65" t="s">
        <v>1322</v>
      </c>
      <c r="C49" s="65">
        <v>54335.0</v>
      </c>
      <c r="D49" s="65" t="s">
        <v>1323</v>
      </c>
      <c r="E49" s="77"/>
      <c r="F49" s="25"/>
      <c r="G49" s="16"/>
      <c r="H49" s="78"/>
      <c r="I49" s="18">
        <v>300.0</v>
      </c>
      <c r="J49" s="68"/>
      <c r="K49" s="20"/>
      <c r="L49" s="57">
        <v>300.0</v>
      </c>
      <c r="M49" s="22">
        <f t="shared" si="1"/>
        <v>0</v>
      </c>
    </row>
    <row r="50">
      <c r="A50" s="76">
        <v>46.0</v>
      </c>
      <c r="B50" s="65" t="s">
        <v>1324</v>
      </c>
      <c r="C50" s="65">
        <v>49203.0</v>
      </c>
      <c r="D50" s="65" t="s">
        <v>734</v>
      </c>
      <c r="E50" s="79"/>
      <c r="F50" s="25"/>
      <c r="G50" s="16"/>
      <c r="H50" s="78"/>
      <c r="I50" s="18">
        <v>1500.0</v>
      </c>
      <c r="J50" s="68"/>
      <c r="K50" s="20"/>
      <c r="L50" s="57">
        <v>1500.0</v>
      </c>
      <c r="M50" s="22">
        <f t="shared" si="1"/>
        <v>0</v>
      </c>
    </row>
    <row r="51">
      <c r="A51" s="76">
        <v>47.0</v>
      </c>
      <c r="B51" s="65" t="s">
        <v>1325</v>
      </c>
      <c r="C51" s="65">
        <v>48657.0</v>
      </c>
      <c r="D51" s="65" t="s">
        <v>236</v>
      </c>
      <c r="E51" s="77"/>
      <c r="F51" s="25"/>
      <c r="G51" s="16"/>
      <c r="H51" s="78">
        <v>2500.0</v>
      </c>
      <c r="I51" s="18"/>
      <c r="J51" s="70"/>
      <c r="K51" s="20"/>
      <c r="L51" s="57">
        <v>2500.0</v>
      </c>
      <c r="M51" s="22">
        <f t="shared" si="1"/>
        <v>0</v>
      </c>
    </row>
    <row r="52">
      <c r="A52" s="76">
        <v>48.0</v>
      </c>
      <c r="B52" s="65" t="s">
        <v>1326</v>
      </c>
      <c r="C52" s="65">
        <v>51976.0</v>
      </c>
      <c r="D52" s="65" t="s">
        <v>975</v>
      </c>
      <c r="E52" s="77"/>
      <c r="F52" s="25"/>
      <c r="G52" s="16"/>
      <c r="H52" s="78"/>
      <c r="I52" s="18">
        <v>1200.0</v>
      </c>
      <c r="J52" s="70"/>
      <c r="K52" s="20"/>
      <c r="L52" s="57">
        <v>1200.0</v>
      </c>
      <c r="M52" s="22">
        <f t="shared" si="1"/>
        <v>0</v>
      </c>
    </row>
    <row r="53">
      <c r="A53" s="76">
        <v>49.0</v>
      </c>
      <c r="B53" s="65" t="s">
        <v>1327</v>
      </c>
      <c r="C53" s="65">
        <v>16295.0</v>
      </c>
      <c r="D53" s="65" t="s">
        <v>1328</v>
      </c>
      <c r="E53" s="79"/>
      <c r="F53" s="25"/>
      <c r="G53" s="16"/>
      <c r="H53" s="78">
        <v>300.0</v>
      </c>
      <c r="I53" s="18"/>
      <c r="J53" s="68"/>
      <c r="K53" s="20"/>
      <c r="L53" s="57">
        <v>300.0</v>
      </c>
      <c r="M53" s="22">
        <f t="shared" si="1"/>
        <v>0</v>
      </c>
    </row>
    <row r="54">
      <c r="A54" s="76">
        <v>50.0</v>
      </c>
      <c r="B54" s="65" t="s">
        <v>1329</v>
      </c>
      <c r="C54" s="65">
        <v>48577.0</v>
      </c>
      <c r="D54" s="65" t="s">
        <v>829</v>
      </c>
      <c r="E54" s="77"/>
      <c r="F54" s="25"/>
      <c r="G54" s="16"/>
      <c r="H54" s="78">
        <v>2930.0</v>
      </c>
      <c r="I54" s="18"/>
      <c r="J54" s="68"/>
      <c r="K54" s="20"/>
      <c r="L54" s="57">
        <v>2930.0</v>
      </c>
      <c r="M54" s="22">
        <f t="shared" si="1"/>
        <v>0</v>
      </c>
    </row>
    <row r="55">
      <c r="A55" s="76">
        <v>51.0</v>
      </c>
      <c r="B55" s="65" t="s">
        <v>1330</v>
      </c>
      <c r="C55" s="65">
        <v>13781.0</v>
      </c>
      <c r="D55" s="65" t="s">
        <v>213</v>
      </c>
      <c r="E55" s="77"/>
      <c r="F55" s="25"/>
      <c r="G55" s="16"/>
      <c r="H55" s="78">
        <v>2500.0</v>
      </c>
      <c r="I55" s="18"/>
      <c r="J55" s="68"/>
      <c r="K55" s="20"/>
      <c r="L55" s="57">
        <v>2500.0</v>
      </c>
      <c r="M55" s="22">
        <f t="shared" si="1"/>
        <v>0</v>
      </c>
    </row>
    <row r="56">
      <c r="A56" s="76">
        <v>52.0</v>
      </c>
      <c r="B56" s="65" t="s">
        <v>1331</v>
      </c>
      <c r="C56" s="65">
        <v>36918.0</v>
      </c>
      <c r="D56" s="65" t="s">
        <v>435</v>
      </c>
      <c r="E56" s="79"/>
      <c r="F56" s="25"/>
      <c r="G56" s="16"/>
      <c r="H56" s="78">
        <v>15000.0</v>
      </c>
      <c r="I56" s="18"/>
      <c r="J56" s="68"/>
      <c r="K56" s="20"/>
      <c r="L56" s="57">
        <v>15000.0</v>
      </c>
      <c r="M56" s="22">
        <f t="shared" si="1"/>
        <v>0</v>
      </c>
    </row>
    <row r="57">
      <c r="A57" s="76">
        <v>53.0</v>
      </c>
      <c r="B57" s="65" t="s">
        <v>1332</v>
      </c>
      <c r="C57" s="65">
        <v>50148.0</v>
      </c>
      <c r="D57" s="65" t="s">
        <v>355</v>
      </c>
      <c r="E57" s="79"/>
      <c r="F57" s="25"/>
      <c r="G57" s="28">
        <v>4000.0</v>
      </c>
      <c r="H57" s="78">
        <v>1000.0</v>
      </c>
      <c r="I57" s="18"/>
      <c r="J57" s="68"/>
      <c r="K57" s="20"/>
      <c r="L57" s="57">
        <v>5000.0</v>
      </c>
      <c r="M57" s="22">
        <f t="shared" si="1"/>
        <v>0</v>
      </c>
    </row>
    <row r="58">
      <c r="A58" s="76">
        <v>54.0</v>
      </c>
      <c r="B58" s="65" t="s">
        <v>1333</v>
      </c>
      <c r="C58" s="65">
        <v>52402.0</v>
      </c>
      <c r="D58" s="65" t="s">
        <v>1334</v>
      </c>
      <c r="E58" s="79"/>
      <c r="F58" s="25"/>
      <c r="G58" s="16"/>
      <c r="H58" s="78">
        <v>3200.0</v>
      </c>
      <c r="I58" s="18"/>
      <c r="J58" s="68"/>
      <c r="K58" s="20"/>
      <c r="L58" s="57">
        <v>3200.0</v>
      </c>
      <c r="M58" s="22">
        <f t="shared" si="1"/>
        <v>0</v>
      </c>
    </row>
    <row r="59">
      <c r="A59" s="76">
        <v>55.0</v>
      </c>
      <c r="B59" s="65" t="s">
        <v>1335</v>
      </c>
      <c r="C59" s="65">
        <v>56224.0</v>
      </c>
      <c r="D59" s="65" t="s">
        <v>1336</v>
      </c>
      <c r="E59" s="77"/>
      <c r="F59" s="25"/>
      <c r="G59" s="28"/>
      <c r="H59" s="78"/>
      <c r="I59" s="18">
        <v>5000.0</v>
      </c>
      <c r="J59" s="68"/>
      <c r="K59" s="20"/>
      <c r="L59" s="57">
        <v>5000.0</v>
      </c>
      <c r="M59" s="22">
        <f t="shared" si="1"/>
        <v>0</v>
      </c>
    </row>
    <row r="60">
      <c r="A60" s="76">
        <v>56.0</v>
      </c>
      <c r="B60" s="65" t="s">
        <v>1337</v>
      </c>
      <c r="C60" s="65">
        <v>52669.0</v>
      </c>
      <c r="D60" s="65" t="s">
        <v>42</v>
      </c>
      <c r="E60" s="77"/>
      <c r="F60" s="25">
        <v>2500.0</v>
      </c>
      <c r="G60" s="28"/>
      <c r="H60" s="78"/>
      <c r="I60" s="18"/>
      <c r="J60" s="68"/>
      <c r="K60" s="20"/>
      <c r="L60" s="57">
        <v>2500.0</v>
      </c>
      <c r="M60" s="22">
        <f t="shared" si="1"/>
        <v>0</v>
      </c>
    </row>
    <row r="61">
      <c r="A61" s="76">
        <v>57.0</v>
      </c>
      <c r="B61" s="65" t="s">
        <v>1338</v>
      </c>
      <c r="C61" s="65">
        <v>28414.0</v>
      </c>
      <c r="D61" s="65" t="s">
        <v>332</v>
      </c>
      <c r="E61" s="77"/>
      <c r="F61" s="25">
        <v>1600.0</v>
      </c>
      <c r="G61" s="28"/>
      <c r="H61" s="78"/>
      <c r="I61" s="18"/>
      <c r="J61" s="68"/>
      <c r="K61" s="20"/>
      <c r="L61" s="57">
        <v>1600.0</v>
      </c>
      <c r="M61" s="22">
        <f t="shared" si="1"/>
        <v>0</v>
      </c>
    </row>
    <row r="62">
      <c r="A62" s="76">
        <v>58.0</v>
      </c>
      <c r="B62" s="65" t="s">
        <v>1339</v>
      </c>
      <c r="C62" s="65">
        <v>28414.0</v>
      </c>
      <c r="D62" s="65" t="s">
        <v>332</v>
      </c>
      <c r="E62" s="77"/>
      <c r="F62" s="25">
        <v>3600.0</v>
      </c>
      <c r="G62" s="28"/>
      <c r="H62" s="78"/>
      <c r="I62" s="18"/>
      <c r="J62" s="68"/>
      <c r="K62" s="20"/>
      <c r="L62" s="57">
        <v>3600.0</v>
      </c>
      <c r="M62" s="22">
        <f t="shared" si="1"/>
        <v>0</v>
      </c>
    </row>
    <row r="63">
      <c r="A63" s="76">
        <v>59.0</v>
      </c>
      <c r="B63" s="65" t="s">
        <v>1340</v>
      </c>
      <c r="C63" s="65">
        <v>55895.0</v>
      </c>
      <c r="D63" s="65" t="s">
        <v>1341</v>
      </c>
      <c r="E63" s="79"/>
      <c r="F63" s="25"/>
      <c r="G63" s="28"/>
      <c r="H63" s="78">
        <v>5000.0</v>
      </c>
      <c r="I63" s="18"/>
      <c r="J63" s="68"/>
      <c r="K63" s="20"/>
      <c r="L63" s="57">
        <v>5000.0</v>
      </c>
      <c r="M63" s="22">
        <f t="shared" si="1"/>
        <v>0</v>
      </c>
    </row>
    <row r="64">
      <c r="A64" s="76">
        <v>60.0</v>
      </c>
      <c r="B64" s="65" t="s">
        <v>1342</v>
      </c>
      <c r="C64" s="65">
        <v>55895.0</v>
      </c>
      <c r="D64" s="65" t="s">
        <v>1341</v>
      </c>
      <c r="E64" s="77"/>
      <c r="F64" s="25"/>
      <c r="G64" s="28"/>
      <c r="H64" s="78">
        <v>30000.0</v>
      </c>
      <c r="I64" s="18"/>
      <c r="J64" s="68"/>
      <c r="K64" s="20"/>
      <c r="L64" s="57">
        <v>30000.0</v>
      </c>
      <c r="M64" s="22">
        <f t="shared" si="1"/>
        <v>0</v>
      </c>
    </row>
    <row r="65">
      <c r="A65" s="76">
        <v>61.0</v>
      </c>
      <c r="B65" s="65" t="s">
        <v>1343</v>
      </c>
      <c r="C65" s="65">
        <v>43380.0</v>
      </c>
      <c r="D65" s="65" t="s">
        <v>348</v>
      </c>
      <c r="E65" s="77"/>
      <c r="F65" s="25"/>
      <c r="G65" s="28">
        <v>25000.0</v>
      </c>
      <c r="H65" s="78"/>
      <c r="I65" s="18"/>
      <c r="J65" s="68"/>
      <c r="K65" s="20"/>
      <c r="L65" s="57">
        <v>25000.0</v>
      </c>
      <c r="M65" s="22">
        <f t="shared" si="1"/>
        <v>0</v>
      </c>
    </row>
    <row r="66">
      <c r="A66" s="76">
        <v>62.0</v>
      </c>
      <c r="B66" s="65" t="s">
        <v>1344</v>
      </c>
      <c r="C66" s="65">
        <v>42046.0</v>
      </c>
      <c r="D66" s="65" t="s">
        <v>163</v>
      </c>
      <c r="E66" s="77"/>
      <c r="F66" s="25"/>
      <c r="G66" s="28">
        <v>5150.0</v>
      </c>
      <c r="H66" s="78"/>
      <c r="I66" s="18"/>
      <c r="J66" s="68"/>
      <c r="K66" s="20"/>
      <c r="L66" s="57">
        <v>5150.0</v>
      </c>
      <c r="M66" s="22">
        <f t="shared" si="1"/>
        <v>0</v>
      </c>
    </row>
    <row r="67">
      <c r="A67" s="76">
        <v>63.0</v>
      </c>
      <c r="B67" s="65" t="s">
        <v>1345</v>
      </c>
      <c r="C67" s="65">
        <v>21937.0</v>
      </c>
      <c r="D67" s="65" t="s">
        <v>350</v>
      </c>
      <c r="E67" s="77"/>
      <c r="F67" s="25"/>
      <c r="G67" s="28">
        <v>2500.0</v>
      </c>
      <c r="H67" s="78"/>
      <c r="I67" s="18"/>
      <c r="J67" s="68"/>
      <c r="K67" s="20"/>
      <c r="L67" s="57">
        <v>2500.0</v>
      </c>
      <c r="M67" s="22">
        <f t="shared" si="1"/>
        <v>0</v>
      </c>
    </row>
    <row r="68">
      <c r="A68" s="76">
        <v>64.0</v>
      </c>
      <c r="B68" s="65" t="s">
        <v>1346</v>
      </c>
      <c r="C68" s="65">
        <v>49918.0</v>
      </c>
      <c r="D68" s="65" t="s">
        <v>781</v>
      </c>
      <c r="E68" s="77"/>
      <c r="F68" s="25"/>
      <c r="G68" s="28">
        <v>2500.0</v>
      </c>
      <c r="H68" s="78"/>
      <c r="I68" s="18"/>
      <c r="J68" s="68"/>
      <c r="K68" s="20"/>
      <c r="L68" s="57">
        <v>2500.0</v>
      </c>
      <c r="M68" s="22">
        <f t="shared" si="1"/>
        <v>0</v>
      </c>
    </row>
    <row r="69">
      <c r="A69" s="76">
        <v>65.0</v>
      </c>
      <c r="B69" s="65" t="s">
        <v>1347</v>
      </c>
      <c r="C69" s="65">
        <v>30895.0</v>
      </c>
      <c r="D69" s="65" t="s">
        <v>99</v>
      </c>
      <c r="E69" s="77"/>
      <c r="F69" s="25"/>
      <c r="G69" s="28">
        <v>15000.0</v>
      </c>
      <c r="H69" s="78"/>
      <c r="I69" s="18"/>
      <c r="J69" s="68"/>
      <c r="K69" s="20"/>
      <c r="L69" s="57">
        <v>15000.0</v>
      </c>
      <c r="M69" s="22">
        <f t="shared" si="1"/>
        <v>0</v>
      </c>
    </row>
    <row r="70">
      <c r="A70" s="76">
        <v>66.0</v>
      </c>
      <c r="B70" s="65" t="s">
        <v>1348</v>
      </c>
      <c r="C70" s="65">
        <v>55179.0</v>
      </c>
      <c r="D70" s="65" t="s">
        <v>203</v>
      </c>
      <c r="E70" s="77"/>
      <c r="F70" s="25"/>
      <c r="G70" s="28">
        <v>17850.0</v>
      </c>
      <c r="H70" s="78"/>
      <c r="I70" s="18"/>
      <c r="J70" s="68"/>
      <c r="K70" s="20"/>
      <c r="L70" s="57">
        <v>17850.0</v>
      </c>
      <c r="M70" s="22">
        <f t="shared" si="1"/>
        <v>0</v>
      </c>
    </row>
    <row r="71">
      <c r="A71" s="76">
        <v>67.0</v>
      </c>
      <c r="B71" s="65" t="s">
        <v>1349</v>
      </c>
      <c r="C71" s="65">
        <v>12102.0</v>
      </c>
      <c r="D71" s="65" t="s">
        <v>113</v>
      </c>
      <c r="E71" s="77"/>
      <c r="F71" s="25"/>
      <c r="G71" s="28">
        <v>6400.0</v>
      </c>
      <c r="H71" s="78"/>
      <c r="I71" s="18"/>
      <c r="J71" s="68"/>
      <c r="K71" s="20"/>
      <c r="L71" s="57">
        <v>6400.0</v>
      </c>
      <c r="M71" s="22">
        <f t="shared" si="1"/>
        <v>0</v>
      </c>
    </row>
    <row r="72">
      <c r="A72" s="76">
        <v>68.0</v>
      </c>
      <c r="B72" s="65" t="s">
        <v>1350</v>
      </c>
      <c r="C72" s="65">
        <v>12102.0</v>
      </c>
      <c r="D72" s="65" t="s">
        <v>113</v>
      </c>
      <c r="E72" s="77"/>
      <c r="F72" s="25"/>
      <c r="G72" s="28">
        <v>526.0</v>
      </c>
      <c r="H72" s="78"/>
      <c r="I72" s="18"/>
      <c r="J72" s="70"/>
      <c r="K72" s="20"/>
      <c r="L72" s="57">
        <v>526.0</v>
      </c>
      <c r="M72" s="22">
        <f t="shared" si="1"/>
        <v>0</v>
      </c>
    </row>
    <row r="73">
      <c r="A73" s="76">
        <v>69.0</v>
      </c>
      <c r="B73" s="65" t="s">
        <v>1351</v>
      </c>
      <c r="C73" s="65">
        <v>57201.0</v>
      </c>
      <c r="D73" s="65" t="s">
        <v>400</v>
      </c>
      <c r="E73" s="79"/>
      <c r="F73" s="25"/>
      <c r="G73" s="28">
        <v>8650.0</v>
      </c>
      <c r="H73" s="78"/>
      <c r="I73" s="18"/>
      <c r="J73" s="68"/>
      <c r="K73" s="20"/>
      <c r="L73" s="57">
        <v>8650.0</v>
      </c>
      <c r="M73" s="22">
        <f t="shared" si="1"/>
        <v>0</v>
      </c>
    </row>
    <row r="74">
      <c r="A74" s="76">
        <v>70.0</v>
      </c>
      <c r="B74" s="65" t="s">
        <v>1352</v>
      </c>
      <c r="C74" s="65">
        <v>42046.0</v>
      </c>
      <c r="D74" s="65" t="s">
        <v>163</v>
      </c>
      <c r="E74" s="79"/>
      <c r="F74" s="25"/>
      <c r="G74" s="28">
        <v>3600.0</v>
      </c>
      <c r="H74" s="78"/>
      <c r="I74" s="18"/>
      <c r="J74" s="68"/>
      <c r="K74" s="20"/>
      <c r="L74" s="57">
        <v>3600.0</v>
      </c>
      <c r="M74" s="22">
        <f t="shared" si="1"/>
        <v>0</v>
      </c>
    </row>
    <row r="75">
      <c r="A75" s="30"/>
      <c r="B75" s="12"/>
      <c r="C75" s="12"/>
      <c r="D75" s="73"/>
      <c r="E75" s="32">
        <f t="shared" ref="E75:L75" si="2">SUM(E5:E74)</f>
        <v>0</v>
      </c>
      <c r="F75" s="32">
        <f t="shared" si="2"/>
        <v>7700</v>
      </c>
      <c r="G75" s="32">
        <f t="shared" si="2"/>
        <v>91176</v>
      </c>
      <c r="H75" s="32">
        <f t="shared" si="2"/>
        <v>236764</v>
      </c>
      <c r="I75" s="32">
        <f t="shared" si="2"/>
        <v>144050</v>
      </c>
      <c r="J75" s="32">
        <f t="shared" si="2"/>
        <v>866</v>
      </c>
      <c r="K75" s="32">
        <f t="shared" si="2"/>
        <v>0</v>
      </c>
      <c r="L75" s="32">
        <f t="shared" si="2"/>
        <v>480556</v>
      </c>
      <c r="M75" s="22">
        <f t="shared" si="1"/>
        <v>0</v>
      </c>
    </row>
    <row r="76">
      <c r="A76" s="33"/>
      <c r="B76" s="63"/>
      <c r="C76" s="63"/>
      <c r="D76" s="74"/>
      <c r="E76" s="34">
        <f>E75+F75+G75+H75+I75+J75+K75</f>
        <v>480556</v>
      </c>
      <c r="F76" s="6"/>
      <c r="G76" s="6"/>
      <c r="H76" s="6"/>
      <c r="I76" s="6"/>
      <c r="J76" s="6"/>
      <c r="K76" s="7"/>
      <c r="L76" s="35"/>
      <c r="M76" s="33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</sheetData>
  <mergeCells count="14">
    <mergeCell ref="F3:G3"/>
    <mergeCell ref="H3:I3"/>
    <mergeCell ref="J3:J4"/>
    <mergeCell ref="K3:K4"/>
    <mergeCell ref="E76:K7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1353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65" t="s">
        <v>1354</v>
      </c>
      <c r="C5" s="65">
        <v>50871.0</v>
      </c>
      <c r="D5" s="65" t="s">
        <v>48</v>
      </c>
      <c r="E5" s="77"/>
      <c r="F5" s="25"/>
      <c r="G5" s="16"/>
      <c r="H5" s="78">
        <v>33500.0</v>
      </c>
      <c r="I5" s="18"/>
      <c r="J5" s="68"/>
      <c r="K5" s="20"/>
      <c r="L5" s="57">
        <v>33500.0</v>
      </c>
      <c r="M5" s="22">
        <f t="shared" ref="M5:M74" si="1">SUM(E5+F5+G5+H5+I5+J5+K5-L5)</f>
        <v>0</v>
      </c>
    </row>
    <row r="6">
      <c r="A6" s="76">
        <v>2.0</v>
      </c>
      <c r="B6" s="65" t="s">
        <v>1355</v>
      </c>
      <c r="C6" s="65">
        <v>48306.0</v>
      </c>
      <c r="D6" s="65" t="s">
        <v>979</v>
      </c>
      <c r="E6" s="77"/>
      <c r="F6" s="25"/>
      <c r="G6" s="16"/>
      <c r="H6" s="78">
        <v>3350.0</v>
      </c>
      <c r="I6" s="18"/>
      <c r="J6" s="70"/>
      <c r="K6" s="20"/>
      <c r="L6" s="57">
        <v>3350.0</v>
      </c>
      <c r="M6" s="22">
        <f t="shared" si="1"/>
        <v>0</v>
      </c>
      <c r="O6" s="55" t="s">
        <v>485</v>
      </c>
    </row>
    <row r="7">
      <c r="A7" s="76">
        <v>3.0</v>
      </c>
      <c r="B7" s="65" t="s">
        <v>1356</v>
      </c>
      <c r="C7" s="65">
        <v>50543.0</v>
      </c>
      <c r="D7" s="65" t="s">
        <v>200</v>
      </c>
      <c r="E7" s="79"/>
      <c r="F7" s="25"/>
      <c r="G7" s="16"/>
      <c r="H7" s="78">
        <v>448.0</v>
      </c>
      <c r="I7" s="18"/>
      <c r="J7" s="68"/>
      <c r="K7" s="20"/>
      <c r="L7" s="57">
        <v>448.0</v>
      </c>
      <c r="M7" s="22">
        <f t="shared" si="1"/>
        <v>0</v>
      </c>
    </row>
    <row r="8">
      <c r="A8" s="76">
        <v>4.0</v>
      </c>
      <c r="B8" s="65" t="s">
        <v>1357</v>
      </c>
      <c r="C8" s="65">
        <v>50979.0</v>
      </c>
      <c r="D8" s="65" t="s">
        <v>702</v>
      </c>
      <c r="E8" s="77"/>
      <c r="F8" s="25"/>
      <c r="G8" s="16"/>
      <c r="H8" s="78"/>
      <c r="I8" s="18">
        <v>1427.0</v>
      </c>
      <c r="J8" s="68"/>
      <c r="K8" s="20"/>
      <c r="L8" s="57">
        <v>1427.0</v>
      </c>
      <c r="M8" s="22">
        <f t="shared" si="1"/>
        <v>0</v>
      </c>
    </row>
    <row r="9">
      <c r="A9" s="76">
        <v>5.0</v>
      </c>
      <c r="B9" s="65" t="s">
        <v>1358</v>
      </c>
      <c r="C9" s="65">
        <v>10320.0</v>
      </c>
      <c r="D9" s="65" t="s">
        <v>84</v>
      </c>
      <c r="E9" s="77"/>
      <c r="F9" s="25"/>
      <c r="G9" s="16"/>
      <c r="H9" s="78">
        <v>5000.0</v>
      </c>
      <c r="I9" s="18"/>
      <c r="J9" s="70"/>
      <c r="K9" s="20"/>
      <c r="L9" s="57">
        <v>5000.0</v>
      </c>
      <c r="M9" s="22">
        <f t="shared" si="1"/>
        <v>0</v>
      </c>
    </row>
    <row r="10">
      <c r="A10" s="76">
        <v>6.0</v>
      </c>
      <c r="B10" s="65" t="s">
        <v>1359</v>
      </c>
      <c r="C10" s="65">
        <v>21818.0</v>
      </c>
      <c r="D10" s="65" t="s">
        <v>82</v>
      </c>
      <c r="E10" s="79">
        <v>300.0</v>
      </c>
      <c r="F10" s="25"/>
      <c r="G10" s="16"/>
      <c r="H10" s="78"/>
      <c r="I10" s="24"/>
      <c r="J10" s="68"/>
      <c r="K10" s="20"/>
      <c r="L10" s="57">
        <v>300.0</v>
      </c>
      <c r="M10" s="22">
        <f t="shared" si="1"/>
        <v>0</v>
      </c>
    </row>
    <row r="11">
      <c r="A11" s="76">
        <v>7.0</v>
      </c>
      <c r="B11" s="65" t="s">
        <v>1360</v>
      </c>
      <c r="C11" s="65">
        <v>57869.0</v>
      </c>
      <c r="D11" s="65" t="s">
        <v>1361</v>
      </c>
      <c r="E11" s="77"/>
      <c r="F11" s="25"/>
      <c r="G11" s="16"/>
      <c r="H11" s="78">
        <v>3600.0</v>
      </c>
      <c r="I11" s="18"/>
      <c r="J11" s="70"/>
      <c r="K11" s="20"/>
      <c r="L11" s="57">
        <v>3600.0</v>
      </c>
      <c r="M11" s="22">
        <f t="shared" si="1"/>
        <v>0</v>
      </c>
    </row>
    <row r="12">
      <c r="A12" s="76">
        <v>8.0</v>
      </c>
      <c r="B12" s="65" t="s">
        <v>1362</v>
      </c>
      <c r="C12" s="65">
        <v>10320.0</v>
      </c>
      <c r="D12" s="65" t="s">
        <v>84</v>
      </c>
      <c r="E12" s="77"/>
      <c r="F12" s="25"/>
      <c r="G12" s="16"/>
      <c r="H12" s="78">
        <v>5000.0</v>
      </c>
      <c r="I12" s="18"/>
      <c r="J12" s="68"/>
      <c r="K12" s="20"/>
      <c r="L12" s="57">
        <v>5000.0</v>
      </c>
      <c r="M12" s="22">
        <f t="shared" si="1"/>
        <v>0</v>
      </c>
    </row>
    <row r="13">
      <c r="A13" s="76">
        <v>9.0</v>
      </c>
      <c r="B13" s="65" t="s">
        <v>1363</v>
      </c>
      <c r="C13" s="65">
        <v>48372.0</v>
      </c>
      <c r="D13" s="65" t="s">
        <v>1364</v>
      </c>
      <c r="E13" s="77"/>
      <c r="F13" s="25"/>
      <c r="G13" s="16"/>
      <c r="H13" s="78"/>
      <c r="I13" s="18">
        <v>2500.0</v>
      </c>
      <c r="J13" s="68"/>
      <c r="K13" s="20"/>
      <c r="L13" s="57">
        <v>2500.0</v>
      </c>
      <c r="M13" s="22">
        <f t="shared" si="1"/>
        <v>0</v>
      </c>
    </row>
    <row r="14">
      <c r="A14" s="76">
        <v>10.0</v>
      </c>
      <c r="B14" s="65" t="s">
        <v>1365</v>
      </c>
      <c r="C14" s="65">
        <v>22332.0</v>
      </c>
      <c r="D14" s="65" t="s">
        <v>78</v>
      </c>
      <c r="E14" s="77"/>
      <c r="F14" s="25"/>
      <c r="G14" s="16"/>
      <c r="H14" s="78">
        <v>15000.0</v>
      </c>
      <c r="I14" s="18"/>
      <c r="J14" s="68"/>
      <c r="K14" s="20"/>
      <c r="L14" s="57">
        <v>15000.0</v>
      </c>
      <c r="M14" s="22">
        <f t="shared" si="1"/>
        <v>0</v>
      </c>
    </row>
    <row r="15">
      <c r="A15" s="76">
        <v>11.0</v>
      </c>
      <c r="B15" s="65" t="s">
        <v>1366</v>
      </c>
      <c r="C15" s="65">
        <v>58153.0</v>
      </c>
      <c r="D15" s="65" t="s">
        <v>1367</v>
      </c>
      <c r="E15" s="77"/>
      <c r="F15" s="25"/>
      <c r="G15" s="16"/>
      <c r="H15" s="78">
        <v>5050.0</v>
      </c>
      <c r="I15" s="18"/>
      <c r="J15" s="68"/>
      <c r="K15" s="20"/>
      <c r="L15" s="57">
        <v>5050.0</v>
      </c>
      <c r="M15" s="22">
        <f t="shared" si="1"/>
        <v>0</v>
      </c>
    </row>
    <row r="16">
      <c r="A16" s="76">
        <v>12.0</v>
      </c>
      <c r="B16" s="65" t="s">
        <v>1368</v>
      </c>
      <c r="C16" s="65">
        <v>49825.0</v>
      </c>
      <c r="D16" s="65" t="s">
        <v>293</v>
      </c>
      <c r="E16" s="77"/>
      <c r="F16" s="25"/>
      <c r="G16" s="16"/>
      <c r="H16" s="78"/>
      <c r="I16" s="18">
        <v>1750.0</v>
      </c>
      <c r="J16" s="70"/>
      <c r="K16" s="20"/>
      <c r="L16" s="57">
        <v>1750.0</v>
      </c>
      <c r="M16" s="22">
        <f t="shared" si="1"/>
        <v>0</v>
      </c>
    </row>
    <row r="17">
      <c r="A17" s="76">
        <v>13.0</v>
      </c>
      <c r="B17" s="65" t="s">
        <v>1369</v>
      </c>
      <c r="C17" s="65">
        <v>44149.0</v>
      </c>
      <c r="D17" s="65" t="s">
        <v>44</v>
      </c>
      <c r="E17" s="77"/>
      <c r="F17" s="25"/>
      <c r="G17" s="16"/>
      <c r="H17" s="78">
        <v>73000.0</v>
      </c>
      <c r="I17" s="24"/>
      <c r="J17" s="68"/>
      <c r="K17" s="20"/>
      <c r="L17" s="57">
        <v>73000.0</v>
      </c>
      <c r="M17" s="22">
        <f t="shared" si="1"/>
        <v>0</v>
      </c>
    </row>
    <row r="18">
      <c r="A18" s="76">
        <v>14.0</v>
      </c>
      <c r="B18" s="65" t="s">
        <v>1370</v>
      </c>
      <c r="C18" s="65">
        <v>55992.0</v>
      </c>
      <c r="D18" s="65" t="s">
        <v>933</v>
      </c>
      <c r="E18" s="79"/>
      <c r="F18" s="25"/>
      <c r="G18" s="16"/>
      <c r="H18" s="78">
        <v>2730.0</v>
      </c>
      <c r="I18" s="18"/>
      <c r="J18" s="68"/>
      <c r="K18" s="20"/>
      <c r="L18" s="57">
        <v>2730.0</v>
      </c>
      <c r="M18" s="22">
        <f t="shared" si="1"/>
        <v>0</v>
      </c>
    </row>
    <row r="19">
      <c r="A19" s="76">
        <v>15.0</v>
      </c>
      <c r="B19" s="65" t="s">
        <v>1371</v>
      </c>
      <c r="C19" s="65">
        <v>43134.0</v>
      </c>
      <c r="D19" s="65" t="s">
        <v>1372</v>
      </c>
      <c r="E19" s="79"/>
      <c r="F19" s="25"/>
      <c r="G19" s="16"/>
      <c r="H19" s="78">
        <v>3600.0</v>
      </c>
      <c r="I19" s="18"/>
      <c r="J19" s="68"/>
      <c r="K19" s="20"/>
      <c r="L19" s="57">
        <v>3600.0</v>
      </c>
      <c r="M19" s="22">
        <f t="shared" si="1"/>
        <v>0</v>
      </c>
    </row>
    <row r="20">
      <c r="A20" s="76">
        <v>16.0</v>
      </c>
      <c r="B20" s="65" t="s">
        <v>1373</v>
      </c>
      <c r="C20" s="65">
        <v>48053.0</v>
      </c>
      <c r="D20" s="65" t="s">
        <v>90</v>
      </c>
      <c r="E20" s="77"/>
      <c r="F20" s="25"/>
      <c r="G20" s="16"/>
      <c r="H20" s="78">
        <v>1250.0</v>
      </c>
      <c r="I20" s="18"/>
      <c r="J20" s="68"/>
      <c r="K20" s="20"/>
      <c r="L20" s="57">
        <v>1250.0</v>
      </c>
      <c r="M20" s="22">
        <f t="shared" si="1"/>
        <v>0</v>
      </c>
    </row>
    <row r="21">
      <c r="A21" s="76">
        <v>17.0</v>
      </c>
      <c r="B21" s="65" t="s">
        <v>1374</v>
      </c>
      <c r="C21" s="65">
        <v>10001.0</v>
      </c>
      <c r="D21" s="65" t="s">
        <v>46</v>
      </c>
      <c r="E21" s="77"/>
      <c r="F21" s="25"/>
      <c r="G21" s="16"/>
      <c r="H21" s="78">
        <v>15000.0</v>
      </c>
      <c r="I21" s="18"/>
      <c r="J21" s="68"/>
      <c r="K21" s="20"/>
      <c r="L21" s="57">
        <v>15000.0</v>
      </c>
      <c r="M21" s="22">
        <f t="shared" si="1"/>
        <v>0</v>
      </c>
    </row>
    <row r="22">
      <c r="A22" s="76">
        <v>18.0</v>
      </c>
      <c r="B22" s="65" t="s">
        <v>1375</v>
      </c>
      <c r="C22" s="65">
        <v>47787.0</v>
      </c>
      <c r="D22" s="65" t="s">
        <v>161</v>
      </c>
      <c r="E22" s="77"/>
      <c r="F22" s="25"/>
      <c r="G22" s="16"/>
      <c r="H22" s="78">
        <v>2850.0</v>
      </c>
      <c r="I22" s="18"/>
      <c r="J22" s="68"/>
      <c r="K22" s="20"/>
      <c r="L22" s="57">
        <v>2850.0</v>
      </c>
      <c r="M22" s="22">
        <f t="shared" si="1"/>
        <v>0</v>
      </c>
    </row>
    <row r="23">
      <c r="A23" s="76">
        <v>19.0</v>
      </c>
      <c r="B23" s="65" t="s">
        <v>1376</v>
      </c>
      <c r="C23" s="65">
        <v>58157.0</v>
      </c>
      <c r="D23" s="65" t="s">
        <v>1377</v>
      </c>
      <c r="E23" s="77"/>
      <c r="F23" s="25"/>
      <c r="G23" s="16"/>
      <c r="H23" s="78">
        <v>4500.0</v>
      </c>
      <c r="I23" s="18"/>
      <c r="J23" s="68"/>
      <c r="K23" s="20"/>
      <c r="L23" s="57">
        <v>4500.0</v>
      </c>
      <c r="M23" s="22">
        <f t="shared" si="1"/>
        <v>0</v>
      </c>
    </row>
    <row r="24">
      <c r="A24" s="76">
        <v>20.0</v>
      </c>
      <c r="B24" s="65" t="s">
        <v>1378</v>
      </c>
      <c r="C24" s="65">
        <v>22332.0</v>
      </c>
      <c r="D24" s="65" t="s">
        <v>78</v>
      </c>
      <c r="E24" s="77"/>
      <c r="F24" s="25"/>
      <c r="G24" s="16"/>
      <c r="H24" s="78">
        <v>1750.0</v>
      </c>
      <c r="I24" s="18"/>
      <c r="J24" s="68"/>
      <c r="K24" s="20"/>
      <c r="L24" s="57">
        <v>1750.0</v>
      </c>
      <c r="M24" s="22">
        <f t="shared" si="1"/>
        <v>0</v>
      </c>
    </row>
    <row r="25">
      <c r="A25" s="76">
        <v>21.0</v>
      </c>
      <c r="B25" s="65" t="s">
        <v>1379</v>
      </c>
      <c r="C25" s="65">
        <v>40235.0</v>
      </c>
      <c r="D25" s="65" t="s">
        <v>207</v>
      </c>
      <c r="E25" s="77"/>
      <c r="F25" s="25"/>
      <c r="G25" s="16"/>
      <c r="H25" s="78">
        <v>5150.0</v>
      </c>
      <c r="I25" s="18"/>
      <c r="J25" s="68"/>
      <c r="K25" s="20"/>
      <c r="L25" s="57">
        <v>5150.0</v>
      </c>
      <c r="M25" s="22">
        <f t="shared" si="1"/>
        <v>0</v>
      </c>
    </row>
    <row r="26">
      <c r="A26" s="76">
        <v>22.0</v>
      </c>
      <c r="B26" s="65" t="s">
        <v>1380</v>
      </c>
      <c r="C26" s="65">
        <v>50821.0</v>
      </c>
      <c r="D26" s="65" t="s">
        <v>125</v>
      </c>
      <c r="E26" s="77"/>
      <c r="F26" s="25">
        <v>3750.0</v>
      </c>
      <c r="G26" s="16"/>
      <c r="H26" s="78"/>
      <c r="I26" s="18"/>
      <c r="J26" s="70"/>
      <c r="K26" s="20"/>
      <c r="L26" s="57">
        <v>3750.0</v>
      </c>
      <c r="M26" s="22">
        <f t="shared" si="1"/>
        <v>0</v>
      </c>
    </row>
    <row r="27">
      <c r="A27" s="76">
        <v>23.0</v>
      </c>
      <c r="B27" s="65" t="s">
        <v>1381</v>
      </c>
      <c r="C27" s="65">
        <v>44035.0</v>
      </c>
      <c r="D27" s="65" t="s">
        <v>1382</v>
      </c>
      <c r="E27" s="77"/>
      <c r="F27" s="25"/>
      <c r="G27" s="16"/>
      <c r="H27" s="78">
        <v>2710.0</v>
      </c>
      <c r="I27" s="18"/>
      <c r="J27" s="68"/>
      <c r="K27" s="20"/>
      <c r="L27" s="57">
        <v>2710.0</v>
      </c>
      <c r="M27" s="22">
        <f t="shared" si="1"/>
        <v>0</v>
      </c>
    </row>
    <row r="28">
      <c r="A28" s="76">
        <v>24.0</v>
      </c>
      <c r="B28" s="65" t="s">
        <v>1383</v>
      </c>
      <c r="C28" s="65">
        <v>57821.0</v>
      </c>
      <c r="D28" s="65" t="s">
        <v>577</v>
      </c>
      <c r="E28" s="77"/>
      <c r="F28" s="25"/>
      <c r="G28" s="16"/>
      <c r="H28" s="78">
        <v>3000.0</v>
      </c>
      <c r="I28" s="18"/>
      <c r="J28" s="68"/>
      <c r="K28" s="20"/>
      <c r="L28" s="57">
        <v>3000.0</v>
      </c>
      <c r="M28" s="22">
        <f t="shared" si="1"/>
        <v>0</v>
      </c>
    </row>
    <row r="29">
      <c r="A29" s="76">
        <v>25.0</v>
      </c>
      <c r="B29" s="65" t="s">
        <v>1384</v>
      </c>
      <c r="C29" s="65">
        <v>50538.0</v>
      </c>
      <c r="D29" s="65" t="s">
        <v>680</v>
      </c>
      <c r="E29" s="77"/>
      <c r="F29" s="25"/>
      <c r="G29" s="16"/>
      <c r="H29" s="78">
        <v>5000.0</v>
      </c>
      <c r="I29" s="18"/>
      <c r="J29" s="70"/>
      <c r="K29" s="20"/>
      <c r="L29" s="57">
        <v>5000.0</v>
      </c>
      <c r="M29" s="22">
        <f t="shared" si="1"/>
        <v>0</v>
      </c>
    </row>
    <row r="30">
      <c r="A30" s="76">
        <v>26.0</v>
      </c>
      <c r="B30" s="65" t="s">
        <v>1385</v>
      </c>
      <c r="C30" s="65">
        <v>51406.0</v>
      </c>
      <c r="D30" s="65" t="s">
        <v>128</v>
      </c>
      <c r="E30" s="77"/>
      <c r="F30" s="25"/>
      <c r="G30" s="16"/>
      <c r="H30" s="78"/>
      <c r="I30" s="18">
        <v>22500.0</v>
      </c>
      <c r="J30" s="68"/>
      <c r="K30" s="20"/>
      <c r="L30" s="57">
        <v>22500.0</v>
      </c>
      <c r="M30" s="22">
        <f t="shared" si="1"/>
        <v>0</v>
      </c>
    </row>
    <row r="31">
      <c r="A31" s="76">
        <v>27.0</v>
      </c>
      <c r="B31" s="65" t="s">
        <v>1386</v>
      </c>
      <c r="C31" s="65">
        <v>49655.0</v>
      </c>
      <c r="D31" s="65" t="s">
        <v>134</v>
      </c>
      <c r="E31" s="77"/>
      <c r="F31" s="25"/>
      <c r="G31" s="16"/>
      <c r="H31" s="78">
        <v>5000.0</v>
      </c>
      <c r="I31" s="18"/>
      <c r="J31" s="68"/>
      <c r="K31" s="20"/>
      <c r="L31" s="57">
        <v>5000.0</v>
      </c>
      <c r="M31" s="22">
        <f t="shared" si="1"/>
        <v>0</v>
      </c>
    </row>
    <row r="32">
      <c r="A32" s="76">
        <v>28.0</v>
      </c>
      <c r="B32" s="65" t="s">
        <v>1387</v>
      </c>
      <c r="C32" s="65">
        <v>35245.0</v>
      </c>
      <c r="D32" s="65" t="s">
        <v>330</v>
      </c>
      <c r="E32" s="77"/>
      <c r="F32" s="25"/>
      <c r="G32" s="16"/>
      <c r="H32" s="78">
        <v>754.0</v>
      </c>
      <c r="I32" s="18"/>
      <c r="J32" s="70"/>
      <c r="K32" s="20"/>
      <c r="L32" s="57">
        <v>754.0</v>
      </c>
      <c r="M32" s="22">
        <f t="shared" si="1"/>
        <v>0</v>
      </c>
    </row>
    <row r="33">
      <c r="A33" s="76">
        <v>29.0</v>
      </c>
      <c r="B33" s="65" t="s">
        <v>1388</v>
      </c>
      <c r="C33" s="65">
        <v>48631.0</v>
      </c>
      <c r="D33" s="65" t="s">
        <v>123</v>
      </c>
      <c r="E33" s="77"/>
      <c r="F33" s="25"/>
      <c r="G33" s="16"/>
      <c r="H33" s="78">
        <v>4750.0</v>
      </c>
      <c r="I33" s="18"/>
      <c r="J33" s="68"/>
      <c r="K33" s="20"/>
      <c r="L33" s="57">
        <v>4750.0</v>
      </c>
      <c r="M33" s="22">
        <f t="shared" si="1"/>
        <v>0</v>
      </c>
    </row>
    <row r="34">
      <c r="A34" s="76">
        <v>30.0</v>
      </c>
      <c r="B34" s="65" t="s">
        <v>1389</v>
      </c>
      <c r="C34" s="65">
        <v>47574.0</v>
      </c>
      <c r="D34" s="65" t="s">
        <v>1307</v>
      </c>
      <c r="E34" s="77"/>
      <c r="F34" s="25"/>
      <c r="G34" s="16"/>
      <c r="H34" s="78">
        <v>350.0</v>
      </c>
      <c r="I34" s="18"/>
      <c r="J34" s="68"/>
      <c r="K34" s="20"/>
      <c r="L34" s="57">
        <v>350.0</v>
      </c>
      <c r="M34" s="22">
        <f t="shared" si="1"/>
        <v>0</v>
      </c>
    </row>
    <row r="35">
      <c r="A35" s="76">
        <v>31.0</v>
      </c>
      <c r="B35" s="65" t="s">
        <v>1390</v>
      </c>
      <c r="C35" s="65">
        <v>58160.0</v>
      </c>
      <c r="D35" s="65" t="s">
        <v>1391</v>
      </c>
      <c r="E35" s="77"/>
      <c r="F35" s="25"/>
      <c r="G35" s="16"/>
      <c r="H35" s="78">
        <v>5100.0</v>
      </c>
      <c r="I35" s="18"/>
      <c r="J35" s="68"/>
      <c r="K35" s="20"/>
      <c r="L35" s="57">
        <v>5100.0</v>
      </c>
      <c r="M35" s="22">
        <f t="shared" si="1"/>
        <v>0</v>
      </c>
    </row>
    <row r="36">
      <c r="A36" s="76">
        <v>32.0</v>
      </c>
      <c r="B36" s="65" t="s">
        <v>1392</v>
      </c>
      <c r="C36" s="65">
        <v>22727.0</v>
      </c>
      <c r="D36" s="65" t="s">
        <v>109</v>
      </c>
      <c r="E36" s="79"/>
      <c r="F36" s="25"/>
      <c r="G36" s="16"/>
      <c r="H36" s="78"/>
      <c r="I36" s="18">
        <v>1250.0</v>
      </c>
      <c r="J36" s="70"/>
      <c r="K36" s="20"/>
      <c r="L36" s="57">
        <v>1250.0</v>
      </c>
      <c r="M36" s="22">
        <f t="shared" si="1"/>
        <v>0</v>
      </c>
    </row>
    <row r="37">
      <c r="A37" s="76">
        <v>33.0</v>
      </c>
      <c r="B37" s="65" t="s">
        <v>1393</v>
      </c>
      <c r="C37" s="65">
        <v>51782.0</v>
      </c>
      <c r="D37" s="65" t="s">
        <v>1394</v>
      </c>
      <c r="E37" s="77"/>
      <c r="F37" s="25"/>
      <c r="G37" s="16"/>
      <c r="H37" s="78"/>
      <c r="I37" s="18">
        <v>350.0</v>
      </c>
      <c r="J37" s="68"/>
      <c r="K37" s="20"/>
      <c r="L37" s="57">
        <v>350.0</v>
      </c>
      <c r="M37" s="22">
        <f t="shared" si="1"/>
        <v>0</v>
      </c>
    </row>
    <row r="38">
      <c r="A38" s="76">
        <v>34.0</v>
      </c>
      <c r="B38" s="65" t="s">
        <v>1395</v>
      </c>
      <c r="C38" s="65">
        <v>49953.0</v>
      </c>
      <c r="D38" s="65" t="s">
        <v>62</v>
      </c>
      <c r="E38" s="77"/>
      <c r="F38" s="25"/>
      <c r="G38" s="16"/>
      <c r="H38" s="78">
        <v>417.0</v>
      </c>
      <c r="I38" s="18"/>
      <c r="J38" s="68"/>
      <c r="K38" s="20"/>
      <c r="L38" s="57">
        <v>417.0</v>
      </c>
      <c r="M38" s="22">
        <f t="shared" si="1"/>
        <v>0</v>
      </c>
    </row>
    <row r="39">
      <c r="A39" s="76">
        <v>35.0</v>
      </c>
      <c r="B39" s="65" t="s">
        <v>1396</v>
      </c>
      <c r="C39" s="65">
        <v>58020.0</v>
      </c>
      <c r="D39" s="65" t="s">
        <v>1397</v>
      </c>
      <c r="E39" s="79"/>
      <c r="F39" s="25"/>
      <c r="G39" s="16"/>
      <c r="H39" s="78">
        <v>1750.0</v>
      </c>
      <c r="I39" s="18"/>
      <c r="J39" s="68"/>
      <c r="K39" s="20"/>
      <c r="L39" s="57">
        <v>1750.0</v>
      </c>
      <c r="M39" s="22">
        <f t="shared" si="1"/>
        <v>0</v>
      </c>
    </row>
    <row r="40">
      <c r="A40" s="76">
        <v>36.0</v>
      </c>
      <c r="B40" s="65" t="s">
        <v>1398</v>
      </c>
      <c r="C40" s="65">
        <v>53977.0</v>
      </c>
      <c r="D40" s="65" t="s">
        <v>1399</v>
      </c>
      <c r="E40" s="77"/>
      <c r="F40" s="25"/>
      <c r="G40" s="16"/>
      <c r="H40" s="78">
        <v>27450.0</v>
      </c>
      <c r="I40" s="18"/>
      <c r="J40" s="68"/>
      <c r="K40" s="20"/>
      <c r="L40" s="57">
        <v>27450.0</v>
      </c>
      <c r="M40" s="22">
        <f t="shared" si="1"/>
        <v>0</v>
      </c>
    </row>
    <row r="41">
      <c r="A41" s="76">
        <v>37.0</v>
      </c>
      <c r="B41" s="65" t="s">
        <v>1400</v>
      </c>
      <c r="C41" s="65">
        <v>48631.0</v>
      </c>
      <c r="D41" s="65" t="s">
        <v>123</v>
      </c>
      <c r="E41" s="77"/>
      <c r="F41" s="25"/>
      <c r="G41" s="16"/>
      <c r="H41" s="78">
        <v>1250.0</v>
      </c>
      <c r="I41" s="18"/>
      <c r="J41" s="68"/>
      <c r="K41" s="20"/>
      <c r="L41" s="57">
        <v>1250.0</v>
      </c>
      <c r="M41" s="22">
        <f t="shared" si="1"/>
        <v>0</v>
      </c>
    </row>
    <row r="42">
      <c r="A42" s="76">
        <v>38.0</v>
      </c>
      <c r="B42" s="65" t="s">
        <v>1401</v>
      </c>
      <c r="C42" s="65">
        <v>47787.0</v>
      </c>
      <c r="D42" s="65" t="s">
        <v>161</v>
      </c>
      <c r="E42" s="79"/>
      <c r="F42" s="25"/>
      <c r="G42" s="16"/>
      <c r="H42" s="78">
        <v>350.0</v>
      </c>
      <c r="J42" s="68"/>
      <c r="K42" s="20"/>
      <c r="L42" s="57">
        <v>350.0</v>
      </c>
      <c r="M42" s="22">
        <f t="shared" si="1"/>
        <v>0</v>
      </c>
    </row>
    <row r="43">
      <c r="A43" s="76">
        <v>39.0</v>
      </c>
      <c r="B43" s="65" t="s">
        <v>1402</v>
      </c>
      <c r="C43" s="65">
        <v>52647.0</v>
      </c>
      <c r="D43" s="65" t="s">
        <v>468</v>
      </c>
      <c r="E43" s="77"/>
      <c r="F43" s="25"/>
      <c r="G43" s="16"/>
      <c r="H43" s="78"/>
      <c r="I43" s="18"/>
      <c r="J43" s="70">
        <v>1250.0</v>
      </c>
      <c r="K43" s="20"/>
      <c r="L43" s="57">
        <v>1250.0</v>
      </c>
      <c r="M43" s="22">
        <f t="shared" si="1"/>
        <v>0</v>
      </c>
    </row>
    <row r="44">
      <c r="A44" s="76">
        <v>40.0</v>
      </c>
      <c r="B44" s="65" t="s">
        <v>1403</v>
      </c>
      <c r="C44" s="65">
        <v>21384.0</v>
      </c>
      <c r="D44" s="65" t="s">
        <v>151</v>
      </c>
      <c r="E44" s="77"/>
      <c r="F44" s="25"/>
      <c r="G44" s="16"/>
      <c r="H44" s="78">
        <v>2850.0</v>
      </c>
      <c r="I44" s="18"/>
      <c r="J44" s="68"/>
      <c r="K44" s="20"/>
      <c r="L44" s="57">
        <v>2850.0</v>
      </c>
      <c r="M44" s="22">
        <f t="shared" si="1"/>
        <v>0</v>
      </c>
    </row>
    <row r="45">
      <c r="A45" s="76">
        <v>41.0</v>
      </c>
      <c r="B45" s="65" t="s">
        <v>1404</v>
      </c>
      <c r="C45" s="65">
        <v>58163.0</v>
      </c>
      <c r="D45" s="65" t="s">
        <v>1405</v>
      </c>
      <c r="E45" s="77"/>
      <c r="F45" s="25"/>
      <c r="G45" s="16"/>
      <c r="H45" s="78"/>
      <c r="I45" s="18">
        <v>300.0</v>
      </c>
      <c r="J45" s="68"/>
      <c r="K45" s="20"/>
      <c r="L45" s="57">
        <v>300.0</v>
      </c>
      <c r="M45" s="22">
        <f t="shared" si="1"/>
        <v>0</v>
      </c>
    </row>
    <row r="46">
      <c r="A46" s="76">
        <v>42.0</v>
      </c>
      <c r="B46" s="65" t="s">
        <v>1406</v>
      </c>
      <c r="C46" s="65">
        <v>21384.0</v>
      </c>
      <c r="D46" s="65" t="s">
        <v>151</v>
      </c>
      <c r="E46" s="79"/>
      <c r="F46" s="25"/>
      <c r="G46" s="16"/>
      <c r="H46" s="78">
        <v>300.0</v>
      </c>
      <c r="I46" s="18"/>
      <c r="J46" s="68"/>
      <c r="K46" s="20"/>
      <c r="L46" s="57">
        <v>300.0</v>
      </c>
      <c r="M46" s="22">
        <f t="shared" si="1"/>
        <v>0</v>
      </c>
    </row>
    <row r="47">
      <c r="A47" s="76">
        <v>43.0</v>
      </c>
      <c r="B47" s="65" t="s">
        <v>1407</v>
      </c>
      <c r="C47" s="65">
        <v>10250.0</v>
      </c>
      <c r="D47" s="65" t="s">
        <v>115</v>
      </c>
      <c r="E47" s="79"/>
      <c r="F47" s="25"/>
      <c r="G47" s="16"/>
      <c r="H47" s="78"/>
      <c r="I47" s="18">
        <v>350.0</v>
      </c>
      <c r="J47" s="68"/>
      <c r="K47" s="20"/>
      <c r="L47" s="57">
        <v>350.0</v>
      </c>
      <c r="M47" s="22">
        <f t="shared" si="1"/>
        <v>0</v>
      </c>
    </row>
    <row r="48">
      <c r="A48" s="76">
        <v>44.0</v>
      </c>
      <c r="B48" s="65" t="s">
        <v>1408</v>
      </c>
      <c r="C48" s="65">
        <v>55409.0</v>
      </c>
      <c r="D48" s="65" t="s">
        <v>320</v>
      </c>
      <c r="E48" s="77"/>
      <c r="F48" s="25"/>
      <c r="G48" s="16"/>
      <c r="H48" s="78">
        <v>17500.0</v>
      </c>
      <c r="I48" s="18"/>
      <c r="J48" s="68"/>
      <c r="K48" s="20"/>
      <c r="L48" s="57">
        <v>17500.0</v>
      </c>
      <c r="M48" s="22">
        <f t="shared" si="1"/>
        <v>0</v>
      </c>
    </row>
    <row r="49">
      <c r="A49" s="76">
        <v>45.0</v>
      </c>
      <c r="B49" s="65" t="s">
        <v>1409</v>
      </c>
      <c r="C49" s="65">
        <v>35227.0</v>
      </c>
      <c r="D49" s="65" t="s">
        <v>670</v>
      </c>
      <c r="E49" s="79">
        <v>200.0</v>
      </c>
      <c r="F49" s="25"/>
      <c r="G49" s="16"/>
      <c r="H49" s="78">
        <v>1000.0</v>
      </c>
      <c r="I49" s="18"/>
      <c r="J49" s="68"/>
      <c r="K49" s="20"/>
      <c r="L49" s="57">
        <v>1200.0</v>
      </c>
      <c r="M49" s="22">
        <f t="shared" si="1"/>
        <v>0</v>
      </c>
    </row>
    <row r="50">
      <c r="A50" s="76">
        <v>46.0</v>
      </c>
      <c r="B50" s="65" t="s">
        <v>1410</v>
      </c>
      <c r="C50" s="65">
        <v>35227.0</v>
      </c>
      <c r="D50" s="65" t="s">
        <v>670</v>
      </c>
      <c r="E50" s="79">
        <v>3600.0</v>
      </c>
      <c r="F50" s="25"/>
      <c r="G50" s="16"/>
      <c r="H50" s="78"/>
      <c r="I50" s="18"/>
      <c r="J50" s="68"/>
      <c r="K50" s="20"/>
      <c r="L50" s="57">
        <v>3600.0</v>
      </c>
      <c r="M50" s="22">
        <f t="shared" si="1"/>
        <v>0</v>
      </c>
    </row>
    <row r="51">
      <c r="A51" s="76">
        <v>47.0</v>
      </c>
      <c r="B51" s="65" t="s">
        <v>1411</v>
      </c>
      <c r="C51" s="65">
        <v>50596.0</v>
      </c>
      <c r="D51" s="65" t="s">
        <v>157</v>
      </c>
      <c r="E51" s="77"/>
      <c r="F51" s="25"/>
      <c r="G51" s="16"/>
      <c r="H51" s="78">
        <v>3500.0</v>
      </c>
      <c r="I51" s="18"/>
      <c r="J51" s="70"/>
      <c r="K51" s="20"/>
      <c r="L51" s="57">
        <v>3500.0</v>
      </c>
      <c r="M51" s="22">
        <f t="shared" si="1"/>
        <v>0</v>
      </c>
    </row>
    <row r="52">
      <c r="A52" s="76">
        <v>48.0</v>
      </c>
      <c r="B52" s="65" t="s">
        <v>1412</v>
      </c>
      <c r="C52" s="65">
        <v>10249.0</v>
      </c>
      <c r="D52" s="65" t="s">
        <v>367</v>
      </c>
      <c r="E52" s="79">
        <v>1050.0</v>
      </c>
      <c r="F52" s="25"/>
      <c r="G52" s="16"/>
      <c r="H52" s="78"/>
      <c r="I52" s="18"/>
      <c r="J52" s="70"/>
      <c r="K52" s="20"/>
      <c r="L52" s="57">
        <v>1050.0</v>
      </c>
      <c r="M52" s="22">
        <f t="shared" si="1"/>
        <v>0</v>
      </c>
    </row>
    <row r="53">
      <c r="A53" s="76">
        <v>49.0</v>
      </c>
      <c r="B53" s="65" t="s">
        <v>1413</v>
      </c>
      <c r="C53" s="65">
        <v>57559.0</v>
      </c>
      <c r="D53" s="65" t="s">
        <v>848</v>
      </c>
      <c r="E53" s="79"/>
      <c r="F53" s="25"/>
      <c r="G53" s="16"/>
      <c r="H53" s="78">
        <v>3500.0</v>
      </c>
      <c r="I53" s="18"/>
      <c r="J53" s="68"/>
      <c r="K53" s="20"/>
      <c r="L53" s="57">
        <v>3500.0</v>
      </c>
      <c r="M53" s="22">
        <f t="shared" si="1"/>
        <v>0</v>
      </c>
    </row>
    <row r="54">
      <c r="A54" s="76">
        <v>50.0</v>
      </c>
      <c r="B54" s="65" t="s">
        <v>1414</v>
      </c>
      <c r="C54" s="65">
        <v>51017.0</v>
      </c>
      <c r="D54" s="65" t="s">
        <v>477</v>
      </c>
      <c r="E54" s="77"/>
      <c r="F54" s="25"/>
      <c r="G54" s="16"/>
      <c r="H54" s="78">
        <v>300.0</v>
      </c>
      <c r="I54" s="18"/>
      <c r="J54" s="68"/>
      <c r="K54" s="20"/>
      <c r="L54" s="57">
        <v>300.0</v>
      </c>
      <c r="M54" s="22">
        <f t="shared" si="1"/>
        <v>0</v>
      </c>
    </row>
    <row r="55">
      <c r="A55" s="76">
        <v>51.0</v>
      </c>
      <c r="B55" s="65" t="s">
        <v>1415</v>
      </c>
      <c r="C55" s="65">
        <v>53283.0</v>
      </c>
      <c r="D55" s="65" t="s">
        <v>1416</v>
      </c>
      <c r="E55" s="77"/>
      <c r="F55" s="25">
        <v>3550.0</v>
      </c>
      <c r="G55" s="16"/>
      <c r="H55" s="78"/>
      <c r="I55" s="18"/>
      <c r="J55" s="68"/>
      <c r="K55" s="20"/>
      <c r="L55" s="57">
        <v>3550.0</v>
      </c>
      <c r="M55" s="22">
        <f t="shared" si="1"/>
        <v>0</v>
      </c>
    </row>
    <row r="56">
      <c r="A56" s="76">
        <v>52.0</v>
      </c>
      <c r="B56" s="65" t="s">
        <v>1417</v>
      </c>
      <c r="C56" s="65">
        <v>54763.0</v>
      </c>
      <c r="D56" s="65" t="s">
        <v>1418</v>
      </c>
      <c r="E56" s="79"/>
      <c r="F56" s="25"/>
      <c r="G56" s="16"/>
      <c r="H56" s="78">
        <v>600.0</v>
      </c>
      <c r="I56" s="18"/>
      <c r="J56" s="68"/>
      <c r="K56" s="20"/>
      <c r="L56" s="57">
        <v>600.0</v>
      </c>
      <c r="M56" s="22">
        <f t="shared" si="1"/>
        <v>0</v>
      </c>
    </row>
    <row r="57">
      <c r="A57" s="76">
        <v>53.0</v>
      </c>
      <c r="B57" s="65" t="s">
        <v>1419</v>
      </c>
      <c r="C57" s="65">
        <v>53283.0</v>
      </c>
      <c r="D57" s="65" t="s">
        <v>1416</v>
      </c>
      <c r="E57" s="79">
        <v>100.0</v>
      </c>
      <c r="F57" s="25"/>
      <c r="G57" s="28"/>
      <c r="H57" s="78"/>
      <c r="I57" s="18"/>
      <c r="J57" s="68"/>
      <c r="K57" s="20"/>
      <c r="L57" s="57">
        <v>100.0</v>
      </c>
      <c r="M57" s="22">
        <f t="shared" si="1"/>
        <v>0</v>
      </c>
    </row>
    <row r="58">
      <c r="A58" s="76">
        <v>54.0</v>
      </c>
      <c r="B58" s="65" t="s">
        <v>1420</v>
      </c>
      <c r="C58" s="65">
        <v>49655.0</v>
      </c>
      <c r="D58" s="65" t="s">
        <v>134</v>
      </c>
      <c r="E58" s="79"/>
      <c r="F58" s="25"/>
      <c r="G58" s="16"/>
      <c r="H58" s="78"/>
      <c r="I58" s="18">
        <v>1750.0</v>
      </c>
      <c r="J58" s="68"/>
      <c r="K58" s="20"/>
      <c r="L58" s="57">
        <v>1750.0</v>
      </c>
      <c r="M58" s="22">
        <f t="shared" si="1"/>
        <v>0</v>
      </c>
    </row>
    <row r="59">
      <c r="A59" s="76">
        <v>55.0</v>
      </c>
      <c r="B59" s="65" t="s">
        <v>1421</v>
      </c>
      <c r="C59" s="65">
        <v>49655.0</v>
      </c>
      <c r="D59" s="65" t="s">
        <v>134</v>
      </c>
      <c r="E59" s="77"/>
      <c r="F59" s="25"/>
      <c r="G59" s="28"/>
      <c r="H59" s="78"/>
      <c r="I59" s="18">
        <v>2500.0</v>
      </c>
      <c r="J59" s="68"/>
      <c r="K59" s="20"/>
      <c r="L59" s="57">
        <v>2500.0</v>
      </c>
      <c r="M59" s="22">
        <f t="shared" si="1"/>
        <v>0</v>
      </c>
    </row>
    <row r="60">
      <c r="A60" s="76">
        <v>56.0</v>
      </c>
      <c r="B60" s="65" t="s">
        <v>1422</v>
      </c>
      <c r="C60" s="65">
        <v>52611.0</v>
      </c>
      <c r="D60" s="65" t="s">
        <v>772</v>
      </c>
      <c r="E60" s="77"/>
      <c r="F60" s="25"/>
      <c r="G60" s="28"/>
      <c r="H60" s="78">
        <v>7500.0</v>
      </c>
      <c r="I60" s="18"/>
      <c r="J60" s="68"/>
      <c r="K60" s="20"/>
      <c r="L60" s="57">
        <v>7500.0</v>
      </c>
      <c r="M60" s="22">
        <f t="shared" si="1"/>
        <v>0</v>
      </c>
    </row>
    <row r="61">
      <c r="A61" s="76">
        <v>57.0</v>
      </c>
      <c r="B61" s="65" t="s">
        <v>1423</v>
      </c>
      <c r="C61" s="65">
        <v>57920.0</v>
      </c>
      <c r="D61" s="65" t="s">
        <v>1424</v>
      </c>
      <c r="E61" s="77"/>
      <c r="F61" s="25"/>
      <c r="G61" s="28"/>
      <c r="H61" s="78">
        <v>2500.0</v>
      </c>
      <c r="I61" s="18"/>
      <c r="J61" s="68"/>
      <c r="K61" s="20"/>
      <c r="L61" s="57">
        <v>2500.0</v>
      </c>
      <c r="M61" s="22">
        <f t="shared" si="1"/>
        <v>0</v>
      </c>
    </row>
    <row r="62">
      <c r="A62" s="76">
        <v>58.0</v>
      </c>
      <c r="B62" s="65" t="s">
        <v>1425</v>
      </c>
      <c r="C62" s="65">
        <v>49655.0</v>
      </c>
      <c r="D62" s="65" t="s">
        <v>134</v>
      </c>
      <c r="E62" s="77"/>
      <c r="F62" s="25"/>
      <c r="G62" s="28"/>
      <c r="H62" s="78"/>
      <c r="I62" s="18">
        <v>1250.0</v>
      </c>
      <c r="J62" s="68"/>
      <c r="K62" s="20"/>
      <c r="L62" s="57">
        <v>1250.0</v>
      </c>
      <c r="M62" s="22">
        <f t="shared" si="1"/>
        <v>0</v>
      </c>
    </row>
    <row r="63">
      <c r="A63" s="76">
        <v>59.0</v>
      </c>
      <c r="B63" s="65" t="s">
        <v>1426</v>
      </c>
      <c r="C63" s="65">
        <v>56244.0</v>
      </c>
      <c r="D63" s="65" t="s">
        <v>1427</v>
      </c>
      <c r="E63" s="79"/>
      <c r="F63" s="25"/>
      <c r="G63" s="28"/>
      <c r="H63" s="78">
        <v>3600.0</v>
      </c>
      <c r="I63" s="18"/>
      <c r="J63" s="68"/>
      <c r="K63" s="20"/>
      <c r="L63" s="57">
        <v>3600.0</v>
      </c>
      <c r="M63" s="22">
        <f t="shared" si="1"/>
        <v>0</v>
      </c>
    </row>
    <row r="64">
      <c r="A64" s="76">
        <v>60.0</v>
      </c>
      <c r="B64" s="65" t="s">
        <v>1428</v>
      </c>
      <c r="C64" s="65">
        <v>50221.0</v>
      </c>
      <c r="D64" s="65" t="s">
        <v>864</v>
      </c>
      <c r="E64" s="77"/>
      <c r="F64" s="25"/>
      <c r="G64" s="28"/>
      <c r="H64" s="78">
        <v>330.0</v>
      </c>
      <c r="I64" s="18"/>
      <c r="J64" s="68"/>
      <c r="K64" s="20"/>
      <c r="L64" s="57">
        <v>330.0</v>
      </c>
      <c r="M64" s="22">
        <f t="shared" si="1"/>
        <v>0</v>
      </c>
    </row>
    <row r="65">
      <c r="A65" s="76">
        <v>61.0</v>
      </c>
      <c r="B65" s="65" t="s">
        <v>1429</v>
      </c>
      <c r="C65" s="65">
        <v>21384.0</v>
      </c>
      <c r="D65" s="65" t="s">
        <v>151</v>
      </c>
      <c r="E65" s="77"/>
      <c r="F65" s="25"/>
      <c r="G65" s="28"/>
      <c r="H65" s="78">
        <v>0.0</v>
      </c>
      <c r="I65" s="18"/>
      <c r="J65" s="68"/>
      <c r="K65" s="20"/>
      <c r="L65" s="57">
        <v>300.0</v>
      </c>
      <c r="M65" s="22">
        <f t="shared" si="1"/>
        <v>-300</v>
      </c>
    </row>
    <row r="66">
      <c r="A66" s="76">
        <v>62.0</v>
      </c>
      <c r="B66" s="65" t="s">
        <v>1430</v>
      </c>
      <c r="C66" s="65">
        <v>58161.0</v>
      </c>
      <c r="D66" s="65" t="s">
        <v>1431</v>
      </c>
      <c r="E66" s="77"/>
      <c r="F66" s="25"/>
      <c r="G66" s="28"/>
      <c r="H66" s="78">
        <v>0.0</v>
      </c>
      <c r="I66" s="18"/>
      <c r="J66" s="68"/>
      <c r="K66" s="20"/>
      <c r="L66" s="57">
        <v>300.0</v>
      </c>
      <c r="M66" s="22">
        <f t="shared" si="1"/>
        <v>-300</v>
      </c>
    </row>
    <row r="67">
      <c r="A67" s="76">
        <v>63.0</v>
      </c>
      <c r="B67" s="65" t="s">
        <v>1432</v>
      </c>
      <c r="C67" s="65">
        <v>50221.0</v>
      </c>
      <c r="D67" s="65" t="s">
        <v>864</v>
      </c>
      <c r="E67" s="77"/>
      <c r="F67" s="25"/>
      <c r="G67" s="28">
        <v>2650.0</v>
      </c>
      <c r="H67" s="78"/>
      <c r="I67" s="18"/>
      <c r="J67" s="68"/>
      <c r="K67" s="20"/>
      <c r="L67" s="57">
        <v>2650.0</v>
      </c>
      <c r="M67" s="22">
        <f t="shared" si="1"/>
        <v>0</v>
      </c>
    </row>
    <row r="68">
      <c r="A68" s="76">
        <v>64.0</v>
      </c>
      <c r="B68" s="65" t="s">
        <v>1433</v>
      </c>
      <c r="C68" s="65">
        <v>51017.0</v>
      </c>
      <c r="D68" s="65" t="s">
        <v>477</v>
      </c>
      <c r="E68" s="77"/>
      <c r="F68" s="25"/>
      <c r="G68" s="28">
        <v>98500.0</v>
      </c>
      <c r="H68" s="78"/>
      <c r="I68" s="18"/>
      <c r="J68" s="68"/>
      <c r="K68" s="20"/>
      <c r="L68" s="57">
        <v>98500.0</v>
      </c>
      <c r="M68" s="22">
        <f t="shared" si="1"/>
        <v>0</v>
      </c>
    </row>
    <row r="69">
      <c r="A69" s="76">
        <v>65.0</v>
      </c>
      <c r="B69" s="65" t="s">
        <v>1434</v>
      </c>
      <c r="C69" s="65">
        <v>49953.0</v>
      </c>
      <c r="D69" s="65" t="s">
        <v>62</v>
      </c>
      <c r="E69" s="77"/>
      <c r="F69" s="25"/>
      <c r="G69" s="28">
        <v>17750.0</v>
      </c>
      <c r="H69" s="78"/>
      <c r="I69" s="18"/>
      <c r="J69" s="68"/>
      <c r="K69" s="20"/>
      <c r="L69" s="57">
        <v>17750.0</v>
      </c>
      <c r="M69" s="22">
        <f t="shared" si="1"/>
        <v>0</v>
      </c>
    </row>
    <row r="70">
      <c r="A70" s="76">
        <v>66.0</v>
      </c>
      <c r="B70" s="65" t="s">
        <v>1435</v>
      </c>
      <c r="C70" s="65">
        <v>35245.0</v>
      </c>
      <c r="D70" s="65" t="s">
        <v>330</v>
      </c>
      <c r="E70" s="77"/>
      <c r="F70" s="25"/>
      <c r="G70" s="28">
        <v>15000.0</v>
      </c>
      <c r="H70" s="78"/>
      <c r="I70" s="18"/>
      <c r="J70" s="68"/>
      <c r="K70" s="20"/>
      <c r="L70" s="57">
        <v>15000.0</v>
      </c>
      <c r="M70" s="22">
        <f t="shared" si="1"/>
        <v>0</v>
      </c>
    </row>
    <row r="71">
      <c r="A71" s="76">
        <v>67.0</v>
      </c>
      <c r="B71" s="65" t="s">
        <v>1436</v>
      </c>
      <c r="C71" s="65">
        <v>49953.0</v>
      </c>
      <c r="D71" s="65" t="s">
        <v>62</v>
      </c>
      <c r="E71" s="77"/>
      <c r="F71" s="25"/>
      <c r="G71" s="28">
        <v>5000.0</v>
      </c>
      <c r="H71" s="78"/>
      <c r="I71" s="18"/>
      <c r="J71" s="68"/>
      <c r="K71" s="20"/>
      <c r="L71" s="57">
        <v>5000.0</v>
      </c>
      <c r="M71" s="22">
        <f t="shared" si="1"/>
        <v>0</v>
      </c>
    </row>
    <row r="72">
      <c r="A72" s="76">
        <v>68.0</v>
      </c>
      <c r="B72" s="65" t="s">
        <v>1437</v>
      </c>
      <c r="C72" s="65">
        <v>12102.0</v>
      </c>
      <c r="D72" s="65" t="s">
        <v>113</v>
      </c>
      <c r="E72" s="77"/>
      <c r="F72" s="25"/>
      <c r="G72" s="28">
        <v>4636.0</v>
      </c>
      <c r="H72" s="78"/>
      <c r="I72" s="18"/>
      <c r="J72" s="70"/>
      <c r="K72" s="20"/>
      <c r="L72" s="57">
        <v>4636.0</v>
      </c>
      <c r="M72" s="22">
        <f t="shared" si="1"/>
        <v>0</v>
      </c>
    </row>
    <row r="73">
      <c r="A73" s="76">
        <v>69.0</v>
      </c>
      <c r="B73" s="65" t="s">
        <v>1438</v>
      </c>
      <c r="C73" s="65">
        <v>58161.0</v>
      </c>
      <c r="D73" s="65" t="s">
        <v>1431</v>
      </c>
      <c r="E73" s="79"/>
      <c r="F73" s="25"/>
      <c r="G73" s="28">
        <v>27000.0</v>
      </c>
      <c r="H73" s="78"/>
      <c r="I73" s="18"/>
      <c r="J73" s="68"/>
      <c r="K73" s="20"/>
      <c r="L73" s="57">
        <v>27000.0</v>
      </c>
      <c r="M73" s="22">
        <f t="shared" si="1"/>
        <v>0</v>
      </c>
    </row>
    <row r="74">
      <c r="A74" s="30"/>
      <c r="B74" s="12"/>
      <c r="C74" s="12"/>
      <c r="D74" s="73"/>
      <c r="E74" s="32">
        <f t="shared" ref="E74:L74" si="2">SUM(E5:E73)</f>
        <v>5250</v>
      </c>
      <c r="F74" s="32">
        <f t="shared" si="2"/>
        <v>7300</v>
      </c>
      <c r="G74" s="32">
        <f t="shared" si="2"/>
        <v>170536</v>
      </c>
      <c r="H74" s="32">
        <f t="shared" si="2"/>
        <v>282139</v>
      </c>
      <c r="I74" s="32">
        <f t="shared" si="2"/>
        <v>35927</v>
      </c>
      <c r="J74" s="32">
        <f t="shared" si="2"/>
        <v>1250</v>
      </c>
      <c r="K74" s="32">
        <f t="shared" si="2"/>
        <v>0</v>
      </c>
      <c r="L74" s="32">
        <f t="shared" si="2"/>
        <v>503002</v>
      </c>
      <c r="M74" s="22">
        <f t="shared" si="1"/>
        <v>-600</v>
      </c>
    </row>
    <row r="75">
      <c r="A75" s="33"/>
      <c r="B75" s="63"/>
      <c r="C75" s="63"/>
      <c r="D75" s="74"/>
      <c r="E75" s="34">
        <f>E74+F74+G74+H74+I74+J74+K74</f>
        <v>502402</v>
      </c>
      <c r="F75" s="6"/>
      <c r="G75" s="6"/>
      <c r="H75" s="6"/>
      <c r="I75" s="6"/>
      <c r="J75" s="6"/>
      <c r="K75" s="7"/>
      <c r="L75" s="35"/>
      <c r="M75" s="33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</sheetData>
  <mergeCells count="14">
    <mergeCell ref="F3:G3"/>
    <mergeCell ref="H3:I3"/>
    <mergeCell ref="J3:J4"/>
    <mergeCell ref="K3:K4"/>
    <mergeCell ref="E75:K7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1439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65" t="s">
        <v>1440</v>
      </c>
      <c r="C5" s="65">
        <v>52280.0</v>
      </c>
      <c r="D5" s="65" t="s">
        <v>1441</v>
      </c>
      <c r="E5" s="79">
        <v>1250.0</v>
      </c>
      <c r="F5" s="25"/>
      <c r="G5" s="16"/>
      <c r="H5" s="78"/>
      <c r="I5" s="18"/>
      <c r="J5" s="68"/>
      <c r="K5" s="20"/>
      <c r="L5" s="57">
        <v>1250.0</v>
      </c>
      <c r="M5" s="22">
        <f t="shared" ref="M5:M60" si="1">SUM(E5+F5+G5+H5+I5+J5+K5-L5)</f>
        <v>0</v>
      </c>
    </row>
    <row r="6">
      <c r="A6" s="76">
        <v>2.0</v>
      </c>
      <c r="B6" s="65" t="s">
        <v>1442</v>
      </c>
      <c r="C6" s="65">
        <v>56221.0</v>
      </c>
      <c r="D6" s="65" t="s">
        <v>858</v>
      </c>
      <c r="E6" s="79">
        <v>2300.0</v>
      </c>
      <c r="F6" s="25"/>
      <c r="G6" s="16"/>
      <c r="H6" s="78"/>
      <c r="I6" s="18"/>
      <c r="J6" s="70"/>
      <c r="K6" s="20"/>
      <c r="L6" s="57">
        <v>2300.0</v>
      </c>
      <c r="M6" s="22">
        <f t="shared" si="1"/>
        <v>0</v>
      </c>
      <c r="O6" s="55" t="s">
        <v>485</v>
      </c>
    </row>
    <row r="7">
      <c r="A7" s="76">
        <v>3.0</v>
      </c>
      <c r="B7" s="65" t="s">
        <v>1443</v>
      </c>
      <c r="C7" s="65">
        <v>50871.0</v>
      </c>
      <c r="D7" s="65" t="s">
        <v>48</v>
      </c>
      <c r="E7" s="79"/>
      <c r="F7" s="25"/>
      <c r="G7" s="16"/>
      <c r="H7" s="78">
        <v>35000.0</v>
      </c>
      <c r="I7" s="18"/>
      <c r="J7" s="68"/>
      <c r="K7" s="20"/>
      <c r="L7" s="57">
        <v>35000.0</v>
      </c>
      <c r="M7" s="22">
        <f t="shared" si="1"/>
        <v>0</v>
      </c>
    </row>
    <row r="8">
      <c r="A8" s="76">
        <v>4.0</v>
      </c>
      <c r="B8" s="65" t="s">
        <v>1444</v>
      </c>
      <c r="C8" s="65">
        <v>10249.0</v>
      </c>
      <c r="D8" s="65" t="s">
        <v>367</v>
      </c>
      <c r="E8" s="77"/>
      <c r="F8" s="25"/>
      <c r="G8" s="16"/>
      <c r="H8" s="78"/>
      <c r="I8" s="18">
        <v>2500.0</v>
      </c>
      <c r="J8" s="68"/>
      <c r="K8" s="20"/>
      <c r="L8" s="57">
        <v>2500.0</v>
      </c>
      <c r="M8" s="22">
        <f t="shared" si="1"/>
        <v>0</v>
      </c>
    </row>
    <row r="9">
      <c r="A9" s="76">
        <v>5.0</v>
      </c>
      <c r="B9" s="65" t="s">
        <v>1445</v>
      </c>
      <c r="C9" s="65">
        <v>50222.0</v>
      </c>
      <c r="D9" s="65" t="s">
        <v>504</v>
      </c>
      <c r="E9" s="77"/>
      <c r="F9" s="25"/>
      <c r="G9" s="16"/>
      <c r="H9" s="78">
        <v>2408.0</v>
      </c>
      <c r="I9" s="18"/>
      <c r="J9" s="70"/>
      <c r="K9" s="20"/>
      <c r="L9" s="57">
        <v>2408.0</v>
      </c>
      <c r="M9" s="22">
        <f t="shared" si="1"/>
        <v>0</v>
      </c>
    </row>
    <row r="10">
      <c r="A10" s="76">
        <v>6.0</v>
      </c>
      <c r="B10" s="65" t="s">
        <v>1446</v>
      </c>
      <c r="C10" s="65">
        <v>52032.0</v>
      </c>
      <c r="D10" s="65" t="s">
        <v>217</v>
      </c>
      <c r="E10" s="79"/>
      <c r="F10" s="25"/>
      <c r="G10" s="16"/>
      <c r="H10" s="78">
        <v>2300.0</v>
      </c>
      <c r="I10" s="24"/>
      <c r="J10" s="68"/>
      <c r="K10" s="20"/>
      <c r="L10" s="57">
        <v>2300.0</v>
      </c>
      <c r="M10" s="22">
        <f t="shared" si="1"/>
        <v>0</v>
      </c>
    </row>
    <row r="11">
      <c r="A11" s="76">
        <v>7.0</v>
      </c>
      <c r="B11" s="65" t="s">
        <v>1447</v>
      </c>
      <c r="C11" s="65">
        <v>40700.0</v>
      </c>
      <c r="D11" s="65" t="s">
        <v>1448</v>
      </c>
      <c r="E11" s="77"/>
      <c r="F11" s="25"/>
      <c r="G11" s="16"/>
      <c r="H11" s="78">
        <v>5150.0</v>
      </c>
      <c r="I11" s="18"/>
      <c r="J11" s="70"/>
      <c r="K11" s="20"/>
      <c r="L11" s="57">
        <v>5150.0</v>
      </c>
      <c r="M11" s="22">
        <f t="shared" si="1"/>
        <v>0</v>
      </c>
    </row>
    <row r="12">
      <c r="A12" s="76">
        <v>8.0</v>
      </c>
      <c r="B12" s="65" t="s">
        <v>1449</v>
      </c>
      <c r="C12" s="65">
        <v>55215.0</v>
      </c>
      <c r="D12" s="65" t="s">
        <v>238</v>
      </c>
      <c r="E12" s="77"/>
      <c r="F12" s="25"/>
      <c r="G12" s="16"/>
      <c r="H12" s="78">
        <v>1800.0</v>
      </c>
      <c r="I12" s="18"/>
      <c r="J12" s="68"/>
      <c r="K12" s="20"/>
      <c r="L12" s="57">
        <v>1800.0</v>
      </c>
      <c r="M12" s="22">
        <f t="shared" si="1"/>
        <v>0</v>
      </c>
    </row>
    <row r="13">
      <c r="A13" s="76">
        <v>9.0</v>
      </c>
      <c r="B13" s="65" t="s">
        <v>1450</v>
      </c>
      <c r="C13" s="65">
        <v>45487.0</v>
      </c>
      <c r="D13" s="65" t="s">
        <v>1451</v>
      </c>
      <c r="E13" s="77"/>
      <c r="F13" s="25"/>
      <c r="G13" s="16"/>
      <c r="H13" s="78"/>
      <c r="I13" s="18">
        <v>4500.0</v>
      </c>
      <c r="J13" s="68"/>
      <c r="K13" s="20"/>
      <c r="L13" s="57">
        <v>4500.0</v>
      </c>
      <c r="M13" s="22">
        <f t="shared" si="1"/>
        <v>0</v>
      </c>
    </row>
    <row r="14">
      <c r="A14" s="76">
        <v>10.0</v>
      </c>
      <c r="B14" s="65" t="s">
        <v>1452</v>
      </c>
      <c r="C14" s="65">
        <v>45487.0</v>
      </c>
      <c r="D14" s="65" t="s">
        <v>1451</v>
      </c>
      <c r="E14" s="77"/>
      <c r="F14" s="25"/>
      <c r="G14" s="16"/>
      <c r="H14" s="78"/>
      <c r="I14" s="18">
        <v>4500.0</v>
      </c>
      <c r="J14" s="68"/>
      <c r="K14" s="20"/>
      <c r="L14" s="57">
        <v>4500.0</v>
      </c>
      <c r="M14" s="22">
        <f t="shared" si="1"/>
        <v>0</v>
      </c>
    </row>
    <row r="15">
      <c r="A15" s="76">
        <v>11.0</v>
      </c>
      <c r="B15" s="65" t="s">
        <v>1453</v>
      </c>
      <c r="C15" s="65">
        <v>28414.0</v>
      </c>
      <c r="D15" s="65" t="s">
        <v>332</v>
      </c>
      <c r="E15" s="77"/>
      <c r="F15" s="25">
        <v>1250.0</v>
      </c>
      <c r="G15" s="16"/>
      <c r="H15" s="78"/>
      <c r="I15" s="18"/>
      <c r="J15" s="68"/>
      <c r="K15" s="20"/>
      <c r="L15" s="57">
        <v>1250.0</v>
      </c>
      <c r="M15" s="22">
        <f t="shared" si="1"/>
        <v>0</v>
      </c>
    </row>
    <row r="16">
      <c r="A16" s="76">
        <v>12.0</v>
      </c>
      <c r="B16" s="65" t="s">
        <v>1454</v>
      </c>
      <c r="C16" s="65">
        <v>10001.0</v>
      </c>
      <c r="D16" s="65" t="s">
        <v>46</v>
      </c>
      <c r="E16" s="77"/>
      <c r="F16" s="25"/>
      <c r="G16" s="16"/>
      <c r="H16" s="78">
        <v>6200.0</v>
      </c>
      <c r="I16" s="18"/>
      <c r="J16" s="70"/>
      <c r="K16" s="20"/>
      <c r="L16" s="57">
        <v>6200.0</v>
      </c>
      <c r="M16" s="22">
        <f t="shared" si="1"/>
        <v>0</v>
      </c>
    </row>
    <row r="17">
      <c r="A17" s="76">
        <v>13.0</v>
      </c>
      <c r="B17" s="65" t="s">
        <v>1455</v>
      </c>
      <c r="C17" s="65">
        <v>49272.0</v>
      </c>
      <c r="D17" s="65" t="s">
        <v>1456</v>
      </c>
      <c r="E17" s="79">
        <v>5000.0</v>
      </c>
      <c r="F17" s="25"/>
      <c r="G17" s="16"/>
      <c r="H17" s="78"/>
      <c r="I17" s="24"/>
      <c r="J17" s="68"/>
      <c r="K17" s="20"/>
      <c r="L17" s="57">
        <v>5000.0</v>
      </c>
      <c r="M17" s="22">
        <f t="shared" si="1"/>
        <v>0</v>
      </c>
    </row>
    <row r="18">
      <c r="A18" s="76">
        <v>14.0</v>
      </c>
      <c r="B18" s="65" t="s">
        <v>1457</v>
      </c>
      <c r="C18" s="65">
        <v>57943.0</v>
      </c>
      <c r="D18" s="65" t="s">
        <v>68</v>
      </c>
      <c r="E18" s="79"/>
      <c r="F18" s="25"/>
      <c r="G18" s="16"/>
      <c r="H18" s="78">
        <v>3600.0</v>
      </c>
      <c r="I18" s="18"/>
      <c r="J18" s="68"/>
      <c r="K18" s="20"/>
      <c r="L18" s="57">
        <v>3600.0</v>
      </c>
      <c r="M18" s="22">
        <f t="shared" si="1"/>
        <v>0</v>
      </c>
    </row>
    <row r="19">
      <c r="A19" s="76">
        <v>15.0</v>
      </c>
      <c r="B19" s="65" t="s">
        <v>1458</v>
      </c>
      <c r="C19" s="65">
        <v>52032.0</v>
      </c>
      <c r="D19" s="65" t="s">
        <v>217</v>
      </c>
      <c r="E19" s="79"/>
      <c r="F19" s="25"/>
      <c r="G19" s="16"/>
      <c r="H19" s="78">
        <v>350.0</v>
      </c>
      <c r="I19" s="18"/>
      <c r="J19" s="68"/>
      <c r="K19" s="20"/>
      <c r="L19" s="57">
        <v>350.0</v>
      </c>
      <c r="M19" s="22">
        <f t="shared" si="1"/>
        <v>0</v>
      </c>
    </row>
    <row r="20">
      <c r="A20" s="76">
        <v>16.0</v>
      </c>
      <c r="B20" s="65" t="s">
        <v>1459</v>
      </c>
      <c r="C20" s="65">
        <v>43498.0</v>
      </c>
      <c r="D20" s="65" t="s">
        <v>1460</v>
      </c>
      <c r="E20" s="77"/>
      <c r="F20" s="25"/>
      <c r="G20" s="16"/>
      <c r="H20" s="78"/>
      <c r="I20" s="18">
        <v>5150.0</v>
      </c>
      <c r="J20" s="68"/>
      <c r="K20" s="20"/>
      <c r="L20" s="57">
        <v>5150.0</v>
      </c>
      <c r="M20" s="22">
        <f t="shared" si="1"/>
        <v>0</v>
      </c>
    </row>
    <row r="21">
      <c r="A21" s="76">
        <v>17.0</v>
      </c>
      <c r="B21" s="65" t="s">
        <v>1461</v>
      </c>
      <c r="C21" s="65">
        <v>21971.0</v>
      </c>
      <c r="D21" s="65" t="s">
        <v>1082</v>
      </c>
      <c r="E21" s="77"/>
      <c r="F21" s="25">
        <v>7600.0</v>
      </c>
      <c r="G21" s="16"/>
      <c r="H21" s="78"/>
      <c r="I21" s="18"/>
      <c r="J21" s="68"/>
      <c r="K21" s="20"/>
      <c r="L21" s="57">
        <v>7600.0</v>
      </c>
      <c r="M21" s="22">
        <f t="shared" si="1"/>
        <v>0</v>
      </c>
    </row>
    <row r="22">
      <c r="A22" s="76">
        <v>18.0</v>
      </c>
      <c r="B22" s="65" t="s">
        <v>1462</v>
      </c>
      <c r="C22" s="65">
        <v>30248.0</v>
      </c>
      <c r="D22" s="65" t="s">
        <v>673</v>
      </c>
      <c r="E22" s="77"/>
      <c r="F22" s="25"/>
      <c r="G22" s="16"/>
      <c r="H22" s="78">
        <v>5150.0</v>
      </c>
      <c r="I22" s="18"/>
      <c r="J22" s="68"/>
      <c r="K22" s="20"/>
      <c r="L22" s="57">
        <v>5150.0</v>
      </c>
      <c r="M22" s="22">
        <f t="shared" si="1"/>
        <v>0</v>
      </c>
    </row>
    <row r="23">
      <c r="A23" s="76">
        <v>19.0</v>
      </c>
      <c r="B23" s="65" t="s">
        <v>1463</v>
      </c>
      <c r="C23" s="65">
        <v>31738.0</v>
      </c>
      <c r="D23" s="65" t="s">
        <v>277</v>
      </c>
      <c r="E23" s="77"/>
      <c r="F23" s="25"/>
      <c r="G23" s="16"/>
      <c r="H23" s="78">
        <v>5150.0</v>
      </c>
      <c r="I23" s="18"/>
      <c r="J23" s="68"/>
      <c r="K23" s="20"/>
      <c r="L23" s="57">
        <v>5150.0</v>
      </c>
      <c r="M23" s="22">
        <f t="shared" si="1"/>
        <v>0</v>
      </c>
    </row>
    <row r="24">
      <c r="A24" s="76">
        <v>20.0</v>
      </c>
      <c r="B24" s="65" t="s">
        <v>1464</v>
      </c>
      <c r="C24" s="65">
        <v>48657.0</v>
      </c>
      <c r="D24" s="65" t="s">
        <v>236</v>
      </c>
      <c r="E24" s="77"/>
      <c r="F24" s="25"/>
      <c r="G24" s="16"/>
      <c r="H24" s="78">
        <v>2500.0</v>
      </c>
      <c r="I24" s="18"/>
      <c r="J24" s="68"/>
      <c r="K24" s="20"/>
      <c r="L24" s="57">
        <v>2500.0</v>
      </c>
      <c r="M24" s="22">
        <f t="shared" si="1"/>
        <v>0</v>
      </c>
    </row>
    <row r="25">
      <c r="A25" s="76">
        <v>21.0</v>
      </c>
      <c r="B25" s="65" t="s">
        <v>1465</v>
      </c>
      <c r="C25" s="65">
        <v>57499.0</v>
      </c>
      <c r="D25" s="65" t="s">
        <v>338</v>
      </c>
      <c r="E25" s="77"/>
      <c r="F25" s="25">
        <v>10490.0</v>
      </c>
      <c r="G25" s="16"/>
      <c r="H25" s="78"/>
      <c r="I25" s="18"/>
      <c r="J25" s="68"/>
      <c r="K25" s="20"/>
      <c r="L25" s="57">
        <v>10490.0</v>
      </c>
      <c r="M25" s="22">
        <f t="shared" si="1"/>
        <v>0</v>
      </c>
    </row>
    <row r="26">
      <c r="A26" s="76">
        <v>22.0</v>
      </c>
      <c r="B26" s="65" t="s">
        <v>1466</v>
      </c>
      <c r="C26" s="65">
        <v>44390.0</v>
      </c>
      <c r="D26" s="65" t="s">
        <v>893</v>
      </c>
      <c r="E26" s="77"/>
      <c r="F26" s="25"/>
      <c r="G26" s="16"/>
      <c r="H26" s="78">
        <v>1280.0</v>
      </c>
      <c r="I26" s="18"/>
      <c r="J26" s="70"/>
      <c r="K26" s="20"/>
      <c r="L26" s="57">
        <v>1280.0</v>
      </c>
      <c r="M26" s="22">
        <f t="shared" si="1"/>
        <v>0</v>
      </c>
    </row>
    <row r="27">
      <c r="A27" s="76">
        <v>23.0</v>
      </c>
      <c r="B27" s="65" t="s">
        <v>1467</v>
      </c>
      <c r="C27" s="65">
        <v>48306.0</v>
      </c>
      <c r="D27" s="65" t="s">
        <v>979</v>
      </c>
      <c r="E27" s="77"/>
      <c r="F27" s="25"/>
      <c r="G27" s="16"/>
      <c r="H27" s="78">
        <v>350.0</v>
      </c>
      <c r="I27" s="18"/>
      <c r="J27" s="68"/>
      <c r="K27" s="20"/>
      <c r="L27" s="57">
        <v>350.0</v>
      </c>
      <c r="M27" s="22">
        <f t="shared" si="1"/>
        <v>0</v>
      </c>
    </row>
    <row r="28">
      <c r="A28" s="76">
        <v>24.0</v>
      </c>
      <c r="B28" s="65" t="s">
        <v>1468</v>
      </c>
      <c r="C28" s="65">
        <v>53634.0</v>
      </c>
      <c r="D28" s="65" t="s">
        <v>1285</v>
      </c>
      <c r="E28" s="77"/>
      <c r="F28" s="25"/>
      <c r="G28" s="16"/>
      <c r="H28" s="78">
        <v>2700.0</v>
      </c>
      <c r="I28" s="18"/>
      <c r="J28" s="68"/>
      <c r="K28" s="20"/>
      <c r="L28" s="57">
        <v>2700.0</v>
      </c>
      <c r="M28" s="22">
        <f t="shared" si="1"/>
        <v>0</v>
      </c>
    </row>
    <row r="29">
      <c r="A29" s="76">
        <v>25.0</v>
      </c>
      <c r="B29" s="65" t="s">
        <v>1469</v>
      </c>
      <c r="C29" s="65">
        <v>21818.0</v>
      </c>
      <c r="D29" s="65" t="s">
        <v>82</v>
      </c>
      <c r="E29" s="77"/>
      <c r="F29" s="25"/>
      <c r="G29" s="16"/>
      <c r="H29" s="78">
        <v>2400.0</v>
      </c>
      <c r="I29" s="18"/>
      <c r="J29" s="70"/>
      <c r="K29" s="20"/>
      <c r="L29" s="57">
        <v>2400.0</v>
      </c>
      <c r="M29" s="22">
        <f t="shared" si="1"/>
        <v>0</v>
      </c>
    </row>
    <row r="30">
      <c r="A30" s="76">
        <v>26.0</v>
      </c>
      <c r="B30" s="65" t="s">
        <v>1470</v>
      </c>
      <c r="C30" s="65">
        <v>22332.0</v>
      </c>
      <c r="D30" s="65" t="s">
        <v>78</v>
      </c>
      <c r="E30" s="77"/>
      <c r="F30" s="25"/>
      <c r="G30" s="16"/>
      <c r="H30" s="78">
        <v>600.0</v>
      </c>
      <c r="I30" s="18"/>
      <c r="J30" s="68"/>
      <c r="K30" s="20"/>
      <c r="L30" s="57">
        <v>600.0</v>
      </c>
      <c r="M30" s="22">
        <f t="shared" si="1"/>
        <v>0</v>
      </c>
    </row>
    <row r="31">
      <c r="A31" s="76">
        <v>27.0</v>
      </c>
      <c r="B31" s="65" t="s">
        <v>1471</v>
      </c>
      <c r="C31" s="65">
        <v>57663.0</v>
      </c>
      <c r="D31" s="65" t="s">
        <v>1472</v>
      </c>
      <c r="E31" s="77"/>
      <c r="F31" s="25">
        <v>500.0</v>
      </c>
      <c r="G31" s="16"/>
      <c r="H31" s="78"/>
      <c r="I31" s="18"/>
      <c r="J31" s="68"/>
      <c r="K31" s="20"/>
      <c r="L31" s="57">
        <v>500.0</v>
      </c>
      <c r="M31" s="22">
        <f t="shared" si="1"/>
        <v>0</v>
      </c>
    </row>
    <row r="32">
      <c r="A32" s="76">
        <v>28.0</v>
      </c>
      <c r="B32" s="65" t="s">
        <v>1473</v>
      </c>
      <c r="C32" s="65">
        <v>52669.0</v>
      </c>
      <c r="D32" s="65" t="s">
        <v>42</v>
      </c>
      <c r="E32" s="77"/>
      <c r="F32" s="25">
        <v>350.0</v>
      </c>
      <c r="G32" s="16"/>
      <c r="H32" s="78"/>
      <c r="I32" s="18"/>
      <c r="J32" s="70"/>
      <c r="K32" s="20"/>
      <c r="L32" s="57">
        <v>350.0</v>
      </c>
      <c r="M32" s="22">
        <f t="shared" si="1"/>
        <v>0</v>
      </c>
    </row>
    <row r="33">
      <c r="A33" s="76">
        <v>29.0</v>
      </c>
      <c r="B33" s="65" t="s">
        <v>1474</v>
      </c>
      <c r="C33" s="65">
        <v>53485.0</v>
      </c>
      <c r="D33" s="65" t="s">
        <v>1475</v>
      </c>
      <c r="E33" s="77"/>
      <c r="F33" s="25"/>
      <c r="G33" s="16"/>
      <c r="H33" s="78"/>
      <c r="I33" s="18">
        <v>5000.0</v>
      </c>
      <c r="J33" s="68"/>
      <c r="K33" s="20"/>
      <c r="L33" s="57">
        <v>5000.0</v>
      </c>
      <c r="M33" s="22">
        <f t="shared" si="1"/>
        <v>0</v>
      </c>
    </row>
    <row r="34">
      <c r="A34" s="76">
        <v>30.0</v>
      </c>
      <c r="B34" s="65" t="s">
        <v>1476</v>
      </c>
      <c r="C34" s="65">
        <v>10001.0</v>
      </c>
      <c r="D34" s="65" t="s">
        <v>46</v>
      </c>
      <c r="E34" s="77"/>
      <c r="F34" s="25"/>
      <c r="G34" s="16"/>
      <c r="H34" s="78"/>
      <c r="I34" s="18">
        <v>5000.0</v>
      </c>
      <c r="J34" s="68"/>
      <c r="K34" s="20"/>
      <c r="L34" s="57">
        <v>5000.0</v>
      </c>
      <c r="M34" s="22">
        <f t="shared" si="1"/>
        <v>0</v>
      </c>
    </row>
    <row r="35">
      <c r="A35" s="76">
        <v>31.0</v>
      </c>
      <c r="B35" s="65" t="s">
        <v>1477</v>
      </c>
      <c r="C35" s="65">
        <v>57868.0</v>
      </c>
      <c r="D35" s="65" t="s">
        <v>1478</v>
      </c>
      <c r="E35" s="77"/>
      <c r="F35" s="25">
        <v>27000.0</v>
      </c>
      <c r="G35" s="16"/>
      <c r="H35" s="78"/>
      <c r="I35" s="18"/>
      <c r="J35" s="68"/>
      <c r="K35" s="20"/>
      <c r="L35" s="57">
        <v>27000.0</v>
      </c>
      <c r="M35" s="22">
        <f t="shared" si="1"/>
        <v>0</v>
      </c>
    </row>
    <row r="36">
      <c r="A36" s="76">
        <v>32.0</v>
      </c>
      <c r="B36" s="65" t="s">
        <v>1479</v>
      </c>
      <c r="C36" s="65">
        <v>20541.0</v>
      </c>
      <c r="D36" s="65" t="s">
        <v>298</v>
      </c>
      <c r="E36" s="79"/>
      <c r="F36" s="25"/>
      <c r="G36" s="16"/>
      <c r="H36" s="78">
        <v>143.0</v>
      </c>
      <c r="I36" s="18"/>
      <c r="J36" s="70"/>
      <c r="K36" s="20"/>
      <c r="L36" s="57">
        <v>143.0</v>
      </c>
      <c r="M36" s="22">
        <f t="shared" si="1"/>
        <v>0</v>
      </c>
    </row>
    <row r="37">
      <c r="A37" s="76">
        <v>33.0</v>
      </c>
      <c r="B37" s="65" t="s">
        <v>1480</v>
      </c>
      <c r="C37" s="65">
        <v>50918.0</v>
      </c>
      <c r="D37" s="65" t="s">
        <v>1481</v>
      </c>
      <c r="E37" s="77"/>
      <c r="F37" s="25">
        <v>27000.0</v>
      </c>
      <c r="G37" s="16"/>
      <c r="H37" s="78"/>
      <c r="I37" s="18"/>
      <c r="J37" s="68"/>
      <c r="K37" s="20"/>
      <c r="L37" s="57">
        <v>27000.0</v>
      </c>
      <c r="M37" s="22">
        <f t="shared" si="1"/>
        <v>0</v>
      </c>
    </row>
    <row r="38">
      <c r="A38" s="76">
        <v>34.0</v>
      </c>
      <c r="B38" s="65" t="s">
        <v>1482</v>
      </c>
      <c r="C38" s="65">
        <v>56921.0</v>
      </c>
      <c r="D38" s="65" t="s">
        <v>1483</v>
      </c>
      <c r="E38" s="77"/>
      <c r="F38" s="25">
        <v>27000.0</v>
      </c>
      <c r="G38" s="16"/>
      <c r="H38" s="78"/>
      <c r="I38" s="18"/>
      <c r="J38" s="68"/>
      <c r="K38" s="20"/>
      <c r="L38" s="57">
        <v>27000.0</v>
      </c>
      <c r="M38" s="22">
        <f t="shared" si="1"/>
        <v>0</v>
      </c>
    </row>
    <row r="39">
      <c r="A39" s="76">
        <v>35.0</v>
      </c>
      <c r="B39" s="65" t="s">
        <v>1484</v>
      </c>
      <c r="C39" s="65">
        <v>56743.0</v>
      </c>
      <c r="D39" s="65" t="s">
        <v>1485</v>
      </c>
      <c r="E39" s="79"/>
      <c r="F39" s="25">
        <v>27000.0</v>
      </c>
      <c r="G39" s="16"/>
      <c r="H39" s="78"/>
      <c r="I39" s="18"/>
      <c r="J39" s="68"/>
      <c r="K39" s="20"/>
      <c r="L39" s="57">
        <v>27000.0</v>
      </c>
      <c r="M39" s="22">
        <f t="shared" si="1"/>
        <v>0</v>
      </c>
    </row>
    <row r="40">
      <c r="A40" s="76">
        <v>36.0</v>
      </c>
      <c r="B40" s="65" t="s">
        <v>1486</v>
      </c>
      <c r="C40" s="65">
        <v>10320.0</v>
      </c>
      <c r="D40" s="65" t="s">
        <v>84</v>
      </c>
      <c r="E40" s="79">
        <v>300.0</v>
      </c>
      <c r="F40" s="25"/>
      <c r="G40" s="16"/>
      <c r="H40" s="78"/>
      <c r="I40" s="18"/>
      <c r="J40" s="68"/>
      <c r="K40" s="20"/>
      <c r="L40" s="57">
        <v>300.0</v>
      </c>
      <c r="M40" s="22">
        <f t="shared" si="1"/>
        <v>0</v>
      </c>
    </row>
    <row r="41">
      <c r="A41" s="76">
        <v>37.0</v>
      </c>
      <c r="B41" s="65" t="s">
        <v>1487</v>
      </c>
      <c r="C41" s="65">
        <v>36555.0</v>
      </c>
      <c r="D41" s="65" t="s">
        <v>389</v>
      </c>
      <c r="E41" s="79">
        <v>290.0</v>
      </c>
      <c r="F41" s="25"/>
      <c r="G41" s="16"/>
      <c r="H41" s="78"/>
      <c r="I41" s="18"/>
      <c r="J41" s="68"/>
      <c r="K41" s="20"/>
      <c r="L41" s="57">
        <v>290.0</v>
      </c>
      <c r="M41" s="22">
        <f t="shared" si="1"/>
        <v>0</v>
      </c>
    </row>
    <row r="42">
      <c r="A42" s="76">
        <v>38.0</v>
      </c>
      <c r="B42" s="65" t="s">
        <v>1488</v>
      </c>
      <c r="C42" s="65">
        <v>52032.0</v>
      </c>
      <c r="D42" s="65" t="s">
        <v>217</v>
      </c>
      <c r="E42" s="79"/>
      <c r="F42" s="25"/>
      <c r="G42" s="16"/>
      <c r="H42" s="78">
        <v>15000.0</v>
      </c>
      <c r="J42" s="68"/>
      <c r="K42" s="20"/>
      <c r="L42" s="57">
        <v>15000.0</v>
      </c>
      <c r="M42" s="22">
        <f t="shared" si="1"/>
        <v>0</v>
      </c>
    </row>
    <row r="43">
      <c r="A43" s="76">
        <v>39.0</v>
      </c>
      <c r="B43" s="65" t="s">
        <v>1489</v>
      </c>
      <c r="C43" s="65">
        <v>50436.0</v>
      </c>
      <c r="D43" s="65" t="s">
        <v>561</v>
      </c>
      <c r="E43" s="77"/>
      <c r="F43" s="25"/>
      <c r="G43" s="16"/>
      <c r="H43" s="78">
        <v>600.0</v>
      </c>
      <c r="I43" s="18"/>
      <c r="J43" s="70"/>
      <c r="K43" s="20"/>
      <c r="L43" s="57">
        <v>600.0</v>
      </c>
      <c r="M43" s="22">
        <f t="shared" si="1"/>
        <v>0</v>
      </c>
    </row>
    <row r="44">
      <c r="A44" s="76">
        <v>40.0</v>
      </c>
      <c r="B44" s="65" t="s">
        <v>1490</v>
      </c>
      <c r="C44" s="65">
        <v>56980.0</v>
      </c>
      <c r="D44" s="65" t="s">
        <v>767</v>
      </c>
      <c r="E44" s="77"/>
      <c r="F44" s="25"/>
      <c r="G44" s="16"/>
      <c r="H44" s="78">
        <v>600.0</v>
      </c>
      <c r="I44" s="18"/>
      <c r="J44" s="68"/>
      <c r="K44" s="20"/>
      <c r="L44" s="57">
        <v>600.0</v>
      </c>
      <c r="M44" s="22">
        <f t="shared" si="1"/>
        <v>0</v>
      </c>
    </row>
    <row r="45">
      <c r="A45" s="76">
        <v>41.0</v>
      </c>
      <c r="B45" s="65" t="s">
        <v>1491</v>
      </c>
      <c r="C45" s="65">
        <v>10037.0</v>
      </c>
      <c r="D45" s="65" t="s">
        <v>1072</v>
      </c>
      <c r="E45" s="77"/>
      <c r="F45" s="25">
        <v>700.0</v>
      </c>
      <c r="G45" s="16"/>
      <c r="H45" s="78"/>
      <c r="I45" s="18"/>
      <c r="J45" s="68"/>
      <c r="K45" s="20"/>
      <c r="L45" s="57">
        <v>700.0</v>
      </c>
      <c r="M45" s="22">
        <f t="shared" si="1"/>
        <v>0</v>
      </c>
    </row>
    <row r="46">
      <c r="A46" s="76">
        <v>42.0</v>
      </c>
      <c r="B46" s="65" t="s">
        <v>1492</v>
      </c>
      <c r="C46" s="65">
        <v>50821.0</v>
      </c>
      <c r="D46" s="65" t="s">
        <v>125</v>
      </c>
      <c r="E46" s="79"/>
      <c r="F46" s="25">
        <v>1450.0</v>
      </c>
      <c r="G46" s="16"/>
      <c r="H46" s="78"/>
      <c r="I46" s="18"/>
      <c r="J46" s="68"/>
      <c r="K46" s="20"/>
      <c r="L46" s="57">
        <v>1450.0</v>
      </c>
      <c r="M46" s="22">
        <f t="shared" si="1"/>
        <v>0</v>
      </c>
    </row>
    <row r="47">
      <c r="A47" s="76">
        <v>43.0</v>
      </c>
      <c r="B47" s="65" t="s">
        <v>1493</v>
      </c>
      <c r="C47" s="65">
        <v>58175.0</v>
      </c>
      <c r="D47" s="65" t="s">
        <v>1494</v>
      </c>
      <c r="E47" s="79"/>
      <c r="F47" s="25"/>
      <c r="G47" s="16"/>
      <c r="H47" s="78">
        <v>27000.0</v>
      </c>
      <c r="I47" s="18"/>
      <c r="J47" s="68"/>
      <c r="K47" s="20"/>
      <c r="L47" s="57">
        <v>27000.0</v>
      </c>
      <c r="M47" s="22">
        <f t="shared" si="1"/>
        <v>0</v>
      </c>
    </row>
    <row r="48">
      <c r="A48" s="76">
        <v>44.0</v>
      </c>
      <c r="B48" s="65" t="s">
        <v>1495</v>
      </c>
      <c r="C48" s="65">
        <v>53249.0</v>
      </c>
      <c r="D48" s="65" t="s">
        <v>581</v>
      </c>
      <c r="E48" s="77"/>
      <c r="F48" s="25"/>
      <c r="G48" s="16"/>
      <c r="H48" s="78">
        <v>300.0</v>
      </c>
      <c r="I48" s="18"/>
      <c r="J48" s="68"/>
      <c r="K48" s="20"/>
      <c r="L48" s="57">
        <v>300.0</v>
      </c>
      <c r="M48" s="22">
        <f t="shared" si="1"/>
        <v>0</v>
      </c>
    </row>
    <row r="49">
      <c r="A49" s="76">
        <v>45.0</v>
      </c>
      <c r="B49" s="65" t="s">
        <v>1496</v>
      </c>
      <c r="C49" s="65">
        <v>10281.0</v>
      </c>
      <c r="D49" s="65" t="s">
        <v>1497</v>
      </c>
      <c r="E49" s="79">
        <v>350.0</v>
      </c>
      <c r="F49" s="25"/>
      <c r="G49" s="16"/>
      <c r="H49" s="78"/>
      <c r="I49" s="18"/>
      <c r="J49" s="68"/>
      <c r="K49" s="20"/>
      <c r="L49" s="57">
        <v>350.0</v>
      </c>
      <c r="M49" s="22">
        <f t="shared" si="1"/>
        <v>0</v>
      </c>
    </row>
    <row r="50">
      <c r="A50" s="76">
        <v>46.0</v>
      </c>
      <c r="B50" s="65" t="s">
        <v>1498</v>
      </c>
      <c r="C50" s="65">
        <v>56221.0</v>
      </c>
      <c r="D50" s="65" t="s">
        <v>858</v>
      </c>
      <c r="E50" s="79">
        <v>350.0</v>
      </c>
      <c r="F50" s="25"/>
      <c r="G50" s="16"/>
      <c r="H50" s="78"/>
      <c r="I50" s="18"/>
      <c r="J50" s="68"/>
      <c r="K50" s="20"/>
      <c r="L50" s="57">
        <v>350.0</v>
      </c>
      <c r="M50" s="22">
        <f t="shared" si="1"/>
        <v>0</v>
      </c>
    </row>
    <row r="51">
      <c r="A51" s="76">
        <v>47.0</v>
      </c>
      <c r="B51" s="65" t="s">
        <v>1499</v>
      </c>
      <c r="C51" s="65">
        <v>55501.0</v>
      </c>
      <c r="D51" s="65" t="s">
        <v>1500</v>
      </c>
      <c r="E51" s="77"/>
      <c r="F51" s="25"/>
      <c r="G51" s="16"/>
      <c r="H51" s="78">
        <v>5000.0</v>
      </c>
      <c r="I51" s="18"/>
      <c r="J51" s="70"/>
      <c r="K51" s="20"/>
      <c r="L51" s="57">
        <v>5000.0</v>
      </c>
      <c r="M51" s="22">
        <f t="shared" si="1"/>
        <v>0</v>
      </c>
    </row>
    <row r="52">
      <c r="A52" s="76">
        <v>48.0</v>
      </c>
      <c r="B52" s="65" t="s">
        <v>1501</v>
      </c>
      <c r="C52" s="65">
        <v>10281.0</v>
      </c>
      <c r="D52" s="65" t="s">
        <v>1497</v>
      </c>
      <c r="E52" s="79">
        <v>350.0</v>
      </c>
      <c r="F52" s="25"/>
      <c r="G52" s="16"/>
      <c r="H52" s="78"/>
      <c r="I52" s="18"/>
      <c r="J52" s="70"/>
      <c r="K52" s="20"/>
      <c r="L52" s="57">
        <v>350.0</v>
      </c>
      <c r="M52" s="22">
        <f t="shared" si="1"/>
        <v>0</v>
      </c>
    </row>
    <row r="53">
      <c r="A53" s="76">
        <v>49.0</v>
      </c>
      <c r="B53" s="65" t="s">
        <v>1502</v>
      </c>
      <c r="C53" s="65">
        <v>57351.0</v>
      </c>
      <c r="D53" s="65" t="s">
        <v>1503</v>
      </c>
      <c r="E53" s="79"/>
      <c r="F53" s="25"/>
      <c r="G53" s="16"/>
      <c r="H53" s="78"/>
      <c r="I53" s="18">
        <v>2650.0</v>
      </c>
      <c r="J53" s="68"/>
      <c r="K53" s="20"/>
      <c r="L53" s="57">
        <v>2650.0</v>
      </c>
      <c r="M53" s="22">
        <f t="shared" si="1"/>
        <v>0</v>
      </c>
    </row>
    <row r="54">
      <c r="A54" s="76">
        <v>50.0</v>
      </c>
      <c r="B54" s="65" t="s">
        <v>1504</v>
      </c>
      <c r="C54" s="65">
        <v>36555.0</v>
      </c>
      <c r="D54" s="65" t="s">
        <v>389</v>
      </c>
      <c r="E54" s="77"/>
      <c r="F54" s="25"/>
      <c r="G54" s="16"/>
      <c r="H54" s="78">
        <v>1500.0</v>
      </c>
      <c r="I54" s="18"/>
      <c r="J54" s="68"/>
      <c r="K54" s="20"/>
      <c r="L54" s="57">
        <v>1500.0</v>
      </c>
      <c r="M54" s="22">
        <f t="shared" si="1"/>
        <v>0</v>
      </c>
    </row>
    <row r="55">
      <c r="A55" s="76">
        <v>51.0</v>
      </c>
      <c r="B55" s="65" t="s">
        <v>1505</v>
      </c>
      <c r="C55" s="65">
        <v>58186.0</v>
      </c>
      <c r="D55" s="65" t="s">
        <v>1506</v>
      </c>
      <c r="E55" s="79"/>
      <c r="F55" s="25">
        <v>5340.0</v>
      </c>
      <c r="G55" s="16"/>
      <c r="H55" s="78"/>
      <c r="I55" s="18"/>
      <c r="J55" s="68"/>
      <c r="K55" s="20"/>
      <c r="L55" s="57">
        <v>5340.0</v>
      </c>
      <c r="M55" s="22">
        <f t="shared" si="1"/>
        <v>0</v>
      </c>
    </row>
    <row r="56">
      <c r="A56" s="76">
        <v>52.0</v>
      </c>
      <c r="B56" s="65" t="s">
        <v>1507</v>
      </c>
      <c r="C56" s="65">
        <v>29620.0</v>
      </c>
      <c r="D56" s="65" t="s">
        <v>1508</v>
      </c>
      <c r="E56" s="79"/>
      <c r="F56" s="25">
        <v>5000.0</v>
      </c>
      <c r="G56" s="28"/>
      <c r="H56" s="78"/>
      <c r="I56" s="18"/>
      <c r="J56" s="68"/>
      <c r="K56" s="20"/>
      <c r="L56" s="57">
        <v>5000.0</v>
      </c>
      <c r="M56" s="22">
        <f t="shared" si="1"/>
        <v>0</v>
      </c>
    </row>
    <row r="57">
      <c r="A57" s="76">
        <v>53.0</v>
      </c>
      <c r="B57" s="65" t="s">
        <v>1509</v>
      </c>
      <c r="C57" s="65">
        <v>36253.0</v>
      </c>
      <c r="D57" s="65" t="s">
        <v>1510</v>
      </c>
      <c r="E57" s="79"/>
      <c r="F57" s="25">
        <v>7300.0</v>
      </c>
      <c r="G57" s="16"/>
      <c r="H57" s="78"/>
      <c r="I57" s="18"/>
      <c r="J57" s="68"/>
      <c r="K57" s="20"/>
      <c r="L57" s="57">
        <v>7300.0</v>
      </c>
      <c r="M57" s="22">
        <f t="shared" si="1"/>
        <v>0</v>
      </c>
    </row>
    <row r="58">
      <c r="A58" s="76">
        <v>54.0</v>
      </c>
      <c r="B58" s="65" t="s">
        <v>1511</v>
      </c>
      <c r="C58" s="65">
        <v>10001.0</v>
      </c>
      <c r="D58" s="65" t="s">
        <v>46</v>
      </c>
      <c r="E58" s="79">
        <v>200.0</v>
      </c>
      <c r="F58" s="25"/>
      <c r="G58" s="28"/>
      <c r="H58" s="78"/>
      <c r="I58" s="18"/>
      <c r="J58" s="68"/>
      <c r="K58" s="20"/>
      <c r="L58" s="57">
        <v>200.0</v>
      </c>
      <c r="M58" s="22">
        <f t="shared" si="1"/>
        <v>0</v>
      </c>
    </row>
    <row r="59">
      <c r="A59" s="76">
        <v>55.0</v>
      </c>
      <c r="B59" s="65" t="s">
        <v>1512</v>
      </c>
      <c r="C59" s="65">
        <v>50148.0</v>
      </c>
      <c r="D59" s="65" t="s">
        <v>355</v>
      </c>
      <c r="E59" s="77"/>
      <c r="F59" s="25"/>
      <c r="G59" s="28">
        <v>10000.0</v>
      </c>
      <c r="H59" s="78"/>
      <c r="I59" s="18"/>
      <c r="J59" s="68"/>
      <c r="K59" s="20"/>
      <c r="L59" s="57">
        <v>10000.0</v>
      </c>
      <c r="M59" s="22">
        <f t="shared" si="1"/>
        <v>0</v>
      </c>
    </row>
    <row r="60">
      <c r="A60" s="30"/>
      <c r="B60" s="12"/>
      <c r="C60" s="12"/>
      <c r="D60" s="73"/>
      <c r="E60" s="32">
        <f t="shared" ref="E60:L60" si="2">SUM(E5:E59)</f>
        <v>10390</v>
      </c>
      <c r="F60" s="32">
        <f t="shared" si="2"/>
        <v>147980</v>
      </c>
      <c r="G60" s="32">
        <f t="shared" si="2"/>
        <v>10000</v>
      </c>
      <c r="H60" s="32">
        <f t="shared" si="2"/>
        <v>127081</v>
      </c>
      <c r="I60" s="32">
        <f t="shared" si="2"/>
        <v>29300</v>
      </c>
      <c r="J60" s="32">
        <f t="shared" si="2"/>
        <v>0</v>
      </c>
      <c r="K60" s="32">
        <f t="shared" si="2"/>
        <v>0</v>
      </c>
      <c r="L60" s="32">
        <f t="shared" si="2"/>
        <v>324751</v>
      </c>
      <c r="M60" s="22">
        <f t="shared" si="1"/>
        <v>0</v>
      </c>
    </row>
    <row r="61">
      <c r="A61" s="33"/>
      <c r="B61" s="63"/>
      <c r="C61" s="63"/>
      <c r="D61" s="74"/>
      <c r="E61" s="34">
        <f>E60+F60+G60+H60+I60+J60+K60</f>
        <v>324751</v>
      </c>
      <c r="F61" s="6"/>
      <c r="G61" s="6"/>
      <c r="H61" s="6"/>
      <c r="I61" s="6"/>
      <c r="J61" s="6"/>
      <c r="K61" s="7"/>
      <c r="L61" s="35"/>
      <c r="M61" s="33"/>
    </row>
    <row r="62">
      <c r="B62" s="64"/>
      <c r="C62" s="64"/>
      <c r="D62" s="75"/>
    </row>
    <row r="63">
      <c r="B63" s="64"/>
      <c r="C63" s="64"/>
      <c r="D63" s="75"/>
    </row>
    <row r="64">
      <c r="B64" s="64"/>
      <c r="C64" s="64"/>
      <c r="D64" s="75"/>
    </row>
    <row r="65">
      <c r="B65" s="64"/>
      <c r="C65" s="64"/>
      <c r="D65" s="75"/>
      <c r="H65" s="55" t="s">
        <v>588</v>
      </c>
    </row>
    <row r="66">
      <c r="B66" s="64"/>
      <c r="C66" s="64"/>
      <c r="D66" s="75"/>
    </row>
    <row r="67">
      <c r="B67" s="64"/>
      <c r="C67" s="64"/>
      <c r="D67" s="75"/>
    </row>
    <row r="68">
      <c r="B68" s="64"/>
      <c r="C68" s="64"/>
      <c r="D68" s="75"/>
    </row>
    <row r="69">
      <c r="B69" s="64"/>
      <c r="C69" s="64"/>
      <c r="D69" s="75"/>
    </row>
    <row r="70">
      <c r="B70" s="64"/>
      <c r="C70" s="64"/>
      <c r="D70" s="75"/>
    </row>
    <row r="71">
      <c r="B71" s="64"/>
      <c r="C71" s="64"/>
      <c r="D71" s="75"/>
    </row>
    <row r="72">
      <c r="B72" s="64"/>
      <c r="C72" s="64"/>
      <c r="D72" s="75"/>
    </row>
    <row r="73">
      <c r="B73" s="64"/>
      <c r="C73" s="64"/>
      <c r="D73" s="75"/>
    </row>
    <row r="74">
      <c r="B74" s="64"/>
      <c r="C74" s="64"/>
      <c r="D74" s="75"/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</sheetData>
  <mergeCells count="14">
    <mergeCell ref="F3:G3"/>
    <mergeCell ref="H3:I3"/>
    <mergeCell ref="J3:J4"/>
    <mergeCell ref="K3:K4"/>
    <mergeCell ref="E61:K6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1513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65" t="s">
        <v>1514</v>
      </c>
      <c r="C5" s="65">
        <v>57498.0</v>
      </c>
      <c r="D5" s="65" t="s">
        <v>268</v>
      </c>
      <c r="E5" s="79"/>
      <c r="F5" s="25"/>
      <c r="G5" s="16"/>
      <c r="H5" s="78">
        <v>1600.0</v>
      </c>
      <c r="I5" s="18"/>
      <c r="J5" s="68"/>
      <c r="K5" s="20"/>
      <c r="L5" s="57">
        <v>1600.0</v>
      </c>
      <c r="M5" s="22">
        <f t="shared" ref="M5:M125" si="1">SUM(E5+F5+G5+H5+I5+J5+K5-L5)</f>
        <v>0</v>
      </c>
    </row>
    <row r="6">
      <c r="A6" s="76">
        <v>2.0</v>
      </c>
      <c r="B6" s="65" t="s">
        <v>1515</v>
      </c>
      <c r="C6" s="65">
        <v>30909.0</v>
      </c>
      <c r="D6" s="65" t="s">
        <v>684</v>
      </c>
      <c r="E6" s="79"/>
      <c r="F6" s="25">
        <v>2850.0</v>
      </c>
      <c r="G6" s="16"/>
      <c r="H6" s="78"/>
      <c r="I6" s="18"/>
      <c r="J6" s="70"/>
      <c r="K6" s="20"/>
      <c r="L6" s="57">
        <v>2850.0</v>
      </c>
      <c r="M6" s="22">
        <f t="shared" si="1"/>
        <v>0</v>
      </c>
      <c r="O6" s="55" t="s">
        <v>485</v>
      </c>
    </row>
    <row r="7">
      <c r="A7" s="76">
        <v>3.0</v>
      </c>
      <c r="B7" s="65" t="s">
        <v>1516</v>
      </c>
      <c r="C7" s="65">
        <v>35227.0</v>
      </c>
      <c r="D7" s="65" t="s">
        <v>670</v>
      </c>
      <c r="E7" s="79"/>
      <c r="F7" s="25"/>
      <c r="G7" s="16"/>
      <c r="H7" s="78">
        <v>1250.0</v>
      </c>
      <c r="I7" s="18"/>
      <c r="J7" s="68"/>
      <c r="K7" s="20"/>
      <c r="L7" s="57">
        <v>1250.0</v>
      </c>
      <c r="M7" s="22">
        <f t="shared" si="1"/>
        <v>0</v>
      </c>
    </row>
    <row r="8">
      <c r="A8" s="76">
        <v>4.0</v>
      </c>
      <c r="B8" s="65" t="s">
        <v>1517</v>
      </c>
      <c r="C8" s="65">
        <v>50871.0</v>
      </c>
      <c r="D8" s="65" t="s">
        <v>48</v>
      </c>
      <c r="E8" s="77"/>
      <c r="F8" s="25"/>
      <c r="G8" s="16"/>
      <c r="H8" s="78">
        <v>42150.0</v>
      </c>
      <c r="I8" s="18"/>
      <c r="J8" s="68"/>
      <c r="K8" s="20"/>
      <c r="L8" s="57">
        <v>42150.0</v>
      </c>
      <c r="M8" s="22">
        <f t="shared" si="1"/>
        <v>0</v>
      </c>
    </row>
    <row r="9">
      <c r="A9" s="76">
        <v>5.0</v>
      </c>
      <c r="B9" s="65" t="s">
        <v>1518</v>
      </c>
      <c r="C9" s="65">
        <v>54489.0</v>
      </c>
      <c r="D9" s="65" t="s">
        <v>1519</v>
      </c>
      <c r="E9" s="77"/>
      <c r="F9" s="25"/>
      <c r="G9" s="16"/>
      <c r="H9" s="78">
        <v>15300.0</v>
      </c>
      <c r="I9" s="18"/>
      <c r="J9" s="70"/>
      <c r="K9" s="20"/>
      <c r="L9" s="57">
        <v>15300.0</v>
      </c>
      <c r="M9" s="22">
        <f t="shared" si="1"/>
        <v>0</v>
      </c>
    </row>
    <row r="10">
      <c r="A10" s="76">
        <v>6.0</v>
      </c>
      <c r="B10" s="65" t="s">
        <v>1520</v>
      </c>
      <c r="C10" s="65">
        <v>54631.0</v>
      </c>
      <c r="D10" s="65" t="s">
        <v>1521</v>
      </c>
      <c r="E10" s="79"/>
      <c r="F10" s="25"/>
      <c r="G10" s="16"/>
      <c r="H10" s="78"/>
      <c r="I10" s="18">
        <v>5150.0</v>
      </c>
      <c r="J10" s="68"/>
      <c r="K10" s="20"/>
      <c r="L10" s="57">
        <v>5150.0</v>
      </c>
      <c r="M10" s="22">
        <f t="shared" si="1"/>
        <v>0</v>
      </c>
    </row>
    <row r="11">
      <c r="A11" s="76">
        <v>7.0</v>
      </c>
      <c r="B11" s="65" t="s">
        <v>1522</v>
      </c>
      <c r="C11" s="65">
        <v>47787.0</v>
      </c>
      <c r="D11" s="65" t="s">
        <v>161</v>
      </c>
      <c r="E11" s="77"/>
      <c r="F11" s="25"/>
      <c r="G11" s="16"/>
      <c r="H11" s="78">
        <v>350.0</v>
      </c>
      <c r="I11" s="18"/>
      <c r="J11" s="70"/>
      <c r="K11" s="20"/>
      <c r="L11" s="57">
        <v>350.0</v>
      </c>
      <c r="M11" s="22">
        <f t="shared" si="1"/>
        <v>0</v>
      </c>
    </row>
    <row r="12">
      <c r="A12" s="76">
        <v>8.0</v>
      </c>
      <c r="B12" s="65" t="s">
        <v>1523</v>
      </c>
      <c r="C12" s="65">
        <v>51782.0</v>
      </c>
      <c r="D12" s="65" t="s">
        <v>1394</v>
      </c>
      <c r="E12" s="77"/>
      <c r="F12" s="25"/>
      <c r="G12" s="16"/>
      <c r="H12" s="78"/>
      <c r="I12" s="18">
        <v>350.0</v>
      </c>
      <c r="J12" s="68"/>
      <c r="K12" s="20"/>
      <c r="L12" s="57">
        <v>350.0</v>
      </c>
      <c r="M12" s="22">
        <f t="shared" si="1"/>
        <v>0</v>
      </c>
    </row>
    <row r="13">
      <c r="A13" s="76">
        <v>9.0</v>
      </c>
      <c r="B13" s="65" t="s">
        <v>1524</v>
      </c>
      <c r="C13" s="65">
        <v>21384.0</v>
      </c>
      <c r="D13" s="65" t="s">
        <v>151</v>
      </c>
      <c r="E13" s="77"/>
      <c r="F13" s="25"/>
      <c r="G13" s="16"/>
      <c r="H13" s="78">
        <v>2500.0</v>
      </c>
      <c r="I13" s="18"/>
      <c r="J13" s="68"/>
      <c r="K13" s="20"/>
      <c r="L13" s="57">
        <v>2500.0</v>
      </c>
      <c r="M13" s="22">
        <f t="shared" si="1"/>
        <v>0</v>
      </c>
    </row>
    <row r="14">
      <c r="A14" s="76">
        <v>10.0</v>
      </c>
      <c r="B14" s="65" t="s">
        <v>1525</v>
      </c>
      <c r="C14" s="65">
        <v>47574.0</v>
      </c>
      <c r="D14" s="65" t="s">
        <v>1307</v>
      </c>
      <c r="E14" s="77"/>
      <c r="F14" s="25"/>
      <c r="G14" s="16"/>
      <c r="H14" s="78">
        <v>1600.0</v>
      </c>
      <c r="I14" s="18"/>
      <c r="J14" s="68"/>
      <c r="K14" s="20"/>
      <c r="L14" s="57">
        <v>1600.0</v>
      </c>
      <c r="M14" s="22">
        <f t="shared" si="1"/>
        <v>0</v>
      </c>
    </row>
    <row r="15">
      <c r="A15" s="76">
        <v>11.0</v>
      </c>
      <c r="B15" s="65" t="s">
        <v>1526</v>
      </c>
      <c r="C15" s="65">
        <v>56111.0</v>
      </c>
      <c r="D15" s="65" t="s">
        <v>1527</v>
      </c>
      <c r="E15" s="77"/>
      <c r="F15" s="25"/>
      <c r="G15" s="16"/>
      <c r="H15" s="78">
        <v>10000.0</v>
      </c>
      <c r="I15" s="18"/>
      <c r="J15" s="68"/>
      <c r="K15" s="20"/>
      <c r="L15" s="57">
        <v>10000.0</v>
      </c>
      <c r="M15" s="22">
        <f t="shared" si="1"/>
        <v>0</v>
      </c>
    </row>
    <row r="16">
      <c r="A16" s="76">
        <v>12.0</v>
      </c>
      <c r="B16" s="65" t="s">
        <v>1528</v>
      </c>
      <c r="C16" s="65">
        <v>32142.0</v>
      </c>
      <c r="D16" s="65" t="s">
        <v>1529</v>
      </c>
      <c r="E16" s="77"/>
      <c r="F16" s="25"/>
      <c r="G16" s="16"/>
      <c r="H16" s="78">
        <v>3700.0</v>
      </c>
      <c r="I16" s="18"/>
      <c r="J16" s="70"/>
      <c r="K16" s="20"/>
      <c r="L16" s="57">
        <v>3700.0</v>
      </c>
      <c r="M16" s="22">
        <f t="shared" si="1"/>
        <v>0</v>
      </c>
    </row>
    <row r="17">
      <c r="A17" s="76">
        <v>13.0</v>
      </c>
      <c r="B17" s="65" t="s">
        <v>1530</v>
      </c>
      <c r="C17" s="65">
        <v>50871.0</v>
      </c>
      <c r="D17" s="65" t="s">
        <v>48</v>
      </c>
      <c r="E17" s="79"/>
      <c r="F17" s="25"/>
      <c r="G17" s="16"/>
      <c r="H17" s="78">
        <v>3750.0</v>
      </c>
      <c r="I17" s="24"/>
      <c r="J17" s="68"/>
      <c r="K17" s="20"/>
      <c r="L17" s="57">
        <v>3750.0</v>
      </c>
      <c r="M17" s="22">
        <f t="shared" si="1"/>
        <v>0</v>
      </c>
    </row>
    <row r="18">
      <c r="A18" s="76">
        <v>14.0</v>
      </c>
      <c r="B18" s="65" t="s">
        <v>1531</v>
      </c>
      <c r="C18" s="65">
        <v>10001.0</v>
      </c>
      <c r="D18" s="65" t="s">
        <v>46</v>
      </c>
      <c r="E18" s="79"/>
      <c r="F18" s="25"/>
      <c r="G18" s="16"/>
      <c r="H18" s="78">
        <v>2650.0</v>
      </c>
      <c r="I18" s="18"/>
      <c r="J18" s="68"/>
      <c r="K18" s="20"/>
      <c r="L18" s="57">
        <v>2650.0</v>
      </c>
      <c r="M18" s="22">
        <f t="shared" si="1"/>
        <v>0</v>
      </c>
    </row>
    <row r="19">
      <c r="A19" s="76">
        <v>15.0</v>
      </c>
      <c r="B19" s="65" t="s">
        <v>1532</v>
      </c>
      <c r="C19" s="65">
        <v>53160.0</v>
      </c>
      <c r="D19" s="65" t="s">
        <v>1533</v>
      </c>
      <c r="E19" s="79"/>
      <c r="F19" s="25"/>
      <c r="G19" s="16"/>
      <c r="H19" s="78"/>
      <c r="I19" s="18">
        <v>5000.0</v>
      </c>
      <c r="J19" s="68"/>
      <c r="K19" s="20"/>
      <c r="L19" s="57">
        <v>5000.0</v>
      </c>
      <c r="M19" s="22">
        <f t="shared" si="1"/>
        <v>0</v>
      </c>
    </row>
    <row r="20">
      <c r="A20" s="76">
        <v>16.0</v>
      </c>
      <c r="B20" s="65" t="s">
        <v>1534</v>
      </c>
      <c r="C20" s="65">
        <v>10320.0</v>
      </c>
      <c r="D20" s="65" t="s">
        <v>84</v>
      </c>
      <c r="E20" s="77"/>
      <c r="F20" s="25"/>
      <c r="G20" s="16"/>
      <c r="H20" s="78">
        <v>4250.0</v>
      </c>
      <c r="I20" s="18"/>
      <c r="J20" s="68"/>
      <c r="K20" s="20"/>
      <c r="L20" s="57">
        <v>4250.0</v>
      </c>
      <c r="M20" s="22">
        <f t="shared" si="1"/>
        <v>0</v>
      </c>
    </row>
    <row r="21">
      <c r="A21" s="76">
        <v>17.0</v>
      </c>
      <c r="B21" s="65" t="s">
        <v>1535</v>
      </c>
      <c r="C21" s="65">
        <v>53160.0</v>
      </c>
      <c r="D21" s="65" t="s">
        <v>1533</v>
      </c>
      <c r="E21" s="77"/>
      <c r="F21" s="25"/>
      <c r="G21" s="16"/>
      <c r="H21" s="78"/>
      <c r="I21" s="18">
        <v>5000.0</v>
      </c>
      <c r="J21" s="68"/>
      <c r="K21" s="20"/>
      <c r="L21" s="57">
        <v>5000.0</v>
      </c>
      <c r="M21" s="22">
        <f t="shared" si="1"/>
        <v>0</v>
      </c>
    </row>
    <row r="22">
      <c r="A22" s="76">
        <v>18.0</v>
      </c>
      <c r="B22" s="65" t="s">
        <v>1536</v>
      </c>
      <c r="C22" s="65">
        <v>52851.0</v>
      </c>
      <c r="D22" s="65" t="s">
        <v>1537</v>
      </c>
      <c r="E22" s="77"/>
      <c r="F22" s="25"/>
      <c r="G22" s="16"/>
      <c r="H22" s="78"/>
      <c r="I22" s="18">
        <v>5150.0</v>
      </c>
      <c r="J22" s="68"/>
      <c r="K22" s="20"/>
      <c r="L22" s="57">
        <v>5150.0</v>
      </c>
      <c r="M22" s="22">
        <f t="shared" si="1"/>
        <v>0</v>
      </c>
    </row>
    <row r="23">
      <c r="A23" s="76">
        <v>19.0</v>
      </c>
      <c r="B23" s="65" t="s">
        <v>1538</v>
      </c>
      <c r="C23" s="65">
        <v>53225.0</v>
      </c>
      <c r="D23" s="65" t="s">
        <v>1539</v>
      </c>
      <c r="E23" s="77"/>
      <c r="F23" s="25"/>
      <c r="G23" s="16"/>
      <c r="H23" s="78">
        <v>5150.0</v>
      </c>
      <c r="I23" s="18"/>
      <c r="J23" s="68"/>
      <c r="K23" s="20"/>
      <c r="L23" s="57">
        <v>5150.0</v>
      </c>
      <c r="M23" s="22">
        <f t="shared" si="1"/>
        <v>0</v>
      </c>
    </row>
    <row r="24">
      <c r="A24" s="76">
        <v>20.0</v>
      </c>
      <c r="B24" s="65" t="s">
        <v>1540</v>
      </c>
      <c r="C24" s="65">
        <v>50979.0</v>
      </c>
      <c r="D24" s="65" t="s">
        <v>702</v>
      </c>
      <c r="E24" s="77"/>
      <c r="F24" s="25"/>
      <c r="G24" s="16"/>
      <c r="H24" s="78"/>
      <c r="I24" s="18">
        <v>818.0</v>
      </c>
      <c r="J24" s="68"/>
      <c r="K24" s="20"/>
      <c r="L24" s="57">
        <v>818.0</v>
      </c>
      <c r="M24" s="22">
        <f t="shared" si="1"/>
        <v>0</v>
      </c>
    </row>
    <row r="25">
      <c r="A25" s="76">
        <v>21.0</v>
      </c>
      <c r="B25" s="65" t="s">
        <v>1541</v>
      </c>
      <c r="C25" s="65">
        <v>54937.0</v>
      </c>
      <c r="D25" s="65" t="s">
        <v>1542</v>
      </c>
      <c r="E25" s="77"/>
      <c r="F25" s="25"/>
      <c r="G25" s="16"/>
      <c r="H25" s="78">
        <v>2650.0</v>
      </c>
      <c r="I25" s="18"/>
      <c r="J25" s="68"/>
      <c r="K25" s="20"/>
      <c r="L25" s="57">
        <v>2650.0</v>
      </c>
      <c r="M25" s="22">
        <f t="shared" si="1"/>
        <v>0</v>
      </c>
    </row>
    <row r="26">
      <c r="A26" s="76">
        <v>22.0</v>
      </c>
      <c r="B26" s="65" t="s">
        <v>1543</v>
      </c>
      <c r="C26" s="65">
        <v>52669.0</v>
      </c>
      <c r="D26" s="65" t="s">
        <v>42</v>
      </c>
      <c r="E26" s="77"/>
      <c r="F26" s="25"/>
      <c r="G26" s="16"/>
      <c r="H26" s="78">
        <v>448.0</v>
      </c>
      <c r="I26" s="18"/>
      <c r="J26" s="70"/>
      <c r="K26" s="20"/>
      <c r="L26" s="57">
        <v>448.0</v>
      </c>
      <c r="M26" s="22">
        <f t="shared" si="1"/>
        <v>0</v>
      </c>
    </row>
    <row r="27">
      <c r="A27" s="76">
        <v>23.0</v>
      </c>
      <c r="B27" s="65" t="s">
        <v>1544</v>
      </c>
      <c r="C27" s="65">
        <v>50595.0</v>
      </c>
      <c r="D27" s="65" t="s">
        <v>305</v>
      </c>
      <c r="E27" s="77"/>
      <c r="F27" s="25"/>
      <c r="G27" s="16"/>
      <c r="H27" s="78">
        <v>82400.0</v>
      </c>
      <c r="I27" s="18"/>
      <c r="J27" s="68"/>
      <c r="K27" s="20"/>
      <c r="L27" s="57">
        <v>82400.0</v>
      </c>
      <c r="M27" s="22">
        <f t="shared" si="1"/>
        <v>0</v>
      </c>
    </row>
    <row r="28">
      <c r="A28" s="76">
        <v>24.0</v>
      </c>
      <c r="B28" s="65" t="s">
        <v>1545</v>
      </c>
      <c r="C28" s="65">
        <v>48441.0</v>
      </c>
      <c r="D28" s="65" t="s">
        <v>1546</v>
      </c>
      <c r="E28" s="77"/>
      <c r="F28" s="25"/>
      <c r="G28" s="16"/>
      <c r="H28" s="78"/>
      <c r="I28" s="18">
        <v>2700.0</v>
      </c>
      <c r="J28" s="68"/>
      <c r="K28" s="20"/>
      <c r="L28" s="57">
        <v>2700.0</v>
      </c>
      <c r="M28" s="22">
        <f t="shared" si="1"/>
        <v>0</v>
      </c>
    </row>
    <row r="29">
      <c r="A29" s="76">
        <v>25.0</v>
      </c>
      <c r="B29" s="65" t="s">
        <v>1547</v>
      </c>
      <c r="C29" s="65">
        <v>39317.0</v>
      </c>
      <c r="D29" s="65" t="s">
        <v>318</v>
      </c>
      <c r="E29" s="77"/>
      <c r="F29" s="25"/>
      <c r="G29" s="16"/>
      <c r="H29" s="78">
        <v>34500.0</v>
      </c>
      <c r="I29" s="18"/>
      <c r="J29" s="70"/>
      <c r="K29" s="20"/>
      <c r="L29" s="57">
        <v>34500.0</v>
      </c>
      <c r="M29" s="22">
        <f t="shared" si="1"/>
        <v>0</v>
      </c>
    </row>
    <row r="30">
      <c r="A30" s="76">
        <v>26.0</v>
      </c>
      <c r="B30" s="65" t="s">
        <v>1548</v>
      </c>
      <c r="C30" s="65">
        <v>54211.0</v>
      </c>
      <c r="D30" s="65" t="s">
        <v>426</v>
      </c>
      <c r="E30" s="77"/>
      <c r="F30" s="25"/>
      <c r="G30" s="16"/>
      <c r="H30" s="78"/>
      <c r="I30" s="18">
        <v>9250.0</v>
      </c>
      <c r="J30" s="68"/>
      <c r="K30" s="20"/>
      <c r="L30" s="57">
        <v>9250.0</v>
      </c>
      <c r="M30" s="22">
        <f t="shared" si="1"/>
        <v>0</v>
      </c>
    </row>
    <row r="31">
      <c r="A31" s="76">
        <v>27.0</v>
      </c>
      <c r="B31" s="65" t="s">
        <v>1549</v>
      </c>
      <c r="C31" s="65">
        <v>15709.0</v>
      </c>
      <c r="D31" s="65" t="s">
        <v>704</v>
      </c>
      <c r="E31" s="77"/>
      <c r="F31" s="25"/>
      <c r="G31" s="16"/>
      <c r="H31" s="78">
        <v>4200.0</v>
      </c>
      <c r="I31" s="18"/>
      <c r="J31" s="68"/>
      <c r="K31" s="20"/>
      <c r="L31" s="57">
        <v>4200.0</v>
      </c>
      <c r="M31" s="22">
        <f t="shared" si="1"/>
        <v>0</v>
      </c>
    </row>
    <row r="32">
      <c r="A32" s="76">
        <v>28.0</v>
      </c>
      <c r="B32" s="65" t="s">
        <v>1550</v>
      </c>
      <c r="C32" s="65">
        <v>48910.0</v>
      </c>
      <c r="D32" s="65" t="s">
        <v>111</v>
      </c>
      <c r="E32" s="77"/>
      <c r="F32" s="25"/>
      <c r="G32" s="16"/>
      <c r="H32" s="78">
        <v>5150.0</v>
      </c>
      <c r="I32" s="18"/>
      <c r="J32" s="70"/>
      <c r="K32" s="20"/>
      <c r="L32" s="57">
        <v>5150.0</v>
      </c>
      <c r="M32" s="22">
        <f t="shared" si="1"/>
        <v>0</v>
      </c>
    </row>
    <row r="33">
      <c r="A33" s="76">
        <v>29.0</v>
      </c>
      <c r="B33" s="65" t="s">
        <v>1551</v>
      </c>
      <c r="C33" s="65">
        <v>53206.0</v>
      </c>
      <c r="D33" s="65" t="s">
        <v>1552</v>
      </c>
      <c r="E33" s="77"/>
      <c r="F33" s="25">
        <v>5000.0</v>
      </c>
      <c r="G33" s="16"/>
      <c r="H33" s="78"/>
      <c r="I33" s="18"/>
      <c r="J33" s="68"/>
      <c r="K33" s="20"/>
      <c r="L33" s="57">
        <v>5000.0</v>
      </c>
      <c r="M33" s="22">
        <f t="shared" si="1"/>
        <v>0</v>
      </c>
    </row>
    <row r="34">
      <c r="A34" s="76">
        <v>30.0</v>
      </c>
      <c r="B34" s="65" t="s">
        <v>1553</v>
      </c>
      <c r="C34" s="65">
        <v>10006.0</v>
      </c>
      <c r="D34" s="65" t="s">
        <v>80</v>
      </c>
      <c r="E34" s="77"/>
      <c r="F34" s="25"/>
      <c r="G34" s="16"/>
      <c r="H34" s="78">
        <v>15930.0</v>
      </c>
      <c r="I34" s="18"/>
      <c r="J34" s="68"/>
      <c r="K34" s="20"/>
      <c r="L34" s="57">
        <v>15930.0</v>
      </c>
      <c r="M34" s="22">
        <f t="shared" si="1"/>
        <v>0</v>
      </c>
    </row>
    <row r="35">
      <c r="A35" s="76">
        <v>31.0</v>
      </c>
      <c r="B35" s="65" t="s">
        <v>1554</v>
      </c>
      <c r="C35" s="65">
        <v>10271.0</v>
      </c>
      <c r="D35" s="65" t="s">
        <v>676</v>
      </c>
      <c r="E35" s="77"/>
      <c r="F35" s="25"/>
      <c r="G35" s="16"/>
      <c r="H35" s="78"/>
      <c r="I35" s="18">
        <v>700.0</v>
      </c>
      <c r="J35" s="68"/>
      <c r="K35" s="20"/>
      <c r="L35" s="57">
        <v>700.0</v>
      </c>
      <c r="M35" s="22">
        <f t="shared" si="1"/>
        <v>0</v>
      </c>
    </row>
    <row r="36">
      <c r="A36" s="76">
        <v>32.0</v>
      </c>
      <c r="B36" s="65" t="s">
        <v>1555</v>
      </c>
      <c r="C36" s="65">
        <v>53364.0</v>
      </c>
      <c r="D36" s="65" t="s">
        <v>244</v>
      </c>
      <c r="E36" s="79"/>
      <c r="F36" s="25"/>
      <c r="G36" s="16"/>
      <c r="H36" s="78">
        <v>10000.0</v>
      </c>
      <c r="I36" s="18"/>
      <c r="J36" s="70"/>
      <c r="K36" s="20"/>
      <c r="L36" s="57">
        <v>10000.0</v>
      </c>
      <c r="M36" s="22">
        <f t="shared" si="1"/>
        <v>0</v>
      </c>
    </row>
    <row r="37">
      <c r="A37" s="76">
        <v>33.0</v>
      </c>
      <c r="B37" s="65" t="s">
        <v>1556</v>
      </c>
      <c r="C37" s="65">
        <v>32149.0</v>
      </c>
      <c r="D37" s="65" t="s">
        <v>1557</v>
      </c>
      <c r="E37" s="77"/>
      <c r="F37" s="25"/>
      <c r="G37" s="16"/>
      <c r="H37" s="78">
        <v>3700.0</v>
      </c>
      <c r="I37" s="18"/>
      <c r="J37" s="68"/>
      <c r="K37" s="20"/>
      <c r="L37" s="57">
        <v>3700.0</v>
      </c>
      <c r="M37" s="22">
        <f t="shared" si="1"/>
        <v>0</v>
      </c>
    </row>
    <row r="38">
      <c r="A38" s="76">
        <v>34.0</v>
      </c>
      <c r="B38" s="65" t="s">
        <v>1558</v>
      </c>
      <c r="C38" s="65">
        <v>48910.0</v>
      </c>
      <c r="D38" s="65" t="s">
        <v>111</v>
      </c>
      <c r="E38" s="77"/>
      <c r="F38" s="25"/>
      <c r="G38" s="16"/>
      <c r="H38" s="78"/>
      <c r="I38" s="18">
        <v>11600.0</v>
      </c>
      <c r="J38" s="68"/>
      <c r="K38" s="20"/>
      <c r="L38" s="57">
        <v>11600.0</v>
      </c>
      <c r="M38" s="22">
        <f t="shared" si="1"/>
        <v>0</v>
      </c>
    </row>
    <row r="39">
      <c r="A39" s="76">
        <v>35.0</v>
      </c>
      <c r="B39" s="65" t="s">
        <v>1559</v>
      </c>
      <c r="C39" s="65">
        <v>36769.0</v>
      </c>
      <c r="D39" s="65" t="s">
        <v>138</v>
      </c>
      <c r="E39" s="79"/>
      <c r="F39" s="25"/>
      <c r="G39" s="16"/>
      <c r="H39" s="78">
        <v>600.0</v>
      </c>
      <c r="I39" s="18"/>
      <c r="J39" s="68"/>
      <c r="K39" s="20"/>
      <c r="L39" s="57">
        <v>600.0</v>
      </c>
      <c r="M39" s="22">
        <f t="shared" si="1"/>
        <v>0</v>
      </c>
    </row>
    <row r="40">
      <c r="A40" s="76">
        <v>36.0</v>
      </c>
      <c r="B40" s="65" t="s">
        <v>1560</v>
      </c>
      <c r="C40" s="65">
        <v>50595.0</v>
      </c>
      <c r="D40" s="65" t="s">
        <v>305</v>
      </c>
      <c r="E40" s="79"/>
      <c r="F40" s="25"/>
      <c r="G40" s="16"/>
      <c r="H40" s="78">
        <v>400.0</v>
      </c>
      <c r="I40" s="18"/>
      <c r="J40" s="68"/>
      <c r="K40" s="20"/>
      <c r="L40" s="57">
        <v>400.0</v>
      </c>
      <c r="M40" s="22">
        <f t="shared" si="1"/>
        <v>0</v>
      </c>
    </row>
    <row r="41">
      <c r="A41" s="76">
        <v>37.0</v>
      </c>
      <c r="B41" s="65" t="s">
        <v>1561</v>
      </c>
      <c r="C41" s="65">
        <v>45937.0</v>
      </c>
      <c r="D41" s="65" t="s">
        <v>885</v>
      </c>
      <c r="E41" s="79"/>
      <c r="F41" s="25"/>
      <c r="G41" s="16"/>
      <c r="H41" s="78"/>
      <c r="I41" s="18">
        <v>5000.0</v>
      </c>
      <c r="J41" s="68"/>
      <c r="K41" s="20"/>
      <c r="L41" s="57">
        <v>5000.0</v>
      </c>
      <c r="M41" s="22">
        <f t="shared" si="1"/>
        <v>0</v>
      </c>
    </row>
    <row r="42">
      <c r="A42" s="76">
        <v>38.0</v>
      </c>
      <c r="B42" s="65" t="s">
        <v>1562</v>
      </c>
      <c r="C42" s="65">
        <v>58038.0</v>
      </c>
      <c r="D42" s="65" t="s">
        <v>1563</v>
      </c>
      <c r="E42" s="79"/>
      <c r="F42" s="25"/>
      <c r="G42" s="16"/>
      <c r="H42" s="78">
        <v>300.0</v>
      </c>
      <c r="J42" s="68"/>
      <c r="K42" s="20"/>
      <c r="L42" s="57">
        <v>300.0</v>
      </c>
      <c r="M42" s="22">
        <f t="shared" si="1"/>
        <v>0</v>
      </c>
    </row>
    <row r="43">
      <c r="A43" s="76">
        <v>39.0</v>
      </c>
      <c r="B43" s="65" t="s">
        <v>1564</v>
      </c>
      <c r="C43" s="65">
        <v>58103.0</v>
      </c>
      <c r="D43" s="65" t="s">
        <v>1565</v>
      </c>
      <c r="E43" s="77"/>
      <c r="F43" s="25"/>
      <c r="G43" s="16"/>
      <c r="H43" s="78">
        <v>300.0</v>
      </c>
      <c r="I43" s="18"/>
      <c r="J43" s="70"/>
      <c r="K43" s="20"/>
      <c r="L43" s="57">
        <v>300.0</v>
      </c>
      <c r="M43" s="22">
        <f t="shared" si="1"/>
        <v>0</v>
      </c>
    </row>
    <row r="44">
      <c r="A44" s="76">
        <v>40.0</v>
      </c>
      <c r="B44" s="65" t="s">
        <v>1566</v>
      </c>
      <c r="C44" s="65">
        <v>52032.0</v>
      </c>
      <c r="D44" s="65" t="s">
        <v>217</v>
      </c>
      <c r="E44" s="77"/>
      <c r="F44" s="25"/>
      <c r="G44" s="16"/>
      <c r="H44" s="78">
        <v>350.0</v>
      </c>
      <c r="I44" s="18"/>
      <c r="J44" s="68"/>
      <c r="K44" s="20"/>
      <c r="L44" s="57">
        <v>350.0</v>
      </c>
      <c r="M44" s="22">
        <f t="shared" si="1"/>
        <v>0</v>
      </c>
    </row>
    <row r="45">
      <c r="A45" s="76">
        <v>41.0</v>
      </c>
      <c r="B45" s="65" t="s">
        <v>1567</v>
      </c>
      <c r="C45" s="65">
        <v>53455.0</v>
      </c>
      <c r="D45" s="65" t="s">
        <v>635</v>
      </c>
      <c r="E45" s="77"/>
      <c r="F45" s="25"/>
      <c r="G45" s="16"/>
      <c r="H45" s="78"/>
      <c r="I45" s="18">
        <v>2500.0</v>
      </c>
      <c r="J45" s="68"/>
      <c r="K45" s="20"/>
      <c r="L45" s="57">
        <v>2500.0</v>
      </c>
      <c r="M45" s="22">
        <f t="shared" si="1"/>
        <v>0</v>
      </c>
    </row>
    <row r="46">
      <c r="A46" s="76">
        <v>42.0</v>
      </c>
      <c r="B46" s="65" t="s">
        <v>1568</v>
      </c>
      <c r="C46" s="65">
        <v>50593.0</v>
      </c>
      <c r="D46" s="65" t="s">
        <v>288</v>
      </c>
      <c r="E46" s="79"/>
      <c r="F46" s="25"/>
      <c r="G46" s="16"/>
      <c r="H46" s="78">
        <v>15000.0</v>
      </c>
      <c r="I46" s="18"/>
      <c r="J46" s="68"/>
      <c r="K46" s="20"/>
      <c r="L46" s="57">
        <v>15000.0</v>
      </c>
      <c r="M46" s="22">
        <f t="shared" si="1"/>
        <v>0</v>
      </c>
    </row>
    <row r="47">
      <c r="A47" s="76">
        <v>43.0</v>
      </c>
      <c r="B47" s="65" t="s">
        <v>1569</v>
      </c>
      <c r="C47" s="65">
        <v>21821.0</v>
      </c>
      <c r="D47" s="65" t="s">
        <v>959</v>
      </c>
      <c r="E47" s="79"/>
      <c r="F47" s="25"/>
      <c r="G47" s="16"/>
      <c r="H47" s="78"/>
      <c r="I47" s="18"/>
      <c r="J47" s="70">
        <v>10250.0</v>
      </c>
      <c r="K47" s="20"/>
      <c r="L47" s="57">
        <v>10250.0</v>
      </c>
      <c r="M47" s="22">
        <f t="shared" si="1"/>
        <v>0</v>
      </c>
    </row>
    <row r="48">
      <c r="A48" s="76">
        <v>44.0</v>
      </c>
      <c r="B48" s="65" t="s">
        <v>1570</v>
      </c>
      <c r="C48" s="65">
        <v>48973.0</v>
      </c>
      <c r="D48" s="65" t="s">
        <v>1042</v>
      </c>
      <c r="E48" s="79"/>
      <c r="F48" s="25"/>
      <c r="G48" s="16"/>
      <c r="H48" s="78">
        <v>2850.0</v>
      </c>
      <c r="I48" s="18"/>
      <c r="J48" s="68"/>
      <c r="K48" s="20"/>
      <c r="L48" s="57">
        <v>2850.0</v>
      </c>
      <c r="M48" s="22">
        <f t="shared" si="1"/>
        <v>0</v>
      </c>
    </row>
    <row r="49">
      <c r="A49" s="76">
        <v>45.0</v>
      </c>
      <c r="B49" s="65" t="s">
        <v>1571</v>
      </c>
      <c r="C49" s="65">
        <v>51537.0</v>
      </c>
      <c r="D49" s="65" t="s">
        <v>1572</v>
      </c>
      <c r="E49" s="79"/>
      <c r="F49" s="25"/>
      <c r="G49" s="16"/>
      <c r="H49" s="78">
        <v>12500.0</v>
      </c>
      <c r="I49" s="18"/>
      <c r="J49" s="68"/>
      <c r="K49" s="20"/>
      <c r="L49" s="57">
        <v>12500.0</v>
      </c>
      <c r="M49" s="22">
        <f t="shared" si="1"/>
        <v>0</v>
      </c>
    </row>
    <row r="50">
      <c r="A50" s="76">
        <v>46.0</v>
      </c>
      <c r="B50" s="65" t="s">
        <v>1573</v>
      </c>
      <c r="C50" s="65">
        <v>52727.0</v>
      </c>
      <c r="D50" s="65" t="s">
        <v>1057</v>
      </c>
      <c r="E50" s="79"/>
      <c r="F50" s="25"/>
      <c r="G50" s="16"/>
      <c r="H50" s="78">
        <v>2650.0</v>
      </c>
      <c r="I50" s="18"/>
      <c r="J50" s="68"/>
      <c r="K50" s="20"/>
      <c r="L50" s="57">
        <v>2650.0</v>
      </c>
      <c r="M50" s="22">
        <f t="shared" si="1"/>
        <v>0</v>
      </c>
    </row>
    <row r="51">
      <c r="A51" s="76">
        <v>47.0</v>
      </c>
      <c r="B51" s="65" t="s">
        <v>1574</v>
      </c>
      <c r="C51" s="65">
        <v>24751.0</v>
      </c>
      <c r="D51" s="65" t="s">
        <v>1279</v>
      </c>
      <c r="E51" s="79"/>
      <c r="F51" s="25"/>
      <c r="G51" s="16"/>
      <c r="H51" s="78">
        <v>1250.0</v>
      </c>
      <c r="I51" s="18"/>
      <c r="J51" s="68"/>
      <c r="K51" s="20"/>
      <c r="L51" s="57">
        <v>1250.0</v>
      </c>
      <c r="M51" s="22">
        <f t="shared" si="1"/>
        <v>0</v>
      </c>
    </row>
    <row r="52">
      <c r="A52" s="76">
        <v>48.0</v>
      </c>
      <c r="B52" s="65" t="s">
        <v>1575</v>
      </c>
      <c r="C52" s="65">
        <v>56839.0</v>
      </c>
      <c r="D52" s="65" t="s">
        <v>495</v>
      </c>
      <c r="E52" s="79"/>
      <c r="F52" s="25"/>
      <c r="G52" s="16"/>
      <c r="H52" s="78">
        <v>4400.0</v>
      </c>
      <c r="I52" s="18"/>
      <c r="J52" s="68"/>
      <c r="K52" s="20"/>
      <c r="L52" s="57">
        <v>4400.0</v>
      </c>
      <c r="M52" s="22">
        <f t="shared" si="1"/>
        <v>0</v>
      </c>
    </row>
    <row r="53">
      <c r="A53" s="76">
        <v>49.0</v>
      </c>
      <c r="B53" s="65" t="s">
        <v>1576</v>
      </c>
      <c r="C53" s="65">
        <v>39317.0</v>
      </c>
      <c r="D53" s="65" t="s">
        <v>318</v>
      </c>
      <c r="E53" s="79"/>
      <c r="F53" s="25"/>
      <c r="G53" s="16"/>
      <c r="H53" s="78"/>
      <c r="I53" s="18">
        <v>15000.0</v>
      </c>
      <c r="J53" s="68"/>
      <c r="K53" s="20"/>
      <c r="L53" s="57">
        <v>15000.0</v>
      </c>
      <c r="M53" s="22">
        <f t="shared" si="1"/>
        <v>0</v>
      </c>
    </row>
    <row r="54">
      <c r="A54" s="76">
        <v>50.0</v>
      </c>
      <c r="B54" s="65" t="s">
        <v>1577</v>
      </c>
      <c r="C54" s="65">
        <v>50596.0</v>
      </c>
      <c r="D54" s="65" t="s">
        <v>157</v>
      </c>
      <c r="E54" s="79"/>
      <c r="F54" s="25"/>
      <c r="G54" s="16"/>
      <c r="H54" s="78">
        <v>38900.0</v>
      </c>
      <c r="I54" s="18"/>
      <c r="J54" s="68"/>
      <c r="K54" s="20"/>
      <c r="L54" s="57">
        <v>38900.0</v>
      </c>
      <c r="M54" s="22">
        <f t="shared" si="1"/>
        <v>0</v>
      </c>
    </row>
    <row r="55">
      <c r="A55" s="76">
        <v>51.0</v>
      </c>
      <c r="B55" s="65" t="s">
        <v>1578</v>
      </c>
      <c r="C55" s="65">
        <v>22332.0</v>
      </c>
      <c r="D55" s="65" t="s">
        <v>78</v>
      </c>
      <c r="E55" s="79"/>
      <c r="F55" s="25"/>
      <c r="G55" s="16"/>
      <c r="H55" s="78">
        <v>500.0</v>
      </c>
      <c r="I55" s="18"/>
      <c r="J55" s="68"/>
      <c r="K55" s="20"/>
      <c r="L55" s="57">
        <v>500.0</v>
      </c>
      <c r="M55" s="22">
        <f t="shared" si="1"/>
        <v>0</v>
      </c>
    </row>
    <row r="56">
      <c r="A56" s="76">
        <v>52.0</v>
      </c>
      <c r="B56" s="65" t="s">
        <v>1579</v>
      </c>
      <c r="C56" s="65">
        <v>35245.0</v>
      </c>
      <c r="D56" s="65" t="s">
        <v>330</v>
      </c>
      <c r="E56" s="79"/>
      <c r="F56" s="25"/>
      <c r="G56" s="16"/>
      <c r="H56" s="78">
        <v>471.0</v>
      </c>
      <c r="I56" s="18"/>
      <c r="J56" s="68"/>
      <c r="K56" s="20"/>
      <c r="L56" s="57">
        <v>471.0</v>
      </c>
      <c r="M56" s="22">
        <f t="shared" si="1"/>
        <v>0</v>
      </c>
    </row>
    <row r="57">
      <c r="A57" s="76">
        <v>53.0</v>
      </c>
      <c r="B57" s="65" t="s">
        <v>1580</v>
      </c>
      <c r="C57" s="65">
        <v>48910.0</v>
      </c>
      <c r="D57" s="65" t="s">
        <v>111</v>
      </c>
      <c r="E57" s="79"/>
      <c r="F57" s="25"/>
      <c r="G57" s="16"/>
      <c r="H57" s="78"/>
      <c r="I57" s="18">
        <v>2650.0</v>
      </c>
      <c r="J57" s="68"/>
      <c r="K57" s="20"/>
      <c r="L57" s="57">
        <v>2650.0</v>
      </c>
      <c r="M57" s="22">
        <f t="shared" si="1"/>
        <v>0</v>
      </c>
    </row>
    <row r="58">
      <c r="A58" s="76">
        <v>54.0</v>
      </c>
      <c r="B58" s="65" t="s">
        <v>1581</v>
      </c>
      <c r="C58" s="65">
        <v>49825.0</v>
      </c>
      <c r="D58" s="65" t="s">
        <v>293</v>
      </c>
      <c r="E58" s="79"/>
      <c r="F58" s="25"/>
      <c r="G58" s="16"/>
      <c r="H58" s="78">
        <v>6000.0</v>
      </c>
      <c r="I58" s="18"/>
      <c r="J58" s="68"/>
      <c r="K58" s="20"/>
      <c r="L58" s="57">
        <v>6000.0</v>
      </c>
      <c r="M58" s="22">
        <f t="shared" si="1"/>
        <v>0</v>
      </c>
    </row>
    <row r="59">
      <c r="A59" s="76">
        <v>55.0</v>
      </c>
      <c r="B59" s="65" t="s">
        <v>1582</v>
      </c>
      <c r="C59" s="65">
        <v>47574.0</v>
      </c>
      <c r="D59" s="65" t="s">
        <v>1307</v>
      </c>
      <c r="E59" s="79"/>
      <c r="F59" s="25"/>
      <c r="G59" s="16"/>
      <c r="H59" s="78">
        <v>350.0</v>
      </c>
      <c r="I59" s="18"/>
      <c r="J59" s="68"/>
      <c r="K59" s="20"/>
      <c r="L59" s="57">
        <v>350.0</v>
      </c>
      <c r="M59" s="22">
        <f t="shared" si="1"/>
        <v>0</v>
      </c>
    </row>
    <row r="60">
      <c r="A60" s="76">
        <v>56.0</v>
      </c>
      <c r="B60" s="65" t="s">
        <v>1583</v>
      </c>
      <c r="C60" s="65">
        <v>31927.0</v>
      </c>
      <c r="D60" s="65" t="s">
        <v>275</v>
      </c>
      <c r="E60" s="79"/>
      <c r="F60" s="25"/>
      <c r="G60" s="16"/>
      <c r="H60" s="78">
        <v>1250.0</v>
      </c>
      <c r="I60" s="18"/>
      <c r="J60" s="68"/>
      <c r="K60" s="20"/>
      <c r="L60" s="57">
        <v>1250.0</v>
      </c>
      <c r="M60" s="22">
        <f t="shared" si="1"/>
        <v>0</v>
      </c>
    </row>
    <row r="61">
      <c r="A61" s="76">
        <v>57.0</v>
      </c>
      <c r="B61" s="65" t="s">
        <v>1584</v>
      </c>
      <c r="C61" s="65">
        <v>33065.0</v>
      </c>
      <c r="D61" s="65" t="s">
        <v>660</v>
      </c>
      <c r="E61" s="79"/>
      <c r="F61" s="25"/>
      <c r="G61" s="16"/>
      <c r="H61" s="78">
        <v>10200.0</v>
      </c>
      <c r="I61" s="18"/>
      <c r="J61" s="68"/>
      <c r="K61" s="20"/>
      <c r="L61" s="57">
        <v>10200.0</v>
      </c>
      <c r="M61" s="22">
        <f t="shared" si="1"/>
        <v>0</v>
      </c>
    </row>
    <row r="62">
      <c r="A62" s="76">
        <v>58.0</v>
      </c>
      <c r="B62" s="65" t="s">
        <v>1585</v>
      </c>
      <c r="C62" s="65">
        <v>48631.0</v>
      </c>
      <c r="D62" s="65" t="s">
        <v>123</v>
      </c>
      <c r="E62" s="79"/>
      <c r="F62" s="25"/>
      <c r="G62" s="16"/>
      <c r="H62" s="78">
        <v>8500.0</v>
      </c>
      <c r="I62" s="18"/>
      <c r="J62" s="68"/>
      <c r="K62" s="20"/>
      <c r="L62" s="57">
        <v>8500.0</v>
      </c>
      <c r="M62" s="22">
        <f t="shared" si="1"/>
        <v>0</v>
      </c>
    </row>
    <row r="63">
      <c r="A63" s="76">
        <v>59.0</v>
      </c>
      <c r="B63" s="65" t="s">
        <v>1586</v>
      </c>
      <c r="C63" s="65">
        <v>10001.0</v>
      </c>
      <c r="D63" s="65" t="s">
        <v>46</v>
      </c>
      <c r="E63" s="79"/>
      <c r="F63" s="25"/>
      <c r="G63" s="16"/>
      <c r="H63" s="78">
        <v>2650.0</v>
      </c>
      <c r="I63" s="18"/>
      <c r="J63" s="68"/>
      <c r="K63" s="20"/>
      <c r="L63" s="57">
        <v>2650.0</v>
      </c>
      <c r="M63" s="22">
        <f t="shared" si="1"/>
        <v>0</v>
      </c>
    </row>
    <row r="64">
      <c r="A64" s="76">
        <v>60.0</v>
      </c>
      <c r="B64" s="65" t="s">
        <v>1587</v>
      </c>
      <c r="C64" s="65">
        <v>10001.0</v>
      </c>
      <c r="D64" s="65" t="s">
        <v>46</v>
      </c>
      <c r="E64" s="79">
        <v>290.0</v>
      </c>
      <c r="F64" s="25"/>
      <c r="G64" s="16"/>
      <c r="H64" s="78"/>
      <c r="I64" s="18"/>
      <c r="J64" s="68"/>
      <c r="K64" s="20"/>
      <c r="L64" s="57">
        <v>290.0</v>
      </c>
      <c r="M64" s="22">
        <f t="shared" si="1"/>
        <v>0</v>
      </c>
    </row>
    <row r="65">
      <c r="A65" s="76">
        <v>61.0</v>
      </c>
      <c r="B65" s="65" t="s">
        <v>1588</v>
      </c>
      <c r="C65" s="65">
        <v>48973.0</v>
      </c>
      <c r="D65" s="65" t="s">
        <v>1042</v>
      </c>
      <c r="E65" s="79"/>
      <c r="F65" s="25"/>
      <c r="G65" s="16"/>
      <c r="H65" s="78">
        <v>8200.0</v>
      </c>
      <c r="I65" s="18"/>
      <c r="J65" s="68"/>
      <c r="K65" s="20"/>
      <c r="L65" s="57">
        <v>8200.0</v>
      </c>
      <c r="M65" s="22">
        <f t="shared" si="1"/>
        <v>0</v>
      </c>
    </row>
    <row r="66">
      <c r="A66" s="76">
        <v>62.0</v>
      </c>
      <c r="B66" s="65" t="s">
        <v>1589</v>
      </c>
      <c r="C66" s="65">
        <v>10001.0</v>
      </c>
      <c r="D66" s="65" t="s">
        <v>46</v>
      </c>
      <c r="E66" s="79"/>
      <c r="F66" s="25"/>
      <c r="G66" s="16"/>
      <c r="H66" s="78">
        <v>10000.0</v>
      </c>
      <c r="I66" s="18"/>
      <c r="J66" s="68"/>
      <c r="K66" s="20"/>
      <c r="L66" s="57">
        <v>10000.0</v>
      </c>
      <c r="M66" s="22">
        <f t="shared" si="1"/>
        <v>0</v>
      </c>
    </row>
    <row r="67">
      <c r="A67" s="76">
        <v>63.0</v>
      </c>
      <c r="B67" s="65" t="s">
        <v>1590</v>
      </c>
      <c r="C67" s="65">
        <v>21818.0</v>
      </c>
      <c r="D67" s="65" t="s">
        <v>82</v>
      </c>
      <c r="E67" s="79">
        <v>100.0</v>
      </c>
      <c r="F67" s="25"/>
      <c r="G67" s="16"/>
      <c r="H67" s="78"/>
      <c r="I67" s="18"/>
      <c r="J67" s="68"/>
      <c r="K67" s="20"/>
      <c r="L67" s="57">
        <v>100.0</v>
      </c>
      <c r="M67" s="22">
        <f t="shared" si="1"/>
        <v>0</v>
      </c>
    </row>
    <row r="68">
      <c r="A68" s="76">
        <v>64.0</v>
      </c>
      <c r="B68" s="65" t="s">
        <v>1591</v>
      </c>
      <c r="C68" s="65">
        <v>54208.0</v>
      </c>
      <c r="D68" s="65" t="s">
        <v>1592</v>
      </c>
      <c r="E68" s="79"/>
      <c r="F68" s="25"/>
      <c r="G68" s="16"/>
      <c r="H68" s="78">
        <v>15000.0</v>
      </c>
      <c r="I68" s="18"/>
      <c r="J68" s="68"/>
      <c r="K68" s="20"/>
      <c r="L68" s="57">
        <v>15000.0</v>
      </c>
      <c r="M68" s="22">
        <f t="shared" si="1"/>
        <v>0</v>
      </c>
    </row>
    <row r="69">
      <c r="A69" s="76">
        <v>65.0</v>
      </c>
      <c r="B69" s="65" t="s">
        <v>1593</v>
      </c>
      <c r="C69" s="65">
        <v>54226.0</v>
      </c>
      <c r="D69" s="65" t="s">
        <v>1594</v>
      </c>
      <c r="E69" s="79"/>
      <c r="F69" s="25"/>
      <c r="G69" s="16"/>
      <c r="H69" s="78">
        <v>9540.0</v>
      </c>
      <c r="I69" s="18"/>
      <c r="J69" s="68"/>
      <c r="K69" s="20"/>
      <c r="L69" s="57">
        <v>9540.0</v>
      </c>
      <c r="M69" s="22">
        <f t="shared" si="1"/>
        <v>0</v>
      </c>
    </row>
    <row r="70">
      <c r="A70" s="76">
        <v>66.0</v>
      </c>
      <c r="B70" s="65" t="s">
        <v>1595</v>
      </c>
      <c r="C70" s="65">
        <v>57559.0</v>
      </c>
      <c r="D70" s="65" t="s">
        <v>848</v>
      </c>
      <c r="E70" s="79"/>
      <c r="F70" s="25"/>
      <c r="G70" s="16"/>
      <c r="H70" s="78">
        <v>5000.0</v>
      </c>
      <c r="I70" s="18"/>
      <c r="J70" s="68"/>
      <c r="K70" s="20"/>
      <c r="L70" s="57">
        <v>5000.0</v>
      </c>
      <c r="M70" s="22">
        <f t="shared" si="1"/>
        <v>0</v>
      </c>
    </row>
    <row r="71">
      <c r="A71" s="76">
        <v>67.0</v>
      </c>
      <c r="B71" s="65" t="s">
        <v>1596</v>
      </c>
      <c r="C71" s="65">
        <v>57559.0</v>
      </c>
      <c r="D71" s="65" t="s">
        <v>848</v>
      </c>
      <c r="E71" s="79"/>
      <c r="F71" s="25"/>
      <c r="G71" s="16"/>
      <c r="H71" s="78">
        <v>6750.0</v>
      </c>
      <c r="I71" s="18"/>
      <c r="J71" s="68"/>
      <c r="K71" s="20"/>
      <c r="L71" s="57">
        <v>6750.0</v>
      </c>
      <c r="M71" s="22">
        <f t="shared" si="1"/>
        <v>0</v>
      </c>
    </row>
    <row r="72">
      <c r="A72" s="76">
        <v>68.0</v>
      </c>
      <c r="B72" s="65" t="s">
        <v>1597</v>
      </c>
      <c r="C72" s="65">
        <v>21818.0</v>
      </c>
      <c r="D72" s="65" t="s">
        <v>82</v>
      </c>
      <c r="E72" s="79"/>
      <c r="F72" s="25"/>
      <c r="G72" s="16"/>
      <c r="H72" s="78">
        <v>3000.0</v>
      </c>
      <c r="I72" s="18"/>
      <c r="J72" s="68"/>
      <c r="K72" s="20"/>
      <c r="L72" s="57">
        <v>3000.0</v>
      </c>
      <c r="M72" s="22">
        <f t="shared" si="1"/>
        <v>0</v>
      </c>
    </row>
    <row r="73">
      <c r="A73" s="76">
        <v>69.0</v>
      </c>
      <c r="B73" s="65" t="s">
        <v>1598</v>
      </c>
      <c r="C73" s="65">
        <v>30248.0</v>
      </c>
      <c r="D73" s="65" t="s">
        <v>673</v>
      </c>
      <c r="E73" s="79"/>
      <c r="F73" s="25"/>
      <c r="G73" s="16"/>
      <c r="H73" s="78">
        <v>2650.0</v>
      </c>
      <c r="I73" s="18"/>
      <c r="J73" s="68"/>
      <c r="K73" s="20"/>
      <c r="L73" s="57">
        <v>2650.0</v>
      </c>
      <c r="M73" s="22">
        <f t="shared" si="1"/>
        <v>0</v>
      </c>
    </row>
    <row r="74">
      <c r="A74" s="76">
        <v>70.0</v>
      </c>
      <c r="B74" s="65" t="s">
        <v>1599</v>
      </c>
      <c r="C74" s="65">
        <v>51329.0</v>
      </c>
      <c r="D74" s="65" t="s">
        <v>1600</v>
      </c>
      <c r="E74" s="79">
        <v>2000.0</v>
      </c>
      <c r="F74" s="25">
        <v>500.0</v>
      </c>
      <c r="G74" s="16"/>
      <c r="H74" s="78"/>
      <c r="I74" s="18"/>
      <c r="J74" s="68"/>
      <c r="K74" s="20"/>
      <c r="L74" s="57">
        <v>2500.0</v>
      </c>
      <c r="M74" s="22">
        <f t="shared" si="1"/>
        <v>0</v>
      </c>
    </row>
    <row r="75">
      <c r="A75" s="76">
        <v>71.0</v>
      </c>
      <c r="B75" s="65" t="s">
        <v>1601</v>
      </c>
      <c r="C75" s="65">
        <v>50184.0</v>
      </c>
      <c r="D75" s="65" t="s">
        <v>506</v>
      </c>
      <c r="E75" s="79"/>
      <c r="F75" s="25"/>
      <c r="G75" s="16"/>
      <c r="H75" s="78">
        <v>5700.0</v>
      </c>
      <c r="I75" s="18"/>
      <c r="J75" s="68"/>
      <c r="K75" s="20"/>
      <c r="L75" s="57">
        <v>5700.0</v>
      </c>
      <c r="M75" s="22">
        <f t="shared" si="1"/>
        <v>0</v>
      </c>
    </row>
    <row r="76">
      <c r="A76" s="76">
        <v>72.0</v>
      </c>
      <c r="B76" s="65" t="s">
        <v>1602</v>
      </c>
      <c r="C76" s="65">
        <v>22727.0</v>
      </c>
      <c r="D76" s="65" t="s">
        <v>109</v>
      </c>
      <c r="E76" s="79"/>
      <c r="F76" s="25"/>
      <c r="G76" s="16"/>
      <c r="H76" s="78">
        <v>11050.0</v>
      </c>
      <c r="I76" s="18"/>
      <c r="J76" s="68"/>
      <c r="K76" s="20"/>
      <c r="L76" s="57">
        <v>11050.0</v>
      </c>
      <c r="M76" s="22">
        <f t="shared" si="1"/>
        <v>0</v>
      </c>
    </row>
    <row r="77">
      <c r="A77" s="76">
        <v>73.0</v>
      </c>
      <c r="B77" s="65" t="s">
        <v>1603</v>
      </c>
      <c r="C77" s="65">
        <v>47574.0</v>
      </c>
      <c r="D77" s="65" t="s">
        <v>1307</v>
      </c>
      <c r="E77" s="79"/>
      <c r="F77" s="25"/>
      <c r="G77" s="16"/>
      <c r="H77" s="78">
        <v>350.0</v>
      </c>
      <c r="I77" s="18"/>
      <c r="J77" s="68"/>
      <c r="K77" s="20"/>
      <c r="L77" s="57">
        <v>350.0</v>
      </c>
      <c r="M77" s="22">
        <f t="shared" si="1"/>
        <v>0</v>
      </c>
    </row>
    <row r="78">
      <c r="A78" s="76">
        <v>74.0</v>
      </c>
      <c r="B78" s="65" t="s">
        <v>1604</v>
      </c>
      <c r="C78" s="65">
        <v>50918.0</v>
      </c>
      <c r="D78" s="65" t="s">
        <v>1481</v>
      </c>
      <c r="E78" s="79"/>
      <c r="F78" s="25"/>
      <c r="G78" s="16"/>
      <c r="H78" s="78"/>
      <c r="I78" s="18"/>
      <c r="J78" s="70">
        <v>600.0</v>
      </c>
      <c r="K78" s="20"/>
      <c r="L78" s="57">
        <v>600.0</v>
      </c>
      <c r="M78" s="22">
        <f t="shared" si="1"/>
        <v>0</v>
      </c>
    </row>
    <row r="79">
      <c r="A79" s="76">
        <v>75.0</v>
      </c>
      <c r="B79" s="65" t="s">
        <v>1605</v>
      </c>
      <c r="C79" s="65">
        <v>52421.0</v>
      </c>
      <c r="D79" s="65" t="s">
        <v>1606</v>
      </c>
      <c r="E79" s="79"/>
      <c r="F79" s="25">
        <v>27000.0</v>
      </c>
      <c r="G79" s="16"/>
      <c r="H79" s="78"/>
      <c r="I79" s="18"/>
      <c r="J79" s="68"/>
      <c r="K79" s="20"/>
      <c r="L79" s="57">
        <v>27000.0</v>
      </c>
      <c r="M79" s="22">
        <f t="shared" si="1"/>
        <v>0</v>
      </c>
    </row>
    <row r="80">
      <c r="A80" s="76">
        <v>76.0</v>
      </c>
      <c r="B80" s="65" t="s">
        <v>1607</v>
      </c>
      <c r="C80" s="65">
        <v>57125.0</v>
      </c>
      <c r="D80" s="65" t="s">
        <v>246</v>
      </c>
      <c r="E80" s="79"/>
      <c r="F80" s="25"/>
      <c r="G80" s="16"/>
      <c r="H80" s="78">
        <v>300.0</v>
      </c>
      <c r="I80" s="18"/>
      <c r="J80" s="68"/>
      <c r="K80" s="20"/>
      <c r="L80" s="57">
        <v>300.0</v>
      </c>
      <c r="M80" s="22">
        <f t="shared" si="1"/>
        <v>0</v>
      </c>
    </row>
    <row r="81">
      <c r="A81" s="76">
        <v>77.0</v>
      </c>
      <c r="B81" s="65" t="s">
        <v>1608</v>
      </c>
      <c r="C81" s="65">
        <v>54454.0</v>
      </c>
      <c r="D81" s="65" t="s">
        <v>1609</v>
      </c>
      <c r="E81" s="79"/>
      <c r="F81" s="25">
        <v>27000.0</v>
      </c>
      <c r="G81" s="16"/>
      <c r="H81" s="78"/>
      <c r="I81" s="18"/>
      <c r="J81" s="68"/>
      <c r="K81" s="20"/>
      <c r="L81" s="57">
        <v>27000.0</v>
      </c>
      <c r="M81" s="22">
        <f t="shared" si="1"/>
        <v>0</v>
      </c>
    </row>
    <row r="82">
      <c r="A82" s="76">
        <v>78.0</v>
      </c>
      <c r="B82" s="65" t="s">
        <v>1610</v>
      </c>
      <c r="C82" s="65">
        <v>48631.0</v>
      </c>
      <c r="D82" s="65" t="s">
        <v>123</v>
      </c>
      <c r="E82" s="79"/>
      <c r="F82" s="25"/>
      <c r="G82" s="16"/>
      <c r="H82" s="78">
        <v>350.0</v>
      </c>
      <c r="I82" s="18"/>
      <c r="J82" s="68"/>
      <c r="K82" s="20"/>
      <c r="L82" s="57">
        <v>350.0</v>
      </c>
      <c r="M82" s="22">
        <f t="shared" si="1"/>
        <v>0</v>
      </c>
    </row>
    <row r="83">
      <c r="A83" s="76">
        <v>79.0</v>
      </c>
      <c r="B83" s="65" t="s">
        <v>1611</v>
      </c>
      <c r="C83" s="65">
        <v>56387.0</v>
      </c>
      <c r="D83" s="65" t="s">
        <v>185</v>
      </c>
      <c r="E83" s="79"/>
      <c r="F83" s="25"/>
      <c r="G83" s="16"/>
      <c r="H83" s="78"/>
      <c r="I83" s="18">
        <v>57800.0</v>
      </c>
      <c r="J83" s="68"/>
      <c r="K83" s="20"/>
      <c r="L83" s="57">
        <v>57800.0</v>
      </c>
      <c r="M83" s="22">
        <f t="shared" si="1"/>
        <v>0</v>
      </c>
    </row>
    <row r="84">
      <c r="A84" s="76">
        <v>80.0</v>
      </c>
      <c r="B84" s="65" t="s">
        <v>1612</v>
      </c>
      <c r="C84" s="65">
        <v>21818.0</v>
      </c>
      <c r="D84" s="65" t="s">
        <v>82</v>
      </c>
      <c r="E84" s="79"/>
      <c r="F84" s="25"/>
      <c r="G84" s="16"/>
      <c r="H84" s="78"/>
      <c r="I84" s="18"/>
      <c r="J84" s="70">
        <v>12750.0</v>
      </c>
      <c r="K84" s="20"/>
      <c r="L84" s="57">
        <v>12750.0</v>
      </c>
      <c r="M84" s="22">
        <f t="shared" si="1"/>
        <v>0</v>
      </c>
    </row>
    <row r="85">
      <c r="A85" s="76">
        <v>81.0</v>
      </c>
      <c r="B85" s="65" t="s">
        <v>1613</v>
      </c>
      <c r="C85" s="65">
        <v>56387.0</v>
      </c>
      <c r="D85" s="65" t="s">
        <v>185</v>
      </c>
      <c r="E85" s="79"/>
      <c r="F85" s="25"/>
      <c r="G85" s="16"/>
      <c r="H85" s="78"/>
      <c r="I85" s="18">
        <v>15000.0</v>
      </c>
      <c r="J85" s="68"/>
      <c r="K85" s="20"/>
      <c r="L85" s="57">
        <v>15000.0</v>
      </c>
      <c r="M85" s="22">
        <f t="shared" si="1"/>
        <v>0</v>
      </c>
    </row>
    <row r="86">
      <c r="A86" s="76">
        <v>82.0</v>
      </c>
      <c r="B86" s="65" t="s">
        <v>1614</v>
      </c>
      <c r="C86" s="65">
        <v>56683.0</v>
      </c>
      <c r="D86" s="65" t="s">
        <v>1615</v>
      </c>
      <c r="E86" s="79"/>
      <c r="F86" s="25"/>
      <c r="G86" s="16"/>
      <c r="H86" s="78"/>
      <c r="I86" s="18"/>
      <c r="J86" s="70">
        <v>600.0</v>
      </c>
      <c r="K86" s="20"/>
      <c r="L86" s="57">
        <v>600.0</v>
      </c>
      <c r="M86" s="22">
        <f t="shared" si="1"/>
        <v>0</v>
      </c>
    </row>
    <row r="87">
      <c r="A87" s="76">
        <v>83.0</v>
      </c>
      <c r="B87" s="65" t="s">
        <v>1616</v>
      </c>
      <c r="C87" s="65">
        <v>31927.0</v>
      </c>
      <c r="D87" s="65" t="s">
        <v>275</v>
      </c>
      <c r="E87" s="79"/>
      <c r="F87" s="25"/>
      <c r="G87" s="16"/>
      <c r="H87" s="78">
        <v>1250.0</v>
      </c>
      <c r="I87" s="18"/>
      <c r="J87" s="68"/>
      <c r="K87" s="20"/>
      <c r="L87" s="57">
        <v>1250.0</v>
      </c>
      <c r="M87" s="22">
        <f t="shared" si="1"/>
        <v>0</v>
      </c>
    </row>
    <row r="88">
      <c r="A88" s="76">
        <v>84.0</v>
      </c>
      <c r="B88" s="65" t="s">
        <v>1617</v>
      </c>
      <c r="C88" s="65">
        <v>58191.0</v>
      </c>
      <c r="D88" s="65" t="s">
        <v>1618</v>
      </c>
      <c r="E88" s="79"/>
      <c r="F88" s="25"/>
      <c r="G88" s="16"/>
      <c r="H88" s="78">
        <v>27000.0</v>
      </c>
      <c r="I88" s="18"/>
      <c r="J88" s="68"/>
      <c r="K88" s="20"/>
      <c r="L88" s="57">
        <v>27000.0</v>
      </c>
      <c r="M88" s="22">
        <f t="shared" si="1"/>
        <v>0</v>
      </c>
    </row>
    <row r="89">
      <c r="A89" s="76">
        <v>85.0</v>
      </c>
      <c r="B89" s="65" t="s">
        <v>1619</v>
      </c>
      <c r="C89" s="65">
        <v>50436.0</v>
      </c>
      <c r="D89" s="65" t="s">
        <v>561</v>
      </c>
      <c r="E89" s="79"/>
      <c r="F89" s="25"/>
      <c r="G89" s="16"/>
      <c r="H89" s="78">
        <v>1250.0</v>
      </c>
      <c r="I89" s="18"/>
      <c r="J89" s="68"/>
      <c r="K89" s="20"/>
      <c r="L89" s="57">
        <v>1250.0</v>
      </c>
      <c r="M89" s="22">
        <f t="shared" si="1"/>
        <v>0</v>
      </c>
    </row>
    <row r="90">
      <c r="A90" s="76">
        <v>86.0</v>
      </c>
      <c r="B90" s="65" t="s">
        <v>1620</v>
      </c>
      <c r="C90" s="65">
        <v>45096.0</v>
      </c>
      <c r="D90" s="65" t="s">
        <v>314</v>
      </c>
      <c r="E90" s="79"/>
      <c r="F90" s="25"/>
      <c r="G90" s="16"/>
      <c r="H90" s="78">
        <v>500.0</v>
      </c>
      <c r="I90" s="18"/>
      <c r="J90" s="68"/>
      <c r="K90" s="20"/>
      <c r="L90" s="57">
        <v>500.0</v>
      </c>
      <c r="M90" s="22">
        <f t="shared" si="1"/>
        <v>0</v>
      </c>
    </row>
    <row r="91">
      <c r="A91" s="76">
        <v>87.0</v>
      </c>
      <c r="B91" s="65" t="s">
        <v>1621</v>
      </c>
      <c r="C91" s="65">
        <v>12102.0</v>
      </c>
      <c r="D91" s="65" t="s">
        <v>113</v>
      </c>
      <c r="E91" s="79"/>
      <c r="F91" s="25"/>
      <c r="G91" s="28">
        <v>53111.0</v>
      </c>
      <c r="H91" s="78">
        <v>900.0</v>
      </c>
      <c r="I91" s="18"/>
      <c r="J91" s="68"/>
      <c r="K91" s="20"/>
      <c r="L91" s="57">
        <v>54011.0</v>
      </c>
      <c r="M91" s="22">
        <f t="shared" si="1"/>
        <v>0</v>
      </c>
    </row>
    <row r="92">
      <c r="A92" s="76">
        <v>88.0</v>
      </c>
      <c r="B92" s="65" t="s">
        <v>1622</v>
      </c>
      <c r="C92" s="65">
        <v>49953.0</v>
      </c>
      <c r="D92" s="65" t="s">
        <v>62</v>
      </c>
      <c r="E92" s="79"/>
      <c r="F92" s="25"/>
      <c r="G92" s="16"/>
      <c r="H92" s="78">
        <v>693.0</v>
      </c>
      <c r="I92" s="18"/>
      <c r="J92" s="68"/>
      <c r="K92" s="20"/>
      <c r="L92" s="57">
        <v>693.0</v>
      </c>
      <c r="M92" s="22">
        <f t="shared" si="1"/>
        <v>0</v>
      </c>
    </row>
    <row r="93">
      <c r="A93" s="76">
        <v>89.0</v>
      </c>
      <c r="B93" s="65" t="s">
        <v>1623</v>
      </c>
      <c r="C93" s="65">
        <v>54764.0</v>
      </c>
      <c r="D93" s="65" t="s">
        <v>1624</v>
      </c>
      <c r="E93" s="79"/>
      <c r="F93" s="25"/>
      <c r="G93" s="16"/>
      <c r="H93" s="78">
        <v>3600.0</v>
      </c>
      <c r="I93" s="18"/>
      <c r="J93" s="68"/>
      <c r="K93" s="20"/>
      <c r="L93" s="57">
        <v>3600.0</v>
      </c>
      <c r="M93" s="22">
        <f t="shared" si="1"/>
        <v>0</v>
      </c>
    </row>
    <row r="94">
      <c r="A94" s="76">
        <v>90.0</v>
      </c>
      <c r="B94" s="65" t="s">
        <v>1625</v>
      </c>
      <c r="C94" s="65">
        <v>50593.0</v>
      </c>
      <c r="D94" s="65" t="s">
        <v>288</v>
      </c>
      <c r="E94" s="79"/>
      <c r="F94" s="25"/>
      <c r="G94" s="16"/>
      <c r="H94" s="78">
        <v>15000.0</v>
      </c>
      <c r="I94" s="18"/>
      <c r="J94" s="68"/>
      <c r="K94" s="20"/>
      <c r="L94" s="57">
        <v>15000.0</v>
      </c>
      <c r="M94" s="22">
        <f t="shared" si="1"/>
        <v>0</v>
      </c>
    </row>
    <row r="95">
      <c r="A95" s="76">
        <v>91.0</v>
      </c>
      <c r="B95" s="65" t="s">
        <v>1626</v>
      </c>
      <c r="C95" s="65">
        <v>29621.0</v>
      </c>
      <c r="D95" s="65" t="s">
        <v>381</v>
      </c>
      <c r="E95" s="79"/>
      <c r="F95" s="25"/>
      <c r="G95" s="16"/>
      <c r="H95" s="78"/>
      <c r="I95" s="18">
        <v>16250.0</v>
      </c>
      <c r="J95" s="68"/>
      <c r="K95" s="20"/>
      <c r="L95" s="57">
        <v>16250.0</v>
      </c>
      <c r="M95" s="22">
        <f t="shared" si="1"/>
        <v>0</v>
      </c>
    </row>
    <row r="96">
      <c r="A96" s="76">
        <v>92.0</v>
      </c>
      <c r="B96" s="65" t="s">
        <v>1627</v>
      </c>
      <c r="C96" s="65">
        <v>57777.0</v>
      </c>
      <c r="D96" s="65" t="s">
        <v>862</v>
      </c>
      <c r="E96" s="79"/>
      <c r="F96" s="25"/>
      <c r="G96" s="16"/>
      <c r="H96" s="78"/>
      <c r="I96" s="18"/>
      <c r="J96" s="70">
        <v>300.0</v>
      </c>
      <c r="K96" s="20"/>
      <c r="L96" s="57">
        <v>300.0</v>
      </c>
      <c r="M96" s="22">
        <f t="shared" si="1"/>
        <v>0</v>
      </c>
    </row>
    <row r="97">
      <c r="A97" s="76">
        <v>93.0</v>
      </c>
      <c r="B97" s="65" t="s">
        <v>1628</v>
      </c>
      <c r="C97" s="65">
        <v>58211.0</v>
      </c>
      <c r="D97" s="65" t="s">
        <v>1629</v>
      </c>
      <c r="E97" s="79"/>
      <c r="F97" s="25"/>
      <c r="G97" s="16"/>
      <c r="H97" s="78">
        <v>5450.0</v>
      </c>
      <c r="I97" s="18"/>
      <c r="J97" s="68"/>
      <c r="K97" s="20"/>
      <c r="L97" s="57">
        <v>5450.0</v>
      </c>
      <c r="M97" s="22">
        <f t="shared" si="1"/>
        <v>0</v>
      </c>
    </row>
    <row r="98">
      <c r="A98" s="76">
        <v>94.0</v>
      </c>
      <c r="B98" s="65" t="s">
        <v>1630</v>
      </c>
      <c r="C98" s="65">
        <v>21821.0</v>
      </c>
      <c r="D98" s="65" t="s">
        <v>959</v>
      </c>
      <c r="E98" s="79"/>
      <c r="F98" s="25"/>
      <c r="G98" s="16"/>
      <c r="H98" s="78"/>
      <c r="I98" s="18"/>
      <c r="J98" s="70">
        <v>5000.0</v>
      </c>
      <c r="K98" s="20"/>
      <c r="L98" s="57">
        <v>5000.0</v>
      </c>
      <c r="M98" s="22">
        <f t="shared" si="1"/>
        <v>0</v>
      </c>
    </row>
    <row r="99">
      <c r="A99" s="76">
        <v>95.0</v>
      </c>
      <c r="B99" s="65" t="s">
        <v>1631</v>
      </c>
      <c r="C99" s="65">
        <v>58210.0</v>
      </c>
      <c r="D99" s="65" t="s">
        <v>1632</v>
      </c>
      <c r="E99" s="79"/>
      <c r="F99" s="25"/>
      <c r="G99" s="16"/>
      <c r="H99" s="78">
        <v>290.0</v>
      </c>
      <c r="I99" s="18"/>
      <c r="J99" s="68"/>
      <c r="K99" s="20"/>
      <c r="L99" s="57">
        <v>290.0</v>
      </c>
      <c r="M99" s="22">
        <f t="shared" si="1"/>
        <v>0</v>
      </c>
    </row>
    <row r="100">
      <c r="A100" s="76">
        <v>96.0</v>
      </c>
      <c r="B100" s="65" t="s">
        <v>1633</v>
      </c>
      <c r="C100" s="65">
        <v>57946.0</v>
      </c>
      <c r="D100" s="65" t="s">
        <v>251</v>
      </c>
      <c r="E100" s="79"/>
      <c r="F100" s="25"/>
      <c r="G100" s="16"/>
      <c r="H100" s="78">
        <v>1350.0</v>
      </c>
      <c r="I100" s="18"/>
      <c r="J100" s="68"/>
      <c r="K100" s="20"/>
      <c r="L100" s="57">
        <v>1350.0</v>
      </c>
      <c r="M100" s="22">
        <f t="shared" si="1"/>
        <v>0</v>
      </c>
    </row>
    <row r="101">
      <c r="A101" s="76">
        <v>97.0</v>
      </c>
      <c r="B101" s="65" t="s">
        <v>1634</v>
      </c>
      <c r="C101" s="65">
        <v>21818.0</v>
      </c>
      <c r="D101" s="65" t="s">
        <v>82</v>
      </c>
      <c r="E101" s="79"/>
      <c r="F101" s="25"/>
      <c r="G101" s="16"/>
      <c r="H101" s="78">
        <v>1400.0</v>
      </c>
      <c r="I101" s="18"/>
      <c r="J101" s="68"/>
      <c r="K101" s="20"/>
      <c r="L101" s="57">
        <v>1400.0</v>
      </c>
      <c r="M101" s="22">
        <f t="shared" si="1"/>
        <v>0</v>
      </c>
    </row>
    <row r="102">
      <c r="A102" s="76">
        <v>98.0</v>
      </c>
      <c r="B102" s="65" t="s">
        <v>1635</v>
      </c>
      <c r="C102" s="65">
        <v>57499.0</v>
      </c>
      <c r="D102" s="65" t="s">
        <v>338</v>
      </c>
      <c r="E102" s="79"/>
      <c r="F102" s="25">
        <v>1450.0</v>
      </c>
      <c r="G102" s="16"/>
      <c r="H102" s="78"/>
      <c r="I102" s="18"/>
      <c r="J102" s="68"/>
      <c r="K102" s="20"/>
      <c r="L102" s="57">
        <v>1450.0</v>
      </c>
      <c r="M102" s="22">
        <f t="shared" si="1"/>
        <v>0</v>
      </c>
    </row>
    <row r="103">
      <c r="A103" s="76">
        <v>99.0</v>
      </c>
      <c r="B103" s="65" t="s">
        <v>1636</v>
      </c>
      <c r="C103" s="65">
        <v>57499.0</v>
      </c>
      <c r="D103" s="65" t="s">
        <v>338</v>
      </c>
      <c r="E103" s="79"/>
      <c r="F103" s="25">
        <v>3600.0</v>
      </c>
      <c r="G103" s="16"/>
      <c r="H103" s="78"/>
      <c r="I103" s="18"/>
      <c r="J103" s="68"/>
      <c r="K103" s="20"/>
      <c r="L103" s="57">
        <v>3600.0</v>
      </c>
      <c r="M103" s="22">
        <f t="shared" si="1"/>
        <v>0</v>
      </c>
    </row>
    <row r="104">
      <c r="A104" s="76">
        <v>100.0</v>
      </c>
      <c r="B104" s="65" t="s">
        <v>1637</v>
      </c>
      <c r="C104" s="65">
        <v>36769.0</v>
      </c>
      <c r="D104" s="65" t="s">
        <v>138</v>
      </c>
      <c r="E104" s="79"/>
      <c r="F104" s="25"/>
      <c r="G104" s="16"/>
      <c r="H104" s="78">
        <v>5150.0</v>
      </c>
      <c r="I104" s="18"/>
      <c r="J104" s="68"/>
      <c r="K104" s="20"/>
      <c r="L104" s="57">
        <v>5150.0</v>
      </c>
      <c r="M104" s="22">
        <f t="shared" si="1"/>
        <v>0</v>
      </c>
    </row>
    <row r="105">
      <c r="A105" s="76">
        <v>101.0</v>
      </c>
      <c r="B105" s="65" t="s">
        <v>1638</v>
      </c>
      <c r="C105" s="65">
        <v>57125.0</v>
      </c>
      <c r="D105" s="65" t="s">
        <v>246</v>
      </c>
      <c r="E105" s="79"/>
      <c r="F105" s="25"/>
      <c r="G105" s="16"/>
      <c r="H105" s="78">
        <v>300.0</v>
      </c>
      <c r="I105" s="18"/>
      <c r="J105" s="68"/>
      <c r="K105" s="20"/>
      <c r="L105" s="57">
        <v>300.0</v>
      </c>
      <c r="M105" s="22">
        <f t="shared" si="1"/>
        <v>0</v>
      </c>
    </row>
    <row r="106">
      <c r="A106" s="76">
        <v>102.0</v>
      </c>
      <c r="B106" s="65" t="s">
        <v>1639</v>
      </c>
      <c r="C106" s="65">
        <v>50148.0</v>
      </c>
      <c r="D106" s="65" t="s">
        <v>355</v>
      </c>
      <c r="E106" s="79"/>
      <c r="F106" s="25"/>
      <c r="G106" s="16"/>
      <c r="H106" s="78">
        <v>350.0</v>
      </c>
      <c r="I106" s="18"/>
      <c r="J106" s="68"/>
      <c r="K106" s="20"/>
      <c r="L106" s="57">
        <v>350.0</v>
      </c>
      <c r="M106" s="22">
        <f t="shared" si="1"/>
        <v>0</v>
      </c>
    </row>
    <row r="107">
      <c r="A107" s="76">
        <v>103.0</v>
      </c>
      <c r="B107" s="65" t="s">
        <v>1640</v>
      </c>
      <c r="C107" s="65">
        <v>52756.0</v>
      </c>
      <c r="D107" s="65" t="s">
        <v>1641</v>
      </c>
      <c r="E107" s="79"/>
      <c r="F107" s="25">
        <v>1400.0</v>
      </c>
      <c r="G107" s="16"/>
      <c r="H107" s="78"/>
      <c r="I107" s="18"/>
      <c r="J107" s="68"/>
      <c r="K107" s="20"/>
      <c r="L107" s="57">
        <v>1400.0</v>
      </c>
      <c r="M107" s="22">
        <f t="shared" si="1"/>
        <v>0</v>
      </c>
    </row>
    <row r="108">
      <c r="A108" s="76">
        <v>104.0</v>
      </c>
      <c r="B108" s="65" t="s">
        <v>1642</v>
      </c>
      <c r="C108" s="65">
        <v>50148.0</v>
      </c>
      <c r="D108" s="65" t="s">
        <v>355</v>
      </c>
      <c r="E108" s="77"/>
      <c r="F108" s="25"/>
      <c r="G108" s="16"/>
      <c r="H108" s="78">
        <v>5050.0</v>
      </c>
      <c r="I108" s="18"/>
      <c r="J108" s="68"/>
      <c r="K108" s="20"/>
      <c r="L108" s="57">
        <v>5050.0</v>
      </c>
      <c r="M108" s="22">
        <f t="shared" si="1"/>
        <v>0</v>
      </c>
    </row>
    <row r="109">
      <c r="A109" s="76">
        <v>105.0</v>
      </c>
      <c r="B109" s="65" t="s">
        <v>1643</v>
      </c>
      <c r="C109" s="65">
        <v>10249.0</v>
      </c>
      <c r="D109" s="65" t="s">
        <v>367</v>
      </c>
      <c r="E109" s="79"/>
      <c r="F109" s="25"/>
      <c r="G109" s="16"/>
      <c r="H109" s="78"/>
      <c r="I109" s="18">
        <v>700.0</v>
      </c>
      <c r="J109" s="68"/>
      <c r="K109" s="20"/>
      <c r="L109" s="57">
        <v>700.0</v>
      </c>
      <c r="M109" s="22">
        <f t="shared" si="1"/>
        <v>0</v>
      </c>
    </row>
    <row r="110">
      <c r="A110" s="76">
        <v>106.0</v>
      </c>
      <c r="B110" s="65" t="s">
        <v>1644</v>
      </c>
      <c r="C110" s="65">
        <v>47179.0</v>
      </c>
      <c r="D110" s="65" t="s">
        <v>447</v>
      </c>
      <c r="E110" s="79"/>
      <c r="F110" s="25"/>
      <c r="G110" s="16"/>
      <c r="H110" s="78">
        <v>0.0</v>
      </c>
      <c r="I110" s="18"/>
      <c r="J110" s="68"/>
      <c r="K110" s="20"/>
      <c r="L110" s="57">
        <v>300.0</v>
      </c>
      <c r="M110" s="22">
        <f t="shared" si="1"/>
        <v>-300</v>
      </c>
    </row>
    <row r="111">
      <c r="A111" s="76">
        <v>107.0</v>
      </c>
      <c r="B111" s="65" t="s">
        <v>1645</v>
      </c>
      <c r="C111" s="65">
        <v>50538.0</v>
      </c>
      <c r="D111" s="65" t="s">
        <v>680</v>
      </c>
      <c r="E111" s="77"/>
      <c r="F111" s="25"/>
      <c r="G111" s="16"/>
      <c r="H111" s="78">
        <v>850.0</v>
      </c>
      <c r="I111" s="18"/>
      <c r="J111" s="70"/>
      <c r="K111" s="20"/>
      <c r="L111" s="57">
        <v>850.0</v>
      </c>
      <c r="M111" s="22">
        <f t="shared" si="1"/>
        <v>0</v>
      </c>
    </row>
    <row r="112">
      <c r="A112" s="76">
        <v>108.0</v>
      </c>
      <c r="B112" s="65" t="s">
        <v>1646</v>
      </c>
      <c r="C112" s="65">
        <v>48052.0</v>
      </c>
      <c r="D112" s="65" t="s">
        <v>309</v>
      </c>
      <c r="E112" s="79"/>
      <c r="F112" s="25"/>
      <c r="G112" s="16"/>
      <c r="H112" s="78">
        <v>700.0</v>
      </c>
      <c r="I112" s="18"/>
      <c r="J112" s="70"/>
      <c r="K112" s="20"/>
      <c r="L112" s="57">
        <v>700.0</v>
      </c>
      <c r="M112" s="22">
        <f t="shared" si="1"/>
        <v>0</v>
      </c>
    </row>
    <row r="113">
      <c r="A113" s="76">
        <v>109.0</v>
      </c>
      <c r="B113" s="65" t="s">
        <v>1647</v>
      </c>
      <c r="C113" s="65">
        <v>49947.0</v>
      </c>
      <c r="D113" s="65" t="s">
        <v>1648</v>
      </c>
      <c r="E113" s="79"/>
      <c r="F113" s="25"/>
      <c r="G113" s="16"/>
      <c r="H113" s="78">
        <v>456.0</v>
      </c>
      <c r="I113" s="18"/>
      <c r="J113" s="68"/>
      <c r="K113" s="20"/>
      <c r="L113" s="57">
        <v>456.0</v>
      </c>
      <c r="M113" s="22">
        <f t="shared" si="1"/>
        <v>0</v>
      </c>
    </row>
    <row r="114">
      <c r="A114" s="76">
        <v>110.0</v>
      </c>
      <c r="B114" s="65" t="s">
        <v>1649</v>
      </c>
      <c r="C114" s="65">
        <v>51205.0</v>
      </c>
      <c r="D114" s="65" t="s">
        <v>1650</v>
      </c>
      <c r="E114" s="79"/>
      <c r="F114" s="25"/>
      <c r="G114" s="16"/>
      <c r="H114" s="78">
        <v>3950.0</v>
      </c>
      <c r="I114" s="18"/>
      <c r="J114" s="68"/>
      <c r="K114" s="20"/>
      <c r="L114" s="57">
        <v>3950.0</v>
      </c>
      <c r="M114" s="22">
        <f t="shared" si="1"/>
        <v>0</v>
      </c>
    </row>
    <row r="115">
      <c r="A115" s="76">
        <v>111.0</v>
      </c>
      <c r="B115" s="65" t="s">
        <v>1651</v>
      </c>
      <c r="C115" s="65">
        <v>50313.0</v>
      </c>
      <c r="D115" s="65" t="s">
        <v>1652</v>
      </c>
      <c r="E115" s="79"/>
      <c r="F115" s="25"/>
      <c r="G115" s="16"/>
      <c r="H115" s="78">
        <v>5000.0</v>
      </c>
      <c r="I115" s="18"/>
      <c r="J115" s="68"/>
      <c r="K115" s="20"/>
      <c r="L115" s="57">
        <v>5000.0</v>
      </c>
      <c r="M115" s="22">
        <f t="shared" si="1"/>
        <v>0</v>
      </c>
    </row>
    <row r="116">
      <c r="A116" s="76">
        <v>112.0</v>
      </c>
      <c r="B116" s="65" t="s">
        <v>1653</v>
      </c>
      <c r="C116" s="65">
        <v>51017.0</v>
      </c>
      <c r="D116" s="65" t="s">
        <v>477</v>
      </c>
      <c r="E116" s="79"/>
      <c r="F116" s="25"/>
      <c r="G116" s="28">
        <v>7950.0</v>
      </c>
      <c r="H116" s="78"/>
      <c r="I116" s="18"/>
      <c r="J116" s="68"/>
      <c r="K116" s="20"/>
      <c r="L116" s="57">
        <v>7950.0</v>
      </c>
      <c r="M116" s="22">
        <f t="shared" si="1"/>
        <v>0</v>
      </c>
    </row>
    <row r="117">
      <c r="A117" s="76">
        <v>113.0</v>
      </c>
      <c r="B117" s="65" t="s">
        <v>1654</v>
      </c>
      <c r="C117" s="65">
        <v>51166.0</v>
      </c>
      <c r="D117" s="65" t="s">
        <v>168</v>
      </c>
      <c r="E117" s="79"/>
      <c r="F117" s="25"/>
      <c r="G117" s="28">
        <v>2500.0</v>
      </c>
      <c r="H117" s="78"/>
      <c r="I117" s="18"/>
      <c r="J117" s="68"/>
      <c r="K117" s="20"/>
      <c r="L117" s="57">
        <v>2500.0</v>
      </c>
      <c r="M117" s="22">
        <f t="shared" si="1"/>
        <v>0</v>
      </c>
    </row>
    <row r="118">
      <c r="A118" s="76">
        <v>114.0</v>
      </c>
      <c r="B118" s="65" t="s">
        <v>1655</v>
      </c>
      <c r="C118" s="65">
        <v>49655.0</v>
      </c>
      <c r="D118" s="65" t="s">
        <v>134</v>
      </c>
      <c r="E118" s="79"/>
      <c r="F118" s="25"/>
      <c r="G118" s="28">
        <v>11200.0</v>
      </c>
      <c r="H118" s="78"/>
      <c r="I118" s="18"/>
      <c r="J118" s="68"/>
      <c r="K118" s="20"/>
      <c r="L118" s="57">
        <v>11200.0</v>
      </c>
      <c r="M118" s="22">
        <f t="shared" si="1"/>
        <v>0</v>
      </c>
    </row>
    <row r="119">
      <c r="A119" s="76">
        <v>115.0</v>
      </c>
      <c r="B119" s="65" t="s">
        <v>1656</v>
      </c>
      <c r="C119" s="65">
        <v>37642.0</v>
      </c>
      <c r="D119" s="65" t="s">
        <v>570</v>
      </c>
      <c r="E119" s="79"/>
      <c r="F119" s="25"/>
      <c r="G119" s="28">
        <v>21400.0</v>
      </c>
      <c r="H119" s="78"/>
      <c r="I119" s="18"/>
      <c r="J119" s="68"/>
      <c r="K119" s="20"/>
      <c r="L119" s="57">
        <v>21400.0</v>
      </c>
      <c r="M119" s="22">
        <f t="shared" si="1"/>
        <v>0</v>
      </c>
    </row>
    <row r="120">
      <c r="A120" s="76">
        <v>116.0</v>
      </c>
      <c r="B120" s="65" t="s">
        <v>1657</v>
      </c>
      <c r="C120" s="65">
        <v>50436.0</v>
      </c>
      <c r="D120" s="65" t="s">
        <v>561</v>
      </c>
      <c r="E120" s="79"/>
      <c r="F120" s="25"/>
      <c r="G120" s="28">
        <v>1200.0</v>
      </c>
      <c r="H120" s="78"/>
      <c r="I120" s="18"/>
      <c r="J120" s="68"/>
      <c r="K120" s="20"/>
      <c r="L120" s="57">
        <v>1200.0</v>
      </c>
      <c r="M120" s="22">
        <f t="shared" si="1"/>
        <v>0</v>
      </c>
    </row>
    <row r="121">
      <c r="A121" s="76">
        <v>117.0</v>
      </c>
      <c r="B121" s="65" t="s">
        <v>1658</v>
      </c>
      <c r="C121" s="65">
        <v>55179.0</v>
      </c>
      <c r="D121" s="65" t="s">
        <v>203</v>
      </c>
      <c r="E121" s="79"/>
      <c r="F121" s="25"/>
      <c r="G121" s="28">
        <v>38350.0</v>
      </c>
      <c r="H121" s="78"/>
      <c r="I121" s="18"/>
      <c r="J121" s="68"/>
      <c r="K121" s="20"/>
      <c r="L121" s="57">
        <v>38350.0</v>
      </c>
      <c r="M121" s="22">
        <f t="shared" si="1"/>
        <v>0</v>
      </c>
    </row>
    <row r="122">
      <c r="A122" s="76">
        <v>118.0</v>
      </c>
      <c r="B122" s="65" t="s">
        <v>1659</v>
      </c>
      <c r="C122" s="65">
        <v>49953.0</v>
      </c>
      <c r="D122" s="65" t="s">
        <v>62</v>
      </c>
      <c r="E122" s="79"/>
      <c r="F122" s="25"/>
      <c r="G122" s="28">
        <v>6950.0</v>
      </c>
      <c r="H122" s="78"/>
      <c r="I122" s="18"/>
      <c r="J122" s="68"/>
      <c r="K122" s="20"/>
      <c r="L122" s="57">
        <v>6950.0</v>
      </c>
      <c r="M122" s="22">
        <f t="shared" si="1"/>
        <v>0</v>
      </c>
    </row>
    <row r="123">
      <c r="A123" s="76">
        <v>119.0</v>
      </c>
      <c r="B123" s="65" t="s">
        <v>1660</v>
      </c>
      <c r="C123" s="65">
        <v>50221.0</v>
      </c>
      <c r="D123" s="65" t="s">
        <v>864</v>
      </c>
      <c r="E123" s="79"/>
      <c r="F123" s="25"/>
      <c r="G123" s="28">
        <v>1400.0</v>
      </c>
      <c r="H123" s="78"/>
      <c r="I123" s="18"/>
      <c r="J123" s="68"/>
      <c r="K123" s="20"/>
      <c r="L123" s="57">
        <v>1400.0</v>
      </c>
      <c r="M123" s="22">
        <f t="shared" si="1"/>
        <v>0</v>
      </c>
    </row>
    <row r="124">
      <c r="A124" s="76">
        <v>120.0</v>
      </c>
      <c r="B124" s="65"/>
      <c r="C124" s="65"/>
      <c r="D124" s="65"/>
      <c r="E124" s="79"/>
      <c r="F124" s="25"/>
      <c r="G124" s="16"/>
      <c r="H124" s="78"/>
      <c r="I124" s="18"/>
      <c r="J124" s="68"/>
      <c r="K124" s="20"/>
      <c r="L124" s="57"/>
      <c r="M124" s="22">
        <f t="shared" si="1"/>
        <v>0</v>
      </c>
    </row>
    <row r="125">
      <c r="A125" s="30"/>
      <c r="B125" s="12"/>
      <c r="C125" s="12"/>
      <c r="D125" s="73"/>
      <c r="E125" s="32">
        <f t="shared" ref="E125:L125" si="2">SUM(E5:E124)</f>
        <v>2390</v>
      </c>
      <c r="F125" s="32">
        <f t="shared" si="2"/>
        <v>68800</v>
      </c>
      <c r="G125" s="32">
        <f t="shared" si="2"/>
        <v>144061</v>
      </c>
      <c r="H125" s="32">
        <f t="shared" si="2"/>
        <v>521028</v>
      </c>
      <c r="I125" s="32">
        <f t="shared" si="2"/>
        <v>160618</v>
      </c>
      <c r="J125" s="32">
        <f t="shared" si="2"/>
        <v>29500</v>
      </c>
      <c r="K125" s="32">
        <f t="shared" si="2"/>
        <v>0</v>
      </c>
      <c r="L125" s="32">
        <f t="shared" si="2"/>
        <v>926697</v>
      </c>
      <c r="M125" s="22">
        <f t="shared" si="1"/>
        <v>-300</v>
      </c>
    </row>
    <row r="126">
      <c r="A126" s="33"/>
      <c r="B126" s="63"/>
      <c r="C126" s="63"/>
      <c r="D126" s="74"/>
      <c r="E126" s="34">
        <f>E125+F125+G125+H125+I125+J125+K125</f>
        <v>926397</v>
      </c>
      <c r="F126" s="6"/>
      <c r="G126" s="6"/>
      <c r="H126" s="6"/>
      <c r="I126" s="6"/>
      <c r="J126" s="6"/>
      <c r="K126" s="7"/>
      <c r="L126" s="35"/>
      <c r="M126" s="33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  <c r="H130" s="55" t="s">
        <v>588</v>
      </c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  <row r="958">
      <c r="B958" s="64"/>
      <c r="C958" s="64"/>
      <c r="D958" s="75"/>
    </row>
    <row r="959">
      <c r="B959" s="64"/>
      <c r="C959" s="64"/>
      <c r="D959" s="75"/>
    </row>
    <row r="960">
      <c r="B960" s="64"/>
      <c r="C960" s="64"/>
      <c r="D960" s="75"/>
    </row>
    <row r="961">
      <c r="B961" s="64"/>
      <c r="C961" s="64"/>
      <c r="D961" s="75"/>
    </row>
    <row r="962">
      <c r="B962" s="64"/>
      <c r="C962" s="64"/>
      <c r="D962" s="75"/>
    </row>
    <row r="963">
      <c r="B963" s="64"/>
      <c r="C963" s="64"/>
      <c r="D963" s="75"/>
    </row>
    <row r="964">
      <c r="B964" s="64"/>
      <c r="C964" s="64"/>
      <c r="D964" s="75"/>
    </row>
    <row r="965">
      <c r="B965" s="64"/>
      <c r="C965" s="64"/>
      <c r="D965" s="75"/>
    </row>
    <row r="966">
      <c r="B966" s="64"/>
      <c r="C966" s="64"/>
      <c r="D966" s="75"/>
    </row>
    <row r="967">
      <c r="B967" s="64"/>
      <c r="C967" s="64"/>
      <c r="D967" s="75"/>
    </row>
    <row r="968">
      <c r="B968" s="64"/>
      <c r="C968" s="64"/>
      <c r="D968" s="75"/>
    </row>
    <row r="969">
      <c r="B969" s="64"/>
      <c r="C969" s="64"/>
      <c r="D969" s="75"/>
    </row>
    <row r="970">
      <c r="B970" s="64"/>
      <c r="C970" s="64"/>
      <c r="D970" s="75"/>
    </row>
    <row r="971">
      <c r="B971" s="64"/>
      <c r="C971" s="64"/>
      <c r="D971" s="75"/>
    </row>
    <row r="972">
      <c r="B972" s="64"/>
      <c r="C972" s="64"/>
      <c r="D972" s="75"/>
    </row>
    <row r="973">
      <c r="B973" s="64"/>
      <c r="C973" s="64"/>
      <c r="D973" s="75"/>
    </row>
    <row r="974">
      <c r="B974" s="64"/>
      <c r="C974" s="64"/>
      <c r="D974" s="75"/>
    </row>
    <row r="975">
      <c r="B975" s="64"/>
      <c r="C975" s="64"/>
      <c r="D975" s="75"/>
    </row>
    <row r="976">
      <c r="B976" s="64"/>
      <c r="C976" s="64"/>
      <c r="D976" s="75"/>
    </row>
    <row r="977">
      <c r="B977" s="64"/>
      <c r="C977" s="64"/>
      <c r="D977" s="75"/>
    </row>
    <row r="978">
      <c r="B978" s="64"/>
      <c r="C978" s="64"/>
      <c r="D978" s="75"/>
    </row>
    <row r="979">
      <c r="B979" s="64"/>
      <c r="C979" s="64"/>
      <c r="D979" s="75"/>
    </row>
    <row r="980">
      <c r="B980" s="64"/>
      <c r="C980" s="64"/>
      <c r="D980" s="75"/>
    </row>
    <row r="981">
      <c r="B981" s="64"/>
      <c r="C981" s="64"/>
      <c r="D981" s="75"/>
    </row>
    <row r="982">
      <c r="B982" s="64"/>
      <c r="C982" s="64"/>
      <c r="D982" s="75"/>
    </row>
    <row r="983">
      <c r="B983" s="64"/>
      <c r="C983" s="64"/>
      <c r="D983" s="75"/>
    </row>
    <row r="984">
      <c r="B984" s="64"/>
      <c r="C984" s="64"/>
      <c r="D984" s="75"/>
    </row>
    <row r="985">
      <c r="B985" s="64"/>
      <c r="C985" s="64"/>
      <c r="D985" s="75"/>
    </row>
    <row r="986">
      <c r="B986" s="64"/>
      <c r="C986" s="64"/>
      <c r="D986" s="75"/>
    </row>
    <row r="987">
      <c r="B987" s="64"/>
      <c r="C987" s="64"/>
      <c r="D987" s="75"/>
    </row>
    <row r="988">
      <c r="B988" s="64"/>
      <c r="C988" s="64"/>
      <c r="D988" s="75"/>
    </row>
    <row r="989">
      <c r="B989" s="64"/>
      <c r="C989" s="64"/>
      <c r="D989" s="75"/>
    </row>
    <row r="990">
      <c r="B990" s="64"/>
      <c r="C990" s="64"/>
      <c r="D990" s="75"/>
    </row>
    <row r="991">
      <c r="B991" s="64"/>
      <c r="C991" s="64"/>
      <c r="D991" s="75"/>
    </row>
    <row r="992">
      <c r="B992" s="64"/>
      <c r="C992" s="64"/>
      <c r="D992" s="75"/>
    </row>
    <row r="993">
      <c r="B993" s="64"/>
      <c r="C993" s="64"/>
      <c r="D993" s="75"/>
    </row>
    <row r="994">
      <c r="B994" s="64"/>
      <c r="C994" s="64"/>
      <c r="D994" s="75"/>
    </row>
    <row r="995">
      <c r="B995" s="64"/>
      <c r="C995" s="64"/>
      <c r="D995" s="75"/>
    </row>
    <row r="996">
      <c r="B996" s="64"/>
      <c r="C996" s="64"/>
      <c r="D996" s="75"/>
    </row>
    <row r="997">
      <c r="B997" s="64"/>
      <c r="C997" s="64"/>
      <c r="D997" s="75"/>
    </row>
    <row r="998">
      <c r="B998" s="64"/>
      <c r="C998" s="64"/>
      <c r="D998" s="75"/>
    </row>
    <row r="999">
      <c r="B999" s="64"/>
      <c r="C999" s="64"/>
      <c r="D999" s="75"/>
    </row>
  </sheetData>
  <mergeCells count="14">
    <mergeCell ref="F3:G3"/>
    <mergeCell ref="H3:I3"/>
    <mergeCell ref="J3:J4"/>
    <mergeCell ref="K3:K4"/>
    <mergeCell ref="E126:K12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1661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13" t="s">
        <v>1662</v>
      </c>
      <c r="C5" s="13">
        <v>55362.0</v>
      </c>
      <c r="D5" s="13" t="s">
        <v>1663</v>
      </c>
      <c r="E5" s="79"/>
      <c r="F5" s="25"/>
      <c r="G5" s="16"/>
      <c r="H5" s="78"/>
      <c r="I5" s="18">
        <v>15000.0</v>
      </c>
      <c r="J5" s="68"/>
      <c r="K5" s="20"/>
      <c r="L5" s="80">
        <v>15000.0</v>
      </c>
      <c r="M5" s="22">
        <f t="shared" ref="M5:M96" si="1">SUM(E5+F5+G5+H5+I5+J5+K5-L5)</f>
        <v>0</v>
      </c>
    </row>
    <row r="6">
      <c r="A6" s="76">
        <v>2.0</v>
      </c>
      <c r="B6" s="13" t="s">
        <v>1664</v>
      </c>
      <c r="C6" s="13">
        <v>53634.0</v>
      </c>
      <c r="D6" s="13" t="s">
        <v>1285</v>
      </c>
      <c r="E6" s="79"/>
      <c r="F6" s="25"/>
      <c r="G6" s="16"/>
      <c r="H6" s="78"/>
      <c r="I6" s="18">
        <v>300.0</v>
      </c>
      <c r="J6" s="70"/>
      <c r="K6" s="20"/>
      <c r="L6" s="80">
        <v>300.0</v>
      </c>
      <c r="M6" s="22">
        <f t="shared" si="1"/>
        <v>0</v>
      </c>
      <c r="O6" s="55" t="s">
        <v>485</v>
      </c>
    </row>
    <row r="7">
      <c r="A7" s="76">
        <v>3.0</v>
      </c>
      <c r="B7" s="13" t="s">
        <v>1665</v>
      </c>
      <c r="C7" s="13">
        <v>50871.0</v>
      </c>
      <c r="D7" s="13" t="s">
        <v>48</v>
      </c>
      <c r="E7" s="79"/>
      <c r="F7" s="25"/>
      <c r="G7" s="16"/>
      <c r="H7" s="78">
        <v>41050.0</v>
      </c>
      <c r="I7" s="18"/>
      <c r="J7" s="68"/>
      <c r="K7" s="20"/>
      <c r="L7" s="80">
        <v>41050.0</v>
      </c>
      <c r="M7" s="22">
        <f t="shared" si="1"/>
        <v>0</v>
      </c>
    </row>
    <row r="8">
      <c r="A8" s="76">
        <v>4.0</v>
      </c>
      <c r="B8" s="13" t="s">
        <v>1666</v>
      </c>
      <c r="C8" s="13">
        <v>57440.0</v>
      </c>
      <c r="D8" s="13" t="s">
        <v>1667</v>
      </c>
      <c r="E8" s="77"/>
      <c r="F8" s="25"/>
      <c r="G8" s="16"/>
      <c r="H8" s="78">
        <v>300.0</v>
      </c>
      <c r="I8" s="18"/>
      <c r="J8" s="68"/>
      <c r="K8" s="20"/>
      <c r="L8" s="80">
        <v>300.0</v>
      </c>
      <c r="M8" s="22">
        <f t="shared" si="1"/>
        <v>0</v>
      </c>
    </row>
    <row r="9">
      <c r="A9" s="76">
        <v>5.0</v>
      </c>
      <c r="B9" s="13" t="s">
        <v>1668</v>
      </c>
      <c r="C9" s="13">
        <v>47574.0</v>
      </c>
      <c r="D9" s="13" t="s">
        <v>1307</v>
      </c>
      <c r="E9" s="77"/>
      <c r="F9" s="25"/>
      <c r="G9" s="16"/>
      <c r="H9" s="78">
        <v>350.0</v>
      </c>
      <c r="I9" s="18"/>
      <c r="J9" s="70"/>
      <c r="K9" s="20"/>
      <c r="L9" s="80">
        <v>350.0</v>
      </c>
      <c r="M9" s="22">
        <f t="shared" si="1"/>
        <v>0</v>
      </c>
    </row>
    <row r="10">
      <c r="A10" s="76">
        <v>6.0</v>
      </c>
      <c r="B10" s="13" t="s">
        <v>1669</v>
      </c>
      <c r="C10" s="13">
        <v>51782.0</v>
      </c>
      <c r="D10" s="13" t="s">
        <v>1394</v>
      </c>
      <c r="E10" s="79"/>
      <c r="F10" s="25"/>
      <c r="G10" s="16"/>
      <c r="H10" s="78"/>
      <c r="I10" s="18">
        <v>350.0</v>
      </c>
      <c r="J10" s="68"/>
      <c r="K10" s="20"/>
      <c r="L10" s="80">
        <v>350.0</v>
      </c>
      <c r="M10" s="22">
        <f t="shared" si="1"/>
        <v>0</v>
      </c>
    </row>
    <row r="11">
      <c r="A11" s="76">
        <v>7.0</v>
      </c>
      <c r="B11" s="13" t="s">
        <v>1670</v>
      </c>
      <c r="C11" s="13">
        <v>51264.0</v>
      </c>
      <c r="D11" s="13" t="s">
        <v>258</v>
      </c>
      <c r="E11" s="77"/>
      <c r="F11" s="25"/>
      <c r="G11" s="16"/>
      <c r="H11" s="78">
        <v>10000.0</v>
      </c>
      <c r="I11" s="18"/>
      <c r="J11" s="70"/>
      <c r="K11" s="20"/>
      <c r="L11" s="80">
        <v>10000.0</v>
      </c>
      <c r="M11" s="22">
        <f t="shared" si="1"/>
        <v>0</v>
      </c>
    </row>
    <row r="12">
      <c r="A12" s="76">
        <v>8.0</v>
      </c>
      <c r="B12" s="13" t="s">
        <v>1671</v>
      </c>
      <c r="C12" s="13">
        <v>50474.0</v>
      </c>
      <c r="D12" s="13" t="s">
        <v>740</v>
      </c>
      <c r="E12" s="77"/>
      <c r="F12" s="25"/>
      <c r="G12" s="16"/>
      <c r="H12" s="78">
        <v>10000.0</v>
      </c>
      <c r="I12" s="18"/>
      <c r="J12" s="68"/>
      <c r="K12" s="20"/>
      <c r="L12" s="80">
        <v>10000.0</v>
      </c>
      <c r="M12" s="22">
        <f t="shared" si="1"/>
        <v>0</v>
      </c>
    </row>
    <row r="13">
      <c r="A13" s="76">
        <v>9.0</v>
      </c>
      <c r="B13" s="13" t="s">
        <v>1672</v>
      </c>
      <c r="C13" s="13">
        <v>10250.0</v>
      </c>
      <c r="D13" s="13" t="s">
        <v>115</v>
      </c>
      <c r="E13" s="77"/>
      <c r="F13" s="25"/>
      <c r="G13" s="16"/>
      <c r="H13" s="78">
        <v>26500.0</v>
      </c>
      <c r="I13" s="18"/>
      <c r="J13" s="68"/>
      <c r="K13" s="20"/>
      <c r="L13" s="80">
        <v>26500.0</v>
      </c>
      <c r="M13" s="22">
        <f t="shared" si="1"/>
        <v>0</v>
      </c>
    </row>
    <row r="14">
      <c r="A14" s="76">
        <v>10.0</v>
      </c>
      <c r="B14" s="13" t="s">
        <v>1673</v>
      </c>
      <c r="C14" s="13">
        <v>55446.0</v>
      </c>
      <c r="D14" s="13" t="s">
        <v>336</v>
      </c>
      <c r="E14" s="77"/>
      <c r="F14" s="25">
        <v>5000.0</v>
      </c>
      <c r="G14" s="16"/>
      <c r="H14" s="78"/>
      <c r="I14" s="18"/>
      <c r="J14" s="68"/>
      <c r="K14" s="20"/>
      <c r="L14" s="80">
        <v>5000.0</v>
      </c>
      <c r="M14" s="22">
        <f t="shared" si="1"/>
        <v>0</v>
      </c>
    </row>
    <row r="15">
      <c r="A15" s="76">
        <v>11.0</v>
      </c>
      <c r="B15" s="13" t="s">
        <v>1674</v>
      </c>
      <c r="C15" s="13">
        <v>28414.0</v>
      </c>
      <c r="D15" s="13" t="s">
        <v>332</v>
      </c>
      <c r="E15" s="77"/>
      <c r="F15" s="25"/>
      <c r="G15" s="16"/>
      <c r="H15" s="78">
        <v>3900.0</v>
      </c>
      <c r="I15" s="18"/>
      <c r="J15" s="68"/>
      <c r="K15" s="20"/>
      <c r="L15" s="80">
        <v>3900.0</v>
      </c>
      <c r="M15" s="22">
        <f t="shared" si="1"/>
        <v>0</v>
      </c>
    </row>
    <row r="16">
      <c r="A16" s="76">
        <v>12.0</v>
      </c>
      <c r="B16" s="13" t="s">
        <v>1675</v>
      </c>
      <c r="C16" s="13">
        <v>57527.0</v>
      </c>
      <c r="D16" s="13" t="s">
        <v>1676</v>
      </c>
      <c r="E16" s="77"/>
      <c r="F16" s="25"/>
      <c r="G16" s="16"/>
      <c r="H16" s="78">
        <v>27000.0</v>
      </c>
      <c r="I16" s="18"/>
      <c r="J16" s="70"/>
      <c r="K16" s="20"/>
      <c r="L16" s="80">
        <v>27000.0</v>
      </c>
      <c r="M16" s="22">
        <f t="shared" si="1"/>
        <v>0</v>
      </c>
    </row>
    <row r="17">
      <c r="A17" s="76">
        <v>13.0</v>
      </c>
      <c r="B17" s="13" t="s">
        <v>1677</v>
      </c>
      <c r="C17" s="13">
        <v>45227.0</v>
      </c>
      <c r="D17" s="13" t="s">
        <v>233</v>
      </c>
      <c r="E17" s="79"/>
      <c r="F17" s="25"/>
      <c r="G17" s="16"/>
      <c r="H17" s="78">
        <v>1050.0</v>
      </c>
      <c r="I17" s="24"/>
      <c r="J17" s="68"/>
      <c r="K17" s="20"/>
      <c r="L17" s="80">
        <v>1050.0</v>
      </c>
      <c r="M17" s="22">
        <f t="shared" si="1"/>
        <v>0</v>
      </c>
    </row>
    <row r="18">
      <c r="A18" s="76">
        <v>14.0</v>
      </c>
      <c r="B18" s="13" t="s">
        <v>1678</v>
      </c>
      <c r="C18" s="13">
        <v>44168.0</v>
      </c>
      <c r="D18" s="13" t="s">
        <v>295</v>
      </c>
      <c r="E18" s="79"/>
      <c r="F18" s="25"/>
      <c r="G18" s="16"/>
      <c r="H18" s="78">
        <v>2333.0</v>
      </c>
      <c r="I18" s="18"/>
      <c r="J18" s="68"/>
      <c r="K18" s="20"/>
      <c r="L18" s="80">
        <v>2333.0</v>
      </c>
      <c r="M18" s="22">
        <f t="shared" si="1"/>
        <v>0</v>
      </c>
    </row>
    <row r="19">
      <c r="A19" s="76">
        <v>15.0</v>
      </c>
      <c r="B19" s="13" t="s">
        <v>1679</v>
      </c>
      <c r="C19" s="13">
        <v>36928.0</v>
      </c>
      <c r="D19" s="13" t="s">
        <v>360</v>
      </c>
      <c r="E19" s="79"/>
      <c r="F19" s="25"/>
      <c r="G19" s="16"/>
      <c r="H19" s="78"/>
      <c r="I19" s="18">
        <v>7600.0</v>
      </c>
      <c r="J19" s="68"/>
      <c r="K19" s="20"/>
      <c r="L19" s="80">
        <v>7600.0</v>
      </c>
      <c r="M19" s="22">
        <f t="shared" si="1"/>
        <v>0</v>
      </c>
    </row>
    <row r="20">
      <c r="A20" s="76">
        <v>16.0</v>
      </c>
      <c r="B20" s="13" t="s">
        <v>1680</v>
      </c>
      <c r="C20" s="13">
        <v>37964.0</v>
      </c>
      <c r="D20" s="13" t="s">
        <v>1681</v>
      </c>
      <c r="E20" s="77"/>
      <c r="F20" s="25"/>
      <c r="G20" s="16"/>
      <c r="H20" s="78"/>
      <c r="I20" s="18">
        <v>3600.0</v>
      </c>
      <c r="J20" s="68"/>
      <c r="K20" s="20"/>
      <c r="L20" s="80">
        <v>3600.0</v>
      </c>
      <c r="M20" s="22">
        <f t="shared" si="1"/>
        <v>0</v>
      </c>
    </row>
    <row r="21">
      <c r="A21" s="76">
        <v>17.0</v>
      </c>
      <c r="B21" s="13" t="s">
        <v>1682</v>
      </c>
      <c r="C21" s="13">
        <v>38576.0</v>
      </c>
      <c r="D21" s="13" t="s">
        <v>1683</v>
      </c>
      <c r="E21" s="77"/>
      <c r="F21" s="25"/>
      <c r="G21" s="16"/>
      <c r="H21" s="78"/>
      <c r="I21" s="18">
        <v>3600.0</v>
      </c>
      <c r="J21" s="68"/>
      <c r="K21" s="20"/>
      <c r="L21" s="80">
        <v>3600.0</v>
      </c>
      <c r="M21" s="22">
        <f t="shared" si="1"/>
        <v>0</v>
      </c>
    </row>
    <row r="22">
      <c r="A22" s="76">
        <v>18.0</v>
      </c>
      <c r="B22" s="13" t="s">
        <v>1684</v>
      </c>
      <c r="C22" s="13">
        <v>50474.0</v>
      </c>
      <c r="D22" s="13" t="s">
        <v>740</v>
      </c>
      <c r="E22" s="77"/>
      <c r="F22" s="25"/>
      <c r="G22" s="16"/>
      <c r="H22" s="78">
        <v>30000.0</v>
      </c>
      <c r="I22" s="18"/>
      <c r="J22" s="68"/>
      <c r="K22" s="20"/>
      <c r="L22" s="80">
        <v>30000.0</v>
      </c>
      <c r="M22" s="22">
        <f t="shared" si="1"/>
        <v>0</v>
      </c>
    </row>
    <row r="23">
      <c r="A23" s="76">
        <v>19.0</v>
      </c>
      <c r="B23" s="13" t="s">
        <v>1685</v>
      </c>
      <c r="C23" s="13">
        <v>52044.0</v>
      </c>
      <c r="D23" s="13" t="s">
        <v>1686</v>
      </c>
      <c r="E23" s="77"/>
      <c r="F23" s="25"/>
      <c r="G23" s="16"/>
      <c r="H23" s="78">
        <v>5150.0</v>
      </c>
      <c r="I23" s="18"/>
      <c r="J23" s="68"/>
      <c r="K23" s="20"/>
      <c r="L23" s="80">
        <v>5150.0</v>
      </c>
      <c r="M23" s="22">
        <f t="shared" si="1"/>
        <v>0</v>
      </c>
    </row>
    <row r="24">
      <c r="A24" s="76">
        <v>20.0</v>
      </c>
      <c r="B24" s="13" t="s">
        <v>1687</v>
      </c>
      <c r="C24" s="13">
        <v>35245.0</v>
      </c>
      <c r="D24" s="13" t="s">
        <v>330</v>
      </c>
      <c r="E24" s="77"/>
      <c r="F24" s="25"/>
      <c r="G24" s="16"/>
      <c r="H24" s="78">
        <v>350.0</v>
      </c>
      <c r="I24" s="18"/>
      <c r="J24" s="68"/>
      <c r="K24" s="20"/>
      <c r="L24" s="80">
        <v>350.0</v>
      </c>
      <c r="M24" s="22">
        <f t="shared" si="1"/>
        <v>0</v>
      </c>
    </row>
    <row r="25">
      <c r="A25" s="76">
        <v>21.0</v>
      </c>
      <c r="B25" s="13" t="s">
        <v>1688</v>
      </c>
      <c r="C25" s="13">
        <v>43349.0</v>
      </c>
      <c r="D25" s="13" t="s">
        <v>1689</v>
      </c>
      <c r="E25" s="77"/>
      <c r="F25" s="25"/>
      <c r="G25" s="16"/>
      <c r="H25" s="78">
        <v>10000.0</v>
      </c>
      <c r="I25" s="18"/>
      <c r="J25" s="68"/>
      <c r="K25" s="20"/>
      <c r="L25" s="80">
        <v>10000.0</v>
      </c>
      <c r="M25" s="22">
        <f t="shared" si="1"/>
        <v>0</v>
      </c>
    </row>
    <row r="26">
      <c r="A26" s="76">
        <v>22.0</v>
      </c>
      <c r="B26" s="13" t="s">
        <v>1690</v>
      </c>
      <c r="C26" s="13">
        <v>47126.0</v>
      </c>
      <c r="D26" s="13" t="s">
        <v>1691</v>
      </c>
      <c r="E26" s="77"/>
      <c r="F26" s="25"/>
      <c r="G26" s="16"/>
      <c r="H26" s="78"/>
      <c r="I26" s="18">
        <v>26250.0</v>
      </c>
      <c r="J26" s="70"/>
      <c r="K26" s="20"/>
      <c r="L26" s="80">
        <v>26250.0</v>
      </c>
      <c r="M26" s="22">
        <f t="shared" si="1"/>
        <v>0</v>
      </c>
    </row>
    <row r="27">
      <c r="A27" s="76">
        <v>23.0</v>
      </c>
      <c r="B27" s="13" t="s">
        <v>1692</v>
      </c>
      <c r="C27" s="13">
        <v>47252.0</v>
      </c>
      <c r="D27" s="13" t="s">
        <v>1693</v>
      </c>
      <c r="E27" s="77"/>
      <c r="F27" s="25"/>
      <c r="G27" s="16"/>
      <c r="H27" s="78"/>
      <c r="I27" s="18">
        <v>3600.0</v>
      </c>
      <c r="J27" s="68"/>
      <c r="K27" s="20"/>
      <c r="L27" s="80">
        <v>3600.0</v>
      </c>
      <c r="M27" s="22">
        <f t="shared" si="1"/>
        <v>0</v>
      </c>
    </row>
    <row r="28">
      <c r="A28" s="76">
        <v>24.0</v>
      </c>
      <c r="B28" s="13" t="s">
        <v>1694</v>
      </c>
      <c r="C28" s="13">
        <v>35449.0</v>
      </c>
      <c r="D28" s="13" t="s">
        <v>1695</v>
      </c>
      <c r="E28" s="77"/>
      <c r="F28" s="25"/>
      <c r="G28" s="16"/>
      <c r="H28" s="78"/>
      <c r="I28" s="18">
        <v>5000.0</v>
      </c>
      <c r="J28" s="68"/>
      <c r="K28" s="20"/>
      <c r="L28" s="80">
        <v>5000.0</v>
      </c>
      <c r="M28" s="22">
        <f t="shared" si="1"/>
        <v>0</v>
      </c>
    </row>
    <row r="29">
      <c r="A29" s="76">
        <v>25.0</v>
      </c>
      <c r="B29" s="13" t="s">
        <v>1696</v>
      </c>
      <c r="C29" s="13">
        <v>50408.0</v>
      </c>
      <c r="D29" s="13" t="s">
        <v>1697</v>
      </c>
      <c r="E29" s="77"/>
      <c r="F29" s="25"/>
      <c r="G29" s="16"/>
      <c r="H29" s="78"/>
      <c r="I29" s="18">
        <v>5000.0</v>
      </c>
      <c r="J29" s="70"/>
      <c r="K29" s="20"/>
      <c r="L29" s="80">
        <v>5000.0</v>
      </c>
      <c r="M29" s="22">
        <f t="shared" si="1"/>
        <v>0</v>
      </c>
    </row>
    <row r="30">
      <c r="A30" s="76">
        <v>26.0</v>
      </c>
      <c r="B30" s="13" t="s">
        <v>1698</v>
      </c>
      <c r="C30" s="13">
        <v>10001.0</v>
      </c>
      <c r="D30" s="13" t="s">
        <v>46</v>
      </c>
      <c r="E30" s="77"/>
      <c r="F30" s="25"/>
      <c r="G30" s="16"/>
      <c r="H30" s="78">
        <v>10000.0</v>
      </c>
      <c r="I30" s="18"/>
      <c r="J30" s="68"/>
      <c r="K30" s="20"/>
      <c r="L30" s="80">
        <v>10000.0</v>
      </c>
      <c r="M30" s="22">
        <f t="shared" si="1"/>
        <v>0</v>
      </c>
    </row>
    <row r="31">
      <c r="A31" s="76">
        <v>27.0</v>
      </c>
      <c r="B31" s="13" t="s">
        <v>1699</v>
      </c>
      <c r="C31" s="13">
        <v>47520.0</v>
      </c>
      <c r="D31" s="13" t="s">
        <v>1700</v>
      </c>
      <c r="E31" s="77"/>
      <c r="F31" s="25"/>
      <c r="G31" s="16"/>
      <c r="H31" s="78">
        <v>18000.0</v>
      </c>
      <c r="I31" s="18"/>
      <c r="J31" s="68"/>
      <c r="K31" s="20"/>
      <c r="L31" s="80">
        <v>18000.0</v>
      </c>
      <c r="M31" s="22">
        <f t="shared" si="1"/>
        <v>0</v>
      </c>
    </row>
    <row r="32">
      <c r="A32" s="76">
        <v>28.0</v>
      </c>
      <c r="B32" s="13" t="s">
        <v>1701</v>
      </c>
      <c r="C32" s="13">
        <v>10753.0</v>
      </c>
      <c r="D32" s="13" t="s">
        <v>1702</v>
      </c>
      <c r="E32" s="79">
        <v>240.0</v>
      </c>
      <c r="F32" s="25"/>
      <c r="G32" s="16"/>
      <c r="H32" s="78"/>
      <c r="I32" s="18"/>
      <c r="J32" s="70"/>
      <c r="K32" s="20"/>
      <c r="L32" s="80">
        <v>240.0</v>
      </c>
      <c r="M32" s="22">
        <f t="shared" si="1"/>
        <v>0</v>
      </c>
    </row>
    <row r="33">
      <c r="A33" s="76">
        <v>29.0</v>
      </c>
      <c r="B33" s="13" t="s">
        <v>1703</v>
      </c>
      <c r="C33" s="13">
        <v>22332.0</v>
      </c>
      <c r="D33" s="13" t="s">
        <v>78</v>
      </c>
      <c r="E33" s="77"/>
      <c r="F33" s="25"/>
      <c r="G33" s="16"/>
      <c r="H33" s="78">
        <v>3700.0</v>
      </c>
      <c r="I33" s="18"/>
      <c r="J33" s="68"/>
      <c r="K33" s="20"/>
      <c r="L33" s="80">
        <v>3700.0</v>
      </c>
      <c r="M33" s="22">
        <f t="shared" si="1"/>
        <v>0</v>
      </c>
    </row>
    <row r="34">
      <c r="A34" s="76">
        <v>30.0</v>
      </c>
      <c r="B34" s="13" t="s">
        <v>1704</v>
      </c>
      <c r="C34" s="13">
        <v>51797.0</v>
      </c>
      <c r="D34" s="13" t="s">
        <v>615</v>
      </c>
      <c r="E34" s="77"/>
      <c r="F34" s="25"/>
      <c r="G34" s="16"/>
      <c r="H34" s="78"/>
      <c r="I34" s="18">
        <v>6450.0</v>
      </c>
      <c r="J34" s="68"/>
      <c r="K34" s="20"/>
      <c r="L34" s="80">
        <v>6450.0</v>
      </c>
      <c r="M34" s="22">
        <f t="shared" si="1"/>
        <v>0</v>
      </c>
    </row>
    <row r="35">
      <c r="A35" s="76">
        <v>31.0</v>
      </c>
      <c r="B35" s="13" t="s">
        <v>1705</v>
      </c>
      <c r="C35" s="13">
        <v>51797.0</v>
      </c>
      <c r="D35" s="13" t="s">
        <v>615</v>
      </c>
      <c r="E35" s="77"/>
      <c r="F35" s="25"/>
      <c r="G35" s="16"/>
      <c r="H35" s="78"/>
      <c r="I35" s="18">
        <v>6450.0</v>
      </c>
      <c r="J35" s="68"/>
      <c r="K35" s="20"/>
      <c r="L35" s="80">
        <v>6450.0</v>
      </c>
      <c r="M35" s="22">
        <f t="shared" si="1"/>
        <v>0</v>
      </c>
    </row>
    <row r="36">
      <c r="A36" s="76">
        <v>32.0</v>
      </c>
      <c r="B36" s="13" t="s">
        <v>1706</v>
      </c>
      <c r="C36" s="13">
        <v>54317.0</v>
      </c>
      <c r="D36" s="13" t="s">
        <v>1707</v>
      </c>
      <c r="E36" s="79"/>
      <c r="F36" s="25"/>
      <c r="G36" s="16"/>
      <c r="H36" s="78">
        <v>10000.0</v>
      </c>
      <c r="I36" s="18"/>
      <c r="J36" s="70"/>
      <c r="K36" s="20"/>
      <c r="L36" s="80">
        <v>10000.0</v>
      </c>
      <c r="M36" s="22">
        <f t="shared" si="1"/>
        <v>0</v>
      </c>
    </row>
    <row r="37">
      <c r="A37" s="76">
        <v>33.0</v>
      </c>
      <c r="B37" s="13" t="s">
        <v>1708</v>
      </c>
      <c r="C37" s="13">
        <v>52032.0</v>
      </c>
      <c r="D37" s="13" t="s">
        <v>217</v>
      </c>
      <c r="E37" s="77"/>
      <c r="F37" s="25"/>
      <c r="G37" s="16"/>
      <c r="H37" s="78">
        <v>10000.0</v>
      </c>
      <c r="I37" s="18"/>
      <c r="J37" s="68"/>
      <c r="K37" s="20"/>
      <c r="L37" s="80">
        <v>10000.0</v>
      </c>
      <c r="M37" s="22">
        <f t="shared" si="1"/>
        <v>0</v>
      </c>
    </row>
    <row r="38">
      <c r="A38" s="76">
        <v>34.0</v>
      </c>
      <c r="B38" s="13" t="s">
        <v>1709</v>
      </c>
      <c r="C38" s="13">
        <v>21384.0</v>
      </c>
      <c r="D38" s="13" t="s">
        <v>151</v>
      </c>
      <c r="E38" s="77"/>
      <c r="F38" s="25"/>
      <c r="G38" s="16"/>
      <c r="H38" s="78">
        <v>600.0</v>
      </c>
      <c r="I38" s="18"/>
      <c r="J38" s="68"/>
      <c r="K38" s="20"/>
      <c r="L38" s="80">
        <v>600.0</v>
      </c>
      <c r="M38" s="22">
        <f t="shared" si="1"/>
        <v>0</v>
      </c>
    </row>
    <row r="39">
      <c r="A39" s="76">
        <v>35.0</v>
      </c>
      <c r="B39" s="13" t="s">
        <v>1710</v>
      </c>
      <c r="C39" s="13">
        <v>49655.0</v>
      </c>
      <c r="D39" s="13" t="s">
        <v>134</v>
      </c>
      <c r="E39" s="79"/>
      <c r="F39" s="25"/>
      <c r="G39" s="16"/>
      <c r="H39" s="78"/>
      <c r="I39" s="18">
        <v>1750.0</v>
      </c>
      <c r="J39" s="68"/>
      <c r="K39" s="20"/>
      <c r="L39" s="80">
        <v>1750.0</v>
      </c>
      <c r="M39" s="22">
        <f t="shared" si="1"/>
        <v>0</v>
      </c>
    </row>
    <row r="40">
      <c r="A40" s="76">
        <v>36.0</v>
      </c>
      <c r="B40" s="13" t="s">
        <v>1711</v>
      </c>
      <c r="C40" s="13">
        <v>49194.0</v>
      </c>
      <c r="D40" s="13" t="s">
        <v>343</v>
      </c>
      <c r="E40" s="79"/>
      <c r="F40" s="25"/>
      <c r="G40" s="16"/>
      <c r="H40" s="78">
        <v>300.0</v>
      </c>
      <c r="I40" s="18"/>
      <c r="J40" s="68"/>
      <c r="K40" s="20"/>
      <c r="L40" s="80">
        <v>300.0</v>
      </c>
      <c r="M40" s="22">
        <f t="shared" si="1"/>
        <v>0</v>
      </c>
    </row>
    <row r="41">
      <c r="A41" s="76">
        <v>37.0</v>
      </c>
      <c r="B41" s="13" t="s">
        <v>1712</v>
      </c>
      <c r="C41" s="13">
        <v>54280.0</v>
      </c>
      <c r="D41" s="13" t="s">
        <v>264</v>
      </c>
      <c r="E41" s="79"/>
      <c r="F41" s="25"/>
      <c r="G41" s="16"/>
      <c r="H41" s="78">
        <v>8500.0</v>
      </c>
      <c r="I41" s="18"/>
      <c r="J41" s="68"/>
      <c r="K41" s="20"/>
      <c r="L41" s="80">
        <v>8500.0</v>
      </c>
      <c r="M41" s="22">
        <f t="shared" si="1"/>
        <v>0</v>
      </c>
    </row>
    <row r="42">
      <c r="A42" s="76">
        <v>38.0</v>
      </c>
      <c r="B42" s="13" t="s">
        <v>1713</v>
      </c>
      <c r="C42" s="13">
        <v>43381.0</v>
      </c>
      <c r="D42" s="13" t="s">
        <v>97</v>
      </c>
      <c r="E42" s="79"/>
      <c r="F42" s="25"/>
      <c r="G42" s="16"/>
      <c r="H42" s="78">
        <v>10000.0</v>
      </c>
      <c r="J42" s="68"/>
      <c r="K42" s="20"/>
      <c r="L42" s="80">
        <v>10000.0</v>
      </c>
      <c r="M42" s="22">
        <f t="shared" si="1"/>
        <v>0</v>
      </c>
    </row>
    <row r="43">
      <c r="A43" s="76">
        <v>39.0</v>
      </c>
      <c r="B43" s="13" t="s">
        <v>1714</v>
      </c>
      <c r="C43" s="13">
        <v>48872.0</v>
      </c>
      <c r="D43" s="13" t="s">
        <v>1715</v>
      </c>
      <c r="E43" s="77"/>
      <c r="F43" s="25"/>
      <c r="G43" s="16"/>
      <c r="H43" s="78">
        <v>1250.0</v>
      </c>
      <c r="I43" s="18"/>
      <c r="J43" s="70"/>
      <c r="K43" s="20"/>
      <c r="L43" s="80">
        <v>1250.0</v>
      </c>
      <c r="M43" s="22">
        <f t="shared" si="1"/>
        <v>0</v>
      </c>
    </row>
    <row r="44">
      <c r="A44" s="76">
        <v>40.0</v>
      </c>
      <c r="B44" s="13" t="s">
        <v>1716</v>
      </c>
      <c r="C44" s="13">
        <v>50855.0</v>
      </c>
      <c r="D44" s="13" t="s">
        <v>1717</v>
      </c>
      <c r="E44" s="77"/>
      <c r="F44" s="25"/>
      <c r="G44" s="16"/>
      <c r="H44" s="78">
        <v>15000.0</v>
      </c>
      <c r="I44" s="18"/>
      <c r="J44" s="68"/>
      <c r="K44" s="20"/>
      <c r="L44" s="80">
        <v>15000.0</v>
      </c>
      <c r="M44" s="22">
        <f t="shared" si="1"/>
        <v>0</v>
      </c>
    </row>
    <row r="45">
      <c r="A45" s="76">
        <v>41.0</v>
      </c>
      <c r="B45" s="13" t="s">
        <v>1718</v>
      </c>
      <c r="C45" s="13">
        <v>53067.0</v>
      </c>
      <c r="D45" s="13" t="s">
        <v>1719</v>
      </c>
      <c r="E45" s="77"/>
      <c r="F45" s="25"/>
      <c r="G45" s="16"/>
      <c r="H45" s="78"/>
      <c r="I45" s="18">
        <v>1400.0</v>
      </c>
      <c r="J45" s="68"/>
      <c r="K45" s="20"/>
      <c r="L45" s="80">
        <v>1400.0</v>
      </c>
      <c r="M45" s="22">
        <f t="shared" si="1"/>
        <v>0</v>
      </c>
    </row>
    <row r="46">
      <c r="A46" s="76">
        <v>42.0</v>
      </c>
      <c r="B46" s="13" t="s">
        <v>1720</v>
      </c>
      <c r="C46" s="13">
        <v>31738.0</v>
      </c>
      <c r="D46" s="13" t="s">
        <v>277</v>
      </c>
      <c r="E46" s="79"/>
      <c r="F46" s="25"/>
      <c r="G46" s="16"/>
      <c r="H46" s="78">
        <v>5150.0</v>
      </c>
      <c r="I46" s="18"/>
      <c r="J46" s="68"/>
      <c r="K46" s="20"/>
      <c r="L46" s="80">
        <v>5150.0</v>
      </c>
      <c r="M46" s="22">
        <f t="shared" si="1"/>
        <v>0</v>
      </c>
    </row>
    <row r="47">
      <c r="A47" s="76">
        <v>43.0</v>
      </c>
      <c r="B47" s="13" t="s">
        <v>1721</v>
      </c>
      <c r="C47" s="13">
        <v>52669.0</v>
      </c>
      <c r="D47" s="13" t="s">
        <v>42</v>
      </c>
      <c r="E47" s="79"/>
      <c r="F47" s="25"/>
      <c r="G47" s="16"/>
      <c r="H47" s="78">
        <v>448.0</v>
      </c>
      <c r="I47" s="18"/>
      <c r="J47" s="70"/>
      <c r="K47" s="20"/>
      <c r="L47" s="80">
        <v>448.0</v>
      </c>
      <c r="M47" s="22">
        <f t="shared" si="1"/>
        <v>0</v>
      </c>
    </row>
    <row r="48">
      <c r="A48" s="76">
        <v>44.0</v>
      </c>
      <c r="B48" s="13" t="s">
        <v>1722</v>
      </c>
      <c r="C48" s="13">
        <v>50871.0</v>
      </c>
      <c r="D48" s="13" t="s">
        <v>48</v>
      </c>
      <c r="E48" s="79"/>
      <c r="F48" s="25"/>
      <c r="G48" s="16"/>
      <c r="H48" s="78"/>
      <c r="I48" s="18">
        <v>50200.0</v>
      </c>
      <c r="J48" s="68"/>
      <c r="K48" s="20"/>
      <c r="L48" s="80">
        <v>50200.0</v>
      </c>
      <c r="M48" s="22">
        <f t="shared" si="1"/>
        <v>0</v>
      </c>
    </row>
    <row r="49">
      <c r="A49" s="76">
        <v>45.0</v>
      </c>
      <c r="B49" s="13" t="s">
        <v>1723</v>
      </c>
      <c r="C49" s="13">
        <v>48631.0</v>
      </c>
      <c r="D49" s="13" t="s">
        <v>123</v>
      </c>
      <c r="E49" s="79"/>
      <c r="F49" s="25"/>
      <c r="G49" s="16"/>
      <c r="H49" s="78">
        <v>1300.0</v>
      </c>
      <c r="I49" s="18"/>
      <c r="J49" s="68"/>
      <c r="K49" s="20"/>
      <c r="L49" s="80">
        <v>1300.0</v>
      </c>
      <c r="M49" s="22">
        <f t="shared" si="1"/>
        <v>0</v>
      </c>
    </row>
    <row r="50">
      <c r="A50" s="76">
        <v>46.0</v>
      </c>
      <c r="B50" s="13" t="s">
        <v>1724</v>
      </c>
      <c r="C50" s="13">
        <v>46927.0</v>
      </c>
      <c r="D50" s="13" t="s">
        <v>1725</v>
      </c>
      <c r="E50" s="79"/>
      <c r="F50" s="25"/>
      <c r="G50" s="16"/>
      <c r="H50" s="78">
        <v>5150.0</v>
      </c>
      <c r="I50" s="18"/>
      <c r="J50" s="68"/>
      <c r="K50" s="20"/>
      <c r="L50" s="80">
        <v>5150.0</v>
      </c>
      <c r="M50" s="22">
        <f t="shared" si="1"/>
        <v>0</v>
      </c>
    </row>
    <row r="51">
      <c r="A51" s="76">
        <v>47.0</v>
      </c>
      <c r="B51" s="13" t="s">
        <v>1726</v>
      </c>
      <c r="C51" s="13">
        <v>55555.0</v>
      </c>
      <c r="D51" s="13" t="s">
        <v>281</v>
      </c>
      <c r="E51" s="79"/>
      <c r="F51" s="25"/>
      <c r="G51" s="16"/>
      <c r="H51" s="78">
        <v>900.0</v>
      </c>
      <c r="I51" s="18"/>
      <c r="J51" s="68"/>
      <c r="K51" s="20"/>
      <c r="L51" s="80">
        <v>900.0</v>
      </c>
      <c r="M51" s="22">
        <f t="shared" si="1"/>
        <v>0</v>
      </c>
    </row>
    <row r="52">
      <c r="A52" s="76">
        <v>48.0</v>
      </c>
      <c r="B52" s="13" t="s">
        <v>1727</v>
      </c>
      <c r="C52" s="13">
        <v>22727.0</v>
      </c>
      <c r="D52" s="13" t="s">
        <v>109</v>
      </c>
      <c r="E52" s="79"/>
      <c r="F52" s="25"/>
      <c r="G52" s="16"/>
      <c r="H52" s="78">
        <v>10000.0</v>
      </c>
      <c r="I52" s="18"/>
      <c r="J52" s="68"/>
      <c r="K52" s="20"/>
      <c r="L52" s="80">
        <v>10000.0</v>
      </c>
      <c r="M52" s="22">
        <f t="shared" si="1"/>
        <v>0</v>
      </c>
    </row>
    <row r="53">
      <c r="A53" s="76">
        <v>49.0</v>
      </c>
      <c r="B53" s="13" t="s">
        <v>1728</v>
      </c>
      <c r="C53" s="13">
        <v>43081.0</v>
      </c>
      <c r="D53" s="13" t="s">
        <v>1729</v>
      </c>
      <c r="E53" s="79"/>
      <c r="F53" s="25"/>
      <c r="G53" s="16"/>
      <c r="H53" s="78">
        <v>5000.0</v>
      </c>
      <c r="I53" s="18"/>
      <c r="J53" s="68"/>
      <c r="K53" s="20"/>
      <c r="L53" s="80">
        <v>5000.0</v>
      </c>
      <c r="M53" s="22">
        <f t="shared" si="1"/>
        <v>0</v>
      </c>
    </row>
    <row r="54">
      <c r="A54" s="76">
        <v>50.0</v>
      </c>
      <c r="B54" s="13" t="s">
        <v>1730</v>
      </c>
      <c r="C54" s="13">
        <v>47529.0</v>
      </c>
      <c r="D54" s="13" t="s">
        <v>1731</v>
      </c>
      <c r="E54" s="79"/>
      <c r="F54" s="25"/>
      <c r="G54" s="16"/>
      <c r="H54" s="78">
        <v>2650.0</v>
      </c>
      <c r="I54" s="18"/>
      <c r="J54" s="68"/>
      <c r="K54" s="20"/>
      <c r="L54" s="80">
        <v>2650.0</v>
      </c>
      <c r="M54" s="22">
        <f t="shared" si="1"/>
        <v>0</v>
      </c>
    </row>
    <row r="55">
      <c r="A55" s="76">
        <v>51.0</v>
      </c>
      <c r="B55" s="13" t="s">
        <v>1732</v>
      </c>
      <c r="C55" s="13">
        <v>10320.0</v>
      </c>
      <c r="D55" s="13" t="s">
        <v>84</v>
      </c>
      <c r="E55" s="79"/>
      <c r="F55" s="25"/>
      <c r="G55" s="16"/>
      <c r="H55" s="78">
        <v>3500.0</v>
      </c>
      <c r="I55" s="18"/>
      <c r="J55" s="68"/>
      <c r="K55" s="20"/>
      <c r="L55" s="80">
        <v>3500.0</v>
      </c>
      <c r="M55" s="22">
        <f t="shared" si="1"/>
        <v>0</v>
      </c>
    </row>
    <row r="56">
      <c r="A56" s="76">
        <v>52.0</v>
      </c>
      <c r="B56" s="13" t="s">
        <v>1733</v>
      </c>
      <c r="C56" s="13">
        <v>55555.0</v>
      </c>
      <c r="D56" s="13" t="s">
        <v>281</v>
      </c>
      <c r="E56" s="79"/>
      <c r="F56" s="25"/>
      <c r="G56" s="16"/>
      <c r="H56" s="78">
        <v>300.0</v>
      </c>
      <c r="I56" s="18"/>
      <c r="J56" s="68"/>
      <c r="K56" s="20"/>
      <c r="L56" s="80">
        <v>300.0</v>
      </c>
      <c r="M56" s="22">
        <f t="shared" si="1"/>
        <v>0</v>
      </c>
    </row>
    <row r="57">
      <c r="A57" s="76">
        <v>53.0</v>
      </c>
      <c r="B57" s="13" t="s">
        <v>1734</v>
      </c>
      <c r="C57" s="13">
        <v>20541.0</v>
      </c>
      <c r="D57" s="13" t="s">
        <v>298</v>
      </c>
      <c r="E57" s="79"/>
      <c r="F57" s="25"/>
      <c r="G57" s="16"/>
      <c r="H57" s="78">
        <v>172.0</v>
      </c>
      <c r="I57" s="18"/>
      <c r="J57" s="68"/>
      <c r="K57" s="20"/>
      <c r="L57" s="80">
        <v>172.0</v>
      </c>
      <c r="M57" s="22">
        <f t="shared" si="1"/>
        <v>0</v>
      </c>
    </row>
    <row r="58">
      <c r="A58" s="76">
        <v>54.0</v>
      </c>
      <c r="B58" s="13" t="s">
        <v>1735</v>
      </c>
      <c r="C58" s="13">
        <v>46778.0</v>
      </c>
      <c r="D58" s="13" t="s">
        <v>262</v>
      </c>
      <c r="E58" s="79"/>
      <c r="F58" s="25"/>
      <c r="G58" s="16"/>
      <c r="H58" s="78"/>
      <c r="I58" s="18">
        <v>6500.0</v>
      </c>
      <c r="J58" s="68"/>
      <c r="K58" s="20"/>
      <c r="L58" s="80">
        <v>6500.0</v>
      </c>
      <c r="M58" s="22">
        <f t="shared" si="1"/>
        <v>0</v>
      </c>
    </row>
    <row r="59">
      <c r="A59" s="76">
        <v>55.0</v>
      </c>
      <c r="B59" s="13" t="s">
        <v>1736</v>
      </c>
      <c r="C59" s="13">
        <v>51708.0</v>
      </c>
      <c r="D59" s="13" t="s">
        <v>1737</v>
      </c>
      <c r="E59" s="79"/>
      <c r="F59" s="25">
        <v>1250.0</v>
      </c>
      <c r="G59" s="16"/>
      <c r="H59" s="78"/>
      <c r="I59" s="18"/>
      <c r="J59" s="68"/>
      <c r="K59" s="20"/>
      <c r="L59" s="80">
        <v>1250.0</v>
      </c>
      <c r="M59" s="22">
        <f t="shared" si="1"/>
        <v>0</v>
      </c>
    </row>
    <row r="60">
      <c r="A60" s="76">
        <v>56.0</v>
      </c>
      <c r="B60" s="13" t="s">
        <v>1738</v>
      </c>
      <c r="C60" s="13">
        <v>50593.0</v>
      </c>
      <c r="D60" s="13" t="s">
        <v>288</v>
      </c>
      <c r="E60" s="79"/>
      <c r="F60" s="25"/>
      <c r="G60" s="16"/>
      <c r="H60" s="78">
        <v>650.0</v>
      </c>
      <c r="I60" s="18"/>
      <c r="J60" s="68"/>
      <c r="K60" s="20"/>
      <c r="L60" s="80">
        <v>650.0</v>
      </c>
      <c r="M60" s="22">
        <f t="shared" si="1"/>
        <v>0</v>
      </c>
    </row>
    <row r="61">
      <c r="A61" s="76">
        <v>57.0</v>
      </c>
      <c r="B61" s="13" t="s">
        <v>1739</v>
      </c>
      <c r="C61" s="13">
        <v>24751.0</v>
      </c>
      <c r="D61" s="13" t="s">
        <v>1279</v>
      </c>
      <c r="E61" s="79"/>
      <c r="F61" s="25"/>
      <c r="G61" s="16"/>
      <c r="H61" s="78">
        <v>2250.0</v>
      </c>
      <c r="I61" s="18"/>
      <c r="J61" s="68"/>
      <c r="K61" s="20"/>
      <c r="L61" s="80">
        <v>2250.0</v>
      </c>
      <c r="M61" s="22">
        <f t="shared" si="1"/>
        <v>0</v>
      </c>
    </row>
    <row r="62">
      <c r="A62" s="76">
        <v>58.0</v>
      </c>
      <c r="B62" s="13" t="s">
        <v>1740</v>
      </c>
      <c r="C62" s="13">
        <v>57145.0</v>
      </c>
      <c r="D62" s="13" t="s">
        <v>1741</v>
      </c>
      <c r="E62" s="79">
        <v>3600.0</v>
      </c>
      <c r="F62" s="25"/>
      <c r="G62" s="16"/>
      <c r="H62" s="78"/>
      <c r="I62" s="18"/>
      <c r="J62" s="68"/>
      <c r="K62" s="20"/>
      <c r="L62" s="80">
        <v>3600.0</v>
      </c>
      <c r="M62" s="22">
        <f t="shared" si="1"/>
        <v>0</v>
      </c>
    </row>
    <row r="63">
      <c r="A63" s="76">
        <v>59.0</v>
      </c>
      <c r="B63" s="13" t="s">
        <v>1742</v>
      </c>
      <c r="C63" s="13">
        <v>57558.0</v>
      </c>
      <c r="D63" s="13" t="s">
        <v>1743</v>
      </c>
      <c r="E63" s="79">
        <v>1200.0</v>
      </c>
      <c r="F63" s="25"/>
      <c r="G63" s="16"/>
      <c r="H63" s="78"/>
      <c r="I63" s="18"/>
      <c r="J63" s="68"/>
      <c r="K63" s="20"/>
      <c r="L63" s="80">
        <v>1200.0</v>
      </c>
      <c r="M63" s="22">
        <f t="shared" si="1"/>
        <v>0</v>
      </c>
    </row>
    <row r="64">
      <c r="A64" s="76">
        <v>60.0</v>
      </c>
      <c r="B64" s="13" t="s">
        <v>1744</v>
      </c>
      <c r="C64" s="13">
        <v>58108.0</v>
      </c>
      <c r="D64" s="13" t="s">
        <v>1745</v>
      </c>
      <c r="E64" s="79">
        <v>2400.0</v>
      </c>
      <c r="F64" s="25"/>
      <c r="G64" s="16"/>
      <c r="H64" s="78"/>
      <c r="I64" s="18"/>
      <c r="J64" s="68"/>
      <c r="K64" s="20"/>
      <c r="L64" s="80">
        <v>2400.0</v>
      </c>
      <c r="M64" s="22">
        <f t="shared" si="1"/>
        <v>0</v>
      </c>
    </row>
    <row r="65">
      <c r="A65" s="76">
        <v>61.0</v>
      </c>
      <c r="B65" s="13" t="s">
        <v>1746</v>
      </c>
      <c r="C65" s="13">
        <v>52576.0</v>
      </c>
      <c r="D65" s="13" t="s">
        <v>149</v>
      </c>
      <c r="E65" s="79"/>
      <c r="F65" s="25"/>
      <c r="G65" s="16"/>
      <c r="H65" s="78">
        <v>10000.0</v>
      </c>
      <c r="I65" s="18"/>
      <c r="J65" s="68"/>
      <c r="K65" s="20"/>
      <c r="L65" s="80">
        <v>10000.0</v>
      </c>
      <c r="M65" s="22">
        <f t="shared" si="1"/>
        <v>0</v>
      </c>
    </row>
    <row r="66">
      <c r="A66" s="76">
        <v>62.0</v>
      </c>
      <c r="B66" s="13" t="s">
        <v>1747</v>
      </c>
      <c r="C66" s="13">
        <v>10095.0</v>
      </c>
      <c r="D66" s="13" t="s">
        <v>1748</v>
      </c>
      <c r="E66" s="79"/>
      <c r="F66" s="25"/>
      <c r="G66" s="16"/>
      <c r="H66" s="78"/>
      <c r="I66" s="18">
        <v>6450.0</v>
      </c>
      <c r="J66" s="68"/>
      <c r="K66" s="20"/>
      <c r="L66" s="80">
        <v>6450.0</v>
      </c>
      <c r="M66" s="22">
        <f t="shared" si="1"/>
        <v>0</v>
      </c>
    </row>
    <row r="67">
      <c r="A67" s="76">
        <v>63.0</v>
      </c>
      <c r="B67" s="13" t="s">
        <v>1749</v>
      </c>
      <c r="C67" s="13">
        <v>53043.0</v>
      </c>
      <c r="D67" s="13" t="s">
        <v>1750</v>
      </c>
      <c r="E67" s="79"/>
      <c r="F67" s="25"/>
      <c r="G67" s="16"/>
      <c r="H67" s="78">
        <v>27000.0</v>
      </c>
      <c r="I67" s="18"/>
      <c r="J67" s="68"/>
      <c r="K67" s="20"/>
      <c r="L67" s="80">
        <v>27000.0</v>
      </c>
      <c r="M67" s="22">
        <f t="shared" si="1"/>
        <v>0</v>
      </c>
    </row>
    <row r="68">
      <c r="A68" s="76">
        <v>64.0</v>
      </c>
      <c r="B68" s="13" t="s">
        <v>1751</v>
      </c>
      <c r="C68" s="13">
        <v>57189.0</v>
      </c>
      <c r="D68" s="13" t="s">
        <v>1752</v>
      </c>
      <c r="E68" s="79">
        <v>5000.0</v>
      </c>
      <c r="F68" s="25"/>
      <c r="G68" s="16"/>
      <c r="H68" s="78"/>
      <c r="I68" s="18"/>
      <c r="J68" s="68"/>
      <c r="K68" s="20"/>
      <c r="L68" s="80">
        <v>5000.0</v>
      </c>
      <c r="M68" s="22">
        <f t="shared" si="1"/>
        <v>0</v>
      </c>
    </row>
    <row r="69">
      <c r="A69" s="76">
        <v>65.0</v>
      </c>
      <c r="B69" s="13" t="s">
        <v>1753</v>
      </c>
      <c r="C69" s="13">
        <v>45874.0</v>
      </c>
      <c r="D69" s="13" t="s">
        <v>1754</v>
      </c>
      <c r="E69" s="79"/>
      <c r="F69" s="25"/>
      <c r="G69" s="16"/>
      <c r="H69" s="78">
        <v>300.0</v>
      </c>
      <c r="I69" s="18"/>
      <c r="J69" s="68"/>
      <c r="K69" s="20"/>
      <c r="L69" s="80">
        <v>300.0</v>
      </c>
      <c r="M69" s="22">
        <f t="shared" si="1"/>
        <v>0</v>
      </c>
    </row>
    <row r="70">
      <c r="A70" s="76">
        <v>66.0</v>
      </c>
      <c r="B70" s="13" t="s">
        <v>1755</v>
      </c>
      <c r="C70" s="13">
        <v>51512.0</v>
      </c>
      <c r="D70" s="13" t="s">
        <v>1756</v>
      </c>
      <c r="E70" s="79"/>
      <c r="F70" s="25"/>
      <c r="G70" s="16"/>
      <c r="H70" s="78"/>
      <c r="I70" s="18">
        <v>4560.0</v>
      </c>
      <c r="J70" s="68"/>
      <c r="K70" s="20"/>
      <c r="L70" s="80">
        <v>4560.0</v>
      </c>
      <c r="M70" s="22">
        <f t="shared" si="1"/>
        <v>0</v>
      </c>
    </row>
    <row r="71">
      <c r="A71" s="76">
        <v>67.0</v>
      </c>
      <c r="B71" s="13" t="s">
        <v>1757</v>
      </c>
      <c r="C71" s="13">
        <v>52373.0</v>
      </c>
      <c r="D71" s="13" t="s">
        <v>533</v>
      </c>
      <c r="E71" s="79"/>
      <c r="F71" s="25"/>
      <c r="G71" s="16"/>
      <c r="H71" s="78"/>
      <c r="I71" s="18">
        <v>10000.0</v>
      </c>
      <c r="J71" s="68"/>
      <c r="K71" s="20"/>
      <c r="L71" s="80">
        <v>10000.0</v>
      </c>
      <c r="M71" s="22">
        <f t="shared" si="1"/>
        <v>0</v>
      </c>
    </row>
    <row r="72">
      <c r="A72" s="76">
        <v>68.0</v>
      </c>
      <c r="B72" s="13" t="s">
        <v>1758</v>
      </c>
      <c r="C72" s="13">
        <v>51512.0</v>
      </c>
      <c r="D72" s="13" t="s">
        <v>1756</v>
      </c>
      <c r="E72" s="79"/>
      <c r="F72" s="25"/>
      <c r="G72" s="16"/>
      <c r="H72" s="78"/>
      <c r="I72" s="18">
        <v>5000.0</v>
      </c>
      <c r="J72" s="68"/>
      <c r="K72" s="20"/>
      <c r="L72" s="80">
        <v>5000.0</v>
      </c>
      <c r="M72" s="22">
        <f t="shared" si="1"/>
        <v>0</v>
      </c>
    </row>
    <row r="73">
      <c r="A73" s="76">
        <v>69.0</v>
      </c>
      <c r="B73" s="13" t="s">
        <v>1759</v>
      </c>
      <c r="C73" s="13">
        <v>53874.0</v>
      </c>
      <c r="D73" s="13" t="s">
        <v>1253</v>
      </c>
      <c r="E73" s="79"/>
      <c r="F73" s="25"/>
      <c r="G73" s="16"/>
      <c r="H73" s="78"/>
      <c r="I73" s="18">
        <v>2500.0</v>
      </c>
      <c r="J73" s="68"/>
      <c r="K73" s="20"/>
      <c r="L73" s="80">
        <v>2500.0</v>
      </c>
      <c r="M73" s="22">
        <f t="shared" si="1"/>
        <v>0</v>
      </c>
    </row>
    <row r="74">
      <c r="A74" s="76">
        <v>70.0</v>
      </c>
      <c r="B74" s="13" t="s">
        <v>1760</v>
      </c>
      <c r="C74" s="13">
        <v>51406.0</v>
      </c>
      <c r="D74" s="13" t="s">
        <v>128</v>
      </c>
      <c r="E74" s="79"/>
      <c r="F74" s="25"/>
      <c r="G74" s="16"/>
      <c r="H74" s="78"/>
      <c r="I74" s="18">
        <v>25000.0</v>
      </c>
      <c r="J74" s="68"/>
      <c r="K74" s="20"/>
      <c r="L74" s="80">
        <v>25000.0</v>
      </c>
      <c r="M74" s="22">
        <f t="shared" si="1"/>
        <v>0</v>
      </c>
    </row>
    <row r="75">
      <c r="A75" s="76">
        <v>71.0</v>
      </c>
      <c r="B75" s="13" t="s">
        <v>1761</v>
      </c>
      <c r="C75" s="13">
        <v>44168.0</v>
      </c>
      <c r="D75" s="13" t="s">
        <v>295</v>
      </c>
      <c r="E75" s="79"/>
      <c r="F75" s="25"/>
      <c r="G75" s="16"/>
      <c r="H75" s="78">
        <v>453.0</v>
      </c>
      <c r="I75" s="18"/>
      <c r="J75" s="68"/>
      <c r="K75" s="20"/>
      <c r="L75" s="80">
        <v>453.0</v>
      </c>
      <c r="M75" s="22">
        <f t="shared" si="1"/>
        <v>0</v>
      </c>
    </row>
    <row r="76">
      <c r="A76" s="76">
        <v>72.0</v>
      </c>
      <c r="B76" s="13" t="s">
        <v>1762</v>
      </c>
      <c r="C76" s="13">
        <v>47179.0</v>
      </c>
      <c r="D76" s="13" t="s">
        <v>447</v>
      </c>
      <c r="E76" s="79"/>
      <c r="F76" s="25"/>
      <c r="G76" s="16"/>
      <c r="H76" s="78">
        <v>350.0</v>
      </c>
      <c r="I76" s="18"/>
      <c r="J76" s="68"/>
      <c r="K76" s="20"/>
      <c r="L76" s="80">
        <v>350.0</v>
      </c>
      <c r="M76" s="22">
        <f t="shared" si="1"/>
        <v>0</v>
      </c>
    </row>
    <row r="77">
      <c r="A77" s="76">
        <v>73.0</v>
      </c>
      <c r="B77" s="13" t="s">
        <v>1763</v>
      </c>
      <c r="C77" s="13">
        <v>21818.0</v>
      </c>
      <c r="D77" s="13" t="s">
        <v>82</v>
      </c>
      <c r="E77" s="79"/>
      <c r="F77" s="25"/>
      <c r="G77" s="16"/>
      <c r="H77" s="78"/>
      <c r="I77" s="18"/>
      <c r="J77" s="70">
        <v>400.0</v>
      </c>
      <c r="K77" s="20"/>
      <c r="L77" s="80">
        <v>400.0</v>
      </c>
      <c r="M77" s="22">
        <f t="shared" si="1"/>
        <v>0</v>
      </c>
    </row>
    <row r="78">
      <c r="A78" s="76">
        <v>74.0</v>
      </c>
      <c r="B78" s="13" t="s">
        <v>1764</v>
      </c>
      <c r="C78" s="13">
        <v>50537.0</v>
      </c>
      <c r="D78" s="13" t="s">
        <v>1236</v>
      </c>
      <c r="E78" s="79">
        <v>3600.0</v>
      </c>
      <c r="F78" s="25">
        <v>500.0</v>
      </c>
      <c r="G78" s="16"/>
      <c r="H78" s="78"/>
      <c r="I78" s="18"/>
      <c r="J78" s="70"/>
      <c r="K78" s="20"/>
      <c r="L78" s="80">
        <v>4100.0</v>
      </c>
      <c r="M78" s="22">
        <f t="shared" si="1"/>
        <v>0</v>
      </c>
    </row>
    <row r="79">
      <c r="A79" s="76">
        <v>75.0</v>
      </c>
      <c r="B79" s="13" t="s">
        <v>1765</v>
      </c>
      <c r="C79" s="13">
        <v>58235.0</v>
      </c>
      <c r="D79" s="13" t="s">
        <v>1766</v>
      </c>
      <c r="E79" s="79"/>
      <c r="F79" s="25"/>
      <c r="G79" s="16"/>
      <c r="H79" s="78">
        <v>27000.0</v>
      </c>
      <c r="I79" s="18"/>
      <c r="J79" s="68"/>
      <c r="K79" s="20"/>
      <c r="L79" s="80">
        <v>27000.0</v>
      </c>
      <c r="M79" s="22">
        <f t="shared" si="1"/>
        <v>0</v>
      </c>
    </row>
    <row r="80">
      <c r="A80" s="76">
        <v>76.0</v>
      </c>
      <c r="B80" s="13" t="s">
        <v>1767</v>
      </c>
      <c r="C80" s="13">
        <v>58234.0</v>
      </c>
      <c r="D80" s="13" t="s">
        <v>1768</v>
      </c>
      <c r="E80" s="79"/>
      <c r="F80" s="25"/>
      <c r="G80" s="16"/>
      <c r="H80" s="78">
        <v>27000.0</v>
      </c>
      <c r="I80" s="18"/>
      <c r="J80" s="68"/>
      <c r="K80" s="20"/>
      <c r="L80" s="80">
        <v>27000.0</v>
      </c>
      <c r="M80" s="22">
        <f t="shared" si="1"/>
        <v>0</v>
      </c>
    </row>
    <row r="81">
      <c r="A81" s="76">
        <v>77.0</v>
      </c>
      <c r="B81" s="13" t="s">
        <v>1769</v>
      </c>
      <c r="C81" s="13">
        <v>21384.0</v>
      </c>
      <c r="D81" s="13" t="s">
        <v>151</v>
      </c>
      <c r="E81" s="79"/>
      <c r="F81" s="25">
        <v>57500.0</v>
      </c>
      <c r="G81" s="16"/>
      <c r="H81" s="78"/>
      <c r="I81" s="18"/>
      <c r="J81" s="68"/>
      <c r="K81" s="20"/>
      <c r="L81" s="80">
        <v>57500.0</v>
      </c>
      <c r="M81" s="22">
        <f t="shared" si="1"/>
        <v>0</v>
      </c>
    </row>
    <row r="82">
      <c r="A82" s="76">
        <v>78.0</v>
      </c>
      <c r="B82" s="13" t="s">
        <v>1770</v>
      </c>
      <c r="C82" s="13">
        <v>21384.0</v>
      </c>
      <c r="D82" s="13" t="s">
        <v>151</v>
      </c>
      <c r="E82" s="79"/>
      <c r="F82" s="25"/>
      <c r="G82" s="16"/>
      <c r="H82" s="78">
        <v>500.0</v>
      </c>
      <c r="I82" s="18"/>
      <c r="J82" s="68"/>
      <c r="K82" s="20"/>
      <c r="L82" s="80">
        <v>500.0</v>
      </c>
      <c r="M82" s="22">
        <f t="shared" si="1"/>
        <v>0</v>
      </c>
    </row>
    <row r="83">
      <c r="A83" s="76">
        <v>79.0</v>
      </c>
      <c r="B83" s="13" t="s">
        <v>1771</v>
      </c>
      <c r="C83" s="13">
        <v>52349.0</v>
      </c>
      <c r="D83" s="13" t="s">
        <v>1772</v>
      </c>
      <c r="E83" s="79"/>
      <c r="F83" s="25"/>
      <c r="G83" s="16"/>
      <c r="H83" s="78">
        <v>11250.0</v>
      </c>
      <c r="I83" s="18"/>
      <c r="J83" s="68"/>
      <c r="K83" s="20"/>
      <c r="L83" s="80">
        <v>11250.0</v>
      </c>
      <c r="M83" s="22">
        <f t="shared" si="1"/>
        <v>0</v>
      </c>
    </row>
    <row r="84">
      <c r="A84" s="76">
        <v>80.0</v>
      </c>
      <c r="B84" s="13" t="s">
        <v>1773</v>
      </c>
      <c r="C84" s="13">
        <v>21384.0</v>
      </c>
      <c r="D84" s="13" t="s">
        <v>151</v>
      </c>
      <c r="E84" s="79"/>
      <c r="F84" s="25"/>
      <c r="G84" s="16"/>
      <c r="H84" s="78">
        <v>7500.0</v>
      </c>
      <c r="I84" s="18"/>
      <c r="J84" s="70"/>
      <c r="K84" s="20"/>
      <c r="L84" s="80">
        <v>7500.0</v>
      </c>
      <c r="M84" s="22">
        <f t="shared" si="1"/>
        <v>0</v>
      </c>
    </row>
    <row r="85">
      <c r="A85" s="76">
        <v>81.0</v>
      </c>
      <c r="B85" s="13" t="s">
        <v>1774</v>
      </c>
      <c r="C85" s="13">
        <v>48631.0</v>
      </c>
      <c r="D85" s="13" t="s">
        <v>123</v>
      </c>
      <c r="E85" s="79"/>
      <c r="F85" s="25"/>
      <c r="G85" s="16"/>
      <c r="H85" s="78">
        <v>5000.0</v>
      </c>
      <c r="I85" s="18"/>
      <c r="J85" s="68"/>
      <c r="K85" s="20"/>
      <c r="L85" s="80">
        <v>5000.0</v>
      </c>
      <c r="M85" s="22">
        <f t="shared" si="1"/>
        <v>0</v>
      </c>
    </row>
    <row r="86">
      <c r="A86" s="76">
        <v>82.0</v>
      </c>
      <c r="B86" s="13" t="s">
        <v>1775</v>
      </c>
      <c r="C86" s="13">
        <v>21384.0</v>
      </c>
      <c r="D86" s="13" t="s">
        <v>151</v>
      </c>
      <c r="E86" s="79"/>
      <c r="F86" s="25"/>
      <c r="G86" s="16"/>
      <c r="H86" s="78">
        <v>12500.0</v>
      </c>
      <c r="I86" s="18"/>
      <c r="J86" s="70"/>
      <c r="K86" s="20"/>
      <c r="L86" s="80">
        <v>12500.0</v>
      </c>
      <c r="M86" s="22">
        <f t="shared" si="1"/>
        <v>0</v>
      </c>
    </row>
    <row r="87">
      <c r="A87" s="76">
        <v>83.0</v>
      </c>
      <c r="B87" s="13" t="s">
        <v>1776</v>
      </c>
      <c r="C87" s="13">
        <v>48631.0</v>
      </c>
      <c r="D87" s="13" t="s">
        <v>123</v>
      </c>
      <c r="E87" s="79"/>
      <c r="F87" s="25"/>
      <c r="G87" s="16"/>
      <c r="H87" s="78">
        <v>1250.0</v>
      </c>
      <c r="I87" s="18"/>
      <c r="J87" s="68"/>
      <c r="K87" s="20"/>
      <c r="L87" s="80">
        <v>1250.0</v>
      </c>
      <c r="M87" s="22">
        <f t="shared" si="1"/>
        <v>0</v>
      </c>
    </row>
    <row r="88">
      <c r="A88" s="76">
        <v>84.0</v>
      </c>
      <c r="B88" s="13" t="s">
        <v>1777</v>
      </c>
      <c r="C88" s="13">
        <v>56980.0</v>
      </c>
      <c r="D88" s="13" t="s">
        <v>767</v>
      </c>
      <c r="E88" s="79"/>
      <c r="F88" s="25"/>
      <c r="G88" s="16"/>
      <c r="H88" s="78">
        <v>4000.0</v>
      </c>
      <c r="I88" s="18"/>
      <c r="J88" s="68"/>
      <c r="K88" s="20"/>
      <c r="L88" s="80">
        <v>4000.0</v>
      </c>
      <c r="M88" s="22">
        <f t="shared" si="1"/>
        <v>0</v>
      </c>
    </row>
    <row r="89">
      <c r="A89" s="76">
        <v>85.0</v>
      </c>
      <c r="B89" s="13" t="s">
        <v>1778</v>
      </c>
      <c r="C89" s="13">
        <v>40433.0</v>
      </c>
      <c r="D89" s="13" t="s">
        <v>316</v>
      </c>
      <c r="E89" s="79"/>
      <c r="F89" s="25"/>
      <c r="G89" s="16"/>
      <c r="H89" s="78"/>
      <c r="I89" s="18">
        <v>15000.0</v>
      </c>
      <c r="J89" s="68"/>
      <c r="K89" s="20"/>
      <c r="L89" s="57">
        <v>15000.0</v>
      </c>
      <c r="M89" s="22">
        <f t="shared" si="1"/>
        <v>0</v>
      </c>
    </row>
    <row r="90">
      <c r="A90" s="76">
        <v>86.0</v>
      </c>
      <c r="B90" s="13" t="s">
        <v>1779</v>
      </c>
      <c r="C90" s="13">
        <v>57317.0</v>
      </c>
      <c r="D90" s="13" t="s">
        <v>1780</v>
      </c>
      <c r="E90" s="79"/>
      <c r="F90" s="25"/>
      <c r="G90" s="16"/>
      <c r="H90" s="78"/>
      <c r="I90" s="18">
        <v>2500.0</v>
      </c>
      <c r="J90" s="68"/>
      <c r="K90" s="20"/>
      <c r="L90" s="57">
        <v>2500.0</v>
      </c>
      <c r="M90" s="22">
        <f t="shared" si="1"/>
        <v>0</v>
      </c>
    </row>
    <row r="91">
      <c r="A91" s="76">
        <v>87.0</v>
      </c>
      <c r="B91" s="13" t="s">
        <v>1781</v>
      </c>
      <c r="C91" s="13">
        <v>49953.0</v>
      </c>
      <c r="D91" s="13" t="s">
        <v>62</v>
      </c>
      <c r="E91" s="79"/>
      <c r="F91" s="25"/>
      <c r="G91" s="28">
        <v>13500.0</v>
      </c>
      <c r="H91" s="78"/>
      <c r="I91" s="18"/>
      <c r="J91" s="68"/>
      <c r="K91" s="20"/>
      <c r="L91" s="80">
        <v>13500.0</v>
      </c>
      <c r="M91" s="22">
        <f t="shared" si="1"/>
        <v>0</v>
      </c>
    </row>
    <row r="92">
      <c r="A92" s="76">
        <v>88.0</v>
      </c>
      <c r="B92" s="13" t="s">
        <v>1782</v>
      </c>
      <c r="C92" s="13">
        <v>50593.0</v>
      </c>
      <c r="D92" s="13" t="s">
        <v>288</v>
      </c>
      <c r="E92" s="79"/>
      <c r="F92" s="25"/>
      <c r="G92" s="28">
        <v>125000.0</v>
      </c>
      <c r="H92" s="78"/>
      <c r="I92" s="18"/>
      <c r="J92" s="68"/>
      <c r="K92" s="20"/>
      <c r="L92" s="80">
        <v>125000.0</v>
      </c>
      <c r="M92" s="22">
        <f t="shared" si="1"/>
        <v>0</v>
      </c>
    </row>
    <row r="93">
      <c r="A93" s="76">
        <v>89.0</v>
      </c>
      <c r="B93" s="13" t="s">
        <v>1783</v>
      </c>
      <c r="C93" s="13">
        <v>12102.0</v>
      </c>
      <c r="D93" s="13" t="s">
        <v>113</v>
      </c>
      <c r="E93" s="79"/>
      <c r="F93" s="25"/>
      <c r="G93" s="28">
        <v>7192.0</v>
      </c>
      <c r="H93" s="78"/>
      <c r="I93" s="18"/>
      <c r="J93" s="68"/>
      <c r="K93" s="20"/>
      <c r="L93" s="80">
        <v>7192.0</v>
      </c>
      <c r="M93" s="22">
        <f t="shared" si="1"/>
        <v>0</v>
      </c>
    </row>
    <row r="94">
      <c r="A94" s="76">
        <v>90.0</v>
      </c>
      <c r="B94" s="13" t="s">
        <v>1784</v>
      </c>
      <c r="C94" s="13">
        <v>50070.0</v>
      </c>
      <c r="D94" s="13" t="s">
        <v>1785</v>
      </c>
      <c r="E94" s="79"/>
      <c r="F94" s="25"/>
      <c r="G94" s="28">
        <v>1250.0</v>
      </c>
      <c r="H94" s="78"/>
      <c r="I94" s="18"/>
      <c r="J94" s="68"/>
      <c r="K94" s="20"/>
      <c r="L94" s="80">
        <v>1250.0</v>
      </c>
      <c r="M94" s="22">
        <f t="shared" si="1"/>
        <v>0</v>
      </c>
    </row>
    <row r="95">
      <c r="A95" s="76">
        <v>91.0</v>
      </c>
      <c r="B95" s="13" t="s">
        <v>1786</v>
      </c>
      <c r="C95" s="13">
        <v>49918.0</v>
      </c>
      <c r="D95" s="13" t="s">
        <v>781</v>
      </c>
      <c r="E95" s="79"/>
      <c r="F95" s="25"/>
      <c r="G95" s="28">
        <v>1750.0</v>
      </c>
      <c r="H95" s="78"/>
      <c r="I95" s="18"/>
      <c r="J95" s="68"/>
      <c r="K95" s="20"/>
      <c r="L95" s="80">
        <v>1750.0</v>
      </c>
      <c r="M95" s="22">
        <f t="shared" si="1"/>
        <v>0</v>
      </c>
    </row>
    <row r="96">
      <c r="A96" s="30"/>
      <c r="B96" s="12"/>
      <c r="C96" s="12"/>
      <c r="D96" s="73"/>
      <c r="E96" s="32">
        <f t="shared" ref="E96:L96" si="2">SUM(E5:E95)</f>
        <v>16040</v>
      </c>
      <c r="F96" s="32">
        <f t="shared" si="2"/>
        <v>64250</v>
      </c>
      <c r="G96" s="32">
        <f t="shared" si="2"/>
        <v>148692</v>
      </c>
      <c r="H96" s="32">
        <f t="shared" si="2"/>
        <v>426906</v>
      </c>
      <c r="I96" s="32">
        <f t="shared" si="2"/>
        <v>214060</v>
      </c>
      <c r="J96" s="32">
        <f t="shared" si="2"/>
        <v>400</v>
      </c>
      <c r="K96" s="32">
        <f t="shared" si="2"/>
        <v>0</v>
      </c>
      <c r="L96" s="32">
        <f t="shared" si="2"/>
        <v>870348</v>
      </c>
      <c r="M96" s="22">
        <f t="shared" si="1"/>
        <v>0</v>
      </c>
    </row>
    <row r="97">
      <c r="A97" s="33"/>
      <c r="B97" s="63"/>
      <c r="C97" s="63"/>
      <c r="D97" s="74"/>
      <c r="E97" s="34">
        <f>E96+F96+G96+H96+I96+J96+K96</f>
        <v>870348</v>
      </c>
      <c r="F97" s="6"/>
      <c r="G97" s="6"/>
      <c r="H97" s="6"/>
      <c r="I97" s="6"/>
      <c r="J97" s="6"/>
      <c r="K97" s="7"/>
      <c r="L97" s="35"/>
      <c r="M97" s="33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  <c r="H101" s="55" t="s">
        <v>588</v>
      </c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  <row r="958">
      <c r="B958" s="64"/>
      <c r="C958" s="64"/>
      <c r="D958" s="75"/>
    </row>
    <row r="959">
      <c r="B959" s="64"/>
      <c r="C959" s="64"/>
      <c r="D959" s="75"/>
    </row>
    <row r="960">
      <c r="B960" s="64"/>
      <c r="C960" s="64"/>
      <c r="D960" s="75"/>
    </row>
    <row r="961">
      <c r="B961" s="64"/>
      <c r="C961" s="64"/>
      <c r="D961" s="75"/>
    </row>
    <row r="962">
      <c r="B962" s="64"/>
      <c r="C962" s="64"/>
      <c r="D962" s="75"/>
    </row>
    <row r="963">
      <c r="B963" s="64"/>
      <c r="C963" s="64"/>
      <c r="D963" s="75"/>
    </row>
    <row r="964">
      <c r="B964" s="64"/>
      <c r="C964" s="64"/>
      <c r="D964" s="75"/>
    </row>
    <row r="965">
      <c r="B965" s="64"/>
      <c r="C965" s="64"/>
      <c r="D965" s="75"/>
    </row>
    <row r="966">
      <c r="B966" s="64"/>
      <c r="C966" s="64"/>
      <c r="D966" s="75"/>
    </row>
    <row r="967">
      <c r="B967" s="64"/>
      <c r="C967" s="64"/>
      <c r="D967" s="75"/>
    </row>
    <row r="968">
      <c r="B968" s="64"/>
      <c r="C968" s="64"/>
      <c r="D968" s="75"/>
    </row>
    <row r="969">
      <c r="B969" s="64"/>
      <c r="C969" s="64"/>
      <c r="D969" s="75"/>
    </row>
    <row r="970">
      <c r="B970" s="64"/>
      <c r="C970" s="64"/>
      <c r="D970" s="75"/>
    </row>
  </sheetData>
  <mergeCells count="14">
    <mergeCell ref="F3:G3"/>
    <mergeCell ref="H3:I3"/>
    <mergeCell ref="J3:J4"/>
    <mergeCell ref="K3:K4"/>
    <mergeCell ref="E97:K9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1787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37" t="s">
        <v>1788</v>
      </c>
      <c r="C5" s="37">
        <v>50148.0</v>
      </c>
      <c r="D5" s="37" t="s">
        <v>355</v>
      </c>
      <c r="E5" s="38"/>
      <c r="F5" s="81"/>
      <c r="G5" s="82"/>
      <c r="H5" s="41"/>
      <c r="I5" s="83"/>
      <c r="J5" s="84"/>
      <c r="K5" s="42">
        <v>5200.0</v>
      </c>
      <c r="L5" s="45">
        <v>5200.0</v>
      </c>
      <c r="M5" s="22">
        <f t="shared" ref="M5:M96" si="1">SUM(E5+F5+G5+H5+I5+J5+K5-L5)</f>
        <v>0</v>
      </c>
    </row>
    <row r="6">
      <c r="A6" s="76">
        <v>2.0</v>
      </c>
      <c r="B6" s="37" t="s">
        <v>1789</v>
      </c>
      <c r="C6" s="37">
        <v>55409.0</v>
      </c>
      <c r="D6" s="37" t="s">
        <v>320</v>
      </c>
      <c r="E6" s="38">
        <v>300.0</v>
      </c>
      <c r="F6" s="81"/>
      <c r="G6" s="82"/>
      <c r="H6" s="41"/>
      <c r="I6" s="83"/>
      <c r="J6" s="85"/>
      <c r="K6" s="51"/>
      <c r="L6" s="45">
        <v>300.0</v>
      </c>
      <c r="M6" s="22">
        <f t="shared" si="1"/>
        <v>0</v>
      </c>
      <c r="O6" s="55" t="s">
        <v>485</v>
      </c>
    </row>
    <row r="7">
      <c r="A7" s="76">
        <v>3.0</v>
      </c>
      <c r="B7" s="37" t="s">
        <v>1790</v>
      </c>
      <c r="C7" s="37">
        <v>10001.0</v>
      </c>
      <c r="D7" s="37" t="s">
        <v>46</v>
      </c>
      <c r="E7" s="38">
        <v>200.0</v>
      </c>
      <c r="F7" s="81"/>
      <c r="G7" s="82"/>
      <c r="H7" s="41"/>
      <c r="I7" s="83"/>
      <c r="J7" s="84"/>
      <c r="K7" s="51"/>
      <c r="L7" s="45">
        <v>200.0</v>
      </c>
      <c r="M7" s="22">
        <f t="shared" si="1"/>
        <v>0</v>
      </c>
    </row>
    <row r="8">
      <c r="A8" s="76">
        <v>4.0</v>
      </c>
      <c r="B8" s="37" t="s">
        <v>1791</v>
      </c>
      <c r="C8" s="37">
        <v>55446.0</v>
      </c>
      <c r="D8" s="37" t="s">
        <v>336</v>
      </c>
      <c r="E8" s="46"/>
      <c r="F8" s="81"/>
      <c r="G8" s="82"/>
      <c r="H8" s="41">
        <v>9000.0</v>
      </c>
      <c r="I8" s="83"/>
      <c r="J8" s="84"/>
      <c r="K8" s="51"/>
      <c r="L8" s="45">
        <v>9000.0</v>
      </c>
      <c r="M8" s="22">
        <f t="shared" si="1"/>
        <v>0</v>
      </c>
    </row>
    <row r="9">
      <c r="A9" s="76">
        <v>5.0</v>
      </c>
      <c r="B9" s="37" t="s">
        <v>1792</v>
      </c>
      <c r="C9" s="37">
        <v>50436.0</v>
      </c>
      <c r="D9" s="37" t="s">
        <v>561</v>
      </c>
      <c r="E9" s="38">
        <v>10000.0</v>
      </c>
      <c r="F9" s="81"/>
      <c r="G9" s="82"/>
      <c r="H9" s="41">
        <v>5000.0</v>
      </c>
      <c r="I9" s="83"/>
      <c r="J9" s="85"/>
      <c r="K9" s="51"/>
      <c r="L9" s="45">
        <v>15000.0</v>
      </c>
      <c r="M9" s="22">
        <f t="shared" si="1"/>
        <v>0</v>
      </c>
    </row>
    <row r="10">
      <c r="A10" s="76">
        <v>6.0</v>
      </c>
      <c r="B10" s="37" t="s">
        <v>1793</v>
      </c>
      <c r="C10" s="37">
        <v>55409.0</v>
      </c>
      <c r="D10" s="37" t="s">
        <v>320</v>
      </c>
      <c r="E10" s="38">
        <v>300.0</v>
      </c>
      <c r="F10" s="81"/>
      <c r="G10" s="82"/>
      <c r="H10" s="41"/>
      <c r="I10" s="83"/>
      <c r="J10" s="84"/>
      <c r="K10" s="51"/>
      <c r="L10" s="45">
        <v>300.0</v>
      </c>
      <c r="M10" s="22">
        <f t="shared" si="1"/>
        <v>0</v>
      </c>
    </row>
    <row r="11">
      <c r="A11" s="76">
        <v>7.0</v>
      </c>
      <c r="B11" s="37" t="s">
        <v>1794</v>
      </c>
      <c r="C11" s="37">
        <v>58202.0</v>
      </c>
      <c r="D11" s="37" t="s">
        <v>1795</v>
      </c>
      <c r="E11" s="46"/>
      <c r="F11" s="81"/>
      <c r="G11" s="82"/>
      <c r="H11" s="41">
        <v>28500.0</v>
      </c>
      <c r="I11" s="83"/>
      <c r="J11" s="85"/>
      <c r="K11" s="51"/>
      <c r="L11" s="45">
        <v>28500.0</v>
      </c>
      <c r="M11" s="22">
        <f t="shared" si="1"/>
        <v>0</v>
      </c>
    </row>
    <row r="12">
      <c r="A12" s="76">
        <v>8.0</v>
      </c>
      <c r="B12" s="37" t="s">
        <v>1796</v>
      </c>
      <c r="C12" s="37">
        <v>50871.0</v>
      </c>
      <c r="D12" s="37" t="s">
        <v>48</v>
      </c>
      <c r="E12" s="46"/>
      <c r="F12" s="81"/>
      <c r="G12" s="82"/>
      <c r="H12" s="41">
        <v>41050.0</v>
      </c>
      <c r="I12" s="83"/>
      <c r="J12" s="84"/>
      <c r="K12" s="51"/>
      <c r="L12" s="45">
        <v>41050.0</v>
      </c>
      <c r="M12" s="22">
        <f t="shared" si="1"/>
        <v>0</v>
      </c>
    </row>
    <row r="13">
      <c r="A13" s="76">
        <v>9.0</v>
      </c>
      <c r="B13" s="37" t="s">
        <v>1797</v>
      </c>
      <c r="C13" s="37">
        <v>49864.0</v>
      </c>
      <c r="D13" s="37" t="s">
        <v>225</v>
      </c>
      <c r="E13" s="46"/>
      <c r="F13" s="81"/>
      <c r="G13" s="82"/>
      <c r="H13" s="41">
        <v>5150.0</v>
      </c>
      <c r="I13" s="83"/>
      <c r="J13" s="84"/>
      <c r="K13" s="51"/>
      <c r="L13" s="45">
        <v>5150.0</v>
      </c>
      <c r="M13" s="22">
        <f t="shared" si="1"/>
        <v>0</v>
      </c>
    </row>
    <row r="14">
      <c r="A14" s="76">
        <v>10.0</v>
      </c>
      <c r="B14" s="37" t="s">
        <v>1798</v>
      </c>
      <c r="C14" s="37">
        <v>51782.0</v>
      </c>
      <c r="D14" s="37" t="s">
        <v>1394</v>
      </c>
      <c r="E14" s="46"/>
      <c r="F14" s="81"/>
      <c r="G14" s="82"/>
      <c r="H14" s="41"/>
      <c r="I14" s="83">
        <v>350.0</v>
      </c>
      <c r="J14" s="84"/>
      <c r="K14" s="51"/>
      <c r="L14" s="45">
        <v>350.0</v>
      </c>
      <c r="M14" s="22">
        <f t="shared" si="1"/>
        <v>0</v>
      </c>
    </row>
    <row r="15">
      <c r="A15" s="76">
        <v>11.0</v>
      </c>
      <c r="B15" s="37" t="s">
        <v>1799</v>
      </c>
      <c r="C15" s="37">
        <v>56921.0</v>
      </c>
      <c r="D15" s="37" t="s">
        <v>1483</v>
      </c>
      <c r="E15" s="46"/>
      <c r="F15" s="81"/>
      <c r="G15" s="82"/>
      <c r="H15" s="41">
        <v>250.0</v>
      </c>
      <c r="I15" s="83"/>
      <c r="J15" s="85">
        <v>600.0</v>
      </c>
      <c r="K15" s="51"/>
      <c r="L15" s="45">
        <v>850.0</v>
      </c>
      <c r="M15" s="22">
        <f t="shared" si="1"/>
        <v>0</v>
      </c>
    </row>
    <row r="16">
      <c r="A16" s="76">
        <v>12.0</v>
      </c>
      <c r="B16" s="37" t="s">
        <v>1800</v>
      </c>
      <c r="C16" s="37">
        <v>55162.0</v>
      </c>
      <c r="D16" s="37" t="s">
        <v>256</v>
      </c>
      <c r="E16" s="46"/>
      <c r="F16" s="81"/>
      <c r="G16" s="82"/>
      <c r="H16" s="41"/>
      <c r="I16" s="83">
        <v>40000.0</v>
      </c>
      <c r="J16" s="85"/>
      <c r="K16" s="51"/>
      <c r="L16" s="45">
        <v>40000.0</v>
      </c>
      <c r="M16" s="22">
        <f t="shared" si="1"/>
        <v>0</v>
      </c>
    </row>
    <row r="17">
      <c r="A17" s="76">
        <v>13.0</v>
      </c>
      <c r="B17" s="37" t="s">
        <v>1801</v>
      </c>
      <c r="C17" s="37">
        <v>57351.0</v>
      </c>
      <c r="D17" s="37" t="s">
        <v>1503</v>
      </c>
      <c r="E17" s="38"/>
      <c r="F17" s="81"/>
      <c r="G17" s="82"/>
      <c r="H17" s="41"/>
      <c r="I17" s="83">
        <v>2650.0</v>
      </c>
      <c r="J17" s="84"/>
      <c r="K17" s="51"/>
      <c r="L17" s="45">
        <v>2650.0</v>
      </c>
      <c r="M17" s="22">
        <f t="shared" si="1"/>
        <v>0</v>
      </c>
    </row>
    <row r="18">
      <c r="A18" s="76">
        <v>14.0</v>
      </c>
      <c r="B18" s="37" t="s">
        <v>1802</v>
      </c>
      <c r="C18" s="37">
        <v>56847.0</v>
      </c>
      <c r="D18" s="37" t="s">
        <v>1803</v>
      </c>
      <c r="E18" s="38"/>
      <c r="F18" s="81"/>
      <c r="G18" s="82"/>
      <c r="H18" s="41"/>
      <c r="I18" s="83">
        <v>5150.0</v>
      </c>
      <c r="J18" s="84"/>
      <c r="K18" s="51"/>
      <c r="L18" s="45">
        <v>5150.0</v>
      </c>
      <c r="M18" s="22">
        <f t="shared" si="1"/>
        <v>0</v>
      </c>
    </row>
    <row r="19">
      <c r="A19" s="76">
        <v>15.0</v>
      </c>
      <c r="B19" s="37" t="s">
        <v>1804</v>
      </c>
      <c r="C19" s="37">
        <v>53455.0</v>
      </c>
      <c r="D19" s="37" t="s">
        <v>635</v>
      </c>
      <c r="E19" s="38"/>
      <c r="F19" s="81"/>
      <c r="G19" s="82"/>
      <c r="H19" s="41"/>
      <c r="I19" s="83">
        <v>2250.0</v>
      </c>
      <c r="J19" s="84"/>
      <c r="K19" s="51"/>
      <c r="L19" s="45">
        <v>2250.0</v>
      </c>
      <c r="M19" s="22">
        <f t="shared" si="1"/>
        <v>0</v>
      </c>
    </row>
    <row r="20">
      <c r="A20" s="76">
        <v>16.0</v>
      </c>
      <c r="B20" s="37" t="s">
        <v>1805</v>
      </c>
      <c r="C20" s="37">
        <v>52669.0</v>
      </c>
      <c r="D20" s="37" t="s">
        <v>42</v>
      </c>
      <c r="E20" s="46"/>
      <c r="F20" s="81"/>
      <c r="G20" s="82"/>
      <c r="H20" s="41">
        <v>1427.0</v>
      </c>
      <c r="I20" s="83"/>
      <c r="J20" s="84"/>
      <c r="K20" s="51"/>
      <c r="L20" s="45">
        <v>1427.0</v>
      </c>
      <c r="M20" s="22">
        <f t="shared" si="1"/>
        <v>0</v>
      </c>
    </row>
    <row r="21">
      <c r="A21" s="76">
        <v>17.0</v>
      </c>
      <c r="B21" s="37" t="s">
        <v>1806</v>
      </c>
      <c r="C21" s="37">
        <v>57991.0</v>
      </c>
      <c r="D21" s="37" t="s">
        <v>1029</v>
      </c>
      <c r="E21" s="46"/>
      <c r="F21" s="81">
        <v>1250.0</v>
      </c>
      <c r="G21" s="82"/>
      <c r="H21" s="41"/>
      <c r="I21" s="83"/>
      <c r="J21" s="84"/>
      <c r="K21" s="51"/>
      <c r="L21" s="45">
        <v>1250.0</v>
      </c>
      <c r="M21" s="22">
        <f t="shared" si="1"/>
        <v>0</v>
      </c>
    </row>
    <row r="22">
      <c r="A22" s="76">
        <v>18.0</v>
      </c>
      <c r="B22" s="37" t="s">
        <v>1807</v>
      </c>
      <c r="C22" s="37">
        <v>50593.0</v>
      </c>
      <c r="D22" s="37" t="s">
        <v>288</v>
      </c>
      <c r="E22" s="46"/>
      <c r="F22" s="81"/>
      <c r="G22" s="82"/>
      <c r="H22" s="41">
        <v>34500.0</v>
      </c>
      <c r="I22" s="83"/>
      <c r="J22" s="84"/>
      <c r="K22" s="51"/>
      <c r="L22" s="45">
        <v>34500.0</v>
      </c>
      <c r="M22" s="22">
        <f t="shared" si="1"/>
        <v>0</v>
      </c>
    </row>
    <row r="23">
      <c r="A23" s="76">
        <v>19.0</v>
      </c>
      <c r="B23" s="37" t="s">
        <v>1808</v>
      </c>
      <c r="C23" s="37">
        <v>53203.0</v>
      </c>
      <c r="D23" s="37" t="s">
        <v>136</v>
      </c>
      <c r="E23" s="46"/>
      <c r="F23" s="81"/>
      <c r="G23" s="82"/>
      <c r="H23" s="41"/>
      <c r="I23" s="83">
        <v>500.0</v>
      </c>
      <c r="J23" s="84"/>
      <c r="K23" s="51"/>
      <c r="L23" s="45">
        <v>500.0</v>
      </c>
      <c r="M23" s="22">
        <f t="shared" si="1"/>
        <v>0</v>
      </c>
    </row>
    <row r="24">
      <c r="A24" s="76">
        <v>20.0</v>
      </c>
      <c r="B24" s="37" t="s">
        <v>1809</v>
      </c>
      <c r="C24" s="37">
        <v>52195.0</v>
      </c>
      <c r="D24" s="37" t="s">
        <v>722</v>
      </c>
      <c r="E24" s="46"/>
      <c r="F24" s="81"/>
      <c r="G24" s="82"/>
      <c r="H24" s="41">
        <v>3350.0</v>
      </c>
      <c r="I24" s="83"/>
      <c r="J24" s="84"/>
      <c r="K24" s="51"/>
      <c r="L24" s="45">
        <v>3350.0</v>
      </c>
      <c r="M24" s="22">
        <f t="shared" si="1"/>
        <v>0</v>
      </c>
    </row>
    <row r="25">
      <c r="A25" s="76">
        <v>21.0</v>
      </c>
      <c r="B25" s="37" t="s">
        <v>1810</v>
      </c>
      <c r="C25" s="37">
        <v>22332.0</v>
      </c>
      <c r="D25" s="37" t="s">
        <v>78</v>
      </c>
      <c r="E25" s="46"/>
      <c r="F25" s="81"/>
      <c r="G25" s="82"/>
      <c r="H25" s="41">
        <v>1400.0</v>
      </c>
      <c r="I25" s="83"/>
      <c r="J25" s="84"/>
      <c r="K25" s="51"/>
      <c r="L25" s="45">
        <v>1400.0</v>
      </c>
      <c r="M25" s="22">
        <f t="shared" si="1"/>
        <v>0</v>
      </c>
    </row>
    <row r="26">
      <c r="A26" s="76">
        <v>22.0</v>
      </c>
      <c r="B26" s="37" t="s">
        <v>1811</v>
      </c>
      <c r="C26" s="37">
        <v>56387.0</v>
      </c>
      <c r="D26" s="37" t="s">
        <v>185</v>
      </c>
      <c r="E26" s="46"/>
      <c r="F26" s="81"/>
      <c r="G26" s="82"/>
      <c r="H26" s="41"/>
      <c r="I26" s="83">
        <v>45000.0</v>
      </c>
      <c r="J26" s="85"/>
      <c r="K26" s="51"/>
      <c r="L26" s="45">
        <v>45000.0</v>
      </c>
      <c r="M26" s="22">
        <f t="shared" si="1"/>
        <v>0</v>
      </c>
    </row>
    <row r="27">
      <c r="A27" s="76">
        <v>23.0</v>
      </c>
      <c r="B27" s="37" t="s">
        <v>1812</v>
      </c>
      <c r="C27" s="37">
        <v>54820.0</v>
      </c>
      <c r="D27" s="37" t="s">
        <v>198</v>
      </c>
      <c r="E27" s="46"/>
      <c r="F27" s="81"/>
      <c r="G27" s="82"/>
      <c r="H27" s="41"/>
      <c r="I27" s="83">
        <v>7650.0</v>
      </c>
      <c r="J27" s="84"/>
      <c r="K27" s="51"/>
      <c r="L27" s="45">
        <v>7650.0</v>
      </c>
      <c r="M27" s="22">
        <f t="shared" si="1"/>
        <v>0</v>
      </c>
    </row>
    <row r="28">
      <c r="A28" s="76">
        <v>24.0</v>
      </c>
      <c r="B28" s="37" t="s">
        <v>1813</v>
      </c>
      <c r="C28" s="37">
        <v>53249.0</v>
      </c>
      <c r="D28" s="37" t="s">
        <v>581</v>
      </c>
      <c r="E28" s="46"/>
      <c r="F28" s="81"/>
      <c r="G28" s="82"/>
      <c r="H28" s="41">
        <v>0.0</v>
      </c>
      <c r="I28" s="83"/>
      <c r="J28" s="84"/>
      <c r="K28" s="51"/>
      <c r="L28" s="45">
        <v>300.0</v>
      </c>
      <c r="M28" s="22">
        <f t="shared" si="1"/>
        <v>-300</v>
      </c>
    </row>
    <row r="29">
      <c r="A29" s="76">
        <v>25.0</v>
      </c>
      <c r="B29" s="37" t="s">
        <v>1814</v>
      </c>
      <c r="C29" s="37">
        <v>36784.0</v>
      </c>
      <c r="D29" s="37" t="s">
        <v>1815</v>
      </c>
      <c r="E29" s="46"/>
      <c r="F29" s="81"/>
      <c r="G29" s="82"/>
      <c r="H29" s="41">
        <v>2650.0</v>
      </c>
      <c r="I29" s="83"/>
      <c r="J29" s="85"/>
      <c r="K29" s="51"/>
      <c r="L29" s="45">
        <v>2650.0</v>
      </c>
      <c r="M29" s="22">
        <f t="shared" si="1"/>
        <v>0</v>
      </c>
    </row>
    <row r="30">
      <c r="A30" s="76">
        <v>26.0</v>
      </c>
      <c r="B30" s="37" t="s">
        <v>1816</v>
      </c>
      <c r="C30" s="37">
        <v>52615.0</v>
      </c>
      <c r="D30" s="37" t="s">
        <v>1817</v>
      </c>
      <c r="E30" s="46"/>
      <c r="F30" s="81"/>
      <c r="G30" s="82"/>
      <c r="H30" s="41"/>
      <c r="I30" s="83">
        <v>5000.0</v>
      </c>
      <c r="J30" s="84"/>
      <c r="K30" s="51"/>
      <c r="L30" s="45">
        <v>5000.0</v>
      </c>
      <c r="M30" s="22">
        <f t="shared" si="1"/>
        <v>0</v>
      </c>
    </row>
    <row r="31">
      <c r="A31" s="76">
        <v>27.0</v>
      </c>
      <c r="B31" s="37" t="s">
        <v>1818</v>
      </c>
      <c r="C31" s="37">
        <v>55905.0</v>
      </c>
      <c r="D31" s="37" t="s">
        <v>1819</v>
      </c>
      <c r="E31" s="46"/>
      <c r="F31" s="81"/>
      <c r="G31" s="82"/>
      <c r="H31" s="41"/>
      <c r="I31" s="83">
        <v>5000.0</v>
      </c>
      <c r="J31" s="84"/>
      <c r="K31" s="51"/>
      <c r="L31" s="45">
        <v>5000.0</v>
      </c>
      <c r="M31" s="22">
        <f t="shared" si="1"/>
        <v>0</v>
      </c>
    </row>
    <row r="32">
      <c r="A32" s="76">
        <v>28.0</v>
      </c>
      <c r="B32" s="37" t="s">
        <v>1820</v>
      </c>
      <c r="C32" s="37">
        <v>53487.0</v>
      </c>
      <c r="D32" s="37" t="s">
        <v>1821</v>
      </c>
      <c r="E32" s="38"/>
      <c r="F32" s="81"/>
      <c r="G32" s="82"/>
      <c r="H32" s="41"/>
      <c r="I32" s="83">
        <v>5000.0</v>
      </c>
      <c r="J32" s="85"/>
      <c r="K32" s="51"/>
      <c r="L32" s="45">
        <v>5000.0</v>
      </c>
      <c r="M32" s="22">
        <f t="shared" si="1"/>
        <v>0</v>
      </c>
    </row>
    <row r="33">
      <c r="A33" s="76">
        <v>29.0</v>
      </c>
      <c r="B33" s="37" t="s">
        <v>1822</v>
      </c>
      <c r="C33" s="37">
        <v>36555.0</v>
      </c>
      <c r="D33" s="37" t="s">
        <v>389</v>
      </c>
      <c r="E33" s="46"/>
      <c r="F33" s="81"/>
      <c r="G33" s="82"/>
      <c r="H33" s="41">
        <v>10000.0</v>
      </c>
      <c r="I33" s="83"/>
      <c r="J33" s="84"/>
      <c r="K33" s="51"/>
      <c r="L33" s="45">
        <v>10000.0</v>
      </c>
      <c r="M33" s="22">
        <f t="shared" si="1"/>
        <v>0</v>
      </c>
    </row>
    <row r="34">
      <c r="A34" s="76">
        <v>30.0</v>
      </c>
      <c r="B34" s="37" t="s">
        <v>1823</v>
      </c>
      <c r="C34" s="37">
        <v>50222.0</v>
      </c>
      <c r="D34" s="37" t="s">
        <v>504</v>
      </c>
      <c r="E34" s="46"/>
      <c r="F34" s="81"/>
      <c r="G34" s="82"/>
      <c r="H34" s="41">
        <v>850.0</v>
      </c>
      <c r="I34" s="83"/>
      <c r="J34" s="84"/>
      <c r="K34" s="51"/>
      <c r="L34" s="45">
        <v>850.0</v>
      </c>
      <c r="M34" s="22">
        <f t="shared" si="1"/>
        <v>0</v>
      </c>
    </row>
    <row r="35">
      <c r="A35" s="76">
        <v>31.0</v>
      </c>
      <c r="B35" s="37" t="s">
        <v>1824</v>
      </c>
      <c r="C35" s="37">
        <v>50148.0</v>
      </c>
      <c r="D35" s="37" t="s">
        <v>355</v>
      </c>
      <c r="E35" s="46"/>
      <c r="F35" s="81"/>
      <c r="G35" s="82"/>
      <c r="H35" s="41">
        <v>1170.0</v>
      </c>
      <c r="I35" s="83"/>
      <c r="J35" s="84"/>
      <c r="K35" s="51"/>
      <c r="L35" s="45">
        <v>1170.0</v>
      </c>
      <c r="M35" s="22">
        <f t="shared" si="1"/>
        <v>0</v>
      </c>
    </row>
    <row r="36">
      <c r="A36" s="76">
        <v>32.0</v>
      </c>
      <c r="B36" s="37" t="s">
        <v>1825</v>
      </c>
      <c r="C36" s="37">
        <v>43381.0</v>
      </c>
      <c r="D36" s="37" t="s">
        <v>97</v>
      </c>
      <c r="E36" s="38"/>
      <c r="F36" s="81"/>
      <c r="G36" s="82"/>
      <c r="H36" s="41">
        <v>15000.0</v>
      </c>
      <c r="I36" s="83"/>
      <c r="J36" s="85"/>
      <c r="K36" s="51"/>
      <c r="L36" s="45">
        <v>15000.0</v>
      </c>
      <c r="M36" s="22">
        <f t="shared" si="1"/>
        <v>0</v>
      </c>
    </row>
    <row r="37">
      <c r="A37" s="76">
        <v>33.0</v>
      </c>
      <c r="B37" s="37" t="s">
        <v>1826</v>
      </c>
      <c r="C37" s="37">
        <v>22332.0</v>
      </c>
      <c r="D37" s="37" t="s">
        <v>78</v>
      </c>
      <c r="E37" s="46"/>
      <c r="F37" s="81"/>
      <c r="G37" s="82"/>
      <c r="H37" s="41">
        <v>4110.0</v>
      </c>
      <c r="I37" s="83"/>
      <c r="J37" s="84"/>
      <c r="K37" s="51"/>
      <c r="L37" s="45">
        <v>4110.0</v>
      </c>
      <c r="M37" s="22">
        <f t="shared" si="1"/>
        <v>0</v>
      </c>
    </row>
    <row r="38">
      <c r="A38" s="76">
        <v>34.0</v>
      </c>
      <c r="B38" s="37" t="s">
        <v>1827</v>
      </c>
      <c r="C38" s="37">
        <v>50506.0</v>
      </c>
      <c r="D38" s="37" t="s">
        <v>1828</v>
      </c>
      <c r="E38" s="46"/>
      <c r="F38" s="81"/>
      <c r="G38" s="82"/>
      <c r="H38" s="41"/>
      <c r="I38" s="83">
        <v>5000.0</v>
      </c>
      <c r="J38" s="84"/>
      <c r="K38" s="51"/>
      <c r="L38" s="45">
        <v>5000.0</v>
      </c>
      <c r="M38" s="22">
        <f t="shared" si="1"/>
        <v>0</v>
      </c>
    </row>
    <row r="39">
      <c r="A39" s="76">
        <v>35.0</v>
      </c>
      <c r="B39" s="37" t="s">
        <v>1829</v>
      </c>
      <c r="C39" s="37">
        <v>50909.0</v>
      </c>
      <c r="D39" s="37" t="s">
        <v>1830</v>
      </c>
      <c r="E39" s="38"/>
      <c r="F39" s="81"/>
      <c r="G39" s="82"/>
      <c r="H39" s="41"/>
      <c r="I39" s="83">
        <v>6250.0</v>
      </c>
      <c r="J39" s="84"/>
      <c r="K39" s="51"/>
      <c r="L39" s="45">
        <v>6250.0</v>
      </c>
      <c r="M39" s="22">
        <f t="shared" si="1"/>
        <v>0</v>
      </c>
    </row>
    <row r="40">
      <c r="A40" s="76">
        <v>36.0</v>
      </c>
      <c r="B40" s="37" t="s">
        <v>1831</v>
      </c>
      <c r="C40" s="37">
        <v>50820.0</v>
      </c>
      <c r="D40" s="37" t="s">
        <v>1832</v>
      </c>
      <c r="E40" s="38"/>
      <c r="F40" s="81">
        <v>5000.0</v>
      </c>
      <c r="G40" s="82"/>
      <c r="H40" s="41"/>
      <c r="I40" s="83"/>
      <c r="J40" s="84"/>
      <c r="K40" s="51"/>
      <c r="L40" s="45">
        <v>5000.0</v>
      </c>
      <c r="M40" s="22">
        <f t="shared" si="1"/>
        <v>0</v>
      </c>
    </row>
    <row r="41">
      <c r="A41" s="76">
        <v>37.0</v>
      </c>
      <c r="B41" s="37" t="s">
        <v>1833</v>
      </c>
      <c r="C41" s="37">
        <v>46778.0</v>
      </c>
      <c r="D41" s="37" t="s">
        <v>262</v>
      </c>
      <c r="E41" s="38"/>
      <c r="F41" s="81"/>
      <c r="G41" s="82"/>
      <c r="H41" s="41"/>
      <c r="I41" s="83">
        <v>5400.0</v>
      </c>
      <c r="J41" s="84"/>
      <c r="K41" s="51"/>
      <c r="L41" s="45">
        <v>5400.0</v>
      </c>
      <c r="M41" s="22">
        <f t="shared" si="1"/>
        <v>0</v>
      </c>
    </row>
    <row r="42">
      <c r="A42" s="76">
        <v>38.0</v>
      </c>
      <c r="B42" s="37" t="s">
        <v>1834</v>
      </c>
      <c r="C42" s="37">
        <v>42071.0</v>
      </c>
      <c r="D42" s="37" t="s">
        <v>905</v>
      </c>
      <c r="E42" s="38"/>
      <c r="F42" s="81"/>
      <c r="G42" s="82"/>
      <c r="H42" s="41"/>
      <c r="I42" s="86">
        <v>10000.0</v>
      </c>
      <c r="J42" s="84"/>
      <c r="K42" s="51"/>
      <c r="L42" s="45">
        <v>10000.0</v>
      </c>
      <c r="M42" s="22">
        <f t="shared" si="1"/>
        <v>0</v>
      </c>
    </row>
    <row r="43">
      <c r="A43" s="76">
        <v>39.0</v>
      </c>
      <c r="B43" s="37" t="s">
        <v>1835</v>
      </c>
      <c r="C43" s="37">
        <v>53364.0</v>
      </c>
      <c r="D43" s="37" t="s">
        <v>1836</v>
      </c>
      <c r="E43" s="46"/>
      <c r="F43" s="81"/>
      <c r="G43" s="82"/>
      <c r="H43" s="41">
        <v>10000.0</v>
      </c>
      <c r="I43" s="83"/>
      <c r="J43" s="85"/>
      <c r="K43" s="51"/>
      <c r="L43" s="45">
        <v>10000.0</v>
      </c>
      <c r="M43" s="22">
        <f t="shared" si="1"/>
        <v>0</v>
      </c>
    </row>
    <row r="44">
      <c r="A44" s="76">
        <v>40.0</v>
      </c>
      <c r="B44" s="37" t="s">
        <v>1837</v>
      </c>
      <c r="C44" s="37">
        <v>49655.0</v>
      </c>
      <c r="D44" s="37" t="s">
        <v>134</v>
      </c>
      <c r="E44" s="46"/>
      <c r="F44" s="81"/>
      <c r="G44" s="82"/>
      <c r="H44" s="41"/>
      <c r="I44" s="83">
        <v>1250.0</v>
      </c>
      <c r="J44" s="84"/>
      <c r="K44" s="51"/>
      <c r="L44" s="45">
        <v>1250.0</v>
      </c>
      <c r="M44" s="22">
        <f t="shared" si="1"/>
        <v>0</v>
      </c>
    </row>
    <row r="45">
      <c r="A45" s="76">
        <v>41.0</v>
      </c>
      <c r="B45" s="37" t="s">
        <v>1838</v>
      </c>
      <c r="C45" s="37">
        <v>58255.0</v>
      </c>
      <c r="D45" s="37" t="s">
        <v>1839</v>
      </c>
      <c r="E45" s="46"/>
      <c r="F45" s="81"/>
      <c r="G45" s="82"/>
      <c r="H45" s="41">
        <v>27000.0</v>
      </c>
      <c r="I45" s="83"/>
      <c r="J45" s="84"/>
      <c r="K45" s="51"/>
      <c r="L45" s="45">
        <v>27000.0</v>
      </c>
      <c r="M45" s="22">
        <f t="shared" si="1"/>
        <v>0</v>
      </c>
    </row>
    <row r="46">
      <c r="A46" s="76">
        <v>42.0</v>
      </c>
      <c r="B46" s="37" t="s">
        <v>1840</v>
      </c>
      <c r="C46" s="37">
        <v>58243.0</v>
      </c>
      <c r="D46" s="37" t="s">
        <v>1841</v>
      </c>
      <c r="E46" s="38"/>
      <c r="F46" s="81"/>
      <c r="G46" s="82"/>
      <c r="H46" s="41">
        <v>300.0</v>
      </c>
      <c r="I46" s="83"/>
      <c r="J46" s="84"/>
      <c r="K46" s="51"/>
      <c r="L46" s="45">
        <v>300.0</v>
      </c>
      <c r="M46" s="22">
        <f t="shared" si="1"/>
        <v>0</v>
      </c>
    </row>
    <row r="47">
      <c r="A47" s="76">
        <v>43.0</v>
      </c>
      <c r="B47" s="37" t="s">
        <v>1842</v>
      </c>
      <c r="C47" s="37">
        <v>58256.0</v>
      </c>
      <c r="D47" s="37" t="s">
        <v>1843</v>
      </c>
      <c r="E47" s="38"/>
      <c r="F47" s="81"/>
      <c r="G47" s="82"/>
      <c r="H47" s="41">
        <v>3600.0</v>
      </c>
      <c r="I47" s="83"/>
      <c r="J47" s="85"/>
      <c r="K47" s="51"/>
      <c r="L47" s="45">
        <v>3600.0</v>
      </c>
      <c r="M47" s="22">
        <f t="shared" si="1"/>
        <v>0</v>
      </c>
    </row>
    <row r="48">
      <c r="A48" s="76">
        <v>44.0</v>
      </c>
      <c r="B48" s="37" t="s">
        <v>1844</v>
      </c>
      <c r="C48" s="37">
        <v>10320.0</v>
      </c>
      <c r="D48" s="37" t="s">
        <v>84</v>
      </c>
      <c r="E48" s="38"/>
      <c r="F48" s="81"/>
      <c r="G48" s="82"/>
      <c r="H48" s="41">
        <v>10000.0</v>
      </c>
      <c r="I48" s="83"/>
      <c r="J48" s="84"/>
      <c r="K48" s="51"/>
      <c r="L48" s="45">
        <v>10000.0</v>
      </c>
      <c r="M48" s="22">
        <f t="shared" si="1"/>
        <v>0</v>
      </c>
    </row>
    <row r="49">
      <c r="A49" s="76">
        <v>45.0</v>
      </c>
      <c r="B49" s="37" t="s">
        <v>1845</v>
      </c>
      <c r="C49" s="37">
        <v>52082.0</v>
      </c>
      <c r="D49" s="37" t="s">
        <v>1846</v>
      </c>
      <c r="E49" s="38"/>
      <c r="F49" s="81"/>
      <c r="G49" s="82"/>
      <c r="H49" s="41">
        <v>300.0</v>
      </c>
      <c r="I49" s="83"/>
      <c r="J49" s="84"/>
      <c r="K49" s="51"/>
      <c r="L49" s="45">
        <v>300.0</v>
      </c>
      <c r="M49" s="22">
        <f t="shared" si="1"/>
        <v>0</v>
      </c>
    </row>
    <row r="50">
      <c r="A50" s="76">
        <v>46.0</v>
      </c>
      <c r="B50" s="37" t="s">
        <v>1847</v>
      </c>
      <c r="C50" s="37">
        <v>21384.0</v>
      </c>
      <c r="D50" s="37" t="s">
        <v>151</v>
      </c>
      <c r="E50" s="38"/>
      <c r="F50" s="81"/>
      <c r="G50" s="82"/>
      <c r="H50" s="41">
        <v>2500.0</v>
      </c>
      <c r="I50" s="83"/>
      <c r="J50" s="84"/>
      <c r="K50" s="51"/>
      <c r="L50" s="45">
        <v>2500.0</v>
      </c>
      <c r="M50" s="22">
        <f t="shared" si="1"/>
        <v>0</v>
      </c>
    </row>
    <row r="51">
      <c r="A51" s="76">
        <v>47.0</v>
      </c>
      <c r="B51" s="37" t="s">
        <v>1848</v>
      </c>
      <c r="C51" s="37">
        <v>56676.0</v>
      </c>
      <c r="D51" s="37" t="s">
        <v>248</v>
      </c>
      <c r="E51" s="38"/>
      <c r="F51" s="81"/>
      <c r="G51" s="82"/>
      <c r="H51" s="41">
        <v>300.0</v>
      </c>
      <c r="I51" s="83"/>
      <c r="J51" s="84"/>
      <c r="K51" s="51"/>
      <c r="L51" s="45">
        <v>300.0</v>
      </c>
      <c r="M51" s="22">
        <f t="shared" si="1"/>
        <v>0</v>
      </c>
    </row>
    <row r="52">
      <c r="A52" s="76">
        <v>48.0</v>
      </c>
      <c r="B52" s="37" t="s">
        <v>1849</v>
      </c>
      <c r="C52" s="37">
        <v>42046.0</v>
      </c>
      <c r="D52" s="37" t="s">
        <v>163</v>
      </c>
      <c r="E52" s="38"/>
      <c r="F52" s="81">
        <v>2950.0</v>
      </c>
      <c r="G52" s="82"/>
      <c r="H52" s="41"/>
      <c r="I52" s="83"/>
      <c r="J52" s="84"/>
      <c r="K52" s="51"/>
      <c r="L52" s="45">
        <v>2950.0</v>
      </c>
      <c r="M52" s="22">
        <f t="shared" si="1"/>
        <v>0</v>
      </c>
    </row>
    <row r="53">
      <c r="A53" s="76">
        <v>49.0</v>
      </c>
      <c r="B53" s="37" t="s">
        <v>1850</v>
      </c>
      <c r="C53" s="37">
        <v>57782.0</v>
      </c>
      <c r="D53" s="37" t="s">
        <v>1851</v>
      </c>
      <c r="E53" s="38"/>
      <c r="F53" s="81"/>
      <c r="G53" s="82"/>
      <c r="H53" s="41"/>
      <c r="I53" s="83">
        <v>3600.0</v>
      </c>
      <c r="J53" s="84"/>
      <c r="K53" s="51"/>
      <c r="L53" s="45">
        <v>3600.0</v>
      </c>
      <c r="M53" s="22">
        <f t="shared" si="1"/>
        <v>0</v>
      </c>
    </row>
    <row r="54">
      <c r="A54" s="76">
        <v>50.0</v>
      </c>
      <c r="B54" s="37" t="s">
        <v>1852</v>
      </c>
      <c r="C54" s="37">
        <v>33447.0</v>
      </c>
      <c r="D54" s="37" t="s">
        <v>1853</v>
      </c>
      <c r="E54" s="38"/>
      <c r="F54" s="81"/>
      <c r="G54" s="82"/>
      <c r="H54" s="41"/>
      <c r="I54" s="83">
        <v>5000.0</v>
      </c>
      <c r="J54" s="84"/>
      <c r="K54" s="51"/>
      <c r="L54" s="45">
        <v>5000.0</v>
      </c>
      <c r="M54" s="22">
        <f t="shared" si="1"/>
        <v>0</v>
      </c>
    </row>
    <row r="55">
      <c r="A55" s="76">
        <v>51.0</v>
      </c>
      <c r="B55" s="37" t="s">
        <v>1854</v>
      </c>
      <c r="C55" s="37">
        <v>13762.0</v>
      </c>
      <c r="D55" s="37" t="s">
        <v>211</v>
      </c>
      <c r="E55" s="38"/>
      <c r="F55" s="81">
        <v>40000.0</v>
      </c>
      <c r="G55" s="82"/>
      <c r="H55" s="41"/>
      <c r="I55" s="83"/>
      <c r="J55" s="84"/>
      <c r="K55" s="51"/>
      <c r="L55" s="45">
        <v>40000.0</v>
      </c>
      <c r="M55" s="22">
        <f t="shared" si="1"/>
        <v>0</v>
      </c>
    </row>
    <row r="56">
      <c r="A56" s="76">
        <v>52.0</v>
      </c>
      <c r="B56" s="37" t="s">
        <v>1855</v>
      </c>
      <c r="C56" s="37">
        <v>13762.0</v>
      </c>
      <c r="D56" s="37" t="s">
        <v>211</v>
      </c>
      <c r="E56" s="38"/>
      <c r="F56" s="81">
        <v>7800.0</v>
      </c>
      <c r="G56" s="82"/>
      <c r="H56" s="41"/>
      <c r="I56" s="83"/>
      <c r="J56" s="84"/>
      <c r="K56" s="51"/>
      <c r="L56" s="45">
        <v>7800.0</v>
      </c>
      <c r="M56" s="22">
        <f t="shared" si="1"/>
        <v>0</v>
      </c>
    </row>
    <row r="57">
      <c r="A57" s="76">
        <v>53.0</v>
      </c>
      <c r="B57" s="37" t="s">
        <v>1856</v>
      </c>
      <c r="C57" s="37">
        <v>48631.0</v>
      </c>
      <c r="D57" s="37" t="s">
        <v>123</v>
      </c>
      <c r="E57" s="38"/>
      <c r="F57" s="81"/>
      <c r="G57" s="82"/>
      <c r="H57" s="41">
        <v>350.0</v>
      </c>
      <c r="I57" s="83"/>
      <c r="J57" s="84"/>
      <c r="K57" s="51"/>
      <c r="L57" s="45">
        <v>350.0</v>
      </c>
      <c r="M57" s="22">
        <f t="shared" si="1"/>
        <v>0</v>
      </c>
    </row>
    <row r="58">
      <c r="A58" s="76">
        <v>54.0</v>
      </c>
      <c r="B58" s="37" t="s">
        <v>1857</v>
      </c>
      <c r="C58" s="37">
        <v>13781.0</v>
      </c>
      <c r="D58" s="37" t="s">
        <v>213</v>
      </c>
      <c r="E58" s="38"/>
      <c r="F58" s="81"/>
      <c r="G58" s="82"/>
      <c r="H58" s="41">
        <v>10000.0</v>
      </c>
      <c r="I58" s="83"/>
      <c r="J58" s="84"/>
      <c r="K58" s="51"/>
      <c r="L58" s="45">
        <v>10000.0</v>
      </c>
      <c r="M58" s="22">
        <f t="shared" si="1"/>
        <v>0</v>
      </c>
    </row>
    <row r="59">
      <c r="A59" s="76">
        <v>55.0</v>
      </c>
      <c r="B59" s="37" t="s">
        <v>1858</v>
      </c>
      <c r="C59" s="37">
        <v>40984.0</v>
      </c>
      <c r="D59" s="37" t="s">
        <v>215</v>
      </c>
      <c r="E59" s="38"/>
      <c r="F59" s="81"/>
      <c r="G59" s="82"/>
      <c r="H59" s="41">
        <v>3600.0</v>
      </c>
      <c r="I59" s="83"/>
      <c r="J59" s="84"/>
      <c r="K59" s="51"/>
      <c r="L59" s="45">
        <v>3600.0</v>
      </c>
      <c r="M59" s="22">
        <f t="shared" si="1"/>
        <v>0</v>
      </c>
    </row>
    <row r="60">
      <c r="A60" s="76">
        <v>56.0</v>
      </c>
      <c r="B60" s="37" t="s">
        <v>1859</v>
      </c>
      <c r="C60" s="37">
        <v>30510.0</v>
      </c>
      <c r="D60" s="37" t="s">
        <v>1860</v>
      </c>
      <c r="E60" s="38"/>
      <c r="F60" s="81"/>
      <c r="G60" s="82"/>
      <c r="H60" s="41">
        <v>3600.0</v>
      </c>
      <c r="I60" s="83"/>
      <c r="J60" s="84"/>
      <c r="K60" s="51"/>
      <c r="L60" s="45">
        <v>3600.0</v>
      </c>
      <c r="M60" s="22">
        <f t="shared" si="1"/>
        <v>0</v>
      </c>
    </row>
    <row r="61">
      <c r="A61" s="76">
        <v>57.0</v>
      </c>
      <c r="B61" s="37" t="s">
        <v>1861</v>
      </c>
      <c r="C61" s="37">
        <v>58259.0</v>
      </c>
      <c r="D61" s="37" t="s">
        <v>1862</v>
      </c>
      <c r="E61" s="38"/>
      <c r="F61" s="81"/>
      <c r="G61" s="82"/>
      <c r="H61" s="41">
        <v>27000.0</v>
      </c>
      <c r="I61" s="83"/>
      <c r="J61" s="84"/>
      <c r="K61" s="51"/>
      <c r="L61" s="45">
        <v>27000.0</v>
      </c>
      <c r="M61" s="22">
        <f t="shared" si="1"/>
        <v>0</v>
      </c>
    </row>
    <row r="62">
      <c r="A62" s="76">
        <v>58.0</v>
      </c>
      <c r="B62" s="37" t="s">
        <v>1863</v>
      </c>
      <c r="C62" s="37">
        <v>58262.0</v>
      </c>
      <c r="D62" s="37" t="s">
        <v>1864</v>
      </c>
      <c r="E62" s="38"/>
      <c r="F62" s="81">
        <v>27000.0</v>
      </c>
      <c r="G62" s="82"/>
      <c r="H62" s="41"/>
      <c r="I62" s="83"/>
      <c r="J62" s="84"/>
      <c r="K62" s="51"/>
      <c r="L62" s="45">
        <v>27000.0</v>
      </c>
      <c r="M62" s="22">
        <f t="shared" si="1"/>
        <v>0</v>
      </c>
    </row>
    <row r="63">
      <c r="A63" s="76">
        <v>59.0</v>
      </c>
      <c r="B63" s="37" t="s">
        <v>1865</v>
      </c>
      <c r="C63" s="37">
        <v>13781.0</v>
      </c>
      <c r="D63" s="37" t="s">
        <v>213</v>
      </c>
      <c r="E63" s="38"/>
      <c r="F63" s="81"/>
      <c r="G63" s="82"/>
      <c r="H63" s="41">
        <v>4000.0</v>
      </c>
      <c r="I63" s="83"/>
      <c r="J63" s="84"/>
      <c r="K63" s="51"/>
      <c r="L63" s="45">
        <v>4000.0</v>
      </c>
      <c r="M63" s="22">
        <f t="shared" si="1"/>
        <v>0</v>
      </c>
    </row>
    <row r="64">
      <c r="A64" s="76">
        <v>60.0</v>
      </c>
      <c r="B64" s="37" t="s">
        <v>1866</v>
      </c>
      <c r="C64" s="37">
        <v>50593.0</v>
      </c>
      <c r="D64" s="37" t="s">
        <v>288</v>
      </c>
      <c r="E64" s="38"/>
      <c r="F64" s="81"/>
      <c r="G64" s="82"/>
      <c r="H64" s="41">
        <v>8400.0</v>
      </c>
      <c r="I64" s="83"/>
      <c r="J64" s="84"/>
      <c r="K64" s="51"/>
      <c r="L64" s="45">
        <v>8400.0</v>
      </c>
      <c r="M64" s="22">
        <f t="shared" si="1"/>
        <v>0</v>
      </c>
    </row>
    <row r="65">
      <c r="A65" s="76">
        <v>61.0</v>
      </c>
      <c r="B65" s="37" t="s">
        <v>1867</v>
      </c>
      <c r="C65" s="37">
        <v>57307.0</v>
      </c>
      <c r="D65" s="37" t="s">
        <v>1868</v>
      </c>
      <c r="E65" s="38"/>
      <c r="F65" s="81"/>
      <c r="G65" s="82"/>
      <c r="H65" s="41"/>
      <c r="I65" s="83">
        <v>1200.0</v>
      </c>
      <c r="J65" s="84"/>
      <c r="K65" s="51"/>
      <c r="L65" s="45">
        <v>1200.0</v>
      </c>
      <c r="M65" s="22">
        <f t="shared" si="1"/>
        <v>0</v>
      </c>
    </row>
    <row r="66">
      <c r="A66" s="76">
        <v>62.0</v>
      </c>
      <c r="B66" s="37" t="s">
        <v>1869</v>
      </c>
      <c r="C66" s="37">
        <v>57498.0</v>
      </c>
      <c r="D66" s="37" t="s">
        <v>268</v>
      </c>
      <c r="E66" s="38"/>
      <c r="F66" s="81"/>
      <c r="G66" s="82"/>
      <c r="H66" s="41">
        <v>600.0</v>
      </c>
      <c r="I66" s="83"/>
      <c r="J66" s="84"/>
      <c r="K66" s="51"/>
      <c r="L66" s="45">
        <v>600.0</v>
      </c>
      <c r="M66" s="22">
        <f t="shared" si="1"/>
        <v>0</v>
      </c>
    </row>
    <row r="67">
      <c r="A67" s="76">
        <v>63.0</v>
      </c>
      <c r="B67" s="37" t="s">
        <v>1870</v>
      </c>
      <c r="C67" s="37">
        <v>50593.0</v>
      </c>
      <c r="D67" s="37" t="s">
        <v>288</v>
      </c>
      <c r="E67" s="38"/>
      <c r="F67" s="81"/>
      <c r="G67" s="82"/>
      <c r="H67" s="41">
        <v>15000.0</v>
      </c>
      <c r="I67" s="83"/>
      <c r="J67" s="84"/>
      <c r="K67" s="51"/>
      <c r="L67" s="45">
        <v>15000.0</v>
      </c>
      <c r="M67" s="22">
        <f t="shared" si="1"/>
        <v>0</v>
      </c>
    </row>
    <row r="68">
      <c r="A68" s="76">
        <v>64.0</v>
      </c>
      <c r="B68" s="37" t="s">
        <v>1871</v>
      </c>
      <c r="C68" s="37">
        <v>48478.0</v>
      </c>
      <c r="D68" s="37" t="s">
        <v>1872</v>
      </c>
      <c r="E68" s="38"/>
      <c r="F68" s="81"/>
      <c r="G68" s="82"/>
      <c r="H68" s="41">
        <v>1250.0</v>
      </c>
      <c r="I68" s="83"/>
      <c r="J68" s="84"/>
      <c r="K68" s="51"/>
      <c r="L68" s="45">
        <v>1250.0</v>
      </c>
      <c r="M68" s="22">
        <f t="shared" si="1"/>
        <v>0</v>
      </c>
    </row>
    <row r="69">
      <c r="A69" s="76">
        <v>65.0</v>
      </c>
      <c r="B69" s="37" t="s">
        <v>1873</v>
      </c>
      <c r="C69" s="37">
        <v>48136.0</v>
      </c>
      <c r="D69" s="37" t="s">
        <v>1024</v>
      </c>
      <c r="E69" s="38"/>
      <c r="F69" s="81"/>
      <c r="G69" s="82"/>
      <c r="H69" s="41">
        <v>10000.0</v>
      </c>
      <c r="I69" s="83"/>
      <c r="J69" s="84"/>
      <c r="K69" s="51"/>
      <c r="L69" s="45">
        <v>10000.0</v>
      </c>
      <c r="M69" s="22">
        <f t="shared" si="1"/>
        <v>0</v>
      </c>
    </row>
    <row r="70">
      <c r="A70" s="76">
        <v>66.0</v>
      </c>
      <c r="B70" s="37" t="s">
        <v>1874</v>
      </c>
      <c r="C70" s="37">
        <v>56980.0</v>
      </c>
      <c r="D70" s="37" t="s">
        <v>767</v>
      </c>
      <c r="E70" s="38"/>
      <c r="F70" s="81"/>
      <c r="G70" s="82"/>
      <c r="H70" s="41">
        <v>4000.0</v>
      </c>
      <c r="I70" s="83"/>
      <c r="J70" s="84"/>
      <c r="K70" s="51"/>
      <c r="L70" s="45">
        <v>4000.0</v>
      </c>
      <c r="M70" s="22">
        <f t="shared" si="1"/>
        <v>0</v>
      </c>
    </row>
    <row r="71">
      <c r="A71" s="76">
        <v>67.0</v>
      </c>
      <c r="B71" s="37" t="s">
        <v>1875</v>
      </c>
      <c r="C71" s="37">
        <v>42046.0</v>
      </c>
      <c r="D71" s="37" t="s">
        <v>163</v>
      </c>
      <c r="E71" s="38"/>
      <c r="F71" s="81">
        <v>5000.0</v>
      </c>
      <c r="G71" s="82"/>
      <c r="H71" s="41"/>
      <c r="I71" s="83"/>
      <c r="J71" s="84"/>
      <c r="K71" s="51"/>
      <c r="L71" s="45">
        <v>5000.0</v>
      </c>
      <c r="M71" s="22">
        <f t="shared" si="1"/>
        <v>0</v>
      </c>
    </row>
    <row r="72">
      <c r="A72" s="76">
        <v>68.0</v>
      </c>
      <c r="B72" s="37" t="s">
        <v>1876</v>
      </c>
      <c r="C72" s="37">
        <v>58249.0</v>
      </c>
      <c r="D72" s="37" t="s">
        <v>1877</v>
      </c>
      <c r="E72" s="38"/>
      <c r="F72" s="81"/>
      <c r="G72" s="82"/>
      <c r="H72" s="41">
        <v>29400.0</v>
      </c>
      <c r="I72" s="83"/>
      <c r="J72" s="84"/>
      <c r="K72" s="51"/>
      <c r="L72" s="45">
        <v>29400.0</v>
      </c>
      <c r="M72" s="22">
        <f t="shared" si="1"/>
        <v>0</v>
      </c>
    </row>
    <row r="73">
      <c r="A73" s="76">
        <v>69.0</v>
      </c>
      <c r="B73" s="37" t="s">
        <v>1878</v>
      </c>
      <c r="C73" s="37">
        <v>51660.0</v>
      </c>
      <c r="D73" s="37" t="s">
        <v>1879</v>
      </c>
      <c r="E73" s="38"/>
      <c r="F73" s="81">
        <v>2500.0</v>
      </c>
      <c r="G73" s="82"/>
      <c r="H73" s="41"/>
      <c r="I73" s="83"/>
      <c r="J73" s="84"/>
      <c r="K73" s="51"/>
      <c r="L73" s="45">
        <v>2500.0</v>
      </c>
      <c r="M73" s="22">
        <f t="shared" si="1"/>
        <v>0</v>
      </c>
    </row>
    <row r="74">
      <c r="A74" s="76">
        <v>70.0</v>
      </c>
      <c r="B74" s="37" t="s">
        <v>1880</v>
      </c>
      <c r="C74" s="37">
        <v>58251.0</v>
      </c>
      <c r="D74" s="37" t="s">
        <v>1881</v>
      </c>
      <c r="E74" s="38"/>
      <c r="F74" s="81"/>
      <c r="G74" s="82"/>
      <c r="H74" s="41">
        <v>27000.0</v>
      </c>
      <c r="I74" s="83"/>
      <c r="J74" s="84"/>
      <c r="K74" s="51"/>
      <c r="L74" s="45">
        <v>27000.0</v>
      </c>
      <c r="M74" s="22">
        <f t="shared" si="1"/>
        <v>0</v>
      </c>
    </row>
    <row r="75">
      <c r="A75" s="76">
        <v>71.0</v>
      </c>
      <c r="B75" s="37" t="s">
        <v>1882</v>
      </c>
      <c r="C75" s="37">
        <v>58253.0</v>
      </c>
      <c r="D75" s="37" t="s">
        <v>1883</v>
      </c>
      <c r="E75" s="38"/>
      <c r="F75" s="81"/>
      <c r="G75" s="82"/>
      <c r="H75" s="41">
        <v>27000.0</v>
      </c>
      <c r="I75" s="83"/>
      <c r="J75" s="84"/>
      <c r="K75" s="51"/>
      <c r="L75" s="45">
        <v>27000.0</v>
      </c>
      <c r="M75" s="22">
        <f t="shared" si="1"/>
        <v>0</v>
      </c>
    </row>
    <row r="76">
      <c r="A76" s="76">
        <v>72.0</v>
      </c>
      <c r="B76" s="37" t="s">
        <v>1884</v>
      </c>
      <c r="C76" s="37">
        <v>50596.0</v>
      </c>
      <c r="D76" s="37" t="s">
        <v>157</v>
      </c>
      <c r="E76" s="38"/>
      <c r="F76" s="81"/>
      <c r="G76" s="82"/>
      <c r="H76" s="41">
        <v>5700.0</v>
      </c>
      <c r="I76" s="83"/>
      <c r="J76" s="84"/>
      <c r="K76" s="51"/>
      <c r="L76" s="45">
        <v>5700.0</v>
      </c>
      <c r="M76" s="22">
        <f t="shared" si="1"/>
        <v>0</v>
      </c>
    </row>
    <row r="77">
      <c r="A77" s="76">
        <v>73.0</v>
      </c>
      <c r="B77" s="37" t="s">
        <v>1885</v>
      </c>
      <c r="C77" s="37">
        <v>50596.0</v>
      </c>
      <c r="D77" s="37" t="s">
        <v>157</v>
      </c>
      <c r="E77" s="38"/>
      <c r="F77" s="81"/>
      <c r="G77" s="82"/>
      <c r="H77" s="41">
        <v>1400.0</v>
      </c>
      <c r="I77" s="83"/>
      <c r="J77" s="85"/>
      <c r="K77" s="51"/>
      <c r="L77" s="45">
        <v>1400.0</v>
      </c>
      <c r="M77" s="22">
        <f t="shared" si="1"/>
        <v>0</v>
      </c>
    </row>
    <row r="78">
      <c r="A78" s="76">
        <v>74.0</v>
      </c>
      <c r="B78" s="37" t="s">
        <v>1886</v>
      </c>
      <c r="C78" s="37">
        <v>50595.0</v>
      </c>
      <c r="D78" s="37" t="s">
        <v>305</v>
      </c>
      <c r="E78" s="38"/>
      <c r="F78" s="81"/>
      <c r="G78" s="82"/>
      <c r="H78" s="41">
        <v>25000.0</v>
      </c>
      <c r="I78" s="83"/>
      <c r="J78" s="85"/>
      <c r="K78" s="51"/>
      <c r="L78" s="45">
        <v>25000.0</v>
      </c>
      <c r="M78" s="22">
        <f t="shared" si="1"/>
        <v>0</v>
      </c>
    </row>
    <row r="79">
      <c r="A79" s="76">
        <v>75.0</v>
      </c>
      <c r="B79" s="37" t="s">
        <v>1887</v>
      </c>
      <c r="C79" s="37">
        <v>50177.0</v>
      </c>
      <c r="D79" s="37" t="s">
        <v>1888</v>
      </c>
      <c r="E79" s="38"/>
      <c r="F79" s="81"/>
      <c r="G79" s="82"/>
      <c r="H79" s="41">
        <v>3380.0</v>
      </c>
      <c r="I79" s="83"/>
      <c r="J79" s="84"/>
      <c r="K79" s="51"/>
      <c r="L79" s="45">
        <v>3380.0</v>
      </c>
      <c r="M79" s="22">
        <f t="shared" si="1"/>
        <v>0</v>
      </c>
    </row>
    <row r="80">
      <c r="A80" s="76">
        <v>76.0</v>
      </c>
      <c r="B80" s="37" t="s">
        <v>1889</v>
      </c>
      <c r="C80" s="37">
        <v>38453.0</v>
      </c>
      <c r="D80" s="37" t="s">
        <v>1890</v>
      </c>
      <c r="E80" s="38">
        <v>1000.0</v>
      </c>
      <c r="F80" s="81">
        <v>1000.0</v>
      </c>
      <c r="G80" s="82"/>
      <c r="H80" s="41">
        <v>3000.0</v>
      </c>
      <c r="I80" s="83"/>
      <c r="J80" s="84"/>
      <c r="K80" s="51"/>
      <c r="L80" s="45">
        <v>5000.0</v>
      </c>
      <c r="M80" s="22">
        <f t="shared" si="1"/>
        <v>0</v>
      </c>
    </row>
    <row r="81">
      <c r="A81" s="76">
        <v>77.0</v>
      </c>
      <c r="B81" s="37" t="s">
        <v>1891</v>
      </c>
      <c r="C81" s="37">
        <v>57735.0</v>
      </c>
      <c r="D81" s="37" t="s">
        <v>1892</v>
      </c>
      <c r="E81" s="38">
        <v>5000.0</v>
      </c>
      <c r="F81" s="81"/>
      <c r="G81" s="82"/>
      <c r="H81" s="41"/>
      <c r="I81" s="83"/>
      <c r="J81" s="85"/>
      <c r="K81" s="51"/>
      <c r="L81" s="45">
        <v>5000.0</v>
      </c>
      <c r="M81" s="22">
        <f t="shared" si="1"/>
        <v>0</v>
      </c>
    </row>
    <row r="82">
      <c r="A82" s="76">
        <v>78.0</v>
      </c>
      <c r="B82" s="37" t="s">
        <v>1893</v>
      </c>
      <c r="C82" s="37">
        <v>53249.0</v>
      </c>
      <c r="D82" s="37" t="s">
        <v>1894</v>
      </c>
      <c r="E82" s="38">
        <v>15000.0</v>
      </c>
      <c r="F82" s="81"/>
      <c r="G82" s="82"/>
      <c r="H82" s="41"/>
      <c r="I82" s="83"/>
      <c r="J82" s="85"/>
      <c r="K82" s="51"/>
      <c r="L82" s="45">
        <v>15000.0</v>
      </c>
      <c r="M82" s="22">
        <f t="shared" si="1"/>
        <v>0</v>
      </c>
    </row>
    <row r="83">
      <c r="A83" s="76">
        <v>78.0</v>
      </c>
      <c r="B83" s="37" t="s">
        <v>1895</v>
      </c>
      <c r="C83" s="37">
        <v>53249.0</v>
      </c>
      <c r="D83" s="37" t="s">
        <v>1894</v>
      </c>
      <c r="E83" s="38">
        <v>300.0</v>
      </c>
      <c r="F83" s="81"/>
      <c r="G83" s="82"/>
      <c r="H83" s="41"/>
      <c r="I83" s="83"/>
      <c r="J83" s="85"/>
      <c r="K83" s="51"/>
      <c r="L83" s="45">
        <v>300.0</v>
      </c>
      <c r="M83" s="22">
        <f t="shared" si="1"/>
        <v>0</v>
      </c>
    </row>
    <row r="84">
      <c r="A84" s="76">
        <v>80.0</v>
      </c>
      <c r="B84" s="37" t="s">
        <v>1896</v>
      </c>
      <c r="C84" s="37">
        <v>51017.0</v>
      </c>
      <c r="D84" s="37" t="s">
        <v>477</v>
      </c>
      <c r="E84" s="38"/>
      <c r="F84" s="81"/>
      <c r="G84" s="87">
        <v>75700.0</v>
      </c>
      <c r="H84" s="41"/>
      <c r="I84" s="83"/>
      <c r="J84" s="85"/>
      <c r="K84" s="51"/>
      <c r="L84" s="45">
        <v>75700.0</v>
      </c>
      <c r="M84" s="22">
        <f t="shared" si="1"/>
        <v>0</v>
      </c>
    </row>
    <row r="85">
      <c r="A85" s="76">
        <v>81.0</v>
      </c>
      <c r="B85" s="37" t="s">
        <v>1897</v>
      </c>
      <c r="C85" s="37">
        <v>25650.0</v>
      </c>
      <c r="D85" s="37" t="s">
        <v>229</v>
      </c>
      <c r="E85" s="38"/>
      <c r="F85" s="81"/>
      <c r="G85" s="82"/>
      <c r="H85" s="41"/>
      <c r="I85" s="83"/>
      <c r="J85" s="85">
        <v>2500.0</v>
      </c>
      <c r="K85" s="51"/>
      <c r="L85" s="45">
        <v>2500.0</v>
      </c>
      <c r="M85" s="22">
        <f t="shared" si="1"/>
        <v>0</v>
      </c>
    </row>
    <row r="86">
      <c r="A86" s="76">
        <v>82.0</v>
      </c>
      <c r="B86" s="37" t="s">
        <v>1898</v>
      </c>
      <c r="C86" s="37">
        <v>50342.0</v>
      </c>
      <c r="D86" s="37" t="s">
        <v>695</v>
      </c>
      <c r="E86" s="38"/>
      <c r="F86" s="81"/>
      <c r="G86" s="87">
        <v>300.0</v>
      </c>
      <c r="H86" s="41"/>
      <c r="I86" s="83"/>
      <c r="J86" s="85"/>
      <c r="K86" s="51"/>
      <c r="L86" s="45">
        <v>300.0</v>
      </c>
      <c r="M86" s="22">
        <f t="shared" si="1"/>
        <v>0</v>
      </c>
    </row>
    <row r="87">
      <c r="A87" s="76">
        <v>83.0</v>
      </c>
      <c r="B87" s="37" t="s">
        <v>1899</v>
      </c>
      <c r="C87" s="37">
        <v>53219.0</v>
      </c>
      <c r="D87" s="37" t="s">
        <v>1900</v>
      </c>
      <c r="E87" s="38"/>
      <c r="F87" s="81"/>
      <c r="G87" s="87">
        <v>2650.0</v>
      </c>
      <c r="H87" s="41"/>
      <c r="I87" s="83"/>
      <c r="J87" s="84"/>
      <c r="K87" s="51"/>
      <c r="L87" s="45">
        <v>2650.0</v>
      </c>
      <c r="M87" s="22">
        <f t="shared" si="1"/>
        <v>0</v>
      </c>
    </row>
    <row r="88">
      <c r="A88" s="76">
        <v>84.0</v>
      </c>
      <c r="B88" s="37" t="s">
        <v>1901</v>
      </c>
      <c r="C88" s="37">
        <v>49655.0</v>
      </c>
      <c r="D88" s="37" t="s">
        <v>134</v>
      </c>
      <c r="E88" s="38"/>
      <c r="F88" s="81"/>
      <c r="G88" s="87">
        <v>6750.0</v>
      </c>
      <c r="H88" s="41"/>
      <c r="I88" s="83"/>
      <c r="J88" s="85"/>
      <c r="K88" s="51"/>
      <c r="L88" s="45">
        <v>6750.0</v>
      </c>
      <c r="M88" s="22">
        <f t="shared" si="1"/>
        <v>0</v>
      </c>
    </row>
    <row r="89">
      <c r="A89" s="76">
        <v>85.0</v>
      </c>
      <c r="B89" s="37" t="s">
        <v>1902</v>
      </c>
      <c r="C89" s="37">
        <v>49918.0</v>
      </c>
      <c r="D89" s="37" t="s">
        <v>781</v>
      </c>
      <c r="E89" s="38"/>
      <c r="F89" s="81"/>
      <c r="G89" s="87">
        <v>1250.0</v>
      </c>
      <c r="H89" s="41"/>
      <c r="I89" s="83"/>
      <c r="J89" s="84"/>
      <c r="K89" s="51"/>
      <c r="L89" s="45">
        <v>1250.0</v>
      </c>
      <c r="M89" s="22">
        <f t="shared" si="1"/>
        <v>0</v>
      </c>
    </row>
    <row r="90">
      <c r="A90" s="76">
        <v>86.0</v>
      </c>
      <c r="B90" s="37" t="s">
        <v>1903</v>
      </c>
      <c r="C90" s="37">
        <v>30895.0</v>
      </c>
      <c r="D90" s="37" t="s">
        <v>99</v>
      </c>
      <c r="E90" s="38"/>
      <c r="F90" s="81"/>
      <c r="G90" s="87">
        <v>5000.0</v>
      </c>
      <c r="H90" s="41"/>
      <c r="I90" s="83"/>
      <c r="J90" s="85"/>
      <c r="K90" s="51"/>
      <c r="L90" s="45">
        <v>5000.0</v>
      </c>
      <c r="M90" s="22">
        <f t="shared" si="1"/>
        <v>0</v>
      </c>
    </row>
    <row r="91">
      <c r="A91" s="76">
        <v>87.0</v>
      </c>
      <c r="B91" s="37" t="s">
        <v>1904</v>
      </c>
      <c r="C91" s="37">
        <v>30895.0</v>
      </c>
      <c r="D91" s="37" t="s">
        <v>99</v>
      </c>
      <c r="E91" s="38"/>
      <c r="F91" s="81"/>
      <c r="G91" s="87">
        <v>5000.0</v>
      </c>
      <c r="H91" s="41"/>
      <c r="I91" s="83"/>
      <c r="J91" s="84"/>
      <c r="K91" s="51"/>
      <c r="L91" s="45">
        <v>5000.0</v>
      </c>
      <c r="M91" s="22">
        <f t="shared" si="1"/>
        <v>0</v>
      </c>
    </row>
    <row r="92">
      <c r="A92" s="76">
        <v>88.0</v>
      </c>
      <c r="B92" s="37" t="s">
        <v>1905</v>
      </c>
      <c r="C92" s="37">
        <v>12102.0</v>
      </c>
      <c r="D92" s="37" t="s">
        <v>113</v>
      </c>
      <c r="E92" s="38"/>
      <c r="F92" s="81"/>
      <c r="G92" s="87">
        <v>1472.0</v>
      </c>
      <c r="H92" s="41"/>
      <c r="I92" s="83"/>
      <c r="J92" s="84"/>
      <c r="K92" s="51"/>
      <c r="L92" s="45">
        <v>1472.0</v>
      </c>
      <c r="M92" s="22">
        <f t="shared" si="1"/>
        <v>0</v>
      </c>
    </row>
    <row r="93">
      <c r="A93" s="76">
        <v>89.0</v>
      </c>
      <c r="B93" s="37" t="s">
        <v>1906</v>
      </c>
      <c r="C93" s="37">
        <v>57531.0</v>
      </c>
      <c r="D93" s="37" t="s">
        <v>483</v>
      </c>
      <c r="E93" s="38"/>
      <c r="F93" s="81"/>
      <c r="G93" s="87">
        <v>8200.0</v>
      </c>
      <c r="H93" s="41"/>
      <c r="I93" s="83"/>
      <c r="J93" s="84"/>
      <c r="K93" s="51"/>
      <c r="L93" s="45">
        <v>8200.0</v>
      </c>
      <c r="M93" s="22">
        <f t="shared" si="1"/>
        <v>0</v>
      </c>
    </row>
    <row r="94">
      <c r="A94" s="76">
        <v>90.0</v>
      </c>
      <c r="B94" s="37" t="s">
        <v>1907</v>
      </c>
      <c r="C94" s="37">
        <v>57531.0</v>
      </c>
      <c r="D94" s="37" t="s">
        <v>483</v>
      </c>
      <c r="E94" s="38"/>
      <c r="F94" s="81"/>
      <c r="G94" s="87">
        <v>900.0</v>
      </c>
      <c r="H94" s="41"/>
      <c r="I94" s="83"/>
      <c r="J94" s="84"/>
      <c r="K94" s="51"/>
      <c r="L94" s="45">
        <v>900.0</v>
      </c>
      <c r="M94" s="22">
        <f t="shared" si="1"/>
        <v>0</v>
      </c>
    </row>
    <row r="95">
      <c r="A95" s="76">
        <v>91.0</v>
      </c>
      <c r="B95" s="13"/>
      <c r="C95" s="13"/>
      <c r="D95" s="13"/>
      <c r="E95" s="79"/>
      <c r="F95" s="25"/>
      <c r="G95" s="28"/>
      <c r="H95" s="78"/>
      <c r="I95" s="88"/>
      <c r="J95" s="68"/>
      <c r="K95" s="20"/>
      <c r="L95" s="80"/>
      <c r="M95" s="22">
        <f t="shared" si="1"/>
        <v>0</v>
      </c>
    </row>
    <row r="96">
      <c r="A96" s="30"/>
      <c r="B96" s="12"/>
      <c r="C96" s="12"/>
      <c r="D96" s="73"/>
      <c r="E96" s="32">
        <f t="shared" ref="E96:L96" si="2">SUM(E5:E95)</f>
        <v>32100</v>
      </c>
      <c r="F96" s="32">
        <f t="shared" si="2"/>
        <v>92500</v>
      </c>
      <c r="G96" s="32">
        <f t="shared" si="2"/>
        <v>107222</v>
      </c>
      <c r="H96" s="32">
        <f t="shared" si="2"/>
        <v>427087</v>
      </c>
      <c r="I96" s="32">
        <f t="shared" si="2"/>
        <v>156250</v>
      </c>
      <c r="J96" s="32">
        <f t="shared" si="2"/>
        <v>3100</v>
      </c>
      <c r="K96" s="32">
        <f t="shared" si="2"/>
        <v>5200</v>
      </c>
      <c r="L96" s="32">
        <f t="shared" si="2"/>
        <v>823759</v>
      </c>
      <c r="M96" s="22">
        <f t="shared" si="1"/>
        <v>-300</v>
      </c>
    </row>
    <row r="97">
      <c r="A97" s="33"/>
      <c r="B97" s="63"/>
      <c r="C97" s="63"/>
      <c r="D97" s="74"/>
      <c r="E97" s="34">
        <f>E96+F96+G96+H96+I96+J96+K96</f>
        <v>823459</v>
      </c>
      <c r="F97" s="6"/>
      <c r="G97" s="6"/>
      <c r="H97" s="6"/>
      <c r="I97" s="6"/>
      <c r="J97" s="6"/>
      <c r="K97" s="7"/>
      <c r="L97" s="35"/>
      <c r="M97" s="33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  <c r="H101" s="55" t="s">
        <v>588</v>
      </c>
    </row>
    <row r="102">
      <c r="B102" s="64"/>
      <c r="C102" s="64"/>
      <c r="D102" s="75"/>
    </row>
    <row r="103">
      <c r="B103" s="64"/>
      <c r="C103" s="64"/>
      <c r="D103" s="75"/>
      <c r="H103" s="55" t="s">
        <v>485</v>
      </c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  <row r="958">
      <c r="B958" s="64"/>
      <c r="C958" s="64"/>
      <c r="D958" s="75"/>
    </row>
    <row r="959">
      <c r="B959" s="64"/>
      <c r="C959" s="64"/>
      <c r="D959" s="75"/>
    </row>
    <row r="960">
      <c r="B960" s="64"/>
      <c r="C960" s="64"/>
      <c r="D960" s="75"/>
    </row>
    <row r="961">
      <c r="B961" s="64"/>
      <c r="C961" s="64"/>
      <c r="D961" s="75"/>
    </row>
    <row r="962">
      <c r="B962" s="64"/>
      <c r="C962" s="64"/>
      <c r="D962" s="75"/>
    </row>
    <row r="963">
      <c r="B963" s="64"/>
      <c r="C963" s="64"/>
      <c r="D963" s="75"/>
    </row>
    <row r="964">
      <c r="B964" s="64"/>
      <c r="C964" s="64"/>
      <c r="D964" s="75"/>
    </row>
    <row r="965">
      <c r="B965" s="64"/>
      <c r="C965" s="64"/>
      <c r="D965" s="75"/>
    </row>
    <row r="966">
      <c r="B966" s="64"/>
      <c r="C966" s="64"/>
      <c r="D966" s="75"/>
    </row>
    <row r="967">
      <c r="B967" s="64"/>
      <c r="C967" s="64"/>
      <c r="D967" s="75"/>
    </row>
    <row r="968">
      <c r="B968" s="64"/>
      <c r="C968" s="64"/>
      <c r="D968" s="75"/>
    </row>
    <row r="969">
      <c r="B969" s="64"/>
      <c r="C969" s="64"/>
      <c r="D969" s="75"/>
    </row>
    <row r="970">
      <c r="B970" s="64"/>
      <c r="C970" s="64"/>
      <c r="D970" s="75"/>
    </row>
  </sheetData>
  <mergeCells count="14">
    <mergeCell ref="F3:G3"/>
    <mergeCell ref="H3:I3"/>
    <mergeCell ref="J3:J4"/>
    <mergeCell ref="K3:K4"/>
    <mergeCell ref="E97:K9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1908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13" t="s">
        <v>1909</v>
      </c>
      <c r="C5" s="13">
        <v>52669.0</v>
      </c>
      <c r="D5" s="13" t="s">
        <v>42</v>
      </c>
      <c r="E5" s="38"/>
      <c r="F5" s="81"/>
      <c r="G5" s="82"/>
      <c r="H5" s="41">
        <v>448.0</v>
      </c>
      <c r="I5" s="83"/>
      <c r="J5" s="84"/>
      <c r="K5" s="42"/>
      <c r="L5" s="21">
        <v>448.0</v>
      </c>
      <c r="M5" s="22">
        <f t="shared" ref="M5:M56" si="1">SUM(E5+F5+G5+H5+I5+J5+K5-L5)</f>
        <v>0</v>
      </c>
    </row>
    <row r="6">
      <c r="A6" s="76">
        <v>2.0</v>
      </c>
      <c r="B6" s="13" t="s">
        <v>1910</v>
      </c>
      <c r="C6" s="13">
        <v>33763.0</v>
      </c>
      <c r="D6" s="13" t="s">
        <v>1911</v>
      </c>
      <c r="E6" s="38"/>
      <c r="F6" s="81"/>
      <c r="G6" s="82"/>
      <c r="H6" s="41"/>
      <c r="I6" s="83">
        <v>3600.0</v>
      </c>
      <c r="J6" s="85"/>
      <c r="K6" s="51"/>
      <c r="L6" s="21">
        <v>3600.0</v>
      </c>
      <c r="M6" s="22">
        <f t="shared" si="1"/>
        <v>0</v>
      </c>
      <c r="O6" s="55" t="s">
        <v>485</v>
      </c>
    </row>
    <row r="7">
      <c r="A7" s="76">
        <v>3.0</v>
      </c>
      <c r="B7" s="13" t="s">
        <v>1912</v>
      </c>
      <c r="C7" s="13">
        <v>50871.0</v>
      </c>
      <c r="D7" s="13" t="s">
        <v>48</v>
      </c>
      <c r="E7" s="38"/>
      <c r="F7" s="81"/>
      <c r="G7" s="82"/>
      <c r="H7" s="41">
        <v>51650.0</v>
      </c>
      <c r="I7" s="83"/>
      <c r="J7" s="84"/>
      <c r="K7" s="51"/>
      <c r="L7" s="21">
        <v>51650.0</v>
      </c>
      <c r="M7" s="22">
        <f t="shared" si="1"/>
        <v>0</v>
      </c>
    </row>
    <row r="8">
      <c r="A8" s="76">
        <v>4.0</v>
      </c>
      <c r="B8" s="13" t="s">
        <v>1913</v>
      </c>
      <c r="C8" s="13">
        <v>50173.0</v>
      </c>
      <c r="D8" s="13" t="s">
        <v>365</v>
      </c>
      <c r="E8" s="46"/>
      <c r="F8" s="81"/>
      <c r="G8" s="82"/>
      <c r="H8" s="41"/>
      <c r="I8" s="83">
        <v>2500.0</v>
      </c>
      <c r="J8" s="84"/>
      <c r="K8" s="51"/>
      <c r="L8" s="21">
        <v>2500.0</v>
      </c>
      <c r="M8" s="22">
        <f t="shared" si="1"/>
        <v>0</v>
      </c>
    </row>
    <row r="9">
      <c r="A9" s="76">
        <v>5.0</v>
      </c>
      <c r="B9" s="13" t="s">
        <v>1914</v>
      </c>
      <c r="C9" s="13">
        <v>48772.0</v>
      </c>
      <c r="D9" s="13" t="s">
        <v>393</v>
      </c>
      <c r="E9" s="38"/>
      <c r="F9" s="81"/>
      <c r="G9" s="82"/>
      <c r="H9" s="41"/>
      <c r="I9" s="83">
        <v>2500.0</v>
      </c>
      <c r="J9" s="85"/>
      <c r="K9" s="51"/>
      <c r="L9" s="21">
        <v>2500.0</v>
      </c>
      <c r="M9" s="22">
        <f t="shared" si="1"/>
        <v>0</v>
      </c>
    </row>
    <row r="10">
      <c r="A10" s="76">
        <v>6.0</v>
      </c>
      <c r="B10" s="13" t="s">
        <v>1915</v>
      </c>
      <c r="C10" s="13">
        <v>29621.0</v>
      </c>
      <c r="D10" s="13" t="s">
        <v>381</v>
      </c>
      <c r="E10" s="38"/>
      <c r="F10" s="81"/>
      <c r="G10" s="82"/>
      <c r="H10" s="41"/>
      <c r="I10" s="83">
        <v>34700.0</v>
      </c>
      <c r="J10" s="84"/>
      <c r="K10" s="51"/>
      <c r="L10" s="21">
        <v>34700.0</v>
      </c>
      <c r="M10" s="22">
        <f t="shared" si="1"/>
        <v>0</v>
      </c>
    </row>
    <row r="11">
      <c r="A11" s="76">
        <v>7.0</v>
      </c>
      <c r="B11" s="13" t="s">
        <v>1916</v>
      </c>
      <c r="C11" s="13">
        <v>57734.0</v>
      </c>
      <c r="D11" s="13" t="s">
        <v>1917</v>
      </c>
      <c r="E11" s="46"/>
      <c r="F11" s="81"/>
      <c r="G11" s="82"/>
      <c r="H11" s="41">
        <v>0.0</v>
      </c>
      <c r="I11" s="83"/>
      <c r="J11" s="85"/>
      <c r="K11" s="51"/>
      <c r="L11" s="21">
        <v>5000.0</v>
      </c>
      <c r="M11" s="22">
        <f t="shared" si="1"/>
        <v>-5000</v>
      </c>
    </row>
    <row r="12">
      <c r="A12" s="76">
        <v>8.0</v>
      </c>
      <c r="B12" s="13" t="s">
        <v>1918</v>
      </c>
      <c r="C12" s="13">
        <v>52645.0</v>
      </c>
      <c r="D12" s="13" t="s">
        <v>1919</v>
      </c>
      <c r="E12" s="46"/>
      <c r="F12" s="81"/>
      <c r="G12" s="82"/>
      <c r="H12" s="41">
        <v>5150.0</v>
      </c>
      <c r="I12" s="83"/>
      <c r="J12" s="84"/>
      <c r="K12" s="51"/>
      <c r="L12" s="21">
        <v>5150.0</v>
      </c>
      <c r="M12" s="22">
        <f t="shared" si="1"/>
        <v>0</v>
      </c>
    </row>
    <row r="13">
      <c r="A13" s="76">
        <v>9.0</v>
      </c>
      <c r="B13" s="13" t="s">
        <v>1920</v>
      </c>
      <c r="C13" s="13">
        <v>54608.0</v>
      </c>
      <c r="D13" s="13" t="s">
        <v>1921</v>
      </c>
      <c r="E13" s="46"/>
      <c r="F13" s="81"/>
      <c r="G13" s="82"/>
      <c r="H13" s="41">
        <v>300.0</v>
      </c>
      <c r="I13" s="83"/>
      <c r="J13" s="84"/>
      <c r="K13" s="51"/>
      <c r="L13" s="21">
        <v>300.0</v>
      </c>
      <c r="M13" s="22">
        <f t="shared" si="1"/>
        <v>0</v>
      </c>
    </row>
    <row r="14">
      <c r="A14" s="76">
        <v>10.0</v>
      </c>
      <c r="B14" s="13" t="s">
        <v>1922</v>
      </c>
      <c r="C14" s="13">
        <v>56566.0</v>
      </c>
      <c r="D14" s="13" t="s">
        <v>1923</v>
      </c>
      <c r="E14" s="46"/>
      <c r="F14" s="81"/>
      <c r="G14" s="82"/>
      <c r="H14" s="41">
        <v>300.0</v>
      </c>
      <c r="I14" s="83"/>
      <c r="J14" s="84"/>
      <c r="K14" s="51"/>
      <c r="L14" s="21">
        <v>300.0</v>
      </c>
      <c r="M14" s="22">
        <f t="shared" si="1"/>
        <v>0</v>
      </c>
    </row>
    <row r="15">
      <c r="A15" s="76">
        <v>11.0</v>
      </c>
      <c r="B15" s="13" t="s">
        <v>1924</v>
      </c>
      <c r="C15" s="13">
        <v>44149.0</v>
      </c>
      <c r="D15" s="13" t="s">
        <v>44</v>
      </c>
      <c r="E15" s="46"/>
      <c r="F15" s="81"/>
      <c r="G15" s="82"/>
      <c r="H15" s="41">
        <v>10700.0</v>
      </c>
      <c r="I15" s="83"/>
      <c r="J15" s="85"/>
      <c r="K15" s="51"/>
      <c r="L15" s="21">
        <v>10700.0</v>
      </c>
      <c r="M15" s="22">
        <f t="shared" si="1"/>
        <v>0</v>
      </c>
    </row>
    <row r="16">
      <c r="A16" s="76">
        <v>12.0</v>
      </c>
      <c r="B16" s="13" t="s">
        <v>1925</v>
      </c>
      <c r="C16" s="13">
        <v>19688.0</v>
      </c>
      <c r="D16" s="13" t="s">
        <v>462</v>
      </c>
      <c r="E16" s="46"/>
      <c r="F16" s="81"/>
      <c r="G16" s="82"/>
      <c r="H16" s="41"/>
      <c r="I16" s="83">
        <v>10000.0</v>
      </c>
      <c r="J16" s="85"/>
      <c r="K16" s="51"/>
      <c r="L16" s="21">
        <v>10000.0</v>
      </c>
      <c r="M16" s="22">
        <f t="shared" si="1"/>
        <v>0</v>
      </c>
    </row>
    <row r="17">
      <c r="A17" s="76">
        <v>13.0</v>
      </c>
      <c r="B17" s="13" t="s">
        <v>1926</v>
      </c>
      <c r="C17" s="13">
        <v>45096.0</v>
      </c>
      <c r="D17" s="13" t="s">
        <v>314</v>
      </c>
      <c r="E17" s="38"/>
      <c r="F17" s="81"/>
      <c r="G17" s="82"/>
      <c r="H17" s="41">
        <v>6630.0</v>
      </c>
      <c r="I17" s="83"/>
      <c r="J17" s="84"/>
      <c r="K17" s="51"/>
      <c r="L17" s="21">
        <v>6630.0</v>
      </c>
      <c r="M17" s="22">
        <f t="shared" si="1"/>
        <v>0</v>
      </c>
    </row>
    <row r="18">
      <c r="A18" s="76">
        <v>14.0</v>
      </c>
      <c r="B18" s="13" t="s">
        <v>1927</v>
      </c>
      <c r="C18" s="13">
        <v>49269.0</v>
      </c>
      <c r="D18" s="13" t="s">
        <v>1928</v>
      </c>
      <c r="E18" s="38"/>
      <c r="F18" s="81"/>
      <c r="G18" s="82"/>
      <c r="H18" s="41">
        <v>3600.0</v>
      </c>
      <c r="I18" s="83"/>
      <c r="J18" s="84"/>
      <c r="K18" s="51"/>
      <c r="L18" s="21">
        <v>3600.0</v>
      </c>
      <c r="M18" s="22">
        <f t="shared" si="1"/>
        <v>0</v>
      </c>
    </row>
    <row r="19">
      <c r="A19" s="76">
        <v>15.0</v>
      </c>
      <c r="B19" s="13" t="s">
        <v>1929</v>
      </c>
      <c r="C19" s="13">
        <v>50361.0</v>
      </c>
      <c r="D19" s="13" t="s">
        <v>612</v>
      </c>
      <c r="E19" s="38"/>
      <c r="F19" s="81"/>
      <c r="G19" s="82"/>
      <c r="H19" s="41">
        <v>518.0</v>
      </c>
      <c r="I19" s="83"/>
      <c r="J19" s="84"/>
      <c r="K19" s="51"/>
      <c r="L19" s="21">
        <v>518.0</v>
      </c>
      <c r="M19" s="22">
        <f t="shared" si="1"/>
        <v>0</v>
      </c>
    </row>
    <row r="20">
      <c r="A20" s="76">
        <v>16.0</v>
      </c>
      <c r="B20" s="13" t="s">
        <v>1930</v>
      </c>
      <c r="C20" s="13">
        <v>51744.0</v>
      </c>
      <c r="D20" s="13" t="s">
        <v>1931</v>
      </c>
      <c r="E20" s="46"/>
      <c r="F20" s="81"/>
      <c r="G20" s="82"/>
      <c r="H20" s="41">
        <v>3600.0</v>
      </c>
      <c r="I20" s="83"/>
      <c r="J20" s="84"/>
      <c r="K20" s="51"/>
      <c r="L20" s="21">
        <v>3600.0</v>
      </c>
      <c r="M20" s="22">
        <f t="shared" si="1"/>
        <v>0</v>
      </c>
    </row>
    <row r="21">
      <c r="A21" s="76">
        <v>17.0</v>
      </c>
      <c r="B21" s="13" t="s">
        <v>1932</v>
      </c>
      <c r="C21" s="13">
        <v>54899.0</v>
      </c>
      <c r="D21" s="13" t="s">
        <v>1282</v>
      </c>
      <c r="E21" s="46"/>
      <c r="F21" s="81"/>
      <c r="G21" s="82"/>
      <c r="H21" s="41"/>
      <c r="I21" s="83">
        <v>2500.0</v>
      </c>
      <c r="J21" s="84"/>
      <c r="K21" s="51"/>
      <c r="L21" s="21">
        <v>2500.0</v>
      </c>
      <c r="M21" s="22">
        <f t="shared" si="1"/>
        <v>0</v>
      </c>
    </row>
    <row r="22">
      <c r="A22" s="76">
        <v>18.0</v>
      </c>
      <c r="B22" s="13" t="s">
        <v>1933</v>
      </c>
      <c r="C22" s="13">
        <v>21384.0</v>
      </c>
      <c r="D22" s="13" t="s">
        <v>151</v>
      </c>
      <c r="E22" s="46"/>
      <c r="F22" s="81"/>
      <c r="G22" s="82"/>
      <c r="H22" s="41">
        <v>6250.0</v>
      </c>
      <c r="I22" s="83"/>
      <c r="J22" s="84"/>
      <c r="K22" s="51"/>
      <c r="L22" s="21">
        <v>6250.0</v>
      </c>
      <c r="M22" s="22">
        <f t="shared" si="1"/>
        <v>0</v>
      </c>
    </row>
    <row r="23">
      <c r="A23" s="76">
        <v>19.0</v>
      </c>
      <c r="B23" s="13" t="s">
        <v>1934</v>
      </c>
      <c r="C23" s="13">
        <v>43081.0</v>
      </c>
      <c r="D23" s="13" t="s">
        <v>1729</v>
      </c>
      <c r="E23" s="46"/>
      <c r="F23" s="81"/>
      <c r="G23" s="82"/>
      <c r="H23" s="41">
        <v>5150.0</v>
      </c>
      <c r="I23" s="83"/>
      <c r="J23" s="84"/>
      <c r="K23" s="51"/>
      <c r="L23" s="21">
        <v>5150.0</v>
      </c>
      <c r="M23" s="22">
        <f t="shared" si="1"/>
        <v>0</v>
      </c>
    </row>
    <row r="24">
      <c r="A24" s="76">
        <v>20.0</v>
      </c>
      <c r="B24" s="13" t="s">
        <v>1935</v>
      </c>
      <c r="C24" s="13">
        <v>13781.0</v>
      </c>
      <c r="D24" s="13" t="s">
        <v>213</v>
      </c>
      <c r="E24" s="46"/>
      <c r="F24" s="81"/>
      <c r="G24" s="82"/>
      <c r="H24" s="41">
        <v>2500.0</v>
      </c>
      <c r="I24" s="83"/>
      <c r="J24" s="84"/>
      <c r="K24" s="51"/>
      <c r="L24" s="21">
        <v>2500.0</v>
      </c>
      <c r="M24" s="22">
        <f t="shared" si="1"/>
        <v>0</v>
      </c>
    </row>
    <row r="25">
      <c r="A25" s="76">
        <v>21.0</v>
      </c>
      <c r="B25" s="13" t="s">
        <v>1936</v>
      </c>
      <c r="C25" s="13">
        <v>55008.0</v>
      </c>
      <c r="D25" s="13" t="s">
        <v>1937</v>
      </c>
      <c r="E25" s="46"/>
      <c r="F25" s="81"/>
      <c r="G25" s="82"/>
      <c r="H25" s="41"/>
      <c r="I25" s="83"/>
      <c r="J25" s="85">
        <v>300.0</v>
      </c>
      <c r="K25" s="51"/>
      <c r="L25" s="21">
        <v>300.0</v>
      </c>
      <c r="M25" s="22">
        <f t="shared" si="1"/>
        <v>0</v>
      </c>
    </row>
    <row r="26">
      <c r="A26" s="76">
        <v>22.0</v>
      </c>
      <c r="B26" s="13" t="s">
        <v>1938</v>
      </c>
      <c r="C26" s="13">
        <v>22341.0</v>
      </c>
      <c r="D26" s="13" t="s">
        <v>1939</v>
      </c>
      <c r="E26" s="46"/>
      <c r="F26" s="81"/>
      <c r="G26" s="82"/>
      <c r="H26" s="41">
        <v>7600.0</v>
      </c>
      <c r="I26" s="83"/>
      <c r="J26" s="85"/>
      <c r="K26" s="51"/>
      <c r="L26" s="21">
        <v>7600.0</v>
      </c>
      <c r="M26" s="22">
        <f t="shared" si="1"/>
        <v>0</v>
      </c>
    </row>
    <row r="27">
      <c r="A27" s="76">
        <v>23.0</v>
      </c>
      <c r="B27" s="13" t="s">
        <v>1940</v>
      </c>
      <c r="C27" s="13">
        <v>56669.0</v>
      </c>
      <c r="D27" s="13" t="s">
        <v>1941</v>
      </c>
      <c r="E27" s="46"/>
      <c r="F27" s="81"/>
      <c r="G27" s="82"/>
      <c r="H27" s="41">
        <v>900.0</v>
      </c>
      <c r="I27" s="83"/>
      <c r="J27" s="84"/>
      <c r="K27" s="51"/>
      <c r="L27" s="21">
        <v>900.0</v>
      </c>
      <c r="M27" s="22">
        <f t="shared" si="1"/>
        <v>0</v>
      </c>
    </row>
    <row r="28">
      <c r="A28" s="76">
        <v>24.0</v>
      </c>
      <c r="B28" s="13" t="s">
        <v>1942</v>
      </c>
      <c r="C28" s="13">
        <v>44650.0</v>
      </c>
      <c r="D28" s="13" t="s">
        <v>1943</v>
      </c>
      <c r="E28" s="46"/>
      <c r="F28" s="81"/>
      <c r="G28" s="82"/>
      <c r="H28" s="41">
        <v>8100.0</v>
      </c>
      <c r="I28" s="83"/>
      <c r="J28" s="84"/>
      <c r="K28" s="51"/>
      <c r="L28" s="21">
        <v>8100.0</v>
      </c>
      <c r="M28" s="22">
        <f t="shared" si="1"/>
        <v>0</v>
      </c>
    </row>
    <row r="29">
      <c r="A29" s="76">
        <v>25.0</v>
      </c>
      <c r="B29" s="13" t="s">
        <v>1944</v>
      </c>
      <c r="C29" s="13">
        <v>56125.0</v>
      </c>
      <c r="D29" s="13" t="s">
        <v>1945</v>
      </c>
      <c r="E29" s="38">
        <v>350.0</v>
      </c>
      <c r="F29" s="81"/>
      <c r="G29" s="82"/>
      <c r="H29" s="41"/>
      <c r="I29" s="83"/>
      <c r="J29" s="85"/>
      <c r="K29" s="51"/>
      <c r="L29" s="21">
        <v>350.0</v>
      </c>
      <c r="M29" s="22">
        <f t="shared" si="1"/>
        <v>0</v>
      </c>
    </row>
    <row r="30">
      <c r="A30" s="76">
        <v>26.0</v>
      </c>
      <c r="B30" s="13" t="s">
        <v>1946</v>
      </c>
      <c r="C30" s="13">
        <v>52576.0</v>
      </c>
      <c r="D30" s="13" t="s">
        <v>149</v>
      </c>
      <c r="E30" s="46"/>
      <c r="F30" s="81"/>
      <c r="G30" s="82"/>
      <c r="H30" s="41">
        <v>10000.0</v>
      </c>
      <c r="I30" s="83"/>
      <c r="J30" s="84"/>
      <c r="K30" s="51"/>
      <c r="L30" s="21">
        <v>10000.0</v>
      </c>
      <c r="M30" s="22">
        <f t="shared" si="1"/>
        <v>0</v>
      </c>
    </row>
    <row r="31">
      <c r="A31" s="76">
        <v>27.0</v>
      </c>
      <c r="B31" s="13" t="s">
        <v>1947</v>
      </c>
      <c r="C31" s="13">
        <v>51955.0</v>
      </c>
      <c r="D31" s="13" t="s">
        <v>1948</v>
      </c>
      <c r="E31" s="46"/>
      <c r="F31" s="81">
        <v>3050.0</v>
      </c>
      <c r="G31" s="82"/>
      <c r="H31" s="41"/>
      <c r="I31" s="83"/>
      <c r="J31" s="84"/>
      <c r="K31" s="51"/>
      <c r="L31" s="21">
        <v>3050.0</v>
      </c>
      <c r="M31" s="22">
        <f t="shared" si="1"/>
        <v>0</v>
      </c>
    </row>
    <row r="32">
      <c r="A32" s="76">
        <v>28.0</v>
      </c>
      <c r="B32" s="13" t="s">
        <v>1949</v>
      </c>
      <c r="C32" s="13">
        <v>39588.0</v>
      </c>
      <c r="D32" s="13" t="s">
        <v>188</v>
      </c>
      <c r="E32" s="38"/>
      <c r="F32" s="81"/>
      <c r="G32" s="82"/>
      <c r="H32" s="41">
        <v>4500.0</v>
      </c>
      <c r="I32" s="83"/>
      <c r="J32" s="85"/>
      <c r="K32" s="51"/>
      <c r="L32" s="21">
        <v>4500.0</v>
      </c>
      <c r="M32" s="22">
        <f t="shared" si="1"/>
        <v>0</v>
      </c>
    </row>
    <row r="33">
      <c r="A33" s="76">
        <v>29.0</v>
      </c>
      <c r="B33" s="13" t="s">
        <v>1950</v>
      </c>
      <c r="C33" s="13">
        <v>49655.0</v>
      </c>
      <c r="D33" s="13" t="s">
        <v>134</v>
      </c>
      <c r="E33" s="46"/>
      <c r="F33" s="81"/>
      <c r="G33" s="82"/>
      <c r="H33" s="41"/>
      <c r="I33" s="83">
        <v>1250.0</v>
      </c>
      <c r="J33" s="84"/>
      <c r="K33" s="51"/>
      <c r="L33" s="21">
        <v>1250.0</v>
      </c>
      <c r="M33" s="22">
        <f t="shared" si="1"/>
        <v>0</v>
      </c>
    </row>
    <row r="34">
      <c r="A34" s="76">
        <v>30.0</v>
      </c>
      <c r="B34" s="13" t="s">
        <v>1951</v>
      </c>
      <c r="C34" s="13">
        <v>53629.0</v>
      </c>
      <c r="D34" s="13" t="s">
        <v>1120</v>
      </c>
      <c r="E34" s="46"/>
      <c r="F34" s="81"/>
      <c r="G34" s="82"/>
      <c r="H34" s="41"/>
      <c r="I34" s="83">
        <v>15000.0</v>
      </c>
      <c r="J34" s="84"/>
      <c r="K34" s="51"/>
      <c r="L34" s="21">
        <v>15000.0</v>
      </c>
      <c r="M34" s="22">
        <f t="shared" si="1"/>
        <v>0</v>
      </c>
    </row>
    <row r="35">
      <c r="A35" s="76">
        <v>31.0</v>
      </c>
      <c r="B35" s="13" t="s">
        <v>1952</v>
      </c>
      <c r="C35" s="13">
        <v>49953.0</v>
      </c>
      <c r="D35" s="13" t="s">
        <v>62</v>
      </c>
      <c r="E35" s="46"/>
      <c r="F35" s="81"/>
      <c r="G35" s="82"/>
      <c r="H35" s="41">
        <v>195.0</v>
      </c>
      <c r="I35" s="83"/>
      <c r="J35" s="84"/>
      <c r="K35" s="51"/>
      <c r="L35" s="21">
        <v>195.0</v>
      </c>
      <c r="M35" s="22">
        <f t="shared" si="1"/>
        <v>0</v>
      </c>
    </row>
    <row r="36">
      <c r="A36" s="76">
        <v>32.0</v>
      </c>
      <c r="B36" s="13" t="s">
        <v>1953</v>
      </c>
      <c r="C36" s="13">
        <v>58270.0</v>
      </c>
      <c r="D36" s="13" t="s">
        <v>1954</v>
      </c>
      <c r="E36" s="38"/>
      <c r="F36" s="81"/>
      <c r="G36" s="82"/>
      <c r="H36" s="41">
        <v>4800.0</v>
      </c>
      <c r="I36" s="83"/>
      <c r="J36" s="85"/>
      <c r="K36" s="51"/>
      <c r="L36" s="21">
        <v>4800.0</v>
      </c>
      <c r="M36" s="22">
        <f t="shared" si="1"/>
        <v>0</v>
      </c>
    </row>
    <row r="37">
      <c r="A37" s="76">
        <v>33.0</v>
      </c>
      <c r="B37" s="13" t="s">
        <v>1955</v>
      </c>
      <c r="C37" s="13">
        <v>57819.0</v>
      </c>
      <c r="D37" s="13" t="s">
        <v>328</v>
      </c>
      <c r="E37" s="46"/>
      <c r="F37" s="81"/>
      <c r="G37" s="82"/>
      <c r="H37" s="41">
        <v>2400.0</v>
      </c>
      <c r="I37" s="83"/>
      <c r="J37" s="84"/>
      <c r="K37" s="51"/>
      <c r="L37" s="21">
        <v>2400.0</v>
      </c>
      <c r="M37" s="22">
        <f t="shared" si="1"/>
        <v>0</v>
      </c>
    </row>
    <row r="38">
      <c r="A38" s="76">
        <v>34.0</v>
      </c>
      <c r="B38" s="13" t="s">
        <v>1956</v>
      </c>
      <c r="C38" s="13">
        <v>10001.0</v>
      </c>
      <c r="D38" s="13" t="s">
        <v>46</v>
      </c>
      <c r="E38" s="46"/>
      <c r="F38" s="81"/>
      <c r="G38" s="82"/>
      <c r="H38" s="41">
        <v>10000.0</v>
      </c>
      <c r="I38" s="83"/>
      <c r="J38" s="84"/>
      <c r="K38" s="51"/>
      <c r="L38" s="21">
        <v>10000.0</v>
      </c>
      <c r="M38" s="22">
        <f t="shared" si="1"/>
        <v>0</v>
      </c>
    </row>
    <row r="39">
      <c r="A39" s="76">
        <v>35.0</v>
      </c>
      <c r="B39" s="13" t="s">
        <v>1957</v>
      </c>
      <c r="C39" s="13">
        <v>46778.0</v>
      </c>
      <c r="D39" s="13" t="s">
        <v>262</v>
      </c>
      <c r="E39" s="38"/>
      <c r="F39" s="81"/>
      <c r="G39" s="82"/>
      <c r="H39" s="41"/>
      <c r="I39" s="83">
        <v>4200.0</v>
      </c>
      <c r="J39" s="84"/>
      <c r="K39" s="51"/>
      <c r="L39" s="21">
        <v>4200.0</v>
      </c>
      <c r="M39" s="22">
        <f t="shared" si="1"/>
        <v>0</v>
      </c>
    </row>
    <row r="40">
      <c r="A40" s="76">
        <v>36.0</v>
      </c>
      <c r="B40" s="13" t="s">
        <v>1958</v>
      </c>
      <c r="C40" s="13">
        <v>50184.0</v>
      </c>
      <c r="D40" s="13" t="s">
        <v>506</v>
      </c>
      <c r="E40" s="38"/>
      <c r="F40" s="81"/>
      <c r="G40" s="82"/>
      <c r="H40" s="41">
        <v>833.0</v>
      </c>
      <c r="I40" s="83"/>
      <c r="J40" s="84"/>
      <c r="K40" s="51"/>
      <c r="L40" s="21">
        <v>833.0</v>
      </c>
      <c r="M40" s="22">
        <f t="shared" si="1"/>
        <v>0</v>
      </c>
    </row>
    <row r="41">
      <c r="A41" s="76">
        <v>37.0</v>
      </c>
      <c r="B41" s="13" t="s">
        <v>1959</v>
      </c>
      <c r="C41" s="13">
        <v>57201.0</v>
      </c>
      <c r="D41" s="13" t="s">
        <v>400</v>
      </c>
      <c r="E41" s="38"/>
      <c r="F41" s="81"/>
      <c r="G41" s="82"/>
      <c r="H41" s="41">
        <v>300.0</v>
      </c>
      <c r="I41" s="83"/>
      <c r="J41" s="84"/>
      <c r="K41" s="51"/>
      <c r="L41" s="21">
        <v>300.0</v>
      </c>
      <c r="M41" s="22">
        <f t="shared" si="1"/>
        <v>0</v>
      </c>
    </row>
    <row r="42">
      <c r="A42" s="76">
        <v>38.0</v>
      </c>
      <c r="B42" s="13" t="s">
        <v>1960</v>
      </c>
      <c r="C42" s="13">
        <v>49655.0</v>
      </c>
      <c r="D42" s="13" t="s">
        <v>134</v>
      </c>
      <c r="E42" s="38"/>
      <c r="F42" s="81"/>
      <c r="G42" s="82"/>
      <c r="H42" s="41"/>
      <c r="I42" s="86">
        <v>2500.0</v>
      </c>
      <c r="J42" s="84"/>
      <c r="K42" s="51"/>
      <c r="L42" s="21">
        <v>2500.0</v>
      </c>
      <c r="M42" s="22">
        <f t="shared" si="1"/>
        <v>0</v>
      </c>
    </row>
    <row r="43">
      <c r="A43" s="76">
        <v>39.0</v>
      </c>
      <c r="B43" s="13" t="s">
        <v>1961</v>
      </c>
      <c r="C43" s="13">
        <v>56669.0</v>
      </c>
      <c r="D43" s="13" t="s">
        <v>1941</v>
      </c>
      <c r="E43" s="46"/>
      <c r="F43" s="81"/>
      <c r="G43" s="82"/>
      <c r="H43" s="41">
        <v>300.0</v>
      </c>
      <c r="I43" s="83"/>
      <c r="J43" s="85"/>
      <c r="K43" s="51"/>
      <c r="L43" s="21">
        <v>300.0</v>
      </c>
      <c r="M43" s="22">
        <f t="shared" si="1"/>
        <v>0</v>
      </c>
    </row>
    <row r="44">
      <c r="A44" s="76">
        <v>40.0</v>
      </c>
      <c r="B44" s="13" t="s">
        <v>1962</v>
      </c>
      <c r="C44" s="13">
        <v>42071.0</v>
      </c>
      <c r="D44" s="13" t="s">
        <v>905</v>
      </c>
      <c r="E44" s="46"/>
      <c r="F44" s="81"/>
      <c r="G44" s="82"/>
      <c r="H44" s="41"/>
      <c r="I44" s="83">
        <v>3900.0</v>
      </c>
      <c r="J44" s="84"/>
      <c r="K44" s="51"/>
      <c r="L44" s="21">
        <v>3900.0</v>
      </c>
      <c r="M44" s="22">
        <f t="shared" si="1"/>
        <v>0</v>
      </c>
    </row>
    <row r="45">
      <c r="A45" s="76">
        <v>41.0</v>
      </c>
      <c r="B45" s="13" t="s">
        <v>1963</v>
      </c>
      <c r="C45" s="13">
        <v>53455.0</v>
      </c>
      <c r="D45" s="13" t="s">
        <v>635</v>
      </c>
      <c r="E45" s="46"/>
      <c r="F45" s="81"/>
      <c r="G45" s="82"/>
      <c r="H45" s="41"/>
      <c r="I45" s="83">
        <v>5000.0</v>
      </c>
      <c r="J45" s="84"/>
      <c r="K45" s="51"/>
      <c r="L45" s="21">
        <v>5000.0</v>
      </c>
      <c r="M45" s="22">
        <f t="shared" si="1"/>
        <v>0</v>
      </c>
    </row>
    <row r="46">
      <c r="A46" s="76">
        <v>42.0</v>
      </c>
      <c r="B46" s="13" t="s">
        <v>1964</v>
      </c>
      <c r="C46" s="13">
        <v>50436.0</v>
      </c>
      <c r="D46" s="13" t="s">
        <v>561</v>
      </c>
      <c r="E46" s="38"/>
      <c r="F46" s="81"/>
      <c r="G46" s="82"/>
      <c r="H46" s="41">
        <v>1200.0</v>
      </c>
      <c r="I46" s="83"/>
      <c r="J46" s="84"/>
      <c r="K46" s="51"/>
      <c r="L46" s="21">
        <v>1200.0</v>
      </c>
      <c r="M46" s="22">
        <f t="shared" si="1"/>
        <v>0</v>
      </c>
    </row>
    <row r="47">
      <c r="A47" s="76">
        <v>43.0</v>
      </c>
      <c r="B47" s="13" t="s">
        <v>1965</v>
      </c>
      <c r="C47" s="13">
        <v>45937.0</v>
      </c>
      <c r="D47" s="13" t="s">
        <v>885</v>
      </c>
      <c r="E47" s="38"/>
      <c r="F47" s="81"/>
      <c r="G47" s="82"/>
      <c r="H47" s="41">
        <v>350.0</v>
      </c>
      <c r="I47" s="83"/>
      <c r="J47" s="85"/>
      <c r="K47" s="51"/>
      <c r="L47" s="21">
        <v>350.0</v>
      </c>
      <c r="M47" s="22">
        <f t="shared" si="1"/>
        <v>0</v>
      </c>
    </row>
    <row r="48">
      <c r="A48" s="76">
        <v>44.0</v>
      </c>
      <c r="B48" s="13" t="s">
        <v>1966</v>
      </c>
      <c r="C48" s="13">
        <v>43380.0</v>
      </c>
      <c r="D48" s="13" t="s">
        <v>348</v>
      </c>
      <c r="E48" s="38"/>
      <c r="F48" s="81"/>
      <c r="G48" s="87">
        <v>25400.0</v>
      </c>
      <c r="H48" s="41"/>
      <c r="I48" s="83"/>
      <c r="J48" s="84"/>
      <c r="K48" s="51"/>
      <c r="L48" s="21">
        <v>25400.0</v>
      </c>
      <c r="M48" s="22">
        <f t="shared" si="1"/>
        <v>0</v>
      </c>
    </row>
    <row r="49">
      <c r="A49" s="76">
        <v>45.0</v>
      </c>
      <c r="B49" s="13" t="s">
        <v>1967</v>
      </c>
      <c r="C49" s="13">
        <v>55179.0</v>
      </c>
      <c r="D49" s="13" t="s">
        <v>203</v>
      </c>
      <c r="E49" s="38"/>
      <c r="F49" s="81"/>
      <c r="G49" s="87">
        <v>18900.0</v>
      </c>
      <c r="H49" s="41"/>
      <c r="I49" s="83"/>
      <c r="J49" s="84"/>
      <c r="K49" s="51"/>
      <c r="L49" s="21">
        <v>18900.0</v>
      </c>
      <c r="M49" s="22">
        <f t="shared" si="1"/>
        <v>0</v>
      </c>
    </row>
    <row r="50">
      <c r="A50" s="76">
        <v>46.0</v>
      </c>
      <c r="B50" s="13" t="s">
        <v>1968</v>
      </c>
      <c r="C50" s="13">
        <v>49953.0</v>
      </c>
      <c r="D50" s="13" t="s">
        <v>62</v>
      </c>
      <c r="E50" s="38"/>
      <c r="F50" s="81"/>
      <c r="G50" s="87">
        <v>1250.0</v>
      </c>
      <c r="H50" s="41"/>
      <c r="I50" s="83"/>
      <c r="J50" s="84"/>
      <c r="K50" s="51"/>
      <c r="L50" s="21">
        <v>1250.0</v>
      </c>
      <c r="M50" s="22">
        <f t="shared" si="1"/>
        <v>0</v>
      </c>
    </row>
    <row r="51">
      <c r="A51" s="76">
        <v>47.0</v>
      </c>
      <c r="B51" s="13" t="s">
        <v>1969</v>
      </c>
      <c r="C51" s="13">
        <v>12102.0</v>
      </c>
      <c r="D51" s="13" t="s">
        <v>113</v>
      </c>
      <c r="E51" s="38"/>
      <c r="F51" s="81"/>
      <c r="G51" s="87">
        <v>1898.0</v>
      </c>
      <c r="H51" s="41"/>
      <c r="I51" s="83"/>
      <c r="J51" s="84"/>
      <c r="K51" s="51"/>
      <c r="L51" s="21">
        <v>1898.0</v>
      </c>
      <c r="M51" s="22">
        <f t="shared" si="1"/>
        <v>0</v>
      </c>
    </row>
    <row r="52">
      <c r="A52" s="76">
        <v>48.0</v>
      </c>
      <c r="B52" s="13" t="s">
        <v>1970</v>
      </c>
      <c r="C52" s="13">
        <v>55008.0</v>
      </c>
      <c r="D52" s="13" t="s">
        <v>1937</v>
      </c>
      <c r="E52" s="38"/>
      <c r="F52" s="81"/>
      <c r="G52" s="87">
        <v>5150.0</v>
      </c>
      <c r="H52" s="41"/>
      <c r="I52" s="83"/>
      <c r="J52" s="84"/>
      <c r="K52" s="51"/>
      <c r="L52" s="21">
        <v>5150.0</v>
      </c>
      <c r="M52" s="22">
        <f t="shared" si="1"/>
        <v>0</v>
      </c>
    </row>
    <row r="53">
      <c r="A53" s="76">
        <v>49.0</v>
      </c>
      <c r="B53" s="13" t="s">
        <v>1971</v>
      </c>
      <c r="C53" s="13">
        <v>55179.0</v>
      </c>
      <c r="D53" s="13" t="s">
        <v>203</v>
      </c>
      <c r="E53" s="38"/>
      <c r="F53" s="81"/>
      <c r="G53" s="87">
        <v>3500.0</v>
      </c>
      <c r="H53" s="41"/>
      <c r="I53" s="83"/>
      <c r="J53" s="84"/>
      <c r="K53" s="51"/>
      <c r="L53" s="21">
        <v>3500.0</v>
      </c>
      <c r="M53" s="22">
        <f t="shared" si="1"/>
        <v>0</v>
      </c>
    </row>
    <row r="54">
      <c r="A54" s="76">
        <v>50.0</v>
      </c>
      <c r="B54" s="13" t="s">
        <v>1972</v>
      </c>
      <c r="C54" s="13">
        <v>49918.0</v>
      </c>
      <c r="D54" s="13" t="s">
        <v>781</v>
      </c>
      <c r="E54" s="38"/>
      <c r="F54" s="81"/>
      <c r="G54" s="87">
        <v>1250.0</v>
      </c>
      <c r="H54" s="41"/>
      <c r="I54" s="83"/>
      <c r="J54" s="84"/>
      <c r="K54" s="51"/>
      <c r="L54" s="21">
        <v>1250.0</v>
      </c>
      <c r="M54" s="22">
        <f t="shared" si="1"/>
        <v>0</v>
      </c>
    </row>
    <row r="55">
      <c r="A55" s="76">
        <v>51.0</v>
      </c>
      <c r="B55" s="13" t="s">
        <v>1973</v>
      </c>
      <c r="C55" s="13">
        <v>50070.0</v>
      </c>
      <c r="D55" s="13" t="s">
        <v>1785</v>
      </c>
      <c r="E55" s="38"/>
      <c r="F55" s="81"/>
      <c r="G55" s="87">
        <v>350.0</v>
      </c>
      <c r="H55" s="41"/>
      <c r="I55" s="83"/>
      <c r="J55" s="84"/>
      <c r="K55" s="51"/>
      <c r="L55" s="21">
        <v>350.0</v>
      </c>
      <c r="M55" s="22">
        <f t="shared" si="1"/>
        <v>0</v>
      </c>
    </row>
    <row r="56">
      <c r="A56" s="30"/>
      <c r="B56" s="12"/>
      <c r="C56" s="12"/>
      <c r="D56" s="73"/>
      <c r="E56" s="32">
        <f t="shared" ref="E56:L56" si="2">SUM(E5:E55)</f>
        <v>350</v>
      </c>
      <c r="F56" s="32">
        <f t="shared" si="2"/>
        <v>3050</v>
      </c>
      <c r="G56" s="32">
        <f t="shared" si="2"/>
        <v>57698</v>
      </c>
      <c r="H56" s="32">
        <f t="shared" si="2"/>
        <v>148274</v>
      </c>
      <c r="I56" s="32">
        <f t="shared" si="2"/>
        <v>87650</v>
      </c>
      <c r="J56" s="32">
        <f t="shared" si="2"/>
        <v>300</v>
      </c>
      <c r="K56" s="32">
        <f t="shared" si="2"/>
        <v>0</v>
      </c>
      <c r="L56" s="32">
        <f t="shared" si="2"/>
        <v>302322</v>
      </c>
      <c r="M56" s="22">
        <f t="shared" si="1"/>
        <v>-5000</v>
      </c>
    </row>
    <row r="57">
      <c r="A57" s="33"/>
      <c r="B57" s="63"/>
      <c r="C57" s="63"/>
      <c r="D57" s="74"/>
      <c r="E57" s="34">
        <f>E56+F56+G56+H56+I56+J56+K56</f>
        <v>297322</v>
      </c>
      <c r="F57" s="6"/>
      <c r="G57" s="6"/>
      <c r="H57" s="6"/>
      <c r="I57" s="6"/>
      <c r="J57" s="6"/>
      <c r="K57" s="7"/>
      <c r="L57" s="35"/>
      <c r="M57" s="33"/>
    </row>
    <row r="58">
      <c r="B58" s="64"/>
      <c r="C58" s="64"/>
      <c r="D58" s="75"/>
    </row>
    <row r="59">
      <c r="B59" s="64"/>
      <c r="C59" s="64"/>
      <c r="D59" s="75"/>
    </row>
    <row r="60">
      <c r="B60" s="64"/>
      <c r="C60" s="64"/>
      <c r="D60" s="75"/>
    </row>
    <row r="61">
      <c r="B61" s="64"/>
      <c r="C61" s="64"/>
      <c r="D61" s="75"/>
      <c r="H61" s="55" t="s">
        <v>588</v>
      </c>
    </row>
    <row r="62">
      <c r="B62" s="64"/>
      <c r="C62" s="64"/>
      <c r="D62" s="75"/>
    </row>
    <row r="63">
      <c r="B63" s="64"/>
      <c r="C63" s="64"/>
      <c r="D63" s="75"/>
      <c r="H63" s="55" t="s">
        <v>485</v>
      </c>
    </row>
    <row r="64">
      <c r="B64" s="64"/>
      <c r="C64" s="64"/>
      <c r="D64" s="75"/>
    </row>
    <row r="65">
      <c r="B65" s="64"/>
      <c r="C65" s="64"/>
      <c r="D65" s="75"/>
    </row>
    <row r="66">
      <c r="B66" s="64"/>
      <c r="C66" s="64"/>
      <c r="D66" s="75"/>
    </row>
    <row r="67">
      <c r="B67" s="64"/>
      <c r="C67" s="64"/>
      <c r="D67" s="75"/>
    </row>
    <row r="68">
      <c r="B68" s="64"/>
      <c r="C68" s="64"/>
      <c r="D68" s="75"/>
    </row>
    <row r="69">
      <c r="B69" s="64"/>
      <c r="C69" s="64"/>
      <c r="D69" s="75"/>
    </row>
    <row r="70">
      <c r="B70" s="64"/>
      <c r="C70" s="64"/>
      <c r="D70" s="75"/>
    </row>
    <row r="71">
      <c r="B71" s="64"/>
      <c r="C71" s="64"/>
      <c r="D71" s="75"/>
    </row>
    <row r="72">
      <c r="B72" s="64"/>
      <c r="C72" s="64"/>
      <c r="D72" s="75"/>
    </row>
    <row r="73">
      <c r="B73" s="64"/>
      <c r="C73" s="64"/>
      <c r="D73" s="75"/>
    </row>
    <row r="74">
      <c r="B74" s="64"/>
      <c r="C74" s="64"/>
      <c r="D74" s="75"/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</sheetData>
  <mergeCells count="14">
    <mergeCell ref="F3:G3"/>
    <mergeCell ref="H3:I3"/>
    <mergeCell ref="J3:J4"/>
    <mergeCell ref="K3:K4"/>
    <mergeCell ref="E57:K5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1974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56" t="s">
        <v>1975</v>
      </c>
      <c r="C5" s="56">
        <v>51521.0</v>
      </c>
      <c r="D5" s="56" t="s">
        <v>1976</v>
      </c>
      <c r="E5" s="89"/>
      <c r="F5" s="81"/>
      <c r="G5" s="82"/>
      <c r="H5" s="90"/>
      <c r="I5" s="83">
        <v>5000.0</v>
      </c>
      <c r="J5" s="84"/>
      <c r="K5" s="83"/>
      <c r="L5" s="45">
        <v>5000.0</v>
      </c>
      <c r="M5" s="22">
        <f t="shared" ref="M5:M71" si="1">SUM(E5+F5+G5+H5+I5+J5+K5-L5)</f>
        <v>0</v>
      </c>
    </row>
    <row r="6">
      <c r="A6" s="76">
        <v>2.0</v>
      </c>
      <c r="B6" s="56" t="s">
        <v>1977</v>
      </c>
      <c r="C6" s="56">
        <v>50871.0</v>
      </c>
      <c r="D6" s="56" t="s">
        <v>48</v>
      </c>
      <c r="E6" s="89"/>
      <c r="F6" s="81"/>
      <c r="G6" s="82"/>
      <c r="H6" s="90">
        <v>39250.0</v>
      </c>
      <c r="I6" s="83"/>
      <c r="J6" s="85"/>
      <c r="K6" s="91"/>
      <c r="L6" s="45">
        <v>39250.0</v>
      </c>
      <c r="M6" s="22">
        <f t="shared" si="1"/>
        <v>0</v>
      </c>
      <c r="O6" s="55" t="s">
        <v>485</v>
      </c>
    </row>
    <row r="7">
      <c r="A7" s="76">
        <v>3.0</v>
      </c>
      <c r="B7" s="56" t="s">
        <v>1978</v>
      </c>
      <c r="C7" s="56">
        <v>50331.0</v>
      </c>
      <c r="D7" s="56" t="s">
        <v>1979</v>
      </c>
      <c r="E7" s="89"/>
      <c r="F7" s="81"/>
      <c r="G7" s="82"/>
      <c r="H7" s="90"/>
      <c r="I7" s="83">
        <v>5150.0</v>
      </c>
      <c r="J7" s="84"/>
      <c r="K7" s="91"/>
      <c r="L7" s="45">
        <v>5150.0</v>
      </c>
      <c r="M7" s="22">
        <f t="shared" si="1"/>
        <v>0</v>
      </c>
    </row>
    <row r="8">
      <c r="A8" s="76">
        <v>4.0</v>
      </c>
      <c r="B8" s="56" t="s">
        <v>1980</v>
      </c>
      <c r="C8" s="56">
        <v>10320.0</v>
      </c>
      <c r="D8" s="56" t="s">
        <v>84</v>
      </c>
      <c r="E8" s="92"/>
      <c r="F8" s="81"/>
      <c r="G8" s="82"/>
      <c r="H8" s="90">
        <v>10000.0</v>
      </c>
      <c r="I8" s="83"/>
      <c r="J8" s="84"/>
      <c r="K8" s="91"/>
      <c r="L8" s="45">
        <v>10000.0</v>
      </c>
      <c r="M8" s="22">
        <f t="shared" si="1"/>
        <v>0</v>
      </c>
    </row>
    <row r="9">
      <c r="A9" s="76">
        <v>5.0</v>
      </c>
      <c r="B9" s="56" t="s">
        <v>1981</v>
      </c>
      <c r="C9" s="56">
        <v>51970.0</v>
      </c>
      <c r="D9" s="56" t="s">
        <v>403</v>
      </c>
      <c r="E9" s="89"/>
      <c r="F9" s="81"/>
      <c r="G9" s="82"/>
      <c r="H9" s="90">
        <v>10000.0</v>
      </c>
      <c r="I9" s="83"/>
      <c r="J9" s="85"/>
      <c r="K9" s="91"/>
      <c r="L9" s="45">
        <v>10000.0</v>
      </c>
      <c r="M9" s="22">
        <f t="shared" si="1"/>
        <v>0</v>
      </c>
    </row>
    <row r="10">
      <c r="A10" s="76">
        <v>6.0</v>
      </c>
      <c r="B10" s="56" t="s">
        <v>1982</v>
      </c>
      <c r="C10" s="56">
        <v>49655.0</v>
      </c>
      <c r="D10" s="56" t="s">
        <v>134</v>
      </c>
      <c r="E10" s="89"/>
      <c r="F10" s="81"/>
      <c r="G10" s="82"/>
      <c r="H10" s="90"/>
      <c r="I10" s="83">
        <v>1750.0</v>
      </c>
      <c r="J10" s="84"/>
      <c r="K10" s="91"/>
      <c r="L10" s="45">
        <v>1750.0</v>
      </c>
      <c r="M10" s="22">
        <f t="shared" si="1"/>
        <v>0</v>
      </c>
    </row>
    <row r="11">
      <c r="A11" s="76">
        <v>7.0</v>
      </c>
      <c r="B11" s="56" t="s">
        <v>1983</v>
      </c>
      <c r="C11" s="56">
        <v>51782.0</v>
      </c>
      <c r="D11" s="56" t="s">
        <v>1394</v>
      </c>
      <c r="E11" s="92"/>
      <c r="F11" s="81"/>
      <c r="G11" s="82"/>
      <c r="H11" s="90"/>
      <c r="I11" s="83">
        <v>350.0</v>
      </c>
      <c r="J11" s="85"/>
      <c r="K11" s="91"/>
      <c r="L11" s="45">
        <v>350.0</v>
      </c>
      <c r="M11" s="22">
        <f t="shared" si="1"/>
        <v>0</v>
      </c>
    </row>
    <row r="12">
      <c r="A12" s="76">
        <v>8.0</v>
      </c>
      <c r="B12" s="56" t="s">
        <v>1984</v>
      </c>
      <c r="C12" s="56">
        <v>53710.0</v>
      </c>
      <c r="D12" s="56" t="s">
        <v>1985</v>
      </c>
      <c r="E12" s="92"/>
      <c r="F12" s="81"/>
      <c r="G12" s="82"/>
      <c r="H12" s="90"/>
      <c r="I12" s="83">
        <v>10000.0</v>
      </c>
      <c r="J12" s="84"/>
      <c r="K12" s="91"/>
      <c r="L12" s="45">
        <v>10000.0</v>
      </c>
      <c r="M12" s="22">
        <f t="shared" si="1"/>
        <v>0</v>
      </c>
    </row>
    <row r="13">
      <c r="A13" s="76">
        <v>9.0</v>
      </c>
      <c r="B13" s="56" t="s">
        <v>1986</v>
      </c>
      <c r="C13" s="56">
        <v>10320.0</v>
      </c>
      <c r="D13" s="56" t="s">
        <v>84</v>
      </c>
      <c r="E13" s="92"/>
      <c r="F13" s="81">
        <v>5350.0</v>
      </c>
      <c r="G13" s="82"/>
      <c r="H13" s="90"/>
      <c r="I13" s="83"/>
      <c r="J13" s="84"/>
      <c r="K13" s="91"/>
      <c r="L13" s="45">
        <v>5350.0</v>
      </c>
      <c r="M13" s="22">
        <f t="shared" si="1"/>
        <v>0</v>
      </c>
    </row>
    <row r="14">
      <c r="A14" s="76">
        <v>10.0</v>
      </c>
      <c r="B14" s="56" t="s">
        <v>1987</v>
      </c>
      <c r="C14" s="56">
        <v>57759.0</v>
      </c>
      <c r="D14" s="56" t="s">
        <v>1988</v>
      </c>
      <c r="E14" s="92"/>
      <c r="F14" s="81">
        <v>27000.0</v>
      </c>
      <c r="G14" s="82"/>
      <c r="H14" s="90"/>
      <c r="I14" s="83"/>
      <c r="J14" s="84"/>
      <c r="K14" s="91"/>
      <c r="L14" s="45">
        <v>27000.0</v>
      </c>
      <c r="M14" s="22">
        <f t="shared" si="1"/>
        <v>0</v>
      </c>
    </row>
    <row r="15">
      <c r="A15" s="76">
        <v>11.0</v>
      </c>
      <c r="B15" s="56" t="s">
        <v>1989</v>
      </c>
      <c r="C15" s="56">
        <v>10320.0</v>
      </c>
      <c r="D15" s="56" t="s">
        <v>84</v>
      </c>
      <c r="E15" s="89">
        <v>54.0</v>
      </c>
      <c r="F15" s="81">
        <v>80.0</v>
      </c>
      <c r="G15" s="82"/>
      <c r="H15" s="90"/>
      <c r="I15" s="83"/>
      <c r="J15" s="85"/>
      <c r="K15" s="91"/>
      <c r="L15" s="45">
        <v>134.0</v>
      </c>
      <c r="M15" s="22">
        <f t="shared" si="1"/>
        <v>0</v>
      </c>
    </row>
    <row r="16">
      <c r="A16" s="76">
        <v>12.0</v>
      </c>
      <c r="B16" s="56" t="s">
        <v>1990</v>
      </c>
      <c r="C16" s="56">
        <v>45937.0</v>
      </c>
      <c r="D16" s="56" t="s">
        <v>885</v>
      </c>
      <c r="E16" s="92"/>
      <c r="F16" s="81"/>
      <c r="G16" s="82"/>
      <c r="H16" s="90">
        <v>5000.0</v>
      </c>
      <c r="I16" s="83"/>
      <c r="J16" s="85"/>
      <c r="K16" s="91"/>
      <c r="L16" s="45">
        <v>5000.0</v>
      </c>
      <c r="M16" s="22">
        <f t="shared" si="1"/>
        <v>0</v>
      </c>
    </row>
    <row r="17">
      <c r="A17" s="76">
        <v>13.0</v>
      </c>
      <c r="B17" s="56" t="s">
        <v>1991</v>
      </c>
      <c r="C17" s="56">
        <v>48631.0</v>
      </c>
      <c r="D17" s="56" t="s">
        <v>123</v>
      </c>
      <c r="E17" s="89"/>
      <c r="F17" s="81"/>
      <c r="G17" s="82"/>
      <c r="H17" s="90">
        <v>1050.0</v>
      </c>
      <c r="I17" s="83"/>
      <c r="J17" s="84"/>
      <c r="K17" s="91"/>
      <c r="L17" s="45">
        <v>1050.0</v>
      </c>
      <c r="M17" s="22">
        <f t="shared" si="1"/>
        <v>0</v>
      </c>
    </row>
    <row r="18">
      <c r="A18" s="76">
        <v>14.0</v>
      </c>
      <c r="B18" s="56" t="s">
        <v>1992</v>
      </c>
      <c r="C18" s="56">
        <v>10001.0</v>
      </c>
      <c r="D18" s="56" t="s">
        <v>46</v>
      </c>
      <c r="E18" s="89"/>
      <c r="F18" s="81"/>
      <c r="G18" s="82"/>
      <c r="H18" s="90">
        <v>2650.0</v>
      </c>
      <c r="I18" s="83"/>
      <c r="J18" s="84"/>
      <c r="K18" s="91"/>
      <c r="L18" s="45">
        <v>2650.0</v>
      </c>
      <c r="M18" s="22">
        <f t="shared" si="1"/>
        <v>0</v>
      </c>
    </row>
    <row r="19">
      <c r="A19" s="76">
        <v>15.0</v>
      </c>
      <c r="B19" s="56" t="s">
        <v>1993</v>
      </c>
      <c r="C19" s="56">
        <v>51782.0</v>
      </c>
      <c r="D19" s="56" t="s">
        <v>1394</v>
      </c>
      <c r="E19" s="89"/>
      <c r="F19" s="81"/>
      <c r="G19" s="82"/>
      <c r="H19" s="90"/>
      <c r="I19" s="83">
        <v>350.0</v>
      </c>
      <c r="J19" s="84"/>
      <c r="K19" s="91"/>
      <c r="L19" s="45">
        <v>350.0</v>
      </c>
      <c r="M19" s="22">
        <f t="shared" si="1"/>
        <v>0</v>
      </c>
    </row>
    <row r="20">
      <c r="A20" s="76">
        <v>16.0</v>
      </c>
      <c r="B20" s="56" t="s">
        <v>1994</v>
      </c>
      <c r="C20" s="56">
        <v>52214.0</v>
      </c>
      <c r="D20" s="56" t="s">
        <v>92</v>
      </c>
      <c r="E20" s="92"/>
      <c r="F20" s="81"/>
      <c r="G20" s="82"/>
      <c r="H20" s="90">
        <v>2500.0</v>
      </c>
      <c r="I20" s="83"/>
      <c r="J20" s="84"/>
      <c r="K20" s="91"/>
      <c r="L20" s="45">
        <v>2500.0</v>
      </c>
      <c r="M20" s="22">
        <f t="shared" si="1"/>
        <v>0</v>
      </c>
    </row>
    <row r="21">
      <c r="A21" s="76">
        <v>17.0</v>
      </c>
      <c r="B21" s="56" t="s">
        <v>1995</v>
      </c>
      <c r="C21" s="56">
        <v>10734.0</v>
      </c>
      <c r="D21" s="56" t="s">
        <v>1996</v>
      </c>
      <c r="E21" s="89">
        <v>3980.0</v>
      </c>
      <c r="F21" s="81"/>
      <c r="G21" s="82"/>
      <c r="H21" s="90"/>
      <c r="I21" s="83"/>
      <c r="J21" s="84"/>
      <c r="K21" s="91"/>
      <c r="L21" s="45">
        <v>3980.0</v>
      </c>
      <c r="M21" s="22">
        <f t="shared" si="1"/>
        <v>0</v>
      </c>
    </row>
    <row r="22">
      <c r="A22" s="76">
        <v>18.0</v>
      </c>
      <c r="B22" s="56" t="s">
        <v>1997</v>
      </c>
      <c r="C22" s="56">
        <v>53093.0</v>
      </c>
      <c r="D22" s="56" t="s">
        <v>1227</v>
      </c>
      <c r="E22" s="92"/>
      <c r="F22" s="81"/>
      <c r="G22" s="82"/>
      <c r="H22" s="90"/>
      <c r="I22" s="83">
        <v>5000.0</v>
      </c>
      <c r="J22" s="84"/>
      <c r="K22" s="91"/>
      <c r="L22" s="45">
        <v>5000.0</v>
      </c>
      <c r="M22" s="22">
        <f t="shared" si="1"/>
        <v>0</v>
      </c>
    </row>
    <row r="23">
      <c r="A23" s="76">
        <v>19.0</v>
      </c>
      <c r="B23" s="56" t="s">
        <v>1998</v>
      </c>
      <c r="C23" s="56">
        <v>56387.0</v>
      </c>
      <c r="D23" s="56" t="s">
        <v>185</v>
      </c>
      <c r="E23" s="92"/>
      <c r="F23" s="81"/>
      <c r="G23" s="82"/>
      <c r="H23" s="90"/>
      <c r="I23" s="83">
        <v>59000.0</v>
      </c>
      <c r="J23" s="84"/>
      <c r="K23" s="91"/>
      <c r="L23" s="45">
        <v>59000.0</v>
      </c>
      <c r="M23" s="22">
        <f t="shared" si="1"/>
        <v>0</v>
      </c>
    </row>
    <row r="24">
      <c r="A24" s="76">
        <v>20.0</v>
      </c>
      <c r="B24" s="56" t="s">
        <v>1999</v>
      </c>
      <c r="C24" s="56">
        <v>50444.0</v>
      </c>
      <c r="D24" s="56" t="s">
        <v>2000</v>
      </c>
      <c r="E24" s="92"/>
      <c r="F24" s="81"/>
      <c r="G24" s="82"/>
      <c r="H24" s="90">
        <v>300.0</v>
      </c>
      <c r="I24" s="83"/>
      <c r="J24" s="84"/>
      <c r="K24" s="91"/>
      <c r="L24" s="45">
        <v>300.0</v>
      </c>
      <c r="M24" s="22">
        <f t="shared" si="1"/>
        <v>0</v>
      </c>
    </row>
    <row r="25">
      <c r="A25" s="76">
        <v>21.0</v>
      </c>
      <c r="B25" s="56" t="s">
        <v>2001</v>
      </c>
      <c r="C25" s="56">
        <v>53283.0</v>
      </c>
      <c r="D25" s="56" t="s">
        <v>1416</v>
      </c>
      <c r="E25" s="92"/>
      <c r="F25" s="81">
        <v>2500.0</v>
      </c>
      <c r="G25" s="82"/>
      <c r="H25" s="90"/>
      <c r="I25" s="83"/>
      <c r="J25" s="85"/>
      <c r="K25" s="91"/>
      <c r="L25" s="45">
        <v>2500.0</v>
      </c>
      <c r="M25" s="22">
        <f t="shared" si="1"/>
        <v>0</v>
      </c>
    </row>
    <row r="26">
      <c r="A26" s="76">
        <v>22.0</v>
      </c>
      <c r="B26" s="56" t="s">
        <v>2002</v>
      </c>
      <c r="C26" s="56">
        <v>22280.0</v>
      </c>
      <c r="D26" s="56" t="s">
        <v>2003</v>
      </c>
      <c r="E26" s="92"/>
      <c r="F26" s="81"/>
      <c r="G26" s="82"/>
      <c r="H26" s="90">
        <v>3600.0</v>
      </c>
      <c r="I26" s="83"/>
      <c r="J26" s="85"/>
      <c r="K26" s="91"/>
      <c r="L26" s="45">
        <v>3600.0</v>
      </c>
      <c r="M26" s="22">
        <f t="shared" si="1"/>
        <v>0</v>
      </c>
    </row>
    <row r="27">
      <c r="A27" s="76">
        <v>23.0</v>
      </c>
      <c r="B27" s="56" t="s">
        <v>2004</v>
      </c>
      <c r="C27" s="56">
        <v>52032.0</v>
      </c>
      <c r="D27" s="56" t="s">
        <v>217</v>
      </c>
      <c r="E27" s="92"/>
      <c r="F27" s="81"/>
      <c r="G27" s="82"/>
      <c r="H27" s="90">
        <v>10000.0</v>
      </c>
      <c r="I27" s="83"/>
      <c r="J27" s="84"/>
      <c r="K27" s="91"/>
      <c r="L27" s="45">
        <v>10000.0</v>
      </c>
      <c r="M27" s="22">
        <f t="shared" si="1"/>
        <v>0</v>
      </c>
    </row>
    <row r="28">
      <c r="A28" s="76">
        <v>24.0</v>
      </c>
      <c r="B28" s="56" t="s">
        <v>2005</v>
      </c>
      <c r="C28" s="56">
        <v>21384.0</v>
      </c>
      <c r="D28" s="56" t="s">
        <v>151</v>
      </c>
      <c r="E28" s="92"/>
      <c r="F28" s="81"/>
      <c r="G28" s="82"/>
      <c r="H28" s="90">
        <v>2500.0</v>
      </c>
      <c r="I28" s="83"/>
      <c r="J28" s="84"/>
      <c r="K28" s="91"/>
      <c r="L28" s="45">
        <v>2500.0</v>
      </c>
      <c r="M28" s="22">
        <f t="shared" si="1"/>
        <v>0</v>
      </c>
    </row>
    <row r="29">
      <c r="A29" s="76">
        <v>25.0</v>
      </c>
      <c r="B29" s="56" t="s">
        <v>2006</v>
      </c>
      <c r="C29" s="56">
        <v>55558.0</v>
      </c>
      <c r="D29" s="56" t="s">
        <v>2007</v>
      </c>
      <c r="E29" s="89"/>
      <c r="F29" s="81"/>
      <c r="G29" s="82"/>
      <c r="H29" s="90"/>
      <c r="I29" s="83">
        <v>300.0</v>
      </c>
      <c r="J29" s="85"/>
      <c r="K29" s="91"/>
      <c r="L29" s="45">
        <v>300.0</v>
      </c>
      <c r="M29" s="22">
        <f t="shared" si="1"/>
        <v>0</v>
      </c>
    </row>
    <row r="30">
      <c r="A30" s="76">
        <v>26.0</v>
      </c>
      <c r="B30" s="56" t="s">
        <v>2008</v>
      </c>
      <c r="C30" s="56">
        <v>58282.0</v>
      </c>
      <c r="D30" s="56" t="s">
        <v>2009</v>
      </c>
      <c r="E30" s="92"/>
      <c r="F30" s="81"/>
      <c r="G30" s="82"/>
      <c r="H30" s="90"/>
      <c r="I30" s="83">
        <v>27000.0</v>
      </c>
      <c r="J30" s="84"/>
      <c r="K30" s="91"/>
      <c r="L30" s="45">
        <v>27000.0</v>
      </c>
      <c r="M30" s="22">
        <f t="shared" si="1"/>
        <v>0</v>
      </c>
    </row>
    <row r="31">
      <c r="A31" s="76">
        <v>27.0</v>
      </c>
      <c r="B31" s="56" t="s">
        <v>2010</v>
      </c>
      <c r="C31" s="56">
        <v>52725.0</v>
      </c>
      <c r="D31" s="56" t="s">
        <v>2011</v>
      </c>
      <c r="E31" s="92"/>
      <c r="F31" s="81"/>
      <c r="G31" s="82"/>
      <c r="H31" s="90"/>
      <c r="I31" s="83">
        <v>30000.0</v>
      </c>
      <c r="J31" s="84"/>
      <c r="K31" s="91"/>
      <c r="L31" s="45">
        <v>30000.0</v>
      </c>
      <c r="M31" s="22">
        <f t="shared" si="1"/>
        <v>0</v>
      </c>
    </row>
    <row r="32">
      <c r="A32" s="76">
        <v>28.0</v>
      </c>
      <c r="B32" s="56" t="s">
        <v>2012</v>
      </c>
      <c r="C32" s="56">
        <v>36555.0</v>
      </c>
      <c r="D32" s="56" t="s">
        <v>389</v>
      </c>
      <c r="E32" s="89"/>
      <c r="F32" s="81"/>
      <c r="G32" s="82"/>
      <c r="H32" s="90">
        <v>10000.0</v>
      </c>
      <c r="I32" s="83"/>
      <c r="J32" s="85"/>
      <c r="K32" s="91"/>
      <c r="L32" s="45">
        <v>10000.0</v>
      </c>
      <c r="M32" s="22">
        <f t="shared" si="1"/>
        <v>0</v>
      </c>
    </row>
    <row r="33">
      <c r="A33" s="76">
        <v>29.0</v>
      </c>
      <c r="B33" s="56" t="s">
        <v>2013</v>
      </c>
      <c r="C33" s="56">
        <v>48973.0</v>
      </c>
      <c r="D33" s="56" t="s">
        <v>1042</v>
      </c>
      <c r="E33" s="92"/>
      <c r="F33" s="81"/>
      <c r="G33" s="82"/>
      <c r="H33" s="90">
        <v>15000.0</v>
      </c>
      <c r="I33" s="83"/>
      <c r="J33" s="84"/>
      <c r="K33" s="91"/>
      <c r="L33" s="45">
        <v>15000.0</v>
      </c>
      <c r="M33" s="22">
        <f t="shared" si="1"/>
        <v>0</v>
      </c>
    </row>
    <row r="34">
      <c r="A34" s="76">
        <v>30.0</v>
      </c>
      <c r="B34" s="56" t="s">
        <v>2014</v>
      </c>
      <c r="C34" s="56">
        <v>48651.0</v>
      </c>
      <c r="D34" s="56" t="s">
        <v>520</v>
      </c>
      <c r="E34" s="92"/>
      <c r="F34" s="81"/>
      <c r="G34" s="82"/>
      <c r="H34" s="90">
        <v>1400.0</v>
      </c>
      <c r="I34" s="83"/>
      <c r="J34" s="84"/>
      <c r="K34" s="91"/>
      <c r="L34" s="45">
        <v>1400.0</v>
      </c>
      <c r="M34" s="22">
        <f t="shared" si="1"/>
        <v>0</v>
      </c>
    </row>
    <row r="35">
      <c r="A35" s="76">
        <v>31.0</v>
      </c>
      <c r="B35" s="56" t="s">
        <v>2015</v>
      </c>
      <c r="C35" s="56">
        <v>51782.0</v>
      </c>
      <c r="D35" s="56" t="s">
        <v>1394</v>
      </c>
      <c r="E35" s="92"/>
      <c r="F35" s="81"/>
      <c r="G35" s="82"/>
      <c r="H35" s="90"/>
      <c r="I35" s="83">
        <v>350.0</v>
      </c>
      <c r="J35" s="84"/>
      <c r="K35" s="91"/>
      <c r="L35" s="45">
        <v>350.0</v>
      </c>
      <c r="M35" s="22">
        <f t="shared" si="1"/>
        <v>0</v>
      </c>
    </row>
    <row r="36">
      <c r="A36" s="76">
        <v>32.0</v>
      </c>
      <c r="B36" s="56" t="s">
        <v>2016</v>
      </c>
      <c r="C36" s="56">
        <v>52647.0</v>
      </c>
      <c r="D36" s="56" t="s">
        <v>468</v>
      </c>
      <c r="E36" s="89"/>
      <c r="F36" s="81"/>
      <c r="G36" s="82"/>
      <c r="H36" s="90">
        <v>5000.0</v>
      </c>
      <c r="I36" s="83"/>
      <c r="J36" s="85"/>
      <c r="K36" s="91"/>
      <c r="L36" s="45">
        <v>5000.0</v>
      </c>
      <c r="M36" s="22">
        <f t="shared" si="1"/>
        <v>0</v>
      </c>
    </row>
    <row r="37">
      <c r="A37" s="76">
        <v>33.0</v>
      </c>
      <c r="B37" s="56" t="s">
        <v>2017</v>
      </c>
      <c r="C37" s="56">
        <v>52647.0</v>
      </c>
      <c r="D37" s="56" t="s">
        <v>468</v>
      </c>
      <c r="E37" s="92"/>
      <c r="F37" s="81"/>
      <c r="G37" s="82"/>
      <c r="H37" s="90">
        <v>5350.0</v>
      </c>
      <c r="I37" s="83"/>
      <c r="J37" s="84"/>
      <c r="K37" s="91"/>
      <c r="L37" s="45">
        <v>5350.0</v>
      </c>
      <c r="M37" s="22">
        <f t="shared" si="1"/>
        <v>0</v>
      </c>
    </row>
    <row r="38">
      <c r="A38" s="76">
        <v>34.0</v>
      </c>
      <c r="B38" s="56" t="s">
        <v>2018</v>
      </c>
      <c r="C38" s="56">
        <v>21384.0</v>
      </c>
      <c r="D38" s="56" t="s">
        <v>151</v>
      </c>
      <c r="E38" s="92"/>
      <c r="F38" s="81"/>
      <c r="G38" s="82"/>
      <c r="H38" s="90">
        <v>2500.0</v>
      </c>
      <c r="I38" s="83"/>
      <c r="J38" s="84"/>
      <c r="K38" s="91"/>
      <c r="L38" s="45">
        <v>2500.0</v>
      </c>
      <c r="M38" s="22">
        <f t="shared" si="1"/>
        <v>0</v>
      </c>
    </row>
    <row r="39">
      <c r="A39" s="76">
        <v>35.0</v>
      </c>
      <c r="B39" s="56" t="s">
        <v>2019</v>
      </c>
      <c r="C39" s="56">
        <v>43381.0</v>
      </c>
      <c r="D39" s="56" t="s">
        <v>97</v>
      </c>
      <c r="E39" s="89"/>
      <c r="F39" s="81"/>
      <c r="G39" s="82"/>
      <c r="H39" s="90">
        <v>10000.0</v>
      </c>
      <c r="I39" s="83"/>
      <c r="J39" s="84"/>
      <c r="K39" s="91"/>
      <c r="L39" s="45">
        <v>10000.0</v>
      </c>
      <c r="M39" s="22">
        <f t="shared" si="1"/>
        <v>0</v>
      </c>
    </row>
    <row r="40">
      <c r="A40" s="76">
        <v>36.0</v>
      </c>
      <c r="B40" s="56" t="s">
        <v>2020</v>
      </c>
      <c r="C40" s="56">
        <v>52487.0</v>
      </c>
      <c r="D40" s="56" t="s">
        <v>720</v>
      </c>
      <c r="E40" s="89"/>
      <c r="F40" s="81"/>
      <c r="G40" s="82"/>
      <c r="H40" s="90">
        <v>5000.0</v>
      </c>
      <c r="I40" s="83"/>
      <c r="J40" s="84"/>
      <c r="K40" s="91"/>
      <c r="L40" s="45">
        <v>5000.0</v>
      </c>
      <c r="M40" s="22">
        <f t="shared" si="1"/>
        <v>0</v>
      </c>
    </row>
    <row r="41">
      <c r="A41" s="76">
        <v>37.0</v>
      </c>
      <c r="B41" s="56" t="s">
        <v>2021</v>
      </c>
      <c r="C41" s="56">
        <v>43381.0</v>
      </c>
      <c r="D41" s="56" t="s">
        <v>97</v>
      </c>
      <c r="E41" s="89"/>
      <c r="F41" s="81"/>
      <c r="G41" s="82"/>
      <c r="H41" s="90">
        <v>300.0</v>
      </c>
      <c r="I41" s="83"/>
      <c r="J41" s="84"/>
      <c r="K41" s="91"/>
      <c r="L41" s="45">
        <v>300.0</v>
      </c>
      <c r="M41" s="22">
        <f t="shared" si="1"/>
        <v>0</v>
      </c>
    </row>
    <row r="42">
      <c r="A42" s="76">
        <v>38.0</v>
      </c>
      <c r="B42" s="56" t="s">
        <v>2022</v>
      </c>
      <c r="C42" s="56">
        <v>26831.0</v>
      </c>
      <c r="D42" s="56" t="s">
        <v>191</v>
      </c>
      <c r="E42" s="89"/>
      <c r="F42" s="81"/>
      <c r="G42" s="82"/>
      <c r="H42" s="90"/>
      <c r="I42" s="93">
        <v>15000.0</v>
      </c>
      <c r="J42" s="84"/>
      <c r="K42" s="91"/>
      <c r="L42" s="45">
        <v>15000.0</v>
      </c>
      <c r="M42" s="22">
        <f t="shared" si="1"/>
        <v>0</v>
      </c>
    </row>
    <row r="43">
      <c r="A43" s="76">
        <v>39.0</v>
      </c>
      <c r="B43" s="56" t="s">
        <v>2023</v>
      </c>
      <c r="C43" s="56">
        <v>43381.0</v>
      </c>
      <c r="D43" s="56" t="s">
        <v>97</v>
      </c>
      <c r="E43" s="92"/>
      <c r="F43" s="81"/>
      <c r="G43" s="82"/>
      <c r="H43" s="90">
        <v>5000.0</v>
      </c>
      <c r="I43" s="83"/>
      <c r="J43" s="85"/>
      <c r="K43" s="91"/>
      <c r="L43" s="45">
        <v>5000.0</v>
      </c>
      <c r="M43" s="22">
        <f t="shared" si="1"/>
        <v>0</v>
      </c>
    </row>
    <row r="44">
      <c r="A44" s="76">
        <v>40.0</v>
      </c>
      <c r="B44" s="56" t="s">
        <v>2024</v>
      </c>
      <c r="C44" s="56">
        <v>50595.0</v>
      </c>
      <c r="D44" s="56" t="s">
        <v>305</v>
      </c>
      <c r="E44" s="92"/>
      <c r="F44" s="81"/>
      <c r="G44" s="82"/>
      <c r="H44" s="90">
        <v>5000.0</v>
      </c>
      <c r="I44" s="83"/>
      <c r="J44" s="84"/>
      <c r="K44" s="91"/>
      <c r="L44" s="45">
        <v>5000.0</v>
      </c>
      <c r="M44" s="22">
        <f t="shared" si="1"/>
        <v>0</v>
      </c>
    </row>
    <row r="45">
      <c r="A45" s="76">
        <v>41.0</v>
      </c>
      <c r="B45" s="56" t="s">
        <v>2025</v>
      </c>
      <c r="C45" s="56">
        <v>25541.0</v>
      </c>
      <c r="D45" s="56" t="s">
        <v>515</v>
      </c>
      <c r="E45" s="92"/>
      <c r="F45" s="81">
        <v>18500.0</v>
      </c>
      <c r="G45" s="82"/>
      <c r="H45" s="90"/>
      <c r="I45" s="83"/>
      <c r="J45" s="84"/>
      <c r="K45" s="91"/>
      <c r="L45" s="45">
        <v>18500.0</v>
      </c>
      <c r="M45" s="22">
        <f t="shared" si="1"/>
        <v>0</v>
      </c>
    </row>
    <row r="46">
      <c r="A46" s="76">
        <v>42.0</v>
      </c>
      <c r="B46" s="56" t="s">
        <v>2026</v>
      </c>
      <c r="C46" s="56">
        <v>44149.0</v>
      </c>
      <c r="D46" s="56" t="s">
        <v>44</v>
      </c>
      <c r="E46" s="92"/>
      <c r="F46" s="81"/>
      <c r="G46" s="82"/>
      <c r="H46" s="90">
        <v>453.0</v>
      </c>
      <c r="I46" s="83"/>
      <c r="J46" s="84"/>
      <c r="K46" s="91"/>
      <c r="L46" s="45">
        <v>453.0</v>
      </c>
      <c r="M46" s="22">
        <f t="shared" si="1"/>
        <v>0</v>
      </c>
    </row>
    <row r="47">
      <c r="A47" s="76">
        <v>43.0</v>
      </c>
      <c r="B47" s="56" t="s">
        <v>2027</v>
      </c>
      <c r="C47" s="56">
        <v>50595.0</v>
      </c>
      <c r="D47" s="56" t="s">
        <v>305</v>
      </c>
      <c r="E47" s="92"/>
      <c r="F47" s="81"/>
      <c r="G47" s="82"/>
      <c r="H47" s="90">
        <v>10000.0</v>
      </c>
      <c r="I47" s="83"/>
      <c r="J47" s="84"/>
      <c r="K47" s="91"/>
      <c r="L47" s="45">
        <v>10000.0</v>
      </c>
      <c r="M47" s="22">
        <f t="shared" si="1"/>
        <v>0</v>
      </c>
    </row>
    <row r="48">
      <c r="A48" s="76">
        <v>44.0</v>
      </c>
      <c r="B48" s="56" t="s">
        <v>2028</v>
      </c>
      <c r="C48" s="56">
        <v>48973.0</v>
      </c>
      <c r="D48" s="56" t="s">
        <v>1042</v>
      </c>
      <c r="E48" s="92"/>
      <c r="F48" s="81"/>
      <c r="G48" s="82"/>
      <c r="H48" s="90">
        <v>10700.0</v>
      </c>
      <c r="I48" s="83"/>
      <c r="J48" s="84"/>
      <c r="K48" s="91"/>
      <c r="L48" s="45">
        <v>10700.0</v>
      </c>
      <c r="M48" s="22">
        <f t="shared" si="1"/>
        <v>0</v>
      </c>
    </row>
    <row r="49">
      <c r="A49" s="76">
        <v>45.0</v>
      </c>
      <c r="B49" s="56" t="s">
        <v>2029</v>
      </c>
      <c r="C49" s="56">
        <v>48631.0</v>
      </c>
      <c r="D49" s="56" t="s">
        <v>123</v>
      </c>
      <c r="E49" s="92"/>
      <c r="F49" s="81"/>
      <c r="G49" s="82"/>
      <c r="H49" s="90"/>
      <c r="I49" s="83">
        <v>11750.0</v>
      </c>
      <c r="J49" s="84"/>
      <c r="K49" s="91"/>
      <c r="L49" s="45">
        <v>11750.0</v>
      </c>
      <c r="M49" s="22">
        <f t="shared" si="1"/>
        <v>0</v>
      </c>
    </row>
    <row r="50">
      <c r="A50" s="76">
        <v>46.0</v>
      </c>
      <c r="B50" s="56" t="s">
        <v>2030</v>
      </c>
      <c r="C50" s="56">
        <v>45868.0</v>
      </c>
      <c r="D50" s="56" t="s">
        <v>2031</v>
      </c>
      <c r="E50" s="89">
        <v>4500.0</v>
      </c>
      <c r="F50" s="81"/>
      <c r="G50" s="82"/>
      <c r="H50" s="90"/>
      <c r="I50" s="83"/>
      <c r="J50" s="84"/>
      <c r="K50" s="91"/>
      <c r="L50" s="45">
        <v>4500.0</v>
      </c>
      <c r="M50" s="22">
        <f t="shared" si="1"/>
        <v>0</v>
      </c>
    </row>
    <row r="51">
      <c r="A51" s="76">
        <v>47.0</v>
      </c>
      <c r="B51" s="56" t="s">
        <v>2032</v>
      </c>
      <c r="C51" s="56">
        <v>45868.0</v>
      </c>
      <c r="D51" s="56" t="s">
        <v>2031</v>
      </c>
      <c r="E51" s="89">
        <v>5000.0</v>
      </c>
      <c r="F51" s="81"/>
      <c r="G51" s="82"/>
      <c r="H51" s="90"/>
      <c r="I51" s="83"/>
      <c r="J51" s="84"/>
      <c r="K51" s="91"/>
      <c r="L51" s="45">
        <v>5000.0</v>
      </c>
      <c r="M51" s="22">
        <f t="shared" si="1"/>
        <v>0</v>
      </c>
    </row>
    <row r="52">
      <c r="A52" s="76">
        <v>48.0</v>
      </c>
      <c r="B52" s="56" t="s">
        <v>2033</v>
      </c>
      <c r="C52" s="56">
        <v>45868.0</v>
      </c>
      <c r="D52" s="56" t="s">
        <v>2031</v>
      </c>
      <c r="E52" s="89">
        <v>7100.0</v>
      </c>
      <c r="F52" s="81"/>
      <c r="G52" s="82"/>
      <c r="H52" s="90">
        <v>2200.0</v>
      </c>
      <c r="I52" s="83"/>
      <c r="J52" s="84"/>
      <c r="K52" s="91"/>
      <c r="L52" s="45">
        <v>9300.0</v>
      </c>
      <c r="M52" s="22">
        <f t="shared" si="1"/>
        <v>0</v>
      </c>
    </row>
    <row r="53">
      <c r="A53" s="76">
        <v>49.0</v>
      </c>
      <c r="B53" s="56" t="s">
        <v>2034</v>
      </c>
      <c r="C53" s="56">
        <v>48631.0</v>
      </c>
      <c r="D53" s="56" t="s">
        <v>123</v>
      </c>
      <c r="E53" s="92"/>
      <c r="F53" s="81"/>
      <c r="G53" s="82"/>
      <c r="H53" s="90">
        <v>1250.0</v>
      </c>
      <c r="I53" s="83"/>
      <c r="J53" s="84"/>
      <c r="K53" s="91"/>
      <c r="L53" s="45">
        <v>1250.0</v>
      </c>
      <c r="M53" s="22">
        <f t="shared" si="1"/>
        <v>0</v>
      </c>
    </row>
    <row r="54">
      <c r="A54" s="76">
        <v>50.0</v>
      </c>
      <c r="B54" s="56" t="s">
        <v>2035</v>
      </c>
      <c r="C54" s="56">
        <v>50222.0</v>
      </c>
      <c r="D54" s="56" t="s">
        <v>504</v>
      </c>
      <c r="E54" s="92"/>
      <c r="F54" s="81"/>
      <c r="G54" s="82"/>
      <c r="H54" s="90">
        <v>2639.0</v>
      </c>
      <c r="I54" s="83"/>
      <c r="J54" s="84"/>
      <c r="K54" s="91"/>
      <c r="L54" s="45">
        <v>2639.0</v>
      </c>
      <c r="M54" s="22">
        <f t="shared" si="1"/>
        <v>0</v>
      </c>
    </row>
    <row r="55">
      <c r="A55" s="76">
        <v>51.0</v>
      </c>
      <c r="B55" s="56" t="s">
        <v>2036</v>
      </c>
      <c r="C55" s="56">
        <v>53939.0</v>
      </c>
      <c r="D55" s="56" t="s">
        <v>2037</v>
      </c>
      <c r="E55" s="92"/>
      <c r="F55" s="81"/>
      <c r="G55" s="82"/>
      <c r="H55" s="90">
        <v>300.0</v>
      </c>
      <c r="I55" s="83"/>
      <c r="J55" s="84"/>
      <c r="K55" s="91"/>
      <c r="L55" s="45">
        <v>300.0</v>
      </c>
      <c r="M55" s="22">
        <f t="shared" si="1"/>
        <v>0</v>
      </c>
    </row>
    <row r="56">
      <c r="A56" s="76">
        <v>52.0</v>
      </c>
      <c r="B56" s="56" t="s">
        <v>2038</v>
      </c>
      <c r="C56" s="56">
        <v>51660.0</v>
      </c>
      <c r="D56" s="56" t="s">
        <v>1879</v>
      </c>
      <c r="E56" s="92"/>
      <c r="F56" s="81">
        <v>2500.0</v>
      </c>
      <c r="G56" s="82"/>
      <c r="H56" s="90"/>
      <c r="I56" s="83"/>
      <c r="J56" s="84"/>
      <c r="K56" s="91"/>
      <c r="L56" s="45">
        <v>2500.0</v>
      </c>
      <c r="M56" s="22">
        <f t="shared" si="1"/>
        <v>0</v>
      </c>
    </row>
    <row r="57">
      <c r="A57" s="76">
        <v>53.0</v>
      </c>
      <c r="B57" s="56" t="s">
        <v>2039</v>
      </c>
      <c r="C57" s="56">
        <v>20541.0</v>
      </c>
      <c r="D57" s="56" t="s">
        <v>298</v>
      </c>
      <c r="E57" s="89"/>
      <c r="F57" s="81">
        <v>2500.0</v>
      </c>
      <c r="G57" s="82"/>
      <c r="H57" s="90"/>
      <c r="I57" s="83"/>
      <c r="J57" s="84"/>
      <c r="K57" s="91"/>
      <c r="L57" s="45">
        <v>2500.0</v>
      </c>
      <c r="M57" s="22">
        <f t="shared" si="1"/>
        <v>0</v>
      </c>
    </row>
    <row r="58">
      <c r="A58" s="76">
        <v>54.0</v>
      </c>
      <c r="B58" s="56" t="s">
        <v>2040</v>
      </c>
      <c r="C58" s="56">
        <v>49655.0</v>
      </c>
      <c r="D58" s="56" t="s">
        <v>134</v>
      </c>
      <c r="E58" s="89"/>
      <c r="F58" s="81"/>
      <c r="G58" s="82"/>
      <c r="H58" s="90">
        <v>1250.0</v>
      </c>
      <c r="I58" s="83"/>
      <c r="J58" s="85"/>
      <c r="K58" s="91"/>
      <c r="L58" s="45">
        <v>1250.0</v>
      </c>
      <c r="M58" s="22">
        <f t="shared" si="1"/>
        <v>0</v>
      </c>
    </row>
    <row r="59">
      <c r="A59" s="76">
        <v>55.0</v>
      </c>
      <c r="B59" s="56" t="s">
        <v>2041</v>
      </c>
      <c r="C59" s="56">
        <v>21384.0</v>
      </c>
      <c r="D59" s="56" t="s">
        <v>151</v>
      </c>
      <c r="E59" s="89"/>
      <c r="F59" s="81"/>
      <c r="G59" s="87"/>
      <c r="H59" s="90">
        <v>5350.0</v>
      </c>
      <c r="I59" s="83"/>
      <c r="J59" s="84"/>
      <c r="K59" s="91"/>
      <c r="L59" s="45">
        <v>5350.0</v>
      </c>
      <c r="M59" s="22">
        <f t="shared" si="1"/>
        <v>0</v>
      </c>
    </row>
    <row r="60">
      <c r="A60" s="76">
        <v>56.0</v>
      </c>
      <c r="B60" s="56" t="s">
        <v>2042</v>
      </c>
      <c r="C60" s="56">
        <v>21384.0</v>
      </c>
      <c r="D60" s="56" t="s">
        <v>151</v>
      </c>
      <c r="E60" s="89"/>
      <c r="F60" s="81"/>
      <c r="G60" s="87"/>
      <c r="H60" s="90">
        <v>116.0</v>
      </c>
      <c r="I60" s="83"/>
      <c r="J60" s="84"/>
      <c r="K60" s="91"/>
      <c r="L60" s="45">
        <v>116.0</v>
      </c>
      <c r="M60" s="22">
        <f t="shared" si="1"/>
        <v>0</v>
      </c>
    </row>
    <row r="61">
      <c r="A61" s="76">
        <v>57.0</v>
      </c>
      <c r="B61" s="56" t="s">
        <v>2043</v>
      </c>
      <c r="C61" s="56">
        <v>10255.0</v>
      </c>
      <c r="D61" s="56" t="s">
        <v>300</v>
      </c>
      <c r="E61" s="89"/>
      <c r="F61" s="81"/>
      <c r="G61" s="87"/>
      <c r="H61" s="90"/>
      <c r="I61" s="83">
        <v>25000.0</v>
      </c>
      <c r="J61" s="84"/>
      <c r="K61" s="91"/>
      <c r="L61" s="45">
        <v>25000.0</v>
      </c>
      <c r="M61" s="22">
        <f t="shared" si="1"/>
        <v>0</v>
      </c>
    </row>
    <row r="62">
      <c r="A62" s="76">
        <v>58.0</v>
      </c>
      <c r="B62" s="56" t="s">
        <v>2044</v>
      </c>
      <c r="C62" s="56">
        <v>37196.0</v>
      </c>
      <c r="D62" s="56" t="s">
        <v>2045</v>
      </c>
      <c r="E62" s="89"/>
      <c r="F62" s="81"/>
      <c r="G62" s="87"/>
      <c r="H62" s="90"/>
      <c r="I62" s="83">
        <v>5150.0</v>
      </c>
      <c r="J62" s="84"/>
      <c r="K62" s="91"/>
      <c r="L62" s="45">
        <v>5150.0</v>
      </c>
      <c r="M62" s="22">
        <f t="shared" si="1"/>
        <v>0</v>
      </c>
    </row>
    <row r="63">
      <c r="A63" s="76">
        <v>59.0</v>
      </c>
      <c r="B63" s="56" t="s">
        <v>2046</v>
      </c>
      <c r="C63" s="56">
        <v>50221.0</v>
      </c>
      <c r="D63" s="56" t="s">
        <v>864</v>
      </c>
      <c r="E63" s="89"/>
      <c r="F63" s="81"/>
      <c r="G63" s="87">
        <v>2500.0</v>
      </c>
      <c r="H63" s="90"/>
      <c r="I63" s="83"/>
      <c r="J63" s="84"/>
      <c r="K63" s="91"/>
      <c r="L63" s="45">
        <v>2500.0</v>
      </c>
      <c r="M63" s="22">
        <f t="shared" si="1"/>
        <v>0</v>
      </c>
    </row>
    <row r="64">
      <c r="A64" s="76">
        <v>60.0</v>
      </c>
      <c r="B64" s="56" t="s">
        <v>2047</v>
      </c>
      <c r="C64" s="56">
        <v>55179.0</v>
      </c>
      <c r="D64" s="56" t="s">
        <v>203</v>
      </c>
      <c r="E64" s="89"/>
      <c r="F64" s="81"/>
      <c r="G64" s="87">
        <v>5350.0</v>
      </c>
      <c r="H64" s="90"/>
      <c r="I64" s="83"/>
      <c r="J64" s="84"/>
      <c r="K64" s="91"/>
      <c r="L64" s="45">
        <v>5350.0</v>
      </c>
      <c r="M64" s="22">
        <f t="shared" si="1"/>
        <v>0</v>
      </c>
    </row>
    <row r="65">
      <c r="A65" s="76">
        <v>61.0</v>
      </c>
      <c r="B65" s="56" t="s">
        <v>2048</v>
      </c>
      <c r="C65" s="56">
        <v>50221.0</v>
      </c>
      <c r="D65" s="56" t="s">
        <v>864</v>
      </c>
      <c r="E65" s="89"/>
      <c r="F65" s="81"/>
      <c r="G65" s="87">
        <v>2650.0</v>
      </c>
      <c r="H65" s="90"/>
      <c r="I65" s="83"/>
      <c r="J65" s="84"/>
      <c r="K65" s="91"/>
      <c r="L65" s="45">
        <v>2650.0</v>
      </c>
      <c r="M65" s="22">
        <f t="shared" si="1"/>
        <v>0</v>
      </c>
    </row>
    <row r="66">
      <c r="A66" s="76">
        <v>62.0</v>
      </c>
      <c r="B66" s="56" t="s">
        <v>2049</v>
      </c>
      <c r="C66" s="56">
        <v>49953.0</v>
      </c>
      <c r="D66" s="56" t="s">
        <v>62</v>
      </c>
      <c r="E66" s="89"/>
      <c r="F66" s="81"/>
      <c r="G66" s="87">
        <v>28250.0</v>
      </c>
      <c r="H66" s="90"/>
      <c r="I66" s="83"/>
      <c r="J66" s="84"/>
      <c r="K66" s="91"/>
      <c r="L66" s="45">
        <v>28250.0</v>
      </c>
      <c r="M66" s="22">
        <f t="shared" si="1"/>
        <v>0</v>
      </c>
    </row>
    <row r="67">
      <c r="A67" s="76">
        <v>63.0</v>
      </c>
      <c r="B67" s="56" t="s">
        <v>2050</v>
      </c>
      <c r="C67" s="56">
        <v>30909.0</v>
      </c>
      <c r="D67" s="56" t="s">
        <v>684</v>
      </c>
      <c r="E67" s="89"/>
      <c r="F67" s="81"/>
      <c r="G67" s="87">
        <v>8100.0</v>
      </c>
      <c r="H67" s="90"/>
      <c r="I67" s="83"/>
      <c r="J67" s="84"/>
      <c r="K67" s="91"/>
      <c r="L67" s="45">
        <v>8100.0</v>
      </c>
      <c r="M67" s="22">
        <f t="shared" si="1"/>
        <v>0</v>
      </c>
    </row>
    <row r="68">
      <c r="A68" s="76">
        <v>64.0</v>
      </c>
      <c r="B68" s="56" t="s">
        <v>2051</v>
      </c>
      <c r="C68" s="56">
        <v>54335.0</v>
      </c>
      <c r="D68" s="56" t="s">
        <v>1323</v>
      </c>
      <c r="E68" s="89"/>
      <c r="F68" s="81"/>
      <c r="G68" s="87"/>
      <c r="H68" s="90"/>
      <c r="I68" s="83"/>
      <c r="J68" s="85">
        <v>10000.0</v>
      </c>
      <c r="K68" s="91"/>
      <c r="L68" s="45">
        <v>10000.0</v>
      </c>
      <c r="M68" s="22">
        <f t="shared" si="1"/>
        <v>0</v>
      </c>
    </row>
    <row r="69">
      <c r="A69" s="76">
        <v>65.0</v>
      </c>
      <c r="B69" s="56" t="s">
        <v>2052</v>
      </c>
      <c r="C69" s="56">
        <v>49918.0</v>
      </c>
      <c r="D69" s="56" t="s">
        <v>781</v>
      </c>
      <c r="E69" s="89"/>
      <c r="F69" s="81"/>
      <c r="G69" s="87">
        <v>2500.0</v>
      </c>
      <c r="H69" s="90"/>
      <c r="I69" s="83"/>
      <c r="J69" s="84"/>
      <c r="K69" s="91"/>
      <c r="L69" s="45">
        <v>2500.0</v>
      </c>
      <c r="M69" s="22">
        <f t="shared" si="1"/>
        <v>0</v>
      </c>
    </row>
    <row r="70">
      <c r="A70" s="76">
        <v>66.0</v>
      </c>
      <c r="B70" s="56" t="s">
        <v>2053</v>
      </c>
      <c r="C70" s="56">
        <v>49918.0</v>
      </c>
      <c r="D70" s="56" t="s">
        <v>781</v>
      </c>
      <c r="E70" s="89"/>
      <c r="F70" s="81"/>
      <c r="G70" s="87">
        <v>2500.0</v>
      </c>
      <c r="H70" s="90"/>
      <c r="I70" s="83"/>
      <c r="J70" s="84"/>
      <c r="K70" s="91"/>
      <c r="L70" s="45">
        <v>2500.0</v>
      </c>
      <c r="M70" s="22">
        <f t="shared" si="1"/>
        <v>0</v>
      </c>
    </row>
    <row r="71">
      <c r="A71" s="30"/>
      <c r="B71" s="12"/>
      <c r="C71" s="12"/>
      <c r="D71" s="73"/>
      <c r="E71" s="32">
        <f t="shared" ref="E71:L71" si="2">SUM(E5:E70)</f>
        <v>20634</v>
      </c>
      <c r="F71" s="32">
        <f t="shared" si="2"/>
        <v>58430</v>
      </c>
      <c r="G71" s="32">
        <f t="shared" si="2"/>
        <v>51850</v>
      </c>
      <c r="H71" s="32">
        <f t="shared" si="2"/>
        <v>185658</v>
      </c>
      <c r="I71" s="32">
        <f t="shared" si="2"/>
        <v>201150</v>
      </c>
      <c r="J71" s="32">
        <f t="shared" si="2"/>
        <v>10000</v>
      </c>
      <c r="K71" s="32">
        <f t="shared" si="2"/>
        <v>0</v>
      </c>
      <c r="L71" s="32">
        <f t="shared" si="2"/>
        <v>527722</v>
      </c>
      <c r="M71" s="22">
        <f t="shared" si="1"/>
        <v>0</v>
      </c>
    </row>
    <row r="72">
      <c r="A72" s="33"/>
      <c r="B72" s="63"/>
      <c r="C72" s="63"/>
      <c r="D72" s="74"/>
      <c r="E72" s="34">
        <f>E71+F71+G71+H71+I71+J71+K71</f>
        <v>527722</v>
      </c>
      <c r="F72" s="6"/>
      <c r="G72" s="6"/>
      <c r="H72" s="6"/>
      <c r="I72" s="6"/>
      <c r="J72" s="6"/>
      <c r="K72" s="7"/>
      <c r="L72" s="35"/>
      <c r="M72" s="33"/>
    </row>
    <row r="73">
      <c r="B73" s="64"/>
      <c r="C73" s="64"/>
      <c r="D73" s="75"/>
    </row>
    <row r="74">
      <c r="B74" s="64"/>
      <c r="C74" s="64"/>
      <c r="D74" s="75"/>
    </row>
    <row r="75">
      <c r="B75" s="64"/>
      <c r="C75" s="64"/>
      <c r="D75" s="75"/>
    </row>
    <row r="76">
      <c r="B76" s="64"/>
      <c r="C76" s="64"/>
      <c r="D76" s="75"/>
      <c r="H76" s="55" t="s">
        <v>588</v>
      </c>
    </row>
    <row r="77">
      <c r="B77" s="64"/>
      <c r="C77" s="64"/>
      <c r="D77" s="75"/>
    </row>
    <row r="78">
      <c r="B78" s="64"/>
      <c r="C78" s="64"/>
      <c r="D78" s="75"/>
      <c r="H78" s="55" t="s">
        <v>485</v>
      </c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</sheetData>
  <mergeCells count="14">
    <mergeCell ref="F3:G3"/>
    <mergeCell ref="H3:I3"/>
    <mergeCell ref="J3:J4"/>
    <mergeCell ref="K3:K4"/>
    <mergeCell ref="E72:K7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3.13"/>
    <col customWidth="1" min="5" max="5" width="9.5"/>
  </cols>
  <sheetData>
    <row r="1">
      <c r="A1" s="1" t="s">
        <v>2054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94" t="s">
        <v>2055</v>
      </c>
      <c r="C5" s="94">
        <v>50871.0</v>
      </c>
      <c r="D5" s="94" t="s">
        <v>48</v>
      </c>
      <c r="E5" s="27"/>
      <c r="F5" s="25"/>
      <c r="G5" s="16"/>
      <c r="H5" s="95">
        <v>35400.0</v>
      </c>
      <c r="I5" s="88"/>
      <c r="J5" s="68"/>
      <c r="K5" s="88"/>
      <c r="L5" s="80">
        <v>35400.0</v>
      </c>
      <c r="M5" s="22">
        <f t="shared" ref="M5:M66" si="1">SUM(E5+F5+G5+H5+I5+J5+K5-L5)</f>
        <v>0</v>
      </c>
    </row>
    <row r="6">
      <c r="A6" s="76">
        <v>2.0</v>
      </c>
      <c r="B6" s="94" t="s">
        <v>2056</v>
      </c>
      <c r="C6" s="94">
        <v>51976.0</v>
      </c>
      <c r="D6" s="94" t="s">
        <v>975</v>
      </c>
      <c r="E6" s="27"/>
      <c r="F6" s="25"/>
      <c r="G6" s="16"/>
      <c r="H6" s="95"/>
      <c r="I6" s="88">
        <v>10000.0</v>
      </c>
      <c r="J6" s="70"/>
      <c r="K6" s="96"/>
      <c r="L6" s="80">
        <v>10000.0</v>
      </c>
      <c r="M6" s="22">
        <f t="shared" si="1"/>
        <v>0</v>
      </c>
      <c r="O6" s="55" t="s">
        <v>485</v>
      </c>
    </row>
    <row r="7">
      <c r="A7" s="76">
        <v>3.0</v>
      </c>
      <c r="B7" s="94" t="s">
        <v>2057</v>
      </c>
      <c r="C7" s="94">
        <v>53455.0</v>
      </c>
      <c r="D7" s="94" t="s">
        <v>635</v>
      </c>
      <c r="E7" s="27"/>
      <c r="F7" s="25"/>
      <c r="G7" s="16"/>
      <c r="H7" s="95"/>
      <c r="I7" s="88">
        <v>1250.0</v>
      </c>
      <c r="J7" s="68"/>
      <c r="K7" s="96"/>
      <c r="L7" s="80">
        <v>1250.0</v>
      </c>
      <c r="M7" s="22">
        <f t="shared" si="1"/>
        <v>0</v>
      </c>
    </row>
    <row r="8">
      <c r="A8" s="76">
        <v>4.0</v>
      </c>
      <c r="B8" s="94" t="s">
        <v>2058</v>
      </c>
      <c r="C8" s="94">
        <v>21821.0</v>
      </c>
      <c r="D8" s="94" t="s">
        <v>959</v>
      </c>
      <c r="E8" s="29"/>
      <c r="F8" s="25"/>
      <c r="G8" s="16"/>
      <c r="H8" s="95"/>
      <c r="I8" s="88"/>
      <c r="J8" s="70">
        <v>350.0</v>
      </c>
      <c r="K8" s="96"/>
      <c r="L8" s="80">
        <v>350.0</v>
      </c>
      <c r="M8" s="22">
        <f t="shared" si="1"/>
        <v>0</v>
      </c>
    </row>
    <row r="9">
      <c r="A9" s="76">
        <v>5.0</v>
      </c>
      <c r="B9" s="94" t="s">
        <v>2059</v>
      </c>
      <c r="C9" s="94">
        <v>10320.0</v>
      </c>
      <c r="D9" s="94" t="s">
        <v>84</v>
      </c>
      <c r="E9" s="27"/>
      <c r="F9" s="25"/>
      <c r="G9" s="16"/>
      <c r="H9" s="95">
        <v>10700.0</v>
      </c>
      <c r="I9" s="88"/>
      <c r="J9" s="70"/>
      <c r="K9" s="96"/>
      <c r="L9" s="80">
        <v>10700.0</v>
      </c>
      <c r="M9" s="22">
        <f t="shared" si="1"/>
        <v>0</v>
      </c>
    </row>
    <row r="10">
      <c r="A10" s="76">
        <v>6.0</v>
      </c>
      <c r="B10" s="94" t="s">
        <v>2060</v>
      </c>
      <c r="C10" s="94">
        <v>54820.0</v>
      </c>
      <c r="D10" s="94" t="s">
        <v>198</v>
      </c>
      <c r="E10" s="27"/>
      <c r="F10" s="25"/>
      <c r="G10" s="16"/>
      <c r="H10" s="95"/>
      <c r="I10" s="88">
        <v>350.0</v>
      </c>
      <c r="J10" s="68"/>
      <c r="K10" s="96"/>
      <c r="L10" s="80">
        <v>350.0</v>
      </c>
      <c r="M10" s="22">
        <f t="shared" si="1"/>
        <v>0</v>
      </c>
    </row>
    <row r="11">
      <c r="A11" s="76">
        <v>7.0</v>
      </c>
      <c r="B11" s="94" t="s">
        <v>2061</v>
      </c>
      <c r="C11" s="94">
        <v>10250.0</v>
      </c>
      <c r="D11" s="94" t="s">
        <v>115</v>
      </c>
      <c r="E11" s="29"/>
      <c r="F11" s="25"/>
      <c r="G11" s="16"/>
      <c r="H11" s="95"/>
      <c r="I11" s="88">
        <v>350.0</v>
      </c>
      <c r="J11" s="70"/>
      <c r="K11" s="96"/>
      <c r="L11" s="80">
        <v>350.0</v>
      </c>
      <c r="M11" s="22">
        <f t="shared" si="1"/>
        <v>0</v>
      </c>
    </row>
    <row r="12">
      <c r="A12" s="76">
        <v>8.0</v>
      </c>
      <c r="B12" s="94" t="s">
        <v>2062</v>
      </c>
      <c r="C12" s="94">
        <v>52396.0</v>
      </c>
      <c r="D12" s="94" t="s">
        <v>369</v>
      </c>
      <c r="E12" s="29"/>
      <c r="F12" s="25"/>
      <c r="G12" s="16"/>
      <c r="H12" s="95">
        <v>15000.0</v>
      </c>
      <c r="I12" s="88"/>
      <c r="J12" s="68"/>
      <c r="K12" s="96"/>
      <c r="L12" s="80">
        <v>15000.0</v>
      </c>
      <c r="M12" s="22">
        <f t="shared" si="1"/>
        <v>0</v>
      </c>
    </row>
    <row r="13">
      <c r="A13" s="76">
        <v>9.0</v>
      </c>
      <c r="B13" s="94" t="s">
        <v>2063</v>
      </c>
      <c r="C13" s="94">
        <v>58290.0</v>
      </c>
      <c r="D13" s="94" t="s">
        <v>2064</v>
      </c>
      <c r="E13" s="29"/>
      <c r="F13" s="25"/>
      <c r="G13" s="16"/>
      <c r="H13" s="95"/>
      <c r="I13" s="88">
        <v>27000.0</v>
      </c>
      <c r="J13" s="68"/>
      <c r="K13" s="96"/>
      <c r="L13" s="80">
        <v>27000.0</v>
      </c>
      <c r="M13" s="22">
        <f t="shared" si="1"/>
        <v>0</v>
      </c>
    </row>
    <row r="14">
      <c r="A14" s="76">
        <v>10.0</v>
      </c>
      <c r="B14" s="94" t="s">
        <v>2065</v>
      </c>
      <c r="C14" s="94">
        <v>52032.0</v>
      </c>
      <c r="D14" s="94" t="s">
        <v>217</v>
      </c>
      <c r="E14" s="29"/>
      <c r="F14" s="25"/>
      <c r="G14" s="16"/>
      <c r="H14" s="95">
        <v>350.0</v>
      </c>
      <c r="I14" s="88"/>
      <c r="J14" s="68"/>
      <c r="K14" s="96"/>
      <c r="L14" s="80">
        <v>350.0</v>
      </c>
      <c r="M14" s="22">
        <f t="shared" si="1"/>
        <v>0</v>
      </c>
    </row>
    <row r="15">
      <c r="A15" s="76">
        <v>11.0</v>
      </c>
      <c r="B15" s="94" t="s">
        <v>2066</v>
      </c>
      <c r="C15" s="94">
        <v>50538.0</v>
      </c>
      <c r="D15" s="94" t="s">
        <v>680</v>
      </c>
      <c r="E15" s="27"/>
      <c r="F15" s="25"/>
      <c r="G15" s="16"/>
      <c r="H15" s="95">
        <v>1400.0</v>
      </c>
      <c r="I15" s="88"/>
      <c r="J15" s="70"/>
      <c r="K15" s="96"/>
      <c r="L15" s="80">
        <v>1400.0</v>
      </c>
      <c r="M15" s="22">
        <f t="shared" si="1"/>
        <v>0</v>
      </c>
    </row>
    <row r="16">
      <c r="A16" s="76">
        <v>12.0</v>
      </c>
      <c r="B16" s="94" t="s">
        <v>2067</v>
      </c>
      <c r="C16" s="94">
        <v>58291.0</v>
      </c>
      <c r="D16" s="94" t="s">
        <v>2068</v>
      </c>
      <c r="E16" s="29"/>
      <c r="F16" s="25"/>
      <c r="G16" s="16"/>
      <c r="H16" s="95">
        <v>300.0</v>
      </c>
      <c r="I16" s="88"/>
      <c r="J16" s="70"/>
      <c r="K16" s="96"/>
      <c r="L16" s="80">
        <v>300.0</v>
      </c>
      <c r="M16" s="22">
        <f t="shared" si="1"/>
        <v>0</v>
      </c>
    </row>
    <row r="17">
      <c r="A17" s="76">
        <v>13.0</v>
      </c>
      <c r="B17" s="94" t="s">
        <v>2069</v>
      </c>
      <c r="C17" s="94">
        <v>58292.0</v>
      </c>
      <c r="D17" s="94" t="s">
        <v>2070</v>
      </c>
      <c r="E17" s="27"/>
      <c r="F17" s="25"/>
      <c r="G17" s="16"/>
      <c r="H17" s="95">
        <v>300.0</v>
      </c>
      <c r="I17" s="88"/>
      <c r="J17" s="68"/>
      <c r="K17" s="96"/>
      <c r="L17" s="80">
        <v>300.0</v>
      </c>
      <c r="M17" s="22">
        <f t="shared" si="1"/>
        <v>0</v>
      </c>
    </row>
    <row r="18">
      <c r="A18" s="76">
        <v>14.0</v>
      </c>
      <c r="B18" s="94" t="s">
        <v>2071</v>
      </c>
      <c r="C18" s="94">
        <v>41245.0</v>
      </c>
      <c r="D18" s="94" t="s">
        <v>2072</v>
      </c>
      <c r="E18" s="27"/>
      <c r="F18" s="25"/>
      <c r="G18" s="16"/>
      <c r="H18" s="95">
        <v>10000.0</v>
      </c>
      <c r="I18" s="88"/>
      <c r="J18" s="68"/>
      <c r="K18" s="96"/>
      <c r="L18" s="80">
        <v>10000.0</v>
      </c>
      <c r="M18" s="22">
        <f t="shared" si="1"/>
        <v>0</v>
      </c>
    </row>
    <row r="19">
      <c r="A19" s="76">
        <v>15.0</v>
      </c>
      <c r="B19" s="94" t="s">
        <v>2073</v>
      </c>
      <c r="C19" s="94">
        <v>28414.0</v>
      </c>
      <c r="D19" s="94" t="s">
        <v>332</v>
      </c>
      <c r="E19" s="27"/>
      <c r="F19" s="25"/>
      <c r="G19" s="16"/>
      <c r="H19" s="95">
        <v>4200.0</v>
      </c>
      <c r="I19" s="88"/>
      <c r="J19" s="68"/>
      <c r="K19" s="96"/>
      <c r="L19" s="80">
        <v>4200.0</v>
      </c>
      <c r="M19" s="22">
        <f t="shared" si="1"/>
        <v>0</v>
      </c>
    </row>
    <row r="20">
      <c r="A20" s="76">
        <v>16.0</v>
      </c>
      <c r="B20" s="94" t="s">
        <v>2074</v>
      </c>
      <c r="C20" s="94">
        <v>43380.0</v>
      </c>
      <c r="D20" s="94" t="s">
        <v>348</v>
      </c>
      <c r="E20" s="29"/>
      <c r="F20" s="25"/>
      <c r="G20" s="16"/>
      <c r="H20" s="95">
        <v>1250.0</v>
      </c>
      <c r="I20" s="88"/>
      <c r="J20" s="68"/>
      <c r="K20" s="96"/>
      <c r="L20" s="80">
        <v>1250.0</v>
      </c>
      <c r="M20" s="22">
        <f t="shared" si="1"/>
        <v>0</v>
      </c>
    </row>
    <row r="21">
      <c r="A21" s="76">
        <v>17.0</v>
      </c>
      <c r="B21" s="94" t="s">
        <v>2075</v>
      </c>
      <c r="C21" s="94">
        <v>55675.0</v>
      </c>
      <c r="D21" s="94" t="s">
        <v>2076</v>
      </c>
      <c r="E21" s="27"/>
      <c r="F21" s="25"/>
      <c r="G21" s="16"/>
      <c r="H21" s="95"/>
      <c r="I21" s="88">
        <v>2650.0</v>
      </c>
      <c r="J21" s="68"/>
      <c r="K21" s="96"/>
      <c r="L21" s="80">
        <v>2650.0</v>
      </c>
      <c r="M21" s="22">
        <f t="shared" si="1"/>
        <v>0</v>
      </c>
    </row>
    <row r="22">
      <c r="A22" s="76">
        <v>18.0</v>
      </c>
      <c r="B22" s="94" t="s">
        <v>2077</v>
      </c>
      <c r="C22" s="94">
        <v>49272.0</v>
      </c>
      <c r="D22" s="94" t="s">
        <v>1456</v>
      </c>
      <c r="E22" s="29"/>
      <c r="F22" s="25"/>
      <c r="G22" s="16"/>
      <c r="H22" s="95">
        <v>300.0</v>
      </c>
      <c r="I22" s="88"/>
      <c r="J22" s="68"/>
      <c r="K22" s="96"/>
      <c r="L22" s="80">
        <v>300.0</v>
      </c>
      <c r="M22" s="22">
        <f t="shared" si="1"/>
        <v>0</v>
      </c>
    </row>
    <row r="23">
      <c r="A23" s="76">
        <v>19.0</v>
      </c>
      <c r="B23" s="94" t="s">
        <v>2078</v>
      </c>
      <c r="C23" s="94">
        <v>49272.0</v>
      </c>
      <c r="D23" s="94" t="s">
        <v>1456</v>
      </c>
      <c r="E23" s="29"/>
      <c r="F23" s="25"/>
      <c r="G23" s="16"/>
      <c r="H23" s="95">
        <v>300.0</v>
      </c>
      <c r="I23" s="88"/>
      <c r="J23" s="68"/>
      <c r="K23" s="96"/>
      <c r="L23" s="80">
        <v>300.0</v>
      </c>
      <c r="M23" s="22">
        <f t="shared" si="1"/>
        <v>0</v>
      </c>
    </row>
    <row r="24">
      <c r="A24" s="76">
        <v>20.0</v>
      </c>
      <c r="B24" s="94" t="s">
        <v>2079</v>
      </c>
      <c r="C24" s="94">
        <v>48872.0</v>
      </c>
      <c r="D24" s="94" t="s">
        <v>1715</v>
      </c>
      <c r="E24" s="29"/>
      <c r="F24" s="25"/>
      <c r="G24" s="16"/>
      <c r="H24" s="95">
        <v>700.0</v>
      </c>
      <c r="I24" s="88"/>
      <c r="J24" s="68"/>
      <c r="K24" s="96"/>
      <c r="L24" s="80">
        <v>700.0</v>
      </c>
      <c r="M24" s="22">
        <f t="shared" si="1"/>
        <v>0</v>
      </c>
    </row>
    <row r="25">
      <c r="A25" s="76">
        <v>21.0</v>
      </c>
      <c r="B25" s="94" t="s">
        <v>2080</v>
      </c>
      <c r="C25" s="94">
        <v>53829.0</v>
      </c>
      <c r="D25" s="94" t="s">
        <v>2081</v>
      </c>
      <c r="E25" s="29"/>
      <c r="F25" s="25"/>
      <c r="G25" s="16"/>
      <c r="H25" s="95">
        <v>800.0</v>
      </c>
      <c r="I25" s="88"/>
      <c r="J25" s="70"/>
      <c r="K25" s="96"/>
      <c r="L25" s="80">
        <v>800.0</v>
      </c>
      <c r="M25" s="22">
        <f t="shared" si="1"/>
        <v>0</v>
      </c>
    </row>
    <row r="26">
      <c r="A26" s="76">
        <v>22.0</v>
      </c>
      <c r="B26" s="94" t="s">
        <v>2082</v>
      </c>
      <c r="C26" s="94">
        <v>47179.0</v>
      </c>
      <c r="D26" s="94" t="s">
        <v>447</v>
      </c>
      <c r="E26" s="29"/>
      <c r="F26" s="25"/>
      <c r="G26" s="16"/>
      <c r="H26" s="95">
        <v>350.0</v>
      </c>
      <c r="I26" s="88"/>
      <c r="J26" s="70"/>
      <c r="K26" s="96"/>
      <c r="L26" s="80">
        <v>350.0</v>
      </c>
      <c r="M26" s="22">
        <f t="shared" si="1"/>
        <v>0</v>
      </c>
    </row>
    <row r="27">
      <c r="A27" s="76">
        <v>23.0</v>
      </c>
      <c r="B27" s="94" t="s">
        <v>2083</v>
      </c>
      <c r="C27" s="94">
        <v>21384.0</v>
      </c>
      <c r="D27" s="94" t="s">
        <v>151</v>
      </c>
      <c r="E27" s="29"/>
      <c r="F27" s="25"/>
      <c r="G27" s="16"/>
      <c r="H27" s="95">
        <v>350.0</v>
      </c>
      <c r="I27" s="88"/>
      <c r="J27" s="68"/>
      <c r="K27" s="96"/>
      <c r="L27" s="80">
        <v>350.0</v>
      </c>
      <c r="M27" s="22">
        <f t="shared" si="1"/>
        <v>0</v>
      </c>
    </row>
    <row r="28">
      <c r="A28" s="76">
        <v>24.0</v>
      </c>
      <c r="B28" s="94" t="s">
        <v>2084</v>
      </c>
      <c r="C28" s="94">
        <v>39588.0</v>
      </c>
      <c r="D28" s="94" t="s">
        <v>188</v>
      </c>
      <c r="E28" s="29"/>
      <c r="F28" s="25"/>
      <c r="G28" s="16"/>
      <c r="H28" s="95">
        <v>6750.0</v>
      </c>
      <c r="I28" s="88"/>
      <c r="J28" s="68"/>
      <c r="K28" s="96"/>
      <c r="L28" s="80">
        <v>6750.0</v>
      </c>
      <c r="M28" s="22">
        <f t="shared" si="1"/>
        <v>0</v>
      </c>
    </row>
    <row r="29">
      <c r="A29" s="76">
        <v>25.0</v>
      </c>
      <c r="B29" s="94" t="s">
        <v>2085</v>
      </c>
      <c r="C29" s="94">
        <v>51406.0</v>
      </c>
      <c r="D29" s="94" t="s">
        <v>128</v>
      </c>
      <c r="E29" s="27"/>
      <c r="F29" s="25"/>
      <c r="G29" s="16"/>
      <c r="H29" s="95"/>
      <c r="I29" s="88">
        <v>17500.0</v>
      </c>
      <c r="J29" s="70"/>
      <c r="K29" s="96"/>
      <c r="L29" s="80">
        <v>17500.0</v>
      </c>
      <c r="M29" s="22">
        <f t="shared" si="1"/>
        <v>0</v>
      </c>
    </row>
    <row r="30">
      <c r="A30" s="76">
        <v>26.0</v>
      </c>
      <c r="B30" s="94" t="s">
        <v>2086</v>
      </c>
      <c r="C30" s="94">
        <v>57540.0</v>
      </c>
      <c r="D30" s="94" t="s">
        <v>2087</v>
      </c>
      <c r="E30" s="29"/>
      <c r="F30" s="25"/>
      <c r="G30" s="16"/>
      <c r="H30" s="95">
        <v>1427.0</v>
      </c>
      <c r="I30" s="88"/>
      <c r="J30" s="68"/>
      <c r="K30" s="96"/>
      <c r="L30" s="80">
        <v>1427.0</v>
      </c>
      <c r="M30" s="22">
        <f t="shared" si="1"/>
        <v>0</v>
      </c>
    </row>
    <row r="31">
      <c r="A31" s="76">
        <v>27.0</v>
      </c>
      <c r="B31" s="94" t="s">
        <v>2088</v>
      </c>
      <c r="C31" s="94">
        <v>22727.0</v>
      </c>
      <c r="D31" s="94" t="s">
        <v>109</v>
      </c>
      <c r="E31" s="29"/>
      <c r="F31" s="25"/>
      <c r="G31" s="16"/>
      <c r="H31" s="95">
        <v>6250.0</v>
      </c>
      <c r="I31" s="88"/>
      <c r="J31" s="68"/>
      <c r="K31" s="96"/>
      <c r="L31" s="80">
        <v>6250.0</v>
      </c>
      <c r="M31" s="22">
        <f t="shared" si="1"/>
        <v>0</v>
      </c>
    </row>
    <row r="32">
      <c r="A32" s="76">
        <v>28.0</v>
      </c>
      <c r="B32" s="94" t="s">
        <v>2089</v>
      </c>
      <c r="C32" s="94">
        <v>36080.0</v>
      </c>
      <c r="D32" s="94" t="s">
        <v>2090</v>
      </c>
      <c r="E32" s="27"/>
      <c r="F32" s="25"/>
      <c r="G32" s="16"/>
      <c r="H32" s="95">
        <v>5000.0</v>
      </c>
      <c r="I32" s="88"/>
      <c r="J32" s="70"/>
      <c r="K32" s="96"/>
      <c r="L32" s="80">
        <v>5000.0</v>
      </c>
      <c r="M32" s="22">
        <f t="shared" si="1"/>
        <v>0</v>
      </c>
    </row>
    <row r="33">
      <c r="A33" s="76">
        <v>29.0</v>
      </c>
      <c r="B33" s="94" t="s">
        <v>2091</v>
      </c>
      <c r="C33" s="94">
        <v>36080.0</v>
      </c>
      <c r="D33" s="94" t="s">
        <v>2090</v>
      </c>
      <c r="E33" s="29"/>
      <c r="F33" s="25"/>
      <c r="G33" s="16"/>
      <c r="H33" s="95">
        <v>5000.0</v>
      </c>
      <c r="I33" s="88"/>
      <c r="J33" s="68"/>
      <c r="K33" s="96"/>
      <c r="L33" s="80">
        <v>5000.0</v>
      </c>
      <c r="M33" s="22">
        <f t="shared" si="1"/>
        <v>0</v>
      </c>
    </row>
    <row r="34">
      <c r="A34" s="76">
        <v>30.0</v>
      </c>
      <c r="B34" s="94" t="s">
        <v>2092</v>
      </c>
      <c r="C34" s="94">
        <v>52669.0</v>
      </c>
      <c r="D34" s="94" t="s">
        <v>42</v>
      </c>
      <c r="E34" s="29"/>
      <c r="F34" s="25">
        <v>3200.0</v>
      </c>
      <c r="G34" s="16"/>
      <c r="H34" s="95"/>
      <c r="I34" s="88"/>
      <c r="J34" s="68"/>
      <c r="K34" s="96"/>
      <c r="L34" s="80">
        <v>3200.0</v>
      </c>
      <c r="M34" s="22">
        <f t="shared" si="1"/>
        <v>0</v>
      </c>
    </row>
    <row r="35">
      <c r="A35" s="76">
        <v>31.0</v>
      </c>
      <c r="B35" s="94" t="s">
        <v>2093</v>
      </c>
      <c r="C35" s="94">
        <v>53675.0</v>
      </c>
      <c r="D35" s="94" t="s">
        <v>2094</v>
      </c>
      <c r="E35" s="29"/>
      <c r="F35" s="25"/>
      <c r="G35" s="16"/>
      <c r="H35" s="95">
        <v>5000.0</v>
      </c>
      <c r="I35" s="88"/>
      <c r="J35" s="68"/>
      <c r="K35" s="96"/>
      <c r="L35" s="80">
        <v>5000.0</v>
      </c>
      <c r="M35" s="22">
        <f t="shared" si="1"/>
        <v>0</v>
      </c>
    </row>
    <row r="36">
      <c r="A36" s="76">
        <v>32.0</v>
      </c>
      <c r="B36" s="94" t="s">
        <v>2095</v>
      </c>
      <c r="C36" s="94">
        <v>53675.0</v>
      </c>
      <c r="D36" s="94" t="s">
        <v>2094</v>
      </c>
      <c r="E36" s="27"/>
      <c r="F36" s="25"/>
      <c r="G36" s="16"/>
      <c r="H36" s="95">
        <v>5000.0</v>
      </c>
      <c r="I36" s="88"/>
      <c r="J36" s="70"/>
      <c r="K36" s="96"/>
      <c r="L36" s="80">
        <v>5000.0</v>
      </c>
      <c r="M36" s="22">
        <f t="shared" si="1"/>
        <v>0</v>
      </c>
    </row>
    <row r="37">
      <c r="A37" s="76">
        <v>33.0</v>
      </c>
      <c r="B37" s="94" t="s">
        <v>2096</v>
      </c>
      <c r="C37" s="94">
        <v>53429.0</v>
      </c>
      <c r="D37" s="94" t="s">
        <v>2097</v>
      </c>
      <c r="E37" s="29"/>
      <c r="F37" s="25"/>
      <c r="G37" s="16"/>
      <c r="H37" s="95">
        <v>3600.0</v>
      </c>
      <c r="I37" s="88"/>
      <c r="J37" s="68"/>
      <c r="K37" s="96"/>
      <c r="L37" s="80">
        <v>3600.0</v>
      </c>
      <c r="M37" s="22">
        <f t="shared" si="1"/>
        <v>0</v>
      </c>
    </row>
    <row r="38">
      <c r="A38" s="76">
        <v>34.0</v>
      </c>
      <c r="B38" s="94" t="s">
        <v>2098</v>
      </c>
      <c r="C38" s="94">
        <v>43381.0</v>
      </c>
      <c r="D38" s="94" t="s">
        <v>97</v>
      </c>
      <c r="E38" s="29"/>
      <c r="F38" s="25"/>
      <c r="G38" s="16"/>
      <c r="H38" s="95">
        <v>2670.0</v>
      </c>
      <c r="I38" s="88"/>
      <c r="J38" s="68"/>
      <c r="K38" s="96"/>
      <c r="L38" s="80">
        <v>2670.0</v>
      </c>
      <c r="M38" s="22">
        <f t="shared" si="1"/>
        <v>0</v>
      </c>
    </row>
    <row r="39">
      <c r="A39" s="76">
        <v>35.0</v>
      </c>
      <c r="B39" s="94" t="s">
        <v>2099</v>
      </c>
      <c r="C39" s="94">
        <v>10250.0</v>
      </c>
      <c r="D39" s="94" t="s">
        <v>115</v>
      </c>
      <c r="E39" s="27"/>
      <c r="F39" s="25"/>
      <c r="G39" s="16"/>
      <c r="H39" s="95">
        <v>25000.0</v>
      </c>
      <c r="I39" s="88"/>
      <c r="J39" s="68"/>
      <c r="K39" s="96"/>
      <c r="L39" s="80">
        <v>25000.0</v>
      </c>
      <c r="M39" s="22">
        <f t="shared" si="1"/>
        <v>0</v>
      </c>
    </row>
    <row r="40">
      <c r="A40" s="76">
        <v>36.0</v>
      </c>
      <c r="B40" s="94" t="s">
        <v>2100</v>
      </c>
      <c r="C40" s="94">
        <v>57938.0</v>
      </c>
      <c r="D40" s="94" t="s">
        <v>2101</v>
      </c>
      <c r="E40" s="27"/>
      <c r="F40" s="25">
        <v>27000.0</v>
      </c>
      <c r="G40" s="16"/>
      <c r="H40" s="95"/>
      <c r="I40" s="88"/>
      <c r="J40" s="68"/>
      <c r="K40" s="96"/>
      <c r="L40" s="80">
        <v>27000.0</v>
      </c>
      <c r="M40" s="22">
        <f t="shared" si="1"/>
        <v>0</v>
      </c>
    </row>
    <row r="41">
      <c r="A41" s="76">
        <v>37.0</v>
      </c>
      <c r="B41" s="94" t="s">
        <v>2102</v>
      </c>
      <c r="C41" s="94">
        <v>53283.0</v>
      </c>
      <c r="D41" s="94" t="s">
        <v>1416</v>
      </c>
      <c r="E41" s="27"/>
      <c r="F41" s="25">
        <v>1050.0</v>
      </c>
      <c r="G41" s="16"/>
      <c r="H41" s="95"/>
      <c r="I41" s="88"/>
      <c r="J41" s="68"/>
      <c r="K41" s="96"/>
      <c r="L41" s="80">
        <v>1050.0</v>
      </c>
      <c r="M41" s="22">
        <f t="shared" si="1"/>
        <v>0</v>
      </c>
    </row>
    <row r="42">
      <c r="A42" s="76">
        <v>38.0</v>
      </c>
      <c r="B42" s="94" t="s">
        <v>2103</v>
      </c>
      <c r="C42" s="94">
        <v>35227.0</v>
      </c>
      <c r="D42" s="94" t="s">
        <v>670</v>
      </c>
      <c r="E42" s="27">
        <v>350.0</v>
      </c>
      <c r="F42" s="25"/>
      <c r="G42" s="16"/>
      <c r="H42" s="95"/>
      <c r="I42" s="97"/>
      <c r="J42" s="68"/>
      <c r="K42" s="96"/>
      <c r="L42" s="80">
        <v>350.0</v>
      </c>
      <c r="M42" s="22">
        <f t="shared" si="1"/>
        <v>0</v>
      </c>
    </row>
    <row r="43">
      <c r="A43" s="76">
        <v>39.0</v>
      </c>
      <c r="B43" s="94" t="s">
        <v>2104</v>
      </c>
      <c r="C43" s="94">
        <v>50821.0</v>
      </c>
      <c r="D43" s="94" t="s">
        <v>125</v>
      </c>
      <c r="E43" s="29"/>
      <c r="F43" s="25">
        <v>5000.0</v>
      </c>
      <c r="G43" s="16"/>
      <c r="H43" s="95"/>
      <c r="I43" s="88"/>
      <c r="J43" s="70"/>
      <c r="K43" s="96"/>
      <c r="L43" s="80">
        <v>5000.0</v>
      </c>
      <c r="M43" s="22">
        <f t="shared" si="1"/>
        <v>0</v>
      </c>
    </row>
    <row r="44">
      <c r="A44" s="76">
        <v>40.0</v>
      </c>
      <c r="B44" s="94" t="s">
        <v>2105</v>
      </c>
      <c r="C44" s="94">
        <v>48305.0</v>
      </c>
      <c r="D44" s="94" t="s">
        <v>2106</v>
      </c>
      <c r="E44" s="29"/>
      <c r="F44" s="25"/>
      <c r="G44" s="16"/>
      <c r="H44" s="95">
        <v>350.0</v>
      </c>
      <c r="I44" s="88"/>
      <c r="J44" s="68"/>
      <c r="K44" s="96"/>
      <c r="L44" s="80">
        <v>350.0</v>
      </c>
      <c r="M44" s="22">
        <f t="shared" si="1"/>
        <v>0</v>
      </c>
    </row>
    <row r="45">
      <c r="A45" s="76">
        <v>41.0</v>
      </c>
      <c r="B45" s="94" t="s">
        <v>2107</v>
      </c>
      <c r="C45" s="94">
        <v>50821.0</v>
      </c>
      <c r="D45" s="94" t="s">
        <v>125</v>
      </c>
      <c r="E45" s="29"/>
      <c r="F45" s="25">
        <v>900.0</v>
      </c>
      <c r="G45" s="16"/>
      <c r="H45" s="95"/>
      <c r="I45" s="88"/>
      <c r="J45" s="68"/>
      <c r="K45" s="96"/>
      <c r="L45" s="80">
        <v>900.0</v>
      </c>
      <c r="M45" s="22">
        <f t="shared" si="1"/>
        <v>0</v>
      </c>
    </row>
    <row r="46">
      <c r="A46" s="76">
        <v>42.0</v>
      </c>
      <c r="B46" s="94" t="s">
        <v>2108</v>
      </c>
      <c r="C46" s="94">
        <v>10001.0</v>
      </c>
      <c r="D46" s="94" t="s">
        <v>46</v>
      </c>
      <c r="E46" s="29"/>
      <c r="F46" s="25"/>
      <c r="G46" s="16"/>
      <c r="H46" s="95">
        <v>18000.0</v>
      </c>
      <c r="I46" s="88"/>
      <c r="J46" s="68"/>
      <c r="K46" s="96"/>
      <c r="L46" s="80">
        <v>18000.0</v>
      </c>
      <c r="M46" s="22">
        <f t="shared" si="1"/>
        <v>0</v>
      </c>
    </row>
    <row r="47">
      <c r="A47" s="76">
        <v>43.0</v>
      </c>
      <c r="B47" s="94" t="s">
        <v>2109</v>
      </c>
      <c r="C47" s="94">
        <v>44830.0</v>
      </c>
      <c r="D47" s="94" t="s">
        <v>2110</v>
      </c>
      <c r="E47" s="29"/>
      <c r="F47" s="25"/>
      <c r="G47" s="16"/>
      <c r="H47" s="95">
        <v>3600.0</v>
      </c>
      <c r="I47" s="88"/>
      <c r="J47" s="68"/>
      <c r="K47" s="96"/>
      <c r="L47" s="80">
        <v>3600.0</v>
      </c>
      <c r="M47" s="22">
        <f t="shared" si="1"/>
        <v>0</v>
      </c>
    </row>
    <row r="48">
      <c r="A48" s="76">
        <v>44.0</v>
      </c>
      <c r="B48" s="94" t="s">
        <v>2111</v>
      </c>
      <c r="C48" s="94">
        <v>43955.0</v>
      </c>
      <c r="D48" s="94" t="s">
        <v>2112</v>
      </c>
      <c r="E48" s="29"/>
      <c r="F48" s="25"/>
      <c r="G48" s="16"/>
      <c r="H48" s="95">
        <v>3800.0</v>
      </c>
      <c r="I48" s="88"/>
      <c r="J48" s="68"/>
      <c r="K48" s="96"/>
      <c r="L48" s="80">
        <v>3800.0</v>
      </c>
      <c r="M48" s="22">
        <f t="shared" si="1"/>
        <v>0</v>
      </c>
    </row>
    <row r="49">
      <c r="A49" s="76">
        <v>45.0</v>
      </c>
      <c r="B49" s="94" t="s">
        <v>2113</v>
      </c>
      <c r="C49" s="94">
        <v>58288.0</v>
      </c>
      <c r="D49" s="94" t="s">
        <v>2114</v>
      </c>
      <c r="E49" s="29"/>
      <c r="F49" s="25"/>
      <c r="G49" s="16"/>
      <c r="H49" s="95">
        <v>27000.0</v>
      </c>
      <c r="I49" s="88"/>
      <c r="J49" s="68"/>
      <c r="K49" s="96"/>
      <c r="L49" s="80">
        <v>27000.0</v>
      </c>
      <c r="M49" s="22">
        <f t="shared" si="1"/>
        <v>0</v>
      </c>
    </row>
    <row r="50">
      <c r="A50" s="76">
        <v>46.0</v>
      </c>
      <c r="B50" s="94" t="s">
        <v>2115</v>
      </c>
      <c r="C50" s="94">
        <v>50596.0</v>
      </c>
      <c r="D50" s="94" t="s">
        <v>157</v>
      </c>
      <c r="E50" s="27"/>
      <c r="F50" s="25"/>
      <c r="G50" s="16"/>
      <c r="H50" s="95">
        <v>1400.0</v>
      </c>
      <c r="I50" s="88"/>
      <c r="J50" s="68"/>
      <c r="K50" s="96"/>
      <c r="L50" s="80">
        <v>1400.0</v>
      </c>
      <c r="M50" s="22">
        <f t="shared" si="1"/>
        <v>0</v>
      </c>
    </row>
    <row r="51">
      <c r="A51" s="76">
        <v>47.0</v>
      </c>
      <c r="B51" s="94" t="s">
        <v>2116</v>
      </c>
      <c r="C51" s="94">
        <v>48854.0</v>
      </c>
      <c r="D51" s="94" t="s">
        <v>1108</v>
      </c>
      <c r="E51" s="27"/>
      <c r="F51" s="25"/>
      <c r="G51" s="16"/>
      <c r="H51" s="95">
        <v>1150.0</v>
      </c>
      <c r="I51" s="88"/>
      <c r="J51" s="68"/>
      <c r="K51" s="96"/>
      <c r="L51" s="80">
        <v>1150.0</v>
      </c>
      <c r="M51" s="22">
        <f t="shared" si="1"/>
        <v>0</v>
      </c>
    </row>
    <row r="52">
      <c r="A52" s="76">
        <v>48.0</v>
      </c>
      <c r="B52" s="94" t="s">
        <v>2117</v>
      </c>
      <c r="C52" s="94">
        <v>50342.0</v>
      </c>
      <c r="D52" s="94" t="s">
        <v>695</v>
      </c>
      <c r="E52" s="27"/>
      <c r="F52" s="25"/>
      <c r="G52" s="16"/>
      <c r="H52" s="95">
        <v>300.0</v>
      </c>
      <c r="I52" s="88"/>
      <c r="J52" s="68"/>
      <c r="K52" s="96"/>
      <c r="L52" s="80">
        <v>300.0</v>
      </c>
      <c r="M52" s="22">
        <f t="shared" si="1"/>
        <v>0</v>
      </c>
    </row>
    <row r="53">
      <c r="A53" s="76">
        <v>49.0</v>
      </c>
      <c r="B53" s="94" t="s">
        <v>2118</v>
      </c>
      <c r="C53" s="94">
        <v>21384.0</v>
      </c>
      <c r="D53" s="94" t="s">
        <v>151</v>
      </c>
      <c r="E53" s="29"/>
      <c r="F53" s="25"/>
      <c r="G53" s="16"/>
      <c r="H53" s="95">
        <v>1250.0</v>
      </c>
      <c r="I53" s="88"/>
      <c r="J53" s="68"/>
      <c r="K53" s="96"/>
      <c r="L53" s="80">
        <v>1250.0</v>
      </c>
      <c r="M53" s="22">
        <f t="shared" si="1"/>
        <v>0</v>
      </c>
    </row>
    <row r="54">
      <c r="A54" s="76">
        <v>50.0</v>
      </c>
      <c r="B54" s="94" t="s">
        <v>2119</v>
      </c>
      <c r="C54" s="94">
        <v>10037.0</v>
      </c>
      <c r="D54" s="94" t="s">
        <v>1072</v>
      </c>
      <c r="E54" s="29"/>
      <c r="F54" s="25"/>
      <c r="G54" s="16"/>
      <c r="H54" s="95">
        <v>200.0</v>
      </c>
      <c r="I54" s="88"/>
      <c r="J54" s="68"/>
      <c r="K54" s="96"/>
      <c r="L54" s="80">
        <v>200.0</v>
      </c>
      <c r="M54" s="22">
        <f t="shared" si="1"/>
        <v>0</v>
      </c>
    </row>
    <row r="55">
      <c r="A55" s="76">
        <v>51.0</v>
      </c>
      <c r="B55" s="94" t="s">
        <v>2120</v>
      </c>
      <c r="C55" s="94">
        <v>48973.0</v>
      </c>
      <c r="D55" s="94" t="s">
        <v>1042</v>
      </c>
      <c r="E55" s="29"/>
      <c r="F55" s="25"/>
      <c r="G55" s="16"/>
      <c r="H55" s="95">
        <v>600.0</v>
      </c>
      <c r="I55" s="88"/>
      <c r="J55" s="68"/>
      <c r="K55" s="96"/>
      <c r="L55" s="80">
        <v>600.0</v>
      </c>
      <c r="M55" s="22">
        <f t="shared" si="1"/>
        <v>0</v>
      </c>
    </row>
    <row r="56">
      <c r="A56" s="76">
        <v>52.0</v>
      </c>
      <c r="B56" s="94" t="s">
        <v>2121</v>
      </c>
      <c r="C56" s="94">
        <v>56683.0</v>
      </c>
      <c r="D56" s="94" t="s">
        <v>1615</v>
      </c>
      <c r="E56" s="29"/>
      <c r="F56" s="25"/>
      <c r="G56" s="16"/>
      <c r="H56" s="95">
        <v>600.0</v>
      </c>
      <c r="I56" s="88"/>
      <c r="J56" s="68"/>
      <c r="K56" s="96"/>
      <c r="L56" s="80">
        <v>600.0</v>
      </c>
      <c r="M56" s="22">
        <f t="shared" si="1"/>
        <v>0</v>
      </c>
    </row>
    <row r="57">
      <c r="A57" s="76">
        <v>53.0</v>
      </c>
      <c r="B57" s="94" t="s">
        <v>2122</v>
      </c>
      <c r="C57" s="94">
        <v>49953.0</v>
      </c>
      <c r="D57" s="94" t="s">
        <v>62</v>
      </c>
      <c r="E57" s="27"/>
      <c r="F57" s="25"/>
      <c r="G57" s="28">
        <v>8000.0</v>
      </c>
      <c r="H57" s="95"/>
      <c r="I57" s="88"/>
      <c r="J57" s="68"/>
      <c r="K57" s="96"/>
      <c r="L57" s="80">
        <v>8000.0</v>
      </c>
      <c r="M57" s="22">
        <f t="shared" si="1"/>
        <v>0</v>
      </c>
    </row>
    <row r="58">
      <c r="A58" s="76">
        <v>54.0</v>
      </c>
      <c r="B58" s="94" t="s">
        <v>2123</v>
      </c>
      <c r="C58" s="94">
        <v>49655.0</v>
      </c>
      <c r="D58" s="94" t="s">
        <v>134</v>
      </c>
      <c r="E58" s="27"/>
      <c r="F58" s="25"/>
      <c r="G58" s="28">
        <v>6750.0</v>
      </c>
      <c r="H58" s="95"/>
      <c r="I58" s="88"/>
      <c r="J58" s="70"/>
      <c r="K58" s="96"/>
      <c r="L58" s="80">
        <v>6750.0</v>
      </c>
      <c r="M58" s="22">
        <f t="shared" si="1"/>
        <v>0</v>
      </c>
    </row>
    <row r="59">
      <c r="A59" s="76">
        <v>55.0</v>
      </c>
      <c r="B59" s="94" t="s">
        <v>2124</v>
      </c>
      <c r="C59" s="94">
        <v>43380.0</v>
      </c>
      <c r="D59" s="94" t="s">
        <v>348</v>
      </c>
      <c r="E59" s="27"/>
      <c r="F59" s="25"/>
      <c r="G59" s="28">
        <v>1250.0</v>
      </c>
      <c r="H59" s="95"/>
      <c r="I59" s="88"/>
      <c r="J59" s="68"/>
      <c r="K59" s="96"/>
      <c r="L59" s="80">
        <v>1250.0</v>
      </c>
      <c r="M59" s="22">
        <f t="shared" si="1"/>
        <v>0</v>
      </c>
    </row>
    <row r="60">
      <c r="A60" s="76">
        <v>56.0</v>
      </c>
      <c r="B60" s="94" t="s">
        <v>2125</v>
      </c>
      <c r="C60" s="94">
        <v>49918.0</v>
      </c>
      <c r="D60" s="94" t="s">
        <v>781</v>
      </c>
      <c r="E60" s="27"/>
      <c r="F60" s="25"/>
      <c r="G60" s="28">
        <v>1250.0</v>
      </c>
      <c r="H60" s="95"/>
      <c r="I60" s="88"/>
      <c r="J60" s="68"/>
      <c r="K60" s="96"/>
      <c r="L60" s="80">
        <v>1250.0</v>
      </c>
      <c r="M60" s="22">
        <f t="shared" si="1"/>
        <v>0</v>
      </c>
    </row>
    <row r="61">
      <c r="A61" s="76">
        <v>57.0</v>
      </c>
      <c r="B61" s="94" t="s">
        <v>2126</v>
      </c>
      <c r="C61" s="94">
        <v>50222.0</v>
      </c>
      <c r="D61" s="94" t="s">
        <v>504</v>
      </c>
      <c r="E61" s="27"/>
      <c r="F61" s="25"/>
      <c r="G61" s="28">
        <v>28500.0</v>
      </c>
      <c r="H61" s="95"/>
      <c r="I61" s="88"/>
      <c r="J61" s="68"/>
      <c r="K61" s="96"/>
      <c r="L61" s="80">
        <v>28500.0</v>
      </c>
      <c r="M61" s="22">
        <f t="shared" si="1"/>
        <v>0</v>
      </c>
    </row>
    <row r="62">
      <c r="A62" s="76">
        <v>58.0</v>
      </c>
      <c r="B62" s="94" t="s">
        <v>2127</v>
      </c>
      <c r="C62" s="94">
        <v>50221.0</v>
      </c>
      <c r="D62" s="94" t="s">
        <v>864</v>
      </c>
      <c r="E62" s="27"/>
      <c r="F62" s="25"/>
      <c r="G62" s="28">
        <v>2650.0</v>
      </c>
      <c r="H62" s="95"/>
      <c r="I62" s="88"/>
      <c r="J62" s="68"/>
      <c r="K62" s="96"/>
      <c r="L62" s="80">
        <v>2650.0</v>
      </c>
      <c r="M62" s="22">
        <f t="shared" si="1"/>
        <v>0</v>
      </c>
    </row>
    <row r="63">
      <c r="A63" s="76">
        <v>59.0</v>
      </c>
      <c r="B63" s="94" t="s">
        <v>2128</v>
      </c>
      <c r="C63" s="94">
        <v>51305.0</v>
      </c>
      <c r="D63" s="94" t="s">
        <v>170</v>
      </c>
      <c r="E63" s="27"/>
      <c r="F63" s="25"/>
      <c r="G63" s="28">
        <v>350.0</v>
      </c>
      <c r="H63" s="95"/>
      <c r="I63" s="88"/>
      <c r="J63" s="68"/>
      <c r="K63" s="96"/>
      <c r="L63" s="80">
        <v>350.0</v>
      </c>
      <c r="M63" s="22">
        <f t="shared" si="1"/>
        <v>0</v>
      </c>
    </row>
    <row r="64">
      <c r="A64" s="76">
        <v>60.0</v>
      </c>
      <c r="B64" s="94" t="s">
        <v>2129</v>
      </c>
      <c r="C64" s="94">
        <v>35245.0</v>
      </c>
      <c r="D64" s="94" t="s">
        <v>330</v>
      </c>
      <c r="E64" s="27"/>
      <c r="F64" s="25"/>
      <c r="G64" s="28"/>
      <c r="H64" s="95"/>
      <c r="I64" s="88"/>
      <c r="J64" s="70">
        <v>900.0</v>
      </c>
      <c r="K64" s="96"/>
      <c r="L64" s="80">
        <v>900.0</v>
      </c>
      <c r="M64" s="22">
        <f t="shared" si="1"/>
        <v>0</v>
      </c>
    </row>
    <row r="65">
      <c r="A65" s="76"/>
      <c r="B65" s="56"/>
      <c r="C65" s="56"/>
      <c r="D65" s="56"/>
      <c r="E65" s="27"/>
      <c r="F65" s="25"/>
      <c r="G65" s="28"/>
      <c r="H65" s="95"/>
      <c r="I65" s="88"/>
      <c r="J65" s="70"/>
      <c r="K65" s="96"/>
      <c r="L65" s="45"/>
      <c r="M65" s="22">
        <f t="shared" si="1"/>
        <v>0</v>
      </c>
    </row>
    <row r="66">
      <c r="A66" s="30"/>
      <c r="B66" s="12"/>
      <c r="C66" s="12"/>
      <c r="D66" s="73"/>
      <c r="E66" s="32">
        <f t="shared" ref="E66:L66" si="2">SUM(E5:E65)</f>
        <v>350</v>
      </c>
      <c r="F66" s="32">
        <f t="shared" si="2"/>
        <v>37150</v>
      </c>
      <c r="G66" s="32">
        <f t="shared" si="2"/>
        <v>48750</v>
      </c>
      <c r="H66" s="32">
        <f t="shared" si="2"/>
        <v>205647</v>
      </c>
      <c r="I66" s="32">
        <f t="shared" si="2"/>
        <v>59100</v>
      </c>
      <c r="J66" s="32">
        <f t="shared" si="2"/>
        <v>1250</v>
      </c>
      <c r="K66" s="32">
        <f t="shared" si="2"/>
        <v>0</v>
      </c>
      <c r="L66" s="98">
        <f t="shared" si="2"/>
        <v>352247</v>
      </c>
      <c r="M66" s="99">
        <f t="shared" si="1"/>
        <v>0</v>
      </c>
    </row>
    <row r="67">
      <c r="A67" s="33"/>
      <c r="B67" s="63"/>
      <c r="C67" s="63"/>
      <c r="D67" s="74"/>
      <c r="E67" s="100">
        <f>E66+F66+G66+H66+I66+J66+K66</f>
        <v>352247</v>
      </c>
      <c r="F67" s="6"/>
      <c r="G67" s="6"/>
      <c r="H67" s="6"/>
      <c r="I67" s="6"/>
      <c r="J67" s="6"/>
      <c r="K67" s="7"/>
      <c r="L67" s="35"/>
      <c r="M67" s="33"/>
    </row>
    <row r="68">
      <c r="B68" s="64"/>
      <c r="C68" s="64"/>
      <c r="D68" s="75"/>
    </row>
    <row r="69">
      <c r="B69" s="64"/>
      <c r="C69" s="64"/>
      <c r="D69" s="75"/>
    </row>
    <row r="70">
      <c r="B70" s="64"/>
      <c r="C70" s="64"/>
      <c r="D70" s="75"/>
    </row>
    <row r="71">
      <c r="B71" s="64"/>
      <c r="C71" s="64"/>
      <c r="D71" s="75"/>
      <c r="H71" s="55" t="s">
        <v>588</v>
      </c>
    </row>
    <row r="72">
      <c r="B72" s="64"/>
      <c r="C72" s="64"/>
      <c r="D72" s="75"/>
    </row>
    <row r="73">
      <c r="B73" s="64"/>
      <c r="C73" s="64"/>
      <c r="D73" s="75"/>
      <c r="H73" s="55" t="s">
        <v>485</v>
      </c>
    </row>
    <row r="74">
      <c r="B74" s="64"/>
      <c r="C74" s="64"/>
      <c r="D74" s="75"/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</sheetData>
  <mergeCells count="14">
    <mergeCell ref="F3:G3"/>
    <mergeCell ref="H3:I3"/>
    <mergeCell ref="J3:J4"/>
    <mergeCell ref="K3:K4"/>
    <mergeCell ref="E67:K6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5.88"/>
    <col customWidth="1" min="5" max="5" width="9.5"/>
  </cols>
  <sheetData>
    <row r="1">
      <c r="A1" s="1" t="s">
        <v>2130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13" t="s">
        <v>2131</v>
      </c>
      <c r="C5" s="13">
        <v>50342.0</v>
      </c>
      <c r="D5" s="13" t="s">
        <v>695</v>
      </c>
      <c r="E5" s="27"/>
      <c r="F5" s="25"/>
      <c r="G5" s="16"/>
      <c r="H5" s="95"/>
      <c r="I5" s="88"/>
      <c r="J5" s="68"/>
      <c r="K5" s="88">
        <v>10000.0</v>
      </c>
      <c r="L5" s="21">
        <v>10000.0</v>
      </c>
      <c r="M5" s="22">
        <f t="shared" ref="M5:M62" si="1">SUM(E5+F5+G5+H5+I5+J5+K5-L5)</f>
        <v>0</v>
      </c>
    </row>
    <row r="6">
      <c r="A6" s="76">
        <v>2.0</v>
      </c>
      <c r="B6" s="13" t="s">
        <v>2132</v>
      </c>
      <c r="C6" s="13">
        <v>50871.0</v>
      </c>
      <c r="D6" s="13" t="s">
        <v>48</v>
      </c>
      <c r="E6" s="27"/>
      <c r="F6" s="25"/>
      <c r="G6" s="16"/>
      <c r="H6" s="95">
        <v>31050.0</v>
      </c>
      <c r="I6" s="88"/>
      <c r="J6" s="70"/>
      <c r="K6" s="96"/>
      <c r="L6" s="21">
        <v>31050.0</v>
      </c>
      <c r="M6" s="22">
        <f t="shared" si="1"/>
        <v>0</v>
      </c>
      <c r="O6" s="55" t="s">
        <v>485</v>
      </c>
    </row>
    <row r="7">
      <c r="A7" s="76">
        <v>3.0</v>
      </c>
      <c r="B7" s="13" t="s">
        <v>2133</v>
      </c>
      <c r="C7" s="13">
        <v>10250.0</v>
      </c>
      <c r="D7" s="13" t="s">
        <v>115</v>
      </c>
      <c r="E7" s="27"/>
      <c r="F7" s="25"/>
      <c r="G7" s="16"/>
      <c r="H7" s="95">
        <v>2500.0</v>
      </c>
      <c r="I7" s="88"/>
      <c r="J7" s="68"/>
      <c r="K7" s="96"/>
      <c r="L7" s="21">
        <v>2500.0</v>
      </c>
      <c r="M7" s="22">
        <f t="shared" si="1"/>
        <v>0</v>
      </c>
    </row>
    <row r="8">
      <c r="A8" s="76">
        <v>4.0</v>
      </c>
      <c r="B8" s="13" t="s">
        <v>2134</v>
      </c>
      <c r="C8" s="13">
        <v>49655.0</v>
      </c>
      <c r="D8" s="13" t="s">
        <v>134</v>
      </c>
      <c r="E8" s="29"/>
      <c r="F8" s="25"/>
      <c r="G8" s="16"/>
      <c r="H8" s="95">
        <v>1750.0</v>
      </c>
      <c r="I8" s="88"/>
      <c r="J8" s="70"/>
      <c r="K8" s="96"/>
      <c r="L8" s="21">
        <v>1750.0</v>
      </c>
      <c r="M8" s="22">
        <f t="shared" si="1"/>
        <v>0</v>
      </c>
    </row>
    <row r="9">
      <c r="A9" s="76">
        <v>5.0</v>
      </c>
      <c r="B9" s="13" t="s">
        <v>2135</v>
      </c>
      <c r="C9" s="13">
        <v>52396.0</v>
      </c>
      <c r="D9" s="13" t="s">
        <v>369</v>
      </c>
      <c r="E9" s="27"/>
      <c r="F9" s="25"/>
      <c r="G9" s="16"/>
      <c r="H9" s="95"/>
      <c r="I9" s="88">
        <v>15000.0</v>
      </c>
      <c r="J9" s="70"/>
      <c r="K9" s="96"/>
      <c r="L9" s="21">
        <v>15000.0</v>
      </c>
      <c r="M9" s="22">
        <f t="shared" si="1"/>
        <v>0</v>
      </c>
    </row>
    <row r="10">
      <c r="A10" s="76">
        <v>6.0</v>
      </c>
      <c r="B10" s="13" t="s">
        <v>2136</v>
      </c>
      <c r="C10" s="13">
        <v>58309.0</v>
      </c>
      <c r="D10" s="13" t="s">
        <v>2137</v>
      </c>
      <c r="E10" s="27"/>
      <c r="F10" s="25"/>
      <c r="G10" s="16"/>
      <c r="H10" s="95"/>
      <c r="I10" s="88">
        <v>27000.0</v>
      </c>
      <c r="J10" s="68"/>
      <c r="K10" s="96"/>
      <c r="L10" s="21">
        <v>27000.0</v>
      </c>
      <c r="M10" s="22">
        <f t="shared" si="1"/>
        <v>0</v>
      </c>
    </row>
    <row r="11">
      <c r="A11" s="76">
        <v>7.0</v>
      </c>
      <c r="B11" s="13" t="s">
        <v>2138</v>
      </c>
      <c r="C11" s="13">
        <v>47509.0</v>
      </c>
      <c r="D11" s="13" t="s">
        <v>2139</v>
      </c>
      <c r="E11" s="29"/>
      <c r="F11" s="25">
        <v>8400.0</v>
      </c>
      <c r="G11" s="16"/>
      <c r="H11" s="95"/>
      <c r="I11" s="88"/>
      <c r="J11" s="70"/>
      <c r="K11" s="96"/>
      <c r="L11" s="21">
        <v>8400.0</v>
      </c>
      <c r="M11" s="22">
        <f t="shared" si="1"/>
        <v>0</v>
      </c>
    </row>
    <row r="12">
      <c r="A12" s="76">
        <v>8.0</v>
      </c>
      <c r="B12" s="13" t="s">
        <v>2140</v>
      </c>
      <c r="C12" s="13">
        <v>53064.0</v>
      </c>
      <c r="D12" s="13" t="s">
        <v>2141</v>
      </c>
      <c r="E12" s="29"/>
      <c r="F12" s="25"/>
      <c r="G12" s="16"/>
      <c r="H12" s="95"/>
      <c r="I12" s="88">
        <v>5150.0</v>
      </c>
      <c r="J12" s="68"/>
      <c r="K12" s="96"/>
      <c r="L12" s="21">
        <v>5150.0</v>
      </c>
      <c r="M12" s="22">
        <f t="shared" si="1"/>
        <v>0</v>
      </c>
    </row>
    <row r="13">
      <c r="A13" s="76">
        <v>9.0</v>
      </c>
      <c r="B13" s="13" t="s">
        <v>2142</v>
      </c>
      <c r="C13" s="13">
        <v>52662.0</v>
      </c>
      <c r="D13" s="13" t="s">
        <v>2143</v>
      </c>
      <c r="E13" s="29"/>
      <c r="F13" s="25"/>
      <c r="G13" s="16"/>
      <c r="H13" s="95">
        <v>300.0</v>
      </c>
      <c r="I13" s="88"/>
      <c r="J13" s="68"/>
      <c r="K13" s="96"/>
      <c r="L13" s="21">
        <v>300.0</v>
      </c>
      <c r="M13" s="22">
        <f t="shared" si="1"/>
        <v>0</v>
      </c>
    </row>
    <row r="14">
      <c r="A14" s="76">
        <v>10.0</v>
      </c>
      <c r="B14" s="13" t="s">
        <v>2144</v>
      </c>
      <c r="C14" s="13">
        <v>49943.0</v>
      </c>
      <c r="D14" s="13" t="s">
        <v>451</v>
      </c>
      <c r="E14" s="27">
        <v>350.0</v>
      </c>
      <c r="F14" s="25"/>
      <c r="G14" s="16"/>
      <c r="H14" s="95"/>
      <c r="I14" s="88"/>
      <c r="J14" s="68"/>
      <c r="K14" s="96"/>
      <c r="L14" s="21">
        <v>350.0</v>
      </c>
      <c r="M14" s="22">
        <f t="shared" si="1"/>
        <v>0</v>
      </c>
    </row>
    <row r="15">
      <c r="A15" s="76">
        <v>11.0</v>
      </c>
      <c r="B15" s="13" t="s">
        <v>2145</v>
      </c>
      <c r="C15" s="13">
        <v>39820.0</v>
      </c>
      <c r="D15" s="13" t="s">
        <v>2146</v>
      </c>
      <c r="E15" s="27"/>
      <c r="F15" s="25"/>
      <c r="G15" s="16"/>
      <c r="H15" s="95"/>
      <c r="I15" s="88">
        <v>5150.0</v>
      </c>
      <c r="J15" s="70"/>
      <c r="K15" s="96"/>
      <c r="L15" s="21">
        <v>5150.0</v>
      </c>
      <c r="M15" s="22">
        <f t="shared" si="1"/>
        <v>0</v>
      </c>
    </row>
    <row r="16">
      <c r="A16" s="76">
        <v>12.0</v>
      </c>
      <c r="B16" s="13" t="s">
        <v>2147</v>
      </c>
      <c r="C16" s="13">
        <v>57499.0</v>
      </c>
      <c r="D16" s="13" t="s">
        <v>338</v>
      </c>
      <c r="E16" s="29"/>
      <c r="F16" s="25">
        <v>1250.0</v>
      </c>
      <c r="G16" s="16"/>
      <c r="H16" s="95"/>
      <c r="I16" s="88"/>
      <c r="J16" s="70"/>
      <c r="K16" s="96"/>
      <c r="L16" s="21">
        <v>1250.0</v>
      </c>
      <c r="M16" s="22">
        <f t="shared" si="1"/>
        <v>0</v>
      </c>
    </row>
    <row r="17">
      <c r="A17" s="76">
        <v>13.0</v>
      </c>
      <c r="B17" s="13" t="s">
        <v>2148</v>
      </c>
      <c r="C17" s="13">
        <v>20541.0</v>
      </c>
      <c r="D17" s="13" t="s">
        <v>298</v>
      </c>
      <c r="E17" s="27"/>
      <c r="F17" s="25"/>
      <c r="G17" s="16"/>
      <c r="H17" s="95">
        <v>143.0</v>
      </c>
      <c r="I17" s="88"/>
      <c r="J17" s="68"/>
      <c r="K17" s="96"/>
      <c r="L17" s="21">
        <v>143.0</v>
      </c>
      <c r="M17" s="22">
        <f t="shared" si="1"/>
        <v>0</v>
      </c>
    </row>
    <row r="18">
      <c r="A18" s="76">
        <v>14.0</v>
      </c>
      <c r="B18" s="13" t="s">
        <v>2149</v>
      </c>
      <c r="C18" s="13">
        <v>57108.0</v>
      </c>
      <c r="D18" s="13" t="s">
        <v>1294</v>
      </c>
      <c r="E18" s="27"/>
      <c r="F18" s="25"/>
      <c r="G18" s="16"/>
      <c r="H18" s="95"/>
      <c r="I18" s="88">
        <v>5000.0</v>
      </c>
      <c r="J18" s="68"/>
      <c r="K18" s="96"/>
      <c r="L18" s="21">
        <v>5000.0</v>
      </c>
      <c r="M18" s="22">
        <f t="shared" si="1"/>
        <v>0</v>
      </c>
    </row>
    <row r="19">
      <c r="A19" s="76">
        <v>15.0</v>
      </c>
      <c r="B19" s="13" t="s">
        <v>2150</v>
      </c>
      <c r="C19" s="13">
        <v>57108.0</v>
      </c>
      <c r="D19" s="13" t="s">
        <v>1294</v>
      </c>
      <c r="E19" s="27"/>
      <c r="F19" s="25"/>
      <c r="G19" s="16"/>
      <c r="H19" s="95"/>
      <c r="I19" s="88">
        <v>5000.0</v>
      </c>
      <c r="J19" s="68"/>
      <c r="K19" s="96"/>
      <c r="L19" s="21">
        <v>5000.0</v>
      </c>
      <c r="M19" s="22">
        <f t="shared" si="1"/>
        <v>0</v>
      </c>
    </row>
    <row r="20">
      <c r="A20" s="76">
        <v>16.0</v>
      </c>
      <c r="B20" s="13" t="s">
        <v>2151</v>
      </c>
      <c r="C20" s="13">
        <v>53593.0</v>
      </c>
      <c r="D20" s="13" t="s">
        <v>2152</v>
      </c>
      <c r="E20" s="29"/>
      <c r="F20" s="25"/>
      <c r="G20" s="16"/>
      <c r="H20" s="95">
        <v>2500.0</v>
      </c>
      <c r="I20" s="88"/>
      <c r="J20" s="68"/>
      <c r="K20" s="96"/>
      <c r="L20" s="21">
        <v>2500.0</v>
      </c>
      <c r="M20" s="22">
        <f t="shared" si="1"/>
        <v>0</v>
      </c>
    </row>
    <row r="21">
      <c r="A21" s="76">
        <v>17.0</v>
      </c>
      <c r="B21" s="13" t="s">
        <v>2153</v>
      </c>
      <c r="C21" s="13">
        <v>39344.0</v>
      </c>
      <c r="D21" s="13" t="s">
        <v>2154</v>
      </c>
      <c r="E21" s="27"/>
      <c r="F21" s="25"/>
      <c r="G21" s="16"/>
      <c r="H21" s="95"/>
      <c r="I21" s="88">
        <v>6330.0</v>
      </c>
      <c r="J21" s="68"/>
      <c r="K21" s="96"/>
      <c r="L21" s="21">
        <v>6330.0</v>
      </c>
      <c r="M21" s="22">
        <f t="shared" si="1"/>
        <v>0</v>
      </c>
    </row>
    <row r="22">
      <c r="A22" s="76">
        <v>18.0</v>
      </c>
      <c r="B22" s="13" t="s">
        <v>2155</v>
      </c>
      <c r="C22" s="13">
        <v>57499.0</v>
      </c>
      <c r="D22" s="13" t="s">
        <v>338</v>
      </c>
      <c r="E22" s="29"/>
      <c r="F22" s="25">
        <v>700.0</v>
      </c>
      <c r="G22" s="16"/>
      <c r="H22" s="95"/>
      <c r="I22" s="88"/>
      <c r="J22" s="68"/>
      <c r="K22" s="96"/>
      <c r="L22" s="21">
        <v>700.0</v>
      </c>
      <c r="M22" s="22">
        <f t="shared" si="1"/>
        <v>0</v>
      </c>
    </row>
    <row r="23">
      <c r="A23" s="76">
        <v>19.0</v>
      </c>
      <c r="B23" s="13" t="s">
        <v>2156</v>
      </c>
      <c r="C23" s="13">
        <v>50596.0</v>
      </c>
      <c r="D23" s="13" t="s">
        <v>157</v>
      </c>
      <c r="E23" s="29"/>
      <c r="F23" s="25"/>
      <c r="G23" s="16"/>
      <c r="H23" s="95">
        <v>45500.0</v>
      </c>
      <c r="I23" s="88"/>
      <c r="J23" s="68"/>
      <c r="K23" s="96"/>
      <c r="L23" s="21">
        <v>45500.0</v>
      </c>
      <c r="M23" s="22">
        <f t="shared" si="1"/>
        <v>0</v>
      </c>
    </row>
    <row r="24">
      <c r="A24" s="76">
        <v>20.0</v>
      </c>
      <c r="B24" s="13" t="s">
        <v>2157</v>
      </c>
      <c r="C24" s="13">
        <v>10001.0</v>
      </c>
      <c r="D24" s="13" t="s">
        <v>46</v>
      </c>
      <c r="E24" s="29"/>
      <c r="F24" s="25"/>
      <c r="G24" s="16"/>
      <c r="H24" s="95">
        <v>8000.0</v>
      </c>
      <c r="I24" s="88"/>
      <c r="J24" s="68"/>
      <c r="K24" s="96"/>
      <c r="L24" s="21">
        <v>8000.0</v>
      </c>
      <c r="M24" s="22">
        <f t="shared" si="1"/>
        <v>0</v>
      </c>
    </row>
    <row r="25">
      <c r="A25" s="76">
        <v>21.0</v>
      </c>
      <c r="B25" s="13" t="s">
        <v>2158</v>
      </c>
      <c r="C25" s="13">
        <v>45227.0</v>
      </c>
      <c r="D25" s="13" t="s">
        <v>233</v>
      </c>
      <c r="E25" s="29"/>
      <c r="F25" s="25"/>
      <c r="G25" s="16"/>
      <c r="H25" s="95">
        <v>1250.0</v>
      </c>
      <c r="I25" s="88"/>
      <c r="J25" s="70"/>
      <c r="K25" s="96"/>
      <c r="L25" s="21">
        <v>1250.0</v>
      </c>
      <c r="M25" s="22">
        <f t="shared" si="1"/>
        <v>0</v>
      </c>
    </row>
    <row r="26">
      <c r="A26" s="76">
        <v>22.0</v>
      </c>
      <c r="B26" s="13" t="s">
        <v>2159</v>
      </c>
      <c r="C26" s="13">
        <v>52669.0</v>
      </c>
      <c r="D26" s="13" t="s">
        <v>42</v>
      </c>
      <c r="E26" s="29"/>
      <c r="F26" s="25">
        <v>350.0</v>
      </c>
      <c r="G26" s="16"/>
      <c r="H26" s="95"/>
      <c r="I26" s="88"/>
      <c r="J26" s="70"/>
      <c r="K26" s="96"/>
      <c r="L26" s="21">
        <v>350.0</v>
      </c>
      <c r="M26" s="22">
        <f t="shared" si="1"/>
        <v>0</v>
      </c>
    </row>
    <row r="27">
      <c r="A27" s="76">
        <v>23.0</v>
      </c>
      <c r="B27" s="13" t="s">
        <v>2160</v>
      </c>
      <c r="C27" s="13">
        <v>56387.0</v>
      </c>
      <c r="D27" s="13" t="s">
        <v>185</v>
      </c>
      <c r="E27" s="29"/>
      <c r="F27" s="25"/>
      <c r="G27" s="16"/>
      <c r="H27" s="95"/>
      <c r="I27" s="88">
        <v>32000.0</v>
      </c>
      <c r="J27" s="68"/>
      <c r="K27" s="96"/>
      <c r="L27" s="21">
        <v>32000.0</v>
      </c>
      <c r="M27" s="22">
        <f t="shared" si="1"/>
        <v>0</v>
      </c>
    </row>
    <row r="28">
      <c r="A28" s="76">
        <v>24.0</v>
      </c>
      <c r="B28" s="13" t="s">
        <v>2161</v>
      </c>
      <c r="C28" s="13">
        <v>50221.0</v>
      </c>
      <c r="D28" s="13" t="s">
        <v>864</v>
      </c>
      <c r="E28" s="29"/>
      <c r="F28" s="25"/>
      <c r="G28" s="16"/>
      <c r="H28" s="95">
        <v>98.0</v>
      </c>
      <c r="I28" s="88"/>
      <c r="J28" s="68"/>
      <c r="K28" s="96"/>
      <c r="L28" s="21">
        <v>98.0</v>
      </c>
      <c r="M28" s="22">
        <f t="shared" si="1"/>
        <v>0</v>
      </c>
    </row>
    <row r="29">
      <c r="A29" s="76">
        <v>25.0</v>
      </c>
      <c r="B29" s="13" t="s">
        <v>2162</v>
      </c>
      <c r="C29" s="13">
        <v>56387.0</v>
      </c>
      <c r="D29" s="13" t="s">
        <v>185</v>
      </c>
      <c r="E29" s="27"/>
      <c r="F29" s="25"/>
      <c r="G29" s="16"/>
      <c r="H29" s="95"/>
      <c r="I29" s="88">
        <v>15000.0</v>
      </c>
      <c r="J29" s="70"/>
      <c r="K29" s="96"/>
      <c r="L29" s="21">
        <v>15000.0</v>
      </c>
      <c r="M29" s="22">
        <f t="shared" si="1"/>
        <v>0</v>
      </c>
    </row>
    <row r="30">
      <c r="A30" s="76">
        <v>26.0</v>
      </c>
      <c r="B30" s="13" t="s">
        <v>2163</v>
      </c>
      <c r="C30" s="13">
        <v>56433.0</v>
      </c>
      <c r="D30" s="13" t="s">
        <v>2164</v>
      </c>
      <c r="E30" s="29"/>
      <c r="F30" s="25"/>
      <c r="G30" s="16"/>
      <c r="H30" s="95"/>
      <c r="I30" s="88">
        <v>15000.0</v>
      </c>
      <c r="J30" s="68"/>
      <c r="K30" s="96"/>
      <c r="L30" s="21">
        <v>15000.0</v>
      </c>
      <c r="M30" s="22">
        <f t="shared" si="1"/>
        <v>0</v>
      </c>
    </row>
    <row r="31">
      <c r="A31" s="76">
        <v>27.0</v>
      </c>
      <c r="B31" s="13" t="s">
        <v>2165</v>
      </c>
      <c r="C31" s="13">
        <v>58313.0</v>
      </c>
      <c r="D31" s="13" t="s">
        <v>2166</v>
      </c>
      <c r="E31" s="27">
        <v>23000.0</v>
      </c>
      <c r="F31" s="25"/>
      <c r="G31" s="16"/>
      <c r="H31" s="95">
        <v>4000.0</v>
      </c>
      <c r="I31" s="88"/>
      <c r="J31" s="68"/>
      <c r="K31" s="96"/>
      <c r="L31" s="21">
        <v>27000.0</v>
      </c>
      <c r="M31" s="22">
        <f t="shared" si="1"/>
        <v>0</v>
      </c>
    </row>
    <row r="32">
      <c r="A32" s="76">
        <v>28.0</v>
      </c>
      <c r="B32" s="13" t="s">
        <v>2167</v>
      </c>
      <c r="C32" s="13">
        <v>56387.0</v>
      </c>
      <c r="D32" s="13" t="s">
        <v>185</v>
      </c>
      <c r="E32" s="27"/>
      <c r="F32" s="25"/>
      <c r="G32" s="16"/>
      <c r="H32" s="95"/>
      <c r="I32" s="88">
        <v>4200.0</v>
      </c>
      <c r="J32" s="70"/>
      <c r="K32" s="96"/>
      <c r="L32" s="21">
        <v>4200.0</v>
      </c>
      <c r="M32" s="22">
        <f t="shared" si="1"/>
        <v>0</v>
      </c>
    </row>
    <row r="33">
      <c r="A33" s="76">
        <v>29.0</v>
      </c>
      <c r="B33" s="13" t="s">
        <v>2168</v>
      </c>
      <c r="C33" s="13">
        <v>52032.0</v>
      </c>
      <c r="D33" s="13" t="s">
        <v>217</v>
      </c>
      <c r="E33" s="29"/>
      <c r="F33" s="25"/>
      <c r="G33" s="16"/>
      <c r="H33" s="95">
        <v>1600.0</v>
      </c>
      <c r="I33" s="88"/>
      <c r="J33" s="68"/>
      <c r="K33" s="96"/>
      <c r="L33" s="21">
        <v>1600.0</v>
      </c>
      <c r="M33" s="22">
        <f t="shared" si="1"/>
        <v>0</v>
      </c>
    </row>
    <row r="34">
      <c r="A34" s="76">
        <v>30.0</v>
      </c>
      <c r="B34" s="13" t="s">
        <v>2169</v>
      </c>
      <c r="C34" s="13">
        <v>53634.0</v>
      </c>
      <c r="D34" s="13" t="s">
        <v>1285</v>
      </c>
      <c r="E34" s="29"/>
      <c r="F34" s="25"/>
      <c r="G34" s="16"/>
      <c r="H34" s="95">
        <v>3600.0</v>
      </c>
      <c r="I34" s="88"/>
      <c r="J34" s="68"/>
      <c r="K34" s="96"/>
      <c r="L34" s="21">
        <v>3600.0</v>
      </c>
      <c r="M34" s="22">
        <f t="shared" si="1"/>
        <v>0</v>
      </c>
    </row>
    <row r="35">
      <c r="A35" s="76">
        <v>31.0</v>
      </c>
      <c r="B35" s="13" t="s">
        <v>2170</v>
      </c>
      <c r="C35" s="13">
        <v>49194.0</v>
      </c>
      <c r="D35" s="13" t="s">
        <v>343</v>
      </c>
      <c r="E35" s="29"/>
      <c r="F35" s="25"/>
      <c r="G35" s="16"/>
      <c r="H35" s="95"/>
      <c r="I35" s="88"/>
      <c r="J35" s="70">
        <v>550.0</v>
      </c>
      <c r="K35" s="96"/>
      <c r="L35" s="21">
        <v>550.0</v>
      </c>
      <c r="M35" s="22">
        <f t="shared" si="1"/>
        <v>0</v>
      </c>
    </row>
    <row r="36">
      <c r="A36" s="76">
        <v>32.0</v>
      </c>
      <c r="B36" s="13" t="s">
        <v>2171</v>
      </c>
      <c r="C36" s="13">
        <v>49194.0</v>
      </c>
      <c r="D36" s="13" t="s">
        <v>343</v>
      </c>
      <c r="E36" s="27"/>
      <c r="F36" s="25"/>
      <c r="G36" s="16"/>
      <c r="H36" s="95"/>
      <c r="I36" s="88"/>
      <c r="J36" s="70">
        <v>100.0</v>
      </c>
      <c r="K36" s="96"/>
      <c r="L36" s="21">
        <v>100.0</v>
      </c>
      <c r="M36" s="22">
        <f t="shared" si="1"/>
        <v>0</v>
      </c>
    </row>
    <row r="37">
      <c r="A37" s="76">
        <v>33.0</v>
      </c>
      <c r="B37" s="13" t="s">
        <v>2172</v>
      </c>
      <c r="C37" s="13">
        <v>52478.0</v>
      </c>
      <c r="D37" s="13" t="s">
        <v>2173</v>
      </c>
      <c r="E37" s="29"/>
      <c r="F37" s="25"/>
      <c r="G37" s="16"/>
      <c r="H37" s="95">
        <v>5000.0</v>
      </c>
      <c r="I37" s="88"/>
      <c r="J37" s="68"/>
      <c r="K37" s="96"/>
      <c r="L37" s="21">
        <v>5000.0</v>
      </c>
      <c r="M37" s="22">
        <f t="shared" si="1"/>
        <v>0</v>
      </c>
    </row>
    <row r="38">
      <c r="A38" s="76">
        <v>34.0</v>
      </c>
      <c r="B38" s="13" t="s">
        <v>2174</v>
      </c>
      <c r="C38" s="13">
        <v>52669.0</v>
      </c>
      <c r="D38" s="13" t="s">
        <v>42</v>
      </c>
      <c r="E38" s="29"/>
      <c r="F38" s="25">
        <v>200.0</v>
      </c>
      <c r="G38" s="16"/>
      <c r="H38" s="95"/>
      <c r="I38" s="88"/>
      <c r="J38" s="68"/>
      <c r="K38" s="96"/>
      <c r="L38" s="21">
        <v>200.0</v>
      </c>
      <c r="M38" s="22">
        <f t="shared" si="1"/>
        <v>0</v>
      </c>
    </row>
    <row r="39">
      <c r="A39" s="76">
        <v>35.0</v>
      </c>
      <c r="B39" s="13" t="s">
        <v>2175</v>
      </c>
      <c r="C39" s="13">
        <v>40725.0</v>
      </c>
      <c r="D39" s="13" t="s">
        <v>2176</v>
      </c>
      <c r="E39" s="27"/>
      <c r="F39" s="25"/>
      <c r="G39" s="16"/>
      <c r="H39" s="95">
        <v>2500.0</v>
      </c>
      <c r="I39" s="88"/>
      <c r="J39" s="68"/>
      <c r="K39" s="96"/>
      <c r="L39" s="21">
        <v>2500.0</v>
      </c>
      <c r="M39" s="22">
        <f t="shared" si="1"/>
        <v>0</v>
      </c>
    </row>
    <row r="40">
      <c r="A40" s="76">
        <v>36.0</v>
      </c>
      <c r="B40" s="13" t="s">
        <v>2177</v>
      </c>
      <c r="C40" s="13">
        <v>52775.0</v>
      </c>
      <c r="D40" s="13" t="s">
        <v>2178</v>
      </c>
      <c r="E40" s="27"/>
      <c r="F40" s="25"/>
      <c r="G40" s="16"/>
      <c r="H40" s="95">
        <v>5150.0</v>
      </c>
      <c r="I40" s="88"/>
      <c r="J40" s="68"/>
      <c r="K40" s="96"/>
      <c r="L40" s="21">
        <v>5150.0</v>
      </c>
      <c r="M40" s="22">
        <f t="shared" si="1"/>
        <v>0</v>
      </c>
    </row>
    <row r="41">
      <c r="A41" s="76">
        <v>37.0</v>
      </c>
      <c r="B41" s="13" t="s">
        <v>2179</v>
      </c>
      <c r="C41" s="13">
        <v>48577.0</v>
      </c>
      <c r="D41" s="13" t="s">
        <v>829</v>
      </c>
      <c r="E41" s="27"/>
      <c r="F41" s="25"/>
      <c r="G41" s="16"/>
      <c r="H41" s="95">
        <v>2650.0</v>
      </c>
      <c r="I41" s="88"/>
      <c r="J41" s="68"/>
      <c r="K41" s="96"/>
      <c r="L41" s="21">
        <v>2650.0</v>
      </c>
      <c r="M41" s="22">
        <f t="shared" si="1"/>
        <v>0</v>
      </c>
    </row>
    <row r="42">
      <c r="A42" s="76">
        <v>38.0</v>
      </c>
      <c r="B42" s="13" t="s">
        <v>2180</v>
      </c>
      <c r="C42" s="13">
        <v>10001.0</v>
      </c>
      <c r="D42" s="13" t="s">
        <v>46</v>
      </c>
      <c r="E42" s="27"/>
      <c r="F42" s="25"/>
      <c r="G42" s="16"/>
      <c r="H42" s="95">
        <v>2900.0</v>
      </c>
      <c r="I42" s="97"/>
      <c r="J42" s="68"/>
      <c r="K42" s="96"/>
      <c r="L42" s="21">
        <v>2900.0</v>
      </c>
      <c r="M42" s="22">
        <f t="shared" si="1"/>
        <v>0</v>
      </c>
    </row>
    <row r="43">
      <c r="A43" s="76">
        <v>39.0</v>
      </c>
      <c r="B43" s="13" t="s">
        <v>2181</v>
      </c>
      <c r="C43" s="13">
        <v>57652.0</v>
      </c>
      <c r="D43" s="13" t="s">
        <v>2182</v>
      </c>
      <c r="E43" s="29"/>
      <c r="F43" s="25"/>
      <c r="G43" s="16"/>
      <c r="H43" s="95">
        <v>6150.0</v>
      </c>
      <c r="I43" s="88"/>
      <c r="J43" s="70"/>
      <c r="K43" s="96"/>
      <c r="L43" s="21">
        <v>6150.0</v>
      </c>
      <c r="M43" s="22">
        <f t="shared" si="1"/>
        <v>0</v>
      </c>
    </row>
    <row r="44">
      <c r="A44" s="76">
        <v>40.0</v>
      </c>
      <c r="B44" s="13" t="s">
        <v>2183</v>
      </c>
      <c r="C44" s="13">
        <v>52478.0</v>
      </c>
      <c r="D44" s="13" t="s">
        <v>2173</v>
      </c>
      <c r="E44" s="29"/>
      <c r="F44" s="25"/>
      <c r="G44" s="16"/>
      <c r="H44" s="95">
        <v>2500.0</v>
      </c>
      <c r="I44" s="88"/>
      <c r="J44" s="68"/>
      <c r="K44" s="96"/>
      <c r="L44" s="21">
        <v>2500.0</v>
      </c>
      <c r="M44" s="22">
        <f t="shared" si="1"/>
        <v>0</v>
      </c>
    </row>
    <row r="45">
      <c r="A45" s="76">
        <v>41.0</v>
      </c>
      <c r="B45" s="13" t="s">
        <v>2184</v>
      </c>
      <c r="C45" s="13">
        <v>47510.0</v>
      </c>
      <c r="D45" s="13" t="s">
        <v>2185</v>
      </c>
      <c r="E45" s="29"/>
      <c r="F45" s="25">
        <v>14400.0</v>
      </c>
      <c r="G45" s="16"/>
      <c r="H45" s="95"/>
      <c r="I45" s="88"/>
      <c r="J45" s="68"/>
      <c r="K45" s="96"/>
      <c r="L45" s="21">
        <v>14400.0</v>
      </c>
      <c r="M45" s="22">
        <f t="shared" si="1"/>
        <v>0</v>
      </c>
    </row>
    <row r="46">
      <c r="A46" s="76">
        <v>42.0</v>
      </c>
      <c r="B46" s="13" t="s">
        <v>2186</v>
      </c>
      <c r="C46" s="13">
        <v>21384.0</v>
      </c>
      <c r="D46" s="13" t="s">
        <v>151</v>
      </c>
      <c r="E46" s="29"/>
      <c r="F46" s="25"/>
      <c r="G46" s="16"/>
      <c r="H46" s="95">
        <v>350.0</v>
      </c>
      <c r="I46" s="88"/>
      <c r="J46" s="68"/>
      <c r="K46" s="96"/>
      <c r="L46" s="21">
        <v>350.0</v>
      </c>
      <c r="M46" s="22">
        <f t="shared" si="1"/>
        <v>0</v>
      </c>
    </row>
    <row r="47">
      <c r="A47" s="76">
        <v>43.0</v>
      </c>
      <c r="B47" s="13" t="s">
        <v>2187</v>
      </c>
      <c r="C47" s="13">
        <v>39317.0</v>
      </c>
      <c r="D47" s="13" t="s">
        <v>318</v>
      </c>
      <c r="E47" s="27"/>
      <c r="F47" s="25"/>
      <c r="G47" s="16"/>
      <c r="H47" s="95">
        <v>5000.0</v>
      </c>
      <c r="I47" s="88"/>
      <c r="J47" s="68"/>
      <c r="K47" s="96"/>
      <c r="L47" s="21">
        <v>5000.0</v>
      </c>
      <c r="M47" s="22">
        <f t="shared" si="1"/>
        <v>0</v>
      </c>
    </row>
    <row r="48">
      <c r="A48" s="76">
        <v>44.0</v>
      </c>
      <c r="B48" s="13" t="s">
        <v>2188</v>
      </c>
      <c r="C48" s="13">
        <v>50436.0</v>
      </c>
      <c r="D48" s="13" t="s">
        <v>561</v>
      </c>
      <c r="E48" s="27">
        <v>2400.0</v>
      </c>
      <c r="F48" s="25"/>
      <c r="G48" s="16"/>
      <c r="H48" s="95"/>
      <c r="I48" s="88"/>
      <c r="J48" s="68"/>
      <c r="K48" s="96"/>
      <c r="L48" s="21">
        <v>2400.0</v>
      </c>
      <c r="M48" s="22">
        <f t="shared" si="1"/>
        <v>0</v>
      </c>
    </row>
    <row r="49">
      <c r="A49" s="76">
        <v>45.0</v>
      </c>
      <c r="B49" s="13" t="s">
        <v>2189</v>
      </c>
      <c r="C49" s="13">
        <v>58077.0</v>
      </c>
      <c r="D49" s="13" t="s">
        <v>900</v>
      </c>
      <c r="E49" s="27">
        <v>27000.0</v>
      </c>
      <c r="F49" s="25"/>
      <c r="G49" s="16"/>
      <c r="H49" s="95"/>
      <c r="I49" s="88"/>
      <c r="J49" s="68"/>
      <c r="K49" s="96"/>
      <c r="L49" s="21">
        <v>27000.0</v>
      </c>
      <c r="M49" s="22">
        <f t="shared" si="1"/>
        <v>0</v>
      </c>
    </row>
    <row r="50">
      <c r="A50" s="76">
        <v>46.0</v>
      </c>
      <c r="B50" s="13" t="s">
        <v>2190</v>
      </c>
      <c r="C50" s="13">
        <v>50537.0</v>
      </c>
      <c r="D50" s="13" t="s">
        <v>1236</v>
      </c>
      <c r="E50" s="27">
        <v>2500.0</v>
      </c>
      <c r="F50" s="25"/>
      <c r="G50" s="16"/>
      <c r="H50" s="95"/>
      <c r="I50" s="88"/>
      <c r="J50" s="68"/>
      <c r="K50" s="96"/>
      <c r="L50" s="21">
        <v>2500.0</v>
      </c>
      <c r="M50" s="22">
        <f t="shared" si="1"/>
        <v>0</v>
      </c>
    </row>
    <row r="51">
      <c r="A51" s="76">
        <v>47.0</v>
      </c>
      <c r="B51" s="13" t="s">
        <v>2191</v>
      </c>
      <c r="C51" s="13">
        <v>58050.0</v>
      </c>
      <c r="D51" s="13" t="s">
        <v>2192</v>
      </c>
      <c r="E51" s="27">
        <v>23800.0</v>
      </c>
      <c r="F51" s="25"/>
      <c r="G51" s="16"/>
      <c r="H51" s="95">
        <v>3200.0</v>
      </c>
      <c r="I51" s="88"/>
      <c r="J51" s="68"/>
      <c r="K51" s="96"/>
      <c r="L51" s="21">
        <v>27000.0</v>
      </c>
      <c r="M51" s="22">
        <f t="shared" si="1"/>
        <v>0</v>
      </c>
    </row>
    <row r="52">
      <c r="A52" s="76">
        <v>48.0</v>
      </c>
      <c r="B52" s="13" t="s">
        <v>2193</v>
      </c>
      <c r="C52" s="13">
        <v>35245.0</v>
      </c>
      <c r="D52" s="13" t="s">
        <v>330</v>
      </c>
      <c r="E52" s="27"/>
      <c r="F52" s="25"/>
      <c r="G52" s="16"/>
      <c r="H52" s="95"/>
      <c r="I52" s="88"/>
      <c r="J52" s="70">
        <v>600.0</v>
      </c>
      <c r="K52" s="96"/>
      <c r="L52" s="21">
        <v>600.0</v>
      </c>
      <c r="M52" s="22">
        <f t="shared" si="1"/>
        <v>0</v>
      </c>
    </row>
    <row r="53">
      <c r="A53" s="76">
        <v>49.0</v>
      </c>
      <c r="B53" s="13" t="s">
        <v>2194</v>
      </c>
      <c r="C53" s="13">
        <v>50537.0</v>
      </c>
      <c r="D53" s="13" t="s">
        <v>1236</v>
      </c>
      <c r="E53" s="27">
        <v>500.0</v>
      </c>
      <c r="F53" s="25">
        <v>2000.0</v>
      </c>
      <c r="G53" s="16"/>
      <c r="H53" s="95"/>
      <c r="I53" s="88"/>
      <c r="J53" s="68"/>
      <c r="K53" s="96"/>
      <c r="L53" s="21">
        <v>2500.0</v>
      </c>
      <c r="M53" s="22">
        <f t="shared" si="1"/>
        <v>0</v>
      </c>
    </row>
    <row r="54">
      <c r="A54" s="76">
        <v>50.0</v>
      </c>
      <c r="B54" s="13" t="s">
        <v>2195</v>
      </c>
      <c r="C54" s="13">
        <v>55446.0</v>
      </c>
      <c r="D54" s="13" t="s">
        <v>336</v>
      </c>
      <c r="E54" s="27">
        <v>100.0</v>
      </c>
      <c r="F54" s="25"/>
      <c r="G54" s="16"/>
      <c r="H54" s="95"/>
      <c r="I54" s="88"/>
      <c r="J54" s="68"/>
      <c r="K54" s="96"/>
      <c r="L54" s="21">
        <v>100.0</v>
      </c>
      <c r="M54" s="22">
        <f t="shared" si="1"/>
        <v>0</v>
      </c>
    </row>
    <row r="55">
      <c r="A55" s="76">
        <v>51.0</v>
      </c>
      <c r="B55" s="13" t="s">
        <v>2196</v>
      </c>
      <c r="C55" s="13">
        <v>48631.0</v>
      </c>
      <c r="D55" s="13" t="s">
        <v>123</v>
      </c>
      <c r="E55" s="29"/>
      <c r="F55" s="25"/>
      <c r="G55" s="16"/>
      <c r="H55" s="95">
        <v>1600.0</v>
      </c>
      <c r="I55" s="88"/>
      <c r="J55" s="68"/>
      <c r="K55" s="96"/>
      <c r="L55" s="21">
        <v>1600.0</v>
      </c>
      <c r="M55" s="22">
        <f t="shared" si="1"/>
        <v>0</v>
      </c>
    </row>
    <row r="56">
      <c r="A56" s="76">
        <v>52.0</v>
      </c>
      <c r="B56" s="13" t="s">
        <v>2197</v>
      </c>
      <c r="C56" s="13">
        <v>58318.0</v>
      </c>
      <c r="D56" s="13" t="s">
        <v>2198</v>
      </c>
      <c r="E56" s="29"/>
      <c r="F56" s="25">
        <v>4800.0</v>
      </c>
      <c r="G56" s="16"/>
      <c r="H56" s="95"/>
      <c r="I56" s="88"/>
      <c r="J56" s="68"/>
      <c r="K56" s="96"/>
      <c r="L56" s="21">
        <v>4800.0</v>
      </c>
      <c r="M56" s="22">
        <f t="shared" si="1"/>
        <v>0</v>
      </c>
    </row>
    <row r="57">
      <c r="A57" s="76">
        <v>53.0</v>
      </c>
      <c r="B57" s="13" t="s">
        <v>2199</v>
      </c>
      <c r="C57" s="13">
        <v>58319.0</v>
      </c>
      <c r="D57" s="13" t="s">
        <v>2200</v>
      </c>
      <c r="E57" s="27"/>
      <c r="F57" s="25">
        <v>27000.0</v>
      </c>
      <c r="G57" s="28"/>
      <c r="H57" s="95"/>
      <c r="I57" s="88"/>
      <c r="J57" s="68"/>
      <c r="K57" s="96"/>
      <c r="L57" s="21">
        <v>27000.0</v>
      </c>
      <c r="M57" s="22">
        <f t="shared" si="1"/>
        <v>0</v>
      </c>
    </row>
    <row r="58">
      <c r="A58" s="76">
        <v>54.0</v>
      </c>
      <c r="B58" s="13" t="s">
        <v>2201</v>
      </c>
      <c r="C58" s="13">
        <v>21384.0</v>
      </c>
      <c r="D58" s="13" t="s">
        <v>151</v>
      </c>
      <c r="E58" s="27"/>
      <c r="F58" s="25"/>
      <c r="G58" s="28"/>
      <c r="H58" s="95">
        <v>900.0</v>
      </c>
      <c r="I58" s="88"/>
      <c r="J58" s="70"/>
      <c r="K58" s="96"/>
      <c r="L58" s="21">
        <v>900.0</v>
      </c>
      <c r="M58" s="22">
        <f t="shared" si="1"/>
        <v>0</v>
      </c>
    </row>
    <row r="59">
      <c r="A59" s="76">
        <v>55.0</v>
      </c>
      <c r="B59" s="13" t="s">
        <v>2202</v>
      </c>
      <c r="C59" s="13">
        <v>51017.0</v>
      </c>
      <c r="D59" s="13" t="s">
        <v>477</v>
      </c>
      <c r="E59" s="27"/>
      <c r="F59" s="25"/>
      <c r="G59" s="28">
        <v>73900.0</v>
      </c>
      <c r="H59" s="95"/>
      <c r="I59" s="88"/>
      <c r="J59" s="68"/>
      <c r="K59" s="96"/>
      <c r="L59" s="21">
        <v>73900.0</v>
      </c>
      <c r="M59" s="22">
        <f t="shared" si="1"/>
        <v>0</v>
      </c>
    </row>
    <row r="60">
      <c r="A60" s="76">
        <v>56.0</v>
      </c>
      <c r="B60" s="13" t="s">
        <v>2203</v>
      </c>
      <c r="C60" s="13">
        <v>49655.0</v>
      </c>
      <c r="D60" s="13" t="s">
        <v>134</v>
      </c>
      <c r="E60" s="27"/>
      <c r="F60" s="25"/>
      <c r="G60" s="28">
        <v>3500.0</v>
      </c>
      <c r="H60" s="95"/>
      <c r="I60" s="88"/>
      <c r="J60" s="68"/>
      <c r="K60" s="96"/>
      <c r="L60" s="21">
        <v>3500.0</v>
      </c>
      <c r="M60" s="22">
        <f t="shared" si="1"/>
        <v>0</v>
      </c>
    </row>
    <row r="61">
      <c r="A61" s="76">
        <v>57.0</v>
      </c>
      <c r="B61" s="13" t="s">
        <v>2204</v>
      </c>
      <c r="C61" s="13">
        <v>57916.0</v>
      </c>
      <c r="D61" s="13" t="s">
        <v>2205</v>
      </c>
      <c r="E61" s="27"/>
      <c r="F61" s="25"/>
      <c r="G61" s="28">
        <v>27000.0</v>
      </c>
      <c r="H61" s="95"/>
      <c r="I61" s="88"/>
      <c r="J61" s="68"/>
      <c r="K61" s="96"/>
      <c r="L61" s="21">
        <v>27000.0</v>
      </c>
      <c r="M61" s="22">
        <f t="shared" si="1"/>
        <v>0</v>
      </c>
    </row>
    <row r="62">
      <c r="A62" s="30"/>
      <c r="B62" s="12"/>
      <c r="C62" s="12"/>
      <c r="D62" s="73"/>
      <c r="E62" s="32">
        <f t="shared" ref="E62:L62" si="2">SUM(E5:E61)</f>
        <v>79650</v>
      </c>
      <c r="F62" s="32">
        <f t="shared" si="2"/>
        <v>59100</v>
      </c>
      <c r="G62" s="32">
        <f t="shared" si="2"/>
        <v>104400</v>
      </c>
      <c r="H62" s="32">
        <f t="shared" si="2"/>
        <v>140191</v>
      </c>
      <c r="I62" s="32">
        <f t="shared" si="2"/>
        <v>134830</v>
      </c>
      <c r="J62" s="32">
        <f t="shared" si="2"/>
        <v>1250</v>
      </c>
      <c r="K62" s="32">
        <f t="shared" si="2"/>
        <v>10000</v>
      </c>
      <c r="L62" s="98">
        <f t="shared" si="2"/>
        <v>529421</v>
      </c>
      <c r="M62" s="99">
        <f t="shared" si="1"/>
        <v>0</v>
      </c>
    </row>
    <row r="63">
      <c r="A63" s="33"/>
      <c r="B63" s="63"/>
      <c r="C63" s="63"/>
      <c r="D63" s="74"/>
      <c r="E63" s="100">
        <f>E62+F62+G62+H62+I62+J62+K62</f>
        <v>529421</v>
      </c>
      <c r="F63" s="6"/>
      <c r="G63" s="6"/>
      <c r="H63" s="6"/>
      <c r="I63" s="6"/>
      <c r="J63" s="6"/>
      <c r="K63" s="7"/>
      <c r="L63" s="35"/>
      <c r="M63" s="33"/>
    </row>
    <row r="64">
      <c r="B64" s="64"/>
      <c r="C64" s="64"/>
      <c r="D64" s="75"/>
    </row>
    <row r="65">
      <c r="B65" s="64"/>
      <c r="C65" s="64"/>
      <c r="D65" s="75"/>
    </row>
    <row r="66">
      <c r="B66" s="64"/>
      <c r="C66" s="64"/>
      <c r="D66" s="75"/>
    </row>
    <row r="67">
      <c r="B67" s="64"/>
      <c r="C67" s="64"/>
      <c r="D67" s="75"/>
      <c r="H67" s="55" t="s">
        <v>588</v>
      </c>
    </row>
    <row r="68">
      <c r="B68" s="64"/>
      <c r="C68" s="64"/>
      <c r="D68" s="75"/>
    </row>
    <row r="69">
      <c r="B69" s="64"/>
      <c r="C69" s="64"/>
      <c r="D69" s="75"/>
      <c r="H69" s="55" t="s">
        <v>485</v>
      </c>
    </row>
    <row r="70">
      <c r="B70" s="64"/>
      <c r="C70" s="64"/>
      <c r="D70" s="75"/>
    </row>
    <row r="71">
      <c r="B71" s="64"/>
      <c r="C71" s="64"/>
      <c r="D71" s="75"/>
    </row>
    <row r="72">
      <c r="B72" s="64"/>
      <c r="C72" s="64"/>
      <c r="D72" s="75"/>
    </row>
    <row r="73">
      <c r="B73" s="64"/>
      <c r="C73" s="64"/>
      <c r="D73" s="75"/>
    </row>
    <row r="74">
      <c r="B74" s="64"/>
      <c r="C74" s="64"/>
      <c r="D74" s="75"/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</sheetData>
  <mergeCells count="14">
    <mergeCell ref="F3:G3"/>
    <mergeCell ref="H3:I3"/>
    <mergeCell ref="J3:J4"/>
    <mergeCell ref="K3:K4"/>
    <mergeCell ref="E63:K6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5.88"/>
    <col customWidth="1" min="5" max="5" width="9.5"/>
  </cols>
  <sheetData>
    <row r="1">
      <c r="A1" s="1" t="s">
        <v>2206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37" t="s">
        <v>2207</v>
      </c>
      <c r="C5" s="37">
        <v>22341.0</v>
      </c>
      <c r="D5" s="37" t="s">
        <v>1939</v>
      </c>
      <c r="E5" s="27"/>
      <c r="F5" s="25"/>
      <c r="G5" s="16"/>
      <c r="H5" s="95">
        <v>2650.0</v>
      </c>
      <c r="I5" s="88"/>
      <c r="J5" s="68"/>
      <c r="K5" s="88"/>
      <c r="L5" s="45">
        <v>2650.0</v>
      </c>
      <c r="M5" s="22">
        <f t="shared" ref="M5:M73" si="1">SUM(E5+F5+G5+H5+I5+J5+K5-L5)</f>
        <v>0</v>
      </c>
    </row>
    <row r="6">
      <c r="A6" s="76">
        <v>2.0</v>
      </c>
      <c r="B6" s="37" t="s">
        <v>2208</v>
      </c>
      <c r="C6" s="37">
        <v>49655.0</v>
      </c>
      <c r="D6" s="37" t="s">
        <v>134</v>
      </c>
      <c r="E6" s="27"/>
      <c r="F6" s="25"/>
      <c r="G6" s="16"/>
      <c r="H6" s="95">
        <v>1250.0</v>
      </c>
      <c r="I6" s="88"/>
      <c r="J6" s="70"/>
      <c r="K6" s="96"/>
      <c r="L6" s="45">
        <v>1250.0</v>
      </c>
      <c r="M6" s="22">
        <f t="shared" si="1"/>
        <v>0</v>
      </c>
      <c r="O6" s="55" t="s">
        <v>485</v>
      </c>
    </row>
    <row r="7">
      <c r="A7" s="76">
        <v>3.0</v>
      </c>
      <c r="B7" s="37" t="s">
        <v>2209</v>
      </c>
      <c r="C7" s="37">
        <v>52669.0</v>
      </c>
      <c r="D7" s="37" t="s">
        <v>42</v>
      </c>
      <c r="E7" s="27"/>
      <c r="F7" s="25"/>
      <c r="G7" s="16"/>
      <c r="H7" s="95">
        <v>448.0</v>
      </c>
      <c r="I7" s="88"/>
      <c r="J7" s="68"/>
      <c r="K7" s="96"/>
      <c r="L7" s="45">
        <v>448.0</v>
      </c>
      <c r="M7" s="22">
        <f t="shared" si="1"/>
        <v>0</v>
      </c>
    </row>
    <row r="8">
      <c r="A8" s="76">
        <v>4.0</v>
      </c>
      <c r="B8" s="37" t="s">
        <v>2210</v>
      </c>
      <c r="C8" s="37">
        <v>50871.0</v>
      </c>
      <c r="D8" s="37" t="s">
        <v>48</v>
      </c>
      <c r="E8" s="29"/>
      <c r="F8" s="25"/>
      <c r="G8" s="16"/>
      <c r="H8" s="95">
        <v>41400.0</v>
      </c>
      <c r="I8" s="88"/>
      <c r="J8" s="70"/>
      <c r="K8" s="96"/>
      <c r="L8" s="45">
        <v>41400.0</v>
      </c>
      <c r="M8" s="22">
        <f t="shared" si="1"/>
        <v>0</v>
      </c>
    </row>
    <row r="9">
      <c r="A9" s="76">
        <v>5.0</v>
      </c>
      <c r="B9" s="37" t="s">
        <v>2211</v>
      </c>
      <c r="C9" s="37">
        <v>21821.0</v>
      </c>
      <c r="D9" s="37" t="s">
        <v>959</v>
      </c>
      <c r="E9" s="27"/>
      <c r="F9" s="25"/>
      <c r="G9" s="16"/>
      <c r="H9" s="95"/>
      <c r="I9" s="88"/>
      <c r="J9" s="70">
        <v>1050.0</v>
      </c>
      <c r="K9" s="96"/>
      <c r="L9" s="45">
        <v>1050.0</v>
      </c>
      <c r="M9" s="22">
        <f t="shared" si="1"/>
        <v>0</v>
      </c>
    </row>
    <row r="10">
      <c r="A10" s="76">
        <v>6.0</v>
      </c>
      <c r="B10" s="37" t="s">
        <v>2212</v>
      </c>
      <c r="C10" s="37">
        <v>50222.0</v>
      </c>
      <c r="D10" s="37" t="s">
        <v>504</v>
      </c>
      <c r="E10" s="27"/>
      <c r="F10" s="25"/>
      <c r="G10" s="16"/>
      <c r="H10" s="95">
        <v>11304.0</v>
      </c>
      <c r="I10" s="88"/>
      <c r="J10" s="68"/>
      <c r="K10" s="96"/>
      <c r="L10" s="45">
        <v>11304.0</v>
      </c>
      <c r="M10" s="22">
        <f t="shared" si="1"/>
        <v>0</v>
      </c>
    </row>
    <row r="11">
      <c r="A11" s="76">
        <v>7.0</v>
      </c>
      <c r="B11" s="37" t="s">
        <v>2213</v>
      </c>
      <c r="C11" s="37">
        <v>48967.0</v>
      </c>
      <c r="D11" s="37" t="s">
        <v>875</v>
      </c>
      <c r="E11" s="29"/>
      <c r="F11" s="25"/>
      <c r="G11" s="16"/>
      <c r="H11" s="95"/>
      <c r="I11" s="88">
        <v>5000.0</v>
      </c>
      <c r="J11" s="70"/>
      <c r="K11" s="96"/>
      <c r="L11" s="45">
        <v>5000.0</v>
      </c>
      <c r="M11" s="22">
        <f t="shared" si="1"/>
        <v>0</v>
      </c>
    </row>
    <row r="12">
      <c r="A12" s="76">
        <v>8.0</v>
      </c>
      <c r="B12" s="37" t="s">
        <v>2214</v>
      </c>
      <c r="C12" s="37">
        <v>57237.0</v>
      </c>
      <c r="D12" s="37" t="s">
        <v>1006</v>
      </c>
      <c r="E12" s="29"/>
      <c r="F12" s="25"/>
      <c r="G12" s="16"/>
      <c r="H12" s="95">
        <v>7650.0</v>
      </c>
      <c r="I12" s="88"/>
      <c r="J12" s="68"/>
      <c r="K12" s="96"/>
      <c r="L12" s="45">
        <v>7650.0</v>
      </c>
      <c r="M12" s="22">
        <f t="shared" si="1"/>
        <v>0</v>
      </c>
    </row>
    <row r="13">
      <c r="A13" s="76">
        <v>9.0</v>
      </c>
      <c r="B13" s="37" t="s">
        <v>2215</v>
      </c>
      <c r="C13" s="37">
        <v>46152.0</v>
      </c>
      <c r="D13" s="37" t="s">
        <v>2216</v>
      </c>
      <c r="E13" s="29"/>
      <c r="F13" s="25"/>
      <c r="G13" s="16"/>
      <c r="H13" s="95"/>
      <c r="I13" s="88">
        <v>2650.0</v>
      </c>
      <c r="J13" s="68"/>
      <c r="K13" s="96"/>
      <c r="L13" s="45">
        <v>2650.0</v>
      </c>
      <c r="M13" s="22">
        <f t="shared" si="1"/>
        <v>0</v>
      </c>
    </row>
    <row r="14">
      <c r="A14" s="76">
        <v>10.0</v>
      </c>
      <c r="B14" s="37" t="s">
        <v>2217</v>
      </c>
      <c r="C14" s="37">
        <v>22332.0</v>
      </c>
      <c r="D14" s="37" t="s">
        <v>78</v>
      </c>
      <c r="E14" s="27"/>
      <c r="F14" s="25"/>
      <c r="G14" s="16"/>
      <c r="H14" s="95"/>
      <c r="I14" s="88">
        <v>10000.0</v>
      </c>
      <c r="J14" s="68"/>
      <c r="K14" s="96"/>
      <c r="L14" s="45">
        <v>10000.0</v>
      </c>
      <c r="M14" s="22">
        <f t="shared" si="1"/>
        <v>0</v>
      </c>
    </row>
    <row r="15">
      <c r="A15" s="76">
        <v>11.0</v>
      </c>
      <c r="B15" s="37" t="s">
        <v>2218</v>
      </c>
      <c r="C15" s="37">
        <v>51782.0</v>
      </c>
      <c r="D15" s="37" t="s">
        <v>1394</v>
      </c>
      <c r="E15" s="27"/>
      <c r="F15" s="25"/>
      <c r="G15" s="16"/>
      <c r="H15" s="95"/>
      <c r="I15" s="88">
        <v>350.0</v>
      </c>
      <c r="J15" s="70"/>
      <c r="K15" s="96"/>
      <c r="L15" s="45">
        <v>350.0</v>
      </c>
      <c r="M15" s="22">
        <f t="shared" si="1"/>
        <v>0</v>
      </c>
    </row>
    <row r="16">
      <c r="A16" s="76">
        <v>12.0</v>
      </c>
      <c r="B16" s="37" t="s">
        <v>2219</v>
      </c>
      <c r="C16" s="37">
        <v>55929.0</v>
      </c>
      <c r="D16" s="37" t="s">
        <v>2220</v>
      </c>
      <c r="E16" s="29"/>
      <c r="F16" s="25"/>
      <c r="G16" s="16"/>
      <c r="H16" s="95"/>
      <c r="I16" s="88">
        <v>5000.0</v>
      </c>
      <c r="J16" s="70"/>
      <c r="K16" s="96"/>
      <c r="L16" s="45">
        <v>5000.0</v>
      </c>
      <c r="M16" s="22">
        <f t="shared" si="1"/>
        <v>0</v>
      </c>
    </row>
    <row r="17">
      <c r="A17" s="76">
        <v>13.0</v>
      </c>
      <c r="B17" s="37" t="s">
        <v>2221</v>
      </c>
      <c r="C17" s="37">
        <v>52373.0</v>
      </c>
      <c r="D17" s="37" t="s">
        <v>533</v>
      </c>
      <c r="E17" s="27"/>
      <c r="F17" s="25"/>
      <c r="G17" s="16"/>
      <c r="H17" s="95"/>
      <c r="I17" s="88">
        <v>22500.0</v>
      </c>
      <c r="J17" s="68"/>
      <c r="K17" s="96"/>
      <c r="L17" s="45">
        <v>22500.0</v>
      </c>
      <c r="M17" s="22">
        <f t="shared" si="1"/>
        <v>0</v>
      </c>
    </row>
    <row r="18">
      <c r="A18" s="76">
        <v>14.0</v>
      </c>
      <c r="B18" s="37" t="s">
        <v>2222</v>
      </c>
      <c r="C18" s="37">
        <v>26831.0</v>
      </c>
      <c r="D18" s="37" t="s">
        <v>191</v>
      </c>
      <c r="E18" s="27"/>
      <c r="F18" s="25"/>
      <c r="G18" s="16"/>
      <c r="H18" s="95"/>
      <c r="I18" s="88">
        <v>15000.0</v>
      </c>
      <c r="J18" s="68"/>
      <c r="K18" s="96"/>
      <c r="L18" s="45">
        <v>15000.0</v>
      </c>
      <c r="M18" s="22">
        <f t="shared" si="1"/>
        <v>0</v>
      </c>
    </row>
    <row r="19">
      <c r="A19" s="76">
        <v>15.0</v>
      </c>
      <c r="B19" s="37" t="s">
        <v>2223</v>
      </c>
      <c r="C19" s="37">
        <v>26831.0</v>
      </c>
      <c r="D19" s="37" t="s">
        <v>191</v>
      </c>
      <c r="E19" s="27"/>
      <c r="F19" s="25"/>
      <c r="G19" s="16"/>
      <c r="H19" s="95"/>
      <c r="I19" s="88">
        <v>5000.0</v>
      </c>
      <c r="J19" s="68"/>
      <c r="K19" s="96"/>
      <c r="L19" s="45">
        <v>5000.0</v>
      </c>
      <c r="M19" s="22">
        <f t="shared" si="1"/>
        <v>0</v>
      </c>
    </row>
    <row r="20">
      <c r="A20" s="76">
        <v>16.0</v>
      </c>
      <c r="B20" s="37" t="s">
        <v>2224</v>
      </c>
      <c r="C20" s="37">
        <v>22332.0</v>
      </c>
      <c r="D20" s="37" t="s">
        <v>78</v>
      </c>
      <c r="E20" s="29"/>
      <c r="F20" s="25"/>
      <c r="G20" s="16"/>
      <c r="H20" s="95">
        <v>2950.0</v>
      </c>
      <c r="I20" s="88"/>
      <c r="J20" s="68"/>
      <c r="K20" s="96"/>
      <c r="L20" s="45">
        <v>2950.0</v>
      </c>
      <c r="M20" s="22">
        <f t="shared" si="1"/>
        <v>0</v>
      </c>
    </row>
    <row r="21">
      <c r="A21" s="76">
        <v>17.0</v>
      </c>
      <c r="B21" s="37" t="s">
        <v>2225</v>
      </c>
      <c r="C21" s="37">
        <v>58327.0</v>
      </c>
      <c r="D21" s="37" t="s">
        <v>2226</v>
      </c>
      <c r="E21" s="27"/>
      <c r="F21" s="25"/>
      <c r="G21" s="16"/>
      <c r="H21" s="95">
        <v>300.0</v>
      </c>
      <c r="I21" s="88"/>
      <c r="J21" s="68"/>
      <c r="K21" s="96"/>
      <c r="L21" s="45">
        <v>300.0</v>
      </c>
      <c r="M21" s="22">
        <f t="shared" si="1"/>
        <v>0</v>
      </c>
    </row>
    <row r="22">
      <c r="A22" s="76">
        <v>18.0</v>
      </c>
      <c r="B22" s="37" t="s">
        <v>2227</v>
      </c>
      <c r="C22" s="37">
        <v>52669.0</v>
      </c>
      <c r="D22" s="37" t="s">
        <v>42</v>
      </c>
      <c r="E22" s="29"/>
      <c r="F22" s="25"/>
      <c r="G22" s="16"/>
      <c r="H22" s="95">
        <v>448.0</v>
      </c>
      <c r="I22" s="88"/>
      <c r="J22" s="68"/>
      <c r="K22" s="96"/>
      <c r="L22" s="45">
        <v>448.0</v>
      </c>
      <c r="M22" s="22">
        <f t="shared" si="1"/>
        <v>0</v>
      </c>
    </row>
    <row r="23">
      <c r="A23" s="76">
        <v>19.0</v>
      </c>
      <c r="B23" s="37" t="s">
        <v>2228</v>
      </c>
      <c r="C23" s="37">
        <v>50595.0</v>
      </c>
      <c r="D23" s="37" t="s">
        <v>305</v>
      </c>
      <c r="E23" s="29"/>
      <c r="F23" s="25"/>
      <c r="G23" s="16"/>
      <c r="H23" s="95">
        <v>40000.0</v>
      </c>
      <c r="I23" s="88"/>
      <c r="J23" s="68"/>
      <c r="K23" s="96"/>
      <c r="L23" s="45">
        <v>40000.0</v>
      </c>
      <c r="M23" s="22">
        <f t="shared" si="1"/>
        <v>0</v>
      </c>
    </row>
    <row r="24">
      <c r="A24" s="76">
        <v>20.0</v>
      </c>
      <c r="B24" s="37" t="s">
        <v>2229</v>
      </c>
      <c r="C24" s="37">
        <v>22727.0</v>
      </c>
      <c r="D24" s="37" t="s">
        <v>109</v>
      </c>
      <c r="E24" s="29"/>
      <c r="F24" s="25"/>
      <c r="G24" s="16"/>
      <c r="H24" s="95"/>
      <c r="I24" s="88">
        <v>2500.0</v>
      </c>
      <c r="J24" s="68"/>
      <c r="K24" s="96"/>
      <c r="L24" s="45">
        <v>2500.0</v>
      </c>
      <c r="M24" s="22">
        <f t="shared" si="1"/>
        <v>0</v>
      </c>
    </row>
    <row r="25">
      <c r="A25" s="76">
        <v>21.0</v>
      </c>
      <c r="B25" s="37" t="s">
        <v>2230</v>
      </c>
      <c r="C25" s="37">
        <v>56835.0</v>
      </c>
      <c r="D25" s="37" t="s">
        <v>2231</v>
      </c>
      <c r="E25" s="29"/>
      <c r="F25" s="25"/>
      <c r="G25" s="16"/>
      <c r="H25" s="95">
        <v>2650.0</v>
      </c>
      <c r="I25" s="88"/>
      <c r="J25" s="70"/>
      <c r="K25" s="96"/>
      <c r="L25" s="45">
        <v>2650.0</v>
      </c>
      <c r="M25" s="22">
        <f t="shared" si="1"/>
        <v>0</v>
      </c>
    </row>
    <row r="26">
      <c r="A26" s="76">
        <v>22.0</v>
      </c>
      <c r="B26" s="37" t="s">
        <v>2232</v>
      </c>
      <c r="C26" s="37">
        <v>10320.0</v>
      </c>
      <c r="D26" s="37" t="s">
        <v>84</v>
      </c>
      <c r="E26" s="29"/>
      <c r="F26" s="25"/>
      <c r="G26" s="16"/>
      <c r="H26" s="95">
        <v>3850.0</v>
      </c>
      <c r="I26" s="88"/>
      <c r="J26" s="70"/>
      <c r="K26" s="96"/>
      <c r="L26" s="45">
        <v>3850.0</v>
      </c>
      <c r="M26" s="22">
        <f t="shared" si="1"/>
        <v>0</v>
      </c>
    </row>
    <row r="27">
      <c r="A27" s="76">
        <v>23.0</v>
      </c>
      <c r="B27" s="37" t="s">
        <v>2233</v>
      </c>
      <c r="C27" s="37">
        <v>10250.0</v>
      </c>
      <c r="D27" s="37" t="s">
        <v>115</v>
      </c>
      <c r="E27" s="29"/>
      <c r="F27" s="25"/>
      <c r="G27" s="16"/>
      <c r="H27" s="95">
        <v>2650.0</v>
      </c>
      <c r="I27" s="88"/>
      <c r="J27" s="68"/>
      <c r="K27" s="96"/>
      <c r="L27" s="45">
        <v>2650.0</v>
      </c>
      <c r="M27" s="22">
        <f t="shared" si="1"/>
        <v>0</v>
      </c>
    </row>
    <row r="28">
      <c r="A28" s="76">
        <v>24.0</v>
      </c>
      <c r="B28" s="37" t="s">
        <v>2234</v>
      </c>
      <c r="C28" s="37">
        <v>13781.0</v>
      </c>
      <c r="D28" s="37" t="s">
        <v>213</v>
      </c>
      <c r="E28" s="29"/>
      <c r="F28" s="25"/>
      <c r="G28" s="16"/>
      <c r="H28" s="95">
        <v>75000.0</v>
      </c>
      <c r="I28" s="88"/>
      <c r="J28" s="68"/>
      <c r="K28" s="96"/>
      <c r="L28" s="45">
        <v>75000.0</v>
      </c>
      <c r="M28" s="22">
        <f t="shared" si="1"/>
        <v>0</v>
      </c>
    </row>
    <row r="29">
      <c r="A29" s="76">
        <v>25.0</v>
      </c>
      <c r="B29" s="37" t="s">
        <v>2235</v>
      </c>
      <c r="C29" s="37">
        <v>22332.0</v>
      </c>
      <c r="D29" s="37" t="s">
        <v>78</v>
      </c>
      <c r="E29" s="27"/>
      <c r="F29" s="25"/>
      <c r="G29" s="16"/>
      <c r="H29" s="95">
        <v>5000.0</v>
      </c>
      <c r="I29" s="88"/>
      <c r="J29" s="70"/>
      <c r="K29" s="96"/>
      <c r="L29" s="45">
        <v>5000.0</v>
      </c>
      <c r="M29" s="22">
        <f t="shared" si="1"/>
        <v>0</v>
      </c>
    </row>
    <row r="30">
      <c r="A30" s="76">
        <v>26.0</v>
      </c>
      <c r="B30" s="37" t="s">
        <v>2236</v>
      </c>
      <c r="C30" s="37">
        <v>46927.0</v>
      </c>
      <c r="D30" s="37" t="s">
        <v>1725</v>
      </c>
      <c r="E30" s="29"/>
      <c r="F30" s="25"/>
      <c r="G30" s="16"/>
      <c r="H30" s="95">
        <v>3600.0</v>
      </c>
      <c r="I30" s="88"/>
      <c r="J30" s="68"/>
      <c r="K30" s="96"/>
      <c r="L30" s="45">
        <v>3600.0</v>
      </c>
      <c r="M30" s="22">
        <f t="shared" si="1"/>
        <v>0</v>
      </c>
    </row>
    <row r="31">
      <c r="A31" s="76">
        <v>27.0</v>
      </c>
      <c r="B31" s="37" t="s">
        <v>2237</v>
      </c>
      <c r="C31" s="37">
        <v>45096.0</v>
      </c>
      <c r="D31" s="37" t="s">
        <v>314</v>
      </c>
      <c r="E31" s="27">
        <v>140.0</v>
      </c>
      <c r="F31" s="25"/>
      <c r="G31" s="16"/>
      <c r="H31" s="95">
        <v>6250.0</v>
      </c>
      <c r="I31" s="88"/>
      <c r="J31" s="68"/>
      <c r="K31" s="96"/>
      <c r="L31" s="45">
        <v>6390.0</v>
      </c>
      <c r="M31" s="22">
        <f t="shared" si="1"/>
        <v>0</v>
      </c>
    </row>
    <row r="32">
      <c r="A32" s="76">
        <v>28.0</v>
      </c>
      <c r="B32" s="37" t="s">
        <v>2238</v>
      </c>
      <c r="C32" s="37">
        <v>55562.0</v>
      </c>
      <c r="D32" s="37" t="s">
        <v>897</v>
      </c>
      <c r="E32" s="27"/>
      <c r="F32" s="25"/>
      <c r="G32" s="16"/>
      <c r="H32" s="95">
        <v>10000.0</v>
      </c>
      <c r="I32" s="88"/>
      <c r="J32" s="70"/>
      <c r="K32" s="96"/>
      <c r="L32" s="45">
        <v>10000.0</v>
      </c>
      <c r="M32" s="22">
        <f t="shared" si="1"/>
        <v>0</v>
      </c>
    </row>
    <row r="33">
      <c r="A33" s="76">
        <v>29.0</v>
      </c>
      <c r="B33" s="37" t="s">
        <v>2239</v>
      </c>
      <c r="C33" s="37">
        <v>48973.0</v>
      </c>
      <c r="D33" s="37" t="s">
        <v>1042</v>
      </c>
      <c r="E33" s="29"/>
      <c r="F33" s="25"/>
      <c r="G33" s="16"/>
      <c r="H33" s="95">
        <v>2780.0</v>
      </c>
      <c r="I33" s="88"/>
      <c r="J33" s="68"/>
      <c r="K33" s="96"/>
      <c r="L33" s="45">
        <v>2780.0</v>
      </c>
      <c r="M33" s="22">
        <f t="shared" si="1"/>
        <v>0</v>
      </c>
    </row>
    <row r="34">
      <c r="A34" s="76">
        <v>30.0</v>
      </c>
      <c r="B34" s="37" t="s">
        <v>2240</v>
      </c>
      <c r="C34" s="37">
        <v>49599.0</v>
      </c>
      <c r="D34" s="37" t="s">
        <v>2241</v>
      </c>
      <c r="E34" s="29"/>
      <c r="F34" s="25"/>
      <c r="G34" s="16"/>
      <c r="H34" s="95"/>
      <c r="I34" s="88">
        <v>5000.0</v>
      </c>
      <c r="J34" s="68"/>
      <c r="K34" s="96"/>
      <c r="L34" s="45">
        <v>5000.0</v>
      </c>
      <c r="M34" s="22">
        <f t="shared" si="1"/>
        <v>0</v>
      </c>
    </row>
    <row r="35">
      <c r="A35" s="76">
        <v>31.0</v>
      </c>
      <c r="B35" s="37" t="s">
        <v>2242</v>
      </c>
      <c r="C35" s="37">
        <v>46368.0</v>
      </c>
      <c r="D35" s="37" t="s">
        <v>2243</v>
      </c>
      <c r="E35" s="29"/>
      <c r="F35" s="25"/>
      <c r="G35" s="16"/>
      <c r="H35" s="95">
        <v>10000.0</v>
      </c>
      <c r="I35" s="88"/>
      <c r="J35" s="70"/>
      <c r="K35" s="96"/>
      <c r="L35" s="45">
        <v>10000.0</v>
      </c>
      <c r="M35" s="22">
        <f t="shared" si="1"/>
        <v>0</v>
      </c>
    </row>
    <row r="36">
      <c r="A36" s="76">
        <v>32.0</v>
      </c>
      <c r="B36" s="37" t="s">
        <v>2244</v>
      </c>
      <c r="C36" s="37">
        <v>43349.0</v>
      </c>
      <c r="D36" s="37" t="s">
        <v>1689</v>
      </c>
      <c r="E36" s="27"/>
      <c r="F36" s="25"/>
      <c r="G36" s="16"/>
      <c r="H36" s="95">
        <v>5000.0</v>
      </c>
      <c r="I36" s="88"/>
      <c r="J36" s="70"/>
      <c r="K36" s="96"/>
      <c r="L36" s="45">
        <v>5000.0</v>
      </c>
      <c r="M36" s="22">
        <f t="shared" si="1"/>
        <v>0</v>
      </c>
    </row>
    <row r="37">
      <c r="A37" s="76">
        <v>33.0</v>
      </c>
      <c r="B37" s="37" t="s">
        <v>2245</v>
      </c>
      <c r="C37" s="37">
        <v>10320.0</v>
      </c>
      <c r="D37" s="37" t="s">
        <v>84</v>
      </c>
      <c r="E37" s="29"/>
      <c r="F37" s="25"/>
      <c r="G37" s="16"/>
      <c r="H37" s="95">
        <v>300.0</v>
      </c>
      <c r="I37" s="88"/>
      <c r="J37" s="68"/>
      <c r="K37" s="96"/>
      <c r="L37" s="45">
        <v>300.0</v>
      </c>
      <c r="M37" s="22">
        <f t="shared" si="1"/>
        <v>0</v>
      </c>
    </row>
    <row r="38">
      <c r="A38" s="76">
        <v>34.0</v>
      </c>
      <c r="B38" s="37" t="s">
        <v>2246</v>
      </c>
      <c r="C38" s="37">
        <v>53298.0</v>
      </c>
      <c r="D38" s="37" t="s">
        <v>2247</v>
      </c>
      <c r="E38" s="29"/>
      <c r="F38" s="25"/>
      <c r="G38" s="16"/>
      <c r="H38" s="95"/>
      <c r="I38" s="88">
        <v>10000.0</v>
      </c>
      <c r="J38" s="68"/>
      <c r="K38" s="96"/>
      <c r="L38" s="45">
        <v>10000.0</v>
      </c>
      <c r="M38" s="22">
        <f t="shared" si="1"/>
        <v>0</v>
      </c>
    </row>
    <row r="39">
      <c r="A39" s="76">
        <v>35.0</v>
      </c>
      <c r="B39" s="37" t="s">
        <v>2248</v>
      </c>
      <c r="C39" s="37">
        <v>48631.0</v>
      </c>
      <c r="D39" s="37" t="s">
        <v>123</v>
      </c>
      <c r="E39" s="27"/>
      <c r="F39" s="25"/>
      <c r="G39" s="16"/>
      <c r="H39" s="95">
        <v>7100.0</v>
      </c>
      <c r="I39" s="88"/>
      <c r="J39" s="68"/>
      <c r="K39" s="96"/>
      <c r="L39" s="45">
        <v>7100.0</v>
      </c>
      <c r="M39" s="22">
        <f t="shared" si="1"/>
        <v>0</v>
      </c>
    </row>
    <row r="40">
      <c r="A40" s="76">
        <v>36.0</v>
      </c>
      <c r="B40" s="37" t="s">
        <v>2249</v>
      </c>
      <c r="C40" s="37">
        <v>29621.0</v>
      </c>
      <c r="D40" s="37" t="s">
        <v>381</v>
      </c>
      <c r="E40" s="27"/>
      <c r="F40" s="25"/>
      <c r="G40" s="16"/>
      <c r="H40" s="95"/>
      <c r="I40" s="88">
        <v>16200.0</v>
      </c>
      <c r="J40" s="68"/>
      <c r="K40" s="96"/>
      <c r="L40" s="45">
        <v>16200.0</v>
      </c>
      <c r="M40" s="22">
        <f t="shared" si="1"/>
        <v>0</v>
      </c>
    </row>
    <row r="41">
      <c r="A41" s="76">
        <v>37.0</v>
      </c>
      <c r="B41" s="37" t="s">
        <v>2250</v>
      </c>
      <c r="C41" s="37">
        <v>50538.0</v>
      </c>
      <c r="D41" s="37" t="s">
        <v>680</v>
      </c>
      <c r="E41" s="27"/>
      <c r="F41" s="25"/>
      <c r="G41" s="16"/>
      <c r="H41" s="95">
        <v>430.0</v>
      </c>
      <c r="I41" s="88"/>
      <c r="J41" s="68"/>
      <c r="K41" s="96"/>
      <c r="L41" s="45">
        <v>430.0</v>
      </c>
      <c r="M41" s="22">
        <f t="shared" si="1"/>
        <v>0</v>
      </c>
    </row>
    <row r="42">
      <c r="A42" s="76">
        <v>38.0</v>
      </c>
      <c r="B42" s="37" t="s">
        <v>2251</v>
      </c>
      <c r="C42" s="37">
        <v>47787.0</v>
      </c>
      <c r="D42" s="37" t="s">
        <v>161</v>
      </c>
      <c r="E42" s="27"/>
      <c r="F42" s="25"/>
      <c r="G42" s="16"/>
      <c r="H42" s="95">
        <v>350.0</v>
      </c>
      <c r="I42" s="97"/>
      <c r="J42" s="68"/>
      <c r="K42" s="96"/>
      <c r="L42" s="45">
        <v>350.0</v>
      </c>
      <c r="M42" s="22">
        <f t="shared" si="1"/>
        <v>0</v>
      </c>
    </row>
    <row r="43">
      <c r="A43" s="76">
        <v>39.0</v>
      </c>
      <c r="B43" s="37" t="s">
        <v>2252</v>
      </c>
      <c r="C43" s="37">
        <v>53364.0</v>
      </c>
      <c r="D43" s="37" t="s">
        <v>1836</v>
      </c>
      <c r="E43" s="29"/>
      <c r="F43" s="25"/>
      <c r="G43" s="16"/>
      <c r="H43" s="95">
        <v>15200.0</v>
      </c>
      <c r="I43" s="88"/>
      <c r="J43" s="70"/>
      <c r="K43" s="96"/>
      <c r="L43" s="45">
        <v>15200.0</v>
      </c>
      <c r="M43" s="22">
        <f t="shared" si="1"/>
        <v>0</v>
      </c>
    </row>
    <row r="44">
      <c r="A44" s="76">
        <v>40.0</v>
      </c>
      <c r="B44" s="37" t="s">
        <v>2253</v>
      </c>
      <c r="C44" s="37">
        <v>53364.0</v>
      </c>
      <c r="D44" s="37" t="s">
        <v>1836</v>
      </c>
      <c r="E44" s="29"/>
      <c r="F44" s="25"/>
      <c r="G44" s="16"/>
      <c r="H44" s="95">
        <v>10000.0</v>
      </c>
      <c r="I44" s="88"/>
      <c r="J44" s="68"/>
      <c r="K44" s="96"/>
      <c r="L44" s="45">
        <v>10000.0</v>
      </c>
      <c r="M44" s="22">
        <f t="shared" si="1"/>
        <v>0</v>
      </c>
    </row>
    <row r="45">
      <c r="A45" s="76">
        <v>41.0</v>
      </c>
      <c r="B45" s="37" t="s">
        <v>2254</v>
      </c>
      <c r="C45" s="37">
        <v>51406.0</v>
      </c>
      <c r="D45" s="37" t="s">
        <v>128</v>
      </c>
      <c r="E45" s="29"/>
      <c r="F45" s="25"/>
      <c r="G45" s="16"/>
      <c r="H45" s="95"/>
      <c r="I45" s="88">
        <v>20000.0</v>
      </c>
      <c r="J45" s="68"/>
      <c r="K45" s="96"/>
      <c r="L45" s="45">
        <v>20000.0</v>
      </c>
      <c r="M45" s="22">
        <f t="shared" si="1"/>
        <v>0</v>
      </c>
    </row>
    <row r="46">
      <c r="A46" s="76">
        <v>42.0</v>
      </c>
      <c r="B46" s="37" t="s">
        <v>2255</v>
      </c>
      <c r="C46" s="37">
        <v>22332.0</v>
      </c>
      <c r="D46" s="37" t="s">
        <v>78</v>
      </c>
      <c r="E46" s="29"/>
      <c r="F46" s="25"/>
      <c r="G46" s="16"/>
      <c r="H46" s="95">
        <v>20000.0</v>
      </c>
      <c r="I46" s="88"/>
      <c r="J46" s="68"/>
      <c r="K46" s="96"/>
      <c r="L46" s="45">
        <v>20000.0</v>
      </c>
      <c r="M46" s="22">
        <f t="shared" si="1"/>
        <v>0</v>
      </c>
    </row>
    <row r="47">
      <c r="A47" s="76">
        <v>43.0</v>
      </c>
      <c r="B47" s="37" t="s">
        <v>2256</v>
      </c>
      <c r="C47" s="37">
        <v>50538.0</v>
      </c>
      <c r="D47" s="37" t="s">
        <v>680</v>
      </c>
      <c r="E47" s="27"/>
      <c r="F47" s="25"/>
      <c r="G47" s="16"/>
      <c r="H47" s="95">
        <v>430.0</v>
      </c>
      <c r="I47" s="88"/>
      <c r="J47" s="68"/>
      <c r="K47" s="96"/>
      <c r="L47" s="45">
        <v>430.0</v>
      </c>
      <c r="M47" s="22">
        <f t="shared" si="1"/>
        <v>0</v>
      </c>
    </row>
    <row r="48">
      <c r="A48" s="76">
        <v>44.0</v>
      </c>
      <c r="B48" s="37" t="s">
        <v>2257</v>
      </c>
      <c r="C48" s="37">
        <v>42833.0</v>
      </c>
      <c r="D48" s="37" t="s">
        <v>253</v>
      </c>
      <c r="E48" s="27"/>
      <c r="F48" s="25"/>
      <c r="G48" s="16"/>
      <c r="H48" s="95">
        <v>10000.0</v>
      </c>
      <c r="I48" s="88"/>
      <c r="J48" s="68"/>
      <c r="K48" s="96"/>
      <c r="L48" s="45">
        <v>10000.0</v>
      </c>
      <c r="M48" s="22">
        <f t="shared" si="1"/>
        <v>0</v>
      </c>
    </row>
    <row r="49">
      <c r="A49" s="76">
        <v>45.0</v>
      </c>
      <c r="B49" s="37" t="s">
        <v>2258</v>
      </c>
      <c r="C49" s="37">
        <v>44149.0</v>
      </c>
      <c r="D49" s="37" t="s">
        <v>44</v>
      </c>
      <c r="E49" s="27"/>
      <c r="F49" s="25"/>
      <c r="G49" s="16"/>
      <c r="H49" s="95">
        <v>1880.0</v>
      </c>
      <c r="I49" s="88"/>
      <c r="J49" s="68"/>
      <c r="K49" s="96"/>
      <c r="L49" s="45">
        <v>1880.0</v>
      </c>
      <c r="M49" s="22">
        <f t="shared" si="1"/>
        <v>0</v>
      </c>
    </row>
    <row r="50">
      <c r="A50" s="76">
        <v>46.0</v>
      </c>
      <c r="B50" s="37" t="s">
        <v>2259</v>
      </c>
      <c r="C50" s="37">
        <v>57964.0</v>
      </c>
      <c r="D50" s="37" t="s">
        <v>1034</v>
      </c>
      <c r="E50" s="27"/>
      <c r="F50" s="25"/>
      <c r="G50" s="16"/>
      <c r="H50" s="95">
        <v>3600.0</v>
      </c>
      <c r="I50" s="88"/>
      <c r="J50" s="68"/>
      <c r="K50" s="96"/>
      <c r="L50" s="45">
        <v>3600.0</v>
      </c>
      <c r="M50" s="22">
        <f t="shared" si="1"/>
        <v>0</v>
      </c>
    </row>
    <row r="51">
      <c r="A51" s="76">
        <v>47.0</v>
      </c>
      <c r="B51" s="37" t="s">
        <v>2260</v>
      </c>
      <c r="C51" s="37">
        <v>13781.0</v>
      </c>
      <c r="D51" s="37" t="s">
        <v>213</v>
      </c>
      <c r="E51" s="27">
        <v>100.0</v>
      </c>
      <c r="F51" s="25"/>
      <c r="G51" s="16"/>
      <c r="H51" s="95"/>
      <c r="I51" s="88"/>
      <c r="J51" s="68"/>
      <c r="K51" s="96"/>
      <c r="L51" s="45">
        <v>100.0</v>
      </c>
      <c r="M51" s="22">
        <f t="shared" si="1"/>
        <v>0</v>
      </c>
    </row>
    <row r="52">
      <c r="A52" s="76">
        <v>48.0</v>
      </c>
      <c r="B52" s="37" t="s">
        <v>2261</v>
      </c>
      <c r="C52" s="37">
        <v>50613.0</v>
      </c>
      <c r="D52" s="37" t="s">
        <v>2262</v>
      </c>
      <c r="E52" s="27"/>
      <c r="F52" s="25"/>
      <c r="G52" s="16"/>
      <c r="H52" s="95"/>
      <c r="I52" s="88">
        <v>2500.0</v>
      </c>
      <c r="J52" s="68"/>
      <c r="K52" s="96"/>
      <c r="L52" s="45">
        <v>2500.0</v>
      </c>
      <c r="M52" s="22">
        <f t="shared" si="1"/>
        <v>0</v>
      </c>
    </row>
    <row r="53">
      <c r="A53" s="76">
        <v>49.0</v>
      </c>
      <c r="B53" s="37" t="s">
        <v>2263</v>
      </c>
      <c r="C53" s="37">
        <v>35245.0</v>
      </c>
      <c r="D53" s="37" t="s">
        <v>330</v>
      </c>
      <c r="E53" s="27"/>
      <c r="F53" s="25"/>
      <c r="G53" s="16"/>
      <c r="H53" s="95"/>
      <c r="I53" s="88"/>
      <c r="J53" s="70">
        <v>300.0</v>
      </c>
      <c r="K53" s="96"/>
      <c r="L53" s="45">
        <v>300.0</v>
      </c>
      <c r="M53" s="22">
        <f t="shared" si="1"/>
        <v>0</v>
      </c>
    </row>
    <row r="54">
      <c r="A54" s="76">
        <v>50.0</v>
      </c>
      <c r="B54" s="37" t="s">
        <v>2264</v>
      </c>
      <c r="C54" s="37">
        <v>55448.0</v>
      </c>
      <c r="D54" s="37" t="s">
        <v>2265</v>
      </c>
      <c r="E54" s="27"/>
      <c r="F54" s="25"/>
      <c r="G54" s="16"/>
      <c r="H54" s="95">
        <v>3600.0</v>
      </c>
      <c r="I54" s="88"/>
      <c r="J54" s="68"/>
      <c r="K54" s="96"/>
      <c r="L54" s="45">
        <v>3600.0</v>
      </c>
      <c r="M54" s="22">
        <f t="shared" si="1"/>
        <v>0</v>
      </c>
    </row>
    <row r="55">
      <c r="A55" s="76">
        <v>51.0</v>
      </c>
      <c r="B55" s="37" t="s">
        <v>2266</v>
      </c>
      <c r="C55" s="37">
        <v>57665.0</v>
      </c>
      <c r="D55" s="37" t="s">
        <v>2267</v>
      </c>
      <c r="E55" s="27"/>
      <c r="F55" s="25"/>
      <c r="G55" s="16"/>
      <c r="H55" s="95">
        <v>300.0</v>
      </c>
      <c r="I55" s="88"/>
      <c r="J55" s="68"/>
      <c r="K55" s="96"/>
      <c r="L55" s="45">
        <v>300.0</v>
      </c>
      <c r="M55" s="22">
        <f t="shared" si="1"/>
        <v>0</v>
      </c>
    </row>
    <row r="56">
      <c r="A56" s="76">
        <v>52.0</v>
      </c>
      <c r="B56" s="37" t="s">
        <v>2268</v>
      </c>
      <c r="C56" s="37">
        <v>58328.0</v>
      </c>
      <c r="D56" s="37" t="s">
        <v>2269</v>
      </c>
      <c r="E56" s="27"/>
      <c r="F56" s="25"/>
      <c r="G56" s="16"/>
      <c r="H56" s="95">
        <v>27000.0</v>
      </c>
      <c r="I56" s="88"/>
      <c r="J56" s="68"/>
      <c r="K56" s="96"/>
      <c r="L56" s="45">
        <v>27000.0</v>
      </c>
      <c r="M56" s="22">
        <f t="shared" si="1"/>
        <v>0</v>
      </c>
    </row>
    <row r="57">
      <c r="A57" s="76">
        <v>53.0</v>
      </c>
      <c r="B57" s="37" t="s">
        <v>2270</v>
      </c>
      <c r="C57" s="37">
        <v>44149.0</v>
      </c>
      <c r="D57" s="37" t="s">
        <v>44</v>
      </c>
      <c r="E57" s="27"/>
      <c r="F57" s="25"/>
      <c r="G57" s="16"/>
      <c r="H57" s="95">
        <v>11250.0</v>
      </c>
      <c r="I57" s="88"/>
      <c r="J57" s="68"/>
      <c r="K57" s="96"/>
      <c r="L57" s="45">
        <v>11250.0</v>
      </c>
      <c r="M57" s="22">
        <f t="shared" si="1"/>
        <v>0</v>
      </c>
    </row>
    <row r="58">
      <c r="A58" s="76">
        <v>54.0</v>
      </c>
      <c r="B58" s="37" t="s">
        <v>2271</v>
      </c>
      <c r="C58" s="37">
        <v>49712.0</v>
      </c>
      <c r="D58" s="37" t="s">
        <v>2272</v>
      </c>
      <c r="E58" s="27"/>
      <c r="F58" s="25"/>
      <c r="G58" s="16"/>
      <c r="H58" s="95"/>
      <c r="I58" s="88"/>
      <c r="J58" s="70">
        <v>0.0</v>
      </c>
      <c r="K58" s="96"/>
      <c r="L58" s="45">
        <v>1200.0</v>
      </c>
      <c r="M58" s="22">
        <f t="shared" si="1"/>
        <v>-1200</v>
      </c>
    </row>
    <row r="59">
      <c r="A59" s="76">
        <v>55.0</v>
      </c>
      <c r="B59" s="37" t="s">
        <v>2273</v>
      </c>
      <c r="C59" s="37">
        <v>36769.0</v>
      </c>
      <c r="D59" s="37" t="s">
        <v>138</v>
      </c>
      <c r="E59" s="27"/>
      <c r="F59" s="25"/>
      <c r="G59" s="16"/>
      <c r="H59" s="95">
        <v>2500.0</v>
      </c>
      <c r="I59" s="88"/>
      <c r="J59" s="68"/>
      <c r="K59" s="96"/>
      <c r="L59" s="45">
        <v>2500.0</v>
      </c>
      <c r="M59" s="22">
        <f t="shared" si="1"/>
        <v>0</v>
      </c>
    </row>
    <row r="60">
      <c r="A60" s="76">
        <v>56.0</v>
      </c>
      <c r="B60" s="37" t="s">
        <v>2274</v>
      </c>
      <c r="C60" s="37">
        <v>50336.0</v>
      </c>
      <c r="D60" s="37" t="s">
        <v>2275</v>
      </c>
      <c r="E60" s="27"/>
      <c r="F60" s="25"/>
      <c r="G60" s="28">
        <v>10000.0</v>
      </c>
      <c r="H60" s="95"/>
      <c r="I60" s="88"/>
      <c r="J60" s="68"/>
      <c r="K60" s="96"/>
      <c r="L60" s="45">
        <v>10000.0</v>
      </c>
      <c r="M60" s="22">
        <f t="shared" si="1"/>
        <v>0</v>
      </c>
    </row>
    <row r="61">
      <c r="A61" s="76">
        <v>57.0</v>
      </c>
      <c r="B61" s="37" t="s">
        <v>2276</v>
      </c>
      <c r="C61" s="37">
        <v>50342.0</v>
      </c>
      <c r="D61" s="37" t="s">
        <v>695</v>
      </c>
      <c r="E61" s="27"/>
      <c r="F61" s="25"/>
      <c r="G61" s="28">
        <v>300.0</v>
      </c>
      <c r="H61" s="95"/>
      <c r="I61" s="88"/>
      <c r="J61" s="68"/>
      <c r="K61" s="96"/>
      <c r="L61" s="45">
        <v>300.0</v>
      </c>
      <c r="M61" s="22">
        <f t="shared" si="1"/>
        <v>0</v>
      </c>
    </row>
    <row r="62">
      <c r="A62" s="76">
        <v>58.0</v>
      </c>
      <c r="B62" s="37" t="s">
        <v>2277</v>
      </c>
      <c r="C62" s="37">
        <v>25650.0</v>
      </c>
      <c r="D62" s="37" t="s">
        <v>229</v>
      </c>
      <c r="E62" s="27"/>
      <c r="F62" s="25"/>
      <c r="G62" s="28">
        <v>18000.0</v>
      </c>
      <c r="H62" s="95"/>
      <c r="I62" s="88"/>
      <c r="J62" s="68"/>
      <c r="K62" s="96"/>
      <c r="L62" s="45">
        <v>18000.0</v>
      </c>
      <c r="M62" s="22">
        <f t="shared" si="1"/>
        <v>0</v>
      </c>
    </row>
    <row r="63">
      <c r="A63" s="76">
        <v>59.0</v>
      </c>
      <c r="B63" s="37" t="s">
        <v>2278</v>
      </c>
      <c r="C63" s="37">
        <v>43380.0</v>
      </c>
      <c r="D63" s="37" t="s">
        <v>348</v>
      </c>
      <c r="E63" s="27"/>
      <c r="F63" s="25"/>
      <c r="G63" s="28">
        <v>1250.0</v>
      </c>
      <c r="H63" s="95"/>
      <c r="I63" s="88"/>
      <c r="J63" s="68"/>
      <c r="K63" s="96"/>
      <c r="L63" s="45">
        <v>1250.0</v>
      </c>
      <c r="M63" s="22">
        <f t="shared" si="1"/>
        <v>0</v>
      </c>
    </row>
    <row r="64">
      <c r="A64" s="76">
        <v>60.0</v>
      </c>
      <c r="B64" s="37" t="s">
        <v>2279</v>
      </c>
      <c r="C64" s="37">
        <v>49953.0</v>
      </c>
      <c r="D64" s="37" t="s">
        <v>62</v>
      </c>
      <c r="E64" s="27"/>
      <c r="F64" s="25"/>
      <c r="G64" s="28">
        <v>12600.0</v>
      </c>
      <c r="H64" s="95"/>
      <c r="I64" s="88"/>
      <c r="J64" s="68"/>
      <c r="K64" s="96"/>
      <c r="L64" s="45">
        <v>12600.0</v>
      </c>
      <c r="M64" s="22">
        <f t="shared" si="1"/>
        <v>0</v>
      </c>
    </row>
    <row r="65">
      <c r="A65" s="76">
        <v>61.0</v>
      </c>
      <c r="B65" s="37" t="s">
        <v>2280</v>
      </c>
      <c r="C65" s="37">
        <v>51166.0</v>
      </c>
      <c r="D65" s="37" t="s">
        <v>168</v>
      </c>
      <c r="E65" s="27"/>
      <c r="F65" s="25"/>
      <c r="G65" s="28">
        <v>5000.0</v>
      </c>
      <c r="H65" s="95"/>
      <c r="I65" s="88"/>
      <c r="J65" s="70"/>
      <c r="K65" s="96"/>
      <c r="L65" s="45">
        <v>5000.0</v>
      </c>
      <c r="M65" s="22">
        <f t="shared" si="1"/>
        <v>0</v>
      </c>
    </row>
    <row r="66">
      <c r="A66" s="76">
        <v>62.0</v>
      </c>
      <c r="B66" s="37" t="s">
        <v>2281</v>
      </c>
      <c r="C66" s="37">
        <v>25650.0</v>
      </c>
      <c r="D66" s="37" t="s">
        <v>229</v>
      </c>
      <c r="E66" s="27"/>
      <c r="F66" s="25"/>
      <c r="G66" s="28">
        <v>5300.0</v>
      </c>
      <c r="H66" s="95"/>
      <c r="I66" s="88"/>
      <c r="J66" s="68"/>
      <c r="K66" s="96"/>
      <c r="L66" s="45">
        <v>5300.0</v>
      </c>
      <c r="M66" s="22">
        <f t="shared" si="1"/>
        <v>0</v>
      </c>
    </row>
    <row r="67">
      <c r="A67" s="76">
        <v>63.0</v>
      </c>
      <c r="B67" s="37" t="s">
        <v>2282</v>
      </c>
      <c r="C67" s="37">
        <v>50221.0</v>
      </c>
      <c r="D67" s="37" t="s">
        <v>864</v>
      </c>
      <c r="E67" s="27"/>
      <c r="F67" s="25"/>
      <c r="G67" s="28">
        <v>2500.0</v>
      </c>
      <c r="H67" s="95"/>
      <c r="I67" s="88"/>
      <c r="J67" s="68"/>
      <c r="K67" s="96"/>
      <c r="L67" s="45">
        <v>2500.0</v>
      </c>
      <c r="M67" s="22">
        <f t="shared" si="1"/>
        <v>0</v>
      </c>
    </row>
    <row r="68">
      <c r="A68" s="76">
        <v>64.0</v>
      </c>
      <c r="B68" s="37" t="s">
        <v>2283</v>
      </c>
      <c r="C68" s="37">
        <v>42046.0</v>
      </c>
      <c r="D68" s="37" t="s">
        <v>163</v>
      </c>
      <c r="E68" s="29"/>
      <c r="F68" s="25"/>
      <c r="G68" s="28">
        <v>17800.0</v>
      </c>
      <c r="H68" s="95"/>
      <c r="I68" s="88"/>
      <c r="J68" s="68"/>
      <c r="K68" s="96"/>
      <c r="L68" s="45">
        <v>17800.0</v>
      </c>
      <c r="M68" s="22">
        <f t="shared" si="1"/>
        <v>0</v>
      </c>
    </row>
    <row r="69">
      <c r="A69" s="76">
        <v>65.0</v>
      </c>
      <c r="B69" s="37" t="s">
        <v>2284</v>
      </c>
      <c r="C69" s="37">
        <v>49655.0</v>
      </c>
      <c r="D69" s="37" t="s">
        <v>134</v>
      </c>
      <c r="E69" s="29"/>
      <c r="F69" s="25"/>
      <c r="G69" s="28">
        <v>8500.0</v>
      </c>
      <c r="H69" s="95"/>
      <c r="I69" s="88"/>
      <c r="J69" s="68"/>
      <c r="K69" s="96"/>
      <c r="L69" s="45">
        <v>8500.0</v>
      </c>
      <c r="M69" s="22">
        <f t="shared" si="1"/>
        <v>0</v>
      </c>
    </row>
    <row r="70">
      <c r="A70" s="76">
        <v>66.0</v>
      </c>
      <c r="B70" s="37" t="s">
        <v>2285</v>
      </c>
      <c r="C70" s="37">
        <v>12102.0</v>
      </c>
      <c r="D70" s="37" t="s">
        <v>113</v>
      </c>
      <c r="E70" s="27"/>
      <c r="F70" s="25"/>
      <c r="G70" s="28">
        <v>1413.0</v>
      </c>
      <c r="H70" s="95"/>
      <c r="I70" s="88"/>
      <c r="J70" s="68"/>
      <c r="K70" s="96"/>
      <c r="L70" s="45">
        <v>1413.0</v>
      </c>
      <c r="M70" s="22">
        <f t="shared" si="1"/>
        <v>0</v>
      </c>
    </row>
    <row r="71">
      <c r="A71" s="76">
        <v>67.0</v>
      </c>
      <c r="B71" s="37" t="s">
        <v>2286</v>
      </c>
      <c r="C71" s="37">
        <v>49918.0</v>
      </c>
      <c r="D71" s="37" t="s">
        <v>781</v>
      </c>
      <c r="E71" s="27"/>
      <c r="F71" s="25"/>
      <c r="G71" s="28">
        <v>1250.0</v>
      </c>
      <c r="H71" s="95"/>
      <c r="I71" s="88"/>
      <c r="J71" s="70"/>
      <c r="K71" s="96"/>
      <c r="L71" s="45">
        <v>1250.0</v>
      </c>
      <c r="M71" s="22">
        <f t="shared" si="1"/>
        <v>0</v>
      </c>
    </row>
    <row r="72">
      <c r="A72" s="76">
        <v>68.0</v>
      </c>
      <c r="B72" s="13"/>
      <c r="C72" s="13"/>
      <c r="D72" s="13"/>
      <c r="E72" s="27"/>
      <c r="F72" s="25"/>
      <c r="G72" s="28"/>
      <c r="H72" s="95"/>
      <c r="I72" s="88"/>
      <c r="J72" s="68"/>
      <c r="K72" s="96"/>
      <c r="L72" s="21"/>
      <c r="M72" s="22">
        <f t="shared" si="1"/>
        <v>0</v>
      </c>
    </row>
    <row r="73">
      <c r="A73" s="30"/>
      <c r="B73" s="12"/>
      <c r="C73" s="12"/>
      <c r="D73" s="73"/>
      <c r="E73" s="32">
        <f t="shared" ref="E73:L73" si="2">SUM(E5:E72)</f>
        <v>240</v>
      </c>
      <c r="F73" s="32">
        <f t="shared" si="2"/>
        <v>0</v>
      </c>
      <c r="G73" s="32">
        <f t="shared" si="2"/>
        <v>83913</v>
      </c>
      <c r="H73" s="32">
        <f t="shared" si="2"/>
        <v>349120</v>
      </c>
      <c r="I73" s="32">
        <f t="shared" si="2"/>
        <v>121700</v>
      </c>
      <c r="J73" s="32">
        <f t="shared" si="2"/>
        <v>1350</v>
      </c>
      <c r="K73" s="32">
        <f t="shared" si="2"/>
        <v>0</v>
      </c>
      <c r="L73" s="98">
        <f t="shared" si="2"/>
        <v>557523</v>
      </c>
      <c r="M73" s="99">
        <f t="shared" si="1"/>
        <v>-1200</v>
      </c>
    </row>
    <row r="74">
      <c r="A74" s="33"/>
      <c r="B74" s="63"/>
      <c r="C74" s="63"/>
      <c r="D74" s="74"/>
      <c r="E74" s="100">
        <f>E73+F73+G73+H73+I73+J73+K73</f>
        <v>556323</v>
      </c>
      <c r="F74" s="6"/>
      <c r="G74" s="6"/>
      <c r="H74" s="6"/>
      <c r="I74" s="6"/>
      <c r="J74" s="6"/>
      <c r="K74" s="7"/>
      <c r="L74" s="35"/>
      <c r="M74" s="33"/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  <c r="H78" s="55" t="s">
        <v>588</v>
      </c>
    </row>
    <row r="79">
      <c r="B79" s="64"/>
      <c r="C79" s="64"/>
      <c r="D79" s="75"/>
    </row>
    <row r="80">
      <c r="B80" s="64"/>
      <c r="C80" s="64"/>
      <c r="D80" s="75"/>
      <c r="H80" s="55" t="s">
        <v>485</v>
      </c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</sheetData>
  <mergeCells count="14">
    <mergeCell ref="F3:G3"/>
    <mergeCell ref="H3:I3"/>
    <mergeCell ref="J3:J4"/>
    <mergeCell ref="K3:K4"/>
    <mergeCell ref="E74:K7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5.88"/>
    <col customWidth="1" min="5" max="5" width="9.5"/>
  </cols>
  <sheetData>
    <row r="1">
      <c r="A1" s="1" t="s">
        <v>2287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13" t="s">
        <v>2288</v>
      </c>
      <c r="C5" s="13">
        <v>50184.0</v>
      </c>
      <c r="D5" s="13" t="s">
        <v>506</v>
      </c>
      <c r="E5" s="27"/>
      <c r="F5" s="25"/>
      <c r="G5" s="16"/>
      <c r="H5" s="95">
        <v>10700.0</v>
      </c>
      <c r="I5" s="88"/>
      <c r="J5" s="68"/>
      <c r="K5" s="88"/>
      <c r="L5" s="21">
        <v>10700.0</v>
      </c>
      <c r="M5" s="22">
        <f t="shared" ref="M5:M106" si="1">SUM(E5+F5+G5+H5+I5+J5+K5-L5)</f>
        <v>0</v>
      </c>
    </row>
    <row r="6">
      <c r="A6" s="76">
        <v>2.0</v>
      </c>
      <c r="B6" s="13" t="s">
        <v>2289</v>
      </c>
      <c r="C6" s="13">
        <v>50871.0</v>
      </c>
      <c r="D6" s="13" t="s">
        <v>48</v>
      </c>
      <c r="E6" s="27"/>
      <c r="F6" s="25"/>
      <c r="G6" s="16"/>
      <c r="H6" s="95">
        <v>46800.0</v>
      </c>
      <c r="I6" s="88"/>
      <c r="J6" s="70"/>
      <c r="K6" s="96"/>
      <c r="L6" s="21">
        <v>46800.0</v>
      </c>
      <c r="M6" s="22">
        <f t="shared" si="1"/>
        <v>0</v>
      </c>
      <c r="O6" s="55" t="s">
        <v>485</v>
      </c>
    </row>
    <row r="7">
      <c r="A7" s="76">
        <v>3.0</v>
      </c>
      <c r="B7" s="13" t="s">
        <v>2290</v>
      </c>
      <c r="C7" s="13">
        <v>43380.0</v>
      </c>
      <c r="D7" s="13" t="s">
        <v>348</v>
      </c>
      <c r="E7" s="27"/>
      <c r="F7" s="25"/>
      <c r="G7" s="16"/>
      <c r="H7" s="95">
        <v>350.0</v>
      </c>
      <c r="I7" s="88"/>
      <c r="J7" s="68"/>
      <c r="K7" s="96"/>
      <c r="L7" s="21">
        <v>350.0</v>
      </c>
      <c r="M7" s="22">
        <f t="shared" si="1"/>
        <v>0</v>
      </c>
    </row>
    <row r="8">
      <c r="A8" s="76">
        <v>4.0</v>
      </c>
      <c r="B8" s="13" t="s">
        <v>2291</v>
      </c>
      <c r="C8" s="13">
        <v>48387.0</v>
      </c>
      <c r="D8" s="13" t="s">
        <v>2292</v>
      </c>
      <c r="E8" s="29"/>
      <c r="F8" s="25"/>
      <c r="G8" s="16"/>
      <c r="H8" s="95">
        <v>34500.0</v>
      </c>
      <c r="I8" s="88"/>
      <c r="J8" s="70"/>
      <c r="K8" s="96"/>
      <c r="L8" s="21">
        <v>34500.0</v>
      </c>
      <c r="M8" s="22">
        <f t="shared" si="1"/>
        <v>0</v>
      </c>
    </row>
    <row r="9">
      <c r="A9" s="76">
        <v>5.0</v>
      </c>
      <c r="B9" s="13" t="s">
        <v>2293</v>
      </c>
      <c r="C9" s="13">
        <v>10250.0</v>
      </c>
      <c r="D9" s="13" t="s">
        <v>115</v>
      </c>
      <c r="E9" s="27"/>
      <c r="F9" s="25"/>
      <c r="G9" s="16"/>
      <c r="H9" s="95"/>
      <c r="I9" s="88">
        <v>2500.0</v>
      </c>
      <c r="J9" s="70"/>
      <c r="K9" s="96"/>
      <c r="L9" s="21">
        <v>2500.0</v>
      </c>
      <c r="M9" s="22">
        <f t="shared" si="1"/>
        <v>0</v>
      </c>
    </row>
    <row r="10">
      <c r="A10" s="76">
        <v>6.0</v>
      </c>
      <c r="B10" s="13" t="s">
        <v>2294</v>
      </c>
      <c r="C10" s="13">
        <v>51976.0</v>
      </c>
      <c r="D10" s="13" t="s">
        <v>975</v>
      </c>
      <c r="E10" s="27"/>
      <c r="F10" s="25"/>
      <c r="G10" s="16"/>
      <c r="H10" s="95"/>
      <c r="I10" s="88">
        <v>15100.0</v>
      </c>
      <c r="J10" s="68"/>
      <c r="K10" s="96"/>
      <c r="L10" s="21">
        <v>15100.0</v>
      </c>
      <c r="M10" s="22">
        <f t="shared" si="1"/>
        <v>0</v>
      </c>
    </row>
    <row r="11">
      <c r="A11" s="76">
        <v>7.0</v>
      </c>
      <c r="B11" s="13" t="s">
        <v>2295</v>
      </c>
      <c r="C11" s="13">
        <v>50958.0</v>
      </c>
      <c r="D11" s="13" t="s">
        <v>2296</v>
      </c>
      <c r="E11" s="29"/>
      <c r="F11" s="25"/>
      <c r="G11" s="16"/>
      <c r="H11" s="95"/>
      <c r="I11" s="88">
        <v>5150.0</v>
      </c>
      <c r="J11" s="70"/>
      <c r="K11" s="96"/>
      <c r="L11" s="21">
        <v>5150.0</v>
      </c>
      <c r="M11" s="22">
        <f t="shared" si="1"/>
        <v>0</v>
      </c>
    </row>
    <row r="12">
      <c r="A12" s="76">
        <v>8.0</v>
      </c>
      <c r="B12" s="13" t="s">
        <v>2297</v>
      </c>
      <c r="C12" s="13">
        <v>53814.0</v>
      </c>
      <c r="D12" s="13" t="s">
        <v>143</v>
      </c>
      <c r="E12" s="29"/>
      <c r="F12" s="25"/>
      <c r="G12" s="16"/>
      <c r="H12" s="95"/>
      <c r="I12" s="88">
        <v>1350.0</v>
      </c>
      <c r="J12" s="68"/>
      <c r="K12" s="96"/>
      <c r="L12" s="21">
        <v>1350.0</v>
      </c>
      <c r="M12" s="22">
        <f t="shared" si="1"/>
        <v>0</v>
      </c>
    </row>
    <row r="13">
      <c r="A13" s="76">
        <v>9.0</v>
      </c>
      <c r="B13" s="13" t="s">
        <v>2298</v>
      </c>
      <c r="C13" s="13">
        <v>19971.0</v>
      </c>
      <c r="D13" s="13" t="s">
        <v>2299</v>
      </c>
      <c r="E13" s="29"/>
      <c r="F13" s="25"/>
      <c r="G13" s="16"/>
      <c r="H13" s="95"/>
      <c r="I13" s="88">
        <v>15000.0</v>
      </c>
      <c r="J13" s="68"/>
      <c r="K13" s="96"/>
      <c r="L13" s="21">
        <v>15000.0</v>
      </c>
      <c r="M13" s="22">
        <f t="shared" si="1"/>
        <v>0</v>
      </c>
    </row>
    <row r="14">
      <c r="A14" s="76">
        <v>10.0</v>
      </c>
      <c r="B14" s="13" t="s">
        <v>2300</v>
      </c>
      <c r="C14" s="13">
        <v>43380.0</v>
      </c>
      <c r="D14" s="13" t="s">
        <v>348</v>
      </c>
      <c r="E14" s="27"/>
      <c r="F14" s="25"/>
      <c r="G14" s="16"/>
      <c r="H14" s="95">
        <v>8000.0</v>
      </c>
      <c r="I14" s="88"/>
      <c r="J14" s="68"/>
      <c r="K14" s="96"/>
      <c r="L14" s="21">
        <v>8000.0</v>
      </c>
      <c r="M14" s="22">
        <f t="shared" si="1"/>
        <v>0</v>
      </c>
    </row>
    <row r="15">
      <c r="A15" s="76">
        <v>11.0</v>
      </c>
      <c r="B15" s="13" t="s">
        <v>2301</v>
      </c>
      <c r="C15" s="13">
        <v>10320.0</v>
      </c>
      <c r="D15" s="13" t="s">
        <v>84</v>
      </c>
      <c r="E15" s="27"/>
      <c r="F15" s="25"/>
      <c r="G15" s="16"/>
      <c r="H15" s="95">
        <v>5000.0</v>
      </c>
      <c r="I15" s="88"/>
      <c r="J15" s="70"/>
      <c r="K15" s="96"/>
      <c r="L15" s="21">
        <v>5000.0</v>
      </c>
      <c r="M15" s="22">
        <f t="shared" si="1"/>
        <v>0</v>
      </c>
    </row>
    <row r="16">
      <c r="A16" s="76">
        <v>12.0</v>
      </c>
      <c r="B16" s="13" t="s">
        <v>2302</v>
      </c>
      <c r="C16" s="13">
        <v>52669.0</v>
      </c>
      <c r="D16" s="13" t="s">
        <v>42</v>
      </c>
      <c r="E16" s="29"/>
      <c r="F16" s="25"/>
      <c r="G16" s="16"/>
      <c r="H16" s="95">
        <v>853.0</v>
      </c>
      <c r="I16" s="88"/>
      <c r="J16" s="70"/>
      <c r="K16" s="96"/>
      <c r="L16" s="21">
        <v>853.0</v>
      </c>
      <c r="M16" s="22">
        <f t="shared" si="1"/>
        <v>0</v>
      </c>
    </row>
    <row r="17">
      <c r="A17" s="76">
        <v>13.0</v>
      </c>
      <c r="B17" s="13" t="s">
        <v>2303</v>
      </c>
      <c r="C17" s="13">
        <v>55409.0</v>
      </c>
      <c r="D17" s="13" t="s">
        <v>320</v>
      </c>
      <c r="E17" s="27">
        <v>12450.0</v>
      </c>
      <c r="F17" s="25"/>
      <c r="G17" s="16"/>
      <c r="H17" s="95"/>
      <c r="I17" s="88"/>
      <c r="J17" s="68"/>
      <c r="K17" s="96"/>
      <c r="L17" s="21">
        <v>12450.0</v>
      </c>
      <c r="M17" s="22">
        <f t="shared" si="1"/>
        <v>0</v>
      </c>
    </row>
    <row r="18">
      <c r="A18" s="76">
        <v>14.0</v>
      </c>
      <c r="B18" s="13" t="s">
        <v>2304</v>
      </c>
      <c r="C18" s="13">
        <v>51782.0</v>
      </c>
      <c r="D18" s="13" t="s">
        <v>1394</v>
      </c>
      <c r="E18" s="27"/>
      <c r="F18" s="25"/>
      <c r="G18" s="16"/>
      <c r="H18" s="95"/>
      <c r="I18" s="88">
        <v>700.0</v>
      </c>
      <c r="J18" s="68"/>
      <c r="K18" s="96"/>
      <c r="L18" s="21">
        <v>700.0</v>
      </c>
      <c r="M18" s="22">
        <f t="shared" si="1"/>
        <v>0</v>
      </c>
    </row>
    <row r="19">
      <c r="A19" s="76">
        <v>15.0</v>
      </c>
      <c r="B19" s="13" t="s">
        <v>2305</v>
      </c>
      <c r="C19" s="13">
        <v>55501.0</v>
      </c>
      <c r="D19" s="13" t="s">
        <v>1500</v>
      </c>
      <c r="E19" s="27">
        <v>3800.0</v>
      </c>
      <c r="F19" s="25"/>
      <c r="G19" s="16"/>
      <c r="H19" s="95"/>
      <c r="I19" s="88"/>
      <c r="J19" s="68"/>
      <c r="K19" s="96"/>
      <c r="L19" s="21">
        <v>3800.0</v>
      </c>
      <c r="M19" s="22">
        <f t="shared" si="1"/>
        <v>0</v>
      </c>
    </row>
    <row r="20">
      <c r="A20" s="76">
        <v>16.0</v>
      </c>
      <c r="B20" s="13" t="s">
        <v>2306</v>
      </c>
      <c r="C20" s="13">
        <v>49655.0</v>
      </c>
      <c r="D20" s="13" t="s">
        <v>134</v>
      </c>
      <c r="E20" s="29"/>
      <c r="F20" s="25"/>
      <c r="G20" s="16"/>
      <c r="H20" s="95"/>
      <c r="I20" s="88">
        <v>1250.0</v>
      </c>
      <c r="J20" s="68"/>
      <c r="K20" s="96"/>
      <c r="L20" s="21">
        <v>1250.0</v>
      </c>
      <c r="M20" s="22">
        <f t="shared" si="1"/>
        <v>0</v>
      </c>
    </row>
    <row r="21">
      <c r="A21" s="76">
        <v>17.0</v>
      </c>
      <c r="B21" s="13" t="s">
        <v>2307</v>
      </c>
      <c r="C21" s="13">
        <v>50436.0</v>
      </c>
      <c r="D21" s="13" t="s">
        <v>561</v>
      </c>
      <c r="E21" s="27">
        <v>5000.0</v>
      </c>
      <c r="F21" s="25"/>
      <c r="G21" s="16"/>
      <c r="H21" s="95"/>
      <c r="I21" s="88"/>
      <c r="J21" s="68"/>
      <c r="K21" s="96"/>
      <c r="L21" s="21">
        <v>5000.0</v>
      </c>
      <c r="M21" s="22">
        <f t="shared" si="1"/>
        <v>0</v>
      </c>
    </row>
    <row r="22">
      <c r="A22" s="76">
        <v>18.0</v>
      </c>
      <c r="B22" s="13" t="s">
        <v>2308</v>
      </c>
      <c r="C22" s="13">
        <v>51955.0</v>
      </c>
      <c r="D22" s="13" t="s">
        <v>1948</v>
      </c>
      <c r="E22" s="29"/>
      <c r="F22" s="25"/>
      <c r="G22" s="16"/>
      <c r="H22" s="95">
        <v>300.0</v>
      </c>
      <c r="I22" s="88"/>
      <c r="J22" s="68"/>
      <c r="K22" s="96"/>
      <c r="L22" s="21">
        <v>300.0</v>
      </c>
      <c r="M22" s="22">
        <f t="shared" si="1"/>
        <v>0</v>
      </c>
    </row>
    <row r="23">
      <c r="A23" s="76">
        <v>19.0</v>
      </c>
      <c r="B23" s="13" t="s">
        <v>2309</v>
      </c>
      <c r="C23" s="13">
        <v>48657.0</v>
      </c>
      <c r="D23" s="13" t="s">
        <v>236</v>
      </c>
      <c r="E23" s="29"/>
      <c r="F23" s="25"/>
      <c r="G23" s="16"/>
      <c r="H23" s="95">
        <v>700.0</v>
      </c>
      <c r="I23" s="88"/>
      <c r="J23" s="68"/>
      <c r="K23" s="96"/>
      <c r="L23" s="21">
        <v>700.0</v>
      </c>
      <c r="M23" s="22">
        <f t="shared" si="1"/>
        <v>0</v>
      </c>
    </row>
    <row r="24">
      <c r="A24" s="76">
        <v>20.0</v>
      </c>
      <c r="B24" s="13" t="s">
        <v>2310</v>
      </c>
      <c r="C24" s="13">
        <v>48910.0</v>
      </c>
      <c r="D24" s="13" t="s">
        <v>111</v>
      </c>
      <c r="E24" s="29"/>
      <c r="F24" s="25"/>
      <c r="G24" s="16"/>
      <c r="H24" s="95"/>
      <c r="I24" s="88">
        <v>3900.0</v>
      </c>
      <c r="J24" s="68"/>
      <c r="K24" s="96"/>
      <c r="L24" s="21">
        <v>3900.0</v>
      </c>
      <c r="M24" s="22">
        <f t="shared" si="1"/>
        <v>0</v>
      </c>
    </row>
    <row r="25">
      <c r="A25" s="76">
        <v>21.0</v>
      </c>
      <c r="B25" s="13" t="s">
        <v>2311</v>
      </c>
      <c r="C25" s="13">
        <v>52240.0</v>
      </c>
      <c r="D25" s="13" t="s">
        <v>2312</v>
      </c>
      <c r="E25" s="29"/>
      <c r="F25" s="25"/>
      <c r="G25" s="16"/>
      <c r="H25" s="95"/>
      <c r="I25" s="88">
        <v>5000.0</v>
      </c>
      <c r="J25" s="70"/>
      <c r="K25" s="96"/>
      <c r="L25" s="21">
        <v>5000.0</v>
      </c>
      <c r="M25" s="22">
        <f t="shared" si="1"/>
        <v>0</v>
      </c>
    </row>
    <row r="26">
      <c r="A26" s="76">
        <v>22.0</v>
      </c>
      <c r="B26" s="13" t="s">
        <v>2313</v>
      </c>
      <c r="C26" s="13">
        <v>55964.0</v>
      </c>
      <c r="D26" s="13" t="s">
        <v>285</v>
      </c>
      <c r="E26" s="29"/>
      <c r="F26" s="25"/>
      <c r="G26" s="16"/>
      <c r="H26" s="95"/>
      <c r="I26" s="88">
        <v>6250.0</v>
      </c>
      <c r="J26" s="70"/>
      <c r="K26" s="96"/>
      <c r="L26" s="21">
        <v>6250.0</v>
      </c>
      <c r="M26" s="22">
        <f t="shared" si="1"/>
        <v>0</v>
      </c>
    </row>
    <row r="27">
      <c r="A27" s="76">
        <v>23.0</v>
      </c>
      <c r="B27" s="13" t="s">
        <v>2314</v>
      </c>
      <c r="C27" s="13">
        <v>44149.0</v>
      </c>
      <c r="D27" s="13" t="s">
        <v>44</v>
      </c>
      <c r="E27" s="29"/>
      <c r="F27" s="25"/>
      <c r="G27" s="16"/>
      <c r="H27" s="95">
        <v>453.0</v>
      </c>
      <c r="I27" s="88"/>
      <c r="J27" s="68"/>
      <c r="K27" s="96"/>
      <c r="L27" s="21">
        <v>453.0</v>
      </c>
      <c r="M27" s="22">
        <f t="shared" si="1"/>
        <v>0</v>
      </c>
    </row>
    <row r="28">
      <c r="A28" s="76">
        <v>24.0</v>
      </c>
      <c r="B28" s="13" t="s">
        <v>2315</v>
      </c>
      <c r="C28" s="13">
        <v>56101.0</v>
      </c>
      <c r="D28" s="13" t="s">
        <v>2316</v>
      </c>
      <c r="E28" s="29"/>
      <c r="F28" s="25"/>
      <c r="G28" s="16"/>
      <c r="H28" s="95"/>
      <c r="I28" s="88">
        <v>300.0</v>
      </c>
      <c r="J28" s="68"/>
      <c r="K28" s="96"/>
      <c r="L28" s="21">
        <v>300.0</v>
      </c>
      <c r="M28" s="22">
        <f t="shared" si="1"/>
        <v>0</v>
      </c>
    </row>
    <row r="29">
      <c r="A29" s="76">
        <v>25.0</v>
      </c>
      <c r="B29" s="13" t="s">
        <v>2317</v>
      </c>
      <c r="C29" s="13">
        <v>49864.0</v>
      </c>
      <c r="D29" s="13" t="s">
        <v>225</v>
      </c>
      <c r="E29" s="27"/>
      <c r="F29" s="25"/>
      <c r="G29" s="16"/>
      <c r="H29" s="95">
        <v>448.0</v>
      </c>
      <c r="I29" s="88"/>
      <c r="J29" s="70"/>
      <c r="K29" s="96"/>
      <c r="L29" s="21">
        <v>448.0</v>
      </c>
      <c r="M29" s="22">
        <f t="shared" si="1"/>
        <v>0</v>
      </c>
    </row>
    <row r="30">
      <c r="A30" s="76">
        <v>26.0</v>
      </c>
      <c r="B30" s="13" t="s">
        <v>2318</v>
      </c>
      <c r="C30" s="13">
        <v>43870.0</v>
      </c>
      <c r="D30" s="13" t="s">
        <v>2319</v>
      </c>
      <c r="E30" s="29"/>
      <c r="F30" s="25"/>
      <c r="G30" s="16"/>
      <c r="H30" s="95">
        <v>10000.0</v>
      </c>
      <c r="I30" s="88"/>
      <c r="J30" s="68"/>
      <c r="K30" s="96"/>
      <c r="L30" s="21">
        <v>10000.0</v>
      </c>
      <c r="M30" s="22">
        <f t="shared" si="1"/>
        <v>0</v>
      </c>
    </row>
    <row r="31">
      <c r="A31" s="76">
        <v>27.0</v>
      </c>
      <c r="B31" s="13" t="s">
        <v>2320</v>
      </c>
      <c r="C31" s="13">
        <v>53775.0</v>
      </c>
      <c r="D31" s="13" t="s">
        <v>2321</v>
      </c>
      <c r="E31" s="27"/>
      <c r="F31" s="25"/>
      <c r="G31" s="16"/>
      <c r="H31" s="95">
        <v>2650.0</v>
      </c>
      <c r="I31" s="88"/>
      <c r="J31" s="68"/>
      <c r="K31" s="96"/>
      <c r="L31" s="21">
        <v>2650.0</v>
      </c>
      <c r="M31" s="22">
        <f t="shared" si="1"/>
        <v>0</v>
      </c>
    </row>
    <row r="32">
      <c r="A32" s="76">
        <v>28.0</v>
      </c>
      <c r="B32" s="13" t="s">
        <v>2322</v>
      </c>
      <c r="C32" s="13">
        <v>39317.0</v>
      </c>
      <c r="D32" s="13" t="s">
        <v>318</v>
      </c>
      <c r="E32" s="27"/>
      <c r="F32" s="25"/>
      <c r="G32" s="16"/>
      <c r="H32" s="95"/>
      <c r="I32" s="88">
        <v>1500.0</v>
      </c>
      <c r="J32" s="70"/>
      <c r="K32" s="96"/>
      <c r="L32" s="21">
        <v>1500.0</v>
      </c>
      <c r="M32" s="22">
        <f t="shared" si="1"/>
        <v>0</v>
      </c>
    </row>
    <row r="33">
      <c r="A33" s="76">
        <v>29.0</v>
      </c>
      <c r="B33" s="13" t="s">
        <v>2323</v>
      </c>
      <c r="C33" s="13">
        <v>51965.0</v>
      </c>
      <c r="D33" s="13" t="s">
        <v>2324</v>
      </c>
      <c r="E33" s="29"/>
      <c r="F33" s="25"/>
      <c r="G33" s="16"/>
      <c r="H33" s="95">
        <v>8200.0</v>
      </c>
      <c r="I33" s="88"/>
      <c r="J33" s="68"/>
      <c r="K33" s="96"/>
      <c r="L33" s="21">
        <v>8200.0</v>
      </c>
      <c r="M33" s="22">
        <f t="shared" si="1"/>
        <v>0</v>
      </c>
    </row>
    <row r="34">
      <c r="A34" s="76">
        <v>30.0</v>
      </c>
      <c r="B34" s="13" t="s">
        <v>2325</v>
      </c>
      <c r="C34" s="13">
        <v>57991.0</v>
      </c>
      <c r="D34" s="13" t="s">
        <v>1029</v>
      </c>
      <c r="E34" s="27">
        <v>400.0</v>
      </c>
      <c r="F34" s="25"/>
      <c r="G34" s="16"/>
      <c r="H34" s="95"/>
      <c r="I34" s="88"/>
      <c r="J34" s="68"/>
      <c r="K34" s="96"/>
      <c r="L34" s="21">
        <v>400.0</v>
      </c>
      <c r="M34" s="22">
        <f t="shared" si="1"/>
        <v>0</v>
      </c>
    </row>
    <row r="35">
      <c r="A35" s="76">
        <v>31.0</v>
      </c>
      <c r="B35" s="13" t="s">
        <v>2326</v>
      </c>
      <c r="C35" s="13">
        <v>36555.0</v>
      </c>
      <c r="D35" s="13" t="s">
        <v>389</v>
      </c>
      <c r="E35" s="29"/>
      <c r="F35" s="25"/>
      <c r="G35" s="16"/>
      <c r="H35" s="95">
        <v>8040.0</v>
      </c>
      <c r="I35" s="88"/>
      <c r="J35" s="70"/>
      <c r="K35" s="96"/>
      <c r="L35" s="21">
        <v>8040.0</v>
      </c>
      <c r="M35" s="22">
        <f t="shared" si="1"/>
        <v>0</v>
      </c>
    </row>
    <row r="36">
      <c r="A36" s="76">
        <v>32.0</v>
      </c>
      <c r="B36" s="13" t="s">
        <v>2327</v>
      </c>
      <c r="C36" s="13">
        <v>50613.0</v>
      </c>
      <c r="D36" s="13" t="s">
        <v>2262</v>
      </c>
      <c r="E36" s="27"/>
      <c r="F36" s="25"/>
      <c r="G36" s="16"/>
      <c r="H36" s="95"/>
      <c r="I36" s="88">
        <v>5000.0</v>
      </c>
      <c r="J36" s="70"/>
      <c r="K36" s="96"/>
      <c r="L36" s="21">
        <v>5000.0</v>
      </c>
      <c r="M36" s="22">
        <f t="shared" si="1"/>
        <v>0</v>
      </c>
    </row>
    <row r="37">
      <c r="A37" s="76">
        <v>33.0</v>
      </c>
      <c r="B37" s="13" t="s">
        <v>2328</v>
      </c>
      <c r="C37" s="13">
        <v>48052.0</v>
      </c>
      <c r="D37" s="13" t="s">
        <v>309</v>
      </c>
      <c r="E37" s="29"/>
      <c r="F37" s="25"/>
      <c r="G37" s="16"/>
      <c r="H37" s="95">
        <v>5000.0</v>
      </c>
      <c r="I37" s="88"/>
      <c r="J37" s="68"/>
      <c r="K37" s="96"/>
      <c r="L37" s="21">
        <v>5000.0</v>
      </c>
      <c r="M37" s="22">
        <f t="shared" si="1"/>
        <v>0</v>
      </c>
    </row>
    <row r="38">
      <c r="A38" s="76">
        <v>34.0</v>
      </c>
      <c r="B38" s="13" t="s">
        <v>2329</v>
      </c>
      <c r="C38" s="13">
        <v>10001.0</v>
      </c>
      <c r="D38" s="13" t="s">
        <v>46</v>
      </c>
      <c r="E38" s="29"/>
      <c r="F38" s="25"/>
      <c r="G38" s="16"/>
      <c r="H38" s="95"/>
      <c r="I38" s="88">
        <v>15000.0</v>
      </c>
      <c r="J38" s="68"/>
      <c r="K38" s="96"/>
      <c r="L38" s="21">
        <v>15000.0</v>
      </c>
      <c r="M38" s="22">
        <f t="shared" si="1"/>
        <v>0</v>
      </c>
    </row>
    <row r="39">
      <c r="A39" s="76">
        <v>35.0</v>
      </c>
      <c r="B39" s="13" t="s">
        <v>2330</v>
      </c>
      <c r="C39" s="13">
        <v>52669.0</v>
      </c>
      <c r="D39" s="13" t="s">
        <v>42</v>
      </c>
      <c r="E39" s="27"/>
      <c r="F39" s="25"/>
      <c r="G39" s="16"/>
      <c r="H39" s="95">
        <v>448.0</v>
      </c>
      <c r="I39" s="88"/>
      <c r="J39" s="68"/>
      <c r="K39" s="96"/>
      <c r="L39" s="21">
        <v>448.0</v>
      </c>
      <c r="M39" s="22">
        <f t="shared" si="1"/>
        <v>0</v>
      </c>
    </row>
    <row r="40">
      <c r="A40" s="76">
        <v>36.0</v>
      </c>
      <c r="B40" s="13" t="s">
        <v>2331</v>
      </c>
      <c r="C40" s="13">
        <v>39588.0</v>
      </c>
      <c r="D40" s="13" t="s">
        <v>188</v>
      </c>
      <c r="E40" s="27"/>
      <c r="F40" s="25"/>
      <c r="G40" s="16"/>
      <c r="H40" s="95">
        <v>3600.0</v>
      </c>
      <c r="I40" s="88"/>
      <c r="J40" s="68"/>
      <c r="K40" s="96"/>
      <c r="L40" s="21">
        <v>3600.0</v>
      </c>
      <c r="M40" s="22">
        <f t="shared" si="1"/>
        <v>0</v>
      </c>
    </row>
    <row r="41">
      <c r="A41" s="76">
        <v>37.0</v>
      </c>
      <c r="B41" s="13" t="s">
        <v>2332</v>
      </c>
      <c r="C41" s="13">
        <v>51017.0</v>
      </c>
      <c r="D41" s="13" t="s">
        <v>477</v>
      </c>
      <c r="E41" s="27"/>
      <c r="F41" s="25"/>
      <c r="G41" s="16"/>
      <c r="H41" s="95">
        <v>2000.0</v>
      </c>
      <c r="I41" s="88"/>
      <c r="J41" s="68"/>
      <c r="K41" s="96"/>
      <c r="L41" s="21">
        <v>2000.0</v>
      </c>
      <c r="M41" s="22">
        <f t="shared" si="1"/>
        <v>0</v>
      </c>
    </row>
    <row r="42">
      <c r="A42" s="76">
        <v>38.0</v>
      </c>
      <c r="B42" s="13" t="s">
        <v>2333</v>
      </c>
      <c r="C42" s="13">
        <v>56474.0</v>
      </c>
      <c r="D42" s="13" t="s">
        <v>2334</v>
      </c>
      <c r="E42" s="27"/>
      <c r="F42" s="25"/>
      <c r="G42" s="16"/>
      <c r="H42" s="95">
        <v>1200.0</v>
      </c>
      <c r="I42" s="97"/>
      <c r="J42" s="68"/>
      <c r="K42" s="96"/>
      <c r="L42" s="21">
        <v>1200.0</v>
      </c>
      <c r="M42" s="22">
        <f t="shared" si="1"/>
        <v>0</v>
      </c>
    </row>
    <row r="43">
      <c r="A43" s="76">
        <v>39.0</v>
      </c>
      <c r="B43" s="13" t="s">
        <v>2335</v>
      </c>
      <c r="C43" s="13">
        <v>35245.0</v>
      </c>
      <c r="D43" s="13" t="s">
        <v>330</v>
      </c>
      <c r="E43" s="29"/>
      <c r="F43" s="25"/>
      <c r="G43" s="16"/>
      <c r="H43" s="95"/>
      <c r="I43" s="88"/>
      <c r="J43" s="70">
        <v>300.0</v>
      </c>
      <c r="K43" s="96"/>
      <c r="L43" s="21">
        <v>300.0</v>
      </c>
      <c r="M43" s="22">
        <f t="shared" si="1"/>
        <v>0</v>
      </c>
    </row>
    <row r="44">
      <c r="A44" s="76">
        <v>40.0</v>
      </c>
      <c r="B44" s="13" t="s">
        <v>2336</v>
      </c>
      <c r="C44" s="13">
        <v>45992.0</v>
      </c>
      <c r="D44" s="13" t="s">
        <v>2337</v>
      </c>
      <c r="E44" s="27">
        <v>5050.0</v>
      </c>
      <c r="F44" s="25"/>
      <c r="G44" s="16"/>
      <c r="H44" s="95"/>
      <c r="I44" s="88"/>
      <c r="J44" s="68"/>
      <c r="K44" s="96"/>
      <c r="L44" s="21">
        <v>5050.0</v>
      </c>
      <c r="M44" s="22">
        <f t="shared" si="1"/>
        <v>0</v>
      </c>
    </row>
    <row r="45">
      <c r="A45" s="76">
        <v>41.0</v>
      </c>
      <c r="B45" s="13" t="s">
        <v>2338</v>
      </c>
      <c r="C45" s="13">
        <v>40494.0</v>
      </c>
      <c r="D45" s="13" t="s">
        <v>1045</v>
      </c>
      <c r="E45" s="27">
        <v>3950.0</v>
      </c>
      <c r="F45" s="25"/>
      <c r="G45" s="16"/>
      <c r="H45" s="95"/>
      <c r="I45" s="88"/>
      <c r="J45" s="68"/>
      <c r="K45" s="96"/>
      <c r="L45" s="21">
        <v>3950.0</v>
      </c>
      <c r="M45" s="22">
        <f t="shared" si="1"/>
        <v>0</v>
      </c>
    </row>
    <row r="46">
      <c r="A46" s="76">
        <v>42.0</v>
      </c>
      <c r="B46" s="13" t="s">
        <v>2339</v>
      </c>
      <c r="C46" s="13">
        <v>40494.0</v>
      </c>
      <c r="D46" s="13" t="s">
        <v>1045</v>
      </c>
      <c r="E46" s="27">
        <v>3600.0</v>
      </c>
      <c r="F46" s="25"/>
      <c r="G46" s="16"/>
      <c r="H46" s="95"/>
      <c r="I46" s="88"/>
      <c r="J46" s="68"/>
      <c r="K46" s="96"/>
      <c r="L46" s="21">
        <v>3600.0</v>
      </c>
      <c r="M46" s="22">
        <f t="shared" si="1"/>
        <v>0</v>
      </c>
    </row>
    <row r="47">
      <c r="A47" s="76">
        <v>43.0</v>
      </c>
      <c r="B47" s="13" t="s">
        <v>2340</v>
      </c>
      <c r="C47" s="13">
        <v>21818.0</v>
      </c>
      <c r="D47" s="13" t="s">
        <v>82</v>
      </c>
      <c r="E47" s="27"/>
      <c r="F47" s="25"/>
      <c r="G47" s="16"/>
      <c r="H47" s="95">
        <v>58700.0</v>
      </c>
      <c r="I47" s="88"/>
      <c r="J47" s="68"/>
      <c r="K47" s="96"/>
      <c r="L47" s="21">
        <v>58700.0</v>
      </c>
      <c r="M47" s="22">
        <f t="shared" si="1"/>
        <v>0</v>
      </c>
    </row>
    <row r="48">
      <c r="A48" s="76">
        <v>44.0</v>
      </c>
      <c r="B48" s="13" t="s">
        <v>2341</v>
      </c>
      <c r="C48" s="13">
        <v>48910.0</v>
      </c>
      <c r="D48" s="13" t="s">
        <v>111</v>
      </c>
      <c r="E48" s="27"/>
      <c r="F48" s="25"/>
      <c r="G48" s="16"/>
      <c r="H48" s="95"/>
      <c r="I48" s="88">
        <v>1750.0</v>
      </c>
      <c r="J48" s="68"/>
      <c r="K48" s="96"/>
      <c r="L48" s="21">
        <v>1750.0</v>
      </c>
      <c r="M48" s="22">
        <f t="shared" si="1"/>
        <v>0</v>
      </c>
    </row>
    <row r="49">
      <c r="A49" s="76">
        <v>45.0</v>
      </c>
      <c r="B49" s="13" t="s">
        <v>2342</v>
      </c>
      <c r="C49" s="13">
        <v>23221.0</v>
      </c>
      <c r="D49" s="13" t="s">
        <v>595</v>
      </c>
      <c r="E49" s="27"/>
      <c r="F49" s="25"/>
      <c r="G49" s="16"/>
      <c r="H49" s="95">
        <v>5150.0</v>
      </c>
      <c r="I49" s="88"/>
      <c r="J49" s="68"/>
      <c r="K49" s="96"/>
      <c r="L49" s="21">
        <v>5150.0</v>
      </c>
      <c r="M49" s="22">
        <f t="shared" si="1"/>
        <v>0</v>
      </c>
    </row>
    <row r="50">
      <c r="A50" s="76">
        <v>46.0</v>
      </c>
      <c r="B50" s="13" t="s">
        <v>2343</v>
      </c>
      <c r="C50" s="13">
        <v>16755.0</v>
      </c>
      <c r="D50" s="13" t="s">
        <v>2344</v>
      </c>
      <c r="E50" s="27"/>
      <c r="F50" s="25"/>
      <c r="G50" s="16"/>
      <c r="H50" s="95">
        <v>3600.0</v>
      </c>
      <c r="I50" s="88"/>
      <c r="J50" s="68"/>
      <c r="K50" s="96"/>
      <c r="L50" s="21">
        <v>3600.0</v>
      </c>
      <c r="M50" s="22">
        <f t="shared" si="1"/>
        <v>0</v>
      </c>
    </row>
    <row r="51">
      <c r="A51" s="76">
        <v>47.0</v>
      </c>
      <c r="B51" s="13" t="s">
        <v>2345</v>
      </c>
      <c r="C51" s="13">
        <v>49943.0</v>
      </c>
      <c r="D51" s="13" t="s">
        <v>451</v>
      </c>
      <c r="E51" s="27"/>
      <c r="F51" s="25"/>
      <c r="G51" s="16"/>
      <c r="H51" s="95">
        <v>350.0</v>
      </c>
      <c r="I51" s="88"/>
      <c r="J51" s="68"/>
      <c r="K51" s="96"/>
      <c r="L51" s="21">
        <v>350.0</v>
      </c>
      <c r="M51" s="22">
        <f t="shared" si="1"/>
        <v>0</v>
      </c>
    </row>
    <row r="52">
      <c r="A52" s="76">
        <v>48.0</v>
      </c>
      <c r="B52" s="13" t="s">
        <v>2346</v>
      </c>
      <c r="C52" s="13">
        <v>49909.0</v>
      </c>
      <c r="D52" s="13" t="s">
        <v>2347</v>
      </c>
      <c r="E52" s="27"/>
      <c r="F52" s="25"/>
      <c r="G52" s="16"/>
      <c r="H52" s="95">
        <v>5000.0</v>
      </c>
      <c r="I52" s="88"/>
      <c r="J52" s="68"/>
      <c r="K52" s="96"/>
      <c r="L52" s="21">
        <v>5000.0</v>
      </c>
      <c r="M52" s="22">
        <f t="shared" si="1"/>
        <v>0</v>
      </c>
    </row>
    <row r="53">
      <c r="A53" s="76">
        <v>49.0</v>
      </c>
      <c r="B53" s="13" t="s">
        <v>2348</v>
      </c>
      <c r="C53" s="13">
        <v>48136.0</v>
      </c>
      <c r="D53" s="13" t="s">
        <v>1024</v>
      </c>
      <c r="E53" s="27"/>
      <c r="F53" s="25"/>
      <c r="G53" s="16"/>
      <c r="H53" s="95">
        <v>20000.0</v>
      </c>
      <c r="I53" s="88"/>
      <c r="J53" s="70"/>
      <c r="K53" s="96"/>
      <c r="L53" s="21">
        <v>20000.0</v>
      </c>
      <c r="M53" s="22">
        <f t="shared" si="1"/>
        <v>0</v>
      </c>
    </row>
    <row r="54">
      <c r="A54" s="76">
        <v>50.0</v>
      </c>
      <c r="B54" s="13" t="s">
        <v>2349</v>
      </c>
      <c r="C54" s="13">
        <v>49943.0</v>
      </c>
      <c r="D54" s="13" t="s">
        <v>451</v>
      </c>
      <c r="E54" s="27"/>
      <c r="F54" s="25"/>
      <c r="G54" s="16"/>
      <c r="H54" s="95">
        <v>350.0</v>
      </c>
      <c r="I54" s="88"/>
      <c r="J54" s="68"/>
      <c r="K54" s="96"/>
      <c r="L54" s="21">
        <v>350.0</v>
      </c>
      <c r="M54" s="22">
        <f t="shared" si="1"/>
        <v>0</v>
      </c>
    </row>
    <row r="55">
      <c r="A55" s="76">
        <v>51.0</v>
      </c>
      <c r="B55" s="13" t="s">
        <v>2350</v>
      </c>
      <c r="C55" s="13">
        <v>58343.0</v>
      </c>
      <c r="D55" s="13" t="s">
        <v>2351</v>
      </c>
      <c r="E55" s="27"/>
      <c r="F55" s="25"/>
      <c r="G55" s="16"/>
      <c r="H55" s="95">
        <v>27000.0</v>
      </c>
      <c r="I55" s="88"/>
      <c r="J55" s="68"/>
      <c r="K55" s="96"/>
      <c r="L55" s="21">
        <v>27000.0</v>
      </c>
      <c r="M55" s="22">
        <f t="shared" si="1"/>
        <v>0</v>
      </c>
    </row>
    <row r="56">
      <c r="A56" s="76">
        <v>52.0</v>
      </c>
      <c r="B56" s="13" t="s">
        <v>2352</v>
      </c>
      <c r="C56" s="13">
        <v>22727.0</v>
      </c>
      <c r="D56" s="13" t="s">
        <v>109</v>
      </c>
      <c r="E56" s="27"/>
      <c r="F56" s="25"/>
      <c r="G56" s="16"/>
      <c r="H56" s="95"/>
      <c r="I56" s="88">
        <v>5300.0</v>
      </c>
      <c r="J56" s="68"/>
      <c r="K56" s="96"/>
      <c r="L56" s="21">
        <v>5300.0</v>
      </c>
      <c r="M56" s="22">
        <f t="shared" si="1"/>
        <v>0</v>
      </c>
    </row>
    <row r="57">
      <c r="A57" s="76">
        <v>53.0</v>
      </c>
      <c r="B57" s="13" t="s">
        <v>2353</v>
      </c>
      <c r="C57" s="13">
        <v>43081.0</v>
      </c>
      <c r="D57" s="13" t="s">
        <v>1729</v>
      </c>
      <c r="E57" s="27"/>
      <c r="F57" s="25"/>
      <c r="G57" s="16"/>
      <c r="H57" s="95"/>
      <c r="I57" s="88">
        <v>3600.0</v>
      </c>
      <c r="J57" s="68"/>
      <c r="K57" s="96"/>
      <c r="L57" s="21">
        <v>3600.0</v>
      </c>
      <c r="M57" s="22">
        <f t="shared" si="1"/>
        <v>0</v>
      </c>
    </row>
    <row r="58">
      <c r="A58" s="76">
        <v>54.0</v>
      </c>
      <c r="B58" s="13" t="s">
        <v>2354</v>
      </c>
      <c r="C58" s="13">
        <v>21384.0</v>
      </c>
      <c r="D58" s="13" t="s">
        <v>151</v>
      </c>
      <c r="E58" s="27"/>
      <c r="F58" s="25"/>
      <c r="G58" s="16"/>
      <c r="H58" s="95">
        <v>2640.0</v>
      </c>
      <c r="I58" s="88"/>
      <c r="J58" s="70"/>
      <c r="K58" s="96"/>
      <c r="L58" s="21">
        <v>2640.0</v>
      </c>
      <c r="M58" s="22">
        <f t="shared" si="1"/>
        <v>0</v>
      </c>
    </row>
    <row r="59">
      <c r="A59" s="76">
        <v>55.0</v>
      </c>
      <c r="B59" s="13" t="s">
        <v>2355</v>
      </c>
      <c r="C59" s="13">
        <v>50595.0</v>
      </c>
      <c r="D59" s="13" t="s">
        <v>305</v>
      </c>
      <c r="E59" s="27"/>
      <c r="F59" s="25"/>
      <c r="G59" s="16"/>
      <c r="H59" s="95">
        <v>18500.0</v>
      </c>
      <c r="I59" s="88"/>
      <c r="J59" s="68"/>
      <c r="K59" s="96"/>
      <c r="L59" s="21">
        <v>18500.0</v>
      </c>
      <c r="M59" s="22">
        <f t="shared" si="1"/>
        <v>0</v>
      </c>
    </row>
    <row r="60">
      <c r="A60" s="76">
        <v>56.0</v>
      </c>
      <c r="B60" s="13" t="s">
        <v>2356</v>
      </c>
      <c r="C60" s="13">
        <v>49953.0</v>
      </c>
      <c r="D60" s="13" t="s">
        <v>62</v>
      </c>
      <c r="E60" s="27"/>
      <c r="F60" s="25"/>
      <c r="G60" s="28"/>
      <c r="H60" s="95">
        <v>252.0</v>
      </c>
      <c r="I60" s="88"/>
      <c r="J60" s="68"/>
      <c r="K60" s="96"/>
      <c r="L60" s="21">
        <v>252.0</v>
      </c>
      <c r="M60" s="22">
        <f t="shared" si="1"/>
        <v>0</v>
      </c>
    </row>
    <row r="61">
      <c r="A61" s="76">
        <v>57.0</v>
      </c>
      <c r="B61" s="13" t="s">
        <v>2357</v>
      </c>
      <c r="C61" s="13">
        <v>44149.0</v>
      </c>
      <c r="D61" s="13" t="s">
        <v>44</v>
      </c>
      <c r="E61" s="27"/>
      <c r="F61" s="25"/>
      <c r="G61" s="28"/>
      <c r="H61" s="95">
        <v>1370.0</v>
      </c>
      <c r="I61" s="88"/>
      <c r="J61" s="68"/>
      <c r="K61" s="96"/>
      <c r="L61" s="21">
        <v>1370.0</v>
      </c>
      <c r="M61" s="22">
        <f t="shared" si="1"/>
        <v>0</v>
      </c>
    </row>
    <row r="62">
      <c r="A62" s="76">
        <v>58.0</v>
      </c>
      <c r="B62" s="13" t="s">
        <v>2358</v>
      </c>
      <c r="C62" s="13">
        <v>44149.0</v>
      </c>
      <c r="D62" s="13" t="s">
        <v>44</v>
      </c>
      <c r="E62" s="27"/>
      <c r="F62" s="25"/>
      <c r="G62" s="28"/>
      <c r="H62" s="95">
        <v>883.0</v>
      </c>
      <c r="I62" s="88"/>
      <c r="J62" s="68"/>
      <c r="K62" s="96"/>
      <c r="L62" s="21">
        <v>883.0</v>
      </c>
      <c r="M62" s="22">
        <f t="shared" si="1"/>
        <v>0</v>
      </c>
    </row>
    <row r="63">
      <c r="A63" s="76">
        <v>59.0</v>
      </c>
      <c r="B63" s="13" t="s">
        <v>2359</v>
      </c>
      <c r="C63" s="13">
        <v>48631.0</v>
      </c>
      <c r="D63" s="13" t="s">
        <v>123</v>
      </c>
      <c r="E63" s="27"/>
      <c r="F63" s="25"/>
      <c r="G63" s="28"/>
      <c r="H63" s="95">
        <v>2500.0</v>
      </c>
      <c r="I63" s="88"/>
      <c r="J63" s="68"/>
      <c r="K63" s="96"/>
      <c r="L63" s="21">
        <v>2500.0</v>
      </c>
      <c r="M63" s="22">
        <f t="shared" si="1"/>
        <v>0</v>
      </c>
    </row>
    <row r="64">
      <c r="A64" s="76">
        <v>60.0</v>
      </c>
      <c r="B64" s="13" t="s">
        <v>2360</v>
      </c>
      <c r="C64" s="13">
        <v>10001.0</v>
      </c>
      <c r="D64" s="13" t="s">
        <v>46</v>
      </c>
      <c r="E64" s="27">
        <v>100.0</v>
      </c>
      <c r="F64" s="25"/>
      <c r="G64" s="28"/>
      <c r="H64" s="95"/>
      <c r="I64" s="88"/>
      <c r="J64" s="68"/>
      <c r="K64" s="96"/>
      <c r="L64" s="21">
        <v>100.0</v>
      </c>
      <c r="M64" s="22">
        <f t="shared" si="1"/>
        <v>0</v>
      </c>
    </row>
    <row r="65">
      <c r="A65" s="76">
        <v>61.0</v>
      </c>
      <c r="B65" s="13" t="s">
        <v>2361</v>
      </c>
      <c r="C65" s="13">
        <v>56774.0</v>
      </c>
      <c r="D65" s="13" t="s">
        <v>311</v>
      </c>
      <c r="E65" s="27"/>
      <c r="F65" s="25"/>
      <c r="G65" s="28"/>
      <c r="H65" s="95">
        <v>5000.0</v>
      </c>
      <c r="I65" s="88"/>
      <c r="J65" s="68"/>
      <c r="K65" s="96"/>
      <c r="L65" s="21">
        <v>5000.0</v>
      </c>
      <c r="M65" s="22">
        <f t="shared" si="1"/>
        <v>0</v>
      </c>
    </row>
    <row r="66">
      <c r="A66" s="76">
        <v>62.0</v>
      </c>
      <c r="B66" s="13" t="s">
        <v>2362</v>
      </c>
      <c r="C66" s="13">
        <v>24751.0</v>
      </c>
      <c r="D66" s="13" t="s">
        <v>1279</v>
      </c>
      <c r="E66" s="27"/>
      <c r="F66" s="25"/>
      <c r="G66" s="28"/>
      <c r="H66" s="95">
        <v>350.0</v>
      </c>
      <c r="I66" s="88"/>
      <c r="J66" s="68"/>
      <c r="K66" s="96"/>
      <c r="L66" s="21">
        <v>350.0</v>
      </c>
      <c r="M66" s="22">
        <f t="shared" si="1"/>
        <v>0</v>
      </c>
    </row>
    <row r="67">
      <c r="A67" s="76">
        <v>63.0</v>
      </c>
      <c r="B67" s="13" t="s">
        <v>2363</v>
      </c>
      <c r="C67" s="13">
        <v>55446.0</v>
      </c>
      <c r="D67" s="13" t="s">
        <v>336</v>
      </c>
      <c r="E67" s="27"/>
      <c r="F67" s="25"/>
      <c r="G67" s="28"/>
      <c r="H67" s="95">
        <v>300.0</v>
      </c>
      <c r="I67" s="88"/>
      <c r="J67" s="68"/>
      <c r="K67" s="96"/>
      <c r="L67" s="21">
        <v>300.0</v>
      </c>
      <c r="M67" s="22">
        <f t="shared" si="1"/>
        <v>0</v>
      </c>
    </row>
    <row r="68">
      <c r="A68" s="76">
        <v>64.0</v>
      </c>
      <c r="B68" s="13" t="s">
        <v>2364</v>
      </c>
      <c r="C68" s="13">
        <v>22727.0</v>
      </c>
      <c r="D68" s="13" t="s">
        <v>109</v>
      </c>
      <c r="E68" s="27"/>
      <c r="F68" s="25"/>
      <c r="G68" s="28"/>
      <c r="H68" s="95"/>
      <c r="I68" s="88">
        <v>1250.0</v>
      </c>
      <c r="J68" s="68"/>
      <c r="K68" s="96"/>
      <c r="L68" s="21">
        <v>1250.0</v>
      </c>
      <c r="M68" s="22">
        <f t="shared" si="1"/>
        <v>0</v>
      </c>
    </row>
    <row r="69">
      <c r="A69" s="76">
        <v>65.0</v>
      </c>
      <c r="B69" s="13" t="s">
        <v>2365</v>
      </c>
      <c r="C69" s="13">
        <v>52214.0</v>
      </c>
      <c r="D69" s="13" t="s">
        <v>92</v>
      </c>
      <c r="E69" s="27"/>
      <c r="F69" s="25"/>
      <c r="G69" s="28"/>
      <c r="H69" s="95">
        <v>1250.0</v>
      </c>
      <c r="I69" s="88"/>
      <c r="J69" s="68"/>
      <c r="K69" s="96"/>
      <c r="L69" s="21">
        <v>1250.0</v>
      </c>
      <c r="M69" s="22">
        <f t="shared" si="1"/>
        <v>0</v>
      </c>
    </row>
    <row r="70">
      <c r="A70" s="76">
        <v>66.0</v>
      </c>
      <c r="B70" s="13" t="s">
        <v>2366</v>
      </c>
      <c r="C70" s="13">
        <v>48410.0</v>
      </c>
      <c r="D70" s="13" t="s">
        <v>2367</v>
      </c>
      <c r="E70" s="27"/>
      <c r="F70" s="25"/>
      <c r="G70" s="28"/>
      <c r="H70" s="95">
        <v>5850.0</v>
      </c>
      <c r="I70" s="88"/>
      <c r="J70" s="68"/>
      <c r="K70" s="96"/>
      <c r="L70" s="21">
        <v>5850.0</v>
      </c>
      <c r="M70" s="22">
        <f t="shared" si="1"/>
        <v>0</v>
      </c>
    </row>
    <row r="71">
      <c r="A71" s="76">
        <v>67.0</v>
      </c>
      <c r="B71" s="13" t="s">
        <v>2368</v>
      </c>
      <c r="C71" s="13">
        <v>21384.0</v>
      </c>
      <c r="D71" s="13" t="s">
        <v>151</v>
      </c>
      <c r="E71" s="27"/>
      <c r="F71" s="25"/>
      <c r="G71" s="28"/>
      <c r="H71" s="95">
        <v>5000.0</v>
      </c>
      <c r="I71" s="88"/>
      <c r="J71" s="68"/>
      <c r="K71" s="96"/>
      <c r="L71" s="21">
        <v>5000.0</v>
      </c>
      <c r="M71" s="22">
        <f t="shared" si="1"/>
        <v>0</v>
      </c>
    </row>
    <row r="72">
      <c r="A72" s="76">
        <v>68.0</v>
      </c>
      <c r="B72" s="13" t="s">
        <v>2369</v>
      </c>
      <c r="C72" s="13">
        <v>42278.0</v>
      </c>
      <c r="D72" s="13" t="s">
        <v>652</v>
      </c>
      <c r="E72" s="27"/>
      <c r="F72" s="25"/>
      <c r="G72" s="28"/>
      <c r="H72" s="95">
        <v>22500.0</v>
      </c>
      <c r="I72" s="88"/>
      <c r="J72" s="68"/>
      <c r="K72" s="96"/>
      <c r="L72" s="21">
        <v>22500.0</v>
      </c>
      <c r="M72" s="22">
        <f t="shared" si="1"/>
        <v>0</v>
      </c>
    </row>
    <row r="73">
      <c r="A73" s="76">
        <v>69.0</v>
      </c>
      <c r="B73" s="13" t="s">
        <v>2370</v>
      </c>
      <c r="C73" s="13">
        <v>21818.0</v>
      </c>
      <c r="D73" s="13" t="s">
        <v>82</v>
      </c>
      <c r="E73" s="27"/>
      <c r="F73" s="25"/>
      <c r="G73" s="28"/>
      <c r="H73" s="95">
        <v>8000.0</v>
      </c>
      <c r="I73" s="88"/>
      <c r="J73" s="68"/>
      <c r="K73" s="96"/>
      <c r="L73" s="21">
        <v>8000.0</v>
      </c>
      <c r="M73" s="22">
        <f t="shared" si="1"/>
        <v>0</v>
      </c>
    </row>
    <row r="74">
      <c r="A74" s="76">
        <v>70.0</v>
      </c>
      <c r="B74" s="13" t="s">
        <v>2371</v>
      </c>
      <c r="C74" s="13">
        <v>49655.0</v>
      </c>
      <c r="D74" s="13" t="s">
        <v>134</v>
      </c>
      <c r="E74" s="27"/>
      <c r="F74" s="25"/>
      <c r="G74" s="28"/>
      <c r="H74" s="95"/>
      <c r="I74" s="88">
        <v>1250.0</v>
      </c>
      <c r="J74" s="68"/>
      <c r="K74" s="96"/>
      <c r="L74" s="21">
        <v>1250.0</v>
      </c>
      <c r="M74" s="22">
        <f t="shared" si="1"/>
        <v>0</v>
      </c>
    </row>
    <row r="75">
      <c r="A75" s="76">
        <v>71.0</v>
      </c>
      <c r="B75" s="13" t="s">
        <v>2372</v>
      </c>
      <c r="C75" s="13">
        <v>51040.0</v>
      </c>
      <c r="D75" s="13" t="s">
        <v>2373</v>
      </c>
      <c r="E75" s="27"/>
      <c r="F75" s="25">
        <v>630.0</v>
      </c>
      <c r="G75" s="28"/>
      <c r="H75" s="95"/>
      <c r="I75" s="88"/>
      <c r="J75" s="68"/>
      <c r="K75" s="96"/>
      <c r="L75" s="21">
        <v>630.0</v>
      </c>
      <c r="M75" s="22">
        <f t="shared" si="1"/>
        <v>0</v>
      </c>
    </row>
    <row r="76">
      <c r="A76" s="76">
        <v>72.0</v>
      </c>
      <c r="B76" s="13" t="s">
        <v>2374</v>
      </c>
      <c r="C76" s="13">
        <v>55992.0</v>
      </c>
      <c r="D76" s="13" t="s">
        <v>933</v>
      </c>
      <c r="E76" s="27"/>
      <c r="F76" s="25"/>
      <c r="G76" s="28"/>
      <c r="H76" s="95">
        <v>300.0</v>
      </c>
      <c r="I76" s="88"/>
      <c r="J76" s="68"/>
      <c r="K76" s="96"/>
      <c r="L76" s="21">
        <v>300.0</v>
      </c>
      <c r="M76" s="22">
        <f t="shared" si="1"/>
        <v>0</v>
      </c>
    </row>
    <row r="77">
      <c r="A77" s="76">
        <v>73.0</v>
      </c>
      <c r="B77" s="13" t="s">
        <v>2375</v>
      </c>
      <c r="C77" s="13">
        <v>55179.0</v>
      </c>
      <c r="D77" s="13" t="s">
        <v>203</v>
      </c>
      <c r="E77" s="27"/>
      <c r="F77" s="25"/>
      <c r="G77" s="28"/>
      <c r="H77" s="95"/>
      <c r="I77" s="88">
        <v>1250.0</v>
      </c>
      <c r="J77" s="68"/>
      <c r="K77" s="96"/>
      <c r="L77" s="21">
        <v>1250.0</v>
      </c>
      <c r="M77" s="22">
        <f t="shared" si="1"/>
        <v>0</v>
      </c>
    </row>
    <row r="78">
      <c r="A78" s="76">
        <v>74.0</v>
      </c>
      <c r="B78" s="13" t="s">
        <v>2376</v>
      </c>
      <c r="C78" s="13">
        <v>52433.0</v>
      </c>
      <c r="D78" s="13" t="s">
        <v>2377</v>
      </c>
      <c r="E78" s="27"/>
      <c r="F78" s="25"/>
      <c r="G78" s="28"/>
      <c r="H78" s="95">
        <v>12500.0</v>
      </c>
      <c r="I78" s="88"/>
      <c r="J78" s="68"/>
      <c r="K78" s="96"/>
      <c r="L78" s="21">
        <v>12500.0</v>
      </c>
      <c r="M78" s="22">
        <f t="shared" si="1"/>
        <v>0</v>
      </c>
    </row>
    <row r="79">
      <c r="A79" s="76">
        <v>75.0</v>
      </c>
      <c r="B79" s="13" t="s">
        <v>2378</v>
      </c>
      <c r="C79" s="13">
        <v>22341.0</v>
      </c>
      <c r="D79" s="13" t="s">
        <v>1939</v>
      </c>
      <c r="E79" s="27"/>
      <c r="F79" s="25"/>
      <c r="G79" s="28"/>
      <c r="H79" s="95">
        <v>2500.0</v>
      </c>
      <c r="I79" s="88"/>
      <c r="J79" s="68"/>
      <c r="K79" s="96"/>
      <c r="L79" s="21">
        <v>2500.0</v>
      </c>
      <c r="M79" s="22">
        <f t="shared" si="1"/>
        <v>0</v>
      </c>
    </row>
    <row r="80">
      <c r="A80" s="76">
        <v>76.0</v>
      </c>
      <c r="B80" s="13" t="s">
        <v>2379</v>
      </c>
      <c r="C80" s="13">
        <v>50439.0</v>
      </c>
      <c r="D80" s="13" t="s">
        <v>762</v>
      </c>
      <c r="E80" s="27"/>
      <c r="F80" s="25"/>
      <c r="G80" s="28"/>
      <c r="H80" s="95">
        <v>5050.0</v>
      </c>
      <c r="I80" s="88"/>
      <c r="J80" s="68"/>
      <c r="K80" s="96"/>
      <c r="L80" s="21">
        <v>5050.0</v>
      </c>
      <c r="M80" s="22">
        <f t="shared" si="1"/>
        <v>0</v>
      </c>
    </row>
    <row r="81">
      <c r="A81" s="76">
        <v>77.0</v>
      </c>
      <c r="B81" s="13" t="s">
        <v>2380</v>
      </c>
      <c r="C81" s="13">
        <v>52402.0</v>
      </c>
      <c r="D81" s="13" t="s">
        <v>1334</v>
      </c>
      <c r="E81" s="27"/>
      <c r="F81" s="25"/>
      <c r="G81" s="28"/>
      <c r="H81" s="95">
        <v>1050.0</v>
      </c>
      <c r="I81" s="88"/>
      <c r="J81" s="68"/>
      <c r="K81" s="96"/>
      <c r="L81" s="21">
        <v>1050.0</v>
      </c>
      <c r="M81" s="22">
        <f t="shared" si="1"/>
        <v>0</v>
      </c>
    </row>
    <row r="82">
      <c r="A82" s="76">
        <v>78.0</v>
      </c>
      <c r="B82" s="13" t="s">
        <v>2381</v>
      </c>
      <c r="C82" s="13">
        <v>47510.0</v>
      </c>
      <c r="D82" s="13" t="s">
        <v>2185</v>
      </c>
      <c r="E82" s="27"/>
      <c r="F82" s="25"/>
      <c r="G82" s="28"/>
      <c r="H82" s="95">
        <v>5000.0</v>
      </c>
      <c r="I82" s="88"/>
      <c r="J82" s="68"/>
      <c r="K82" s="96"/>
      <c r="L82" s="21">
        <v>5000.0</v>
      </c>
      <c r="M82" s="22">
        <f t="shared" si="1"/>
        <v>0</v>
      </c>
    </row>
    <row r="83">
      <c r="A83" s="76">
        <v>79.0</v>
      </c>
      <c r="B83" s="13" t="s">
        <v>2382</v>
      </c>
      <c r="C83" s="13">
        <v>50871.0</v>
      </c>
      <c r="D83" s="13" t="s">
        <v>48</v>
      </c>
      <c r="E83" s="27"/>
      <c r="F83" s="25"/>
      <c r="G83" s="28"/>
      <c r="H83" s="95">
        <v>71400.0</v>
      </c>
      <c r="I83" s="88"/>
      <c r="J83" s="68"/>
      <c r="K83" s="96"/>
      <c r="L83" s="21">
        <v>71400.0</v>
      </c>
      <c r="M83" s="22">
        <f t="shared" si="1"/>
        <v>0</v>
      </c>
    </row>
    <row r="84">
      <c r="A84" s="76">
        <v>80.0</v>
      </c>
      <c r="B84" s="13" t="s">
        <v>2383</v>
      </c>
      <c r="C84" s="13">
        <v>51876.0</v>
      </c>
      <c r="D84" s="13" t="s">
        <v>2384</v>
      </c>
      <c r="E84" s="27"/>
      <c r="F84" s="25"/>
      <c r="G84" s="28"/>
      <c r="H84" s="95">
        <v>5000.0</v>
      </c>
      <c r="I84" s="88"/>
      <c r="J84" s="68"/>
      <c r="K84" s="96"/>
      <c r="L84" s="21">
        <v>5000.0</v>
      </c>
      <c r="M84" s="22">
        <f t="shared" si="1"/>
        <v>0</v>
      </c>
    </row>
    <row r="85">
      <c r="A85" s="76">
        <v>81.0</v>
      </c>
      <c r="B85" s="13" t="s">
        <v>2385</v>
      </c>
      <c r="C85" s="13">
        <v>51876.0</v>
      </c>
      <c r="D85" s="13" t="s">
        <v>2384</v>
      </c>
      <c r="E85" s="27"/>
      <c r="F85" s="25"/>
      <c r="G85" s="28"/>
      <c r="H85" s="95">
        <v>17500.0</v>
      </c>
      <c r="I85" s="88"/>
      <c r="J85" s="68"/>
      <c r="K85" s="96"/>
      <c r="L85" s="21">
        <v>17500.0</v>
      </c>
      <c r="M85" s="22">
        <f t="shared" si="1"/>
        <v>0</v>
      </c>
    </row>
    <row r="86">
      <c r="A86" s="76">
        <v>82.0</v>
      </c>
      <c r="B86" s="13" t="s">
        <v>2386</v>
      </c>
      <c r="C86" s="13">
        <v>55040.0</v>
      </c>
      <c r="D86" s="13" t="s">
        <v>755</v>
      </c>
      <c r="E86" s="27"/>
      <c r="F86" s="25"/>
      <c r="G86" s="28"/>
      <c r="H86" s="95">
        <v>14700.0</v>
      </c>
      <c r="I86" s="88"/>
      <c r="J86" s="68"/>
      <c r="K86" s="96"/>
      <c r="L86" s="21">
        <v>14700.0</v>
      </c>
      <c r="M86" s="22">
        <f t="shared" si="1"/>
        <v>0</v>
      </c>
    </row>
    <row r="87">
      <c r="A87" s="76">
        <v>83.0</v>
      </c>
      <c r="B87" s="13" t="s">
        <v>2387</v>
      </c>
      <c r="C87" s="13">
        <v>57746.0</v>
      </c>
      <c r="D87" s="13" t="s">
        <v>2388</v>
      </c>
      <c r="E87" s="27"/>
      <c r="F87" s="25"/>
      <c r="G87" s="28"/>
      <c r="H87" s="95">
        <v>300.0</v>
      </c>
      <c r="I87" s="88"/>
      <c r="J87" s="68"/>
      <c r="K87" s="96"/>
      <c r="L87" s="21">
        <v>300.0</v>
      </c>
      <c r="M87" s="22">
        <f t="shared" si="1"/>
        <v>0</v>
      </c>
    </row>
    <row r="88">
      <c r="A88" s="76">
        <v>84.0</v>
      </c>
      <c r="B88" s="13" t="s">
        <v>2389</v>
      </c>
      <c r="C88" s="13">
        <v>21384.0</v>
      </c>
      <c r="D88" s="13" t="s">
        <v>151</v>
      </c>
      <c r="E88" s="27"/>
      <c r="F88" s="25"/>
      <c r="G88" s="28"/>
      <c r="H88" s="95">
        <v>1200.0</v>
      </c>
      <c r="I88" s="88"/>
      <c r="J88" s="68"/>
      <c r="K88" s="96"/>
      <c r="L88" s="21">
        <v>1200.0</v>
      </c>
      <c r="M88" s="22">
        <f t="shared" si="1"/>
        <v>0</v>
      </c>
    </row>
    <row r="89">
      <c r="A89" s="76">
        <v>85.0</v>
      </c>
      <c r="B89" s="13" t="s">
        <v>2390</v>
      </c>
      <c r="C89" s="13">
        <v>58074.0</v>
      </c>
      <c r="D89" s="13" t="s">
        <v>2391</v>
      </c>
      <c r="E89" s="27"/>
      <c r="F89" s="25"/>
      <c r="G89" s="28"/>
      <c r="H89" s="95">
        <v>27000.0</v>
      </c>
      <c r="I89" s="88"/>
      <c r="J89" s="68"/>
      <c r="K89" s="96"/>
      <c r="L89" s="21">
        <v>27000.0</v>
      </c>
      <c r="M89" s="22">
        <f t="shared" si="1"/>
        <v>0</v>
      </c>
    </row>
    <row r="90">
      <c r="A90" s="76">
        <v>86.0</v>
      </c>
      <c r="B90" s="13" t="s">
        <v>2392</v>
      </c>
      <c r="C90" s="13">
        <v>56774.0</v>
      </c>
      <c r="D90" s="13" t="s">
        <v>311</v>
      </c>
      <c r="E90" s="27"/>
      <c r="F90" s="25"/>
      <c r="G90" s="28"/>
      <c r="H90" s="95">
        <v>300.0</v>
      </c>
      <c r="I90" s="88"/>
      <c r="J90" s="68"/>
      <c r="K90" s="96"/>
      <c r="L90" s="21">
        <v>300.0</v>
      </c>
      <c r="M90" s="22">
        <f t="shared" si="1"/>
        <v>0</v>
      </c>
    </row>
    <row r="91">
      <c r="A91" s="76">
        <v>87.0</v>
      </c>
      <c r="B91" s="13" t="s">
        <v>2393</v>
      </c>
      <c r="C91" s="13">
        <v>35245.0</v>
      </c>
      <c r="D91" s="13" t="s">
        <v>330</v>
      </c>
      <c r="E91" s="27"/>
      <c r="F91" s="25"/>
      <c r="G91" s="28"/>
      <c r="H91" s="95">
        <v>1400.0</v>
      </c>
      <c r="I91" s="88"/>
      <c r="J91" s="68"/>
      <c r="K91" s="96"/>
      <c r="L91" s="21">
        <v>1400.0</v>
      </c>
      <c r="M91" s="22">
        <f t="shared" si="1"/>
        <v>0</v>
      </c>
    </row>
    <row r="92">
      <c r="A92" s="76">
        <v>88.0</v>
      </c>
      <c r="B92" s="13" t="s">
        <v>2394</v>
      </c>
      <c r="C92" s="13">
        <v>21821.0</v>
      </c>
      <c r="D92" s="13" t="s">
        <v>959</v>
      </c>
      <c r="E92" s="27"/>
      <c r="F92" s="25"/>
      <c r="G92" s="28"/>
      <c r="H92" s="95"/>
      <c r="I92" s="88"/>
      <c r="J92" s="70">
        <v>6050.0</v>
      </c>
      <c r="K92" s="96"/>
      <c r="L92" s="21">
        <v>6050.0</v>
      </c>
      <c r="M92" s="22">
        <f t="shared" si="1"/>
        <v>0</v>
      </c>
    </row>
    <row r="93">
      <c r="A93" s="76">
        <v>89.0</v>
      </c>
      <c r="B93" s="13" t="s">
        <v>2395</v>
      </c>
      <c r="C93" s="13">
        <v>54335.0</v>
      </c>
      <c r="D93" s="13" t="s">
        <v>1323</v>
      </c>
      <c r="E93" s="27"/>
      <c r="F93" s="25"/>
      <c r="G93" s="28"/>
      <c r="H93" s="95"/>
      <c r="I93" s="88">
        <v>3700.0</v>
      </c>
      <c r="J93" s="68"/>
      <c r="K93" s="96"/>
      <c r="L93" s="21">
        <v>3700.0</v>
      </c>
      <c r="M93" s="22">
        <f t="shared" si="1"/>
        <v>0</v>
      </c>
    </row>
    <row r="94">
      <c r="A94" s="76">
        <v>90.0</v>
      </c>
      <c r="B94" s="13" t="s">
        <v>2396</v>
      </c>
      <c r="C94" s="13">
        <v>58068.0</v>
      </c>
      <c r="D94" s="13" t="s">
        <v>2397</v>
      </c>
      <c r="E94" s="27"/>
      <c r="F94" s="25">
        <v>27000.0</v>
      </c>
      <c r="G94" s="28"/>
      <c r="H94" s="95"/>
      <c r="I94" s="88"/>
      <c r="J94" s="68"/>
      <c r="K94" s="96"/>
      <c r="L94" s="21">
        <v>27000.0</v>
      </c>
      <c r="M94" s="22">
        <f t="shared" si="1"/>
        <v>0</v>
      </c>
    </row>
    <row r="95">
      <c r="A95" s="76">
        <v>91.0</v>
      </c>
      <c r="B95" s="13" t="s">
        <v>2398</v>
      </c>
      <c r="C95" s="13">
        <v>58252.0</v>
      </c>
      <c r="D95" s="13" t="s">
        <v>2399</v>
      </c>
      <c r="E95" s="27"/>
      <c r="F95" s="25"/>
      <c r="G95" s="28"/>
      <c r="H95" s="95">
        <v>300.0</v>
      </c>
      <c r="I95" s="88"/>
      <c r="J95" s="68"/>
      <c r="K95" s="96"/>
      <c r="L95" s="21">
        <v>300.0</v>
      </c>
      <c r="M95" s="22">
        <f t="shared" si="1"/>
        <v>0</v>
      </c>
    </row>
    <row r="96">
      <c r="A96" s="76">
        <v>92.0</v>
      </c>
      <c r="B96" s="13" t="s">
        <v>2400</v>
      </c>
      <c r="C96" s="13">
        <v>50436.0</v>
      </c>
      <c r="D96" s="13" t="s">
        <v>561</v>
      </c>
      <c r="E96" s="27"/>
      <c r="F96" s="25"/>
      <c r="G96" s="28"/>
      <c r="H96" s="95">
        <v>800.0</v>
      </c>
      <c r="I96" s="88"/>
      <c r="J96" s="68"/>
      <c r="K96" s="96"/>
      <c r="L96" s="21">
        <v>800.0</v>
      </c>
      <c r="M96" s="22">
        <f t="shared" si="1"/>
        <v>0</v>
      </c>
    </row>
    <row r="97">
      <c r="A97" s="76">
        <v>93.0</v>
      </c>
      <c r="B97" s="13" t="s">
        <v>2401</v>
      </c>
      <c r="C97" s="13">
        <v>33994.0</v>
      </c>
      <c r="D97" s="13" t="s">
        <v>2402</v>
      </c>
      <c r="E97" s="27"/>
      <c r="F97" s="25">
        <v>3600.0</v>
      </c>
      <c r="G97" s="28"/>
      <c r="H97" s="95"/>
      <c r="I97" s="88"/>
      <c r="J97" s="68"/>
      <c r="K97" s="96"/>
      <c r="L97" s="21">
        <v>3600.0</v>
      </c>
      <c r="M97" s="22">
        <f t="shared" si="1"/>
        <v>0</v>
      </c>
    </row>
    <row r="98">
      <c r="A98" s="76">
        <v>94.0</v>
      </c>
      <c r="B98" s="13" t="s">
        <v>2403</v>
      </c>
      <c r="C98" s="13">
        <v>50436.0</v>
      </c>
      <c r="D98" s="13" t="s">
        <v>561</v>
      </c>
      <c r="E98" s="27">
        <v>100.0</v>
      </c>
      <c r="F98" s="25"/>
      <c r="G98" s="28"/>
      <c r="H98" s="95"/>
      <c r="I98" s="88"/>
      <c r="J98" s="68"/>
      <c r="K98" s="96"/>
      <c r="L98" s="21">
        <v>100.0</v>
      </c>
      <c r="M98" s="22">
        <f t="shared" si="1"/>
        <v>0</v>
      </c>
    </row>
    <row r="99">
      <c r="A99" s="76">
        <v>95.0</v>
      </c>
      <c r="B99" s="13" t="s">
        <v>2404</v>
      </c>
      <c r="C99" s="13">
        <v>58040.0</v>
      </c>
      <c r="D99" s="13" t="s">
        <v>2405</v>
      </c>
      <c r="E99" s="27"/>
      <c r="F99" s="25"/>
      <c r="G99" s="28"/>
      <c r="H99" s="95">
        <v>300.0</v>
      </c>
      <c r="I99" s="88"/>
      <c r="J99" s="68"/>
      <c r="K99" s="96"/>
      <c r="L99" s="21">
        <v>300.0</v>
      </c>
      <c r="M99" s="22">
        <f t="shared" si="1"/>
        <v>0</v>
      </c>
    </row>
    <row r="100">
      <c r="A100" s="76">
        <v>96.0</v>
      </c>
      <c r="B100" s="13" t="s">
        <v>2406</v>
      </c>
      <c r="C100" s="13">
        <v>10001.0</v>
      </c>
      <c r="D100" s="13" t="s">
        <v>46</v>
      </c>
      <c r="E100" s="27">
        <v>500.0</v>
      </c>
      <c r="F100" s="25"/>
      <c r="G100" s="28"/>
      <c r="H100" s="95"/>
      <c r="I100" s="88"/>
      <c r="J100" s="68"/>
      <c r="K100" s="96"/>
      <c r="L100" s="21">
        <v>500.0</v>
      </c>
      <c r="M100" s="22">
        <f t="shared" si="1"/>
        <v>0</v>
      </c>
    </row>
    <row r="101">
      <c r="A101" s="76">
        <v>97.0</v>
      </c>
      <c r="B101" s="13" t="s">
        <v>2407</v>
      </c>
      <c r="C101" s="13">
        <v>43380.0</v>
      </c>
      <c r="D101" s="13" t="s">
        <v>348</v>
      </c>
      <c r="E101" s="27"/>
      <c r="F101" s="25"/>
      <c r="G101" s="28">
        <v>25200.0</v>
      </c>
      <c r="H101" s="95"/>
      <c r="I101" s="88"/>
      <c r="J101" s="70"/>
      <c r="K101" s="96"/>
      <c r="L101" s="21">
        <v>25200.0</v>
      </c>
      <c r="M101" s="22">
        <f t="shared" si="1"/>
        <v>0</v>
      </c>
    </row>
    <row r="102">
      <c r="A102" s="76">
        <v>98.0</v>
      </c>
      <c r="B102" s="13" t="s">
        <v>2408</v>
      </c>
      <c r="C102" s="13">
        <v>57440.0</v>
      </c>
      <c r="D102" s="13" t="s">
        <v>1667</v>
      </c>
      <c r="E102" s="27"/>
      <c r="F102" s="25"/>
      <c r="G102" s="28">
        <v>6250.0</v>
      </c>
      <c r="H102" s="95"/>
      <c r="I102" s="88"/>
      <c r="J102" s="68"/>
      <c r="K102" s="96"/>
      <c r="L102" s="21">
        <v>6250.0</v>
      </c>
      <c r="M102" s="22">
        <f t="shared" si="1"/>
        <v>0</v>
      </c>
    </row>
    <row r="103">
      <c r="A103" s="76">
        <v>99.0</v>
      </c>
      <c r="B103" s="13" t="s">
        <v>2409</v>
      </c>
      <c r="C103" s="13">
        <v>50593.0</v>
      </c>
      <c r="D103" s="13" t="s">
        <v>288</v>
      </c>
      <c r="E103" s="27"/>
      <c r="F103" s="25"/>
      <c r="G103" s="28">
        <v>30000.0</v>
      </c>
      <c r="H103" s="95"/>
      <c r="I103" s="88"/>
      <c r="J103" s="68"/>
      <c r="K103" s="96"/>
      <c r="L103" s="21">
        <v>30000.0</v>
      </c>
      <c r="M103" s="22">
        <f t="shared" si="1"/>
        <v>0</v>
      </c>
    </row>
    <row r="104">
      <c r="A104" s="76">
        <v>100.0</v>
      </c>
      <c r="B104" s="13" t="s">
        <v>2410</v>
      </c>
      <c r="C104" s="13">
        <v>49953.0</v>
      </c>
      <c r="D104" s="13" t="s">
        <v>62</v>
      </c>
      <c r="E104" s="29"/>
      <c r="F104" s="25"/>
      <c r="G104" s="28">
        <v>20750.0</v>
      </c>
      <c r="H104" s="95"/>
      <c r="I104" s="88"/>
      <c r="J104" s="68"/>
      <c r="K104" s="96"/>
      <c r="L104" s="21">
        <v>20750.0</v>
      </c>
      <c r="M104" s="22">
        <f t="shared" si="1"/>
        <v>0</v>
      </c>
    </row>
    <row r="105">
      <c r="A105" s="76">
        <v>101.0</v>
      </c>
      <c r="B105" s="13" t="s">
        <v>2411</v>
      </c>
      <c r="C105" s="13">
        <v>55179.0</v>
      </c>
      <c r="D105" s="13" t="s">
        <v>203</v>
      </c>
      <c r="E105" s="29"/>
      <c r="F105" s="25"/>
      <c r="G105" s="28">
        <v>20700.0</v>
      </c>
      <c r="H105" s="95"/>
      <c r="I105" s="88"/>
      <c r="J105" s="68"/>
      <c r="K105" s="96"/>
      <c r="L105" s="21">
        <v>20700.0</v>
      </c>
      <c r="M105" s="22">
        <f t="shared" si="1"/>
        <v>0</v>
      </c>
    </row>
    <row r="106">
      <c r="A106" s="30"/>
      <c r="B106" s="12"/>
      <c r="C106" s="12"/>
      <c r="D106" s="73"/>
      <c r="E106" s="32">
        <f t="shared" ref="E106:L106" si="2">SUM(E5:E105)</f>
        <v>34950</v>
      </c>
      <c r="F106" s="32">
        <f t="shared" si="2"/>
        <v>31230</v>
      </c>
      <c r="G106" s="32">
        <f t="shared" si="2"/>
        <v>102900</v>
      </c>
      <c r="H106" s="32">
        <f t="shared" si="2"/>
        <v>510387</v>
      </c>
      <c r="I106" s="32">
        <f t="shared" si="2"/>
        <v>96100</v>
      </c>
      <c r="J106" s="32">
        <f t="shared" si="2"/>
        <v>6350</v>
      </c>
      <c r="K106" s="32">
        <f t="shared" si="2"/>
        <v>0</v>
      </c>
      <c r="L106" s="98">
        <f t="shared" si="2"/>
        <v>781917</v>
      </c>
      <c r="M106" s="99">
        <f t="shared" si="1"/>
        <v>0</v>
      </c>
    </row>
    <row r="107">
      <c r="A107" s="33"/>
      <c r="B107" s="63"/>
      <c r="C107" s="63"/>
      <c r="D107" s="74"/>
      <c r="E107" s="100">
        <f>E106+F106+G106+H106+I106+J106+K106</f>
        <v>781917</v>
      </c>
      <c r="F107" s="6"/>
      <c r="G107" s="6"/>
      <c r="H107" s="6"/>
      <c r="I107" s="6"/>
      <c r="J107" s="6"/>
      <c r="K107" s="7"/>
      <c r="L107" s="35"/>
      <c r="M107" s="33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  <c r="H111" s="55" t="s">
        <v>588</v>
      </c>
    </row>
    <row r="112">
      <c r="B112" s="64"/>
      <c r="C112" s="64"/>
      <c r="D112" s="75"/>
    </row>
    <row r="113">
      <c r="B113" s="64"/>
      <c r="C113" s="64"/>
      <c r="D113" s="75"/>
      <c r="F113" s="55" t="s">
        <v>2412</v>
      </c>
      <c r="H113" s="55" t="s">
        <v>485</v>
      </c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  <row r="958">
      <c r="B958" s="64"/>
      <c r="C958" s="64"/>
      <c r="D958" s="75"/>
    </row>
    <row r="959">
      <c r="B959" s="64"/>
      <c r="C959" s="64"/>
      <c r="D959" s="75"/>
    </row>
    <row r="960">
      <c r="B960" s="64"/>
      <c r="C960" s="64"/>
      <c r="D960" s="75"/>
    </row>
    <row r="961">
      <c r="B961" s="64"/>
      <c r="C961" s="64"/>
      <c r="D961" s="75"/>
    </row>
    <row r="962">
      <c r="B962" s="64"/>
      <c r="C962" s="64"/>
      <c r="D962" s="75"/>
    </row>
    <row r="963">
      <c r="B963" s="64"/>
      <c r="C963" s="64"/>
      <c r="D963" s="75"/>
    </row>
    <row r="964">
      <c r="B964" s="64"/>
      <c r="C964" s="64"/>
      <c r="D964" s="75"/>
    </row>
    <row r="965">
      <c r="B965" s="64"/>
      <c r="C965" s="64"/>
      <c r="D965" s="75"/>
    </row>
    <row r="966">
      <c r="B966" s="64"/>
      <c r="C966" s="64"/>
      <c r="D966" s="75"/>
    </row>
    <row r="967">
      <c r="B967" s="64"/>
      <c r="C967" s="64"/>
      <c r="D967" s="75"/>
    </row>
    <row r="968">
      <c r="B968" s="64"/>
      <c r="C968" s="64"/>
      <c r="D968" s="75"/>
    </row>
    <row r="969">
      <c r="B969" s="64"/>
      <c r="C969" s="64"/>
      <c r="D969" s="75"/>
    </row>
    <row r="970">
      <c r="B970" s="64"/>
      <c r="C970" s="64"/>
      <c r="D970" s="75"/>
    </row>
    <row r="971">
      <c r="B971" s="64"/>
      <c r="C971" s="64"/>
      <c r="D971" s="75"/>
    </row>
    <row r="972">
      <c r="B972" s="64"/>
      <c r="C972" s="64"/>
      <c r="D972" s="75"/>
    </row>
    <row r="973">
      <c r="B973" s="64"/>
      <c r="C973" s="64"/>
      <c r="D973" s="75"/>
    </row>
    <row r="974">
      <c r="B974" s="64"/>
      <c r="C974" s="64"/>
      <c r="D974" s="75"/>
    </row>
    <row r="975">
      <c r="B975" s="64"/>
      <c r="C975" s="64"/>
      <c r="D975" s="75"/>
    </row>
    <row r="976">
      <c r="B976" s="64"/>
      <c r="C976" s="64"/>
      <c r="D976" s="75"/>
    </row>
    <row r="977">
      <c r="B977" s="64"/>
      <c r="C977" s="64"/>
      <c r="D977" s="75"/>
    </row>
    <row r="978">
      <c r="B978" s="64"/>
      <c r="C978" s="64"/>
      <c r="D978" s="75"/>
    </row>
    <row r="979">
      <c r="B979" s="64"/>
      <c r="C979" s="64"/>
      <c r="D979" s="75"/>
    </row>
    <row r="980">
      <c r="B980" s="64"/>
      <c r="C980" s="64"/>
      <c r="D980" s="75"/>
    </row>
  </sheetData>
  <mergeCells count="14">
    <mergeCell ref="F3:G3"/>
    <mergeCell ref="H3:I3"/>
    <mergeCell ref="J3:J4"/>
    <mergeCell ref="K3:K4"/>
    <mergeCell ref="E107:K10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8.0"/>
    <col customWidth="1" min="4" max="4" width="45.88"/>
    <col customWidth="1" min="5" max="5" width="9.5"/>
  </cols>
  <sheetData>
    <row r="1">
      <c r="A1" s="1" t="s">
        <v>2413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13" t="s">
        <v>2414</v>
      </c>
      <c r="C5" s="13">
        <v>10001.0</v>
      </c>
      <c r="D5" s="13" t="s">
        <v>46</v>
      </c>
      <c r="E5" s="27">
        <v>200.0</v>
      </c>
      <c r="F5" s="25"/>
      <c r="G5" s="16"/>
      <c r="H5" s="95"/>
      <c r="I5" s="88"/>
      <c r="J5" s="68"/>
      <c r="K5" s="88"/>
      <c r="L5" s="21">
        <v>200.0</v>
      </c>
      <c r="M5" s="22">
        <f t="shared" ref="M5:M86" si="1">SUM(E5+F5+G5+H5+I5+J5+K5-L5)</f>
        <v>0</v>
      </c>
    </row>
    <row r="6">
      <c r="A6" s="76">
        <v>2.0</v>
      </c>
      <c r="B6" s="13" t="s">
        <v>2415</v>
      </c>
      <c r="C6" s="13">
        <v>47179.0</v>
      </c>
      <c r="D6" s="13" t="s">
        <v>447</v>
      </c>
      <c r="E6" s="27"/>
      <c r="F6" s="25"/>
      <c r="G6" s="16"/>
      <c r="H6" s="95">
        <v>1250.0</v>
      </c>
      <c r="I6" s="88"/>
      <c r="J6" s="70"/>
      <c r="K6" s="96"/>
      <c r="L6" s="21">
        <v>1250.0</v>
      </c>
      <c r="M6" s="22">
        <f t="shared" si="1"/>
        <v>0</v>
      </c>
      <c r="O6" s="55" t="s">
        <v>485</v>
      </c>
    </row>
    <row r="7">
      <c r="A7" s="76">
        <v>3.0</v>
      </c>
      <c r="B7" s="13" t="s">
        <v>2416</v>
      </c>
      <c r="C7" s="13">
        <v>48951.0</v>
      </c>
      <c r="D7" s="13" t="s">
        <v>2417</v>
      </c>
      <c r="E7" s="27"/>
      <c r="F7" s="25"/>
      <c r="G7" s="16"/>
      <c r="H7" s="95">
        <v>300.0</v>
      </c>
      <c r="I7" s="88"/>
      <c r="J7" s="68"/>
      <c r="K7" s="96"/>
      <c r="L7" s="21">
        <v>300.0</v>
      </c>
      <c r="M7" s="22">
        <f t="shared" si="1"/>
        <v>0</v>
      </c>
    </row>
    <row r="8">
      <c r="A8" s="76">
        <v>4.0</v>
      </c>
      <c r="B8" s="13" t="s">
        <v>2418</v>
      </c>
      <c r="C8" s="13">
        <v>51782.0</v>
      </c>
      <c r="D8" s="13" t="s">
        <v>1394</v>
      </c>
      <c r="E8" s="29"/>
      <c r="F8" s="25"/>
      <c r="G8" s="16"/>
      <c r="H8" s="95"/>
      <c r="I8" s="88">
        <v>350.0</v>
      </c>
      <c r="J8" s="70"/>
      <c r="K8" s="96"/>
      <c r="L8" s="21">
        <v>350.0</v>
      </c>
      <c r="M8" s="22">
        <f t="shared" si="1"/>
        <v>0</v>
      </c>
    </row>
    <row r="9">
      <c r="A9" s="76">
        <v>5.0</v>
      </c>
      <c r="B9" s="13" t="s">
        <v>2419</v>
      </c>
      <c r="C9" s="13">
        <v>50543.0</v>
      </c>
      <c r="D9" s="13" t="s">
        <v>200</v>
      </c>
      <c r="E9" s="27"/>
      <c r="F9" s="25"/>
      <c r="G9" s="16"/>
      <c r="H9" s="95">
        <v>448.0</v>
      </c>
      <c r="I9" s="88"/>
      <c r="J9" s="70"/>
      <c r="K9" s="96"/>
      <c r="L9" s="21">
        <v>448.0</v>
      </c>
      <c r="M9" s="22">
        <f t="shared" si="1"/>
        <v>0</v>
      </c>
    </row>
    <row r="10">
      <c r="A10" s="76">
        <v>6.0</v>
      </c>
      <c r="B10" s="13" t="s">
        <v>2420</v>
      </c>
      <c r="C10" s="13">
        <v>52396.0</v>
      </c>
      <c r="D10" s="13" t="s">
        <v>369</v>
      </c>
      <c r="E10" s="27"/>
      <c r="F10" s="25"/>
      <c r="G10" s="16"/>
      <c r="H10" s="95"/>
      <c r="I10" s="88">
        <v>15000.0</v>
      </c>
      <c r="J10" s="68"/>
      <c r="K10" s="96"/>
      <c r="L10" s="21">
        <v>15000.0</v>
      </c>
      <c r="M10" s="22">
        <f t="shared" si="1"/>
        <v>0</v>
      </c>
    </row>
    <row r="11">
      <c r="A11" s="76">
        <v>7.0</v>
      </c>
      <c r="B11" s="13" t="s">
        <v>2421</v>
      </c>
      <c r="C11" s="13">
        <v>51051.0</v>
      </c>
      <c r="D11" s="13" t="s">
        <v>2422</v>
      </c>
      <c r="E11" s="29"/>
      <c r="F11" s="25"/>
      <c r="G11" s="16"/>
      <c r="H11" s="95">
        <v>20000.0</v>
      </c>
      <c r="I11" s="88"/>
      <c r="J11" s="70"/>
      <c r="K11" s="96"/>
      <c r="L11" s="21">
        <v>20000.0</v>
      </c>
      <c r="M11" s="22">
        <f t="shared" si="1"/>
        <v>0</v>
      </c>
    </row>
    <row r="12">
      <c r="A12" s="76">
        <v>8.0</v>
      </c>
      <c r="B12" s="13" t="s">
        <v>2423</v>
      </c>
      <c r="C12" s="13">
        <v>50265.0</v>
      </c>
      <c r="D12" s="13" t="s">
        <v>1202</v>
      </c>
      <c r="E12" s="29"/>
      <c r="F12" s="25"/>
      <c r="G12" s="16"/>
      <c r="H12" s="95"/>
      <c r="I12" s="88">
        <v>1250.0</v>
      </c>
      <c r="J12" s="68"/>
      <c r="K12" s="96"/>
      <c r="L12" s="21">
        <v>1250.0</v>
      </c>
      <c r="M12" s="22">
        <f t="shared" si="1"/>
        <v>0</v>
      </c>
    </row>
    <row r="13">
      <c r="A13" s="76">
        <v>9.0</v>
      </c>
      <c r="B13" s="13" t="s">
        <v>2424</v>
      </c>
      <c r="C13" s="13">
        <v>10320.0</v>
      </c>
      <c r="D13" s="13" t="s">
        <v>84</v>
      </c>
      <c r="E13" s="29"/>
      <c r="F13" s="25"/>
      <c r="G13" s="16"/>
      <c r="H13" s="95">
        <v>5000.0</v>
      </c>
      <c r="I13" s="88"/>
      <c r="J13" s="68"/>
      <c r="K13" s="96"/>
      <c r="L13" s="21">
        <v>5000.0</v>
      </c>
      <c r="M13" s="22">
        <f t="shared" si="1"/>
        <v>0</v>
      </c>
    </row>
    <row r="14">
      <c r="A14" s="76">
        <v>10.0</v>
      </c>
      <c r="B14" s="13" t="s">
        <v>2425</v>
      </c>
      <c r="C14" s="13">
        <v>21928.0</v>
      </c>
      <c r="D14" s="13" t="s">
        <v>2426</v>
      </c>
      <c r="E14" s="27"/>
      <c r="F14" s="25"/>
      <c r="G14" s="16"/>
      <c r="H14" s="95"/>
      <c r="I14" s="88">
        <v>3600.0</v>
      </c>
      <c r="J14" s="68"/>
      <c r="K14" s="96"/>
      <c r="L14" s="21">
        <v>3600.0</v>
      </c>
      <c r="M14" s="22">
        <f t="shared" si="1"/>
        <v>0</v>
      </c>
    </row>
    <row r="15">
      <c r="A15" s="76">
        <v>11.0</v>
      </c>
      <c r="B15" s="13" t="s">
        <v>2427</v>
      </c>
      <c r="C15" s="13">
        <v>52373.0</v>
      </c>
      <c r="D15" s="13" t="s">
        <v>533</v>
      </c>
      <c r="E15" s="27"/>
      <c r="F15" s="25"/>
      <c r="G15" s="16"/>
      <c r="H15" s="95"/>
      <c r="I15" s="88">
        <v>3700.0</v>
      </c>
      <c r="J15" s="70"/>
      <c r="K15" s="96"/>
      <c r="L15" s="21">
        <v>3700.0</v>
      </c>
      <c r="M15" s="22">
        <f t="shared" si="1"/>
        <v>0</v>
      </c>
    </row>
    <row r="16">
      <c r="A16" s="76">
        <v>12.0</v>
      </c>
      <c r="B16" s="13" t="s">
        <v>2428</v>
      </c>
      <c r="C16" s="13">
        <v>57351.0</v>
      </c>
      <c r="D16" s="13" t="s">
        <v>1503</v>
      </c>
      <c r="E16" s="29"/>
      <c r="F16" s="25"/>
      <c r="G16" s="16"/>
      <c r="H16" s="95"/>
      <c r="I16" s="88">
        <v>2650.0</v>
      </c>
      <c r="J16" s="70"/>
      <c r="K16" s="96"/>
      <c r="L16" s="21">
        <v>2650.0</v>
      </c>
      <c r="M16" s="22">
        <f t="shared" si="1"/>
        <v>0</v>
      </c>
    </row>
    <row r="17">
      <c r="A17" s="76">
        <v>13.0</v>
      </c>
      <c r="B17" s="13" t="s">
        <v>2429</v>
      </c>
      <c r="C17" s="13">
        <v>50821.0</v>
      </c>
      <c r="D17" s="13" t="s">
        <v>125</v>
      </c>
      <c r="E17" s="27"/>
      <c r="F17" s="25"/>
      <c r="G17" s="16"/>
      <c r="H17" s="95"/>
      <c r="I17" s="88">
        <v>4000.0</v>
      </c>
      <c r="J17" s="68"/>
      <c r="K17" s="96"/>
      <c r="L17" s="21">
        <v>4000.0</v>
      </c>
      <c r="M17" s="22">
        <f t="shared" si="1"/>
        <v>0</v>
      </c>
    </row>
    <row r="18">
      <c r="A18" s="76">
        <v>14.0</v>
      </c>
      <c r="B18" s="13" t="s">
        <v>2430</v>
      </c>
      <c r="C18" s="13">
        <v>49194.0</v>
      </c>
      <c r="D18" s="13" t="s">
        <v>343</v>
      </c>
      <c r="E18" s="27"/>
      <c r="F18" s="25"/>
      <c r="G18" s="16"/>
      <c r="H18" s="95"/>
      <c r="I18" s="88"/>
      <c r="J18" s="70">
        <v>600.0</v>
      </c>
      <c r="K18" s="96"/>
      <c r="L18" s="21">
        <v>600.0</v>
      </c>
      <c r="M18" s="22">
        <f t="shared" si="1"/>
        <v>0</v>
      </c>
    </row>
    <row r="19">
      <c r="A19" s="76">
        <v>15.0</v>
      </c>
      <c r="B19" s="13" t="s">
        <v>2431</v>
      </c>
      <c r="C19" s="13">
        <v>42071.0</v>
      </c>
      <c r="D19" s="13" t="s">
        <v>905</v>
      </c>
      <c r="E19" s="27"/>
      <c r="F19" s="25"/>
      <c r="G19" s="16"/>
      <c r="H19" s="95"/>
      <c r="I19" s="88">
        <v>1451.0</v>
      </c>
      <c r="J19" s="70"/>
      <c r="K19" s="96"/>
      <c r="L19" s="21">
        <v>1451.0</v>
      </c>
      <c r="M19" s="22">
        <f t="shared" si="1"/>
        <v>0</v>
      </c>
    </row>
    <row r="20">
      <c r="A20" s="76">
        <v>16.0</v>
      </c>
      <c r="B20" s="13" t="s">
        <v>2432</v>
      </c>
      <c r="C20" s="13">
        <v>50222.0</v>
      </c>
      <c r="D20" s="13" t="s">
        <v>504</v>
      </c>
      <c r="E20" s="29"/>
      <c r="F20" s="25"/>
      <c r="G20" s="16"/>
      <c r="H20" s="95">
        <v>1502.0</v>
      </c>
      <c r="I20" s="88"/>
      <c r="J20" s="68"/>
      <c r="K20" s="96"/>
      <c r="L20" s="21">
        <v>1502.0</v>
      </c>
      <c r="M20" s="22">
        <f t="shared" si="1"/>
        <v>0</v>
      </c>
    </row>
    <row r="21">
      <c r="A21" s="76">
        <v>17.0</v>
      </c>
      <c r="B21" s="13" t="s">
        <v>2433</v>
      </c>
      <c r="C21" s="13">
        <v>44149.0</v>
      </c>
      <c r="D21" s="13" t="s">
        <v>44</v>
      </c>
      <c r="E21" s="27"/>
      <c r="F21" s="25"/>
      <c r="G21" s="16"/>
      <c r="H21" s="95">
        <v>1427.0</v>
      </c>
      <c r="I21" s="88"/>
      <c r="J21" s="68"/>
      <c r="K21" s="96"/>
      <c r="L21" s="21">
        <v>1427.0</v>
      </c>
      <c r="M21" s="22">
        <f t="shared" si="1"/>
        <v>0</v>
      </c>
    </row>
    <row r="22">
      <c r="A22" s="76">
        <v>18.0</v>
      </c>
      <c r="B22" s="13" t="s">
        <v>2434</v>
      </c>
      <c r="C22" s="13">
        <v>22332.0</v>
      </c>
      <c r="D22" s="13" t="s">
        <v>78</v>
      </c>
      <c r="E22" s="29"/>
      <c r="F22" s="25"/>
      <c r="G22" s="16"/>
      <c r="H22" s="95">
        <v>5850.0</v>
      </c>
      <c r="I22" s="88"/>
      <c r="J22" s="68"/>
      <c r="K22" s="96"/>
      <c r="L22" s="21">
        <v>5850.0</v>
      </c>
      <c r="M22" s="22">
        <f t="shared" si="1"/>
        <v>0</v>
      </c>
    </row>
    <row r="23">
      <c r="A23" s="76">
        <v>19.0</v>
      </c>
      <c r="B23" s="13" t="s">
        <v>2435</v>
      </c>
      <c r="C23" s="13">
        <v>51978.0</v>
      </c>
      <c r="D23" s="13" t="s">
        <v>2436</v>
      </c>
      <c r="E23" s="29"/>
      <c r="F23" s="25"/>
      <c r="G23" s="16"/>
      <c r="H23" s="95">
        <v>2650.0</v>
      </c>
      <c r="I23" s="88"/>
      <c r="J23" s="68"/>
      <c r="K23" s="96"/>
      <c r="L23" s="21">
        <v>2650.0</v>
      </c>
      <c r="M23" s="22">
        <f t="shared" si="1"/>
        <v>0</v>
      </c>
    </row>
    <row r="24">
      <c r="A24" s="76">
        <v>20.0</v>
      </c>
      <c r="B24" s="13" t="s">
        <v>2437</v>
      </c>
      <c r="C24" s="13">
        <v>39317.0</v>
      </c>
      <c r="D24" s="13" t="s">
        <v>318</v>
      </c>
      <c r="E24" s="29"/>
      <c r="F24" s="25"/>
      <c r="G24" s="16"/>
      <c r="H24" s="95"/>
      <c r="I24" s="88">
        <v>8750.0</v>
      </c>
      <c r="J24" s="68"/>
      <c r="K24" s="96"/>
      <c r="L24" s="21">
        <v>8750.0</v>
      </c>
      <c r="M24" s="22">
        <f t="shared" si="1"/>
        <v>0</v>
      </c>
    </row>
    <row r="25">
      <c r="A25" s="76">
        <v>21.0</v>
      </c>
      <c r="B25" s="13" t="s">
        <v>2438</v>
      </c>
      <c r="C25" s="13">
        <v>31738.0</v>
      </c>
      <c r="D25" s="13" t="s">
        <v>277</v>
      </c>
      <c r="E25" s="29"/>
      <c r="F25" s="25"/>
      <c r="G25" s="16"/>
      <c r="H25" s="95">
        <v>10000.0</v>
      </c>
      <c r="I25" s="88"/>
      <c r="J25" s="70"/>
      <c r="K25" s="96"/>
      <c r="L25" s="21">
        <v>10000.0</v>
      </c>
      <c r="M25" s="22">
        <f t="shared" si="1"/>
        <v>0</v>
      </c>
    </row>
    <row r="26">
      <c r="A26" s="76">
        <v>22.0</v>
      </c>
      <c r="B26" s="13" t="s">
        <v>2439</v>
      </c>
      <c r="C26" s="13">
        <v>44390.0</v>
      </c>
      <c r="D26" s="13" t="s">
        <v>893</v>
      </c>
      <c r="E26" s="29"/>
      <c r="F26" s="25"/>
      <c r="G26" s="16"/>
      <c r="H26" s="95">
        <v>1200.0</v>
      </c>
      <c r="I26" s="88"/>
      <c r="J26" s="70"/>
      <c r="K26" s="96"/>
      <c r="L26" s="21">
        <v>1200.0</v>
      </c>
      <c r="M26" s="22">
        <f t="shared" si="1"/>
        <v>0</v>
      </c>
    </row>
    <row r="27">
      <c r="A27" s="76">
        <v>23.0</v>
      </c>
      <c r="B27" s="13" t="s">
        <v>2440</v>
      </c>
      <c r="C27" s="13">
        <v>33031.0</v>
      </c>
      <c r="D27" s="13" t="s">
        <v>2441</v>
      </c>
      <c r="E27" s="29"/>
      <c r="F27" s="25"/>
      <c r="G27" s="16"/>
      <c r="H27" s="95">
        <v>3700.0</v>
      </c>
      <c r="I27" s="88"/>
      <c r="J27" s="68"/>
      <c r="K27" s="96"/>
      <c r="L27" s="21">
        <v>3700.0</v>
      </c>
      <c r="M27" s="22">
        <f t="shared" si="1"/>
        <v>0</v>
      </c>
    </row>
    <row r="28">
      <c r="A28" s="76">
        <v>24.0</v>
      </c>
      <c r="B28" s="13" t="s">
        <v>2442</v>
      </c>
      <c r="C28" s="13">
        <v>43349.0</v>
      </c>
      <c r="D28" s="13" t="s">
        <v>1689</v>
      </c>
      <c r="E28" s="29"/>
      <c r="F28" s="25"/>
      <c r="G28" s="16"/>
      <c r="H28" s="95">
        <v>12500.0</v>
      </c>
      <c r="I28" s="88"/>
      <c r="J28" s="68"/>
      <c r="K28" s="96"/>
      <c r="L28" s="21">
        <v>12500.0</v>
      </c>
      <c r="M28" s="22">
        <f t="shared" si="1"/>
        <v>0</v>
      </c>
    </row>
    <row r="29">
      <c r="A29" s="76">
        <v>25.0</v>
      </c>
      <c r="B29" s="13" t="s">
        <v>2443</v>
      </c>
      <c r="C29" s="13">
        <v>57821.0</v>
      </c>
      <c r="D29" s="13" t="s">
        <v>577</v>
      </c>
      <c r="E29" s="27"/>
      <c r="F29" s="25"/>
      <c r="G29" s="16"/>
      <c r="H29" s="95">
        <v>9000.0</v>
      </c>
      <c r="I29" s="88"/>
      <c r="J29" s="70"/>
      <c r="K29" s="96"/>
      <c r="L29" s="21">
        <v>9000.0</v>
      </c>
      <c r="M29" s="22">
        <f t="shared" si="1"/>
        <v>0</v>
      </c>
    </row>
    <row r="30">
      <c r="A30" s="76">
        <v>26.0</v>
      </c>
      <c r="B30" s="13" t="s">
        <v>2444</v>
      </c>
      <c r="C30" s="13">
        <v>58021.0</v>
      </c>
      <c r="D30" s="13" t="s">
        <v>610</v>
      </c>
      <c r="E30" s="29"/>
      <c r="F30" s="25"/>
      <c r="G30" s="16"/>
      <c r="H30" s="95">
        <v>1450.0</v>
      </c>
      <c r="I30" s="88"/>
      <c r="J30" s="68"/>
      <c r="K30" s="96"/>
      <c r="L30" s="21">
        <v>1450.0</v>
      </c>
      <c r="M30" s="22">
        <f t="shared" si="1"/>
        <v>0</v>
      </c>
    </row>
    <row r="31">
      <c r="A31" s="76">
        <v>27.0</v>
      </c>
      <c r="B31" s="13" t="s">
        <v>2445</v>
      </c>
      <c r="C31" s="13">
        <v>49655.0</v>
      </c>
      <c r="D31" s="13" t="s">
        <v>134</v>
      </c>
      <c r="E31" s="27"/>
      <c r="F31" s="25"/>
      <c r="G31" s="16"/>
      <c r="H31" s="95"/>
      <c r="I31" s="88">
        <v>1250.0</v>
      </c>
      <c r="J31" s="68"/>
      <c r="K31" s="96"/>
      <c r="L31" s="21">
        <v>1250.0</v>
      </c>
      <c r="M31" s="22">
        <f t="shared" si="1"/>
        <v>0</v>
      </c>
    </row>
    <row r="32">
      <c r="A32" s="76">
        <v>28.0</v>
      </c>
      <c r="B32" s="13" t="s">
        <v>2446</v>
      </c>
      <c r="C32" s="13">
        <v>50148.0</v>
      </c>
      <c r="D32" s="13" t="s">
        <v>355</v>
      </c>
      <c r="E32" s="27"/>
      <c r="F32" s="25"/>
      <c r="G32" s="16"/>
      <c r="H32" s="95">
        <v>850.0</v>
      </c>
      <c r="I32" s="88"/>
      <c r="J32" s="70"/>
      <c r="K32" s="96"/>
      <c r="L32" s="21">
        <v>850.0</v>
      </c>
      <c r="M32" s="22">
        <f t="shared" si="1"/>
        <v>0</v>
      </c>
    </row>
    <row r="33">
      <c r="A33" s="76">
        <v>29.0</v>
      </c>
      <c r="B33" s="13" t="s">
        <v>2447</v>
      </c>
      <c r="C33" s="13">
        <v>50596.0</v>
      </c>
      <c r="D33" s="13" t="s">
        <v>157</v>
      </c>
      <c r="E33" s="29"/>
      <c r="F33" s="25"/>
      <c r="G33" s="16"/>
      <c r="H33" s="95">
        <v>35500.0</v>
      </c>
      <c r="I33" s="88"/>
      <c r="J33" s="68"/>
      <c r="K33" s="96"/>
      <c r="L33" s="21">
        <v>35500.0</v>
      </c>
      <c r="M33" s="22">
        <f t="shared" si="1"/>
        <v>0</v>
      </c>
    </row>
    <row r="34">
      <c r="A34" s="76">
        <v>30.0</v>
      </c>
      <c r="B34" s="13" t="s">
        <v>2448</v>
      </c>
      <c r="C34" s="13">
        <v>45937.0</v>
      </c>
      <c r="D34" s="13" t="s">
        <v>885</v>
      </c>
      <c r="E34" s="27"/>
      <c r="F34" s="25"/>
      <c r="G34" s="16"/>
      <c r="H34" s="95">
        <v>5350.0</v>
      </c>
      <c r="I34" s="88"/>
      <c r="J34" s="68"/>
      <c r="K34" s="96"/>
      <c r="L34" s="21">
        <v>5350.0</v>
      </c>
      <c r="M34" s="22">
        <f t="shared" si="1"/>
        <v>0</v>
      </c>
    </row>
    <row r="35">
      <c r="A35" s="76">
        <v>31.0</v>
      </c>
      <c r="B35" s="13" t="s">
        <v>2449</v>
      </c>
      <c r="C35" s="13">
        <v>58225.0</v>
      </c>
      <c r="D35" s="13" t="s">
        <v>2450</v>
      </c>
      <c r="E35" s="29"/>
      <c r="F35" s="25"/>
      <c r="G35" s="16"/>
      <c r="H35" s="95">
        <v>1280.0</v>
      </c>
      <c r="I35" s="88"/>
      <c r="J35" s="70"/>
      <c r="K35" s="96"/>
      <c r="L35" s="21">
        <v>1280.0</v>
      </c>
      <c r="M35" s="22">
        <f t="shared" si="1"/>
        <v>0</v>
      </c>
    </row>
    <row r="36">
      <c r="A36" s="76">
        <v>32.0</v>
      </c>
      <c r="B36" s="13" t="s">
        <v>2451</v>
      </c>
      <c r="C36" s="13">
        <v>49754.0</v>
      </c>
      <c r="D36" s="13" t="s">
        <v>466</v>
      </c>
      <c r="E36" s="27"/>
      <c r="F36" s="25"/>
      <c r="G36" s="16"/>
      <c r="H36" s="95"/>
      <c r="I36" s="88">
        <v>1400.0</v>
      </c>
      <c r="J36" s="70"/>
      <c r="K36" s="96"/>
      <c r="L36" s="21">
        <v>1400.0</v>
      </c>
      <c r="M36" s="22">
        <f t="shared" si="1"/>
        <v>0</v>
      </c>
    </row>
    <row r="37">
      <c r="A37" s="76">
        <v>33.0</v>
      </c>
      <c r="B37" s="13" t="s">
        <v>2452</v>
      </c>
      <c r="C37" s="13">
        <v>51406.0</v>
      </c>
      <c r="D37" s="13" t="s">
        <v>128</v>
      </c>
      <c r="E37" s="29"/>
      <c r="F37" s="25"/>
      <c r="G37" s="16"/>
      <c r="H37" s="95"/>
      <c r="I37" s="88">
        <v>3500.0</v>
      </c>
      <c r="J37" s="68"/>
      <c r="K37" s="96"/>
      <c r="L37" s="21">
        <v>3500.0</v>
      </c>
      <c r="M37" s="22">
        <f t="shared" si="1"/>
        <v>0</v>
      </c>
    </row>
    <row r="38">
      <c r="A38" s="76">
        <v>34.0</v>
      </c>
      <c r="B38" s="13" t="s">
        <v>2453</v>
      </c>
      <c r="C38" s="13">
        <v>47515.0</v>
      </c>
      <c r="D38" s="13" t="s">
        <v>2454</v>
      </c>
      <c r="E38" s="29"/>
      <c r="F38" s="25"/>
      <c r="G38" s="16"/>
      <c r="H38" s="95"/>
      <c r="I38" s="88">
        <v>5150.0</v>
      </c>
      <c r="J38" s="68"/>
      <c r="K38" s="96"/>
      <c r="L38" s="21">
        <v>5150.0</v>
      </c>
      <c r="M38" s="22">
        <f t="shared" si="1"/>
        <v>0</v>
      </c>
    </row>
    <row r="39">
      <c r="A39" s="76">
        <v>35.0</v>
      </c>
      <c r="B39" s="13" t="s">
        <v>2455</v>
      </c>
      <c r="C39" s="13">
        <v>43381.0</v>
      </c>
      <c r="D39" s="13" t="s">
        <v>97</v>
      </c>
      <c r="E39" s="27"/>
      <c r="F39" s="25"/>
      <c r="G39" s="16"/>
      <c r="H39" s="95">
        <v>15000.0</v>
      </c>
      <c r="I39" s="88"/>
      <c r="J39" s="68"/>
      <c r="K39" s="96"/>
      <c r="L39" s="21">
        <v>15000.0</v>
      </c>
      <c r="M39" s="22">
        <f t="shared" si="1"/>
        <v>0</v>
      </c>
    </row>
    <row r="40">
      <c r="A40" s="76">
        <v>36.0</v>
      </c>
      <c r="B40" s="13" t="s">
        <v>2456</v>
      </c>
      <c r="C40" s="13">
        <v>26005.0</v>
      </c>
      <c r="D40" s="13" t="s">
        <v>2457</v>
      </c>
      <c r="E40" s="27"/>
      <c r="F40" s="25">
        <v>3600.0</v>
      </c>
      <c r="G40" s="16"/>
      <c r="H40" s="95"/>
      <c r="I40" s="88"/>
      <c r="J40" s="68"/>
      <c r="K40" s="96"/>
      <c r="L40" s="21">
        <v>3600.0</v>
      </c>
      <c r="M40" s="22">
        <f t="shared" si="1"/>
        <v>0</v>
      </c>
    </row>
    <row r="41">
      <c r="A41" s="76">
        <v>37.0</v>
      </c>
      <c r="B41" s="13" t="s">
        <v>2458</v>
      </c>
      <c r="C41" s="13">
        <v>48631.0</v>
      </c>
      <c r="D41" s="13" t="s">
        <v>123</v>
      </c>
      <c r="E41" s="27"/>
      <c r="F41" s="25"/>
      <c r="G41" s="16"/>
      <c r="H41" s="95">
        <v>10000.0</v>
      </c>
      <c r="I41" s="88"/>
      <c r="J41" s="68"/>
      <c r="K41" s="96"/>
      <c r="L41" s="21">
        <v>10000.0</v>
      </c>
      <c r="M41" s="22">
        <f t="shared" si="1"/>
        <v>0</v>
      </c>
    </row>
    <row r="42">
      <c r="A42" s="76">
        <v>38.0</v>
      </c>
      <c r="B42" s="13" t="s">
        <v>2459</v>
      </c>
      <c r="C42" s="13">
        <v>34950.0</v>
      </c>
      <c r="D42" s="13" t="s">
        <v>2460</v>
      </c>
      <c r="E42" s="27"/>
      <c r="F42" s="25"/>
      <c r="G42" s="16"/>
      <c r="H42" s="95"/>
      <c r="I42" s="97">
        <v>6000.0</v>
      </c>
      <c r="J42" s="68"/>
      <c r="K42" s="96"/>
      <c r="L42" s="21">
        <v>6000.0</v>
      </c>
      <c r="M42" s="22">
        <f t="shared" si="1"/>
        <v>0</v>
      </c>
    </row>
    <row r="43">
      <c r="A43" s="76">
        <v>39.0</v>
      </c>
      <c r="B43" s="13" t="s">
        <v>2461</v>
      </c>
      <c r="C43" s="13">
        <v>52404.0</v>
      </c>
      <c r="D43" s="13" t="s">
        <v>2462</v>
      </c>
      <c r="E43" s="29"/>
      <c r="F43" s="25"/>
      <c r="G43" s="16"/>
      <c r="H43" s="95"/>
      <c r="I43" s="88">
        <v>5150.0</v>
      </c>
      <c r="J43" s="70"/>
      <c r="K43" s="96"/>
      <c r="L43" s="21">
        <v>5150.0</v>
      </c>
      <c r="M43" s="22">
        <f t="shared" si="1"/>
        <v>0</v>
      </c>
    </row>
    <row r="44">
      <c r="A44" s="76">
        <v>40.0</v>
      </c>
      <c r="B44" s="13" t="s">
        <v>2463</v>
      </c>
      <c r="C44" s="13">
        <v>29041.0</v>
      </c>
      <c r="D44" s="13" t="s">
        <v>1032</v>
      </c>
      <c r="E44" s="27"/>
      <c r="F44" s="25"/>
      <c r="G44" s="16"/>
      <c r="H44" s="95"/>
      <c r="I44" s="88">
        <v>5150.0</v>
      </c>
      <c r="J44" s="68"/>
      <c r="K44" s="96"/>
      <c r="L44" s="21">
        <v>5150.0</v>
      </c>
      <c r="M44" s="22">
        <f t="shared" si="1"/>
        <v>0</v>
      </c>
    </row>
    <row r="45">
      <c r="A45" s="76">
        <v>41.0</v>
      </c>
      <c r="B45" s="13" t="s">
        <v>2464</v>
      </c>
      <c r="C45" s="13">
        <v>37642.0</v>
      </c>
      <c r="D45" s="13" t="s">
        <v>570</v>
      </c>
      <c r="E45" s="27"/>
      <c r="F45" s="25">
        <v>20000.0</v>
      </c>
      <c r="G45" s="16"/>
      <c r="H45" s="95"/>
      <c r="I45" s="88"/>
      <c r="J45" s="68"/>
      <c r="K45" s="96"/>
      <c r="L45" s="21">
        <v>20000.0</v>
      </c>
      <c r="M45" s="22">
        <f t="shared" si="1"/>
        <v>0</v>
      </c>
    </row>
    <row r="46">
      <c r="A46" s="76">
        <v>42.0</v>
      </c>
      <c r="B46" s="13" t="s">
        <v>2465</v>
      </c>
      <c r="C46" s="13">
        <v>57222.0</v>
      </c>
      <c r="D46" s="13" t="s">
        <v>2466</v>
      </c>
      <c r="E46" s="27"/>
      <c r="F46" s="25"/>
      <c r="G46" s="16"/>
      <c r="H46" s="95">
        <v>27000.0</v>
      </c>
      <c r="I46" s="88"/>
      <c r="J46" s="68"/>
      <c r="K46" s="96"/>
      <c r="L46" s="21">
        <v>27000.0</v>
      </c>
      <c r="M46" s="22">
        <f t="shared" si="1"/>
        <v>0</v>
      </c>
    </row>
    <row r="47">
      <c r="A47" s="76">
        <v>43.0</v>
      </c>
      <c r="B47" s="13" t="s">
        <v>2467</v>
      </c>
      <c r="C47" s="13">
        <v>47175.0</v>
      </c>
      <c r="D47" s="13" t="s">
        <v>794</v>
      </c>
      <c r="E47" s="27"/>
      <c r="F47" s="25"/>
      <c r="G47" s="16"/>
      <c r="H47" s="95">
        <v>3600.0</v>
      </c>
      <c r="I47" s="88"/>
      <c r="J47" s="68"/>
      <c r="K47" s="96"/>
      <c r="L47" s="21">
        <v>3600.0</v>
      </c>
      <c r="M47" s="22">
        <f t="shared" si="1"/>
        <v>0</v>
      </c>
    </row>
    <row r="48">
      <c r="A48" s="76">
        <v>44.0</v>
      </c>
      <c r="B48" s="13" t="s">
        <v>2468</v>
      </c>
      <c r="C48" s="13">
        <v>46778.0</v>
      </c>
      <c r="D48" s="13" t="s">
        <v>262</v>
      </c>
      <c r="E48" s="27"/>
      <c r="F48" s="25"/>
      <c r="G48" s="16"/>
      <c r="H48" s="95"/>
      <c r="I48" s="88">
        <v>5150.0</v>
      </c>
      <c r="J48" s="68"/>
      <c r="K48" s="96"/>
      <c r="L48" s="21">
        <v>5150.0</v>
      </c>
      <c r="M48" s="22">
        <f t="shared" si="1"/>
        <v>0</v>
      </c>
    </row>
    <row r="49">
      <c r="A49" s="76">
        <v>45.0</v>
      </c>
      <c r="B49" s="13" t="s">
        <v>2469</v>
      </c>
      <c r="C49" s="13">
        <v>49953.0</v>
      </c>
      <c r="D49" s="13" t="s">
        <v>62</v>
      </c>
      <c r="E49" s="27"/>
      <c r="F49" s="25"/>
      <c r="G49" s="16"/>
      <c r="H49" s="95">
        <v>177.0</v>
      </c>
      <c r="I49" s="88"/>
      <c r="J49" s="68"/>
      <c r="K49" s="96"/>
      <c r="L49" s="21">
        <v>177.0</v>
      </c>
      <c r="M49" s="22">
        <f t="shared" si="1"/>
        <v>0</v>
      </c>
    </row>
    <row r="50">
      <c r="A50" s="76">
        <v>46.0</v>
      </c>
      <c r="B50" s="13" t="s">
        <v>2470</v>
      </c>
      <c r="C50" s="13">
        <v>49655.0</v>
      </c>
      <c r="D50" s="13" t="s">
        <v>134</v>
      </c>
      <c r="E50" s="27"/>
      <c r="F50" s="25"/>
      <c r="G50" s="16"/>
      <c r="H50" s="95"/>
      <c r="I50" s="88">
        <v>1250.0</v>
      </c>
      <c r="J50" s="68"/>
      <c r="K50" s="96"/>
      <c r="L50" s="21">
        <v>1250.0</v>
      </c>
      <c r="M50" s="22">
        <f t="shared" si="1"/>
        <v>0</v>
      </c>
    </row>
    <row r="51">
      <c r="A51" s="76">
        <v>47.0</v>
      </c>
      <c r="B51" s="13" t="s">
        <v>2471</v>
      </c>
      <c r="C51" s="13">
        <v>50436.0</v>
      </c>
      <c r="D51" s="13" t="s">
        <v>561</v>
      </c>
      <c r="E51" s="27"/>
      <c r="F51" s="25"/>
      <c r="G51" s="16"/>
      <c r="H51" s="95">
        <v>2500.0</v>
      </c>
      <c r="I51" s="88"/>
      <c r="J51" s="68"/>
      <c r="K51" s="96"/>
      <c r="L51" s="21">
        <v>2500.0</v>
      </c>
      <c r="M51" s="22">
        <f t="shared" si="1"/>
        <v>0</v>
      </c>
    </row>
    <row r="52">
      <c r="A52" s="76">
        <v>48.0</v>
      </c>
      <c r="B52" s="13" t="s">
        <v>2472</v>
      </c>
      <c r="C52" s="13">
        <v>47179.0</v>
      </c>
      <c r="D52" s="13" t="s">
        <v>447</v>
      </c>
      <c r="E52" s="27"/>
      <c r="F52" s="25"/>
      <c r="G52" s="16"/>
      <c r="H52" s="95">
        <v>350.0</v>
      </c>
      <c r="I52" s="88"/>
      <c r="J52" s="68"/>
      <c r="K52" s="96"/>
      <c r="L52" s="21">
        <v>350.0</v>
      </c>
      <c r="M52" s="22">
        <f t="shared" si="1"/>
        <v>0</v>
      </c>
    </row>
    <row r="53">
      <c r="A53" s="76">
        <v>49.0</v>
      </c>
      <c r="B53" s="13" t="s">
        <v>2473</v>
      </c>
      <c r="C53" s="13">
        <v>54980.0</v>
      </c>
      <c r="D53" s="13" t="s">
        <v>748</v>
      </c>
      <c r="E53" s="27"/>
      <c r="F53" s="25"/>
      <c r="G53" s="16"/>
      <c r="H53" s="95">
        <v>3850.0</v>
      </c>
      <c r="I53" s="88"/>
      <c r="J53" s="70"/>
      <c r="K53" s="96"/>
      <c r="L53" s="21">
        <v>3850.0</v>
      </c>
      <c r="M53" s="22">
        <f t="shared" si="1"/>
        <v>0</v>
      </c>
    </row>
    <row r="54">
      <c r="A54" s="76">
        <v>50.0</v>
      </c>
      <c r="B54" s="13" t="s">
        <v>2474</v>
      </c>
      <c r="C54" s="13">
        <v>49953.0</v>
      </c>
      <c r="D54" s="13" t="s">
        <v>62</v>
      </c>
      <c r="E54" s="27"/>
      <c r="F54" s="25"/>
      <c r="G54" s="16"/>
      <c r="H54" s="95">
        <v>54.0</v>
      </c>
      <c r="I54" s="88"/>
      <c r="J54" s="68"/>
      <c r="K54" s="96"/>
      <c r="L54" s="21">
        <v>54.0</v>
      </c>
      <c r="M54" s="22">
        <f t="shared" si="1"/>
        <v>0</v>
      </c>
    </row>
    <row r="55">
      <c r="A55" s="76">
        <v>51.0</v>
      </c>
      <c r="B55" s="13" t="s">
        <v>2475</v>
      </c>
      <c r="C55" s="13">
        <v>49655.0</v>
      </c>
      <c r="D55" s="13" t="s">
        <v>134</v>
      </c>
      <c r="E55" s="27"/>
      <c r="F55" s="25"/>
      <c r="G55" s="16"/>
      <c r="H55" s="95"/>
      <c r="I55" s="88">
        <v>1250.0</v>
      </c>
      <c r="J55" s="68"/>
      <c r="K55" s="96"/>
      <c r="L55" s="21">
        <v>1250.0</v>
      </c>
      <c r="M55" s="22">
        <f t="shared" si="1"/>
        <v>0</v>
      </c>
    </row>
    <row r="56">
      <c r="A56" s="76">
        <v>52.0</v>
      </c>
      <c r="B56" s="13" t="s">
        <v>2476</v>
      </c>
      <c r="C56" s="13">
        <v>58360.0</v>
      </c>
      <c r="D56" s="13" t="s">
        <v>2477</v>
      </c>
      <c r="E56" s="27"/>
      <c r="F56" s="25"/>
      <c r="G56" s="16"/>
      <c r="H56" s="95">
        <v>12500.0</v>
      </c>
      <c r="I56" s="88"/>
      <c r="J56" s="68"/>
      <c r="K56" s="96"/>
      <c r="L56" s="21">
        <v>12500.0</v>
      </c>
      <c r="M56" s="22">
        <f t="shared" si="1"/>
        <v>0</v>
      </c>
    </row>
    <row r="57">
      <c r="A57" s="76">
        <v>53.0</v>
      </c>
      <c r="B57" s="13" t="s">
        <v>2478</v>
      </c>
      <c r="C57" s="13">
        <v>46778.0</v>
      </c>
      <c r="D57" s="13" t="s">
        <v>262</v>
      </c>
      <c r="E57" s="27"/>
      <c r="F57" s="25"/>
      <c r="G57" s="16"/>
      <c r="H57" s="95"/>
      <c r="I57" s="88">
        <v>5850.0</v>
      </c>
      <c r="J57" s="68"/>
      <c r="K57" s="96"/>
      <c r="L57" s="21">
        <v>5850.0</v>
      </c>
      <c r="M57" s="22">
        <f t="shared" si="1"/>
        <v>0</v>
      </c>
    </row>
    <row r="58">
      <c r="A58" s="76">
        <v>54.0</v>
      </c>
      <c r="B58" s="13" t="s">
        <v>2479</v>
      </c>
      <c r="C58" s="13">
        <v>57975.0</v>
      </c>
      <c r="D58" s="13" t="s">
        <v>957</v>
      </c>
      <c r="E58" s="27"/>
      <c r="F58" s="25"/>
      <c r="G58" s="16"/>
      <c r="H58" s="95"/>
      <c r="I58" s="88">
        <v>8750.0</v>
      </c>
      <c r="J58" s="70"/>
      <c r="K58" s="96"/>
      <c r="L58" s="21">
        <v>8750.0</v>
      </c>
      <c r="M58" s="22">
        <f t="shared" si="1"/>
        <v>0</v>
      </c>
    </row>
    <row r="59">
      <c r="A59" s="76">
        <v>55.0</v>
      </c>
      <c r="B59" s="13" t="s">
        <v>2480</v>
      </c>
      <c r="C59" s="13">
        <v>21384.0</v>
      </c>
      <c r="D59" s="13" t="s">
        <v>151</v>
      </c>
      <c r="E59" s="27"/>
      <c r="F59" s="25"/>
      <c r="G59" s="16"/>
      <c r="H59" s="95">
        <v>350.0</v>
      </c>
      <c r="I59" s="88"/>
      <c r="J59" s="68"/>
      <c r="K59" s="96"/>
      <c r="L59" s="21">
        <v>350.0</v>
      </c>
      <c r="M59" s="22">
        <f t="shared" si="1"/>
        <v>0</v>
      </c>
    </row>
    <row r="60">
      <c r="A60" s="76">
        <v>56.0</v>
      </c>
      <c r="B60" s="13" t="s">
        <v>2481</v>
      </c>
      <c r="C60" s="13">
        <v>53144.0</v>
      </c>
      <c r="D60" s="13" t="s">
        <v>2482</v>
      </c>
      <c r="E60" s="27"/>
      <c r="F60" s="25"/>
      <c r="G60" s="28"/>
      <c r="H60" s="95"/>
      <c r="I60" s="88">
        <v>5150.0</v>
      </c>
      <c r="J60" s="68"/>
      <c r="K60" s="96"/>
      <c r="L60" s="21">
        <v>5150.0</v>
      </c>
      <c r="M60" s="22">
        <f t="shared" si="1"/>
        <v>0</v>
      </c>
    </row>
    <row r="61">
      <c r="A61" s="76">
        <v>57.0</v>
      </c>
      <c r="B61" s="13" t="s">
        <v>2483</v>
      </c>
      <c r="C61" s="13">
        <v>57990.0</v>
      </c>
      <c r="D61" s="13" t="s">
        <v>415</v>
      </c>
      <c r="E61" s="27"/>
      <c r="F61" s="25"/>
      <c r="G61" s="28"/>
      <c r="H61" s="95">
        <v>4500.0</v>
      </c>
      <c r="I61" s="88"/>
      <c r="J61" s="68"/>
      <c r="K61" s="96"/>
      <c r="L61" s="21">
        <v>4500.0</v>
      </c>
      <c r="M61" s="22">
        <f t="shared" si="1"/>
        <v>0</v>
      </c>
    </row>
    <row r="62">
      <c r="A62" s="76">
        <v>58.0</v>
      </c>
      <c r="B62" s="13" t="s">
        <v>2484</v>
      </c>
      <c r="C62" s="13">
        <v>49947.0</v>
      </c>
      <c r="D62" s="13" t="s">
        <v>1648</v>
      </c>
      <c r="E62" s="27"/>
      <c r="F62" s="25"/>
      <c r="G62" s="28"/>
      <c r="H62" s="95">
        <v>1430.0</v>
      </c>
      <c r="I62" s="88"/>
      <c r="J62" s="68"/>
      <c r="K62" s="96"/>
      <c r="L62" s="21">
        <v>1430.0</v>
      </c>
      <c r="M62" s="22">
        <f t="shared" si="1"/>
        <v>0</v>
      </c>
    </row>
    <row r="63">
      <c r="A63" s="76">
        <v>59.0</v>
      </c>
      <c r="B63" s="13" t="s">
        <v>2485</v>
      </c>
      <c r="C63" s="13">
        <v>57657.0</v>
      </c>
      <c r="D63" s="13" t="s">
        <v>2486</v>
      </c>
      <c r="E63" s="27"/>
      <c r="F63" s="25"/>
      <c r="G63" s="28"/>
      <c r="H63" s="95">
        <v>1250.0</v>
      </c>
      <c r="I63" s="88"/>
      <c r="J63" s="68"/>
      <c r="K63" s="96"/>
      <c r="L63" s="21">
        <v>1250.0</v>
      </c>
      <c r="M63" s="22">
        <f t="shared" si="1"/>
        <v>0</v>
      </c>
    </row>
    <row r="64">
      <c r="A64" s="76">
        <v>60.0</v>
      </c>
      <c r="B64" s="13" t="s">
        <v>2487</v>
      </c>
      <c r="C64" s="13">
        <v>42278.0</v>
      </c>
      <c r="D64" s="13" t="s">
        <v>652</v>
      </c>
      <c r="E64" s="27"/>
      <c r="F64" s="25">
        <v>5000.0</v>
      </c>
      <c r="G64" s="28"/>
      <c r="H64" s="95"/>
      <c r="I64" s="88"/>
      <c r="J64" s="68"/>
      <c r="K64" s="96"/>
      <c r="L64" s="21">
        <v>5000.0</v>
      </c>
      <c r="M64" s="22">
        <f t="shared" si="1"/>
        <v>0</v>
      </c>
    </row>
    <row r="65">
      <c r="A65" s="76">
        <v>61.0</v>
      </c>
      <c r="B65" s="13" t="s">
        <v>2488</v>
      </c>
      <c r="C65" s="13">
        <v>42278.0</v>
      </c>
      <c r="D65" s="13" t="s">
        <v>652</v>
      </c>
      <c r="E65" s="27"/>
      <c r="F65" s="25">
        <v>5000.0</v>
      </c>
      <c r="G65" s="28"/>
      <c r="H65" s="95"/>
      <c r="I65" s="88"/>
      <c r="J65" s="68"/>
      <c r="K65" s="96"/>
      <c r="L65" s="21">
        <v>5000.0</v>
      </c>
      <c r="M65" s="22">
        <f t="shared" si="1"/>
        <v>0</v>
      </c>
    </row>
    <row r="66">
      <c r="A66" s="76">
        <v>62.0</v>
      </c>
      <c r="B66" s="13" t="s">
        <v>2489</v>
      </c>
      <c r="C66" s="13">
        <v>57026.0</v>
      </c>
      <c r="D66" s="13" t="s">
        <v>2490</v>
      </c>
      <c r="E66" s="27"/>
      <c r="F66" s="25">
        <v>2500.0</v>
      </c>
      <c r="G66" s="28"/>
      <c r="H66" s="95"/>
      <c r="I66" s="88"/>
      <c r="J66" s="68"/>
      <c r="K66" s="96"/>
      <c r="L66" s="21">
        <v>2500.0</v>
      </c>
      <c r="M66" s="22">
        <f t="shared" si="1"/>
        <v>0</v>
      </c>
    </row>
    <row r="67">
      <c r="A67" s="76">
        <v>63.0</v>
      </c>
      <c r="B67" s="13" t="s">
        <v>2491</v>
      </c>
      <c r="C67" s="13">
        <v>42284.0</v>
      </c>
      <c r="D67" s="13" t="s">
        <v>2492</v>
      </c>
      <c r="E67" s="27"/>
      <c r="F67" s="25">
        <v>2250.0</v>
      </c>
      <c r="G67" s="28"/>
      <c r="H67" s="95"/>
      <c r="I67" s="88"/>
      <c r="J67" s="68"/>
      <c r="K67" s="96"/>
      <c r="L67" s="21">
        <v>2250.0</v>
      </c>
      <c r="M67" s="22">
        <f t="shared" si="1"/>
        <v>0</v>
      </c>
    </row>
    <row r="68">
      <c r="A68" s="76">
        <v>64.0</v>
      </c>
      <c r="B68" s="13" t="s">
        <v>2493</v>
      </c>
      <c r="C68" s="13">
        <v>58036.0</v>
      </c>
      <c r="D68" s="13" t="s">
        <v>2494</v>
      </c>
      <c r="E68" s="27"/>
      <c r="F68" s="25">
        <v>4500.0</v>
      </c>
      <c r="G68" s="28"/>
      <c r="H68" s="95">
        <v>0.0</v>
      </c>
      <c r="I68" s="88"/>
      <c r="J68" s="68"/>
      <c r="K68" s="96"/>
      <c r="L68" s="21">
        <v>27000.0</v>
      </c>
      <c r="M68" s="22">
        <f t="shared" si="1"/>
        <v>-22500</v>
      </c>
    </row>
    <row r="69">
      <c r="A69" s="76">
        <v>65.0</v>
      </c>
      <c r="B69" s="13" t="s">
        <v>2495</v>
      </c>
      <c r="C69" s="13">
        <v>52685.0</v>
      </c>
      <c r="D69" s="13" t="s">
        <v>2496</v>
      </c>
      <c r="E69" s="27"/>
      <c r="F69" s="25">
        <v>1450.0</v>
      </c>
      <c r="G69" s="28"/>
      <c r="H69" s="95"/>
      <c r="I69" s="88"/>
      <c r="J69" s="68"/>
      <c r="K69" s="96"/>
      <c r="L69" s="21">
        <v>1450.0</v>
      </c>
      <c r="M69" s="22">
        <f t="shared" si="1"/>
        <v>0</v>
      </c>
    </row>
    <row r="70">
      <c r="A70" s="76">
        <v>66.0</v>
      </c>
      <c r="B70" s="13" t="s">
        <v>2497</v>
      </c>
      <c r="C70" s="13">
        <v>20670.0</v>
      </c>
      <c r="D70" s="13" t="s">
        <v>2498</v>
      </c>
      <c r="E70" s="27"/>
      <c r="F70" s="25">
        <v>3600.0</v>
      </c>
      <c r="G70" s="28"/>
      <c r="H70" s="95"/>
      <c r="I70" s="88"/>
      <c r="J70" s="68"/>
      <c r="K70" s="96"/>
      <c r="L70" s="21">
        <v>3600.0</v>
      </c>
      <c r="M70" s="22">
        <f t="shared" si="1"/>
        <v>0</v>
      </c>
    </row>
    <row r="71">
      <c r="A71" s="76">
        <v>67.0</v>
      </c>
      <c r="B71" s="13" t="s">
        <v>2499</v>
      </c>
      <c r="C71" s="13">
        <v>20923.0</v>
      </c>
      <c r="D71" s="13" t="s">
        <v>2500</v>
      </c>
      <c r="E71" s="27"/>
      <c r="F71" s="25">
        <v>3600.0</v>
      </c>
      <c r="G71" s="28"/>
      <c r="H71" s="95"/>
      <c r="I71" s="88"/>
      <c r="J71" s="68"/>
      <c r="K71" s="96"/>
      <c r="L71" s="21">
        <v>3600.0</v>
      </c>
      <c r="M71" s="22">
        <f t="shared" si="1"/>
        <v>0</v>
      </c>
    </row>
    <row r="72">
      <c r="A72" s="76">
        <v>68.0</v>
      </c>
      <c r="B72" s="13" t="s">
        <v>2501</v>
      </c>
      <c r="C72" s="13">
        <v>10001.0</v>
      </c>
      <c r="D72" s="13" t="s">
        <v>46</v>
      </c>
      <c r="E72" s="27"/>
      <c r="F72" s="25"/>
      <c r="G72" s="28"/>
      <c r="H72" s="95"/>
      <c r="I72" s="88">
        <v>4320.0</v>
      </c>
      <c r="J72" s="68"/>
      <c r="K72" s="96"/>
      <c r="L72" s="21">
        <v>4320.0</v>
      </c>
      <c r="M72" s="22">
        <f t="shared" si="1"/>
        <v>0</v>
      </c>
    </row>
    <row r="73">
      <c r="A73" s="76">
        <v>69.0</v>
      </c>
      <c r="B73" s="13" t="s">
        <v>2502</v>
      </c>
      <c r="C73" s="13">
        <v>51166.0</v>
      </c>
      <c r="D73" s="13" t="s">
        <v>168</v>
      </c>
      <c r="E73" s="27"/>
      <c r="F73" s="25"/>
      <c r="G73" s="28"/>
      <c r="H73" s="95"/>
      <c r="I73" s="88"/>
      <c r="J73" s="70">
        <v>0.0</v>
      </c>
      <c r="K73" s="96"/>
      <c r="L73" s="21">
        <v>300.0</v>
      </c>
      <c r="M73" s="22">
        <f t="shared" si="1"/>
        <v>-300</v>
      </c>
    </row>
    <row r="74">
      <c r="A74" s="76">
        <v>70.0</v>
      </c>
      <c r="B74" s="13" t="s">
        <v>2503</v>
      </c>
      <c r="C74" s="13">
        <v>10008.0</v>
      </c>
      <c r="D74" s="13" t="s">
        <v>52</v>
      </c>
      <c r="E74" s="27"/>
      <c r="F74" s="25">
        <v>2500.0</v>
      </c>
      <c r="G74" s="28"/>
      <c r="H74" s="95"/>
      <c r="I74" s="88"/>
      <c r="J74" s="68"/>
      <c r="K74" s="96"/>
      <c r="L74" s="21">
        <v>2500.0</v>
      </c>
      <c r="M74" s="22">
        <f t="shared" si="1"/>
        <v>0</v>
      </c>
    </row>
    <row r="75">
      <c r="A75" s="76">
        <v>71.0</v>
      </c>
      <c r="B75" s="13" t="s">
        <v>2504</v>
      </c>
      <c r="C75" s="13">
        <v>10881.0</v>
      </c>
      <c r="D75" s="13" t="s">
        <v>2505</v>
      </c>
      <c r="E75" s="27"/>
      <c r="F75" s="25">
        <v>2650.0</v>
      </c>
      <c r="G75" s="28"/>
      <c r="H75" s="95"/>
      <c r="I75" s="88"/>
      <c r="J75" s="68"/>
      <c r="K75" s="96"/>
      <c r="L75" s="21">
        <v>2650.0</v>
      </c>
      <c r="M75" s="22">
        <f t="shared" si="1"/>
        <v>0</v>
      </c>
    </row>
    <row r="76">
      <c r="A76" s="76">
        <v>72.0</v>
      </c>
      <c r="B76" s="13" t="s">
        <v>2506</v>
      </c>
      <c r="C76" s="13">
        <v>10881.0</v>
      </c>
      <c r="D76" s="13" t="s">
        <v>2505</v>
      </c>
      <c r="E76" s="27"/>
      <c r="F76" s="25">
        <v>9000.0</v>
      </c>
      <c r="G76" s="28"/>
      <c r="H76" s="95"/>
      <c r="I76" s="88"/>
      <c r="J76" s="68"/>
      <c r="K76" s="96"/>
      <c r="L76" s="21">
        <v>9000.0</v>
      </c>
      <c r="M76" s="22">
        <f t="shared" si="1"/>
        <v>0</v>
      </c>
    </row>
    <row r="77">
      <c r="A77" s="76">
        <v>73.0</v>
      </c>
      <c r="B77" s="13" t="s">
        <v>2507</v>
      </c>
      <c r="C77" s="13">
        <v>36903.0</v>
      </c>
      <c r="D77" s="13" t="s">
        <v>2508</v>
      </c>
      <c r="E77" s="27"/>
      <c r="F77" s="25"/>
      <c r="G77" s="28"/>
      <c r="H77" s="95">
        <v>3050.0</v>
      </c>
      <c r="I77" s="88"/>
      <c r="J77" s="68"/>
      <c r="K77" s="96"/>
      <c r="L77" s="21">
        <v>3050.0</v>
      </c>
      <c r="M77" s="22">
        <f t="shared" si="1"/>
        <v>0</v>
      </c>
    </row>
    <row r="78">
      <c r="A78" s="76">
        <v>74.0</v>
      </c>
      <c r="B78" s="13" t="s">
        <v>2509</v>
      </c>
      <c r="C78" s="13">
        <v>10881.0</v>
      </c>
      <c r="D78" s="13" t="s">
        <v>2505</v>
      </c>
      <c r="E78" s="27"/>
      <c r="F78" s="25">
        <v>100.0</v>
      </c>
      <c r="G78" s="28"/>
      <c r="H78" s="95"/>
      <c r="I78" s="88"/>
      <c r="J78" s="68"/>
      <c r="K78" s="96"/>
      <c r="L78" s="21">
        <v>100.0</v>
      </c>
      <c r="M78" s="22">
        <f t="shared" si="1"/>
        <v>0</v>
      </c>
    </row>
    <row r="79">
      <c r="A79" s="76">
        <v>75.0</v>
      </c>
      <c r="B79" s="13" t="s">
        <v>2510</v>
      </c>
      <c r="C79" s="13">
        <v>50222.0</v>
      </c>
      <c r="D79" s="13" t="s">
        <v>504</v>
      </c>
      <c r="E79" s="27"/>
      <c r="F79" s="25"/>
      <c r="G79" s="28">
        <v>9500.0</v>
      </c>
      <c r="H79" s="95"/>
      <c r="I79" s="88"/>
      <c r="J79" s="68"/>
      <c r="K79" s="96"/>
      <c r="L79" s="21">
        <v>9500.0</v>
      </c>
      <c r="M79" s="22">
        <f t="shared" si="1"/>
        <v>0</v>
      </c>
    </row>
    <row r="80">
      <c r="A80" s="76">
        <v>76.0</v>
      </c>
      <c r="B80" s="13" t="s">
        <v>2511</v>
      </c>
      <c r="C80" s="13">
        <v>38919.0</v>
      </c>
      <c r="D80" s="13" t="s">
        <v>2512</v>
      </c>
      <c r="E80" s="27"/>
      <c r="F80" s="25"/>
      <c r="G80" s="28">
        <v>6150.0</v>
      </c>
      <c r="H80" s="95"/>
      <c r="I80" s="88"/>
      <c r="J80" s="68"/>
      <c r="K80" s="96"/>
      <c r="L80" s="21">
        <v>6150.0</v>
      </c>
      <c r="M80" s="22">
        <f t="shared" si="1"/>
        <v>0</v>
      </c>
    </row>
    <row r="81">
      <c r="A81" s="76">
        <v>77.0</v>
      </c>
      <c r="B81" s="13" t="s">
        <v>2513</v>
      </c>
      <c r="C81" s="13">
        <v>50221.0</v>
      </c>
      <c r="D81" s="13" t="s">
        <v>864</v>
      </c>
      <c r="E81" s="27"/>
      <c r="F81" s="25"/>
      <c r="G81" s="28">
        <v>2650.0</v>
      </c>
      <c r="H81" s="95"/>
      <c r="I81" s="88"/>
      <c r="J81" s="68"/>
      <c r="K81" s="96"/>
      <c r="L81" s="21">
        <v>2650.0</v>
      </c>
      <c r="M81" s="22">
        <f t="shared" si="1"/>
        <v>0</v>
      </c>
    </row>
    <row r="82">
      <c r="A82" s="76">
        <v>78.0</v>
      </c>
      <c r="B82" s="13" t="s">
        <v>2514</v>
      </c>
      <c r="C82" s="13">
        <v>50070.0</v>
      </c>
      <c r="D82" s="13" t="s">
        <v>1785</v>
      </c>
      <c r="E82" s="27"/>
      <c r="F82" s="25"/>
      <c r="G82" s="28">
        <v>1600.0</v>
      </c>
      <c r="H82" s="95"/>
      <c r="I82" s="88"/>
      <c r="J82" s="68"/>
      <c r="K82" s="96"/>
      <c r="L82" s="21">
        <v>1600.0</v>
      </c>
      <c r="M82" s="22">
        <f t="shared" si="1"/>
        <v>0</v>
      </c>
    </row>
    <row r="83">
      <c r="A83" s="76">
        <v>79.0</v>
      </c>
      <c r="B83" s="13" t="s">
        <v>2515</v>
      </c>
      <c r="C83" s="13">
        <v>49953.0</v>
      </c>
      <c r="D83" s="13" t="s">
        <v>62</v>
      </c>
      <c r="E83" s="27"/>
      <c r="F83" s="25"/>
      <c r="G83" s="28">
        <v>1050.0</v>
      </c>
      <c r="H83" s="95"/>
      <c r="I83" s="88"/>
      <c r="J83" s="68"/>
      <c r="K83" s="96"/>
      <c r="L83" s="21">
        <v>1050.0</v>
      </c>
      <c r="M83" s="22">
        <f t="shared" si="1"/>
        <v>0</v>
      </c>
    </row>
    <row r="84">
      <c r="A84" s="76">
        <v>80.0</v>
      </c>
      <c r="B84" s="13" t="s">
        <v>2516</v>
      </c>
      <c r="C84" s="13">
        <v>49953.0</v>
      </c>
      <c r="D84" s="13" t="s">
        <v>62</v>
      </c>
      <c r="E84" s="27"/>
      <c r="F84" s="25"/>
      <c r="G84" s="28">
        <v>1250.0</v>
      </c>
      <c r="H84" s="95"/>
      <c r="I84" s="88"/>
      <c r="J84" s="68"/>
      <c r="K84" s="96"/>
      <c r="L84" s="21">
        <v>1250.0</v>
      </c>
      <c r="M84" s="22">
        <f t="shared" si="1"/>
        <v>0</v>
      </c>
    </row>
    <row r="85">
      <c r="A85" s="76">
        <v>81.0</v>
      </c>
      <c r="B85" s="13" t="s">
        <v>2517</v>
      </c>
      <c r="C85" s="13">
        <v>51166.0</v>
      </c>
      <c r="D85" s="13" t="s">
        <v>168</v>
      </c>
      <c r="E85" s="27"/>
      <c r="F85" s="25"/>
      <c r="G85" s="28">
        <v>27000.0</v>
      </c>
      <c r="H85" s="95"/>
      <c r="I85" s="88"/>
      <c r="J85" s="68"/>
      <c r="K85" s="96"/>
      <c r="L85" s="21">
        <v>27000.0</v>
      </c>
      <c r="M85" s="22">
        <f t="shared" si="1"/>
        <v>0</v>
      </c>
    </row>
    <row r="86">
      <c r="A86" s="30"/>
      <c r="B86" s="12"/>
      <c r="C86" s="12"/>
      <c r="D86" s="73"/>
      <c r="E86" s="32">
        <f t="shared" ref="E86:L86" si="2">SUM(E5:E85)</f>
        <v>200</v>
      </c>
      <c r="F86" s="32">
        <f t="shared" si="2"/>
        <v>65750</v>
      </c>
      <c r="G86" s="32">
        <f t="shared" si="2"/>
        <v>49200</v>
      </c>
      <c r="H86" s="32">
        <f t="shared" si="2"/>
        <v>204868</v>
      </c>
      <c r="I86" s="32">
        <f t="shared" si="2"/>
        <v>100071</v>
      </c>
      <c r="J86" s="32">
        <f t="shared" si="2"/>
        <v>600</v>
      </c>
      <c r="K86" s="32">
        <f t="shared" si="2"/>
        <v>0</v>
      </c>
      <c r="L86" s="98">
        <f t="shared" si="2"/>
        <v>443489</v>
      </c>
      <c r="M86" s="99">
        <f t="shared" si="1"/>
        <v>-22800</v>
      </c>
    </row>
    <row r="87">
      <c r="A87" s="33"/>
      <c r="B87" s="63"/>
      <c r="C87" s="63"/>
      <c r="D87" s="74"/>
      <c r="E87" s="100">
        <f>E86+F86+G86+H86+I86+J86+K86</f>
        <v>420689</v>
      </c>
      <c r="F87" s="6"/>
      <c r="G87" s="6"/>
      <c r="H87" s="6"/>
      <c r="I87" s="6"/>
      <c r="J87" s="6"/>
      <c r="K87" s="7"/>
      <c r="L87" s="35"/>
      <c r="M87" s="33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  <c r="H91" s="55" t="s">
        <v>588</v>
      </c>
    </row>
    <row r="92">
      <c r="B92" s="64"/>
      <c r="C92" s="64"/>
      <c r="D92" s="75"/>
    </row>
    <row r="93">
      <c r="B93" s="64"/>
      <c r="C93" s="64"/>
      <c r="D93" s="75"/>
      <c r="F93" s="55" t="s">
        <v>2412</v>
      </c>
      <c r="H93" s="55" t="s">
        <v>485</v>
      </c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  <row r="958">
      <c r="B958" s="64"/>
      <c r="C958" s="64"/>
      <c r="D958" s="75"/>
    </row>
    <row r="959">
      <c r="B959" s="64"/>
      <c r="C959" s="64"/>
      <c r="D959" s="75"/>
    </row>
    <row r="960">
      <c r="B960" s="64"/>
      <c r="C960" s="64"/>
      <c r="D960" s="75"/>
    </row>
  </sheetData>
  <mergeCells count="14">
    <mergeCell ref="F3:G3"/>
    <mergeCell ref="H3:I3"/>
    <mergeCell ref="J3:J4"/>
    <mergeCell ref="K3:K4"/>
    <mergeCell ref="E87:K8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9.75"/>
    <col customWidth="1" min="3" max="3" width="10.5"/>
    <col customWidth="1" min="4" max="4" width="45.88"/>
    <col customWidth="1" min="5" max="5" width="9.5"/>
  </cols>
  <sheetData>
    <row r="1">
      <c r="A1" s="101" t="s">
        <v>2518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94" t="s">
        <v>2519</v>
      </c>
      <c r="C5" s="102">
        <v>50871.0</v>
      </c>
      <c r="D5" s="94" t="s">
        <v>48</v>
      </c>
      <c r="E5" s="27"/>
      <c r="F5" s="25"/>
      <c r="G5" s="16"/>
      <c r="H5" s="95">
        <v>43200.0</v>
      </c>
      <c r="I5" s="88"/>
      <c r="J5" s="68"/>
      <c r="K5" s="88"/>
      <c r="L5" s="80">
        <v>43200.0</v>
      </c>
      <c r="M5" s="22">
        <f t="shared" ref="M5:M73" si="1">SUM(E5+F5+G5+H5+I5+J5+K5-L5)</f>
        <v>0</v>
      </c>
    </row>
    <row r="6">
      <c r="A6" s="76">
        <v>2.0</v>
      </c>
      <c r="B6" s="94" t="s">
        <v>2520</v>
      </c>
      <c r="C6" s="102">
        <v>52669.0</v>
      </c>
      <c r="D6" s="94" t="s">
        <v>42</v>
      </c>
      <c r="E6" s="27"/>
      <c r="F6" s="25"/>
      <c r="G6" s="16"/>
      <c r="H6" s="95">
        <v>448.0</v>
      </c>
      <c r="I6" s="88"/>
      <c r="J6" s="70"/>
      <c r="K6" s="96"/>
      <c r="L6" s="80">
        <v>448.0</v>
      </c>
      <c r="M6" s="22">
        <f t="shared" si="1"/>
        <v>0</v>
      </c>
      <c r="O6" s="55" t="s">
        <v>485</v>
      </c>
    </row>
    <row r="7">
      <c r="A7" s="76">
        <v>3.0</v>
      </c>
      <c r="B7" s="94" t="s">
        <v>2521</v>
      </c>
      <c r="C7" s="102">
        <v>37940.0</v>
      </c>
      <c r="D7" s="94" t="s">
        <v>2522</v>
      </c>
      <c r="E7" s="27"/>
      <c r="F7" s="25"/>
      <c r="G7" s="16"/>
      <c r="H7" s="95"/>
      <c r="I7" s="88">
        <v>5000.0</v>
      </c>
      <c r="J7" s="68"/>
      <c r="K7" s="96"/>
      <c r="L7" s="80">
        <v>5000.0</v>
      </c>
      <c r="M7" s="22">
        <f t="shared" si="1"/>
        <v>0</v>
      </c>
    </row>
    <row r="8">
      <c r="A8" s="76">
        <v>4.0</v>
      </c>
      <c r="B8" s="94" t="s">
        <v>2523</v>
      </c>
      <c r="C8" s="102">
        <v>33055.0</v>
      </c>
      <c r="D8" s="94" t="s">
        <v>2524</v>
      </c>
      <c r="E8" s="29"/>
      <c r="F8" s="25"/>
      <c r="G8" s="16"/>
      <c r="H8" s="95"/>
      <c r="I8" s="88">
        <v>3600.0</v>
      </c>
      <c r="J8" s="70"/>
      <c r="K8" s="96"/>
      <c r="L8" s="80">
        <v>3600.0</v>
      </c>
      <c r="M8" s="22">
        <f t="shared" si="1"/>
        <v>0</v>
      </c>
    </row>
    <row r="9">
      <c r="A9" s="76">
        <v>5.0</v>
      </c>
      <c r="B9" s="94" t="s">
        <v>2525</v>
      </c>
      <c r="C9" s="102">
        <v>10250.0</v>
      </c>
      <c r="D9" s="94" t="s">
        <v>115</v>
      </c>
      <c r="E9" s="27"/>
      <c r="F9" s="25"/>
      <c r="G9" s="16"/>
      <c r="H9" s="95">
        <v>25000.0</v>
      </c>
      <c r="I9" s="88"/>
      <c r="J9" s="70"/>
      <c r="K9" s="96"/>
      <c r="L9" s="80">
        <v>25000.0</v>
      </c>
      <c r="M9" s="22">
        <f t="shared" si="1"/>
        <v>0</v>
      </c>
    </row>
    <row r="10">
      <c r="A10" s="76">
        <v>6.0</v>
      </c>
      <c r="B10" s="94" t="s">
        <v>2526</v>
      </c>
      <c r="C10" s="102">
        <v>51978.0</v>
      </c>
      <c r="D10" s="94" t="s">
        <v>2436</v>
      </c>
      <c r="E10" s="27"/>
      <c r="F10" s="25"/>
      <c r="G10" s="16"/>
      <c r="H10" s="95">
        <v>5150.0</v>
      </c>
      <c r="I10" s="88"/>
      <c r="J10" s="68"/>
      <c r="K10" s="96"/>
      <c r="L10" s="80">
        <v>5150.0</v>
      </c>
      <c r="M10" s="22">
        <f t="shared" si="1"/>
        <v>0</v>
      </c>
    </row>
    <row r="11">
      <c r="A11" s="76">
        <v>7.0</v>
      </c>
      <c r="B11" s="94" t="s">
        <v>2527</v>
      </c>
      <c r="C11" s="102">
        <v>10250.0</v>
      </c>
      <c r="D11" s="94" t="s">
        <v>115</v>
      </c>
      <c r="E11" s="29"/>
      <c r="F11" s="25"/>
      <c r="G11" s="16"/>
      <c r="H11" s="95"/>
      <c r="I11" s="88">
        <v>350.0</v>
      </c>
      <c r="J11" s="70"/>
      <c r="K11" s="96"/>
      <c r="L11" s="80">
        <v>350.0</v>
      </c>
      <c r="M11" s="22">
        <f t="shared" si="1"/>
        <v>0</v>
      </c>
    </row>
    <row r="12">
      <c r="A12" s="76">
        <v>8.0</v>
      </c>
      <c r="B12" s="94" t="s">
        <v>2528</v>
      </c>
      <c r="C12" s="102">
        <v>33117.0</v>
      </c>
      <c r="D12" s="94" t="s">
        <v>2529</v>
      </c>
      <c r="E12" s="29"/>
      <c r="F12" s="25"/>
      <c r="G12" s="16"/>
      <c r="H12" s="95"/>
      <c r="I12" s="88">
        <v>300.0</v>
      </c>
      <c r="J12" s="68"/>
      <c r="K12" s="96"/>
      <c r="L12" s="80">
        <v>300.0</v>
      </c>
      <c r="M12" s="22">
        <f t="shared" si="1"/>
        <v>0</v>
      </c>
    </row>
    <row r="13">
      <c r="A13" s="76">
        <v>9.0</v>
      </c>
      <c r="B13" s="94" t="s">
        <v>2530</v>
      </c>
      <c r="C13" s="102">
        <v>54273.0</v>
      </c>
      <c r="D13" s="94" t="s">
        <v>2531</v>
      </c>
      <c r="E13" s="29"/>
      <c r="F13" s="25"/>
      <c r="G13" s="16"/>
      <c r="H13" s="95">
        <v>17500.0</v>
      </c>
      <c r="I13" s="88"/>
      <c r="J13" s="68"/>
      <c r="K13" s="96"/>
      <c r="L13" s="80">
        <v>17500.0</v>
      </c>
      <c r="M13" s="22">
        <f t="shared" si="1"/>
        <v>0</v>
      </c>
    </row>
    <row r="14">
      <c r="A14" s="76">
        <v>10.0</v>
      </c>
      <c r="B14" s="94" t="s">
        <v>2532</v>
      </c>
      <c r="C14" s="102">
        <v>16295.0</v>
      </c>
      <c r="D14" s="94" t="s">
        <v>1328</v>
      </c>
      <c r="E14" s="27"/>
      <c r="F14" s="25"/>
      <c r="G14" s="16"/>
      <c r="H14" s="95">
        <v>5150.0</v>
      </c>
      <c r="I14" s="88"/>
      <c r="J14" s="68"/>
      <c r="K14" s="96"/>
      <c r="L14" s="80">
        <v>5150.0</v>
      </c>
      <c r="M14" s="22">
        <f t="shared" si="1"/>
        <v>0</v>
      </c>
    </row>
    <row r="15">
      <c r="A15" s="76">
        <v>11.0</v>
      </c>
      <c r="B15" s="94" t="s">
        <v>2533</v>
      </c>
      <c r="C15" s="102">
        <v>50221.0</v>
      </c>
      <c r="D15" s="94" t="s">
        <v>864</v>
      </c>
      <c r="E15" s="27"/>
      <c r="F15" s="25"/>
      <c r="G15" s="16"/>
      <c r="H15" s="95">
        <v>223.0</v>
      </c>
      <c r="I15" s="88"/>
      <c r="J15" s="70"/>
      <c r="K15" s="96"/>
      <c r="L15" s="80">
        <v>223.0</v>
      </c>
      <c r="M15" s="22">
        <f t="shared" si="1"/>
        <v>0</v>
      </c>
    </row>
    <row r="16">
      <c r="A16" s="76">
        <v>12.0</v>
      </c>
      <c r="B16" s="94" t="s">
        <v>2534</v>
      </c>
      <c r="C16" s="102">
        <v>24751.0</v>
      </c>
      <c r="D16" s="94" t="s">
        <v>1279</v>
      </c>
      <c r="E16" s="29"/>
      <c r="F16" s="25"/>
      <c r="G16" s="16"/>
      <c r="H16" s="95">
        <v>350.0</v>
      </c>
      <c r="I16" s="88"/>
      <c r="J16" s="70"/>
      <c r="K16" s="96"/>
      <c r="L16" s="80">
        <v>350.0</v>
      </c>
      <c r="M16" s="22">
        <f t="shared" si="1"/>
        <v>0</v>
      </c>
    </row>
    <row r="17">
      <c r="A17" s="76">
        <v>13.0</v>
      </c>
      <c r="B17" s="94" t="s">
        <v>2535</v>
      </c>
      <c r="C17" s="102">
        <v>55409.0</v>
      </c>
      <c r="D17" s="94" t="s">
        <v>320</v>
      </c>
      <c r="E17" s="27"/>
      <c r="F17" s="25"/>
      <c r="G17" s="16"/>
      <c r="H17" s="95">
        <v>5000.0</v>
      </c>
      <c r="I17" s="88"/>
      <c r="J17" s="68"/>
      <c r="K17" s="96"/>
      <c r="L17" s="80">
        <v>5000.0</v>
      </c>
      <c r="M17" s="22">
        <f t="shared" si="1"/>
        <v>0</v>
      </c>
    </row>
    <row r="18">
      <c r="A18" s="76">
        <v>14.0</v>
      </c>
      <c r="B18" s="94" t="s">
        <v>2536</v>
      </c>
      <c r="C18" s="102">
        <v>55409.0</v>
      </c>
      <c r="D18" s="94" t="s">
        <v>320</v>
      </c>
      <c r="E18" s="27"/>
      <c r="F18" s="25"/>
      <c r="G18" s="16"/>
      <c r="H18" s="95">
        <v>5000.0</v>
      </c>
      <c r="I18" s="88"/>
      <c r="J18" s="70"/>
      <c r="K18" s="96"/>
      <c r="L18" s="80">
        <v>5000.0</v>
      </c>
      <c r="M18" s="22">
        <f t="shared" si="1"/>
        <v>0</v>
      </c>
    </row>
    <row r="19">
      <c r="A19" s="76">
        <v>15.0</v>
      </c>
      <c r="B19" s="94" t="s">
        <v>2537</v>
      </c>
      <c r="C19" s="102">
        <v>51782.0</v>
      </c>
      <c r="D19" s="94" t="s">
        <v>1394</v>
      </c>
      <c r="E19" s="27"/>
      <c r="F19" s="25"/>
      <c r="G19" s="16"/>
      <c r="H19" s="95"/>
      <c r="I19" s="88">
        <v>1600.0</v>
      </c>
      <c r="J19" s="70"/>
      <c r="K19" s="96"/>
      <c r="L19" s="80">
        <v>1600.0</v>
      </c>
      <c r="M19" s="22">
        <f t="shared" si="1"/>
        <v>0</v>
      </c>
    </row>
    <row r="20">
      <c r="A20" s="76">
        <v>16.0</v>
      </c>
      <c r="B20" s="94" t="s">
        <v>2538</v>
      </c>
      <c r="C20" s="102">
        <v>58377.0</v>
      </c>
      <c r="D20" s="94" t="s">
        <v>2539</v>
      </c>
      <c r="E20" s="29"/>
      <c r="F20" s="25"/>
      <c r="G20" s="16"/>
      <c r="H20" s="95">
        <v>27000.0</v>
      </c>
      <c r="I20" s="88"/>
      <c r="J20" s="68"/>
      <c r="K20" s="96"/>
      <c r="L20" s="80">
        <v>27000.0</v>
      </c>
      <c r="M20" s="22">
        <f t="shared" si="1"/>
        <v>0</v>
      </c>
    </row>
    <row r="21">
      <c r="A21" s="76">
        <v>17.0</v>
      </c>
      <c r="B21" s="94" t="s">
        <v>2540</v>
      </c>
      <c r="C21" s="102">
        <v>21670.0</v>
      </c>
      <c r="D21" s="94" t="s">
        <v>924</v>
      </c>
      <c r="E21" s="27"/>
      <c r="F21" s="25"/>
      <c r="G21" s="16"/>
      <c r="H21" s="95"/>
      <c r="I21" s="88">
        <v>1450.0</v>
      </c>
      <c r="J21" s="68"/>
      <c r="K21" s="96"/>
      <c r="L21" s="80">
        <v>1450.0</v>
      </c>
      <c r="M21" s="22">
        <f t="shared" si="1"/>
        <v>0</v>
      </c>
    </row>
    <row r="22">
      <c r="A22" s="76">
        <v>18.0</v>
      </c>
      <c r="B22" s="94" t="s">
        <v>2541</v>
      </c>
      <c r="C22" s="102">
        <v>51434.0</v>
      </c>
      <c r="D22" s="94" t="s">
        <v>2542</v>
      </c>
      <c r="E22" s="29"/>
      <c r="F22" s="25"/>
      <c r="G22" s="16"/>
      <c r="H22" s="95"/>
      <c r="I22" s="88">
        <v>5000.0</v>
      </c>
      <c r="J22" s="68"/>
      <c r="K22" s="96"/>
      <c r="L22" s="80">
        <v>5000.0</v>
      </c>
      <c r="M22" s="22">
        <f t="shared" si="1"/>
        <v>0</v>
      </c>
    </row>
    <row r="23">
      <c r="A23" s="76">
        <v>19.0</v>
      </c>
      <c r="B23" s="94" t="s">
        <v>2543</v>
      </c>
      <c r="C23" s="102">
        <v>50909.0</v>
      </c>
      <c r="D23" s="94" t="s">
        <v>1830</v>
      </c>
      <c r="E23" s="29"/>
      <c r="F23" s="25"/>
      <c r="G23" s="16"/>
      <c r="H23" s="95"/>
      <c r="I23" s="88">
        <v>5000.0</v>
      </c>
      <c r="J23" s="68"/>
      <c r="K23" s="96"/>
      <c r="L23" s="80">
        <v>5000.0</v>
      </c>
      <c r="M23" s="22">
        <f t="shared" si="1"/>
        <v>0</v>
      </c>
    </row>
    <row r="24">
      <c r="A24" s="76">
        <v>20.0</v>
      </c>
      <c r="B24" s="94" t="s">
        <v>2544</v>
      </c>
      <c r="C24" s="102">
        <v>10001.0</v>
      </c>
      <c r="D24" s="94" t="s">
        <v>46</v>
      </c>
      <c r="E24" s="29"/>
      <c r="F24" s="25"/>
      <c r="G24" s="16"/>
      <c r="H24" s="95"/>
      <c r="I24" s="88">
        <v>2650.0</v>
      </c>
      <c r="J24" s="68"/>
      <c r="K24" s="96"/>
      <c r="L24" s="80">
        <v>2650.0</v>
      </c>
      <c r="M24" s="22">
        <f t="shared" si="1"/>
        <v>0</v>
      </c>
    </row>
    <row r="25">
      <c r="A25" s="76">
        <v>21.0</v>
      </c>
      <c r="B25" s="94" t="s">
        <v>2545</v>
      </c>
      <c r="C25" s="102">
        <v>51782.0</v>
      </c>
      <c r="D25" s="94" t="s">
        <v>1394</v>
      </c>
      <c r="E25" s="29"/>
      <c r="F25" s="25"/>
      <c r="G25" s="16"/>
      <c r="H25" s="95"/>
      <c r="I25" s="88">
        <v>350.0</v>
      </c>
      <c r="J25" s="70"/>
      <c r="K25" s="96"/>
      <c r="L25" s="80">
        <v>350.0</v>
      </c>
      <c r="M25" s="22">
        <f t="shared" si="1"/>
        <v>0</v>
      </c>
    </row>
    <row r="26">
      <c r="A26" s="76">
        <v>22.0</v>
      </c>
      <c r="B26" s="94" t="s">
        <v>2546</v>
      </c>
      <c r="C26" s="102">
        <v>47520.0</v>
      </c>
      <c r="D26" s="94" t="s">
        <v>1700</v>
      </c>
      <c r="E26" s="29"/>
      <c r="F26" s="25"/>
      <c r="G26" s="16"/>
      <c r="H26" s="95">
        <v>5150.0</v>
      </c>
      <c r="I26" s="88"/>
      <c r="J26" s="70"/>
      <c r="K26" s="96"/>
      <c r="L26" s="80">
        <v>5150.0</v>
      </c>
      <c r="M26" s="22">
        <f t="shared" si="1"/>
        <v>0</v>
      </c>
    </row>
    <row r="27">
      <c r="A27" s="76">
        <v>23.0</v>
      </c>
      <c r="B27" s="94" t="s">
        <v>2547</v>
      </c>
      <c r="C27" s="102">
        <v>47520.0</v>
      </c>
      <c r="D27" s="94" t="s">
        <v>1700</v>
      </c>
      <c r="E27" s="29"/>
      <c r="F27" s="25"/>
      <c r="G27" s="16"/>
      <c r="H27" s="95">
        <v>4000.0</v>
      </c>
      <c r="I27" s="88"/>
      <c r="J27" s="68"/>
      <c r="K27" s="96"/>
      <c r="L27" s="80">
        <v>4000.0</v>
      </c>
      <c r="M27" s="22">
        <f t="shared" si="1"/>
        <v>0</v>
      </c>
    </row>
    <row r="28">
      <c r="A28" s="76">
        <v>24.0</v>
      </c>
      <c r="B28" s="94" t="s">
        <v>2548</v>
      </c>
      <c r="C28" s="102">
        <v>58257.0</v>
      </c>
      <c r="D28" s="94" t="s">
        <v>2549</v>
      </c>
      <c r="E28" s="29"/>
      <c r="F28" s="25"/>
      <c r="G28" s="16"/>
      <c r="H28" s="95">
        <v>27000.0</v>
      </c>
      <c r="I28" s="88"/>
      <c r="J28" s="68"/>
      <c r="K28" s="96"/>
      <c r="L28" s="80">
        <v>27000.0</v>
      </c>
      <c r="M28" s="22">
        <f t="shared" si="1"/>
        <v>0</v>
      </c>
    </row>
    <row r="29">
      <c r="A29" s="76">
        <v>25.0</v>
      </c>
      <c r="B29" s="94" t="s">
        <v>2550</v>
      </c>
      <c r="C29" s="102">
        <v>58375.0</v>
      </c>
      <c r="D29" s="94" t="s">
        <v>2551</v>
      </c>
      <c r="E29" s="27"/>
      <c r="F29" s="25"/>
      <c r="G29" s="16"/>
      <c r="H29" s="95"/>
      <c r="I29" s="88">
        <v>300.0</v>
      </c>
      <c r="J29" s="70"/>
      <c r="K29" s="96"/>
      <c r="L29" s="80">
        <v>300.0</v>
      </c>
      <c r="M29" s="22">
        <f t="shared" si="1"/>
        <v>0</v>
      </c>
    </row>
    <row r="30">
      <c r="A30" s="76">
        <v>26.0</v>
      </c>
      <c r="B30" s="94" t="s">
        <v>2552</v>
      </c>
      <c r="C30" s="102">
        <v>56826.0</v>
      </c>
      <c r="D30" s="94" t="s">
        <v>385</v>
      </c>
      <c r="E30" s="29"/>
      <c r="F30" s="25"/>
      <c r="G30" s="16"/>
      <c r="H30" s="95"/>
      <c r="I30" s="88">
        <v>5000.0</v>
      </c>
      <c r="J30" s="68"/>
      <c r="K30" s="96"/>
      <c r="L30" s="80">
        <v>5000.0</v>
      </c>
      <c r="M30" s="22">
        <f t="shared" si="1"/>
        <v>0</v>
      </c>
    </row>
    <row r="31">
      <c r="A31" s="76">
        <v>27.0</v>
      </c>
      <c r="B31" s="94" t="s">
        <v>2553</v>
      </c>
      <c r="C31" s="102">
        <v>29694.0</v>
      </c>
      <c r="D31" s="94" t="s">
        <v>2554</v>
      </c>
      <c r="E31" s="27"/>
      <c r="F31" s="25"/>
      <c r="G31" s="16"/>
      <c r="H31" s="95"/>
      <c r="I31" s="88">
        <v>3600.0</v>
      </c>
      <c r="J31" s="68"/>
      <c r="K31" s="96"/>
      <c r="L31" s="80">
        <v>3600.0</v>
      </c>
      <c r="M31" s="22">
        <f t="shared" si="1"/>
        <v>0</v>
      </c>
    </row>
    <row r="32">
      <c r="A32" s="76">
        <v>28.0</v>
      </c>
      <c r="B32" s="94" t="s">
        <v>2555</v>
      </c>
      <c r="C32" s="102">
        <v>49476.0</v>
      </c>
      <c r="D32" s="94" t="s">
        <v>2556</v>
      </c>
      <c r="E32" s="27"/>
      <c r="F32" s="25"/>
      <c r="G32" s="16"/>
      <c r="H32" s="95"/>
      <c r="I32" s="88">
        <v>5000.0</v>
      </c>
      <c r="J32" s="70"/>
      <c r="K32" s="96"/>
      <c r="L32" s="80">
        <v>5000.0</v>
      </c>
      <c r="M32" s="22">
        <f t="shared" si="1"/>
        <v>0</v>
      </c>
    </row>
    <row r="33">
      <c r="A33" s="76">
        <v>29.0</v>
      </c>
      <c r="B33" s="94" t="s">
        <v>2557</v>
      </c>
      <c r="C33" s="102">
        <v>56826.0</v>
      </c>
      <c r="D33" s="94" t="s">
        <v>385</v>
      </c>
      <c r="E33" s="29"/>
      <c r="F33" s="25"/>
      <c r="G33" s="16"/>
      <c r="H33" s="95"/>
      <c r="I33" s="88">
        <v>1450.0</v>
      </c>
      <c r="J33" s="68"/>
      <c r="K33" s="96"/>
      <c r="L33" s="80">
        <v>1450.0</v>
      </c>
      <c r="M33" s="22">
        <f t="shared" si="1"/>
        <v>0</v>
      </c>
    </row>
    <row r="34">
      <c r="A34" s="76">
        <v>30.0</v>
      </c>
      <c r="B34" s="94" t="s">
        <v>2558</v>
      </c>
      <c r="C34" s="102">
        <v>28328.0</v>
      </c>
      <c r="D34" s="94" t="s">
        <v>2559</v>
      </c>
      <c r="E34" s="27"/>
      <c r="F34" s="25"/>
      <c r="G34" s="16"/>
      <c r="H34" s="95"/>
      <c r="I34" s="88">
        <v>3600.0</v>
      </c>
      <c r="J34" s="68"/>
      <c r="K34" s="96"/>
      <c r="L34" s="80">
        <v>3600.0</v>
      </c>
      <c r="M34" s="22">
        <f t="shared" si="1"/>
        <v>0</v>
      </c>
    </row>
    <row r="35">
      <c r="A35" s="76">
        <v>31.0</v>
      </c>
      <c r="B35" s="94" t="s">
        <v>2560</v>
      </c>
      <c r="C35" s="102">
        <v>22332.0</v>
      </c>
      <c r="D35" s="94" t="s">
        <v>78</v>
      </c>
      <c r="E35" s="29"/>
      <c r="F35" s="25"/>
      <c r="G35" s="16"/>
      <c r="H35" s="95">
        <v>1550.0</v>
      </c>
      <c r="I35" s="88"/>
      <c r="J35" s="70"/>
      <c r="K35" s="96"/>
      <c r="L35" s="80">
        <v>1550.0</v>
      </c>
      <c r="M35" s="22">
        <f t="shared" si="1"/>
        <v>0</v>
      </c>
    </row>
    <row r="36">
      <c r="A36" s="76">
        <v>32.0</v>
      </c>
      <c r="B36" s="94" t="s">
        <v>2561</v>
      </c>
      <c r="C36" s="102">
        <v>10001.0</v>
      </c>
      <c r="D36" s="94" t="s">
        <v>46</v>
      </c>
      <c r="E36" s="27"/>
      <c r="F36" s="25"/>
      <c r="G36" s="16"/>
      <c r="H36" s="95">
        <v>2500.0</v>
      </c>
      <c r="I36" s="88"/>
      <c r="J36" s="70"/>
      <c r="K36" s="96"/>
      <c r="L36" s="80">
        <v>2500.0</v>
      </c>
      <c r="M36" s="22">
        <f t="shared" si="1"/>
        <v>0</v>
      </c>
    </row>
    <row r="37">
      <c r="A37" s="76">
        <v>33.0</v>
      </c>
      <c r="B37" s="94" t="s">
        <v>2562</v>
      </c>
      <c r="C37" s="102">
        <v>56145.0</v>
      </c>
      <c r="D37" s="94" t="s">
        <v>2563</v>
      </c>
      <c r="E37" s="29"/>
      <c r="F37" s="25"/>
      <c r="G37" s="16"/>
      <c r="H37" s="95">
        <v>300.0</v>
      </c>
      <c r="I37" s="88"/>
      <c r="J37" s="68"/>
      <c r="K37" s="96"/>
      <c r="L37" s="80">
        <v>300.0</v>
      </c>
      <c r="M37" s="22">
        <f t="shared" si="1"/>
        <v>0</v>
      </c>
    </row>
    <row r="38">
      <c r="A38" s="76">
        <v>34.0</v>
      </c>
      <c r="B38" s="94" t="s">
        <v>2564</v>
      </c>
      <c r="C38" s="102">
        <v>23221.0</v>
      </c>
      <c r="D38" s="94" t="s">
        <v>595</v>
      </c>
      <c r="E38" s="29"/>
      <c r="F38" s="25"/>
      <c r="G38" s="16"/>
      <c r="H38" s="95">
        <v>3850.0</v>
      </c>
      <c r="I38" s="88"/>
      <c r="J38" s="70">
        <v>1300.0</v>
      </c>
      <c r="K38" s="96"/>
      <c r="L38" s="80">
        <v>5150.0</v>
      </c>
      <c r="M38" s="22">
        <f t="shared" si="1"/>
        <v>0</v>
      </c>
    </row>
    <row r="39">
      <c r="A39" s="76">
        <v>35.0</v>
      </c>
      <c r="B39" s="94" t="s">
        <v>2565</v>
      </c>
      <c r="C39" s="102">
        <v>52647.0</v>
      </c>
      <c r="D39" s="94" t="s">
        <v>468</v>
      </c>
      <c r="E39" s="27"/>
      <c r="F39" s="25"/>
      <c r="G39" s="16"/>
      <c r="H39" s="95">
        <v>11500.0</v>
      </c>
      <c r="I39" s="88"/>
      <c r="J39" s="68"/>
      <c r="K39" s="96"/>
      <c r="L39" s="80">
        <v>11500.0</v>
      </c>
      <c r="M39" s="22">
        <f t="shared" si="1"/>
        <v>0</v>
      </c>
    </row>
    <row r="40">
      <c r="A40" s="76">
        <v>36.0</v>
      </c>
      <c r="B40" s="94" t="s">
        <v>2566</v>
      </c>
      <c r="C40" s="102">
        <v>36555.0</v>
      </c>
      <c r="D40" s="94" t="s">
        <v>389</v>
      </c>
      <c r="E40" s="27"/>
      <c r="F40" s="25"/>
      <c r="G40" s="16"/>
      <c r="H40" s="95">
        <v>12500.0</v>
      </c>
      <c r="I40" s="88"/>
      <c r="J40" s="68"/>
      <c r="K40" s="96"/>
      <c r="L40" s="80">
        <v>12500.0</v>
      </c>
      <c r="M40" s="22">
        <f t="shared" si="1"/>
        <v>0</v>
      </c>
    </row>
    <row r="41">
      <c r="A41" s="76">
        <v>37.0</v>
      </c>
      <c r="B41" s="94" t="s">
        <v>2567</v>
      </c>
      <c r="C41" s="102">
        <v>21384.0</v>
      </c>
      <c r="D41" s="94" t="s">
        <v>151</v>
      </c>
      <c r="E41" s="27"/>
      <c r="F41" s="25"/>
      <c r="G41" s="16"/>
      <c r="H41" s="95">
        <v>350.0</v>
      </c>
      <c r="I41" s="88"/>
      <c r="J41" s="68"/>
      <c r="K41" s="96"/>
      <c r="L41" s="80">
        <v>350.0</v>
      </c>
      <c r="M41" s="22">
        <f t="shared" si="1"/>
        <v>0</v>
      </c>
    </row>
    <row r="42">
      <c r="A42" s="76">
        <v>38.0</v>
      </c>
      <c r="B42" s="94" t="s">
        <v>2568</v>
      </c>
      <c r="C42" s="102">
        <v>21818.0</v>
      </c>
      <c r="D42" s="94" t="s">
        <v>82</v>
      </c>
      <c r="E42" s="27"/>
      <c r="F42" s="25"/>
      <c r="G42" s="16"/>
      <c r="H42" s="95">
        <v>12921.0</v>
      </c>
      <c r="I42" s="97"/>
      <c r="J42" s="68"/>
      <c r="K42" s="96"/>
      <c r="L42" s="80">
        <v>12921.0</v>
      </c>
      <c r="M42" s="22">
        <f t="shared" si="1"/>
        <v>0</v>
      </c>
    </row>
    <row r="43">
      <c r="A43" s="76">
        <v>39.0</v>
      </c>
      <c r="B43" s="94" t="s">
        <v>2569</v>
      </c>
      <c r="C43" s="102">
        <v>50613.0</v>
      </c>
      <c r="D43" s="94" t="s">
        <v>2262</v>
      </c>
      <c r="E43" s="29"/>
      <c r="F43" s="25"/>
      <c r="G43" s="16"/>
      <c r="H43" s="95"/>
      <c r="I43" s="88">
        <v>10000.0</v>
      </c>
      <c r="J43" s="70"/>
      <c r="K43" s="96"/>
      <c r="L43" s="80">
        <v>10000.0</v>
      </c>
      <c r="M43" s="22">
        <f t="shared" si="1"/>
        <v>0</v>
      </c>
    </row>
    <row r="44">
      <c r="A44" s="76">
        <v>40.0</v>
      </c>
      <c r="B44" s="94" t="s">
        <v>2570</v>
      </c>
      <c r="C44" s="102">
        <v>43380.0</v>
      </c>
      <c r="D44" s="94" t="s">
        <v>348</v>
      </c>
      <c r="E44" s="27"/>
      <c r="F44" s="25"/>
      <c r="G44" s="16"/>
      <c r="H44" s="95">
        <v>350.0</v>
      </c>
      <c r="I44" s="88"/>
      <c r="J44" s="68"/>
      <c r="K44" s="96"/>
      <c r="L44" s="80">
        <v>350.0</v>
      </c>
      <c r="M44" s="22">
        <f t="shared" si="1"/>
        <v>0</v>
      </c>
    </row>
    <row r="45">
      <c r="A45" s="76">
        <v>41.0</v>
      </c>
      <c r="B45" s="94" t="s">
        <v>2571</v>
      </c>
      <c r="C45" s="102">
        <v>49953.0</v>
      </c>
      <c r="D45" s="94" t="s">
        <v>62</v>
      </c>
      <c r="E45" s="27"/>
      <c r="F45" s="25"/>
      <c r="G45" s="16"/>
      <c r="H45" s="95">
        <v>243.0</v>
      </c>
      <c r="I45" s="88"/>
      <c r="J45" s="68"/>
      <c r="K45" s="96"/>
      <c r="L45" s="80">
        <v>243.0</v>
      </c>
      <c r="M45" s="22">
        <f t="shared" si="1"/>
        <v>0</v>
      </c>
    </row>
    <row r="46">
      <c r="A46" s="76">
        <v>42.0</v>
      </c>
      <c r="B46" s="94" t="s">
        <v>2572</v>
      </c>
      <c r="C46" s="102">
        <v>51225.0</v>
      </c>
      <c r="D46" s="94" t="s">
        <v>2573</v>
      </c>
      <c r="E46" s="27"/>
      <c r="F46" s="25"/>
      <c r="G46" s="16"/>
      <c r="H46" s="95">
        <v>5150.0</v>
      </c>
      <c r="I46" s="88"/>
      <c r="J46" s="68"/>
      <c r="K46" s="96"/>
      <c r="L46" s="80">
        <v>5150.0</v>
      </c>
      <c r="M46" s="22">
        <f t="shared" si="1"/>
        <v>0</v>
      </c>
    </row>
    <row r="47">
      <c r="A47" s="76">
        <v>43.0</v>
      </c>
      <c r="B47" s="94" t="s">
        <v>2574</v>
      </c>
      <c r="C47" s="102">
        <v>58152.0</v>
      </c>
      <c r="D47" s="94" t="s">
        <v>2575</v>
      </c>
      <c r="E47" s="27"/>
      <c r="F47" s="25"/>
      <c r="G47" s="16"/>
      <c r="H47" s="95">
        <v>300.0</v>
      </c>
      <c r="I47" s="88"/>
      <c r="J47" s="68"/>
      <c r="K47" s="96"/>
      <c r="L47" s="80">
        <v>300.0</v>
      </c>
      <c r="M47" s="22">
        <f t="shared" si="1"/>
        <v>0</v>
      </c>
    </row>
    <row r="48">
      <c r="A48" s="76">
        <v>44.0</v>
      </c>
      <c r="B48" s="94" t="s">
        <v>2576</v>
      </c>
      <c r="C48" s="102">
        <v>49599.0</v>
      </c>
      <c r="D48" s="94" t="s">
        <v>2241</v>
      </c>
      <c r="E48" s="27"/>
      <c r="F48" s="25"/>
      <c r="G48" s="16"/>
      <c r="H48" s="95">
        <v>2500.0</v>
      </c>
      <c r="I48" s="88"/>
      <c r="J48" s="68"/>
      <c r="K48" s="96"/>
      <c r="L48" s="80">
        <v>2500.0</v>
      </c>
      <c r="M48" s="22">
        <f t="shared" si="1"/>
        <v>0</v>
      </c>
    </row>
    <row r="49">
      <c r="A49" s="76">
        <v>45.0</v>
      </c>
      <c r="B49" s="94" t="s">
        <v>2577</v>
      </c>
      <c r="C49" s="102">
        <v>22727.0</v>
      </c>
      <c r="D49" s="94" t="s">
        <v>109</v>
      </c>
      <c r="E49" s="27"/>
      <c r="F49" s="25"/>
      <c r="G49" s="16"/>
      <c r="H49" s="95"/>
      <c r="I49" s="88">
        <v>9044.0</v>
      </c>
      <c r="J49" s="68"/>
      <c r="K49" s="96"/>
      <c r="L49" s="80">
        <v>9044.0</v>
      </c>
      <c r="M49" s="22">
        <f t="shared" si="1"/>
        <v>0</v>
      </c>
    </row>
    <row r="50">
      <c r="A50" s="76">
        <v>46.0</v>
      </c>
      <c r="B50" s="94" t="s">
        <v>2578</v>
      </c>
      <c r="C50" s="102">
        <v>43381.0</v>
      </c>
      <c r="D50" s="94" t="s">
        <v>97</v>
      </c>
      <c r="E50" s="27"/>
      <c r="F50" s="25"/>
      <c r="G50" s="16"/>
      <c r="H50" s="95">
        <v>26450.0</v>
      </c>
      <c r="I50" s="88"/>
      <c r="J50" s="68"/>
      <c r="K50" s="96"/>
      <c r="L50" s="80">
        <v>26450.0</v>
      </c>
      <c r="M50" s="22">
        <f t="shared" si="1"/>
        <v>0</v>
      </c>
    </row>
    <row r="51">
      <c r="A51" s="76">
        <v>47.0</v>
      </c>
      <c r="B51" s="94" t="s">
        <v>2579</v>
      </c>
      <c r="C51" s="102">
        <v>52032.0</v>
      </c>
      <c r="D51" s="94" t="s">
        <v>217</v>
      </c>
      <c r="E51" s="27"/>
      <c r="F51" s="25"/>
      <c r="G51" s="16"/>
      <c r="H51" s="95">
        <v>10000.0</v>
      </c>
      <c r="I51" s="88"/>
      <c r="J51" s="68"/>
      <c r="K51" s="96"/>
      <c r="L51" s="80">
        <v>10000.0</v>
      </c>
      <c r="M51" s="22">
        <f t="shared" si="1"/>
        <v>0</v>
      </c>
    </row>
    <row r="52">
      <c r="A52" s="76">
        <v>48.0</v>
      </c>
      <c r="B52" s="94" t="s">
        <v>2580</v>
      </c>
      <c r="C52" s="102">
        <v>48657.0</v>
      </c>
      <c r="D52" s="94" t="s">
        <v>236</v>
      </c>
      <c r="E52" s="27"/>
      <c r="F52" s="25"/>
      <c r="G52" s="16"/>
      <c r="H52" s="95">
        <v>3750.0</v>
      </c>
      <c r="I52" s="88"/>
      <c r="J52" s="68"/>
      <c r="K52" s="96"/>
      <c r="L52" s="80">
        <v>3750.0</v>
      </c>
      <c r="M52" s="22">
        <f t="shared" si="1"/>
        <v>0</v>
      </c>
    </row>
    <row r="53">
      <c r="A53" s="76">
        <v>49.0</v>
      </c>
      <c r="B53" s="94" t="s">
        <v>2581</v>
      </c>
      <c r="C53" s="102">
        <v>50221.0</v>
      </c>
      <c r="D53" s="94" t="s">
        <v>864</v>
      </c>
      <c r="E53" s="27"/>
      <c r="F53" s="25"/>
      <c r="G53" s="16"/>
      <c r="H53" s="95">
        <v>348.0</v>
      </c>
      <c r="I53" s="88"/>
      <c r="J53" s="70"/>
      <c r="K53" s="96"/>
      <c r="L53" s="80">
        <v>348.0</v>
      </c>
      <c r="M53" s="22">
        <f t="shared" si="1"/>
        <v>0</v>
      </c>
    </row>
    <row r="54">
      <c r="A54" s="76">
        <v>50.0</v>
      </c>
      <c r="B54" s="94" t="s">
        <v>2582</v>
      </c>
      <c r="C54" s="102">
        <v>21384.0</v>
      </c>
      <c r="D54" s="94" t="s">
        <v>151</v>
      </c>
      <c r="E54" s="27"/>
      <c r="F54" s="25"/>
      <c r="G54" s="16"/>
      <c r="H54" s="95">
        <v>8150.0</v>
      </c>
      <c r="I54" s="88"/>
      <c r="J54" s="68"/>
      <c r="K54" s="96"/>
      <c r="L54" s="80">
        <v>8150.0</v>
      </c>
      <c r="M54" s="22">
        <f t="shared" si="1"/>
        <v>0</v>
      </c>
    </row>
    <row r="55">
      <c r="A55" s="76">
        <v>51.0</v>
      </c>
      <c r="B55" s="94" t="s">
        <v>2583</v>
      </c>
      <c r="C55" s="102">
        <v>51512.0</v>
      </c>
      <c r="D55" s="94" t="s">
        <v>1756</v>
      </c>
      <c r="E55" s="27"/>
      <c r="F55" s="25"/>
      <c r="G55" s="16"/>
      <c r="H55" s="95"/>
      <c r="I55" s="88">
        <v>18750.0</v>
      </c>
      <c r="J55" s="68"/>
      <c r="K55" s="96"/>
      <c r="L55" s="80">
        <v>18750.0</v>
      </c>
      <c r="M55" s="22">
        <f t="shared" si="1"/>
        <v>0</v>
      </c>
    </row>
    <row r="56">
      <c r="A56" s="76">
        <v>52.0</v>
      </c>
      <c r="B56" s="94" t="s">
        <v>2584</v>
      </c>
      <c r="C56" s="102">
        <v>55446.0</v>
      </c>
      <c r="D56" s="94" t="s">
        <v>336</v>
      </c>
      <c r="E56" s="27">
        <v>600.0</v>
      </c>
      <c r="F56" s="25"/>
      <c r="G56" s="16"/>
      <c r="H56" s="95"/>
      <c r="I56" s="88"/>
      <c r="J56" s="68"/>
      <c r="K56" s="96"/>
      <c r="L56" s="80">
        <v>600.0</v>
      </c>
      <c r="M56" s="22">
        <f t="shared" si="1"/>
        <v>0</v>
      </c>
    </row>
    <row r="57">
      <c r="A57" s="76">
        <v>53.0</v>
      </c>
      <c r="B57" s="94" t="s">
        <v>2585</v>
      </c>
      <c r="C57" s="102">
        <v>43380.0</v>
      </c>
      <c r="D57" s="94" t="s">
        <v>348</v>
      </c>
      <c r="E57" s="27"/>
      <c r="F57" s="25"/>
      <c r="G57" s="16"/>
      <c r="H57" s="95">
        <v>350.0</v>
      </c>
      <c r="I57" s="88"/>
      <c r="J57" s="68"/>
      <c r="K57" s="96"/>
      <c r="L57" s="80">
        <v>350.0</v>
      </c>
      <c r="M57" s="22">
        <f t="shared" si="1"/>
        <v>0</v>
      </c>
    </row>
    <row r="58">
      <c r="A58" s="76">
        <v>54.0</v>
      </c>
      <c r="B58" s="94" t="s">
        <v>2586</v>
      </c>
      <c r="C58" s="102">
        <v>57508.0</v>
      </c>
      <c r="D58" s="94" t="s">
        <v>2587</v>
      </c>
      <c r="E58" s="27"/>
      <c r="F58" s="25"/>
      <c r="G58" s="16"/>
      <c r="H58" s="95">
        <v>300.0</v>
      </c>
      <c r="I58" s="88"/>
      <c r="J58" s="70"/>
      <c r="K58" s="96"/>
      <c r="L58" s="80">
        <v>300.0</v>
      </c>
      <c r="M58" s="22">
        <f t="shared" si="1"/>
        <v>0</v>
      </c>
    </row>
    <row r="59">
      <c r="A59" s="76">
        <v>55.0</v>
      </c>
      <c r="B59" s="94" t="s">
        <v>2588</v>
      </c>
      <c r="C59" s="102">
        <v>22332.0</v>
      </c>
      <c r="D59" s="94" t="s">
        <v>78</v>
      </c>
      <c r="E59" s="27"/>
      <c r="F59" s="25"/>
      <c r="G59" s="16"/>
      <c r="H59" s="95">
        <v>1500.0</v>
      </c>
      <c r="I59" s="88"/>
      <c r="J59" s="68"/>
      <c r="K59" s="96"/>
      <c r="L59" s="80">
        <v>1500.0</v>
      </c>
      <c r="M59" s="22">
        <f t="shared" si="1"/>
        <v>0</v>
      </c>
    </row>
    <row r="60">
      <c r="A60" s="76">
        <v>56.0</v>
      </c>
      <c r="B60" s="94" t="s">
        <v>2589</v>
      </c>
      <c r="C60" s="102">
        <v>49832.0</v>
      </c>
      <c r="D60" s="94" t="s">
        <v>2590</v>
      </c>
      <c r="E60" s="27"/>
      <c r="F60" s="25"/>
      <c r="G60" s="28"/>
      <c r="H60" s="95">
        <v>1250.0</v>
      </c>
      <c r="I60" s="88"/>
      <c r="J60" s="68"/>
      <c r="K60" s="96"/>
      <c r="L60" s="80">
        <v>1250.0</v>
      </c>
      <c r="M60" s="22">
        <f t="shared" si="1"/>
        <v>0</v>
      </c>
    </row>
    <row r="61">
      <c r="A61" s="76">
        <v>57.0</v>
      </c>
      <c r="B61" s="94" t="s">
        <v>2591</v>
      </c>
      <c r="C61" s="102">
        <v>44149.0</v>
      </c>
      <c r="D61" s="94" t="s">
        <v>44</v>
      </c>
      <c r="E61" s="27"/>
      <c r="F61" s="25"/>
      <c r="G61" s="28"/>
      <c r="H61" s="95">
        <v>453.0</v>
      </c>
      <c r="I61" s="88"/>
      <c r="J61" s="68"/>
      <c r="K61" s="96"/>
      <c r="L61" s="80">
        <v>453.0</v>
      </c>
      <c r="M61" s="22">
        <f t="shared" si="1"/>
        <v>0</v>
      </c>
    </row>
    <row r="62">
      <c r="A62" s="76">
        <v>58.0</v>
      </c>
      <c r="B62" s="94" t="s">
        <v>2592</v>
      </c>
      <c r="C62" s="102">
        <v>48862.0</v>
      </c>
      <c r="D62" s="94" t="s">
        <v>2593</v>
      </c>
      <c r="E62" s="27"/>
      <c r="F62" s="25"/>
      <c r="G62" s="28"/>
      <c r="H62" s="95">
        <v>1050.0</v>
      </c>
      <c r="I62" s="88"/>
      <c r="J62" s="68"/>
      <c r="K62" s="96"/>
      <c r="L62" s="80">
        <v>1050.0</v>
      </c>
      <c r="M62" s="22">
        <f t="shared" si="1"/>
        <v>0</v>
      </c>
    </row>
    <row r="63">
      <c r="A63" s="76">
        <v>59.0</v>
      </c>
      <c r="B63" s="94" t="s">
        <v>2594</v>
      </c>
      <c r="C63" s="102">
        <v>56215.0</v>
      </c>
      <c r="D63" s="94" t="s">
        <v>2595</v>
      </c>
      <c r="E63" s="27"/>
      <c r="F63" s="25"/>
      <c r="G63" s="28"/>
      <c r="H63" s="95">
        <v>3600.0</v>
      </c>
      <c r="I63" s="88"/>
      <c r="J63" s="68"/>
      <c r="K63" s="96"/>
      <c r="L63" s="80">
        <v>3600.0</v>
      </c>
      <c r="M63" s="22">
        <f t="shared" si="1"/>
        <v>0</v>
      </c>
    </row>
    <row r="64">
      <c r="A64" s="76">
        <v>60.0</v>
      </c>
      <c r="B64" s="94" t="s">
        <v>2596</v>
      </c>
      <c r="C64" s="102">
        <v>13781.0</v>
      </c>
      <c r="D64" s="94" t="s">
        <v>213</v>
      </c>
      <c r="E64" s="27"/>
      <c r="F64" s="25"/>
      <c r="G64" s="28"/>
      <c r="H64" s="95">
        <v>1400.0</v>
      </c>
      <c r="I64" s="88"/>
      <c r="J64" s="68"/>
      <c r="K64" s="96"/>
      <c r="L64" s="80">
        <v>1400.0</v>
      </c>
      <c r="M64" s="22">
        <f t="shared" si="1"/>
        <v>0</v>
      </c>
    </row>
    <row r="65">
      <c r="A65" s="76">
        <v>61.0</v>
      </c>
      <c r="B65" s="94" t="s">
        <v>2597</v>
      </c>
      <c r="C65" s="102">
        <v>10320.0</v>
      </c>
      <c r="D65" s="94" t="s">
        <v>84</v>
      </c>
      <c r="E65" s="27"/>
      <c r="F65" s="25"/>
      <c r="G65" s="28"/>
      <c r="H65" s="95">
        <v>5700.0</v>
      </c>
      <c r="I65" s="88"/>
      <c r="J65" s="68"/>
      <c r="K65" s="96"/>
      <c r="L65" s="80">
        <v>5700.0</v>
      </c>
      <c r="M65" s="22">
        <f t="shared" si="1"/>
        <v>0</v>
      </c>
    </row>
    <row r="66">
      <c r="A66" s="76">
        <v>62.0</v>
      </c>
      <c r="B66" s="94" t="s">
        <v>2598</v>
      </c>
      <c r="C66" s="102">
        <v>50595.0</v>
      </c>
      <c r="D66" s="94" t="s">
        <v>305</v>
      </c>
      <c r="E66" s="27"/>
      <c r="F66" s="25">
        <v>22100.0</v>
      </c>
      <c r="G66" s="28"/>
      <c r="H66" s="95"/>
      <c r="I66" s="88"/>
      <c r="J66" s="68"/>
      <c r="K66" s="96"/>
      <c r="L66" s="80">
        <v>22100.0</v>
      </c>
      <c r="M66" s="22">
        <f t="shared" si="1"/>
        <v>0</v>
      </c>
    </row>
    <row r="67">
      <c r="A67" s="76">
        <v>63.0</v>
      </c>
      <c r="B67" s="94" t="s">
        <v>2599</v>
      </c>
      <c r="C67" s="102">
        <v>51017.0</v>
      </c>
      <c r="D67" s="94" t="s">
        <v>477</v>
      </c>
      <c r="E67" s="27"/>
      <c r="F67" s="25"/>
      <c r="G67" s="28">
        <v>30000.0</v>
      </c>
      <c r="H67" s="95"/>
      <c r="I67" s="88"/>
      <c r="J67" s="68"/>
      <c r="K67" s="96"/>
      <c r="L67" s="80">
        <v>30000.0</v>
      </c>
      <c r="M67" s="22">
        <f t="shared" si="1"/>
        <v>0</v>
      </c>
    </row>
    <row r="68">
      <c r="A68" s="76">
        <v>64.0</v>
      </c>
      <c r="B68" s="94" t="s">
        <v>2600</v>
      </c>
      <c r="C68" s="102">
        <v>49655.0</v>
      </c>
      <c r="D68" s="94" t="s">
        <v>134</v>
      </c>
      <c r="E68" s="27"/>
      <c r="F68" s="25"/>
      <c r="G68" s="28">
        <v>9900.0</v>
      </c>
      <c r="H68" s="95"/>
      <c r="I68" s="88"/>
      <c r="J68" s="68"/>
      <c r="K68" s="96"/>
      <c r="L68" s="80">
        <v>9900.0</v>
      </c>
      <c r="M68" s="22">
        <f t="shared" si="1"/>
        <v>0</v>
      </c>
    </row>
    <row r="69">
      <c r="A69" s="76">
        <v>65.0</v>
      </c>
      <c r="B69" s="94" t="s">
        <v>2601</v>
      </c>
      <c r="C69" s="102">
        <v>49953.0</v>
      </c>
      <c r="D69" s="94" t="s">
        <v>62</v>
      </c>
      <c r="E69" s="27"/>
      <c r="F69" s="25"/>
      <c r="G69" s="28">
        <v>1600.0</v>
      </c>
      <c r="H69" s="95"/>
      <c r="I69" s="88"/>
      <c r="J69" s="68"/>
      <c r="K69" s="96"/>
      <c r="L69" s="80">
        <v>1600.0</v>
      </c>
      <c r="M69" s="22">
        <f t="shared" si="1"/>
        <v>0</v>
      </c>
    </row>
    <row r="70">
      <c r="A70" s="76">
        <v>66.0</v>
      </c>
      <c r="B70" s="94" t="s">
        <v>2602</v>
      </c>
      <c r="C70" s="102">
        <v>50221.0</v>
      </c>
      <c r="D70" s="94" t="s">
        <v>864</v>
      </c>
      <c r="E70" s="27"/>
      <c r="F70" s="25"/>
      <c r="G70" s="28">
        <v>2500.0</v>
      </c>
      <c r="H70" s="95"/>
      <c r="I70" s="88"/>
      <c r="J70" s="68"/>
      <c r="K70" s="96"/>
      <c r="L70" s="80">
        <v>2500.0</v>
      </c>
      <c r="M70" s="22">
        <f t="shared" si="1"/>
        <v>0</v>
      </c>
    </row>
    <row r="71">
      <c r="A71" s="76">
        <v>67.0</v>
      </c>
      <c r="B71" s="94" t="s">
        <v>2603</v>
      </c>
      <c r="C71" s="102">
        <v>49918.0</v>
      </c>
      <c r="D71" s="94" t="s">
        <v>781</v>
      </c>
      <c r="E71" s="27"/>
      <c r="F71" s="25"/>
      <c r="G71" s="28">
        <v>700.0</v>
      </c>
      <c r="H71" s="95"/>
      <c r="I71" s="88"/>
      <c r="J71" s="68"/>
      <c r="K71" s="96"/>
      <c r="L71" s="80">
        <v>700.0</v>
      </c>
      <c r="M71" s="22">
        <f t="shared" si="1"/>
        <v>0</v>
      </c>
    </row>
    <row r="72">
      <c r="A72" s="76">
        <v>68.0</v>
      </c>
      <c r="B72" s="94" t="s">
        <v>2604</v>
      </c>
      <c r="C72" s="102">
        <v>49655.0</v>
      </c>
      <c r="D72" s="94" t="s">
        <v>134</v>
      </c>
      <c r="E72" s="27"/>
      <c r="F72" s="25"/>
      <c r="G72" s="28">
        <v>6000.0</v>
      </c>
      <c r="H72" s="95"/>
      <c r="I72" s="88"/>
      <c r="J72" s="68"/>
      <c r="K72" s="96"/>
      <c r="L72" s="80">
        <v>6000.0</v>
      </c>
      <c r="M72" s="22">
        <f t="shared" si="1"/>
        <v>0</v>
      </c>
    </row>
    <row r="73">
      <c r="A73" s="103"/>
      <c r="B73" s="12"/>
      <c r="C73" s="12"/>
      <c r="D73" s="104"/>
      <c r="E73" s="32">
        <f t="shared" ref="E73:L73" si="2">SUM(E5:E72)</f>
        <v>600</v>
      </c>
      <c r="F73" s="32">
        <f t="shared" si="2"/>
        <v>22100</v>
      </c>
      <c r="G73" s="32">
        <f t="shared" si="2"/>
        <v>50700</v>
      </c>
      <c r="H73" s="32">
        <f t="shared" si="2"/>
        <v>288486</v>
      </c>
      <c r="I73" s="32">
        <f t="shared" si="2"/>
        <v>82044</v>
      </c>
      <c r="J73" s="32">
        <f t="shared" si="2"/>
        <v>1300</v>
      </c>
      <c r="K73" s="32">
        <f t="shared" si="2"/>
        <v>0</v>
      </c>
      <c r="L73" s="98">
        <f t="shared" si="2"/>
        <v>445230</v>
      </c>
      <c r="M73" s="99">
        <f t="shared" si="1"/>
        <v>0</v>
      </c>
    </row>
    <row r="74">
      <c r="A74" s="105"/>
      <c r="B74" s="106"/>
      <c r="C74" s="106"/>
      <c r="D74" s="107"/>
      <c r="E74" s="34">
        <f>E73+F73+G73+H73+I73+J73+K73</f>
        <v>445230</v>
      </c>
      <c r="F74" s="6"/>
      <c r="G74" s="6"/>
      <c r="H74" s="6"/>
      <c r="I74" s="6"/>
      <c r="J74" s="6"/>
      <c r="K74" s="7"/>
      <c r="L74" s="108"/>
      <c r="M74" s="33"/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  <c r="H78" s="55" t="s">
        <v>588</v>
      </c>
    </row>
    <row r="79">
      <c r="B79" s="64"/>
      <c r="C79" s="64"/>
      <c r="D79" s="75"/>
    </row>
    <row r="80">
      <c r="B80" s="64"/>
      <c r="C80" s="64"/>
      <c r="D80" s="75"/>
      <c r="F80" s="55" t="s">
        <v>2412</v>
      </c>
      <c r="H80" s="55" t="s">
        <v>485</v>
      </c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</sheetData>
  <mergeCells count="14">
    <mergeCell ref="F3:G3"/>
    <mergeCell ref="H3:I3"/>
    <mergeCell ref="J3:J4"/>
    <mergeCell ref="K3:K4"/>
    <mergeCell ref="E74:K7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9.75"/>
    <col customWidth="1" min="3" max="3" width="10.5"/>
    <col customWidth="1" min="4" max="4" width="45.88"/>
    <col customWidth="1" min="5" max="5" width="9.5"/>
  </cols>
  <sheetData>
    <row r="1">
      <c r="A1" s="101" t="s">
        <v>2605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13" t="s">
        <v>2606</v>
      </c>
      <c r="C5" s="13">
        <v>50871.0</v>
      </c>
      <c r="D5" s="13" t="s">
        <v>48</v>
      </c>
      <c r="E5" s="27"/>
      <c r="F5" s="25"/>
      <c r="G5" s="16"/>
      <c r="H5" s="95">
        <v>50150.0</v>
      </c>
      <c r="I5" s="88"/>
      <c r="J5" s="68"/>
      <c r="K5" s="88"/>
      <c r="L5" s="21">
        <v>50150.0</v>
      </c>
      <c r="M5" s="22">
        <f t="shared" ref="M5:M67" si="1">SUM(E5+F5+G5+H5+I5+J5+K5-L5)</f>
        <v>0</v>
      </c>
    </row>
    <row r="6">
      <c r="A6" s="76">
        <v>2.0</v>
      </c>
      <c r="B6" s="13" t="s">
        <v>2607</v>
      </c>
      <c r="C6" s="13">
        <v>56683.0</v>
      </c>
      <c r="D6" s="13" t="s">
        <v>1615</v>
      </c>
      <c r="E6" s="27"/>
      <c r="F6" s="25"/>
      <c r="G6" s="16"/>
      <c r="H6" s="95">
        <v>350.0</v>
      </c>
      <c r="I6" s="88"/>
      <c r="J6" s="70"/>
      <c r="K6" s="96"/>
      <c r="L6" s="21">
        <v>350.0</v>
      </c>
      <c r="M6" s="22">
        <f t="shared" si="1"/>
        <v>0</v>
      </c>
      <c r="O6" s="55" t="s">
        <v>485</v>
      </c>
    </row>
    <row r="7">
      <c r="A7" s="76">
        <v>3.0</v>
      </c>
      <c r="B7" s="13" t="s">
        <v>2608</v>
      </c>
      <c r="C7" s="13">
        <v>51876.0</v>
      </c>
      <c r="D7" s="13" t="s">
        <v>2384</v>
      </c>
      <c r="E7" s="27"/>
      <c r="F7" s="25"/>
      <c r="G7" s="16"/>
      <c r="H7" s="95">
        <v>350.0</v>
      </c>
      <c r="I7" s="88"/>
      <c r="J7" s="68"/>
      <c r="K7" s="96"/>
      <c r="L7" s="21">
        <v>350.0</v>
      </c>
      <c r="M7" s="22">
        <f t="shared" si="1"/>
        <v>0</v>
      </c>
    </row>
    <row r="8">
      <c r="A8" s="76">
        <v>4.0</v>
      </c>
      <c r="B8" s="13" t="s">
        <v>2609</v>
      </c>
      <c r="C8" s="13">
        <v>44149.0</v>
      </c>
      <c r="D8" s="13" t="s">
        <v>44</v>
      </c>
      <c r="E8" s="29"/>
      <c r="F8" s="25"/>
      <c r="G8" s="16"/>
      <c r="H8" s="95">
        <v>1427.0</v>
      </c>
      <c r="I8" s="88"/>
      <c r="J8" s="70"/>
      <c r="K8" s="96"/>
      <c r="L8" s="21">
        <v>1427.0</v>
      </c>
      <c r="M8" s="22">
        <f t="shared" si="1"/>
        <v>0</v>
      </c>
    </row>
    <row r="9">
      <c r="A9" s="76">
        <v>5.0</v>
      </c>
      <c r="B9" s="13" t="s">
        <v>2610</v>
      </c>
      <c r="C9" s="13">
        <v>35245.0</v>
      </c>
      <c r="D9" s="13" t="s">
        <v>330</v>
      </c>
      <c r="E9" s="27"/>
      <c r="F9" s="25"/>
      <c r="G9" s="16"/>
      <c r="H9" s="95">
        <v>1250.0</v>
      </c>
      <c r="I9" s="88"/>
      <c r="J9" s="70"/>
      <c r="K9" s="96"/>
      <c r="L9" s="21">
        <v>1250.0</v>
      </c>
      <c r="M9" s="22">
        <f t="shared" si="1"/>
        <v>0</v>
      </c>
    </row>
    <row r="10">
      <c r="A10" s="76">
        <v>6.0</v>
      </c>
      <c r="B10" s="13" t="s">
        <v>2611</v>
      </c>
      <c r="C10" s="13">
        <v>48060.0</v>
      </c>
      <c r="D10" s="13" t="s">
        <v>2612</v>
      </c>
      <c r="E10" s="27"/>
      <c r="F10" s="25"/>
      <c r="G10" s="16"/>
      <c r="H10" s="95">
        <v>9100.0</v>
      </c>
      <c r="I10" s="88"/>
      <c r="J10" s="68"/>
      <c r="K10" s="96"/>
      <c r="L10" s="21">
        <v>9100.0</v>
      </c>
      <c r="M10" s="22">
        <f t="shared" si="1"/>
        <v>0</v>
      </c>
    </row>
    <row r="11">
      <c r="A11" s="76">
        <v>7.0</v>
      </c>
      <c r="B11" s="13" t="s">
        <v>2613</v>
      </c>
      <c r="C11" s="13">
        <v>10249.0</v>
      </c>
      <c r="D11" s="13" t="s">
        <v>367</v>
      </c>
      <c r="E11" s="29"/>
      <c r="F11" s="25"/>
      <c r="G11" s="16"/>
      <c r="H11" s="95"/>
      <c r="I11" s="88">
        <v>700.0</v>
      </c>
      <c r="J11" s="70"/>
      <c r="K11" s="96"/>
      <c r="L11" s="21">
        <v>700.0</v>
      </c>
      <c r="M11" s="22">
        <f t="shared" si="1"/>
        <v>0</v>
      </c>
    </row>
    <row r="12">
      <c r="A12" s="76">
        <v>8.0</v>
      </c>
      <c r="B12" s="13" t="s">
        <v>2614</v>
      </c>
      <c r="C12" s="13">
        <v>26831.0</v>
      </c>
      <c r="D12" s="13" t="s">
        <v>191</v>
      </c>
      <c r="E12" s="29"/>
      <c r="F12" s="25"/>
      <c r="G12" s="16"/>
      <c r="H12" s="95"/>
      <c r="I12" s="88">
        <v>7650.0</v>
      </c>
      <c r="J12" s="68"/>
      <c r="K12" s="96"/>
      <c r="L12" s="21">
        <v>7650.0</v>
      </c>
      <c r="M12" s="22">
        <f t="shared" si="1"/>
        <v>0</v>
      </c>
    </row>
    <row r="13">
      <c r="A13" s="76">
        <v>9.0</v>
      </c>
      <c r="B13" s="13" t="s">
        <v>2615</v>
      </c>
      <c r="C13" s="13">
        <v>58257.0</v>
      </c>
      <c r="D13" s="13" t="s">
        <v>2549</v>
      </c>
      <c r="E13" s="29"/>
      <c r="F13" s="25"/>
      <c r="G13" s="16"/>
      <c r="H13" s="95">
        <v>300.0</v>
      </c>
      <c r="I13" s="88"/>
      <c r="J13" s="68"/>
      <c r="K13" s="96"/>
      <c r="L13" s="21">
        <v>300.0</v>
      </c>
      <c r="M13" s="22">
        <f t="shared" si="1"/>
        <v>0</v>
      </c>
    </row>
    <row r="14">
      <c r="A14" s="76">
        <v>10.0</v>
      </c>
      <c r="B14" s="13" t="s">
        <v>2616</v>
      </c>
      <c r="C14" s="13">
        <v>26831.0</v>
      </c>
      <c r="D14" s="13" t="s">
        <v>191</v>
      </c>
      <c r="E14" s="27"/>
      <c r="F14" s="25"/>
      <c r="G14" s="16"/>
      <c r="H14" s="95"/>
      <c r="I14" s="88"/>
      <c r="J14" s="70">
        <v>10000.0</v>
      </c>
      <c r="K14" s="96"/>
      <c r="L14" s="21">
        <v>10000.0</v>
      </c>
      <c r="M14" s="22">
        <f t="shared" si="1"/>
        <v>0</v>
      </c>
    </row>
    <row r="15">
      <c r="A15" s="76">
        <v>11.0</v>
      </c>
      <c r="B15" s="13" t="s">
        <v>2617</v>
      </c>
      <c r="C15" s="13">
        <v>53320.0</v>
      </c>
      <c r="D15" s="13" t="s">
        <v>2618</v>
      </c>
      <c r="E15" s="27"/>
      <c r="F15" s="25"/>
      <c r="G15" s="16"/>
      <c r="H15" s="95"/>
      <c r="I15" s="88">
        <v>850.0</v>
      </c>
      <c r="J15" s="70"/>
      <c r="K15" s="96"/>
      <c r="L15" s="21">
        <v>850.0</v>
      </c>
      <c r="M15" s="22">
        <f t="shared" si="1"/>
        <v>0</v>
      </c>
    </row>
    <row r="16">
      <c r="A16" s="76">
        <v>12.0</v>
      </c>
      <c r="B16" s="13" t="s">
        <v>2619</v>
      </c>
      <c r="C16" s="13">
        <v>56847.0</v>
      </c>
      <c r="D16" s="13" t="s">
        <v>1803</v>
      </c>
      <c r="E16" s="29"/>
      <c r="F16" s="25"/>
      <c r="G16" s="16"/>
      <c r="H16" s="95"/>
      <c r="I16" s="88">
        <v>5150.0</v>
      </c>
      <c r="J16" s="70"/>
      <c r="K16" s="96"/>
      <c r="L16" s="21">
        <v>5150.0</v>
      </c>
      <c r="M16" s="22">
        <f t="shared" si="1"/>
        <v>0</v>
      </c>
    </row>
    <row r="17">
      <c r="A17" s="76">
        <v>13.0</v>
      </c>
      <c r="B17" s="13" t="s">
        <v>2620</v>
      </c>
      <c r="C17" s="13">
        <v>10001.0</v>
      </c>
      <c r="D17" s="13" t="s">
        <v>46</v>
      </c>
      <c r="E17" s="27"/>
      <c r="F17" s="25"/>
      <c r="G17" s="16"/>
      <c r="H17" s="95">
        <v>13750.0</v>
      </c>
      <c r="I17" s="88"/>
      <c r="J17" s="68"/>
      <c r="K17" s="96"/>
      <c r="L17" s="21">
        <v>13750.0</v>
      </c>
      <c r="M17" s="22">
        <f t="shared" si="1"/>
        <v>0</v>
      </c>
    </row>
    <row r="18">
      <c r="A18" s="76">
        <v>14.0</v>
      </c>
      <c r="B18" s="13" t="s">
        <v>2621</v>
      </c>
      <c r="C18" s="13">
        <v>48543.0</v>
      </c>
      <c r="D18" s="13" t="s">
        <v>2622</v>
      </c>
      <c r="E18" s="27"/>
      <c r="F18" s="25"/>
      <c r="G18" s="16"/>
      <c r="H18" s="95">
        <v>2850.0</v>
      </c>
      <c r="I18" s="88"/>
      <c r="J18" s="70"/>
      <c r="K18" s="96"/>
      <c r="L18" s="21">
        <v>2850.0</v>
      </c>
      <c r="M18" s="22">
        <f t="shared" si="1"/>
        <v>0</v>
      </c>
    </row>
    <row r="19">
      <c r="A19" s="76">
        <v>15.0</v>
      </c>
      <c r="B19" s="13" t="s">
        <v>2623</v>
      </c>
      <c r="C19" s="13">
        <v>46778.0</v>
      </c>
      <c r="D19" s="13" t="s">
        <v>262</v>
      </c>
      <c r="E19" s="27"/>
      <c r="F19" s="25"/>
      <c r="G19" s="16"/>
      <c r="H19" s="95"/>
      <c r="I19" s="88">
        <v>9580.0</v>
      </c>
      <c r="J19" s="70"/>
      <c r="K19" s="96"/>
      <c r="L19" s="21">
        <v>9580.0</v>
      </c>
      <c r="M19" s="22">
        <f t="shared" si="1"/>
        <v>0</v>
      </c>
    </row>
    <row r="20">
      <c r="A20" s="76">
        <v>16.0</v>
      </c>
      <c r="B20" s="13" t="s">
        <v>2624</v>
      </c>
      <c r="C20" s="13">
        <v>58088.0</v>
      </c>
      <c r="D20" s="13" t="s">
        <v>953</v>
      </c>
      <c r="E20" s="29"/>
      <c r="F20" s="25"/>
      <c r="G20" s="16"/>
      <c r="H20" s="95">
        <v>27000.0</v>
      </c>
      <c r="I20" s="88"/>
      <c r="J20" s="68"/>
      <c r="K20" s="96"/>
      <c r="L20" s="21">
        <v>27000.0</v>
      </c>
      <c r="M20" s="22">
        <f t="shared" si="1"/>
        <v>0</v>
      </c>
    </row>
    <row r="21">
      <c r="A21" s="76">
        <v>17.0</v>
      </c>
      <c r="B21" s="13" t="s">
        <v>2625</v>
      </c>
      <c r="C21" s="13">
        <v>30909.0</v>
      </c>
      <c r="D21" s="13" t="s">
        <v>684</v>
      </c>
      <c r="E21" s="27"/>
      <c r="F21" s="25">
        <v>35750.0</v>
      </c>
      <c r="G21" s="16"/>
      <c r="H21" s="95"/>
      <c r="I21" s="88"/>
      <c r="J21" s="68"/>
      <c r="K21" s="96"/>
      <c r="L21" s="21">
        <v>35750.0</v>
      </c>
      <c r="M21" s="22">
        <f t="shared" si="1"/>
        <v>0</v>
      </c>
    </row>
    <row r="22">
      <c r="A22" s="76">
        <v>18.0</v>
      </c>
      <c r="B22" s="13" t="s">
        <v>2626</v>
      </c>
      <c r="C22" s="13">
        <v>44396.0</v>
      </c>
      <c r="D22" s="13" t="s">
        <v>2627</v>
      </c>
      <c r="E22" s="29"/>
      <c r="F22" s="25"/>
      <c r="G22" s="16"/>
      <c r="H22" s="95">
        <v>3700.0</v>
      </c>
      <c r="I22" s="88"/>
      <c r="J22" s="68"/>
      <c r="K22" s="96"/>
      <c r="L22" s="21">
        <v>3700.0</v>
      </c>
      <c r="M22" s="22">
        <f t="shared" si="1"/>
        <v>0</v>
      </c>
    </row>
    <row r="23">
      <c r="A23" s="76">
        <v>19.0</v>
      </c>
      <c r="B23" s="13" t="s">
        <v>2628</v>
      </c>
      <c r="C23" s="13">
        <v>52032.0</v>
      </c>
      <c r="D23" s="13" t="s">
        <v>217</v>
      </c>
      <c r="E23" s="29"/>
      <c r="F23" s="25"/>
      <c r="G23" s="16"/>
      <c r="H23" s="95">
        <v>350.0</v>
      </c>
      <c r="I23" s="88"/>
      <c r="J23" s="68"/>
      <c r="K23" s="96"/>
      <c r="L23" s="21">
        <v>350.0</v>
      </c>
      <c r="M23" s="22">
        <f t="shared" si="1"/>
        <v>0</v>
      </c>
    </row>
    <row r="24">
      <c r="A24" s="76">
        <v>20.0</v>
      </c>
      <c r="B24" s="13" t="s">
        <v>2629</v>
      </c>
      <c r="C24" s="13">
        <v>39588.0</v>
      </c>
      <c r="D24" s="13" t="s">
        <v>188</v>
      </c>
      <c r="E24" s="29"/>
      <c r="F24" s="25"/>
      <c r="G24" s="16"/>
      <c r="H24" s="95">
        <v>4500.0</v>
      </c>
      <c r="I24" s="88"/>
      <c r="J24" s="68"/>
      <c r="K24" s="96"/>
      <c r="L24" s="21">
        <v>4500.0</v>
      </c>
      <c r="M24" s="22">
        <f t="shared" si="1"/>
        <v>0</v>
      </c>
    </row>
    <row r="25">
      <c r="A25" s="76">
        <v>21.0</v>
      </c>
      <c r="B25" s="13" t="s">
        <v>2630</v>
      </c>
      <c r="C25" s="13">
        <v>54816.0</v>
      </c>
      <c r="D25" s="13" t="s">
        <v>2631</v>
      </c>
      <c r="E25" s="27">
        <v>2400.0</v>
      </c>
      <c r="F25" s="25"/>
      <c r="G25" s="16"/>
      <c r="H25" s="95"/>
      <c r="I25" s="88"/>
      <c r="J25" s="70"/>
      <c r="K25" s="96"/>
      <c r="L25" s="21">
        <v>2400.0</v>
      </c>
      <c r="M25" s="22">
        <f t="shared" si="1"/>
        <v>0</v>
      </c>
    </row>
    <row r="26">
      <c r="A26" s="76">
        <v>22.0</v>
      </c>
      <c r="B26" s="13" t="s">
        <v>2632</v>
      </c>
      <c r="C26" s="13">
        <v>57063.0</v>
      </c>
      <c r="D26" s="13" t="s">
        <v>2633</v>
      </c>
      <c r="E26" s="27">
        <v>1200.0</v>
      </c>
      <c r="F26" s="25"/>
      <c r="G26" s="16"/>
      <c r="H26" s="95"/>
      <c r="I26" s="88"/>
      <c r="J26" s="70"/>
      <c r="K26" s="96"/>
      <c r="L26" s="21">
        <v>1200.0</v>
      </c>
      <c r="M26" s="22">
        <f t="shared" si="1"/>
        <v>0</v>
      </c>
    </row>
    <row r="27">
      <c r="A27" s="76">
        <v>23.0</v>
      </c>
      <c r="B27" s="13" t="s">
        <v>2634</v>
      </c>
      <c r="C27" s="13">
        <v>50445.0</v>
      </c>
      <c r="D27" s="13" t="s">
        <v>2635</v>
      </c>
      <c r="E27" s="27">
        <v>2850.0</v>
      </c>
      <c r="F27" s="25"/>
      <c r="G27" s="16"/>
      <c r="H27" s="95"/>
      <c r="I27" s="88"/>
      <c r="J27" s="68"/>
      <c r="K27" s="96"/>
      <c r="L27" s="21">
        <v>2850.0</v>
      </c>
      <c r="M27" s="22">
        <f t="shared" si="1"/>
        <v>0</v>
      </c>
    </row>
    <row r="28">
      <c r="A28" s="76">
        <v>24.0</v>
      </c>
      <c r="B28" s="13" t="s">
        <v>2636</v>
      </c>
      <c r="C28" s="13">
        <v>42339.0</v>
      </c>
      <c r="D28" s="13" t="s">
        <v>302</v>
      </c>
      <c r="E28" s="27">
        <v>1990.0</v>
      </c>
      <c r="F28" s="25"/>
      <c r="G28" s="16"/>
      <c r="H28" s="95"/>
      <c r="I28" s="88"/>
      <c r="J28" s="68"/>
      <c r="K28" s="96"/>
      <c r="L28" s="21">
        <v>1990.0</v>
      </c>
      <c r="M28" s="22">
        <f t="shared" si="1"/>
        <v>0</v>
      </c>
    </row>
    <row r="29">
      <c r="A29" s="76">
        <v>25.0</v>
      </c>
      <c r="B29" s="13" t="s">
        <v>2637</v>
      </c>
      <c r="C29" s="13">
        <v>30909.0</v>
      </c>
      <c r="D29" s="13" t="s">
        <v>684</v>
      </c>
      <c r="E29" s="27"/>
      <c r="F29" s="25">
        <v>9600.0</v>
      </c>
      <c r="G29" s="16"/>
      <c r="H29" s="95"/>
      <c r="I29" s="88"/>
      <c r="J29" s="70"/>
      <c r="K29" s="96"/>
      <c r="L29" s="21">
        <v>9600.0</v>
      </c>
      <c r="M29" s="22">
        <f t="shared" si="1"/>
        <v>0</v>
      </c>
    </row>
    <row r="30">
      <c r="A30" s="76">
        <v>26.0</v>
      </c>
      <c r="B30" s="13" t="s">
        <v>2638</v>
      </c>
      <c r="C30" s="13">
        <v>54816.0</v>
      </c>
      <c r="D30" s="13" t="s">
        <v>2631</v>
      </c>
      <c r="E30" s="27">
        <v>140.0</v>
      </c>
      <c r="F30" s="25"/>
      <c r="G30" s="16"/>
      <c r="H30" s="95"/>
      <c r="I30" s="88"/>
      <c r="J30" s="68"/>
      <c r="K30" s="96"/>
      <c r="L30" s="21">
        <v>140.0</v>
      </c>
      <c r="M30" s="22">
        <f t="shared" si="1"/>
        <v>0</v>
      </c>
    </row>
    <row r="31">
      <c r="A31" s="76">
        <v>27.0</v>
      </c>
      <c r="B31" s="13" t="s">
        <v>2639</v>
      </c>
      <c r="C31" s="13">
        <v>40494.0</v>
      </c>
      <c r="D31" s="13" t="s">
        <v>1045</v>
      </c>
      <c r="E31" s="27">
        <v>10450.0</v>
      </c>
      <c r="F31" s="25"/>
      <c r="G31" s="16"/>
      <c r="H31" s="95"/>
      <c r="I31" s="88"/>
      <c r="J31" s="68"/>
      <c r="K31" s="96"/>
      <c r="L31" s="21">
        <v>10450.0</v>
      </c>
      <c r="M31" s="22">
        <f t="shared" si="1"/>
        <v>0</v>
      </c>
    </row>
    <row r="32">
      <c r="A32" s="76">
        <v>28.0</v>
      </c>
      <c r="B32" s="13" t="s">
        <v>2640</v>
      </c>
      <c r="C32" s="13">
        <v>56088.0</v>
      </c>
      <c r="D32" s="13" t="s">
        <v>2641</v>
      </c>
      <c r="E32" s="27">
        <v>3600.0</v>
      </c>
      <c r="F32" s="25"/>
      <c r="G32" s="16"/>
      <c r="H32" s="95"/>
      <c r="I32" s="88">
        <v>900.0</v>
      </c>
      <c r="J32" s="70"/>
      <c r="K32" s="96"/>
      <c r="L32" s="21">
        <v>4500.0</v>
      </c>
      <c r="M32" s="22">
        <f t="shared" si="1"/>
        <v>0</v>
      </c>
    </row>
    <row r="33">
      <c r="A33" s="76">
        <v>29.0</v>
      </c>
      <c r="B33" s="13" t="s">
        <v>2642</v>
      </c>
      <c r="C33" s="13">
        <v>21384.0</v>
      </c>
      <c r="D33" s="13" t="s">
        <v>151</v>
      </c>
      <c r="E33" s="29"/>
      <c r="F33" s="25"/>
      <c r="G33" s="16"/>
      <c r="H33" s="95">
        <v>350.0</v>
      </c>
      <c r="I33" s="88"/>
      <c r="J33" s="68"/>
      <c r="K33" s="96"/>
      <c r="L33" s="21">
        <v>350.0</v>
      </c>
      <c r="M33" s="22">
        <f t="shared" si="1"/>
        <v>0</v>
      </c>
    </row>
    <row r="34">
      <c r="A34" s="76">
        <v>30.0</v>
      </c>
      <c r="B34" s="13" t="s">
        <v>2643</v>
      </c>
      <c r="C34" s="13">
        <v>45227.0</v>
      </c>
      <c r="D34" s="13" t="s">
        <v>233</v>
      </c>
      <c r="E34" s="27"/>
      <c r="F34" s="25"/>
      <c r="G34" s="16"/>
      <c r="H34" s="95">
        <v>3400.0</v>
      </c>
      <c r="I34" s="88"/>
      <c r="J34" s="68"/>
      <c r="K34" s="96"/>
      <c r="L34" s="21">
        <v>3400.0</v>
      </c>
      <c r="M34" s="22">
        <f t="shared" si="1"/>
        <v>0</v>
      </c>
    </row>
    <row r="35">
      <c r="A35" s="76">
        <v>31.0</v>
      </c>
      <c r="B35" s="13" t="s">
        <v>2644</v>
      </c>
      <c r="C35" s="13">
        <v>49953.0</v>
      </c>
      <c r="D35" s="13" t="s">
        <v>62</v>
      </c>
      <c r="E35" s="29"/>
      <c r="F35" s="25"/>
      <c r="G35" s="16"/>
      <c r="H35" s="95">
        <v>252.0</v>
      </c>
      <c r="I35" s="88"/>
      <c r="J35" s="70"/>
      <c r="K35" s="96"/>
      <c r="L35" s="21">
        <v>252.0</v>
      </c>
      <c r="M35" s="22">
        <f t="shared" si="1"/>
        <v>0</v>
      </c>
    </row>
    <row r="36">
      <c r="A36" s="76">
        <v>32.0</v>
      </c>
      <c r="B36" s="13" t="s">
        <v>2645</v>
      </c>
      <c r="C36" s="13">
        <v>30895.0</v>
      </c>
      <c r="D36" s="13" t="s">
        <v>99</v>
      </c>
      <c r="E36" s="27"/>
      <c r="F36" s="25"/>
      <c r="G36" s="16"/>
      <c r="H36" s="95"/>
      <c r="I36" s="88">
        <v>15300.0</v>
      </c>
      <c r="J36" s="70"/>
      <c r="K36" s="96"/>
      <c r="L36" s="21">
        <v>15300.0</v>
      </c>
      <c r="M36" s="22">
        <f t="shared" si="1"/>
        <v>0</v>
      </c>
    </row>
    <row r="37">
      <c r="A37" s="76">
        <v>33.0</v>
      </c>
      <c r="B37" s="13" t="s">
        <v>2646</v>
      </c>
      <c r="C37" s="13">
        <v>54763.0</v>
      </c>
      <c r="D37" s="13" t="s">
        <v>1418</v>
      </c>
      <c r="E37" s="29"/>
      <c r="F37" s="25">
        <v>600.0</v>
      </c>
      <c r="G37" s="16"/>
      <c r="H37" s="95"/>
      <c r="I37" s="88"/>
      <c r="J37" s="68"/>
      <c r="K37" s="96"/>
      <c r="L37" s="21">
        <v>600.0</v>
      </c>
      <c r="M37" s="22">
        <f t="shared" si="1"/>
        <v>0</v>
      </c>
    </row>
    <row r="38">
      <c r="A38" s="76">
        <v>34.0</v>
      </c>
      <c r="B38" s="13" t="s">
        <v>2647</v>
      </c>
      <c r="C38" s="13">
        <v>58403.0</v>
      </c>
      <c r="D38" s="13" t="s">
        <v>2648</v>
      </c>
      <c r="E38" s="29"/>
      <c r="F38" s="25"/>
      <c r="G38" s="16"/>
      <c r="H38" s="95">
        <v>300.0</v>
      </c>
      <c r="I38" s="88"/>
      <c r="J38" s="70"/>
      <c r="K38" s="96"/>
      <c r="L38" s="21">
        <v>300.0</v>
      </c>
      <c r="M38" s="22">
        <f t="shared" si="1"/>
        <v>0</v>
      </c>
    </row>
    <row r="39">
      <c r="A39" s="76">
        <v>35.0</v>
      </c>
      <c r="B39" s="13" t="s">
        <v>2649</v>
      </c>
      <c r="C39" s="13">
        <v>21384.0</v>
      </c>
      <c r="D39" s="13" t="s">
        <v>151</v>
      </c>
      <c r="E39" s="27"/>
      <c r="F39" s="25">
        <v>85000.0</v>
      </c>
      <c r="G39" s="16"/>
      <c r="H39" s="95"/>
      <c r="I39" s="88"/>
      <c r="J39" s="68"/>
      <c r="K39" s="96"/>
      <c r="L39" s="21">
        <v>85000.0</v>
      </c>
      <c r="M39" s="22">
        <f t="shared" si="1"/>
        <v>0</v>
      </c>
    </row>
    <row r="40">
      <c r="A40" s="76">
        <v>36.0</v>
      </c>
      <c r="B40" s="13" t="s">
        <v>2650</v>
      </c>
      <c r="C40" s="13">
        <v>21384.0</v>
      </c>
      <c r="D40" s="13" t="s">
        <v>151</v>
      </c>
      <c r="E40" s="27"/>
      <c r="F40" s="25">
        <v>115000.0</v>
      </c>
      <c r="G40" s="16"/>
      <c r="H40" s="95"/>
      <c r="I40" s="88"/>
      <c r="J40" s="68"/>
      <c r="K40" s="96"/>
      <c r="L40" s="21">
        <v>115000.0</v>
      </c>
      <c r="M40" s="22">
        <f t="shared" si="1"/>
        <v>0</v>
      </c>
    </row>
    <row r="41">
      <c r="A41" s="76">
        <v>37.0</v>
      </c>
      <c r="B41" s="13" t="s">
        <v>2651</v>
      </c>
      <c r="C41" s="13">
        <v>36918.0</v>
      </c>
      <c r="D41" s="13" t="s">
        <v>435</v>
      </c>
      <c r="E41" s="27"/>
      <c r="F41" s="25"/>
      <c r="G41" s="16"/>
      <c r="H41" s="95">
        <v>7950.0</v>
      </c>
      <c r="I41" s="88"/>
      <c r="J41" s="68"/>
      <c r="K41" s="96"/>
      <c r="L41" s="21">
        <v>7950.0</v>
      </c>
      <c r="M41" s="22">
        <f t="shared" si="1"/>
        <v>0</v>
      </c>
    </row>
    <row r="42">
      <c r="A42" s="76">
        <v>38.0</v>
      </c>
      <c r="B42" s="13" t="s">
        <v>2652</v>
      </c>
      <c r="C42" s="13">
        <v>36918.0</v>
      </c>
      <c r="D42" s="13" t="s">
        <v>435</v>
      </c>
      <c r="E42" s="27"/>
      <c r="F42" s="25"/>
      <c r="G42" s="16"/>
      <c r="H42" s="95">
        <v>4000.0</v>
      </c>
      <c r="I42" s="97"/>
      <c r="J42" s="68"/>
      <c r="K42" s="96"/>
      <c r="L42" s="21">
        <v>4000.0</v>
      </c>
      <c r="M42" s="22">
        <f t="shared" si="1"/>
        <v>0</v>
      </c>
    </row>
    <row r="43">
      <c r="A43" s="76">
        <v>39.0</v>
      </c>
      <c r="B43" s="13" t="s">
        <v>2653</v>
      </c>
      <c r="C43" s="13">
        <v>36918.0</v>
      </c>
      <c r="D43" s="13" t="s">
        <v>435</v>
      </c>
      <c r="E43" s="29"/>
      <c r="F43" s="25"/>
      <c r="G43" s="16"/>
      <c r="H43" s="95">
        <v>3600.0</v>
      </c>
      <c r="I43" s="88"/>
      <c r="J43" s="70"/>
      <c r="K43" s="96"/>
      <c r="L43" s="21">
        <v>3600.0</v>
      </c>
      <c r="M43" s="22">
        <f t="shared" si="1"/>
        <v>0</v>
      </c>
    </row>
    <row r="44">
      <c r="A44" s="76">
        <v>40.0</v>
      </c>
      <c r="B44" s="13" t="s">
        <v>2654</v>
      </c>
      <c r="C44" s="13">
        <v>25543.0</v>
      </c>
      <c r="D44" s="13" t="s">
        <v>2655</v>
      </c>
      <c r="E44" s="27"/>
      <c r="F44" s="25">
        <v>5000.0</v>
      </c>
      <c r="G44" s="16"/>
      <c r="H44" s="95"/>
      <c r="I44" s="88"/>
      <c r="J44" s="68"/>
      <c r="K44" s="96"/>
      <c r="L44" s="21">
        <v>5000.0</v>
      </c>
      <c r="M44" s="22">
        <f t="shared" si="1"/>
        <v>0</v>
      </c>
    </row>
    <row r="45">
      <c r="A45" s="76">
        <v>41.0</v>
      </c>
      <c r="B45" s="13" t="s">
        <v>2656</v>
      </c>
      <c r="C45" s="13">
        <v>25543.0</v>
      </c>
      <c r="D45" s="13" t="s">
        <v>2655</v>
      </c>
      <c r="E45" s="27"/>
      <c r="F45" s="25">
        <v>13950.0</v>
      </c>
      <c r="G45" s="16"/>
      <c r="H45" s="95"/>
      <c r="I45" s="88"/>
      <c r="J45" s="68"/>
      <c r="K45" s="96"/>
      <c r="L45" s="21">
        <v>13950.0</v>
      </c>
      <c r="M45" s="22">
        <f t="shared" si="1"/>
        <v>0</v>
      </c>
    </row>
    <row r="46">
      <c r="A46" s="76">
        <v>42.0</v>
      </c>
      <c r="B46" s="13" t="s">
        <v>2657</v>
      </c>
      <c r="C46" s="13">
        <v>58407.0</v>
      </c>
      <c r="D46" s="13" t="s">
        <v>2658</v>
      </c>
      <c r="E46" s="27"/>
      <c r="F46" s="25">
        <v>27000.0</v>
      </c>
      <c r="G46" s="16"/>
      <c r="H46" s="95"/>
      <c r="I46" s="88"/>
      <c r="J46" s="68"/>
      <c r="K46" s="96"/>
      <c r="L46" s="21">
        <v>27000.0</v>
      </c>
      <c r="M46" s="22">
        <f t="shared" si="1"/>
        <v>0</v>
      </c>
    </row>
    <row r="47">
      <c r="A47" s="76">
        <v>43.0</v>
      </c>
      <c r="B47" s="13" t="s">
        <v>2659</v>
      </c>
      <c r="C47" s="13">
        <v>21384.0</v>
      </c>
      <c r="D47" s="13" t="s">
        <v>151</v>
      </c>
      <c r="E47" s="27"/>
      <c r="F47" s="25">
        <v>41250.0</v>
      </c>
      <c r="G47" s="16"/>
      <c r="H47" s="95"/>
      <c r="I47" s="88"/>
      <c r="J47" s="68"/>
      <c r="K47" s="96"/>
      <c r="L47" s="21">
        <v>41250.0</v>
      </c>
      <c r="M47" s="22">
        <f t="shared" si="1"/>
        <v>0</v>
      </c>
    </row>
    <row r="48">
      <c r="A48" s="76">
        <v>44.0</v>
      </c>
      <c r="B48" s="13" t="s">
        <v>2660</v>
      </c>
      <c r="C48" s="13">
        <v>21384.0</v>
      </c>
      <c r="D48" s="13" t="s">
        <v>151</v>
      </c>
      <c r="E48" s="27">
        <v>7500.0</v>
      </c>
      <c r="F48" s="25"/>
      <c r="G48" s="16"/>
      <c r="H48" s="95"/>
      <c r="I48" s="88"/>
      <c r="J48" s="70">
        <v>7500.0</v>
      </c>
      <c r="K48" s="96"/>
      <c r="L48" s="21">
        <v>15000.0</v>
      </c>
      <c r="M48" s="22">
        <f t="shared" si="1"/>
        <v>0</v>
      </c>
    </row>
    <row r="49">
      <c r="A49" s="76">
        <v>45.0</v>
      </c>
      <c r="B49" s="13" t="s">
        <v>2661</v>
      </c>
      <c r="C49" s="13">
        <v>21384.0</v>
      </c>
      <c r="D49" s="13" t="s">
        <v>151</v>
      </c>
      <c r="E49" s="27"/>
      <c r="F49" s="25">
        <v>67500.0</v>
      </c>
      <c r="G49" s="16"/>
      <c r="H49" s="95"/>
      <c r="I49" s="88"/>
      <c r="J49" s="68"/>
      <c r="K49" s="96"/>
      <c r="L49" s="21">
        <v>67500.0</v>
      </c>
      <c r="M49" s="22">
        <f t="shared" si="1"/>
        <v>0</v>
      </c>
    </row>
    <row r="50">
      <c r="A50" s="76">
        <v>46.0</v>
      </c>
      <c r="B50" s="13" t="s">
        <v>2662</v>
      </c>
      <c r="C50" s="13">
        <v>51743.0</v>
      </c>
      <c r="D50" s="13" t="s">
        <v>2663</v>
      </c>
      <c r="E50" s="27"/>
      <c r="F50" s="25"/>
      <c r="G50" s="16"/>
      <c r="H50" s="95"/>
      <c r="I50" s="88">
        <v>5000.0</v>
      </c>
      <c r="J50" s="68"/>
      <c r="K50" s="96"/>
      <c r="L50" s="21">
        <v>5000.0</v>
      </c>
      <c r="M50" s="22">
        <f t="shared" si="1"/>
        <v>0</v>
      </c>
    </row>
    <row r="51">
      <c r="A51" s="76">
        <v>47.0</v>
      </c>
      <c r="B51" s="13" t="s">
        <v>2664</v>
      </c>
      <c r="C51" s="13">
        <v>51976.0</v>
      </c>
      <c r="D51" s="13" t="s">
        <v>975</v>
      </c>
      <c r="E51" s="27"/>
      <c r="F51" s="25"/>
      <c r="G51" s="16"/>
      <c r="H51" s="95"/>
      <c r="I51" s="88">
        <v>5000.0</v>
      </c>
      <c r="J51" s="68"/>
      <c r="K51" s="96"/>
      <c r="L51" s="21">
        <v>5000.0</v>
      </c>
      <c r="M51" s="22">
        <f t="shared" si="1"/>
        <v>0</v>
      </c>
    </row>
    <row r="52">
      <c r="A52" s="76">
        <v>48.0</v>
      </c>
      <c r="B52" s="13" t="s">
        <v>2665</v>
      </c>
      <c r="C52" s="13">
        <v>21384.0</v>
      </c>
      <c r="D52" s="13" t="s">
        <v>151</v>
      </c>
      <c r="E52" s="27"/>
      <c r="F52" s="25">
        <v>8500.0</v>
      </c>
      <c r="G52" s="16"/>
      <c r="H52" s="95"/>
      <c r="I52" s="88"/>
      <c r="J52" s="70">
        <v>6500.0</v>
      </c>
      <c r="K52" s="96"/>
      <c r="L52" s="21">
        <v>15000.0</v>
      </c>
      <c r="M52" s="22">
        <f t="shared" si="1"/>
        <v>0</v>
      </c>
    </row>
    <row r="53">
      <c r="A53" s="76">
        <v>49.0</v>
      </c>
      <c r="B53" s="13" t="s">
        <v>2666</v>
      </c>
      <c r="C53" s="13">
        <v>58410.0</v>
      </c>
      <c r="D53" s="13" t="s">
        <v>2667</v>
      </c>
      <c r="E53" s="27"/>
      <c r="F53" s="25"/>
      <c r="G53" s="16"/>
      <c r="H53" s="95">
        <v>27000.0</v>
      </c>
      <c r="I53" s="88"/>
      <c r="J53" s="70"/>
      <c r="K53" s="96"/>
      <c r="L53" s="21">
        <v>27000.0</v>
      </c>
      <c r="M53" s="22">
        <f t="shared" si="1"/>
        <v>0</v>
      </c>
    </row>
    <row r="54">
      <c r="A54" s="76">
        <v>50.0</v>
      </c>
      <c r="B54" s="13" t="s">
        <v>2668</v>
      </c>
      <c r="C54" s="13">
        <v>58412.0</v>
      </c>
      <c r="D54" s="13" t="s">
        <v>2669</v>
      </c>
      <c r="E54" s="27"/>
      <c r="F54" s="25"/>
      <c r="G54" s="16"/>
      <c r="H54" s="95">
        <v>27000.0</v>
      </c>
      <c r="I54" s="88"/>
      <c r="J54" s="68"/>
      <c r="K54" s="96"/>
      <c r="L54" s="21">
        <v>27000.0</v>
      </c>
      <c r="M54" s="22">
        <f t="shared" si="1"/>
        <v>0</v>
      </c>
    </row>
    <row r="55">
      <c r="A55" s="76">
        <v>51.0</v>
      </c>
      <c r="B55" s="13" t="s">
        <v>2670</v>
      </c>
      <c r="C55" s="13">
        <v>58411.0</v>
      </c>
      <c r="D55" s="13" t="s">
        <v>2671</v>
      </c>
      <c r="E55" s="27"/>
      <c r="F55" s="25"/>
      <c r="G55" s="16"/>
      <c r="H55" s="95">
        <v>27000.0</v>
      </c>
      <c r="I55" s="88"/>
      <c r="J55" s="68"/>
      <c r="K55" s="96"/>
      <c r="L55" s="21">
        <v>27000.0</v>
      </c>
      <c r="M55" s="22">
        <f t="shared" si="1"/>
        <v>0</v>
      </c>
    </row>
    <row r="56">
      <c r="A56" s="76">
        <v>52.0</v>
      </c>
      <c r="B56" s="13" t="s">
        <v>2672</v>
      </c>
      <c r="C56" s="13">
        <v>30933.0</v>
      </c>
      <c r="D56" s="13" t="s">
        <v>455</v>
      </c>
      <c r="E56" s="27"/>
      <c r="F56" s="25"/>
      <c r="G56" s="16"/>
      <c r="H56" s="95">
        <v>15000.0</v>
      </c>
      <c r="I56" s="88"/>
      <c r="J56" s="68"/>
      <c r="K56" s="96"/>
      <c r="L56" s="21">
        <v>15000.0</v>
      </c>
      <c r="M56" s="22">
        <f t="shared" si="1"/>
        <v>0</v>
      </c>
    </row>
    <row r="57">
      <c r="A57" s="76">
        <v>53.0</v>
      </c>
      <c r="B57" s="13" t="s">
        <v>2673</v>
      </c>
      <c r="C57" s="13">
        <v>21384.0</v>
      </c>
      <c r="D57" s="13" t="s">
        <v>151</v>
      </c>
      <c r="E57" s="27"/>
      <c r="F57" s="25">
        <v>5000.0</v>
      </c>
      <c r="G57" s="16"/>
      <c r="H57" s="95"/>
      <c r="I57" s="88"/>
      <c r="J57" s="68"/>
      <c r="K57" s="96"/>
      <c r="L57" s="21">
        <v>5000.0</v>
      </c>
      <c r="M57" s="22">
        <f t="shared" si="1"/>
        <v>0</v>
      </c>
    </row>
    <row r="58">
      <c r="A58" s="76">
        <v>54.0</v>
      </c>
      <c r="B58" s="13" t="s">
        <v>2674</v>
      </c>
      <c r="C58" s="13">
        <v>44149.0</v>
      </c>
      <c r="D58" s="13" t="s">
        <v>44</v>
      </c>
      <c r="E58" s="27"/>
      <c r="F58" s="25"/>
      <c r="G58" s="16"/>
      <c r="H58" s="95">
        <v>453.0</v>
      </c>
      <c r="I58" s="88"/>
      <c r="J58" s="70"/>
      <c r="K58" s="96"/>
      <c r="L58" s="21">
        <v>453.0</v>
      </c>
      <c r="M58" s="22">
        <f t="shared" si="1"/>
        <v>0</v>
      </c>
    </row>
    <row r="59">
      <c r="A59" s="76">
        <v>55.0</v>
      </c>
      <c r="B59" s="13" t="s">
        <v>2675</v>
      </c>
      <c r="C59" s="13">
        <v>49320.0</v>
      </c>
      <c r="D59" s="13" t="s">
        <v>2676</v>
      </c>
      <c r="E59" s="27"/>
      <c r="F59" s="25"/>
      <c r="G59" s="16"/>
      <c r="H59" s="95">
        <v>2500.0</v>
      </c>
      <c r="I59" s="88"/>
      <c r="J59" s="68"/>
      <c r="K59" s="96"/>
      <c r="L59" s="21">
        <v>2500.0</v>
      </c>
      <c r="M59" s="22">
        <f t="shared" si="1"/>
        <v>0</v>
      </c>
    </row>
    <row r="60">
      <c r="A60" s="76">
        <v>56.0</v>
      </c>
      <c r="B60" s="13" t="s">
        <v>2677</v>
      </c>
      <c r="C60" s="13">
        <v>21384.0</v>
      </c>
      <c r="D60" s="13" t="s">
        <v>151</v>
      </c>
      <c r="E60" s="27">
        <v>300.0</v>
      </c>
      <c r="F60" s="25"/>
      <c r="G60" s="28"/>
      <c r="H60" s="95"/>
      <c r="I60" s="88"/>
      <c r="J60" s="68"/>
      <c r="K60" s="96"/>
      <c r="L60" s="21">
        <v>300.0</v>
      </c>
      <c r="M60" s="22">
        <f t="shared" si="1"/>
        <v>0</v>
      </c>
    </row>
    <row r="61">
      <c r="A61" s="76">
        <v>57.0</v>
      </c>
      <c r="B61" s="13" t="s">
        <v>2678</v>
      </c>
      <c r="C61" s="13">
        <v>53569.0</v>
      </c>
      <c r="D61" s="13" t="s">
        <v>2679</v>
      </c>
      <c r="E61" s="27"/>
      <c r="F61" s="25"/>
      <c r="G61" s="28"/>
      <c r="H61" s="95"/>
      <c r="I61" s="88"/>
      <c r="J61" s="70">
        <v>5000.0</v>
      </c>
      <c r="K61" s="96"/>
      <c r="L61" s="21">
        <v>5000.0</v>
      </c>
      <c r="M61" s="22">
        <f t="shared" si="1"/>
        <v>0</v>
      </c>
    </row>
    <row r="62">
      <c r="A62" s="76">
        <v>58.0</v>
      </c>
      <c r="B62" s="13" t="s">
        <v>2680</v>
      </c>
      <c r="C62" s="13">
        <v>55415.0</v>
      </c>
      <c r="D62" s="13" t="s">
        <v>2681</v>
      </c>
      <c r="E62" s="27"/>
      <c r="F62" s="25"/>
      <c r="G62" s="28"/>
      <c r="H62" s="95"/>
      <c r="I62" s="88"/>
      <c r="J62" s="70">
        <v>5000.0</v>
      </c>
      <c r="K62" s="96"/>
      <c r="L62" s="21">
        <v>5000.0</v>
      </c>
      <c r="M62" s="22">
        <f t="shared" si="1"/>
        <v>0</v>
      </c>
    </row>
    <row r="63">
      <c r="A63" s="76">
        <v>59.0</v>
      </c>
      <c r="B63" s="13" t="s">
        <v>2682</v>
      </c>
      <c r="C63" s="13">
        <v>49953.0</v>
      </c>
      <c r="D63" s="13" t="s">
        <v>62</v>
      </c>
      <c r="E63" s="27"/>
      <c r="F63" s="25"/>
      <c r="G63" s="28">
        <v>1250.0</v>
      </c>
      <c r="H63" s="95"/>
      <c r="I63" s="88"/>
      <c r="J63" s="68"/>
      <c r="K63" s="96"/>
      <c r="L63" s="21">
        <v>1250.0</v>
      </c>
      <c r="M63" s="22">
        <f t="shared" si="1"/>
        <v>0</v>
      </c>
    </row>
    <row r="64">
      <c r="A64" s="76">
        <v>60.0</v>
      </c>
      <c r="B64" s="13" t="s">
        <v>2683</v>
      </c>
      <c r="C64" s="13">
        <v>58119.0</v>
      </c>
      <c r="D64" s="13" t="s">
        <v>2684</v>
      </c>
      <c r="E64" s="27"/>
      <c r="F64" s="25"/>
      <c r="G64" s="28">
        <v>27000.0</v>
      </c>
      <c r="H64" s="95"/>
      <c r="I64" s="88"/>
      <c r="J64" s="68"/>
      <c r="K64" s="96"/>
      <c r="L64" s="21">
        <v>27000.0</v>
      </c>
      <c r="M64" s="22">
        <f t="shared" si="1"/>
        <v>0</v>
      </c>
    </row>
    <row r="65">
      <c r="A65" s="76">
        <v>61.0</v>
      </c>
      <c r="B65" s="13" t="s">
        <v>2685</v>
      </c>
      <c r="C65" s="13">
        <v>42046.0</v>
      </c>
      <c r="D65" s="13" t="s">
        <v>163</v>
      </c>
      <c r="E65" s="27"/>
      <c r="F65" s="25"/>
      <c r="G65" s="28">
        <v>8750.0</v>
      </c>
      <c r="H65" s="95"/>
      <c r="I65" s="88"/>
      <c r="J65" s="68"/>
      <c r="K65" s="96"/>
      <c r="L65" s="21">
        <v>8750.0</v>
      </c>
      <c r="M65" s="22">
        <f t="shared" si="1"/>
        <v>0</v>
      </c>
    </row>
    <row r="66">
      <c r="A66" s="76">
        <v>62.0</v>
      </c>
      <c r="B66" s="13" t="s">
        <v>2686</v>
      </c>
      <c r="C66" s="13">
        <v>12102.0</v>
      </c>
      <c r="D66" s="13" t="s">
        <v>113</v>
      </c>
      <c r="E66" s="27"/>
      <c r="F66" s="25"/>
      <c r="G66" s="28">
        <v>7294.0</v>
      </c>
      <c r="H66" s="95"/>
      <c r="I66" s="88"/>
      <c r="J66" s="68"/>
      <c r="K66" s="96"/>
      <c r="L66" s="21">
        <v>7294.0</v>
      </c>
      <c r="M66" s="22">
        <f t="shared" si="1"/>
        <v>0</v>
      </c>
    </row>
    <row r="67">
      <c r="A67" s="103"/>
      <c r="B67" s="12"/>
      <c r="C67" s="12"/>
      <c r="D67" s="104"/>
      <c r="E67" s="32">
        <f t="shared" ref="E67:L67" si="2">SUM(E5:E66)</f>
        <v>30430</v>
      </c>
      <c r="F67" s="32">
        <f t="shared" si="2"/>
        <v>414150</v>
      </c>
      <c r="G67" s="32">
        <f t="shared" si="2"/>
        <v>44294</v>
      </c>
      <c r="H67" s="32">
        <f t="shared" si="2"/>
        <v>233882</v>
      </c>
      <c r="I67" s="32">
        <f t="shared" si="2"/>
        <v>50130</v>
      </c>
      <c r="J67" s="32">
        <f t="shared" si="2"/>
        <v>34000</v>
      </c>
      <c r="K67" s="32">
        <f t="shared" si="2"/>
        <v>0</v>
      </c>
      <c r="L67" s="98">
        <f t="shared" si="2"/>
        <v>806886</v>
      </c>
      <c r="M67" s="99">
        <f t="shared" si="1"/>
        <v>0</v>
      </c>
    </row>
    <row r="68">
      <c r="A68" s="105"/>
      <c r="B68" s="106"/>
      <c r="C68" s="106"/>
      <c r="D68" s="107"/>
      <c r="E68" s="34">
        <f>E67+F67+G67+H67+I67+J67+K67</f>
        <v>806886</v>
      </c>
      <c r="F68" s="6"/>
      <c r="G68" s="6"/>
      <c r="H68" s="6"/>
      <c r="I68" s="6"/>
      <c r="J68" s="6"/>
      <c r="K68" s="7"/>
      <c r="L68" s="108"/>
      <c r="M68" s="33"/>
    </row>
    <row r="69">
      <c r="B69" s="64"/>
      <c r="C69" s="64"/>
      <c r="D69" s="75"/>
    </row>
    <row r="70">
      <c r="B70" s="64"/>
      <c r="C70" s="64"/>
      <c r="D70" s="75"/>
    </row>
    <row r="71">
      <c r="B71" s="64"/>
      <c r="C71" s="64"/>
      <c r="D71" s="75"/>
    </row>
    <row r="72">
      <c r="B72" s="64"/>
      <c r="C72" s="64"/>
      <c r="D72" s="75"/>
      <c r="H72" s="55" t="s">
        <v>588</v>
      </c>
    </row>
    <row r="73">
      <c r="B73" s="64"/>
      <c r="C73" s="64"/>
      <c r="D73" s="75"/>
    </row>
    <row r="74">
      <c r="B74" s="64"/>
      <c r="C74" s="64"/>
      <c r="D74" s="75"/>
      <c r="F74" s="55" t="s">
        <v>2412</v>
      </c>
      <c r="H74" s="55" t="s">
        <v>485</v>
      </c>
    </row>
    <row r="75">
      <c r="B75" s="64"/>
      <c r="C75" s="64"/>
      <c r="D75" s="75"/>
    </row>
    <row r="76">
      <c r="B76" s="64"/>
      <c r="C76" s="64"/>
      <c r="D76" s="75"/>
    </row>
    <row r="77">
      <c r="B77" s="64"/>
      <c r="C77" s="64"/>
      <c r="D77" s="75"/>
    </row>
    <row r="78">
      <c r="B78" s="64"/>
      <c r="C78" s="64"/>
      <c r="D78" s="75"/>
    </row>
    <row r="79">
      <c r="B79" s="64"/>
      <c r="C79" s="64"/>
      <c r="D79" s="75"/>
    </row>
    <row r="80">
      <c r="B80" s="64"/>
      <c r="C80" s="64"/>
      <c r="D80" s="75"/>
    </row>
    <row r="81">
      <c r="B81" s="64"/>
      <c r="C81" s="64"/>
      <c r="D81" s="75"/>
    </row>
    <row r="82">
      <c r="B82" s="64"/>
      <c r="C82" s="64"/>
      <c r="D82" s="75"/>
    </row>
    <row r="83">
      <c r="B83" s="64"/>
      <c r="C83" s="64"/>
      <c r="D83" s="75"/>
    </row>
    <row r="84">
      <c r="B84" s="64"/>
      <c r="C84" s="64"/>
      <c r="D84" s="75"/>
    </row>
    <row r="85">
      <c r="B85" s="64"/>
      <c r="C85" s="64"/>
      <c r="D85" s="75"/>
    </row>
    <row r="86">
      <c r="B86" s="64"/>
      <c r="C86" s="64"/>
      <c r="D86" s="75"/>
    </row>
    <row r="87">
      <c r="B87" s="64"/>
      <c r="C87" s="64"/>
      <c r="D87" s="75"/>
    </row>
    <row r="88">
      <c r="B88" s="64"/>
      <c r="C88" s="64"/>
      <c r="D88" s="75"/>
    </row>
    <row r="89">
      <c r="B89" s="64"/>
      <c r="C89" s="64"/>
      <c r="D89" s="75"/>
    </row>
    <row r="90">
      <c r="B90" s="64"/>
      <c r="C90" s="64"/>
      <c r="D90" s="75"/>
    </row>
    <row r="91">
      <c r="B91" s="64"/>
      <c r="C91" s="64"/>
      <c r="D91" s="75"/>
    </row>
    <row r="92">
      <c r="B92" s="64"/>
      <c r="C92" s="64"/>
      <c r="D92" s="75"/>
    </row>
    <row r="93">
      <c r="B93" s="64"/>
      <c r="C93" s="64"/>
      <c r="D93" s="75"/>
    </row>
    <row r="94">
      <c r="B94" s="64"/>
      <c r="C94" s="64"/>
      <c r="D94" s="75"/>
    </row>
    <row r="95">
      <c r="B95" s="64"/>
      <c r="C95" s="64"/>
      <c r="D95" s="75"/>
    </row>
    <row r="96">
      <c r="B96" s="64"/>
      <c r="C96" s="64"/>
      <c r="D96" s="75"/>
    </row>
    <row r="97">
      <c r="B97" s="64"/>
      <c r="C97" s="64"/>
      <c r="D97" s="75"/>
    </row>
    <row r="98">
      <c r="B98" s="64"/>
      <c r="C98" s="64"/>
      <c r="D98" s="75"/>
    </row>
    <row r="99">
      <c r="B99" s="64"/>
      <c r="C99" s="64"/>
      <c r="D99" s="75"/>
    </row>
    <row r="100">
      <c r="B100" s="64"/>
      <c r="C100" s="64"/>
      <c r="D100" s="75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</row>
    <row r="105">
      <c r="B105" s="64"/>
      <c r="C105" s="64"/>
      <c r="D105" s="75"/>
    </row>
    <row r="106">
      <c r="B106" s="64"/>
      <c r="C106" s="64"/>
      <c r="D106" s="75"/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</sheetData>
  <mergeCells count="14">
    <mergeCell ref="F3:G3"/>
    <mergeCell ref="H3:I3"/>
    <mergeCell ref="J3:J4"/>
    <mergeCell ref="K3:K4"/>
    <mergeCell ref="E68:K6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9.75"/>
    <col customWidth="1" min="3" max="3" width="10.5"/>
    <col customWidth="1" min="4" max="4" width="45.88"/>
    <col customWidth="1" min="5" max="5" width="9.5"/>
  </cols>
  <sheetData>
    <row r="1">
      <c r="A1" s="101" t="s">
        <v>2687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37" t="s">
        <v>2688</v>
      </c>
      <c r="C5" s="37">
        <v>50148.0</v>
      </c>
      <c r="D5" s="37" t="s">
        <v>355</v>
      </c>
      <c r="E5" s="27"/>
      <c r="F5" s="25"/>
      <c r="G5" s="16"/>
      <c r="H5" s="95"/>
      <c r="I5" s="88"/>
      <c r="J5" s="68"/>
      <c r="K5" s="88">
        <v>10000.0</v>
      </c>
      <c r="L5" s="45">
        <v>10000.0</v>
      </c>
      <c r="M5" s="22">
        <f t="shared" ref="M5:M99" si="1">SUM(E5+F5+G5+H5+I5+J5+K5-L5)</f>
        <v>0</v>
      </c>
    </row>
    <row r="6">
      <c r="A6" s="76">
        <v>2.0</v>
      </c>
      <c r="B6" s="37" t="s">
        <v>2689</v>
      </c>
      <c r="C6" s="37">
        <v>54111.0</v>
      </c>
      <c r="D6" s="37" t="s">
        <v>2690</v>
      </c>
      <c r="E6" s="27"/>
      <c r="F6" s="25"/>
      <c r="G6" s="16"/>
      <c r="H6" s="95">
        <v>2500.0</v>
      </c>
      <c r="I6" s="88"/>
      <c r="J6" s="70"/>
      <c r="K6" s="96"/>
      <c r="L6" s="45">
        <v>2500.0</v>
      </c>
      <c r="M6" s="22">
        <f t="shared" si="1"/>
        <v>0</v>
      </c>
      <c r="O6" s="55" t="s">
        <v>485</v>
      </c>
    </row>
    <row r="7">
      <c r="A7" s="76">
        <v>3.0</v>
      </c>
      <c r="B7" s="37" t="s">
        <v>2691</v>
      </c>
      <c r="C7" s="37">
        <v>50871.0</v>
      </c>
      <c r="D7" s="37" t="s">
        <v>48</v>
      </c>
      <c r="E7" s="27"/>
      <c r="F7" s="25"/>
      <c r="G7" s="16"/>
      <c r="H7" s="95">
        <v>41400.0</v>
      </c>
      <c r="I7" s="88"/>
      <c r="J7" s="68"/>
      <c r="K7" s="96"/>
      <c r="L7" s="45">
        <v>41400.0</v>
      </c>
      <c r="M7" s="22">
        <f t="shared" si="1"/>
        <v>0</v>
      </c>
    </row>
    <row r="8">
      <c r="A8" s="76">
        <v>4.0</v>
      </c>
      <c r="B8" s="37" t="s">
        <v>2692</v>
      </c>
      <c r="C8" s="37">
        <v>45937.0</v>
      </c>
      <c r="D8" s="37" t="s">
        <v>885</v>
      </c>
      <c r="E8" s="29"/>
      <c r="F8" s="25"/>
      <c r="G8" s="16"/>
      <c r="H8" s="95">
        <v>700.0</v>
      </c>
      <c r="I8" s="88"/>
      <c r="J8" s="70"/>
      <c r="K8" s="96"/>
      <c r="L8" s="45">
        <v>700.0</v>
      </c>
      <c r="M8" s="22">
        <f t="shared" si="1"/>
        <v>0</v>
      </c>
    </row>
    <row r="9">
      <c r="A9" s="76">
        <v>5.0</v>
      </c>
      <c r="B9" s="37" t="s">
        <v>2693</v>
      </c>
      <c r="C9" s="37">
        <v>10250.0</v>
      </c>
      <c r="D9" s="37" t="s">
        <v>115</v>
      </c>
      <c r="E9" s="27"/>
      <c r="F9" s="25"/>
      <c r="G9" s="16"/>
      <c r="H9" s="95"/>
      <c r="I9" s="88">
        <v>5350.0</v>
      </c>
      <c r="J9" s="70"/>
      <c r="K9" s="96"/>
      <c r="L9" s="45">
        <v>5350.0</v>
      </c>
      <c r="M9" s="22">
        <f t="shared" si="1"/>
        <v>0</v>
      </c>
    </row>
    <row r="10">
      <c r="A10" s="76">
        <v>6.0</v>
      </c>
      <c r="B10" s="37" t="s">
        <v>2694</v>
      </c>
      <c r="C10" s="37">
        <v>13781.0</v>
      </c>
      <c r="D10" s="37" t="s">
        <v>213</v>
      </c>
      <c r="E10" s="27"/>
      <c r="F10" s="25"/>
      <c r="G10" s="16"/>
      <c r="H10" s="95">
        <v>25000.0</v>
      </c>
      <c r="I10" s="88"/>
      <c r="J10" s="68"/>
      <c r="K10" s="96"/>
      <c r="L10" s="45">
        <v>25000.0</v>
      </c>
      <c r="M10" s="22">
        <f t="shared" si="1"/>
        <v>0</v>
      </c>
    </row>
    <row r="11">
      <c r="A11" s="76">
        <v>7.0</v>
      </c>
      <c r="B11" s="37" t="s">
        <v>2695</v>
      </c>
      <c r="C11" s="37">
        <v>49545.0</v>
      </c>
      <c r="D11" s="37" t="s">
        <v>442</v>
      </c>
      <c r="E11" s="29"/>
      <c r="F11" s="25"/>
      <c r="G11" s="16"/>
      <c r="H11" s="95"/>
      <c r="I11" s="88">
        <v>5150.0</v>
      </c>
      <c r="J11" s="70"/>
      <c r="K11" s="96"/>
      <c r="L11" s="45">
        <v>5150.0</v>
      </c>
      <c r="M11" s="22">
        <f t="shared" si="1"/>
        <v>0</v>
      </c>
    </row>
    <row r="12">
      <c r="A12" s="76">
        <v>8.0</v>
      </c>
      <c r="B12" s="37" t="s">
        <v>2696</v>
      </c>
      <c r="C12" s="37">
        <v>42137.0</v>
      </c>
      <c r="D12" s="37" t="s">
        <v>2697</v>
      </c>
      <c r="E12" s="29"/>
      <c r="F12" s="25"/>
      <c r="G12" s="16"/>
      <c r="H12" s="95"/>
      <c r="I12" s="88">
        <v>5000.0</v>
      </c>
      <c r="J12" s="68"/>
      <c r="K12" s="96"/>
      <c r="L12" s="45">
        <v>5000.0</v>
      </c>
      <c r="M12" s="22">
        <f t="shared" si="1"/>
        <v>0</v>
      </c>
    </row>
    <row r="13">
      <c r="A13" s="76">
        <v>9.0</v>
      </c>
      <c r="B13" s="37" t="s">
        <v>2698</v>
      </c>
      <c r="C13" s="37">
        <v>42137.0</v>
      </c>
      <c r="D13" s="37" t="s">
        <v>2697</v>
      </c>
      <c r="E13" s="29"/>
      <c r="F13" s="25"/>
      <c r="G13" s="16"/>
      <c r="H13" s="95"/>
      <c r="I13" s="88">
        <v>5000.0</v>
      </c>
      <c r="J13" s="68"/>
      <c r="K13" s="96"/>
      <c r="L13" s="45">
        <v>5000.0</v>
      </c>
      <c r="M13" s="22">
        <f t="shared" si="1"/>
        <v>0</v>
      </c>
    </row>
    <row r="14">
      <c r="A14" s="76">
        <v>10.0</v>
      </c>
      <c r="B14" s="37" t="s">
        <v>2699</v>
      </c>
      <c r="C14" s="37">
        <v>10320.0</v>
      </c>
      <c r="D14" s="37" t="s">
        <v>84</v>
      </c>
      <c r="E14" s="27"/>
      <c r="F14" s="25"/>
      <c r="G14" s="16"/>
      <c r="H14" s="95">
        <v>1750.0</v>
      </c>
      <c r="I14" s="88"/>
      <c r="J14" s="70"/>
      <c r="K14" s="96"/>
      <c r="L14" s="45">
        <v>1750.0</v>
      </c>
      <c r="M14" s="22">
        <f t="shared" si="1"/>
        <v>0</v>
      </c>
    </row>
    <row r="15">
      <c r="A15" s="76">
        <v>11.0</v>
      </c>
      <c r="B15" s="37" t="s">
        <v>2700</v>
      </c>
      <c r="C15" s="37">
        <v>49909.0</v>
      </c>
      <c r="D15" s="37" t="s">
        <v>2347</v>
      </c>
      <c r="E15" s="27"/>
      <c r="F15" s="25"/>
      <c r="G15" s="16"/>
      <c r="H15" s="95">
        <v>7500.0</v>
      </c>
      <c r="I15" s="88"/>
      <c r="J15" s="70"/>
      <c r="K15" s="96"/>
      <c r="L15" s="45">
        <v>7500.0</v>
      </c>
      <c r="M15" s="22">
        <f t="shared" si="1"/>
        <v>0</v>
      </c>
    </row>
    <row r="16">
      <c r="A16" s="76">
        <v>12.0</v>
      </c>
      <c r="B16" s="37" t="s">
        <v>2701</v>
      </c>
      <c r="C16" s="37">
        <v>29992.0</v>
      </c>
      <c r="D16" s="37" t="s">
        <v>2702</v>
      </c>
      <c r="E16" s="29"/>
      <c r="F16" s="25"/>
      <c r="G16" s="16"/>
      <c r="H16" s="95"/>
      <c r="I16" s="88">
        <v>3600.0</v>
      </c>
      <c r="J16" s="70"/>
      <c r="K16" s="96"/>
      <c r="L16" s="45">
        <v>3600.0</v>
      </c>
      <c r="M16" s="22">
        <f t="shared" si="1"/>
        <v>0</v>
      </c>
    </row>
    <row r="17">
      <c r="A17" s="76">
        <v>13.0</v>
      </c>
      <c r="B17" s="37" t="s">
        <v>2703</v>
      </c>
      <c r="C17" s="37">
        <v>29041.0</v>
      </c>
      <c r="D17" s="37" t="s">
        <v>1032</v>
      </c>
      <c r="E17" s="27"/>
      <c r="F17" s="25"/>
      <c r="G17" s="16"/>
      <c r="H17" s="95"/>
      <c r="I17" s="88">
        <v>3600.0</v>
      </c>
      <c r="J17" s="68"/>
      <c r="K17" s="96"/>
      <c r="L17" s="45">
        <v>3600.0</v>
      </c>
      <c r="M17" s="22">
        <f t="shared" si="1"/>
        <v>0</v>
      </c>
    </row>
    <row r="18">
      <c r="A18" s="76">
        <v>14.0</v>
      </c>
      <c r="B18" s="37" t="s">
        <v>2704</v>
      </c>
      <c r="C18" s="37">
        <v>44149.0</v>
      </c>
      <c r="D18" s="37" t="s">
        <v>44</v>
      </c>
      <c r="E18" s="27"/>
      <c r="F18" s="25"/>
      <c r="G18" s="16"/>
      <c r="H18" s="95">
        <v>453.0</v>
      </c>
      <c r="I18" s="88"/>
      <c r="J18" s="70"/>
      <c r="K18" s="96"/>
      <c r="L18" s="45">
        <v>453.0</v>
      </c>
      <c r="M18" s="22">
        <f t="shared" si="1"/>
        <v>0</v>
      </c>
    </row>
    <row r="19">
      <c r="A19" s="76">
        <v>15.0</v>
      </c>
      <c r="B19" s="37" t="s">
        <v>2705</v>
      </c>
      <c r="C19" s="37">
        <v>55435.0</v>
      </c>
      <c r="D19" s="37" t="s">
        <v>2706</v>
      </c>
      <c r="E19" s="27"/>
      <c r="F19" s="25"/>
      <c r="G19" s="16"/>
      <c r="H19" s="95"/>
      <c r="I19" s="88">
        <v>3600.0</v>
      </c>
      <c r="J19" s="70"/>
      <c r="K19" s="96"/>
      <c r="L19" s="45">
        <v>3600.0</v>
      </c>
      <c r="M19" s="22">
        <f t="shared" si="1"/>
        <v>0</v>
      </c>
    </row>
    <row r="20">
      <c r="A20" s="76">
        <v>16.0</v>
      </c>
      <c r="B20" s="37" t="s">
        <v>2707</v>
      </c>
      <c r="C20" s="37">
        <v>47179.0</v>
      </c>
      <c r="D20" s="37" t="s">
        <v>447</v>
      </c>
      <c r="E20" s="29"/>
      <c r="F20" s="25"/>
      <c r="G20" s="16"/>
      <c r="H20" s="95">
        <v>350.0</v>
      </c>
      <c r="I20" s="88"/>
      <c r="J20" s="68"/>
      <c r="K20" s="96"/>
      <c r="L20" s="45">
        <v>350.0</v>
      </c>
      <c r="M20" s="22">
        <f t="shared" si="1"/>
        <v>0</v>
      </c>
    </row>
    <row r="21">
      <c r="A21" s="76">
        <v>17.0</v>
      </c>
      <c r="B21" s="37" t="s">
        <v>2708</v>
      </c>
      <c r="C21" s="37">
        <v>52647.0</v>
      </c>
      <c r="D21" s="37" t="s">
        <v>468</v>
      </c>
      <c r="E21" s="27"/>
      <c r="F21" s="25"/>
      <c r="G21" s="16"/>
      <c r="H21" s="95">
        <v>10000.0</v>
      </c>
      <c r="I21" s="88"/>
      <c r="J21" s="68"/>
      <c r="K21" s="96"/>
      <c r="L21" s="45">
        <v>10000.0</v>
      </c>
      <c r="M21" s="22">
        <f t="shared" si="1"/>
        <v>0</v>
      </c>
    </row>
    <row r="22">
      <c r="A22" s="76">
        <v>18.0</v>
      </c>
      <c r="B22" s="37" t="s">
        <v>2709</v>
      </c>
      <c r="C22" s="37">
        <v>22341.0</v>
      </c>
      <c r="D22" s="37" t="s">
        <v>1939</v>
      </c>
      <c r="E22" s="29"/>
      <c r="F22" s="25"/>
      <c r="G22" s="16"/>
      <c r="H22" s="95">
        <v>450.0</v>
      </c>
      <c r="I22" s="88"/>
      <c r="J22" s="68"/>
      <c r="K22" s="96"/>
      <c r="L22" s="45">
        <v>450.0</v>
      </c>
      <c r="M22" s="22">
        <f t="shared" si="1"/>
        <v>0</v>
      </c>
    </row>
    <row r="23">
      <c r="A23" s="76">
        <v>19.0</v>
      </c>
      <c r="B23" s="37" t="s">
        <v>2710</v>
      </c>
      <c r="C23" s="37">
        <v>21821.0</v>
      </c>
      <c r="D23" s="37" t="s">
        <v>959</v>
      </c>
      <c r="E23" s="29"/>
      <c r="F23" s="25"/>
      <c r="G23" s="16"/>
      <c r="H23" s="95"/>
      <c r="I23" s="88"/>
      <c r="J23" s="70">
        <v>350.0</v>
      </c>
      <c r="K23" s="96"/>
      <c r="L23" s="45">
        <v>350.0</v>
      </c>
      <c r="M23" s="22">
        <f t="shared" si="1"/>
        <v>0</v>
      </c>
    </row>
    <row r="24">
      <c r="A24" s="76">
        <v>20.0</v>
      </c>
      <c r="B24" s="37" t="s">
        <v>2711</v>
      </c>
      <c r="C24" s="37">
        <v>30933.0</v>
      </c>
      <c r="D24" s="37" t="s">
        <v>455</v>
      </c>
      <c r="E24" s="29"/>
      <c r="F24" s="25"/>
      <c r="G24" s="16"/>
      <c r="H24" s="95">
        <v>25000.0</v>
      </c>
      <c r="I24" s="88"/>
      <c r="J24" s="68"/>
      <c r="K24" s="96"/>
      <c r="L24" s="45">
        <v>25000.0</v>
      </c>
      <c r="M24" s="22">
        <f t="shared" si="1"/>
        <v>0</v>
      </c>
    </row>
    <row r="25">
      <c r="A25" s="76">
        <v>21.0</v>
      </c>
      <c r="B25" s="37" t="s">
        <v>2712</v>
      </c>
      <c r="C25" s="37">
        <v>36555.0</v>
      </c>
      <c r="D25" s="37" t="s">
        <v>389</v>
      </c>
      <c r="E25" s="27"/>
      <c r="F25" s="25"/>
      <c r="G25" s="16"/>
      <c r="H25" s="95">
        <v>20200.0</v>
      </c>
      <c r="I25" s="88"/>
      <c r="J25" s="70"/>
      <c r="K25" s="96"/>
      <c r="L25" s="45">
        <v>20200.0</v>
      </c>
      <c r="M25" s="22">
        <f t="shared" si="1"/>
        <v>0</v>
      </c>
    </row>
    <row r="26">
      <c r="A26" s="76">
        <v>22.0</v>
      </c>
      <c r="B26" s="37" t="s">
        <v>2713</v>
      </c>
      <c r="C26" s="37">
        <v>38592.0</v>
      </c>
      <c r="D26" s="37" t="s">
        <v>2714</v>
      </c>
      <c r="E26" s="27"/>
      <c r="F26" s="25"/>
      <c r="G26" s="16"/>
      <c r="H26" s="95">
        <v>3750.0</v>
      </c>
      <c r="I26" s="88"/>
      <c r="J26" s="70"/>
      <c r="K26" s="96"/>
      <c r="L26" s="45">
        <v>3750.0</v>
      </c>
      <c r="M26" s="22">
        <f t="shared" si="1"/>
        <v>0</v>
      </c>
    </row>
    <row r="27">
      <c r="A27" s="76">
        <v>23.0</v>
      </c>
      <c r="B27" s="37" t="s">
        <v>2715</v>
      </c>
      <c r="C27" s="37">
        <v>50184.0</v>
      </c>
      <c r="D27" s="37" t="s">
        <v>506</v>
      </c>
      <c r="E27" s="27"/>
      <c r="F27" s="25"/>
      <c r="G27" s="16"/>
      <c r="H27" s="95">
        <v>453.0</v>
      </c>
      <c r="I27" s="88"/>
      <c r="J27" s="68"/>
      <c r="K27" s="96"/>
      <c r="L27" s="45">
        <v>453.0</v>
      </c>
      <c r="M27" s="22">
        <f t="shared" si="1"/>
        <v>0</v>
      </c>
    </row>
    <row r="28">
      <c r="A28" s="76">
        <v>24.0</v>
      </c>
      <c r="B28" s="37" t="s">
        <v>2716</v>
      </c>
      <c r="C28" s="37">
        <v>57845.0</v>
      </c>
      <c r="D28" s="37" t="s">
        <v>2717</v>
      </c>
      <c r="E28" s="27"/>
      <c r="F28" s="25"/>
      <c r="G28" s="16"/>
      <c r="H28" s="95">
        <v>3600.0</v>
      </c>
      <c r="I28" s="88"/>
      <c r="J28" s="68"/>
      <c r="K28" s="96"/>
      <c r="L28" s="45">
        <v>3600.0</v>
      </c>
      <c r="M28" s="22">
        <f t="shared" si="1"/>
        <v>0</v>
      </c>
    </row>
    <row r="29">
      <c r="A29" s="76">
        <v>25.0</v>
      </c>
      <c r="B29" s="37" t="s">
        <v>2718</v>
      </c>
      <c r="C29" s="37">
        <v>57937.0</v>
      </c>
      <c r="D29" s="37" t="s">
        <v>38</v>
      </c>
      <c r="E29" s="27"/>
      <c r="F29" s="25"/>
      <c r="G29" s="16"/>
      <c r="H29" s="95">
        <v>3600.0</v>
      </c>
      <c r="I29" s="88"/>
      <c r="J29" s="70"/>
      <c r="K29" s="96"/>
      <c r="L29" s="45">
        <v>3600.0</v>
      </c>
      <c r="M29" s="22">
        <f t="shared" si="1"/>
        <v>0</v>
      </c>
    </row>
    <row r="30">
      <c r="A30" s="76">
        <v>26.0</v>
      </c>
      <c r="B30" s="37" t="s">
        <v>2719</v>
      </c>
      <c r="C30" s="37">
        <v>21818.0</v>
      </c>
      <c r="D30" s="37" t="s">
        <v>82</v>
      </c>
      <c r="E30" s="27"/>
      <c r="F30" s="25"/>
      <c r="G30" s="16"/>
      <c r="H30" s="95">
        <v>400.0</v>
      </c>
      <c r="I30" s="88"/>
      <c r="J30" s="68"/>
      <c r="K30" s="96"/>
      <c r="L30" s="45">
        <v>400.0</v>
      </c>
      <c r="M30" s="22">
        <f t="shared" si="1"/>
        <v>0</v>
      </c>
    </row>
    <row r="31">
      <c r="A31" s="76">
        <v>27.0</v>
      </c>
      <c r="B31" s="37" t="s">
        <v>2720</v>
      </c>
      <c r="C31" s="37">
        <v>16726.0</v>
      </c>
      <c r="D31" s="37" t="s">
        <v>2721</v>
      </c>
      <c r="E31" s="27"/>
      <c r="F31" s="25"/>
      <c r="G31" s="16"/>
      <c r="H31" s="95">
        <v>5200.0</v>
      </c>
      <c r="I31" s="88"/>
      <c r="J31" s="68"/>
      <c r="K31" s="96"/>
      <c r="L31" s="45">
        <v>5200.0</v>
      </c>
      <c r="M31" s="22">
        <f t="shared" si="1"/>
        <v>0</v>
      </c>
    </row>
    <row r="32">
      <c r="A32" s="76">
        <v>28.0</v>
      </c>
      <c r="B32" s="37" t="s">
        <v>2722</v>
      </c>
      <c r="C32" s="37">
        <v>16726.0</v>
      </c>
      <c r="D32" s="37" t="s">
        <v>2721</v>
      </c>
      <c r="E32" s="27"/>
      <c r="F32" s="25"/>
      <c r="G32" s="16"/>
      <c r="H32" s="95">
        <v>5000.0</v>
      </c>
      <c r="I32" s="88"/>
      <c r="J32" s="70"/>
      <c r="K32" s="96"/>
      <c r="L32" s="45">
        <v>5000.0</v>
      </c>
      <c r="M32" s="22">
        <f t="shared" si="1"/>
        <v>0</v>
      </c>
    </row>
    <row r="33">
      <c r="A33" s="76">
        <v>29.0</v>
      </c>
      <c r="B33" s="37" t="s">
        <v>2723</v>
      </c>
      <c r="C33" s="37">
        <v>50595.0</v>
      </c>
      <c r="D33" s="37" t="s">
        <v>305</v>
      </c>
      <c r="E33" s="29"/>
      <c r="F33" s="25"/>
      <c r="G33" s="16"/>
      <c r="H33" s="95">
        <v>20000.0</v>
      </c>
      <c r="I33" s="88"/>
      <c r="J33" s="68"/>
      <c r="K33" s="96"/>
      <c r="L33" s="45">
        <v>20000.0</v>
      </c>
      <c r="M33" s="22">
        <f t="shared" si="1"/>
        <v>0</v>
      </c>
    </row>
    <row r="34">
      <c r="A34" s="76">
        <v>30.0</v>
      </c>
      <c r="B34" s="37" t="s">
        <v>2724</v>
      </c>
      <c r="C34" s="37">
        <v>57063.0</v>
      </c>
      <c r="D34" s="37" t="s">
        <v>2633</v>
      </c>
      <c r="E34" s="27"/>
      <c r="F34" s="25"/>
      <c r="G34" s="16"/>
      <c r="H34" s="95">
        <v>1350.0</v>
      </c>
      <c r="I34" s="88"/>
      <c r="J34" s="68"/>
      <c r="K34" s="96"/>
      <c r="L34" s="45">
        <v>1350.0</v>
      </c>
      <c r="M34" s="22">
        <f t="shared" si="1"/>
        <v>0</v>
      </c>
    </row>
    <row r="35">
      <c r="A35" s="76">
        <v>31.0</v>
      </c>
      <c r="B35" s="37" t="s">
        <v>2725</v>
      </c>
      <c r="C35" s="37">
        <v>39588.0</v>
      </c>
      <c r="D35" s="37" t="s">
        <v>188</v>
      </c>
      <c r="E35" s="29"/>
      <c r="F35" s="25"/>
      <c r="G35" s="16"/>
      <c r="H35" s="95">
        <v>4500.0</v>
      </c>
      <c r="I35" s="88"/>
      <c r="J35" s="70"/>
      <c r="K35" s="96"/>
      <c r="L35" s="45">
        <v>4500.0</v>
      </c>
      <c r="M35" s="22">
        <f t="shared" si="1"/>
        <v>0</v>
      </c>
    </row>
    <row r="36">
      <c r="A36" s="76">
        <v>32.0</v>
      </c>
      <c r="B36" s="37" t="s">
        <v>2726</v>
      </c>
      <c r="C36" s="37">
        <v>48052.0</v>
      </c>
      <c r="D36" s="37" t="s">
        <v>309</v>
      </c>
      <c r="E36" s="27"/>
      <c r="F36" s="25"/>
      <c r="G36" s="16"/>
      <c r="H36" s="95">
        <v>2500.0</v>
      </c>
      <c r="I36" s="88"/>
      <c r="J36" s="70"/>
      <c r="K36" s="96"/>
      <c r="L36" s="45">
        <v>2500.0</v>
      </c>
      <c r="M36" s="22">
        <f t="shared" si="1"/>
        <v>0</v>
      </c>
    </row>
    <row r="37">
      <c r="A37" s="76">
        <v>33.0</v>
      </c>
      <c r="B37" s="37" t="s">
        <v>2727</v>
      </c>
      <c r="C37" s="37">
        <v>48329.0</v>
      </c>
      <c r="D37" s="37" t="s">
        <v>2728</v>
      </c>
      <c r="E37" s="29"/>
      <c r="F37" s="25"/>
      <c r="G37" s="16"/>
      <c r="H37" s="95">
        <v>3950.0</v>
      </c>
      <c r="I37" s="88"/>
      <c r="J37" s="68"/>
      <c r="K37" s="96"/>
      <c r="L37" s="45">
        <v>3950.0</v>
      </c>
      <c r="M37" s="22">
        <f t="shared" si="1"/>
        <v>0</v>
      </c>
    </row>
    <row r="38">
      <c r="A38" s="76">
        <v>34.0</v>
      </c>
      <c r="B38" s="37" t="s">
        <v>2729</v>
      </c>
      <c r="C38" s="37">
        <v>51406.0</v>
      </c>
      <c r="D38" s="37" t="s">
        <v>128</v>
      </c>
      <c r="E38" s="29"/>
      <c r="F38" s="25"/>
      <c r="G38" s="16"/>
      <c r="H38" s="95"/>
      <c r="I38" s="88">
        <v>15000.0</v>
      </c>
      <c r="J38" s="70"/>
      <c r="K38" s="96"/>
      <c r="L38" s="45">
        <v>15000.0</v>
      </c>
      <c r="M38" s="22">
        <f t="shared" si="1"/>
        <v>0</v>
      </c>
    </row>
    <row r="39">
      <c r="A39" s="76">
        <v>35.0</v>
      </c>
      <c r="B39" s="37" t="s">
        <v>2730</v>
      </c>
      <c r="C39" s="37">
        <v>10008.0</v>
      </c>
      <c r="D39" s="37" t="s">
        <v>52</v>
      </c>
      <c r="E39" s="27"/>
      <c r="F39" s="25"/>
      <c r="G39" s="16"/>
      <c r="H39" s="95">
        <v>1450.0</v>
      </c>
      <c r="I39" s="88"/>
      <c r="J39" s="68"/>
      <c r="K39" s="96"/>
      <c r="L39" s="45">
        <v>1450.0</v>
      </c>
      <c r="M39" s="22">
        <f t="shared" si="1"/>
        <v>0</v>
      </c>
    </row>
    <row r="40">
      <c r="A40" s="76">
        <v>36.0</v>
      </c>
      <c r="B40" s="37" t="s">
        <v>2731</v>
      </c>
      <c r="C40" s="37">
        <v>10006.0</v>
      </c>
      <c r="D40" s="37" t="s">
        <v>80</v>
      </c>
      <c r="E40" s="27"/>
      <c r="F40" s="25"/>
      <c r="G40" s="16"/>
      <c r="H40" s="95">
        <v>111000.0</v>
      </c>
      <c r="I40" s="88"/>
      <c r="J40" s="68"/>
      <c r="K40" s="96"/>
      <c r="L40" s="45">
        <v>111000.0</v>
      </c>
      <c r="M40" s="22">
        <f t="shared" si="1"/>
        <v>0</v>
      </c>
    </row>
    <row r="41">
      <c r="A41" s="76">
        <v>37.0</v>
      </c>
      <c r="B41" s="37" t="s">
        <v>2732</v>
      </c>
      <c r="C41" s="37">
        <v>48657.0</v>
      </c>
      <c r="D41" s="37" t="s">
        <v>236</v>
      </c>
      <c r="E41" s="27"/>
      <c r="F41" s="25"/>
      <c r="G41" s="16"/>
      <c r="H41" s="95">
        <v>2500.0</v>
      </c>
      <c r="I41" s="88"/>
      <c r="J41" s="68"/>
      <c r="K41" s="96"/>
      <c r="L41" s="45">
        <v>2500.0</v>
      </c>
      <c r="M41" s="22">
        <f t="shared" si="1"/>
        <v>0</v>
      </c>
    </row>
    <row r="42">
      <c r="A42" s="76">
        <v>38.0</v>
      </c>
      <c r="B42" s="37" t="s">
        <v>2733</v>
      </c>
      <c r="C42" s="37">
        <v>21384.0</v>
      </c>
      <c r="D42" s="37" t="s">
        <v>151</v>
      </c>
      <c r="E42" s="27"/>
      <c r="F42" s="25"/>
      <c r="G42" s="16"/>
      <c r="H42" s="95">
        <v>350.0</v>
      </c>
      <c r="I42" s="97"/>
      <c r="J42" s="68"/>
      <c r="K42" s="96"/>
      <c r="L42" s="45">
        <v>350.0</v>
      </c>
      <c r="M42" s="22">
        <f t="shared" si="1"/>
        <v>0</v>
      </c>
    </row>
    <row r="43">
      <c r="A43" s="76">
        <v>39.0</v>
      </c>
      <c r="B43" s="37" t="s">
        <v>2734</v>
      </c>
      <c r="C43" s="37">
        <v>21818.0</v>
      </c>
      <c r="D43" s="37" t="s">
        <v>82</v>
      </c>
      <c r="E43" s="29"/>
      <c r="F43" s="25"/>
      <c r="G43" s="16"/>
      <c r="H43" s="95">
        <v>7500.0</v>
      </c>
      <c r="I43" s="88"/>
      <c r="J43" s="70"/>
      <c r="K43" s="96"/>
      <c r="L43" s="45">
        <v>7500.0</v>
      </c>
      <c r="M43" s="22">
        <f t="shared" si="1"/>
        <v>0</v>
      </c>
    </row>
    <row r="44">
      <c r="A44" s="76">
        <v>40.0</v>
      </c>
      <c r="B44" s="37" t="s">
        <v>2735</v>
      </c>
      <c r="C44" s="37">
        <v>22332.0</v>
      </c>
      <c r="D44" s="37" t="s">
        <v>78</v>
      </c>
      <c r="E44" s="27"/>
      <c r="F44" s="25"/>
      <c r="G44" s="16"/>
      <c r="H44" s="95">
        <v>9480.0</v>
      </c>
      <c r="I44" s="88"/>
      <c r="J44" s="68"/>
      <c r="K44" s="96"/>
      <c r="L44" s="45">
        <v>9480.0</v>
      </c>
      <c r="M44" s="22">
        <f t="shared" si="1"/>
        <v>0</v>
      </c>
    </row>
    <row r="45">
      <c r="A45" s="76">
        <v>41.0</v>
      </c>
      <c r="B45" s="37" t="s">
        <v>2736</v>
      </c>
      <c r="C45" s="37">
        <v>44810.0</v>
      </c>
      <c r="D45" s="37" t="s">
        <v>2737</v>
      </c>
      <c r="E45" s="27"/>
      <c r="F45" s="25"/>
      <c r="G45" s="16"/>
      <c r="H45" s="95"/>
      <c r="I45" s="88">
        <v>3600.0</v>
      </c>
      <c r="J45" s="68"/>
      <c r="K45" s="96"/>
      <c r="L45" s="45">
        <v>3600.0</v>
      </c>
      <c r="M45" s="22">
        <f t="shared" si="1"/>
        <v>0</v>
      </c>
    </row>
    <row r="46">
      <c r="A46" s="76">
        <v>42.0</v>
      </c>
      <c r="B46" s="37" t="s">
        <v>2738</v>
      </c>
      <c r="C46" s="37">
        <v>50871.0</v>
      </c>
      <c r="D46" s="37" t="s">
        <v>48</v>
      </c>
      <c r="E46" s="27"/>
      <c r="F46" s="25"/>
      <c r="G46" s="16"/>
      <c r="H46" s="95">
        <v>300.0</v>
      </c>
      <c r="I46" s="88"/>
      <c r="J46" s="68"/>
      <c r="K46" s="96"/>
      <c r="L46" s="45">
        <v>300.0</v>
      </c>
      <c r="M46" s="22">
        <f t="shared" si="1"/>
        <v>0</v>
      </c>
    </row>
    <row r="47">
      <c r="A47" s="76">
        <v>43.0</v>
      </c>
      <c r="B47" s="37" t="s">
        <v>2739</v>
      </c>
      <c r="C47" s="37">
        <v>45448.0</v>
      </c>
      <c r="D47" s="37" t="s">
        <v>2740</v>
      </c>
      <c r="E47" s="27"/>
      <c r="F47" s="25"/>
      <c r="G47" s="16"/>
      <c r="H47" s="95"/>
      <c r="I47" s="88">
        <v>1200.0</v>
      </c>
      <c r="J47" s="68"/>
      <c r="K47" s="96"/>
      <c r="L47" s="45">
        <v>1200.0</v>
      </c>
      <c r="M47" s="22">
        <f t="shared" si="1"/>
        <v>0</v>
      </c>
    </row>
    <row r="48">
      <c r="A48" s="76">
        <v>44.0</v>
      </c>
      <c r="B48" s="37" t="s">
        <v>2741</v>
      </c>
      <c r="C48" s="37">
        <v>40255.0</v>
      </c>
      <c r="D48" s="37" t="s">
        <v>2742</v>
      </c>
      <c r="E48" s="27"/>
      <c r="F48" s="25"/>
      <c r="G48" s="16"/>
      <c r="H48" s="95"/>
      <c r="I48" s="88">
        <v>450.0</v>
      </c>
      <c r="J48" s="68"/>
      <c r="K48" s="96"/>
      <c r="L48" s="45">
        <v>450.0</v>
      </c>
      <c r="M48" s="22">
        <f t="shared" si="1"/>
        <v>0</v>
      </c>
    </row>
    <row r="49">
      <c r="A49" s="76">
        <v>45.0</v>
      </c>
      <c r="B49" s="37" t="s">
        <v>2743</v>
      </c>
      <c r="C49" s="37">
        <v>35245.0</v>
      </c>
      <c r="D49" s="37" t="s">
        <v>330</v>
      </c>
      <c r="E49" s="27"/>
      <c r="F49" s="25"/>
      <c r="G49" s="16"/>
      <c r="H49" s="95">
        <v>453.0</v>
      </c>
      <c r="I49" s="88"/>
      <c r="J49" s="68"/>
      <c r="K49" s="96"/>
      <c r="L49" s="45">
        <v>453.0</v>
      </c>
      <c r="M49" s="22">
        <f t="shared" si="1"/>
        <v>0</v>
      </c>
    </row>
    <row r="50">
      <c r="A50" s="76">
        <v>46.0</v>
      </c>
      <c r="B50" s="37" t="s">
        <v>2744</v>
      </c>
      <c r="C50" s="37">
        <v>51797.0</v>
      </c>
      <c r="D50" s="37" t="s">
        <v>615</v>
      </c>
      <c r="E50" s="27"/>
      <c r="F50" s="25"/>
      <c r="G50" s="16"/>
      <c r="H50" s="95"/>
      <c r="I50" s="88">
        <v>5000.0</v>
      </c>
      <c r="J50" s="68"/>
      <c r="K50" s="96"/>
      <c r="L50" s="45">
        <v>5000.0</v>
      </c>
      <c r="M50" s="22">
        <f t="shared" si="1"/>
        <v>0</v>
      </c>
    </row>
    <row r="51">
      <c r="A51" s="76">
        <v>47.0</v>
      </c>
      <c r="B51" s="37" t="s">
        <v>2745</v>
      </c>
      <c r="C51" s="37">
        <v>51797.0</v>
      </c>
      <c r="D51" s="37" t="s">
        <v>615</v>
      </c>
      <c r="E51" s="27"/>
      <c r="F51" s="25"/>
      <c r="G51" s="16"/>
      <c r="H51" s="95"/>
      <c r="I51" s="88">
        <v>5000.0</v>
      </c>
      <c r="J51" s="68"/>
      <c r="K51" s="96"/>
      <c r="L51" s="45">
        <v>5000.0</v>
      </c>
      <c r="M51" s="22">
        <f t="shared" si="1"/>
        <v>0</v>
      </c>
    </row>
    <row r="52">
      <c r="A52" s="76">
        <v>48.0</v>
      </c>
      <c r="B52" s="37" t="s">
        <v>2746</v>
      </c>
      <c r="C52" s="37">
        <v>51697.0</v>
      </c>
      <c r="D52" s="37" t="s">
        <v>682</v>
      </c>
      <c r="E52" s="27"/>
      <c r="F52" s="25"/>
      <c r="G52" s="16"/>
      <c r="H52" s="95">
        <v>5000.0</v>
      </c>
      <c r="I52" s="88"/>
      <c r="J52" s="68"/>
      <c r="K52" s="96"/>
      <c r="L52" s="45">
        <v>5000.0</v>
      </c>
      <c r="M52" s="22">
        <f t="shared" si="1"/>
        <v>0</v>
      </c>
    </row>
    <row r="53">
      <c r="A53" s="76">
        <v>49.0</v>
      </c>
      <c r="B53" s="37" t="s">
        <v>2747</v>
      </c>
      <c r="C53" s="37">
        <v>57010.0</v>
      </c>
      <c r="D53" s="37" t="s">
        <v>271</v>
      </c>
      <c r="E53" s="27">
        <v>3040.0</v>
      </c>
      <c r="F53" s="25"/>
      <c r="G53" s="16"/>
      <c r="H53" s="95"/>
      <c r="I53" s="88"/>
      <c r="J53" s="68"/>
      <c r="K53" s="96"/>
      <c r="L53" s="45">
        <v>3040.0</v>
      </c>
      <c r="M53" s="22">
        <f t="shared" si="1"/>
        <v>0</v>
      </c>
    </row>
    <row r="54">
      <c r="A54" s="76">
        <v>50.0</v>
      </c>
      <c r="B54" s="37" t="s">
        <v>2748</v>
      </c>
      <c r="C54" s="37">
        <v>43381.0</v>
      </c>
      <c r="D54" s="37" t="s">
        <v>97</v>
      </c>
      <c r="E54" s="27"/>
      <c r="F54" s="25"/>
      <c r="G54" s="16"/>
      <c r="H54" s="95">
        <v>15300.0</v>
      </c>
      <c r="I54" s="88"/>
      <c r="J54" s="68"/>
      <c r="K54" s="96"/>
      <c r="L54" s="45">
        <v>15300.0</v>
      </c>
      <c r="M54" s="22">
        <f t="shared" si="1"/>
        <v>0</v>
      </c>
    </row>
    <row r="55">
      <c r="A55" s="76">
        <v>51.0</v>
      </c>
      <c r="B55" s="37" t="s">
        <v>2749</v>
      </c>
      <c r="C55" s="37">
        <v>57418.0</v>
      </c>
      <c r="D55" s="37" t="s">
        <v>2750</v>
      </c>
      <c r="E55" s="27"/>
      <c r="F55" s="25"/>
      <c r="G55" s="16"/>
      <c r="H55" s="95">
        <v>5000.0</v>
      </c>
      <c r="I55" s="88"/>
      <c r="J55" s="68"/>
      <c r="K55" s="96"/>
      <c r="L55" s="45">
        <v>5000.0</v>
      </c>
      <c r="M55" s="22">
        <f t="shared" si="1"/>
        <v>0</v>
      </c>
    </row>
    <row r="56">
      <c r="A56" s="76">
        <v>52.0</v>
      </c>
      <c r="B56" s="37" t="s">
        <v>2751</v>
      </c>
      <c r="C56" s="37">
        <v>55865.0</v>
      </c>
      <c r="D56" s="37" t="s">
        <v>2752</v>
      </c>
      <c r="E56" s="27"/>
      <c r="F56" s="25"/>
      <c r="G56" s="16"/>
      <c r="H56" s="95">
        <v>3600.0</v>
      </c>
      <c r="I56" s="88"/>
      <c r="J56" s="68"/>
      <c r="K56" s="96"/>
      <c r="L56" s="45">
        <v>3600.0</v>
      </c>
      <c r="M56" s="22">
        <f t="shared" si="1"/>
        <v>0</v>
      </c>
    </row>
    <row r="57">
      <c r="A57" s="76">
        <v>53.0</v>
      </c>
      <c r="B57" s="37" t="s">
        <v>2753</v>
      </c>
      <c r="C57" s="37">
        <v>50221.0</v>
      </c>
      <c r="D57" s="37" t="s">
        <v>864</v>
      </c>
      <c r="E57" s="27"/>
      <c r="F57" s="25"/>
      <c r="G57" s="16"/>
      <c r="H57" s="95">
        <v>223.0</v>
      </c>
      <c r="I57" s="88"/>
      <c r="J57" s="68"/>
      <c r="K57" s="96"/>
      <c r="L57" s="45">
        <v>223.0</v>
      </c>
      <c r="M57" s="22">
        <f t="shared" si="1"/>
        <v>0</v>
      </c>
    </row>
    <row r="58">
      <c r="A58" s="76">
        <v>54.0</v>
      </c>
      <c r="B58" s="37" t="s">
        <v>2754</v>
      </c>
      <c r="C58" s="37">
        <v>57418.0</v>
      </c>
      <c r="D58" s="37" t="s">
        <v>2750</v>
      </c>
      <c r="E58" s="27"/>
      <c r="F58" s="25"/>
      <c r="G58" s="16"/>
      <c r="H58" s="95">
        <v>26250.0</v>
      </c>
      <c r="I58" s="88"/>
      <c r="J58" s="68"/>
      <c r="K58" s="96"/>
      <c r="L58" s="45">
        <v>26250.0</v>
      </c>
      <c r="M58" s="22">
        <f t="shared" si="1"/>
        <v>0</v>
      </c>
    </row>
    <row r="59">
      <c r="A59" s="76">
        <v>55.0</v>
      </c>
      <c r="B59" s="37" t="s">
        <v>2755</v>
      </c>
      <c r="C59" s="37">
        <v>47509.0</v>
      </c>
      <c r="D59" s="37" t="s">
        <v>2139</v>
      </c>
      <c r="E59" s="27"/>
      <c r="F59" s="25">
        <v>3756.0</v>
      </c>
      <c r="G59" s="16"/>
      <c r="H59" s="95"/>
      <c r="I59" s="88"/>
      <c r="J59" s="68"/>
      <c r="K59" s="96"/>
      <c r="L59" s="45">
        <v>3756.0</v>
      </c>
      <c r="M59" s="22">
        <f t="shared" si="1"/>
        <v>0</v>
      </c>
    </row>
    <row r="60">
      <c r="A60" s="76">
        <v>56.0</v>
      </c>
      <c r="B60" s="37" t="s">
        <v>2756</v>
      </c>
      <c r="C60" s="37">
        <v>55409.0</v>
      </c>
      <c r="D60" s="37" t="s">
        <v>320</v>
      </c>
      <c r="E60" s="27"/>
      <c r="F60" s="25"/>
      <c r="G60" s="16"/>
      <c r="H60" s="95">
        <v>5000.0</v>
      </c>
      <c r="I60" s="88"/>
      <c r="J60" s="68"/>
      <c r="K60" s="96"/>
      <c r="L60" s="45">
        <v>5000.0</v>
      </c>
      <c r="M60" s="22">
        <f t="shared" si="1"/>
        <v>0</v>
      </c>
    </row>
    <row r="61">
      <c r="A61" s="76">
        <v>57.0</v>
      </c>
      <c r="B61" s="37" t="s">
        <v>2757</v>
      </c>
      <c r="C61" s="37">
        <v>46778.0</v>
      </c>
      <c r="D61" s="37" t="s">
        <v>262</v>
      </c>
      <c r="E61" s="27"/>
      <c r="F61" s="25"/>
      <c r="G61" s="16"/>
      <c r="H61" s="95"/>
      <c r="I61" s="88">
        <v>3900.0</v>
      </c>
      <c r="J61" s="68"/>
      <c r="K61" s="96"/>
      <c r="L61" s="45">
        <v>3900.0</v>
      </c>
      <c r="M61" s="22">
        <f t="shared" si="1"/>
        <v>0</v>
      </c>
    </row>
    <row r="62">
      <c r="A62" s="76">
        <v>58.0</v>
      </c>
      <c r="B62" s="37" t="s">
        <v>2758</v>
      </c>
      <c r="C62" s="37">
        <v>21937.0</v>
      </c>
      <c r="D62" s="37" t="s">
        <v>350</v>
      </c>
      <c r="E62" s="27"/>
      <c r="F62" s="25"/>
      <c r="G62" s="16"/>
      <c r="H62" s="95">
        <v>1500.0</v>
      </c>
      <c r="I62" s="88"/>
      <c r="J62" s="68"/>
      <c r="K62" s="96"/>
      <c r="L62" s="45">
        <v>1500.0</v>
      </c>
      <c r="M62" s="22">
        <f t="shared" si="1"/>
        <v>0</v>
      </c>
    </row>
    <row r="63">
      <c r="A63" s="76">
        <v>59.0</v>
      </c>
      <c r="B63" s="37" t="s">
        <v>2759</v>
      </c>
      <c r="C63" s="37">
        <v>48053.0</v>
      </c>
      <c r="D63" s="37" t="s">
        <v>90</v>
      </c>
      <c r="E63" s="27"/>
      <c r="F63" s="25"/>
      <c r="G63" s="16"/>
      <c r="H63" s="95">
        <v>350.0</v>
      </c>
      <c r="I63" s="88"/>
      <c r="J63" s="68"/>
      <c r="K63" s="96"/>
      <c r="L63" s="45">
        <v>350.0</v>
      </c>
      <c r="M63" s="22">
        <f t="shared" si="1"/>
        <v>0</v>
      </c>
    </row>
    <row r="64">
      <c r="A64" s="76">
        <v>60.0</v>
      </c>
      <c r="B64" s="37" t="s">
        <v>2760</v>
      </c>
      <c r="C64" s="37">
        <v>52032.0</v>
      </c>
      <c r="D64" s="37" t="s">
        <v>217</v>
      </c>
      <c r="E64" s="27"/>
      <c r="F64" s="25"/>
      <c r="G64" s="16"/>
      <c r="H64" s="95">
        <v>350.0</v>
      </c>
      <c r="I64" s="88"/>
      <c r="J64" s="68"/>
      <c r="K64" s="96"/>
      <c r="L64" s="45">
        <v>350.0</v>
      </c>
      <c r="M64" s="22">
        <f t="shared" si="1"/>
        <v>0</v>
      </c>
    </row>
    <row r="65">
      <c r="A65" s="76">
        <v>61.0</v>
      </c>
      <c r="B65" s="37" t="s">
        <v>2761</v>
      </c>
      <c r="C65" s="37">
        <v>49679.0</v>
      </c>
      <c r="D65" s="37" t="s">
        <v>2762</v>
      </c>
      <c r="E65" s="27"/>
      <c r="F65" s="25"/>
      <c r="G65" s="16"/>
      <c r="H65" s="95">
        <v>5150.0</v>
      </c>
      <c r="I65" s="88"/>
      <c r="J65" s="68"/>
      <c r="K65" s="96"/>
      <c r="L65" s="45">
        <v>5150.0</v>
      </c>
      <c r="M65" s="22">
        <f t="shared" si="1"/>
        <v>0</v>
      </c>
    </row>
    <row r="66">
      <c r="A66" s="76">
        <v>62.0</v>
      </c>
      <c r="B66" s="37" t="s">
        <v>2763</v>
      </c>
      <c r="C66" s="37">
        <v>48631.0</v>
      </c>
      <c r="D66" s="37" t="s">
        <v>123</v>
      </c>
      <c r="E66" s="27"/>
      <c r="F66" s="25"/>
      <c r="G66" s="16"/>
      <c r="H66" s="95">
        <v>9200.0</v>
      </c>
      <c r="I66" s="88"/>
      <c r="J66" s="68"/>
      <c r="K66" s="96"/>
      <c r="L66" s="45">
        <v>9200.0</v>
      </c>
      <c r="M66" s="22">
        <f t="shared" si="1"/>
        <v>0</v>
      </c>
    </row>
    <row r="67">
      <c r="A67" s="76">
        <v>63.0</v>
      </c>
      <c r="B67" s="37" t="s">
        <v>2764</v>
      </c>
      <c r="C67" s="37">
        <v>36769.0</v>
      </c>
      <c r="D67" s="37" t="s">
        <v>138</v>
      </c>
      <c r="E67" s="27"/>
      <c r="F67" s="25"/>
      <c r="G67" s="16"/>
      <c r="H67" s="95">
        <v>1200.0</v>
      </c>
      <c r="I67" s="88"/>
      <c r="J67" s="68"/>
      <c r="K67" s="96"/>
      <c r="L67" s="45">
        <v>1200.0</v>
      </c>
      <c r="M67" s="22">
        <f t="shared" si="1"/>
        <v>0</v>
      </c>
    </row>
    <row r="68">
      <c r="A68" s="76">
        <v>64.0</v>
      </c>
      <c r="B68" s="37" t="s">
        <v>2765</v>
      </c>
      <c r="C68" s="37">
        <v>47179.0</v>
      </c>
      <c r="D68" s="37" t="s">
        <v>447</v>
      </c>
      <c r="E68" s="27"/>
      <c r="F68" s="25"/>
      <c r="G68" s="16"/>
      <c r="H68" s="95">
        <v>2500.0</v>
      </c>
      <c r="I68" s="88"/>
      <c r="J68" s="68"/>
      <c r="K68" s="96"/>
      <c r="L68" s="45">
        <v>2500.0</v>
      </c>
      <c r="M68" s="22">
        <f t="shared" si="1"/>
        <v>0</v>
      </c>
    </row>
    <row r="69">
      <c r="A69" s="76">
        <v>65.0</v>
      </c>
      <c r="B69" s="37" t="s">
        <v>2766</v>
      </c>
      <c r="C69" s="37">
        <v>36690.0</v>
      </c>
      <c r="D69" s="37" t="s">
        <v>2767</v>
      </c>
      <c r="E69" s="27"/>
      <c r="F69" s="25"/>
      <c r="G69" s="16"/>
      <c r="H69" s="95">
        <v>5000.0</v>
      </c>
      <c r="I69" s="88"/>
      <c r="J69" s="70"/>
      <c r="K69" s="96"/>
      <c r="L69" s="45">
        <v>5000.0</v>
      </c>
      <c r="M69" s="22">
        <f t="shared" si="1"/>
        <v>0</v>
      </c>
    </row>
    <row r="70">
      <c r="A70" s="76">
        <v>66.0</v>
      </c>
      <c r="B70" s="37" t="s">
        <v>2768</v>
      </c>
      <c r="C70" s="37">
        <v>36690.0</v>
      </c>
      <c r="D70" s="37" t="s">
        <v>2767</v>
      </c>
      <c r="E70" s="27"/>
      <c r="F70" s="25"/>
      <c r="G70" s="16"/>
      <c r="H70" s="95">
        <v>5000.0</v>
      </c>
      <c r="I70" s="88"/>
      <c r="J70" s="68"/>
      <c r="K70" s="96"/>
      <c r="L70" s="45">
        <v>5000.0</v>
      </c>
      <c r="M70" s="22">
        <f t="shared" si="1"/>
        <v>0</v>
      </c>
    </row>
    <row r="71">
      <c r="A71" s="76">
        <v>67.0</v>
      </c>
      <c r="B71" s="37" t="s">
        <v>2769</v>
      </c>
      <c r="C71" s="37">
        <v>55215.0</v>
      </c>
      <c r="D71" s="37" t="s">
        <v>238</v>
      </c>
      <c r="E71" s="27"/>
      <c r="F71" s="25"/>
      <c r="G71" s="16"/>
      <c r="H71" s="95">
        <v>3550.0</v>
      </c>
      <c r="I71" s="88"/>
      <c r="J71" s="68"/>
      <c r="K71" s="96"/>
      <c r="L71" s="45">
        <v>3550.0</v>
      </c>
      <c r="M71" s="22">
        <f t="shared" si="1"/>
        <v>0</v>
      </c>
    </row>
    <row r="72">
      <c r="A72" s="76">
        <v>68.0</v>
      </c>
      <c r="B72" s="37" t="s">
        <v>2770</v>
      </c>
      <c r="C72" s="37">
        <v>14329.0</v>
      </c>
      <c r="D72" s="37" t="s">
        <v>2771</v>
      </c>
      <c r="E72" s="27"/>
      <c r="F72" s="25"/>
      <c r="G72" s="16"/>
      <c r="H72" s="95">
        <v>5000.0</v>
      </c>
      <c r="I72" s="88"/>
      <c r="J72" s="68"/>
      <c r="K72" s="96"/>
      <c r="L72" s="45">
        <v>5000.0</v>
      </c>
      <c r="M72" s="22">
        <f t="shared" si="1"/>
        <v>0</v>
      </c>
    </row>
    <row r="73">
      <c r="A73" s="76">
        <v>69.0</v>
      </c>
      <c r="B73" s="37" t="s">
        <v>2772</v>
      </c>
      <c r="C73" s="37">
        <v>14329.0</v>
      </c>
      <c r="D73" s="37" t="s">
        <v>2771</v>
      </c>
      <c r="E73" s="27"/>
      <c r="F73" s="25"/>
      <c r="G73" s="16"/>
      <c r="H73" s="95">
        <v>5000.0</v>
      </c>
      <c r="I73" s="88"/>
      <c r="J73" s="70"/>
      <c r="K73" s="96"/>
      <c r="L73" s="45">
        <v>5000.0</v>
      </c>
      <c r="M73" s="22">
        <f t="shared" si="1"/>
        <v>0</v>
      </c>
    </row>
    <row r="74">
      <c r="A74" s="76">
        <v>70.0</v>
      </c>
      <c r="B74" s="37" t="s">
        <v>2773</v>
      </c>
      <c r="C74" s="37">
        <v>30248.0</v>
      </c>
      <c r="D74" s="37" t="s">
        <v>673</v>
      </c>
      <c r="E74" s="27"/>
      <c r="F74" s="25"/>
      <c r="G74" s="16"/>
      <c r="H74" s="95">
        <v>5150.0</v>
      </c>
      <c r="I74" s="88"/>
      <c r="J74" s="70"/>
      <c r="K74" s="96"/>
      <c r="L74" s="45">
        <v>5150.0</v>
      </c>
      <c r="M74" s="22">
        <f t="shared" si="1"/>
        <v>0</v>
      </c>
    </row>
    <row r="75">
      <c r="A75" s="76">
        <v>71.0</v>
      </c>
      <c r="B75" s="37" t="s">
        <v>2774</v>
      </c>
      <c r="C75" s="37">
        <v>49738.0</v>
      </c>
      <c r="D75" s="37" t="s">
        <v>2775</v>
      </c>
      <c r="E75" s="27"/>
      <c r="F75" s="25"/>
      <c r="G75" s="16"/>
      <c r="H75" s="95">
        <v>5000.0</v>
      </c>
      <c r="I75" s="88"/>
      <c r="J75" s="68"/>
      <c r="K75" s="96"/>
      <c r="L75" s="45">
        <v>5000.0</v>
      </c>
      <c r="M75" s="22">
        <f t="shared" si="1"/>
        <v>0</v>
      </c>
    </row>
    <row r="76">
      <c r="A76" s="76">
        <v>72.0</v>
      </c>
      <c r="B76" s="37" t="s">
        <v>2776</v>
      </c>
      <c r="C76" s="37">
        <v>49738.0</v>
      </c>
      <c r="D76" s="37" t="s">
        <v>2775</v>
      </c>
      <c r="E76" s="27"/>
      <c r="F76" s="25"/>
      <c r="G76" s="16"/>
      <c r="H76" s="95">
        <v>3220.0</v>
      </c>
      <c r="I76" s="88"/>
      <c r="J76" s="68"/>
      <c r="K76" s="96"/>
      <c r="L76" s="45">
        <v>3220.0</v>
      </c>
      <c r="M76" s="22">
        <f t="shared" si="1"/>
        <v>0</v>
      </c>
    </row>
    <row r="77">
      <c r="A77" s="76">
        <v>73.0</v>
      </c>
      <c r="B77" s="37" t="s">
        <v>2777</v>
      </c>
      <c r="C77" s="37">
        <v>57957.0</v>
      </c>
      <c r="D77" s="37" t="s">
        <v>2778</v>
      </c>
      <c r="E77" s="27"/>
      <c r="F77" s="25"/>
      <c r="G77" s="16"/>
      <c r="H77" s="95">
        <v>300.0</v>
      </c>
      <c r="I77" s="88"/>
      <c r="J77" s="68"/>
      <c r="K77" s="96"/>
      <c r="L77" s="45">
        <v>300.0</v>
      </c>
      <c r="M77" s="22">
        <f t="shared" si="1"/>
        <v>0</v>
      </c>
    </row>
    <row r="78">
      <c r="A78" s="76">
        <v>74.0</v>
      </c>
      <c r="B78" s="37" t="s">
        <v>2779</v>
      </c>
      <c r="C78" s="37">
        <v>57280.0</v>
      </c>
      <c r="D78" s="37" t="s">
        <v>2780</v>
      </c>
      <c r="E78" s="27"/>
      <c r="F78" s="25"/>
      <c r="G78" s="16"/>
      <c r="H78" s="95">
        <v>300.0</v>
      </c>
      <c r="I78" s="88"/>
      <c r="J78" s="68"/>
      <c r="K78" s="96"/>
      <c r="L78" s="45">
        <v>300.0</v>
      </c>
      <c r="M78" s="22">
        <f t="shared" si="1"/>
        <v>0</v>
      </c>
    </row>
    <row r="79">
      <c r="A79" s="76">
        <v>75.0</v>
      </c>
      <c r="B79" s="37" t="s">
        <v>2781</v>
      </c>
      <c r="C79" s="37">
        <v>44335.0</v>
      </c>
      <c r="D79" s="37" t="s">
        <v>2782</v>
      </c>
      <c r="E79" s="27"/>
      <c r="F79" s="25"/>
      <c r="G79" s="16"/>
      <c r="H79" s="95">
        <v>3700.0</v>
      </c>
      <c r="I79" s="88"/>
      <c r="J79" s="70"/>
      <c r="K79" s="96"/>
      <c r="L79" s="45">
        <v>3700.0</v>
      </c>
      <c r="M79" s="22">
        <f t="shared" si="1"/>
        <v>0</v>
      </c>
    </row>
    <row r="80">
      <c r="A80" s="76">
        <v>76.0</v>
      </c>
      <c r="B80" s="37" t="s">
        <v>2783</v>
      </c>
      <c r="C80" s="37">
        <v>21934.0</v>
      </c>
      <c r="D80" s="37" t="s">
        <v>2784</v>
      </c>
      <c r="E80" s="27"/>
      <c r="F80" s="25"/>
      <c r="G80" s="16"/>
      <c r="H80" s="95"/>
      <c r="I80" s="88">
        <v>0.0</v>
      </c>
      <c r="J80" s="68"/>
      <c r="K80" s="96"/>
      <c r="L80" s="45">
        <v>20.0</v>
      </c>
      <c r="M80" s="22">
        <f t="shared" si="1"/>
        <v>-20</v>
      </c>
    </row>
    <row r="81">
      <c r="A81" s="76">
        <v>77.0</v>
      </c>
      <c r="B81" s="37" t="s">
        <v>2785</v>
      </c>
      <c r="C81" s="37">
        <v>21934.0</v>
      </c>
      <c r="D81" s="37" t="s">
        <v>2784</v>
      </c>
      <c r="E81" s="27"/>
      <c r="F81" s="25"/>
      <c r="G81" s="16"/>
      <c r="H81" s="95"/>
      <c r="I81" s="88">
        <v>0.0</v>
      </c>
      <c r="J81" s="68"/>
      <c r="K81" s="96"/>
      <c r="L81" s="45">
        <v>60.0</v>
      </c>
      <c r="M81" s="22">
        <f t="shared" si="1"/>
        <v>-60</v>
      </c>
    </row>
    <row r="82">
      <c r="A82" s="76">
        <v>78.0</v>
      </c>
      <c r="B82" s="37" t="s">
        <v>2786</v>
      </c>
      <c r="C82" s="37">
        <v>58255.0</v>
      </c>
      <c r="D82" s="37" t="s">
        <v>1839</v>
      </c>
      <c r="E82" s="27"/>
      <c r="F82" s="25"/>
      <c r="G82" s="16"/>
      <c r="H82" s="95">
        <v>7250.0</v>
      </c>
      <c r="I82" s="88"/>
      <c r="J82" s="68"/>
      <c r="K82" s="96"/>
      <c r="L82" s="45">
        <v>7250.0</v>
      </c>
      <c r="M82" s="22">
        <f t="shared" si="1"/>
        <v>0</v>
      </c>
    </row>
    <row r="83">
      <c r="A83" s="76">
        <v>79.0</v>
      </c>
      <c r="B83" s="37" t="s">
        <v>2787</v>
      </c>
      <c r="C83" s="37">
        <v>51069.0</v>
      </c>
      <c r="D83" s="37" t="s">
        <v>2788</v>
      </c>
      <c r="E83" s="27">
        <v>1250.0</v>
      </c>
      <c r="F83" s="25"/>
      <c r="G83" s="16"/>
      <c r="H83" s="95"/>
      <c r="I83" s="88"/>
      <c r="J83" s="68"/>
      <c r="K83" s="96"/>
      <c r="L83" s="45">
        <v>1250.0</v>
      </c>
      <c r="M83" s="22">
        <f t="shared" si="1"/>
        <v>0</v>
      </c>
    </row>
    <row r="84">
      <c r="A84" s="76">
        <v>80.0</v>
      </c>
      <c r="B84" s="37" t="s">
        <v>2789</v>
      </c>
      <c r="C84" s="37">
        <v>10001.0</v>
      </c>
      <c r="D84" s="37" t="s">
        <v>46</v>
      </c>
      <c r="E84" s="27"/>
      <c r="F84" s="25"/>
      <c r="G84" s="16"/>
      <c r="H84" s="95">
        <v>2500.0</v>
      </c>
      <c r="I84" s="88"/>
      <c r="J84" s="68"/>
      <c r="K84" s="96"/>
      <c r="L84" s="45">
        <v>2500.0</v>
      </c>
      <c r="M84" s="22">
        <f t="shared" si="1"/>
        <v>0</v>
      </c>
    </row>
    <row r="85">
      <c r="A85" s="76">
        <v>81.0</v>
      </c>
      <c r="B85" s="37" t="s">
        <v>2790</v>
      </c>
      <c r="C85" s="37">
        <v>54218.0</v>
      </c>
      <c r="D85" s="37" t="s">
        <v>2791</v>
      </c>
      <c r="E85" s="27"/>
      <c r="F85" s="25"/>
      <c r="G85" s="16"/>
      <c r="H85" s="95">
        <v>300.0</v>
      </c>
      <c r="I85" s="88"/>
      <c r="J85" s="68"/>
      <c r="K85" s="96"/>
      <c r="L85" s="45">
        <v>300.0</v>
      </c>
      <c r="M85" s="22">
        <f t="shared" si="1"/>
        <v>0</v>
      </c>
    </row>
    <row r="86">
      <c r="A86" s="76">
        <v>82.0</v>
      </c>
      <c r="B86" s="37" t="s">
        <v>2792</v>
      </c>
      <c r="C86" s="37">
        <v>51017.0</v>
      </c>
      <c r="D86" s="37" t="s">
        <v>477</v>
      </c>
      <c r="E86" s="27"/>
      <c r="F86" s="25"/>
      <c r="G86" s="28">
        <v>430000.0</v>
      </c>
      <c r="H86" s="95"/>
      <c r="I86" s="88"/>
      <c r="J86" s="68"/>
      <c r="K86" s="96"/>
      <c r="L86" s="45">
        <v>430000.0</v>
      </c>
      <c r="M86" s="22">
        <f t="shared" si="1"/>
        <v>0</v>
      </c>
    </row>
    <row r="87">
      <c r="A87" s="76">
        <v>83.0</v>
      </c>
      <c r="B87" s="37" t="s">
        <v>2793</v>
      </c>
      <c r="C87" s="37">
        <v>50593.0</v>
      </c>
      <c r="D87" s="37" t="s">
        <v>288</v>
      </c>
      <c r="E87" s="27"/>
      <c r="F87" s="25"/>
      <c r="G87" s="28">
        <v>45000.0</v>
      </c>
      <c r="H87" s="95"/>
      <c r="I87" s="88"/>
      <c r="J87" s="68"/>
      <c r="K87" s="96"/>
      <c r="L87" s="45">
        <v>45000.0</v>
      </c>
      <c r="M87" s="22">
        <f t="shared" si="1"/>
        <v>0</v>
      </c>
    </row>
    <row r="88">
      <c r="A88" s="76">
        <v>84.0</v>
      </c>
      <c r="B88" s="37" t="s">
        <v>2794</v>
      </c>
      <c r="C88" s="37">
        <v>43380.0</v>
      </c>
      <c r="D88" s="37" t="s">
        <v>348</v>
      </c>
      <c r="E88" s="27"/>
      <c r="F88" s="25"/>
      <c r="G88" s="28">
        <v>15000.0</v>
      </c>
      <c r="H88" s="95"/>
      <c r="I88" s="88"/>
      <c r="J88" s="68"/>
      <c r="K88" s="96"/>
      <c r="L88" s="45">
        <v>15000.0</v>
      </c>
      <c r="M88" s="22">
        <f t="shared" si="1"/>
        <v>0</v>
      </c>
    </row>
    <row r="89">
      <c r="A89" s="76">
        <v>85.0</v>
      </c>
      <c r="B89" s="37" t="s">
        <v>2795</v>
      </c>
      <c r="C89" s="37">
        <v>55179.0</v>
      </c>
      <c r="D89" s="37" t="s">
        <v>203</v>
      </c>
      <c r="E89" s="27"/>
      <c r="F89" s="25"/>
      <c r="G89" s="28">
        <v>36000.0</v>
      </c>
      <c r="H89" s="95"/>
      <c r="I89" s="88"/>
      <c r="J89" s="68"/>
      <c r="K89" s="96"/>
      <c r="L89" s="45">
        <v>36000.0</v>
      </c>
      <c r="M89" s="22">
        <f t="shared" si="1"/>
        <v>0</v>
      </c>
    </row>
    <row r="90">
      <c r="A90" s="76">
        <v>86.0</v>
      </c>
      <c r="B90" s="37" t="s">
        <v>2796</v>
      </c>
      <c r="C90" s="37">
        <v>51017.0</v>
      </c>
      <c r="D90" s="37" t="s">
        <v>477</v>
      </c>
      <c r="E90" s="27"/>
      <c r="F90" s="25"/>
      <c r="G90" s="28">
        <v>60000.0</v>
      </c>
      <c r="H90" s="95"/>
      <c r="I90" s="88"/>
      <c r="J90" s="70"/>
      <c r="K90" s="96"/>
      <c r="L90" s="45">
        <v>60000.0</v>
      </c>
      <c r="M90" s="22">
        <f t="shared" si="1"/>
        <v>0</v>
      </c>
    </row>
    <row r="91">
      <c r="A91" s="76">
        <v>87.0</v>
      </c>
      <c r="B91" s="37" t="s">
        <v>2797</v>
      </c>
      <c r="C91" s="37">
        <v>10702.0</v>
      </c>
      <c r="D91" s="37" t="s">
        <v>2798</v>
      </c>
      <c r="E91" s="27"/>
      <c r="F91" s="25"/>
      <c r="G91" s="28"/>
      <c r="H91" s="95"/>
      <c r="I91" s="88"/>
      <c r="J91" s="70">
        <v>5200.0</v>
      </c>
      <c r="K91" s="96"/>
      <c r="L91" s="45">
        <v>5200.0</v>
      </c>
      <c r="M91" s="22">
        <f t="shared" si="1"/>
        <v>0</v>
      </c>
    </row>
    <row r="92">
      <c r="A92" s="76">
        <v>88.0</v>
      </c>
      <c r="B92" s="37" t="s">
        <v>2799</v>
      </c>
      <c r="C92" s="37">
        <v>50221.0</v>
      </c>
      <c r="D92" s="37" t="s">
        <v>864</v>
      </c>
      <c r="E92" s="27"/>
      <c r="F92" s="25"/>
      <c r="G92" s="28">
        <v>2500.0</v>
      </c>
      <c r="H92" s="95"/>
      <c r="I92" s="88"/>
      <c r="J92" s="68"/>
      <c r="K92" s="96"/>
      <c r="L92" s="45">
        <v>2500.0</v>
      </c>
      <c r="M92" s="22">
        <f t="shared" si="1"/>
        <v>0</v>
      </c>
    </row>
    <row r="93">
      <c r="A93" s="76">
        <v>89.0</v>
      </c>
      <c r="B93" s="37" t="s">
        <v>2800</v>
      </c>
      <c r="C93" s="37">
        <v>49953.0</v>
      </c>
      <c r="D93" s="37" t="s">
        <v>62</v>
      </c>
      <c r="E93" s="27"/>
      <c r="F93" s="25"/>
      <c r="G93" s="28">
        <v>9100.0</v>
      </c>
      <c r="H93" s="95"/>
      <c r="I93" s="88"/>
      <c r="J93" s="68"/>
      <c r="K93" s="96"/>
      <c r="L93" s="45">
        <v>9100.0</v>
      </c>
      <c r="M93" s="22">
        <f t="shared" si="1"/>
        <v>0</v>
      </c>
    </row>
    <row r="94">
      <c r="A94" s="76">
        <v>90.0</v>
      </c>
      <c r="B94" s="37" t="s">
        <v>2801</v>
      </c>
      <c r="C94" s="37">
        <v>49953.0</v>
      </c>
      <c r="D94" s="37" t="s">
        <v>62</v>
      </c>
      <c r="E94" s="27"/>
      <c r="F94" s="25"/>
      <c r="G94" s="28">
        <v>1250.0</v>
      </c>
      <c r="H94" s="95"/>
      <c r="I94" s="88"/>
      <c r="J94" s="68"/>
      <c r="K94" s="96"/>
      <c r="L94" s="45">
        <v>1250.0</v>
      </c>
      <c r="M94" s="22">
        <f t="shared" si="1"/>
        <v>0</v>
      </c>
    </row>
    <row r="95">
      <c r="A95" s="76">
        <v>91.0</v>
      </c>
      <c r="B95" s="37" t="s">
        <v>2802</v>
      </c>
      <c r="C95" s="37">
        <v>51017.0</v>
      </c>
      <c r="D95" s="37" t="s">
        <v>477</v>
      </c>
      <c r="E95" s="27"/>
      <c r="F95" s="25"/>
      <c r="G95" s="28">
        <v>8200.0</v>
      </c>
      <c r="H95" s="95"/>
      <c r="I95" s="88"/>
      <c r="J95" s="68"/>
      <c r="K95" s="96"/>
      <c r="L95" s="45">
        <v>8200.0</v>
      </c>
      <c r="M95" s="22">
        <f t="shared" si="1"/>
        <v>0</v>
      </c>
    </row>
    <row r="96">
      <c r="A96" s="76">
        <v>92.0</v>
      </c>
      <c r="B96" s="37" t="s">
        <v>2803</v>
      </c>
      <c r="C96" s="37">
        <v>12102.0</v>
      </c>
      <c r="D96" s="37" t="s">
        <v>113</v>
      </c>
      <c r="E96" s="27"/>
      <c r="F96" s="25"/>
      <c r="G96" s="28">
        <v>50000.0</v>
      </c>
      <c r="H96" s="95"/>
      <c r="I96" s="88"/>
      <c r="J96" s="68"/>
      <c r="K96" s="96"/>
      <c r="L96" s="45">
        <v>50000.0</v>
      </c>
      <c r="M96" s="22">
        <f t="shared" si="1"/>
        <v>0</v>
      </c>
    </row>
    <row r="97">
      <c r="A97" s="76">
        <v>93.0</v>
      </c>
      <c r="B97" s="13"/>
      <c r="C97" s="13"/>
      <c r="D97" s="13"/>
      <c r="E97" s="27"/>
      <c r="F97" s="25"/>
      <c r="G97" s="28"/>
      <c r="H97" s="95"/>
      <c r="I97" s="88"/>
      <c r="J97" s="68"/>
      <c r="K97" s="96"/>
      <c r="L97" s="21"/>
      <c r="M97" s="22">
        <f t="shared" si="1"/>
        <v>0</v>
      </c>
    </row>
    <row r="98">
      <c r="A98" s="76">
        <v>94.0</v>
      </c>
      <c r="B98" s="13"/>
      <c r="C98" s="13"/>
      <c r="D98" s="13"/>
      <c r="E98" s="27"/>
      <c r="F98" s="25"/>
      <c r="G98" s="28"/>
      <c r="H98" s="95"/>
      <c r="I98" s="88"/>
      <c r="J98" s="68"/>
      <c r="K98" s="96"/>
      <c r="L98" s="21"/>
      <c r="M98" s="22">
        <f t="shared" si="1"/>
        <v>0</v>
      </c>
    </row>
    <row r="99">
      <c r="A99" s="103"/>
      <c r="B99" s="12"/>
      <c r="C99" s="12"/>
      <c r="D99" s="104"/>
      <c r="E99" s="32">
        <f t="shared" ref="E99:L99" si="2">SUM(E5:E98)</f>
        <v>4290</v>
      </c>
      <c r="F99" s="32">
        <f t="shared" si="2"/>
        <v>3756</v>
      </c>
      <c r="G99" s="32">
        <f t="shared" si="2"/>
        <v>657050</v>
      </c>
      <c r="H99" s="32">
        <f t="shared" si="2"/>
        <v>454532</v>
      </c>
      <c r="I99" s="32">
        <f t="shared" si="2"/>
        <v>65450</v>
      </c>
      <c r="J99" s="32">
        <f t="shared" si="2"/>
        <v>5550</v>
      </c>
      <c r="K99" s="32">
        <f t="shared" si="2"/>
        <v>10000</v>
      </c>
      <c r="L99" s="98">
        <f t="shared" si="2"/>
        <v>1200708</v>
      </c>
      <c r="M99" s="99">
        <f t="shared" si="1"/>
        <v>-80</v>
      </c>
    </row>
    <row r="100">
      <c r="A100" s="105"/>
      <c r="B100" s="106"/>
      <c r="C100" s="106"/>
      <c r="D100" s="107"/>
      <c r="E100" s="34">
        <f>E99+F99+G99+H99+I99+J99+K99</f>
        <v>1200628</v>
      </c>
      <c r="F100" s="6"/>
      <c r="G100" s="6"/>
      <c r="H100" s="6"/>
      <c r="I100" s="6"/>
      <c r="J100" s="6"/>
      <c r="K100" s="7"/>
      <c r="L100" s="108"/>
      <c r="M100" s="33"/>
    </row>
    <row r="101">
      <c r="B101" s="64"/>
      <c r="C101" s="64"/>
      <c r="D101" s="75"/>
    </row>
    <row r="102">
      <c r="B102" s="64"/>
      <c r="C102" s="64"/>
      <c r="D102" s="75"/>
    </row>
    <row r="103">
      <c r="B103" s="64"/>
      <c r="C103" s="64"/>
      <c r="D103" s="75"/>
    </row>
    <row r="104">
      <c r="B104" s="64"/>
      <c r="C104" s="64"/>
      <c r="D104" s="75"/>
      <c r="H104" s="55" t="s">
        <v>588</v>
      </c>
    </row>
    <row r="105">
      <c r="B105" s="64"/>
      <c r="C105" s="64"/>
      <c r="D105" s="75"/>
    </row>
    <row r="106">
      <c r="B106" s="64"/>
      <c r="C106" s="64"/>
      <c r="D106" s="75"/>
      <c r="F106" s="55" t="s">
        <v>2412</v>
      </c>
      <c r="H106" s="55" t="s">
        <v>485</v>
      </c>
    </row>
    <row r="107">
      <c r="B107" s="64"/>
      <c r="C107" s="64"/>
      <c r="D107" s="75"/>
    </row>
    <row r="108">
      <c r="B108" s="64"/>
      <c r="C108" s="64"/>
      <c r="D108" s="75"/>
    </row>
    <row r="109">
      <c r="B109" s="64"/>
      <c r="C109" s="64"/>
      <c r="D109" s="75"/>
    </row>
    <row r="110">
      <c r="B110" s="64"/>
      <c r="C110" s="64"/>
      <c r="D110" s="75"/>
    </row>
    <row r="111">
      <c r="B111" s="64"/>
      <c r="C111" s="64"/>
      <c r="D111" s="75"/>
    </row>
    <row r="112">
      <c r="B112" s="64"/>
      <c r="C112" s="64"/>
      <c r="D112" s="75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</row>
    <row r="117">
      <c r="B117" s="64"/>
      <c r="C117" s="64"/>
      <c r="D117" s="75"/>
    </row>
    <row r="118">
      <c r="B118" s="64"/>
      <c r="C118" s="64"/>
      <c r="D118" s="75"/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  <row r="958">
      <c r="B958" s="64"/>
      <c r="C958" s="64"/>
      <c r="D958" s="75"/>
    </row>
    <row r="959">
      <c r="B959" s="64"/>
      <c r="C959" s="64"/>
      <c r="D959" s="75"/>
    </row>
    <row r="960">
      <c r="B960" s="64"/>
      <c r="C960" s="64"/>
      <c r="D960" s="75"/>
    </row>
    <row r="961">
      <c r="B961" s="64"/>
      <c r="C961" s="64"/>
      <c r="D961" s="75"/>
    </row>
    <row r="962">
      <c r="B962" s="64"/>
      <c r="C962" s="64"/>
      <c r="D962" s="75"/>
    </row>
    <row r="963">
      <c r="B963" s="64"/>
      <c r="C963" s="64"/>
      <c r="D963" s="75"/>
    </row>
    <row r="964">
      <c r="B964" s="64"/>
      <c r="C964" s="64"/>
      <c r="D964" s="75"/>
    </row>
    <row r="965">
      <c r="B965" s="64"/>
      <c r="C965" s="64"/>
      <c r="D965" s="75"/>
    </row>
    <row r="966">
      <c r="B966" s="64"/>
      <c r="C966" s="64"/>
      <c r="D966" s="75"/>
    </row>
    <row r="967">
      <c r="B967" s="64"/>
      <c r="C967" s="64"/>
      <c r="D967" s="75"/>
    </row>
    <row r="968">
      <c r="B968" s="64"/>
      <c r="C968" s="64"/>
      <c r="D968" s="75"/>
    </row>
    <row r="969">
      <c r="B969" s="64"/>
      <c r="C969" s="64"/>
      <c r="D969" s="75"/>
    </row>
    <row r="970">
      <c r="B970" s="64"/>
      <c r="C970" s="64"/>
      <c r="D970" s="75"/>
    </row>
    <row r="971">
      <c r="B971" s="64"/>
      <c r="C971" s="64"/>
      <c r="D971" s="75"/>
    </row>
    <row r="972">
      <c r="B972" s="64"/>
      <c r="C972" s="64"/>
      <c r="D972" s="75"/>
    </row>
    <row r="973">
      <c r="B973" s="64"/>
      <c r="C973" s="64"/>
      <c r="D973" s="75"/>
    </row>
  </sheetData>
  <mergeCells count="14">
    <mergeCell ref="F3:G3"/>
    <mergeCell ref="H3:I3"/>
    <mergeCell ref="J3:J4"/>
    <mergeCell ref="K3:K4"/>
    <mergeCell ref="E100:K10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9.75"/>
    <col customWidth="1" min="3" max="3" width="10.5"/>
    <col customWidth="1" min="4" max="4" width="45.88"/>
    <col customWidth="1" min="5" max="5" width="9.5"/>
  </cols>
  <sheetData>
    <row r="1">
      <c r="A1" s="101" t="s">
        <v>2804</v>
      </c>
    </row>
    <row r="2">
      <c r="A2" s="2" t="s">
        <v>1</v>
      </c>
      <c r="B2" s="4" t="s">
        <v>2</v>
      </c>
      <c r="C2" s="2" t="s">
        <v>3</v>
      </c>
      <c r="D2" s="71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7"/>
    </row>
    <row r="3">
      <c r="A3" s="8"/>
      <c r="B3" s="8"/>
      <c r="C3" s="8"/>
      <c r="D3" s="8"/>
      <c r="E3" s="2" t="s">
        <v>6</v>
      </c>
      <c r="F3" s="5" t="s">
        <v>7</v>
      </c>
      <c r="G3" s="7"/>
      <c r="H3" s="5" t="s">
        <v>8</v>
      </c>
      <c r="I3" s="7"/>
      <c r="J3" s="2" t="s">
        <v>9</v>
      </c>
      <c r="K3" s="4" t="s">
        <v>10</v>
      </c>
      <c r="L3" s="2" t="s">
        <v>11</v>
      </c>
      <c r="M3" s="2" t="s">
        <v>12</v>
      </c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0" t="s">
        <v>15</v>
      </c>
      <c r="I4" s="11" t="s">
        <v>16</v>
      </c>
      <c r="J4" s="9"/>
      <c r="K4" s="9"/>
      <c r="L4" s="9"/>
      <c r="M4" s="9"/>
    </row>
    <row r="5">
      <c r="A5" s="76">
        <v>1.0</v>
      </c>
      <c r="B5" s="56" t="s">
        <v>2805</v>
      </c>
      <c r="C5" s="56">
        <v>21971.0</v>
      </c>
      <c r="D5" s="56" t="s">
        <v>1082</v>
      </c>
      <c r="E5" s="27">
        <v>1100.0</v>
      </c>
      <c r="F5" s="25"/>
      <c r="G5" s="16"/>
      <c r="H5" s="95"/>
      <c r="I5" s="88"/>
      <c r="J5" s="68"/>
      <c r="K5" s="88"/>
      <c r="L5" s="45">
        <v>1100.0</v>
      </c>
      <c r="M5" s="22">
        <f t="shared" ref="M5:M111" si="1">SUM(E5+F5+G5+H5+I5+J5+K5-L5)</f>
        <v>0</v>
      </c>
    </row>
    <row r="6">
      <c r="A6" s="76">
        <v>2.0</v>
      </c>
      <c r="B6" s="56" t="s">
        <v>2806</v>
      </c>
      <c r="C6" s="56">
        <v>58402.0</v>
      </c>
      <c r="D6" s="56" t="s">
        <v>2807</v>
      </c>
      <c r="E6" s="27">
        <v>3600.0</v>
      </c>
      <c r="F6" s="25"/>
      <c r="G6" s="16"/>
      <c r="H6" s="95"/>
      <c r="I6" s="88"/>
      <c r="J6" s="70"/>
      <c r="K6" s="96"/>
      <c r="L6" s="45">
        <v>3600.0</v>
      </c>
      <c r="M6" s="22">
        <f t="shared" si="1"/>
        <v>0</v>
      </c>
      <c r="O6" s="55" t="s">
        <v>485</v>
      </c>
    </row>
    <row r="7">
      <c r="A7" s="76">
        <v>3.0</v>
      </c>
      <c r="B7" s="56" t="s">
        <v>2808</v>
      </c>
      <c r="C7" s="56">
        <v>31191.0</v>
      </c>
      <c r="D7" s="56" t="s">
        <v>2809</v>
      </c>
      <c r="E7" s="27"/>
      <c r="F7" s="25">
        <v>2250.0</v>
      </c>
      <c r="G7" s="16"/>
      <c r="H7" s="95"/>
      <c r="I7" s="88"/>
      <c r="J7" s="68"/>
      <c r="K7" s="96"/>
      <c r="L7" s="45">
        <v>2250.0</v>
      </c>
      <c r="M7" s="22">
        <f t="shared" si="1"/>
        <v>0</v>
      </c>
    </row>
    <row r="8">
      <c r="A8" s="76">
        <v>4.0</v>
      </c>
      <c r="B8" s="56" t="s">
        <v>2810</v>
      </c>
      <c r="C8" s="56">
        <v>54763.0</v>
      </c>
      <c r="D8" s="56" t="s">
        <v>1418</v>
      </c>
      <c r="E8" s="29"/>
      <c r="F8" s="25"/>
      <c r="G8" s="16"/>
      <c r="H8" s="95"/>
      <c r="I8" s="88">
        <v>3600.0</v>
      </c>
      <c r="J8" s="70"/>
      <c r="K8" s="96"/>
      <c r="L8" s="45">
        <v>3600.0</v>
      </c>
      <c r="M8" s="22">
        <f t="shared" si="1"/>
        <v>0</v>
      </c>
    </row>
    <row r="9">
      <c r="A9" s="76">
        <v>5.0</v>
      </c>
      <c r="B9" s="56" t="s">
        <v>2811</v>
      </c>
      <c r="C9" s="56">
        <v>21971.0</v>
      </c>
      <c r="D9" s="56" t="s">
        <v>1082</v>
      </c>
      <c r="E9" s="27"/>
      <c r="F9" s="25">
        <v>17000.0</v>
      </c>
      <c r="G9" s="16"/>
      <c r="H9" s="95"/>
      <c r="I9" s="88"/>
      <c r="J9" s="70"/>
      <c r="K9" s="96"/>
      <c r="L9" s="45">
        <v>17000.0</v>
      </c>
      <c r="M9" s="22">
        <f t="shared" si="1"/>
        <v>0</v>
      </c>
    </row>
    <row r="10">
      <c r="A10" s="76">
        <v>6.0</v>
      </c>
      <c r="B10" s="56" t="s">
        <v>2812</v>
      </c>
      <c r="C10" s="56">
        <v>21971.0</v>
      </c>
      <c r="D10" s="56" t="s">
        <v>1082</v>
      </c>
      <c r="E10" s="27">
        <v>1400.0</v>
      </c>
      <c r="F10" s="25"/>
      <c r="G10" s="16"/>
      <c r="H10" s="95"/>
      <c r="I10" s="88"/>
      <c r="J10" s="68"/>
      <c r="K10" s="96"/>
      <c r="L10" s="45">
        <v>1400.0</v>
      </c>
      <c r="M10" s="22">
        <f t="shared" si="1"/>
        <v>0</v>
      </c>
    </row>
    <row r="11">
      <c r="A11" s="76">
        <v>7.0</v>
      </c>
      <c r="B11" s="56" t="s">
        <v>2813</v>
      </c>
      <c r="C11" s="56">
        <v>21384.0</v>
      </c>
      <c r="D11" s="56" t="s">
        <v>151</v>
      </c>
      <c r="E11" s="29"/>
      <c r="F11" s="25">
        <v>13000.0</v>
      </c>
      <c r="G11" s="16"/>
      <c r="H11" s="95"/>
      <c r="I11" s="88"/>
      <c r="J11" s="70"/>
      <c r="K11" s="96"/>
      <c r="L11" s="45">
        <v>13000.0</v>
      </c>
      <c r="M11" s="22">
        <f t="shared" si="1"/>
        <v>0</v>
      </c>
    </row>
    <row r="12">
      <c r="A12" s="76">
        <v>8.0</v>
      </c>
      <c r="B12" s="56" t="s">
        <v>2814</v>
      </c>
      <c r="C12" s="56">
        <v>21384.0</v>
      </c>
      <c r="D12" s="56" t="s">
        <v>151</v>
      </c>
      <c r="E12" s="29"/>
      <c r="F12" s="25">
        <v>12500.0</v>
      </c>
      <c r="G12" s="16"/>
      <c r="H12" s="95"/>
      <c r="I12" s="88"/>
      <c r="J12" s="68"/>
      <c r="K12" s="96"/>
      <c r="L12" s="45">
        <v>12500.0</v>
      </c>
      <c r="M12" s="22">
        <f t="shared" si="1"/>
        <v>0</v>
      </c>
    </row>
    <row r="13">
      <c r="A13" s="76">
        <v>9.0</v>
      </c>
      <c r="B13" s="56" t="s">
        <v>2815</v>
      </c>
      <c r="C13" s="56">
        <v>21384.0</v>
      </c>
      <c r="D13" s="56" t="s">
        <v>151</v>
      </c>
      <c r="E13" s="29"/>
      <c r="F13" s="25">
        <v>300.0</v>
      </c>
      <c r="G13" s="16"/>
      <c r="H13" s="95"/>
      <c r="I13" s="88"/>
      <c r="J13" s="68"/>
      <c r="K13" s="96"/>
      <c r="L13" s="45">
        <v>300.0</v>
      </c>
      <c r="M13" s="22">
        <f t="shared" si="1"/>
        <v>0</v>
      </c>
    </row>
    <row r="14">
      <c r="A14" s="76">
        <v>10.0</v>
      </c>
      <c r="B14" s="56" t="s">
        <v>2816</v>
      </c>
      <c r="C14" s="56">
        <v>50871.0</v>
      </c>
      <c r="D14" s="56" t="s">
        <v>48</v>
      </c>
      <c r="E14" s="27"/>
      <c r="F14" s="25"/>
      <c r="G14" s="16"/>
      <c r="H14" s="95">
        <v>36100.0</v>
      </c>
      <c r="I14" s="88"/>
      <c r="J14" s="70"/>
      <c r="K14" s="96"/>
      <c r="L14" s="45">
        <v>36100.0</v>
      </c>
      <c r="M14" s="22">
        <f t="shared" si="1"/>
        <v>0</v>
      </c>
    </row>
    <row r="15">
      <c r="A15" s="76">
        <v>11.0</v>
      </c>
      <c r="B15" s="56" t="s">
        <v>2817</v>
      </c>
      <c r="C15" s="56">
        <v>10320.0</v>
      </c>
      <c r="D15" s="56" t="s">
        <v>84</v>
      </c>
      <c r="E15" s="27"/>
      <c r="F15" s="25"/>
      <c r="G15" s="16"/>
      <c r="H15" s="95">
        <v>13000.0</v>
      </c>
      <c r="I15" s="88"/>
      <c r="J15" s="70"/>
      <c r="K15" s="96"/>
      <c r="L15" s="45">
        <v>13000.0</v>
      </c>
      <c r="M15" s="22">
        <f t="shared" si="1"/>
        <v>0</v>
      </c>
    </row>
    <row r="16">
      <c r="A16" s="76">
        <v>12.0</v>
      </c>
      <c r="B16" s="56" t="s">
        <v>2818</v>
      </c>
      <c r="C16" s="56">
        <v>10250.0</v>
      </c>
      <c r="D16" s="56" t="s">
        <v>115</v>
      </c>
      <c r="E16" s="29"/>
      <c r="F16" s="25"/>
      <c r="G16" s="16"/>
      <c r="H16" s="95">
        <v>5000.0</v>
      </c>
      <c r="I16" s="88"/>
      <c r="J16" s="70"/>
      <c r="K16" s="96"/>
      <c r="L16" s="45">
        <v>5000.0</v>
      </c>
      <c r="M16" s="22">
        <f t="shared" si="1"/>
        <v>0</v>
      </c>
    </row>
    <row r="17">
      <c r="A17" s="76">
        <v>13.0</v>
      </c>
      <c r="B17" s="56" t="s">
        <v>2819</v>
      </c>
      <c r="C17" s="56">
        <v>26350.0</v>
      </c>
      <c r="D17" s="56" t="s">
        <v>117</v>
      </c>
      <c r="E17" s="27"/>
      <c r="F17" s="25"/>
      <c r="G17" s="16"/>
      <c r="H17" s="95">
        <v>5000.0</v>
      </c>
      <c r="I17" s="88"/>
      <c r="J17" s="68"/>
      <c r="K17" s="96"/>
      <c r="L17" s="45">
        <v>5000.0</v>
      </c>
      <c r="M17" s="22">
        <f t="shared" si="1"/>
        <v>0</v>
      </c>
    </row>
    <row r="18">
      <c r="A18" s="76">
        <v>14.0</v>
      </c>
      <c r="B18" s="56" t="s">
        <v>2820</v>
      </c>
      <c r="C18" s="56">
        <v>21821.0</v>
      </c>
      <c r="D18" s="56" t="s">
        <v>959</v>
      </c>
      <c r="E18" s="27"/>
      <c r="F18" s="25"/>
      <c r="G18" s="16"/>
      <c r="H18" s="95"/>
      <c r="I18" s="88"/>
      <c r="J18" s="70">
        <v>350.0</v>
      </c>
      <c r="K18" s="96"/>
      <c r="L18" s="45">
        <v>350.0</v>
      </c>
      <c r="M18" s="22">
        <f t="shared" si="1"/>
        <v>0</v>
      </c>
    </row>
    <row r="19">
      <c r="A19" s="76">
        <v>15.0</v>
      </c>
      <c r="B19" s="56" t="s">
        <v>2821</v>
      </c>
      <c r="C19" s="56">
        <v>22341.0</v>
      </c>
      <c r="D19" s="56" t="s">
        <v>1939</v>
      </c>
      <c r="E19" s="27"/>
      <c r="F19" s="25"/>
      <c r="G19" s="16"/>
      <c r="H19" s="95">
        <v>8040.0</v>
      </c>
      <c r="I19" s="88"/>
      <c r="J19" s="70"/>
      <c r="K19" s="96"/>
      <c r="L19" s="45">
        <v>8040.0</v>
      </c>
      <c r="M19" s="22">
        <f t="shared" si="1"/>
        <v>0</v>
      </c>
    </row>
    <row r="20">
      <c r="A20" s="76">
        <v>16.0</v>
      </c>
      <c r="B20" s="56" t="s">
        <v>2822</v>
      </c>
      <c r="C20" s="56">
        <v>53808.0</v>
      </c>
      <c r="D20" s="56" t="s">
        <v>629</v>
      </c>
      <c r="E20" s="29"/>
      <c r="F20" s="25"/>
      <c r="G20" s="16"/>
      <c r="H20" s="95"/>
      <c r="I20" s="88">
        <v>6020.0</v>
      </c>
      <c r="J20" s="68"/>
      <c r="K20" s="96"/>
      <c r="L20" s="45">
        <v>6020.0</v>
      </c>
      <c r="M20" s="22">
        <f t="shared" si="1"/>
        <v>0</v>
      </c>
    </row>
    <row r="21">
      <c r="A21" s="76">
        <v>17.0</v>
      </c>
      <c r="B21" s="56" t="s">
        <v>2823</v>
      </c>
      <c r="C21" s="56">
        <v>22341.0</v>
      </c>
      <c r="D21" s="56" t="s">
        <v>1939</v>
      </c>
      <c r="E21" s="27"/>
      <c r="F21" s="25"/>
      <c r="G21" s="16"/>
      <c r="H21" s="95">
        <v>7700.0</v>
      </c>
      <c r="I21" s="88"/>
      <c r="J21" s="68"/>
      <c r="K21" s="96"/>
      <c r="L21" s="45">
        <v>7700.0</v>
      </c>
      <c r="M21" s="22">
        <f t="shared" si="1"/>
        <v>0</v>
      </c>
    </row>
    <row r="22">
      <c r="A22" s="76">
        <v>18.0</v>
      </c>
      <c r="B22" s="56" t="s">
        <v>2824</v>
      </c>
      <c r="C22" s="56">
        <v>51406.0</v>
      </c>
      <c r="D22" s="56" t="s">
        <v>128</v>
      </c>
      <c r="E22" s="29"/>
      <c r="F22" s="25"/>
      <c r="G22" s="16"/>
      <c r="H22" s="95"/>
      <c r="I22" s="88">
        <v>19000.0</v>
      </c>
      <c r="J22" s="68"/>
      <c r="K22" s="96"/>
      <c r="L22" s="45">
        <v>19000.0</v>
      </c>
      <c r="M22" s="22">
        <f t="shared" si="1"/>
        <v>0</v>
      </c>
    </row>
    <row r="23">
      <c r="A23" s="76">
        <v>19.0</v>
      </c>
      <c r="B23" s="56" t="s">
        <v>2825</v>
      </c>
      <c r="C23" s="56">
        <v>46778.0</v>
      </c>
      <c r="D23" s="56" t="s">
        <v>262</v>
      </c>
      <c r="E23" s="29"/>
      <c r="F23" s="25"/>
      <c r="G23" s="16"/>
      <c r="H23" s="95"/>
      <c r="I23" s="88">
        <v>4350.0</v>
      </c>
      <c r="J23" s="70"/>
      <c r="K23" s="96"/>
      <c r="L23" s="45">
        <v>4350.0</v>
      </c>
      <c r="M23" s="22">
        <f t="shared" si="1"/>
        <v>0</v>
      </c>
    </row>
    <row r="24">
      <c r="A24" s="76">
        <v>20.0</v>
      </c>
      <c r="B24" s="56" t="s">
        <v>2826</v>
      </c>
      <c r="C24" s="56">
        <v>43380.0</v>
      </c>
      <c r="D24" s="56" t="s">
        <v>348</v>
      </c>
      <c r="E24" s="29"/>
      <c r="F24" s="25"/>
      <c r="G24" s="16"/>
      <c r="H24" s="95"/>
      <c r="I24" s="88">
        <v>17500.0</v>
      </c>
      <c r="J24" s="68"/>
      <c r="K24" s="96"/>
      <c r="L24" s="45">
        <v>17500.0</v>
      </c>
      <c r="M24" s="22">
        <f t="shared" si="1"/>
        <v>0</v>
      </c>
    </row>
    <row r="25">
      <c r="A25" s="76">
        <v>21.0</v>
      </c>
      <c r="B25" s="56" t="s">
        <v>2827</v>
      </c>
      <c r="C25" s="56">
        <v>44149.0</v>
      </c>
      <c r="D25" s="56" t="s">
        <v>44</v>
      </c>
      <c r="E25" s="27"/>
      <c r="F25" s="25"/>
      <c r="G25" s="16"/>
      <c r="H25" s="95">
        <v>453.0</v>
      </c>
      <c r="I25" s="88"/>
      <c r="J25" s="70"/>
      <c r="K25" s="96"/>
      <c r="L25" s="45">
        <v>453.0</v>
      </c>
      <c r="M25" s="22">
        <f t="shared" si="1"/>
        <v>0</v>
      </c>
    </row>
    <row r="26">
      <c r="A26" s="76">
        <v>22.0</v>
      </c>
      <c r="B26" s="56" t="s">
        <v>2828</v>
      </c>
      <c r="C26" s="56">
        <v>21384.0</v>
      </c>
      <c r="D26" s="56" t="s">
        <v>151</v>
      </c>
      <c r="E26" s="27"/>
      <c r="F26" s="25">
        <v>2500.0</v>
      </c>
      <c r="G26" s="16"/>
      <c r="H26" s="95"/>
      <c r="I26" s="88"/>
      <c r="J26" s="70"/>
      <c r="K26" s="96"/>
      <c r="L26" s="45">
        <v>2500.0</v>
      </c>
      <c r="M26" s="22">
        <f t="shared" si="1"/>
        <v>0</v>
      </c>
    </row>
    <row r="27">
      <c r="A27" s="76">
        <v>23.0</v>
      </c>
      <c r="B27" s="56" t="s">
        <v>2829</v>
      </c>
      <c r="C27" s="56">
        <v>52032.0</v>
      </c>
      <c r="D27" s="56" t="s">
        <v>217</v>
      </c>
      <c r="E27" s="27"/>
      <c r="F27" s="25"/>
      <c r="G27" s="16"/>
      <c r="H27" s="95">
        <v>700.0</v>
      </c>
      <c r="I27" s="88"/>
      <c r="J27" s="68"/>
      <c r="K27" s="96"/>
      <c r="L27" s="45">
        <v>700.0</v>
      </c>
      <c r="M27" s="22">
        <f t="shared" si="1"/>
        <v>0</v>
      </c>
    </row>
    <row r="28">
      <c r="A28" s="76">
        <v>24.0</v>
      </c>
      <c r="B28" s="56" t="s">
        <v>2830</v>
      </c>
      <c r="C28" s="56">
        <v>58437.0</v>
      </c>
      <c r="D28" s="56" t="s">
        <v>2831</v>
      </c>
      <c r="E28" s="27">
        <v>27000.0</v>
      </c>
      <c r="F28" s="25"/>
      <c r="G28" s="16"/>
      <c r="H28" s="95"/>
      <c r="I28" s="88"/>
      <c r="J28" s="68"/>
      <c r="K28" s="96"/>
      <c r="L28" s="45">
        <v>27000.0</v>
      </c>
      <c r="M28" s="22">
        <f t="shared" si="1"/>
        <v>0</v>
      </c>
    </row>
    <row r="29">
      <c r="A29" s="76">
        <v>25.0</v>
      </c>
      <c r="B29" s="56" t="s">
        <v>2832</v>
      </c>
      <c r="C29" s="56">
        <v>20541.0</v>
      </c>
      <c r="D29" s="56" t="s">
        <v>298</v>
      </c>
      <c r="E29" s="27"/>
      <c r="F29" s="25"/>
      <c r="G29" s="16"/>
      <c r="H29" s="95">
        <v>121.0</v>
      </c>
      <c r="I29" s="88"/>
      <c r="J29" s="70"/>
      <c r="K29" s="96"/>
      <c r="L29" s="45">
        <v>121.0</v>
      </c>
      <c r="M29" s="22">
        <f t="shared" si="1"/>
        <v>0</v>
      </c>
    </row>
    <row r="30">
      <c r="A30" s="76">
        <v>26.0</v>
      </c>
      <c r="B30" s="56" t="s">
        <v>2833</v>
      </c>
      <c r="C30" s="56">
        <v>22332.0</v>
      </c>
      <c r="D30" s="56" t="s">
        <v>78</v>
      </c>
      <c r="E30" s="27"/>
      <c r="F30" s="25"/>
      <c r="G30" s="16"/>
      <c r="H30" s="95">
        <v>3300.0</v>
      </c>
      <c r="I30" s="88"/>
      <c r="J30" s="68"/>
      <c r="K30" s="96"/>
      <c r="L30" s="45">
        <v>3300.0</v>
      </c>
      <c r="M30" s="22">
        <f t="shared" si="1"/>
        <v>0</v>
      </c>
    </row>
    <row r="31">
      <c r="A31" s="76">
        <v>27.0</v>
      </c>
      <c r="B31" s="56" t="s">
        <v>2834</v>
      </c>
      <c r="C31" s="56">
        <v>53330.0</v>
      </c>
      <c r="D31" s="56" t="s">
        <v>2835</v>
      </c>
      <c r="E31" s="27"/>
      <c r="F31" s="25">
        <v>6250.0</v>
      </c>
      <c r="G31" s="16"/>
      <c r="H31" s="95"/>
      <c r="I31" s="88"/>
      <c r="J31" s="68"/>
      <c r="K31" s="96"/>
      <c r="L31" s="45">
        <v>6250.0</v>
      </c>
      <c r="M31" s="22">
        <f t="shared" si="1"/>
        <v>0</v>
      </c>
    </row>
    <row r="32">
      <c r="A32" s="76">
        <v>28.0</v>
      </c>
      <c r="B32" s="56" t="s">
        <v>2836</v>
      </c>
      <c r="C32" s="56">
        <v>46778.0</v>
      </c>
      <c r="D32" s="56" t="s">
        <v>262</v>
      </c>
      <c r="E32" s="27"/>
      <c r="F32" s="25"/>
      <c r="G32" s="16"/>
      <c r="H32" s="95"/>
      <c r="I32" s="88">
        <v>4150.0</v>
      </c>
      <c r="J32" s="70"/>
      <c r="K32" s="96"/>
      <c r="L32" s="45">
        <v>4150.0</v>
      </c>
      <c r="M32" s="22">
        <f t="shared" si="1"/>
        <v>0</v>
      </c>
    </row>
    <row r="33">
      <c r="A33" s="76">
        <v>29.0</v>
      </c>
      <c r="B33" s="56" t="s">
        <v>2837</v>
      </c>
      <c r="C33" s="56">
        <v>10001.0</v>
      </c>
      <c r="D33" s="56" t="s">
        <v>46</v>
      </c>
      <c r="E33" s="29"/>
      <c r="F33" s="25"/>
      <c r="G33" s="16"/>
      <c r="H33" s="95">
        <v>10280.0</v>
      </c>
      <c r="I33" s="88"/>
      <c r="J33" s="68"/>
      <c r="K33" s="96"/>
      <c r="L33" s="45">
        <v>10280.0</v>
      </c>
      <c r="M33" s="22">
        <f t="shared" si="1"/>
        <v>0</v>
      </c>
    </row>
    <row r="34">
      <c r="A34" s="76">
        <v>30.0</v>
      </c>
      <c r="B34" s="56" t="s">
        <v>2838</v>
      </c>
      <c r="C34" s="56">
        <v>21818.0</v>
      </c>
      <c r="D34" s="56" t="s">
        <v>82</v>
      </c>
      <c r="E34" s="27"/>
      <c r="F34" s="25"/>
      <c r="G34" s="16"/>
      <c r="H34" s="95"/>
      <c r="I34" s="88"/>
      <c r="J34" s="70">
        <v>350.0</v>
      </c>
      <c r="K34" s="96"/>
      <c r="L34" s="45">
        <v>350.0</v>
      </c>
      <c r="M34" s="22">
        <f t="shared" si="1"/>
        <v>0</v>
      </c>
    </row>
    <row r="35">
      <c r="A35" s="76">
        <v>31.0</v>
      </c>
      <c r="B35" s="56" t="s">
        <v>2839</v>
      </c>
      <c r="C35" s="56">
        <v>53550.0</v>
      </c>
      <c r="D35" s="56" t="s">
        <v>2840</v>
      </c>
      <c r="E35" s="29"/>
      <c r="F35" s="25"/>
      <c r="G35" s="16"/>
      <c r="H35" s="95">
        <v>1600.0</v>
      </c>
      <c r="I35" s="88"/>
      <c r="J35" s="70"/>
      <c r="K35" s="96"/>
      <c r="L35" s="45">
        <v>1600.0</v>
      </c>
      <c r="M35" s="22">
        <f t="shared" si="1"/>
        <v>0</v>
      </c>
    </row>
    <row r="36">
      <c r="A36" s="76">
        <v>32.0</v>
      </c>
      <c r="B36" s="56" t="s">
        <v>2841</v>
      </c>
      <c r="C36" s="56">
        <v>35354.0</v>
      </c>
      <c r="D36" s="56" t="s">
        <v>2842</v>
      </c>
      <c r="E36" s="27"/>
      <c r="F36" s="25"/>
      <c r="G36" s="16"/>
      <c r="H36" s="95">
        <v>4300.0</v>
      </c>
      <c r="I36" s="88"/>
      <c r="J36" s="70"/>
      <c r="K36" s="96"/>
      <c r="L36" s="45">
        <v>4300.0</v>
      </c>
      <c r="M36" s="22">
        <f t="shared" si="1"/>
        <v>0</v>
      </c>
    </row>
    <row r="37">
      <c r="A37" s="76">
        <v>33.0</v>
      </c>
      <c r="B37" s="56" t="s">
        <v>2843</v>
      </c>
      <c r="C37" s="56">
        <v>47520.0</v>
      </c>
      <c r="D37" s="56" t="s">
        <v>1700</v>
      </c>
      <c r="E37" s="29"/>
      <c r="F37" s="25"/>
      <c r="G37" s="16"/>
      <c r="H37" s="95">
        <v>8000.0</v>
      </c>
      <c r="I37" s="88"/>
      <c r="J37" s="68"/>
      <c r="K37" s="96"/>
      <c r="L37" s="45">
        <v>8000.0</v>
      </c>
      <c r="M37" s="22">
        <f t="shared" si="1"/>
        <v>0</v>
      </c>
    </row>
    <row r="38">
      <c r="A38" s="76">
        <v>34.0</v>
      </c>
      <c r="B38" s="56" t="s">
        <v>2844</v>
      </c>
      <c r="C38" s="56">
        <v>35852.0</v>
      </c>
      <c r="D38" s="56" t="s">
        <v>2845</v>
      </c>
      <c r="E38" s="29"/>
      <c r="F38" s="25"/>
      <c r="G38" s="16"/>
      <c r="H38" s="95">
        <v>3740.0</v>
      </c>
      <c r="I38" s="88"/>
      <c r="J38" s="70"/>
      <c r="K38" s="96"/>
      <c r="L38" s="45">
        <v>3740.0</v>
      </c>
      <c r="M38" s="22">
        <f t="shared" si="1"/>
        <v>0</v>
      </c>
    </row>
    <row r="39">
      <c r="A39" s="76">
        <v>35.0</v>
      </c>
      <c r="B39" s="56" t="s">
        <v>2846</v>
      </c>
      <c r="C39" s="56">
        <v>43887.0</v>
      </c>
      <c r="D39" s="56" t="s">
        <v>2847</v>
      </c>
      <c r="E39" s="27"/>
      <c r="F39" s="25"/>
      <c r="G39" s="16"/>
      <c r="H39" s="95"/>
      <c r="I39" s="88">
        <v>1200.0</v>
      </c>
      <c r="J39" s="68"/>
      <c r="K39" s="96"/>
      <c r="L39" s="45">
        <v>1200.0</v>
      </c>
      <c r="M39" s="22">
        <f t="shared" si="1"/>
        <v>0</v>
      </c>
    </row>
    <row r="40">
      <c r="A40" s="76">
        <v>36.0</v>
      </c>
      <c r="B40" s="56" t="s">
        <v>2848</v>
      </c>
      <c r="C40" s="56">
        <v>38387.0</v>
      </c>
      <c r="D40" s="56" t="s">
        <v>2849</v>
      </c>
      <c r="E40" s="27"/>
      <c r="F40" s="25"/>
      <c r="G40" s="16"/>
      <c r="H40" s="95">
        <v>900.0</v>
      </c>
      <c r="I40" s="88"/>
      <c r="J40" s="68"/>
      <c r="K40" s="96"/>
      <c r="L40" s="45">
        <v>900.0</v>
      </c>
      <c r="M40" s="22">
        <f t="shared" si="1"/>
        <v>0</v>
      </c>
    </row>
    <row r="41">
      <c r="A41" s="76">
        <v>37.0</v>
      </c>
      <c r="B41" s="56" t="s">
        <v>2850</v>
      </c>
      <c r="C41" s="56">
        <v>52669.0</v>
      </c>
      <c r="D41" s="56" t="s">
        <v>42</v>
      </c>
      <c r="E41" s="27"/>
      <c r="F41" s="25">
        <v>2350.0</v>
      </c>
      <c r="G41" s="16"/>
      <c r="H41" s="95"/>
      <c r="I41" s="88"/>
      <c r="J41" s="68"/>
      <c r="K41" s="96"/>
      <c r="L41" s="45">
        <v>2350.0</v>
      </c>
      <c r="M41" s="22">
        <f t="shared" si="1"/>
        <v>0</v>
      </c>
    </row>
    <row r="42">
      <c r="A42" s="76">
        <v>38.0</v>
      </c>
      <c r="B42" s="56" t="s">
        <v>2851</v>
      </c>
      <c r="C42" s="56">
        <v>10001.0</v>
      </c>
      <c r="D42" s="56" t="s">
        <v>46</v>
      </c>
      <c r="E42" s="27"/>
      <c r="F42" s="25"/>
      <c r="G42" s="16"/>
      <c r="H42" s="95"/>
      <c r="I42" s="97">
        <v>20000.0</v>
      </c>
      <c r="J42" s="68"/>
      <c r="K42" s="96"/>
      <c r="L42" s="45">
        <v>20000.0</v>
      </c>
      <c r="M42" s="22">
        <f t="shared" si="1"/>
        <v>0</v>
      </c>
    </row>
    <row r="43">
      <c r="A43" s="76">
        <v>39.0</v>
      </c>
      <c r="B43" s="56" t="s">
        <v>2852</v>
      </c>
      <c r="C43" s="56">
        <v>54899.0</v>
      </c>
      <c r="D43" s="56" t="s">
        <v>1282</v>
      </c>
      <c r="E43" s="29"/>
      <c r="F43" s="25"/>
      <c r="G43" s="16"/>
      <c r="H43" s="95"/>
      <c r="I43" s="88">
        <v>2500.0</v>
      </c>
      <c r="J43" s="70"/>
      <c r="K43" s="96"/>
      <c r="L43" s="45">
        <v>2500.0</v>
      </c>
      <c r="M43" s="22">
        <f t="shared" si="1"/>
        <v>0</v>
      </c>
    </row>
    <row r="44">
      <c r="A44" s="76">
        <v>40.0</v>
      </c>
      <c r="B44" s="56" t="s">
        <v>2853</v>
      </c>
      <c r="C44" s="56">
        <v>10001.0</v>
      </c>
      <c r="D44" s="56" t="s">
        <v>46</v>
      </c>
      <c r="E44" s="27"/>
      <c r="F44" s="25"/>
      <c r="G44" s="16"/>
      <c r="H44" s="95">
        <v>10000.0</v>
      </c>
      <c r="I44" s="88"/>
      <c r="J44" s="68"/>
      <c r="K44" s="96"/>
      <c r="L44" s="45">
        <v>10000.0</v>
      </c>
      <c r="M44" s="22">
        <f t="shared" si="1"/>
        <v>0</v>
      </c>
    </row>
    <row r="45">
      <c r="A45" s="76">
        <v>41.0</v>
      </c>
      <c r="B45" s="56" t="s">
        <v>2854</v>
      </c>
      <c r="C45" s="56">
        <v>25541.0</v>
      </c>
      <c r="D45" s="56" t="s">
        <v>515</v>
      </c>
      <c r="E45" s="27"/>
      <c r="F45" s="25">
        <v>9400.0</v>
      </c>
      <c r="G45" s="16"/>
      <c r="H45" s="95"/>
      <c r="I45" s="88"/>
      <c r="J45" s="68"/>
      <c r="K45" s="96"/>
      <c r="L45" s="45">
        <v>9400.0</v>
      </c>
      <c r="M45" s="22">
        <f t="shared" si="1"/>
        <v>0</v>
      </c>
    </row>
    <row r="46">
      <c r="A46" s="76">
        <v>42.0</v>
      </c>
      <c r="B46" s="56" t="s">
        <v>2855</v>
      </c>
      <c r="C46" s="56">
        <v>51090.0</v>
      </c>
      <c r="D46" s="56" t="s">
        <v>2856</v>
      </c>
      <c r="E46" s="27"/>
      <c r="F46" s="25"/>
      <c r="G46" s="16"/>
      <c r="H46" s="95">
        <v>5000.0</v>
      </c>
      <c r="I46" s="88"/>
      <c r="J46" s="68"/>
      <c r="K46" s="96"/>
      <c r="L46" s="45">
        <v>5000.0</v>
      </c>
      <c r="M46" s="22">
        <f t="shared" si="1"/>
        <v>0</v>
      </c>
    </row>
    <row r="47">
      <c r="A47" s="76">
        <v>43.0</v>
      </c>
      <c r="B47" s="56" t="s">
        <v>2857</v>
      </c>
      <c r="C47" s="56">
        <v>28414.0</v>
      </c>
      <c r="D47" s="56" t="s">
        <v>332</v>
      </c>
      <c r="E47" s="27"/>
      <c r="F47" s="25"/>
      <c r="G47" s="16"/>
      <c r="H47" s="95">
        <v>2650.0</v>
      </c>
      <c r="I47" s="88"/>
      <c r="J47" s="68"/>
      <c r="K47" s="96"/>
      <c r="L47" s="45">
        <v>2650.0</v>
      </c>
      <c r="M47" s="22">
        <f t="shared" si="1"/>
        <v>0</v>
      </c>
    </row>
    <row r="48">
      <c r="A48" s="76">
        <v>44.0</v>
      </c>
      <c r="B48" s="56" t="s">
        <v>2858</v>
      </c>
      <c r="C48" s="56">
        <v>55225.0</v>
      </c>
      <c r="D48" s="56" t="s">
        <v>2859</v>
      </c>
      <c r="E48" s="27"/>
      <c r="F48" s="25"/>
      <c r="G48" s="16"/>
      <c r="H48" s="95">
        <v>3600.0</v>
      </c>
      <c r="I48" s="88"/>
      <c r="J48" s="68"/>
      <c r="K48" s="96"/>
      <c r="L48" s="45">
        <v>3600.0</v>
      </c>
      <c r="M48" s="22">
        <f t="shared" si="1"/>
        <v>0</v>
      </c>
    </row>
    <row r="49">
      <c r="A49" s="76">
        <v>45.0</v>
      </c>
      <c r="B49" s="56" t="s">
        <v>2860</v>
      </c>
      <c r="C49" s="56">
        <v>39384.0</v>
      </c>
      <c r="D49" s="56" t="s">
        <v>2861</v>
      </c>
      <c r="E49" s="27"/>
      <c r="F49" s="25"/>
      <c r="G49" s="16"/>
      <c r="H49" s="95"/>
      <c r="I49" s="88">
        <v>3600.0</v>
      </c>
      <c r="J49" s="68"/>
      <c r="K49" s="96"/>
      <c r="L49" s="45">
        <v>3600.0</v>
      </c>
      <c r="M49" s="22">
        <f t="shared" si="1"/>
        <v>0</v>
      </c>
    </row>
    <row r="50">
      <c r="A50" s="76">
        <v>46.0</v>
      </c>
      <c r="B50" s="56" t="s">
        <v>2862</v>
      </c>
      <c r="C50" s="56">
        <v>32920.0</v>
      </c>
      <c r="D50" s="56" t="s">
        <v>2863</v>
      </c>
      <c r="E50" s="27"/>
      <c r="F50" s="25"/>
      <c r="G50" s="16"/>
      <c r="H50" s="95"/>
      <c r="I50" s="88">
        <v>3600.0</v>
      </c>
      <c r="J50" s="68"/>
      <c r="K50" s="96"/>
      <c r="L50" s="45">
        <v>3600.0</v>
      </c>
      <c r="M50" s="22">
        <f t="shared" si="1"/>
        <v>0</v>
      </c>
    </row>
    <row r="51">
      <c r="A51" s="76">
        <v>47.0</v>
      </c>
      <c r="B51" s="56" t="s">
        <v>2864</v>
      </c>
      <c r="C51" s="56">
        <v>35222.0</v>
      </c>
      <c r="D51" s="56" t="s">
        <v>2865</v>
      </c>
      <c r="E51" s="27"/>
      <c r="F51" s="25">
        <v>3600.0</v>
      </c>
      <c r="G51" s="16"/>
      <c r="H51" s="95"/>
      <c r="I51" s="88"/>
      <c r="J51" s="68"/>
      <c r="K51" s="96"/>
      <c r="L51" s="45">
        <v>3600.0</v>
      </c>
      <c r="M51" s="22">
        <f t="shared" si="1"/>
        <v>0</v>
      </c>
    </row>
    <row r="52">
      <c r="A52" s="76">
        <v>48.0</v>
      </c>
      <c r="B52" s="56" t="s">
        <v>2866</v>
      </c>
      <c r="C52" s="56">
        <v>10734.0</v>
      </c>
      <c r="D52" s="56" t="s">
        <v>1996</v>
      </c>
      <c r="E52" s="27"/>
      <c r="F52" s="25"/>
      <c r="G52" s="16"/>
      <c r="H52" s="95">
        <v>1200.0</v>
      </c>
      <c r="I52" s="88"/>
      <c r="J52" s="68"/>
      <c r="K52" s="96"/>
      <c r="L52" s="45">
        <v>1200.0</v>
      </c>
      <c r="M52" s="22">
        <f t="shared" si="1"/>
        <v>0</v>
      </c>
    </row>
    <row r="53">
      <c r="A53" s="76">
        <v>49.0</v>
      </c>
      <c r="B53" s="56" t="s">
        <v>2867</v>
      </c>
      <c r="C53" s="56">
        <v>52236.0</v>
      </c>
      <c r="D53" s="56" t="s">
        <v>2868</v>
      </c>
      <c r="E53" s="27"/>
      <c r="F53" s="25">
        <v>3600.0</v>
      </c>
      <c r="G53" s="16"/>
      <c r="H53" s="95"/>
      <c r="I53" s="88"/>
      <c r="J53" s="68"/>
      <c r="K53" s="96"/>
      <c r="L53" s="45">
        <v>3600.0</v>
      </c>
      <c r="M53" s="22">
        <f t="shared" si="1"/>
        <v>0</v>
      </c>
    </row>
    <row r="54">
      <c r="A54" s="76">
        <v>50.0</v>
      </c>
      <c r="B54" s="56" t="s">
        <v>2869</v>
      </c>
      <c r="C54" s="56">
        <v>55210.0</v>
      </c>
      <c r="D54" s="56" t="s">
        <v>2870</v>
      </c>
      <c r="E54" s="27"/>
      <c r="F54" s="25">
        <v>3600.0</v>
      </c>
      <c r="G54" s="16"/>
      <c r="H54" s="95"/>
      <c r="I54" s="88"/>
      <c r="J54" s="68"/>
      <c r="K54" s="96"/>
      <c r="L54" s="45">
        <v>3600.0</v>
      </c>
      <c r="M54" s="22">
        <f t="shared" si="1"/>
        <v>0</v>
      </c>
    </row>
    <row r="55">
      <c r="A55" s="76">
        <v>51.0</v>
      </c>
      <c r="B55" s="56" t="s">
        <v>2871</v>
      </c>
      <c r="C55" s="56">
        <v>21384.0</v>
      </c>
      <c r="D55" s="56" t="s">
        <v>151</v>
      </c>
      <c r="E55" s="27"/>
      <c r="F55" s="25"/>
      <c r="G55" s="16"/>
      <c r="H55" s="95">
        <v>5000.0</v>
      </c>
      <c r="I55" s="88"/>
      <c r="J55" s="68"/>
      <c r="K55" s="96"/>
      <c r="L55" s="45">
        <v>5000.0</v>
      </c>
      <c r="M55" s="22">
        <f t="shared" si="1"/>
        <v>0</v>
      </c>
    </row>
    <row r="56">
      <c r="A56" s="76">
        <v>52.0</v>
      </c>
      <c r="B56" s="56" t="s">
        <v>2872</v>
      </c>
      <c r="C56" s="56">
        <v>21384.0</v>
      </c>
      <c r="D56" s="56" t="s">
        <v>151</v>
      </c>
      <c r="E56" s="27"/>
      <c r="F56" s="25">
        <v>450.0</v>
      </c>
      <c r="G56" s="16"/>
      <c r="H56" s="95"/>
      <c r="I56" s="88"/>
      <c r="J56" s="68"/>
      <c r="K56" s="96"/>
      <c r="L56" s="45">
        <v>450.0</v>
      </c>
      <c r="M56" s="22">
        <f t="shared" si="1"/>
        <v>0</v>
      </c>
    </row>
    <row r="57">
      <c r="A57" s="76">
        <v>53.0</v>
      </c>
      <c r="B57" s="56" t="s">
        <v>2873</v>
      </c>
      <c r="C57" s="56">
        <v>26040.0</v>
      </c>
      <c r="D57" s="56" t="s">
        <v>2874</v>
      </c>
      <c r="E57" s="27"/>
      <c r="F57" s="25"/>
      <c r="G57" s="16"/>
      <c r="H57" s="95"/>
      <c r="I57" s="88">
        <v>3700.0</v>
      </c>
      <c r="J57" s="68"/>
      <c r="K57" s="96"/>
      <c r="L57" s="45">
        <v>3700.0</v>
      </c>
      <c r="M57" s="22">
        <f t="shared" si="1"/>
        <v>0</v>
      </c>
    </row>
    <row r="58">
      <c r="A58" s="76">
        <v>54.0</v>
      </c>
      <c r="B58" s="56" t="s">
        <v>2875</v>
      </c>
      <c r="C58" s="56">
        <v>31927.0</v>
      </c>
      <c r="D58" s="56" t="s">
        <v>275</v>
      </c>
      <c r="E58" s="27">
        <v>600.0</v>
      </c>
      <c r="F58" s="25">
        <v>600.0</v>
      </c>
      <c r="G58" s="16"/>
      <c r="H58" s="95">
        <v>2400.0</v>
      </c>
      <c r="I58" s="88"/>
      <c r="J58" s="68"/>
      <c r="K58" s="96"/>
      <c r="L58" s="45">
        <v>3600.0</v>
      </c>
      <c r="M58" s="22">
        <f t="shared" si="1"/>
        <v>0</v>
      </c>
    </row>
    <row r="59">
      <c r="A59" s="76">
        <v>55.0</v>
      </c>
      <c r="B59" s="56" t="s">
        <v>2876</v>
      </c>
      <c r="C59" s="56">
        <v>20541.0</v>
      </c>
      <c r="D59" s="56" t="s">
        <v>298</v>
      </c>
      <c r="E59" s="27"/>
      <c r="F59" s="25"/>
      <c r="G59" s="16"/>
      <c r="H59" s="95">
        <v>150.0</v>
      </c>
      <c r="I59" s="88"/>
      <c r="J59" s="68"/>
      <c r="K59" s="96"/>
      <c r="L59" s="45">
        <v>150.0</v>
      </c>
      <c r="M59" s="22">
        <f t="shared" si="1"/>
        <v>0</v>
      </c>
    </row>
    <row r="60">
      <c r="A60" s="76">
        <v>56.0</v>
      </c>
      <c r="B60" s="56" t="s">
        <v>2877</v>
      </c>
      <c r="C60" s="56">
        <v>54232.0</v>
      </c>
      <c r="D60" s="56" t="s">
        <v>2878</v>
      </c>
      <c r="E60" s="27"/>
      <c r="F60" s="25"/>
      <c r="G60" s="16"/>
      <c r="H60" s="95">
        <v>5850.0</v>
      </c>
      <c r="I60" s="88"/>
      <c r="J60" s="68"/>
      <c r="K60" s="96"/>
      <c r="L60" s="45">
        <v>5850.0</v>
      </c>
      <c r="M60" s="22">
        <f t="shared" si="1"/>
        <v>0</v>
      </c>
    </row>
    <row r="61">
      <c r="A61" s="76">
        <v>57.0</v>
      </c>
      <c r="B61" s="56" t="s">
        <v>2879</v>
      </c>
      <c r="C61" s="56">
        <v>21821.0</v>
      </c>
      <c r="D61" s="56" t="s">
        <v>959</v>
      </c>
      <c r="E61" s="27"/>
      <c r="F61" s="25"/>
      <c r="G61" s="16"/>
      <c r="H61" s="95"/>
      <c r="I61" s="88"/>
      <c r="J61" s="70">
        <v>7500.0</v>
      </c>
      <c r="K61" s="96"/>
      <c r="L61" s="45">
        <v>7500.0</v>
      </c>
      <c r="M61" s="22">
        <f t="shared" si="1"/>
        <v>0</v>
      </c>
    </row>
    <row r="62">
      <c r="A62" s="76">
        <v>58.0</v>
      </c>
      <c r="B62" s="56" t="s">
        <v>2880</v>
      </c>
      <c r="C62" s="56">
        <v>10006.0</v>
      </c>
      <c r="D62" s="56" t="s">
        <v>80</v>
      </c>
      <c r="E62" s="27"/>
      <c r="F62" s="25"/>
      <c r="G62" s="16"/>
      <c r="H62" s="95">
        <v>4000.0</v>
      </c>
      <c r="I62" s="88"/>
      <c r="J62" s="68"/>
      <c r="K62" s="96"/>
      <c r="L62" s="45">
        <v>4000.0</v>
      </c>
      <c r="M62" s="22">
        <f t="shared" si="1"/>
        <v>0</v>
      </c>
    </row>
    <row r="63">
      <c r="A63" s="76">
        <v>59.0</v>
      </c>
      <c r="B63" s="56" t="s">
        <v>2881</v>
      </c>
      <c r="C63" s="56">
        <v>30248.0</v>
      </c>
      <c r="D63" s="56" t="s">
        <v>673</v>
      </c>
      <c r="E63" s="27"/>
      <c r="F63" s="25"/>
      <c r="G63" s="16"/>
      <c r="H63" s="95">
        <v>5150.0</v>
      </c>
      <c r="I63" s="88"/>
      <c r="J63" s="68"/>
      <c r="K63" s="96"/>
      <c r="L63" s="45">
        <v>5150.0</v>
      </c>
      <c r="M63" s="22">
        <f t="shared" si="1"/>
        <v>0</v>
      </c>
    </row>
    <row r="64">
      <c r="A64" s="76">
        <v>60.0</v>
      </c>
      <c r="B64" s="56" t="s">
        <v>2882</v>
      </c>
      <c r="C64" s="56">
        <v>51909.0</v>
      </c>
      <c r="D64" s="56" t="s">
        <v>2883</v>
      </c>
      <c r="E64" s="27"/>
      <c r="F64" s="25"/>
      <c r="G64" s="16"/>
      <c r="H64" s="95">
        <v>6750.0</v>
      </c>
      <c r="I64" s="88"/>
      <c r="J64" s="68"/>
      <c r="K64" s="96"/>
      <c r="L64" s="45">
        <v>6750.0</v>
      </c>
      <c r="M64" s="22">
        <f t="shared" si="1"/>
        <v>0</v>
      </c>
    </row>
    <row r="65">
      <c r="A65" s="76">
        <v>61.0</v>
      </c>
      <c r="B65" s="56" t="s">
        <v>2884</v>
      </c>
      <c r="C65" s="56">
        <v>51909.0</v>
      </c>
      <c r="D65" s="56" t="s">
        <v>2883</v>
      </c>
      <c r="E65" s="27"/>
      <c r="F65" s="25"/>
      <c r="G65" s="16"/>
      <c r="H65" s="95">
        <v>350.0</v>
      </c>
      <c r="I65" s="88"/>
      <c r="J65" s="68"/>
      <c r="K65" s="96"/>
      <c r="L65" s="45">
        <v>350.0</v>
      </c>
      <c r="M65" s="22">
        <f t="shared" si="1"/>
        <v>0</v>
      </c>
    </row>
    <row r="66">
      <c r="A66" s="76">
        <v>62.0</v>
      </c>
      <c r="B66" s="56" t="s">
        <v>2885</v>
      </c>
      <c r="C66" s="56">
        <v>52058.0</v>
      </c>
      <c r="D66" s="56" t="s">
        <v>2886</v>
      </c>
      <c r="E66" s="27"/>
      <c r="F66" s="25">
        <v>3600.0</v>
      </c>
      <c r="G66" s="16"/>
      <c r="H66" s="95"/>
      <c r="I66" s="88"/>
      <c r="J66" s="68"/>
      <c r="K66" s="96"/>
      <c r="L66" s="45">
        <v>3600.0</v>
      </c>
      <c r="M66" s="22">
        <f t="shared" si="1"/>
        <v>0</v>
      </c>
    </row>
    <row r="67">
      <c r="A67" s="76">
        <v>63.0</v>
      </c>
      <c r="B67" s="56" t="s">
        <v>2887</v>
      </c>
      <c r="C67" s="56">
        <v>13781.0</v>
      </c>
      <c r="D67" s="56" t="s">
        <v>213</v>
      </c>
      <c r="E67" s="27">
        <v>1400.0</v>
      </c>
      <c r="F67" s="25"/>
      <c r="G67" s="16"/>
      <c r="H67" s="95"/>
      <c r="I67" s="88"/>
      <c r="J67" s="68"/>
      <c r="K67" s="96"/>
      <c r="L67" s="45">
        <v>1400.0</v>
      </c>
      <c r="M67" s="22">
        <f t="shared" si="1"/>
        <v>0</v>
      </c>
    </row>
    <row r="68">
      <c r="A68" s="76">
        <v>64.0</v>
      </c>
      <c r="B68" s="56" t="s">
        <v>2888</v>
      </c>
      <c r="C68" s="56">
        <v>21384.0</v>
      </c>
      <c r="D68" s="56" t="s">
        <v>151</v>
      </c>
      <c r="E68" s="27"/>
      <c r="F68" s="25">
        <v>5000.0</v>
      </c>
      <c r="G68" s="16"/>
      <c r="H68" s="95"/>
      <c r="I68" s="88"/>
      <c r="J68" s="70">
        <v>7500.0</v>
      </c>
      <c r="K68" s="96"/>
      <c r="L68" s="45">
        <v>12500.0</v>
      </c>
      <c r="M68" s="22">
        <f t="shared" si="1"/>
        <v>0</v>
      </c>
    </row>
    <row r="69">
      <c r="A69" s="76">
        <v>65.0</v>
      </c>
      <c r="B69" s="56" t="s">
        <v>2889</v>
      </c>
      <c r="C69" s="56">
        <v>13762.0</v>
      </c>
      <c r="D69" s="56" t="s">
        <v>211</v>
      </c>
      <c r="E69" s="27">
        <v>20000.0</v>
      </c>
      <c r="F69" s="25">
        <v>5000.0</v>
      </c>
      <c r="G69" s="16"/>
      <c r="H69" s="95"/>
      <c r="I69" s="88"/>
      <c r="J69" s="70"/>
      <c r="K69" s="96"/>
      <c r="L69" s="45">
        <v>25000.0</v>
      </c>
      <c r="M69" s="22">
        <f t="shared" si="1"/>
        <v>0</v>
      </c>
    </row>
    <row r="70">
      <c r="A70" s="76">
        <v>66.0</v>
      </c>
      <c r="B70" s="56" t="s">
        <v>2890</v>
      </c>
      <c r="C70" s="56">
        <v>42046.0</v>
      </c>
      <c r="D70" s="56" t="s">
        <v>163</v>
      </c>
      <c r="E70" s="27">
        <v>600.0</v>
      </c>
      <c r="F70" s="25"/>
      <c r="G70" s="16"/>
      <c r="H70" s="95"/>
      <c r="I70" s="88"/>
      <c r="J70" s="68"/>
      <c r="K70" s="96"/>
      <c r="L70" s="45">
        <v>600.0</v>
      </c>
      <c r="M70" s="22">
        <f t="shared" si="1"/>
        <v>0</v>
      </c>
    </row>
    <row r="71">
      <c r="A71" s="76">
        <v>67.0</v>
      </c>
      <c r="B71" s="56" t="s">
        <v>2891</v>
      </c>
      <c r="C71" s="56">
        <v>49599.0</v>
      </c>
      <c r="D71" s="56" t="s">
        <v>2241</v>
      </c>
      <c r="E71" s="27"/>
      <c r="F71" s="25"/>
      <c r="G71" s="16"/>
      <c r="H71" s="95">
        <v>350.0</v>
      </c>
      <c r="I71" s="88"/>
      <c r="J71" s="68"/>
      <c r="K71" s="96"/>
      <c r="L71" s="45">
        <v>350.0</v>
      </c>
      <c r="M71" s="22">
        <f t="shared" si="1"/>
        <v>0</v>
      </c>
    </row>
    <row r="72">
      <c r="A72" s="76">
        <v>68.0</v>
      </c>
      <c r="B72" s="56" t="s">
        <v>2892</v>
      </c>
      <c r="C72" s="56">
        <v>55446.0</v>
      </c>
      <c r="D72" s="56" t="s">
        <v>336</v>
      </c>
      <c r="E72" s="27"/>
      <c r="F72" s="25"/>
      <c r="G72" s="16"/>
      <c r="H72" s="95">
        <v>11500.0</v>
      </c>
      <c r="I72" s="88"/>
      <c r="J72" s="68"/>
      <c r="K72" s="96"/>
      <c r="L72" s="45">
        <v>11500.0</v>
      </c>
      <c r="M72" s="22">
        <f t="shared" si="1"/>
        <v>0</v>
      </c>
    </row>
    <row r="73">
      <c r="A73" s="76">
        <v>69.0</v>
      </c>
      <c r="B73" s="56" t="s">
        <v>2893</v>
      </c>
      <c r="C73" s="56">
        <v>44149.0</v>
      </c>
      <c r="D73" s="56" t="s">
        <v>44</v>
      </c>
      <c r="E73" s="27"/>
      <c r="F73" s="25"/>
      <c r="G73" s="16"/>
      <c r="H73" s="95">
        <v>1427.0</v>
      </c>
      <c r="I73" s="88"/>
      <c r="J73" s="70"/>
      <c r="K73" s="96"/>
      <c r="L73" s="45">
        <v>1427.0</v>
      </c>
      <c r="M73" s="22">
        <f t="shared" si="1"/>
        <v>0</v>
      </c>
    </row>
    <row r="74">
      <c r="A74" s="76">
        <v>70.0</v>
      </c>
      <c r="B74" s="56" t="s">
        <v>2894</v>
      </c>
      <c r="C74" s="56">
        <v>55215.0</v>
      </c>
      <c r="D74" s="56" t="s">
        <v>238</v>
      </c>
      <c r="E74" s="27"/>
      <c r="F74" s="25"/>
      <c r="G74" s="16"/>
      <c r="H74" s="95">
        <v>3500.0</v>
      </c>
      <c r="I74" s="88"/>
      <c r="J74" s="70"/>
      <c r="K74" s="96"/>
      <c r="L74" s="45">
        <v>3500.0</v>
      </c>
      <c r="M74" s="22">
        <f t="shared" si="1"/>
        <v>0</v>
      </c>
    </row>
    <row r="75">
      <c r="A75" s="76">
        <v>71.0</v>
      </c>
      <c r="B75" s="56" t="s">
        <v>2895</v>
      </c>
      <c r="C75" s="56">
        <v>57351.0</v>
      </c>
      <c r="D75" s="56" t="s">
        <v>1503</v>
      </c>
      <c r="E75" s="27"/>
      <c r="F75" s="25"/>
      <c r="G75" s="16"/>
      <c r="H75" s="95"/>
      <c r="I75" s="88">
        <v>2650.0</v>
      </c>
      <c r="J75" s="68"/>
      <c r="K75" s="96"/>
      <c r="L75" s="45">
        <v>2650.0</v>
      </c>
      <c r="M75" s="22">
        <f t="shared" si="1"/>
        <v>0</v>
      </c>
    </row>
    <row r="76">
      <c r="A76" s="76">
        <v>72.0</v>
      </c>
      <c r="B76" s="56" t="s">
        <v>2896</v>
      </c>
      <c r="C76" s="56">
        <v>21384.0</v>
      </c>
      <c r="D76" s="56" t="s">
        <v>151</v>
      </c>
      <c r="E76" s="27"/>
      <c r="F76" s="25">
        <v>3600.0</v>
      </c>
      <c r="G76" s="16"/>
      <c r="H76" s="95"/>
      <c r="I76" s="88"/>
      <c r="J76" s="68"/>
      <c r="K76" s="96"/>
      <c r="L76" s="45">
        <v>3600.0</v>
      </c>
      <c r="M76" s="22">
        <f t="shared" si="1"/>
        <v>0</v>
      </c>
    </row>
    <row r="77">
      <c r="A77" s="76">
        <v>73.0</v>
      </c>
      <c r="B77" s="56" t="s">
        <v>2897</v>
      </c>
      <c r="C77" s="56">
        <v>50821.0</v>
      </c>
      <c r="D77" s="56" t="s">
        <v>125</v>
      </c>
      <c r="E77" s="27">
        <v>350.0</v>
      </c>
      <c r="F77" s="25"/>
      <c r="G77" s="16"/>
      <c r="H77" s="95"/>
      <c r="I77" s="88"/>
      <c r="J77" s="68"/>
      <c r="K77" s="96"/>
      <c r="L77" s="45">
        <v>350.0</v>
      </c>
      <c r="M77" s="22">
        <f t="shared" si="1"/>
        <v>0</v>
      </c>
    </row>
    <row r="78">
      <c r="A78" s="76">
        <v>74.0</v>
      </c>
      <c r="B78" s="56" t="s">
        <v>2898</v>
      </c>
      <c r="C78" s="56">
        <v>57498.0</v>
      </c>
      <c r="D78" s="56" t="s">
        <v>268</v>
      </c>
      <c r="E78" s="27"/>
      <c r="F78" s="25"/>
      <c r="G78" s="16"/>
      <c r="H78" s="95">
        <v>8000.0</v>
      </c>
      <c r="I78" s="88"/>
      <c r="J78" s="68"/>
      <c r="K78" s="96"/>
      <c r="L78" s="45">
        <v>8000.0</v>
      </c>
      <c r="M78" s="22">
        <f t="shared" si="1"/>
        <v>0</v>
      </c>
    </row>
    <row r="79">
      <c r="A79" s="76">
        <v>75.0</v>
      </c>
      <c r="B79" s="56" t="s">
        <v>2899</v>
      </c>
      <c r="C79" s="56">
        <v>53259.0</v>
      </c>
      <c r="D79" s="56" t="s">
        <v>2900</v>
      </c>
      <c r="E79" s="27"/>
      <c r="F79" s="25"/>
      <c r="G79" s="16"/>
      <c r="H79" s="95">
        <v>1600.0</v>
      </c>
      <c r="I79" s="88"/>
      <c r="J79" s="70"/>
      <c r="K79" s="96"/>
      <c r="L79" s="45">
        <v>1600.0</v>
      </c>
      <c r="M79" s="22">
        <f t="shared" si="1"/>
        <v>0</v>
      </c>
    </row>
    <row r="80">
      <c r="A80" s="76">
        <v>76.0</v>
      </c>
      <c r="B80" s="56" t="s">
        <v>2901</v>
      </c>
      <c r="C80" s="56">
        <v>50918.0</v>
      </c>
      <c r="D80" s="56" t="s">
        <v>2902</v>
      </c>
      <c r="E80" s="27"/>
      <c r="F80" s="25"/>
      <c r="G80" s="16"/>
      <c r="H80" s="95"/>
      <c r="I80" s="88"/>
      <c r="J80" s="70">
        <v>600.0</v>
      </c>
      <c r="K80" s="96"/>
      <c r="L80" s="45">
        <v>600.0</v>
      </c>
      <c r="M80" s="22">
        <f t="shared" si="1"/>
        <v>0</v>
      </c>
    </row>
    <row r="81">
      <c r="A81" s="76">
        <v>77.0</v>
      </c>
      <c r="B81" s="56" t="s">
        <v>2903</v>
      </c>
      <c r="C81" s="56">
        <v>57868.0</v>
      </c>
      <c r="D81" s="56" t="s">
        <v>1478</v>
      </c>
      <c r="E81" s="27"/>
      <c r="F81" s="25"/>
      <c r="G81" s="16"/>
      <c r="H81" s="95"/>
      <c r="I81" s="88"/>
      <c r="J81" s="70">
        <v>600.0</v>
      </c>
      <c r="K81" s="96"/>
      <c r="L81" s="45">
        <v>600.0</v>
      </c>
      <c r="M81" s="22">
        <f t="shared" si="1"/>
        <v>0</v>
      </c>
    </row>
    <row r="82">
      <c r="A82" s="76">
        <v>78.0</v>
      </c>
      <c r="B82" s="56" t="s">
        <v>2904</v>
      </c>
      <c r="C82" s="56">
        <v>54454.0</v>
      </c>
      <c r="D82" s="56" t="s">
        <v>1609</v>
      </c>
      <c r="E82" s="27"/>
      <c r="F82" s="25"/>
      <c r="G82" s="16"/>
      <c r="H82" s="95"/>
      <c r="I82" s="88"/>
      <c r="J82" s="70">
        <v>600.0</v>
      </c>
      <c r="K82" s="96"/>
      <c r="L82" s="45">
        <v>600.0</v>
      </c>
      <c r="M82" s="22">
        <f t="shared" si="1"/>
        <v>0</v>
      </c>
    </row>
    <row r="83">
      <c r="A83" s="76">
        <v>79.0</v>
      </c>
      <c r="B83" s="56" t="s">
        <v>2905</v>
      </c>
      <c r="C83" s="56">
        <v>56743.0</v>
      </c>
      <c r="D83" s="56" t="s">
        <v>1485</v>
      </c>
      <c r="E83" s="27"/>
      <c r="F83" s="25"/>
      <c r="G83" s="16"/>
      <c r="H83" s="95"/>
      <c r="I83" s="88"/>
      <c r="J83" s="70">
        <v>600.0</v>
      </c>
      <c r="K83" s="96"/>
      <c r="L83" s="45">
        <v>600.0</v>
      </c>
      <c r="M83" s="22">
        <f t="shared" si="1"/>
        <v>0</v>
      </c>
    </row>
    <row r="84">
      <c r="A84" s="76">
        <v>80.0</v>
      </c>
      <c r="B84" s="56" t="s">
        <v>2906</v>
      </c>
      <c r="C84" s="56">
        <v>52206.0</v>
      </c>
      <c r="D84" s="56" t="s">
        <v>712</v>
      </c>
      <c r="E84" s="27"/>
      <c r="F84" s="25"/>
      <c r="G84" s="16"/>
      <c r="H84" s="95"/>
      <c r="I84" s="88"/>
      <c r="J84" s="70">
        <v>300.0</v>
      </c>
      <c r="K84" s="96"/>
      <c r="L84" s="45">
        <v>300.0</v>
      </c>
      <c r="M84" s="22">
        <f t="shared" si="1"/>
        <v>0</v>
      </c>
    </row>
    <row r="85">
      <c r="A85" s="76">
        <v>81.0</v>
      </c>
      <c r="B85" s="56" t="s">
        <v>2907</v>
      </c>
      <c r="C85" s="56">
        <v>50436.0</v>
      </c>
      <c r="D85" s="56" t="s">
        <v>561</v>
      </c>
      <c r="E85" s="27"/>
      <c r="F85" s="25"/>
      <c r="G85" s="16"/>
      <c r="H85" s="95">
        <v>7500.0</v>
      </c>
      <c r="I85" s="88"/>
      <c r="J85" s="68"/>
      <c r="K85" s="96"/>
      <c r="L85" s="45">
        <v>7500.0</v>
      </c>
      <c r="M85" s="22">
        <f t="shared" si="1"/>
        <v>0</v>
      </c>
    </row>
    <row r="86">
      <c r="A86" s="76">
        <v>82.0</v>
      </c>
      <c r="B86" s="56" t="s">
        <v>2908</v>
      </c>
      <c r="C86" s="56">
        <v>51898.0</v>
      </c>
      <c r="D86" s="56" t="s">
        <v>2909</v>
      </c>
      <c r="E86" s="27"/>
      <c r="F86" s="25">
        <v>4500.0</v>
      </c>
      <c r="G86" s="28"/>
      <c r="H86" s="95"/>
      <c r="I86" s="88"/>
      <c r="J86" s="68"/>
      <c r="K86" s="96"/>
      <c r="L86" s="45">
        <v>4500.0</v>
      </c>
      <c r="M86" s="22">
        <f t="shared" si="1"/>
        <v>0</v>
      </c>
    </row>
    <row r="87">
      <c r="A87" s="76">
        <v>83.0</v>
      </c>
      <c r="B87" s="56" t="s">
        <v>2910</v>
      </c>
      <c r="C87" s="56">
        <v>49890.0</v>
      </c>
      <c r="D87" s="56" t="s">
        <v>2911</v>
      </c>
      <c r="E87" s="27"/>
      <c r="F87" s="25"/>
      <c r="G87" s="28"/>
      <c r="H87" s="95"/>
      <c r="I87" s="88">
        <v>990.0</v>
      </c>
      <c r="J87" s="68"/>
      <c r="K87" s="96"/>
      <c r="L87" s="45">
        <v>990.0</v>
      </c>
      <c r="M87" s="22">
        <f t="shared" si="1"/>
        <v>0</v>
      </c>
    </row>
    <row r="88">
      <c r="A88" s="76">
        <v>84.0</v>
      </c>
      <c r="B88" s="56" t="s">
        <v>2912</v>
      </c>
      <c r="C88" s="56">
        <v>57201.0</v>
      </c>
      <c r="D88" s="56" t="s">
        <v>400</v>
      </c>
      <c r="E88" s="27"/>
      <c r="F88" s="25"/>
      <c r="G88" s="28"/>
      <c r="H88" s="95">
        <v>100.0</v>
      </c>
      <c r="I88" s="88"/>
      <c r="J88" s="68"/>
      <c r="K88" s="96"/>
      <c r="L88" s="45">
        <v>100.0</v>
      </c>
      <c r="M88" s="22">
        <f t="shared" si="1"/>
        <v>0</v>
      </c>
    </row>
    <row r="89">
      <c r="A89" s="76">
        <v>85.0</v>
      </c>
      <c r="B89" s="56" t="s">
        <v>2913</v>
      </c>
      <c r="C89" s="56">
        <v>57868.0</v>
      </c>
      <c r="D89" s="56" t="s">
        <v>1478</v>
      </c>
      <c r="E89" s="27"/>
      <c r="F89" s="25">
        <v>1250.0</v>
      </c>
      <c r="G89" s="28"/>
      <c r="H89" s="95"/>
      <c r="I89" s="88"/>
      <c r="J89" s="68"/>
      <c r="K89" s="96"/>
      <c r="L89" s="45">
        <v>1250.0</v>
      </c>
      <c r="M89" s="22">
        <f t="shared" si="1"/>
        <v>0</v>
      </c>
    </row>
    <row r="90">
      <c r="A90" s="76">
        <v>86.0</v>
      </c>
      <c r="B90" s="56" t="s">
        <v>2914</v>
      </c>
      <c r="C90" s="56">
        <v>22332.0</v>
      </c>
      <c r="D90" s="56" t="s">
        <v>78</v>
      </c>
      <c r="E90" s="27"/>
      <c r="F90" s="25"/>
      <c r="G90" s="28"/>
      <c r="H90" s="95">
        <v>5000.0</v>
      </c>
      <c r="I90" s="88"/>
      <c r="J90" s="70"/>
      <c r="K90" s="96"/>
      <c r="L90" s="45">
        <v>5000.0</v>
      </c>
      <c r="M90" s="22">
        <f t="shared" si="1"/>
        <v>0</v>
      </c>
    </row>
    <row r="91">
      <c r="A91" s="76">
        <v>87.0</v>
      </c>
      <c r="B91" s="56" t="s">
        <v>2915</v>
      </c>
      <c r="C91" s="56">
        <v>55446.0</v>
      </c>
      <c r="D91" s="56" t="s">
        <v>336</v>
      </c>
      <c r="E91" s="27"/>
      <c r="F91" s="25"/>
      <c r="G91" s="28"/>
      <c r="H91" s="95">
        <v>34500.0</v>
      </c>
      <c r="I91" s="88"/>
      <c r="J91" s="70"/>
      <c r="K91" s="96"/>
      <c r="L91" s="45">
        <v>34500.0</v>
      </c>
      <c r="M91" s="22">
        <f t="shared" si="1"/>
        <v>0</v>
      </c>
    </row>
    <row r="92">
      <c r="A92" s="76">
        <v>88.0</v>
      </c>
      <c r="B92" s="56" t="s">
        <v>2916</v>
      </c>
      <c r="C92" s="56">
        <v>21384.0</v>
      </c>
      <c r="D92" s="56" t="s">
        <v>151</v>
      </c>
      <c r="E92" s="27"/>
      <c r="F92" s="25">
        <v>2000.0</v>
      </c>
      <c r="G92" s="28"/>
      <c r="H92" s="95">
        <v>240.0</v>
      </c>
      <c r="I92" s="88"/>
      <c r="J92" s="70">
        <v>3100.0</v>
      </c>
      <c r="K92" s="96"/>
      <c r="L92" s="45">
        <v>5340.0</v>
      </c>
      <c r="M92" s="22">
        <f t="shared" si="1"/>
        <v>0</v>
      </c>
    </row>
    <row r="93">
      <c r="A93" s="76">
        <v>89.0</v>
      </c>
      <c r="B93" s="56" t="s">
        <v>2917</v>
      </c>
      <c r="C93" s="56">
        <v>50221.0</v>
      </c>
      <c r="D93" s="56" t="s">
        <v>864</v>
      </c>
      <c r="E93" s="27"/>
      <c r="F93" s="25"/>
      <c r="G93" s="28"/>
      <c r="H93" s="95">
        <v>98.0</v>
      </c>
      <c r="I93" s="88"/>
      <c r="J93" s="70"/>
      <c r="K93" s="96"/>
      <c r="L93" s="45">
        <v>98.0</v>
      </c>
      <c r="M93" s="22">
        <f t="shared" si="1"/>
        <v>0</v>
      </c>
    </row>
    <row r="94">
      <c r="A94" s="76">
        <v>90.0</v>
      </c>
      <c r="B94" s="56" t="s">
        <v>2918</v>
      </c>
      <c r="C94" s="56">
        <v>22332.0</v>
      </c>
      <c r="D94" s="56" t="s">
        <v>78</v>
      </c>
      <c r="E94" s="27"/>
      <c r="F94" s="25"/>
      <c r="G94" s="28"/>
      <c r="H94" s="95">
        <v>98.0</v>
      </c>
      <c r="I94" s="88"/>
      <c r="J94" s="70"/>
      <c r="K94" s="96"/>
      <c r="L94" s="45">
        <v>98.0</v>
      </c>
      <c r="M94" s="22">
        <f t="shared" si="1"/>
        <v>0</v>
      </c>
    </row>
    <row r="95">
      <c r="A95" s="76">
        <v>91.0</v>
      </c>
      <c r="B95" s="56" t="s">
        <v>2919</v>
      </c>
      <c r="C95" s="56">
        <v>55446.0</v>
      </c>
      <c r="D95" s="56" t="s">
        <v>336</v>
      </c>
      <c r="E95" s="27">
        <v>9000.0</v>
      </c>
      <c r="F95" s="25">
        <v>106000.0</v>
      </c>
      <c r="G95" s="28"/>
      <c r="H95" s="95"/>
      <c r="I95" s="88"/>
      <c r="J95" s="70"/>
      <c r="K95" s="96"/>
      <c r="L95" s="45">
        <v>115000.0</v>
      </c>
      <c r="M95" s="22">
        <f t="shared" si="1"/>
        <v>0</v>
      </c>
    </row>
    <row r="96">
      <c r="A96" s="76">
        <v>92.0</v>
      </c>
      <c r="B96" s="56" t="s">
        <v>2920</v>
      </c>
      <c r="C96" s="56">
        <v>57201.0</v>
      </c>
      <c r="D96" s="56" t="s">
        <v>400</v>
      </c>
      <c r="E96" s="27"/>
      <c r="F96" s="25"/>
      <c r="G96" s="28">
        <v>29000.0</v>
      </c>
      <c r="H96" s="95"/>
      <c r="I96" s="88"/>
      <c r="J96" s="70"/>
      <c r="K96" s="96"/>
      <c r="L96" s="45">
        <v>29000.0</v>
      </c>
      <c r="M96" s="22">
        <f t="shared" si="1"/>
        <v>0</v>
      </c>
    </row>
    <row r="97">
      <c r="A97" s="76">
        <v>93.0</v>
      </c>
      <c r="B97" s="56" t="s">
        <v>2921</v>
      </c>
      <c r="C97" s="56">
        <v>37642.0</v>
      </c>
      <c r="D97" s="56" t="s">
        <v>570</v>
      </c>
      <c r="E97" s="27"/>
      <c r="F97" s="25"/>
      <c r="G97" s="28">
        <v>16950.0</v>
      </c>
      <c r="H97" s="95"/>
      <c r="I97" s="88"/>
      <c r="J97" s="70"/>
      <c r="K97" s="96"/>
      <c r="L97" s="45">
        <v>16950.0</v>
      </c>
      <c r="M97" s="22">
        <f t="shared" si="1"/>
        <v>0</v>
      </c>
    </row>
    <row r="98">
      <c r="A98" s="76">
        <v>94.0</v>
      </c>
      <c r="B98" s="56" t="s">
        <v>2922</v>
      </c>
      <c r="C98" s="56">
        <v>50593.0</v>
      </c>
      <c r="D98" s="56" t="s">
        <v>288</v>
      </c>
      <c r="E98" s="27"/>
      <c r="F98" s="25"/>
      <c r="G98" s="28">
        <v>250000.0</v>
      </c>
      <c r="H98" s="95"/>
      <c r="I98" s="88"/>
      <c r="J98" s="70"/>
      <c r="K98" s="96"/>
      <c r="L98" s="45">
        <v>250000.0</v>
      </c>
      <c r="M98" s="22">
        <f t="shared" si="1"/>
        <v>0</v>
      </c>
    </row>
    <row r="99">
      <c r="A99" s="76">
        <v>95.0</v>
      </c>
      <c r="B99" s="56" t="s">
        <v>2923</v>
      </c>
      <c r="C99" s="56">
        <v>43380.0</v>
      </c>
      <c r="D99" s="56" t="s">
        <v>348</v>
      </c>
      <c r="E99" s="27"/>
      <c r="F99" s="25"/>
      <c r="G99" s="28">
        <v>5350.0</v>
      </c>
      <c r="H99" s="95"/>
      <c r="I99" s="88"/>
      <c r="J99" s="70"/>
      <c r="K99" s="96"/>
      <c r="L99" s="45">
        <v>5350.0</v>
      </c>
      <c r="M99" s="22">
        <f t="shared" si="1"/>
        <v>0</v>
      </c>
    </row>
    <row r="100">
      <c r="A100" s="76">
        <v>96.0</v>
      </c>
      <c r="B100" s="56" t="s">
        <v>2924</v>
      </c>
      <c r="C100" s="56">
        <v>12102.0</v>
      </c>
      <c r="D100" s="56" t="s">
        <v>113</v>
      </c>
      <c r="E100" s="27"/>
      <c r="F100" s="25"/>
      <c r="G100" s="28">
        <v>125500.0</v>
      </c>
      <c r="H100" s="95"/>
      <c r="I100" s="88"/>
      <c r="J100" s="70"/>
      <c r="K100" s="96"/>
      <c r="L100" s="45">
        <v>125500.0</v>
      </c>
      <c r="M100" s="22">
        <f t="shared" si="1"/>
        <v>0</v>
      </c>
    </row>
    <row r="101">
      <c r="A101" s="76">
        <v>97.0</v>
      </c>
      <c r="B101" s="56" t="s">
        <v>2925</v>
      </c>
      <c r="C101" s="56">
        <v>12102.0</v>
      </c>
      <c r="D101" s="56" t="s">
        <v>113</v>
      </c>
      <c r="E101" s="27"/>
      <c r="F101" s="25"/>
      <c r="G101" s="28">
        <v>115500.0</v>
      </c>
      <c r="H101" s="95"/>
      <c r="I101" s="88"/>
      <c r="J101" s="70"/>
      <c r="K101" s="96"/>
      <c r="L101" s="45">
        <v>115500.0</v>
      </c>
      <c r="M101" s="22">
        <f t="shared" si="1"/>
        <v>0</v>
      </c>
    </row>
    <row r="102">
      <c r="A102" s="76">
        <v>98.0</v>
      </c>
      <c r="B102" s="56" t="s">
        <v>2926</v>
      </c>
      <c r="C102" s="56">
        <v>49953.0</v>
      </c>
      <c r="D102" s="56" t="s">
        <v>62</v>
      </c>
      <c r="E102" s="27"/>
      <c r="F102" s="25"/>
      <c r="G102" s="28">
        <v>18850.0</v>
      </c>
      <c r="H102" s="95"/>
      <c r="I102" s="88"/>
      <c r="J102" s="68"/>
      <c r="K102" s="96"/>
      <c r="L102" s="45">
        <v>18850.0</v>
      </c>
      <c r="M102" s="22">
        <f t="shared" si="1"/>
        <v>0</v>
      </c>
    </row>
    <row r="103">
      <c r="A103" s="76">
        <v>99.0</v>
      </c>
      <c r="B103" s="56" t="s">
        <v>2927</v>
      </c>
      <c r="C103" s="56">
        <v>50873.0</v>
      </c>
      <c r="D103" s="56" t="s">
        <v>2928</v>
      </c>
      <c r="E103" s="27"/>
      <c r="F103" s="25"/>
      <c r="G103" s="28">
        <v>5000.0</v>
      </c>
      <c r="H103" s="95"/>
      <c r="I103" s="88"/>
      <c r="J103" s="68"/>
      <c r="K103" s="96"/>
      <c r="L103" s="45">
        <v>5000.0</v>
      </c>
      <c r="M103" s="22">
        <f t="shared" si="1"/>
        <v>0</v>
      </c>
    </row>
    <row r="104">
      <c r="A104" s="76">
        <v>100.0</v>
      </c>
      <c r="B104" s="56" t="s">
        <v>2929</v>
      </c>
      <c r="C104" s="56">
        <v>49191.0</v>
      </c>
      <c r="D104" s="56" t="s">
        <v>2930</v>
      </c>
      <c r="E104" s="27"/>
      <c r="F104" s="25"/>
      <c r="G104" s="28"/>
      <c r="H104" s="95"/>
      <c r="I104" s="88"/>
      <c r="J104" s="70">
        <v>3600.0</v>
      </c>
      <c r="K104" s="96"/>
      <c r="L104" s="45">
        <v>3600.0</v>
      </c>
      <c r="M104" s="22">
        <f t="shared" si="1"/>
        <v>0</v>
      </c>
    </row>
    <row r="105">
      <c r="A105" s="76">
        <v>101.0</v>
      </c>
      <c r="B105" s="56" t="s">
        <v>2931</v>
      </c>
      <c r="C105" s="56">
        <v>51256.0</v>
      </c>
      <c r="D105" s="56" t="s">
        <v>2932</v>
      </c>
      <c r="E105" s="27"/>
      <c r="F105" s="25"/>
      <c r="G105" s="28"/>
      <c r="H105" s="95"/>
      <c r="I105" s="88"/>
      <c r="J105" s="70">
        <v>3600.0</v>
      </c>
      <c r="K105" s="96"/>
      <c r="L105" s="45">
        <v>3600.0</v>
      </c>
      <c r="M105" s="22">
        <f t="shared" si="1"/>
        <v>0</v>
      </c>
    </row>
    <row r="106">
      <c r="A106" s="76">
        <v>102.0</v>
      </c>
      <c r="B106" s="56" t="s">
        <v>2933</v>
      </c>
      <c r="C106" s="56">
        <v>49970.0</v>
      </c>
      <c r="D106" s="56" t="s">
        <v>2934</v>
      </c>
      <c r="E106" s="27"/>
      <c r="F106" s="25"/>
      <c r="G106" s="28"/>
      <c r="H106" s="95"/>
      <c r="I106" s="88"/>
      <c r="J106" s="70">
        <v>3600.0</v>
      </c>
      <c r="K106" s="96"/>
      <c r="L106" s="45">
        <v>3600.0</v>
      </c>
      <c r="M106" s="22">
        <f t="shared" si="1"/>
        <v>0</v>
      </c>
    </row>
    <row r="107">
      <c r="A107" s="76">
        <v>103.0</v>
      </c>
      <c r="B107" s="56" t="s">
        <v>2935</v>
      </c>
      <c r="C107" s="56">
        <v>35245.0</v>
      </c>
      <c r="D107" s="56" t="s">
        <v>330</v>
      </c>
      <c r="E107" s="27"/>
      <c r="F107" s="25"/>
      <c r="G107" s="28">
        <v>2500.0</v>
      </c>
      <c r="H107" s="95"/>
      <c r="I107" s="88"/>
      <c r="J107" s="68"/>
      <c r="K107" s="96"/>
      <c r="L107" s="45">
        <v>2500.0</v>
      </c>
      <c r="M107" s="22">
        <f t="shared" si="1"/>
        <v>0</v>
      </c>
    </row>
    <row r="108">
      <c r="A108" s="76">
        <v>104.0</v>
      </c>
      <c r="B108" s="56" t="s">
        <v>2936</v>
      </c>
      <c r="C108" s="56">
        <v>50148.0</v>
      </c>
      <c r="D108" s="56" t="s">
        <v>355</v>
      </c>
      <c r="E108" s="27"/>
      <c r="F108" s="25"/>
      <c r="G108" s="28">
        <v>5000.0</v>
      </c>
      <c r="H108" s="95"/>
      <c r="I108" s="88"/>
      <c r="J108" s="68"/>
      <c r="K108" s="96"/>
      <c r="L108" s="45">
        <v>5000.0</v>
      </c>
      <c r="M108" s="22">
        <f t="shared" si="1"/>
        <v>0</v>
      </c>
    </row>
    <row r="109">
      <c r="A109" s="76">
        <v>105.0</v>
      </c>
      <c r="B109" s="56" t="s">
        <v>2937</v>
      </c>
      <c r="C109" s="56">
        <v>50148.0</v>
      </c>
      <c r="D109" s="56" t="s">
        <v>355</v>
      </c>
      <c r="E109" s="27"/>
      <c r="F109" s="25"/>
      <c r="G109" s="28">
        <v>5000.0</v>
      </c>
      <c r="H109" s="95"/>
      <c r="I109" s="88"/>
      <c r="J109" s="68"/>
      <c r="K109" s="96"/>
      <c r="L109" s="45">
        <v>5000.0</v>
      </c>
      <c r="M109" s="22">
        <f t="shared" si="1"/>
        <v>0</v>
      </c>
    </row>
    <row r="110">
      <c r="A110" s="76">
        <v>106.0</v>
      </c>
      <c r="B110" s="13"/>
      <c r="C110" s="13"/>
      <c r="D110" s="13"/>
      <c r="E110" s="27"/>
      <c r="F110" s="25"/>
      <c r="G110" s="28"/>
      <c r="H110" s="95"/>
      <c r="I110" s="88"/>
      <c r="J110" s="68"/>
      <c r="K110" s="96"/>
      <c r="L110" s="21"/>
      <c r="M110" s="22">
        <f t="shared" si="1"/>
        <v>0</v>
      </c>
    </row>
    <row r="111">
      <c r="A111" s="103"/>
      <c r="B111" s="12"/>
      <c r="C111" s="12"/>
      <c r="D111" s="104"/>
      <c r="E111" s="32">
        <f t="shared" ref="E111:L111" si="2">SUM(E5:E110)</f>
        <v>65050</v>
      </c>
      <c r="F111" s="32">
        <f t="shared" si="2"/>
        <v>208350</v>
      </c>
      <c r="G111" s="32">
        <f t="shared" si="2"/>
        <v>578650</v>
      </c>
      <c r="H111" s="32">
        <f t="shared" si="2"/>
        <v>234247</v>
      </c>
      <c r="I111" s="32">
        <f t="shared" si="2"/>
        <v>92860</v>
      </c>
      <c r="J111" s="32">
        <f t="shared" si="2"/>
        <v>32300</v>
      </c>
      <c r="K111" s="32">
        <f t="shared" si="2"/>
        <v>0</v>
      </c>
      <c r="L111" s="98">
        <f t="shared" si="2"/>
        <v>1211457</v>
      </c>
      <c r="M111" s="99">
        <f t="shared" si="1"/>
        <v>0</v>
      </c>
    </row>
    <row r="112">
      <c r="A112" s="105"/>
      <c r="B112" s="106"/>
      <c r="C112" s="106"/>
      <c r="D112" s="107"/>
      <c r="E112" s="34">
        <f>E111+F111+G111+H111+I111+J111+K111</f>
        <v>1211457</v>
      </c>
      <c r="F112" s="6"/>
      <c r="G112" s="6"/>
      <c r="H112" s="6"/>
      <c r="I112" s="6"/>
      <c r="J112" s="6"/>
      <c r="K112" s="7"/>
      <c r="L112" s="108"/>
      <c r="M112" s="33"/>
    </row>
    <row r="113">
      <c r="B113" s="64"/>
      <c r="C113" s="64"/>
      <c r="D113" s="75"/>
    </row>
    <row r="114">
      <c r="B114" s="64"/>
      <c r="C114" s="64"/>
      <c r="D114" s="75"/>
    </row>
    <row r="115">
      <c r="B115" s="64"/>
      <c r="C115" s="64"/>
      <c r="D115" s="75"/>
    </row>
    <row r="116">
      <c r="B116" s="64"/>
      <c r="C116" s="64"/>
      <c r="D116" s="75"/>
      <c r="H116" s="55" t="s">
        <v>588</v>
      </c>
    </row>
    <row r="117">
      <c r="B117" s="64"/>
      <c r="C117" s="64"/>
      <c r="D117" s="75"/>
    </row>
    <row r="118">
      <c r="B118" s="64"/>
      <c r="C118" s="64"/>
      <c r="D118" s="75"/>
      <c r="F118" s="55" t="s">
        <v>2412</v>
      </c>
      <c r="H118" s="55" t="s">
        <v>485</v>
      </c>
    </row>
    <row r="119">
      <c r="B119" s="64"/>
      <c r="C119" s="64"/>
      <c r="D119" s="75"/>
    </row>
    <row r="120">
      <c r="B120" s="64"/>
      <c r="C120" s="64"/>
      <c r="D120" s="75"/>
    </row>
    <row r="121">
      <c r="B121" s="64"/>
      <c r="C121" s="64"/>
      <c r="D121" s="75"/>
    </row>
    <row r="122">
      <c r="B122" s="64"/>
      <c r="C122" s="64"/>
      <c r="D122" s="75"/>
    </row>
    <row r="123">
      <c r="B123" s="64"/>
      <c r="C123" s="64"/>
      <c r="D123" s="75"/>
    </row>
    <row r="124">
      <c r="B124" s="64"/>
      <c r="C124" s="64"/>
      <c r="D124" s="75"/>
    </row>
    <row r="125">
      <c r="B125" s="64"/>
      <c r="C125" s="64"/>
      <c r="D125" s="75"/>
    </row>
    <row r="126">
      <c r="B126" s="64"/>
      <c r="C126" s="64"/>
      <c r="D126" s="75"/>
    </row>
    <row r="127">
      <c r="B127" s="64"/>
      <c r="C127" s="64"/>
      <c r="D127" s="75"/>
    </row>
    <row r="128">
      <c r="B128" s="64"/>
      <c r="C128" s="64"/>
      <c r="D128" s="75"/>
    </row>
    <row r="129">
      <c r="B129" s="64"/>
      <c r="C129" s="64"/>
      <c r="D129" s="75"/>
    </row>
    <row r="130">
      <c r="B130" s="64"/>
      <c r="C130" s="64"/>
      <c r="D130" s="75"/>
    </row>
    <row r="131">
      <c r="B131" s="64"/>
      <c r="C131" s="64"/>
      <c r="D131" s="75"/>
    </row>
    <row r="132">
      <c r="B132" s="64"/>
      <c r="C132" s="64"/>
      <c r="D132" s="75"/>
    </row>
    <row r="133">
      <c r="B133" s="64"/>
      <c r="C133" s="64"/>
      <c r="D133" s="75"/>
    </row>
    <row r="134">
      <c r="B134" s="64"/>
      <c r="C134" s="64"/>
      <c r="D134" s="75"/>
    </row>
    <row r="135">
      <c r="B135" s="64"/>
      <c r="C135" s="64"/>
      <c r="D135" s="75"/>
    </row>
    <row r="136">
      <c r="B136" s="64"/>
      <c r="C136" s="64"/>
      <c r="D136" s="75"/>
    </row>
    <row r="137">
      <c r="B137" s="64"/>
      <c r="C137" s="64"/>
      <c r="D137" s="75"/>
    </row>
    <row r="138">
      <c r="B138" s="64"/>
      <c r="C138" s="64"/>
      <c r="D138" s="75"/>
    </row>
    <row r="139">
      <c r="B139" s="64"/>
      <c r="C139" s="64"/>
      <c r="D139" s="75"/>
    </row>
    <row r="140">
      <c r="B140" s="64"/>
      <c r="C140" s="64"/>
      <c r="D140" s="75"/>
    </row>
    <row r="141">
      <c r="B141" s="64"/>
      <c r="C141" s="64"/>
      <c r="D141" s="75"/>
    </row>
    <row r="142">
      <c r="B142" s="64"/>
      <c r="C142" s="64"/>
      <c r="D142" s="75"/>
    </row>
    <row r="143">
      <c r="B143" s="64"/>
      <c r="C143" s="64"/>
      <c r="D143" s="75"/>
    </row>
    <row r="144">
      <c r="B144" s="64"/>
      <c r="C144" s="64"/>
      <c r="D144" s="75"/>
    </row>
    <row r="145">
      <c r="B145" s="64"/>
      <c r="C145" s="64"/>
      <c r="D145" s="75"/>
    </row>
    <row r="146">
      <c r="B146" s="64"/>
      <c r="C146" s="64"/>
      <c r="D146" s="75"/>
    </row>
    <row r="147">
      <c r="B147" s="64"/>
      <c r="C147" s="64"/>
      <c r="D147" s="75"/>
    </row>
    <row r="148">
      <c r="B148" s="64"/>
      <c r="C148" s="64"/>
      <c r="D148" s="75"/>
    </row>
    <row r="149">
      <c r="B149" s="64"/>
      <c r="C149" s="64"/>
      <c r="D149" s="75"/>
    </row>
    <row r="150">
      <c r="B150" s="64"/>
      <c r="C150" s="64"/>
      <c r="D150" s="75"/>
    </row>
    <row r="151">
      <c r="B151" s="64"/>
      <c r="C151" s="64"/>
      <c r="D151" s="75"/>
    </row>
    <row r="152">
      <c r="B152" s="64"/>
      <c r="C152" s="64"/>
      <c r="D152" s="75"/>
    </row>
    <row r="153">
      <c r="B153" s="64"/>
      <c r="C153" s="64"/>
      <c r="D153" s="75"/>
    </row>
    <row r="154">
      <c r="B154" s="64"/>
      <c r="C154" s="64"/>
      <c r="D154" s="75"/>
    </row>
    <row r="155">
      <c r="B155" s="64"/>
      <c r="C155" s="64"/>
      <c r="D155" s="75"/>
    </row>
    <row r="156">
      <c r="B156" s="64"/>
      <c r="C156" s="64"/>
      <c r="D156" s="75"/>
    </row>
    <row r="157">
      <c r="B157" s="64"/>
      <c r="C157" s="64"/>
      <c r="D157" s="75"/>
    </row>
    <row r="158">
      <c r="B158" s="64"/>
      <c r="C158" s="64"/>
      <c r="D158" s="75"/>
    </row>
    <row r="159">
      <c r="B159" s="64"/>
      <c r="C159" s="64"/>
      <c r="D159" s="75"/>
    </row>
    <row r="160">
      <c r="B160" s="64"/>
      <c r="C160" s="64"/>
      <c r="D160" s="75"/>
    </row>
    <row r="161">
      <c r="B161" s="64"/>
      <c r="C161" s="64"/>
      <c r="D161" s="75"/>
    </row>
    <row r="162">
      <c r="B162" s="64"/>
      <c r="C162" s="64"/>
      <c r="D162" s="75"/>
    </row>
    <row r="163">
      <c r="B163" s="64"/>
      <c r="C163" s="64"/>
      <c r="D163" s="75"/>
    </row>
    <row r="164">
      <c r="B164" s="64"/>
      <c r="C164" s="64"/>
      <c r="D164" s="75"/>
    </row>
    <row r="165">
      <c r="B165" s="64"/>
      <c r="C165" s="64"/>
      <c r="D165" s="75"/>
    </row>
    <row r="166">
      <c r="B166" s="64"/>
      <c r="C166" s="64"/>
      <c r="D166" s="75"/>
    </row>
    <row r="167">
      <c r="B167" s="64"/>
      <c r="C167" s="64"/>
      <c r="D167" s="75"/>
    </row>
    <row r="168">
      <c r="B168" s="64"/>
      <c r="C168" s="64"/>
      <c r="D168" s="75"/>
    </row>
    <row r="169">
      <c r="B169" s="64"/>
      <c r="C169" s="64"/>
      <c r="D169" s="75"/>
    </row>
    <row r="170">
      <c r="B170" s="64"/>
      <c r="C170" s="64"/>
      <c r="D170" s="75"/>
    </row>
    <row r="171">
      <c r="B171" s="64"/>
      <c r="C171" s="64"/>
      <c r="D171" s="75"/>
    </row>
    <row r="172">
      <c r="B172" s="64"/>
      <c r="C172" s="64"/>
      <c r="D172" s="75"/>
    </row>
    <row r="173">
      <c r="B173" s="64"/>
      <c r="C173" s="64"/>
      <c r="D173" s="75"/>
    </row>
    <row r="174">
      <c r="B174" s="64"/>
      <c r="C174" s="64"/>
      <c r="D174" s="75"/>
    </row>
    <row r="175">
      <c r="B175" s="64"/>
      <c r="C175" s="64"/>
      <c r="D175" s="75"/>
    </row>
    <row r="176">
      <c r="B176" s="64"/>
      <c r="C176" s="64"/>
      <c r="D176" s="75"/>
    </row>
    <row r="177">
      <c r="B177" s="64"/>
      <c r="C177" s="64"/>
      <c r="D177" s="75"/>
    </row>
    <row r="178">
      <c r="B178" s="64"/>
      <c r="C178" s="64"/>
      <c r="D178" s="75"/>
    </row>
    <row r="179">
      <c r="B179" s="64"/>
      <c r="C179" s="64"/>
      <c r="D179" s="75"/>
    </row>
    <row r="180">
      <c r="B180" s="64"/>
      <c r="C180" s="64"/>
      <c r="D180" s="75"/>
    </row>
    <row r="181">
      <c r="B181" s="64"/>
      <c r="C181" s="64"/>
      <c r="D181" s="75"/>
    </row>
    <row r="182">
      <c r="B182" s="64"/>
      <c r="C182" s="64"/>
      <c r="D182" s="75"/>
    </row>
    <row r="183">
      <c r="B183" s="64"/>
      <c r="C183" s="64"/>
      <c r="D183" s="75"/>
    </row>
    <row r="184">
      <c r="B184" s="64"/>
      <c r="C184" s="64"/>
      <c r="D184" s="75"/>
    </row>
    <row r="185">
      <c r="B185" s="64"/>
      <c r="C185" s="64"/>
      <c r="D185" s="75"/>
    </row>
    <row r="186">
      <c r="B186" s="64"/>
      <c r="C186" s="64"/>
      <c r="D186" s="75"/>
    </row>
    <row r="187">
      <c r="B187" s="64"/>
      <c r="C187" s="64"/>
      <c r="D187" s="75"/>
    </row>
    <row r="188">
      <c r="B188" s="64"/>
      <c r="C188" s="64"/>
      <c r="D188" s="75"/>
    </row>
    <row r="189">
      <c r="B189" s="64"/>
      <c r="C189" s="64"/>
      <c r="D189" s="75"/>
    </row>
    <row r="190">
      <c r="B190" s="64"/>
      <c r="C190" s="64"/>
      <c r="D190" s="75"/>
    </row>
    <row r="191">
      <c r="B191" s="64"/>
      <c r="C191" s="64"/>
      <c r="D191" s="75"/>
    </row>
    <row r="192">
      <c r="B192" s="64"/>
      <c r="C192" s="64"/>
      <c r="D192" s="75"/>
    </row>
    <row r="193">
      <c r="B193" s="64"/>
      <c r="C193" s="64"/>
      <c r="D193" s="75"/>
    </row>
    <row r="194">
      <c r="B194" s="64"/>
      <c r="C194" s="64"/>
      <c r="D194" s="75"/>
    </row>
    <row r="195">
      <c r="B195" s="64"/>
      <c r="C195" s="64"/>
      <c r="D195" s="75"/>
    </row>
    <row r="196">
      <c r="B196" s="64"/>
      <c r="C196" s="64"/>
      <c r="D196" s="75"/>
    </row>
    <row r="197">
      <c r="B197" s="64"/>
      <c r="C197" s="64"/>
      <c r="D197" s="75"/>
    </row>
    <row r="198">
      <c r="B198" s="64"/>
      <c r="C198" s="64"/>
      <c r="D198" s="75"/>
    </row>
    <row r="199">
      <c r="B199" s="64"/>
      <c r="C199" s="64"/>
      <c r="D199" s="75"/>
    </row>
    <row r="200">
      <c r="B200" s="64"/>
      <c r="C200" s="64"/>
      <c r="D200" s="75"/>
    </row>
    <row r="201">
      <c r="B201" s="64"/>
      <c r="C201" s="64"/>
      <c r="D201" s="75"/>
    </row>
    <row r="202">
      <c r="B202" s="64"/>
      <c r="C202" s="64"/>
      <c r="D202" s="75"/>
    </row>
    <row r="203">
      <c r="B203" s="64"/>
      <c r="C203" s="64"/>
      <c r="D203" s="75"/>
    </row>
    <row r="204">
      <c r="B204" s="64"/>
      <c r="C204" s="64"/>
      <c r="D204" s="75"/>
    </row>
    <row r="205">
      <c r="B205" s="64"/>
      <c r="C205" s="64"/>
      <c r="D205" s="75"/>
    </row>
    <row r="206">
      <c r="B206" s="64"/>
      <c r="C206" s="64"/>
      <c r="D206" s="75"/>
    </row>
    <row r="207">
      <c r="B207" s="64"/>
      <c r="C207" s="64"/>
      <c r="D207" s="75"/>
    </row>
    <row r="208">
      <c r="B208" s="64"/>
      <c r="C208" s="64"/>
      <c r="D208" s="75"/>
    </row>
    <row r="209">
      <c r="B209" s="64"/>
      <c r="C209" s="64"/>
      <c r="D209" s="75"/>
    </row>
    <row r="210">
      <c r="B210" s="64"/>
      <c r="C210" s="64"/>
      <c r="D210" s="75"/>
    </row>
    <row r="211">
      <c r="B211" s="64"/>
      <c r="C211" s="64"/>
      <c r="D211" s="75"/>
    </row>
    <row r="212">
      <c r="B212" s="64"/>
      <c r="C212" s="64"/>
      <c r="D212" s="75"/>
    </row>
    <row r="213">
      <c r="B213" s="64"/>
      <c r="C213" s="64"/>
      <c r="D213" s="75"/>
    </row>
    <row r="214">
      <c r="B214" s="64"/>
      <c r="C214" s="64"/>
      <c r="D214" s="75"/>
    </row>
    <row r="215">
      <c r="B215" s="64"/>
      <c r="C215" s="64"/>
      <c r="D215" s="75"/>
    </row>
    <row r="216">
      <c r="B216" s="64"/>
      <c r="C216" s="64"/>
      <c r="D216" s="75"/>
    </row>
    <row r="217">
      <c r="B217" s="64"/>
      <c r="C217" s="64"/>
      <c r="D217" s="75"/>
    </row>
    <row r="218">
      <c r="B218" s="64"/>
      <c r="C218" s="64"/>
      <c r="D218" s="75"/>
    </row>
    <row r="219">
      <c r="B219" s="64"/>
      <c r="C219" s="64"/>
      <c r="D219" s="75"/>
    </row>
    <row r="220">
      <c r="B220" s="64"/>
      <c r="C220" s="64"/>
      <c r="D220" s="75"/>
    </row>
    <row r="221">
      <c r="B221" s="64"/>
      <c r="C221" s="64"/>
      <c r="D221" s="75"/>
    </row>
    <row r="222">
      <c r="B222" s="64"/>
      <c r="C222" s="64"/>
      <c r="D222" s="75"/>
    </row>
    <row r="223">
      <c r="B223" s="64"/>
      <c r="C223" s="64"/>
      <c r="D223" s="75"/>
    </row>
    <row r="224">
      <c r="B224" s="64"/>
      <c r="C224" s="64"/>
      <c r="D224" s="75"/>
    </row>
    <row r="225">
      <c r="B225" s="64"/>
      <c r="C225" s="64"/>
      <c r="D225" s="75"/>
    </row>
    <row r="226">
      <c r="B226" s="64"/>
      <c r="C226" s="64"/>
      <c r="D226" s="75"/>
    </row>
    <row r="227">
      <c r="B227" s="64"/>
      <c r="C227" s="64"/>
      <c r="D227" s="75"/>
    </row>
    <row r="228">
      <c r="B228" s="64"/>
      <c r="C228" s="64"/>
      <c r="D228" s="75"/>
    </row>
    <row r="229">
      <c r="B229" s="64"/>
      <c r="C229" s="64"/>
      <c r="D229" s="75"/>
    </row>
    <row r="230">
      <c r="B230" s="64"/>
      <c r="C230" s="64"/>
      <c r="D230" s="75"/>
    </row>
    <row r="231">
      <c r="B231" s="64"/>
      <c r="C231" s="64"/>
      <c r="D231" s="75"/>
    </row>
    <row r="232">
      <c r="B232" s="64"/>
      <c r="C232" s="64"/>
      <c r="D232" s="75"/>
    </row>
    <row r="233">
      <c r="B233" s="64"/>
      <c r="C233" s="64"/>
      <c r="D233" s="75"/>
    </row>
    <row r="234">
      <c r="B234" s="64"/>
      <c r="C234" s="64"/>
      <c r="D234" s="75"/>
    </row>
    <row r="235">
      <c r="B235" s="64"/>
      <c r="C235" s="64"/>
      <c r="D235" s="75"/>
    </row>
    <row r="236">
      <c r="B236" s="64"/>
      <c r="C236" s="64"/>
      <c r="D236" s="75"/>
    </row>
    <row r="237">
      <c r="B237" s="64"/>
      <c r="C237" s="64"/>
      <c r="D237" s="75"/>
    </row>
    <row r="238">
      <c r="B238" s="64"/>
      <c r="C238" s="64"/>
      <c r="D238" s="75"/>
    </row>
    <row r="239">
      <c r="B239" s="64"/>
      <c r="C239" s="64"/>
      <c r="D239" s="75"/>
    </row>
    <row r="240">
      <c r="B240" s="64"/>
      <c r="C240" s="64"/>
      <c r="D240" s="75"/>
    </row>
    <row r="241">
      <c r="B241" s="64"/>
      <c r="C241" s="64"/>
      <c r="D241" s="75"/>
    </row>
    <row r="242">
      <c r="B242" s="64"/>
      <c r="C242" s="64"/>
      <c r="D242" s="75"/>
    </row>
    <row r="243">
      <c r="B243" s="64"/>
      <c r="C243" s="64"/>
      <c r="D243" s="75"/>
    </row>
    <row r="244">
      <c r="B244" s="64"/>
      <c r="C244" s="64"/>
      <c r="D244" s="75"/>
    </row>
    <row r="245">
      <c r="B245" s="64"/>
      <c r="C245" s="64"/>
      <c r="D245" s="75"/>
    </row>
    <row r="246">
      <c r="B246" s="64"/>
      <c r="C246" s="64"/>
      <c r="D246" s="75"/>
    </row>
    <row r="247">
      <c r="B247" s="64"/>
      <c r="C247" s="64"/>
      <c r="D247" s="75"/>
    </row>
    <row r="248">
      <c r="B248" s="64"/>
      <c r="C248" s="64"/>
      <c r="D248" s="75"/>
    </row>
    <row r="249">
      <c r="B249" s="64"/>
      <c r="C249" s="64"/>
      <c r="D249" s="75"/>
    </row>
    <row r="250">
      <c r="B250" s="64"/>
      <c r="C250" s="64"/>
      <c r="D250" s="75"/>
    </row>
    <row r="251">
      <c r="B251" s="64"/>
      <c r="C251" s="64"/>
      <c r="D251" s="75"/>
    </row>
    <row r="252">
      <c r="B252" s="64"/>
      <c r="C252" s="64"/>
      <c r="D252" s="75"/>
    </row>
    <row r="253">
      <c r="B253" s="64"/>
      <c r="C253" s="64"/>
      <c r="D253" s="75"/>
    </row>
    <row r="254">
      <c r="B254" s="64"/>
      <c r="C254" s="64"/>
      <c r="D254" s="75"/>
    </row>
    <row r="255">
      <c r="B255" s="64"/>
      <c r="C255" s="64"/>
      <c r="D255" s="75"/>
    </row>
    <row r="256">
      <c r="B256" s="64"/>
      <c r="C256" s="64"/>
      <c r="D256" s="75"/>
    </row>
    <row r="257">
      <c r="B257" s="64"/>
      <c r="C257" s="64"/>
      <c r="D257" s="75"/>
    </row>
    <row r="258">
      <c r="B258" s="64"/>
      <c r="C258" s="64"/>
      <c r="D258" s="75"/>
    </row>
    <row r="259">
      <c r="B259" s="64"/>
      <c r="C259" s="64"/>
      <c r="D259" s="75"/>
    </row>
    <row r="260">
      <c r="B260" s="64"/>
      <c r="C260" s="64"/>
      <c r="D260" s="75"/>
    </row>
    <row r="261">
      <c r="B261" s="64"/>
      <c r="C261" s="64"/>
      <c r="D261" s="75"/>
    </row>
    <row r="262">
      <c r="B262" s="64"/>
      <c r="C262" s="64"/>
      <c r="D262" s="75"/>
    </row>
    <row r="263">
      <c r="B263" s="64"/>
      <c r="C263" s="64"/>
      <c r="D263" s="75"/>
    </row>
    <row r="264">
      <c r="B264" s="64"/>
      <c r="C264" s="64"/>
      <c r="D264" s="75"/>
    </row>
    <row r="265">
      <c r="B265" s="64"/>
      <c r="C265" s="64"/>
      <c r="D265" s="75"/>
    </row>
    <row r="266">
      <c r="B266" s="64"/>
      <c r="C266" s="64"/>
      <c r="D266" s="75"/>
    </row>
    <row r="267">
      <c r="B267" s="64"/>
      <c r="C267" s="64"/>
      <c r="D267" s="75"/>
    </row>
    <row r="268">
      <c r="B268" s="64"/>
      <c r="C268" s="64"/>
      <c r="D268" s="75"/>
    </row>
    <row r="269">
      <c r="B269" s="64"/>
      <c r="C269" s="64"/>
      <c r="D269" s="75"/>
    </row>
    <row r="270">
      <c r="B270" s="64"/>
      <c r="C270" s="64"/>
      <c r="D270" s="75"/>
    </row>
    <row r="271">
      <c r="B271" s="64"/>
      <c r="C271" s="64"/>
      <c r="D271" s="75"/>
    </row>
    <row r="272">
      <c r="B272" s="64"/>
      <c r="C272" s="64"/>
      <c r="D272" s="75"/>
    </row>
    <row r="273">
      <c r="B273" s="64"/>
      <c r="C273" s="64"/>
      <c r="D273" s="75"/>
    </row>
    <row r="274">
      <c r="B274" s="64"/>
      <c r="C274" s="64"/>
      <c r="D274" s="75"/>
    </row>
    <row r="275">
      <c r="B275" s="64"/>
      <c r="C275" s="64"/>
      <c r="D275" s="75"/>
    </row>
    <row r="276">
      <c r="B276" s="64"/>
      <c r="C276" s="64"/>
      <c r="D276" s="75"/>
    </row>
    <row r="277">
      <c r="B277" s="64"/>
      <c r="C277" s="64"/>
      <c r="D277" s="75"/>
    </row>
    <row r="278">
      <c r="B278" s="64"/>
      <c r="C278" s="64"/>
      <c r="D278" s="75"/>
    </row>
    <row r="279">
      <c r="B279" s="64"/>
      <c r="C279" s="64"/>
      <c r="D279" s="75"/>
    </row>
    <row r="280">
      <c r="B280" s="64"/>
      <c r="C280" s="64"/>
      <c r="D280" s="75"/>
    </row>
    <row r="281">
      <c r="B281" s="64"/>
      <c r="C281" s="64"/>
      <c r="D281" s="75"/>
    </row>
    <row r="282">
      <c r="B282" s="64"/>
      <c r="C282" s="64"/>
      <c r="D282" s="75"/>
    </row>
    <row r="283">
      <c r="B283" s="64"/>
      <c r="C283" s="64"/>
      <c r="D283" s="75"/>
    </row>
    <row r="284">
      <c r="B284" s="64"/>
      <c r="C284" s="64"/>
      <c r="D284" s="75"/>
    </row>
    <row r="285">
      <c r="B285" s="64"/>
      <c r="C285" s="64"/>
      <c r="D285" s="75"/>
    </row>
    <row r="286">
      <c r="B286" s="64"/>
      <c r="C286" s="64"/>
      <c r="D286" s="75"/>
    </row>
    <row r="287">
      <c r="B287" s="64"/>
      <c r="C287" s="64"/>
      <c r="D287" s="75"/>
    </row>
    <row r="288">
      <c r="B288" s="64"/>
      <c r="C288" s="64"/>
      <c r="D288" s="75"/>
    </row>
    <row r="289">
      <c r="B289" s="64"/>
      <c r="C289" s="64"/>
      <c r="D289" s="75"/>
    </row>
    <row r="290">
      <c r="B290" s="64"/>
      <c r="C290" s="64"/>
      <c r="D290" s="75"/>
    </row>
    <row r="291">
      <c r="B291" s="64"/>
      <c r="C291" s="64"/>
      <c r="D291" s="75"/>
    </row>
    <row r="292">
      <c r="B292" s="64"/>
      <c r="C292" s="64"/>
      <c r="D292" s="75"/>
    </row>
    <row r="293">
      <c r="B293" s="64"/>
      <c r="C293" s="64"/>
      <c r="D293" s="75"/>
    </row>
    <row r="294">
      <c r="B294" s="64"/>
      <c r="C294" s="64"/>
      <c r="D294" s="75"/>
    </row>
    <row r="295">
      <c r="B295" s="64"/>
      <c r="C295" s="64"/>
      <c r="D295" s="75"/>
    </row>
    <row r="296">
      <c r="B296" s="64"/>
      <c r="C296" s="64"/>
      <c r="D296" s="75"/>
    </row>
    <row r="297">
      <c r="B297" s="64"/>
      <c r="C297" s="64"/>
      <c r="D297" s="75"/>
    </row>
    <row r="298">
      <c r="B298" s="64"/>
      <c r="C298" s="64"/>
      <c r="D298" s="75"/>
    </row>
    <row r="299">
      <c r="B299" s="64"/>
      <c r="C299" s="64"/>
      <c r="D299" s="75"/>
    </row>
    <row r="300">
      <c r="B300" s="64"/>
      <c r="C300" s="64"/>
      <c r="D300" s="75"/>
    </row>
    <row r="301">
      <c r="B301" s="64"/>
      <c r="C301" s="64"/>
      <c r="D301" s="75"/>
    </row>
    <row r="302">
      <c r="B302" s="64"/>
      <c r="C302" s="64"/>
      <c r="D302" s="75"/>
    </row>
    <row r="303">
      <c r="B303" s="64"/>
      <c r="C303" s="64"/>
      <c r="D303" s="75"/>
    </row>
    <row r="304">
      <c r="B304" s="64"/>
      <c r="C304" s="64"/>
      <c r="D304" s="75"/>
    </row>
    <row r="305">
      <c r="B305" s="64"/>
      <c r="C305" s="64"/>
      <c r="D305" s="75"/>
    </row>
    <row r="306">
      <c r="B306" s="64"/>
      <c r="C306" s="64"/>
      <c r="D306" s="75"/>
    </row>
    <row r="307">
      <c r="B307" s="64"/>
      <c r="C307" s="64"/>
      <c r="D307" s="75"/>
    </row>
    <row r="308">
      <c r="B308" s="64"/>
      <c r="C308" s="64"/>
      <c r="D308" s="75"/>
    </row>
    <row r="309">
      <c r="B309" s="64"/>
      <c r="C309" s="64"/>
      <c r="D309" s="75"/>
    </row>
    <row r="310">
      <c r="B310" s="64"/>
      <c r="C310" s="64"/>
      <c r="D310" s="75"/>
    </row>
    <row r="311">
      <c r="B311" s="64"/>
      <c r="C311" s="64"/>
      <c r="D311" s="75"/>
    </row>
    <row r="312">
      <c r="B312" s="64"/>
      <c r="C312" s="64"/>
      <c r="D312" s="75"/>
    </row>
    <row r="313">
      <c r="B313" s="64"/>
      <c r="C313" s="64"/>
      <c r="D313" s="75"/>
    </row>
    <row r="314">
      <c r="B314" s="64"/>
      <c r="C314" s="64"/>
      <c r="D314" s="75"/>
    </row>
    <row r="315">
      <c r="B315" s="64"/>
      <c r="C315" s="64"/>
      <c r="D315" s="75"/>
    </row>
    <row r="316">
      <c r="B316" s="64"/>
      <c r="C316" s="64"/>
      <c r="D316" s="75"/>
    </row>
    <row r="317">
      <c r="B317" s="64"/>
      <c r="C317" s="64"/>
      <c r="D317" s="75"/>
    </row>
    <row r="318">
      <c r="B318" s="64"/>
      <c r="C318" s="64"/>
      <c r="D318" s="75"/>
    </row>
    <row r="319">
      <c r="B319" s="64"/>
      <c r="C319" s="64"/>
      <c r="D319" s="75"/>
    </row>
    <row r="320">
      <c r="B320" s="64"/>
      <c r="C320" s="64"/>
      <c r="D320" s="75"/>
    </row>
    <row r="321">
      <c r="B321" s="64"/>
      <c r="C321" s="64"/>
      <c r="D321" s="75"/>
    </row>
    <row r="322">
      <c r="B322" s="64"/>
      <c r="C322" s="64"/>
      <c r="D322" s="75"/>
    </row>
    <row r="323">
      <c r="B323" s="64"/>
      <c r="C323" s="64"/>
      <c r="D323" s="75"/>
    </row>
    <row r="324">
      <c r="B324" s="64"/>
      <c r="C324" s="64"/>
      <c r="D324" s="75"/>
    </row>
    <row r="325">
      <c r="B325" s="64"/>
      <c r="C325" s="64"/>
      <c r="D325" s="75"/>
    </row>
    <row r="326">
      <c r="B326" s="64"/>
      <c r="C326" s="64"/>
      <c r="D326" s="75"/>
    </row>
    <row r="327">
      <c r="B327" s="64"/>
      <c r="C327" s="64"/>
      <c r="D327" s="75"/>
    </row>
    <row r="328">
      <c r="B328" s="64"/>
      <c r="C328" s="64"/>
      <c r="D328" s="75"/>
    </row>
    <row r="329">
      <c r="B329" s="64"/>
      <c r="C329" s="64"/>
      <c r="D329" s="75"/>
    </row>
    <row r="330">
      <c r="B330" s="64"/>
      <c r="C330" s="64"/>
      <c r="D330" s="75"/>
    </row>
    <row r="331">
      <c r="B331" s="64"/>
      <c r="C331" s="64"/>
      <c r="D331" s="75"/>
    </row>
    <row r="332">
      <c r="B332" s="64"/>
      <c r="C332" s="64"/>
      <c r="D332" s="75"/>
    </row>
    <row r="333">
      <c r="B333" s="64"/>
      <c r="C333" s="64"/>
      <c r="D333" s="75"/>
    </row>
    <row r="334">
      <c r="B334" s="64"/>
      <c r="C334" s="64"/>
      <c r="D334" s="75"/>
    </row>
    <row r="335">
      <c r="B335" s="64"/>
      <c r="C335" s="64"/>
      <c r="D335" s="75"/>
    </row>
    <row r="336">
      <c r="B336" s="64"/>
      <c r="C336" s="64"/>
      <c r="D336" s="75"/>
    </row>
    <row r="337">
      <c r="B337" s="64"/>
      <c r="C337" s="64"/>
      <c r="D337" s="75"/>
    </row>
    <row r="338">
      <c r="B338" s="64"/>
      <c r="C338" s="64"/>
      <c r="D338" s="75"/>
    </row>
    <row r="339">
      <c r="B339" s="64"/>
      <c r="C339" s="64"/>
      <c r="D339" s="75"/>
    </row>
    <row r="340">
      <c r="B340" s="64"/>
      <c r="C340" s="64"/>
      <c r="D340" s="75"/>
    </row>
    <row r="341">
      <c r="B341" s="64"/>
      <c r="C341" s="64"/>
      <c r="D341" s="75"/>
    </row>
    <row r="342">
      <c r="B342" s="64"/>
      <c r="C342" s="64"/>
      <c r="D342" s="75"/>
    </row>
    <row r="343">
      <c r="B343" s="64"/>
      <c r="C343" s="64"/>
      <c r="D343" s="75"/>
    </row>
    <row r="344">
      <c r="B344" s="64"/>
      <c r="C344" s="64"/>
      <c r="D344" s="75"/>
    </row>
    <row r="345">
      <c r="B345" s="64"/>
      <c r="C345" s="64"/>
      <c r="D345" s="75"/>
    </row>
    <row r="346">
      <c r="B346" s="64"/>
      <c r="C346" s="64"/>
      <c r="D346" s="75"/>
    </row>
    <row r="347">
      <c r="B347" s="64"/>
      <c r="C347" s="64"/>
      <c r="D347" s="75"/>
    </row>
    <row r="348">
      <c r="B348" s="64"/>
      <c r="C348" s="64"/>
      <c r="D348" s="75"/>
    </row>
    <row r="349">
      <c r="B349" s="64"/>
      <c r="C349" s="64"/>
      <c r="D349" s="75"/>
    </row>
    <row r="350">
      <c r="B350" s="64"/>
      <c r="C350" s="64"/>
      <c r="D350" s="75"/>
    </row>
    <row r="351">
      <c r="B351" s="64"/>
      <c r="C351" s="64"/>
      <c r="D351" s="75"/>
    </row>
    <row r="352">
      <c r="B352" s="64"/>
      <c r="C352" s="64"/>
      <c r="D352" s="75"/>
    </row>
    <row r="353">
      <c r="B353" s="64"/>
      <c r="C353" s="64"/>
      <c r="D353" s="75"/>
    </row>
    <row r="354">
      <c r="B354" s="64"/>
      <c r="C354" s="64"/>
      <c r="D354" s="75"/>
    </row>
    <row r="355">
      <c r="B355" s="64"/>
      <c r="C355" s="64"/>
      <c r="D355" s="75"/>
    </row>
    <row r="356">
      <c r="B356" s="64"/>
      <c r="C356" s="64"/>
      <c r="D356" s="75"/>
    </row>
    <row r="357">
      <c r="B357" s="64"/>
      <c r="C357" s="64"/>
      <c r="D357" s="75"/>
    </row>
    <row r="358">
      <c r="B358" s="64"/>
      <c r="C358" s="64"/>
      <c r="D358" s="75"/>
    </row>
    <row r="359">
      <c r="B359" s="64"/>
      <c r="C359" s="64"/>
      <c r="D359" s="75"/>
    </row>
    <row r="360">
      <c r="B360" s="64"/>
      <c r="C360" s="64"/>
      <c r="D360" s="75"/>
    </row>
    <row r="361">
      <c r="B361" s="64"/>
      <c r="C361" s="64"/>
      <c r="D361" s="75"/>
    </row>
    <row r="362">
      <c r="B362" s="64"/>
      <c r="C362" s="64"/>
      <c r="D362" s="75"/>
    </row>
    <row r="363">
      <c r="B363" s="64"/>
      <c r="C363" s="64"/>
      <c r="D363" s="75"/>
    </row>
    <row r="364">
      <c r="B364" s="64"/>
      <c r="C364" s="64"/>
      <c r="D364" s="75"/>
    </row>
    <row r="365">
      <c r="B365" s="64"/>
      <c r="C365" s="64"/>
      <c r="D365" s="75"/>
    </row>
    <row r="366">
      <c r="B366" s="64"/>
      <c r="C366" s="64"/>
      <c r="D366" s="75"/>
    </row>
    <row r="367">
      <c r="B367" s="64"/>
      <c r="C367" s="64"/>
      <c r="D367" s="75"/>
    </row>
    <row r="368">
      <c r="B368" s="64"/>
      <c r="C368" s="64"/>
      <c r="D368" s="75"/>
    </row>
    <row r="369">
      <c r="B369" s="64"/>
      <c r="C369" s="64"/>
      <c r="D369" s="75"/>
    </row>
    <row r="370">
      <c r="B370" s="64"/>
      <c r="C370" s="64"/>
      <c r="D370" s="75"/>
    </row>
    <row r="371">
      <c r="B371" s="64"/>
      <c r="C371" s="64"/>
      <c r="D371" s="75"/>
    </row>
    <row r="372">
      <c r="B372" s="64"/>
      <c r="C372" s="64"/>
      <c r="D372" s="75"/>
    </row>
    <row r="373">
      <c r="B373" s="64"/>
      <c r="C373" s="64"/>
      <c r="D373" s="75"/>
    </row>
    <row r="374">
      <c r="B374" s="64"/>
      <c r="C374" s="64"/>
      <c r="D374" s="75"/>
    </row>
    <row r="375">
      <c r="B375" s="64"/>
      <c r="C375" s="64"/>
      <c r="D375" s="75"/>
    </row>
    <row r="376">
      <c r="B376" s="64"/>
      <c r="C376" s="64"/>
      <c r="D376" s="75"/>
    </row>
    <row r="377">
      <c r="B377" s="64"/>
      <c r="C377" s="64"/>
      <c r="D377" s="75"/>
    </row>
    <row r="378">
      <c r="B378" s="64"/>
      <c r="C378" s="64"/>
      <c r="D378" s="75"/>
    </row>
    <row r="379">
      <c r="B379" s="64"/>
      <c r="C379" s="64"/>
      <c r="D379" s="75"/>
    </row>
    <row r="380">
      <c r="B380" s="64"/>
      <c r="C380" s="64"/>
      <c r="D380" s="75"/>
    </row>
    <row r="381">
      <c r="B381" s="64"/>
      <c r="C381" s="64"/>
      <c r="D381" s="75"/>
    </row>
    <row r="382">
      <c r="B382" s="64"/>
      <c r="C382" s="64"/>
      <c r="D382" s="75"/>
    </row>
    <row r="383">
      <c r="B383" s="64"/>
      <c r="C383" s="64"/>
      <c r="D383" s="75"/>
    </row>
    <row r="384">
      <c r="B384" s="64"/>
      <c r="C384" s="64"/>
      <c r="D384" s="75"/>
    </row>
    <row r="385">
      <c r="B385" s="64"/>
      <c r="C385" s="64"/>
      <c r="D385" s="75"/>
    </row>
    <row r="386">
      <c r="B386" s="64"/>
      <c r="C386" s="64"/>
      <c r="D386" s="75"/>
    </row>
    <row r="387">
      <c r="B387" s="64"/>
      <c r="C387" s="64"/>
      <c r="D387" s="75"/>
    </row>
    <row r="388">
      <c r="B388" s="64"/>
      <c r="C388" s="64"/>
      <c r="D388" s="75"/>
    </row>
    <row r="389">
      <c r="B389" s="64"/>
      <c r="C389" s="64"/>
      <c r="D389" s="75"/>
    </row>
    <row r="390">
      <c r="B390" s="64"/>
      <c r="C390" s="64"/>
      <c r="D390" s="75"/>
    </row>
    <row r="391">
      <c r="B391" s="64"/>
      <c r="C391" s="64"/>
      <c r="D391" s="75"/>
    </row>
    <row r="392">
      <c r="B392" s="64"/>
      <c r="C392" s="64"/>
      <c r="D392" s="75"/>
    </row>
    <row r="393">
      <c r="B393" s="64"/>
      <c r="C393" s="64"/>
      <c r="D393" s="75"/>
    </row>
    <row r="394">
      <c r="B394" s="64"/>
      <c r="C394" s="64"/>
      <c r="D394" s="75"/>
    </row>
    <row r="395">
      <c r="B395" s="64"/>
      <c r="C395" s="64"/>
      <c r="D395" s="75"/>
    </row>
    <row r="396">
      <c r="B396" s="64"/>
      <c r="C396" s="64"/>
      <c r="D396" s="75"/>
    </row>
    <row r="397">
      <c r="B397" s="64"/>
      <c r="C397" s="64"/>
      <c r="D397" s="75"/>
    </row>
    <row r="398">
      <c r="B398" s="64"/>
      <c r="C398" s="64"/>
      <c r="D398" s="75"/>
    </row>
    <row r="399">
      <c r="B399" s="64"/>
      <c r="C399" s="64"/>
      <c r="D399" s="75"/>
    </row>
    <row r="400">
      <c r="B400" s="64"/>
      <c r="C400" s="64"/>
      <c r="D400" s="75"/>
    </row>
    <row r="401">
      <c r="B401" s="64"/>
      <c r="C401" s="64"/>
      <c r="D401" s="75"/>
    </row>
    <row r="402">
      <c r="B402" s="64"/>
      <c r="C402" s="64"/>
      <c r="D402" s="75"/>
    </row>
    <row r="403">
      <c r="B403" s="64"/>
      <c r="C403" s="64"/>
      <c r="D403" s="75"/>
    </row>
    <row r="404">
      <c r="B404" s="64"/>
      <c r="C404" s="64"/>
      <c r="D404" s="75"/>
    </row>
    <row r="405">
      <c r="B405" s="64"/>
      <c r="C405" s="64"/>
      <c r="D405" s="75"/>
    </row>
    <row r="406">
      <c r="B406" s="64"/>
      <c r="C406" s="64"/>
      <c r="D406" s="75"/>
    </row>
    <row r="407">
      <c r="B407" s="64"/>
      <c r="C407" s="64"/>
      <c r="D407" s="75"/>
    </row>
    <row r="408">
      <c r="B408" s="64"/>
      <c r="C408" s="64"/>
      <c r="D408" s="75"/>
    </row>
    <row r="409">
      <c r="B409" s="64"/>
      <c r="C409" s="64"/>
      <c r="D409" s="75"/>
    </row>
    <row r="410">
      <c r="B410" s="64"/>
      <c r="C410" s="64"/>
      <c r="D410" s="75"/>
    </row>
    <row r="411">
      <c r="B411" s="64"/>
      <c r="C411" s="64"/>
      <c r="D411" s="75"/>
    </row>
    <row r="412">
      <c r="B412" s="64"/>
      <c r="C412" s="64"/>
      <c r="D412" s="75"/>
    </row>
    <row r="413">
      <c r="B413" s="64"/>
      <c r="C413" s="64"/>
      <c r="D413" s="75"/>
    </row>
    <row r="414">
      <c r="B414" s="64"/>
      <c r="C414" s="64"/>
      <c r="D414" s="75"/>
    </row>
    <row r="415">
      <c r="B415" s="64"/>
      <c r="C415" s="64"/>
      <c r="D415" s="75"/>
    </row>
    <row r="416">
      <c r="B416" s="64"/>
      <c r="C416" s="64"/>
      <c r="D416" s="75"/>
    </row>
    <row r="417">
      <c r="B417" s="64"/>
      <c r="C417" s="64"/>
      <c r="D417" s="75"/>
    </row>
    <row r="418">
      <c r="B418" s="64"/>
      <c r="C418" s="64"/>
      <c r="D418" s="75"/>
    </row>
    <row r="419">
      <c r="B419" s="64"/>
      <c r="C419" s="64"/>
      <c r="D419" s="75"/>
    </row>
    <row r="420">
      <c r="B420" s="64"/>
      <c r="C420" s="64"/>
      <c r="D420" s="75"/>
    </row>
    <row r="421">
      <c r="B421" s="64"/>
      <c r="C421" s="64"/>
      <c r="D421" s="75"/>
    </row>
    <row r="422">
      <c r="B422" s="64"/>
      <c r="C422" s="64"/>
      <c r="D422" s="75"/>
    </row>
    <row r="423">
      <c r="B423" s="64"/>
      <c r="C423" s="64"/>
      <c r="D423" s="75"/>
    </row>
    <row r="424">
      <c r="B424" s="64"/>
      <c r="C424" s="64"/>
      <c r="D424" s="75"/>
    </row>
    <row r="425">
      <c r="B425" s="64"/>
      <c r="C425" s="64"/>
      <c r="D425" s="75"/>
    </row>
    <row r="426">
      <c r="B426" s="64"/>
      <c r="C426" s="64"/>
      <c r="D426" s="75"/>
    </row>
    <row r="427">
      <c r="B427" s="64"/>
      <c r="C427" s="64"/>
      <c r="D427" s="75"/>
    </row>
    <row r="428">
      <c r="B428" s="64"/>
      <c r="C428" s="64"/>
      <c r="D428" s="75"/>
    </row>
    <row r="429">
      <c r="B429" s="64"/>
      <c r="C429" s="64"/>
      <c r="D429" s="75"/>
    </row>
    <row r="430">
      <c r="B430" s="64"/>
      <c r="C430" s="64"/>
      <c r="D430" s="75"/>
    </row>
    <row r="431">
      <c r="B431" s="64"/>
      <c r="C431" s="64"/>
      <c r="D431" s="75"/>
    </row>
    <row r="432">
      <c r="B432" s="64"/>
      <c r="C432" s="64"/>
      <c r="D432" s="75"/>
    </row>
    <row r="433">
      <c r="B433" s="64"/>
      <c r="C433" s="64"/>
      <c r="D433" s="75"/>
    </row>
    <row r="434">
      <c r="B434" s="64"/>
      <c r="C434" s="64"/>
      <c r="D434" s="75"/>
    </row>
    <row r="435">
      <c r="B435" s="64"/>
      <c r="C435" s="64"/>
      <c r="D435" s="75"/>
    </row>
    <row r="436">
      <c r="B436" s="64"/>
      <c r="C436" s="64"/>
      <c r="D436" s="75"/>
    </row>
    <row r="437">
      <c r="B437" s="64"/>
      <c r="C437" s="64"/>
      <c r="D437" s="75"/>
    </row>
    <row r="438">
      <c r="B438" s="64"/>
      <c r="C438" s="64"/>
      <c r="D438" s="75"/>
    </row>
    <row r="439">
      <c r="B439" s="64"/>
      <c r="C439" s="64"/>
      <c r="D439" s="75"/>
    </row>
    <row r="440">
      <c r="B440" s="64"/>
      <c r="C440" s="64"/>
      <c r="D440" s="75"/>
    </row>
    <row r="441">
      <c r="B441" s="64"/>
      <c r="C441" s="64"/>
      <c r="D441" s="75"/>
    </row>
    <row r="442">
      <c r="B442" s="64"/>
      <c r="C442" s="64"/>
      <c r="D442" s="75"/>
    </row>
    <row r="443">
      <c r="B443" s="64"/>
      <c r="C443" s="64"/>
      <c r="D443" s="75"/>
    </row>
    <row r="444">
      <c r="B444" s="64"/>
      <c r="C444" s="64"/>
      <c r="D444" s="75"/>
    </row>
    <row r="445">
      <c r="B445" s="64"/>
      <c r="C445" s="64"/>
      <c r="D445" s="75"/>
    </row>
    <row r="446">
      <c r="B446" s="64"/>
      <c r="C446" s="64"/>
      <c r="D446" s="75"/>
    </row>
    <row r="447">
      <c r="B447" s="64"/>
      <c r="C447" s="64"/>
      <c r="D447" s="75"/>
    </row>
    <row r="448">
      <c r="B448" s="64"/>
      <c r="C448" s="64"/>
      <c r="D448" s="75"/>
    </row>
    <row r="449">
      <c r="B449" s="64"/>
      <c r="C449" s="64"/>
      <c r="D449" s="75"/>
    </row>
    <row r="450">
      <c r="B450" s="64"/>
      <c r="C450" s="64"/>
      <c r="D450" s="75"/>
    </row>
    <row r="451">
      <c r="B451" s="64"/>
      <c r="C451" s="64"/>
      <c r="D451" s="75"/>
    </row>
    <row r="452">
      <c r="B452" s="64"/>
      <c r="C452" s="64"/>
      <c r="D452" s="75"/>
    </row>
    <row r="453">
      <c r="B453" s="64"/>
      <c r="C453" s="64"/>
      <c r="D453" s="75"/>
    </row>
    <row r="454">
      <c r="B454" s="64"/>
      <c r="C454" s="64"/>
      <c r="D454" s="75"/>
    </row>
    <row r="455">
      <c r="B455" s="64"/>
      <c r="C455" s="64"/>
      <c r="D455" s="75"/>
    </row>
    <row r="456">
      <c r="B456" s="64"/>
      <c r="C456" s="64"/>
      <c r="D456" s="75"/>
    </row>
    <row r="457">
      <c r="B457" s="64"/>
      <c r="C457" s="64"/>
      <c r="D457" s="75"/>
    </row>
    <row r="458">
      <c r="B458" s="64"/>
      <c r="C458" s="64"/>
      <c r="D458" s="75"/>
    </row>
    <row r="459">
      <c r="B459" s="64"/>
      <c r="C459" s="64"/>
      <c r="D459" s="75"/>
    </row>
    <row r="460">
      <c r="B460" s="64"/>
      <c r="C460" s="64"/>
      <c r="D460" s="75"/>
    </row>
    <row r="461">
      <c r="B461" s="64"/>
      <c r="C461" s="64"/>
      <c r="D461" s="75"/>
    </row>
    <row r="462">
      <c r="B462" s="64"/>
      <c r="C462" s="64"/>
      <c r="D462" s="75"/>
    </row>
    <row r="463">
      <c r="B463" s="64"/>
      <c r="C463" s="64"/>
      <c r="D463" s="75"/>
    </row>
    <row r="464">
      <c r="B464" s="64"/>
      <c r="C464" s="64"/>
      <c r="D464" s="75"/>
    </row>
    <row r="465">
      <c r="B465" s="64"/>
      <c r="C465" s="64"/>
      <c r="D465" s="75"/>
    </row>
    <row r="466">
      <c r="B466" s="64"/>
      <c r="C466" s="64"/>
      <c r="D466" s="75"/>
    </row>
    <row r="467">
      <c r="B467" s="64"/>
      <c r="C467" s="64"/>
      <c r="D467" s="75"/>
    </row>
    <row r="468">
      <c r="B468" s="64"/>
      <c r="C468" s="64"/>
      <c r="D468" s="75"/>
    </row>
    <row r="469">
      <c r="B469" s="64"/>
      <c r="C469" s="64"/>
      <c r="D469" s="75"/>
    </row>
    <row r="470">
      <c r="B470" s="64"/>
      <c r="C470" s="64"/>
      <c r="D470" s="75"/>
    </row>
    <row r="471">
      <c r="B471" s="64"/>
      <c r="C471" s="64"/>
      <c r="D471" s="75"/>
    </row>
    <row r="472">
      <c r="B472" s="64"/>
      <c r="C472" s="64"/>
      <c r="D472" s="75"/>
    </row>
    <row r="473">
      <c r="B473" s="64"/>
      <c r="C473" s="64"/>
      <c r="D473" s="75"/>
    </row>
    <row r="474">
      <c r="B474" s="64"/>
      <c r="C474" s="64"/>
      <c r="D474" s="75"/>
    </row>
    <row r="475">
      <c r="B475" s="64"/>
      <c r="C475" s="64"/>
      <c r="D475" s="75"/>
    </row>
    <row r="476">
      <c r="B476" s="64"/>
      <c r="C476" s="64"/>
      <c r="D476" s="75"/>
    </row>
    <row r="477">
      <c r="B477" s="64"/>
      <c r="C477" s="64"/>
      <c r="D477" s="75"/>
    </row>
    <row r="478">
      <c r="B478" s="64"/>
      <c r="C478" s="64"/>
      <c r="D478" s="75"/>
    </row>
    <row r="479">
      <c r="B479" s="64"/>
      <c r="C479" s="64"/>
      <c r="D479" s="75"/>
    </row>
    <row r="480">
      <c r="B480" s="64"/>
      <c r="C480" s="64"/>
      <c r="D480" s="75"/>
    </row>
    <row r="481">
      <c r="B481" s="64"/>
      <c r="C481" s="64"/>
      <c r="D481" s="75"/>
    </row>
    <row r="482">
      <c r="B482" s="64"/>
      <c r="C482" s="64"/>
      <c r="D482" s="75"/>
    </row>
    <row r="483">
      <c r="B483" s="64"/>
      <c r="C483" s="64"/>
      <c r="D483" s="75"/>
    </row>
    <row r="484">
      <c r="B484" s="64"/>
      <c r="C484" s="64"/>
      <c r="D484" s="75"/>
    </row>
    <row r="485">
      <c r="B485" s="64"/>
      <c r="C485" s="64"/>
      <c r="D485" s="75"/>
    </row>
    <row r="486">
      <c r="B486" s="64"/>
      <c r="C486" s="64"/>
      <c r="D486" s="75"/>
    </row>
    <row r="487">
      <c r="B487" s="64"/>
      <c r="C487" s="64"/>
      <c r="D487" s="75"/>
    </row>
    <row r="488">
      <c r="B488" s="64"/>
      <c r="C488" s="64"/>
      <c r="D488" s="75"/>
    </row>
    <row r="489">
      <c r="B489" s="64"/>
      <c r="C489" s="64"/>
      <c r="D489" s="75"/>
    </row>
    <row r="490">
      <c r="B490" s="64"/>
      <c r="C490" s="64"/>
      <c r="D490" s="75"/>
    </row>
    <row r="491">
      <c r="B491" s="64"/>
      <c r="C491" s="64"/>
      <c r="D491" s="75"/>
    </row>
    <row r="492">
      <c r="B492" s="64"/>
      <c r="C492" s="64"/>
      <c r="D492" s="75"/>
    </row>
    <row r="493">
      <c r="B493" s="64"/>
      <c r="C493" s="64"/>
      <c r="D493" s="75"/>
    </row>
    <row r="494">
      <c r="B494" s="64"/>
      <c r="C494" s="64"/>
      <c r="D494" s="75"/>
    </row>
    <row r="495">
      <c r="B495" s="64"/>
      <c r="C495" s="64"/>
      <c r="D495" s="75"/>
    </row>
    <row r="496">
      <c r="B496" s="64"/>
      <c r="C496" s="64"/>
      <c r="D496" s="75"/>
    </row>
    <row r="497">
      <c r="B497" s="64"/>
      <c r="C497" s="64"/>
      <c r="D497" s="75"/>
    </row>
    <row r="498">
      <c r="B498" s="64"/>
      <c r="C498" s="64"/>
      <c r="D498" s="75"/>
    </row>
    <row r="499">
      <c r="B499" s="64"/>
      <c r="C499" s="64"/>
      <c r="D499" s="75"/>
    </row>
    <row r="500">
      <c r="B500" s="64"/>
      <c r="C500" s="64"/>
      <c r="D500" s="75"/>
    </row>
    <row r="501">
      <c r="B501" s="64"/>
      <c r="C501" s="64"/>
      <c r="D501" s="75"/>
    </row>
    <row r="502">
      <c r="B502" s="64"/>
      <c r="C502" s="64"/>
      <c r="D502" s="75"/>
    </row>
    <row r="503">
      <c r="B503" s="64"/>
      <c r="C503" s="64"/>
      <c r="D503" s="75"/>
    </row>
    <row r="504">
      <c r="B504" s="64"/>
      <c r="C504" s="64"/>
      <c r="D504" s="75"/>
    </row>
    <row r="505">
      <c r="B505" s="64"/>
      <c r="C505" s="64"/>
      <c r="D505" s="75"/>
    </row>
    <row r="506">
      <c r="B506" s="64"/>
      <c r="C506" s="64"/>
      <c r="D506" s="75"/>
    </row>
    <row r="507">
      <c r="B507" s="64"/>
      <c r="C507" s="64"/>
      <c r="D507" s="75"/>
    </row>
    <row r="508">
      <c r="B508" s="64"/>
      <c r="C508" s="64"/>
      <c r="D508" s="75"/>
    </row>
    <row r="509">
      <c r="B509" s="64"/>
      <c r="C509" s="64"/>
      <c r="D509" s="75"/>
    </row>
    <row r="510">
      <c r="B510" s="64"/>
      <c r="C510" s="64"/>
      <c r="D510" s="75"/>
    </row>
    <row r="511">
      <c r="B511" s="64"/>
      <c r="C511" s="64"/>
      <c r="D511" s="75"/>
    </row>
    <row r="512">
      <c r="B512" s="64"/>
      <c r="C512" s="64"/>
      <c r="D512" s="75"/>
    </row>
    <row r="513">
      <c r="B513" s="64"/>
      <c r="C513" s="64"/>
      <c r="D513" s="75"/>
    </row>
    <row r="514">
      <c r="B514" s="64"/>
      <c r="C514" s="64"/>
      <c r="D514" s="75"/>
    </row>
    <row r="515">
      <c r="B515" s="64"/>
      <c r="C515" s="64"/>
      <c r="D515" s="75"/>
    </row>
    <row r="516">
      <c r="B516" s="64"/>
      <c r="C516" s="64"/>
      <c r="D516" s="75"/>
    </row>
    <row r="517">
      <c r="B517" s="64"/>
      <c r="C517" s="64"/>
      <c r="D517" s="75"/>
    </row>
    <row r="518">
      <c r="B518" s="64"/>
      <c r="C518" s="64"/>
      <c r="D518" s="75"/>
    </row>
    <row r="519">
      <c r="B519" s="64"/>
      <c r="C519" s="64"/>
      <c r="D519" s="75"/>
    </row>
    <row r="520">
      <c r="B520" s="64"/>
      <c r="C520" s="64"/>
      <c r="D520" s="75"/>
    </row>
    <row r="521">
      <c r="B521" s="64"/>
      <c r="C521" s="64"/>
      <c r="D521" s="75"/>
    </row>
    <row r="522">
      <c r="B522" s="64"/>
      <c r="C522" s="64"/>
      <c r="D522" s="75"/>
    </row>
    <row r="523">
      <c r="B523" s="64"/>
      <c r="C523" s="64"/>
      <c r="D523" s="75"/>
    </row>
    <row r="524">
      <c r="B524" s="64"/>
      <c r="C524" s="64"/>
      <c r="D524" s="75"/>
    </row>
    <row r="525">
      <c r="B525" s="64"/>
      <c r="C525" s="64"/>
      <c r="D525" s="75"/>
    </row>
    <row r="526">
      <c r="B526" s="64"/>
      <c r="C526" s="64"/>
      <c r="D526" s="75"/>
    </row>
    <row r="527">
      <c r="B527" s="64"/>
      <c r="C527" s="64"/>
      <c r="D527" s="75"/>
    </row>
    <row r="528">
      <c r="B528" s="64"/>
      <c r="C528" s="64"/>
      <c r="D528" s="75"/>
    </row>
    <row r="529">
      <c r="B529" s="64"/>
      <c r="C529" s="64"/>
      <c r="D529" s="75"/>
    </row>
    <row r="530">
      <c r="B530" s="64"/>
      <c r="C530" s="64"/>
      <c r="D530" s="75"/>
    </row>
    <row r="531">
      <c r="B531" s="64"/>
      <c r="C531" s="64"/>
      <c r="D531" s="75"/>
    </row>
    <row r="532">
      <c r="B532" s="64"/>
      <c r="C532" s="64"/>
      <c r="D532" s="75"/>
    </row>
    <row r="533">
      <c r="B533" s="64"/>
      <c r="C533" s="64"/>
      <c r="D533" s="75"/>
    </row>
    <row r="534">
      <c r="B534" s="64"/>
      <c r="C534" s="64"/>
      <c r="D534" s="75"/>
    </row>
    <row r="535">
      <c r="B535" s="64"/>
      <c r="C535" s="64"/>
      <c r="D535" s="75"/>
    </row>
    <row r="536">
      <c r="B536" s="64"/>
      <c r="C536" s="64"/>
      <c r="D536" s="75"/>
    </row>
    <row r="537">
      <c r="B537" s="64"/>
      <c r="C537" s="64"/>
      <c r="D537" s="75"/>
    </row>
    <row r="538">
      <c r="B538" s="64"/>
      <c r="C538" s="64"/>
      <c r="D538" s="75"/>
    </row>
    <row r="539">
      <c r="B539" s="64"/>
      <c r="C539" s="64"/>
      <c r="D539" s="75"/>
    </row>
    <row r="540">
      <c r="B540" s="64"/>
      <c r="C540" s="64"/>
      <c r="D540" s="75"/>
    </row>
    <row r="541">
      <c r="B541" s="64"/>
      <c r="C541" s="64"/>
      <c r="D541" s="75"/>
    </row>
    <row r="542">
      <c r="B542" s="64"/>
      <c r="C542" s="64"/>
      <c r="D542" s="75"/>
    </row>
    <row r="543">
      <c r="B543" s="64"/>
      <c r="C543" s="64"/>
      <c r="D543" s="75"/>
    </row>
    <row r="544">
      <c r="B544" s="64"/>
      <c r="C544" s="64"/>
      <c r="D544" s="75"/>
    </row>
    <row r="545">
      <c r="B545" s="64"/>
      <c r="C545" s="64"/>
      <c r="D545" s="75"/>
    </row>
    <row r="546">
      <c r="B546" s="64"/>
      <c r="C546" s="64"/>
      <c r="D546" s="75"/>
    </row>
    <row r="547">
      <c r="B547" s="64"/>
      <c r="C547" s="64"/>
      <c r="D547" s="75"/>
    </row>
    <row r="548">
      <c r="B548" s="64"/>
      <c r="C548" s="64"/>
      <c r="D548" s="75"/>
    </row>
    <row r="549">
      <c r="B549" s="64"/>
      <c r="C549" s="64"/>
      <c r="D549" s="75"/>
    </row>
    <row r="550">
      <c r="B550" s="64"/>
      <c r="C550" s="64"/>
      <c r="D550" s="75"/>
    </row>
    <row r="551">
      <c r="B551" s="64"/>
      <c r="C551" s="64"/>
      <c r="D551" s="75"/>
    </row>
    <row r="552">
      <c r="B552" s="64"/>
      <c r="C552" s="64"/>
      <c r="D552" s="75"/>
    </row>
    <row r="553">
      <c r="B553" s="64"/>
      <c r="C553" s="64"/>
      <c r="D553" s="75"/>
    </row>
    <row r="554">
      <c r="B554" s="64"/>
      <c r="C554" s="64"/>
      <c r="D554" s="75"/>
    </row>
    <row r="555">
      <c r="B555" s="64"/>
      <c r="C555" s="64"/>
      <c r="D555" s="75"/>
    </row>
    <row r="556">
      <c r="B556" s="64"/>
      <c r="C556" s="64"/>
      <c r="D556" s="75"/>
    </row>
    <row r="557">
      <c r="B557" s="64"/>
      <c r="C557" s="64"/>
      <c r="D557" s="75"/>
    </row>
    <row r="558">
      <c r="B558" s="64"/>
      <c r="C558" s="64"/>
      <c r="D558" s="75"/>
    </row>
    <row r="559">
      <c r="B559" s="64"/>
      <c r="C559" s="64"/>
      <c r="D559" s="75"/>
    </row>
    <row r="560">
      <c r="B560" s="64"/>
      <c r="C560" s="64"/>
      <c r="D560" s="75"/>
    </row>
    <row r="561">
      <c r="B561" s="64"/>
      <c r="C561" s="64"/>
      <c r="D561" s="75"/>
    </row>
    <row r="562">
      <c r="B562" s="64"/>
      <c r="C562" s="64"/>
      <c r="D562" s="75"/>
    </row>
    <row r="563">
      <c r="B563" s="64"/>
      <c r="C563" s="64"/>
      <c r="D563" s="75"/>
    </row>
    <row r="564">
      <c r="B564" s="64"/>
      <c r="C564" s="64"/>
      <c r="D564" s="75"/>
    </row>
    <row r="565">
      <c r="B565" s="64"/>
      <c r="C565" s="64"/>
      <c r="D565" s="75"/>
    </row>
    <row r="566">
      <c r="B566" s="64"/>
      <c r="C566" s="64"/>
      <c r="D566" s="75"/>
    </row>
    <row r="567">
      <c r="B567" s="64"/>
      <c r="C567" s="64"/>
      <c r="D567" s="75"/>
    </row>
    <row r="568">
      <c r="B568" s="64"/>
      <c r="C568" s="64"/>
      <c r="D568" s="75"/>
    </row>
    <row r="569">
      <c r="B569" s="64"/>
      <c r="C569" s="64"/>
      <c r="D569" s="75"/>
    </row>
    <row r="570">
      <c r="B570" s="64"/>
      <c r="C570" s="64"/>
      <c r="D570" s="75"/>
    </row>
    <row r="571">
      <c r="B571" s="64"/>
      <c r="C571" s="64"/>
      <c r="D571" s="75"/>
    </row>
    <row r="572">
      <c r="B572" s="64"/>
      <c r="C572" s="64"/>
      <c r="D572" s="75"/>
    </row>
    <row r="573">
      <c r="B573" s="64"/>
      <c r="C573" s="64"/>
      <c r="D573" s="75"/>
    </row>
    <row r="574">
      <c r="B574" s="64"/>
      <c r="C574" s="64"/>
      <c r="D574" s="75"/>
    </row>
    <row r="575">
      <c r="B575" s="64"/>
      <c r="C575" s="64"/>
      <c r="D575" s="75"/>
    </row>
    <row r="576">
      <c r="B576" s="64"/>
      <c r="C576" s="64"/>
      <c r="D576" s="75"/>
    </row>
    <row r="577">
      <c r="B577" s="64"/>
      <c r="C577" s="64"/>
      <c r="D577" s="75"/>
    </row>
    <row r="578">
      <c r="B578" s="64"/>
      <c r="C578" s="64"/>
      <c r="D578" s="75"/>
    </row>
    <row r="579">
      <c r="B579" s="64"/>
      <c r="C579" s="64"/>
      <c r="D579" s="75"/>
    </row>
    <row r="580">
      <c r="B580" s="64"/>
      <c r="C580" s="64"/>
      <c r="D580" s="75"/>
    </row>
    <row r="581">
      <c r="B581" s="64"/>
      <c r="C581" s="64"/>
      <c r="D581" s="75"/>
    </row>
    <row r="582">
      <c r="B582" s="64"/>
      <c r="C582" s="64"/>
      <c r="D582" s="75"/>
    </row>
    <row r="583">
      <c r="B583" s="64"/>
      <c r="C583" s="64"/>
      <c r="D583" s="75"/>
    </row>
    <row r="584">
      <c r="B584" s="64"/>
      <c r="C584" s="64"/>
      <c r="D584" s="75"/>
    </row>
    <row r="585">
      <c r="B585" s="64"/>
      <c r="C585" s="64"/>
      <c r="D585" s="75"/>
    </row>
    <row r="586">
      <c r="B586" s="64"/>
      <c r="C586" s="64"/>
      <c r="D586" s="75"/>
    </row>
    <row r="587">
      <c r="B587" s="64"/>
      <c r="C587" s="64"/>
      <c r="D587" s="75"/>
    </row>
    <row r="588">
      <c r="B588" s="64"/>
      <c r="C588" s="64"/>
      <c r="D588" s="75"/>
    </row>
    <row r="589">
      <c r="B589" s="64"/>
      <c r="C589" s="64"/>
      <c r="D589" s="75"/>
    </row>
    <row r="590">
      <c r="B590" s="64"/>
      <c r="C590" s="64"/>
      <c r="D590" s="75"/>
    </row>
    <row r="591">
      <c r="B591" s="64"/>
      <c r="C591" s="64"/>
      <c r="D591" s="75"/>
    </row>
    <row r="592">
      <c r="B592" s="64"/>
      <c r="C592" s="64"/>
      <c r="D592" s="75"/>
    </row>
    <row r="593">
      <c r="B593" s="64"/>
      <c r="C593" s="64"/>
      <c r="D593" s="75"/>
    </row>
    <row r="594">
      <c r="B594" s="64"/>
      <c r="C594" s="64"/>
      <c r="D594" s="75"/>
    </row>
    <row r="595">
      <c r="B595" s="64"/>
      <c r="C595" s="64"/>
      <c r="D595" s="75"/>
    </row>
    <row r="596">
      <c r="B596" s="64"/>
      <c r="C596" s="64"/>
      <c r="D596" s="75"/>
    </row>
    <row r="597">
      <c r="B597" s="64"/>
      <c r="C597" s="64"/>
      <c r="D597" s="75"/>
    </row>
    <row r="598">
      <c r="B598" s="64"/>
      <c r="C598" s="64"/>
      <c r="D598" s="75"/>
    </row>
    <row r="599">
      <c r="B599" s="64"/>
      <c r="C599" s="64"/>
      <c r="D599" s="75"/>
    </row>
    <row r="600">
      <c r="B600" s="64"/>
      <c r="C600" s="64"/>
      <c r="D600" s="75"/>
    </row>
    <row r="601">
      <c r="B601" s="64"/>
      <c r="C601" s="64"/>
      <c r="D601" s="75"/>
    </row>
    <row r="602">
      <c r="B602" s="64"/>
      <c r="C602" s="64"/>
      <c r="D602" s="75"/>
    </row>
    <row r="603">
      <c r="B603" s="64"/>
      <c r="C603" s="64"/>
      <c r="D603" s="75"/>
    </row>
    <row r="604">
      <c r="B604" s="64"/>
      <c r="C604" s="64"/>
      <c r="D604" s="75"/>
    </row>
    <row r="605">
      <c r="B605" s="64"/>
      <c r="C605" s="64"/>
      <c r="D605" s="75"/>
    </row>
    <row r="606">
      <c r="B606" s="64"/>
      <c r="C606" s="64"/>
      <c r="D606" s="75"/>
    </row>
    <row r="607">
      <c r="B607" s="64"/>
      <c r="C607" s="64"/>
      <c r="D607" s="75"/>
    </row>
    <row r="608">
      <c r="B608" s="64"/>
      <c r="C608" s="64"/>
      <c r="D608" s="75"/>
    </row>
    <row r="609">
      <c r="B609" s="64"/>
      <c r="C609" s="64"/>
      <c r="D609" s="75"/>
    </row>
    <row r="610">
      <c r="B610" s="64"/>
      <c r="C610" s="64"/>
      <c r="D610" s="75"/>
    </row>
    <row r="611">
      <c r="B611" s="64"/>
      <c r="C611" s="64"/>
      <c r="D611" s="75"/>
    </row>
    <row r="612">
      <c r="B612" s="64"/>
      <c r="C612" s="64"/>
      <c r="D612" s="75"/>
    </row>
    <row r="613">
      <c r="B613" s="64"/>
      <c r="C613" s="64"/>
      <c r="D613" s="75"/>
    </row>
    <row r="614">
      <c r="B614" s="64"/>
      <c r="C614" s="64"/>
      <c r="D614" s="75"/>
    </row>
    <row r="615">
      <c r="B615" s="64"/>
      <c r="C615" s="64"/>
      <c r="D615" s="75"/>
    </row>
    <row r="616">
      <c r="B616" s="64"/>
      <c r="C616" s="64"/>
      <c r="D616" s="75"/>
    </row>
    <row r="617">
      <c r="B617" s="64"/>
      <c r="C617" s="64"/>
      <c r="D617" s="75"/>
    </row>
    <row r="618">
      <c r="B618" s="64"/>
      <c r="C618" s="64"/>
      <c r="D618" s="75"/>
    </row>
    <row r="619">
      <c r="B619" s="64"/>
      <c r="C619" s="64"/>
      <c r="D619" s="75"/>
    </row>
    <row r="620">
      <c r="B620" s="64"/>
      <c r="C620" s="64"/>
      <c r="D620" s="75"/>
    </row>
    <row r="621">
      <c r="B621" s="64"/>
      <c r="C621" s="64"/>
      <c r="D621" s="75"/>
    </row>
    <row r="622">
      <c r="B622" s="64"/>
      <c r="C622" s="64"/>
      <c r="D622" s="75"/>
    </row>
    <row r="623">
      <c r="B623" s="64"/>
      <c r="C623" s="64"/>
      <c r="D623" s="75"/>
    </row>
    <row r="624">
      <c r="B624" s="64"/>
      <c r="C624" s="64"/>
      <c r="D624" s="75"/>
    </row>
    <row r="625">
      <c r="B625" s="64"/>
      <c r="C625" s="64"/>
      <c r="D625" s="75"/>
    </row>
    <row r="626">
      <c r="B626" s="64"/>
      <c r="C626" s="64"/>
      <c r="D626" s="75"/>
    </row>
    <row r="627">
      <c r="B627" s="64"/>
      <c r="C627" s="64"/>
      <c r="D627" s="75"/>
    </row>
    <row r="628">
      <c r="B628" s="64"/>
      <c r="C628" s="64"/>
      <c r="D628" s="75"/>
    </row>
    <row r="629">
      <c r="B629" s="64"/>
      <c r="C629" s="64"/>
      <c r="D629" s="75"/>
    </row>
    <row r="630">
      <c r="B630" s="64"/>
      <c r="C630" s="64"/>
      <c r="D630" s="75"/>
    </row>
    <row r="631">
      <c r="B631" s="64"/>
      <c r="C631" s="64"/>
      <c r="D631" s="75"/>
    </row>
    <row r="632">
      <c r="B632" s="64"/>
      <c r="C632" s="64"/>
      <c r="D632" s="75"/>
    </row>
    <row r="633">
      <c r="B633" s="64"/>
      <c r="C633" s="64"/>
      <c r="D633" s="75"/>
    </row>
    <row r="634">
      <c r="B634" s="64"/>
      <c r="C634" s="64"/>
      <c r="D634" s="75"/>
    </row>
    <row r="635">
      <c r="B635" s="64"/>
      <c r="C635" s="64"/>
      <c r="D635" s="75"/>
    </row>
    <row r="636">
      <c r="B636" s="64"/>
      <c r="C636" s="64"/>
      <c r="D636" s="75"/>
    </row>
    <row r="637">
      <c r="B637" s="64"/>
      <c r="C637" s="64"/>
      <c r="D637" s="75"/>
    </row>
    <row r="638">
      <c r="B638" s="64"/>
      <c r="C638" s="64"/>
      <c r="D638" s="75"/>
    </row>
    <row r="639">
      <c r="B639" s="64"/>
      <c r="C639" s="64"/>
      <c r="D639" s="75"/>
    </row>
    <row r="640">
      <c r="B640" s="64"/>
      <c r="C640" s="64"/>
      <c r="D640" s="75"/>
    </row>
    <row r="641">
      <c r="B641" s="64"/>
      <c r="C641" s="64"/>
      <c r="D641" s="75"/>
    </row>
    <row r="642">
      <c r="B642" s="64"/>
      <c r="C642" s="64"/>
      <c r="D642" s="75"/>
    </row>
    <row r="643">
      <c r="B643" s="64"/>
      <c r="C643" s="64"/>
      <c r="D643" s="75"/>
    </row>
    <row r="644">
      <c r="B644" s="64"/>
      <c r="C644" s="64"/>
      <c r="D644" s="75"/>
    </row>
    <row r="645">
      <c r="B645" s="64"/>
      <c r="C645" s="64"/>
      <c r="D645" s="75"/>
    </row>
    <row r="646">
      <c r="B646" s="64"/>
      <c r="C646" s="64"/>
      <c r="D646" s="75"/>
    </row>
    <row r="647">
      <c r="B647" s="64"/>
      <c r="C647" s="64"/>
      <c r="D647" s="75"/>
    </row>
    <row r="648">
      <c r="B648" s="64"/>
      <c r="C648" s="64"/>
      <c r="D648" s="75"/>
    </row>
    <row r="649">
      <c r="B649" s="64"/>
      <c r="C649" s="64"/>
      <c r="D649" s="75"/>
    </row>
    <row r="650">
      <c r="B650" s="64"/>
      <c r="C650" s="64"/>
      <c r="D650" s="75"/>
    </row>
    <row r="651">
      <c r="B651" s="64"/>
      <c r="C651" s="64"/>
      <c r="D651" s="75"/>
    </row>
    <row r="652">
      <c r="B652" s="64"/>
      <c r="C652" s="64"/>
      <c r="D652" s="75"/>
    </row>
    <row r="653">
      <c r="B653" s="64"/>
      <c r="C653" s="64"/>
      <c r="D653" s="75"/>
    </row>
    <row r="654">
      <c r="B654" s="64"/>
      <c r="C654" s="64"/>
      <c r="D654" s="75"/>
    </row>
    <row r="655">
      <c r="B655" s="64"/>
      <c r="C655" s="64"/>
      <c r="D655" s="75"/>
    </row>
    <row r="656">
      <c r="B656" s="64"/>
      <c r="C656" s="64"/>
      <c r="D656" s="75"/>
    </row>
    <row r="657">
      <c r="B657" s="64"/>
      <c r="C657" s="64"/>
      <c r="D657" s="75"/>
    </row>
    <row r="658">
      <c r="B658" s="64"/>
      <c r="C658" s="64"/>
      <c r="D658" s="75"/>
    </row>
    <row r="659">
      <c r="B659" s="64"/>
      <c r="C659" s="64"/>
      <c r="D659" s="75"/>
    </row>
    <row r="660">
      <c r="B660" s="64"/>
      <c r="C660" s="64"/>
      <c r="D660" s="75"/>
    </row>
    <row r="661">
      <c r="B661" s="64"/>
      <c r="C661" s="64"/>
      <c r="D661" s="75"/>
    </row>
    <row r="662">
      <c r="B662" s="64"/>
      <c r="C662" s="64"/>
      <c r="D662" s="75"/>
    </row>
    <row r="663">
      <c r="B663" s="64"/>
      <c r="C663" s="64"/>
      <c r="D663" s="75"/>
    </row>
    <row r="664">
      <c r="B664" s="64"/>
      <c r="C664" s="64"/>
      <c r="D664" s="75"/>
    </row>
    <row r="665">
      <c r="B665" s="64"/>
      <c r="C665" s="64"/>
      <c r="D665" s="75"/>
    </row>
    <row r="666">
      <c r="B666" s="64"/>
      <c r="C666" s="64"/>
      <c r="D666" s="75"/>
    </row>
    <row r="667">
      <c r="B667" s="64"/>
      <c r="C667" s="64"/>
      <c r="D667" s="75"/>
    </row>
    <row r="668">
      <c r="B668" s="64"/>
      <c r="C668" s="64"/>
      <c r="D668" s="75"/>
    </row>
    <row r="669">
      <c r="B669" s="64"/>
      <c r="C669" s="64"/>
      <c r="D669" s="75"/>
    </row>
    <row r="670">
      <c r="B670" s="64"/>
      <c r="C670" s="64"/>
      <c r="D670" s="75"/>
    </row>
    <row r="671">
      <c r="B671" s="64"/>
      <c r="C671" s="64"/>
      <c r="D671" s="75"/>
    </row>
    <row r="672">
      <c r="B672" s="64"/>
      <c r="C672" s="64"/>
      <c r="D672" s="75"/>
    </row>
    <row r="673">
      <c r="B673" s="64"/>
      <c r="C673" s="64"/>
      <c r="D673" s="75"/>
    </row>
    <row r="674">
      <c r="B674" s="64"/>
      <c r="C674" s="64"/>
      <c r="D674" s="75"/>
    </row>
    <row r="675">
      <c r="B675" s="64"/>
      <c r="C675" s="64"/>
      <c r="D675" s="75"/>
    </row>
    <row r="676">
      <c r="B676" s="64"/>
      <c r="C676" s="64"/>
      <c r="D676" s="75"/>
    </row>
    <row r="677">
      <c r="B677" s="64"/>
      <c r="C677" s="64"/>
      <c r="D677" s="75"/>
    </row>
    <row r="678">
      <c r="B678" s="64"/>
      <c r="C678" s="64"/>
      <c r="D678" s="75"/>
    </row>
    <row r="679">
      <c r="B679" s="64"/>
      <c r="C679" s="64"/>
      <c r="D679" s="75"/>
    </row>
    <row r="680">
      <c r="B680" s="64"/>
      <c r="C680" s="64"/>
      <c r="D680" s="75"/>
    </row>
    <row r="681">
      <c r="B681" s="64"/>
      <c r="C681" s="64"/>
      <c r="D681" s="75"/>
    </row>
    <row r="682">
      <c r="B682" s="64"/>
      <c r="C682" s="64"/>
      <c r="D682" s="75"/>
    </row>
    <row r="683">
      <c r="B683" s="64"/>
      <c r="C683" s="64"/>
      <c r="D683" s="75"/>
    </row>
    <row r="684">
      <c r="B684" s="64"/>
      <c r="C684" s="64"/>
      <c r="D684" s="75"/>
    </row>
    <row r="685">
      <c r="B685" s="64"/>
      <c r="C685" s="64"/>
      <c r="D685" s="75"/>
    </row>
    <row r="686">
      <c r="B686" s="64"/>
      <c r="C686" s="64"/>
      <c r="D686" s="75"/>
    </row>
    <row r="687">
      <c r="B687" s="64"/>
      <c r="C687" s="64"/>
      <c r="D687" s="75"/>
    </row>
    <row r="688">
      <c r="B688" s="64"/>
      <c r="C688" s="64"/>
      <c r="D688" s="75"/>
    </row>
    <row r="689">
      <c r="B689" s="64"/>
      <c r="C689" s="64"/>
      <c r="D689" s="75"/>
    </row>
    <row r="690">
      <c r="B690" s="64"/>
      <c r="C690" s="64"/>
      <c r="D690" s="75"/>
    </row>
    <row r="691">
      <c r="B691" s="64"/>
      <c r="C691" s="64"/>
      <c r="D691" s="75"/>
    </row>
    <row r="692">
      <c r="B692" s="64"/>
      <c r="C692" s="64"/>
      <c r="D692" s="75"/>
    </row>
    <row r="693">
      <c r="B693" s="64"/>
      <c r="C693" s="64"/>
      <c r="D693" s="75"/>
    </row>
    <row r="694">
      <c r="B694" s="64"/>
      <c r="C694" s="64"/>
      <c r="D694" s="75"/>
    </row>
    <row r="695">
      <c r="B695" s="64"/>
      <c r="C695" s="64"/>
      <c r="D695" s="75"/>
    </row>
    <row r="696">
      <c r="B696" s="64"/>
      <c r="C696" s="64"/>
      <c r="D696" s="75"/>
    </row>
    <row r="697">
      <c r="B697" s="64"/>
      <c r="C697" s="64"/>
      <c r="D697" s="75"/>
    </row>
    <row r="698">
      <c r="B698" s="64"/>
      <c r="C698" s="64"/>
      <c r="D698" s="75"/>
    </row>
    <row r="699">
      <c r="B699" s="64"/>
      <c r="C699" s="64"/>
      <c r="D699" s="75"/>
    </row>
    <row r="700">
      <c r="B700" s="64"/>
      <c r="C700" s="64"/>
      <c r="D700" s="75"/>
    </row>
    <row r="701">
      <c r="B701" s="64"/>
      <c r="C701" s="64"/>
      <c r="D701" s="75"/>
    </row>
    <row r="702">
      <c r="B702" s="64"/>
      <c r="C702" s="64"/>
      <c r="D702" s="75"/>
    </row>
    <row r="703">
      <c r="B703" s="64"/>
      <c r="C703" s="64"/>
      <c r="D703" s="75"/>
    </row>
    <row r="704">
      <c r="B704" s="64"/>
      <c r="C704" s="64"/>
      <c r="D704" s="75"/>
    </row>
    <row r="705">
      <c r="B705" s="64"/>
      <c r="C705" s="64"/>
      <c r="D705" s="75"/>
    </row>
    <row r="706">
      <c r="B706" s="64"/>
      <c r="C706" s="64"/>
      <c r="D706" s="75"/>
    </row>
    <row r="707">
      <c r="B707" s="64"/>
      <c r="C707" s="64"/>
      <c r="D707" s="75"/>
    </row>
    <row r="708">
      <c r="B708" s="64"/>
      <c r="C708" s="64"/>
      <c r="D708" s="75"/>
    </row>
    <row r="709">
      <c r="B709" s="64"/>
      <c r="C709" s="64"/>
      <c r="D709" s="75"/>
    </row>
    <row r="710">
      <c r="B710" s="64"/>
      <c r="C710" s="64"/>
      <c r="D710" s="75"/>
    </row>
    <row r="711">
      <c r="B711" s="64"/>
      <c r="C711" s="64"/>
      <c r="D711" s="75"/>
    </row>
    <row r="712">
      <c r="B712" s="64"/>
      <c r="C712" s="64"/>
      <c r="D712" s="75"/>
    </row>
    <row r="713">
      <c r="B713" s="64"/>
      <c r="C713" s="64"/>
      <c r="D713" s="75"/>
    </row>
    <row r="714">
      <c r="B714" s="64"/>
      <c r="C714" s="64"/>
      <c r="D714" s="75"/>
    </row>
    <row r="715">
      <c r="B715" s="64"/>
      <c r="C715" s="64"/>
      <c r="D715" s="75"/>
    </row>
    <row r="716">
      <c r="B716" s="64"/>
      <c r="C716" s="64"/>
      <c r="D716" s="75"/>
    </row>
    <row r="717">
      <c r="B717" s="64"/>
      <c r="C717" s="64"/>
      <c r="D717" s="75"/>
    </row>
    <row r="718">
      <c r="B718" s="64"/>
      <c r="C718" s="64"/>
      <c r="D718" s="75"/>
    </row>
    <row r="719">
      <c r="B719" s="64"/>
      <c r="C719" s="64"/>
      <c r="D719" s="75"/>
    </row>
    <row r="720">
      <c r="B720" s="64"/>
      <c r="C720" s="64"/>
      <c r="D720" s="75"/>
    </row>
    <row r="721">
      <c r="B721" s="64"/>
      <c r="C721" s="64"/>
      <c r="D721" s="75"/>
    </row>
    <row r="722">
      <c r="B722" s="64"/>
      <c r="C722" s="64"/>
      <c r="D722" s="75"/>
    </row>
    <row r="723">
      <c r="B723" s="64"/>
      <c r="C723" s="64"/>
      <c r="D723" s="75"/>
    </row>
    <row r="724">
      <c r="B724" s="64"/>
      <c r="C724" s="64"/>
      <c r="D724" s="75"/>
    </row>
    <row r="725">
      <c r="B725" s="64"/>
      <c r="C725" s="64"/>
      <c r="D725" s="75"/>
    </row>
    <row r="726">
      <c r="B726" s="64"/>
      <c r="C726" s="64"/>
      <c r="D726" s="75"/>
    </row>
    <row r="727">
      <c r="B727" s="64"/>
      <c r="C727" s="64"/>
      <c r="D727" s="75"/>
    </row>
    <row r="728">
      <c r="B728" s="64"/>
      <c r="C728" s="64"/>
      <c r="D728" s="75"/>
    </row>
    <row r="729">
      <c r="B729" s="64"/>
      <c r="C729" s="64"/>
      <c r="D729" s="75"/>
    </row>
    <row r="730">
      <c r="B730" s="64"/>
      <c r="C730" s="64"/>
      <c r="D730" s="75"/>
    </row>
    <row r="731">
      <c r="B731" s="64"/>
      <c r="C731" s="64"/>
      <c r="D731" s="75"/>
    </row>
    <row r="732">
      <c r="B732" s="64"/>
      <c r="C732" s="64"/>
      <c r="D732" s="75"/>
    </row>
    <row r="733">
      <c r="B733" s="64"/>
      <c r="C733" s="64"/>
      <c r="D733" s="75"/>
    </row>
    <row r="734">
      <c r="B734" s="64"/>
      <c r="C734" s="64"/>
      <c r="D734" s="75"/>
    </row>
    <row r="735">
      <c r="B735" s="64"/>
      <c r="C735" s="64"/>
      <c r="D735" s="75"/>
    </row>
    <row r="736">
      <c r="B736" s="64"/>
      <c r="C736" s="64"/>
      <c r="D736" s="75"/>
    </row>
    <row r="737">
      <c r="B737" s="64"/>
      <c r="C737" s="64"/>
      <c r="D737" s="75"/>
    </row>
    <row r="738">
      <c r="B738" s="64"/>
      <c r="C738" s="64"/>
      <c r="D738" s="75"/>
    </row>
    <row r="739">
      <c r="B739" s="64"/>
      <c r="C739" s="64"/>
      <c r="D739" s="75"/>
    </row>
    <row r="740">
      <c r="B740" s="64"/>
      <c r="C740" s="64"/>
      <c r="D740" s="75"/>
    </row>
    <row r="741">
      <c r="B741" s="64"/>
      <c r="C741" s="64"/>
      <c r="D741" s="75"/>
    </row>
    <row r="742">
      <c r="B742" s="64"/>
      <c r="C742" s="64"/>
      <c r="D742" s="75"/>
    </row>
    <row r="743">
      <c r="B743" s="64"/>
      <c r="C743" s="64"/>
      <c r="D743" s="75"/>
    </row>
    <row r="744">
      <c r="B744" s="64"/>
      <c r="C744" s="64"/>
      <c r="D744" s="75"/>
    </row>
    <row r="745">
      <c r="B745" s="64"/>
      <c r="C745" s="64"/>
      <c r="D745" s="75"/>
    </row>
    <row r="746">
      <c r="B746" s="64"/>
      <c r="C746" s="64"/>
      <c r="D746" s="75"/>
    </row>
    <row r="747">
      <c r="B747" s="64"/>
      <c r="C747" s="64"/>
      <c r="D747" s="75"/>
    </row>
    <row r="748">
      <c r="B748" s="64"/>
      <c r="C748" s="64"/>
      <c r="D748" s="75"/>
    </row>
    <row r="749">
      <c r="B749" s="64"/>
      <c r="C749" s="64"/>
      <c r="D749" s="75"/>
    </row>
    <row r="750">
      <c r="B750" s="64"/>
      <c r="C750" s="64"/>
      <c r="D750" s="75"/>
    </row>
    <row r="751">
      <c r="B751" s="64"/>
      <c r="C751" s="64"/>
      <c r="D751" s="75"/>
    </row>
    <row r="752">
      <c r="B752" s="64"/>
      <c r="C752" s="64"/>
      <c r="D752" s="75"/>
    </row>
    <row r="753">
      <c r="B753" s="64"/>
      <c r="C753" s="64"/>
      <c r="D753" s="75"/>
    </row>
    <row r="754">
      <c r="B754" s="64"/>
      <c r="C754" s="64"/>
      <c r="D754" s="75"/>
    </row>
    <row r="755">
      <c r="B755" s="64"/>
      <c r="C755" s="64"/>
      <c r="D755" s="75"/>
    </row>
    <row r="756">
      <c r="B756" s="64"/>
      <c r="C756" s="64"/>
      <c r="D756" s="75"/>
    </row>
    <row r="757">
      <c r="B757" s="64"/>
      <c r="C757" s="64"/>
      <c r="D757" s="75"/>
    </row>
    <row r="758">
      <c r="B758" s="64"/>
      <c r="C758" s="64"/>
      <c r="D758" s="75"/>
    </row>
    <row r="759">
      <c r="B759" s="64"/>
      <c r="C759" s="64"/>
      <c r="D759" s="75"/>
    </row>
    <row r="760">
      <c r="B760" s="64"/>
      <c r="C760" s="64"/>
      <c r="D760" s="75"/>
    </row>
    <row r="761">
      <c r="B761" s="64"/>
      <c r="C761" s="64"/>
      <c r="D761" s="75"/>
    </row>
    <row r="762">
      <c r="B762" s="64"/>
      <c r="C762" s="64"/>
      <c r="D762" s="75"/>
    </row>
    <row r="763">
      <c r="B763" s="64"/>
      <c r="C763" s="64"/>
      <c r="D763" s="75"/>
    </row>
    <row r="764">
      <c r="B764" s="64"/>
      <c r="C764" s="64"/>
      <c r="D764" s="75"/>
    </row>
    <row r="765">
      <c r="B765" s="64"/>
      <c r="C765" s="64"/>
      <c r="D765" s="75"/>
    </row>
    <row r="766">
      <c r="B766" s="64"/>
      <c r="C766" s="64"/>
      <c r="D766" s="75"/>
    </row>
    <row r="767">
      <c r="B767" s="64"/>
      <c r="C767" s="64"/>
      <c r="D767" s="75"/>
    </row>
    <row r="768">
      <c r="B768" s="64"/>
      <c r="C768" s="64"/>
      <c r="D768" s="75"/>
    </row>
    <row r="769">
      <c r="B769" s="64"/>
      <c r="C769" s="64"/>
      <c r="D769" s="75"/>
    </row>
    <row r="770">
      <c r="B770" s="64"/>
      <c r="C770" s="64"/>
      <c r="D770" s="75"/>
    </row>
    <row r="771">
      <c r="B771" s="64"/>
      <c r="C771" s="64"/>
      <c r="D771" s="75"/>
    </row>
    <row r="772">
      <c r="B772" s="64"/>
      <c r="C772" s="64"/>
      <c r="D772" s="75"/>
    </row>
    <row r="773">
      <c r="B773" s="64"/>
      <c r="C773" s="64"/>
      <c r="D773" s="75"/>
    </row>
    <row r="774">
      <c r="B774" s="64"/>
      <c r="C774" s="64"/>
      <c r="D774" s="75"/>
    </row>
    <row r="775">
      <c r="B775" s="64"/>
      <c r="C775" s="64"/>
      <c r="D775" s="75"/>
    </row>
    <row r="776">
      <c r="B776" s="64"/>
      <c r="C776" s="64"/>
      <c r="D776" s="75"/>
    </row>
    <row r="777">
      <c r="B777" s="64"/>
      <c r="C777" s="64"/>
      <c r="D777" s="75"/>
    </row>
    <row r="778">
      <c r="B778" s="64"/>
      <c r="C778" s="64"/>
      <c r="D778" s="75"/>
    </row>
    <row r="779">
      <c r="B779" s="64"/>
      <c r="C779" s="64"/>
      <c r="D779" s="75"/>
    </row>
    <row r="780">
      <c r="B780" s="64"/>
      <c r="C780" s="64"/>
      <c r="D780" s="75"/>
    </row>
    <row r="781">
      <c r="B781" s="64"/>
      <c r="C781" s="64"/>
      <c r="D781" s="75"/>
    </row>
    <row r="782">
      <c r="B782" s="64"/>
      <c r="C782" s="64"/>
      <c r="D782" s="75"/>
    </row>
    <row r="783">
      <c r="B783" s="64"/>
      <c r="C783" s="64"/>
      <c r="D783" s="75"/>
    </row>
    <row r="784">
      <c r="B784" s="64"/>
      <c r="C784" s="64"/>
      <c r="D784" s="75"/>
    </row>
    <row r="785">
      <c r="B785" s="64"/>
      <c r="C785" s="64"/>
      <c r="D785" s="75"/>
    </row>
    <row r="786">
      <c r="B786" s="64"/>
      <c r="C786" s="64"/>
      <c r="D786" s="75"/>
    </row>
    <row r="787">
      <c r="B787" s="64"/>
      <c r="C787" s="64"/>
      <c r="D787" s="75"/>
    </row>
    <row r="788">
      <c r="B788" s="64"/>
      <c r="C788" s="64"/>
      <c r="D788" s="75"/>
    </row>
    <row r="789">
      <c r="B789" s="64"/>
      <c r="C789" s="64"/>
      <c r="D789" s="75"/>
    </row>
    <row r="790">
      <c r="B790" s="64"/>
      <c r="C790" s="64"/>
      <c r="D790" s="75"/>
    </row>
    <row r="791">
      <c r="B791" s="64"/>
      <c r="C791" s="64"/>
      <c r="D791" s="75"/>
    </row>
    <row r="792">
      <c r="B792" s="64"/>
      <c r="C792" s="64"/>
      <c r="D792" s="75"/>
    </row>
    <row r="793">
      <c r="B793" s="64"/>
      <c r="C793" s="64"/>
      <c r="D793" s="75"/>
    </row>
    <row r="794">
      <c r="B794" s="64"/>
      <c r="C794" s="64"/>
      <c r="D794" s="75"/>
    </row>
    <row r="795">
      <c r="B795" s="64"/>
      <c r="C795" s="64"/>
      <c r="D795" s="75"/>
    </row>
    <row r="796">
      <c r="B796" s="64"/>
      <c r="C796" s="64"/>
      <c r="D796" s="75"/>
    </row>
    <row r="797">
      <c r="B797" s="64"/>
      <c r="C797" s="64"/>
      <c r="D797" s="75"/>
    </row>
    <row r="798">
      <c r="B798" s="64"/>
      <c r="C798" s="64"/>
      <c r="D798" s="75"/>
    </row>
    <row r="799">
      <c r="B799" s="64"/>
      <c r="C799" s="64"/>
      <c r="D799" s="75"/>
    </row>
    <row r="800">
      <c r="B800" s="64"/>
      <c r="C800" s="64"/>
      <c r="D800" s="75"/>
    </row>
    <row r="801">
      <c r="B801" s="64"/>
      <c r="C801" s="64"/>
      <c r="D801" s="75"/>
    </row>
    <row r="802">
      <c r="B802" s="64"/>
      <c r="C802" s="64"/>
      <c r="D802" s="75"/>
    </row>
    <row r="803">
      <c r="B803" s="64"/>
      <c r="C803" s="64"/>
      <c r="D803" s="75"/>
    </row>
    <row r="804">
      <c r="B804" s="64"/>
      <c r="C804" s="64"/>
      <c r="D804" s="75"/>
    </row>
    <row r="805">
      <c r="B805" s="64"/>
      <c r="C805" s="64"/>
      <c r="D805" s="75"/>
    </row>
    <row r="806">
      <c r="B806" s="64"/>
      <c r="C806" s="64"/>
      <c r="D806" s="75"/>
    </row>
    <row r="807">
      <c r="B807" s="64"/>
      <c r="C807" s="64"/>
      <c r="D807" s="75"/>
    </row>
    <row r="808">
      <c r="B808" s="64"/>
      <c r="C808" s="64"/>
      <c r="D808" s="75"/>
    </row>
    <row r="809">
      <c r="B809" s="64"/>
      <c r="C809" s="64"/>
      <c r="D809" s="75"/>
    </row>
    <row r="810">
      <c r="B810" s="64"/>
      <c r="C810" s="64"/>
      <c r="D810" s="75"/>
    </row>
    <row r="811">
      <c r="B811" s="64"/>
      <c r="C811" s="64"/>
      <c r="D811" s="75"/>
    </row>
    <row r="812">
      <c r="B812" s="64"/>
      <c r="C812" s="64"/>
      <c r="D812" s="75"/>
    </row>
    <row r="813">
      <c r="B813" s="64"/>
      <c r="C813" s="64"/>
      <c r="D813" s="75"/>
    </row>
    <row r="814">
      <c r="B814" s="64"/>
      <c r="C814" s="64"/>
      <c r="D814" s="75"/>
    </row>
    <row r="815">
      <c r="B815" s="64"/>
      <c r="C815" s="64"/>
      <c r="D815" s="75"/>
    </row>
    <row r="816">
      <c r="B816" s="64"/>
      <c r="C816" s="64"/>
      <c r="D816" s="75"/>
    </row>
    <row r="817">
      <c r="B817" s="64"/>
      <c r="C817" s="64"/>
      <c r="D817" s="75"/>
    </row>
    <row r="818">
      <c r="B818" s="64"/>
      <c r="C818" s="64"/>
      <c r="D818" s="75"/>
    </row>
    <row r="819">
      <c r="B819" s="64"/>
      <c r="C819" s="64"/>
      <c r="D819" s="75"/>
    </row>
    <row r="820">
      <c r="B820" s="64"/>
      <c r="C820" s="64"/>
      <c r="D820" s="75"/>
    </row>
    <row r="821">
      <c r="B821" s="64"/>
      <c r="C821" s="64"/>
      <c r="D821" s="75"/>
    </row>
    <row r="822">
      <c r="B822" s="64"/>
      <c r="C822" s="64"/>
      <c r="D822" s="75"/>
    </row>
    <row r="823">
      <c r="B823" s="64"/>
      <c r="C823" s="64"/>
      <c r="D823" s="75"/>
    </row>
    <row r="824">
      <c r="B824" s="64"/>
      <c r="C824" s="64"/>
      <c r="D824" s="75"/>
    </row>
    <row r="825">
      <c r="B825" s="64"/>
      <c r="C825" s="64"/>
      <c r="D825" s="75"/>
    </row>
    <row r="826">
      <c r="B826" s="64"/>
      <c r="C826" s="64"/>
      <c r="D826" s="75"/>
    </row>
    <row r="827">
      <c r="B827" s="64"/>
      <c r="C827" s="64"/>
      <c r="D827" s="75"/>
    </row>
    <row r="828">
      <c r="B828" s="64"/>
      <c r="C828" s="64"/>
      <c r="D828" s="75"/>
    </row>
    <row r="829">
      <c r="B829" s="64"/>
      <c r="C829" s="64"/>
      <c r="D829" s="75"/>
    </row>
    <row r="830">
      <c r="B830" s="64"/>
      <c r="C830" s="64"/>
      <c r="D830" s="75"/>
    </row>
    <row r="831">
      <c r="B831" s="64"/>
      <c r="C831" s="64"/>
      <c r="D831" s="75"/>
    </row>
    <row r="832">
      <c r="B832" s="64"/>
      <c r="C832" s="64"/>
      <c r="D832" s="75"/>
    </row>
    <row r="833">
      <c r="B833" s="64"/>
      <c r="C833" s="64"/>
      <c r="D833" s="75"/>
    </row>
    <row r="834">
      <c r="B834" s="64"/>
      <c r="C834" s="64"/>
      <c r="D834" s="75"/>
    </row>
    <row r="835">
      <c r="B835" s="64"/>
      <c r="C835" s="64"/>
      <c r="D835" s="75"/>
    </row>
    <row r="836">
      <c r="B836" s="64"/>
      <c r="C836" s="64"/>
      <c r="D836" s="75"/>
    </row>
    <row r="837">
      <c r="B837" s="64"/>
      <c r="C837" s="64"/>
      <c r="D837" s="75"/>
    </row>
    <row r="838">
      <c r="B838" s="64"/>
      <c r="C838" s="64"/>
      <c r="D838" s="75"/>
    </row>
    <row r="839">
      <c r="B839" s="64"/>
      <c r="C839" s="64"/>
      <c r="D839" s="75"/>
    </row>
    <row r="840">
      <c r="B840" s="64"/>
      <c r="C840" s="64"/>
      <c r="D840" s="75"/>
    </row>
    <row r="841">
      <c r="B841" s="64"/>
      <c r="C841" s="64"/>
      <c r="D841" s="75"/>
    </row>
    <row r="842">
      <c r="B842" s="64"/>
      <c r="C842" s="64"/>
      <c r="D842" s="75"/>
    </row>
    <row r="843">
      <c r="B843" s="64"/>
      <c r="C843" s="64"/>
      <c r="D843" s="75"/>
    </row>
    <row r="844">
      <c r="B844" s="64"/>
      <c r="C844" s="64"/>
      <c r="D844" s="75"/>
    </row>
    <row r="845">
      <c r="B845" s="64"/>
      <c r="C845" s="64"/>
      <c r="D845" s="75"/>
    </row>
    <row r="846">
      <c r="B846" s="64"/>
      <c r="C846" s="64"/>
      <c r="D846" s="75"/>
    </row>
    <row r="847">
      <c r="B847" s="64"/>
      <c r="C847" s="64"/>
      <c r="D847" s="75"/>
    </row>
    <row r="848">
      <c r="B848" s="64"/>
      <c r="C848" s="64"/>
      <c r="D848" s="75"/>
    </row>
    <row r="849">
      <c r="B849" s="64"/>
      <c r="C849" s="64"/>
      <c r="D849" s="75"/>
    </row>
    <row r="850">
      <c r="B850" s="64"/>
      <c r="C850" s="64"/>
      <c r="D850" s="75"/>
    </row>
    <row r="851">
      <c r="B851" s="64"/>
      <c r="C851" s="64"/>
      <c r="D851" s="75"/>
    </row>
    <row r="852">
      <c r="B852" s="64"/>
      <c r="C852" s="64"/>
      <c r="D852" s="75"/>
    </row>
    <row r="853">
      <c r="B853" s="64"/>
      <c r="C853" s="64"/>
      <c r="D853" s="75"/>
    </row>
    <row r="854">
      <c r="B854" s="64"/>
      <c r="C854" s="64"/>
      <c r="D854" s="75"/>
    </row>
    <row r="855">
      <c r="B855" s="64"/>
      <c r="C855" s="64"/>
      <c r="D855" s="75"/>
    </row>
    <row r="856">
      <c r="B856" s="64"/>
      <c r="C856" s="64"/>
      <c r="D856" s="75"/>
    </row>
    <row r="857">
      <c r="B857" s="64"/>
      <c r="C857" s="64"/>
      <c r="D857" s="75"/>
    </row>
    <row r="858">
      <c r="B858" s="64"/>
      <c r="C858" s="64"/>
      <c r="D858" s="75"/>
    </row>
    <row r="859">
      <c r="B859" s="64"/>
      <c r="C859" s="64"/>
      <c r="D859" s="75"/>
    </row>
    <row r="860">
      <c r="B860" s="64"/>
      <c r="C860" s="64"/>
      <c r="D860" s="75"/>
    </row>
    <row r="861">
      <c r="B861" s="64"/>
      <c r="C861" s="64"/>
      <c r="D861" s="75"/>
    </row>
    <row r="862">
      <c r="B862" s="64"/>
      <c r="C862" s="64"/>
      <c r="D862" s="75"/>
    </row>
    <row r="863">
      <c r="B863" s="64"/>
      <c r="C863" s="64"/>
      <c r="D863" s="75"/>
    </row>
    <row r="864">
      <c r="B864" s="64"/>
      <c r="C864" s="64"/>
      <c r="D864" s="75"/>
    </row>
    <row r="865">
      <c r="B865" s="64"/>
      <c r="C865" s="64"/>
      <c r="D865" s="75"/>
    </row>
    <row r="866">
      <c r="B866" s="64"/>
      <c r="C866" s="64"/>
      <c r="D866" s="75"/>
    </row>
    <row r="867">
      <c r="B867" s="64"/>
      <c r="C867" s="64"/>
      <c r="D867" s="75"/>
    </row>
    <row r="868">
      <c r="B868" s="64"/>
      <c r="C868" s="64"/>
      <c r="D868" s="75"/>
    </row>
    <row r="869">
      <c r="B869" s="64"/>
      <c r="C869" s="64"/>
      <c r="D869" s="75"/>
    </row>
    <row r="870">
      <c r="B870" s="64"/>
      <c r="C870" s="64"/>
      <c r="D870" s="75"/>
    </row>
    <row r="871">
      <c r="B871" s="64"/>
      <c r="C871" s="64"/>
      <c r="D871" s="75"/>
    </row>
    <row r="872">
      <c r="B872" s="64"/>
      <c r="C872" s="64"/>
      <c r="D872" s="75"/>
    </row>
    <row r="873">
      <c r="B873" s="64"/>
      <c r="C873" s="64"/>
      <c r="D873" s="75"/>
    </row>
    <row r="874">
      <c r="B874" s="64"/>
      <c r="C874" s="64"/>
      <c r="D874" s="75"/>
    </row>
    <row r="875">
      <c r="B875" s="64"/>
      <c r="C875" s="64"/>
      <c r="D875" s="75"/>
    </row>
    <row r="876">
      <c r="B876" s="64"/>
      <c r="C876" s="64"/>
      <c r="D876" s="75"/>
    </row>
    <row r="877">
      <c r="B877" s="64"/>
      <c r="C877" s="64"/>
      <c r="D877" s="75"/>
    </row>
    <row r="878">
      <c r="B878" s="64"/>
      <c r="C878" s="64"/>
      <c r="D878" s="75"/>
    </row>
    <row r="879">
      <c r="B879" s="64"/>
      <c r="C879" s="64"/>
      <c r="D879" s="75"/>
    </row>
    <row r="880">
      <c r="B880" s="64"/>
      <c r="C880" s="64"/>
      <c r="D880" s="75"/>
    </row>
    <row r="881">
      <c r="B881" s="64"/>
      <c r="C881" s="64"/>
      <c r="D881" s="75"/>
    </row>
    <row r="882">
      <c r="B882" s="64"/>
      <c r="C882" s="64"/>
      <c r="D882" s="75"/>
    </row>
    <row r="883">
      <c r="B883" s="64"/>
      <c r="C883" s="64"/>
      <c r="D883" s="75"/>
    </row>
    <row r="884">
      <c r="B884" s="64"/>
      <c r="C884" s="64"/>
      <c r="D884" s="75"/>
    </row>
    <row r="885">
      <c r="B885" s="64"/>
      <c r="C885" s="64"/>
      <c r="D885" s="75"/>
    </row>
    <row r="886">
      <c r="B886" s="64"/>
      <c r="C886" s="64"/>
      <c r="D886" s="75"/>
    </row>
    <row r="887">
      <c r="B887" s="64"/>
      <c r="C887" s="64"/>
      <c r="D887" s="75"/>
    </row>
    <row r="888">
      <c r="B888" s="64"/>
      <c r="C888" s="64"/>
      <c r="D888" s="75"/>
    </row>
    <row r="889">
      <c r="B889" s="64"/>
      <c r="C889" s="64"/>
      <c r="D889" s="75"/>
    </row>
    <row r="890">
      <c r="B890" s="64"/>
      <c r="C890" s="64"/>
      <c r="D890" s="75"/>
    </row>
    <row r="891">
      <c r="B891" s="64"/>
      <c r="C891" s="64"/>
      <c r="D891" s="75"/>
    </row>
    <row r="892">
      <c r="B892" s="64"/>
      <c r="C892" s="64"/>
      <c r="D892" s="75"/>
    </row>
    <row r="893">
      <c r="B893" s="64"/>
      <c r="C893" s="64"/>
      <c r="D893" s="75"/>
    </row>
    <row r="894">
      <c r="B894" s="64"/>
      <c r="C894" s="64"/>
      <c r="D894" s="75"/>
    </row>
    <row r="895">
      <c r="B895" s="64"/>
      <c r="C895" s="64"/>
      <c r="D895" s="75"/>
    </row>
    <row r="896">
      <c r="B896" s="64"/>
      <c r="C896" s="64"/>
      <c r="D896" s="75"/>
    </row>
    <row r="897">
      <c r="B897" s="64"/>
      <c r="C897" s="64"/>
      <c r="D897" s="75"/>
    </row>
    <row r="898">
      <c r="B898" s="64"/>
      <c r="C898" s="64"/>
      <c r="D898" s="75"/>
    </row>
    <row r="899">
      <c r="B899" s="64"/>
      <c r="C899" s="64"/>
      <c r="D899" s="75"/>
    </row>
    <row r="900">
      <c r="B900" s="64"/>
      <c r="C900" s="64"/>
      <c r="D900" s="75"/>
    </row>
    <row r="901">
      <c r="B901" s="64"/>
      <c r="C901" s="64"/>
      <c r="D901" s="75"/>
    </row>
    <row r="902">
      <c r="B902" s="64"/>
      <c r="C902" s="64"/>
      <c r="D902" s="75"/>
    </row>
    <row r="903">
      <c r="B903" s="64"/>
      <c r="C903" s="64"/>
      <c r="D903" s="75"/>
    </row>
    <row r="904">
      <c r="B904" s="64"/>
      <c r="C904" s="64"/>
      <c r="D904" s="75"/>
    </row>
    <row r="905">
      <c r="B905" s="64"/>
      <c r="C905" s="64"/>
      <c r="D905" s="75"/>
    </row>
    <row r="906">
      <c r="B906" s="64"/>
      <c r="C906" s="64"/>
      <c r="D906" s="75"/>
    </row>
    <row r="907">
      <c r="B907" s="64"/>
      <c r="C907" s="64"/>
      <c r="D907" s="75"/>
    </row>
    <row r="908">
      <c r="B908" s="64"/>
      <c r="C908" s="64"/>
      <c r="D908" s="75"/>
    </row>
    <row r="909">
      <c r="B909" s="64"/>
      <c r="C909" s="64"/>
      <c r="D909" s="75"/>
    </row>
    <row r="910">
      <c r="B910" s="64"/>
      <c r="C910" s="64"/>
      <c r="D910" s="75"/>
    </row>
    <row r="911">
      <c r="B911" s="64"/>
      <c r="C911" s="64"/>
      <c r="D911" s="75"/>
    </row>
    <row r="912">
      <c r="B912" s="64"/>
      <c r="C912" s="64"/>
      <c r="D912" s="75"/>
    </row>
    <row r="913">
      <c r="B913" s="64"/>
      <c r="C913" s="64"/>
      <c r="D913" s="75"/>
    </row>
    <row r="914">
      <c r="B914" s="64"/>
      <c r="C914" s="64"/>
      <c r="D914" s="75"/>
    </row>
    <row r="915">
      <c r="B915" s="64"/>
      <c r="C915" s="64"/>
      <c r="D915" s="75"/>
    </row>
    <row r="916">
      <c r="B916" s="64"/>
      <c r="C916" s="64"/>
      <c r="D916" s="75"/>
    </row>
    <row r="917">
      <c r="B917" s="64"/>
      <c r="C917" s="64"/>
      <c r="D917" s="75"/>
    </row>
    <row r="918">
      <c r="B918" s="64"/>
      <c r="C918" s="64"/>
      <c r="D918" s="75"/>
    </row>
    <row r="919">
      <c r="B919" s="64"/>
      <c r="C919" s="64"/>
      <c r="D919" s="75"/>
    </row>
    <row r="920">
      <c r="B920" s="64"/>
      <c r="C920" s="64"/>
      <c r="D920" s="75"/>
    </row>
    <row r="921">
      <c r="B921" s="64"/>
      <c r="C921" s="64"/>
      <c r="D921" s="75"/>
    </row>
    <row r="922">
      <c r="B922" s="64"/>
      <c r="C922" s="64"/>
      <c r="D922" s="75"/>
    </row>
    <row r="923">
      <c r="B923" s="64"/>
      <c r="C923" s="64"/>
      <c r="D923" s="75"/>
    </row>
    <row r="924">
      <c r="B924" s="64"/>
      <c r="C924" s="64"/>
      <c r="D924" s="75"/>
    </row>
    <row r="925">
      <c r="B925" s="64"/>
      <c r="C925" s="64"/>
      <c r="D925" s="75"/>
    </row>
    <row r="926">
      <c r="B926" s="64"/>
      <c r="C926" s="64"/>
      <c r="D926" s="75"/>
    </row>
    <row r="927">
      <c r="B927" s="64"/>
      <c r="C927" s="64"/>
      <c r="D927" s="75"/>
    </row>
    <row r="928">
      <c r="B928" s="64"/>
      <c r="C928" s="64"/>
      <c r="D928" s="75"/>
    </row>
    <row r="929">
      <c r="B929" s="64"/>
      <c r="C929" s="64"/>
      <c r="D929" s="75"/>
    </row>
    <row r="930">
      <c r="B930" s="64"/>
      <c r="C930" s="64"/>
      <c r="D930" s="75"/>
    </row>
    <row r="931">
      <c r="B931" s="64"/>
      <c r="C931" s="64"/>
      <c r="D931" s="75"/>
    </row>
    <row r="932">
      <c r="B932" s="64"/>
      <c r="C932" s="64"/>
      <c r="D932" s="75"/>
    </row>
    <row r="933">
      <c r="B933" s="64"/>
      <c r="C933" s="64"/>
      <c r="D933" s="75"/>
    </row>
    <row r="934">
      <c r="B934" s="64"/>
      <c r="C934" s="64"/>
      <c r="D934" s="75"/>
    </row>
    <row r="935">
      <c r="B935" s="64"/>
      <c r="C935" s="64"/>
      <c r="D935" s="75"/>
    </row>
    <row r="936">
      <c r="B936" s="64"/>
      <c r="C936" s="64"/>
      <c r="D936" s="75"/>
    </row>
    <row r="937">
      <c r="B937" s="64"/>
      <c r="C937" s="64"/>
      <c r="D937" s="75"/>
    </row>
    <row r="938">
      <c r="B938" s="64"/>
      <c r="C938" s="64"/>
      <c r="D938" s="75"/>
    </row>
    <row r="939">
      <c r="B939" s="64"/>
      <c r="C939" s="64"/>
      <c r="D939" s="75"/>
    </row>
    <row r="940">
      <c r="B940" s="64"/>
      <c r="C940" s="64"/>
      <c r="D940" s="75"/>
    </row>
    <row r="941">
      <c r="B941" s="64"/>
      <c r="C941" s="64"/>
      <c r="D941" s="75"/>
    </row>
    <row r="942">
      <c r="B942" s="64"/>
      <c r="C942" s="64"/>
      <c r="D942" s="75"/>
    </row>
    <row r="943">
      <c r="B943" s="64"/>
      <c r="C943" s="64"/>
      <c r="D943" s="75"/>
    </row>
    <row r="944">
      <c r="B944" s="64"/>
      <c r="C944" s="64"/>
      <c r="D944" s="75"/>
    </row>
    <row r="945">
      <c r="B945" s="64"/>
      <c r="C945" s="64"/>
      <c r="D945" s="75"/>
    </row>
    <row r="946">
      <c r="B946" s="64"/>
      <c r="C946" s="64"/>
      <c r="D946" s="75"/>
    </row>
    <row r="947">
      <c r="B947" s="64"/>
      <c r="C947" s="64"/>
      <c r="D947" s="75"/>
    </row>
    <row r="948">
      <c r="B948" s="64"/>
      <c r="C948" s="64"/>
      <c r="D948" s="75"/>
    </row>
    <row r="949">
      <c r="B949" s="64"/>
      <c r="C949" s="64"/>
      <c r="D949" s="75"/>
    </row>
    <row r="950">
      <c r="B950" s="64"/>
      <c r="C950" s="64"/>
      <c r="D950" s="75"/>
    </row>
    <row r="951">
      <c r="B951" s="64"/>
      <c r="C951" s="64"/>
      <c r="D951" s="75"/>
    </row>
    <row r="952">
      <c r="B952" s="64"/>
      <c r="C952" s="64"/>
      <c r="D952" s="75"/>
    </row>
    <row r="953">
      <c r="B953" s="64"/>
      <c r="C953" s="64"/>
      <c r="D953" s="75"/>
    </row>
    <row r="954">
      <c r="B954" s="64"/>
      <c r="C954" s="64"/>
      <c r="D954" s="75"/>
    </row>
    <row r="955">
      <c r="B955" s="64"/>
      <c r="C955" s="64"/>
      <c r="D955" s="75"/>
    </row>
    <row r="956">
      <c r="B956" s="64"/>
      <c r="C956" s="64"/>
      <c r="D956" s="75"/>
    </row>
    <row r="957">
      <c r="B957" s="64"/>
      <c r="C957" s="64"/>
      <c r="D957" s="75"/>
    </row>
    <row r="958">
      <c r="B958" s="64"/>
      <c r="C958" s="64"/>
      <c r="D958" s="75"/>
    </row>
    <row r="959">
      <c r="B959" s="64"/>
      <c r="C959" s="64"/>
      <c r="D959" s="75"/>
    </row>
    <row r="960">
      <c r="B960" s="64"/>
      <c r="C960" s="64"/>
      <c r="D960" s="75"/>
    </row>
    <row r="961">
      <c r="B961" s="64"/>
      <c r="C961" s="64"/>
      <c r="D961" s="75"/>
    </row>
    <row r="962">
      <c r="B962" s="64"/>
      <c r="C962" s="64"/>
      <c r="D962" s="75"/>
    </row>
    <row r="963">
      <c r="B963" s="64"/>
      <c r="C963" s="64"/>
      <c r="D963" s="75"/>
    </row>
    <row r="964">
      <c r="B964" s="64"/>
      <c r="C964" s="64"/>
      <c r="D964" s="75"/>
    </row>
    <row r="965">
      <c r="B965" s="64"/>
      <c r="C965" s="64"/>
      <c r="D965" s="75"/>
    </row>
    <row r="966">
      <c r="B966" s="64"/>
      <c r="C966" s="64"/>
      <c r="D966" s="75"/>
    </row>
    <row r="967">
      <c r="B967" s="64"/>
      <c r="C967" s="64"/>
      <c r="D967" s="75"/>
    </row>
    <row r="968">
      <c r="B968" s="64"/>
      <c r="C968" s="64"/>
      <c r="D968" s="75"/>
    </row>
    <row r="969">
      <c r="B969" s="64"/>
      <c r="C969" s="64"/>
      <c r="D969" s="75"/>
    </row>
    <row r="970">
      <c r="B970" s="64"/>
      <c r="C970" s="64"/>
      <c r="D970" s="75"/>
    </row>
    <row r="971">
      <c r="B971" s="64"/>
      <c r="C971" s="64"/>
      <c r="D971" s="75"/>
    </row>
    <row r="972">
      <c r="B972" s="64"/>
      <c r="C972" s="64"/>
      <c r="D972" s="75"/>
    </row>
    <row r="973">
      <c r="B973" s="64"/>
      <c r="C973" s="64"/>
      <c r="D973" s="75"/>
    </row>
    <row r="974">
      <c r="B974" s="64"/>
      <c r="C974" s="64"/>
      <c r="D974" s="75"/>
    </row>
    <row r="975">
      <c r="B975" s="64"/>
      <c r="C975" s="64"/>
      <c r="D975" s="75"/>
    </row>
    <row r="976">
      <c r="B976" s="64"/>
      <c r="C976" s="64"/>
      <c r="D976" s="75"/>
    </row>
    <row r="977">
      <c r="B977" s="64"/>
      <c r="C977" s="64"/>
      <c r="D977" s="75"/>
    </row>
    <row r="978">
      <c r="B978" s="64"/>
      <c r="C978" s="64"/>
      <c r="D978" s="75"/>
    </row>
    <row r="979">
      <c r="B979" s="64"/>
      <c r="C979" s="64"/>
      <c r="D979" s="75"/>
    </row>
    <row r="980">
      <c r="B980" s="64"/>
      <c r="C980" s="64"/>
      <c r="D980" s="75"/>
    </row>
    <row r="981">
      <c r="B981" s="64"/>
      <c r="C981" s="64"/>
      <c r="D981" s="75"/>
    </row>
    <row r="982">
      <c r="B982" s="64"/>
      <c r="C982" s="64"/>
      <c r="D982" s="75"/>
    </row>
    <row r="983">
      <c r="B983" s="64"/>
      <c r="C983" s="64"/>
      <c r="D983" s="75"/>
    </row>
    <row r="984">
      <c r="B984" s="64"/>
      <c r="C984" s="64"/>
      <c r="D984" s="75"/>
    </row>
    <row r="985">
      <c r="B985" s="64"/>
      <c r="C985" s="64"/>
      <c r="D985" s="75"/>
    </row>
  </sheetData>
  <mergeCells count="14">
    <mergeCell ref="F3:G3"/>
    <mergeCell ref="H3:I3"/>
    <mergeCell ref="J3:J4"/>
    <mergeCell ref="K3:K4"/>
    <mergeCell ref="E112:K11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